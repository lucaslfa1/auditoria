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"/>
    </mc:Choice>
  </mc:AlternateContent>
  <xr:revisionPtr revIDLastSave="26" documentId="14_{81E2EE72-AD65-47AD-82B3-52D83035980F}" xr6:coauthVersionLast="36" xr6:coauthVersionMax="36" xr10:uidLastSave="{FA3D4B1F-7601-43F5-A3CA-571E9A0E1B33}"/>
  <bookViews>
    <workbookView xWindow="0" yWindow="0" windowWidth="19200" windowHeight="7750" xr2:uid="{00000000-000D-0000-FFFF-FFFF00000000}"/>
  </bookViews>
  <sheets>
    <sheet name="FENIX" sheetId="2" r:id="rId1"/>
  </sheets>
  <definedNames>
    <definedName name="_xlnm._FilterDatabase" localSheetId="0" hidden="1">FENIX!$M$1:$M$1</definedName>
  </definedNames>
  <calcPr calcId="191028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2" l="1"/>
  <c r="F10" i="2"/>
  <c r="M13" i="2"/>
  <c r="F5" i="2" l="1"/>
  <c r="F7" i="2" l="1"/>
  <c r="F8" i="2"/>
  <c r="F11" i="2" l="1"/>
  <c r="F6" i="2" l="1"/>
  <c r="F12" i="2" l="1"/>
  <c r="L13" i="2" l="1"/>
  <c r="F2" i="2" l="1"/>
  <c r="F4" i="2" l="1"/>
  <c r="F3" i="2"/>
</calcChain>
</file>

<file path=xl/sharedStrings.xml><?xml version="1.0" encoding="utf-8"?>
<sst xmlns="http://schemas.openxmlformats.org/spreadsheetml/2006/main" count="82" uniqueCount="31">
  <si>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</si>
  <si>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</si>
  <si>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</si>
  <si>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</si>
  <si>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</si>
  <si>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</si>
  <si>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</si>
  <si>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</si>
  <si>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</si>
  <si>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</si>
  <si>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ATIVO</t>
  </si>
  <si>
    <t>Total Geral</t>
  </si>
  <si>
    <t>OPERACIONAL</t>
  </si>
  <si>
    <t>FÊNIX</t>
  </si>
  <si>
    <t>Adryan Celso</t>
  </si>
  <si>
    <t>TRANSFERÊNCIA</t>
  </si>
  <si>
    <t>OPERACIONAL2</t>
  </si>
  <si>
    <t xml:space="preserve">GABRIEL VARLEI DE BORBA </t>
  </si>
  <si>
    <t xml:space="preserve">MAISA SANTOS ALEXANDRE </t>
  </si>
  <si>
    <t>GUILHERME SCREMIN PAIXÃO</t>
  </si>
  <si>
    <t>ANA CLARA ALVES PEREIRA</t>
  </si>
  <si>
    <t>JOSE FERNANDO ALVES DE MATOS</t>
  </si>
  <si>
    <t>JHONATA DE BARROS MARQUES</t>
  </si>
  <si>
    <t>YURI NOVAK SILVEIRA</t>
  </si>
  <si>
    <t>AMANDA DE OLIVEIRA DOS SANTOS</t>
  </si>
  <si>
    <t>ANA JULIA NUNES</t>
  </si>
  <si>
    <t>ID HUAWEI</t>
  </si>
  <si>
    <t>NICOLAS GABRIEL WILSON FURTADO</t>
  </si>
  <si>
    <t>SUELEN APARECIDA DE BORBA</t>
  </si>
  <si>
    <t>X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</si>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</sst>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/>
      </left>
      <right/>
      <top style="thin">
        <color theme="9"/>
      </top>
      <bottom/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35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6" fillId="3" borderId="3" xfId="0" applyFont="1" applyFill="1" applyBorder="1" applyAlignment="1">
      <alignment horizontal="left" vertical="center"/>
    </xf>
    <xf numFmtId="0" fontId="0" fillId="0" borderId="3" xfId="0" applyNumberFormat="1" applyBorder="1" applyAlignment="1">
      <alignment horizontal="center"/>
    </xf>
    <xf numFmtId="0" fontId="6" fillId="3" borderId="3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2" fillId="0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NumberFormat="1" applyFont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3" fillId="0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0" borderId="0" xfId="0" applyNumberFormat="1" applyFont="1" applyAlignment="1">
      <alignment horizontal="left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43835</xdr:colOff>
      <xdr:row>14</xdr:row>
      <xdr:rowOff>12700</xdr:rowOff>
    </xdr:from>
    <xdr:to>
      <xdr:col>13</xdr:col>
      <xdr:colOff>70719</xdr:colOff>
      <xdr:row>45</xdr:row>
      <xdr:rowOff>11459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6AF7A5-5098-40BA-AF75-85418B913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35" y="2590800"/>
          <a:ext cx="10574234" cy="568835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66.625320949075" createdVersion="6" refreshedVersion="6" minRefreshableVersion="3" recordCount="11" xr:uid="{E1D096AC-5E99-40A4-9594-49096EBB8A51}">
  <cacheSource type="worksheet">
    <worksheetSource name="Tabela2[[MATRICULA]:[OBS]]"/>
  </cacheSource>
  <cacheFields count="9">
    <cacheField name="MATRICULA" numFmtId="0">
      <sharedItems containsSemiMixedTypes="0" containsString="0" containsNumber="1" containsInteger="1" minValue="4155" maxValue="4236"/>
    </cacheField>
    <cacheField name="ID WEON " numFmtId="0">
      <sharedItems containsSemiMixedTypes="0" containsString="0" containsNumber="1" containsInteger="1" minValue="4155" maxValue="4236"/>
    </cacheField>
    <cacheField name="ID HUAWEI" numFmtId="0">
      <sharedItems containsSemiMixedTypes="0" containsString="0" containsNumber="1" containsInteger="1" minValue="653" maxValue="2556"/>
    </cacheField>
    <cacheField name="NOME" numFmtId="0">
      <sharedItems/>
    </cacheField>
    <cacheField name="STATUS" numFmtId="0">
      <sharedItems count="2">
        <s v="ATIVO"/>
        <s v="INATIVO" u="1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4215"/>
    <n v="4215"/>
    <n v="2550"/>
    <s v="GABRIEL VARLEI DE BORBA "/>
    <x v="0"/>
    <s v="FÊNIX"/>
    <s v="Adryan Celso"/>
    <s v="TRANSFERÊNCIA"/>
    <m/>
  </r>
  <r>
    <n v="4235"/>
    <n v="4235"/>
    <n v="654"/>
    <s v="NICOLAS GABRIEL WILSON FURTADO"/>
    <x v="0"/>
    <s v="FÊNIX"/>
    <s v="Adryan Celso"/>
    <s v="TRANSFERÊNCIA"/>
    <m/>
  </r>
  <r>
    <n v="4210"/>
    <n v="4210"/>
    <n v="2546"/>
    <s v="MAISA SANTOS ALEXANDRE "/>
    <x v="0"/>
    <s v="FÊNIX"/>
    <s v="Adryan Celso"/>
    <s v="TRANSFERÊNCIA"/>
    <m/>
  </r>
  <r>
    <n v="4199"/>
    <n v="4199"/>
    <n v="2363"/>
    <s v="GUILHERME SCREMIN PAIXÃO"/>
    <x v="0"/>
    <s v="FÊNIX"/>
    <s v="Adryan Celso"/>
    <s v="TRANSFERÊNCIA"/>
    <m/>
  </r>
  <r>
    <n v="4208"/>
    <n v="4208"/>
    <n v="2555"/>
    <s v="ANA CLARA ALVES PEREIRA"/>
    <x v="0"/>
    <s v="FÊNIX"/>
    <s v="Adryan Celso"/>
    <s v="TRANSFERÊNCIA"/>
    <m/>
  </r>
  <r>
    <n v="4236"/>
    <n v="4236"/>
    <n v="653"/>
    <s v="SUELEN APARECIDA DE BORBA"/>
    <x v="0"/>
    <s v="FÊNIX"/>
    <s v="Adryan Celso"/>
    <s v="TRANSFERÊNCIA"/>
    <m/>
  </r>
  <r>
    <n v="4214"/>
    <n v="4214"/>
    <n v="2548"/>
    <s v="JOSE FERNANDO ALVES DE MATOS"/>
    <x v="0"/>
    <s v="FÊNIX"/>
    <s v="Adryan Celso"/>
    <s v="TRANSFERÊNCIA"/>
    <m/>
  </r>
  <r>
    <n v="4206"/>
    <n v="4206"/>
    <n v="2549"/>
    <s v="JHONATA DE BARROS MARQUES"/>
    <x v="0"/>
    <s v="FÊNIX"/>
    <s v="Adryan Celso"/>
    <s v="TRANSFERÊNCIA"/>
    <m/>
  </r>
  <r>
    <n v="4155"/>
    <n v="4155"/>
    <n v="2541"/>
    <s v="YURI NOVAK SILVEIRA"/>
    <x v="0"/>
    <s v="FÊNIX"/>
    <s v="Adryan Celso"/>
    <s v="TRANSFERÊNCIA"/>
    <m/>
  </r>
  <r>
    <n v="4218"/>
    <n v="4218"/>
    <n v="2556"/>
    <s v="AMANDA DE OLIVEIRA DOS SANTOS"/>
    <x v="0"/>
    <s v="FÊNIX"/>
    <s v="Adryan Celso"/>
    <s v="TRANSFERÊNCIA"/>
    <m/>
  </r>
  <r>
    <n v="4203"/>
    <n v="4203"/>
    <n v="2554"/>
    <s v="ANA JULIA NUNES"/>
    <x v="0"/>
    <s v="FÊNIX"/>
    <s v="Adryan Celso"/>
    <s v="TRANSFERÊNCI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7CC71-C6D9-4379-8060-EEFC4DF083DF}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3" firstHeaderRow="1" firstDataRow="1" firstDataCol="1"/>
  <pivotFields count="9">
    <pivotField showAll="0"/>
    <pivotField showAll="0"/>
    <pivotField showAll="0"/>
    <pivotField showAll="0"/>
    <pivotField axis="axisRow" dataField="1" showAll="0">
      <items count="3">
        <item x="0"/>
        <item m="1"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QTD" fld="4" subtotal="count" baseField="3" baseItem="0"/>
  </dataFields>
  <formats count="16">
    <format dxfId="36">
      <pivotArea field="4" type="button" dataOnly="0" labelOnly="1" outline="0" axis="axisRow" fieldPosition="0"/>
    </format>
    <format dxfId="35">
      <pivotArea dataOnly="0" labelOnly="1" outline="0" axis="axisValues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4" type="button" dataOnly="0" labelOnly="1" outline="0" axis="axisRow" fieldPosition="0"/>
    </format>
    <format dxfId="29">
      <pivotArea dataOnly="0" labelOnly="1" fieldPosition="0">
        <references count="1">
          <reference field="4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field="4" type="button" dataOnly="0" labelOnly="1" outline="0" axis="axisRow" fieldPosition="0"/>
    </format>
    <format dxfId="23">
      <pivotArea dataOnly="0" labelOnly="1" outline="0" axis="axisValues" fieldPosition="0"/>
    </format>
    <format dxfId="22">
      <pivotArea grandRow="1" outline="0" collapsedLevelsAreSubtotals="1" fieldPosition="0"/>
    </format>
    <format dxfId="21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M12" totalsRowShown="0" headerRowDxfId="20" dataDxfId="19">
  <sortState ref="B2:K3">
    <sortCondition ref="B1:B3"/>
  </sortState>
  <tableColumns count="12">
    <tableColumn id="1" xr3:uid="{00000000-0010-0000-0000-000001000000}" name="MATRICULA" dataDxfId="18"/>
    <tableColumn id="9" xr3:uid="{5D5963D4-6ADD-4B53-A2B4-60955012F1B3}" name="ID WEON " dataDxfId="17"/>
    <tableColumn id="12" xr3:uid="{C74A772F-C331-41E8-8079-9A7A69228EC6}" name="ID HUAWEI" dataDxfId="16"/>
    <tableColumn id="2" xr3:uid="{00000000-0010-0000-0000-000002000000}" name="NOME" dataDxfId="15"/>
    <tableColumn id="3" xr3:uid="{00000000-0010-0000-0000-000003000000}" name="STATUS" dataDxfId="14">
      <calculatedColumnFormula>IF(Tabela2[[#This Row],[OBS]]="","ATIVO","INATIVO")</calculatedColumnFormula>
    </tableColumn>
    <tableColumn id="4" xr3:uid="{00000000-0010-0000-0000-000004000000}" name="TURNO / OPERAÇÃO" dataDxfId="13" totalsRowDxfId="12"/>
    <tableColumn id="5" xr3:uid="{00000000-0010-0000-0000-000005000000}" name="SUPERVISOR" dataDxfId="11" totalsRowDxfId="10"/>
    <tableColumn id="6" xr3:uid="{00000000-0010-0000-0000-000006000000}" name="SETOR" dataDxfId="9" totalsRowDxfId="8"/>
    <tableColumn id="7" xr3:uid="{00000000-0010-0000-0000-000007000000}" name="OBS" dataDxfId="7" totalsRowDxfId="6"/>
    <tableColumn id="8" xr3:uid="{00000000-0010-0000-0000-000008000000}" name="CHAVE" dataDxfId="5" totalsRowDxfId="4"/>
    <tableColumn id="10" xr3:uid="{D8BA63F2-D59B-4CD8-8EE0-EAE9BC3FDE4E}" name="OPERACIONAL" dataDxfId="3" totalsRowDxfId="2"/>
    <tableColumn id="11" xr3:uid="{9415190B-67EB-4E88-9CB4-54F3918E7DBC}" name="OPERACIONAL2" dataDxfId="1" totalsRow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showGridLines="0" tabSelected="1" topLeftCell="B1" zoomScaleNormal="100" workbookViewId="0">
      <selection activeCell="Q10" sqref="Q10"/>
    </sheetView>
  </sheetViews>
  <sheetFormatPr defaultRowHeight="14.5" x14ac:dyDescent="0.35"/>
  <cols>
    <col min="1" max="1" width="19.26953125" hidden="1" customWidth="1"/>
    <col min="2" max="2" width="9.81640625" style="1" bestFit="1" customWidth="1"/>
    <col min="3" max="3" width="8.1796875" style="1" customWidth="1"/>
    <col min="4" max="4" width="9.36328125" style="1" bestFit="1" customWidth="1"/>
    <col min="5" max="5" width="32.453125" style="1" customWidth="1"/>
    <col min="6" max="6" width="8.54296875" style="1" customWidth="1"/>
    <col min="7" max="7" width="18.08984375" style="1" customWidth="1"/>
    <col min="8" max="8" width="14.1796875" style="1" bestFit="1" customWidth="1"/>
    <col min="9" max="9" width="12" style="1" bestFit="1" customWidth="1"/>
    <col min="10" max="10" width="13.81640625" style="16" bestFit="1" customWidth="1"/>
    <col min="11" max="11" width="8.36328125" hidden="1" customWidth="1"/>
    <col min="12" max="12" width="11.81640625" bestFit="1" customWidth="1"/>
    <col min="13" max="13" width="12.7265625" style="22" bestFit="1" customWidth="1"/>
    <col min="14" max="14" width="10.36328125" customWidth="1"/>
    <col min="15" max="15" width="9.26953125" bestFit="1" customWidth="1"/>
    <col min="16" max="16" width="4.1796875" bestFit="1" customWidth="1"/>
    <col min="17" max="17" width="24.632812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1" t="s">
        <v>0</v>
      </c>
      <c r="C1" s="1" t="s">
        <v>1</v>
      </c>
      <c r="D1" s="1" t="s">
        <v>26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6" t="s">
        <v>7</v>
      </c>
      <c r="K1" s="1" t="s">
        <v>8</v>
      </c>
      <c r="L1" s="7" t="s">
        <v>12</v>
      </c>
      <c r="M1" s="21" t="s">
        <v>16</v>
      </c>
      <c r="O1" s="9" t="s">
        <v>3</v>
      </c>
      <c r="P1" s="9" t="s">
        <v>9</v>
      </c>
    </row>
    <row r="2" spans="2:16" x14ac:dyDescent="0.35">
      <c r="B2" s="3">
        <v>4215</v>
      </c>
      <c r="C2" s="3">
        <v>4215</v>
      </c>
      <c r="D2" s="3">
        <v>2550</v>
      </c>
      <c r="E2" s="4" t="s">
        <v>17</v>
      </c>
      <c r="F2" s="5" t="str">
        <f>IF(Tabela2[[#This Row],[OBS]]="","ATIVO","INATIVO")</f>
        <v>ATIVO</v>
      </c>
      <c r="G2" s="14" t="s">
        <v>13</v>
      </c>
      <c r="H2" s="14" t="s">
        <v>14</v>
      </c>
      <c r="I2" s="15" t="s">
        <v>15</v>
      </c>
      <c r="J2" s="17"/>
      <c r="K2" s="2"/>
      <c r="L2" s="5" t="s">
        <v>29</v>
      </c>
      <c r="M2" s="6" t="s">
        <v>29</v>
      </c>
      <c r="O2" s="8" t="s">
        <v>10</v>
      </c>
      <c r="P2" s="10">
        <v>11</v>
      </c>
    </row>
    <row r="3" spans="2:16" x14ac:dyDescent="0.35">
      <c r="B3" s="3">
        <v>4235</v>
      </c>
      <c r="C3" s="3">
        <v>4235</v>
      </c>
      <c r="D3" s="3">
        <v>654</v>
      </c>
      <c r="E3" s="4" t="s">
        <v>27</v>
      </c>
      <c r="F3" s="5" t="str">
        <f>IF(Tabela2[[#This Row],[OBS]]="","ATIVO","INATIVO")</f>
        <v>ATIVO</v>
      </c>
      <c r="G3" s="14" t="s">
        <v>13</v>
      </c>
      <c r="H3" s="14" t="s">
        <v>14</v>
      </c>
      <c r="I3" s="15" t="s">
        <v>15</v>
      </c>
      <c r="J3" s="17"/>
      <c r="K3" s="2"/>
      <c r="L3" s="5" t="s">
        <v>30</v>
      </c>
      <c r="M3" s="6" t="s">
        <v>30</v>
      </c>
      <c r="O3" s="9" t="s">
        <v>11</v>
      </c>
      <c r="P3" s="11">
        <v>11</v>
      </c>
    </row>
    <row r="4" spans="2:16" x14ac:dyDescent="0.35">
      <c r="B4" s="3">
        <v>4210</v>
      </c>
      <c r="C4" s="3">
        <v>4210</v>
      </c>
      <c r="D4" s="3">
        <v>2546</v>
      </c>
      <c r="E4" s="25" t="s">
        <v>18</v>
      </c>
      <c r="F4" s="26" t="str">
        <f>IF(Tabela2[[#This Row],[OBS]]="","ATIVO","INATIVO")</f>
        <v>ATIVO</v>
      </c>
      <c r="G4" s="27" t="s">
        <v>13</v>
      </c>
      <c r="H4" s="27" t="s">
        <v>14</v>
      </c>
      <c r="I4" s="30" t="s">
        <v>15</v>
      </c>
      <c r="J4" s="17"/>
      <c r="K4" s="13"/>
      <c r="L4" s="5" t="s">
        <v>30</v>
      </c>
      <c r="M4" s="6" t="s">
        <v>30</v>
      </c>
    </row>
    <row r="5" spans="2:16" x14ac:dyDescent="0.35">
      <c r="B5" s="3">
        <v>4199</v>
      </c>
      <c r="C5" s="3">
        <v>4199</v>
      </c>
      <c r="D5" s="3">
        <v>2363</v>
      </c>
      <c r="E5" s="25" t="s">
        <v>19</v>
      </c>
      <c r="F5" s="26" t="str">
        <f>IF(Tabela2[[#This Row],[OBS]]="","ATIVO","INATIVO")</f>
        <v>ATIVO</v>
      </c>
      <c r="G5" s="27" t="s">
        <v>13</v>
      </c>
      <c r="H5" s="27" t="s">
        <v>14</v>
      </c>
      <c r="I5" s="30" t="s">
        <v>15</v>
      </c>
      <c r="J5" s="17"/>
      <c r="K5" s="2"/>
      <c r="L5" s="5" t="s">
        <v>29</v>
      </c>
      <c r="M5" s="6" t="s">
        <v>29</v>
      </c>
    </row>
    <row r="6" spans="2:16" x14ac:dyDescent="0.35">
      <c r="B6" s="3">
        <v>4208</v>
      </c>
      <c r="C6" s="3">
        <v>4208</v>
      </c>
      <c r="D6" s="3">
        <v>2555</v>
      </c>
      <c r="E6" s="25" t="s">
        <v>20</v>
      </c>
      <c r="F6" s="26" t="str">
        <f>IF(Tabela2[[#This Row],[OBS]]="","ATIVO","INATIVO")</f>
        <v>ATIVO</v>
      </c>
      <c r="G6" s="27" t="s">
        <v>13</v>
      </c>
      <c r="H6" s="27" t="s">
        <v>14</v>
      </c>
      <c r="I6" s="30" t="s">
        <v>15</v>
      </c>
      <c r="J6" s="19"/>
      <c r="K6" s="20"/>
      <c r="L6" s="14" t="s">
        <v>29</v>
      </c>
      <c r="M6" s="6" t="s">
        <v>29</v>
      </c>
    </row>
    <row r="7" spans="2:16" x14ac:dyDescent="0.35">
      <c r="B7" s="3">
        <v>4236</v>
      </c>
      <c r="C7" s="3">
        <v>4236</v>
      </c>
      <c r="D7" s="3">
        <v>653</v>
      </c>
      <c r="E7" s="25" t="s">
        <v>28</v>
      </c>
      <c r="F7" s="26" t="str">
        <f>IF(Tabela2[[#This Row],[OBS]]="","ATIVO","INATIVO")</f>
        <v>ATIVO</v>
      </c>
      <c r="G7" s="27" t="s">
        <v>13</v>
      </c>
      <c r="H7" s="27" t="s">
        <v>14</v>
      </c>
      <c r="I7" s="30" t="s">
        <v>15</v>
      </c>
      <c r="J7" s="19"/>
      <c r="K7" s="20"/>
      <c r="L7" s="14" t="s">
        <v>29</v>
      </c>
      <c r="M7" s="6" t="s">
        <v>29</v>
      </c>
    </row>
    <row r="8" spans="2:16" x14ac:dyDescent="0.35">
      <c r="B8" s="3">
        <v>4214</v>
      </c>
      <c r="C8" s="3">
        <v>4214</v>
      </c>
      <c r="D8" s="3">
        <v>2548</v>
      </c>
      <c r="E8" s="25" t="s">
        <v>21</v>
      </c>
      <c r="F8" s="26" t="str">
        <f>IF(Tabela2[[#This Row],[OBS]]="","ATIVO","INATIVO")</f>
        <v>ATIVO</v>
      </c>
      <c r="G8" s="27" t="s">
        <v>13</v>
      </c>
      <c r="H8" s="27" t="s">
        <v>14</v>
      </c>
      <c r="I8" s="30" t="s">
        <v>15</v>
      </c>
      <c r="J8" s="28"/>
      <c r="K8" s="29"/>
      <c r="L8" s="14" t="s">
        <v>29</v>
      </c>
      <c r="M8" s="6" t="s">
        <v>29</v>
      </c>
    </row>
    <row r="9" spans="2:16" x14ac:dyDescent="0.35">
      <c r="B9" s="3">
        <v>4206</v>
      </c>
      <c r="C9" s="3">
        <v>4206</v>
      </c>
      <c r="D9" s="3">
        <v>2549</v>
      </c>
      <c r="E9" s="31" t="s">
        <v>22</v>
      </c>
      <c r="F9" s="32" t="str">
        <f>IF(Tabela2[[#This Row],[OBS]]="","ATIVO","INATIVO")</f>
        <v>ATIVO</v>
      </c>
      <c r="G9" s="27" t="s">
        <v>13</v>
      </c>
      <c r="H9" s="27" t="s">
        <v>14</v>
      </c>
      <c r="I9" s="30" t="s">
        <v>15</v>
      </c>
      <c r="J9" s="33"/>
      <c r="K9" s="34"/>
      <c r="L9" s="14" t="s">
        <v>30</v>
      </c>
      <c r="M9" s="6" t="s">
        <v>30</v>
      </c>
    </row>
    <row r="10" spans="2:16" x14ac:dyDescent="0.35">
      <c r="B10" s="3">
        <v>4155</v>
      </c>
      <c r="C10" s="3">
        <v>4155</v>
      </c>
      <c r="D10" s="3">
        <v>2541</v>
      </c>
      <c r="E10" s="31" t="s">
        <v>23</v>
      </c>
      <c r="F10" s="32" t="str">
        <f>IF(Tabela2[[#This Row],[OBS]]="","ATIVO","INATIVO")</f>
        <v>ATIVO</v>
      </c>
      <c r="G10" s="27" t="s">
        <v>13</v>
      </c>
      <c r="H10" s="27" t="s">
        <v>14</v>
      </c>
      <c r="I10" s="30" t="s">
        <v>15</v>
      </c>
      <c r="J10" s="33"/>
      <c r="K10" s="34"/>
      <c r="L10" s="14" t="s">
        <v>29</v>
      </c>
      <c r="M10" s="6" t="s">
        <v>29</v>
      </c>
    </row>
    <row r="11" spans="2:16" x14ac:dyDescent="0.35">
      <c r="B11" s="3">
        <v>4218</v>
      </c>
      <c r="C11" s="3">
        <v>4218</v>
      </c>
      <c r="D11" s="3">
        <v>2556</v>
      </c>
      <c r="E11" s="25" t="s">
        <v>24</v>
      </c>
      <c r="F11" s="26" t="str">
        <f>IF(Tabela2[[#This Row],[OBS]]="","ATIVO","INATIVO")</f>
        <v>ATIVO</v>
      </c>
      <c r="G11" s="27" t="s">
        <v>13</v>
      </c>
      <c r="H11" s="27" t="s">
        <v>14</v>
      </c>
      <c r="I11" s="30" t="s">
        <v>15</v>
      </c>
      <c r="J11" s="28"/>
      <c r="K11" s="29"/>
      <c r="L11" s="14" t="s">
        <v>30</v>
      </c>
      <c r="M11" s="6" t="s">
        <v>30</v>
      </c>
    </row>
    <row r="12" spans="2:16" x14ac:dyDescent="0.35">
      <c r="B12" s="3">
        <v>4203</v>
      </c>
      <c r="C12" s="3">
        <v>4203</v>
      </c>
      <c r="D12" s="3">
        <v>2554</v>
      </c>
      <c r="E12" s="25" t="s">
        <v>25</v>
      </c>
      <c r="F12" s="26" t="str">
        <f>IF(Tabela2[[#This Row],[OBS]]="","ATIVO","INATIVO")</f>
        <v>ATIVO</v>
      </c>
      <c r="G12" s="27" t="s">
        <v>13</v>
      </c>
      <c r="H12" s="27" t="s">
        <v>14</v>
      </c>
      <c r="I12" s="30" t="s">
        <v>15</v>
      </c>
      <c r="J12" s="23"/>
      <c r="K12" s="24"/>
      <c r="L12" s="14" t="s">
        <v>30</v>
      </c>
      <c r="M12" s="6" t="s">
        <v>30</v>
      </c>
    </row>
    <row r="13" spans="2:16" x14ac:dyDescent="0.35">
      <c r="J13" s="18"/>
      <c r="L13" s="12">
        <f>COUNTIF(Tabela2[OPERACIONAL],"X")</f>
        <v>6</v>
      </c>
      <c r="M13" s="12">
        <f>COUNTIF(M2:M12,"X")</f>
        <v>6</v>
      </c>
    </row>
    <row r="16" spans="2:16" ht="13" customHeight="1" x14ac:dyDescent="0.35"/>
  </sheetData>
  <conditionalFormatting sqref="F1:F1048576">
    <cfRule type="containsText" dxfId="40" priority="3" stopIfTrue="1" operator="containsText" text="INATIVO">
      <formula>NOT(ISERROR(SEARCH("INATIVO",F1)))</formula>
    </cfRule>
    <cfRule type="containsText" dxfId="39" priority="4" stopIfTrue="1" operator="containsText" text="ATIVO">
      <formula>NOT(ISERROR(SEARCH("ATIVO",F1)))</formula>
    </cfRule>
  </conditionalFormatting>
  <conditionalFormatting sqref="L2:M12">
    <cfRule type="containsText" dxfId="38" priority="1" operator="containsText" text="X">
      <formula>NOT(ISERROR(SEARCH("X",L2)))</formula>
    </cfRule>
    <cfRule type="containsText" dxfId="37" priority="2" operator="containsText" text="OK">
      <formula>NOT(ISERROR(SEARCH("OK",L2)))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ed70198764c765101db3018d4d5e16ea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13e2998aba136dad0fd39bad2350e6b4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Props1.xml><?xml version="1.0" encoding="utf-8"?>
<ds:datastoreItem xmlns:ds="http://schemas.openxmlformats.org/officeDocument/2006/customXml" ds:itemID="{D80B2530-B530-466A-BA51-5433D20383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F12A7-47A9-4394-8F68-59F903A43B9C}">
  <ds:schemaRefs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4241aaa1-f251-4fb6-8c96-74d7389cb154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FENIX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cp:lastPrinted>2025-10-31T16:24:11Z</cp:lastPrinted>
  <dcterms:created xsi:type="dcterms:W3CDTF">2020-01-31T11:15:54Z</dcterms:created>
  <dcterms:modified xsi:type="dcterms:W3CDTF">2026-02-23T14:25:54Z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