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LISTAGENS 2026\2-FEVEREIRO\"/>
    </mc:Choice>
  </mc:AlternateContent>
  <xr:revisionPtr revIDLastSave="36" documentId="14_{58DBFFCF-D228-4628-8D1D-017F377DCDC3}" xr6:coauthVersionLast="36" xr6:coauthVersionMax="36" xr10:uidLastSave="{B3CF353F-683F-4293-9C31-5468FC239483}"/>
  <bookViews>
    <workbookView xWindow="0" yWindow="0" windowWidth="19200" windowHeight="7750" xr2:uid="{00000000-000D-0000-FFFF-FFFF00000000}"/>
  </bookViews>
  <sheets>
    <sheet name="LP-CINZA" sheetId="2" r:id="rId1"/>
  </sheets>
  <definedNames>
    <definedName name="_xlnm._FilterDatabase" localSheetId="0" hidden="1">'LP-CINZA'!$M$1:$M$1</definedName>
  </definedNames>
  <calcPr calcId="191028"/>
  <pivotCaches>
    <pivotCache cacheId="1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2" l="1"/>
  <c r="F15" i="2"/>
  <c r="M18" i="2"/>
  <c r="F9" i="2" l="1"/>
  <c r="F10" i="2"/>
  <c r="F11" i="2"/>
  <c r="F12" i="2"/>
  <c r="F13" i="2"/>
  <c r="F8" i="2" l="1"/>
  <c r="F16" i="2"/>
  <c r="F17" i="2"/>
  <c r="F6" i="2"/>
  <c r="F2" i="2" l="1"/>
  <c r="F7" i="2" l="1"/>
  <c r="L18" i="2" l="1"/>
  <c r="F5" i="2" l="1"/>
  <c r="F4" i="2"/>
  <c r="F3" i="2"/>
</calcChain>
</file>

<file path=xl/sharedStrings.xml><?xml version="1.0" encoding="utf-8"?>
<sst xmlns="http://schemas.openxmlformats.org/spreadsheetml/2006/main" count="112" uniqueCount="36">
  <si>
    <t>MATRICULA</t>
  </si>
  <si>
    <t xml:space="preserve">ID WEON 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</si>
  <si>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</si>
  <si>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</si>
  <si>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</si>
  <si>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</si>
  <si>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</si>
  <si>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</si>
  <si>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</si>
  <si>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</si>
  <si>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ATIVO</t>
  </si>
  <si>
    <t>Total Geral</t>
  </si>
  <si>
    <t>OPERACIONAL</t>
  </si>
  <si>
    <t>CENTRAL - CINZA</t>
  </si>
  <si>
    <t>Rodrigo Barros</t>
  </si>
  <si>
    <t>TRANSFERÊNCIA</t>
  </si>
  <si>
    <t>OPERACIONAL2</t>
  </si>
  <si>
    <t>DABYNI CRISTINA KREUTZFELD</t>
  </si>
  <si>
    <t>ISMAEL ELIAS BRANCO PEREIRA</t>
  </si>
  <si>
    <t>JOÃO GABRIEL MILLER FLORINDO</t>
  </si>
  <si>
    <t>KEVTON ROCHA DA SILVA </t>
  </si>
  <si>
    <t>LARISSA VITORIA CORREA</t>
  </si>
  <si>
    <t>RAFAELA DOS SANTOS CORREA</t>
  </si>
  <si>
    <t>RITA DE CASSIA XAVIER DE OLIVEIRA</t>
  </si>
  <si>
    <t>WELINGTON RODRIGO ROSARIO DE QUADROS</t>
  </si>
  <si>
    <t>NICKSON BARRETO LIMA</t>
  </si>
  <si>
    <t>PRISCILLA CRISTINE GUESSER</t>
  </si>
  <si>
    <t>EDUARDA KAUANE DA SILVA</t>
  </si>
  <si>
    <t>HERICLES BAGATOLI DOS PASSOS</t>
  </si>
  <si>
    <t>ID HUAWEI</t>
  </si>
  <si>
    <t>ALEX VOLTOLINI</t>
  </si>
  <si>
    <t>DEBORA COSTA FERNANDES</t>
  </si>
  <si>
    <t>FELIPE SANCHES JARUTAS</t>
  </si>
  <si>
    <t>ROSANA APARECIDA DE ALMEIDA</t>
  </si>
  <si>
    <t>OK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</si>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</sst>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34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6" fillId="3" borderId="3" xfId="0" applyFont="1" applyFill="1" applyBorder="1" applyAlignment="1">
      <alignment horizontal="left" vertical="center"/>
    </xf>
    <xf numFmtId="0" fontId="0" fillId="0" borderId="3" xfId="0" applyNumberFormat="1" applyBorder="1" applyAlignment="1">
      <alignment horizontal="center"/>
    </xf>
    <xf numFmtId="0" fontId="6" fillId="3" borderId="3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9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2" fillId="0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3" fillId="0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0" borderId="0" xfId="0" applyNumberFormat="1" applyFont="1" applyAlignment="1">
      <alignment horizontal="left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19050</xdr:rowOff>
    </xdr:from>
    <xdr:to>
      <xdr:col>13</xdr:col>
      <xdr:colOff>675455</xdr:colOff>
      <xdr:row>52</xdr:row>
      <xdr:rowOff>36869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2C0BE4-364C-4E23-8DBD-E8951D4C2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17900"/>
          <a:ext cx="11387905" cy="609476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66.696608101855" createdVersion="6" refreshedVersion="6" minRefreshableVersion="3" recordCount="16" xr:uid="{FD99A7A3-E366-4813-B665-7813300D5E2D}">
  <cacheSource type="worksheet">
    <worksheetSource name="Tabela2[[MATRICULA]:[OBS]]"/>
  </cacheSource>
  <cacheFields count="9">
    <cacheField name="MATRICULA" numFmtId="0">
      <sharedItems containsSemiMixedTypes="0" containsString="0" containsNumber="1" containsInteger="1" minValue="10954" maxValue="11532"/>
    </cacheField>
    <cacheField name="ID WEON " numFmtId="0">
      <sharedItems containsSemiMixedTypes="0" containsString="0" containsNumber="1" containsInteger="1" minValue="10954" maxValue="11532"/>
    </cacheField>
    <cacheField name="ID HUAWEI" numFmtId="0">
      <sharedItems containsSemiMixedTypes="0" containsString="0" containsNumber="1" containsInteger="1" minValue="486" maxValue="2515"/>
    </cacheField>
    <cacheField name="NOME" numFmtId="0">
      <sharedItems/>
    </cacheField>
    <cacheField name="STATUS" numFmtId="0">
      <sharedItems count="2">
        <s v="ATIVO"/>
        <s v="INATIVO" u="1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1527"/>
    <n v="11527"/>
    <n v="670"/>
    <s v="ALEX VOLTOLINI"/>
    <x v="0"/>
    <s v="CENTRAL - CINZA"/>
    <s v="Rodrigo Barros"/>
    <s v="TRANSFERÊNCIA"/>
    <m/>
  </r>
  <r>
    <n v="11380"/>
    <n v="11380"/>
    <n v="2515"/>
    <s v="DABYNI CRISTINA KREUTZFELD"/>
    <x v="0"/>
    <s v="CENTRAL - CINZA"/>
    <s v="Rodrigo Barros"/>
    <s v="TRANSFERÊNCIA"/>
    <m/>
  </r>
  <r>
    <n v="11532"/>
    <n v="11532"/>
    <n v="674"/>
    <s v="DEBORA COSTA FERNANDES"/>
    <x v="0"/>
    <s v="CENTRAL - CINZA"/>
    <s v="Rodrigo Barros"/>
    <s v="TRANSFERÊNCIA"/>
    <m/>
  </r>
  <r>
    <n v="11510"/>
    <n v="11510"/>
    <n v="651"/>
    <s v="EDUARDA KAUANE DA SILVA"/>
    <x v="0"/>
    <s v="CENTRAL - CINZA"/>
    <s v="Rodrigo Barros"/>
    <s v="TRANSFERÊNCIA"/>
    <m/>
  </r>
  <r>
    <n v="11530"/>
    <n v="11530"/>
    <n v="671"/>
    <s v="FELIPE SANCHES JARUTAS"/>
    <x v="0"/>
    <s v="CENTRAL - CINZA"/>
    <s v="Rodrigo Barros"/>
    <s v="TRANSFERÊNCIA"/>
    <m/>
  </r>
  <r>
    <n v="11511"/>
    <n v="11511"/>
    <n v="649"/>
    <s v="HERICLES BAGATOLI DOS PASSOS"/>
    <x v="0"/>
    <s v="CENTRAL - CINZA"/>
    <s v="Rodrigo Barros"/>
    <s v="TRANSFERÊNCIA"/>
    <m/>
  </r>
  <r>
    <n v="11286"/>
    <n v="11286"/>
    <n v="2500"/>
    <s v="ISMAEL ELIAS BRANCO PEREIRA"/>
    <x v="0"/>
    <s v="CENTRAL - CINZA"/>
    <s v="Rodrigo Barros"/>
    <s v="TRANSFERÊNCIA"/>
    <m/>
  </r>
  <r>
    <n v="11326"/>
    <n v="11326"/>
    <n v="2365"/>
    <s v="JOÃO GABRIEL MILLER FLORINDO"/>
    <x v="0"/>
    <s v="CENTRAL - CINZA"/>
    <s v="Rodrigo Barros"/>
    <s v="TRANSFERÊNCIA"/>
    <m/>
  </r>
  <r>
    <n v="10954"/>
    <n v="10954"/>
    <n v="2493"/>
    <s v="KEVTON ROCHA DA SILVA "/>
    <x v="0"/>
    <s v="CENTRAL - CINZA"/>
    <s v="Rodrigo Barros"/>
    <s v="TRANSFERÊNCIA"/>
    <m/>
  </r>
  <r>
    <n v="11386"/>
    <n v="11386"/>
    <n v="2490"/>
    <s v="LARISSA VITORIA CORREA"/>
    <x v="0"/>
    <s v="CENTRAL - CINZA"/>
    <s v="Rodrigo Barros"/>
    <s v="TRANSFERÊNCIA"/>
    <m/>
  </r>
  <r>
    <n v="11432"/>
    <n v="11432"/>
    <n v="545"/>
    <s v="NICKSON BARRETO LIMA"/>
    <x v="0"/>
    <s v="CENTRAL - CINZA"/>
    <s v="Rodrigo Barros"/>
    <s v="TRANSFERÊNCIA"/>
    <m/>
  </r>
  <r>
    <n v="11379"/>
    <n v="11379"/>
    <n v="2477"/>
    <s v="PRISCILLA CRISTINE GUESSER"/>
    <x v="0"/>
    <s v="CENTRAL - CINZA"/>
    <s v="Rodrigo Barros"/>
    <s v="TRANSFERÊNCIA"/>
    <m/>
  </r>
  <r>
    <n v="11374"/>
    <n v="11374"/>
    <n v="486"/>
    <s v="RAFAELA DOS SANTOS CORREA"/>
    <x v="0"/>
    <s v="CENTRAL - CINZA"/>
    <s v="Rodrigo Barros"/>
    <s v="TRANSFERÊNCIA"/>
    <m/>
  </r>
  <r>
    <n v="11388"/>
    <n v="11388"/>
    <n v="2474"/>
    <s v="RITA DE CASSIA XAVIER DE OLIVEIRA"/>
    <x v="0"/>
    <s v="CENTRAL - CINZA"/>
    <s v="Rodrigo Barros"/>
    <s v="TRANSFERÊNCIA"/>
    <m/>
  </r>
  <r>
    <n v="11508"/>
    <n v="11508"/>
    <n v="662"/>
    <s v="ROSANA APARECIDA DE ALMEIDA"/>
    <x v="0"/>
    <s v="CENTRAL - CINZA"/>
    <s v="Rodrigo Barros"/>
    <s v="TRANSFERÊNCIA"/>
    <m/>
  </r>
  <r>
    <n v="11397"/>
    <n v="11397"/>
    <n v="2465"/>
    <s v="WELINGTON RODRIGO ROSARIO DE QUADROS"/>
    <x v="0"/>
    <s v="CENTRAL - CINZA"/>
    <s v="Rodrigo Barros"/>
    <s v="TRANSFERÊNCI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26E47-08A3-4F05-88CE-75C13D973147}" name="Tabela dinâmica3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3" firstHeaderRow="1" firstDataRow="1" firstDataCol="1"/>
  <pivotFields count="9">
    <pivotField showAll="0"/>
    <pivotField showAll="0"/>
    <pivotField showAll="0"/>
    <pivotField showAll="0"/>
    <pivotField axis="axisRow" dataField="1" showAll="0">
      <items count="3">
        <item x="0"/>
        <item m="1"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QTD" fld="4" subtotal="count" baseField="3" baseItem="0"/>
  </dataFields>
  <formats count="16">
    <format dxfId="36">
      <pivotArea field="4" type="button" dataOnly="0" labelOnly="1" outline="0" axis="axisRow" fieldPosition="0"/>
    </format>
    <format dxfId="35">
      <pivotArea dataOnly="0" labelOnly="1" outline="0" axis="axisValues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4" type="button" dataOnly="0" labelOnly="1" outline="0" axis="axisRow" fieldPosition="0"/>
    </format>
    <format dxfId="29">
      <pivotArea dataOnly="0" labelOnly="1" fieldPosition="0">
        <references count="1">
          <reference field="4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field="4" type="button" dataOnly="0" labelOnly="1" outline="0" axis="axisRow" fieldPosition="0"/>
    </format>
    <format dxfId="23">
      <pivotArea dataOnly="0" labelOnly="1" outline="0" axis="axisValues" fieldPosition="0"/>
    </format>
    <format dxfId="22">
      <pivotArea grandRow="1" outline="0" collapsedLevelsAreSubtotals="1" fieldPosition="0"/>
    </format>
    <format dxfId="21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M17" totalsRowShown="0" headerRowDxfId="20" dataDxfId="19">
  <sortState ref="B2:K4">
    <sortCondition ref="B1:B4"/>
  </sortState>
  <tableColumns count="12">
    <tableColumn id="1" xr3:uid="{00000000-0010-0000-0000-000001000000}" name="MATRICULA" dataDxfId="18"/>
    <tableColumn id="9" xr3:uid="{5D5963D4-6ADD-4B53-A2B4-60955012F1B3}" name="ID WEON " dataDxfId="17"/>
    <tableColumn id="12" xr3:uid="{08947680-8F5F-442D-9A59-314EF4BED24C}" name="ID HUAWEI" dataDxfId="16"/>
    <tableColumn id="2" xr3:uid="{00000000-0010-0000-0000-000002000000}" name="NOME" dataDxfId="15"/>
    <tableColumn id="3" xr3:uid="{00000000-0010-0000-0000-000003000000}" name="STATUS" dataDxfId="14">
      <calculatedColumnFormula>IF(Tabela2[[#This Row],[OBS]]="","ATIVO","INATIVO")</calculatedColumnFormula>
    </tableColumn>
    <tableColumn id="4" xr3:uid="{00000000-0010-0000-0000-000004000000}" name="TURNO / OPERAÇÃO" dataDxfId="13" totalsRowDxfId="12"/>
    <tableColumn id="5" xr3:uid="{00000000-0010-0000-0000-000005000000}" name="SUPERVISOR" dataDxfId="11" totalsRowDxfId="10"/>
    <tableColumn id="6" xr3:uid="{00000000-0010-0000-0000-000006000000}" name="SETOR" dataDxfId="9" totalsRowDxfId="8"/>
    <tableColumn id="7" xr3:uid="{00000000-0010-0000-0000-000007000000}" name="OBS" dataDxfId="7" totalsRowDxfId="6"/>
    <tableColumn id="8" xr3:uid="{00000000-0010-0000-0000-000008000000}" name="CHAVE" dataDxfId="5" totalsRowDxfId="4"/>
    <tableColumn id="10" xr3:uid="{D8BA63F2-D59B-4CD8-8EE0-EAE9BC3FDE4E}" name="OPERACIONAL" dataDxfId="3" totalsRowDxfId="2"/>
    <tableColumn id="11" xr3:uid="{4A55C831-A85B-452B-8F4A-53DF4C9BEFE5}" name="OPERACIONAL2" dataDxfId="1" totalsRowDxfId="0"/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showGridLines="0" tabSelected="1" topLeftCell="B1" zoomScaleNormal="100" workbookViewId="0">
      <selection activeCell="M18" sqref="M18"/>
    </sheetView>
  </sheetViews>
  <sheetFormatPr defaultRowHeight="14.5" x14ac:dyDescent="0.35"/>
  <cols>
    <col min="1" max="1" width="19.26953125" hidden="1" customWidth="1"/>
    <col min="2" max="2" width="12.08984375" style="1" customWidth="1"/>
    <col min="3" max="3" width="8.1796875" style="1" customWidth="1"/>
    <col min="4" max="4" width="9.36328125" style="1" bestFit="1" customWidth="1"/>
    <col min="5" max="5" width="32.453125" style="1" customWidth="1"/>
    <col min="6" max="6" width="8.54296875" style="1" customWidth="1"/>
    <col min="7" max="7" width="18.08984375" style="1" customWidth="1"/>
    <col min="8" max="8" width="14.1796875" style="1" bestFit="1" customWidth="1"/>
    <col min="9" max="9" width="12" style="1" bestFit="1" customWidth="1"/>
    <col min="10" max="10" width="13.81640625" style="16" bestFit="1" customWidth="1"/>
    <col min="11" max="11" width="8.36328125" hidden="1" customWidth="1"/>
    <col min="12" max="12" width="11.81640625" bestFit="1" customWidth="1"/>
    <col min="13" max="13" width="12.81640625" style="21" bestFit="1" customWidth="1"/>
    <col min="14" max="14" width="10.36328125" customWidth="1"/>
    <col min="15" max="15" width="9.26953125" bestFit="1" customWidth="1"/>
    <col min="16" max="16" width="4.1796875" bestFit="1" customWidth="1"/>
    <col min="17" max="17" width="24.6328125" bestFit="1" customWidth="1"/>
    <col min="18" max="18" width="18.26953125" bestFit="1" customWidth="1"/>
    <col min="19" max="19" width="10.1796875" bestFit="1" customWidth="1"/>
  </cols>
  <sheetData>
    <row r="1" spans="2:16" x14ac:dyDescent="0.35">
      <c r="B1" s="1" t="s">
        <v>0</v>
      </c>
      <c r="C1" s="1" t="s">
        <v>1</v>
      </c>
      <c r="D1" s="1" t="s">
        <v>29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6" t="s">
        <v>7</v>
      </c>
      <c r="K1" s="1" t="s">
        <v>8</v>
      </c>
      <c r="L1" s="6" t="s">
        <v>12</v>
      </c>
      <c r="M1" s="20" t="s">
        <v>16</v>
      </c>
      <c r="O1" s="8" t="s">
        <v>3</v>
      </c>
      <c r="P1" s="8" t="s">
        <v>9</v>
      </c>
    </row>
    <row r="2" spans="2:16" x14ac:dyDescent="0.35">
      <c r="B2" s="3">
        <v>11527</v>
      </c>
      <c r="C2" s="3">
        <v>11527</v>
      </c>
      <c r="D2" s="3">
        <v>670</v>
      </c>
      <c r="E2" s="15" t="s">
        <v>30</v>
      </c>
      <c r="F2" s="4" t="str">
        <f>IF(Tabela2[[#This Row],[OBS]]="","ATIVO","INATIVO")</f>
        <v>ATIVO</v>
      </c>
      <c r="G2" s="14" t="s">
        <v>13</v>
      </c>
      <c r="H2" s="14" t="s">
        <v>14</v>
      </c>
      <c r="I2" s="14" t="s">
        <v>15</v>
      </c>
      <c r="J2" s="17"/>
      <c r="K2" s="2"/>
      <c r="L2" s="4" t="s">
        <v>34</v>
      </c>
      <c r="M2" s="5" t="s">
        <v>34</v>
      </c>
      <c r="O2" s="7" t="s">
        <v>10</v>
      </c>
      <c r="P2" s="9">
        <v>16</v>
      </c>
    </row>
    <row r="3" spans="2:16" x14ac:dyDescent="0.35">
      <c r="B3" s="3">
        <v>11380</v>
      </c>
      <c r="C3" s="3">
        <v>11380</v>
      </c>
      <c r="D3" s="3">
        <v>2515</v>
      </c>
      <c r="E3" s="25" t="s">
        <v>17</v>
      </c>
      <c r="F3" s="4" t="str">
        <f>IF(Tabela2[[#This Row],[OBS]]="","ATIVO","INATIVO")</f>
        <v>ATIVO</v>
      </c>
      <c r="G3" s="14" t="s">
        <v>13</v>
      </c>
      <c r="H3" s="14" t="s">
        <v>14</v>
      </c>
      <c r="I3" s="14" t="s">
        <v>15</v>
      </c>
      <c r="J3" s="17"/>
      <c r="K3" s="2"/>
      <c r="L3" s="4" t="s">
        <v>34</v>
      </c>
      <c r="M3" s="5" t="s">
        <v>34</v>
      </c>
      <c r="O3" s="8" t="s">
        <v>11</v>
      </c>
      <c r="P3" s="10">
        <v>16</v>
      </c>
    </row>
    <row r="4" spans="2:16" x14ac:dyDescent="0.35">
      <c r="B4" s="3">
        <v>11532</v>
      </c>
      <c r="C4" s="3">
        <v>11532</v>
      </c>
      <c r="D4" s="3">
        <v>674</v>
      </c>
      <c r="E4" s="25" t="s">
        <v>31</v>
      </c>
      <c r="F4" s="4" t="str">
        <f>IF(Tabela2[[#This Row],[OBS]]="","ATIVO","INATIVO")</f>
        <v>ATIVO</v>
      </c>
      <c r="G4" s="14" t="s">
        <v>13</v>
      </c>
      <c r="H4" s="14" t="s">
        <v>14</v>
      </c>
      <c r="I4" s="14" t="s">
        <v>15</v>
      </c>
      <c r="J4" s="18"/>
      <c r="K4" s="2"/>
      <c r="L4" s="4" t="s">
        <v>34</v>
      </c>
      <c r="M4" s="5" t="s">
        <v>34</v>
      </c>
    </row>
    <row r="5" spans="2:16" x14ac:dyDescent="0.35">
      <c r="B5" s="3">
        <v>11510</v>
      </c>
      <c r="C5" s="3">
        <v>11510</v>
      </c>
      <c r="D5" s="3">
        <v>651</v>
      </c>
      <c r="E5" s="25" t="s">
        <v>27</v>
      </c>
      <c r="F5" s="4" t="str">
        <f>IF(Tabela2[[#This Row],[OBS]]="","ATIVO","INATIVO")</f>
        <v>ATIVO</v>
      </c>
      <c r="G5" s="14" t="s">
        <v>13</v>
      </c>
      <c r="H5" s="14" t="s">
        <v>14</v>
      </c>
      <c r="I5" s="14" t="s">
        <v>15</v>
      </c>
      <c r="J5" s="17"/>
      <c r="K5" s="2"/>
      <c r="L5" s="4" t="s">
        <v>34</v>
      </c>
      <c r="M5" s="5" t="s">
        <v>34</v>
      </c>
    </row>
    <row r="6" spans="2:16" x14ac:dyDescent="0.35">
      <c r="B6" s="3">
        <v>11530</v>
      </c>
      <c r="C6" s="3">
        <v>11530</v>
      </c>
      <c r="D6" s="3">
        <v>671</v>
      </c>
      <c r="E6" s="25" t="s">
        <v>32</v>
      </c>
      <c r="F6" s="22" t="str">
        <f>IF(Tabela2[[#This Row],[OBS]]="","ATIVO","INATIVO")</f>
        <v>ATIVO</v>
      </c>
      <c r="G6" s="14" t="s">
        <v>13</v>
      </c>
      <c r="H6" s="14" t="s">
        <v>14</v>
      </c>
      <c r="I6" s="14" t="s">
        <v>15</v>
      </c>
      <c r="J6" s="17"/>
      <c r="K6" s="24"/>
      <c r="L6" s="29" t="s">
        <v>34</v>
      </c>
      <c r="M6" s="5" t="s">
        <v>34</v>
      </c>
    </row>
    <row r="7" spans="2:16" x14ac:dyDescent="0.35">
      <c r="B7" s="3">
        <v>11511</v>
      </c>
      <c r="C7" s="3">
        <v>11511</v>
      </c>
      <c r="D7" s="3">
        <v>649</v>
      </c>
      <c r="E7" s="25" t="s">
        <v>28</v>
      </c>
      <c r="F7" s="12" t="str">
        <f>IF(Tabela2[[#This Row],[OBS]]="","ATIVO","INATIVO")</f>
        <v>ATIVO</v>
      </c>
      <c r="G7" s="14" t="s">
        <v>13</v>
      </c>
      <c r="H7" s="14" t="s">
        <v>14</v>
      </c>
      <c r="I7" s="14" t="s">
        <v>15</v>
      </c>
      <c r="J7" s="17"/>
      <c r="K7" s="13"/>
      <c r="L7" s="4" t="s">
        <v>34</v>
      </c>
      <c r="M7" s="5" t="s">
        <v>34</v>
      </c>
    </row>
    <row r="8" spans="2:16" x14ac:dyDescent="0.35">
      <c r="B8" s="3">
        <v>11286</v>
      </c>
      <c r="C8" s="3">
        <v>11286</v>
      </c>
      <c r="D8" s="3">
        <v>2500</v>
      </c>
      <c r="E8" s="25" t="s">
        <v>18</v>
      </c>
      <c r="F8" s="22" t="str">
        <f>IF(Tabela2[[#This Row],[OBS]]="","ATIVO","INATIVO")</f>
        <v>ATIVO</v>
      </c>
      <c r="G8" s="14" t="s">
        <v>13</v>
      </c>
      <c r="H8" s="14" t="s">
        <v>14</v>
      </c>
      <c r="I8" s="14" t="s">
        <v>15</v>
      </c>
      <c r="J8" s="23"/>
      <c r="K8" s="24"/>
      <c r="L8" s="14" t="s">
        <v>34</v>
      </c>
      <c r="M8" s="5" t="s">
        <v>34</v>
      </c>
    </row>
    <row r="9" spans="2:16" x14ac:dyDescent="0.35">
      <c r="B9" s="3">
        <v>11326</v>
      </c>
      <c r="C9" s="3">
        <v>11326</v>
      </c>
      <c r="D9" s="3">
        <v>2365</v>
      </c>
      <c r="E9" s="25" t="s">
        <v>19</v>
      </c>
      <c r="F9" s="26" t="str">
        <f>IF(Tabela2[[#This Row],[OBS]]="","ATIVO","INATIVO")</f>
        <v>ATIVO</v>
      </c>
      <c r="G9" s="14" t="s">
        <v>13</v>
      </c>
      <c r="H9" s="14" t="s">
        <v>14</v>
      </c>
      <c r="I9" s="14" t="s">
        <v>15</v>
      </c>
      <c r="J9" s="27"/>
      <c r="K9" s="28"/>
      <c r="L9" s="14" t="s">
        <v>35</v>
      </c>
      <c r="M9" s="5" t="s">
        <v>35</v>
      </c>
    </row>
    <row r="10" spans="2:16" x14ac:dyDescent="0.35">
      <c r="B10" s="3">
        <v>10954</v>
      </c>
      <c r="C10" s="3">
        <v>10954</v>
      </c>
      <c r="D10" s="3">
        <v>2493</v>
      </c>
      <c r="E10" s="25" t="s">
        <v>20</v>
      </c>
      <c r="F10" s="26" t="str">
        <f>IF(Tabela2[[#This Row],[OBS]]="","ATIVO","INATIVO")</f>
        <v>ATIVO</v>
      </c>
      <c r="G10" s="14" t="s">
        <v>13</v>
      </c>
      <c r="H10" s="14" t="s">
        <v>14</v>
      </c>
      <c r="I10" s="14" t="s">
        <v>15</v>
      </c>
      <c r="J10" s="27"/>
      <c r="K10" s="28"/>
      <c r="L10" s="14" t="s">
        <v>34</v>
      </c>
      <c r="M10" s="5" t="s">
        <v>34</v>
      </c>
    </row>
    <row r="11" spans="2:16" x14ac:dyDescent="0.35">
      <c r="B11" s="3">
        <v>11386</v>
      </c>
      <c r="C11" s="3">
        <v>11386</v>
      </c>
      <c r="D11" s="3">
        <v>2490</v>
      </c>
      <c r="E11" s="25" t="s">
        <v>21</v>
      </c>
      <c r="F11" s="26" t="str">
        <f>IF(Tabela2[[#This Row],[OBS]]="","ATIVO","INATIVO")</f>
        <v>ATIVO</v>
      </c>
      <c r="G11" s="14" t="s">
        <v>13</v>
      </c>
      <c r="H11" s="14" t="s">
        <v>14</v>
      </c>
      <c r="I11" s="14" t="s">
        <v>15</v>
      </c>
      <c r="J11" s="27"/>
      <c r="K11" s="28"/>
      <c r="L11" s="14" t="s">
        <v>34</v>
      </c>
      <c r="M11" s="5" t="s">
        <v>34</v>
      </c>
    </row>
    <row r="12" spans="2:16" x14ac:dyDescent="0.35">
      <c r="B12" s="3">
        <v>11432</v>
      </c>
      <c r="C12" s="3">
        <v>11432</v>
      </c>
      <c r="D12" s="3">
        <v>545</v>
      </c>
      <c r="E12" s="25" t="s">
        <v>25</v>
      </c>
      <c r="F12" s="26" t="str">
        <f>IF(Tabela2[[#This Row],[OBS]]="","ATIVO","INATIVO")</f>
        <v>ATIVO</v>
      </c>
      <c r="G12" s="14" t="s">
        <v>13</v>
      </c>
      <c r="H12" s="14" t="s">
        <v>14</v>
      </c>
      <c r="I12" s="14" t="s">
        <v>15</v>
      </c>
      <c r="J12" s="27"/>
      <c r="K12" s="28"/>
      <c r="L12" s="14" t="s">
        <v>34</v>
      </c>
      <c r="M12" s="5" t="s">
        <v>34</v>
      </c>
    </row>
    <row r="13" spans="2:16" x14ac:dyDescent="0.35">
      <c r="B13" s="3">
        <v>11379</v>
      </c>
      <c r="C13" s="3">
        <v>11379</v>
      </c>
      <c r="D13" s="3">
        <v>2477</v>
      </c>
      <c r="E13" s="25" t="s">
        <v>26</v>
      </c>
      <c r="F13" s="26" t="str">
        <f>IF(Tabela2[[#This Row],[OBS]]="","ATIVO","INATIVO")</f>
        <v>ATIVO</v>
      </c>
      <c r="G13" s="14" t="s">
        <v>13</v>
      </c>
      <c r="H13" s="14" t="s">
        <v>14</v>
      </c>
      <c r="I13" s="14" t="s">
        <v>15</v>
      </c>
      <c r="J13" s="27"/>
      <c r="K13" s="28"/>
      <c r="L13" s="14" t="s">
        <v>34</v>
      </c>
      <c r="M13" s="5" t="s">
        <v>34</v>
      </c>
    </row>
    <row r="14" spans="2:16" x14ac:dyDescent="0.35">
      <c r="B14" s="3">
        <v>11374</v>
      </c>
      <c r="C14" s="3">
        <v>11374</v>
      </c>
      <c r="D14" s="3">
        <v>486</v>
      </c>
      <c r="E14" s="30" t="s">
        <v>22</v>
      </c>
      <c r="F14" s="31" t="str">
        <f>IF(Tabela2[[#This Row],[OBS]]="","ATIVO","INATIVO")</f>
        <v>ATIVO</v>
      </c>
      <c r="G14" s="14" t="s">
        <v>13</v>
      </c>
      <c r="H14" s="14" t="s">
        <v>14</v>
      </c>
      <c r="I14" s="14" t="s">
        <v>15</v>
      </c>
      <c r="J14" s="32"/>
      <c r="K14" s="33"/>
      <c r="L14" s="14" t="s">
        <v>34</v>
      </c>
      <c r="M14" s="5" t="s">
        <v>34</v>
      </c>
    </row>
    <row r="15" spans="2:16" x14ac:dyDescent="0.35">
      <c r="B15" s="3">
        <v>11388</v>
      </c>
      <c r="C15" s="3">
        <v>11388</v>
      </c>
      <c r="D15" s="3">
        <v>2474</v>
      </c>
      <c r="E15" s="30" t="s">
        <v>23</v>
      </c>
      <c r="F15" s="31" t="str">
        <f>IF(Tabela2[[#This Row],[OBS]]="","ATIVO","INATIVO")</f>
        <v>ATIVO</v>
      </c>
      <c r="G15" s="14" t="s">
        <v>13</v>
      </c>
      <c r="H15" s="14" t="s">
        <v>14</v>
      </c>
      <c r="I15" s="14" t="s">
        <v>15</v>
      </c>
      <c r="J15" s="32"/>
      <c r="K15" s="33"/>
      <c r="L15" s="14" t="s">
        <v>34</v>
      </c>
      <c r="M15" s="5" t="s">
        <v>34</v>
      </c>
    </row>
    <row r="16" spans="2:16" x14ac:dyDescent="0.35">
      <c r="B16" s="3">
        <v>11508</v>
      </c>
      <c r="C16" s="3">
        <v>11508</v>
      </c>
      <c r="D16" s="3">
        <v>662</v>
      </c>
      <c r="E16" s="25" t="s">
        <v>33</v>
      </c>
      <c r="F16" s="22" t="str">
        <f>IF(Tabela2[[#This Row],[OBS]]="","ATIVO","INATIVO")</f>
        <v>ATIVO</v>
      </c>
      <c r="G16" s="14" t="s">
        <v>13</v>
      </c>
      <c r="H16" s="14" t="s">
        <v>14</v>
      </c>
      <c r="I16" s="14" t="s">
        <v>15</v>
      </c>
      <c r="J16" s="23"/>
      <c r="K16" s="24"/>
      <c r="L16" s="14" t="s">
        <v>34</v>
      </c>
      <c r="M16" s="5" t="s">
        <v>34</v>
      </c>
    </row>
    <row r="17" spans="2:13" x14ac:dyDescent="0.35">
      <c r="B17" s="3">
        <v>11397</v>
      </c>
      <c r="C17" s="3">
        <v>11397</v>
      </c>
      <c r="D17" s="3">
        <v>2465</v>
      </c>
      <c r="E17" s="25" t="s">
        <v>24</v>
      </c>
      <c r="F17" s="22" t="str">
        <f>IF(Tabela2[[#This Row],[OBS]]="","ATIVO","INATIVO")</f>
        <v>ATIVO</v>
      </c>
      <c r="G17" s="14" t="s">
        <v>13</v>
      </c>
      <c r="H17" s="14" t="s">
        <v>14</v>
      </c>
      <c r="I17" s="14" t="s">
        <v>15</v>
      </c>
      <c r="J17" s="23"/>
      <c r="K17" s="24"/>
      <c r="L17" s="14" t="s">
        <v>34</v>
      </c>
      <c r="M17" s="5" t="s">
        <v>34</v>
      </c>
    </row>
    <row r="18" spans="2:13" x14ac:dyDescent="0.35">
      <c r="J18" s="19"/>
      <c r="L18" s="11">
        <f>COUNTIF(Tabela2[OPERACIONAL],"X")</f>
        <v>1</v>
      </c>
      <c r="M18" s="11">
        <f>COUNTIF(M2:M17,"X")</f>
        <v>1</v>
      </c>
    </row>
  </sheetData>
  <conditionalFormatting sqref="F1:F1048576">
    <cfRule type="containsText" dxfId="40" priority="3" stopIfTrue="1" operator="containsText" text="INATIVO">
      <formula>NOT(ISERROR(SEARCH("INATIVO",F1)))</formula>
    </cfRule>
    <cfRule type="containsText" dxfId="39" priority="4" stopIfTrue="1" operator="containsText" text="ATIVO">
      <formula>NOT(ISERROR(SEARCH("ATIVO",F1)))</formula>
    </cfRule>
  </conditionalFormatting>
  <conditionalFormatting sqref="L2:M17">
    <cfRule type="containsText" dxfId="38" priority="1" operator="containsText" text="OK">
      <formula>NOT(ISERROR(SEARCH("OK",L2)))</formula>
    </cfRule>
    <cfRule type="containsText" dxfId="37" priority="2" operator="containsText" text="X">
      <formula>NOT(ISERROR(SEARCH("X",L2)))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ed70198764c765101db3018d4d5e16ea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13e2998aba136dad0fd39bad2350e6b4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F12A7-47A9-4394-8F68-59F903A43B9C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4241aaa1-f251-4fb6-8c96-74d7389cb154"/>
    <ds:schemaRef ds:uri="http://schemas.microsoft.com/office/2006/metadata/properties"/>
    <ds:schemaRef ds:uri="http://www.w3.org/XML/1998/namespa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75E7B93-52D9-4FD9-B2C1-6F47723D93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1aaa1-f251-4fb6-8c96-74d7389cb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LP-CINZA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2026-03-03T13:01:52Z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