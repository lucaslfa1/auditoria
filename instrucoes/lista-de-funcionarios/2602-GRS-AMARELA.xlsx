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42" documentId="14_{87C580C4-2B6B-4102-A570-412002D7F61F}" xr6:coauthVersionLast="36" xr6:coauthVersionMax="36" xr10:uidLastSave="{3C408F57-7DD5-49CF-AF7A-5A23A76FE636}"/>
  <bookViews>
    <workbookView xWindow="0" yWindow="0" windowWidth="19200" windowHeight="6350" xr2:uid="{00000000-000D-0000-FFFF-FFFF00000000}"/>
  </bookViews>
  <sheets>
    <sheet name="GRS-AMARELA" sheetId="2" r:id="rId1"/>
  </sheets>
  <definedNames>
    <definedName name="_xlnm._FilterDatabase" localSheetId="0" hidden="1">'GRS-AMARELA'!$M$1:$M$1</definedName>
  </definedNames>
  <calcPr calcId="191028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F2" i="2"/>
  <c r="F3" i="2"/>
  <c r="F4" i="2"/>
  <c r="F5" i="2"/>
  <c r="F6" i="2"/>
  <c r="F7" i="2"/>
  <c r="F8" i="2"/>
  <c r="F9" i="2"/>
  <c r="F10" i="2"/>
  <c r="F11" i="2"/>
  <c r="F12" i="2"/>
  <c r="F13" i="2"/>
  <c r="M15" i="2" l="1"/>
  <c r="L15" i="2" l="1"/>
</calcChain>
</file>

<file path=xl/sharedStrings.xml><?xml version="1.0" encoding="utf-8"?>
<sst xmlns="http://schemas.openxmlformats.org/spreadsheetml/2006/main" count="96" uniqueCount="42">
  <si>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</si>
  <si>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</si>
  <si>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</si>
  <si>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</si>
  <si>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</si>
  <si>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</si>
  <si>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</si>
  <si>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</si>
  <si>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</si>
  <si>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</si>
  <si>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</si>
  <si>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</si>
  <si>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</si>
  <si>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Geniffer Maciel</t>
  </si>
  <si>
    <t>Andressa Rambo Franco</t>
  </si>
  <si>
    <t>Daiane Fontana</t>
  </si>
  <si>
    <t>Isabelle Cardoso Schier</t>
  </si>
  <si>
    <t>Luana Beatriz Faustino</t>
  </si>
  <si>
    <t>Lucas Lucio Cardoso</t>
  </si>
  <si>
    <t>Lucas Ventura Suhr</t>
  </si>
  <si>
    <t>Matheus Ventura Suhr</t>
  </si>
  <si>
    <t>Thalyssa Christiane Barbosa Da Costa</t>
  </si>
  <si>
    <t>Vitoria Alice Adão</t>
  </si>
  <si>
    <t>Yasmin Yandra Garros Santos</t>
  </si>
  <si>
    <t>RJ - Amarela</t>
  </si>
  <si>
    <t>UTI - Amarela</t>
  </si>
  <si>
    <t>BAS - Amarela</t>
  </si>
  <si>
    <t>UTI</t>
  </si>
  <si>
    <t>BAS</t>
  </si>
  <si>
    <t>UTI (RJ)</t>
  </si>
  <si>
    <t>Natali Neiva da Silva</t>
  </si>
  <si>
    <t>Gabriel Ribeiro Guilherme</t>
  </si>
  <si>
    <t>UTI - COMBO - Alternativo</t>
  </si>
  <si>
    <t>UTI - Amarela - BBM</t>
  </si>
  <si>
    <t>FÉRIAS</t>
  </si>
  <si>
    <t>INATIVO</t>
  </si>
  <si>
    <t>UTI -Amarela</t>
  </si>
  <si>
    <t>ID HUAWEI</t>
  </si>
  <si>
    <t>Yeczibeth Valentina Lopez Salazar</t>
  </si>
  <si>
    <t>UTI - COMBO - Amarela</t>
  </si>
  <si>
    <t>OK</t>
  </si>
  <si>
    <t>OPERACIONAL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</si>
</sst>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76200</xdr:rowOff>
    </xdr:from>
    <xdr:to>
      <xdr:col>16</xdr:col>
      <xdr:colOff>173514</xdr:colOff>
      <xdr:row>52</xdr:row>
      <xdr:rowOff>163868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04A4CC-3512-4680-8A3F-5D955624A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8450"/>
          <a:ext cx="12816364" cy="689804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76.58362928241" createdVersion="6" refreshedVersion="6" minRefreshableVersion="3" recordCount="13" xr:uid="{8FF66003-FAB8-4D04-BECD-F908BE702EB7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697" maxValue="11216"/>
    </cacheField>
    <cacheField name="ID WEON " numFmtId="0">
      <sharedItems containsSemiMixedTypes="0" containsString="0" containsNumber="1" containsInteger="1" minValue="1697" maxValue="11216"/>
    </cacheField>
    <cacheField name="ID HUAWEI" numFmtId="0">
      <sharedItems containsSemiMixedTypes="0" containsString="0" containsNumber="1" containsInteger="1" minValue="550" maxValue="2983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849"/>
    <n v="10849"/>
    <n v="2539"/>
    <s v="Andressa Rambo Franco"/>
    <x v="0"/>
    <s v="UTI - COMBO - Alternativo"/>
    <s v="Geniffer Maciel"/>
    <s v="UTI"/>
    <m/>
  </r>
  <r>
    <n v="1697"/>
    <n v="1697"/>
    <n v="550"/>
    <s v="Daiane Fontana"/>
    <x v="0"/>
    <s v="RJ - Amarela"/>
    <s v="Geniffer Maciel"/>
    <s v="UTI (RJ)"/>
    <m/>
  </r>
  <r>
    <n v="10826"/>
    <n v="10826"/>
    <n v="2508"/>
    <s v="Gabriel Ribeiro Guilherme"/>
    <x v="0"/>
    <s v="RJ - Amarela"/>
    <s v="Geniffer Maciel"/>
    <s v="UTI (RJ)"/>
    <m/>
  </r>
  <r>
    <n v="10894"/>
    <n v="10894"/>
    <n v="2534"/>
    <s v="Isabelle Cardoso Schier"/>
    <x v="0"/>
    <s v="BAS - Amarela"/>
    <s v="Geniffer Maciel"/>
    <s v="BAS"/>
    <m/>
  </r>
  <r>
    <n v="10500"/>
    <n v="10500"/>
    <n v="2983"/>
    <s v="Luana Beatriz Faustino"/>
    <x v="0"/>
    <s v="BAS - Amarela"/>
    <s v="Geniffer Maciel"/>
    <s v="BAS"/>
    <m/>
  </r>
  <r>
    <n v="11183"/>
    <n v="11183"/>
    <n v="2486"/>
    <s v="Lucas Lucio Cardoso"/>
    <x v="0"/>
    <s v="UTI -Amarela"/>
    <s v="Geniffer Maciel"/>
    <s v="UTI"/>
    <m/>
  </r>
  <r>
    <n v="10920"/>
    <n v="10920"/>
    <n v="2464"/>
    <s v="Lucas Ventura Suhr"/>
    <x v="1"/>
    <s v="UTI -Amarela"/>
    <s v="Geniffer Maciel"/>
    <s v="UTI"/>
    <s v="FÉRIAS"/>
  </r>
  <r>
    <n v="10919"/>
    <n v="10919"/>
    <n v="2460"/>
    <s v="Matheus Ventura Suhr"/>
    <x v="0"/>
    <s v="UTI - Amarela"/>
    <s v="Geniffer Maciel"/>
    <s v="UTI"/>
    <m/>
  </r>
  <r>
    <n v="11185"/>
    <n v="11185"/>
    <n v="2704"/>
    <s v="Natali Neiva da Silva"/>
    <x v="0"/>
    <s v="UTI - Amarela - BBM"/>
    <s v="Geniffer Maciel"/>
    <s v="UTI"/>
    <m/>
  </r>
  <r>
    <n v="11171"/>
    <n v="11171"/>
    <n v="2453"/>
    <s v="Thalyssa Christiane Barbosa Da Costa"/>
    <x v="0"/>
    <s v="UTI - COMBO - Amarela"/>
    <s v="Geniffer Maciel"/>
    <s v="UTI"/>
    <m/>
  </r>
  <r>
    <n v="11209"/>
    <n v="11209"/>
    <n v="2374"/>
    <s v="Vitoria Alice Adão"/>
    <x v="0"/>
    <s v="UTI - Amarela"/>
    <s v="Geniffer Maciel"/>
    <s v="UTI"/>
    <m/>
  </r>
  <r>
    <n v="10758"/>
    <n v="10758"/>
    <n v="2526"/>
    <s v="Yasmin Yandra Garros Santos"/>
    <x v="0"/>
    <s v="BAS - Amarela"/>
    <s v="Geniffer Maciel"/>
    <s v="BAS"/>
    <m/>
  </r>
  <r>
    <n v="11216"/>
    <n v="11216"/>
    <n v="2525"/>
    <s v="Yeczibeth Valentina Lopez Salazar"/>
    <x v="0"/>
    <s v="UTI - COMBO - Amarela"/>
    <s v="Geniffer Maciel"/>
    <s v="UT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693E4-0705-45B2-BAFA-7E188A93F5C8}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1">
      <pivotArea field="4" type="button" dataOnly="0" labelOnly="1" outline="0" axis="axisRow" fieldPosition="0"/>
    </format>
    <format dxfId="30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4" totalsRowShown="0" headerRowDxfId="15" dataDxfId="14">
  <sortState ref="B2:K4">
    <sortCondition ref="B1:B4"/>
  </sortState>
  <tableColumns count="11">
    <tableColumn id="1" xr3:uid="{00000000-0010-0000-0000-000001000000}" name="MATRICULA" dataDxfId="13"/>
    <tableColumn id="9" xr3:uid="{5D5963D4-6ADD-4B53-A2B4-60955012F1B3}" name="ID WEON " dataDxfId="12"/>
    <tableColumn id="11" xr3:uid="{148F477A-487A-424A-B5CC-853E61994C88}" name="ID HUAWEI" dataDxfId="11"/>
    <tableColumn id="2" xr3:uid="{00000000-0010-0000-0000-000002000000}" name="NOME" dataDxfId="10"/>
    <tableColumn id="3" xr3:uid="{00000000-0010-0000-0000-000003000000}" name="STATUS" dataDxfId="9">
      <calculatedColumnFormula>IF(Tabela2[[#This Row],[OBS]]="","ATIVO","INATIVO")</calculatedColumnFormula>
    </tableColumn>
    <tableColumn id="4" xr3:uid="{00000000-0010-0000-0000-000004000000}" name="TURNO / OPERAÇÃO" dataDxfId="8"/>
    <tableColumn id="5" xr3:uid="{00000000-0010-0000-0000-000005000000}" name="SUPERVISOR" dataDxfId="7"/>
    <tableColumn id="6" xr3:uid="{00000000-0010-0000-0000-000006000000}" name="SETOR" data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showGridLines="0" tabSelected="1" topLeftCell="B1" zoomScaleNormal="100" workbookViewId="0">
      <selection activeCell="N14" sqref="N14"/>
    </sheetView>
  </sheetViews>
  <sheetFormatPr defaultRowHeight="14.5" x14ac:dyDescent="0.35"/>
  <cols>
    <col min="1" max="1" width="19.26953125" hidden="1" customWidth="1"/>
    <col min="2" max="2" width="12.08984375" style="1" customWidth="1"/>
    <col min="3" max="3" width="8.1796875" style="1" customWidth="1"/>
    <col min="4" max="4" width="11.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2" width="13.453125" customWidth="1"/>
    <col min="13" max="13" width="13.26953125" bestFit="1" customWidth="1"/>
    <col min="14" max="14" width="9.906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37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12</v>
      </c>
      <c r="M1" s="4" t="s">
        <v>41</v>
      </c>
      <c r="O1" s="10" t="s">
        <v>3</v>
      </c>
      <c r="P1" s="10" t="s">
        <v>9</v>
      </c>
    </row>
    <row r="2" spans="2:16" ht="15" customHeight="1" x14ac:dyDescent="0.35">
      <c r="B2" s="3">
        <v>10849</v>
      </c>
      <c r="C2" s="3">
        <v>10849</v>
      </c>
      <c r="D2" s="3">
        <v>2539</v>
      </c>
      <c r="E2" s="5" t="s">
        <v>14</v>
      </c>
      <c r="F2" s="6" t="str">
        <f>IF(Tabela2[[#This Row],[OBS]]="","ATIVO","INATIVO")</f>
        <v>ATIVO</v>
      </c>
      <c r="G2" s="18" t="s">
        <v>32</v>
      </c>
      <c r="H2" s="18" t="s">
        <v>13</v>
      </c>
      <c r="I2" s="19" t="s">
        <v>27</v>
      </c>
      <c r="J2" s="28"/>
      <c r="K2" s="2"/>
      <c r="L2" s="18" t="s">
        <v>40</v>
      </c>
      <c r="M2" s="7" t="s">
        <v>40</v>
      </c>
      <c r="O2" s="9" t="s">
        <v>10</v>
      </c>
      <c r="P2" s="11">
        <v>12</v>
      </c>
    </row>
    <row r="3" spans="2:16" x14ac:dyDescent="0.35">
      <c r="B3" s="3">
        <v>1697</v>
      </c>
      <c r="C3" s="3">
        <v>1697</v>
      </c>
      <c r="D3" s="3">
        <v>550</v>
      </c>
      <c r="E3" s="5" t="s">
        <v>15</v>
      </c>
      <c r="F3" s="6" t="str">
        <f>IF(Tabela2[[#This Row],[OBS]]="","ATIVO","INATIVO")</f>
        <v>ATIVO</v>
      </c>
      <c r="G3" s="18" t="s">
        <v>24</v>
      </c>
      <c r="H3" s="18" t="s">
        <v>13</v>
      </c>
      <c r="I3" s="19" t="s">
        <v>29</v>
      </c>
      <c r="J3" s="28"/>
      <c r="K3" s="2"/>
      <c r="L3" s="6" t="s">
        <v>40</v>
      </c>
      <c r="M3" s="7" t="s">
        <v>40</v>
      </c>
      <c r="O3" s="9" t="s">
        <v>35</v>
      </c>
      <c r="P3" s="11">
        <v>1</v>
      </c>
    </row>
    <row r="4" spans="2:16" x14ac:dyDescent="0.35">
      <c r="B4" s="3">
        <v>10826</v>
      </c>
      <c r="C4" s="3">
        <v>10826</v>
      </c>
      <c r="D4" s="3">
        <v>2508</v>
      </c>
      <c r="E4" s="5" t="s">
        <v>31</v>
      </c>
      <c r="F4" s="6" t="str">
        <f>IF(Tabela2[[#This Row],[OBS]]="","ATIVO","INATIVO")</f>
        <v>ATIVO</v>
      </c>
      <c r="G4" s="18" t="s">
        <v>24</v>
      </c>
      <c r="H4" s="18" t="s">
        <v>13</v>
      </c>
      <c r="I4" s="19" t="s">
        <v>29</v>
      </c>
      <c r="J4" s="28"/>
      <c r="K4" s="2"/>
      <c r="L4" s="6" t="s">
        <v>40</v>
      </c>
      <c r="M4" s="7" t="s">
        <v>40</v>
      </c>
      <c r="O4" s="10" t="s">
        <v>11</v>
      </c>
      <c r="P4" s="12">
        <v>13</v>
      </c>
    </row>
    <row r="5" spans="2:16" x14ac:dyDescent="0.35">
      <c r="B5" s="3">
        <v>10894</v>
      </c>
      <c r="C5" s="3">
        <v>10894</v>
      </c>
      <c r="D5" s="3">
        <v>2534</v>
      </c>
      <c r="E5" s="15" t="s">
        <v>16</v>
      </c>
      <c r="F5" s="16" t="str">
        <f>IF(Tabela2[[#This Row],[OBS]]="","ATIVO","INATIVO")</f>
        <v>ATIVO</v>
      </c>
      <c r="G5" s="18" t="s">
        <v>26</v>
      </c>
      <c r="H5" s="18" t="s">
        <v>13</v>
      </c>
      <c r="I5" s="19" t="s">
        <v>28</v>
      </c>
      <c r="J5" s="28"/>
      <c r="K5" s="17"/>
      <c r="L5" s="6" t="s">
        <v>40</v>
      </c>
      <c r="M5" s="7" t="s">
        <v>40</v>
      </c>
    </row>
    <row r="6" spans="2:16" x14ac:dyDescent="0.35">
      <c r="B6" s="3">
        <v>10500</v>
      </c>
      <c r="C6" s="3">
        <v>10500</v>
      </c>
      <c r="D6" s="3">
        <v>2983</v>
      </c>
      <c r="E6" s="24" t="s">
        <v>17</v>
      </c>
      <c r="F6" s="25" t="str">
        <f>IF(Tabela2[[#This Row],[OBS]]="","ATIVO","INATIVO")</f>
        <v>ATIVO</v>
      </c>
      <c r="G6" s="26" t="s">
        <v>26</v>
      </c>
      <c r="H6" s="18" t="s">
        <v>13</v>
      </c>
      <c r="I6" s="19" t="s">
        <v>28</v>
      </c>
      <c r="J6" s="28"/>
      <c r="K6" s="27"/>
      <c r="L6" s="18" t="s">
        <v>40</v>
      </c>
      <c r="M6" s="7" t="s">
        <v>40</v>
      </c>
    </row>
    <row r="7" spans="2:16" x14ac:dyDescent="0.35">
      <c r="B7" s="3">
        <v>11183</v>
      </c>
      <c r="C7" s="3">
        <v>11183</v>
      </c>
      <c r="D7" s="3">
        <v>2486</v>
      </c>
      <c r="E7" s="5" t="s">
        <v>18</v>
      </c>
      <c r="F7" s="6" t="str">
        <f>IF(Tabela2[[#This Row],[OBS]]="","ATIVO","INATIVO")</f>
        <v>ATIVO</v>
      </c>
      <c r="G7" s="18" t="s">
        <v>36</v>
      </c>
      <c r="H7" s="18" t="s">
        <v>13</v>
      </c>
      <c r="I7" s="19" t="s">
        <v>27</v>
      </c>
      <c r="J7" s="28"/>
      <c r="K7" s="2"/>
      <c r="L7" s="6" t="s">
        <v>40</v>
      </c>
      <c r="M7" s="7" t="s">
        <v>40</v>
      </c>
    </row>
    <row r="8" spans="2:16" x14ac:dyDescent="0.35">
      <c r="B8" s="3">
        <v>10920</v>
      </c>
      <c r="C8" s="3">
        <v>10920</v>
      </c>
      <c r="D8" s="3">
        <v>2464</v>
      </c>
      <c r="E8" s="5" t="s">
        <v>19</v>
      </c>
      <c r="F8" s="6" t="str">
        <f>IF(Tabela2[[#This Row],[OBS]]="","ATIVO","INATIVO")</f>
        <v>INATIVO</v>
      </c>
      <c r="G8" s="18" t="s">
        <v>36</v>
      </c>
      <c r="H8" s="18" t="s">
        <v>13</v>
      </c>
      <c r="I8" s="19" t="s">
        <v>27</v>
      </c>
      <c r="J8" s="28" t="s">
        <v>34</v>
      </c>
      <c r="K8" s="2"/>
      <c r="L8" s="6" t="s">
        <v>34</v>
      </c>
      <c r="M8" s="7" t="s">
        <v>34</v>
      </c>
    </row>
    <row r="9" spans="2:16" x14ac:dyDescent="0.35">
      <c r="B9" s="3">
        <v>10919</v>
      </c>
      <c r="C9" s="3">
        <v>10919</v>
      </c>
      <c r="D9" s="3">
        <v>2460</v>
      </c>
      <c r="E9" s="5" t="s">
        <v>20</v>
      </c>
      <c r="F9" s="6" t="str">
        <f>IF(Tabela2[[#This Row],[OBS]]="","ATIVO","INATIVO")</f>
        <v>ATIVO</v>
      </c>
      <c r="G9" s="18" t="s">
        <v>25</v>
      </c>
      <c r="H9" s="18" t="s">
        <v>13</v>
      </c>
      <c r="I9" s="19" t="s">
        <v>27</v>
      </c>
      <c r="J9" s="28"/>
      <c r="K9" s="2"/>
      <c r="L9" s="6" t="s">
        <v>40</v>
      </c>
      <c r="M9" s="7" t="s">
        <v>40</v>
      </c>
    </row>
    <row r="10" spans="2:16" x14ac:dyDescent="0.35">
      <c r="B10" s="3">
        <v>11185</v>
      </c>
      <c r="C10" s="3">
        <v>11185</v>
      </c>
      <c r="D10" s="3">
        <v>2704</v>
      </c>
      <c r="E10" s="20" t="s">
        <v>30</v>
      </c>
      <c r="F10" s="21" t="str">
        <f>IF(Tabela2[[#This Row],[OBS]]="","ATIVO","INATIVO")</f>
        <v>ATIVO</v>
      </c>
      <c r="G10" s="22" t="s">
        <v>33</v>
      </c>
      <c r="H10" s="18" t="s">
        <v>13</v>
      </c>
      <c r="I10" s="19" t="s">
        <v>27</v>
      </c>
      <c r="J10" s="28"/>
      <c r="K10" s="23"/>
      <c r="L10" s="18" t="s">
        <v>40</v>
      </c>
      <c r="M10" s="7" t="s">
        <v>40</v>
      </c>
    </row>
    <row r="11" spans="2:16" ht="14" customHeight="1" x14ac:dyDescent="0.35">
      <c r="B11" s="3">
        <v>11171</v>
      </c>
      <c r="C11" s="3">
        <v>11171</v>
      </c>
      <c r="D11" s="3">
        <v>2453</v>
      </c>
      <c r="E11" s="29" t="s">
        <v>21</v>
      </c>
      <c r="F11" s="30" t="str">
        <f>IF(Tabela2[[#This Row],[OBS]]="","ATIVO","INATIVO")</f>
        <v>ATIVO</v>
      </c>
      <c r="G11" s="18" t="s">
        <v>39</v>
      </c>
      <c r="H11" s="18" t="s">
        <v>13</v>
      </c>
      <c r="I11" s="19" t="s">
        <v>27</v>
      </c>
      <c r="J11" s="32"/>
      <c r="K11" s="33"/>
      <c r="L11" s="18" t="s">
        <v>40</v>
      </c>
      <c r="M11" s="7" t="s">
        <v>40</v>
      </c>
    </row>
    <row r="12" spans="2:16" x14ac:dyDescent="0.35">
      <c r="B12" s="3">
        <v>11209</v>
      </c>
      <c r="C12" s="3">
        <v>11209</v>
      </c>
      <c r="D12" s="3">
        <v>2374</v>
      </c>
      <c r="E12" s="34" t="s">
        <v>22</v>
      </c>
      <c r="F12" s="35" t="str">
        <f>IF(Tabela2[[#This Row],[OBS]]="","ATIVO","INATIVO")</f>
        <v>ATIVO</v>
      </c>
      <c r="G12" s="18" t="s">
        <v>25</v>
      </c>
      <c r="H12" s="18" t="s">
        <v>13</v>
      </c>
      <c r="I12" s="19" t="s">
        <v>27</v>
      </c>
      <c r="J12" s="28"/>
      <c r="K12" s="17"/>
      <c r="L12" s="18" t="s">
        <v>40</v>
      </c>
      <c r="M12" s="7" t="s">
        <v>40</v>
      </c>
    </row>
    <row r="13" spans="2:16" x14ac:dyDescent="0.35">
      <c r="B13" s="3">
        <v>10758</v>
      </c>
      <c r="C13" s="3">
        <v>10758</v>
      </c>
      <c r="D13" s="3">
        <v>2526</v>
      </c>
      <c r="E13" s="29" t="s">
        <v>23</v>
      </c>
      <c r="F13" s="30" t="str">
        <f>IF(Tabela2[[#This Row],[OBS]]="","ATIVO","INATIVO")</f>
        <v>ATIVO</v>
      </c>
      <c r="G13" s="31" t="s">
        <v>26</v>
      </c>
      <c r="H13" s="18" t="s">
        <v>13</v>
      </c>
      <c r="I13" s="19" t="s">
        <v>28</v>
      </c>
      <c r="J13" s="28"/>
      <c r="K13" s="33"/>
      <c r="L13" s="18" t="s">
        <v>40</v>
      </c>
      <c r="M13" s="7" t="s">
        <v>40</v>
      </c>
    </row>
    <row r="14" spans="2:16" x14ac:dyDescent="0.35">
      <c r="B14" s="3">
        <v>11216</v>
      </c>
      <c r="C14" s="3">
        <v>11216</v>
      </c>
      <c r="D14" s="3">
        <v>2525</v>
      </c>
      <c r="E14" s="5" t="s">
        <v>38</v>
      </c>
      <c r="F14" s="30" t="str">
        <f>IF(Tabela2[[#This Row],[OBS]]="","ATIVO","INATIVO")</f>
        <v>ATIVO</v>
      </c>
      <c r="G14" s="18" t="s">
        <v>39</v>
      </c>
      <c r="H14" s="18" t="s">
        <v>13</v>
      </c>
      <c r="I14" s="19" t="s">
        <v>27</v>
      </c>
      <c r="J14" s="28"/>
      <c r="K14" s="23"/>
      <c r="L14" s="18" t="s">
        <v>40</v>
      </c>
      <c r="M14" s="7" t="s">
        <v>40</v>
      </c>
    </row>
    <row r="15" spans="2:16" x14ac:dyDescent="0.35">
      <c r="J15" s="13"/>
      <c r="L15" s="14">
        <f>COUNTIF(Tabela2[OPERACIONAL],"X")</f>
        <v>0</v>
      </c>
      <c r="M15" s="14">
        <f>COUNTIF(M2:M13,"X")</f>
        <v>0</v>
      </c>
    </row>
  </sheetData>
  <conditionalFormatting sqref="F1:F1048576">
    <cfRule type="containsText" dxfId="39" priority="11" stopIfTrue="1" operator="containsText" text="INATIVO">
      <formula>NOT(ISERROR(SEARCH("INATIVO",F1)))</formula>
    </cfRule>
    <cfRule type="containsText" dxfId="38" priority="12" stopIfTrue="1" operator="containsText" text="ATIVO">
      <formula>NOT(ISERROR(SEARCH("ATIVO",F1)))</formula>
    </cfRule>
  </conditionalFormatting>
  <conditionalFormatting sqref="L13:M13 L2:M11">
    <cfRule type="containsText" dxfId="37" priority="9" operator="containsText" text="OK">
      <formula>NOT(ISERROR(SEARCH("OK",L2)))</formula>
    </cfRule>
    <cfRule type="containsText" dxfId="36" priority="10" operator="containsText" text="X">
      <formula>NOT(ISERROR(SEARCH("X",L2)))</formula>
    </cfRule>
  </conditionalFormatting>
  <conditionalFormatting sqref="L12:M12">
    <cfRule type="containsText" dxfId="35" priority="3" operator="containsText" text="OK">
      <formula>NOT(ISERROR(SEARCH("OK",L12)))</formula>
    </cfRule>
    <cfRule type="containsText" dxfId="34" priority="4" operator="containsText" text="X">
      <formula>NOT(ISERROR(SEARCH("X",L12)))</formula>
    </cfRule>
  </conditionalFormatting>
  <conditionalFormatting sqref="L14:M14">
    <cfRule type="containsText" dxfId="33" priority="1" operator="containsText" text="OK">
      <formula>NOT(ISERROR(SEARCH("OK",L14)))</formula>
    </cfRule>
    <cfRule type="containsText" dxfId="32" priority="2" operator="containsText" text="X">
      <formula>NOT(ISERROR(SEARCH("X",L14)))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4241aaa1-f251-4fb6-8c96-74d7389cb154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F86E7-372B-4632-87D1-60D1FD49C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GRS-AMARELA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2026-03-03T12:13:01Z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