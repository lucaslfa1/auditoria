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athalia.silva\OneDrive - NSTECH GR LTDA\AUDITORIA\# LISTAGENS DE OPERADORES\"/>
    </mc:Choice>
  </mc:AlternateContent>
  <xr:revisionPtr revIDLastSave="28" documentId="14_{D11987CA-1C71-4CB3-832A-01FF65DA19B5}" xr6:coauthVersionLast="36" xr6:coauthVersionMax="36" xr10:uidLastSave="{A5F09E2D-5266-48DB-8043-983082D032E1}"/>
  <bookViews>
    <workbookView xWindow="0" yWindow="0" windowWidth="19200" windowHeight="6350" firstSheet="2" activeTab="2" xr2:uid="{00000000-000D-0000-FFFF-FFFF00000000}"/>
  </bookViews>
  <sheets>
    <sheet name="Planilha1" sheetId="3" state="hidden" r:id="rId1"/>
    <sheet name="Planilha2" sheetId="4" state="hidden" r:id="rId2"/>
    <sheet name="VERDE" sheetId="2" r:id="rId3"/>
  </sheets>
  <definedNames>
    <definedName name="_xlnm._FilterDatabase" localSheetId="2" hidden="1">VERDE!$M$1:$M$1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F6" i="2" l="1"/>
  <c r="F7" i="2" l="1"/>
  <c r="F4" i="2" l="1"/>
  <c r="F9" i="2" l="1"/>
  <c r="F5" i="2"/>
  <c r="M10" i="2" l="1"/>
  <c r="L10" i="2" l="1"/>
  <c r="F2" i="2" l="1"/>
  <c r="F3" i="2" l="1"/>
</calcChain>
</file>

<file path=xl/sharedStrings.xml><?xml version="1.0" encoding="utf-8"?>
<sst xmlns="http://schemas.openxmlformats.org/spreadsheetml/2006/main" count="202" uniqueCount="51">
  <si>
    <t>MATRICULA</t>
  </si>
  <si>
    <t xml:space="preserve">ID WEON </t>
  </si>
  <si>
    <t>NOME</t>
  </si>
  <si>
    <t>STATUS</t>
  </si>
  <si>
    <t>TURNO / OPERAÇÃO</t>
  </si>
  <si>
    <t>SUPERVISOR</t>
  </si>
  <si>
    <t>SETOR</t>
  </si>
  <si>
    <t>OBS</t>
  </si>
  <si>
    <t>CHAVE</t>
  </si>
  <si>
    <t>QTD</t>
  </si>
  <si>
    <t>BBM</t>
  </si>
  <si>
    <t>Gustavo Montanari</t>
  </si>
  <si>
    <t>TRANSFERÊNCIA</t>
  </si>
  <si>
    <t>ATIVO</t>
  </si>
  <si>
    <t>Total Geral</t>
  </si>
  <si>
    <t>ERIC VINICIUS DO NASCIMENTO</t>
  </si>
  <si>
    <t>MATHEUS EDUARDO DA SILVA</t>
  </si>
  <si>
    <t>CAUE MACHADO PERES</t>
  </si>
  <si>
    <t>ANY EVELYN MENDES DE MELO</t>
  </si>
  <si>
    <t>STEFANE MOURA SANTOS</t>
  </si>
  <si>
    <t>NATALI NEIVA DA SILVA</t>
  </si>
  <si>
    <t>PEDRO XAVIER BRITO</t>
  </si>
  <si>
    <t>JACIR MELO DOS SANTOS JUNIOR</t>
  </si>
  <si>
    <t>Ruan Richeli da Silva</t>
  </si>
  <si>
    <t>JEAN CARLOS CONSTANTINO MIRANDA</t>
  </si>
  <si>
    <t>11178-ERIC VINICIUS DO NASCIMENTO</t>
  </si>
  <si>
    <t>10984-MATHEUS EDUARDO DA SILVA</t>
  </si>
  <si>
    <t>11233-Ruan Richeli da Silva</t>
  </si>
  <si>
    <t>11184-CAUE MACHADO PERES</t>
  </si>
  <si>
    <t>11200-ANY EVELYN MENDES DE MELO</t>
  </si>
  <si>
    <t>11050-STEFANE MOURA SANTOS</t>
  </si>
  <si>
    <t>11185-NATALI NEIVA DA SILVA</t>
  </si>
  <si>
    <t>11237-JEAN CARLOS CONSTANTINO MIRANDA</t>
  </si>
  <si>
    <t>11082-PEDRO XAVIER BRITO</t>
  </si>
  <si>
    <t>11177-JACIR MELO DOS SANTOS JUNIOR</t>
  </si>
  <si>
    <t>OPERACIONAL</t>
  </si>
  <si>
    <t>DISTRIBUIÇÃO</t>
  </si>
  <si>
    <t>Bruna Vieira</t>
  </si>
  <si>
    <t>CÉLULA</t>
  </si>
  <si>
    <t>RECEPTIVO</t>
  </si>
  <si>
    <t>ELIZANDRA INACIO</t>
  </si>
  <si>
    <t xml:space="preserve">EVELYN PANTOJA FERREIRA </t>
  </si>
  <si>
    <t>JULIANA SILVA CASTELO GOMES SILVEIRA</t>
  </si>
  <si>
    <t>RENDESON BEZERRA FERREIRA</t>
  </si>
  <si>
    <t>LUCAS ARTMANN MARQUES</t>
  </si>
  <si>
    <t>KAREN KIMBERLY DUARTE DE OLIVEIRA</t>
  </si>
  <si>
    <t>KAUÃ BARRETO MAIA</t>
  </si>
  <si>
    <t>LORENA FERREIRA RODRIGUES SANTOS</t>
  </si>
  <si>
    <t>ID HUAWEI</t>
  </si>
  <si>
    <t>X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</si>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</sst>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4">
    <xf numFmtId="0" fontId="0" fillId="0" borderId="0"/>
    <xf numFmtId="164" fontId="1" fillId="0" borderId="0" applyBorder="0" applyProtection="0"/>
    <xf numFmtId="0" fontId="2" fillId="0" borderId="0"/>
    <xf numFmtId="0" fontId="3" fillId="0" borderId="0"/>
  </cellStyleXfs>
  <cellXfs count="35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6" fillId="3" borderId="3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/>
    </xf>
    <xf numFmtId="0" fontId="6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9" fillId="0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NumberFormat="1" applyFont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0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2" fillId="0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0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0" borderId="0" xfId="0" applyNumberFormat="1" applyFont="1" applyAlignment="1">
      <alignment horizontal="left" vertical="center"/>
    </xf>
  </cellXfs>
  <cellStyles count="4">
    <cellStyle name="Excel Built-in Normal" xfId="1" xr:uid="{00000000-0005-0000-0000-000000000000}"/>
    <cellStyle name="Excel Built-in Normal 2" xfId="3" xr:uid="{00000000-0005-0000-0000-000001000000}"/>
    <cellStyle name="Normal" xfId="0" builtinId="0"/>
    <cellStyle name="Normal 2" xfId="2" xr:uid="{00000000-0005-0000-0000-000003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sz val="10"/>
      </font>
      <fill>
        <patternFill patternType="solid">
          <fgColor theme="9"/>
          <bgColor theme="9"/>
        </patternFill>
      </fill>
      <alignment horizontal="left" vertical="center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3E4D1F"/>
      </font>
      <fill>
        <patternFill patternType="solid">
          <bgColor rgb="FFBDFFDE"/>
        </patternFill>
      </fill>
    </dxf>
    <dxf>
      <font>
        <color rgb="FFC00000"/>
      </font>
      <fill>
        <patternFill>
          <bgColor rgb="FFFCC0C0"/>
        </patternFill>
      </fill>
    </dxf>
  </dxfs>
  <tableStyles count="0" defaultTableStyle="TableStyleMedium2" defaultPivotStyle="PivotStyleLight16"/>
  <colors>
    <mruColors>
      <color rgb="FFFCC0C0"/>
      <color rgb="FF3E4D1F"/>
      <color rgb="FFC5FFDF"/>
      <color rgb="FFBDFFDE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15116</xdr:colOff>
      <xdr:row>10</xdr:row>
      <xdr:rowOff>147935</xdr:rowOff>
    </xdr:from>
    <xdr:to>
      <xdr:col>12</xdr:col>
      <xdr:colOff>400050</xdr:colOff>
      <xdr:row>40</xdr:row>
      <xdr:rowOff>55914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61FF93-F501-48DF-A9FE-12D7DAA1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16" y="1989435"/>
          <a:ext cx="10043284" cy="543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6350</xdr:rowOff>
    </xdr:from>
    <xdr:to>
      <xdr:col>13</xdr:col>
      <xdr:colOff>641472</xdr:colOff>
      <xdr:row>73</xdr:row>
      <xdr:rowOff>109890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0FC861-60AA-43B0-B576-CE1BBD44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56500"/>
          <a:ext cx="11125322" cy="59963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a de Souza da Silva" refreshedDate="46066.623975925926" createdVersion="6" refreshedVersion="6" minRefreshableVersion="3" recordCount="8" xr:uid="{66591D22-EFFC-4024-BC0C-176290843740}">
  <cacheSource type="worksheet">
    <worksheetSource ref="B1:M9" sheet="VERDE"/>
  </cacheSource>
  <cacheFields count="12">
    <cacheField name="MATRICULA" numFmtId="0">
      <sharedItems containsSemiMixedTypes="0" containsString="0" containsNumber="1" containsInteger="1" minValue="10862" maxValue="11491"/>
    </cacheField>
    <cacheField name="ID WEON " numFmtId="0">
      <sharedItems containsSemiMixedTypes="0" containsString="0" containsNumber="1" containsInteger="1" minValue="10862" maxValue="11491"/>
    </cacheField>
    <cacheField name="ID HUAWEI" numFmtId="0">
      <sharedItems containsSemiMixedTypes="0" containsString="0" containsNumber="1" containsInteger="1" minValue="212" maxValue="3052"/>
    </cacheField>
    <cacheField name="NOME" numFmtId="0">
      <sharedItems/>
    </cacheField>
    <cacheField name="STATUS" numFmtId="0">
      <sharedItems count="2">
        <s v="ATIVO"/>
        <s v="INATIVO" u="1"/>
      </sharedItems>
    </cacheField>
    <cacheField name="TURNO / OPERAÇÃO" numFmtId="0">
      <sharedItems/>
    </cacheField>
    <cacheField name="SUPERVISOR" numFmtId="0">
      <sharedItems/>
    </cacheField>
    <cacheField name="SETOR" numFmtId="0">
      <sharedItems/>
    </cacheField>
    <cacheField name="OBS" numFmtId="0">
      <sharedItems containsNonDate="0" containsString="0" containsBlank="1"/>
    </cacheField>
    <cacheField name="CHAVE" numFmtId="0">
      <sharedItems containsNonDate="0" containsString="0" containsBlank="1"/>
    </cacheField>
    <cacheField name="OPERACIONAL" numFmtId="0">
      <sharedItems containsNonDate="0" containsString="0" containsBlank="1"/>
    </cacheField>
    <cacheField name="OPERACIONAL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1369"/>
    <n v="11369"/>
    <n v="2418"/>
    <s v="ELIZANDRA INACIO"/>
    <x v="0"/>
    <s v="DISTRIBUIÇÃO"/>
    <s v="Bruna Vieira"/>
    <s v="DISTRIBUIÇÃO"/>
    <m/>
    <m/>
    <m/>
    <m/>
  </r>
  <r>
    <n v="11079"/>
    <n v="11079"/>
    <n v="2416"/>
    <s v="EVELYN PANTOJA FERREIRA "/>
    <x v="0"/>
    <s v="DISTRIBUIÇÃO"/>
    <s v="Bruna Vieira"/>
    <s v="DISTRIBUIÇÃO"/>
    <m/>
    <m/>
    <m/>
    <m/>
  </r>
  <r>
    <n v="11296"/>
    <n v="11296"/>
    <n v="2375"/>
    <s v="JULIANA SILVA CASTELO GOMES SILVEIRA"/>
    <x v="0"/>
    <s v="DISTRIBUIÇÃO"/>
    <s v="Bruna Vieira"/>
    <s v="DISTRIBUIÇÃO"/>
    <m/>
    <m/>
    <m/>
    <m/>
  </r>
  <r>
    <n v="10862"/>
    <n v="10862"/>
    <n v="2385"/>
    <s v="RENDESON BEZERRA FERREIRA"/>
    <x v="0"/>
    <s v="DISTRIBUIÇÃO"/>
    <s v="Bruna Vieira"/>
    <s v="DISTRIBUIÇÃO"/>
    <m/>
    <m/>
    <m/>
    <m/>
  </r>
  <r>
    <n v="11381"/>
    <n v="11381"/>
    <n v="2402"/>
    <s v="KAUÃ BARRETO MAIA"/>
    <x v="0"/>
    <s v="DISTRIBUIÇÃO"/>
    <s v="Bruna Vieira"/>
    <s v="DISTRIBUIÇÃO"/>
    <m/>
    <m/>
    <m/>
    <m/>
  </r>
  <r>
    <n v="11284"/>
    <n v="11284"/>
    <n v="3052"/>
    <s v="LUCAS ARTMANN MARQUES"/>
    <x v="0"/>
    <s v="DISTRIBUIÇÃO"/>
    <s v="Bruna Vieira"/>
    <s v="DISTRIBUIÇÃO"/>
    <m/>
    <m/>
    <m/>
    <m/>
  </r>
  <r>
    <n v="11491"/>
    <n v="11491"/>
    <n v="212"/>
    <s v="LORENA FERREIRA RODRIGUES SANTOS"/>
    <x v="0"/>
    <s v="DISTRIBUIÇÃO"/>
    <s v="Bruna Vieira"/>
    <s v="DISTRIBUIÇÃO"/>
    <m/>
    <m/>
    <m/>
    <m/>
  </r>
  <r>
    <n v="11454"/>
    <n v="11454"/>
    <n v="489"/>
    <s v="KAREN KIMBERLY DUARTE DE OLIVEIRA"/>
    <x v="0"/>
    <s v="CÉLULA"/>
    <s v="Bruna Vieira"/>
    <s v="RECEPTIVO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9E4EB-B13D-45EA-ACBA-F8F9803B79B1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STATUS">
  <location ref="O1:P3" firstHeaderRow="1" firstDataRow="1" firstDataCol="1"/>
  <pivotFields count="12"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QTD" fld="4" subtotal="count" baseField="3" baseItem="0"/>
  </dataFields>
  <formats count="16"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grandRow="1" outline="0" collapsedLevelsAreSubtotals="1" fieldPosition="0"/>
    </format>
    <format dxfId="19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69A17-7F41-4189-9A1B-B09B6F0F7B53}" name="Tabela1" displayName="Tabela1" ref="A1:I11" totalsRowShown="0">
  <autoFilter ref="A1:I11" xr:uid="{FF9D4E16-8AC1-4D0F-B764-A103663010B4}"/>
  <tableColumns count="9">
    <tableColumn id="1" xr3:uid="{F8DB55B3-CDD6-4AB7-9065-16724DCCE0E9}" name="MATRICULA"/>
    <tableColumn id="2" xr3:uid="{7441E27E-5F13-4C7C-97E9-298A57BC2A42}" name="ID WEON "/>
    <tableColumn id="3" xr3:uid="{A690857E-4772-499E-8D1B-9A0A6424553A}" name="NOME"/>
    <tableColumn id="4" xr3:uid="{6DDCD56D-87B1-4C88-84FF-BFEC0270893F}" name="STATUS"/>
    <tableColumn id="5" xr3:uid="{EF757D3B-CF63-4992-B142-774539DD5959}" name="TURNO / OPERAÇÃO"/>
    <tableColumn id="6" xr3:uid="{E4FB6BCF-371F-49F8-BBFC-3B22D20C5A63}" name="SUPERVISOR"/>
    <tableColumn id="7" xr3:uid="{7CB75293-6FF7-4DA9-A996-1C3EF42C6747}" name="SETOR"/>
    <tableColumn id="8" xr3:uid="{70FCD7DE-BAC7-4756-8AB5-75CE44DF1678}" name="OBS"/>
    <tableColumn id="9" xr3:uid="{C2FEADD0-7BB2-4959-AF25-93EED2A359BD}" name="CH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3E1A0C-14E6-43EE-A6A9-1A6540AF65CD}" name="Tabela3" displayName="Tabela3" ref="A1:I11" totalsRowShown="0">
  <autoFilter ref="A1:I11" xr:uid="{C199FD35-5D69-41AC-89A2-BE161A9EB9F8}"/>
  <tableColumns count="9">
    <tableColumn id="1" xr3:uid="{EFCCA4D5-C3BF-43F2-9268-E5307ECB1667}" name="MATRICULA"/>
    <tableColumn id="2" xr3:uid="{44014D34-3941-4495-80AC-9BE2177E18DD}" name="ID WEON "/>
    <tableColumn id="3" xr3:uid="{F272C527-5949-4238-9321-08930B2D5ED9}" name="NOME"/>
    <tableColumn id="4" xr3:uid="{9D0DC1A0-856F-49DA-AA86-026C391CFDE3}" name="STATUS"/>
    <tableColumn id="5" xr3:uid="{55DD95CB-C399-4177-BA93-C1445AC028D5}" name="TURNO / OPERAÇÃO"/>
    <tableColumn id="6" xr3:uid="{005B22D8-F290-4C34-88E5-12446E5D113A}" name="SUPERVISOR"/>
    <tableColumn id="7" xr3:uid="{1A113E36-9EE9-4B66-98E1-2CA264015895}" name="SETOR"/>
    <tableColumn id="8" xr3:uid="{E954E7B0-66FB-4416-8089-817A9026083D}" name="OBS"/>
    <tableColumn id="9" xr3:uid="{BA47675E-33A4-42A8-BF56-78026BACBF50}" name="CHA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1:L9" totalsRowShown="0" headerRowDxfId="18" dataDxfId="17">
  <sortState ref="B2:K9">
    <sortCondition ref="B1:B9"/>
  </sortState>
  <tableColumns count="11">
    <tableColumn id="1" xr3:uid="{00000000-0010-0000-0000-000001000000}" name="MATRICULA" dataDxfId="16"/>
    <tableColumn id="9" xr3:uid="{5D5963D4-6ADD-4B53-A2B4-60955012F1B3}" name="ID WEON " dataDxfId="15"/>
    <tableColumn id="11" xr3:uid="{E2469BEF-80A6-4BC6-A18C-425D97B28749}" name="ID HUAWEI" dataDxfId="14"/>
    <tableColumn id="2" xr3:uid="{00000000-0010-0000-0000-000002000000}" name="NOME" dataDxfId="13"/>
    <tableColumn id="3" xr3:uid="{00000000-0010-0000-0000-000003000000}" name="STATUS" dataDxfId="12">
      <calculatedColumnFormula>IF(Tabela2[[#This Row],[OBS]]="","ATIVO","INATIVO")</calculatedColumnFormula>
    </tableColumn>
    <tableColumn id="4" xr3:uid="{00000000-0010-0000-0000-000004000000}" name="TURNO / OPERAÇÃO" dataDxfId="11" totalsRowDxfId="10"/>
    <tableColumn id="5" xr3:uid="{00000000-0010-0000-0000-000005000000}" name="SUPERVISOR" dataDxfId="9" totalsRowDxfId="8"/>
    <tableColumn id="6" xr3:uid="{00000000-0010-0000-0000-000006000000}" name="SETOR" dataDxfId="7" totalsRowDxfId="6"/>
    <tableColumn id="7" xr3:uid="{00000000-0010-0000-0000-000007000000}" name="OBS" dataDxfId="5" totalsRowDxfId="4"/>
    <tableColumn id="8" xr3:uid="{00000000-0010-0000-0000-000008000000}" name="CHAVE" dataDxfId="3" totalsRowDxfId="2"/>
    <tableColumn id="10" xr3:uid="{D8BA63F2-D59B-4CD8-8EE0-EAE9BC3FDE4E}" name="OPERACIONAL" dataDxfId="1" totalsRowDxfId="0"/>
  </tableColumns>
  <tableStyleInfo name="TableStyleLight14" showFirstColumn="1" showLastColumn="1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FC5C-0ABF-4CE6-8FE7-D4A930F97FC6}">
  <dimension ref="A1:I11"/>
  <sheetViews>
    <sheetView workbookViewId="0">
      <selection sqref="A1:I11"/>
    </sheetView>
  </sheetViews>
  <sheetFormatPr defaultRowHeight="14.5" x14ac:dyDescent="0.35"/>
  <cols>
    <col min="1" max="1" width="13" customWidth="1"/>
    <col min="2" max="2" width="11.08984375" customWidth="1"/>
    <col min="4" max="4" width="9.26953125" customWidth="1"/>
    <col min="5" max="5" width="20.08984375" customWidth="1"/>
    <col min="6" max="6" width="13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11178</v>
      </c>
      <c r="B2">
        <v>11178</v>
      </c>
      <c r="C2" t="s">
        <v>15</v>
      </c>
      <c r="D2" t="s">
        <v>13</v>
      </c>
      <c r="E2" t="s">
        <v>10</v>
      </c>
      <c r="F2" t="s">
        <v>11</v>
      </c>
      <c r="G2" t="s">
        <v>12</v>
      </c>
      <c r="I2" t="s">
        <v>25</v>
      </c>
    </row>
    <row r="3" spans="1:9" x14ac:dyDescent="0.35">
      <c r="A3">
        <v>10984</v>
      </c>
      <c r="B3">
        <v>10984</v>
      </c>
      <c r="C3" t="s">
        <v>16</v>
      </c>
      <c r="D3" t="s">
        <v>13</v>
      </c>
      <c r="E3" t="s">
        <v>10</v>
      </c>
      <c r="F3" t="s">
        <v>11</v>
      </c>
      <c r="G3" t="s">
        <v>12</v>
      </c>
      <c r="I3" t="s">
        <v>26</v>
      </c>
    </row>
    <row r="4" spans="1:9" x14ac:dyDescent="0.35">
      <c r="A4">
        <v>11233</v>
      </c>
      <c r="B4">
        <v>11233</v>
      </c>
      <c r="C4" t="s">
        <v>23</v>
      </c>
      <c r="D4" t="s">
        <v>13</v>
      </c>
      <c r="E4" t="s">
        <v>10</v>
      </c>
      <c r="F4" t="s">
        <v>11</v>
      </c>
      <c r="G4" t="s">
        <v>12</v>
      </c>
      <c r="I4" t="s">
        <v>27</v>
      </c>
    </row>
    <row r="5" spans="1:9" x14ac:dyDescent="0.35">
      <c r="A5">
        <v>11184</v>
      </c>
      <c r="B5">
        <v>11184</v>
      </c>
      <c r="C5" t="s">
        <v>17</v>
      </c>
      <c r="D5" t="s">
        <v>13</v>
      </c>
      <c r="E5" t="s">
        <v>10</v>
      </c>
      <c r="F5" t="s">
        <v>11</v>
      </c>
      <c r="G5" t="s">
        <v>12</v>
      </c>
      <c r="I5" t="s">
        <v>28</v>
      </c>
    </row>
    <row r="6" spans="1:9" x14ac:dyDescent="0.35">
      <c r="A6">
        <v>11200</v>
      </c>
      <c r="B6">
        <v>11200</v>
      </c>
      <c r="C6" t="s">
        <v>18</v>
      </c>
      <c r="D6" t="s">
        <v>13</v>
      </c>
      <c r="E6" t="s">
        <v>10</v>
      </c>
      <c r="F6" t="s">
        <v>11</v>
      </c>
      <c r="G6" t="s">
        <v>12</v>
      </c>
      <c r="I6" t="s">
        <v>29</v>
      </c>
    </row>
    <row r="7" spans="1:9" x14ac:dyDescent="0.35">
      <c r="A7">
        <v>11050</v>
      </c>
      <c r="B7">
        <v>11050</v>
      </c>
      <c r="C7" t="s">
        <v>19</v>
      </c>
      <c r="D7" t="s">
        <v>13</v>
      </c>
      <c r="E7" t="s">
        <v>10</v>
      </c>
      <c r="F7" t="s">
        <v>11</v>
      </c>
      <c r="G7" t="s">
        <v>12</v>
      </c>
      <c r="I7" t="s">
        <v>30</v>
      </c>
    </row>
    <row r="8" spans="1:9" x14ac:dyDescent="0.35">
      <c r="A8">
        <v>11185</v>
      </c>
      <c r="B8">
        <v>11185</v>
      </c>
      <c r="C8" t="s">
        <v>20</v>
      </c>
      <c r="D8" t="s">
        <v>13</v>
      </c>
      <c r="E8" t="s">
        <v>10</v>
      </c>
      <c r="F8" t="s">
        <v>11</v>
      </c>
      <c r="G8" t="s">
        <v>12</v>
      </c>
      <c r="I8" t="s">
        <v>31</v>
      </c>
    </row>
    <row r="9" spans="1:9" x14ac:dyDescent="0.35">
      <c r="A9">
        <v>11237</v>
      </c>
      <c r="B9">
        <v>11237</v>
      </c>
      <c r="C9" t="s">
        <v>24</v>
      </c>
      <c r="D9" t="s">
        <v>13</v>
      </c>
      <c r="E9" t="s">
        <v>10</v>
      </c>
      <c r="F9" t="s">
        <v>11</v>
      </c>
      <c r="G9" t="s">
        <v>12</v>
      </c>
      <c r="I9" t="s">
        <v>32</v>
      </c>
    </row>
    <row r="10" spans="1:9" x14ac:dyDescent="0.35">
      <c r="A10">
        <v>11082</v>
      </c>
      <c r="B10">
        <v>11082</v>
      </c>
      <c r="C10" t="s">
        <v>21</v>
      </c>
      <c r="D10" t="s">
        <v>13</v>
      </c>
      <c r="E10" t="s">
        <v>10</v>
      </c>
      <c r="F10" t="s">
        <v>11</v>
      </c>
      <c r="G10" t="s">
        <v>12</v>
      </c>
      <c r="I10" t="s">
        <v>33</v>
      </c>
    </row>
    <row r="11" spans="1:9" x14ac:dyDescent="0.35">
      <c r="A11">
        <v>11177</v>
      </c>
      <c r="B11">
        <v>11177</v>
      </c>
      <c r="C11" t="s">
        <v>22</v>
      </c>
      <c r="D11" t="s">
        <v>13</v>
      </c>
      <c r="E11" t="s">
        <v>10</v>
      </c>
      <c r="F11" t="s">
        <v>11</v>
      </c>
      <c r="G11" t="s">
        <v>12</v>
      </c>
      <c r="I11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21C6-8BC1-45AB-8E28-B6EC65ABDF79}">
  <dimension ref="A1:I11"/>
  <sheetViews>
    <sheetView workbookViewId="0">
      <selection activeCell="C20" sqref="C20"/>
    </sheetView>
  </sheetViews>
  <sheetFormatPr defaultRowHeight="14.5" x14ac:dyDescent="0.35"/>
  <cols>
    <col min="1" max="1" width="12.7265625" customWidth="1"/>
    <col min="2" max="2" width="11" customWidth="1"/>
    <col min="4" max="4" width="9.08984375" customWidth="1"/>
    <col min="5" max="5" width="19.90625" customWidth="1"/>
    <col min="6" max="6" width="13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11178</v>
      </c>
      <c r="B2">
        <v>11178</v>
      </c>
      <c r="C2" t="s">
        <v>15</v>
      </c>
      <c r="D2" t="s">
        <v>13</v>
      </c>
      <c r="E2" t="s">
        <v>10</v>
      </c>
      <c r="F2" t="s">
        <v>11</v>
      </c>
      <c r="G2" t="s">
        <v>12</v>
      </c>
      <c r="I2" t="s">
        <v>25</v>
      </c>
    </row>
    <row r="3" spans="1:9" x14ac:dyDescent="0.35">
      <c r="A3">
        <v>10984</v>
      </c>
      <c r="B3">
        <v>10984</v>
      </c>
      <c r="C3" t="s">
        <v>16</v>
      </c>
      <c r="D3" t="s">
        <v>13</v>
      </c>
      <c r="E3" t="s">
        <v>10</v>
      </c>
      <c r="F3" t="s">
        <v>11</v>
      </c>
      <c r="G3" t="s">
        <v>12</v>
      </c>
      <c r="I3" t="s">
        <v>26</v>
      </c>
    </row>
    <row r="4" spans="1:9" x14ac:dyDescent="0.35">
      <c r="A4">
        <v>11233</v>
      </c>
      <c r="B4">
        <v>11233</v>
      </c>
      <c r="C4" t="s">
        <v>23</v>
      </c>
      <c r="D4" t="s">
        <v>13</v>
      </c>
      <c r="E4" t="s">
        <v>10</v>
      </c>
      <c r="F4" t="s">
        <v>11</v>
      </c>
      <c r="G4" t="s">
        <v>12</v>
      </c>
      <c r="I4" t="s">
        <v>27</v>
      </c>
    </row>
    <row r="5" spans="1:9" x14ac:dyDescent="0.35">
      <c r="A5">
        <v>11184</v>
      </c>
      <c r="B5">
        <v>11184</v>
      </c>
      <c r="C5" t="s">
        <v>17</v>
      </c>
      <c r="D5" t="s">
        <v>13</v>
      </c>
      <c r="E5" t="s">
        <v>10</v>
      </c>
      <c r="F5" t="s">
        <v>11</v>
      </c>
      <c r="G5" t="s">
        <v>12</v>
      </c>
      <c r="I5" t="s">
        <v>28</v>
      </c>
    </row>
    <row r="6" spans="1:9" x14ac:dyDescent="0.35">
      <c r="A6">
        <v>11200</v>
      </c>
      <c r="B6">
        <v>11200</v>
      </c>
      <c r="C6" t="s">
        <v>18</v>
      </c>
      <c r="D6" t="s">
        <v>13</v>
      </c>
      <c r="E6" t="s">
        <v>10</v>
      </c>
      <c r="F6" t="s">
        <v>11</v>
      </c>
      <c r="G6" t="s">
        <v>12</v>
      </c>
      <c r="I6" t="s">
        <v>29</v>
      </c>
    </row>
    <row r="7" spans="1:9" x14ac:dyDescent="0.35">
      <c r="A7">
        <v>11050</v>
      </c>
      <c r="B7">
        <v>11050</v>
      </c>
      <c r="C7" t="s">
        <v>19</v>
      </c>
      <c r="D7" t="s">
        <v>13</v>
      </c>
      <c r="E7" t="s">
        <v>10</v>
      </c>
      <c r="F7" t="s">
        <v>11</v>
      </c>
      <c r="G7" t="s">
        <v>12</v>
      </c>
      <c r="I7" t="s">
        <v>30</v>
      </c>
    </row>
    <row r="8" spans="1:9" x14ac:dyDescent="0.35">
      <c r="A8">
        <v>11185</v>
      </c>
      <c r="B8">
        <v>11185</v>
      </c>
      <c r="C8" t="s">
        <v>20</v>
      </c>
      <c r="D8" t="s">
        <v>13</v>
      </c>
      <c r="E8" t="s">
        <v>10</v>
      </c>
      <c r="F8" t="s">
        <v>11</v>
      </c>
      <c r="G8" t="s">
        <v>12</v>
      </c>
      <c r="I8" t="s">
        <v>31</v>
      </c>
    </row>
    <row r="9" spans="1:9" x14ac:dyDescent="0.35">
      <c r="A9">
        <v>11237</v>
      </c>
      <c r="B9">
        <v>11237</v>
      </c>
      <c r="C9" t="s">
        <v>24</v>
      </c>
      <c r="D9" t="s">
        <v>13</v>
      </c>
      <c r="E9" t="s">
        <v>10</v>
      </c>
      <c r="F9" t="s">
        <v>11</v>
      </c>
      <c r="G9" t="s">
        <v>12</v>
      </c>
      <c r="I9" t="s">
        <v>32</v>
      </c>
    </row>
    <row r="10" spans="1:9" x14ac:dyDescent="0.35">
      <c r="A10">
        <v>11082</v>
      </c>
      <c r="B10">
        <v>11082</v>
      </c>
      <c r="C10" t="s">
        <v>21</v>
      </c>
      <c r="D10" t="s">
        <v>13</v>
      </c>
      <c r="E10" t="s">
        <v>10</v>
      </c>
      <c r="F10" t="s">
        <v>11</v>
      </c>
      <c r="G10" t="s">
        <v>12</v>
      </c>
      <c r="I10" t="s">
        <v>33</v>
      </c>
    </row>
    <row r="11" spans="1:9" x14ac:dyDescent="0.35">
      <c r="A11">
        <v>11177</v>
      </c>
      <c r="B11">
        <v>11177</v>
      </c>
      <c r="C11" t="s">
        <v>22</v>
      </c>
      <c r="D11" t="s">
        <v>13</v>
      </c>
      <c r="E11" t="s">
        <v>10</v>
      </c>
      <c r="F11" t="s">
        <v>11</v>
      </c>
      <c r="G11" t="s">
        <v>12</v>
      </c>
      <c r="I11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showGridLines="0" tabSelected="1" topLeftCell="B1" zoomScaleNormal="100" workbookViewId="0">
      <selection activeCell="J9" sqref="J9"/>
    </sheetView>
  </sheetViews>
  <sheetFormatPr defaultRowHeight="14.5" x14ac:dyDescent="0.35"/>
  <cols>
    <col min="1" max="1" width="19.26953125" hidden="1" customWidth="1"/>
    <col min="2" max="2" width="9.81640625" style="1" bestFit="1" customWidth="1"/>
    <col min="3" max="3" width="8.1796875" style="1" customWidth="1"/>
    <col min="4" max="4" width="9.36328125" style="1" bestFit="1" customWidth="1"/>
    <col min="5" max="5" width="32.453125" style="1" customWidth="1"/>
    <col min="6" max="6" width="8.54296875" style="1" customWidth="1"/>
    <col min="7" max="7" width="18.08984375" style="1" customWidth="1"/>
    <col min="8" max="8" width="14.1796875" style="1" bestFit="1" customWidth="1"/>
    <col min="9" max="9" width="12" style="1" bestFit="1" customWidth="1"/>
    <col min="10" max="10" width="13.81640625" style="1" bestFit="1" customWidth="1"/>
    <col min="11" max="11" width="8.36328125" hidden="1" customWidth="1"/>
    <col min="12" max="13" width="11.81640625" bestFit="1" customWidth="1"/>
    <col min="14" max="14" width="10.36328125" customWidth="1"/>
    <col min="15" max="15" width="9.26953125" bestFit="1" customWidth="1"/>
    <col min="16" max="16" width="4.1796875" bestFit="1" customWidth="1"/>
    <col min="17" max="17" width="24.6328125" bestFit="1" customWidth="1"/>
    <col min="18" max="18" width="18.26953125" bestFit="1" customWidth="1"/>
    <col min="19" max="19" width="10.1796875" bestFit="1" customWidth="1"/>
  </cols>
  <sheetData>
    <row r="1" spans="2:16" x14ac:dyDescent="0.35">
      <c r="B1" s="1" t="s">
        <v>0</v>
      </c>
      <c r="C1" s="1" t="s">
        <v>1</v>
      </c>
      <c r="D1" s="1" t="s">
        <v>48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8" t="s">
        <v>35</v>
      </c>
      <c r="M1" s="4" t="s">
        <v>35</v>
      </c>
      <c r="O1" s="10" t="s">
        <v>3</v>
      </c>
      <c r="P1" s="10" t="s">
        <v>9</v>
      </c>
    </row>
    <row r="2" spans="2:16" x14ac:dyDescent="0.35">
      <c r="B2" s="3">
        <v>11369</v>
      </c>
      <c r="C2" s="3">
        <v>11369</v>
      </c>
      <c r="D2" s="3">
        <v>2418</v>
      </c>
      <c r="E2" s="5" t="s">
        <v>40</v>
      </c>
      <c r="F2" s="6" t="str">
        <f>IF(Tabela2[[#This Row],[OBS]]="","ATIVO","INATIVO")</f>
        <v>ATIVO</v>
      </c>
      <c r="G2" s="6" t="s">
        <v>36</v>
      </c>
      <c r="H2" s="6" t="s">
        <v>37</v>
      </c>
      <c r="I2" s="6" t="s">
        <v>36</v>
      </c>
      <c r="J2" s="15"/>
      <c r="K2" s="2"/>
      <c r="L2" s="6" t="s">
        <v>50</v>
      </c>
      <c r="M2" s="7" t="s">
        <v>50</v>
      </c>
      <c r="O2" s="9" t="s">
        <v>13</v>
      </c>
      <c r="P2" s="11">
        <v>8</v>
      </c>
    </row>
    <row r="3" spans="2:16" x14ac:dyDescent="0.35">
      <c r="B3" s="3">
        <v>11079</v>
      </c>
      <c r="C3" s="3">
        <v>11079</v>
      </c>
      <c r="D3" s="3">
        <v>2416</v>
      </c>
      <c r="E3" s="5" t="s">
        <v>41</v>
      </c>
      <c r="F3" s="6" t="str">
        <f>IF(Tabela2[[#This Row],[OBS]]="","ATIVO","INATIVO")</f>
        <v>ATIVO</v>
      </c>
      <c r="G3" s="6" t="s">
        <v>36</v>
      </c>
      <c r="H3" s="6" t="s">
        <v>37</v>
      </c>
      <c r="I3" s="6" t="s">
        <v>36</v>
      </c>
      <c r="J3" s="15"/>
      <c r="K3" s="2"/>
      <c r="L3" s="6" t="s">
        <v>49</v>
      </c>
      <c r="M3" s="7" t="s">
        <v>49</v>
      </c>
      <c r="O3" s="10" t="s">
        <v>14</v>
      </c>
      <c r="P3" s="12">
        <v>8</v>
      </c>
    </row>
    <row r="4" spans="2:16" x14ac:dyDescent="0.35">
      <c r="B4" s="3">
        <v>11296</v>
      </c>
      <c r="C4" s="3">
        <v>11296</v>
      </c>
      <c r="D4" s="3">
        <v>2375</v>
      </c>
      <c r="E4" s="20" t="s">
        <v>42</v>
      </c>
      <c r="F4" s="21" t="str">
        <f>IF(Tabela2[[#This Row],[OBS]]="","ATIVO","INATIVO")</f>
        <v>ATIVO</v>
      </c>
      <c r="G4" s="6" t="s">
        <v>36</v>
      </c>
      <c r="H4" s="6" t="s">
        <v>37</v>
      </c>
      <c r="I4" s="6" t="s">
        <v>36</v>
      </c>
      <c r="J4" s="22"/>
      <c r="K4" s="23"/>
      <c r="L4" s="6" t="s">
        <v>50</v>
      </c>
      <c r="M4" s="7" t="s">
        <v>50</v>
      </c>
    </row>
    <row r="5" spans="2:16" x14ac:dyDescent="0.35">
      <c r="B5" s="3">
        <v>10862</v>
      </c>
      <c r="C5" s="3">
        <v>10862</v>
      </c>
      <c r="D5" s="3">
        <v>2385</v>
      </c>
      <c r="E5" s="16" t="s">
        <v>43</v>
      </c>
      <c r="F5" s="17" t="str">
        <f>IF(Tabela2[[#This Row],[OBS]]="","ATIVO","INATIVO")</f>
        <v>ATIVO</v>
      </c>
      <c r="G5" s="6" t="s">
        <v>36</v>
      </c>
      <c r="H5" s="6" t="s">
        <v>37</v>
      </c>
      <c r="I5" s="6" t="s">
        <v>36</v>
      </c>
      <c r="J5" s="18"/>
      <c r="K5" s="19"/>
      <c r="L5" s="6" t="s">
        <v>50</v>
      </c>
      <c r="M5" s="7" t="s">
        <v>50</v>
      </c>
    </row>
    <row r="6" spans="2:16" x14ac:dyDescent="0.35">
      <c r="B6" s="3">
        <v>11381</v>
      </c>
      <c r="C6" s="3">
        <v>11381</v>
      </c>
      <c r="D6" s="3">
        <v>2402</v>
      </c>
      <c r="E6" s="5" t="s">
        <v>46</v>
      </c>
      <c r="F6" s="28" t="str">
        <f>IF(Tabela2[[#This Row],[OBS]]="","ATIVO","INATIVO")</f>
        <v>ATIVO</v>
      </c>
      <c r="G6" s="6" t="s">
        <v>36</v>
      </c>
      <c r="H6" s="6" t="s">
        <v>37</v>
      </c>
      <c r="I6" s="6" t="s">
        <v>36</v>
      </c>
      <c r="J6" s="29"/>
      <c r="K6" s="30"/>
      <c r="L6" s="6" t="s">
        <v>50</v>
      </c>
      <c r="M6" s="7" t="s">
        <v>50</v>
      </c>
    </row>
    <row r="7" spans="2:16" x14ac:dyDescent="0.35">
      <c r="B7" s="3">
        <v>11284</v>
      </c>
      <c r="C7" s="3">
        <v>11284</v>
      </c>
      <c r="D7" s="3">
        <v>3052</v>
      </c>
      <c r="E7" s="24" t="s">
        <v>44</v>
      </c>
      <c r="F7" s="25" t="str">
        <f>IF(Tabela2[[#This Row],[OBS]]="","ATIVO","INATIVO")</f>
        <v>ATIVO</v>
      </c>
      <c r="G7" s="6" t="s">
        <v>36</v>
      </c>
      <c r="H7" s="6" t="s">
        <v>37</v>
      </c>
      <c r="I7" s="6" t="s">
        <v>36</v>
      </c>
      <c r="J7" s="26"/>
      <c r="K7" s="27"/>
      <c r="L7" s="6" t="s">
        <v>50</v>
      </c>
      <c r="M7" s="7" t="s">
        <v>50</v>
      </c>
    </row>
    <row r="8" spans="2:16" x14ac:dyDescent="0.35">
      <c r="B8" s="3">
        <v>11491</v>
      </c>
      <c r="C8" s="3">
        <v>11491</v>
      </c>
      <c r="D8" s="3">
        <v>212</v>
      </c>
      <c r="E8" s="31" t="s">
        <v>47</v>
      </c>
      <c r="F8" s="32" t="str">
        <f>IF(Tabela2[[#This Row],[OBS]]="","ATIVO","INATIVO")</f>
        <v>ATIVO</v>
      </c>
      <c r="G8" s="6" t="s">
        <v>36</v>
      </c>
      <c r="H8" s="6" t="s">
        <v>37</v>
      </c>
      <c r="I8" s="6" t="s">
        <v>36</v>
      </c>
      <c r="J8" s="33"/>
      <c r="K8" s="34"/>
      <c r="L8" s="6" t="s">
        <v>50</v>
      </c>
      <c r="M8" s="7" t="s">
        <v>50</v>
      </c>
    </row>
    <row r="9" spans="2:16" x14ac:dyDescent="0.35">
      <c r="B9" s="3">
        <v>11454</v>
      </c>
      <c r="C9" s="3">
        <v>11454</v>
      </c>
      <c r="D9" s="3">
        <v>489</v>
      </c>
      <c r="E9" s="16" t="s">
        <v>45</v>
      </c>
      <c r="F9" s="17" t="str">
        <f>IF(Tabela2[[#This Row],[OBS]]="","ATIVO","INATIVO")</f>
        <v>ATIVO</v>
      </c>
      <c r="G9" s="6" t="s">
        <v>38</v>
      </c>
      <c r="H9" s="6" t="s">
        <v>37</v>
      </c>
      <c r="I9" s="6" t="s">
        <v>39</v>
      </c>
      <c r="J9" s="15"/>
      <c r="K9" s="19"/>
      <c r="L9" s="6" t="s">
        <v>50</v>
      </c>
      <c r="M9" s="7" t="s">
        <v>50</v>
      </c>
    </row>
    <row r="10" spans="2:16" x14ac:dyDescent="0.35">
      <c r="J10" s="13"/>
      <c r="L10" s="14">
        <f>COUNTIF(Tabela2[OPERACIONAL],"X")</f>
        <v>1</v>
      </c>
      <c r="M10" s="14">
        <f>COUNTIF(M2:M9,"X")</f>
        <v>1</v>
      </c>
    </row>
  </sheetData>
  <conditionalFormatting sqref="F1:F1048576">
    <cfRule type="containsText" dxfId="38" priority="3" stopIfTrue="1" operator="containsText" text="INATIVO">
      <formula>NOT(ISERROR(SEARCH("INATIVO",F1)))</formula>
    </cfRule>
    <cfRule type="containsText" dxfId="37" priority="4" stopIfTrue="1" operator="containsText" text="ATIVO">
      <formula>NOT(ISERROR(SEARCH("ATIVO",F1)))</formula>
    </cfRule>
  </conditionalFormatting>
  <conditionalFormatting sqref="L2:M9">
    <cfRule type="containsText" dxfId="36" priority="1" operator="containsText" text="OK">
      <formula>NOT(ISERROR(SEARCH("OK",L2)))</formula>
    </cfRule>
    <cfRule type="containsText" dxfId="35" priority="2" operator="containsText" text="X">
      <formula>NOT(ISERROR(SEARCH("X",L2)))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41aaa1-f251-4fb6-8c96-74d7389cb1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FCFFF271CA534AAC5C4188558CC345" ma:contentTypeVersion="10" ma:contentTypeDescription="Create a new document." ma:contentTypeScope="" ma:versionID="23ef1630579f9215ea43e4550bda9464">
  <xsd:schema xmlns:xsd="http://www.w3.org/2001/XMLSchema" xmlns:xs="http://www.w3.org/2001/XMLSchema" xmlns:p="http://schemas.microsoft.com/office/2006/metadata/properties" xmlns:ns3="4241aaa1-f251-4fb6-8c96-74d7389cb154" targetNamespace="http://schemas.microsoft.com/office/2006/metadata/properties" ma:root="true" ma:fieldsID="0768c733a3cbfa9b6cb629ad19077af0" ns3:_="">
    <xsd:import namespace="4241aaa1-f251-4fb6-8c96-74d7389cb1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Metadata" minOccurs="0"/>
                <xsd:element ref="ns3:MediaServiceFastMetadata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1aaa1-f251-4fb6-8c96-74d7389cb1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F12A7-47A9-4394-8F68-59F903A43B9C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4241aaa1-f251-4fb6-8c96-74d7389cb15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97DD8EA-DC29-49EC-B0B7-6C7851C8C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9A1014-70D8-4F05-B248-63B890BBBF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1aaa1-f251-4fb6-8c96-74d7389cb1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VERDE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Peterson Wellington Ferreira</dc:creator>
  <cp:keywords/>
  <dc:description/>
  <cp:lastModifiedBy>Nathalia De Souza Da Silva</cp:lastModifiedBy>
  <cp:revision/>
  <dcterms:created xsi:type="dcterms:W3CDTF">2020-01-31T11:15:54Z</dcterms:created>
  <dcterms:modified xsi:type="dcterms:W3CDTF">2026-02-20T20:50:11Z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0x01010081FCFFF271CA534AAC5C4188558CC345</vt:lpwstr>
  </property>
  <property fmtid="{D5CDD505-2E9C-101B-9397-08002B2CF9AE}" pid="3" name="MediaServiceImageTags">
    <vt:lpwstr/>
  </property>
</Properties>
</file>