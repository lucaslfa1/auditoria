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nathalia.silva\OneDrive - NSTECH GR LTDA\AUDITORIA\# LISTAGENS DE OPERADORES\"/>
    </mc:Choice>
  </mc:AlternateContent>
  <xr:revisionPtr revIDLastSave="37" documentId="113_{1D6D4A06-FC46-45E8-B45D-49A1F0CDEFE0}" xr6:coauthVersionLast="36" xr6:coauthVersionMax="36" xr10:uidLastSave="{23389051-A541-4B06-99BF-7040C906BF40}"/>
  <bookViews>
    <workbookView xWindow="0" yWindow="0" windowWidth="19200" windowHeight="7750" xr2:uid="{00000000-000D-0000-FFFF-FFFF00000000}"/>
  </bookViews>
  <sheets>
    <sheet name="LP-VERDE" sheetId="2" r:id="rId1"/>
  </sheets>
  <definedNames>
    <definedName name="_xlnm._FilterDatabase" localSheetId="0" hidden="1">'LP-VERDE'!$M$1:$M$1</definedName>
  </definedNames>
  <calcPr calcId="191028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6" i="2" l="1"/>
  <c r="F17" i="2"/>
  <c r="F18" i="2"/>
  <c r="F14" i="2" l="1"/>
  <c r="F15" i="2"/>
  <c r="F11" i="2" l="1"/>
  <c r="F12" i="2" l="1"/>
  <c r="F8" i="2" l="1"/>
  <c r="F9" i="2"/>
  <c r="F10" i="2" l="1"/>
  <c r="F2" i="2" l="1"/>
  <c r="F3" i="2"/>
  <c r="F4" i="2"/>
  <c r="F5" i="2"/>
  <c r="F6" i="2"/>
  <c r="F7" i="2"/>
  <c r="F13" i="2"/>
  <c r="M19" i="2" l="1"/>
  <c r="L19" i="2" l="1"/>
</calcChain>
</file>

<file path=xl/sharedStrings.xml><?xml version="1.0" encoding="utf-8"?>
<sst xmlns="http://schemas.openxmlformats.org/spreadsheetml/2006/main" count="120" uniqueCount="37">
  <si>
    <t>MATRICULA</t>
  </si>
  <si>
    <t xml:space="preserve">ID WEON </t>
  </si>
  <si>
    <t>NOME</t>
  </si>
  <si>
    <t>STATUS</t>
  </si>
  <si>
    <t>TURNO / OPERAÇÃO</t>
  </si>
  <si>
    <t>SUPERVISOR</t>
  </si>
  <si>
    <t>SETOR</t>
  </si>
  <si>
    <t>OBS</t>
  </si>
  <si>
    <t>CHAVE</t>
  </si>
  <si>
    <t>QTD</t>
  </si>
  <si>
    <t>ATIVO</t>
  </si>
  <si>
    <t>Total Geral</t>
  </si>
  <si>
    <t>OPERACIONAL</t>
  </si>
  <si>
    <t>CENTRAL - VERDE</t>
  </si>
  <si>
    <t>TRANSFERÊNCIA</t>
  </si>
  <si>
    <t>Gabryelle Marcilio</t>
  </si>
  <si>
    <t>ANAMELHA NAISSINGER GONÇALVES</t>
  </si>
  <si>
    <t>ANFRANNY DAYANA JIMENEZ CAÑA</t>
  </si>
  <si>
    <t>DAMARIS JULIANA PEREIRA</t>
  </si>
  <si>
    <t>ELEANOR SASSE</t>
  </si>
  <si>
    <t>ERICK MICHEL MENEZES DOS SANTOS</t>
  </si>
  <si>
    <t>THIAGO WALLACE LUBKE</t>
  </si>
  <si>
    <t>JACIARA SIMAO LEITE</t>
  </si>
  <si>
    <t>VIVIA JOANA DA SILVA</t>
  </si>
  <si>
    <t>GEAN FIGUEIREDO LEAL</t>
  </si>
  <si>
    <t>JADSON MARCOS DA SILVA SANTOS</t>
  </si>
  <si>
    <t>HUGO DOS SANTOS LANZETTI AYRES</t>
  </si>
  <si>
    <t>JENNYFER FERNANDA INACIO KRUEGER</t>
  </si>
  <si>
    <t>INATIVO</t>
  </si>
  <si>
    <t>EDEILSON DOS SANTOS PEREIRA</t>
  </si>
  <si>
    <t>ID HUAWEI</t>
  </si>
  <si>
    <t>DANIELA RIEDEL</t>
  </si>
  <si>
    <t xml:space="preserve">RAISSA MENDES CARDOSO </t>
  </si>
  <si>
    <t>RAYNICE MONTEIRO</t>
  </si>
  <si>
    <t>VITORIA RILLARY NASCIMENTO</t>
  </si>
  <si>
    <t>AFASTADA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</si>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</sst>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General"/>
  </numFmts>
  <fonts count="18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9" tint="-0.249977111117893"/>
      </right>
      <top/>
      <bottom/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</borders>
  <cellStyleXfs count="4">
    <xf numFmtId="0" fontId="0" fillId="0" borderId="0"/>
    <xf numFmtId="164" fontId="1" fillId="0" borderId="0" applyBorder="0" applyProtection="0"/>
    <xf numFmtId="0" fontId="2" fillId="0" borderId="0"/>
    <xf numFmtId="0" fontId="3" fillId="0" borderId="0"/>
  </cellStyleXfs>
  <cellXfs count="47">
    <xf numFmtId="0" fontId="0" fillId="0" borderId="0" xfId="0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0" borderId="0" xfId="0" applyNumberFormat="1" applyFont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7" fillId="3" borderId="3" xfId="0" applyFont="1" applyFill="1" applyBorder="1" applyAlignment="1">
      <alignment horizontal="left" vertical="center"/>
    </xf>
    <xf numFmtId="0" fontId="0" fillId="0" borderId="3" xfId="0" applyNumberFormat="1" applyBorder="1" applyAlignment="1">
      <alignment horizontal="center"/>
    </xf>
    <xf numFmtId="0" fontId="7" fillId="3" borderId="3" xfId="0" applyNumberFormat="1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0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1" fillId="4" borderId="0" xfId="0" applyFont="1" applyFill="1" applyAlignment="1">
      <alignment horizontal="left" vertical="center"/>
    </xf>
    <xf numFmtId="0" fontId="11" fillId="0" borderId="0" xfId="0" applyNumberFormat="1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left" vertical="center"/>
    </xf>
    <xf numFmtId="0" fontId="12" fillId="0" borderId="0" xfId="0" applyNumberFormat="1" applyFont="1" applyFill="1" applyAlignment="1">
      <alignment horizontal="center" vertical="center"/>
    </xf>
    <xf numFmtId="0" fontId="12" fillId="0" borderId="0" xfId="0" applyNumberFormat="1" applyFont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3" fillId="0" borderId="0" xfId="0" applyNumberFormat="1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3" fillId="0" borderId="0" xfId="0" applyNumberFormat="1" applyFont="1" applyAlignment="1">
      <alignment horizontal="left" vertical="center"/>
    </xf>
    <xf numFmtId="0" fontId="14" fillId="4" borderId="0" xfId="0" applyFont="1" applyFill="1" applyAlignment="1">
      <alignment horizontal="left" vertical="center"/>
    </xf>
    <xf numFmtId="0" fontId="14" fillId="0" borderId="0" xfId="0" applyNumberFormat="1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4" fillId="0" borderId="0" xfId="0" applyNumberFormat="1" applyFont="1" applyAlignment="1">
      <alignment horizontal="left" vertical="center"/>
    </xf>
    <xf numFmtId="0" fontId="15" fillId="4" borderId="0" xfId="0" applyFont="1" applyFill="1" applyAlignment="1">
      <alignment horizontal="left" vertical="center"/>
    </xf>
    <xf numFmtId="0" fontId="15" fillId="0" borderId="0" xfId="0" applyNumberFormat="1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5" fillId="0" borderId="0" xfId="0" applyNumberFormat="1" applyFont="1" applyAlignment="1">
      <alignment horizontal="left" vertical="center"/>
    </xf>
    <xf numFmtId="0" fontId="16" fillId="4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0" fontId="16" fillId="0" borderId="0" xfId="0" applyNumberFormat="1" applyFont="1" applyAlignment="1">
      <alignment horizontal="left" vertical="center"/>
    </xf>
    <xf numFmtId="0" fontId="17" fillId="4" borderId="0" xfId="0" applyFont="1" applyFill="1" applyAlignment="1">
      <alignment horizontal="left" vertical="center"/>
    </xf>
    <xf numFmtId="0" fontId="17" fillId="0" borderId="0" xfId="0" applyNumberFormat="1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7" fillId="0" borderId="0" xfId="0" applyNumberFormat="1" applyFont="1" applyAlignment="1">
      <alignment horizontal="left" vertical="center"/>
    </xf>
  </cellXfs>
  <cellStyles count="4">
    <cellStyle name="Excel Built-in Normal" xfId="1" xr:uid="{00000000-0005-0000-0000-000000000000}"/>
    <cellStyle name="Excel Built-in Normal 2" xfId="3" xr:uid="{00000000-0005-0000-0000-000001000000}"/>
    <cellStyle name="Normal" xfId="0" builtinId="0"/>
    <cellStyle name="Normal 2" xfId="2" xr:uid="{00000000-0005-0000-0000-000003000000}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alignment horizontal="center"/>
    </dxf>
    <dxf>
      <alignment horizontal="center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z val="10"/>
      </font>
      <fill>
        <patternFill patternType="solid">
          <fgColor theme="9"/>
          <bgColor theme="9"/>
        </patternFill>
      </fill>
      <alignment vertical="center"/>
    </dxf>
    <dxf>
      <font>
        <b/>
        <sz val="10"/>
      </font>
      <fill>
        <patternFill patternType="solid">
          <fgColor theme="9"/>
          <bgColor theme="9"/>
        </patternFill>
      </fill>
      <alignment vertical="center"/>
    </dxf>
    <dxf>
      <font>
        <b/>
        <sz val="10"/>
      </font>
      <fill>
        <patternFill patternType="solid">
          <fgColor theme="9"/>
          <bgColor theme="9"/>
        </patternFill>
      </fill>
      <alignment horizontal="left" vertical="center"/>
    </dxf>
    <dxf>
      <font>
        <b/>
        <sz val="10"/>
      </font>
      <fill>
        <patternFill patternType="solid">
          <fgColor theme="9"/>
          <bgColor theme="9"/>
        </patternFill>
      </fill>
      <alignment horizontal="left" vertical="center"/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rgb="FF3E4D1F"/>
      </font>
      <fill>
        <patternFill patternType="solid">
          <bgColor rgb="FFBDFFDE"/>
        </patternFill>
      </fill>
    </dxf>
    <dxf>
      <font>
        <color rgb="FFC00000"/>
      </font>
      <fill>
        <patternFill>
          <bgColor rgb="FFFCC0C0"/>
        </patternFill>
      </fill>
    </dxf>
  </dxfs>
  <tableStyles count="0" defaultTableStyle="TableStyleMedium2" defaultPivotStyle="PivotStyleLight16"/>
  <colors>
    <mruColors>
      <color rgb="FFFCC0C0"/>
      <color rgb="FF3E4D1F"/>
      <color rgb="FFC5FFDF"/>
      <color rgb="FFBDFFDE"/>
      <color rgb="FFFFC5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19</xdr:row>
      <xdr:rowOff>123016</xdr:rowOff>
    </xdr:from>
    <xdr:to>
      <xdr:col>14</xdr:col>
      <xdr:colOff>165806</xdr:colOff>
      <xdr:row>52</xdr:row>
      <xdr:rowOff>14645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B38FA85-2779-485A-8B97-2EEF182A1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3818716"/>
          <a:ext cx="11087806" cy="5968579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thalia de Souza da Silva" refreshedDate="46069.356998263887" createdVersion="6" refreshedVersion="6" minRefreshableVersion="3" recordCount="17" xr:uid="{77C4DEED-597A-4B82-BD11-4EE4DA6FEE9F}">
  <cacheSource type="worksheet">
    <worksheetSource name="Tabela2[[MATRICULA]:[OBS]]"/>
  </cacheSource>
  <cacheFields count="9">
    <cacheField name="MATRICULA" numFmtId="0">
      <sharedItems containsSemiMixedTypes="0" containsString="0" containsNumber="1" containsInteger="1" minValue="10939" maxValue="11521"/>
    </cacheField>
    <cacheField name="ID WEON " numFmtId="0">
      <sharedItems containsSemiMixedTypes="0" containsString="0" containsNumber="1" containsInteger="1" minValue="10939" maxValue="11521"/>
    </cacheField>
    <cacheField name="ID HUAWEI" numFmtId="0">
      <sharedItems containsSemiMixedTypes="0" containsString="0" containsNumber="1" containsInteger="1" minValue="188" maxValue="2514"/>
    </cacheField>
    <cacheField name="NOME" numFmtId="0">
      <sharedItems/>
    </cacheField>
    <cacheField name="STATUS" numFmtId="0">
      <sharedItems count="2">
        <s v="ATIVO"/>
        <s v="INATIVO"/>
      </sharedItems>
    </cacheField>
    <cacheField name="TURNO / OPERAÇÃO" numFmtId="0">
      <sharedItems/>
    </cacheField>
    <cacheField name="SUPERVISOR" numFmtId="0">
      <sharedItems/>
    </cacheField>
    <cacheField name="SETOR" numFmtId="0">
      <sharedItems/>
    </cacheField>
    <cacheField name="OB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n v="11295"/>
    <n v="11295"/>
    <n v="2367"/>
    <s v="ANAMELHA NAISSINGER GONÇALVES"/>
    <x v="0"/>
    <s v="CENTRAL - VERDE"/>
    <s v="Gabryelle Marcilio"/>
    <s v="TRANSFERÊNCIA"/>
    <m/>
  </r>
  <r>
    <n v="11342"/>
    <n v="11342"/>
    <n v="2364"/>
    <s v="ANFRANNY DAYANA JIMENEZ CAÑA"/>
    <x v="0"/>
    <s v="CENTRAL - VERDE"/>
    <s v="Gabryelle Marcilio"/>
    <s v="TRANSFERÊNCIA"/>
    <m/>
  </r>
  <r>
    <n v="11277"/>
    <n v="11277"/>
    <n v="2514"/>
    <s v="DAMARIS JULIANA PEREIRA"/>
    <x v="0"/>
    <s v="CENTRAL - VERDE"/>
    <s v="Gabryelle Marcilio"/>
    <s v="TRANSFERÊNCIA"/>
    <m/>
  </r>
  <r>
    <n v="11500"/>
    <n v="11500"/>
    <n v="663"/>
    <s v="DANIELA RIEDEL"/>
    <x v="1"/>
    <s v="CENTRAL - VERDE"/>
    <s v="Gabryelle Marcilio"/>
    <s v="TRANSFERÊNCIA"/>
    <s v="AFASTADA"/>
  </r>
  <r>
    <n v="11480"/>
    <n v="11480"/>
    <n v="213"/>
    <s v="EDEILSON DOS SANTOS PEREIRA"/>
    <x v="0"/>
    <s v="CENTRAL - VERDE"/>
    <s v="Gabryelle Marcilio"/>
    <s v="TRANSFERÊNCIA"/>
    <m/>
  </r>
  <r>
    <n v="11123"/>
    <n v="11123"/>
    <n v="2511"/>
    <s v="ELEANOR SASSE"/>
    <x v="0"/>
    <s v="CENTRAL - VERDE"/>
    <s v="Gabryelle Marcilio"/>
    <s v="TRANSFERÊNCIA"/>
    <m/>
  </r>
  <r>
    <n v="11181"/>
    <n v="11181"/>
    <n v="2510"/>
    <s v="ERICK MICHEL MENEZES DOS SANTOS"/>
    <x v="0"/>
    <s v="CENTRAL - VERDE"/>
    <s v="Gabryelle Marcilio"/>
    <s v="TRANSFERÊNCIA"/>
    <m/>
  </r>
  <r>
    <n v="11413"/>
    <n v="11413"/>
    <n v="2506"/>
    <s v="GEAN FIGUEIREDO LEAL"/>
    <x v="0"/>
    <s v="CENTRAL - VERDE"/>
    <s v="Gabryelle Marcilio"/>
    <s v="TRANSFERÊNCIA"/>
    <m/>
  </r>
  <r>
    <n v="11466"/>
    <n v="11466"/>
    <n v="188"/>
    <s v="HUGO DOS SANTOS LANZETTI AYRES"/>
    <x v="0"/>
    <s v="CENTRAL - VERDE"/>
    <s v="Gabryelle Marcilio"/>
    <s v="TRANSFERÊNCIA"/>
    <m/>
  </r>
  <r>
    <n v="10939"/>
    <n v="10939"/>
    <n v="2498"/>
    <s v="JACIARA SIMAO LEITE"/>
    <x v="0"/>
    <s v="CENTRAL - VERDE"/>
    <s v="Gabryelle Marcilio"/>
    <s v="TRANSFERÊNCIA"/>
    <m/>
  </r>
  <r>
    <n v="11433"/>
    <n v="11433"/>
    <n v="2008"/>
    <s v="JADSON MARCOS DA SILVA SANTOS"/>
    <x v="0"/>
    <s v="CENTRAL - VERDE"/>
    <s v="Gabryelle Marcilio"/>
    <s v="TRANSFERÊNCIA"/>
    <m/>
  </r>
  <r>
    <n v="11460"/>
    <n v="11460"/>
    <n v="2321"/>
    <s v="JENNYFER FERNANDA INACIO KRUEGER"/>
    <x v="0"/>
    <s v="CENTRAL - VERDE"/>
    <s v="Gabryelle Marcilio"/>
    <s v="TRANSFERÊNCIA"/>
    <m/>
  </r>
  <r>
    <n v="11517"/>
    <n v="11517"/>
    <n v="657"/>
    <s v="RAISSA MENDES CARDOSO "/>
    <x v="0"/>
    <s v="CENTRAL - VERDE"/>
    <s v="Gabryelle Marcilio"/>
    <s v="TRANSFERÊNCIA"/>
    <m/>
  </r>
  <r>
    <n v="11515"/>
    <n v="11515"/>
    <n v="650"/>
    <s v="RAYNICE MONTEIRO"/>
    <x v="0"/>
    <s v="CENTRAL - VERDE"/>
    <s v="Gabryelle Marcilio"/>
    <s v="TRANSFERÊNCIA"/>
    <m/>
  </r>
  <r>
    <n v="11521"/>
    <n v="11521"/>
    <n v="659"/>
    <s v="VITORIA RILLARY NASCIMENTO"/>
    <x v="0"/>
    <s v="CENTRAL - VERDE"/>
    <s v="Gabryelle Marcilio"/>
    <s v="TRANSFERÊNCIA"/>
    <m/>
  </r>
  <r>
    <n v="11093"/>
    <n v="11093"/>
    <n v="2467"/>
    <s v="THIAGO WALLACE LUBKE"/>
    <x v="0"/>
    <s v="CENTRAL - VERDE"/>
    <s v="Gabryelle Marcilio"/>
    <s v="TRANSFERÊNCIA"/>
    <m/>
  </r>
  <r>
    <n v="11396"/>
    <n v="11396"/>
    <n v="2466"/>
    <s v="VIVIA JOANA DA SILVA"/>
    <x v="0"/>
    <s v="CENTRAL - VERDE"/>
    <s v="Gabryelle Marcilio"/>
    <s v="TRANSFERÊNCIA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EE3994-B379-465E-B0D4-A151CE254791}" name="Tabela dinâmica3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STATUS">
  <location ref="O1:P4" firstHeaderRow="1" firstDataRow="1" firstDataCol="1"/>
  <pivotFields count="9"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QTD" fld="4" subtotal="count" baseField="3" baseItem="0"/>
  </dataFields>
  <formats count="16">
    <format dxfId="34">
      <pivotArea field="4" type="button" dataOnly="0" labelOnly="1" outline="0" axis="axisRow" fieldPosition="0"/>
    </format>
    <format dxfId="33">
      <pivotArea dataOnly="0" labelOnly="1" outline="0" axis="axisValues" fieldPosition="0"/>
    </format>
    <format dxfId="32">
      <pivotArea grandRow="1" outline="0" collapsedLevelsAreSubtotals="1" fieldPosition="0"/>
    </format>
    <format dxfId="31">
      <pivotArea dataOnly="0" labelOnly="1" grandRow="1" outline="0" fieldPosition="0"/>
    </format>
    <format dxfId="30">
      <pivotArea type="all" dataOnly="0" outline="0" fieldPosition="0"/>
    </format>
    <format dxfId="29">
      <pivotArea outline="0" collapsedLevelsAreSubtotals="1" fieldPosition="0"/>
    </format>
    <format dxfId="28">
      <pivotArea field="4" type="button" dataOnly="0" labelOnly="1" outline="0" axis="axisRow" fieldPosition="0"/>
    </format>
    <format dxfId="27">
      <pivotArea dataOnly="0" labelOnly="1" fieldPosition="0">
        <references count="1">
          <reference field="4" count="0"/>
        </references>
      </pivotArea>
    </format>
    <format dxfId="26">
      <pivotArea dataOnly="0" labelOnly="1" grandRow="1" outline="0" fieldPosition="0"/>
    </format>
    <format dxfId="25">
      <pivotArea dataOnly="0" labelOnly="1" outline="0" axis="axisValues" fieldPosition="0"/>
    </format>
    <format dxfId="24">
      <pivotArea grandRow="1" outline="0" collapsedLevelsAreSubtotals="1" fieldPosition="0"/>
    </format>
    <format dxfId="23">
      <pivotArea dataOnly="0" labelOnly="1" grandRow="1" outline="0" fieldPosition="0"/>
    </format>
    <format dxfId="22">
      <pivotArea field="4" type="button" dataOnly="0" labelOnly="1" outline="0" axis="axisRow" fieldPosition="0"/>
    </format>
    <format dxfId="21">
      <pivotArea dataOnly="0" labelOnly="1" outline="0" axis="axisValues" fieldPosition="0"/>
    </format>
    <format dxfId="20">
      <pivotArea grandRow="1" outline="0" collapsedLevelsAreSubtotals="1" fieldPosition="0"/>
    </format>
    <format dxfId="19">
      <pivotArea collapsedLevelsAreSubtotals="1" fieldPosition="0">
        <references count="1">
          <reference field="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B1:L18" totalsRowShown="0" headerRowDxfId="18" dataDxfId="17">
  <sortState ref="B2:K4">
    <sortCondition ref="B1:B4"/>
  </sortState>
  <tableColumns count="11">
    <tableColumn id="1" xr3:uid="{00000000-0010-0000-0000-000001000000}" name="MATRICULA" dataDxfId="16"/>
    <tableColumn id="9" xr3:uid="{5D5963D4-6ADD-4B53-A2B4-60955012F1B3}" name="ID WEON " dataDxfId="15"/>
    <tableColumn id="11" xr3:uid="{E2C01292-5BDA-4DDC-B1B1-AE76EF2647C0}" name="ID HUAWEI" dataDxfId="14"/>
    <tableColumn id="2" xr3:uid="{00000000-0010-0000-0000-000002000000}" name="NOME" dataDxfId="13"/>
    <tableColumn id="3" xr3:uid="{00000000-0010-0000-0000-000003000000}" name="STATUS" dataDxfId="12">
      <calculatedColumnFormula>IF(Tabela2[[#This Row],[OBS]]="","ATIVO","INATIVO")</calculatedColumnFormula>
    </tableColumn>
    <tableColumn id="4" xr3:uid="{00000000-0010-0000-0000-000004000000}" name="TURNO / OPERAÇÃO" dataDxfId="11" totalsRowDxfId="10"/>
    <tableColumn id="5" xr3:uid="{00000000-0010-0000-0000-000005000000}" name="SUPERVISOR" dataDxfId="9" totalsRowDxfId="8"/>
    <tableColumn id="6" xr3:uid="{00000000-0010-0000-0000-000006000000}" name="SETOR" dataDxfId="7" totalsRowDxfId="6"/>
    <tableColumn id="7" xr3:uid="{00000000-0010-0000-0000-000007000000}" name="OBS" dataDxfId="5" totalsRowDxfId="4"/>
    <tableColumn id="8" xr3:uid="{00000000-0010-0000-0000-000008000000}" name="CHAVE" dataDxfId="3" totalsRowDxfId="2"/>
    <tableColumn id="10" xr3:uid="{D8BA63F2-D59B-4CD8-8EE0-EAE9BC3FDE4E}" name="OPERACIONAL" dataDxfId="1" totalsRowDxfId="0"/>
  </tableColumns>
  <tableStyleInfo name="TableStyleLight14" showFirstColumn="1" showLastColumn="1" showRowStripes="1" showColumnStripes="1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"/>
  <sheetViews>
    <sheetView showGridLines="0" tabSelected="1" topLeftCell="B1" zoomScaleNormal="100" workbookViewId="0">
      <selection activeCell="Q12" sqref="Q12"/>
    </sheetView>
  </sheetViews>
  <sheetFormatPr defaultRowHeight="14.5" x14ac:dyDescent="0.35"/>
  <cols>
    <col min="1" max="1" width="19.26953125" hidden="1" customWidth="1"/>
    <col min="2" max="2" width="12.08984375" style="1" customWidth="1"/>
    <col min="3" max="3" width="8.1796875" style="1" customWidth="1"/>
    <col min="4" max="4" width="9.36328125" style="1" bestFit="1" customWidth="1"/>
    <col min="5" max="5" width="32.453125" style="1" customWidth="1"/>
    <col min="6" max="6" width="8.54296875" style="1" customWidth="1"/>
    <col min="7" max="7" width="18.08984375" style="1" customWidth="1"/>
    <col min="8" max="8" width="14.1796875" style="1" bestFit="1" customWidth="1"/>
    <col min="9" max="9" width="12" style="1" bestFit="1" customWidth="1"/>
    <col min="10" max="10" width="9.08984375" style="17" bestFit="1" customWidth="1"/>
    <col min="11" max="11" width="8.36328125" hidden="1" customWidth="1"/>
    <col min="12" max="12" width="11.81640625" customWidth="1"/>
    <col min="13" max="13" width="11.81640625" bestFit="1" customWidth="1"/>
    <col min="14" max="14" width="10.36328125" customWidth="1"/>
    <col min="15" max="15" width="9.26953125" bestFit="1" customWidth="1"/>
    <col min="16" max="16" width="4.1796875" bestFit="1" customWidth="1"/>
    <col min="17" max="17" width="24.6328125" bestFit="1" customWidth="1"/>
    <col min="18" max="18" width="18.26953125" bestFit="1" customWidth="1"/>
    <col min="19" max="19" width="10.1796875" bestFit="1" customWidth="1"/>
  </cols>
  <sheetData>
    <row r="1" spans="2:16" x14ac:dyDescent="0.35">
      <c r="B1" s="1" t="s">
        <v>0</v>
      </c>
      <c r="C1" s="1" t="s">
        <v>1</v>
      </c>
      <c r="D1" s="1" t="s">
        <v>30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7" t="s">
        <v>7</v>
      </c>
      <c r="K1" s="1" t="s">
        <v>8</v>
      </c>
      <c r="L1" s="8" t="s">
        <v>12</v>
      </c>
      <c r="M1" s="5" t="s">
        <v>12</v>
      </c>
      <c r="O1" s="10" t="s">
        <v>3</v>
      </c>
      <c r="P1" s="10" t="s">
        <v>9</v>
      </c>
    </row>
    <row r="2" spans="2:16" x14ac:dyDescent="0.35">
      <c r="B2" s="3">
        <v>11295</v>
      </c>
      <c r="C2" s="3">
        <v>11295</v>
      </c>
      <c r="D2" s="3">
        <v>2367</v>
      </c>
      <c r="E2" s="20" t="s">
        <v>16</v>
      </c>
      <c r="F2" s="6" t="str">
        <f>IF(Tabela2[[#This Row],[OBS]]="","ATIVO","INATIVO")</f>
        <v>ATIVO</v>
      </c>
      <c r="G2" s="15" t="s">
        <v>13</v>
      </c>
      <c r="H2" s="15" t="s">
        <v>15</v>
      </c>
      <c r="I2" s="15" t="s">
        <v>14</v>
      </c>
      <c r="J2" s="18"/>
      <c r="K2" s="2"/>
      <c r="L2" s="6" t="s">
        <v>36</v>
      </c>
      <c r="M2" s="7" t="s">
        <v>36</v>
      </c>
      <c r="O2" s="9" t="s">
        <v>10</v>
      </c>
      <c r="P2" s="11">
        <v>16</v>
      </c>
    </row>
    <row r="3" spans="2:16" x14ac:dyDescent="0.35">
      <c r="B3" s="3">
        <v>11342</v>
      </c>
      <c r="C3" s="3">
        <v>11342</v>
      </c>
      <c r="D3" s="3">
        <v>2364</v>
      </c>
      <c r="E3" s="20" t="s">
        <v>17</v>
      </c>
      <c r="F3" s="21" t="str">
        <f>IF(Tabela2[[#This Row],[OBS]]="","ATIVO","INATIVO")</f>
        <v>ATIVO</v>
      </c>
      <c r="G3" s="22" t="s">
        <v>13</v>
      </c>
      <c r="H3" s="15" t="s">
        <v>15</v>
      </c>
      <c r="I3" s="22" t="s">
        <v>14</v>
      </c>
      <c r="J3" s="18"/>
      <c r="K3" s="2"/>
      <c r="L3" s="6" t="s">
        <v>36</v>
      </c>
      <c r="M3" s="7" t="s">
        <v>36</v>
      </c>
      <c r="O3" s="9" t="s">
        <v>28</v>
      </c>
      <c r="P3" s="11">
        <v>1</v>
      </c>
    </row>
    <row r="4" spans="2:16" x14ac:dyDescent="0.35">
      <c r="B4" s="3">
        <v>11277</v>
      </c>
      <c r="C4" s="3">
        <v>11277</v>
      </c>
      <c r="D4" s="3">
        <v>2514</v>
      </c>
      <c r="E4" s="20" t="s">
        <v>18</v>
      </c>
      <c r="F4" s="21" t="str">
        <f>IF(Tabela2[[#This Row],[OBS]]="","ATIVO","INATIVO")</f>
        <v>ATIVO</v>
      </c>
      <c r="G4" s="22" t="s">
        <v>13</v>
      </c>
      <c r="H4" s="15" t="s">
        <v>15</v>
      </c>
      <c r="I4" s="22" t="s">
        <v>14</v>
      </c>
      <c r="J4" s="18"/>
      <c r="K4" s="2"/>
      <c r="L4" s="6" t="s">
        <v>36</v>
      </c>
      <c r="M4" s="7" t="s">
        <v>36</v>
      </c>
      <c r="O4" s="10" t="s">
        <v>11</v>
      </c>
      <c r="P4" s="12">
        <v>17</v>
      </c>
    </row>
    <row r="5" spans="2:16" x14ac:dyDescent="0.35">
      <c r="B5" s="3">
        <v>11500</v>
      </c>
      <c r="C5" s="3">
        <v>11500</v>
      </c>
      <c r="D5" s="3">
        <v>663</v>
      </c>
      <c r="E5" s="20" t="s">
        <v>31</v>
      </c>
      <c r="F5" s="21" t="str">
        <f>IF(Tabela2[[#This Row],[OBS]]="","ATIVO","INATIVO")</f>
        <v>INATIVO</v>
      </c>
      <c r="G5" s="22" t="s">
        <v>13</v>
      </c>
      <c r="H5" s="15" t="s">
        <v>15</v>
      </c>
      <c r="I5" s="22" t="s">
        <v>14</v>
      </c>
      <c r="J5" s="18" t="s">
        <v>35</v>
      </c>
      <c r="K5" s="2"/>
      <c r="L5" s="6" t="s">
        <v>35</v>
      </c>
      <c r="M5" s="7" t="s">
        <v>35</v>
      </c>
    </row>
    <row r="6" spans="2:16" x14ac:dyDescent="0.35">
      <c r="B6" s="3">
        <v>11480</v>
      </c>
      <c r="C6" s="3">
        <v>11480</v>
      </c>
      <c r="D6" s="3">
        <v>213</v>
      </c>
      <c r="E6" s="20" t="s">
        <v>29</v>
      </c>
      <c r="F6" s="21" t="str">
        <f>IF(Tabela2[[#This Row],[OBS]]="","ATIVO","INATIVO")</f>
        <v>ATIVO</v>
      </c>
      <c r="G6" s="22" t="s">
        <v>13</v>
      </c>
      <c r="H6" s="15" t="s">
        <v>15</v>
      </c>
      <c r="I6" s="22" t="s">
        <v>14</v>
      </c>
      <c r="J6" s="23"/>
      <c r="K6" s="2"/>
      <c r="L6" s="6" t="s">
        <v>36</v>
      </c>
      <c r="M6" s="16" t="s">
        <v>36</v>
      </c>
    </row>
    <row r="7" spans="2:16" x14ac:dyDescent="0.35">
      <c r="B7" s="3">
        <v>11123</v>
      </c>
      <c r="C7" s="3">
        <v>11123</v>
      </c>
      <c r="D7" s="3">
        <v>2511</v>
      </c>
      <c r="E7" s="20" t="s">
        <v>19</v>
      </c>
      <c r="F7" s="21" t="str">
        <f>IF(Tabela2[[#This Row],[OBS]]="","ATIVO","INATIVO")</f>
        <v>ATIVO</v>
      </c>
      <c r="G7" s="22" t="s">
        <v>13</v>
      </c>
      <c r="H7" s="15" t="s">
        <v>15</v>
      </c>
      <c r="I7" s="22" t="s">
        <v>14</v>
      </c>
      <c r="J7" s="23"/>
      <c r="K7" s="4"/>
      <c r="L7" s="6" t="s">
        <v>36</v>
      </c>
      <c r="M7" s="16" t="s">
        <v>36</v>
      </c>
    </row>
    <row r="8" spans="2:16" x14ac:dyDescent="0.35">
      <c r="B8" s="3">
        <v>11181</v>
      </c>
      <c r="C8" s="3">
        <v>11181</v>
      </c>
      <c r="D8" s="3">
        <v>2510</v>
      </c>
      <c r="E8" s="27" t="s">
        <v>20</v>
      </c>
      <c r="F8" s="28" t="str">
        <f>IF(Tabela2[[#This Row],[OBS]]="","ATIVO","INATIVO")</f>
        <v>ATIVO</v>
      </c>
      <c r="G8" s="22" t="s">
        <v>13</v>
      </c>
      <c r="H8" s="15" t="s">
        <v>15</v>
      </c>
      <c r="I8" s="22" t="s">
        <v>14</v>
      </c>
      <c r="J8" s="18"/>
      <c r="K8" s="30"/>
      <c r="L8" s="15" t="s">
        <v>36</v>
      </c>
      <c r="M8" s="16" t="s">
        <v>36</v>
      </c>
    </row>
    <row r="9" spans="2:16" x14ac:dyDescent="0.35">
      <c r="B9" s="3">
        <v>11413</v>
      </c>
      <c r="C9" s="3">
        <v>11413</v>
      </c>
      <c r="D9" s="3">
        <v>2506</v>
      </c>
      <c r="E9" s="27" t="s">
        <v>24</v>
      </c>
      <c r="F9" s="28" t="str">
        <f>IF(Tabela2[[#This Row],[OBS]]="","ATIVO","INATIVO")</f>
        <v>ATIVO</v>
      </c>
      <c r="G9" s="22" t="s">
        <v>13</v>
      </c>
      <c r="H9" s="15" t="s">
        <v>15</v>
      </c>
      <c r="I9" s="22" t="s">
        <v>14</v>
      </c>
      <c r="J9" s="29"/>
      <c r="K9" s="30"/>
      <c r="L9" s="15" t="s">
        <v>36</v>
      </c>
      <c r="M9" s="16" t="s">
        <v>36</v>
      </c>
    </row>
    <row r="10" spans="2:16" x14ac:dyDescent="0.35">
      <c r="B10" s="3">
        <v>11466</v>
      </c>
      <c r="C10" s="3">
        <v>11466</v>
      </c>
      <c r="D10" s="3">
        <v>188</v>
      </c>
      <c r="E10" s="24" t="s">
        <v>26</v>
      </c>
      <c r="F10" s="25" t="str">
        <f>IF(Tabela2[[#This Row],[OBS]]="","ATIVO","INATIVO")</f>
        <v>ATIVO</v>
      </c>
      <c r="G10" s="22" t="s">
        <v>13</v>
      </c>
      <c r="H10" s="15" t="s">
        <v>15</v>
      </c>
      <c r="I10" s="22" t="s">
        <v>14</v>
      </c>
      <c r="J10" s="18"/>
      <c r="K10" s="26"/>
      <c r="L10" s="15" t="s">
        <v>36</v>
      </c>
      <c r="M10" s="16" t="s">
        <v>36</v>
      </c>
    </row>
    <row r="11" spans="2:16" x14ac:dyDescent="0.35">
      <c r="B11" s="3">
        <v>10939</v>
      </c>
      <c r="C11" s="3">
        <v>10939</v>
      </c>
      <c r="D11" s="3">
        <v>2498</v>
      </c>
      <c r="E11" s="36" t="s">
        <v>22</v>
      </c>
      <c r="F11" s="37" t="str">
        <f>IF(Tabela2[[#This Row],[OBS]]="","ATIVO","INATIVO")</f>
        <v>ATIVO</v>
      </c>
      <c r="G11" s="22" t="s">
        <v>13</v>
      </c>
      <c r="H11" s="15" t="s">
        <v>15</v>
      </c>
      <c r="I11" s="22" t="s">
        <v>14</v>
      </c>
      <c r="J11" s="38"/>
      <c r="K11" s="39"/>
      <c r="L11" s="15" t="s">
        <v>36</v>
      </c>
      <c r="M11" s="16" t="s">
        <v>36</v>
      </c>
    </row>
    <row r="12" spans="2:16" x14ac:dyDescent="0.35">
      <c r="B12" s="3">
        <v>11433</v>
      </c>
      <c r="C12" s="3">
        <v>11433</v>
      </c>
      <c r="D12" s="3">
        <v>2008</v>
      </c>
      <c r="E12" s="31" t="s">
        <v>25</v>
      </c>
      <c r="F12" s="32" t="str">
        <f>IF(Tabela2[[#This Row],[OBS]]="","ATIVO","INATIVO")</f>
        <v>ATIVO</v>
      </c>
      <c r="G12" s="33" t="s">
        <v>13</v>
      </c>
      <c r="H12" s="33" t="s">
        <v>15</v>
      </c>
      <c r="I12" s="33" t="s">
        <v>14</v>
      </c>
      <c r="J12" s="41"/>
      <c r="K12" s="42"/>
      <c r="L12" s="15" t="s">
        <v>36</v>
      </c>
      <c r="M12" s="16" t="s">
        <v>36</v>
      </c>
    </row>
    <row r="13" spans="2:16" x14ac:dyDescent="0.35">
      <c r="B13" s="3">
        <v>11460</v>
      </c>
      <c r="C13" s="3">
        <v>11460</v>
      </c>
      <c r="D13" s="3">
        <v>2321</v>
      </c>
      <c r="E13" s="20" t="s">
        <v>27</v>
      </c>
      <c r="F13" s="21" t="str">
        <f>IF(Tabela2[[#This Row],[OBS]]="","ATIVO","INATIVO")</f>
        <v>ATIVO</v>
      </c>
      <c r="G13" s="22" t="s">
        <v>13</v>
      </c>
      <c r="H13" s="15" t="s">
        <v>15</v>
      </c>
      <c r="I13" s="22" t="s">
        <v>14</v>
      </c>
      <c r="J13" s="41"/>
      <c r="K13" s="42"/>
      <c r="L13" s="15" t="s">
        <v>36</v>
      </c>
      <c r="M13" s="16" t="s">
        <v>36</v>
      </c>
    </row>
    <row r="14" spans="2:16" x14ac:dyDescent="0.35">
      <c r="B14" s="3">
        <v>11517</v>
      </c>
      <c r="C14" s="3">
        <v>11517</v>
      </c>
      <c r="D14" s="3">
        <v>657</v>
      </c>
      <c r="E14" s="40" t="s">
        <v>32</v>
      </c>
      <c r="F14" s="21" t="str">
        <f>IF(Tabela2[[#This Row],[OBS]]="","ATIVO","INATIVO")</f>
        <v>ATIVO</v>
      </c>
      <c r="G14" s="22" t="s">
        <v>13</v>
      </c>
      <c r="H14" s="15" t="s">
        <v>15</v>
      </c>
      <c r="I14" s="22" t="s">
        <v>14</v>
      </c>
      <c r="J14" s="34"/>
      <c r="K14" s="35"/>
      <c r="L14" s="15" t="s">
        <v>36</v>
      </c>
      <c r="M14" s="16" t="s">
        <v>36</v>
      </c>
    </row>
    <row r="15" spans="2:16" ht="15.5" customHeight="1" x14ac:dyDescent="0.35">
      <c r="B15" s="3">
        <v>11515</v>
      </c>
      <c r="C15" s="3">
        <v>11515</v>
      </c>
      <c r="D15" s="3">
        <v>650</v>
      </c>
      <c r="E15" s="40" t="s">
        <v>33</v>
      </c>
      <c r="F15" s="21" t="str">
        <f>IF(Tabela2[[#This Row],[OBS]]="","ATIVO","INATIVO")</f>
        <v>ATIVO</v>
      </c>
      <c r="G15" s="22" t="s">
        <v>13</v>
      </c>
      <c r="H15" s="15" t="s">
        <v>15</v>
      </c>
      <c r="I15" s="22" t="s">
        <v>14</v>
      </c>
      <c r="J15" s="18"/>
      <c r="K15" s="14"/>
      <c r="L15" s="15" t="s">
        <v>36</v>
      </c>
      <c r="M15" s="16" t="s">
        <v>36</v>
      </c>
    </row>
    <row r="16" spans="2:16" x14ac:dyDescent="0.35">
      <c r="B16" s="3">
        <v>11521</v>
      </c>
      <c r="C16" s="3">
        <v>11521</v>
      </c>
      <c r="D16" s="3">
        <v>659</v>
      </c>
      <c r="E16" s="43" t="s">
        <v>34</v>
      </c>
      <c r="F16" s="44" t="str">
        <f>IF(Tabela2[[#This Row],[OBS]]="","ATIVO","INATIVO")</f>
        <v>ATIVO</v>
      </c>
      <c r="G16" s="22" t="s">
        <v>13</v>
      </c>
      <c r="H16" s="15" t="s">
        <v>15</v>
      </c>
      <c r="I16" s="22" t="s">
        <v>14</v>
      </c>
      <c r="J16" s="45"/>
      <c r="K16" s="46"/>
      <c r="L16" s="15" t="s">
        <v>36</v>
      </c>
      <c r="M16" s="16" t="s">
        <v>36</v>
      </c>
    </row>
    <row r="17" spans="2:13" x14ac:dyDescent="0.35">
      <c r="B17" s="3">
        <v>11093</v>
      </c>
      <c r="C17" s="3">
        <v>11093</v>
      </c>
      <c r="D17" s="3">
        <v>2467</v>
      </c>
      <c r="E17" s="43" t="s">
        <v>21</v>
      </c>
      <c r="F17" s="44" t="str">
        <f>IF(Tabela2[[#This Row],[OBS]]="","ATIVO","INATIVO")</f>
        <v>ATIVO</v>
      </c>
      <c r="G17" s="22" t="s">
        <v>13</v>
      </c>
      <c r="H17" s="15" t="s">
        <v>15</v>
      </c>
      <c r="I17" s="22" t="s">
        <v>14</v>
      </c>
      <c r="J17" s="45"/>
      <c r="K17" s="46"/>
      <c r="L17" s="15" t="s">
        <v>36</v>
      </c>
      <c r="M17" s="16" t="s">
        <v>36</v>
      </c>
    </row>
    <row r="18" spans="2:13" x14ac:dyDescent="0.35">
      <c r="B18" s="3">
        <v>11396</v>
      </c>
      <c r="C18" s="3">
        <v>11396</v>
      </c>
      <c r="D18" s="3">
        <v>2466</v>
      </c>
      <c r="E18" s="43" t="s">
        <v>23</v>
      </c>
      <c r="F18" s="44" t="str">
        <f>IF(Tabela2[[#This Row],[OBS]]="","ATIVO","INATIVO")</f>
        <v>ATIVO</v>
      </c>
      <c r="G18" s="22" t="s">
        <v>13</v>
      </c>
      <c r="H18" s="15" t="s">
        <v>15</v>
      </c>
      <c r="I18" s="22" t="s">
        <v>14</v>
      </c>
      <c r="J18" s="45"/>
      <c r="K18" s="46"/>
      <c r="L18" s="15" t="s">
        <v>36</v>
      </c>
      <c r="M18" s="7" t="s">
        <v>36</v>
      </c>
    </row>
    <row r="19" spans="2:13" x14ac:dyDescent="0.35">
      <c r="J19" s="19"/>
      <c r="L19" s="13">
        <f>COUNTIF(Tabela2[OPERACIONAL],"X")</f>
        <v>0</v>
      </c>
      <c r="M19" s="13">
        <f>COUNTIF(M2:M18,"X")</f>
        <v>0</v>
      </c>
    </row>
  </sheetData>
  <conditionalFormatting sqref="F1:F1048576">
    <cfRule type="containsText" dxfId="38" priority="3" stopIfTrue="1" operator="containsText" text="INATIVO">
      <formula>NOT(ISERROR(SEARCH("INATIVO",F1)))</formula>
    </cfRule>
    <cfRule type="containsText" dxfId="37" priority="4" stopIfTrue="1" operator="containsText" text="ATIVO">
      <formula>NOT(ISERROR(SEARCH("ATIVO",F1)))</formula>
    </cfRule>
  </conditionalFormatting>
  <conditionalFormatting sqref="L2:M18">
    <cfRule type="containsText" dxfId="36" priority="1" operator="containsText" text="OK">
      <formula>NOT(ISERROR(SEARCH("OK",L2)))</formula>
    </cfRule>
    <cfRule type="containsText" dxfId="35" priority="2" operator="containsText" text="X">
      <formula>NOT(ISERROR(SEARCH("X",L2)))</formula>
    </cfRule>
  </conditionalFormatting>
  <pageMargins left="0.511811024" right="0.511811024" top="0.78740157499999996" bottom="0.78740157499999996" header="0.31496062000000002" footer="0.31496062000000002"/>
  <pageSetup orientation="portrait" horizontalDpi="300" r:id="rId2"/>
  <drawing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241aaa1-f251-4fb6-8c96-74d7389cb15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1FCFFF271CA534AAC5C4188558CC345" ma:contentTypeVersion="10" ma:contentTypeDescription="Create a new document." ma:contentTypeScope="" ma:versionID="ed70198764c765101db3018d4d5e16ea">
  <xsd:schema xmlns:xsd="http://www.w3.org/2001/XMLSchema" xmlns:xs="http://www.w3.org/2001/XMLSchema" xmlns:p="http://schemas.microsoft.com/office/2006/metadata/properties" xmlns:ns3="4241aaa1-f251-4fb6-8c96-74d7389cb154" targetNamespace="http://schemas.microsoft.com/office/2006/metadata/properties" ma:root="true" ma:fieldsID="13e2998aba136dad0fd39bad2350e6b4" ns3:_="">
    <xsd:import namespace="4241aaa1-f251-4fb6-8c96-74d7389cb15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Metadata" minOccurs="0"/>
                <xsd:element ref="ns3:MediaServiceFastMetadata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41aaa1-f251-4fb6-8c96-74d7389cb15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Metadata" ma:index="1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7DD8EA-DC29-49EC-B0B7-6C7851C8C3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B1F12A7-47A9-4394-8F68-59F903A43B9C}">
  <ds:schemaRefs>
    <ds:schemaRef ds:uri="http://schemas.microsoft.com/office/2006/metadata/properties"/>
    <ds:schemaRef ds:uri="http://purl.org/dc/dcmitype/"/>
    <ds:schemaRef ds:uri="http://purl.org/dc/terms/"/>
    <ds:schemaRef ds:uri="http://purl.org/dc/elements/1.1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4241aaa1-f251-4fb6-8c96-74d7389cb154"/>
  </ds:schemaRefs>
</ds:datastoreItem>
</file>

<file path=customXml/itemProps3.xml><?xml version="1.0" encoding="utf-8"?>
<ds:datastoreItem xmlns:ds="http://schemas.openxmlformats.org/officeDocument/2006/customXml" ds:itemID="{2DE5CFAF-3F97-4F85-900D-0779602F27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41aaa1-f251-4fb6-8c96-74d7389cb1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LP-VERDE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Peterson Wellington Ferreira</dc:creator>
  <cp:keywords/>
  <dc:description/>
  <cp:lastModifiedBy>Nathalia De Souza Da Silva</cp:lastModifiedBy>
  <cp:revision/>
  <dcterms:created xsi:type="dcterms:W3CDTF">2020-01-31T11:15:54Z</dcterms:created>
  <dcterms:modified xsi:type="dcterms:W3CDTF">2026-02-27T17:53:50Z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0x01010081FCFFF271CA534AAC5C4188558CC345</vt:lpwstr>
  </property>
  <property fmtid="{D5CDD505-2E9C-101B-9397-08002B2CF9AE}" pid="3" name="MediaServiceImageTags">
    <vt:lpwstr/>
  </property>
</Properties>
</file>