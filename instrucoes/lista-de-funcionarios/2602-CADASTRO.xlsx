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7" documentId="14_{63845236-ED09-4B1D-B6A0-E6BFA2268A5F}" xr6:coauthVersionLast="36" xr6:coauthVersionMax="36" xr10:uidLastSave="{022B5678-6414-4ECF-ACDB-557E910C8209}"/>
  <bookViews>
    <workbookView xWindow="0" yWindow="0" windowWidth="19200" windowHeight="6350" xr2:uid="{00000000-000D-0000-FFFF-FFFF00000000}"/>
  </bookViews>
  <sheets>
    <sheet name="CADASTRO" sheetId="2" r:id="rId1"/>
  </sheets>
  <definedNames>
    <definedName name="_xlnm._FilterDatabase" localSheetId="0" hidden="1">CADASTRO!$M$1:$M$1</definedName>
  </definedName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M12" i="2" l="1"/>
  <c r="F2" i="2" l="1"/>
  <c r="F3" i="2"/>
  <c r="F4" i="2"/>
  <c r="F5" i="2"/>
  <c r="F6" i="2"/>
  <c r="F7" i="2"/>
  <c r="F8" i="2"/>
  <c r="F9" i="2"/>
  <c r="F10" i="2"/>
  <c r="F11" i="2"/>
</calcChain>
</file>

<file path=xl/sharedStrings.xml><?xml version="1.0" encoding="utf-8"?>
<sst xmlns="http://schemas.openxmlformats.org/spreadsheetml/2006/main" count="76" uniqueCount="28">
  <si>
    <t>MATRICULA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</si>
  <si>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</si>
  <si>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</si>
  <si>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</si>
  <si>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</si>
  <si>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</si>
  <si>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</si>
  <si>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</si>
  <si>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</si>
  <si>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</si>
  <si>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</si>
  <si>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CADASTRO</t>
  </si>
  <si>
    <t xml:space="preserve">RECEPTIVA 1 </t>
  </si>
  <si>
    <t>RECEPTIVA 2</t>
  </si>
  <si>
    <t>Larissa Cristina</t>
  </si>
  <si>
    <t>JULIANE CRISTINA DA SILVA ASSIS COLAÇO</t>
  </si>
  <si>
    <t>BRUNA MIRANDA PEREIRA</t>
  </si>
  <si>
    <t>NATALIA DE SOUZA TORRES</t>
  </si>
  <si>
    <t>KELLY CRISTINA OLIVEIRA SANTOS</t>
  </si>
  <si>
    <t>JULIANA DELL AQUILA</t>
  </si>
  <si>
    <t>CAIO DAS VIRGENS MELO</t>
  </si>
  <si>
    <t>ELOANE CARVALHO DA SILVA</t>
  </si>
  <si>
    <t>LOREN KELLY FREITAS PINHEIRO</t>
  </si>
  <si>
    <t>DAYANE RODRIGUES DE LARA</t>
  </si>
  <si>
    <t xml:space="preserve">ID HUAWEI </t>
  </si>
  <si>
    <t>ID WEON</t>
  </si>
  <si>
    <t>LARISSA GONÇALVES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</si>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</sst>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42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center"/>
    </xf>
    <xf numFmtId="0" fontId="6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left" vertical="center"/>
    </xf>
    <xf numFmtId="0" fontId="9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NumberFormat="1" applyFont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0" fontId="0" fillId="0" borderId="0" xfId="0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 style="thin">
          <color theme="9"/>
        </right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>
        <top style="thin">
          <color theme="9"/>
        </top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theme="9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129659</xdr:colOff>
      <xdr:row>13</xdr:row>
      <xdr:rowOff>114300</xdr:rowOff>
    </xdr:from>
    <xdr:to>
      <xdr:col>14</xdr:col>
      <xdr:colOff>182552</xdr:colOff>
      <xdr:row>46</xdr:row>
      <xdr:rowOff>94017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377DE0-0F9C-4F82-9EC6-EF3278D2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59" y="2508250"/>
          <a:ext cx="11213018" cy="605666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598593171293" createdVersion="6" refreshedVersion="6" minRefreshableVersion="3" recordCount="10" xr:uid="{66591D22-EFFC-4024-BC0C-176290843740}">
  <cacheSource type="worksheet">
    <worksheetSource ref="B1:M11" sheet="CADASTRO"/>
  </cacheSource>
  <cacheFields count="12">
    <cacheField name="MATRICULA" numFmtId="0">
      <sharedItems containsSemiMixedTypes="0" containsString="0" containsNumber="1" containsInteger="1" minValue="10709" maxValue="11457"/>
    </cacheField>
    <cacheField name="ID WEON" numFmtId="0">
      <sharedItems containsSemiMixedTypes="0" containsString="0" containsNumber="1" containsInteger="1" minValue="10709" maxValue="11457"/>
    </cacheField>
    <cacheField name="ID HUAWEI " numFmtId="0">
      <sharedItems containsSemiMixedTypes="0" containsString="0" containsNumber="1" containsInteger="1" minValue="209" maxValue="3025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  <cacheField name="CHAVE" numFmtId="0">
      <sharedItems containsNonDate="0" containsString="0" containsBlank="1"/>
    </cacheField>
    <cacheField name="RECEPTIVA 1 " numFmtId="0">
      <sharedItems containsNonDate="0" containsString="0" containsBlank="1"/>
    </cacheField>
    <cacheField name="RECEPTIVA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1214"/>
    <n v="11214"/>
    <n v="2975"/>
    <s v="JULIANE CRISTINA DA SILVA ASSIS COLAÇO"/>
    <x v="0"/>
    <s v="CADASTRO"/>
    <s v="Larissa Cristina"/>
    <s v="CADASTRO"/>
    <m/>
    <m/>
    <m/>
    <m/>
  </r>
  <r>
    <n v="11248"/>
    <n v="11248"/>
    <n v="2981"/>
    <s v="BRUNA MIRANDA PEREIRA"/>
    <x v="0"/>
    <s v="CADASTRO"/>
    <s v="Larissa Cristina"/>
    <s v="CADASTRO"/>
    <m/>
    <m/>
    <m/>
    <m/>
  </r>
  <r>
    <n v="11254"/>
    <n v="11254"/>
    <n v="2971"/>
    <s v="NATALIA DE SOUZA TORRES"/>
    <x v="0"/>
    <s v="CADASTRO"/>
    <s v="Larissa Cristina"/>
    <s v="CADASTRO"/>
    <m/>
    <m/>
    <m/>
    <m/>
  </r>
  <r>
    <n v="10709"/>
    <n v="10709"/>
    <n v="209"/>
    <s v="KELLY CRISTINA OLIVEIRA SANTOS"/>
    <x v="0"/>
    <s v="CADASTRO"/>
    <s v="Larissa Cristina"/>
    <s v="CADASTRO"/>
    <m/>
    <m/>
    <m/>
    <m/>
  </r>
  <r>
    <n v="11269"/>
    <n v="11269"/>
    <n v="2977"/>
    <s v="JULIANA DELL AQUILA"/>
    <x v="0"/>
    <s v="CADASTRO"/>
    <s v="Larissa Cristina"/>
    <s v="CADASTRO"/>
    <m/>
    <m/>
    <m/>
    <m/>
  </r>
  <r>
    <n v="11010"/>
    <n v="11010"/>
    <n v="2980"/>
    <s v="CAIO DAS VIRGENS MELO"/>
    <x v="0"/>
    <s v="CADASTRO"/>
    <s v="Larissa Cristina"/>
    <s v="CADASTRO"/>
    <m/>
    <m/>
    <m/>
    <m/>
  </r>
  <r>
    <n v="11376"/>
    <n v="11376"/>
    <n v="2979"/>
    <s v="ELOANE CARVALHO DA SILVA"/>
    <x v="0"/>
    <s v="CADASTRO"/>
    <s v="Larissa Cristina"/>
    <s v="CADASTRO"/>
    <m/>
    <m/>
    <m/>
    <m/>
  </r>
  <r>
    <n v="11415"/>
    <n v="11415"/>
    <n v="646"/>
    <s v="LOREN KELLY FREITAS PINHEIRO"/>
    <x v="0"/>
    <s v="CADASTRO"/>
    <s v="Larissa Cristina"/>
    <s v="CADASTRO"/>
    <m/>
    <m/>
    <m/>
    <m/>
  </r>
  <r>
    <n v="11430"/>
    <n v="11430"/>
    <n v="3025"/>
    <s v="LARISSA GONÇALVES"/>
    <x v="0"/>
    <s v="CADASTRO"/>
    <s v="Larissa Cristina"/>
    <s v="CADASTRO"/>
    <m/>
    <m/>
    <m/>
    <m/>
  </r>
  <r>
    <n v="11457"/>
    <n v="11457"/>
    <n v="466"/>
    <s v="DAYANE RODRIGUES DE LARA"/>
    <x v="0"/>
    <s v="CADASTRO"/>
    <s v="Larissa Cristina"/>
    <s v="CADASTRO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E4EB-B13D-45EA-ACBA-F8F9803B79B1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44">
      <pivotArea field="4" type="button" dataOnly="0" labelOnly="1" outline="0" axis="axisRow" fieldPosition="0"/>
    </format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  <format dxfId="30">
      <pivotArea grandRow="1" outline="0" collapsedLevelsAreSubtotals="1" fieldPosition="0"/>
    </format>
    <format dxfId="2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M12" totalsRowCount="1" headerRowDxfId="28" dataDxfId="26" headerRowBorderDxfId="27" tableBorderDxfId="25" totalsRowBorderDxfId="24">
  <sortState ref="B2:K4">
    <sortCondition ref="B1:B4"/>
  </sortState>
  <tableColumns count="12">
    <tableColumn id="1" xr3:uid="{00000000-0010-0000-0000-000001000000}" name="MATRICULA" dataDxfId="23" totalsRowDxfId="11"/>
    <tableColumn id="11" xr3:uid="{EDB289CD-EC39-4F4C-AE5E-F4187BDEA4C2}" name="ID WEON" dataDxfId="22" totalsRowDxfId="10"/>
    <tableColumn id="9" xr3:uid="{5D5963D4-6ADD-4B53-A2B4-60955012F1B3}" name="ID HUAWEI " dataDxfId="21" totalsRowDxfId="9"/>
    <tableColumn id="2" xr3:uid="{00000000-0010-0000-0000-000002000000}" name="NOME" dataDxfId="20" totalsRowDxfId="8"/>
    <tableColumn id="3" xr3:uid="{00000000-0010-0000-0000-000003000000}" name="STATUS" dataDxfId="19" totalsRowDxfId="7">
      <calculatedColumnFormula>IF(Tabela2[[#This Row],[OBS]]="","ATIVO","INATIVO")</calculatedColumnFormula>
    </tableColumn>
    <tableColumn id="4" xr3:uid="{00000000-0010-0000-0000-000004000000}" name="TURNO / OPERAÇÃO" dataDxfId="18" totalsRowDxfId="6"/>
    <tableColumn id="5" xr3:uid="{00000000-0010-0000-0000-000005000000}" name="SUPERVISOR" dataDxfId="17" totalsRowDxfId="5"/>
    <tableColumn id="6" xr3:uid="{00000000-0010-0000-0000-000006000000}" name="SETOR" dataDxfId="16" totalsRowDxfId="4"/>
    <tableColumn id="7" xr3:uid="{00000000-0010-0000-0000-000007000000}" name="OBS" dataDxfId="15" totalsRowDxfId="3"/>
    <tableColumn id="8" xr3:uid="{00000000-0010-0000-0000-000008000000}" name="CHAVE" dataDxfId="14" totalsRowDxfId="2"/>
    <tableColumn id="10" xr3:uid="{D8BA63F2-D59B-4CD8-8EE0-EAE9BC3FDE4E}" name="RECEPTIVA 1 " totalsRowFunction="custom" dataDxfId="13" totalsRowDxfId="1">
      <totalsRowFormula>COUNTIF(Tabela2[[RECEPTIVA 1 ]],"X")</totalsRowFormula>
    </tableColumn>
    <tableColumn id="12" xr3:uid="{28E047C1-9816-4316-B890-9D5CDCA734D6}" name="RECEPTIVA 2" totalsRowFunction="custom" dataDxfId="12" totalsRowDxfId="0">
      <totalsRowFormula>COUNTIF(Tabela2[RECEPTIVA 2],"X")</totalsRowFormula>
    </tableColumn>
  </tableColumns>
  <tableStyleInfo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showGridLines="0" tabSelected="1" topLeftCell="B1" zoomScaleNormal="100" workbookViewId="0">
      <selection activeCell="M12" sqref="M12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9.81640625" style="1" customWidth="1"/>
    <col min="4" max="4" width="9.816406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6" bestFit="1" customWidth="1"/>
    <col min="11" max="11" width="8.36328125" hidden="1" customWidth="1"/>
    <col min="12" max="12" width="10.26953125" style="40" customWidth="1"/>
    <col min="13" max="13" width="10.54296875" style="40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25" t="s">
        <v>0</v>
      </c>
      <c r="C1" s="26" t="s">
        <v>25</v>
      </c>
      <c r="D1" s="26" t="s">
        <v>24</v>
      </c>
      <c r="E1" s="26" t="s">
        <v>1</v>
      </c>
      <c r="F1" s="26" t="s">
        <v>2</v>
      </c>
      <c r="G1" s="26" t="s">
        <v>3</v>
      </c>
      <c r="H1" s="26" t="s">
        <v>4</v>
      </c>
      <c r="I1" s="26" t="s">
        <v>5</v>
      </c>
      <c r="J1" s="27" t="s">
        <v>6</v>
      </c>
      <c r="K1" s="26" t="s">
        <v>7</v>
      </c>
      <c r="L1" s="36" t="s">
        <v>12</v>
      </c>
      <c r="M1" s="37" t="s">
        <v>13</v>
      </c>
      <c r="O1" s="3" t="s">
        <v>2</v>
      </c>
      <c r="P1" s="3" t="s">
        <v>8</v>
      </c>
    </row>
    <row r="2" spans="2:16" x14ac:dyDescent="0.35">
      <c r="B2" s="8">
        <v>11214</v>
      </c>
      <c r="C2" s="9">
        <v>11214</v>
      </c>
      <c r="D2" s="9">
        <v>2975</v>
      </c>
      <c r="E2" s="10" t="s">
        <v>15</v>
      </c>
      <c r="F2" s="11" t="str">
        <f>IF(Tabela2[[#This Row],[OBS]]="","ATIVO","INATIVO")</f>
        <v>ATIVO</v>
      </c>
      <c r="G2" s="11" t="s">
        <v>11</v>
      </c>
      <c r="H2" s="11" t="s">
        <v>14</v>
      </c>
      <c r="I2" s="11" t="s">
        <v>11</v>
      </c>
      <c r="J2" s="12"/>
      <c r="K2" s="13"/>
      <c r="L2" s="41" t="s">
        <v>27</v>
      </c>
      <c r="M2" s="38" t="s">
        <v>27</v>
      </c>
      <c r="O2" s="2" t="s">
        <v>9</v>
      </c>
      <c r="P2" s="4">
        <v>10</v>
      </c>
    </row>
    <row r="3" spans="2:16" x14ac:dyDescent="0.35">
      <c r="B3" s="8">
        <v>11248</v>
      </c>
      <c r="C3" s="9">
        <v>11248</v>
      </c>
      <c r="D3" s="9">
        <v>2981</v>
      </c>
      <c r="E3" s="10" t="s">
        <v>16</v>
      </c>
      <c r="F3" s="11" t="str">
        <f>IF(Tabela2[[#This Row],[OBS]]="","ATIVO","INATIVO")</f>
        <v>ATIVO</v>
      </c>
      <c r="G3" s="11" t="s">
        <v>11</v>
      </c>
      <c r="H3" s="11" t="s">
        <v>14</v>
      </c>
      <c r="I3" s="11" t="s">
        <v>11</v>
      </c>
      <c r="J3" s="12"/>
      <c r="K3" s="13"/>
      <c r="L3" s="41" t="s">
        <v>27</v>
      </c>
      <c r="M3" s="38" t="s">
        <v>27</v>
      </c>
      <c r="O3" s="3" t="s">
        <v>10</v>
      </c>
      <c r="P3" s="5">
        <v>10</v>
      </c>
    </row>
    <row r="4" spans="2:16" x14ac:dyDescent="0.35">
      <c r="B4" s="8">
        <v>11254</v>
      </c>
      <c r="C4" s="9">
        <v>11254</v>
      </c>
      <c r="D4" s="9">
        <v>2971</v>
      </c>
      <c r="E4" s="10" t="s">
        <v>17</v>
      </c>
      <c r="F4" s="14" t="str">
        <f>IF(Tabela2[[#This Row],[OBS]]="","ATIVO","INATIVO")</f>
        <v>ATIVO</v>
      </c>
      <c r="G4" s="11" t="s">
        <v>11</v>
      </c>
      <c r="H4" s="11" t="s">
        <v>14</v>
      </c>
      <c r="I4" s="11" t="s">
        <v>11</v>
      </c>
      <c r="J4" s="12"/>
      <c r="K4" s="15"/>
      <c r="L4" s="41" t="s">
        <v>27</v>
      </c>
      <c r="M4" s="38" t="s">
        <v>27</v>
      </c>
    </row>
    <row r="5" spans="2:16" x14ac:dyDescent="0.35">
      <c r="B5" s="8">
        <v>10709</v>
      </c>
      <c r="C5" s="9">
        <v>10709</v>
      </c>
      <c r="D5" s="9">
        <v>209</v>
      </c>
      <c r="E5" s="10" t="s">
        <v>18</v>
      </c>
      <c r="F5" s="16" t="str">
        <f>IF(Tabela2[[#This Row],[OBS]]="","ATIVO","INATIVO")</f>
        <v>ATIVO</v>
      </c>
      <c r="G5" s="11" t="s">
        <v>11</v>
      </c>
      <c r="H5" s="11" t="s">
        <v>14</v>
      </c>
      <c r="I5" s="11" t="s">
        <v>11</v>
      </c>
      <c r="J5" s="12"/>
      <c r="K5" s="17"/>
      <c r="L5" s="41" t="s">
        <v>27</v>
      </c>
      <c r="M5" s="38" t="s">
        <v>27</v>
      </c>
    </row>
    <row r="6" spans="2:16" x14ac:dyDescent="0.35">
      <c r="B6" s="8">
        <v>11269</v>
      </c>
      <c r="C6" s="9">
        <v>11269</v>
      </c>
      <c r="D6" s="9">
        <v>2977</v>
      </c>
      <c r="E6" s="10" t="s">
        <v>19</v>
      </c>
      <c r="F6" s="11" t="str">
        <f>IF(Tabela2[[#This Row],[OBS]]="","ATIVO","INATIVO")</f>
        <v>ATIVO</v>
      </c>
      <c r="G6" s="11" t="s">
        <v>11</v>
      </c>
      <c r="H6" s="11" t="s">
        <v>14</v>
      </c>
      <c r="I6" s="11" t="s">
        <v>11</v>
      </c>
      <c r="J6" s="12"/>
      <c r="K6" s="13"/>
      <c r="L6" s="41" t="s">
        <v>27</v>
      </c>
      <c r="M6" s="38" t="s">
        <v>27</v>
      </c>
    </row>
    <row r="7" spans="2:16" x14ac:dyDescent="0.35">
      <c r="B7" s="8">
        <v>11010</v>
      </c>
      <c r="C7" s="9">
        <v>11010</v>
      </c>
      <c r="D7" s="9">
        <v>2980</v>
      </c>
      <c r="E7" s="10" t="s">
        <v>20</v>
      </c>
      <c r="F7" s="14" t="str">
        <f>IF(Tabela2[[#This Row],[OBS]]="","ATIVO","INATIVO")</f>
        <v>ATIVO</v>
      </c>
      <c r="G7" s="11" t="s">
        <v>11</v>
      </c>
      <c r="H7" s="11" t="s">
        <v>14</v>
      </c>
      <c r="I7" s="11" t="s">
        <v>11</v>
      </c>
      <c r="J7" s="18"/>
      <c r="K7" s="15"/>
      <c r="L7" s="41" t="s">
        <v>27</v>
      </c>
      <c r="M7" s="38" t="s">
        <v>27</v>
      </c>
    </row>
    <row r="8" spans="2:16" x14ac:dyDescent="0.35">
      <c r="B8" s="8">
        <v>11376</v>
      </c>
      <c r="C8" s="9">
        <v>11376</v>
      </c>
      <c r="D8" s="9">
        <v>2979</v>
      </c>
      <c r="E8" s="10" t="s">
        <v>21</v>
      </c>
      <c r="F8" s="11" t="str">
        <f>IF(Tabela2[[#This Row],[OBS]]="","ATIVO","INATIVO")</f>
        <v>ATIVO</v>
      </c>
      <c r="G8" s="11" t="s">
        <v>11</v>
      </c>
      <c r="H8" s="11" t="s">
        <v>14</v>
      </c>
      <c r="I8" s="11" t="s">
        <v>11</v>
      </c>
      <c r="J8" s="12"/>
      <c r="K8" s="13"/>
      <c r="L8" s="41" t="s">
        <v>27</v>
      </c>
      <c r="M8" s="38" t="s">
        <v>27</v>
      </c>
    </row>
    <row r="9" spans="2:16" x14ac:dyDescent="0.35">
      <c r="B9" s="8">
        <v>11415</v>
      </c>
      <c r="C9" s="9">
        <v>11415</v>
      </c>
      <c r="D9" s="9">
        <v>646</v>
      </c>
      <c r="E9" s="10" t="s">
        <v>22</v>
      </c>
      <c r="F9" s="19" t="str">
        <f>IF(Tabela2[[#This Row],[OBS]]="","ATIVO","INATIVO")</f>
        <v>ATIVO</v>
      </c>
      <c r="G9" s="11" t="s">
        <v>11</v>
      </c>
      <c r="H9" s="11" t="s">
        <v>14</v>
      </c>
      <c r="I9" s="11" t="s">
        <v>11</v>
      </c>
      <c r="J9" s="12"/>
      <c r="K9" s="20"/>
      <c r="L9" s="41" t="s">
        <v>27</v>
      </c>
      <c r="M9" s="38" t="s">
        <v>27</v>
      </c>
    </row>
    <row r="10" spans="2:16" x14ac:dyDescent="0.35">
      <c r="B10" s="8">
        <v>11430</v>
      </c>
      <c r="C10" s="9">
        <v>11430</v>
      </c>
      <c r="D10" s="9">
        <v>3025</v>
      </c>
      <c r="E10" s="21" t="s">
        <v>26</v>
      </c>
      <c r="F10" s="22" t="str">
        <f>IF(Tabela2[[#This Row],[OBS]]="","ATIVO","INATIVO")</f>
        <v>ATIVO</v>
      </c>
      <c r="G10" s="11" t="s">
        <v>11</v>
      </c>
      <c r="H10" s="11" t="s">
        <v>14</v>
      </c>
      <c r="I10" s="11" t="s">
        <v>11</v>
      </c>
      <c r="J10" s="23"/>
      <c r="K10" s="24"/>
      <c r="L10" s="41" t="s">
        <v>27</v>
      </c>
      <c r="M10" s="38" t="s">
        <v>27</v>
      </c>
    </row>
    <row r="11" spans="2:16" x14ac:dyDescent="0.35">
      <c r="B11" s="9">
        <v>11457</v>
      </c>
      <c r="C11" s="9">
        <v>11457</v>
      </c>
      <c r="D11" s="9">
        <v>466</v>
      </c>
      <c r="E11" s="29" t="s">
        <v>23</v>
      </c>
      <c r="F11" s="30" t="str">
        <f>IF(Tabela2[[#This Row],[OBS]]="","ATIVO","INATIVO")</f>
        <v>ATIVO</v>
      </c>
      <c r="G11" s="11" t="s">
        <v>11</v>
      </c>
      <c r="H11" s="11" t="s">
        <v>14</v>
      </c>
      <c r="I11" s="11" t="s">
        <v>11</v>
      </c>
      <c r="J11" s="12"/>
      <c r="K11" s="31"/>
      <c r="L11" s="41" t="s">
        <v>27</v>
      </c>
      <c r="M11" s="39" t="s">
        <v>27</v>
      </c>
    </row>
    <row r="12" spans="2:16" x14ac:dyDescent="0.35">
      <c r="B12" s="35"/>
      <c r="C12" s="35"/>
      <c r="D12" s="35"/>
      <c r="E12" s="35"/>
      <c r="F12" s="35"/>
      <c r="G12" s="35"/>
      <c r="H12" s="35"/>
      <c r="I12" s="35"/>
      <c r="J12" s="35"/>
      <c r="K12" s="34"/>
      <c r="L12" s="28">
        <f>COUNTIF(Tabela2[[RECEPTIVA 1 ]],"X")</f>
        <v>0</v>
      </c>
      <c r="M12" s="7">
        <f>COUNTIF(Tabela2[RECEPTIVA 2],"X")</f>
        <v>0</v>
      </c>
    </row>
    <row r="13" spans="2:16" x14ac:dyDescent="0.35">
      <c r="B13" s="32"/>
      <c r="C13" s="32"/>
      <c r="D13" s="32"/>
      <c r="E13" s="32"/>
      <c r="F13" s="32"/>
      <c r="G13" s="32"/>
      <c r="H13" s="32"/>
      <c r="I13" s="32"/>
      <c r="J13" s="33"/>
    </row>
  </sheetData>
  <conditionalFormatting sqref="F1:F11 F13:F1048576">
    <cfRule type="containsText" dxfId="48" priority="3" stopIfTrue="1" operator="containsText" text="INATIVO">
      <formula>NOT(ISERROR(SEARCH("INATIVO",F1)))</formula>
    </cfRule>
    <cfRule type="containsText" dxfId="47" priority="4" stopIfTrue="1" operator="containsText" text="ATIVO">
      <formula>NOT(ISERROR(SEARCH("ATIVO",F1)))</formula>
    </cfRule>
  </conditionalFormatting>
  <conditionalFormatting sqref="L2:M11">
    <cfRule type="containsText" dxfId="46" priority="1" operator="containsText" text="X">
      <formula>NOT(ISERROR(SEARCH("X",L2)))</formula>
    </cfRule>
    <cfRule type="containsText" dxfId="45" priority="2" operator="containsText" text="OK">
      <formula>NOT(ISERROR(SEARCH("OK",L2)))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4241aaa1-f251-4fb6-8c96-74d7389cb154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639FE-E974-4E89-9659-FB72A2DB4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2026-02-18T18:36:27Z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