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EstaPastaDeTrabalho"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nathalia.silva\OneDrive - NSTECH GR LTDA\AUDITORIA\# LISTAGENS DE OPERADORES\"/>
    </mc:Choice>
  </mc:AlternateContent>
  <xr:revisionPtr revIDLastSave="107" documentId="13_ncr:1_{D1AE14E3-1AF7-42B0-A5A3-76281CCA6464}" xr6:coauthVersionLast="36" xr6:coauthVersionMax="36" xr10:uidLastSave="{6654AAD4-7D1D-4A31-BC24-204B3B1CAB3C}"/>
  <bookViews>
    <workbookView xWindow="0" yWindow="0" windowWidth="19200" windowHeight="6350" xr2:uid="{00000000-000D-0000-FFFF-FFFF00000000}"/>
  </bookViews>
  <sheets>
    <sheet name="DIST. AMANDA" sheetId="2" r:id="rId1"/>
  </sheets>
  <definedNames>
    <definedName name="_xlnm._FilterDatabase" localSheetId="0" hidden="1">'DIST. AMANDA'!$M$1:$M$1</definedName>
  </definedNames>
  <calcPr calcId="191028"/>
  <pivotCaches>
    <pivotCache cacheId="5" r:id="rId2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1" i="2" l="1"/>
  <c r="F12" i="2"/>
  <c r="F13" i="2"/>
  <c r="F2" i="2" l="1"/>
  <c r="F3" i="2"/>
  <c r="F4" i="2"/>
  <c r="F5" i="2"/>
  <c r="F6" i="2"/>
  <c r="F7" i="2"/>
  <c r="F8" i="2"/>
  <c r="F9" i="2"/>
  <c r="F10" i="2"/>
  <c r="F14" i="2"/>
  <c r="F15" i="2"/>
  <c r="F16" i="2"/>
  <c r="M17" i="2" l="1"/>
  <c r="L17" i="2" l="1"/>
</calcChain>
</file>

<file path=xl/sharedStrings.xml><?xml version="1.0" encoding="utf-8"?>
<sst xmlns="http://schemas.openxmlformats.org/spreadsheetml/2006/main" count="106" uniqueCount="34">
  <si>
    <t>MATRICULA</t>
  </si>
  <si>
    <t xml:space="preserve">ID WEON </t>
  </si>
  <si>
    <t>NOME</t>
  </si>
  <si>
    <t>STATUS</t>
  </si>
  <si>
    <t>TURNO / OPERAÇÃO</t>
  </si>
  <si>
    <t>SUPERVISOR</t>
  </si>
  <si>
    <t>SETOR</t>
  </si>
  <si>
    <t>OBS</t>
  </si>
  <si>
    <t>CHAVE</t>
  </si>
  <si>
    <t>QTD</t>
  </si>
  <si>
    <t>ATIVO</t>
  </si>
  <si>
    <t>Total Geral</t>
  </si>
  <si>
    <t>OPERACIONAL</t>
  </si>
  <si>
    <t>DISTRIBUIÇÃO</t>
  </si>
  <si>
    <t>Amanda Carla</t>
  </si>
  <si>
    <t>OPERACIONAL 2</t>
  </si>
  <si>
    <t>ISABELLY DAFINNY MOZAMBITE DE ARAUJO </t>
  </si>
  <si>
    <t>TAINARA STEFANI BARBOSA MANUEL</t>
  </si>
  <si>
    <t>THAIS SILVA CARVALHO</t>
  </si>
  <si>
    <t>THAISA MACHADO COELHO</t>
  </si>
  <si>
    <t>SAMARA SOARES LOTH</t>
  </si>
  <si>
    <t>RUAN RICHELI DA SILVA</t>
  </si>
  <si>
    <t>NATALIA BRYCH</t>
  </si>
  <si>
    <t>PATRICK MIRANDA NUNES</t>
  </si>
  <si>
    <t>ID HUAWEI</t>
  </si>
  <si>
    <t>JESSICA KARLA SCHUSTERSCHITZ COUTINHO</t>
  </si>
  <si>
    <t>NICOLAS DO NASCIMENTO CARVALHO</t>
  </si>
  <si>
    <t>LARISSA DE SOUZA MELO</t>
  </si>
  <si>
    <t>ISAAK LOPES VISNHESKI</t>
  </si>
  <si>
    <t>LETICIA GONÇALVES</t>
  </si>
  <si>
    <t>MANUELE FERREIRA DOS SANTOS</t>
  </si>
  <si>
    <t>NATAN DE SOUZA</t>
  </si>
  <si>
    <t>OK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</si>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</sst>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16]General"/>
  </numFmts>
  <fonts count="14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theme="1"/>
      <name val="Calibri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/>
        <bgColor theme="9"/>
      </patternFill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</fills>
  <borders count="7">
    <border>
      <left/>
      <right/>
      <top/>
      <bottom/>
      <diagonal/>
    </border>
    <border>
      <left style="thin">
        <color theme="9"/>
      </left>
      <right style="thin">
        <color theme="9"/>
      </right>
      <top style="thin">
        <color theme="9"/>
      </top>
      <bottom style="thin">
        <color theme="9"/>
      </bottom>
      <diagonal/>
    </border>
    <border>
      <left/>
      <right style="thin">
        <color theme="9"/>
      </right>
      <top style="thin">
        <color theme="9"/>
      </top>
      <bottom/>
      <diagonal/>
    </border>
    <border>
      <left style="thin">
        <color theme="9"/>
      </left>
      <right style="thin">
        <color theme="9"/>
      </right>
      <top style="thin">
        <color theme="9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theme="9" tint="-0.249977111117893"/>
      </right>
      <top/>
      <bottom/>
      <diagonal/>
    </border>
    <border>
      <left style="thin">
        <color theme="9" tint="-0.249977111117893"/>
      </left>
      <right style="thin">
        <color theme="9" tint="-0.249977111117893"/>
      </right>
      <top style="thin">
        <color theme="9" tint="-0.249977111117893"/>
      </top>
      <bottom style="thin">
        <color theme="9" tint="-0.249977111117893"/>
      </bottom>
      <diagonal/>
    </border>
  </borders>
  <cellStyleXfs count="4">
    <xf numFmtId="0" fontId="0" fillId="0" borderId="0"/>
    <xf numFmtId="164" fontId="1" fillId="0" borderId="0" applyBorder="0" applyProtection="0"/>
    <xf numFmtId="0" fontId="2" fillId="0" borderId="0"/>
    <xf numFmtId="0" fontId="3" fillId="0" borderId="0"/>
  </cellStyleXfs>
  <cellXfs count="33">
    <xf numFmtId="0" fontId="0" fillId="0" borderId="0" xfId="0"/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0" fontId="6" fillId="3" borderId="2" xfId="0" applyFont="1" applyFill="1" applyBorder="1" applyAlignment="1">
      <alignment horizontal="left" vertical="center"/>
    </xf>
    <xf numFmtId="0" fontId="5" fillId="4" borderId="0" xfId="0" applyFont="1" applyFill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8" fillId="3" borderId="2" xfId="0" applyFont="1" applyFill="1" applyBorder="1" applyAlignment="1">
      <alignment horizontal="left" vertical="center"/>
    </xf>
    <xf numFmtId="0" fontId="0" fillId="0" borderId="4" xfId="0" applyBorder="1" applyAlignment="1">
      <alignment horizontal="left"/>
    </xf>
    <xf numFmtId="0" fontId="6" fillId="3" borderId="4" xfId="0" applyFont="1" applyFill="1" applyBorder="1" applyAlignment="1">
      <alignment horizontal="left" vertical="center"/>
    </xf>
    <xf numFmtId="0" fontId="6" fillId="3" borderId="4" xfId="0" applyNumberFormat="1" applyFont="1" applyFill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5" fillId="0" borderId="0" xfId="0" applyNumberFormat="1" applyFont="1" applyAlignment="1">
      <alignment horizontal="left" vertical="center"/>
    </xf>
    <xf numFmtId="0" fontId="5" fillId="0" borderId="0" xfId="0" applyNumberFormat="1" applyFont="1" applyFill="1" applyAlignment="1">
      <alignment horizontal="center" vertical="center"/>
    </xf>
    <xf numFmtId="0" fontId="9" fillId="0" borderId="0" xfId="0" applyNumberFormat="1" applyFont="1" applyFill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9" fillId="0" borderId="0" xfId="0" applyNumberFormat="1" applyFont="1" applyAlignment="1">
      <alignment horizontal="left" vertical="center"/>
    </xf>
    <xf numFmtId="0" fontId="10" fillId="0" borderId="0" xfId="0" applyNumberFormat="1" applyFont="1" applyFill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0" fontId="10" fillId="0" borderId="0" xfId="0" applyNumberFormat="1" applyFont="1" applyAlignment="1">
      <alignment horizontal="left" vertical="center"/>
    </xf>
    <xf numFmtId="0" fontId="11" fillId="5" borderId="4" xfId="0" applyFont="1" applyFill="1" applyBorder="1"/>
    <xf numFmtId="0" fontId="0" fillId="0" borderId="4" xfId="0" applyNumberFormat="1" applyBorder="1" applyAlignment="1">
      <alignment horizontal="center" vertical="center"/>
    </xf>
    <xf numFmtId="0" fontId="12" fillId="4" borderId="0" xfId="0" applyFont="1" applyFill="1" applyAlignment="1">
      <alignment horizontal="left" vertical="center"/>
    </xf>
    <xf numFmtId="0" fontId="7" fillId="2" borderId="0" xfId="0" applyFont="1" applyFill="1" applyAlignment="1">
      <alignment horizontal="center" vertical="center"/>
    </xf>
    <xf numFmtId="0" fontId="13" fillId="4" borderId="0" xfId="0" applyFont="1" applyFill="1" applyAlignment="1">
      <alignment horizontal="left" vertical="center"/>
    </xf>
    <xf numFmtId="0" fontId="13" fillId="0" borderId="0" xfId="0" applyNumberFormat="1" applyFont="1" applyFill="1" applyAlignment="1">
      <alignment horizontal="center" vertical="center"/>
    </xf>
    <xf numFmtId="0" fontId="13" fillId="2" borderId="0" xfId="0" applyFont="1" applyFill="1" applyAlignment="1">
      <alignment horizontal="center" vertical="center"/>
    </xf>
    <xf numFmtId="0" fontId="13" fillId="0" borderId="0" xfId="0" applyNumberFormat="1" applyFont="1" applyAlignment="1">
      <alignment horizontal="left" vertical="center"/>
    </xf>
  </cellXfs>
  <cellStyles count="4">
    <cellStyle name="Excel Built-in Normal" xfId="1" xr:uid="{00000000-0005-0000-0000-000000000000}"/>
    <cellStyle name="Excel Built-in Normal 2" xfId="3" xr:uid="{00000000-0005-0000-0000-000001000000}"/>
    <cellStyle name="Normal" xfId="0" builtinId="0"/>
    <cellStyle name="Normal 2" xfId="2" xr:uid="{00000000-0005-0000-0000-000003000000}"/>
  </cellStyles>
  <dxfs count="34">
    <dxf>
      <font>
        <strike val="0"/>
        <outline val="0"/>
        <shadow val="0"/>
        <u val="none"/>
        <vertAlign val="baseline"/>
        <sz val="8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scheme val="minor"/>
      </font>
      <numFmt numFmtId="0" formatCode="General"/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scheme val="minor"/>
      </font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fill>
        <patternFill patternType="solid">
          <fgColor indexed="64"/>
          <bgColor rgb="FFFFFF00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fill>
        <patternFill patternType="solid">
          <fgColor indexed="64"/>
          <bgColor rgb="FFFFFF00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fill>
        <patternFill patternType="solid">
          <fgColor indexed="64"/>
          <bgColor rgb="FFFFFF00"/>
        </patternFill>
      </fill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scheme val="minor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minor"/>
      </font>
      <alignment horizontal="left" vertical="center" textRotation="0" wrapText="0" indent="0" justifyLastLine="0" shrinkToFit="0" readingOrder="0"/>
    </dxf>
    <dxf>
      <alignment horizontal="center"/>
    </dxf>
    <dxf>
      <alignment vertical="center"/>
    </dxf>
    <dxf>
      <font>
        <color theme="0"/>
      </font>
    </dxf>
    <dxf>
      <fill>
        <patternFill patternType="solid">
          <bgColor theme="9"/>
        </patternFill>
      </fill>
    </dxf>
    <dxf>
      <alignment horizontal="center"/>
    </dxf>
    <dxf>
      <font>
        <color theme="0"/>
      </font>
    </dxf>
    <dxf>
      <font>
        <color theme="0"/>
      </font>
    </dxf>
    <dxf>
      <font>
        <color theme="0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sz val="10"/>
      </font>
      <fill>
        <patternFill patternType="solid">
          <fgColor theme="9"/>
          <bgColor theme="9"/>
        </patternFill>
      </fill>
      <alignment vertical="center"/>
    </dxf>
    <dxf>
      <font>
        <b/>
        <sz val="10"/>
      </font>
      <fill>
        <patternFill patternType="solid">
          <fgColor theme="9"/>
          <bgColor theme="9"/>
        </patternFill>
      </fill>
      <alignment vertical="center"/>
    </dxf>
    <dxf>
      <font>
        <b/>
        <sz val="10"/>
      </font>
      <fill>
        <patternFill patternType="solid">
          <fgColor theme="9"/>
          <bgColor theme="9"/>
        </patternFill>
      </fill>
      <alignment horizontal="left" vertical="center"/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3E4D1F"/>
      </font>
      <fill>
        <patternFill patternType="solid">
          <bgColor rgb="FFBDFFDE"/>
        </patternFill>
      </fill>
    </dxf>
    <dxf>
      <font>
        <color rgb="FFC00000"/>
      </font>
      <fill>
        <patternFill>
          <bgColor rgb="FFFCC0C0"/>
        </patternFill>
      </fill>
    </dxf>
  </dxfs>
  <tableStyles count="0" defaultTableStyle="TableStyleMedium2" defaultPivotStyle="PivotStyleLight16"/>
  <colors>
    <mruColors>
      <color rgb="FFFCC0C0"/>
      <color rgb="FF3E4D1F"/>
      <color rgb="FFC5FFDF"/>
      <color rgb="FFBDFFDE"/>
      <color rgb="FFFFC5C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189740</xdr:colOff>
      <xdr:row>42</xdr:row>
      <xdr:rowOff>50800</xdr:rowOff>
    </xdr:from>
    <xdr:to>
      <xdr:col>12</xdr:col>
      <xdr:colOff>73914</xdr:colOff>
      <xdr:row>71</xdr:row>
      <xdr:rowOff>160640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EB91BE14-D2AD-47C7-9EBD-981A7BC80E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9740" y="7416800"/>
          <a:ext cx="9704449" cy="5456540"/>
        </a:xfrm>
        <a:prstGeom prst="rect">
          <a:avLst/>
        </a:prstGeom>
      </xdr:spPr>
    </xdr:pic>
    <xdr:clientData/>
  </xdr:twoCellAnchor>
  <xdr:twoCellAnchor editAs="oneCell">
    <xdr:from>
      <xdr:col>1</xdr:col>
      <xdr:colOff>263201</xdr:colOff>
      <xdr:row>17</xdr:row>
      <xdr:rowOff>76200</xdr:rowOff>
    </xdr:from>
    <xdr:to>
      <xdr:col>12</xdr:col>
      <xdr:colOff>721613</xdr:colOff>
      <xdr:row>47</xdr:row>
      <xdr:rowOff>87668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E3CB5A57-2D5C-40B7-9BBF-5BD7469E09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63201" y="3206750"/>
          <a:ext cx="10275512" cy="5539143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athalia de Souza da Silva" refreshedDate="46066.612650810188" createdVersion="6" refreshedVersion="6" minRefreshableVersion="3" recordCount="15" xr:uid="{E21B8C0F-A788-44B1-B86B-217EA1005090}">
  <cacheSource type="worksheet">
    <worksheetSource name="Tabela2[[MATRICULA]:[OBS]]"/>
  </cacheSource>
  <cacheFields count="9">
    <cacheField name="MATRICULA" numFmtId="0">
      <sharedItems containsSemiMixedTypes="0" containsString="0" containsNumber="1" containsInteger="1" minValue="10932" maxValue="11537"/>
    </cacheField>
    <cacheField name="ID WEON " numFmtId="0">
      <sharedItems containsSemiMixedTypes="0" containsString="0" containsNumber="1" containsInteger="1" minValue="10932" maxValue="114400"/>
    </cacheField>
    <cacheField name="ID HUAWEI" numFmtId="0">
      <sharedItems containsSemiMixedTypes="0" containsString="0" containsNumber="1" containsInteger="1" minValue="490" maxValue="3049"/>
    </cacheField>
    <cacheField name="NOME" numFmtId="0">
      <sharedItems/>
    </cacheField>
    <cacheField name="STATUS" numFmtId="0">
      <sharedItems count="2">
        <s v="ATIVO"/>
        <s v="INATIVO" u="1"/>
      </sharedItems>
    </cacheField>
    <cacheField name="TURNO / OPERAÇÃO" numFmtId="0">
      <sharedItems/>
    </cacheField>
    <cacheField name="SUPERVISOR" numFmtId="0">
      <sharedItems/>
    </cacheField>
    <cacheField name="SETOR" numFmtId="0">
      <sharedItems/>
    </cacheField>
    <cacheField name="OBS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">
  <r>
    <n v="11347"/>
    <n v="11347"/>
    <n v="2404"/>
    <s v="JESSICA KARLA SCHUSTERSCHITZ COUTINHO"/>
    <x v="0"/>
    <s v="DISTRIBUIÇÃO"/>
    <s v="Amanda Carla"/>
    <s v="DISTRIBUIÇÃO"/>
    <m/>
  </r>
  <r>
    <n v="11373"/>
    <n v="11373"/>
    <n v="2381"/>
    <s v="TAINARA STEFANI BARBOSA MANUEL"/>
    <x v="0"/>
    <s v="DISTRIBUIÇÃO"/>
    <s v="Amanda Carla"/>
    <s v="DISTRIBUIÇÃO"/>
    <m/>
  </r>
  <r>
    <n v="10941"/>
    <n v="20900"/>
    <n v="2379"/>
    <s v="THAIS SILVA CARVALHO"/>
    <x v="0"/>
    <s v="DISTRIBUIÇÃO"/>
    <s v="Amanda Carla"/>
    <s v="DISTRIBUIÇÃO"/>
    <m/>
  </r>
  <r>
    <n v="11112"/>
    <n v="111120"/>
    <n v="2378"/>
    <s v="THAISA MACHADO COELHO"/>
    <x v="0"/>
    <s v="DISTRIBUIÇÃO"/>
    <s v="Amanda Carla"/>
    <s v="DISTRIBUIÇÃO"/>
    <m/>
  </r>
  <r>
    <n v="11070"/>
    <n v="11070"/>
    <n v="2384"/>
    <s v="SAMARA SOARES LOTH"/>
    <x v="0"/>
    <s v="DISTRIBUIÇÃO"/>
    <s v="Amanda Carla"/>
    <s v="DISTRIBUIÇÃO"/>
    <m/>
  </r>
  <r>
    <n v="11233"/>
    <n v="11233"/>
    <n v="490"/>
    <s v="RUAN RICHELI DA SILVA"/>
    <x v="0"/>
    <s v="DISTRIBUIÇÃO"/>
    <s v="Amanda Carla"/>
    <s v="DISTRIBUIÇÃO"/>
    <m/>
  </r>
  <r>
    <n v="11414"/>
    <n v="11414"/>
    <n v="2392"/>
    <s v="NICOLAS DO NASCIMENTO CARVALHO"/>
    <x v="0"/>
    <s v="DISTRIBUIÇÃO"/>
    <s v="Amanda Carla"/>
    <s v="DISTRIBUIÇÃO"/>
    <m/>
  </r>
  <r>
    <n v="11436"/>
    <n v="11436"/>
    <n v="3049"/>
    <s v="LARISSA DE SOUZA MELO"/>
    <x v="0"/>
    <s v="DISTRIBUIÇÃO"/>
    <s v="Amanda Carla"/>
    <s v="DISTRIBUIÇÃO"/>
    <m/>
  </r>
  <r>
    <n v="11440"/>
    <n v="114400"/>
    <n v="3045"/>
    <s v="NATALIA BRYCH"/>
    <x v="0"/>
    <s v="DISTRIBUIÇÃO"/>
    <s v="Amanda Carla"/>
    <s v="DISTRIBUIÇÃO"/>
    <m/>
  </r>
  <r>
    <n v="11325"/>
    <n v="111325"/>
    <n v="2327"/>
    <s v="ISAAK LOPES VISNHESKI"/>
    <x v="0"/>
    <s v="DISTRIBUIÇÃO"/>
    <s v="Amanda Carla"/>
    <s v="DISTRIBUIÇÃO"/>
    <m/>
  </r>
  <r>
    <n v="11077"/>
    <n v="111077"/>
    <n v="2388"/>
    <s v="PATRICK MIRANDA NUNES"/>
    <x v="0"/>
    <s v="DISTRIBUIÇÃO"/>
    <s v="Amanda Carla"/>
    <s v="DISTRIBUIÇÃO"/>
    <m/>
  </r>
  <r>
    <n v="11038"/>
    <n v="110388"/>
    <n v="2409"/>
    <s v="ISABELLY DAFINNY MOZAMBITE DE ARAUJO "/>
    <x v="0"/>
    <s v="DISTRIBUIÇÃO"/>
    <s v="Amanda Carla"/>
    <s v="DISTRIBUIÇÃO"/>
    <m/>
  </r>
  <r>
    <n v="10932"/>
    <n v="10932"/>
    <n v="2373"/>
    <s v="LETICIA GONÇALVES"/>
    <x v="0"/>
    <s v="DISTRIBUIÇÃO"/>
    <s v="Amanda Carla"/>
    <s v="DISTRIBUIÇÃO"/>
    <m/>
  </r>
  <r>
    <n v="11526"/>
    <n v="11526"/>
    <n v="668"/>
    <s v="MANUELE FERREIRA DOS SANTOS"/>
    <x v="0"/>
    <s v="DISTRIBUIÇÃO"/>
    <s v="Amanda Carla"/>
    <s v="DISTRIBUIÇÃO"/>
    <m/>
  </r>
  <r>
    <n v="11537"/>
    <n v="11537"/>
    <n v="618"/>
    <s v="NATAN DE SOUZA"/>
    <x v="0"/>
    <s v="DISTRIBUIÇÃO"/>
    <s v="Amanda Carla"/>
    <s v="DISTRIBUIÇÃO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44E583B-4A23-4861-81E7-28A7D6AE2921}" name="Tabela dinâmica3" cacheId="5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 rowHeaderCaption="STATUS">
  <location ref="O1:P3" firstHeaderRow="1" firstDataRow="1" firstDataCol="1"/>
  <pivotFields count="9">
    <pivotField showAll="0"/>
    <pivotField showAll="0"/>
    <pivotField showAll="0"/>
    <pivotField showAll="0"/>
    <pivotField axis="axisRow" dataField="1" showAll="0">
      <items count="3">
        <item x="0"/>
        <item m="1" x="1"/>
        <item t="default"/>
      </items>
    </pivotField>
    <pivotField showAll="0"/>
    <pivotField showAll="0"/>
    <pivotField showAll="0"/>
    <pivotField showAll="0"/>
  </pivotFields>
  <rowFields count="1">
    <field x="4"/>
  </rowFields>
  <rowItems count="2">
    <i>
      <x/>
    </i>
    <i t="grand">
      <x/>
    </i>
  </rowItems>
  <colItems count="1">
    <i/>
  </colItems>
  <dataFields count="1">
    <dataField name="QTD" fld="4" subtotal="count" baseField="0" baseItem="0"/>
  </dataFields>
  <formats count="15">
    <format dxfId="27">
      <pivotArea dataOnly="0" labelOnly="1" outline="0" axis="axisValues" fieldPosition="0"/>
    </format>
    <format dxfId="26">
      <pivotArea grandRow="1" outline="0" collapsedLevelsAreSubtotals="1" fieldPosition="0"/>
    </format>
    <format dxfId="25">
      <pivotArea dataOnly="0" labelOnly="1" grandRow="1" outline="0" fieldPosition="0"/>
    </format>
    <format dxfId="24">
      <pivotArea type="all" dataOnly="0" outline="0" fieldPosition="0"/>
    </format>
    <format dxfId="23">
      <pivotArea outline="0" collapsedLevelsAreSubtotals="1" fieldPosition="0"/>
    </format>
    <format dxfId="22">
      <pivotArea dataOnly="0" labelOnly="1" grandRow="1" outline="0" fieldPosition="0"/>
    </format>
    <format dxfId="21">
      <pivotArea dataOnly="0" labelOnly="1" outline="0" axis="axisValues" fieldPosition="0"/>
    </format>
    <format dxfId="20">
      <pivotArea grandRow="1" outline="0" collapsedLevelsAreSubtotals="1" fieldPosition="0"/>
    </format>
    <format dxfId="19">
      <pivotArea dataOnly="0" labelOnly="1" grandRow="1" outline="0" fieldPosition="0"/>
    </format>
    <format dxfId="18">
      <pivotArea dataOnly="0" labelOnly="1" outline="0" axis="axisValues" fieldPosition="0"/>
    </format>
    <format dxfId="17">
      <pivotArea grandRow="1" outline="0" collapsedLevelsAreSubtotals="1" fieldPosition="0"/>
    </format>
    <format dxfId="16">
      <pivotArea field="4" type="button" dataOnly="0" labelOnly="1" outline="0" axis="axisRow" fieldPosition="0"/>
    </format>
    <format dxfId="15">
      <pivotArea field="4" type="button" dataOnly="0" labelOnly="1" outline="0" axis="axisRow" fieldPosition="0"/>
    </format>
    <format dxfId="14">
      <pivotArea collapsedLevelsAreSubtotals="1" fieldPosition="0">
        <references count="1">
          <reference field="4" count="0"/>
        </references>
      </pivotArea>
    </format>
    <format dxfId="13">
      <pivotArea collapsedLevelsAreSubtotals="1" fieldPosition="0">
        <references count="1">
          <reference field="4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ela2" displayName="Tabela2" ref="B1:L16" totalsRowShown="0" headerRowDxfId="12" dataDxfId="11">
  <sortState ref="B2:K4">
    <sortCondition ref="B1:B4"/>
  </sortState>
  <tableColumns count="11">
    <tableColumn id="1" xr3:uid="{00000000-0010-0000-0000-000001000000}" name="MATRICULA" dataDxfId="10"/>
    <tableColumn id="9" xr3:uid="{5D5963D4-6ADD-4B53-A2B4-60955012F1B3}" name="ID WEON " dataDxfId="9"/>
    <tableColumn id="11" xr3:uid="{750077D5-4FED-425F-A3F6-5B525F8C7B8D}" name="ID HUAWEI" dataDxfId="8"/>
    <tableColumn id="2" xr3:uid="{00000000-0010-0000-0000-000002000000}" name="NOME" dataDxfId="7"/>
    <tableColumn id="3" xr3:uid="{00000000-0010-0000-0000-000003000000}" name="STATUS" dataDxfId="6">
      <calculatedColumnFormula>IF(Tabela2[[#This Row],[OBS]]="","ATIVO","INATIVO")</calculatedColumnFormula>
    </tableColumn>
    <tableColumn id="4" xr3:uid="{00000000-0010-0000-0000-000004000000}" name="TURNO / OPERAÇÃO" dataDxfId="5"/>
    <tableColumn id="5" xr3:uid="{00000000-0010-0000-0000-000005000000}" name="SUPERVISOR" dataDxfId="4"/>
    <tableColumn id="6" xr3:uid="{00000000-0010-0000-0000-000006000000}" name="SETOR" dataDxfId="3"/>
    <tableColumn id="7" xr3:uid="{00000000-0010-0000-0000-000007000000}" name="OBS" dataDxfId="2"/>
    <tableColumn id="8" xr3:uid="{00000000-0010-0000-0000-000008000000}" name="CHAVE" dataDxfId="1"/>
    <tableColumn id="10" xr3:uid="{D8BA63F2-D59B-4CD8-8EE0-EAE9BC3FDE4E}" name="OPERACIONAL" dataDxfId="0"/>
  </tableColumns>
  <tableStyleInfo name="TableStyleLight14" showFirstColumn="1" showLastColumn="1" showRowStripes="1" showColumnStripes="1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/>
  <dimension ref="A1:P17"/>
  <sheetViews>
    <sheetView showGridLines="0" tabSelected="1" topLeftCell="B1" zoomScaleNormal="100" workbookViewId="0">
      <selection activeCell="M15" sqref="M15"/>
    </sheetView>
  </sheetViews>
  <sheetFormatPr defaultRowHeight="14.5" x14ac:dyDescent="0.35"/>
  <cols>
    <col min="1" max="1" width="19.26953125" hidden="1" customWidth="1"/>
    <col min="2" max="2" width="12.08984375" style="1" customWidth="1"/>
    <col min="3" max="3" width="8.1796875" style="1" customWidth="1"/>
    <col min="4" max="4" width="9.36328125" style="1" bestFit="1" customWidth="1"/>
    <col min="5" max="5" width="32.453125" style="1" customWidth="1"/>
    <col min="6" max="6" width="8.54296875" style="1" customWidth="1"/>
    <col min="7" max="7" width="18.08984375" style="1" customWidth="1"/>
    <col min="8" max="8" width="14.1796875" style="1" bestFit="1" customWidth="1"/>
    <col min="9" max="9" width="12" style="1" bestFit="1" customWidth="1"/>
    <col min="10" max="10" width="13.81640625" style="14" bestFit="1" customWidth="1"/>
    <col min="11" max="11" width="8.36328125" hidden="1" customWidth="1"/>
    <col min="12" max="12" width="11.81640625" bestFit="1" customWidth="1"/>
    <col min="13" max="13" width="13.26953125" bestFit="1" customWidth="1"/>
    <col min="14" max="14" width="10.36328125" customWidth="1"/>
    <col min="15" max="15" width="9.36328125" bestFit="1" customWidth="1"/>
    <col min="16" max="16" width="4.1796875" bestFit="1" customWidth="1"/>
    <col min="17" max="17" width="24.6328125" bestFit="1" customWidth="1"/>
    <col min="18" max="18" width="18.26953125" bestFit="1" customWidth="1"/>
    <col min="19" max="19" width="10.1796875" bestFit="1" customWidth="1"/>
  </cols>
  <sheetData>
    <row r="1" spans="2:16" x14ac:dyDescent="0.35">
      <c r="B1" s="1" t="s">
        <v>0</v>
      </c>
      <c r="C1" s="1" t="s">
        <v>1</v>
      </c>
      <c r="D1" s="1" t="s">
        <v>24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4" t="s">
        <v>7</v>
      </c>
      <c r="K1" s="1" t="s">
        <v>8</v>
      </c>
      <c r="L1" s="9" t="s">
        <v>12</v>
      </c>
      <c r="M1" s="4" t="s">
        <v>15</v>
      </c>
      <c r="O1" s="25" t="s">
        <v>3</v>
      </c>
      <c r="P1" s="11" t="s">
        <v>9</v>
      </c>
    </row>
    <row r="2" spans="2:16" x14ac:dyDescent="0.35">
      <c r="B2" s="3">
        <v>11347</v>
      </c>
      <c r="C2" s="3">
        <v>11347</v>
      </c>
      <c r="D2" s="3">
        <v>2404</v>
      </c>
      <c r="E2" s="5" t="s">
        <v>25</v>
      </c>
      <c r="F2" s="6" t="str">
        <f>IF(Tabela2[[#This Row],[OBS]]="","ATIVO","INATIVO")</f>
        <v>ATIVO</v>
      </c>
      <c r="G2" s="6" t="s">
        <v>13</v>
      </c>
      <c r="H2" s="6" t="s">
        <v>14</v>
      </c>
      <c r="I2" s="6" t="s">
        <v>13</v>
      </c>
      <c r="J2" s="15"/>
      <c r="K2" s="2"/>
      <c r="L2" s="6" t="s">
        <v>32</v>
      </c>
      <c r="M2" s="7" t="s">
        <v>32</v>
      </c>
      <c r="O2" s="10" t="s">
        <v>10</v>
      </c>
      <c r="P2" s="26">
        <v>15</v>
      </c>
    </row>
    <row r="3" spans="2:16" x14ac:dyDescent="0.35">
      <c r="B3" s="3">
        <v>11373</v>
      </c>
      <c r="C3" s="3">
        <v>11373</v>
      </c>
      <c r="D3" s="3">
        <v>2381</v>
      </c>
      <c r="E3" s="5" t="s">
        <v>17</v>
      </c>
      <c r="F3" s="18" t="str">
        <f>IF(Tabela2[[#This Row],[OBS]]="","ATIVO","INATIVO")</f>
        <v>ATIVO</v>
      </c>
      <c r="G3" s="6" t="s">
        <v>13</v>
      </c>
      <c r="H3" s="6" t="s">
        <v>14</v>
      </c>
      <c r="I3" s="6" t="s">
        <v>13</v>
      </c>
      <c r="J3" s="15"/>
      <c r="K3" s="17"/>
      <c r="L3" s="6" t="s">
        <v>32</v>
      </c>
      <c r="M3" s="7" t="s">
        <v>32</v>
      </c>
      <c r="O3" s="11" t="s">
        <v>11</v>
      </c>
      <c r="P3" s="12">
        <v>15</v>
      </c>
    </row>
    <row r="4" spans="2:16" x14ac:dyDescent="0.35">
      <c r="B4" s="3">
        <v>10941</v>
      </c>
      <c r="C4" s="3">
        <v>20900</v>
      </c>
      <c r="D4" s="3">
        <v>2379</v>
      </c>
      <c r="E4" s="5" t="s">
        <v>18</v>
      </c>
      <c r="F4" s="18" t="str">
        <f>IF(Tabela2[[#This Row],[OBS]]="","ATIVO","INATIVO")</f>
        <v>ATIVO</v>
      </c>
      <c r="G4" s="6" t="s">
        <v>13</v>
      </c>
      <c r="H4" s="6" t="s">
        <v>14</v>
      </c>
      <c r="I4" s="6" t="s">
        <v>13</v>
      </c>
      <c r="J4" s="15"/>
      <c r="K4" s="17"/>
      <c r="L4" s="6" t="s">
        <v>32</v>
      </c>
      <c r="M4" s="8" t="s">
        <v>32</v>
      </c>
    </row>
    <row r="5" spans="2:16" x14ac:dyDescent="0.35">
      <c r="B5" s="3">
        <v>11112</v>
      </c>
      <c r="C5" s="3">
        <v>111120</v>
      </c>
      <c r="D5" s="3">
        <v>2378</v>
      </c>
      <c r="E5" s="5" t="s">
        <v>19</v>
      </c>
      <c r="F5" s="18" t="str">
        <f>IF(Tabela2[[#This Row],[OBS]]="","ATIVO","INATIVO")</f>
        <v>ATIVO</v>
      </c>
      <c r="G5" s="6" t="s">
        <v>13</v>
      </c>
      <c r="H5" s="6" t="s">
        <v>14</v>
      </c>
      <c r="I5" s="6" t="s">
        <v>13</v>
      </c>
      <c r="J5" s="15"/>
      <c r="K5" s="17"/>
      <c r="L5" s="6" t="s">
        <v>32</v>
      </c>
      <c r="M5" s="7" t="s">
        <v>32</v>
      </c>
    </row>
    <row r="6" spans="2:16" x14ac:dyDescent="0.35">
      <c r="B6" s="3">
        <v>11070</v>
      </c>
      <c r="C6" s="3">
        <v>11070</v>
      </c>
      <c r="D6" s="3">
        <v>2384</v>
      </c>
      <c r="E6" s="5" t="s">
        <v>20</v>
      </c>
      <c r="F6" s="18" t="str">
        <f>IF(Tabela2[[#This Row],[OBS]]="","ATIVO","INATIVO")</f>
        <v>ATIVO</v>
      </c>
      <c r="G6" s="6" t="s">
        <v>13</v>
      </c>
      <c r="H6" s="6" t="s">
        <v>14</v>
      </c>
      <c r="I6" s="6" t="s">
        <v>13</v>
      </c>
      <c r="J6" s="15"/>
      <c r="K6" s="17"/>
      <c r="L6" s="6" t="s">
        <v>32</v>
      </c>
      <c r="M6" s="7" t="s">
        <v>32</v>
      </c>
    </row>
    <row r="7" spans="2:16" x14ac:dyDescent="0.35">
      <c r="B7" s="3">
        <v>11233</v>
      </c>
      <c r="C7" s="3">
        <v>11233</v>
      </c>
      <c r="D7" s="3">
        <v>490</v>
      </c>
      <c r="E7" s="5" t="s">
        <v>21</v>
      </c>
      <c r="F7" s="19" t="str">
        <f>IF(Tabela2[[#This Row],[OBS]]="","ATIVO","INATIVO")</f>
        <v>ATIVO</v>
      </c>
      <c r="G7" s="6" t="s">
        <v>13</v>
      </c>
      <c r="H7" s="6" t="s">
        <v>14</v>
      </c>
      <c r="I7" s="6" t="s">
        <v>13</v>
      </c>
      <c r="J7" s="15"/>
      <c r="K7" s="17"/>
      <c r="L7" s="6" t="s">
        <v>32</v>
      </c>
      <c r="M7" s="7" t="s">
        <v>32</v>
      </c>
    </row>
    <row r="8" spans="2:16" x14ac:dyDescent="0.35">
      <c r="B8" s="3">
        <v>11414</v>
      </c>
      <c r="C8" s="3">
        <v>11414</v>
      </c>
      <c r="D8" s="3">
        <v>2392</v>
      </c>
      <c r="E8" s="5" t="s">
        <v>26</v>
      </c>
      <c r="F8" s="19" t="str">
        <f>IF(Tabela2[[#This Row],[OBS]]="","ATIVO","INATIVO")</f>
        <v>ATIVO</v>
      </c>
      <c r="G8" s="6" t="s">
        <v>13</v>
      </c>
      <c r="H8" s="6" t="s">
        <v>14</v>
      </c>
      <c r="I8" s="6" t="s">
        <v>13</v>
      </c>
      <c r="J8" s="20"/>
      <c r="K8" s="21"/>
      <c r="L8" s="6" t="s">
        <v>32</v>
      </c>
      <c r="M8" s="7" t="s">
        <v>32</v>
      </c>
    </row>
    <row r="9" spans="2:16" x14ac:dyDescent="0.35">
      <c r="B9" s="3">
        <v>11436</v>
      </c>
      <c r="C9" s="3">
        <v>11436</v>
      </c>
      <c r="D9" s="3">
        <v>3049</v>
      </c>
      <c r="E9" s="5" t="s">
        <v>27</v>
      </c>
      <c r="F9" s="19" t="str">
        <f>IF(Tabela2[[#This Row],[OBS]]="","ATIVO","INATIVO")</f>
        <v>ATIVO</v>
      </c>
      <c r="G9" s="6" t="s">
        <v>13</v>
      </c>
      <c r="H9" s="6" t="s">
        <v>14</v>
      </c>
      <c r="I9" s="6" t="s">
        <v>13</v>
      </c>
      <c r="J9" s="20"/>
      <c r="K9" s="21"/>
      <c r="L9" s="6" t="s">
        <v>32</v>
      </c>
      <c r="M9" s="7" t="s">
        <v>32</v>
      </c>
    </row>
    <row r="10" spans="2:16" x14ac:dyDescent="0.35">
      <c r="B10" s="3">
        <v>11440</v>
      </c>
      <c r="C10" s="3">
        <v>114400</v>
      </c>
      <c r="D10" s="3">
        <v>3045</v>
      </c>
      <c r="E10" s="5" t="s">
        <v>22</v>
      </c>
      <c r="F10" s="18" t="str">
        <f>IF(Tabela2[[#This Row],[OBS]]="","ATIVO","INATIVO")</f>
        <v>ATIVO</v>
      </c>
      <c r="G10" s="6" t="s">
        <v>13</v>
      </c>
      <c r="H10" s="6" t="s">
        <v>14</v>
      </c>
      <c r="I10" s="6" t="s">
        <v>13</v>
      </c>
      <c r="J10" s="15"/>
      <c r="K10" s="17"/>
      <c r="L10" s="6" t="s">
        <v>32</v>
      </c>
      <c r="M10" s="7" t="s">
        <v>32</v>
      </c>
    </row>
    <row r="11" spans="2:16" x14ac:dyDescent="0.35">
      <c r="B11" s="3">
        <v>11325</v>
      </c>
      <c r="C11" s="3">
        <v>111325</v>
      </c>
      <c r="D11" s="3">
        <v>2327</v>
      </c>
      <c r="E11" s="29" t="s">
        <v>28</v>
      </c>
      <c r="F11" s="30" t="str">
        <f>IF(Tabela2[[#This Row],[OBS]]="","ATIVO","INATIVO")</f>
        <v>ATIVO</v>
      </c>
      <c r="G11" s="6" t="s">
        <v>13</v>
      </c>
      <c r="H11" s="6" t="s">
        <v>14</v>
      </c>
      <c r="I11" s="6" t="s">
        <v>13</v>
      </c>
      <c r="J11" s="31"/>
      <c r="K11" s="32"/>
      <c r="L11" s="6" t="s">
        <v>33</v>
      </c>
      <c r="M11" s="7" t="s">
        <v>33</v>
      </c>
    </row>
    <row r="12" spans="2:16" x14ac:dyDescent="0.35">
      <c r="B12" s="3">
        <v>11077</v>
      </c>
      <c r="C12" s="3">
        <v>111077</v>
      </c>
      <c r="D12" s="3">
        <v>2388</v>
      </c>
      <c r="E12" s="29" t="s">
        <v>23</v>
      </c>
      <c r="F12" s="30" t="str">
        <f>IF(Tabela2[[#This Row],[OBS]]="","ATIVO","INATIVO")</f>
        <v>ATIVO</v>
      </c>
      <c r="G12" s="6" t="s">
        <v>13</v>
      </c>
      <c r="H12" s="6" t="s">
        <v>14</v>
      </c>
      <c r="I12" s="6" t="s">
        <v>13</v>
      </c>
      <c r="J12" s="31"/>
      <c r="K12" s="32"/>
      <c r="L12" s="6" t="s">
        <v>33</v>
      </c>
      <c r="M12" s="7" t="s">
        <v>33</v>
      </c>
    </row>
    <row r="13" spans="2:16" x14ac:dyDescent="0.35">
      <c r="B13" s="3">
        <v>11038</v>
      </c>
      <c r="C13" s="3">
        <v>110388</v>
      </c>
      <c r="D13" s="3">
        <v>2409</v>
      </c>
      <c r="E13" s="29" t="s">
        <v>16</v>
      </c>
      <c r="F13" s="30" t="str">
        <f>IF(Tabela2[[#This Row],[OBS]]="","ATIVO","INATIVO")</f>
        <v>ATIVO</v>
      </c>
      <c r="G13" s="6" t="s">
        <v>13</v>
      </c>
      <c r="H13" s="6" t="s">
        <v>14</v>
      </c>
      <c r="I13" s="6" t="s">
        <v>13</v>
      </c>
      <c r="J13" s="31"/>
      <c r="K13" s="32"/>
      <c r="L13" s="6" t="s">
        <v>32</v>
      </c>
      <c r="M13" s="7" t="s">
        <v>32</v>
      </c>
    </row>
    <row r="14" spans="2:16" x14ac:dyDescent="0.35">
      <c r="B14" s="3">
        <v>10932</v>
      </c>
      <c r="C14" s="3">
        <v>10932</v>
      </c>
      <c r="D14" s="3">
        <v>2373</v>
      </c>
      <c r="E14" s="5" t="s">
        <v>29</v>
      </c>
      <c r="F14" s="19" t="str">
        <f>IF(Tabela2[[#This Row],[OBS]]="","ATIVO","INATIVO")</f>
        <v>ATIVO</v>
      </c>
      <c r="G14" s="6" t="s">
        <v>13</v>
      </c>
      <c r="H14" s="6" t="s">
        <v>14</v>
      </c>
      <c r="I14" s="6" t="s">
        <v>13</v>
      </c>
      <c r="J14" s="28"/>
      <c r="K14" s="24"/>
      <c r="L14" s="6" t="s">
        <v>32</v>
      </c>
      <c r="M14" s="7" t="s">
        <v>32</v>
      </c>
    </row>
    <row r="15" spans="2:16" x14ac:dyDescent="0.35">
      <c r="B15" s="3">
        <v>11526</v>
      </c>
      <c r="C15" s="3">
        <v>11526</v>
      </c>
      <c r="D15" s="3">
        <v>668</v>
      </c>
      <c r="E15" s="27" t="s">
        <v>30</v>
      </c>
      <c r="F15" s="22" t="str">
        <f>IF(Tabela2[[#This Row],[OBS]]="","ATIVO","INATIVO")</f>
        <v>ATIVO</v>
      </c>
      <c r="G15" s="6" t="s">
        <v>13</v>
      </c>
      <c r="H15" s="6" t="s">
        <v>14</v>
      </c>
      <c r="I15" s="6" t="s">
        <v>13</v>
      </c>
      <c r="J15" s="23"/>
      <c r="K15" s="24"/>
      <c r="L15" s="6" t="s">
        <v>32</v>
      </c>
      <c r="M15" s="7" t="s">
        <v>32</v>
      </c>
    </row>
    <row r="16" spans="2:16" x14ac:dyDescent="0.35">
      <c r="B16" s="3">
        <v>11537</v>
      </c>
      <c r="C16" s="3">
        <v>11537</v>
      </c>
      <c r="D16" s="3">
        <v>618</v>
      </c>
      <c r="E16" s="27" t="s">
        <v>31</v>
      </c>
      <c r="F16" s="22" t="str">
        <f>IF(Tabela2[[#This Row],[OBS]]="","ATIVO","INATIVO")</f>
        <v>ATIVO</v>
      </c>
      <c r="G16" s="6" t="s">
        <v>13</v>
      </c>
      <c r="H16" s="6" t="s">
        <v>14</v>
      </c>
      <c r="I16" s="6" t="s">
        <v>13</v>
      </c>
      <c r="J16" s="28"/>
      <c r="K16" s="24"/>
      <c r="L16" s="6" t="s">
        <v>32</v>
      </c>
      <c r="M16" s="8" t="s">
        <v>32</v>
      </c>
    </row>
    <row r="17" spans="10:13" x14ac:dyDescent="0.35">
      <c r="J17" s="16"/>
      <c r="L17" s="13">
        <f>COUNTIF(Tabela2[OPERACIONAL],"X")</f>
        <v>2</v>
      </c>
      <c r="M17" s="13">
        <f>COUNTIF(M2:M16,"X")</f>
        <v>2</v>
      </c>
    </row>
  </sheetData>
  <conditionalFormatting sqref="F1:F1048576">
    <cfRule type="containsText" dxfId="33" priority="7" stopIfTrue="1" operator="containsText" text="INATIVO">
      <formula>NOT(ISERROR(SEARCH("INATIVO",F1)))</formula>
    </cfRule>
    <cfRule type="containsText" dxfId="32" priority="8" stopIfTrue="1" operator="containsText" text="ATIVO">
      <formula>NOT(ISERROR(SEARCH("ATIVO",F1)))</formula>
    </cfRule>
  </conditionalFormatting>
  <conditionalFormatting sqref="L8:M16 L2:M6">
    <cfRule type="containsText" dxfId="31" priority="5" operator="containsText" text="X">
      <formula>NOT(ISERROR(SEARCH("X",L2)))</formula>
    </cfRule>
    <cfRule type="containsText" dxfId="30" priority="6" operator="containsText" text="OK">
      <formula>NOT(ISERROR(SEARCH("OK",L2)))</formula>
    </cfRule>
  </conditionalFormatting>
  <conditionalFormatting sqref="L7:M7">
    <cfRule type="containsText" dxfId="29" priority="1" operator="containsText" text="X">
      <formula>NOT(ISERROR(SEARCH("X",L7)))</formula>
    </cfRule>
    <cfRule type="containsText" dxfId="28" priority="2" operator="containsText" text="OK">
      <formula>NOT(ISERROR(SEARCH("OK",L7)))</formula>
    </cfRule>
  </conditionalFormatting>
  <pageMargins left="0.511811024" right="0.511811024" top="0.78740157499999996" bottom="0.78740157499999996" header="0.31496062000000002" footer="0.31496062000000002"/>
  <pageSetup orientation="portrait" horizontalDpi="300" r:id="rId2"/>
  <drawing r:id="rId3"/>
  <tableParts count="1">
    <tablePart r:id="rId4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6EDE9752F8578418CA45ED32A8A20A5" ma:contentTypeVersion="22" ma:contentTypeDescription="Crie um novo documento." ma:contentTypeScope="" ma:versionID="e775968922f4b801f00aa6714406624d">
  <xsd:schema xmlns:xsd="http://www.w3.org/2001/XMLSchema" xmlns:xs="http://www.w3.org/2001/XMLSchema" xmlns:p="http://schemas.microsoft.com/office/2006/metadata/properties" xmlns:ns2="71d69e10-82ba-4323-8291-4178b532a9a2" xmlns:ns3="abfebfb4-fcd8-4713-a3eb-2c65d8e9e427" targetNamespace="http://schemas.microsoft.com/office/2006/metadata/properties" ma:root="true" ma:fieldsID="82c13007b2e138e0b9bdaff8cd76f4b6" ns2:_="" ns3:_="">
    <xsd:import namespace="71d69e10-82ba-4323-8291-4178b532a9a2"/>
    <xsd:import namespace="abfebfb4-fcd8-4713-a3eb-2c65d8e9e42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2:TaxCatchAll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DateTaken" minOccurs="0"/>
                <xsd:element ref="ns3:MediaServiceAutoKeyPoints" minOccurs="0"/>
                <xsd:element ref="ns3:MediaServiceKeyPoints" minOccurs="0"/>
                <xsd:element ref="ns3:MediaServiceLocation" minOccurs="0"/>
                <xsd:element ref="ns3:_Flow_SignoffStatus" minOccurs="0"/>
                <xsd:element ref="ns3:MediaServiceObjectDetectorVersions" minOccurs="0"/>
                <xsd:element ref="ns3:Data" minOccurs="0"/>
                <xsd:element ref="ns3:MediaServiceSearchProperties" minOccurs="0"/>
                <xsd:element ref="ns3:MediaServiceBillingMetadata" minOccurs="0"/>
                <xsd:element ref="ns3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d69e10-82ba-4323-8291-4178b532a9a2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2" nillable="true" ma:displayName="Taxonomy Catch All Column" ma:hidden="true" ma:list="{5bf4ead9-e369-4320-8da4-2d70c5081b79}" ma:internalName="TaxCatchAll" ma:showField="CatchAllData" ma:web="71d69e10-82ba-4323-8291-4178b532a9a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febfb4-fcd8-4713-a3eb-2c65d8e9e42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_Flow_SignoffStatus" ma:index="21" nillable="true" ma:displayName="Status de liberação" ma:internalName="Status_x0020_de_x0020_libera_x00e7__x00e3_o">
      <xsd:simpleType>
        <xsd:restriction base="dms:Text"/>
      </xsd:simple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Data" ma:index="23" nillable="true" ma:displayName="Data" ma:format="DateTime" ma:internalName="Data">
      <xsd:simpleType>
        <xsd:restriction base="dms:DateTime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  <xsd:element name="lcf76f155ced4ddcb4097134ff3c332f" ma:index="27" nillable="true" ma:taxonomy="true" ma:internalName="lcf76f155ced4ddcb4097134ff3c332f" ma:taxonomyFieldName="MediaServiceImageTags" ma:displayName="Marcações de imagem" ma:readOnly="false" ma:fieldId="{5cf76f15-5ced-4ddc-b409-7134ff3c332f}" ma:taxonomyMulti="true" ma:sspId="a8381c5f-bf68-4e6a-94d5-5f00d3537ea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1d69e10-82ba-4323-8291-4178b532a9a2" xsi:nil="true"/>
    <lcf76f155ced4ddcb4097134ff3c332f xmlns="abfebfb4-fcd8-4713-a3eb-2c65d8e9e427">
      <Terms xmlns="http://schemas.microsoft.com/office/infopath/2007/PartnerControls"/>
    </lcf76f155ced4ddcb4097134ff3c332f>
    <Data xmlns="abfebfb4-fcd8-4713-a3eb-2c65d8e9e427" xsi:nil="true"/>
    <_Flow_SignoffStatus xmlns="abfebfb4-fcd8-4713-a3eb-2c65d8e9e427" xsi:nil="true"/>
  </documentManagement>
</p:properties>
</file>

<file path=customXml/itemProps1.xml><?xml version="1.0" encoding="utf-8"?>
<ds:datastoreItem xmlns:ds="http://schemas.openxmlformats.org/officeDocument/2006/customXml" ds:itemID="{0E7A0A80-78D7-43E0-8E99-FC6B9E824CE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1d69e10-82ba-4323-8291-4178b532a9a2"/>
    <ds:schemaRef ds:uri="abfebfb4-fcd8-4713-a3eb-2c65d8e9e42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97DD8EA-DC29-49EC-B0B7-6C7851C8C37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B1F12A7-47A9-4394-8F68-59F903A43B9C}">
  <ds:schemaRefs>
    <ds:schemaRef ds:uri="http://purl.org/dc/dcmitype/"/>
    <ds:schemaRef ds:uri="http://schemas.microsoft.com/office/infopath/2007/PartnerControls"/>
    <ds:schemaRef ds:uri="http://schemas.microsoft.com/office/2006/documentManagement/types"/>
    <ds:schemaRef ds:uri="http://purl.org/dc/terms/"/>
    <ds:schemaRef ds:uri="abfebfb4-fcd8-4713-a3eb-2c65d8e9e427"/>
    <ds:schemaRef ds:uri="http://schemas.microsoft.com/office/2006/metadata/properties"/>
    <ds:schemaRef ds:uri="71d69e10-82ba-4323-8291-4178b532a9a2"/>
    <ds:schemaRef ds:uri="http://schemas.openxmlformats.org/package/2006/metadata/core-properties"/>
    <ds:schemaRef ds:uri="http://www.w3.org/XML/1998/namespace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DIST. AMANDA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Peterson Wellington Ferreira</dc:creator>
  <cp:keywords/>
  <dc:description/>
  <cp:lastModifiedBy>Nathalia De Souza Da Silva</cp:lastModifiedBy>
  <cp:revision/>
  <dcterms:created xsi:type="dcterms:W3CDTF">2020-01-31T11:15:54Z</dcterms:created>
  <dcterms:modified xsi:type="dcterms:W3CDTF">2026-02-27T18:23:43Z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0x01010016EDE9752F8578418CA45ED32A8A20A5</vt:lpwstr>
  </property>
  <property fmtid="{D5CDD505-2E9C-101B-9397-08002B2CF9AE}" pid="3" name="MediaServiceImageTags">
    <vt:lpwstr/>
  </property>
</Properties>
</file>