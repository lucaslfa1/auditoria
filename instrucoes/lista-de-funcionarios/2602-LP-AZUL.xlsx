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31" documentId="113_{FD6DB24E-3719-42CD-ABB5-D9EEB9E3CC3A}" xr6:coauthVersionLast="36" xr6:coauthVersionMax="36" xr10:uidLastSave="{6D4DDA81-909E-4527-87E4-62440017FFE1}"/>
  <bookViews>
    <workbookView xWindow="0" yWindow="0" windowWidth="19200" windowHeight="6350" xr2:uid="{00000000-000D-0000-FFFF-FFFF00000000}"/>
  </bookViews>
  <sheets>
    <sheet name="LP-AZUL" sheetId="2" r:id="rId1"/>
  </sheets>
  <definedNames>
    <definedName name="_xlnm._FilterDatabase" localSheetId="0" hidden="1">'LP-AZUL'!$M$1:$M$1</definedName>
  </definedNames>
  <calcPr calcId="191028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F9" i="2" l="1"/>
  <c r="F10" i="2"/>
  <c r="F11" i="2"/>
  <c r="F12" i="2" l="1"/>
  <c r="F13" i="2"/>
  <c r="F7" i="2" l="1"/>
  <c r="M14" i="2" l="1"/>
  <c r="L14" i="2" l="1"/>
  <c r="F2" i="2" l="1"/>
  <c r="F6" i="2" l="1"/>
  <c r="F5" i="2"/>
  <c r="F4" i="2"/>
  <c r="F3" i="2"/>
</calcChain>
</file>

<file path=xl/sharedStrings.xml><?xml version="1.0" encoding="utf-8"?>
<sst xmlns="http://schemas.openxmlformats.org/spreadsheetml/2006/main" count="88" uniqueCount="32">
  <si>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</si>
  <si>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</si>
  <si>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</si>
  <si>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</si>
  <si>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</si>
  <si>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</si>
  <si>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</si>
  <si>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</si>
  <si>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</si>
  <si>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</si>
  <si>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</si>
  <si>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</si>
  <si>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</si>
  <si>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CENTRAL - AZUL</t>
  </si>
  <si>
    <t>TRANSFERÊNCIA</t>
  </si>
  <si>
    <t>Ana Caroline</t>
  </si>
  <si>
    <t>OPERACIONAL 2</t>
  </si>
  <si>
    <t>BIANCA RIBEIRO CARVALHO</t>
  </si>
  <si>
    <t>KENDRIO MURILLO DE LIMA SELLES</t>
  </si>
  <si>
    <t>ANA BEATRIZ RAICHELT MEURER</t>
  </si>
  <si>
    <t>NICOLE ALAIANE MODESTO DE LIMA FLORES</t>
  </si>
  <si>
    <t>KISLA HIANY DE ARAÚJO PEREIRA</t>
  </si>
  <si>
    <t>NANCIS JOANNA GARCIA MARVAL</t>
  </si>
  <si>
    <t>GABRIELLE DE LIMA DOS SANTOS</t>
  </si>
  <si>
    <t xml:space="preserve">PAULO HENRICK OLIVEIRA SANTOS </t>
  </si>
  <si>
    <t>THAIS DOS SANTOS FRAGA</t>
  </si>
  <si>
    <t>CLEBER NATAN RAMOS</t>
  </si>
  <si>
    <t>FLAVIANE SILVEIRA DA SILVA</t>
  </si>
  <si>
    <t>ID HUAWEI</t>
  </si>
  <si>
    <t>PÂMELA NADONA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</si>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</sst>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0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0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95250</xdr:rowOff>
    </xdr:from>
    <xdr:to>
      <xdr:col>13</xdr:col>
      <xdr:colOff>63857</xdr:colOff>
      <xdr:row>45</xdr:row>
      <xdr:rowOff>122588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AD6529-B9E1-4573-AD1E-5B33D6D7A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1650"/>
          <a:ext cx="10655657" cy="57423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79.397422106478" createdVersion="6" refreshedVersion="6" minRefreshableVersion="3" recordCount="12" xr:uid="{CCBE922F-4A6F-4E94-A48B-52E4D1FD76C3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1240" maxValue="11516"/>
    </cacheField>
    <cacheField name="ID WEON " numFmtId="0">
      <sharedItems containsSemiMixedTypes="0" containsString="0" containsNumber="1" containsInteger="1" minValue="11240" maxValue="11516"/>
    </cacheField>
    <cacheField name="ID HUAWEI" numFmtId="0">
      <sharedItems containsSemiMixedTypes="0" containsString="0" containsNumber="1" containsInteger="1" minValue="226" maxValue="2521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1241"/>
    <n v="11242"/>
    <n v="2516"/>
    <s v="BIANCA RIBEIRO CARVALHO"/>
    <x v="0"/>
    <s v="CENTRAL - AZUL"/>
    <s v="Ana Caroline"/>
    <s v="TRANSFERÊNCIA"/>
    <m/>
  </r>
  <r>
    <n v="11240"/>
    <n v="11240"/>
    <n v="2494"/>
    <s v="KENDRIO MURILLO DE LIMA SELLES"/>
    <x v="0"/>
    <s v="CENTRAL - AZUL"/>
    <s v="Ana Caroline"/>
    <s v="TRANSFERÊNCIA"/>
    <m/>
  </r>
  <r>
    <n v="11255"/>
    <n v="11255"/>
    <n v="2478"/>
    <s v="PAULO HENRICK OLIVEIRA SANTOS "/>
    <x v="0"/>
    <s v="CENTRAL - AZUL"/>
    <s v="Ana Caroline"/>
    <s v="TRANSFERÊNCIA"/>
    <m/>
  </r>
  <r>
    <n v="11280"/>
    <n v="11280"/>
    <n v="2521"/>
    <s v="ANA BEATRIZ RAICHELT MEURER"/>
    <x v="0"/>
    <s v="CENTRAL - AZUL"/>
    <s v="Ana Caroline"/>
    <s v="TRANSFERÊNCIA"/>
    <m/>
  </r>
  <r>
    <n v="11278"/>
    <n v="11278"/>
    <n v="2480"/>
    <s v="NICOLE ALAIANE MODESTO DE LIMA FLORES"/>
    <x v="0"/>
    <s v="CENTRAL - AZUL"/>
    <s v="Ana Caroline"/>
    <s v="TRANSFERÊNCIA"/>
    <m/>
  </r>
  <r>
    <n v="11321"/>
    <n v="11321"/>
    <n v="2492"/>
    <s v="KISLA HIANY DE ARAÚJO PEREIRA"/>
    <x v="0"/>
    <s v="CENTRAL - AZUL"/>
    <s v="Ana Caroline"/>
    <s v="TRANSFERÊNCIA"/>
    <m/>
  </r>
  <r>
    <n v="11329"/>
    <n v="11330"/>
    <n v="2481"/>
    <s v="NANCIS JOANNA GARCIA MARVAL"/>
    <x v="0"/>
    <s v="CENTRAL - AZUL"/>
    <s v="Ana Caroline"/>
    <s v="TRANSFERÊNCIA"/>
    <m/>
  </r>
  <r>
    <n v="11352"/>
    <n v="11352"/>
    <n v="2507"/>
    <s v="GABRIELLE DE LIMA DOS SANTOS"/>
    <x v="0"/>
    <s v="CENTRAL - AZUL"/>
    <s v="Ana Caroline"/>
    <s v="TRANSFERÊNCIA"/>
    <m/>
  </r>
  <r>
    <n v="11501"/>
    <n v="11501"/>
    <n v="226"/>
    <s v="THAIS DOS SANTOS FRAGA"/>
    <x v="0"/>
    <s v="CENTRAL - AZUL"/>
    <s v="Ana Caroline"/>
    <s v="TRANSFERÊNCIA"/>
    <m/>
  </r>
  <r>
    <n v="11512"/>
    <n v="11512"/>
    <n v="652"/>
    <s v="CLEBER NATAN RAMOS"/>
    <x v="0"/>
    <s v="CENTRAL - AZUL"/>
    <s v="Ana Caroline"/>
    <s v="TRANSFERÊNCIA"/>
    <m/>
  </r>
  <r>
    <n v="11516"/>
    <n v="11516"/>
    <n v="656"/>
    <s v="FLAVIANE SILVEIRA DA SILVA"/>
    <x v="0"/>
    <s v="CENTRAL - AZUL"/>
    <s v="Ana Caroline"/>
    <s v="TRANSFERÊNCIA"/>
    <m/>
  </r>
  <r>
    <n v="11507"/>
    <n v="11507"/>
    <n v="665"/>
    <s v="PÂMELA NADONA"/>
    <x v="0"/>
    <s v="CENTRAL - AZUL"/>
    <s v="Ana Caroline"/>
    <s v="TRANSFERÊNC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8E04F-1A8C-4438-B8E2-96C1E7EAAFB6}" name="Tabela dinâmica3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3" totalsRowShown="0" headerRowDxfId="18" dataDxfId="17">
  <sortState ref="B2:K4">
    <sortCondition ref="B1:B4"/>
  </sortState>
  <tableColumns count="11">
    <tableColumn id="1" xr3:uid="{00000000-0010-0000-0000-000001000000}" name="MATRICULA" dataDxfId="16"/>
    <tableColumn id="9" xr3:uid="{5D5963D4-6ADD-4B53-A2B4-60955012F1B3}" name="ID WEON " dataDxfId="15"/>
    <tableColumn id="11" xr3:uid="{14CF37B6-0C4E-4BBC-912C-887F8AFF9EF7}" name="ID HUAWEI" dataDxfId="14"/>
    <tableColumn id="2" xr3:uid="{00000000-0010-0000-0000-000002000000}" name="NOME" dataDxfId="13"/>
    <tableColumn id="3" xr3:uid="{00000000-0010-0000-0000-000003000000}" name="STATUS" dataDxfId="12">
      <calculatedColumnFormula>IF(Tabela2[[#This Row],[OBS]]="","ATIVO","INATIVO")</calculatedColumnFormula>
    </tableColumn>
    <tableColumn id="4" xr3:uid="{00000000-0010-0000-0000-000004000000}" name="TURNO / OPERAÇÃO" dataDxfId="11" totalsRowDxfId="10"/>
    <tableColumn id="5" xr3:uid="{00000000-0010-0000-0000-000005000000}" name="SUPERVISOR" dataDxfId="9" totalsRowDxfId="8"/>
    <tableColumn id="6" xr3:uid="{00000000-0010-0000-0000-000006000000}" name="SETOR" dataDxfId="7" totalsRow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showGridLines="0" tabSelected="1" topLeftCell="B1" zoomScaleNormal="100" workbookViewId="0">
      <selection activeCell="M9" sqref="M9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2" width="11.81640625" bestFit="1" customWidth="1"/>
    <col min="13" max="13" width="13.269531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12</v>
      </c>
      <c r="M1" s="5" t="s">
        <v>16</v>
      </c>
      <c r="O1" s="11" t="s">
        <v>3</v>
      </c>
      <c r="P1" s="11" t="s">
        <v>9</v>
      </c>
    </row>
    <row r="2" spans="2:16" x14ac:dyDescent="0.35">
      <c r="B2" s="3">
        <v>11241</v>
      </c>
      <c r="C2" s="3">
        <v>11242</v>
      </c>
      <c r="D2" s="3">
        <v>2516</v>
      </c>
      <c r="E2" s="24" t="s">
        <v>17</v>
      </c>
      <c r="F2" s="6" t="str">
        <f>IF(Tabela2[[#This Row],[OBS]]="","ATIVO","INATIVO")</f>
        <v>ATIVO</v>
      </c>
      <c r="G2" s="18" t="s">
        <v>13</v>
      </c>
      <c r="H2" s="18" t="s">
        <v>15</v>
      </c>
      <c r="I2" s="18" t="s">
        <v>14</v>
      </c>
      <c r="J2" s="21"/>
      <c r="K2" s="2"/>
      <c r="L2" s="6" t="s">
        <v>30</v>
      </c>
      <c r="M2" s="7" t="s">
        <v>30</v>
      </c>
      <c r="O2" s="10" t="s">
        <v>10</v>
      </c>
      <c r="P2" s="12">
        <v>12</v>
      </c>
    </row>
    <row r="3" spans="2:16" x14ac:dyDescent="0.35">
      <c r="B3" s="3">
        <v>11240</v>
      </c>
      <c r="C3" s="3">
        <v>11240</v>
      </c>
      <c r="D3" s="3">
        <v>2494</v>
      </c>
      <c r="E3" s="25" t="s">
        <v>18</v>
      </c>
      <c r="F3" s="6" t="str">
        <f>IF(Tabela2[[#This Row],[OBS]]="","ATIVO","INATIVO")</f>
        <v>ATIVO</v>
      </c>
      <c r="G3" s="18" t="s">
        <v>13</v>
      </c>
      <c r="H3" s="18" t="s">
        <v>15</v>
      </c>
      <c r="I3" s="18" t="s">
        <v>14</v>
      </c>
      <c r="J3" s="21"/>
      <c r="K3" s="2"/>
      <c r="L3" s="6" t="s">
        <v>30</v>
      </c>
      <c r="M3" s="7" t="s">
        <v>30</v>
      </c>
      <c r="O3" s="11" t="s">
        <v>11</v>
      </c>
      <c r="P3" s="13">
        <v>12</v>
      </c>
    </row>
    <row r="4" spans="2:16" x14ac:dyDescent="0.35">
      <c r="B4" s="3">
        <v>11255</v>
      </c>
      <c r="C4" s="3">
        <v>11255</v>
      </c>
      <c r="D4" s="3">
        <v>2478</v>
      </c>
      <c r="E4" s="25" t="s">
        <v>24</v>
      </c>
      <c r="F4" s="6" t="str">
        <f>IF(Tabela2[[#This Row],[OBS]]="","ATIVO","INATIVO")</f>
        <v>ATIVO</v>
      </c>
      <c r="G4" s="18" t="s">
        <v>13</v>
      </c>
      <c r="H4" s="18" t="s">
        <v>15</v>
      </c>
      <c r="I4" s="18" t="s">
        <v>14</v>
      </c>
      <c r="J4" s="21"/>
      <c r="K4" s="2"/>
      <c r="L4" s="6" t="s">
        <v>31</v>
      </c>
      <c r="M4" s="7" t="s">
        <v>31</v>
      </c>
    </row>
    <row r="5" spans="2:16" x14ac:dyDescent="0.35">
      <c r="B5" s="3">
        <v>11280</v>
      </c>
      <c r="C5" s="3">
        <v>11280</v>
      </c>
      <c r="D5" s="3">
        <v>2521</v>
      </c>
      <c r="E5" s="25" t="s">
        <v>19</v>
      </c>
      <c r="F5" s="6" t="str">
        <f>IF(Tabela2[[#This Row],[OBS]]="","ATIVO","INATIVO")</f>
        <v>ATIVO</v>
      </c>
      <c r="G5" s="18" t="s">
        <v>13</v>
      </c>
      <c r="H5" s="18" t="s">
        <v>15</v>
      </c>
      <c r="I5" s="18" t="s">
        <v>14</v>
      </c>
      <c r="J5" s="21"/>
      <c r="K5" s="2"/>
      <c r="L5" s="6" t="s">
        <v>30</v>
      </c>
      <c r="M5" s="7" t="s">
        <v>30</v>
      </c>
    </row>
    <row r="6" spans="2:16" x14ac:dyDescent="0.35">
      <c r="B6" s="3">
        <v>11278</v>
      </c>
      <c r="C6" s="3">
        <v>11278</v>
      </c>
      <c r="D6" s="3">
        <v>2480</v>
      </c>
      <c r="E6" s="25" t="s">
        <v>20</v>
      </c>
      <c r="F6" s="8" t="str">
        <f>IF(Tabela2[[#This Row],[OBS]]="","ATIVO","INATIVO")</f>
        <v>ATIVO</v>
      </c>
      <c r="G6" s="18" t="s">
        <v>13</v>
      </c>
      <c r="H6" s="18" t="s">
        <v>15</v>
      </c>
      <c r="I6" s="18" t="s">
        <v>14</v>
      </c>
      <c r="J6" s="22"/>
      <c r="K6" s="4"/>
      <c r="L6" s="6" t="s">
        <v>30</v>
      </c>
      <c r="M6" s="7" t="s">
        <v>30</v>
      </c>
    </row>
    <row r="7" spans="2:16" x14ac:dyDescent="0.35">
      <c r="B7" s="3">
        <v>11321</v>
      </c>
      <c r="C7" s="3">
        <v>11321</v>
      </c>
      <c r="D7" s="3">
        <v>2492</v>
      </c>
      <c r="E7" s="25" t="s">
        <v>21</v>
      </c>
      <c r="F7" s="19" t="str">
        <f>IF(Tabela2[[#This Row],[OBS]]="","ATIVO","INATIVO")</f>
        <v>ATIVO</v>
      </c>
      <c r="G7" s="18" t="s">
        <v>13</v>
      </c>
      <c r="H7" s="18" t="s">
        <v>15</v>
      </c>
      <c r="I7" s="18" t="s">
        <v>14</v>
      </c>
      <c r="J7" s="23"/>
      <c r="K7" s="20"/>
      <c r="L7" s="18" t="s">
        <v>31</v>
      </c>
      <c r="M7" s="7" t="s">
        <v>31</v>
      </c>
    </row>
    <row r="8" spans="2:16" x14ac:dyDescent="0.35">
      <c r="B8" s="3">
        <v>11329</v>
      </c>
      <c r="C8" s="3">
        <v>11330</v>
      </c>
      <c r="D8" s="3">
        <v>2481</v>
      </c>
      <c r="E8" s="25" t="s">
        <v>22</v>
      </c>
      <c r="F8" s="16" t="str">
        <f>IF(Tabela2[[#This Row],[OBS]]="","ATIVO","INATIVO")</f>
        <v>ATIVO</v>
      </c>
      <c r="G8" s="18" t="s">
        <v>13</v>
      </c>
      <c r="H8" s="18" t="s">
        <v>15</v>
      </c>
      <c r="I8" s="18" t="s">
        <v>14</v>
      </c>
      <c r="J8" s="21"/>
      <c r="K8" s="17"/>
      <c r="L8" s="18" t="s">
        <v>31</v>
      </c>
      <c r="M8" s="7" t="s">
        <v>31</v>
      </c>
    </row>
    <row r="9" spans="2:16" x14ac:dyDescent="0.35">
      <c r="B9" s="3">
        <v>11352</v>
      </c>
      <c r="C9" s="3">
        <v>11352</v>
      </c>
      <c r="D9" s="3">
        <v>2507</v>
      </c>
      <c r="E9" s="26" t="s">
        <v>23</v>
      </c>
      <c r="F9" s="27" t="str">
        <f>IF(Tabela2[[#This Row],[OBS]]="","ATIVO","INATIVO")</f>
        <v>ATIVO</v>
      </c>
      <c r="G9" s="18" t="s">
        <v>13</v>
      </c>
      <c r="H9" s="18" t="s">
        <v>15</v>
      </c>
      <c r="I9" s="18" t="s">
        <v>14</v>
      </c>
      <c r="J9" s="28"/>
      <c r="K9" s="29"/>
      <c r="L9" s="18" t="s">
        <v>31</v>
      </c>
      <c r="M9" s="7" t="s">
        <v>31</v>
      </c>
    </row>
    <row r="10" spans="2:16" x14ac:dyDescent="0.35">
      <c r="B10" s="3">
        <v>11501</v>
      </c>
      <c r="C10" s="3">
        <v>11501</v>
      </c>
      <c r="D10" s="3">
        <v>226</v>
      </c>
      <c r="E10" s="26" t="s">
        <v>25</v>
      </c>
      <c r="F10" s="27" t="str">
        <f>IF(Tabela2[[#This Row],[OBS]]="","ATIVO","INATIVO")</f>
        <v>ATIVO</v>
      </c>
      <c r="G10" s="18" t="s">
        <v>13</v>
      </c>
      <c r="H10" s="18" t="s">
        <v>15</v>
      </c>
      <c r="I10" s="18" t="s">
        <v>14</v>
      </c>
      <c r="J10" s="28"/>
      <c r="K10" s="29"/>
      <c r="L10" s="18" t="s">
        <v>31</v>
      </c>
      <c r="M10" s="7" t="s">
        <v>31</v>
      </c>
    </row>
    <row r="11" spans="2:16" x14ac:dyDescent="0.35">
      <c r="B11" s="3">
        <v>11512</v>
      </c>
      <c r="C11" s="3">
        <v>11512</v>
      </c>
      <c r="D11" s="3">
        <v>652</v>
      </c>
      <c r="E11" s="26" t="s">
        <v>26</v>
      </c>
      <c r="F11" s="27" t="str">
        <f>IF(Tabela2[[#This Row],[OBS]]="","ATIVO","INATIVO")</f>
        <v>ATIVO</v>
      </c>
      <c r="G11" s="18" t="s">
        <v>13</v>
      </c>
      <c r="H11" s="18" t="s">
        <v>15</v>
      </c>
      <c r="I11" s="18" t="s">
        <v>14</v>
      </c>
      <c r="J11" s="28"/>
      <c r="K11" s="29"/>
      <c r="L11" s="18" t="s">
        <v>31</v>
      </c>
      <c r="M11" s="7" t="s">
        <v>31</v>
      </c>
    </row>
    <row r="12" spans="2:16" x14ac:dyDescent="0.35">
      <c r="B12" s="3">
        <v>11516</v>
      </c>
      <c r="C12" s="3">
        <v>11516</v>
      </c>
      <c r="D12" s="3">
        <v>656</v>
      </c>
      <c r="E12" s="26" t="s">
        <v>27</v>
      </c>
      <c r="F12" s="27" t="str">
        <f>IF(Tabela2[[#This Row],[OBS]]="","ATIVO","INATIVO")</f>
        <v>ATIVO</v>
      </c>
      <c r="G12" s="18" t="s">
        <v>13</v>
      </c>
      <c r="H12" s="18" t="s">
        <v>15</v>
      </c>
      <c r="I12" s="18" t="s">
        <v>14</v>
      </c>
      <c r="J12" s="28"/>
      <c r="K12" s="29"/>
      <c r="L12" s="18" t="s">
        <v>31</v>
      </c>
      <c r="M12" s="7" t="s">
        <v>31</v>
      </c>
    </row>
    <row r="13" spans="2:16" x14ac:dyDescent="0.35">
      <c r="B13" s="3">
        <v>11507</v>
      </c>
      <c r="C13" s="3">
        <v>11507</v>
      </c>
      <c r="D13" s="3">
        <v>665</v>
      </c>
      <c r="E13" s="26" t="s">
        <v>29</v>
      </c>
      <c r="F13" s="27" t="str">
        <f>IF(Tabela2[[#This Row],[OBS]]="","ATIVO","INATIVO")</f>
        <v>ATIVO</v>
      </c>
      <c r="G13" s="18" t="s">
        <v>13</v>
      </c>
      <c r="H13" s="18" t="s">
        <v>15</v>
      </c>
      <c r="I13" s="18" t="s">
        <v>14</v>
      </c>
      <c r="J13" s="28"/>
      <c r="K13" s="29"/>
      <c r="L13" s="18" t="s">
        <v>31</v>
      </c>
      <c r="M13" s="7" t="s">
        <v>31</v>
      </c>
    </row>
    <row r="14" spans="2:16" x14ac:dyDescent="0.35">
      <c r="J14" s="14"/>
      <c r="L14" s="15">
        <f>COUNTIF(Tabela2[OPERACIONAL],"X")</f>
        <v>4</v>
      </c>
      <c r="M14" s="15">
        <f>COUNTIF(M2:M13,"X")</f>
        <v>4</v>
      </c>
    </row>
  </sheetData>
  <conditionalFormatting sqref="F1:F1048576">
    <cfRule type="containsText" dxfId="38" priority="3" stopIfTrue="1" operator="containsText" text="INATIVO">
      <formula>NOT(ISERROR(SEARCH("INATIVO",F1)))</formula>
    </cfRule>
    <cfRule type="containsText" dxfId="37" priority="4" stopIfTrue="1" operator="containsText" text="ATIVO">
      <formula>NOT(ISERROR(SEARCH("ATIVO",F1)))</formula>
    </cfRule>
  </conditionalFormatting>
  <conditionalFormatting sqref="L2:M13">
    <cfRule type="containsText" dxfId="36" priority="1" operator="containsText" text="OK">
      <formula>NOT(ISERROR(SEARCH("OK",L2)))</formula>
    </cfRule>
    <cfRule type="containsText" dxfId="35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F12A7-47A9-4394-8F68-59F903A43B9C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4241aaa1-f251-4fb6-8c96-74d7389cb15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8F9B9FA-519E-454B-A004-1938DFA5A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LP-AZUL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2026-03-03T12:59:34Z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