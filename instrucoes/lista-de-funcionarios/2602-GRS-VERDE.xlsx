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LISTAGENS 2026\2-FEVEREIRO\"/>
    </mc:Choice>
  </mc:AlternateContent>
  <xr:revisionPtr revIDLastSave="19" documentId="14_{2068F218-E852-4D12-9536-BF975B393498}" xr6:coauthVersionLast="36" xr6:coauthVersionMax="36" xr10:uidLastSave="{38651D93-F052-4E9F-B1CA-1BC75E312DB8}"/>
  <bookViews>
    <workbookView xWindow="0" yWindow="0" windowWidth="19200" windowHeight="7750" xr2:uid="{00000000-000D-0000-FFFF-FFFF00000000}"/>
  </bookViews>
  <sheets>
    <sheet name="GRS-VERDE" sheetId="2" r:id="rId1"/>
  </sheets>
  <definedNames>
    <definedName name="_xlnm._FilterDatabase" localSheetId="0" hidden="1">'GRS-VERDE'!$L$1:$L$1</definedName>
  </definedNames>
  <calcPr calcId="191028"/>
  <pivotCaches>
    <pivotCache cacheId="8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F9" i="2" l="1"/>
  <c r="F11" i="2" l="1"/>
  <c r="F8" i="2"/>
  <c r="F7" i="2"/>
  <c r="F6" i="2"/>
  <c r="F5" i="2"/>
  <c r="F4" i="2"/>
  <c r="F3" i="2"/>
  <c r="F2" i="2"/>
  <c r="L12" i="2" l="1"/>
  <c r="K12" i="2" l="1"/>
</calcChain>
</file>

<file path=xl/sharedStrings.xml><?xml version="1.0" encoding="utf-8"?>
<sst xmlns="http://schemas.openxmlformats.org/spreadsheetml/2006/main" count="79" uniqueCount="36">
  <si>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</si>
  <si>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</si>
  <si>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</si>
  <si>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</si>
  <si>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</si>
  <si>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</si>
  <si>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</si>
  <si>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</si>
  <si>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QTD</t>
  </si>
  <si>
    <t>ATIVO</t>
  </si>
  <si>
    <t>Total Geral</t>
  </si>
  <si>
    <t>OPERACIONAL</t>
  </si>
  <si>
    <t>Hervert Moreira</t>
  </si>
  <si>
    <t xml:space="preserve">Alisson Luiz de Freitas </t>
  </si>
  <si>
    <t>Polyana Vidal Dias</t>
  </si>
  <si>
    <t>Solange Miranda de Araujo</t>
  </si>
  <si>
    <t>Marcela Duarte</t>
  </si>
  <si>
    <t>Rafael Joenck</t>
  </si>
  <si>
    <t>UTI - VERDE</t>
  </si>
  <si>
    <t>RJ - VERDE</t>
  </si>
  <si>
    <t>BAS - VERDE</t>
  </si>
  <si>
    <t>UTI</t>
  </si>
  <si>
    <t>BAS</t>
  </si>
  <si>
    <t>UTI (RJ)</t>
  </si>
  <si>
    <t>Pedro Xavier Brito</t>
  </si>
  <si>
    <t>UTI - COMBO</t>
  </si>
  <si>
    <t xml:space="preserve">Felipe Rocha Mazotto </t>
  </si>
  <si>
    <t xml:space="preserve">UTI - VERDE </t>
  </si>
  <si>
    <t>ID HUAWEI</t>
  </si>
  <si>
    <t>Pamela Suellen Rodrigues</t>
  </si>
  <si>
    <t>Deirilene Deane Lisboa Pereira</t>
  </si>
  <si>
    <t>Luiz Guilherme Baptista</t>
  </si>
  <si>
    <t>FÉRIAS</t>
  </si>
  <si>
    <t>NÃO AUDITAR</t>
  </si>
  <si>
    <t>INATIVO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</si>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</sst>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/>
      </left>
      <right/>
      <top style="thin">
        <color theme="9"/>
      </top>
      <bottom/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32">
    <xf numFmtId="0" fontId="0" fillId="0" borderId="0" xfId="0"/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7" fillId="3" borderId="3" xfId="0" applyFont="1" applyFill="1" applyBorder="1" applyAlignment="1">
      <alignment horizontal="left" vertical="center"/>
    </xf>
    <xf numFmtId="0" fontId="0" fillId="0" borderId="3" xfId="0" applyNumberFormat="1" applyBorder="1" applyAlignment="1">
      <alignment horizontal="center"/>
    </xf>
    <xf numFmtId="0" fontId="7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11" fillId="0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2" fillId="0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3" fillId="0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33"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139292</xdr:colOff>
      <xdr:row>12</xdr:row>
      <xdr:rowOff>19050</xdr:rowOff>
    </xdr:from>
    <xdr:to>
      <xdr:col>12</xdr:col>
      <xdr:colOff>527939</xdr:colOff>
      <xdr:row>43</xdr:row>
      <xdr:rowOff>81324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1DF5AC-0D15-4CD1-9E80-0D9C79FEE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292" y="2228850"/>
          <a:ext cx="10751847" cy="577092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69.358073263887" createdVersion="6" refreshedVersion="6" minRefreshableVersion="3" recordCount="10" xr:uid="{3AF288CB-3057-4F51-B89A-9BA0365729E2}">
  <cacheSource type="worksheet">
    <worksheetSource name="Tabela2[[MATRICULA]:[OBS]]"/>
  </cacheSource>
  <cacheFields count="9">
    <cacheField name="MATRICULA" numFmtId="0">
      <sharedItems containsSemiMixedTypes="0" containsString="0" containsNumber="1" containsInteger="1" minValue="1962" maxValue="11243"/>
    </cacheField>
    <cacheField name="ID WEON " numFmtId="0">
      <sharedItems containsSemiMixedTypes="0" containsString="0" containsNumber="1" containsInteger="1" minValue="1906" maxValue="11243"/>
    </cacheField>
    <cacheField name="ID HUAWEI" numFmtId="0">
      <sharedItems containsSemiMixedTypes="0" containsString="0" containsNumber="1" containsInteger="1" minValue="203" maxValue="3029"/>
    </cacheField>
    <cacheField name="NOME" numFmtId="0">
      <sharedItems/>
    </cacheField>
    <cacheField name="STATUS" numFmtId="0">
      <sharedItems count="2">
        <s v="INATIVO"/>
        <s v="ATIVO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921"/>
    <n v="10921"/>
    <n v="203"/>
    <s v="Pamela Suellen Rodrigues"/>
    <x v="0"/>
    <s v="UTI - VERDE"/>
    <s v="Hervert Moreira"/>
    <s v="UTI"/>
    <s v="FÉRIAS"/>
  </r>
  <r>
    <n v="11243"/>
    <n v="11243"/>
    <n v="2513"/>
    <s v="Deirilene Deane Lisboa Pereira"/>
    <x v="0"/>
    <s v="UTI - VERDE"/>
    <s v="Hervert Moreira"/>
    <s v="UTI"/>
    <s v="NÃO AUDITAR"/>
  </r>
  <r>
    <n v="10892"/>
    <n v="10892"/>
    <n v="2982"/>
    <s v="Luiz Guilherme Baptista"/>
    <x v="0"/>
    <s v="BAS - VERDE"/>
    <s v="Hervert Moreira"/>
    <s v="BAS"/>
    <s v="NÃO AUDITAR"/>
  </r>
  <r>
    <n v="10586"/>
    <n v="10586"/>
    <n v="2523"/>
    <s v="Felipe Rocha Mazotto "/>
    <x v="1"/>
    <s v="UTI - VERDE"/>
    <s v="Hervert Moreira"/>
    <s v="UTI"/>
    <m/>
  </r>
  <r>
    <n v="11082"/>
    <n v="11082"/>
    <n v="2322"/>
    <s v="Pedro Xavier Brito"/>
    <x v="1"/>
    <s v="UTI - VERDE "/>
    <s v="Hervert Moreira"/>
    <s v="UTI"/>
    <m/>
  </r>
  <r>
    <n v="10713"/>
    <n v="10713"/>
    <n v="2524"/>
    <s v="Alisson Luiz de Freitas "/>
    <x v="1"/>
    <s v="UTI - COMBO"/>
    <s v="Hervert Moreira"/>
    <s v="UTI"/>
    <m/>
  </r>
  <r>
    <n v="10628"/>
    <n v="10628"/>
    <n v="2528"/>
    <s v="Polyana Vidal Dias"/>
    <x v="1"/>
    <s v="RJ - VERDE"/>
    <s v="Hervert Moreira"/>
    <s v="UTI (RJ)"/>
    <m/>
  </r>
  <r>
    <n v="11090"/>
    <n v="11090"/>
    <n v="633"/>
    <s v="Solange Miranda de Araujo"/>
    <x v="1"/>
    <s v="UTI - VERDE"/>
    <s v="Hervert Moreira"/>
    <s v="UTI"/>
    <m/>
  </r>
  <r>
    <n v="10976"/>
    <n v="10976"/>
    <n v="624"/>
    <s v="Marcela Duarte"/>
    <x v="1"/>
    <s v="BAS - VERDE"/>
    <s v="Hervert Moreira"/>
    <s v="BAS"/>
    <m/>
  </r>
  <r>
    <n v="1962"/>
    <n v="1906"/>
    <n v="3029"/>
    <s v="Rafael Joenck"/>
    <x v="1"/>
    <s v="BAS - VERDE"/>
    <s v="Hervert Moreira"/>
    <s v="BA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E88E8-C842-4421-85E0-B20AA657A10B}" name="Tabela dinâmica3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N1:O4" firstHeaderRow="1" firstDataRow="1" firstDataCol="1"/>
  <pivotFields count="9"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QTD" fld="4" subtotal="count" baseField="3" baseItem="0"/>
  </dataFields>
  <formats count="16">
    <format dxfId="28">
      <pivotArea field="4" type="button" dataOnly="0" labelOnly="1" outline="0" axis="axisRow" fieldPosition="0"/>
    </format>
    <format dxfId="27">
      <pivotArea dataOnly="0" labelOnly="1" outline="0" axis="axisValues" fieldPosition="0"/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field="4" type="button" dataOnly="0" labelOnly="1" outline="0" axis="axisRow" fieldPosition="0"/>
    </format>
    <format dxfId="15">
      <pivotArea dataOnly="0" labelOnly="1" outline="0" axis="axisValues" fieldPosition="0"/>
    </format>
    <format dxfId="14">
      <pivotArea grandRow="1" outline="0" collapsedLevelsAreSubtotals="1" fieldPosition="0"/>
    </format>
    <format dxfId="13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K11" totalsRowShown="0" headerRowDxfId="12" dataDxfId="11">
  <sortState ref="B2:J4">
    <sortCondition ref="B1:B4"/>
  </sortState>
  <tableColumns count="10">
    <tableColumn id="1" xr3:uid="{00000000-0010-0000-0000-000001000000}" name="MATRICULA" dataDxfId="10"/>
    <tableColumn id="9" xr3:uid="{5D5963D4-6ADD-4B53-A2B4-60955012F1B3}" name="ID WEON " dataDxfId="9"/>
    <tableColumn id="11" xr3:uid="{B0DEF358-95F0-45C8-9C16-3653544B2258}" name="ID HUAWEI" dataDxfId="8"/>
    <tableColumn id="2" xr3:uid="{00000000-0010-0000-0000-000002000000}" name="NOME" dataDxfId="7"/>
    <tableColumn id="3" xr3:uid="{00000000-0010-0000-0000-000003000000}" name="STATUS" dataDxfId="6">
      <calculatedColumnFormula>IF(Tabela2[[#This Row],[OBS]]="","ATIVO","INATIVO")</calculatedColumnFormula>
    </tableColumn>
    <tableColumn id="4" xr3:uid="{00000000-0010-0000-0000-000004000000}" name="TURNO / OPERAÇÃO" dataDxfId="5"/>
    <tableColumn id="5" xr3:uid="{00000000-0010-0000-0000-000005000000}" name="SUPERVISOR" dataDxfId="4"/>
    <tableColumn id="6" xr3:uid="{00000000-0010-0000-0000-000006000000}" name="SETOR" dataDxfId="3"/>
    <tableColumn id="7" xr3:uid="{00000000-0010-0000-0000-000007000000}" name="OBS" dataDxfId="2" totalsRowDxfId="1"/>
    <tableColumn id="10" xr3:uid="{D8BA63F2-D59B-4CD8-8EE0-EAE9BC3FDE4E}" name="OPERACIONAL" data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showGridLines="0" tabSelected="1" topLeftCell="B1" zoomScaleNormal="100" workbookViewId="0">
      <selection activeCell="L12" sqref="L12"/>
    </sheetView>
  </sheetViews>
  <sheetFormatPr defaultRowHeight="14.5" x14ac:dyDescent="0.35"/>
  <cols>
    <col min="1" max="1" width="84.90625" hidden="1" customWidth="1"/>
    <col min="2" max="2" width="12.08984375" style="1" customWidth="1"/>
    <col min="3" max="3" width="8.1796875" style="1" customWidth="1"/>
    <col min="4" max="4" width="9.36328125" style="1" bestFit="1" customWidth="1"/>
    <col min="5" max="5" width="32.453125" style="1" customWidth="1"/>
    <col min="6" max="6" width="8.54296875" style="1" customWidth="1"/>
    <col min="7" max="7" width="16.81640625" style="1" bestFit="1" customWidth="1"/>
    <col min="8" max="8" width="14.1796875" style="1" bestFit="1" customWidth="1"/>
    <col min="9" max="9" width="12" style="1" bestFit="1" customWidth="1"/>
    <col min="10" max="10" width="11.08984375" style="1" customWidth="1"/>
    <col min="11" max="12" width="11.81640625" bestFit="1" customWidth="1"/>
    <col min="13" max="13" width="10.36328125" customWidth="1"/>
    <col min="14" max="14" width="9.26953125" bestFit="1" customWidth="1"/>
    <col min="15" max="15" width="4.1796875" bestFit="1" customWidth="1"/>
    <col min="16" max="16" width="24.6328125" bestFit="1" customWidth="1"/>
    <col min="17" max="17" width="18.26953125" bestFit="1" customWidth="1"/>
    <col min="18" max="18" width="10.1796875" bestFit="1" customWidth="1"/>
  </cols>
  <sheetData>
    <row r="1" spans="2:15" x14ac:dyDescent="0.35">
      <c r="B1" s="1" t="s">
        <v>0</v>
      </c>
      <c r="C1" s="1" t="s">
        <v>1</v>
      </c>
      <c r="D1" s="1" t="s">
        <v>28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 t="s">
        <v>11</v>
      </c>
      <c r="L1" s="3" t="s">
        <v>11</v>
      </c>
      <c r="N1" s="9" t="s">
        <v>3</v>
      </c>
      <c r="O1" s="9" t="s">
        <v>8</v>
      </c>
    </row>
    <row r="2" spans="2:15" x14ac:dyDescent="0.35">
      <c r="B2" s="2">
        <v>10921</v>
      </c>
      <c r="C2" s="2">
        <v>10921</v>
      </c>
      <c r="D2" s="2">
        <v>203</v>
      </c>
      <c r="E2" s="4" t="s">
        <v>29</v>
      </c>
      <c r="F2" s="5" t="str">
        <f>IF(Tabela2[[#This Row],[OBS]]="","ATIVO","INATIVO")</f>
        <v>INATIVO</v>
      </c>
      <c r="G2" s="16" t="s">
        <v>18</v>
      </c>
      <c r="H2" s="16" t="s">
        <v>12</v>
      </c>
      <c r="I2" s="18" t="s">
        <v>21</v>
      </c>
      <c r="J2" s="19" t="s">
        <v>32</v>
      </c>
      <c r="K2" s="5" t="s">
        <v>32</v>
      </c>
      <c r="L2" s="6" t="s">
        <v>32</v>
      </c>
      <c r="N2" s="8" t="s">
        <v>9</v>
      </c>
      <c r="O2" s="10">
        <v>7</v>
      </c>
    </row>
    <row r="3" spans="2:15" x14ac:dyDescent="0.35">
      <c r="B3" s="2">
        <v>11243</v>
      </c>
      <c r="C3" s="2">
        <v>11243</v>
      </c>
      <c r="D3" s="2">
        <v>2513</v>
      </c>
      <c r="E3" s="4" t="s">
        <v>30</v>
      </c>
      <c r="F3" s="5" t="str">
        <f>IF(Tabela2[[#This Row],[OBS]]="","ATIVO","INATIVO")</f>
        <v>INATIVO</v>
      </c>
      <c r="G3" s="16" t="s">
        <v>18</v>
      </c>
      <c r="H3" s="16" t="s">
        <v>12</v>
      </c>
      <c r="I3" s="18" t="s">
        <v>21</v>
      </c>
      <c r="J3" s="19" t="s">
        <v>33</v>
      </c>
      <c r="K3" s="5" t="s">
        <v>33</v>
      </c>
      <c r="L3" s="6" t="s">
        <v>33</v>
      </c>
      <c r="N3" s="8" t="s">
        <v>34</v>
      </c>
      <c r="O3" s="10">
        <v>3</v>
      </c>
    </row>
    <row r="4" spans="2:15" x14ac:dyDescent="0.35">
      <c r="B4" s="2">
        <v>10892</v>
      </c>
      <c r="C4" s="2">
        <v>10892</v>
      </c>
      <c r="D4" s="2">
        <v>2982</v>
      </c>
      <c r="E4" s="14" t="s">
        <v>31</v>
      </c>
      <c r="F4" s="15" t="str">
        <f>IF(Tabela2[[#This Row],[OBS]]="","ATIVO","INATIVO")</f>
        <v>INATIVO</v>
      </c>
      <c r="G4" s="16" t="s">
        <v>20</v>
      </c>
      <c r="H4" s="17" t="s">
        <v>12</v>
      </c>
      <c r="I4" s="18" t="s">
        <v>22</v>
      </c>
      <c r="J4" s="19" t="s">
        <v>33</v>
      </c>
      <c r="K4" s="5" t="s">
        <v>33</v>
      </c>
      <c r="L4" s="6" t="s">
        <v>33</v>
      </c>
      <c r="N4" s="9" t="s">
        <v>10</v>
      </c>
      <c r="O4" s="11">
        <v>10</v>
      </c>
    </row>
    <row r="5" spans="2:15" x14ac:dyDescent="0.35">
      <c r="B5" s="2">
        <v>10586</v>
      </c>
      <c r="C5" s="2">
        <v>10586</v>
      </c>
      <c r="D5" s="2">
        <v>2523</v>
      </c>
      <c r="E5" s="4" t="s">
        <v>26</v>
      </c>
      <c r="F5" s="5" t="str">
        <f>IF(Tabela2[[#This Row],[OBS]]="","ATIVO","INATIVO")</f>
        <v>ATIVO</v>
      </c>
      <c r="G5" s="17" t="s">
        <v>18</v>
      </c>
      <c r="H5" s="16" t="s">
        <v>12</v>
      </c>
      <c r="I5" s="18" t="s">
        <v>21</v>
      </c>
      <c r="J5" s="19"/>
      <c r="K5" s="5" t="s">
        <v>35</v>
      </c>
      <c r="L5" s="6" t="s">
        <v>35</v>
      </c>
    </row>
    <row r="6" spans="2:15" x14ac:dyDescent="0.35">
      <c r="B6" s="2">
        <v>11082</v>
      </c>
      <c r="C6" s="2">
        <v>11082</v>
      </c>
      <c r="D6" s="2">
        <v>2322</v>
      </c>
      <c r="E6" s="4" t="s">
        <v>24</v>
      </c>
      <c r="F6" s="5" t="str">
        <f>IF(Tabela2[[#This Row],[OBS]]="","ATIVO","INATIVO")</f>
        <v>ATIVO</v>
      </c>
      <c r="G6" s="16" t="s">
        <v>27</v>
      </c>
      <c r="H6" s="16" t="s">
        <v>12</v>
      </c>
      <c r="I6" s="18" t="s">
        <v>21</v>
      </c>
      <c r="J6" s="19"/>
      <c r="K6" s="5" t="s">
        <v>35</v>
      </c>
      <c r="L6" s="6" t="s">
        <v>35</v>
      </c>
    </row>
    <row r="7" spans="2:15" x14ac:dyDescent="0.35">
      <c r="B7" s="2">
        <v>10713</v>
      </c>
      <c r="C7" s="2">
        <v>10713</v>
      </c>
      <c r="D7" s="2">
        <v>2524</v>
      </c>
      <c r="E7" s="20" t="s">
        <v>13</v>
      </c>
      <c r="F7" s="21" t="str">
        <f>IF(Tabela2[[#This Row],[OBS]]="","ATIVO","INATIVO")</f>
        <v>ATIVO</v>
      </c>
      <c r="G7" s="22" t="s">
        <v>25</v>
      </c>
      <c r="H7" s="17" t="s">
        <v>12</v>
      </c>
      <c r="I7" s="18" t="s">
        <v>21</v>
      </c>
      <c r="J7" s="23"/>
      <c r="K7" s="5" t="s">
        <v>35</v>
      </c>
      <c r="L7" s="6" t="s">
        <v>35</v>
      </c>
    </row>
    <row r="8" spans="2:15" x14ac:dyDescent="0.35">
      <c r="B8" s="2">
        <v>10628</v>
      </c>
      <c r="C8" s="2">
        <v>10628</v>
      </c>
      <c r="D8" s="2">
        <v>2528</v>
      </c>
      <c r="E8" s="20" t="s">
        <v>14</v>
      </c>
      <c r="F8" s="21" t="str">
        <f>IF(Tabela2[[#This Row],[OBS]]="","ATIVO","INATIVO")</f>
        <v>ATIVO</v>
      </c>
      <c r="G8" s="22" t="s">
        <v>19</v>
      </c>
      <c r="H8" s="17" t="s">
        <v>12</v>
      </c>
      <c r="I8" s="18" t="s">
        <v>23</v>
      </c>
      <c r="J8" s="19"/>
      <c r="K8" s="5" t="s">
        <v>35</v>
      </c>
      <c r="L8" s="6" t="s">
        <v>35</v>
      </c>
    </row>
    <row r="9" spans="2:15" x14ac:dyDescent="0.35">
      <c r="B9" s="2">
        <v>11090</v>
      </c>
      <c r="C9" s="2">
        <v>11090</v>
      </c>
      <c r="D9" s="2">
        <v>633</v>
      </c>
      <c r="E9" s="24" t="s">
        <v>15</v>
      </c>
      <c r="F9" s="25" t="str">
        <f>IF(Tabela2[[#This Row],[OBS]]="","ATIVO","INATIVO")</f>
        <v>ATIVO</v>
      </c>
      <c r="G9" s="26" t="s">
        <v>18</v>
      </c>
      <c r="H9" s="17" t="s">
        <v>12</v>
      </c>
      <c r="I9" s="18" t="s">
        <v>21</v>
      </c>
      <c r="J9" s="27"/>
      <c r="K9" s="5" t="s">
        <v>35</v>
      </c>
      <c r="L9" s="6" t="s">
        <v>35</v>
      </c>
    </row>
    <row r="10" spans="2:15" x14ac:dyDescent="0.35">
      <c r="B10" s="2">
        <v>10976</v>
      </c>
      <c r="C10" s="2">
        <v>10976</v>
      </c>
      <c r="D10" s="2">
        <v>624</v>
      </c>
      <c r="E10" s="28" t="s">
        <v>16</v>
      </c>
      <c r="F10" s="29" t="str">
        <f>IF(Tabela2[[#This Row],[OBS]]="","ATIVO","INATIVO")</f>
        <v>ATIVO</v>
      </c>
      <c r="G10" s="30" t="s">
        <v>20</v>
      </c>
      <c r="H10" s="17" t="s">
        <v>12</v>
      </c>
      <c r="I10" s="18" t="s">
        <v>22</v>
      </c>
      <c r="J10" s="31"/>
      <c r="K10" s="5" t="s">
        <v>35</v>
      </c>
      <c r="L10" s="6" t="s">
        <v>35</v>
      </c>
    </row>
    <row r="11" spans="2:15" x14ac:dyDescent="0.35">
      <c r="B11" s="2">
        <v>1962</v>
      </c>
      <c r="C11" s="2">
        <v>1906</v>
      </c>
      <c r="D11" s="2">
        <v>3029</v>
      </c>
      <c r="E11" s="4" t="s">
        <v>17</v>
      </c>
      <c r="F11" s="5" t="str">
        <f>IF(Tabela2[[#This Row],[OBS]]="","ATIVO","INATIVO")</f>
        <v>ATIVO</v>
      </c>
      <c r="G11" s="17" t="s">
        <v>20</v>
      </c>
      <c r="H11" s="17" t="s">
        <v>12</v>
      </c>
      <c r="I11" s="18" t="s">
        <v>22</v>
      </c>
      <c r="J11" s="19"/>
      <c r="K11" s="5" t="s">
        <v>35</v>
      </c>
      <c r="L11" s="6" t="s">
        <v>35</v>
      </c>
    </row>
    <row r="12" spans="2:15" x14ac:dyDescent="0.35">
      <c r="J12" s="12"/>
      <c r="K12" s="13">
        <f>COUNTIF(Tabela2[OPERACIONAL],"X")</f>
        <v>0</v>
      </c>
      <c r="L12" s="13">
        <f>COUNTIF(L2:L11,"X")</f>
        <v>0</v>
      </c>
    </row>
  </sheetData>
  <conditionalFormatting sqref="F1:F1048576">
    <cfRule type="containsText" dxfId="32" priority="9" stopIfTrue="1" operator="containsText" text="INATIVO">
      <formula>NOT(ISERROR(SEARCH("INATIVO",F1)))</formula>
    </cfRule>
    <cfRule type="containsText" dxfId="31" priority="10" stopIfTrue="1" operator="containsText" text="ATIVO">
      <formula>NOT(ISERROR(SEARCH("ATIVO",F1)))</formula>
    </cfRule>
  </conditionalFormatting>
  <conditionalFormatting sqref="K2:L11">
    <cfRule type="containsText" dxfId="30" priority="7" operator="containsText" text="OK">
      <formula>NOT(ISERROR(SEARCH("OK",K2)))</formula>
    </cfRule>
    <cfRule type="containsText" dxfId="29" priority="8" operator="containsText" text="X">
      <formula>NOT(ISERROR(SEARCH("X",K2)))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ed70198764c765101db3018d4d5e16ea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13e2998aba136dad0fd39bad2350e6b4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F12A7-47A9-4394-8F68-59F903A43B9C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241aaa1-f251-4fb6-8c96-74d7389cb154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1242E21-0705-4DF4-A74E-55B533D639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GRS-VERDE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2026-03-03T12:33:01Z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