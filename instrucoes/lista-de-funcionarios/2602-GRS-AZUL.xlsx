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19" documentId="113_{439EDCBB-2845-4F74-9DFD-35FE06AEAF19}" xr6:coauthVersionLast="36" xr6:coauthVersionMax="36" xr10:uidLastSave="{64D60570-6A06-4D49-9295-D3CDF46ABE83}"/>
  <bookViews>
    <workbookView xWindow="0" yWindow="0" windowWidth="19200" windowHeight="7750" xr2:uid="{00000000-000D-0000-FFFF-FFFF00000000}"/>
  </bookViews>
  <sheets>
    <sheet name="GRS-AZUL" sheetId="2" r:id="rId1"/>
  </sheets>
  <definedNames>
    <definedName name="_xlnm._FilterDatabase" localSheetId="0" hidden="1">'GRS-AZUL'!$M$1:$M$1</definedName>
  </definedName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2" l="1"/>
  <c r="M12" i="2"/>
  <c r="F11" i="2" l="1"/>
  <c r="F9" i="2" l="1"/>
  <c r="F10" i="2" l="1"/>
  <c r="F2" i="2" l="1"/>
  <c r="F3" i="2"/>
  <c r="F4" i="2"/>
  <c r="F5" i="2"/>
  <c r="F6" i="2"/>
  <c r="F7" i="2"/>
  <c r="F8" i="2"/>
</calcChain>
</file>

<file path=xl/sharedStrings.xml><?xml version="1.0" encoding="utf-8"?>
<sst xmlns="http://schemas.openxmlformats.org/spreadsheetml/2006/main" count="78" uniqueCount="34">
  <si>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</si>
  <si>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</si>
  <si>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</si>
  <si>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</si>
  <si>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</si>
  <si>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</si>
  <si>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</si>
  <si>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</si>
  <si>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</si>
  <si>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</si>
  <si>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ATIVO</t>
  </si>
  <si>
    <t>Total Geral</t>
  </si>
  <si>
    <t>OPERACIONAL</t>
  </si>
  <si>
    <t>ANA CAROLINE ALVES DOS SANTOS</t>
  </si>
  <si>
    <t>JACKSON MACHADO NOVAK</t>
  </si>
  <si>
    <t>VANESSA PATERNO</t>
  </si>
  <si>
    <t>FRANCIELI ALVES DA LUZ</t>
  </si>
  <si>
    <t>EVELYN PEREIRA RAMOS</t>
  </si>
  <si>
    <t>FABIULA DE ESPINDOLA</t>
  </si>
  <si>
    <t>HAZAEL LANARO</t>
  </si>
  <si>
    <t xml:space="preserve">BAS - AZUL </t>
  </si>
  <si>
    <t>RJ - AZUL</t>
  </si>
  <si>
    <t xml:space="preserve">UTI - AZUL </t>
  </si>
  <si>
    <t>BAS</t>
  </si>
  <si>
    <t>UTI</t>
  </si>
  <si>
    <t>UTI (RJ)</t>
  </si>
  <si>
    <t>LÍBIA CONCEIÇÃO OLIVEIRA CORDEIRO</t>
  </si>
  <si>
    <t>STHEFANY MOREIRA DE SOUZA</t>
  </si>
  <si>
    <t>GUILHERME APARECIDO PARENTE BOETTGER</t>
  </si>
  <si>
    <t>ID HUAWEI</t>
  </si>
  <si>
    <t>Josiane Ceccon</t>
  </si>
  <si>
    <t>FÉRIAS</t>
  </si>
  <si>
    <t>INATIVO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</si>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</sst>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6" fillId="3" borderId="3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7" fillId="0" borderId="7" xfId="0" applyFont="1" applyBorder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87519</xdr:colOff>
      <xdr:row>12</xdr:row>
      <xdr:rowOff>63500</xdr:rowOff>
    </xdr:from>
    <xdr:to>
      <xdr:col>14</xdr:col>
      <xdr:colOff>276547</xdr:colOff>
      <xdr:row>44</xdr:row>
      <xdr:rowOff>173388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A39CA6-B59A-4948-B6FF-4205E98C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19" y="2463800"/>
          <a:ext cx="11098328" cy="60026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71.338415162034" createdVersion="6" refreshedVersion="6" minRefreshableVersion="3" recordCount="10" xr:uid="{4A9C3CDD-8685-4F9B-A110-AA72017DAA5E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635" maxValue="11318"/>
    </cacheField>
    <cacheField name="ID WEON " numFmtId="0">
      <sharedItems containsSemiMixedTypes="0" containsString="0" containsNumber="1" containsInteger="1" minValue="635" maxValue="11318"/>
    </cacheField>
    <cacheField name="ID HUAWEI" numFmtId="0">
      <sharedItems containsSemiMixedTypes="0" containsString="0" containsNumber="1" containsInteger="1" minValue="208" maxValue="2984"/>
    </cacheField>
    <cacheField name="NOME" numFmtId="0">
      <sharedItems/>
    </cacheField>
    <cacheField name="STATUS" numFmtId="0">
      <sharedItems count="2">
        <s v="ATIVO"/>
        <s v="IN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525"/>
    <n v="10525"/>
    <n v="551"/>
    <s v="ANA CAROLINE ALVES DOS SANTOS"/>
    <x v="0"/>
    <s v="BAS - AZUL "/>
    <s v="Josiane Ceccon"/>
    <s v="BAS"/>
    <m/>
  </r>
  <r>
    <n v="1622"/>
    <n v="1622"/>
    <n v="629"/>
    <s v="JACKSON MACHADO NOVAK"/>
    <x v="0"/>
    <s v="RJ - AZUL"/>
    <s v="Josiane Ceccon"/>
    <s v="UTI (RJ)"/>
    <m/>
  </r>
  <r>
    <n v="635"/>
    <n v="635"/>
    <n v="2984"/>
    <s v="VANESSA PATERNO"/>
    <x v="0"/>
    <s v="UTI - AZUL "/>
    <s v="Josiane Ceccon"/>
    <s v="UTI"/>
    <m/>
  </r>
  <r>
    <n v="10858"/>
    <n v="10858"/>
    <n v="2535"/>
    <s v="FRANCIELI ALVES DA LUZ"/>
    <x v="0"/>
    <s v="UTI - AZUL "/>
    <s v="Josiane Ceccon"/>
    <s v="UTI"/>
    <m/>
  </r>
  <r>
    <n v="10979"/>
    <n v="10979"/>
    <n v="2537"/>
    <s v="EVELYN PEREIRA RAMOS"/>
    <x v="0"/>
    <s v="BAS - AZUL "/>
    <s v="Josiane Ceccon"/>
    <s v="BAS"/>
    <m/>
  </r>
  <r>
    <n v="10947"/>
    <n v="10947"/>
    <n v="2536"/>
    <s v="FABIULA DE ESPINDOLA"/>
    <x v="0"/>
    <s v="BAS - AZUL "/>
    <s v="Josiane Ceccon"/>
    <s v="BAS"/>
    <m/>
  </r>
  <r>
    <n v="11154"/>
    <n v="11154"/>
    <n v="2504"/>
    <s v="HAZAEL LANARO"/>
    <x v="0"/>
    <s v="UTI - AZUL "/>
    <s v="Josiane Ceccon"/>
    <s v="UTI"/>
    <m/>
  </r>
  <r>
    <n v="11318"/>
    <n v="11318"/>
    <n v="549"/>
    <s v="LÍBIA CONCEIÇÃO OLIVEIRA CORDEIRO"/>
    <x v="0"/>
    <s v="UTI - AZUL "/>
    <s v="Josiane Ceccon"/>
    <s v="UTI"/>
    <m/>
  </r>
  <r>
    <n v="11300"/>
    <n v="11300"/>
    <n v="208"/>
    <s v="STHEFANY MOREIRA DE SOUZA"/>
    <x v="0"/>
    <s v="UTI - AZUL "/>
    <s v="Josiane Ceccon"/>
    <s v="UTI"/>
    <m/>
  </r>
  <r>
    <n v="11259"/>
    <n v="11259"/>
    <n v="2505"/>
    <s v="GUILHERME APARECIDO PARENTE BOETTGER"/>
    <x v="1"/>
    <s v="UTI - AZUL "/>
    <s v="Josiane Ceccon"/>
    <s v="UTI"/>
    <s v="FÉRI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9C5D5-CB28-42EF-8C6C-43693DDCBB41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31">
      <pivotArea field="4" type="button" dataOnly="0" labelOnly="1" outline="0" axis="axisRow" fieldPosition="0"/>
    </format>
    <format dxfId="30">
      <pivotArea dataOnly="0" labelOnly="1" outline="0" axis="axisValues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11" totalsRowShown="0" headerRowDxfId="15" dataDxfId="14">
  <sortState ref="B2:K4">
    <sortCondition ref="B1:B4"/>
  </sortState>
  <tableColumns count="11">
    <tableColumn id="1" xr3:uid="{00000000-0010-0000-0000-000001000000}" name="MATRICULA" dataDxfId="13"/>
    <tableColumn id="9" xr3:uid="{5D5963D4-6ADD-4B53-A2B4-60955012F1B3}" name="ID WEON " dataDxfId="12"/>
    <tableColumn id="11" xr3:uid="{91E31DF7-AEA3-43D2-BAA4-CAABFE0E837F}" name="ID HUAWEI" dataDxfId="11"/>
    <tableColumn id="2" xr3:uid="{00000000-0010-0000-0000-000002000000}" name="NOME" dataDxfId="10"/>
    <tableColumn id="3" xr3:uid="{00000000-0010-0000-0000-000003000000}" name="STATUS" dataDxfId="9">
      <calculatedColumnFormula>IF(Tabela2[[#This Row],[OBS]]="","ATIVO","INATIVO")</calculatedColumnFormula>
    </tableColumn>
    <tableColumn id="4" xr3:uid="{00000000-0010-0000-0000-000004000000}" name="TURNO / OPERAÇÃO" dataDxfId="8"/>
    <tableColumn id="5" xr3:uid="{00000000-0010-0000-0000-000005000000}" name="SUPERVISOR" dataDxfId="7"/>
    <tableColumn id="6" xr3:uid="{00000000-0010-0000-0000-000006000000}" name="SETOR" data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12"/>
  <sheetViews>
    <sheetView showGridLines="0" tabSelected="1" topLeftCell="B1" zoomScaleNormal="100" workbookViewId="0">
      <selection activeCell="N8" sqref="N8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28.1796875" style="1" bestFit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26" bestFit="1" customWidth="1"/>
    <col min="11" max="11" width="8.36328125" hidden="1" customWidth="1"/>
    <col min="12" max="12" width="11.81640625" customWidth="1"/>
    <col min="13" max="13" width="11.8164062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6" t="s">
        <v>7</v>
      </c>
      <c r="K1" s="1" t="s">
        <v>8</v>
      </c>
      <c r="L1" s="8" t="s">
        <v>12</v>
      </c>
      <c r="M1" s="4" t="s">
        <v>12</v>
      </c>
      <c r="O1" s="10" t="s">
        <v>3</v>
      </c>
      <c r="P1" s="10" t="s">
        <v>9</v>
      </c>
    </row>
    <row r="2" spans="2:16" x14ac:dyDescent="0.35">
      <c r="B2" s="3">
        <v>10525</v>
      </c>
      <c r="C2" s="3">
        <v>10525</v>
      </c>
      <c r="D2" s="3">
        <v>551</v>
      </c>
      <c r="E2" s="5" t="s">
        <v>13</v>
      </c>
      <c r="F2" s="6" t="str">
        <f>IF(Tabela2[[#This Row],[OBS]]="","ATIVO","INATIVO")</f>
        <v>ATIVO</v>
      </c>
      <c r="G2" s="16" t="s">
        <v>20</v>
      </c>
      <c r="H2" s="14" t="s">
        <v>30</v>
      </c>
      <c r="I2" s="15" t="s">
        <v>23</v>
      </c>
      <c r="J2" s="27"/>
      <c r="K2" s="2"/>
      <c r="L2" s="6" t="s">
        <v>33</v>
      </c>
      <c r="M2" s="7" t="s">
        <v>33</v>
      </c>
      <c r="O2" s="9" t="s">
        <v>10</v>
      </c>
      <c r="P2" s="11">
        <v>9</v>
      </c>
    </row>
    <row r="3" spans="2:16" x14ac:dyDescent="0.35">
      <c r="B3" s="3">
        <v>1622</v>
      </c>
      <c r="C3" s="3">
        <v>1622</v>
      </c>
      <c r="D3" s="3">
        <v>629</v>
      </c>
      <c r="E3" s="5" t="s">
        <v>14</v>
      </c>
      <c r="F3" s="6" t="str">
        <f>IF(Tabela2[[#This Row],[OBS]]="","ATIVO","INATIVO")</f>
        <v>ATIVO</v>
      </c>
      <c r="G3" s="14" t="s">
        <v>21</v>
      </c>
      <c r="H3" s="14" t="s">
        <v>30</v>
      </c>
      <c r="I3" s="15" t="s">
        <v>25</v>
      </c>
      <c r="J3" s="27"/>
      <c r="K3" s="2"/>
      <c r="L3" s="6" t="s">
        <v>33</v>
      </c>
      <c r="M3" s="7" t="s">
        <v>33</v>
      </c>
      <c r="O3" s="9" t="s">
        <v>32</v>
      </c>
      <c r="P3" s="11">
        <v>1</v>
      </c>
    </row>
    <row r="4" spans="2:16" x14ac:dyDescent="0.35">
      <c r="B4" s="3">
        <v>635</v>
      </c>
      <c r="C4" s="3">
        <v>635</v>
      </c>
      <c r="D4" s="3">
        <v>2984</v>
      </c>
      <c r="E4" s="5" t="s">
        <v>15</v>
      </c>
      <c r="F4" s="6" t="str">
        <f>IF(Tabela2[[#This Row],[OBS]]="","ATIVO","INATIVO")</f>
        <v>ATIVO</v>
      </c>
      <c r="G4" s="16" t="s">
        <v>22</v>
      </c>
      <c r="H4" s="14" t="s">
        <v>30</v>
      </c>
      <c r="I4" s="15" t="s">
        <v>24</v>
      </c>
      <c r="J4" s="27"/>
      <c r="K4" s="2"/>
      <c r="L4" s="6" t="s">
        <v>33</v>
      </c>
      <c r="M4" s="7" t="s">
        <v>33</v>
      </c>
      <c r="O4" s="10" t="s">
        <v>11</v>
      </c>
      <c r="P4" s="12">
        <v>10</v>
      </c>
    </row>
    <row r="5" spans="2:16" x14ac:dyDescent="0.35">
      <c r="B5" s="3">
        <v>10858</v>
      </c>
      <c r="C5" s="3">
        <v>10858</v>
      </c>
      <c r="D5" s="3">
        <v>2535</v>
      </c>
      <c r="E5" s="5" t="s">
        <v>16</v>
      </c>
      <c r="F5" s="6" t="str">
        <f>IF(Tabela2[[#This Row],[OBS]]="","ATIVO","INATIVO")</f>
        <v>ATIVO</v>
      </c>
      <c r="G5" s="16" t="s">
        <v>22</v>
      </c>
      <c r="H5" s="14" t="s">
        <v>30</v>
      </c>
      <c r="I5" s="15" t="s">
        <v>24</v>
      </c>
      <c r="J5" s="27"/>
      <c r="K5" s="2"/>
      <c r="L5" s="6" t="s">
        <v>33</v>
      </c>
      <c r="M5" s="7" t="s">
        <v>33</v>
      </c>
    </row>
    <row r="6" spans="2:16" x14ac:dyDescent="0.35">
      <c r="B6" s="3">
        <v>10979</v>
      </c>
      <c r="C6" s="3">
        <v>10979</v>
      </c>
      <c r="D6" s="3">
        <v>2537</v>
      </c>
      <c r="E6" s="5" t="s">
        <v>17</v>
      </c>
      <c r="F6" s="6" t="str">
        <f>IF(Tabela2[[#This Row],[OBS]]="","ATIVO","INATIVO")</f>
        <v>ATIVO</v>
      </c>
      <c r="G6" s="14" t="s">
        <v>20</v>
      </c>
      <c r="H6" s="14" t="s">
        <v>30</v>
      </c>
      <c r="I6" s="15" t="s">
        <v>23</v>
      </c>
      <c r="J6" s="27"/>
      <c r="K6" s="2"/>
      <c r="L6" s="6" t="s">
        <v>33</v>
      </c>
      <c r="M6" s="7" t="s">
        <v>33</v>
      </c>
    </row>
    <row r="7" spans="2:16" ht="15" customHeight="1" x14ac:dyDescent="0.35">
      <c r="B7" s="3">
        <v>10947</v>
      </c>
      <c r="C7" s="3">
        <v>10947</v>
      </c>
      <c r="D7" s="3">
        <v>2536</v>
      </c>
      <c r="E7" s="17" t="s">
        <v>18</v>
      </c>
      <c r="F7" s="18" t="str">
        <f>IF(Tabela2[[#This Row],[OBS]]="","ATIVO","INATIVO")</f>
        <v>ATIVO</v>
      </c>
      <c r="G7" s="14" t="s">
        <v>20</v>
      </c>
      <c r="H7" s="14" t="s">
        <v>30</v>
      </c>
      <c r="I7" s="15" t="s">
        <v>23</v>
      </c>
      <c r="J7" s="28"/>
      <c r="K7" s="19"/>
      <c r="L7" s="14" t="s">
        <v>33</v>
      </c>
      <c r="M7" s="7" t="s">
        <v>33</v>
      </c>
    </row>
    <row r="8" spans="2:16" x14ac:dyDescent="0.35">
      <c r="B8" s="3">
        <v>11154</v>
      </c>
      <c r="C8" s="3">
        <v>11154</v>
      </c>
      <c r="D8" s="3">
        <v>2504</v>
      </c>
      <c r="E8" s="5" t="s">
        <v>19</v>
      </c>
      <c r="F8" s="6" t="str">
        <f>IF(Tabela2[[#This Row],[OBS]]="","ATIVO","INATIVO")</f>
        <v>ATIVO</v>
      </c>
      <c r="G8" s="14" t="s">
        <v>22</v>
      </c>
      <c r="H8" s="14" t="s">
        <v>30</v>
      </c>
      <c r="I8" s="15" t="s">
        <v>24</v>
      </c>
      <c r="J8" s="27"/>
      <c r="K8" s="2"/>
      <c r="L8" s="6" t="s">
        <v>33</v>
      </c>
      <c r="M8" s="7" t="s">
        <v>33</v>
      </c>
    </row>
    <row r="9" spans="2:16" x14ac:dyDescent="0.35">
      <c r="B9" s="3">
        <v>11318</v>
      </c>
      <c r="C9" s="3">
        <v>11318</v>
      </c>
      <c r="D9" s="3">
        <v>549</v>
      </c>
      <c r="E9" s="20" t="s">
        <v>26</v>
      </c>
      <c r="F9" s="21" t="str">
        <f>IF(Tabela2[[#This Row],[OBS]]="","ATIVO","INATIVO")</f>
        <v>ATIVO</v>
      </c>
      <c r="G9" s="24" t="s">
        <v>22</v>
      </c>
      <c r="H9" s="14" t="s">
        <v>30</v>
      </c>
      <c r="I9" s="15" t="s">
        <v>24</v>
      </c>
      <c r="J9" s="27"/>
      <c r="K9" s="22"/>
      <c r="L9" s="14" t="s">
        <v>33</v>
      </c>
      <c r="M9" s="7" t="s">
        <v>33</v>
      </c>
    </row>
    <row r="10" spans="2:16" x14ac:dyDescent="0.35">
      <c r="B10" s="3">
        <v>11300</v>
      </c>
      <c r="C10" s="3">
        <v>11300</v>
      </c>
      <c r="D10" s="3">
        <v>208</v>
      </c>
      <c r="E10" s="5" t="s">
        <v>27</v>
      </c>
      <c r="F10" s="23" t="str">
        <f>IF(Tabela2[[#This Row],[OBS]]="","ATIVO","INATIVO")</f>
        <v>ATIVO</v>
      </c>
      <c r="G10" s="14" t="s">
        <v>22</v>
      </c>
      <c r="H10" s="14" t="s">
        <v>30</v>
      </c>
      <c r="I10" s="15" t="s">
        <v>24</v>
      </c>
      <c r="J10" s="27"/>
      <c r="K10" s="25"/>
      <c r="L10" s="14" t="s">
        <v>33</v>
      </c>
      <c r="M10" s="7" t="s">
        <v>33</v>
      </c>
    </row>
    <row r="11" spans="2:16" x14ac:dyDescent="0.35">
      <c r="B11" s="3">
        <v>11259</v>
      </c>
      <c r="C11" s="3">
        <v>11259</v>
      </c>
      <c r="D11" s="3">
        <v>2505</v>
      </c>
      <c r="E11" s="30" t="s">
        <v>28</v>
      </c>
      <c r="F11" s="31" t="str">
        <f>IF(Tabela2[[#This Row],[OBS]]="","ATIVO","INATIVO")</f>
        <v>INATIVO</v>
      </c>
      <c r="G11" s="32" t="s">
        <v>22</v>
      </c>
      <c r="H11" s="14" t="s">
        <v>30</v>
      </c>
      <c r="I11" s="15" t="s">
        <v>24</v>
      </c>
      <c r="J11" s="27" t="s">
        <v>31</v>
      </c>
      <c r="K11" s="33"/>
      <c r="L11" s="14" t="s">
        <v>31</v>
      </c>
      <c r="M11" s="34" t="s">
        <v>31</v>
      </c>
    </row>
    <row r="12" spans="2:16" x14ac:dyDescent="0.35">
      <c r="J12" s="29"/>
      <c r="L12" s="13">
        <f>COUNTIF(Tabela2[OPERACIONAL],"X")</f>
        <v>0</v>
      </c>
      <c r="M12" s="13">
        <f>COUNTIF(M2:M11,"X")</f>
        <v>0</v>
      </c>
    </row>
  </sheetData>
  <conditionalFormatting sqref="F1:F1048576">
    <cfRule type="containsText" dxfId="35" priority="11" stopIfTrue="1" operator="containsText" text="INATIVO">
      <formula>NOT(ISERROR(SEARCH("INATIVO",F1)))</formula>
    </cfRule>
    <cfRule type="containsText" dxfId="34" priority="12" stopIfTrue="1" operator="containsText" text="ATIVO">
      <formula>NOT(ISERROR(SEARCH("ATIVO",F1)))</formula>
    </cfRule>
  </conditionalFormatting>
  <conditionalFormatting sqref="L2:M11">
    <cfRule type="containsText" dxfId="33" priority="9" operator="containsText" text="OK">
      <formula>NOT(ISERROR(SEARCH("OK",L2)))</formula>
    </cfRule>
    <cfRule type="containsText" dxfId="32" priority="10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4241aaa1-f251-4fb6-8c96-74d7389cb15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57BBC4-19F9-4F63-BA2D-C1528311D4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GRS-AZUL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2026-02-24T12:11:16Z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