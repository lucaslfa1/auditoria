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EstaPastaDeTrabalho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nathalia.silva\OneDrive - NSTECH GR LTDA\AUDITORIA\# LISTAGENS DE OPERADORES\"/>
    </mc:Choice>
  </mc:AlternateContent>
  <xr:revisionPtr revIDLastSave="21" documentId="113_{EDD13C46-9D30-46C3-AA72-023B100C8C88}" xr6:coauthVersionLast="36" xr6:coauthVersionMax="36" xr10:uidLastSave="{F89D56EE-C7F9-472D-A669-6C1FE5525A7F}"/>
  <bookViews>
    <workbookView xWindow="0" yWindow="0" windowWidth="19200" windowHeight="6350" xr2:uid="{00000000-000D-0000-FFFF-FFFF00000000}"/>
  </bookViews>
  <sheets>
    <sheet name="CHECKLIST" sheetId="2" r:id="rId1"/>
  </sheets>
  <definedNames>
    <definedName name="_xlnm._FilterDatabase" localSheetId="0" hidden="1">CHECKLIST!$M$1:$M$1</definedName>
  </definedNames>
  <calcPr calcId="191028"/>
  <pivotCaches>
    <pivotCache cacheId="1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" i="2" l="1"/>
  <c r="F8" i="2"/>
  <c r="F9" i="2"/>
  <c r="F10" i="2"/>
  <c r="F6" i="2" l="1"/>
  <c r="F5" i="2"/>
  <c r="F4" i="2"/>
  <c r="F3" i="2"/>
  <c r="M11" i="2" l="1"/>
  <c r="L11" i="2"/>
  <c r="F2" i="2" l="1"/>
</calcChain>
</file>

<file path=xl/sharedStrings.xml><?xml version="1.0" encoding="utf-8"?>
<sst xmlns="http://schemas.openxmlformats.org/spreadsheetml/2006/main" count="72" uniqueCount="31">
  <si>
    <t>MATRICULA</t>
  </si>
  <si>
    <t xml:space="preserve">ID WEON </t>
  </si>
  <si>
    <t>NOME</t>
  </si>
  <si>
    <t>STATUS</t>
  </si>
  <si>
    <t>TURNO / OPERAÇÃO</t>
  </si>
  <si>
    <t>SUPERVISOR</t>
  </si>
  <si>
    <t>SETOR</t>
  </si>
  <si>
    <t>OBS</t>
  </si>
  <si>
    <t>CHAVE</t>
  </si>
  <si>
    <t>QTD</t>
  </si>
  <si>
    <t>ATIVO</t>
  </si>
  <si>
    <t>Total Geral</t>
  </si>
  <si>
    <t xml:space="preserve">RECEPTIVA 1 </t>
  </si>
  <si>
    <t>RECEPTIVA 2</t>
  </si>
  <si>
    <t>CHECKLIST</t>
  </si>
  <si>
    <t xml:space="preserve">CAROLINA MEURER </t>
  </si>
  <si>
    <t>FELIPE DALPRA</t>
  </si>
  <si>
    <t>WILLIAN BURG</t>
  </si>
  <si>
    <t>Carlos Eduardo</t>
  </si>
  <si>
    <t>LUCAS RODRIGUES SEGURA GIMENEZ ALMEIDA DA SILVA</t>
  </si>
  <si>
    <t>HELOISA CLARA DOS SANTOS</t>
  </si>
  <si>
    <t>FÉRIAS</t>
  </si>
  <si>
    <t>INATIVO</t>
  </si>
  <si>
    <t>ID HUAWEI</t>
  </si>
  <si>
    <t>GUSTAVO ANTONIO DA COSTA PEREIRA</t>
  </si>
  <si>
    <t>OTAVIO GABRIEL VALENTE DA SILVA</t>
  </si>
  <si>
    <t>SELMA VITORIA BATISTA VIEIRA</t>
  </si>
  <si>
    <t>VIKTOR LEON DE ASSIS</t>
  </si>
  <si>
    <t>CÉLULA</t>
  </si>
  <si>
    <t>RECEPTIVO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</si>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</sst>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General"/>
  </numFmts>
  <fonts count="1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9" tint="-0.249977111117893"/>
      </right>
      <top/>
      <bottom/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</borders>
  <cellStyleXfs count="4">
    <xf numFmtId="0" fontId="0" fillId="0" borderId="0"/>
    <xf numFmtId="164" fontId="1" fillId="0" borderId="0" applyBorder="0" applyProtection="0"/>
    <xf numFmtId="0" fontId="2" fillId="0" borderId="0"/>
    <xf numFmtId="0" fontId="3" fillId="0" borderId="0"/>
  </cellStyleXfs>
  <cellXfs count="25">
    <xf numFmtId="0" fontId="0" fillId="0" borderId="0" xfId="0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7" fillId="3" borderId="3" xfId="0" applyFont="1" applyFill="1" applyBorder="1" applyAlignment="1">
      <alignment horizontal="left" vertical="center"/>
    </xf>
    <xf numFmtId="0" fontId="0" fillId="0" borderId="3" xfId="0" applyNumberFormat="1" applyBorder="1" applyAlignment="1">
      <alignment horizontal="center"/>
    </xf>
    <xf numFmtId="0" fontId="7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10" fillId="0" borderId="0" xfId="0" applyNumberFormat="1" applyFont="1" applyFill="1" applyAlignment="1">
      <alignment horizontal="center" vertical="center"/>
    </xf>
    <xf numFmtId="0" fontId="10" fillId="0" borderId="0" xfId="0" applyNumberFormat="1" applyFont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left" vertical="center"/>
    </xf>
    <xf numFmtId="0" fontId="11" fillId="0" borderId="0" xfId="0" applyNumberFormat="1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1" fillId="0" borderId="0" xfId="0" applyNumberFormat="1" applyFont="1" applyAlignment="1">
      <alignment horizontal="left" vertical="center"/>
    </xf>
  </cellXfs>
  <cellStyles count="4">
    <cellStyle name="Excel Built-in Normal" xfId="1" xr:uid="{00000000-0005-0000-0000-000000000000}"/>
    <cellStyle name="Excel Built-in Normal 2" xfId="3" xr:uid="{00000000-0005-0000-0000-000001000000}"/>
    <cellStyle name="Normal" xfId="0" builtinId="0"/>
    <cellStyle name="Normal 2" xfId="2" xr:uid="{00000000-0005-0000-0000-000003000000}"/>
  </cellStyles>
  <dxfs count="38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alignment horizontal="center"/>
    </dxf>
    <dxf>
      <alignment horizontal="center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z val="10"/>
      </font>
      <fill>
        <patternFill patternType="solid">
          <fgColor theme="9"/>
          <bgColor theme="9"/>
        </patternFill>
      </fill>
      <alignment vertical="center"/>
    </dxf>
    <dxf>
      <font>
        <b/>
        <sz val="10"/>
      </font>
      <fill>
        <patternFill patternType="solid">
          <fgColor theme="9"/>
          <bgColor theme="9"/>
        </patternFill>
      </fill>
      <alignment vertical="center"/>
    </dxf>
    <dxf>
      <font>
        <b/>
        <sz val="10"/>
      </font>
      <fill>
        <patternFill patternType="solid">
          <fgColor theme="9"/>
          <bgColor theme="9"/>
        </patternFill>
      </fill>
      <alignment horizontal="left" vertical="center"/>
    </dxf>
    <dxf>
      <font>
        <b/>
        <sz val="10"/>
      </font>
      <fill>
        <patternFill patternType="solid">
          <fgColor theme="9"/>
          <bgColor theme="9"/>
        </patternFill>
      </fill>
      <alignment horizontal="left" vertical="center"/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3E4D1F"/>
      </font>
      <fill>
        <patternFill patternType="solid">
          <bgColor rgb="FFBDFFDE"/>
        </patternFill>
      </fill>
    </dxf>
    <dxf>
      <font>
        <color rgb="FFC00000"/>
      </font>
      <fill>
        <patternFill>
          <bgColor rgb="FFFCC0C0"/>
        </patternFill>
      </fill>
    </dxf>
  </dxfs>
  <tableStyles count="0" defaultTableStyle="TableStyleMedium2" defaultPivotStyle="PivotStyleLight16"/>
  <colors>
    <mruColors>
      <color rgb="FFFCC0C0"/>
      <color rgb="FF3E4D1F"/>
      <color rgb="FFC5FFDF"/>
      <color rgb="FFBDFFDE"/>
      <color rgb="FFFFC5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168096</xdr:colOff>
      <xdr:row>11</xdr:row>
      <xdr:rowOff>146050</xdr:rowOff>
    </xdr:from>
    <xdr:to>
      <xdr:col>12</xdr:col>
      <xdr:colOff>235835</xdr:colOff>
      <xdr:row>40</xdr:row>
      <xdr:rowOff>55919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882074B-8823-47E2-A2D9-823320799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096" y="1435100"/>
          <a:ext cx="9764189" cy="5250219"/>
        </a:xfrm>
        <a:prstGeom prst="rect">
          <a:avLst/>
        </a:prstGeom>
      </xdr:spPr>
    </xdr:pic>
    <xdr:clientData/>
  </xdr:twoCellAnchor>
  <xdr:twoCellAnchor editAs="oneCell">
    <xdr:from>
      <xdr:col>1</xdr:col>
      <xdr:colOff>138872</xdr:colOff>
      <xdr:row>41</xdr:row>
      <xdr:rowOff>50800</xdr:rowOff>
    </xdr:from>
    <xdr:to>
      <xdr:col>11</xdr:col>
      <xdr:colOff>731614</xdr:colOff>
      <xdr:row>68</xdr:row>
      <xdr:rowOff>163876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C3CF8B0-E9D3-40B6-BCF2-50A869B033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8872" y="7600950"/>
          <a:ext cx="9527192" cy="5085126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halia de Souza da Silva" refreshedDate="46066.674890277776" createdVersion="6" refreshedVersion="6" minRefreshableVersion="3" recordCount="9" xr:uid="{66591D22-EFFC-4024-BC0C-176290843740}">
  <cacheSource type="worksheet">
    <worksheetSource ref="B1:M10" sheet="CHECKLIST"/>
  </cacheSource>
  <cacheFields count="12">
    <cacheField name="MATRICULA" numFmtId="0">
      <sharedItems containsSemiMixedTypes="0" containsString="0" containsNumber="1" containsInteger="1" minValue="4225" maxValue="11538"/>
    </cacheField>
    <cacheField name="ID WEON " numFmtId="0">
      <sharedItems containsSemiMixedTypes="0" containsString="0" containsNumber="1" containsInteger="1" minValue="10353" maxValue="42250"/>
    </cacheField>
    <cacheField name="ID HUAWEI" numFmtId="0">
      <sharedItems containsSemiMixedTypes="0" containsString="0" containsNumber="1" containsInteger="1" minValue="225" maxValue="3044"/>
    </cacheField>
    <cacheField name="NOME" numFmtId="0">
      <sharedItems/>
    </cacheField>
    <cacheField name="STATUS" numFmtId="0">
      <sharedItems count="2">
        <s v="ATIVO"/>
        <s v="INATIVO"/>
      </sharedItems>
    </cacheField>
    <cacheField name="TURNO / OPERAÇÃO" numFmtId="0">
      <sharedItems/>
    </cacheField>
    <cacheField name="SUPERVISOR" numFmtId="0">
      <sharedItems/>
    </cacheField>
    <cacheField name="SETOR" numFmtId="0">
      <sharedItems/>
    </cacheField>
    <cacheField name="OBS" numFmtId="0">
      <sharedItems containsBlank="1"/>
    </cacheField>
    <cacheField name="CHAVE" numFmtId="0">
      <sharedItems containsNonDate="0" containsString="0" containsBlank="1"/>
    </cacheField>
    <cacheField name="RECEPTIVA 1 " numFmtId="0">
      <sharedItems containsBlank="1"/>
    </cacheField>
    <cacheField name="RECEPTIVA 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n v="10353"/>
    <n v="10353"/>
    <n v="2970"/>
    <s v="HELOISA CLARA DOS SANTOS"/>
    <x v="0"/>
    <s v="CHECKLIST"/>
    <s v="Carlos Eduardo"/>
    <s v="CHECKLIST"/>
    <m/>
    <m/>
    <m/>
    <m/>
  </r>
  <r>
    <n v="11160"/>
    <n v="11160"/>
    <n v="2969"/>
    <s v="CAROLINA MEURER "/>
    <x v="0"/>
    <s v="CHECKLIST"/>
    <s v="Carlos Eduardo"/>
    <s v="CHECKLIST"/>
    <m/>
    <m/>
    <m/>
    <m/>
  </r>
  <r>
    <n v="11365"/>
    <n v="11365"/>
    <n v="2968"/>
    <s v="FELIPE DALPRA"/>
    <x v="0"/>
    <s v="CHECKLIST"/>
    <s v="Carlos Eduardo"/>
    <s v="CHECKLIST"/>
    <m/>
    <m/>
    <m/>
    <m/>
  </r>
  <r>
    <n v="11182"/>
    <n v="11182"/>
    <n v="2965"/>
    <s v="WILLIAN BURG"/>
    <x v="1"/>
    <s v="CHECKLIST"/>
    <s v="Carlos Eduardo"/>
    <s v="CHECKLIST"/>
    <s v="FÉRIAS"/>
    <m/>
    <s v="FÉRIAS"/>
    <s v="FÉRIAS"/>
  </r>
  <r>
    <n v="4225"/>
    <n v="42250"/>
    <n v="3041"/>
    <s v="LUCAS RODRIGUES SEGURA GIMENEZ ALMEIDA DA SILVA"/>
    <x v="0"/>
    <s v="CHECKLIST"/>
    <s v="Carlos Eduardo"/>
    <s v="CHECKLIST"/>
    <m/>
    <m/>
    <m/>
    <m/>
  </r>
  <r>
    <n v="11435"/>
    <n v="11435"/>
    <n v="3043"/>
    <s v="GUSTAVO ANTONIO DA COSTA PEREIRA"/>
    <x v="0"/>
    <s v="CÉLULA"/>
    <s v="Carlos Eduardo"/>
    <s v="RECEPTIVO"/>
    <m/>
    <m/>
    <m/>
    <m/>
  </r>
  <r>
    <n v="11434"/>
    <n v="11434"/>
    <n v="3044"/>
    <s v="OTAVIO GABRIEL VALENTE DA SILVA"/>
    <x v="0"/>
    <s v="CÉLULA"/>
    <s v="Carlos Eduardo"/>
    <s v="RECEPTIVO"/>
    <m/>
    <m/>
    <m/>
    <m/>
  </r>
  <r>
    <n v="11518"/>
    <n v="11518"/>
    <n v="658"/>
    <s v="SELMA VITORIA BATISTA VIEIRA"/>
    <x v="0"/>
    <s v="CÉLULA"/>
    <s v="Carlos Eduardo"/>
    <s v="RECEPTIVO"/>
    <m/>
    <m/>
    <m/>
    <m/>
  </r>
  <r>
    <n v="11538"/>
    <n v="11538"/>
    <n v="225"/>
    <s v="VIKTOR LEON DE ASSIS"/>
    <x v="0"/>
    <s v="CÉLULA"/>
    <s v="Carlos Eduardo"/>
    <s v="RECEPTIVO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99E4EB-B13D-45EA-ACBA-F8F9803B79B1}" name="Tabela dinâmica3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STATUS">
  <location ref="O1:P4" firstHeaderRow="1" firstDataRow="1" firstDataCol="1"/>
  <pivotFields count="12"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QTD" fld="4" subtotal="count" baseField="3" baseItem="0"/>
  </dataFields>
  <formats count="16">
    <format dxfId="33">
      <pivotArea field="4" type="button" dataOnly="0" labelOnly="1" outline="0" axis="axisRow" fieldPosition="0"/>
    </format>
    <format dxfId="32">
      <pivotArea dataOnly="0" labelOnly="1" outline="0" axis="axisValues" fieldPosition="0"/>
    </format>
    <format dxfId="31">
      <pivotArea grandRow="1" outline="0" collapsedLevelsAreSubtotals="1" fieldPosition="0"/>
    </format>
    <format dxfId="30">
      <pivotArea dataOnly="0" labelOnly="1" grandRow="1" outline="0" fieldPosition="0"/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4" type="button" dataOnly="0" labelOnly="1" outline="0" axis="axisRow" fieldPosition="0"/>
    </format>
    <format dxfId="26">
      <pivotArea dataOnly="0" labelOnly="1" fieldPosition="0">
        <references count="1">
          <reference field="4" count="0"/>
        </references>
      </pivotArea>
    </format>
    <format dxfId="25">
      <pivotArea dataOnly="0" labelOnly="1" grandRow="1" outline="0" fieldPosition="0"/>
    </format>
    <format dxfId="24">
      <pivotArea dataOnly="0" labelOnly="1" outline="0" axis="axisValues" fieldPosition="0"/>
    </format>
    <format dxfId="23">
      <pivotArea grandRow="1" outline="0" collapsedLevelsAreSubtotals="1" fieldPosition="0"/>
    </format>
    <format dxfId="22">
      <pivotArea dataOnly="0" labelOnly="1" grandRow="1" outline="0" fieldPosition="0"/>
    </format>
    <format dxfId="21">
      <pivotArea field="4" type="button" dataOnly="0" labelOnly="1" outline="0" axis="axisRow" fieldPosition="0"/>
    </format>
    <format dxfId="20">
      <pivotArea dataOnly="0" labelOnly="1" outline="0" axis="axisValues" fieldPosition="0"/>
    </format>
    <format dxfId="19">
      <pivotArea grandRow="1" outline="0" collapsedLevelsAreSubtotals="1" fieldPosition="0"/>
    </format>
    <format dxfId="18">
      <pivotArea collapsedLevelsAreSubtotals="1" fieldPosition="0">
        <references count="1"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B1:L10" totalsRowShown="0" headerRowDxfId="17" dataDxfId="16">
  <sortState ref="B2:K3">
    <sortCondition ref="B1:B3"/>
  </sortState>
  <tableColumns count="11">
    <tableColumn id="1" xr3:uid="{00000000-0010-0000-0000-000001000000}" name="MATRICULA" dataDxfId="15"/>
    <tableColumn id="9" xr3:uid="{5D5963D4-6ADD-4B53-A2B4-60955012F1B3}" name="ID WEON " dataDxfId="14"/>
    <tableColumn id="11" xr3:uid="{2F8AD6B1-7091-40D3-84F8-2C4D08BBB050}" name="ID HUAWEI" dataDxfId="13"/>
    <tableColumn id="2" xr3:uid="{00000000-0010-0000-0000-000002000000}" name="NOME" dataDxfId="12"/>
    <tableColumn id="3" xr3:uid="{00000000-0010-0000-0000-000003000000}" name="STATUS" dataDxfId="11">
      <calculatedColumnFormula>IF(Tabela2[[#This Row],[OBS]]="","ATIVO","INATIVO")</calculatedColumnFormula>
    </tableColumn>
    <tableColumn id="4" xr3:uid="{00000000-0010-0000-0000-000004000000}" name="TURNO / OPERAÇÃO" dataDxfId="10" totalsRowDxfId="9"/>
    <tableColumn id="5" xr3:uid="{00000000-0010-0000-0000-000005000000}" name="SUPERVISOR" dataDxfId="8" totalsRowDxfId="7"/>
    <tableColumn id="6" xr3:uid="{00000000-0010-0000-0000-000006000000}" name="SETOR" dataDxfId="6"/>
    <tableColumn id="7" xr3:uid="{00000000-0010-0000-0000-000007000000}" name="OBS" dataDxfId="5" totalsRowDxfId="4"/>
    <tableColumn id="8" xr3:uid="{00000000-0010-0000-0000-000008000000}" name="CHAVE" dataDxfId="3" totalsRowDxfId="2"/>
    <tableColumn id="10" xr3:uid="{D8BA63F2-D59B-4CD8-8EE0-EAE9BC3FDE4E}" name="RECEPTIVA 1 " dataDxfId="1" totalsRowDxfId="0"/>
  </tableColumns>
  <tableStyleInfo name="TableStyleLight14" showFirstColumn="1" showLastColumn="1" showRowStripes="1" showColumnStripes="1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P11"/>
  <sheetViews>
    <sheetView showGridLines="0" tabSelected="1" topLeftCell="B1" zoomScaleNormal="100" workbookViewId="0">
      <selection activeCell="Q9" sqref="Q9"/>
    </sheetView>
  </sheetViews>
  <sheetFormatPr defaultRowHeight="14.5" x14ac:dyDescent="0.35"/>
  <cols>
    <col min="1" max="1" width="19.26953125" hidden="1" customWidth="1"/>
    <col min="2" max="2" width="9.81640625" style="1" bestFit="1" customWidth="1"/>
    <col min="3" max="3" width="8.1796875" style="1" customWidth="1"/>
    <col min="4" max="4" width="9.36328125" style="1" bestFit="1" customWidth="1"/>
    <col min="5" max="5" width="35.08984375" style="1" bestFit="1" customWidth="1"/>
    <col min="6" max="6" width="8.54296875" style="1" customWidth="1"/>
    <col min="7" max="7" width="16.81640625" style="1" bestFit="1" customWidth="1"/>
    <col min="8" max="8" width="14.1796875" style="1" bestFit="1" customWidth="1"/>
    <col min="9" max="9" width="12" style="1" bestFit="1" customWidth="1"/>
    <col min="10" max="10" width="13.81640625" style="1" bestFit="1" customWidth="1"/>
    <col min="11" max="11" width="8.36328125" hidden="1" customWidth="1"/>
    <col min="12" max="12" width="11" bestFit="1" customWidth="1"/>
    <col min="13" max="13" width="10.54296875" bestFit="1" customWidth="1"/>
    <col min="14" max="14" width="10.36328125" customWidth="1"/>
    <col min="15" max="15" width="9.26953125" bestFit="1" customWidth="1"/>
    <col min="16" max="16" width="4.1796875" bestFit="1" customWidth="1"/>
    <col min="17" max="17" width="24.6328125" bestFit="1" customWidth="1"/>
    <col min="18" max="18" width="18.26953125" bestFit="1" customWidth="1"/>
    <col min="19" max="19" width="10.1796875" bestFit="1" customWidth="1"/>
  </cols>
  <sheetData>
    <row r="1" spans="2:16" x14ac:dyDescent="0.35">
      <c r="B1" s="1" t="s">
        <v>0</v>
      </c>
      <c r="C1" s="1" t="s">
        <v>1</v>
      </c>
      <c r="D1" s="1" t="s">
        <v>23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9" t="s">
        <v>12</v>
      </c>
      <c r="M1" s="4" t="s">
        <v>13</v>
      </c>
      <c r="O1" s="11" t="s">
        <v>3</v>
      </c>
      <c r="P1" s="11" t="s">
        <v>9</v>
      </c>
    </row>
    <row r="2" spans="2:16" x14ac:dyDescent="0.35">
      <c r="B2" s="3">
        <v>10353</v>
      </c>
      <c r="C2" s="3">
        <v>10353</v>
      </c>
      <c r="D2" s="3">
        <v>2970</v>
      </c>
      <c r="E2" s="5" t="s">
        <v>20</v>
      </c>
      <c r="F2" s="7" t="str">
        <f>IF(Tabela2[[#This Row],[OBS]]="","ATIVO","INATIVO")</f>
        <v>ATIVO</v>
      </c>
      <c r="G2" s="7" t="s">
        <v>14</v>
      </c>
      <c r="H2" s="7" t="s">
        <v>18</v>
      </c>
      <c r="I2" s="7" t="s">
        <v>14</v>
      </c>
      <c r="J2" s="19"/>
      <c r="K2" s="2"/>
      <c r="L2" s="7" t="s">
        <v>30</v>
      </c>
      <c r="M2" s="8" t="s">
        <v>30</v>
      </c>
      <c r="O2" s="10" t="s">
        <v>10</v>
      </c>
      <c r="P2" s="12">
        <v>8</v>
      </c>
    </row>
    <row r="3" spans="2:16" x14ac:dyDescent="0.35">
      <c r="B3" s="3">
        <v>11160</v>
      </c>
      <c r="C3" s="3">
        <v>11160</v>
      </c>
      <c r="D3" s="3">
        <v>2969</v>
      </c>
      <c r="E3" s="6" t="s">
        <v>15</v>
      </c>
      <c r="F3" s="7" t="str">
        <f>IF(Tabela2[[#This Row],[OBS]]="","ATIVO","INATIVO")</f>
        <v>ATIVO</v>
      </c>
      <c r="G3" s="7" t="s">
        <v>14</v>
      </c>
      <c r="H3" s="7" t="s">
        <v>18</v>
      </c>
      <c r="I3" s="7" t="s">
        <v>14</v>
      </c>
      <c r="J3" s="19"/>
      <c r="K3" s="2"/>
      <c r="L3" s="7" t="s">
        <v>30</v>
      </c>
      <c r="M3" s="8" t="s">
        <v>30</v>
      </c>
      <c r="O3" s="10" t="s">
        <v>22</v>
      </c>
      <c r="P3" s="12">
        <v>1</v>
      </c>
    </row>
    <row r="4" spans="2:16" x14ac:dyDescent="0.35">
      <c r="B4" s="3">
        <v>11365</v>
      </c>
      <c r="C4" s="3">
        <v>11365</v>
      </c>
      <c r="D4" s="3">
        <v>2968</v>
      </c>
      <c r="E4" s="16" t="s">
        <v>16</v>
      </c>
      <c r="F4" s="17" t="str">
        <f>IF(Tabela2[[#This Row],[OBS]]="","ATIVO","INATIVO")</f>
        <v>ATIVO</v>
      </c>
      <c r="G4" s="7" t="s">
        <v>14</v>
      </c>
      <c r="H4" s="7" t="s">
        <v>18</v>
      </c>
      <c r="I4" s="7" t="s">
        <v>14</v>
      </c>
      <c r="J4" s="19"/>
      <c r="K4" s="18"/>
      <c r="L4" s="7" t="s">
        <v>30</v>
      </c>
      <c r="M4" s="8" t="s">
        <v>30</v>
      </c>
      <c r="O4" s="11" t="s">
        <v>11</v>
      </c>
      <c r="P4" s="13">
        <v>9</v>
      </c>
    </row>
    <row r="5" spans="2:16" x14ac:dyDescent="0.35">
      <c r="B5" s="3">
        <v>11182</v>
      </c>
      <c r="C5" s="3">
        <v>11182</v>
      </c>
      <c r="D5" s="3">
        <v>2965</v>
      </c>
      <c r="E5" s="5" t="s">
        <v>17</v>
      </c>
      <c r="F5" s="7" t="str">
        <f>IF(Tabela2[[#This Row],[OBS]]="","ATIVO","INATIVO")</f>
        <v>INATIVO</v>
      </c>
      <c r="G5" s="7" t="s">
        <v>14</v>
      </c>
      <c r="H5" s="7" t="s">
        <v>18</v>
      </c>
      <c r="I5" s="7" t="s">
        <v>14</v>
      </c>
      <c r="J5" s="20" t="s">
        <v>21</v>
      </c>
      <c r="K5" s="2"/>
      <c r="L5" s="7" t="s">
        <v>21</v>
      </c>
      <c r="M5" s="8" t="s">
        <v>21</v>
      </c>
    </row>
    <row r="6" spans="2:16" x14ac:dyDescent="0.35">
      <c r="B6" s="3">
        <v>4225</v>
      </c>
      <c r="C6" s="3">
        <v>42250</v>
      </c>
      <c r="D6" s="3">
        <v>3041</v>
      </c>
      <c r="E6" s="16" t="s">
        <v>19</v>
      </c>
      <c r="F6" s="17" t="str">
        <f>IF(Tabela2[[#This Row],[OBS]]="","ATIVO","INATIVO")</f>
        <v>ATIVO</v>
      </c>
      <c r="G6" s="7" t="s">
        <v>14</v>
      </c>
      <c r="H6" s="7" t="s">
        <v>18</v>
      </c>
      <c r="I6" s="7" t="s">
        <v>14</v>
      </c>
      <c r="J6" s="23"/>
      <c r="K6" s="24"/>
      <c r="L6" s="7" t="s">
        <v>30</v>
      </c>
      <c r="M6" s="8" t="s">
        <v>30</v>
      </c>
    </row>
    <row r="7" spans="2:16" x14ac:dyDescent="0.35">
      <c r="B7" s="3">
        <v>11435</v>
      </c>
      <c r="C7" s="3">
        <v>11435</v>
      </c>
      <c r="D7" s="3">
        <v>3043</v>
      </c>
      <c r="E7" s="21" t="s">
        <v>24</v>
      </c>
      <c r="F7" s="22" t="str">
        <f>IF(Tabela2[[#This Row],[OBS]]="","ATIVO","INATIVO")</f>
        <v>ATIVO</v>
      </c>
      <c r="G7" s="7" t="s">
        <v>28</v>
      </c>
      <c r="H7" s="7" t="s">
        <v>18</v>
      </c>
      <c r="I7" s="7" t="s">
        <v>29</v>
      </c>
      <c r="J7" s="23"/>
      <c r="K7" s="24"/>
      <c r="L7" s="7" t="s">
        <v>30</v>
      </c>
      <c r="M7" s="8" t="s">
        <v>30</v>
      </c>
    </row>
    <row r="8" spans="2:16" x14ac:dyDescent="0.35">
      <c r="B8" s="3">
        <v>11434</v>
      </c>
      <c r="C8" s="3">
        <v>11434</v>
      </c>
      <c r="D8" s="3">
        <v>3044</v>
      </c>
      <c r="E8" s="21" t="s">
        <v>25</v>
      </c>
      <c r="F8" s="22" t="str">
        <f>IF(Tabela2[[#This Row],[OBS]]="","ATIVO","INATIVO")</f>
        <v>ATIVO</v>
      </c>
      <c r="G8" s="7" t="s">
        <v>28</v>
      </c>
      <c r="H8" s="7" t="s">
        <v>18</v>
      </c>
      <c r="I8" s="7" t="s">
        <v>29</v>
      </c>
      <c r="J8" s="23"/>
      <c r="K8" s="24"/>
      <c r="L8" s="7" t="s">
        <v>30</v>
      </c>
      <c r="M8" s="8" t="s">
        <v>30</v>
      </c>
    </row>
    <row r="9" spans="2:16" x14ac:dyDescent="0.35">
      <c r="B9" s="3">
        <v>11518</v>
      </c>
      <c r="C9" s="3">
        <v>11518</v>
      </c>
      <c r="D9" s="3">
        <v>658</v>
      </c>
      <c r="E9" s="21" t="s">
        <v>26</v>
      </c>
      <c r="F9" s="22" t="str">
        <f>IF(Tabela2[[#This Row],[OBS]]="","ATIVO","INATIVO")</f>
        <v>ATIVO</v>
      </c>
      <c r="G9" s="7" t="s">
        <v>28</v>
      </c>
      <c r="H9" s="7" t="s">
        <v>18</v>
      </c>
      <c r="I9" s="7" t="s">
        <v>29</v>
      </c>
      <c r="J9" s="23"/>
      <c r="K9" s="24"/>
      <c r="L9" s="7" t="s">
        <v>30</v>
      </c>
      <c r="M9" s="8" t="s">
        <v>30</v>
      </c>
    </row>
    <row r="10" spans="2:16" x14ac:dyDescent="0.35">
      <c r="B10" s="3">
        <v>11538</v>
      </c>
      <c r="C10" s="3">
        <v>11538</v>
      </c>
      <c r="D10" s="3">
        <v>225</v>
      </c>
      <c r="E10" s="21" t="s">
        <v>27</v>
      </c>
      <c r="F10" s="17" t="str">
        <f>IF(Tabela2[[#This Row],[OBS]]="","ATIVO","INATIVO")</f>
        <v>ATIVO</v>
      </c>
      <c r="G10" s="7" t="s">
        <v>28</v>
      </c>
      <c r="H10" s="7" t="s">
        <v>18</v>
      </c>
      <c r="I10" s="7" t="s">
        <v>29</v>
      </c>
      <c r="J10" s="19"/>
      <c r="K10" s="18"/>
      <c r="L10" s="7" t="s">
        <v>30</v>
      </c>
      <c r="M10" s="8" t="s">
        <v>30</v>
      </c>
    </row>
    <row r="11" spans="2:16" x14ac:dyDescent="0.35">
      <c r="J11" s="14"/>
      <c r="L11" s="15">
        <f>COUNTIF(Tabela2[[RECEPTIVA 1 ]],"X")</f>
        <v>0</v>
      </c>
      <c r="M11" s="15">
        <f>COUNTIF(M2:M10,"X")</f>
        <v>0</v>
      </c>
    </row>
  </sheetData>
  <conditionalFormatting sqref="F1:F1048576">
    <cfRule type="containsText" dxfId="37" priority="3" stopIfTrue="1" operator="containsText" text="INATIVO">
      <formula>NOT(ISERROR(SEARCH("INATIVO",F1)))</formula>
    </cfRule>
    <cfRule type="containsText" dxfId="36" priority="4" stopIfTrue="1" operator="containsText" text="ATIVO">
      <formula>NOT(ISERROR(SEARCH("ATIVO",F1)))</formula>
    </cfRule>
  </conditionalFormatting>
  <conditionalFormatting sqref="L2:M10">
    <cfRule type="containsText" dxfId="35" priority="1" operator="containsText" text="X">
      <formula>NOT(ISERROR(SEARCH("X",L2)))</formula>
    </cfRule>
    <cfRule type="containsText" dxfId="34" priority="2" operator="containsText" text="OK">
      <formula>NOT(ISERROR(SEARCH("OK",L2)))</formula>
    </cfRule>
  </conditionalFormatting>
  <pageMargins left="0.511811024" right="0.511811024" top="0.78740157499999996" bottom="0.78740157499999996" header="0.31496062000000002" footer="0.31496062000000002"/>
  <pageSetup orientation="portrait" horizontalDpi="300" r:id="rId2"/>
  <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1d69e10-82ba-4323-8291-4178b532a9a2" xsi:nil="true"/>
    <lcf76f155ced4ddcb4097134ff3c332f xmlns="abfebfb4-fcd8-4713-a3eb-2c65d8e9e427">
      <Terms xmlns="http://schemas.microsoft.com/office/infopath/2007/PartnerControls"/>
    </lcf76f155ced4ddcb4097134ff3c332f>
    <Data xmlns="abfebfb4-fcd8-4713-a3eb-2c65d8e9e427" xsi:nil="true"/>
    <_Flow_SignoffStatus xmlns="abfebfb4-fcd8-4713-a3eb-2c65d8e9e42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6EDE9752F8578418CA45ED32A8A20A5" ma:contentTypeVersion="22" ma:contentTypeDescription="Crie um novo documento." ma:contentTypeScope="" ma:versionID="25cf34572050a7572e94a4d25b77f79e">
  <xsd:schema xmlns:xsd="http://www.w3.org/2001/XMLSchema" xmlns:xs="http://www.w3.org/2001/XMLSchema" xmlns:p="http://schemas.microsoft.com/office/2006/metadata/properties" xmlns:ns2="71d69e10-82ba-4323-8291-4178b532a9a2" xmlns:ns3="abfebfb4-fcd8-4713-a3eb-2c65d8e9e427" targetNamespace="http://schemas.microsoft.com/office/2006/metadata/properties" ma:root="true" ma:fieldsID="959eb7b5e721568ceca95db2dffb1183" ns2:_="" ns3:_="">
    <xsd:import namespace="71d69e10-82ba-4323-8291-4178b532a9a2"/>
    <xsd:import namespace="abfebfb4-fcd8-4713-a3eb-2c65d8e9e42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_Flow_SignoffStatus" minOccurs="0"/>
                <xsd:element ref="ns3:MediaServiceObjectDetectorVersions" minOccurs="0"/>
                <xsd:element ref="ns3:Data" minOccurs="0"/>
                <xsd:element ref="ns3:MediaServiceSearchProperties" minOccurs="0"/>
                <xsd:element ref="ns3:MediaServiceBillingMetadata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d69e10-82ba-4323-8291-4178b532a9a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2" nillable="true" ma:displayName="Taxonomy Catch All Column" ma:hidden="true" ma:list="{5bf4ead9-e369-4320-8da4-2d70c5081b79}" ma:internalName="TaxCatchAll" ma:showField="CatchAllData" ma:web="71d69e10-82ba-4323-8291-4178b532a9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febfb4-fcd8-4713-a3eb-2c65d8e9e4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_Flow_SignoffStatus" ma:index="21" nillable="true" ma:displayName="Status de liberação" ma:internalName="Status_x0020_de_x0020_libera_x00e7__x00e3_o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Data" ma:index="23" nillable="true" ma:displayName="Data" ma:format="DateTime" ma:internalName="Data">
      <xsd:simpleType>
        <xsd:restriction base="dms:DateTim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7" nillable="true" ma:taxonomy="true" ma:internalName="lcf76f155ced4ddcb4097134ff3c332f" ma:taxonomyFieldName="MediaServiceImageTags" ma:displayName="Marcações de imagem" ma:readOnly="false" ma:fieldId="{5cf76f15-5ced-4ddc-b409-7134ff3c332f}" ma:taxonomyMulti="true" ma:sspId="a8381c5f-bf68-4e6a-94d5-5f00d3537ea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1F12A7-47A9-4394-8F68-59F903A43B9C}">
  <ds:schemaRefs>
    <ds:schemaRef ds:uri="http://schemas.openxmlformats.org/package/2006/metadata/core-properties"/>
    <ds:schemaRef ds:uri="71d69e10-82ba-4323-8291-4178b532a9a2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purl.org/dc/dcmitype/"/>
    <ds:schemaRef ds:uri="abfebfb4-fcd8-4713-a3eb-2c65d8e9e427"/>
    <ds:schemaRef ds:uri="http://schemas.microsoft.com/office/infopath/2007/PartnerControl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597DD8EA-DC29-49EC-B0B7-6C7851C8C3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9367C9A-EDA4-4F6D-8AE8-D39349A49C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d69e10-82ba-4323-8291-4178b532a9a2"/>
    <ds:schemaRef ds:uri="abfebfb4-fcd8-4713-a3eb-2c65d8e9e4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CHECKLIST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Peterson Wellington Ferreira</dc:creator>
  <cp:keywords/>
  <dc:description/>
  <cp:lastModifiedBy>Nathalia De Souza Da Silva</cp:lastModifiedBy>
  <cp:revision/>
  <dcterms:created xsi:type="dcterms:W3CDTF">2020-01-31T11:15:54Z</dcterms:created>
  <dcterms:modified xsi:type="dcterms:W3CDTF">2026-02-18T21:05:05Z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0x01010016EDE9752F8578418CA45ED32A8A20A5</vt:lpwstr>
  </property>
  <property fmtid="{D5CDD505-2E9C-101B-9397-08002B2CF9AE}" pid="3" name="MediaServiceImageTags">
    <vt:lpwstr/>
  </property>
</Properties>
</file>