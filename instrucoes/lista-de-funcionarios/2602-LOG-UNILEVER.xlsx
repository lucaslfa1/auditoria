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hidePivotFieldList="1" defaultThemeVersion="124226"/>
  <mc:AlternateContent xmlns:mc="http://schemas.openxmlformats.org/markup-compatibility/2006">
    <mc:Choice Requires="x15">
      <x15ac:absPath xmlns:x15ac="http://schemas.microsoft.com/office/spreadsheetml/2010/11/ac" url="C:\Users\nathalia.silva\OneDrive - NSTECH GR LTDA\AUDITORIA\# LISTAGENS DE OPERADORES\"/>
    </mc:Choice>
  </mc:AlternateContent>
  <xr:revisionPtr revIDLastSave="39" documentId="113_{46E451F6-0DF0-4EF9-B442-6FCD17153F37}" xr6:coauthVersionLast="36" xr6:coauthVersionMax="36" xr10:uidLastSave="{6E986633-533C-4BD3-9F1D-6593F897FDA1}"/>
  <bookViews>
    <workbookView xWindow="0" yWindow="0" windowWidth="19200" windowHeight="7750" xr2:uid="{00000000-000D-0000-FFFF-FFFF00000000}"/>
  </bookViews>
  <sheets>
    <sheet name="UNILEVER" sheetId="2" r:id="rId1"/>
  </sheets>
  <definedNames>
    <definedName name="_xlnm._FilterDatabase" localSheetId="0" hidden="1">UNILEVER!$M$1:$M$1</definedName>
  </definedNames>
  <calcPr calcId="191028"/>
  <pivotCaches>
    <pivotCache cacheId="15" r:id="rId2"/>
  </pivotCaches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10" i="2" l="1"/>
  <c r="F11" i="2" l="1"/>
  <c r="F4" i="2"/>
  <c r="F5" i="2"/>
  <c r="F6" i="2"/>
  <c r="F9" i="2" l="1"/>
  <c r="F8" i="2" l="1"/>
  <c r="M12" i="2" l="1"/>
  <c r="L12" i="2" l="1"/>
  <c r="F2" i="2" l="1"/>
  <c r="F7" i="2" l="1"/>
  <c r="F3" i="2"/>
</calcChain>
</file>

<file path=xl/sharedStrings.xml><?xml version="1.0" encoding="utf-8"?>
<sst xmlns="http://schemas.openxmlformats.org/spreadsheetml/2006/main" count="81" uniqueCount="32">
  <si>
    <t>MATRICULA</t>
  </si>
  <si>
    <t xml:space="preserve">ID WEON </t>
  </si>
  <si>
    <t>NOME</t>
  </si>
  <si>
    <t>STATUS</t>
  </si>
  <si>
    <t>TURNO / OPERAÇÃO</t>
  </si>
  <si>
    <t>SUPERVISOR</t>
  </si>
  <si>
    <t>SETOR</t>
  </si>
  <si>
    <t>OBS</t>
  </si>
  <si>
    <t>CHAVE</t>
  </si>
  <si>
    <t>QTD</t>
  </si>
  <si>
    <t>Total Geral</t>
  </si>
  <si>
    <t>LOGÍSTICA</t>
  </si>
  <si>
    <t>UNILEVER</t>
  </si>
  <si>
    <t>Giulia Machado</t>
  </si>
  <si>
    <t>OPERACIONAL 1</t>
  </si>
  <si>
    <t>OPERACIONAL 2</t>
  </si>
  <si>
    <t>ARYELLE DE JESUS DA SILVA</t>
  </si>
  <si>
    <t>KEVYN LUIZ DOS SANTOS DA SILVA</t>
  </si>
  <si>
    <t>MARIA FERNANDA CORDOVA BORGES</t>
  </si>
  <si>
    <t>FELIPE CARLOS HUMMELGEN</t>
  </si>
  <si>
    <t>ANA BEATRIZ DO CARMO</t>
  </si>
  <si>
    <t>JULIA DA SILVEIRA GOMES FERREIRA DA ROSA</t>
  </si>
  <si>
    <t>MARCOS NASCIMENTO DALESSANDRO</t>
  </si>
  <si>
    <t>ROSSIELE DE SOUZA MARTINS</t>
  </si>
  <si>
    <t>NÃO AUDITAR</t>
  </si>
  <si>
    <t>INATIVO</t>
  </si>
  <si>
    <t>ATIVO</t>
  </si>
  <si>
    <t>ID HUAWEI</t>
  </si>
  <si>
    <t>ANDRESSA THAIS MUHLMANN</t>
  </si>
  <si>
    <t>KEILA EMANUELE ALVES</t>
  </si>
  <si>
    <t>OK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</si>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</sst>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16]General"/>
  </numFmts>
  <fonts count="13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</font>
    <font>
      <sz val="10"/>
      <name val="Arial"/>
      <family val="2"/>
    </font>
    <font>
      <sz val="11"/>
      <color indexed="8"/>
      <name val="Calibri"/>
      <family val="2"/>
    </font>
    <font>
      <sz val="10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sz val="8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8"/>
      <color theme="1"/>
      <name val="Calibri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/>
        <bgColor theme="9"/>
      </patternFill>
    </fill>
    <fill>
      <patternFill patternType="solid">
        <fgColor theme="0"/>
        <bgColor indexed="64"/>
      </patternFill>
    </fill>
  </fills>
  <borders count="7">
    <border>
      <left/>
      <right/>
      <top/>
      <bottom/>
      <diagonal/>
    </border>
    <border>
      <left/>
      <right style="thin">
        <color theme="9"/>
      </right>
      <top style="thin">
        <color theme="9"/>
      </top>
      <bottom/>
      <diagonal/>
    </border>
    <border>
      <left style="thin">
        <color theme="9"/>
      </left>
      <right style="thin">
        <color theme="9"/>
      </right>
      <top style="thin">
        <color theme="9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theme="9" tint="-0.249977111117893"/>
      </right>
      <top/>
      <bottom/>
      <diagonal/>
    </border>
    <border>
      <left style="thin">
        <color theme="9" tint="-0.249977111117893"/>
      </left>
      <right style="thin">
        <color theme="9" tint="-0.249977111117893"/>
      </right>
      <top style="thin">
        <color theme="9" tint="-0.249977111117893"/>
      </top>
      <bottom style="thin">
        <color theme="9" tint="-0.249977111117893"/>
      </bottom>
      <diagonal/>
    </border>
    <border>
      <left style="thin">
        <color theme="9"/>
      </left>
      <right style="thin">
        <color theme="9"/>
      </right>
      <top style="thin">
        <color theme="9"/>
      </top>
      <bottom style="thin">
        <color theme="9"/>
      </bottom>
      <diagonal/>
    </border>
  </borders>
  <cellStyleXfs count="4">
    <xf numFmtId="0" fontId="0" fillId="0" borderId="0"/>
    <xf numFmtId="164" fontId="1" fillId="0" borderId="0" applyBorder="0" applyProtection="0"/>
    <xf numFmtId="0" fontId="2" fillId="0" borderId="0"/>
    <xf numFmtId="0" fontId="3" fillId="0" borderId="0"/>
  </cellStyleXfs>
  <cellXfs count="31">
    <xf numFmtId="0" fontId="0" fillId="0" borderId="0" xfId="0"/>
    <xf numFmtId="0" fontId="4" fillId="0" borderId="0" xfId="0" applyFont="1" applyAlignment="1">
      <alignment horizontal="left" vertical="center"/>
    </xf>
    <xf numFmtId="0" fontId="5" fillId="0" borderId="0" xfId="0" applyFont="1" applyAlignment="1">
      <alignment horizontal="left" vertical="center"/>
    </xf>
    <xf numFmtId="0" fontId="6" fillId="0" borderId="0" xfId="0" applyNumberFormat="1" applyFont="1" applyAlignment="1">
      <alignment horizontal="left" vertical="center"/>
    </xf>
    <xf numFmtId="0" fontId="7" fillId="3" borderId="1" xfId="0" applyFont="1" applyFill="1" applyBorder="1" applyAlignment="1">
      <alignment horizontal="left" vertical="center"/>
    </xf>
    <xf numFmtId="0" fontId="5" fillId="4" borderId="0" xfId="0" applyFont="1" applyFill="1" applyAlignment="1">
      <alignment horizontal="left" vertical="center"/>
    </xf>
    <xf numFmtId="0" fontId="5" fillId="0" borderId="0" xfId="0" applyFont="1" applyAlignment="1">
      <alignment horizontal="center" vertical="center"/>
    </xf>
    <xf numFmtId="0" fontId="8" fillId="0" borderId="2" xfId="0" applyFont="1" applyBorder="1" applyAlignment="1">
      <alignment horizontal="center" vertical="center"/>
    </xf>
    <xf numFmtId="0" fontId="6" fillId="0" borderId="0" xfId="0" applyNumberFormat="1" applyFont="1" applyFill="1" applyAlignment="1">
      <alignment horizontal="center" vertical="center"/>
    </xf>
    <xf numFmtId="0" fontId="9" fillId="3" borderId="1" xfId="0" applyFont="1" applyFill="1" applyBorder="1" applyAlignment="1">
      <alignment horizontal="left" vertical="center"/>
    </xf>
    <xf numFmtId="0" fontId="0" fillId="0" borderId="3" xfId="0" applyBorder="1" applyAlignment="1">
      <alignment horizontal="left"/>
    </xf>
    <xf numFmtId="0" fontId="7" fillId="3" borderId="3" xfId="0" applyFont="1" applyFill="1" applyBorder="1" applyAlignment="1">
      <alignment horizontal="left" vertical="center"/>
    </xf>
    <xf numFmtId="0" fontId="0" fillId="0" borderId="3" xfId="0" applyNumberFormat="1" applyBorder="1" applyAlignment="1">
      <alignment horizontal="center"/>
    </xf>
    <xf numFmtId="0" fontId="7" fillId="3" borderId="3" xfId="0" applyNumberFormat="1" applyFont="1" applyFill="1" applyBorder="1" applyAlignment="1">
      <alignment horizontal="center" vertical="center"/>
    </xf>
    <xf numFmtId="0" fontId="4" fillId="0" borderId="4" xfId="0" applyFont="1" applyBorder="1" applyAlignment="1">
      <alignment horizontal="left" vertical="center"/>
    </xf>
    <xf numFmtId="0" fontId="5" fillId="0" borderId="5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8" fillId="0" borderId="6" xfId="0" applyFont="1" applyBorder="1" applyAlignment="1">
      <alignment horizontal="center" vertical="center"/>
    </xf>
    <xf numFmtId="0" fontId="10" fillId="0" borderId="0" xfId="0" applyNumberFormat="1" applyFont="1" applyFill="1" applyAlignment="1">
      <alignment horizontal="center" vertical="center"/>
    </xf>
    <xf numFmtId="0" fontId="10" fillId="0" borderId="0" xfId="0" applyNumberFormat="1" applyFont="1" applyAlignment="1">
      <alignment horizontal="left" vertical="center"/>
    </xf>
    <xf numFmtId="0" fontId="11" fillId="4" borderId="0" xfId="0" applyFont="1" applyFill="1" applyAlignment="1">
      <alignment horizontal="left" vertical="center"/>
    </xf>
    <xf numFmtId="0" fontId="11" fillId="0" borderId="0" xfId="0" applyNumberFormat="1" applyFont="1" applyFill="1" applyAlignment="1">
      <alignment horizontal="center" vertical="center"/>
    </xf>
    <xf numFmtId="0" fontId="11" fillId="2" borderId="0" xfId="0" applyFont="1" applyFill="1" applyAlignment="1">
      <alignment horizontal="center" vertical="center"/>
    </xf>
    <xf numFmtId="0" fontId="11" fillId="0" borderId="0" xfId="0" applyNumberFormat="1" applyFont="1" applyAlignment="1">
      <alignment horizontal="left" vertical="center"/>
    </xf>
    <xf numFmtId="0" fontId="12" fillId="4" borderId="0" xfId="0" applyFont="1" applyFill="1" applyAlignment="1">
      <alignment horizontal="left" vertical="center"/>
    </xf>
    <xf numFmtId="0" fontId="12" fillId="0" borderId="0" xfId="0" applyNumberFormat="1" applyFont="1" applyFill="1" applyAlignment="1">
      <alignment horizontal="center" vertical="center"/>
    </xf>
    <xf numFmtId="0" fontId="12" fillId="2" borderId="0" xfId="0" applyFont="1" applyFill="1" applyAlignment="1">
      <alignment horizontal="center" vertical="center"/>
    </xf>
    <xf numFmtId="0" fontId="12" fillId="0" borderId="0" xfId="0" applyNumberFormat="1" applyFont="1" applyAlignment="1">
      <alignment horizontal="left" vertical="center"/>
    </xf>
    <xf numFmtId="0" fontId="4" fillId="0" borderId="0" xfId="0" applyFont="1" applyAlignment="1">
      <alignment horizontal="center" vertical="center"/>
    </xf>
  </cellXfs>
  <cellStyles count="4">
    <cellStyle name="Excel Built-in Normal" xfId="1" xr:uid="{00000000-0005-0000-0000-000000000000}"/>
    <cellStyle name="Excel Built-in Normal 2" xfId="3" xr:uid="{00000000-0005-0000-0000-000001000000}"/>
    <cellStyle name="Normal" xfId="0" builtinId="0"/>
    <cellStyle name="Normal 2" xfId="2" xr:uid="{00000000-0005-0000-0000-000003000000}"/>
  </cellStyles>
  <dxfs count="41"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family val="2"/>
        <scheme val="minor"/>
      </font>
      <numFmt numFmtId="0" formatCode="General"/>
      <alignment horizontal="left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Calibri"/>
        <scheme val="minor"/>
      </font>
      <numFmt numFmtId="0" formatCode="General"/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family val="2"/>
        <scheme val="minor"/>
      </font>
      <fill>
        <patternFill patternType="solid">
          <fgColor indexed="64"/>
          <bgColor rgb="FFFFFF00"/>
        </patternFill>
      </fill>
      <alignment horizontal="left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Calibri"/>
        <scheme val="minor"/>
      </font>
      <fill>
        <patternFill patternType="solid">
          <fgColor indexed="64"/>
          <bgColor rgb="FFFFFF00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Calibri"/>
        <scheme val="minor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Calibri"/>
        <scheme val="minor"/>
      </font>
      <numFmt numFmtId="0" formatCode="General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Calibri"/>
        <scheme val="minor"/>
      </font>
      <fill>
        <patternFill patternType="solid">
          <fgColor indexed="64"/>
          <bgColor theme="0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family val="2"/>
        <scheme val="minor"/>
      </font>
      <fill>
        <patternFill patternType="solid">
          <fgColor indexed="64"/>
          <bgColor rgb="FFFFFF00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family val="2"/>
        <scheme val="minor"/>
      </font>
      <fill>
        <patternFill patternType="solid">
          <fgColor indexed="64"/>
          <bgColor rgb="FFFFFF00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family val="2"/>
        <scheme val="minor"/>
      </font>
      <fill>
        <patternFill patternType="solid">
          <fgColor indexed="64"/>
          <bgColor rgb="FFFFFF00"/>
        </patternFill>
      </fill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Calibri"/>
        <scheme val="minor"/>
      </font>
      <alignment horizontal="left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Calibri"/>
        <scheme val="minor"/>
      </font>
      <alignment horizontal="left" vertical="center" textRotation="0" wrapText="0" indent="0" justifyLastLine="0" shrinkToFit="0" readingOrder="0"/>
    </dxf>
    <dxf>
      <alignment horizontal="center"/>
    </dxf>
    <dxf>
      <alignment horizontal="center"/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/>
        <sz val="10"/>
      </font>
      <fill>
        <patternFill patternType="solid">
          <fgColor theme="9"/>
          <bgColor theme="9"/>
        </patternFill>
      </fill>
      <alignment vertical="center"/>
    </dxf>
    <dxf>
      <font>
        <b/>
        <sz val="10"/>
      </font>
      <fill>
        <patternFill patternType="solid">
          <fgColor theme="9"/>
          <bgColor theme="9"/>
        </patternFill>
      </fill>
      <alignment vertical="center"/>
    </dxf>
    <dxf>
      <font>
        <b/>
        <sz val="10"/>
      </font>
      <fill>
        <patternFill patternType="solid">
          <fgColor theme="9"/>
          <bgColor theme="9"/>
        </patternFill>
      </fill>
      <alignment horizontal="left" vertical="center"/>
    </dxf>
    <dxf>
      <font>
        <b/>
        <sz val="10"/>
      </font>
      <fill>
        <patternFill patternType="solid">
          <fgColor theme="9"/>
          <bgColor theme="9"/>
        </patternFill>
      </fill>
      <alignment horizontal="left" vertical="center"/>
    </dxf>
    <dxf>
      <font>
        <b/>
        <i val="0"/>
        <color theme="0"/>
      </font>
      <fill>
        <patternFill>
          <bgColor rgb="FFFFC7CE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color rgb="FF3E4D1F"/>
      </font>
      <fill>
        <patternFill patternType="solid">
          <bgColor rgb="FFBDFFDE"/>
        </patternFill>
      </fill>
    </dxf>
    <dxf>
      <font>
        <color rgb="FFC00000"/>
      </font>
      <fill>
        <patternFill>
          <bgColor rgb="FFFCC0C0"/>
        </patternFill>
      </fill>
    </dxf>
  </dxfs>
  <tableStyles count="0" defaultTableStyle="TableStyleMedium2" defaultPivotStyle="PivotStyleLight16"/>
  <colors>
    <mruColors>
      <color rgb="FFFCC0C0"/>
      <color rgb="FF3E4D1F"/>
      <color rgb="FFC5FFDF"/>
      <color rgb="FFBDFFDE"/>
      <color rgb="FFFFC5C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pivotCacheDefinition" Target="pivotCache/pivotCacheDefinition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12</xdr:row>
      <xdr:rowOff>76200</xdr:rowOff>
    </xdr:from>
    <xdr:to>
      <xdr:col>14</xdr:col>
      <xdr:colOff>59003</xdr:colOff>
      <xdr:row>45</xdr:row>
      <xdr:rowOff>65444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BF2632F5-FFE0-49C0-8CC5-73AE517B31E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286000"/>
          <a:ext cx="11387403" cy="6069369"/>
        </a:xfrm>
        <a:prstGeom prst="rect">
          <a:avLst/>
        </a:prstGeom>
      </xdr:spPr>
    </xdr:pic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Nathalia de Souza da Silva" refreshedDate="46069.352914351854" createdVersion="6" refreshedVersion="6" minRefreshableVersion="3" recordCount="10" xr:uid="{8120909A-4A2C-43EA-AE0A-15FFED37B913}">
  <cacheSource type="worksheet">
    <worksheetSource name="Tabela2[[MATRICULA]:[OBS]]"/>
  </cacheSource>
  <cacheFields count="9">
    <cacheField name="MATRICULA" numFmtId="0">
      <sharedItems containsSemiMixedTypes="0" containsString="0" containsNumber="1" containsInteger="1" minValue="11049" maxValue="11552"/>
    </cacheField>
    <cacheField name="ID WEON " numFmtId="0">
      <sharedItems containsSemiMixedTypes="0" containsString="0" containsNumber="1" containsInteger="1" minValue="11049" maxValue="11552"/>
    </cacheField>
    <cacheField name="ID HUAWEI" numFmtId="0">
      <sharedItems containsString="0" containsBlank="1" containsNumber="1" containsInteger="1" minValue="2699" maxValue="2700"/>
    </cacheField>
    <cacheField name="NOME" numFmtId="0">
      <sharedItems/>
    </cacheField>
    <cacheField name="STATUS" numFmtId="0">
      <sharedItems count="2">
        <s v="ATIVO"/>
        <s v="INATIVO"/>
      </sharedItems>
    </cacheField>
    <cacheField name="TURNO / OPERAÇÃO" numFmtId="0">
      <sharedItems/>
    </cacheField>
    <cacheField name="SUPERVISOR" numFmtId="0">
      <sharedItems/>
    </cacheField>
    <cacheField name="SETOR" numFmtId="0">
      <sharedItems/>
    </cacheField>
    <cacheField name="OBS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">
  <r>
    <n v="11486"/>
    <n v="11486"/>
    <m/>
    <s v="ANA BEATRIZ DO CARMO"/>
    <x v="0"/>
    <s v="UNILEVER"/>
    <s v="Giulia Machado"/>
    <s v="LOGÍSTICA"/>
    <m/>
  </r>
  <r>
    <n v="11049"/>
    <n v="11049"/>
    <n v="2700"/>
    <s v="ANDRESSA THAIS MUHLMANN"/>
    <x v="1"/>
    <s v="UNILEVER"/>
    <s v="Giulia Machado"/>
    <s v="LOGÍSTICA"/>
    <s v="NÃO AUDITAR"/>
  </r>
  <r>
    <n v="11231"/>
    <n v="11231"/>
    <n v="2699"/>
    <s v="ARYELLE DE JESUS DA SILVA"/>
    <x v="0"/>
    <s v="UNILEVER"/>
    <s v="Giulia Machado"/>
    <s v="LOGÍSTICA"/>
    <m/>
  </r>
  <r>
    <n v="11444"/>
    <n v="11444"/>
    <m/>
    <s v="FELIPE CARLOS HUMMELGEN"/>
    <x v="0"/>
    <s v="UNILEVER"/>
    <s v="Giulia Machado"/>
    <s v="LOGÍSTICA"/>
    <m/>
  </r>
  <r>
    <n v="11495"/>
    <n v="11495"/>
    <m/>
    <s v="JULIA DA SILVEIRA GOMES FERREIRA DA ROSA"/>
    <x v="0"/>
    <s v="UNILEVER"/>
    <s v="Giulia Machado"/>
    <s v="LOGÍSTICA"/>
    <m/>
  </r>
  <r>
    <n v="11552"/>
    <n v="11552"/>
    <m/>
    <s v="KEILA EMANUELE ALVES"/>
    <x v="1"/>
    <s v="UNILEVER"/>
    <s v="Giulia Machado"/>
    <s v="LOGÍSTICA"/>
    <s v="NÃO AUDITAR"/>
  </r>
  <r>
    <n v="11409"/>
    <n v="11409"/>
    <m/>
    <s v="KEVYN LUIZ DOS SANTOS DA SILVA"/>
    <x v="0"/>
    <s v="UNILEVER"/>
    <s v="Giulia Machado"/>
    <s v="LOGÍSTICA"/>
    <m/>
  </r>
  <r>
    <n v="11493"/>
    <n v="11493"/>
    <m/>
    <s v="MARCOS NASCIMENTO DALESSANDRO"/>
    <x v="1"/>
    <s v="UNILEVER"/>
    <s v="Giulia Machado"/>
    <s v="LOGÍSTICA"/>
    <s v="NÃO AUDITAR"/>
  </r>
  <r>
    <n v="11353"/>
    <n v="11353"/>
    <m/>
    <s v="MARIA FERNANDA CORDOVA BORGES"/>
    <x v="0"/>
    <s v="UNILEVER"/>
    <s v="Giulia Machado"/>
    <s v="LOGÍSTICA"/>
    <m/>
  </r>
  <r>
    <n v="11485"/>
    <n v="11485"/>
    <m/>
    <s v="ROSSIELE DE SOUZA MARTINS"/>
    <x v="0"/>
    <s v="UNILEVER"/>
    <s v="Giulia Machado"/>
    <s v="LOGÍSTICA"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56FF699-1F1A-458C-86DD-9180924B3D94}" name="Tabela dinâmica3" cacheId="15" applyNumberFormats="0" applyBorderFormats="0" applyFontFormats="0" applyPatternFormats="0" applyAlignmentFormats="0" applyWidthHeightFormats="1" dataCaption="Valores" updatedVersion="6" minRefreshableVersion="3" useAutoFormatting="1" itemPrintTitles="1" createdVersion="6" indent="0" outline="1" outlineData="1" multipleFieldFilters="0" rowHeaderCaption="STATUS">
  <location ref="O1:P4" firstHeaderRow="1" firstDataRow="1" firstDataCol="1"/>
  <pivotFields count="9">
    <pivotField showAll="0"/>
    <pivotField showAll="0"/>
    <pivotField showAll="0"/>
    <pivotField showAll="0"/>
    <pivotField axis="axisRow" dataField="1" showAll="0">
      <items count="3">
        <item n="ATIVO" x="0"/>
        <item x="1"/>
        <item t="default"/>
      </items>
    </pivotField>
    <pivotField showAll="0"/>
    <pivotField showAll="0"/>
    <pivotField showAll="0"/>
    <pivotField showAll="0"/>
  </pivotFields>
  <rowFields count="1">
    <field x="4"/>
  </rowFields>
  <rowItems count="3">
    <i>
      <x/>
    </i>
    <i>
      <x v="1"/>
    </i>
    <i t="grand">
      <x/>
    </i>
  </rowItems>
  <colItems count="1">
    <i/>
  </colItems>
  <dataFields count="1">
    <dataField name="QTD" fld="4" subtotal="count" baseField="3" baseItem="0"/>
  </dataFields>
  <formats count="16">
    <format dxfId="34">
      <pivotArea field="4" type="button" dataOnly="0" labelOnly="1" outline="0" axis="axisRow" fieldPosition="0"/>
    </format>
    <format dxfId="33">
      <pivotArea dataOnly="0" labelOnly="1" outline="0" axis="axisValues" fieldPosition="0"/>
    </format>
    <format dxfId="32">
      <pivotArea grandRow="1" outline="0" collapsedLevelsAreSubtotals="1" fieldPosition="0"/>
    </format>
    <format dxfId="31">
      <pivotArea dataOnly="0" labelOnly="1" grandRow="1" outline="0" fieldPosition="0"/>
    </format>
    <format dxfId="30">
      <pivotArea type="all" dataOnly="0" outline="0" fieldPosition="0"/>
    </format>
    <format dxfId="29">
      <pivotArea outline="0" collapsedLevelsAreSubtotals="1" fieldPosition="0"/>
    </format>
    <format dxfId="28">
      <pivotArea field="4" type="button" dataOnly="0" labelOnly="1" outline="0" axis="axisRow" fieldPosition="0"/>
    </format>
    <format dxfId="27">
      <pivotArea dataOnly="0" labelOnly="1" fieldPosition="0">
        <references count="1">
          <reference field="4" count="0"/>
        </references>
      </pivotArea>
    </format>
    <format dxfId="26">
      <pivotArea dataOnly="0" labelOnly="1" grandRow="1" outline="0" fieldPosition="0"/>
    </format>
    <format dxfId="25">
      <pivotArea dataOnly="0" labelOnly="1" outline="0" axis="axisValues" fieldPosition="0"/>
    </format>
    <format dxfId="24">
      <pivotArea grandRow="1" outline="0" collapsedLevelsAreSubtotals="1" fieldPosition="0"/>
    </format>
    <format dxfId="23">
      <pivotArea dataOnly="0" labelOnly="1" grandRow="1" outline="0" fieldPosition="0"/>
    </format>
    <format dxfId="22">
      <pivotArea field="4" type="button" dataOnly="0" labelOnly="1" outline="0" axis="axisRow" fieldPosition="0"/>
    </format>
    <format dxfId="21">
      <pivotArea dataOnly="0" labelOnly="1" outline="0" axis="axisValues" fieldPosition="0"/>
    </format>
    <format dxfId="20">
      <pivotArea grandRow="1" outline="0" collapsedLevelsAreSubtotals="1" fieldPosition="0"/>
    </format>
    <format dxfId="19">
      <pivotArea collapsedLevelsAreSubtotals="1" fieldPosition="0">
        <references count="1">
          <reference field="4" count="0"/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0000000}" name="Tabela2" displayName="Tabela2" ref="B1:L11" totalsRowShown="0" headerRowDxfId="18" dataDxfId="17">
  <autoFilter ref="B1:L11" xr:uid="{831CF408-45C8-41C1-8401-0223100FEBCD}"/>
  <sortState ref="B2:K3">
    <sortCondition ref="B1:B3"/>
  </sortState>
  <tableColumns count="11">
    <tableColumn id="1" xr3:uid="{00000000-0010-0000-0000-000001000000}" name="MATRICULA" dataDxfId="16"/>
    <tableColumn id="9" xr3:uid="{5D5963D4-6ADD-4B53-A2B4-60955012F1B3}" name="ID WEON " dataDxfId="15"/>
    <tableColumn id="11" xr3:uid="{A3FB2EB9-3E1A-437D-A66A-90305BCE1151}" name="ID HUAWEI" dataDxfId="14"/>
    <tableColumn id="2" xr3:uid="{00000000-0010-0000-0000-000002000000}" name="NOME" dataDxfId="13"/>
    <tableColumn id="3" xr3:uid="{00000000-0010-0000-0000-000003000000}" name="STATUS" dataDxfId="12">
      <calculatedColumnFormula>IF(Tabela2[[#This Row],[OBS]]="","ATIVO","INATIVO")</calculatedColumnFormula>
    </tableColumn>
    <tableColumn id="4" xr3:uid="{00000000-0010-0000-0000-000004000000}" name="TURNO / OPERAÇÃO" dataDxfId="11" totalsRowDxfId="10"/>
    <tableColumn id="5" xr3:uid="{00000000-0010-0000-0000-000005000000}" name="SUPERVISOR" dataDxfId="9" totalsRowDxfId="8"/>
    <tableColumn id="6" xr3:uid="{00000000-0010-0000-0000-000006000000}" name="SETOR" dataDxfId="7" totalsRowDxfId="6"/>
    <tableColumn id="7" xr3:uid="{00000000-0010-0000-0000-000007000000}" name="OBS" dataDxfId="5" totalsRowDxfId="4"/>
    <tableColumn id="8" xr3:uid="{00000000-0010-0000-0000-000008000000}" name="CHAVE" dataDxfId="3" totalsRowDxfId="2"/>
    <tableColumn id="10" xr3:uid="{D8BA63F2-D59B-4CD8-8EE0-EAE9BC3FDE4E}" name="OPERACIONAL 1" dataDxfId="1" totalsRowDxfId="0"/>
  </tableColumns>
  <tableStyleInfo name="TableStyleLight14" showFirstColumn="1" showLastColumn="1" showRowStripes="1" showColumnStripes="1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Relationship Id="rId4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2"/>
  <sheetViews>
    <sheetView showGridLines="0" tabSelected="1" topLeftCell="B1" zoomScaleNormal="100" workbookViewId="0">
      <selection activeCell="Q6" sqref="Q6"/>
    </sheetView>
  </sheetViews>
  <sheetFormatPr defaultRowHeight="14.5" x14ac:dyDescent="0.35"/>
  <cols>
    <col min="1" max="1" width="19.26953125" hidden="1" customWidth="1"/>
    <col min="2" max="2" width="9.81640625" style="30" bestFit="1" customWidth="1"/>
    <col min="3" max="4" width="8.1796875" style="30" customWidth="1"/>
    <col min="5" max="5" width="32.453125" style="1" customWidth="1"/>
    <col min="6" max="6" width="8.54296875" style="1" customWidth="1"/>
    <col min="7" max="7" width="18.08984375" style="1" customWidth="1"/>
    <col min="8" max="8" width="14.1796875" style="1" bestFit="1" customWidth="1"/>
    <col min="9" max="9" width="12" style="1" bestFit="1" customWidth="1"/>
    <col min="10" max="10" width="13.81640625" style="1" bestFit="1" customWidth="1"/>
    <col min="11" max="11" width="8.36328125" hidden="1" customWidth="1"/>
    <col min="12" max="13" width="13.26953125" bestFit="1" customWidth="1"/>
    <col min="14" max="14" width="10.36328125" customWidth="1"/>
    <col min="15" max="15" width="9.26953125" bestFit="1" customWidth="1"/>
    <col min="16" max="16" width="4.1796875" bestFit="1" customWidth="1"/>
    <col min="17" max="17" width="24.6328125" bestFit="1" customWidth="1"/>
    <col min="18" max="18" width="18.26953125" bestFit="1" customWidth="1"/>
    <col min="19" max="19" width="10.1796875" bestFit="1" customWidth="1"/>
  </cols>
  <sheetData>
    <row r="1" spans="2:16" x14ac:dyDescent="0.35">
      <c r="B1" s="30" t="s">
        <v>0</v>
      </c>
      <c r="C1" s="30" t="s">
        <v>1</v>
      </c>
      <c r="D1" s="30" t="s">
        <v>27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9" t="s">
        <v>14</v>
      </c>
      <c r="M1" s="4" t="s">
        <v>15</v>
      </c>
      <c r="O1" s="11" t="s">
        <v>3</v>
      </c>
      <c r="P1" s="11" t="s">
        <v>9</v>
      </c>
    </row>
    <row r="2" spans="2:16" x14ac:dyDescent="0.35">
      <c r="B2" s="17">
        <v>11486</v>
      </c>
      <c r="C2" s="17">
        <v>11486</v>
      </c>
      <c r="D2" s="17">
        <v>2411</v>
      </c>
      <c r="E2" s="5" t="s">
        <v>20</v>
      </c>
      <c r="F2" s="6" t="str">
        <f>IF(Tabela2[[#This Row],[OBS]]="","ATIVO","INATIVO")</f>
        <v>ATIVO</v>
      </c>
      <c r="G2" s="16" t="s">
        <v>12</v>
      </c>
      <c r="H2" s="16" t="s">
        <v>13</v>
      </c>
      <c r="I2" s="16" t="s">
        <v>11</v>
      </c>
      <c r="J2" s="17"/>
      <c r="K2" s="2"/>
      <c r="L2" s="18" t="s">
        <v>30</v>
      </c>
      <c r="M2" s="18" t="s">
        <v>30</v>
      </c>
      <c r="O2" s="10" t="s">
        <v>26</v>
      </c>
      <c r="P2" s="12">
        <v>7</v>
      </c>
    </row>
    <row r="3" spans="2:16" x14ac:dyDescent="0.35">
      <c r="B3" s="17">
        <v>11049</v>
      </c>
      <c r="C3" s="17">
        <v>11049</v>
      </c>
      <c r="D3" s="17">
        <v>2700</v>
      </c>
      <c r="E3" s="22" t="s">
        <v>28</v>
      </c>
      <c r="F3" s="6" t="str">
        <f>IF(Tabela2[[#This Row],[OBS]]="","ATIVO","INATIVO")</f>
        <v>INATIVO</v>
      </c>
      <c r="G3" s="16" t="s">
        <v>12</v>
      </c>
      <c r="H3" s="16" t="s">
        <v>13</v>
      </c>
      <c r="I3" s="16" t="s">
        <v>11</v>
      </c>
      <c r="J3" s="17" t="s">
        <v>24</v>
      </c>
      <c r="K3" s="2"/>
      <c r="L3" s="18" t="s">
        <v>24</v>
      </c>
      <c r="M3" s="19" t="s">
        <v>24</v>
      </c>
      <c r="O3" s="10" t="s">
        <v>25</v>
      </c>
      <c r="P3" s="12">
        <v>3</v>
      </c>
    </row>
    <row r="4" spans="2:16" x14ac:dyDescent="0.35">
      <c r="B4" s="17">
        <v>11231</v>
      </c>
      <c r="C4" s="17">
        <v>11231</v>
      </c>
      <c r="D4" s="17">
        <v>2699</v>
      </c>
      <c r="E4" s="22" t="s">
        <v>16</v>
      </c>
      <c r="F4" s="23" t="str">
        <f>IF(Tabela2[[#This Row],[OBS]]="","ATIVO","INATIVO")</f>
        <v>ATIVO</v>
      </c>
      <c r="G4" s="16" t="s">
        <v>12</v>
      </c>
      <c r="H4" s="16" t="s">
        <v>13</v>
      </c>
      <c r="I4" s="16" t="s">
        <v>11</v>
      </c>
      <c r="J4" s="24"/>
      <c r="K4" s="25"/>
      <c r="L4" s="18" t="s">
        <v>30</v>
      </c>
      <c r="M4" s="7" t="s">
        <v>30</v>
      </c>
      <c r="O4" s="11" t="s">
        <v>10</v>
      </c>
      <c r="P4" s="13">
        <v>10</v>
      </c>
    </row>
    <row r="5" spans="2:16" x14ac:dyDescent="0.35">
      <c r="B5" s="17">
        <v>11444</v>
      </c>
      <c r="C5" s="17">
        <v>11444</v>
      </c>
      <c r="D5" s="17">
        <v>2414</v>
      </c>
      <c r="E5" s="22" t="s">
        <v>19</v>
      </c>
      <c r="F5" s="23" t="str">
        <f>IF(Tabela2[[#This Row],[OBS]]="","ATIVO","INATIVO")</f>
        <v>ATIVO</v>
      </c>
      <c r="G5" s="16" t="s">
        <v>12</v>
      </c>
      <c r="H5" s="16" t="s">
        <v>13</v>
      </c>
      <c r="I5" s="16" t="s">
        <v>11</v>
      </c>
      <c r="J5" s="24"/>
      <c r="K5" s="25"/>
      <c r="L5" s="18" t="s">
        <v>30</v>
      </c>
      <c r="M5" s="7" t="s">
        <v>30</v>
      </c>
    </row>
    <row r="6" spans="2:16" x14ac:dyDescent="0.35">
      <c r="B6" s="17">
        <v>11495</v>
      </c>
      <c r="C6" s="17">
        <v>11495</v>
      </c>
      <c r="D6" s="17">
        <v>2696</v>
      </c>
      <c r="E6" s="22" t="s">
        <v>21</v>
      </c>
      <c r="F6" s="23" t="str">
        <f>IF(Tabela2[[#This Row],[OBS]]="","ATIVO","INATIVO")</f>
        <v>ATIVO</v>
      </c>
      <c r="G6" s="16" t="s">
        <v>12</v>
      </c>
      <c r="H6" s="16" t="s">
        <v>13</v>
      </c>
      <c r="I6" s="16" t="s">
        <v>11</v>
      </c>
      <c r="J6" s="24"/>
      <c r="K6" s="25"/>
      <c r="L6" s="18" t="s">
        <v>30</v>
      </c>
      <c r="M6" s="7" t="s">
        <v>30</v>
      </c>
    </row>
    <row r="7" spans="2:16" x14ac:dyDescent="0.35">
      <c r="B7" s="17">
        <v>11552</v>
      </c>
      <c r="C7" s="17">
        <v>11552</v>
      </c>
      <c r="D7" s="17">
        <v>2417</v>
      </c>
      <c r="E7" s="22" t="s">
        <v>29</v>
      </c>
      <c r="F7" s="8" t="str">
        <f>IF(Tabela2[[#This Row],[OBS]]="","ATIVO","INATIVO")</f>
        <v>INATIVO</v>
      </c>
      <c r="G7" s="16" t="s">
        <v>12</v>
      </c>
      <c r="H7" s="16" t="s">
        <v>13</v>
      </c>
      <c r="I7" s="16" t="s">
        <v>11</v>
      </c>
      <c r="J7" s="17" t="s">
        <v>24</v>
      </c>
      <c r="K7" s="3"/>
      <c r="L7" s="18" t="s">
        <v>24</v>
      </c>
      <c r="M7" s="7" t="s">
        <v>24</v>
      </c>
    </row>
    <row r="8" spans="2:16" x14ac:dyDescent="0.35">
      <c r="B8" s="17">
        <v>11409</v>
      </c>
      <c r="C8" s="17">
        <v>11409</v>
      </c>
      <c r="D8" s="17">
        <v>2695</v>
      </c>
      <c r="E8" s="22" t="s">
        <v>17</v>
      </c>
      <c r="F8" s="20" t="str">
        <f>IF(Tabela2[[#This Row],[OBS]]="","ATIVO","INATIVO")</f>
        <v>ATIVO</v>
      </c>
      <c r="G8" s="16" t="s">
        <v>12</v>
      </c>
      <c r="H8" s="16" t="s">
        <v>13</v>
      </c>
      <c r="I8" s="16" t="s">
        <v>11</v>
      </c>
      <c r="J8" s="17"/>
      <c r="K8" s="21"/>
      <c r="L8" s="18" t="s">
        <v>30</v>
      </c>
      <c r="M8" s="7" t="s">
        <v>30</v>
      </c>
    </row>
    <row r="9" spans="2:16" x14ac:dyDescent="0.35">
      <c r="B9" s="17">
        <v>11493</v>
      </c>
      <c r="C9" s="17">
        <v>11493</v>
      </c>
      <c r="D9" s="17" t="s">
        <v>31</v>
      </c>
      <c r="E9" s="22" t="s">
        <v>22</v>
      </c>
      <c r="F9" s="23" t="str">
        <f>IF(Tabela2[[#This Row],[OBS]]="","ATIVO","INATIVO")</f>
        <v>INATIVO</v>
      </c>
      <c r="G9" s="16" t="s">
        <v>12</v>
      </c>
      <c r="H9" s="16" t="s">
        <v>13</v>
      </c>
      <c r="I9" s="16" t="s">
        <v>11</v>
      </c>
      <c r="J9" s="17" t="s">
        <v>24</v>
      </c>
      <c r="K9" s="25"/>
      <c r="L9" s="18" t="s">
        <v>24</v>
      </c>
      <c r="M9" s="7" t="s">
        <v>24</v>
      </c>
    </row>
    <row r="10" spans="2:16" x14ac:dyDescent="0.35">
      <c r="B10" s="17">
        <v>11353</v>
      </c>
      <c r="C10" s="17">
        <v>11353</v>
      </c>
      <c r="D10" s="17">
        <v>2419</v>
      </c>
      <c r="E10" s="26" t="s">
        <v>18</v>
      </c>
      <c r="F10" s="27" t="str">
        <f>IF(Tabela2[[#This Row],[OBS]]="","ATIVO","INATIVO")</f>
        <v>ATIVO</v>
      </c>
      <c r="G10" s="16" t="s">
        <v>12</v>
      </c>
      <c r="H10" s="16" t="s">
        <v>13</v>
      </c>
      <c r="I10" s="16" t="s">
        <v>11</v>
      </c>
      <c r="J10" s="28"/>
      <c r="K10" s="29"/>
      <c r="L10" s="18" t="s">
        <v>30</v>
      </c>
      <c r="M10" s="7" t="s">
        <v>30</v>
      </c>
    </row>
    <row r="11" spans="2:16" x14ac:dyDescent="0.35">
      <c r="B11" s="17">
        <v>11485</v>
      </c>
      <c r="C11" s="17">
        <v>11485</v>
      </c>
      <c r="D11" s="17">
        <v>2422</v>
      </c>
      <c r="E11" s="22" t="s">
        <v>23</v>
      </c>
      <c r="F11" s="23" t="str">
        <f>IF(Tabela2[[#This Row],[OBS]]="","ATIVO","INATIVO")</f>
        <v>ATIVO</v>
      </c>
      <c r="G11" s="16" t="s">
        <v>12</v>
      </c>
      <c r="H11" s="16" t="s">
        <v>13</v>
      </c>
      <c r="I11" s="16" t="s">
        <v>11</v>
      </c>
      <c r="J11" s="24"/>
      <c r="K11" s="25"/>
      <c r="L11" s="18" t="s">
        <v>30</v>
      </c>
      <c r="M11" s="7" t="s">
        <v>30</v>
      </c>
    </row>
    <row r="12" spans="2:16" x14ac:dyDescent="0.35">
      <c r="J12" s="14"/>
      <c r="L12" s="15">
        <f>COUNTIF(Tabela2[OPERACIONAL 1],"X")</f>
        <v>0</v>
      </c>
      <c r="M12" s="15">
        <f>COUNTIF(M2:M11,"X")</f>
        <v>0</v>
      </c>
    </row>
  </sheetData>
  <conditionalFormatting sqref="F1:F1048576">
    <cfRule type="containsText" dxfId="40" priority="5" stopIfTrue="1" operator="containsText" text="INATIVO">
      <formula>NOT(ISERROR(SEARCH("INATIVO",F1)))</formula>
    </cfRule>
    <cfRule type="containsText" dxfId="39" priority="6" stopIfTrue="1" operator="containsText" text="ATIVO">
      <formula>NOT(ISERROR(SEARCH("ATIVO",F1)))</formula>
    </cfRule>
  </conditionalFormatting>
  <conditionalFormatting sqref="L3:M11">
    <cfRule type="containsText" dxfId="38" priority="3" operator="containsText" text="OK">
      <formula>NOT(ISERROR(SEARCH("OK",L3)))</formula>
    </cfRule>
    <cfRule type="containsText" dxfId="37" priority="4" operator="containsText" text="X">
      <formula>NOT(ISERROR(SEARCH("X",L3)))</formula>
    </cfRule>
  </conditionalFormatting>
  <conditionalFormatting sqref="L2:M2">
    <cfRule type="containsText" dxfId="36" priority="1" operator="containsText" text="OK">
      <formula>NOT(ISERROR(SEARCH("OK",L2)))</formula>
    </cfRule>
    <cfRule type="containsText" dxfId="35" priority="2" operator="containsText" text="X">
      <formula>NOT(ISERROR(SEARCH("X",L2)))</formula>
    </cfRule>
  </conditionalFormatting>
  <pageMargins left="0.511811024" right="0.511811024" top="0.78740157499999996" bottom="0.78740157499999996" header="0.31496062000000002" footer="0.31496062000000002"/>
  <pageSetup orientation="portrait" horizontalDpi="300" r:id="rId2"/>
  <drawing r:id="rId3"/>
  <tableParts count="1">
    <tablePart r:id="rId4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81FCFFF271CA534AAC5C4188558CC345" ma:contentTypeVersion="10" ma:contentTypeDescription="Create a new document." ma:contentTypeScope="" ma:versionID="ed70198764c765101db3018d4d5e16ea">
  <xsd:schema xmlns:xsd="http://www.w3.org/2001/XMLSchema" xmlns:xs="http://www.w3.org/2001/XMLSchema" xmlns:p="http://schemas.microsoft.com/office/2006/metadata/properties" xmlns:ns3="4241aaa1-f251-4fb6-8c96-74d7389cb154" targetNamespace="http://schemas.microsoft.com/office/2006/metadata/properties" ma:root="true" ma:fieldsID="13e2998aba136dad0fd39bad2350e6b4" ns3:_="">
    <xsd:import namespace="4241aaa1-f251-4fb6-8c96-74d7389cb154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_activity" minOccurs="0"/>
                <xsd:element ref="ns3:MediaServiceSearchProperties" minOccurs="0"/>
                <xsd:element ref="ns3:MediaServiceObjectDetectorVersions" minOccurs="0"/>
                <xsd:element ref="ns3:MediaServiceSystemTags" minOccurs="0"/>
                <xsd:element ref="ns3:MediaServiceOCR" minOccurs="0"/>
                <xsd:element ref="ns3:MediaServiceMetadata" minOccurs="0"/>
                <xsd:element ref="ns3:MediaServiceFastMetadata" minOccurs="0"/>
                <xsd:element ref="ns3:MediaServiceGenerationTime" minOccurs="0"/>
                <xsd:element ref="ns3:MediaServiceEventHashCode" minOccurs="0"/>
                <xsd:element ref="ns3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241aaa1-f251-4fb6-8c96-74d7389cb154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_activity" ma:index="9" nillable="true" ma:displayName="_activity" ma:hidden="true" ma:internalName="_activity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ystemTags" ma:index="12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Metadata" ma:index="14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5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4241aaa1-f251-4fb6-8c96-74d7389cb154" xsi:nil="true"/>
  </documentManagement>
</p:properties>
</file>

<file path=customXml/itemProps1.xml><?xml version="1.0" encoding="utf-8"?>
<ds:datastoreItem xmlns:ds="http://schemas.openxmlformats.org/officeDocument/2006/customXml" ds:itemID="{597DD8EA-DC29-49EC-B0B7-6C7851C8C372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D39799D8-B74D-413A-85EC-333D3232846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241aaa1-f251-4fb6-8c96-74d7389cb15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8B1F12A7-47A9-4394-8F68-59F903A43B9C}">
  <ds:schemaRefs>
    <ds:schemaRef ds:uri="http://purl.org/dc/elements/1.1/"/>
    <ds:schemaRef ds:uri="http://purl.org/dc/terms/"/>
    <ds:schemaRef ds:uri="http://schemas.openxmlformats.org/package/2006/metadata/core-properties"/>
    <ds:schemaRef ds:uri="http://schemas.microsoft.com/office/2006/documentManagement/types"/>
    <ds:schemaRef ds:uri="http://schemas.microsoft.com/office/2006/metadata/properties"/>
    <ds:schemaRef ds:uri="http://purl.org/dc/dcmitype/"/>
    <ds:schemaRef ds:uri="4241aaa1-f251-4fb6-8c96-74d7389cb154"/>
    <ds:schemaRef ds:uri="http://www.w3.org/XML/1998/namespace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UNILEVER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Peterson Wellington Ferreira</dc:creator>
  <cp:keywords/>
  <dc:description/>
  <cp:lastModifiedBy>Nathalia De Souza Da Silva</cp:lastModifiedBy>
  <cp:revision/>
  <dcterms:created xsi:type="dcterms:W3CDTF">2020-01-31T11:15:54Z</dcterms:created>
  <dcterms:modified xsi:type="dcterms:W3CDTF">2026-02-27T19:07:24Z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0x01010081FCFFF271CA534AAC5C4188558CC345</vt:lpwstr>
  </property>
  <property fmtid="{D5CDD505-2E9C-101B-9397-08002B2CF9AE}" pid="3" name="MediaServiceImageTags">
    <vt:lpwstr/>
  </property>
</Properties>
</file>