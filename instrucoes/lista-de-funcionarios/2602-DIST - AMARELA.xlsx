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28" documentId="113_{35BACB21-E315-40B2-AA4C-C0F8868E9E07}" xr6:coauthVersionLast="36" xr6:coauthVersionMax="36" xr10:uidLastSave="{A52B70DC-B10D-4AC2-BAE4-089D58282710}"/>
  <bookViews>
    <workbookView xWindow="0" yWindow="0" windowWidth="19200" windowHeight="6350" xr2:uid="{00000000-000D-0000-FFFF-FFFF00000000}"/>
  </bookViews>
  <sheets>
    <sheet name="DIST. AMARELA" sheetId="5" r:id="rId1"/>
  </sheets>
  <definedNames>
    <definedName name="_xlnm._FilterDatabase" localSheetId="0" hidden="1">'DIST. AMARELA'!$M$1:$M$1</definedName>
  </definedName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2" i="5"/>
  <c r="M15" i="5" l="1"/>
  <c r="L15" i="5" l="1"/>
</calcChain>
</file>

<file path=xl/sharedStrings.xml><?xml version="1.0" encoding="utf-8"?>
<sst xmlns="http://schemas.openxmlformats.org/spreadsheetml/2006/main" count="97" uniqueCount="34">
  <si>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</si>
  <si>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</si>
  <si>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</si>
  <si>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</si>
  <si>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</si>
  <si>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</si>
  <si>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</si>
  <si>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</si>
  <si>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</si>
  <si>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</si>
  <si>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</si>
  <si>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</si>
  <si>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</si>
  <si>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DISTRIBUIÇÃO</t>
  </si>
  <si>
    <t>OPERACIONAL 2</t>
  </si>
  <si>
    <t xml:space="preserve">JACKELINE MUNIZ DA SILVA </t>
  </si>
  <si>
    <t>NATHALYE CHRYSTINE BARBOSA DA COSTA</t>
  </si>
  <si>
    <t>ORLANYS ANDREINA MARCANO ARREAZA</t>
  </si>
  <si>
    <t>TALIA MARIA DE SOUZA</t>
  </si>
  <si>
    <t>MARIA VITÓRIA OLIVEIRA SILVA</t>
  </si>
  <si>
    <t>MATHEUS EDUARDO DA SILVA</t>
  </si>
  <si>
    <t>FLAVYA FERNANDES DE OLIVEIRA</t>
  </si>
  <si>
    <t>GABRIEL CARVALHO STRAUSS</t>
  </si>
  <si>
    <t>JENIFFER JULIANA DA ROCHA MARCOLAN</t>
  </si>
  <si>
    <t>FÉRIAS</t>
  </si>
  <si>
    <t>INATIVO</t>
  </si>
  <si>
    <t>Thayssa de Almeida</t>
  </si>
  <si>
    <t>ID HUAWEI</t>
  </si>
  <si>
    <t>GLEDSON GONÇALVES DOS SANTOS</t>
  </si>
  <si>
    <t>EBENEZER ANDRE GUERRES TELES</t>
  </si>
  <si>
    <t>GABRIELA RODRIGUES TAVARES</t>
  </si>
  <si>
    <t>PAULA FERNANDA APARECIDA DE OLIVEIRA LOPES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</si>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</sst>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26">
    <xf numFmtId="0" fontId="0" fillId="0" borderId="0" xfId="0"/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3" xfId="0" applyNumberFormat="1" applyBorder="1"/>
    <xf numFmtId="0" fontId="7" fillId="5" borderId="3" xfId="0" applyFont="1" applyFill="1" applyBorder="1"/>
    <xf numFmtId="0" fontId="7" fillId="5" borderId="3" xfId="0" applyFont="1" applyFill="1" applyBorder="1" applyAlignment="1">
      <alignment horizontal="left"/>
    </xf>
    <xf numFmtId="0" fontId="7" fillId="5" borderId="3" xfId="0" applyNumberFormat="1" applyFont="1" applyFill="1" applyBorder="1"/>
    <xf numFmtId="0" fontId="7" fillId="4" borderId="0" xfId="0" applyFont="1" applyFill="1" applyBorder="1" applyAlignment="1">
      <alignment horizontal="left"/>
    </xf>
    <xf numFmtId="0" fontId="7" fillId="4" borderId="0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4">
    <dxf>
      <font>
        <b/>
        <strike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131402</xdr:colOff>
      <xdr:row>47</xdr:row>
      <xdr:rowOff>124003</xdr:rowOff>
    </xdr:from>
    <xdr:to>
      <xdr:col>12</xdr:col>
      <xdr:colOff>558800</xdr:colOff>
      <xdr:row>79</xdr:row>
      <xdr:rowOff>1713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638763-1F8C-416D-A58E-75E8B8AED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02" y="9331503"/>
          <a:ext cx="10257198" cy="576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95250</xdr:rowOff>
    </xdr:from>
    <xdr:to>
      <xdr:col>14</xdr:col>
      <xdr:colOff>48089</xdr:colOff>
      <xdr:row>47</xdr:row>
      <xdr:rowOff>160693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146531-B794-4624-8728-5C1E7B063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11058989" cy="596459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11002662037" createdVersion="6" refreshedVersion="6" minRefreshableVersion="3" recordCount="13" xr:uid="{DE328195-04C0-41DD-ADC1-66C79037A4FF}">
  <cacheSource type="worksheet">
    <worksheetSource ref="B1:M14" sheet="DIST. AMARELA"/>
  </cacheSource>
  <cacheFields count="12">
    <cacheField name="MATRICULA" numFmtId="0">
      <sharedItems containsSemiMixedTypes="0" containsString="0" containsNumber="1" containsInteger="1" minValue="10910" maxValue="11531"/>
    </cacheField>
    <cacheField name="ID WEON " numFmtId="0">
      <sharedItems containsSemiMixedTypes="0" containsString="0" containsNumber="1" containsInteger="1" minValue="10910" maxValue="11531"/>
    </cacheField>
    <cacheField name="ID HUAWEI" numFmtId="0">
      <sharedItems containsSemiMixedTypes="0" containsString="0" containsNumber="1" containsInteger="1" minValue="218" maxValue="3051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  <cacheField name="CHAVE" numFmtId="0">
      <sharedItems containsNonDate="0" containsString="0" containsBlank="1"/>
    </cacheField>
    <cacheField name="OPERACIONAL" numFmtId="0">
      <sharedItems containsBlank="1"/>
    </cacheField>
    <cacheField name="OPERACIONAL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910"/>
    <n v="10910"/>
    <n v="2407"/>
    <s v="JACKELINE MUNIZ DA SILVA "/>
    <x v="0"/>
    <s v="DISTRIBUIÇÃO"/>
    <s v="Thayssa de Almeida"/>
    <s v="DISTRIBUIÇÃO"/>
    <m/>
    <m/>
    <m/>
    <m/>
  </r>
  <r>
    <n v="10914"/>
    <n v="10914"/>
    <n v="2393"/>
    <s v="NATHALYE CHRYSTINE BARBOSA DA COSTA"/>
    <x v="0"/>
    <s v="DISTRIBUIÇÃO"/>
    <s v="Thayssa de Almeida"/>
    <s v="DISTRIBUIÇÃO"/>
    <m/>
    <m/>
    <m/>
    <m/>
  </r>
  <r>
    <n v="11228"/>
    <n v="11227"/>
    <n v="218"/>
    <s v="ORLANYS ANDREINA MARCANO ARREAZA"/>
    <x v="1"/>
    <s v="DISTRIBUIÇÃO"/>
    <s v="Thayssa de Almeida"/>
    <s v="DISTRIBUIÇÃO"/>
    <s v="FÉRIAS"/>
    <m/>
    <s v="FÉRIAS"/>
    <s v="FÉRIAS"/>
  </r>
  <r>
    <n v="11159"/>
    <n v="11159"/>
    <n v="2380"/>
    <s v="TALIA MARIA DE SOUZA"/>
    <x v="0"/>
    <s v="DISTRIBUIÇÃO"/>
    <s v="Thayssa de Almeida"/>
    <s v="DISTRIBUIÇÃO"/>
    <m/>
    <m/>
    <m/>
    <m/>
  </r>
  <r>
    <n v="11410"/>
    <n v="11410"/>
    <n v="2396"/>
    <s v="MARIA VITÓRIA OLIVEIRA SILVA"/>
    <x v="0"/>
    <s v="DISTRIBUIÇÃO"/>
    <s v="Thayssa de Almeida"/>
    <s v="DISTRIBUIÇÃO"/>
    <m/>
    <m/>
    <m/>
    <m/>
  </r>
  <r>
    <n v="10984"/>
    <n v="10984"/>
    <n v="3047"/>
    <s v="MATHEUS EDUARDO DA SILVA"/>
    <x v="0"/>
    <s v="DISTRIBUIÇÃO"/>
    <s v="Thayssa de Almeida"/>
    <s v="DISTRIBUIÇÃO"/>
    <m/>
    <m/>
    <m/>
    <m/>
  </r>
  <r>
    <n v="11438"/>
    <n v="11438"/>
    <n v="3050"/>
    <s v="FLAVYA FERNANDES DE OLIVEIRA"/>
    <x v="0"/>
    <s v="DISTRIBUIÇÃO"/>
    <s v="Thayssa de Almeida"/>
    <s v="DISTRIBUIÇÃO"/>
    <m/>
    <m/>
    <m/>
    <m/>
  </r>
  <r>
    <n v="11203"/>
    <n v="11203"/>
    <n v="2413"/>
    <s v="GLEDSON GONÇALVES DOS SANTOS"/>
    <x v="1"/>
    <s v="DISTRIBUIÇÃO"/>
    <s v="Thayssa de Almeida"/>
    <s v="DISTRIBUIÇÃO"/>
    <s v="FÉRIAS"/>
    <m/>
    <s v="FÉRIAS"/>
    <s v="FÉRIAS"/>
  </r>
  <r>
    <n v="11448"/>
    <n v="11448"/>
    <n v="3051"/>
    <s v="GABRIEL CARVALHO STRAUSS"/>
    <x v="0"/>
    <s v="DISTRIBUIÇÃO"/>
    <s v="Thayssa de Almeida"/>
    <s v="DISTRIBUIÇÃO"/>
    <m/>
    <m/>
    <m/>
    <m/>
  </r>
  <r>
    <n v="11520"/>
    <n v="11520"/>
    <n v="661"/>
    <s v="JENIFFER JULIANA DA ROCHA MARCOLAN"/>
    <x v="0"/>
    <s v="DISTRIBUIÇÃO"/>
    <s v="Thayssa de Almeida"/>
    <s v="DISTRIBUIÇÃO"/>
    <m/>
    <m/>
    <m/>
    <m/>
  </r>
  <r>
    <n v="11524"/>
    <n v="11524"/>
    <n v="675"/>
    <s v="EBENEZER ANDRE GUERRES TELES"/>
    <x v="0"/>
    <s v="DISTRIBUIÇÃO"/>
    <s v="Thayssa de Almeida"/>
    <s v="DISTRIBUIÇÃO"/>
    <m/>
    <m/>
    <m/>
    <m/>
  </r>
  <r>
    <n v="11531"/>
    <n v="11531"/>
    <n v="669"/>
    <s v="GABRIELA RODRIGUES TAVARES"/>
    <x v="0"/>
    <s v="DISTRIBUIÇÃO"/>
    <s v="Thayssa de Almeida"/>
    <s v="DISTRIBUIÇÃO"/>
    <m/>
    <m/>
    <m/>
    <m/>
  </r>
  <r>
    <n v="11525"/>
    <n v="11525"/>
    <n v="667"/>
    <s v="PAULA FERNANDA APARECIDA DE OLIVEIRA LOPES"/>
    <x v="0"/>
    <s v="DISTRIBUIÇÃO"/>
    <s v="Thayssa de Almeida"/>
    <s v="DISTRIBUIÇÃO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63C5A-93AA-411B-8BA3-18D5B37FCFED}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0" baseItem="0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4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BD0860-B228-48E2-AE6F-BEDE3C44A426}" name="Tabela245" displayName="Tabela245" ref="B1:M14" totalsRowShown="0" headerRowDxfId="13" dataDxfId="12">
  <sortState ref="B2:K9">
    <sortCondition ref="B1:B9"/>
  </sortState>
  <tableColumns count="12">
    <tableColumn id="1" xr3:uid="{F3743550-6ACD-4E46-8CFE-7ECCE6CF5B89}" name="MATRICULA" dataDxfId="11"/>
    <tableColumn id="9" xr3:uid="{70DF857E-B64F-4B03-AC2F-89D2F7461AF1}" name="ID WEON " dataDxfId="10"/>
    <tableColumn id="12" xr3:uid="{96BE4EE2-C847-4271-A7D6-A095C7429996}" name="ID HUAWEI" dataDxfId="9"/>
    <tableColumn id="2" xr3:uid="{769306F3-713C-4FC1-AE08-1E848880B44D}" name="NOME" dataDxfId="8"/>
    <tableColumn id="3" xr3:uid="{02394B68-7F52-405C-B36D-1A2310C0A132}" name="STATUS" dataDxfId="7">
      <calculatedColumnFormula>IF(Tabela245[[#This Row],[OBS]]="","ATIVO","INATIVO")</calculatedColumnFormula>
    </tableColumn>
    <tableColumn id="4" xr3:uid="{CCED4FED-179B-4149-8F1B-FA709DB96E24}" name="TURNO / OPERAÇÃO" dataDxfId="6"/>
    <tableColumn id="5" xr3:uid="{8BEA4D68-B6FD-4F34-9F18-B437C38738A0}" name="SUPERVISOR" dataDxfId="5"/>
    <tableColumn id="6" xr3:uid="{F15975F1-FC30-49A2-AA4A-E4F63C4D1567}" name="SETOR" dataDxfId="4"/>
    <tableColumn id="7" xr3:uid="{799D6EA3-D8CC-48DD-8FBB-03196424ECE2}" name="OBS" dataDxfId="3"/>
    <tableColumn id="8" xr3:uid="{72EAEC3B-F0B8-41EF-BD0D-CCDFBCCE4595}" name="CHAVE" dataDxfId="2"/>
    <tableColumn id="10" xr3:uid="{D663BE52-AD43-4989-8764-201CAAC23F57}" name="OPERACIONAL" dataDxfId="1"/>
    <tableColumn id="11" xr3:uid="{FF56BDF0-1935-47D0-AE56-DCC64AEA6236}" name="OPERACIONAL 2" data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C23E-7965-4D8F-B388-AE283CA6D88E}">
  <dimension ref="A1:P15"/>
  <sheetViews>
    <sheetView showGridLines="0" tabSelected="1" topLeftCell="B1" zoomScaleNormal="100" workbookViewId="0">
      <selection activeCell="R13" sqref="R13"/>
    </sheetView>
  </sheetViews>
  <sheetFormatPr defaultRowHeight="14.5" x14ac:dyDescent="0.35"/>
  <cols>
    <col min="1" max="1" width="19.26953125" hidden="1" customWidth="1"/>
    <col min="2" max="2" width="12.08984375" style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8" bestFit="1" customWidth="1"/>
    <col min="11" max="11" width="8.36328125" hidden="1" customWidth="1"/>
    <col min="12" max="12" width="11.81640625" bestFit="1" customWidth="1"/>
    <col min="13" max="13" width="13.26953125" style="21" bestFit="1" customWidth="1"/>
    <col min="14" max="14" width="3.81640625" customWidth="1"/>
    <col min="15" max="15" width="10" bestFit="1" customWidth="1"/>
    <col min="16" max="16" width="4.45312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8" t="s">
        <v>7</v>
      </c>
      <c r="K1" s="1" t="s">
        <v>8</v>
      </c>
      <c r="L1" s="5" t="s">
        <v>12</v>
      </c>
      <c r="M1" s="19" t="s">
        <v>14</v>
      </c>
      <c r="O1" s="14" t="s">
        <v>3</v>
      </c>
      <c r="P1" s="14" t="s">
        <v>9</v>
      </c>
    </row>
    <row r="2" spans="2:16" x14ac:dyDescent="0.35">
      <c r="B2" s="2">
        <v>10910</v>
      </c>
      <c r="C2" s="2">
        <v>10910</v>
      </c>
      <c r="D2" s="2">
        <v>2407</v>
      </c>
      <c r="E2" s="3" t="s">
        <v>15</v>
      </c>
      <c r="F2" s="12" t="str">
        <f>IF(Tabela245[[#This Row],[OBS]]="","ATIVO","INATIVO")</f>
        <v>ATIVO</v>
      </c>
      <c r="G2" s="4" t="s">
        <v>13</v>
      </c>
      <c r="H2" s="4" t="s">
        <v>26</v>
      </c>
      <c r="I2" s="4" t="s">
        <v>13</v>
      </c>
      <c r="J2" s="9"/>
      <c r="K2" s="11"/>
      <c r="L2" s="22" t="s">
        <v>32</v>
      </c>
      <c r="M2" s="20" t="s">
        <v>32</v>
      </c>
      <c r="O2" s="6" t="s">
        <v>10</v>
      </c>
      <c r="P2" s="13">
        <v>11</v>
      </c>
    </row>
    <row r="3" spans="2:16" x14ac:dyDescent="0.35">
      <c r="B3" s="2">
        <v>10914</v>
      </c>
      <c r="C3" s="2">
        <v>10914</v>
      </c>
      <c r="D3" s="2">
        <v>2393</v>
      </c>
      <c r="E3" s="3" t="s">
        <v>16</v>
      </c>
      <c r="F3" s="12" t="str">
        <f>IF(Tabela245[[#This Row],[OBS]]="","ATIVO","INATIVO")</f>
        <v>ATIVO</v>
      </c>
      <c r="G3" s="4" t="s">
        <v>13</v>
      </c>
      <c r="H3" s="4" t="s">
        <v>26</v>
      </c>
      <c r="I3" s="4" t="s">
        <v>13</v>
      </c>
      <c r="J3" s="9"/>
      <c r="K3" s="11"/>
      <c r="L3" s="22" t="s">
        <v>33</v>
      </c>
      <c r="M3" s="20" t="s">
        <v>33</v>
      </c>
      <c r="O3" s="6" t="s">
        <v>25</v>
      </c>
      <c r="P3" s="13">
        <v>2</v>
      </c>
    </row>
    <row r="4" spans="2:16" x14ac:dyDescent="0.35">
      <c r="B4" s="2">
        <v>11228</v>
      </c>
      <c r="C4" s="2">
        <v>11227</v>
      </c>
      <c r="D4" s="2">
        <v>218</v>
      </c>
      <c r="E4" s="3" t="s">
        <v>17</v>
      </c>
      <c r="F4" s="12" t="str">
        <f>IF(Tabela245[[#This Row],[OBS]]="","ATIVO","INATIVO")</f>
        <v>INATIVO</v>
      </c>
      <c r="G4" s="4" t="s">
        <v>13</v>
      </c>
      <c r="H4" s="4" t="s">
        <v>26</v>
      </c>
      <c r="I4" s="4" t="s">
        <v>13</v>
      </c>
      <c r="J4" s="9" t="s">
        <v>24</v>
      </c>
      <c r="K4" s="11"/>
      <c r="L4" s="22" t="s">
        <v>24</v>
      </c>
      <c r="M4" s="20" t="s">
        <v>24</v>
      </c>
      <c r="O4" s="15" t="s">
        <v>11</v>
      </c>
      <c r="P4" s="16">
        <v>13</v>
      </c>
    </row>
    <row r="5" spans="2:16" x14ac:dyDescent="0.35">
      <c r="B5" s="2">
        <v>11159</v>
      </c>
      <c r="C5" s="2">
        <v>11159</v>
      </c>
      <c r="D5" s="2">
        <v>2380</v>
      </c>
      <c r="E5" s="3" t="s">
        <v>18</v>
      </c>
      <c r="F5" s="12" t="str">
        <f>IF(Tabela245[[#This Row],[OBS]]="","ATIVO","INATIVO")</f>
        <v>ATIVO</v>
      </c>
      <c r="G5" s="4" t="s">
        <v>13</v>
      </c>
      <c r="H5" s="4" t="s">
        <v>26</v>
      </c>
      <c r="I5" s="4" t="s">
        <v>13</v>
      </c>
      <c r="J5" s="9"/>
      <c r="K5" s="11"/>
      <c r="L5" s="22" t="s">
        <v>32</v>
      </c>
      <c r="M5" s="20" t="s">
        <v>32</v>
      </c>
      <c r="O5" s="17"/>
      <c r="P5" s="18"/>
    </row>
    <row r="6" spans="2:16" x14ac:dyDescent="0.35">
      <c r="B6" s="2">
        <v>11410</v>
      </c>
      <c r="C6" s="2">
        <v>11410</v>
      </c>
      <c r="D6" s="2">
        <v>2396</v>
      </c>
      <c r="E6" s="3" t="s">
        <v>19</v>
      </c>
      <c r="F6" s="12" t="str">
        <f>IF(Tabela245[[#This Row],[OBS]]="","ATIVO","INATIVO")</f>
        <v>ATIVO</v>
      </c>
      <c r="G6" s="4" t="s">
        <v>13</v>
      </c>
      <c r="H6" s="4" t="s">
        <v>26</v>
      </c>
      <c r="I6" s="4" t="s">
        <v>13</v>
      </c>
      <c r="J6" s="9"/>
      <c r="K6" s="11"/>
      <c r="L6" s="22" t="s">
        <v>33</v>
      </c>
      <c r="M6" s="20" t="s">
        <v>33</v>
      </c>
      <c r="O6" s="17"/>
      <c r="P6" s="18"/>
    </row>
    <row r="7" spans="2:16" x14ac:dyDescent="0.35">
      <c r="B7" s="2">
        <v>10984</v>
      </c>
      <c r="C7" s="2">
        <v>10984</v>
      </c>
      <c r="D7" s="2">
        <v>3047</v>
      </c>
      <c r="E7" s="3" t="s">
        <v>20</v>
      </c>
      <c r="F7" s="12" t="str">
        <f>IF(Tabela245[[#This Row],[OBS]]="","ATIVO","INATIVO")</f>
        <v>ATIVO</v>
      </c>
      <c r="G7" s="4" t="s">
        <v>13</v>
      </c>
      <c r="H7" s="4" t="s">
        <v>26</v>
      </c>
      <c r="I7" s="4" t="s">
        <v>13</v>
      </c>
      <c r="J7" s="9"/>
      <c r="K7" s="11"/>
      <c r="L7" s="22" t="s">
        <v>32</v>
      </c>
      <c r="M7" s="20" t="s">
        <v>32</v>
      </c>
      <c r="O7" s="17"/>
      <c r="P7" s="18"/>
    </row>
    <row r="8" spans="2:16" x14ac:dyDescent="0.35">
      <c r="B8" s="2">
        <v>11438</v>
      </c>
      <c r="C8" s="2">
        <v>11438</v>
      </c>
      <c r="D8" s="2">
        <v>3050</v>
      </c>
      <c r="E8" s="3" t="s">
        <v>21</v>
      </c>
      <c r="F8" s="12" t="str">
        <f>IF(Tabela245[[#This Row],[OBS]]="","ATIVO","INATIVO")</f>
        <v>ATIVO</v>
      </c>
      <c r="G8" s="4" t="s">
        <v>13</v>
      </c>
      <c r="H8" s="4" t="s">
        <v>26</v>
      </c>
      <c r="I8" s="4" t="s">
        <v>13</v>
      </c>
      <c r="J8" s="9"/>
      <c r="K8" s="11"/>
      <c r="L8" s="22" t="s">
        <v>32</v>
      </c>
      <c r="M8" s="20" t="s">
        <v>32</v>
      </c>
      <c r="O8" s="17"/>
      <c r="P8" s="18"/>
    </row>
    <row r="9" spans="2:16" x14ac:dyDescent="0.35">
      <c r="B9" s="2">
        <v>11203</v>
      </c>
      <c r="C9" s="2">
        <v>11203</v>
      </c>
      <c r="D9" s="2">
        <v>2413</v>
      </c>
      <c r="E9" s="3" t="s">
        <v>28</v>
      </c>
      <c r="F9" s="12" t="str">
        <f>IF(Tabela245[[#This Row],[OBS]]="","ATIVO","INATIVO")</f>
        <v>INATIVO</v>
      </c>
      <c r="G9" s="4" t="s">
        <v>13</v>
      </c>
      <c r="H9" s="4" t="s">
        <v>26</v>
      </c>
      <c r="I9" s="4" t="s">
        <v>13</v>
      </c>
      <c r="J9" s="9" t="s">
        <v>24</v>
      </c>
      <c r="K9" s="11"/>
      <c r="L9" s="22" t="s">
        <v>24</v>
      </c>
      <c r="M9" s="20" t="s">
        <v>24</v>
      </c>
    </row>
    <row r="10" spans="2:16" x14ac:dyDescent="0.35">
      <c r="B10" s="2">
        <v>11448</v>
      </c>
      <c r="C10" s="2">
        <v>11448</v>
      </c>
      <c r="D10" s="2">
        <v>3051</v>
      </c>
      <c r="E10" s="3" t="s">
        <v>22</v>
      </c>
      <c r="F10" s="12" t="str">
        <f>IF(Tabela245[[#This Row],[OBS]]="","ATIVO","INATIVO")</f>
        <v>ATIVO</v>
      </c>
      <c r="G10" s="4" t="s">
        <v>13</v>
      </c>
      <c r="H10" s="4" t="s">
        <v>26</v>
      </c>
      <c r="I10" s="4" t="s">
        <v>13</v>
      </c>
      <c r="J10" s="9"/>
      <c r="K10" s="11"/>
      <c r="L10" s="22" t="s">
        <v>32</v>
      </c>
      <c r="M10" s="20" t="s">
        <v>32</v>
      </c>
    </row>
    <row r="11" spans="2:16" x14ac:dyDescent="0.35">
      <c r="B11" s="2">
        <v>11520</v>
      </c>
      <c r="C11" s="2">
        <v>11520</v>
      </c>
      <c r="D11" s="2">
        <v>661</v>
      </c>
      <c r="E11" s="23" t="s">
        <v>23</v>
      </c>
      <c r="F11" s="12" t="str">
        <f>IF(Tabela245[[#This Row],[OBS]]="","ATIVO","INATIVO")</f>
        <v>ATIVO</v>
      </c>
      <c r="G11" s="4" t="s">
        <v>13</v>
      </c>
      <c r="H11" s="4" t="s">
        <v>26</v>
      </c>
      <c r="I11" s="4" t="s">
        <v>13</v>
      </c>
      <c r="J11" s="24"/>
      <c r="K11" s="25"/>
      <c r="L11" s="22" t="s">
        <v>33</v>
      </c>
      <c r="M11" s="20" t="s">
        <v>33</v>
      </c>
    </row>
    <row r="12" spans="2:16" x14ac:dyDescent="0.35">
      <c r="B12" s="2">
        <v>11524</v>
      </c>
      <c r="C12" s="2">
        <v>11524</v>
      </c>
      <c r="D12" s="2">
        <v>675</v>
      </c>
      <c r="E12" s="23" t="s">
        <v>29</v>
      </c>
      <c r="F12" s="12" t="str">
        <f>IF(Tabela245[[#This Row],[OBS]]="","ATIVO","INATIVO")</f>
        <v>ATIVO</v>
      </c>
      <c r="G12" s="4" t="s">
        <v>13</v>
      </c>
      <c r="H12" s="4" t="s">
        <v>26</v>
      </c>
      <c r="I12" s="4" t="s">
        <v>13</v>
      </c>
      <c r="J12" s="24"/>
      <c r="K12" s="25"/>
      <c r="L12" s="22" t="s">
        <v>33</v>
      </c>
      <c r="M12" s="20" t="s">
        <v>33</v>
      </c>
    </row>
    <row r="13" spans="2:16" x14ac:dyDescent="0.35">
      <c r="B13" s="2">
        <v>11531</v>
      </c>
      <c r="C13" s="2">
        <v>11531</v>
      </c>
      <c r="D13" s="2">
        <v>669</v>
      </c>
      <c r="E13" s="3" t="s">
        <v>30</v>
      </c>
      <c r="F13" s="12" t="str">
        <f>IF(Tabela245[[#This Row],[OBS]]="","ATIVO","INATIVO")</f>
        <v>ATIVO</v>
      </c>
      <c r="G13" s="4" t="s">
        <v>13</v>
      </c>
      <c r="H13" s="4" t="s">
        <v>26</v>
      </c>
      <c r="I13" s="4" t="s">
        <v>13</v>
      </c>
      <c r="J13" s="9"/>
      <c r="K13" s="11"/>
      <c r="L13" s="22" t="s">
        <v>33</v>
      </c>
      <c r="M13" s="20" t="s">
        <v>33</v>
      </c>
    </row>
    <row r="14" spans="2:16" x14ac:dyDescent="0.35">
      <c r="B14" s="2">
        <v>11525</v>
      </c>
      <c r="C14" s="2">
        <v>11525</v>
      </c>
      <c r="D14" s="2">
        <v>667</v>
      </c>
      <c r="E14" s="3" t="s">
        <v>31</v>
      </c>
      <c r="F14" s="12" t="str">
        <f>IF(Tabela245[[#This Row],[OBS]]="","ATIVO","INATIVO")</f>
        <v>ATIVO</v>
      </c>
      <c r="G14" s="4" t="s">
        <v>13</v>
      </c>
      <c r="H14" s="4" t="s">
        <v>26</v>
      </c>
      <c r="I14" s="4" t="s">
        <v>13</v>
      </c>
      <c r="J14" s="24"/>
      <c r="K14" s="25"/>
      <c r="L14" s="22" t="s">
        <v>33</v>
      </c>
      <c r="M14" s="20" t="s">
        <v>33</v>
      </c>
    </row>
    <row r="15" spans="2:16" x14ac:dyDescent="0.35">
      <c r="J15" s="10"/>
      <c r="L15" s="7">
        <f>COUNTIF(Tabela245[OPERACIONAL],"X")</f>
        <v>5</v>
      </c>
      <c r="M15" s="7">
        <f>COUNTIF(M2:M14,"X")</f>
        <v>5</v>
      </c>
    </row>
  </sheetData>
  <conditionalFormatting sqref="F1:F1048576">
    <cfRule type="containsText" dxfId="33" priority="7" stopIfTrue="1" operator="containsText" text="INATIVO">
      <formula>NOT(ISERROR(SEARCH("INATIVO",F1)))</formula>
    </cfRule>
    <cfRule type="containsText" dxfId="32" priority="8" stopIfTrue="1" operator="containsText" text="ATIVO">
      <formula>NOT(ISERROR(SEARCH("ATIVO",F1)))</formula>
    </cfRule>
  </conditionalFormatting>
  <conditionalFormatting sqref="L2:M8 L10:M14">
    <cfRule type="containsText" dxfId="31" priority="5" operator="containsText" text="X">
      <formula>NOT(ISERROR(SEARCH("X",L2)))</formula>
    </cfRule>
    <cfRule type="containsText" dxfId="30" priority="6" operator="containsText" text="OK">
      <formula>NOT(ISERROR(SEARCH("OK",L2)))</formula>
    </cfRule>
  </conditionalFormatting>
  <conditionalFormatting sqref="L9:M9">
    <cfRule type="containsText" dxfId="29" priority="1" operator="containsText" text="X">
      <formula>NOT(ISERROR(SEARCH("X",L9)))</formula>
    </cfRule>
    <cfRule type="containsText" dxfId="28" priority="2" operator="containsText" text="OK">
      <formula>NOT(ISERROR(SEARCH("OK",L9)))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4241aaa1-f251-4fb6-8c96-74d7389cb15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03D0BA-219B-4B8F-8D78-A3BFA24B0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DIST. AMARELA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2026-03-03T12:00:04Z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