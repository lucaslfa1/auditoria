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2" documentId="113_{720AB3E9-138A-451C-AF7E-A85EFE403491}" xr6:coauthVersionLast="36" xr6:coauthVersionMax="36" xr10:uidLastSave="{53FEF953-D156-46B4-B0DF-A4B7F221528F}"/>
  <bookViews>
    <workbookView xWindow="0" yWindow="0" windowWidth="19200" windowHeight="6350" firstSheet="2" activeTab="2" xr2:uid="{00000000-000D-0000-FFFF-FFFF00000000}"/>
  </bookViews>
  <sheets>
    <sheet name="Planilha1" sheetId="3" state="hidden" r:id="rId1"/>
    <sheet name="Planilha2" sheetId="4" state="hidden" r:id="rId2"/>
    <sheet name="CINZA" sheetId="5" r:id="rId3"/>
  </sheets>
  <definedNames>
    <definedName name="_xlnm._FilterDatabase" localSheetId="2" hidden="1">CINZA!$M$1:$M$1</definedName>
  </definedName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5" l="1"/>
  <c r="F6" i="5" l="1"/>
  <c r="F2" i="5"/>
  <c r="F3" i="5"/>
  <c r="F4" i="5"/>
  <c r="F5" i="5"/>
  <c r="F7" i="5"/>
  <c r="L9" i="5" l="1"/>
  <c r="M9" i="5"/>
</calcChain>
</file>

<file path=xl/sharedStrings.xml><?xml version="1.0" encoding="utf-8"?>
<sst xmlns="http://schemas.openxmlformats.org/spreadsheetml/2006/main" count="198" uniqueCount="50">
  <si>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</si>
  <si>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</si>
  <si>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</si>
  <si>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</si>
  <si>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</si>
  <si>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</si>
  <si>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</si>
  <si>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</si>
  <si>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</si>
  <si>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</si>
  <si>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BBM</t>
  </si>
  <si>
    <t>Gustavo Montanari</t>
  </si>
  <si>
    <t>TRANSFERÊNCIA</t>
  </si>
  <si>
    <t>ATIVO</t>
  </si>
  <si>
    <t>Total Geral</t>
  </si>
  <si>
    <t>ERIC VINICIUS DO NASCIMENTO</t>
  </si>
  <si>
    <t>MATHEUS EDUARDO DA SILVA</t>
  </si>
  <si>
    <t>CAUE MACHADO PERES</t>
  </si>
  <si>
    <t>ANY EVELYN MENDES DE MELO</t>
  </si>
  <si>
    <t>STEFANE MOURA SANTOS</t>
  </si>
  <si>
    <t>NATALI NEIVA DA SILVA</t>
  </si>
  <si>
    <t>PEDRO XAVIER BRITO</t>
  </si>
  <si>
    <t>JACIR MELO DOS SANTOS JUNIOR</t>
  </si>
  <si>
    <t>Ruan Richeli da Silva</t>
  </si>
  <si>
    <t>JEAN CARLOS CONSTANTINO MIRANDA</t>
  </si>
  <si>
    <t>11178-ERIC VINICIUS DO NASCIMENTO</t>
  </si>
  <si>
    <t>10984-MATHEUS EDUARDO DA SILVA</t>
  </si>
  <si>
    <t>11233-Ruan Richeli da Silva</t>
  </si>
  <si>
    <t>11184-CAUE MACHADO PERES</t>
  </si>
  <si>
    <t>11200-ANY EVELYN MENDES DE MELO</t>
  </si>
  <si>
    <t>11050-STEFANE MOURA SANTOS</t>
  </si>
  <si>
    <t>11185-NATALI NEIVA DA SILVA</t>
  </si>
  <si>
    <t>11237-JEAN CARLOS CONSTANTINO MIRANDA</t>
  </si>
  <si>
    <t>11082-PEDRO XAVIER BRITO</t>
  </si>
  <si>
    <t>11177-JACIR MELO DOS SANTOS JUNIOR</t>
  </si>
  <si>
    <t>OPERACIONAL</t>
  </si>
  <si>
    <t>DISTRIBUIÇÃO</t>
  </si>
  <si>
    <t>Douglas de Aguiar</t>
  </si>
  <si>
    <t>CAMILA LAMIN</t>
  </si>
  <si>
    <t>EVERTON PINTO DA SILVA</t>
  </si>
  <si>
    <t>SCARLET MEROLI FERREIRA DE OLIVEIRA</t>
  </si>
  <si>
    <t>BRUNO DA SILVA</t>
  </si>
  <si>
    <t>CÉLULA</t>
  </si>
  <si>
    <t>RECEPTIVO</t>
  </si>
  <si>
    <t>FELIPE BRYAN MATOSA RODRIGUES</t>
  </si>
  <si>
    <t>LUCIANY CRISTINA LIMA FURTADO DE SOUZA</t>
  </si>
  <si>
    <t>ID HUAWEI</t>
  </si>
  <si>
    <t>NÃO AUDITAR</t>
  </si>
  <si>
    <t>INATIVO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</si>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</sst>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1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3" xfId="0" applyNumberFormat="1" applyBorder="1"/>
    <xf numFmtId="0" fontId="9" fillId="5" borderId="3" xfId="0" applyFont="1" applyFill="1" applyBorder="1"/>
    <xf numFmtId="0" fontId="9" fillId="5" borderId="3" xfId="0" applyFont="1" applyFill="1" applyBorder="1" applyAlignment="1">
      <alignment horizontal="left"/>
    </xf>
    <xf numFmtId="0" fontId="9" fillId="5" borderId="3" xfId="0" applyNumberFormat="1" applyFont="1" applyFill="1" applyBorder="1"/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107950</xdr:rowOff>
    </xdr:from>
    <xdr:to>
      <xdr:col>13</xdr:col>
      <xdr:colOff>394712</xdr:colOff>
      <xdr:row>41</xdr:row>
      <xdr:rowOff>100367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62CC00-A304-4C89-9359-6EA9AA110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9450"/>
          <a:ext cx="10878562" cy="5885217"/>
        </a:xfrm>
        <a:prstGeom prst="rect">
          <a:avLst/>
        </a:prstGeom>
      </xdr:spPr>
    </xdr:pic>
    <xdr:clientData/>
  </xdr:twoCellAnchor>
  <xdr:twoCellAnchor editAs="oneCell">
    <xdr:from>
      <xdr:col>1</xdr:col>
      <xdr:colOff>26075</xdr:colOff>
      <xdr:row>42</xdr:row>
      <xdr:rowOff>63499</xdr:rowOff>
    </xdr:from>
    <xdr:to>
      <xdr:col>13</xdr:col>
      <xdr:colOff>518421</xdr:colOff>
      <xdr:row>74</xdr:row>
      <xdr:rowOff>100368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F1CB049-2827-4E76-857D-9339601A0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75" y="7981949"/>
          <a:ext cx="10976196" cy="59296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56061226848" createdVersion="6" refreshedVersion="6" minRefreshableVersion="3" recordCount="7" xr:uid="{701360CE-3D40-4A44-AD05-2B0882A17597}">
  <cacheSource type="worksheet">
    <worksheetSource name="Tabela25"/>
  </cacheSource>
  <cacheFields count="11">
    <cacheField name="MATRICULA" numFmtId="0">
      <sharedItems containsSemiMixedTypes="0" containsString="0" containsNumber="1" containsInteger="1" minValue="1308" maxValue="11459"/>
    </cacheField>
    <cacheField name="ID WEON " numFmtId="0">
      <sharedItems containsSemiMixedTypes="0" containsString="0" containsNumber="1" containsInteger="1" minValue="1308" maxValue="112080"/>
    </cacheField>
    <cacheField name="ID HUAWEI" numFmtId="0">
      <sharedItems containsSemiMixedTypes="0" containsString="0" containsNumber="1" containsInteger="1" minValue="485" maxValue="3054"/>
    </cacheField>
    <cacheField name="NOME" numFmtId="0">
      <sharedItems/>
    </cacheField>
    <cacheField name="STATUS" numFmtId="0">
      <sharedItems count="2">
        <s v="INATIVO"/>
        <s v="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  <cacheField name="CHAVE" numFmtId="0">
      <sharedItems containsNonDate="0" containsString="0" containsBlank="1"/>
    </cacheField>
    <cacheField name="OPERACIO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308"/>
    <n v="1308"/>
    <n v="3037"/>
    <s v="BRUNO DA SILVA"/>
    <x v="0"/>
    <s v="DISTRIBUIÇÃO"/>
    <s v="Douglas de Aguiar"/>
    <s v="DISTRIBUIÇÃO"/>
    <s v="NÃO AUDITAR"/>
    <m/>
    <s v="NÃO AUDITAR"/>
  </r>
  <r>
    <n v="11208"/>
    <n v="112080"/>
    <n v="2420"/>
    <s v="CAMILA LAMIN"/>
    <x v="1"/>
    <s v="DISTRIBUIÇÃO"/>
    <s v="Douglas de Aguiar"/>
    <s v="DISTRIBUIÇÃO"/>
    <m/>
    <m/>
    <m/>
  </r>
  <r>
    <n v="11403"/>
    <n v="11403"/>
    <n v="2415"/>
    <s v="EVERTON PINTO DA SILVA"/>
    <x v="1"/>
    <s v="DISTRIBUIÇÃO"/>
    <s v="Douglas de Aguiar"/>
    <s v="DISTRIBUIÇÃO"/>
    <m/>
    <m/>
    <m/>
  </r>
  <r>
    <n v="11459"/>
    <n v="11459"/>
    <n v="647"/>
    <s v="LUCIANY CRISTINA LIMA FURTADO DE SOUZA"/>
    <x v="1"/>
    <s v="DISTRIBUIÇÃO"/>
    <s v="Douglas de Aguiar"/>
    <s v="DISTRIBUIÇÃO"/>
    <m/>
    <m/>
    <m/>
  </r>
  <r>
    <n v="11226"/>
    <n v="11226"/>
    <n v="2383"/>
    <s v="SCARLET MEROLI FERREIRA DE OLIVEIRA"/>
    <x v="1"/>
    <s v="DISTRIBUIÇÃO"/>
    <s v="Douglas de Aguiar"/>
    <s v="DISTRIBUIÇÃO"/>
    <m/>
    <m/>
    <m/>
  </r>
  <r>
    <n v="11050"/>
    <n v="11050"/>
    <n v="3054"/>
    <s v="STEFANE MOURA SANTOS"/>
    <x v="1"/>
    <s v="DISTRIBUIÇÃO"/>
    <s v="Douglas de Aguiar"/>
    <s v="DISTRIBUIÇÃO"/>
    <m/>
    <m/>
    <m/>
  </r>
  <r>
    <n v="11455"/>
    <n v="11455"/>
    <n v="485"/>
    <s v="FELIPE BRYAN MATOSA RODRIGUES"/>
    <x v="1"/>
    <s v="CÉLULA"/>
    <s v="Douglas de Aguiar"/>
    <s v="RECEPTIVO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BC362-3EC2-4839-A1D0-A9259DAE7C48}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11"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0" baseItem="0"/>
  </dataFields>
  <formats count="18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field="4" type="button" dataOnly="0" labelOnly="1" outline="0" axis="axisRow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69A17-7F41-4189-9A1B-B09B6F0F7B53}" name="Tabela1" displayName="Tabela1" ref="A1:I11" totalsRowShown="0">
  <autoFilter ref="A1:I11" xr:uid="{FF9D4E16-8AC1-4D0F-B764-A103663010B4}"/>
  <tableColumns count="9">
    <tableColumn id="1" xr3:uid="{F8DB55B3-CDD6-4AB7-9065-16724DCCE0E9}" name="MATRICULA"/>
    <tableColumn id="2" xr3:uid="{7441E27E-5F13-4C7C-97E9-298A57BC2A42}" name="ID WEON "/>
    <tableColumn id="3" xr3:uid="{A690857E-4772-499E-8D1B-9A0A6424553A}" name="NOME"/>
    <tableColumn id="4" xr3:uid="{6DDCD56D-87B1-4C88-84FF-BFEC0270893F}" name="STATUS"/>
    <tableColumn id="5" xr3:uid="{EF757D3B-CF63-4992-B142-774539DD5959}" name="TURNO / OPERAÇÃO"/>
    <tableColumn id="6" xr3:uid="{E4FB6BCF-371F-49F8-BBFC-3B22D20C5A63}" name="SUPERVISOR"/>
    <tableColumn id="7" xr3:uid="{7CB75293-6FF7-4DA9-A996-1C3EF42C6747}" name="SETOR"/>
    <tableColumn id="8" xr3:uid="{70FCD7DE-BAC7-4756-8AB5-75CE44DF1678}" name="OBS"/>
    <tableColumn id="9" xr3:uid="{C2FEADD0-7BB2-4959-AF25-93EED2A359BD}" name="CH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E1A0C-14E6-43EE-A6A9-1A6540AF65CD}" name="Tabela3" displayName="Tabela3" ref="A1:I11" totalsRowShown="0">
  <autoFilter ref="A1:I11" xr:uid="{C199FD35-5D69-41AC-89A2-BE161A9EB9F8}"/>
  <tableColumns count="9">
    <tableColumn id="1" xr3:uid="{EFCCA4D5-C3BF-43F2-9268-E5307ECB1667}" name="MATRICULA"/>
    <tableColumn id="2" xr3:uid="{44014D34-3941-4495-80AC-9BE2177E18DD}" name="ID WEON "/>
    <tableColumn id="3" xr3:uid="{F272C527-5949-4238-9321-08930B2D5ED9}" name="NOME"/>
    <tableColumn id="4" xr3:uid="{9D0DC1A0-856F-49DA-AA86-026C391CFDE3}" name="STATUS"/>
    <tableColumn id="5" xr3:uid="{55DD95CB-C399-4177-BA93-C1445AC028D5}" name="TURNO / OPERAÇÃO"/>
    <tableColumn id="6" xr3:uid="{005B22D8-F290-4C34-88E5-12446E5D113A}" name="SUPERVISOR"/>
    <tableColumn id="7" xr3:uid="{1A113E36-9EE9-4B66-98E1-2CA264015895}" name="SETOR"/>
    <tableColumn id="8" xr3:uid="{E954E7B0-66FB-4416-8089-817A9026083D}" name="OBS"/>
    <tableColumn id="9" xr3:uid="{BA47675E-33A4-42A8-BF56-78026BACBF50}" name="CHA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1AADD-53B2-43A9-9442-BBC78E455334}" name="Tabela25" displayName="Tabela25" ref="B1:L8" totalsRowShown="0" headerRowDxfId="18" dataDxfId="17">
  <sortState ref="B2:K4">
    <sortCondition ref="B1:B4"/>
  </sortState>
  <tableColumns count="11">
    <tableColumn id="1" xr3:uid="{8F775985-78F4-4981-A33D-0CFA6B16103D}" name="MATRICULA" dataDxfId="16"/>
    <tableColumn id="9" xr3:uid="{82BBD6C0-54B0-40EC-98A8-38BF6FF64D86}" name="ID WEON " dataDxfId="15"/>
    <tableColumn id="11" xr3:uid="{BBEC5698-AC25-4F0D-A73E-14A147E3C19A}" name="ID HUAWEI" dataDxfId="14"/>
    <tableColumn id="2" xr3:uid="{B0AD7113-6E27-4392-B260-C3BB95F83D94}" name="NOME" dataDxfId="13"/>
    <tableColumn id="3" xr3:uid="{77C68EF0-936D-4FF1-8C03-03B301DE1233}" name="STATUS" dataDxfId="12">
      <calculatedColumnFormula>IF(Tabela25[[#This Row],[OBS]]="","ATIVO","INATIVO")</calculatedColumnFormula>
    </tableColumn>
    <tableColumn id="4" xr3:uid="{72D1548A-1303-4447-8531-DD9D5598A85F}" name="TURNO / OPERAÇÃO" dataDxfId="11" totalsRowDxfId="10"/>
    <tableColumn id="5" xr3:uid="{8450EB49-8C05-48DE-86F5-8BC7A1BA15DC}" name="SUPERVISOR" dataDxfId="9" totalsRowDxfId="8"/>
    <tableColumn id="6" xr3:uid="{A22E05DD-E73C-405A-9056-177D320EB7DF}" name="SETOR" dataDxfId="7" totalsRowDxfId="6"/>
    <tableColumn id="7" xr3:uid="{33D24A4E-A3F2-4A01-932E-AFD52527E5F5}" name="OBS" dataDxfId="5" totalsRowDxfId="4"/>
    <tableColumn id="8" xr3:uid="{DC9F6362-C44D-419C-A021-9B823A13777C}" name="CHAVE" dataDxfId="3" totalsRowDxfId="2"/>
    <tableColumn id="10" xr3:uid="{16E922D9-2302-4487-B615-D55D61F44078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FC5C-0ABF-4CE6-8FE7-D4A930F97FC6}">
  <dimension ref="A1:I11"/>
  <sheetViews>
    <sheetView workbookViewId="0">
      <selection sqref="A1:I11"/>
    </sheetView>
  </sheetViews>
  <sheetFormatPr defaultRowHeight="14.5" x14ac:dyDescent="0.35"/>
  <cols>
    <col min="1" max="1" width="13" customWidth="1"/>
    <col min="2" max="2" width="11.08984375" customWidth="1"/>
    <col min="4" max="4" width="9.26953125" customWidth="1"/>
    <col min="5" max="5" width="20.08984375" customWidth="1"/>
    <col min="6" max="6" width="13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11178</v>
      </c>
      <c r="B2">
        <v>11178</v>
      </c>
      <c r="C2" t="s">
        <v>15</v>
      </c>
      <c r="D2" t="s">
        <v>13</v>
      </c>
      <c r="E2" t="s">
        <v>10</v>
      </c>
      <c r="F2" t="s">
        <v>11</v>
      </c>
      <c r="G2" t="s">
        <v>12</v>
      </c>
      <c r="I2" t="s">
        <v>25</v>
      </c>
    </row>
    <row r="3" spans="1:9" x14ac:dyDescent="0.35">
      <c r="A3">
        <v>10984</v>
      </c>
      <c r="B3">
        <v>10984</v>
      </c>
      <c r="C3" t="s">
        <v>16</v>
      </c>
      <c r="D3" t="s">
        <v>13</v>
      </c>
      <c r="E3" t="s">
        <v>10</v>
      </c>
      <c r="F3" t="s">
        <v>11</v>
      </c>
      <c r="G3" t="s">
        <v>12</v>
      </c>
      <c r="I3" t="s">
        <v>26</v>
      </c>
    </row>
    <row r="4" spans="1:9" x14ac:dyDescent="0.35">
      <c r="A4">
        <v>11233</v>
      </c>
      <c r="B4">
        <v>11233</v>
      </c>
      <c r="C4" t="s">
        <v>23</v>
      </c>
      <c r="D4" t="s">
        <v>13</v>
      </c>
      <c r="E4" t="s">
        <v>10</v>
      </c>
      <c r="F4" t="s">
        <v>11</v>
      </c>
      <c r="G4" t="s">
        <v>12</v>
      </c>
      <c r="I4" t="s">
        <v>27</v>
      </c>
    </row>
    <row r="5" spans="1:9" x14ac:dyDescent="0.35">
      <c r="A5">
        <v>11184</v>
      </c>
      <c r="B5">
        <v>11184</v>
      </c>
      <c r="C5" t="s">
        <v>17</v>
      </c>
      <c r="D5" t="s">
        <v>13</v>
      </c>
      <c r="E5" t="s">
        <v>10</v>
      </c>
      <c r="F5" t="s">
        <v>11</v>
      </c>
      <c r="G5" t="s">
        <v>12</v>
      </c>
      <c r="I5" t="s">
        <v>28</v>
      </c>
    </row>
    <row r="6" spans="1:9" x14ac:dyDescent="0.35">
      <c r="A6">
        <v>11200</v>
      </c>
      <c r="B6">
        <v>11200</v>
      </c>
      <c r="C6" t="s">
        <v>18</v>
      </c>
      <c r="D6" t="s">
        <v>13</v>
      </c>
      <c r="E6" t="s">
        <v>10</v>
      </c>
      <c r="F6" t="s">
        <v>11</v>
      </c>
      <c r="G6" t="s">
        <v>12</v>
      </c>
      <c r="I6" t="s">
        <v>29</v>
      </c>
    </row>
    <row r="7" spans="1:9" x14ac:dyDescent="0.35">
      <c r="A7">
        <v>11050</v>
      </c>
      <c r="B7">
        <v>11050</v>
      </c>
      <c r="C7" t="s">
        <v>19</v>
      </c>
      <c r="D7" t="s">
        <v>13</v>
      </c>
      <c r="E7" t="s">
        <v>10</v>
      </c>
      <c r="F7" t="s">
        <v>11</v>
      </c>
      <c r="G7" t="s">
        <v>12</v>
      </c>
      <c r="I7" t="s">
        <v>30</v>
      </c>
    </row>
    <row r="8" spans="1:9" x14ac:dyDescent="0.35">
      <c r="A8">
        <v>11185</v>
      </c>
      <c r="B8">
        <v>11185</v>
      </c>
      <c r="C8" t="s">
        <v>20</v>
      </c>
      <c r="D8" t="s">
        <v>13</v>
      </c>
      <c r="E8" t="s">
        <v>10</v>
      </c>
      <c r="F8" t="s">
        <v>11</v>
      </c>
      <c r="G8" t="s">
        <v>12</v>
      </c>
      <c r="I8" t="s">
        <v>31</v>
      </c>
    </row>
    <row r="9" spans="1:9" x14ac:dyDescent="0.35">
      <c r="A9">
        <v>11237</v>
      </c>
      <c r="B9">
        <v>11237</v>
      </c>
      <c r="C9" t="s">
        <v>24</v>
      </c>
      <c r="D9" t="s">
        <v>13</v>
      </c>
      <c r="E9" t="s">
        <v>10</v>
      </c>
      <c r="F9" t="s">
        <v>11</v>
      </c>
      <c r="G9" t="s">
        <v>12</v>
      </c>
      <c r="I9" t="s">
        <v>32</v>
      </c>
    </row>
    <row r="10" spans="1:9" x14ac:dyDescent="0.35">
      <c r="A10">
        <v>11082</v>
      </c>
      <c r="B10">
        <v>11082</v>
      </c>
      <c r="C10" t="s">
        <v>21</v>
      </c>
      <c r="D10" t="s">
        <v>13</v>
      </c>
      <c r="E10" t="s">
        <v>10</v>
      </c>
      <c r="F10" t="s">
        <v>11</v>
      </c>
      <c r="G10" t="s">
        <v>12</v>
      </c>
      <c r="I10" t="s">
        <v>33</v>
      </c>
    </row>
    <row r="11" spans="1:9" x14ac:dyDescent="0.35">
      <c r="A11">
        <v>11177</v>
      </c>
      <c r="B11">
        <v>11177</v>
      </c>
      <c r="C11" t="s">
        <v>22</v>
      </c>
      <c r="D11" t="s">
        <v>13</v>
      </c>
      <c r="E11" t="s">
        <v>10</v>
      </c>
      <c r="F11" t="s">
        <v>11</v>
      </c>
      <c r="G11" t="s">
        <v>12</v>
      </c>
      <c r="I11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21C6-8BC1-45AB-8E28-B6EC65ABDF79}">
  <dimension ref="A1:I11"/>
  <sheetViews>
    <sheetView workbookViewId="0">
      <selection activeCell="C20" sqref="C20"/>
    </sheetView>
  </sheetViews>
  <sheetFormatPr defaultRowHeight="14.5" x14ac:dyDescent="0.35"/>
  <cols>
    <col min="1" max="1" width="12.7265625" customWidth="1"/>
    <col min="2" max="2" width="11" customWidth="1"/>
    <col min="4" max="4" width="9.08984375" customWidth="1"/>
    <col min="5" max="5" width="19.90625" customWidth="1"/>
    <col min="6" max="6" width="13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11178</v>
      </c>
      <c r="B2">
        <v>11178</v>
      </c>
      <c r="C2" t="s">
        <v>15</v>
      </c>
      <c r="D2" t="s">
        <v>13</v>
      </c>
      <c r="E2" t="s">
        <v>10</v>
      </c>
      <c r="F2" t="s">
        <v>11</v>
      </c>
      <c r="G2" t="s">
        <v>12</v>
      </c>
      <c r="I2" t="s">
        <v>25</v>
      </c>
    </row>
    <row r="3" spans="1:9" x14ac:dyDescent="0.35">
      <c r="A3">
        <v>10984</v>
      </c>
      <c r="B3">
        <v>10984</v>
      </c>
      <c r="C3" t="s">
        <v>16</v>
      </c>
      <c r="D3" t="s">
        <v>13</v>
      </c>
      <c r="E3" t="s">
        <v>10</v>
      </c>
      <c r="F3" t="s">
        <v>11</v>
      </c>
      <c r="G3" t="s">
        <v>12</v>
      </c>
      <c r="I3" t="s">
        <v>26</v>
      </c>
    </row>
    <row r="4" spans="1:9" x14ac:dyDescent="0.35">
      <c r="A4">
        <v>11233</v>
      </c>
      <c r="B4">
        <v>11233</v>
      </c>
      <c r="C4" t="s">
        <v>23</v>
      </c>
      <c r="D4" t="s">
        <v>13</v>
      </c>
      <c r="E4" t="s">
        <v>10</v>
      </c>
      <c r="F4" t="s">
        <v>11</v>
      </c>
      <c r="G4" t="s">
        <v>12</v>
      </c>
      <c r="I4" t="s">
        <v>27</v>
      </c>
    </row>
    <row r="5" spans="1:9" x14ac:dyDescent="0.35">
      <c r="A5">
        <v>11184</v>
      </c>
      <c r="B5">
        <v>11184</v>
      </c>
      <c r="C5" t="s">
        <v>17</v>
      </c>
      <c r="D5" t="s">
        <v>13</v>
      </c>
      <c r="E5" t="s">
        <v>10</v>
      </c>
      <c r="F5" t="s">
        <v>11</v>
      </c>
      <c r="G5" t="s">
        <v>12</v>
      </c>
      <c r="I5" t="s">
        <v>28</v>
      </c>
    </row>
    <row r="6" spans="1:9" x14ac:dyDescent="0.35">
      <c r="A6">
        <v>11200</v>
      </c>
      <c r="B6">
        <v>11200</v>
      </c>
      <c r="C6" t="s">
        <v>18</v>
      </c>
      <c r="D6" t="s">
        <v>13</v>
      </c>
      <c r="E6" t="s">
        <v>10</v>
      </c>
      <c r="F6" t="s">
        <v>11</v>
      </c>
      <c r="G6" t="s">
        <v>12</v>
      </c>
      <c r="I6" t="s">
        <v>29</v>
      </c>
    </row>
    <row r="7" spans="1:9" x14ac:dyDescent="0.35">
      <c r="A7">
        <v>11050</v>
      </c>
      <c r="B7">
        <v>11050</v>
      </c>
      <c r="C7" t="s">
        <v>19</v>
      </c>
      <c r="D7" t="s">
        <v>13</v>
      </c>
      <c r="E7" t="s">
        <v>10</v>
      </c>
      <c r="F7" t="s">
        <v>11</v>
      </c>
      <c r="G7" t="s">
        <v>12</v>
      </c>
      <c r="I7" t="s">
        <v>30</v>
      </c>
    </row>
    <row r="8" spans="1:9" x14ac:dyDescent="0.35">
      <c r="A8">
        <v>11185</v>
      </c>
      <c r="B8">
        <v>11185</v>
      </c>
      <c r="C8" t="s">
        <v>20</v>
      </c>
      <c r="D8" t="s">
        <v>13</v>
      </c>
      <c r="E8" t="s">
        <v>10</v>
      </c>
      <c r="F8" t="s">
        <v>11</v>
      </c>
      <c r="G8" t="s">
        <v>12</v>
      </c>
      <c r="I8" t="s">
        <v>31</v>
      </c>
    </row>
    <row r="9" spans="1:9" x14ac:dyDescent="0.35">
      <c r="A9">
        <v>11237</v>
      </c>
      <c r="B9">
        <v>11237</v>
      </c>
      <c r="C9" t="s">
        <v>24</v>
      </c>
      <c r="D9" t="s">
        <v>13</v>
      </c>
      <c r="E9" t="s">
        <v>10</v>
      </c>
      <c r="F9" t="s">
        <v>11</v>
      </c>
      <c r="G9" t="s">
        <v>12</v>
      </c>
      <c r="I9" t="s">
        <v>32</v>
      </c>
    </row>
    <row r="10" spans="1:9" x14ac:dyDescent="0.35">
      <c r="A10">
        <v>11082</v>
      </c>
      <c r="B10">
        <v>11082</v>
      </c>
      <c r="C10" t="s">
        <v>21</v>
      </c>
      <c r="D10" t="s">
        <v>13</v>
      </c>
      <c r="E10" t="s">
        <v>10</v>
      </c>
      <c r="F10" t="s">
        <v>11</v>
      </c>
      <c r="G10" t="s">
        <v>12</v>
      </c>
      <c r="I10" t="s">
        <v>33</v>
      </c>
    </row>
    <row r="11" spans="1:9" x14ac:dyDescent="0.35">
      <c r="A11">
        <v>11177</v>
      </c>
      <c r="B11">
        <v>11177</v>
      </c>
      <c r="C11" t="s">
        <v>22</v>
      </c>
      <c r="D11" t="s">
        <v>13</v>
      </c>
      <c r="E11" t="s">
        <v>10</v>
      </c>
      <c r="F11" t="s">
        <v>11</v>
      </c>
      <c r="G11" t="s">
        <v>12</v>
      </c>
      <c r="I11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8F94-063F-48DE-A602-31BB3D1DB403}">
  <dimension ref="A1:P9"/>
  <sheetViews>
    <sheetView showGridLines="0" tabSelected="1" topLeftCell="B1" zoomScaleNormal="100" workbookViewId="0">
      <selection activeCell="Q22" sqref="Q22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2" width="11.81640625" customWidth="1"/>
    <col min="13" max="13" width="11.81640625" bestFit="1" customWidth="1"/>
    <col min="14" max="14" width="10.36328125" customWidth="1"/>
    <col min="15" max="15" width="10" bestFit="1" customWidth="1"/>
    <col min="16" max="16" width="4.45312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46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35</v>
      </c>
      <c r="M1" s="4" t="s">
        <v>35</v>
      </c>
      <c r="O1" s="14" t="s">
        <v>3</v>
      </c>
      <c r="P1" s="14" t="s">
        <v>9</v>
      </c>
    </row>
    <row r="2" spans="2:16" x14ac:dyDescent="0.35">
      <c r="B2" s="3">
        <v>1308</v>
      </c>
      <c r="C2" s="3">
        <v>1308</v>
      </c>
      <c r="D2" s="3">
        <v>3037</v>
      </c>
      <c r="E2" s="5" t="s">
        <v>41</v>
      </c>
      <c r="F2" s="6" t="str">
        <f>IF(Tabela25[[#This Row],[OBS]]="","ATIVO","INATIVO")</f>
        <v>INATIVO</v>
      </c>
      <c r="G2" s="6" t="s">
        <v>36</v>
      </c>
      <c r="H2" s="6" t="s">
        <v>37</v>
      </c>
      <c r="I2" s="6" t="s">
        <v>36</v>
      </c>
      <c r="J2" s="12" t="s">
        <v>47</v>
      </c>
      <c r="K2" s="2"/>
      <c r="L2" s="6" t="s">
        <v>47</v>
      </c>
      <c r="M2" s="7" t="s">
        <v>47</v>
      </c>
      <c r="O2" s="9" t="s">
        <v>13</v>
      </c>
      <c r="P2" s="13">
        <v>6</v>
      </c>
    </row>
    <row r="3" spans="2:16" x14ac:dyDescent="0.35">
      <c r="B3" s="3">
        <v>11208</v>
      </c>
      <c r="C3" s="3">
        <v>112080</v>
      </c>
      <c r="D3" s="3">
        <v>2420</v>
      </c>
      <c r="E3" s="5" t="s">
        <v>38</v>
      </c>
      <c r="F3" s="6" t="str">
        <f>IF(Tabela25[[#This Row],[OBS]]="","ATIVO","INATIVO")</f>
        <v>ATIVO</v>
      </c>
      <c r="G3" s="6" t="s">
        <v>36</v>
      </c>
      <c r="H3" s="6" t="s">
        <v>37</v>
      </c>
      <c r="I3" s="6" t="s">
        <v>36</v>
      </c>
      <c r="J3" s="12"/>
      <c r="K3" s="2"/>
      <c r="L3" s="6" t="s">
        <v>49</v>
      </c>
      <c r="M3" s="7" t="s">
        <v>49</v>
      </c>
      <c r="O3" s="9" t="s">
        <v>48</v>
      </c>
      <c r="P3" s="13">
        <v>1</v>
      </c>
    </row>
    <row r="4" spans="2:16" x14ac:dyDescent="0.35">
      <c r="B4" s="3">
        <v>11403</v>
      </c>
      <c r="C4" s="3">
        <v>11403</v>
      </c>
      <c r="D4" s="3">
        <v>2415</v>
      </c>
      <c r="E4" s="17" t="s">
        <v>39</v>
      </c>
      <c r="F4" s="18" t="str">
        <f>IF(Tabela25[[#This Row],[OBS]]="","ATIVO","INATIVO")</f>
        <v>ATIVO</v>
      </c>
      <c r="G4" s="6" t="s">
        <v>36</v>
      </c>
      <c r="H4" s="6" t="s">
        <v>37</v>
      </c>
      <c r="I4" s="6" t="s">
        <v>36</v>
      </c>
      <c r="J4" s="12"/>
      <c r="K4" s="19"/>
      <c r="L4" s="6" t="s">
        <v>49</v>
      </c>
      <c r="M4" s="7" t="s">
        <v>49</v>
      </c>
      <c r="O4" s="15" t="s">
        <v>14</v>
      </c>
      <c r="P4" s="16">
        <v>7</v>
      </c>
    </row>
    <row r="5" spans="2:16" x14ac:dyDescent="0.35">
      <c r="B5" s="3">
        <v>11459</v>
      </c>
      <c r="C5" s="3">
        <v>11459</v>
      </c>
      <c r="D5" s="3">
        <v>647</v>
      </c>
      <c r="E5" s="20" t="s">
        <v>45</v>
      </c>
      <c r="F5" s="21" t="str">
        <f>IF(Tabela25[[#This Row],[OBS]]="","ATIVO","INATIVO")</f>
        <v>ATIVO</v>
      </c>
      <c r="G5" s="6" t="s">
        <v>36</v>
      </c>
      <c r="H5" s="6" t="s">
        <v>37</v>
      </c>
      <c r="I5" s="6" t="s">
        <v>36</v>
      </c>
      <c r="J5" s="12"/>
      <c r="K5" s="23"/>
      <c r="L5" s="6" t="s">
        <v>49</v>
      </c>
      <c r="M5" s="7" t="s">
        <v>49</v>
      </c>
    </row>
    <row r="6" spans="2:16" x14ac:dyDescent="0.35">
      <c r="B6" s="3">
        <v>11226</v>
      </c>
      <c r="C6" s="3">
        <v>11226</v>
      </c>
      <c r="D6" s="3">
        <v>2383</v>
      </c>
      <c r="E6" s="24" t="s">
        <v>40</v>
      </c>
      <c r="F6" s="25" t="str">
        <f>IF(Tabela25[[#This Row],[OBS]]="","ATIVO","INATIVO")</f>
        <v>ATIVO</v>
      </c>
      <c r="G6" s="6" t="s">
        <v>36</v>
      </c>
      <c r="H6" s="6" t="s">
        <v>37</v>
      </c>
      <c r="I6" s="6" t="s">
        <v>36</v>
      </c>
      <c r="J6" s="12"/>
      <c r="K6" s="23"/>
      <c r="L6" s="6" t="s">
        <v>49</v>
      </c>
      <c r="M6" s="7" t="s">
        <v>49</v>
      </c>
    </row>
    <row r="7" spans="2:16" x14ac:dyDescent="0.35">
      <c r="B7" s="3">
        <v>11050</v>
      </c>
      <c r="C7" s="3">
        <v>11050</v>
      </c>
      <c r="D7" s="3">
        <v>3054</v>
      </c>
      <c r="E7" s="28" t="s">
        <v>19</v>
      </c>
      <c r="F7" s="29" t="str">
        <f>IF(Tabela25[[#This Row],[OBS]]="","ATIVO","INATIVO")</f>
        <v>ATIVO</v>
      </c>
      <c r="G7" s="30" t="s">
        <v>36</v>
      </c>
      <c r="H7" s="30" t="s">
        <v>37</v>
      </c>
      <c r="I7" s="30" t="s">
        <v>36</v>
      </c>
      <c r="J7" s="26"/>
      <c r="K7" s="27"/>
      <c r="L7" s="6" t="s">
        <v>49</v>
      </c>
      <c r="M7" s="7" t="s">
        <v>49</v>
      </c>
    </row>
    <row r="8" spans="2:16" x14ac:dyDescent="0.35">
      <c r="B8" s="3">
        <v>11455</v>
      </c>
      <c r="C8" s="3">
        <v>11455</v>
      </c>
      <c r="D8" s="3">
        <v>485</v>
      </c>
      <c r="E8" s="28" t="s">
        <v>44</v>
      </c>
      <c r="F8" s="29" t="str">
        <f>IF(Tabela25[[#This Row],[OBS]]="","ATIVO","INATIVO")</f>
        <v>ATIVO</v>
      </c>
      <c r="G8" s="6" t="s">
        <v>42</v>
      </c>
      <c r="H8" s="30" t="s">
        <v>37</v>
      </c>
      <c r="I8" s="6" t="s">
        <v>43</v>
      </c>
      <c r="J8" s="22"/>
      <c r="K8" s="23"/>
      <c r="L8" s="6" t="s">
        <v>49</v>
      </c>
      <c r="M8" s="7" t="s">
        <v>49</v>
      </c>
    </row>
    <row r="9" spans="2:16" x14ac:dyDescent="0.35">
      <c r="J9" s="10"/>
      <c r="L9" s="11">
        <f>COUNTIF(Tabela25[OPERACIONAL],"X")</f>
        <v>0</v>
      </c>
      <c r="M9" s="11">
        <f>COUNTIF(M2:M8,"X")</f>
        <v>0</v>
      </c>
    </row>
  </sheetData>
  <conditionalFormatting sqref="F1:F1048576">
    <cfRule type="containsText" dxfId="40" priority="5" stopIfTrue="1" operator="containsText" text="INATIVO">
      <formula>NOT(ISERROR(SEARCH("INATIVO",F1)))</formula>
    </cfRule>
    <cfRule type="containsText" dxfId="39" priority="6" stopIfTrue="1" operator="containsText" text="ATIVO">
      <formula>NOT(ISERROR(SEARCH("ATIVO",F1)))</formula>
    </cfRule>
  </conditionalFormatting>
  <conditionalFormatting sqref="L2:M8">
    <cfRule type="containsText" dxfId="38" priority="3" operator="containsText" text="OK">
      <formula>NOT(ISERROR(SEARCH("OK",L2)))</formula>
    </cfRule>
    <cfRule type="containsText" dxfId="37" priority="4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23ef1630579f9215ea43e4550bda9464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0768c733a3cbfa9b6cb629ad19077af0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F12A7-47A9-4394-8F68-59F903A43B9C}">
  <ds:schemaRefs>
    <ds:schemaRef ds:uri="4241aaa1-f251-4fb6-8c96-74d7389cb154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7128423-2E90-4D48-AD80-7DC665EB55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CINZA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2026-02-27T18:29:13Z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