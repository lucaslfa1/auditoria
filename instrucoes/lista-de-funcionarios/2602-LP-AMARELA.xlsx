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LISTAGENS 2026\2-FEVEREIRO\"/>
    </mc:Choice>
  </mc:AlternateContent>
  <xr:revisionPtr revIDLastSave="37" documentId="113_{B1AC5C14-5466-4631-874B-C33D1589B5F8}" xr6:coauthVersionLast="36" xr6:coauthVersionMax="36" xr10:uidLastSave="{6E4C209C-A766-49FA-A32D-9C50F37603FC}"/>
  <bookViews>
    <workbookView xWindow="0" yWindow="0" windowWidth="19200" windowHeight="6350" xr2:uid="{00000000-000D-0000-FFFF-FFFF00000000}"/>
  </bookViews>
  <sheets>
    <sheet name="LP-AMARELA" sheetId="2" r:id="rId1"/>
  </sheets>
  <definedNames>
    <definedName name="_xlnm._FilterDatabase" localSheetId="0" hidden="1">'LP-AMARELA'!$M$1:$M$1</definedName>
  </definedNames>
  <calcPr calcId="191028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F2" i="2" l="1"/>
  <c r="F8" i="2"/>
  <c r="F9" i="2"/>
  <c r="F10" i="2"/>
  <c r="F11" i="2"/>
  <c r="F15" i="2"/>
  <c r="F12" i="2"/>
  <c r="M16" i="2" l="1"/>
  <c r="F13" i="2" l="1"/>
  <c r="F5" i="2" l="1"/>
  <c r="L16" i="2" l="1"/>
  <c r="F7" i="2" l="1"/>
  <c r="F6" i="2"/>
  <c r="F4" i="2"/>
  <c r="F3" i="2"/>
</calcChain>
</file>

<file path=xl/sharedStrings.xml><?xml version="1.0" encoding="utf-8"?>
<sst xmlns="http://schemas.openxmlformats.org/spreadsheetml/2006/main" count="100" uniqueCount="34">
  <si>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</si>
  <si>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</si>
  <si>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</si>
  <si>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</si>
  <si>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</si>
  <si>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</si>
  <si>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</si>
  <si>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</si>
  <si>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</si>
  <si>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</si>
  <si>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</si>
  <si>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</si>
  <si>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</si>
  <si>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CENTRAL - AMARELA</t>
  </si>
  <si>
    <t>Gustavo Miralha</t>
  </si>
  <si>
    <t>TRANSFERÊNCIA</t>
  </si>
  <si>
    <t>OPERACIONAL 2</t>
  </si>
  <si>
    <t>LEUDYS DEL ROSARIO GARCIA</t>
  </si>
  <si>
    <t>ISABELY NUNES</t>
  </si>
  <si>
    <t>LAIS DA SILVA GUERREIRO DE ARRUDA</t>
  </si>
  <si>
    <t>MATHEUS FERNANDES GARCIA</t>
  </si>
  <si>
    <t>ANTONIO DA SILVA NETO</t>
  </si>
  <si>
    <t>STEFANIE PRISCILA VIEIRA DO CARMO</t>
  </si>
  <si>
    <t>VICTOR GABRIEL ULINSKI</t>
  </si>
  <si>
    <t>ANGY FABIANA ORTIZ SALAS</t>
  </si>
  <si>
    <t>CARLOS EDUARDO KRAISCH</t>
  </si>
  <si>
    <t>DAYANE MACEDO DE OLIVEIRA GUIMARAES</t>
  </si>
  <si>
    <t>LUCAS DUARTE DE OLIVEIRA</t>
  </si>
  <si>
    <t>GUTEMBERG BEZERRA ALVES DA LUZ</t>
  </si>
  <si>
    <t>KAUANE MAIARA MAZETTI MOURA</t>
  </si>
  <si>
    <t>ID HUAWEI</t>
  </si>
  <si>
    <t>CARLOS VINICIUS MOREIRA</t>
  </si>
  <si>
    <t>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</si>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</sst>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/>
      </left>
      <right style="thin">
        <color theme="9" tint="-0.249977111117893"/>
      </right>
      <top style="thin">
        <color theme="9"/>
      </top>
      <bottom style="thin">
        <color theme="9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9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7" fillId="3" borderId="4" xfId="0" applyFont="1" applyFill="1" applyBorder="1" applyAlignment="1">
      <alignment horizontal="left" vertical="center"/>
    </xf>
    <xf numFmtId="0" fontId="0" fillId="0" borderId="4" xfId="0" applyNumberFormat="1" applyBorder="1" applyAlignment="1">
      <alignment horizontal="center"/>
    </xf>
    <xf numFmtId="0" fontId="7" fillId="3" borderId="4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52344</xdr:colOff>
      <xdr:row>16</xdr:row>
      <xdr:rowOff>120650</xdr:rowOff>
    </xdr:from>
    <xdr:to>
      <xdr:col>12</xdr:col>
      <xdr:colOff>277114</xdr:colOff>
      <xdr:row>45</xdr:row>
      <xdr:rowOff>113067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BF0D01-C6B9-4F0E-939D-E9E55EA7B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44" y="3251200"/>
          <a:ext cx="9883120" cy="533276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79.397836574077" createdVersion="6" refreshedVersion="6" minRefreshableVersion="3" recordCount="14" xr:uid="{46DA77EA-8D0E-4CD8-BF19-F1737A15A56F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1201" maxValue="11529"/>
    </cacheField>
    <cacheField name="ID WEON " numFmtId="0">
      <sharedItems containsSemiMixedTypes="0" containsString="0" containsNumber="1" containsInteger="1" minValue="11201" maxValue="11529"/>
    </cacheField>
    <cacheField name="ID HUAWEI" numFmtId="0">
      <sharedItems containsSemiMixedTypes="0" containsString="0" containsNumber="1" containsInteger="1" minValue="182" maxValue="2517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11201"/>
    <n v="11201"/>
    <n v="2368"/>
    <s v="LEUDYS DEL ROSARIO GARCIA"/>
    <x v="0"/>
    <s v="CENTRAL - AMARELA"/>
    <s v="Gustavo Miralha"/>
    <s v="TRANSFERÊNCIA"/>
    <m/>
  </r>
  <r>
    <n v="11275"/>
    <n v="11275"/>
    <n v="2501"/>
    <s v="ISABELY NUNES"/>
    <x v="0"/>
    <s v="CENTRAL - AMARELA"/>
    <s v="Gustavo Miralha"/>
    <s v="TRANSFERÊNCIA"/>
    <m/>
  </r>
  <r>
    <n v="11285"/>
    <n v="11285"/>
    <n v="2491"/>
    <s v="LAIS DA SILVA GUERREIRO DE ARRUDA"/>
    <x v="0"/>
    <s v="CENTRAL - AMARELA"/>
    <s v="Gustavo Miralha"/>
    <s v="TRANSFERÊNCIA"/>
    <m/>
  </r>
  <r>
    <n v="11305"/>
    <n v="11305"/>
    <n v="2484"/>
    <s v="MATHEUS FERNANDES GARCIA"/>
    <x v="0"/>
    <s v="CENTRAL - AMARELA"/>
    <s v="Gustavo Miralha"/>
    <s v="TRANSFERÊNCIA"/>
    <m/>
  </r>
  <r>
    <n v="11349"/>
    <n v="11349"/>
    <n v="2517"/>
    <s v="ANTONIO DA SILVA NETO"/>
    <x v="0"/>
    <s v="CENTRAL - AMARELA"/>
    <s v="Gustavo Miralha"/>
    <s v="TRANSFERÊNCIA"/>
    <m/>
  </r>
  <r>
    <n v="11371"/>
    <n v="11371"/>
    <n v="2469"/>
    <s v="STEFANIE PRISCILA VIEIRA DO CARMO"/>
    <x v="0"/>
    <s v="CENTRAL - AMARELA"/>
    <s v="Gustavo Miralha"/>
    <s v="TRANSFERÊNCIA"/>
    <m/>
  </r>
  <r>
    <n v="11450"/>
    <n v="11450"/>
    <n v="182"/>
    <s v="VICTOR GABRIEL ULINSKI"/>
    <x v="0"/>
    <s v="CENTRAL - AMARELA"/>
    <s v="Gustavo Miralha"/>
    <s v="TRANSFERÊNCIA"/>
    <m/>
  </r>
  <r>
    <n v="11465"/>
    <n v="11465"/>
    <n v="183"/>
    <s v="ANGY FABIANA ORTIZ SALAS"/>
    <x v="0"/>
    <s v="CENTRAL - AMARELA"/>
    <s v="Gustavo Miralha"/>
    <s v="TRANSFERÊNCIA"/>
    <m/>
  </r>
  <r>
    <n v="11487"/>
    <n v="11487"/>
    <n v="207"/>
    <s v="CARLOS EDUARDO KRAISCH"/>
    <x v="0"/>
    <s v="CENTRAL - AMARELA"/>
    <s v="Gustavo Miralha"/>
    <s v="TRANSFERÊNCIA"/>
    <m/>
  </r>
  <r>
    <n v="11505"/>
    <n v="11505"/>
    <n v="228"/>
    <s v="DAYANE MACEDO DE OLIVEIRA GUIMARAES"/>
    <x v="0"/>
    <s v="CENTRAL - AMARELA"/>
    <s v="Gustavo Miralha"/>
    <s v="TRANSFERÊNCIA"/>
    <m/>
  </r>
  <r>
    <n v="11513"/>
    <n v="11513"/>
    <n v="227"/>
    <s v="LUCAS DUARTE DE OLIVEIRA"/>
    <x v="0"/>
    <s v="CENTRAL - AMARELA"/>
    <s v="Gustavo Miralha"/>
    <s v="TRANSFERÊNCIA"/>
    <m/>
  </r>
  <r>
    <n v="11504"/>
    <n v="11504"/>
    <n v="224"/>
    <s v="GUTEMBERG BEZERRA ALVES DA LUZ"/>
    <x v="0"/>
    <s v="CENTRAL - AMARELA"/>
    <s v="Gustavo Miralha"/>
    <s v="TRANSFERÊNCIA"/>
    <m/>
  </r>
  <r>
    <n v="11519"/>
    <n v="11519"/>
    <n v="660"/>
    <s v="KAUANE MAIARA MAZETTI MOURA"/>
    <x v="0"/>
    <s v="CENTRAL - AMARELA"/>
    <s v="Gustavo Miralha"/>
    <s v="TRANSFERÊNCIA"/>
    <m/>
  </r>
  <r>
    <n v="11529"/>
    <n v="11529"/>
    <n v="676"/>
    <s v="CARLOS VINICIUS MOREIRA"/>
    <x v="0"/>
    <s v="CENTRAL - AMARELA"/>
    <s v="Gustavo Miralha"/>
    <s v="TRANSFERÊNC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CE8E5-70CE-4306-A1A1-79B84DF93103}" name="Tabela dinâmica3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36">
      <pivotArea field="4" type="button" dataOnly="0" labelOnly="1" outline="0" axis="axisRow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4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M15" totalsRowShown="0" headerRowDxfId="20" dataDxfId="19">
  <sortState ref="B2:K3">
    <sortCondition ref="B1:B3"/>
  </sortState>
  <tableColumns count="12">
    <tableColumn id="1" xr3:uid="{00000000-0010-0000-0000-000001000000}" name="MATRICULA" dataDxfId="18"/>
    <tableColumn id="9" xr3:uid="{5D5963D4-6ADD-4B53-A2B4-60955012F1B3}" name="ID WEON " dataDxfId="17"/>
    <tableColumn id="12" xr3:uid="{E00B2990-0590-4A8A-9E08-D8B1130D20B9}" name="ID HUAWEI" dataDxfId="16"/>
    <tableColumn id="2" xr3:uid="{00000000-0010-0000-0000-000002000000}" name="NOME" dataDxfId="15"/>
    <tableColumn id="3" xr3:uid="{00000000-0010-0000-0000-000003000000}" name="STATUS" dataDxfId="14">
      <calculatedColumnFormula>IF(Tabela2[[#This Row],[OBS]]="","ATIVO","INATIVO")</calculatedColumnFormula>
    </tableColumn>
    <tableColumn id="4" xr3:uid="{00000000-0010-0000-0000-000004000000}" name="TURNO / OPERAÇÃO" dataDxfId="13" totalsRowDxfId="12"/>
    <tableColumn id="5" xr3:uid="{00000000-0010-0000-0000-000005000000}" name="SUPERVISOR" dataDxfId="11" totalsRowDxfId="10"/>
    <tableColumn id="6" xr3:uid="{00000000-0010-0000-0000-000006000000}" name="SETOR" dataDxfId="9" totalsRowDxfId="8"/>
    <tableColumn id="7" xr3:uid="{00000000-0010-0000-0000-000007000000}" name="OBS" dataDxfId="7" totalsRowDxfId="6"/>
    <tableColumn id="8" xr3:uid="{00000000-0010-0000-0000-000008000000}" name="CHAVE" dataDxfId="5" totalsRowDxfId="4"/>
    <tableColumn id="10" xr3:uid="{D8BA63F2-D59B-4CD8-8EE0-EAE9BC3FDE4E}" name="OPERACIONAL" dataDxfId="3" totalsRowDxfId="2"/>
    <tableColumn id="11" xr3:uid="{C4177FD2-7A5C-441D-BBE4-5C55D75294F0}" name="OPERACIONAL 2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tabSelected="1" topLeftCell="B1" zoomScaleNormal="100" workbookViewId="0">
      <selection activeCell="O7" sqref="O7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9" bestFit="1" customWidth="1"/>
    <col min="11" max="11" width="8.36328125" hidden="1" customWidth="1"/>
    <col min="12" max="12" width="11.81640625" bestFit="1" customWidth="1"/>
    <col min="13" max="13" width="13.26953125" style="27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30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9" t="s">
        <v>7</v>
      </c>
      <c r="K1" s="1" t="s">
        <v>8</v>
      </c>
      <c r="L1" s="8" t="s">
        <v>12</v>
      </c>
      <c r="M1" s="26" t="s">
        <v>16</v>
      </c>
      <c r="O1" s="10" t="s">
        <v>3</v>
      </c>
      <c r="P1" s="10" t="s">
        <v>9</v>
      </c>
    </row>
    <row r="2" spans="2:16" x14ac:dyDescent="0.35">
      <c r="B2" s="3">
        <v>11201</v>
      </c>
      <c r="C2" s="3">
        <v>11201</v>
      </c>
      <c r="D2" s="3">
        <v>2368</v>
      </c>
      <c r="E2" s="5" t="s">
        <v>17</v>
      </c>
      <c r="F2" s="6" t="str">
        <f>IF(Tabela2[[#This Row],[OBS]]="","ATIVO","INATIVO")</f>
        <v>ATIVO</v>
      </c>
      <c r="G2" s="15" t="s">
        <v>13</v>
      </c>
      <c r="H2" s="15" t="s">
        <v>14</v>
      </c>
      <c r="I2" s="15" t="s">
        <v>15</v>
      </c>
      <c r="J2" s="20"/>
      <c r="K2" s="2"/>
      <c r="L2" s="34" t="s">
        <v>32</v>
      </c>
      <c r="M2" s="18" t="s">
        <v>32</v>
      </c>
      <c r="O2" s="9" t="s">
        <v>10</v>
      </c>
      <c r="P2" s="11">
        <v>14</v>
      </c>
    </row>
    <row r="3" spans="2:16" x14ac:dyDescent="0.35">
      <c r="B3" s="3">
        <v>11275</v>
      </c>
      <c r="C3" s="3">
        <v>11275</v>
      </c>
      <c r="D3" s="3">
        <v>2501</v>
      </c>
      <c r="E3" s="28" t="s">
        <v>18</v>
      </c>
      <c r="F3" s="6" t="str">
        <f>IF(Tabela2[[#This Row],[OBS]]="","ATIVO","INATIVO")</f>
        <v>ATIVO</v>
      </c>
      <c r="G3" s="15" t="s">
        <v>13</v>
      </c>
      <c r="H3" s="15" t="s">
        <v>14</v>
      </c>
      <c r="I3" s="15" t="s">
        <v>15</v>
      </c>
      <c r="J3" s="20"/>
      <c r="K3" s="2"/>
      <c r="L3" s="17" t="s">
        <v>33</v>
      </c>
      <c r="M3" s="18" t="s">
        <v>33</v>
      </c>
      <c r="O3" s="10" t="s">
        <v>11</v>
      </c>
      <c r="P3" s="12">
        <v>14</v>
      </c>
    </row>
    <row r="4" spans="2:16" x14ac:dyDescent="0.35">
      <c r="B4" s="3">
        <v>11285</v>
      </c>
      <c r="C4" s="3">
        <v>11285</v>
      </c>
      <c r="D4" s="3">
        <v>2491</v>
      </c>
      <c r="E4" s="28" t="s">
        <v>19</v>
      </c>
      <c r="F4" s="6" t="str">
        <f>IF(Tabela2[[#This Row],[OBS]]="","ATIVO","INATIVO")</f>
        <v>ATIVO</v>
      </c>
      <c r="G4" s="15" t="s">
        <v>13</v>
      </c>
      <c r="H4" s="16" t="s">
        <v>14</v>
      </c>
      <c r="I4" s="15" t="s">
        <v>15</v>
      </c>
      <c r="J4" s="32"/>
      <c r="K4" s="33"/>
      <c r="L4" s="34" t="s">
        <v>33</v>
      </c>
      <c r="M4" s="18" t="s">
        <v>33</v>
      </c>
    </row>
    <row r="5" spans="2:16" x14ac:dyDescent="0.35">
      <c r="B5" s="3">
        <v>11305</v>
      </c>
      <c r="C5" s="3">
        <v>11305</v>
      </c>
      <c r="D5" s="3">
        <v>2484</v>
      </c>
      <c r="E5" s="28" t="s">
        <v>20</v>
      </c>
      <c r="F5" s="13" t="str">
        <f>IF(Tabela2[[#This Row],[OBS]]="","ATIVO","INATIVO")</f>
        <v>ATIVO</v>
      </c>
      <c r="G5" s="15" t="s">
        <v>13</v>
      </c>
      <c r="H5" s="15" t="s">
        <v>14</v>
      </c>
      <c r="I5" s="15" t="s">
        <v>15</v>
      </c>
      <c r="J5" s="20"/>
      <c r="K5" s="14"/>
      <c r="L5" s="17" t="s">
        <v>33</v>
      </c>
      <c r="M5" s="18" t="s">
        <v>33</v>
      </c>
    </row>
    <row r="6" spans="2:16" x14ac:dyDescent="0.35">
      <c r="B6" s="3">
        <v>11349</v>
      </c>
      <c r="C6" s="3">
        <v>11349</v>
      </c>
      <c r="D6" s="3">
        <v>2517</v>
      </c>
      <c r="E6" s="28" t="s">
        <v>21</v>
      </c>
      <c r="F6" s="6" t="str">
        <f>IF(Tabela2[[#This Row],[OBS]]="","ATIVO","INATIVO")</f>
        <v>ATIVO</v>
      </c>
      <c r="G6" s="15" t="s">
        <v>13</v>
      </c>
      <c r="H6" s="15" t="s">
        <v>14</v>
      </c>
      <c r="I6" s="15" t="s">
        <v>15</v>
      </c>
      <c r="J6" s="20"/>
      <c r="K6" s="2"/>
      <c r="L6" s="17" t="s">
        <v>33</v>
      </c>
      <c r="M6" s="18" t="s">
        <v>33</v>
      </c>
    </row>
    <row r="7" spans="2:16" x14ac:dyDescent="0.35">
      <c r="B7" s="3">
        <v>11371</v>
      </c>
      <c r="C7" s="3">
        <v>11371</v>
      </c>
      <c r="D7" s="3">
        <v>2469</v>
      </c>
      <c r="E7" s="28" t="s">
        <v>22</v>
      </c>
      <c r="F7" s="7" t="str">
        <f>IF(Tabela2[[#This Row],[OBS]]="","ATIVO","INATIVO")</f>
        <v>ATIVO</v>
      </c>
      <c r="G7" s="15" t="s">
        <v>13</v>
      </c>
      <c r="H7" s="15" t="s">
        <v>14</v>
      </c>
      <c r="I7" s="15" t="s">
        <v>15</v>
      </c>
      <c r="J7" s="21"/>
      <c r="K7" s="4"/>
      <c r="L7" s="17" t="s">
        <v>33</v>
      </c>
      <c r="M7" s="18" t="s">
        <v>33</v>
      </c>
    </row>
    <row r="8" spans="2:16" x14ac:dyDescent="0.35">
      <c r="B8" s="3">
        <v>11450</v>
      </c>
      <c r="C8" s="3">
        <v>11450</v>
      </c>
      <c r="D8" s="3">
        <v>182</v>
      </c>
      <c r="E8" s="28" t="s">
        <v>23</v>
      </c>
      <c r="F8" s="29" t="str">
        <f>IF(Tabela2[[#This Row],[OBS]]="","ATIVO","INATIVO")</f>
        <v>ATIVO</v>
      </c>
      <c r="G8" s="15" t="s">
        <v>13</v>
      </c>
      <c r="H8" s="15" t="s">
        <v>14</v>
      </c>
      <c r="I8" s="15" t="s">
        <v>15</v>
      </c>
      <c r="J8" s="30"/>
      <c r="K8" s="31"/>
      <c r="L8" s="17" t="s">
        <v>33</v>
      </c>
      <c r="M8" s="18" t="s">
        <v>33</v>
      </c>
    </row>
    <row r="9" spans="2:16" x14ac:dyDescent="0.35">
      <c r="B9" s="3">
        <v>11465</v>
      </c>
      <c r="C9" s="3">
        <v>11465</v>
      </c>
      <c r="D9" s="3">
        <v>183</v>
      </c>
      <c r="E9" s="28" t="s">
        <v>24</v>
      </c>
      <c r="F9" s="29" t="str">
        <f>IF(Tabela2[[#This Row],[OBS]]="","ATIVO","INATIVO")</f>
        <v>ATIVO</v>
      </c>
      <c r="G9" s="15" t="s">
        <v>13</v>
      </c>
      <c r="H9" s="15" t="s">
        <v>14</v>
      </c>
      <c r="I9" s="15" t="s">
        <v>15</v>
      </c>
      <c r="J9" s="30"/>
      <c r="K9" s="31"/>
      <c r="L9" s="17" t="s">
        <v>33</v>
      </c>
      <c r="M9" s="18" t="s">
        <v>33</v>
      </c>
    </row>
    <row r="10" spans="2:16" x14ac:dyDescent="0.35">
      <c r="B10" s="3">
        <v>11487</v>
      </c>
      <c r="C10" s="3">
        <v>11487</v>
      </c>
      <c r="D10" s="3">
        <v>207</v>
      </c>
      <c r="E10" s="28" t="s">
        <v>25</v>
      </c>
      <c r="F10" s="29" t="str">
        <f>IF(Tabela2[[#This Row],[OBS]]="","ATIVO","INATIVO")</f>
        <v>ATIVO</v>
      </c>
      <c r="G10" s="15" t="s">
        <v>13</v>
      </c>
      <c r="H10" s="15" t="s">
        <v>14</v>
      </c>
      <c r="I10" s="15" t="s">
        <v>15</v>
      </c>
      <c r="J10" s="30"/>
      <c r="K10" s="31"/>
      <c r="L10" s="17" t="s">
        <v>33</v>
      </c>
      <c r="M10" s="18" t="s">
        <v>33</v>
      </c>
    </row>
    <row r="11" spans="2:16" x14ac:dyDescent="0.35">
      <c r="B11" s="3">
        <v>11505</v>
      </c>
      <c r="C11" s="3">
        <v>11505</v>
      </c>
      <c r="D11" s="3">
        <v>228</v>
      </c>
      <c r="E11" s="28" t="s">
        <v>26</v>
      </c>
      <c r="F11" s="29" t="str">
        <f>IF(Tabela2[[#This Row],[OBS]]="","ATIVO","INATIVO")</f>
        <v>ATIVO</v>
      </c>
      <c r="G11" s="15" t="s">
        <v>13</v>
      </c>
      <c r="H11" s="15" t="s">
        <v>14</v>
      </c>
      <c r="I11" s="15" t="s">
        <v>15</v>
      </c>
      <c r="J11" s="30"/>
      <c r="K11" s="31"/>
      <c r="L11" s="17" t="s">
        <v>33</v>
      </c>
      <c r="M11" s="18" t="s">
        <v>33</v>
      </c>
    </row>
    <row r="12" spans="2:16" x14ac:dyDescent="0.35">
      <c r="B12" s="3">
        <v>11513</v>
      </c>
      <c r="C12" s="3">
        <v>11513</v>
      </c>
      <c r="D12" s="3">
        <v>227</v>
      </c>
      <c r="E12" s="28" t="s">
        <v>27</v>
      </c>
      <c r="F12" s="29" t="str">
        <f>IF(Tabela2[[#This Row],[OBS]]="","ATIVO","INATIVO")</f>
        <v>ATIVO</v>
      </c>
      <c r="G12" s="15" t="s">
        <v>13</v>
      </c>
      <c r="H12" s="15" t="s">
        <v>14</v>
      </c>
      <c r="I12" s="15" t="s">
        <v>15</v>
      </c>
      <c r="J12" s="30"/>
      <c r="K12" s="31"/>
      <c r="L12" s="17" t="s">
        <v>33</v>
      </c>
      <c r="M12" s="18" t="s">
        <v>33</v>
      </c>
    </row>
    <row r="13" spans="2:16" x14ac:dyDescent="0.35">
      <c r="B13" s="3">
        <v>11504</v>
      </c>
      <c r="C13" s="3">
        <v>11504</v>
      </c>
      <c r="D13" s="3">
        <v>224</v>
      </c>
      <c r="E13" s="28" t="s">
        <v>28</v>
      </c>
      <c r="F13" s="13" t="str">
        <f>IF(Tabela2[[#This Row],[OBS]]="","ATIVO","INATIVO")</f>
        <v>ATIVO</v>
      </c>
      <c r="G13" s="15" t="s">
        <v>13</v>
      </c>
      <c r="H13" s="15" t="s">
        <v>14</v>
      </c>
      <c r="I13" s="15" t="s">
        <v>15</v>
      </c>
      <c r="J13" s="22"/>
      <c r="K13" s="14"/>
      <c r="L13" s="17" t="s">
        <v>33</v>
      </c>
      <c r="M13" s="18" t="s">
        <v>33</v>
      </c>
    </row>
    <row r="14" spans="2:16" x14ac:dyDescent="0.35">
      <c r="B14" s="3">
        <v>11519</v>
      </c>
      <c r="C14" s="3">
        <v>11519</v>
      </c>
      <c r="D14" s="3">
        <v>660</v>
      </c>
      <c r="E14" s="35" t="s">
        <v>29</v>
      </c>
      <c r="F14" s="36" t="str">
        <f>IF(Tabela2[[#This Row],[OBS]]="","ATIVO","INATIVO")</f>
        <v>ATIVO</v>
      </c>
      <c r="G14" s="15" t="s">
        <v>13</v>
      </c>
      <c r="H14" s="15" t="s">
        <v>14</v>
      </c>
      <c r="I14" s="15" t="s">
        <v>15</v>
      </c>
      <c r="J14" s="37"/>
      <c r="K14" s="38"/>
      <c r="L14" s="17" t="s">
        <v>33</v>
      </c>
      <c r="M14" s="18" t="s">
        <v>33</v>
      </c>
    </row>
    <row r="15" spans="2:16" x14ac:dyDescent="0.35">
      <c r="B15" s="3">
        <v>11529</v>
      </c>
      <c r="C15" s="3">
        <v>11529</v>
      </c>
      <c r="D15" s="3">
        <v>676</v>
      </c>
      <c r="E15" s="28" t="s">
        <v>31</v>
      </c>
      <c r="F15" s="29" t="str">
        <f>IF(Tabela2[[#This Row],[OBS]]="","ATIVO","INATIVO")</f>
        <v>ATIVO</v>
      </c>
      <c r="G15" s="15" t="s">
        <v>13</v>
      </c>
      <c r="H15" s="15" t="s">
        <v>14</v>
      </c>
      <c r="I15" s="15" t="s">
        <v>15</v>
      </c>
      <c r="J15" s="30"/>
      <c r="K15" s="31"/>
      <c r="L15" s="17" t="s">
        <v>33</v>
      </c>
      <c r="M15" s="18" t="s">
        <v>33</v>
      </c>
    </row>
    <row r="16" spans="2:16" x14ac:dyDescent="0.35">
      <c r="J16" s="23"/>
      <c r="L16" s="24">
        <f>COUNTIF(Tabela2[OPERACIONAL],"X")</f>
        <v>1</v>
      </c>
      <c r="M16" s="25">
        <f>COUNTIF(Tabela2[OPERACIONAL],"X")</f>
        <v>1</v>
      </c>
    </row>
  </sheetData>
  <conditionalFormatting sqref="F1:F1048576">
    <cfRule type="containsText" dxfId="40" priority="3" stopIfTrue="1" operator="containsText" text="INATIVO">
      <formula>NOT(ISERROR(SEARCH("INATIVO",F1)))</formula>
    </cfRule>
    <cfRule type="containsText" dxfId="39" priority="4" stopIfTrue="1" operator="containsText" text="ATIVO">
      <formula>NOT(ISERROR(SEARCH("ATIVO",F1)))</formula>
    </cfRule>
  </conditionalFormatting>
  <conditionalFormatting sqref="M16 L2:M15">
    <cfRule type="containsText" dxfId="38" priority="1" operator="containsText" text="OK">
      <formula>NOT(ISERROR(SEARCH("OK",L2)))</formula>
    </cfRule>
    <cfRule type="containsText" dxfId="37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Props1.xml><?xml version="1.0" encoding="utf-8"?>
<ds:datastoreItem xmlns:ds="http://schemas.openxmlformats.org/officeDocument/2006/customXml" ds:itemID="{304FCCBA-59E9-49E9-887E-96A99F0DB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F12A7-47A9-4394-8F68-59F903A43B9C}">
  <ds:schemaRefs>
    <ds:schemaRef ds:uri="4241aaa1-f251-4fb6-8c96-74d7389cb154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LP-AMARELA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2026-03-03T12:47:44Z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