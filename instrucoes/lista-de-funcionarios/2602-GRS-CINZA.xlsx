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0" documentId="113_{E4C9FBA9-0D49-46F3-843E-3ACAFE6A818F}" xr6:coauthVersionLast="36" xr6:coauthVersionMax="36" xr10:uidLastSave="{6DCBA600-AFA5-4830-B538-2B33103E1109}"/>
  <bookViews>
    <workbookView xWindow="0" yWindow="0" windowWidth="19200" windowHeight="6350" xr2:uid="{00000000-000D-0000-FFFF-FFFF00000000}"/>
  </bookViews>
  <sheets>
    <sheet name="GRS-CINZA" sheetId="2" r:id="rId1"/>
  </sheets>
  <definedNames>
    <definedName name="_xlnm._FilterDatabase" localSheetId="0" hidden="1">'GRS-CINZA'!$M$1:$M$1</definedName>
  </definedName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" l="1"/>
  <c r="F10" i="2" l="1"/>
  <c r="M11" i="2" l="1"/>
  <c r="F9" i="2" l="1"/>
  <c r="F8" i="2"/>
  <c r="F6" i="2" l="1"/>
  <c r="F2" i="2" l="1"/>
  <c r="F7" i="2" l="1"/>
  <c r="F5" i="2"/>
  <c r="F4" i="2"/>
  <c r="F3" i="2"/>
</calcChain>
</file>

<file path=xl/sharedStrings.xml><?xml version="1.0" encoding="utf-8"?>
<sst xmlns="http://schemas.openxmlformats.org/spreadsheetml/2006/main" count="72" uniqueCount="36">
  <si>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</si>
  <si>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</si>
  <si>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</si>
  <si>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</si>
  <si>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</si>
  <si>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</si>
  <si>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</si>
  <si>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</si>
  <si>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</si>
  <si>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</si>
  <si>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</si>
  <si>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</si>
  <si>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</si>
  <si>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Daiane Sttffen Heiler</t>
  </si>
  <si>
    <t>Scarleth Jessy de Melo</t>
  </si>
  <si>
    <t>Patricia Aparecida Guesser</t>
  </si>
  <si>
    <t>Matheus Bueno Da Silva Florencio</t>
  </si>
  <si>
    <t>Monica Brunele Da Silva Nascimento</t>
  </si>
  <si>
    <t>Raillane de Albuquerque de Souza</t>
  </si>
  <si>
    <t>Flávio Jiusti de Oliveira</t>
  </si>
  <si>
    <t>UTI - CINZA</t>
  </si>
  <si>
    <t>RJ - CINZA</t>
  </si>
  <si>
    <t>UTI - COMBO - CINZA</t>
  </si>
  <si>
    <t>BAS - CINZA</t>
  </si>
  <si>
    <t>UTI</t>
  </si>
  <si>
    <t>BAS</t>
  </si>
  <si>
    <t>UTI (RJ)</t>
  </si>
  <si>
    <t>Jean Carlos Constantino Miranda</t>
  </si>
  <si>
    <t>UTI - CINZA - BBM</t>
  </si>
  <si>
    <t>FÉRIAS</t>
  </si>
  <si>
    <t>INATIVO</t>
  </si>
  <si>
    <t>Tanara Vigentin</t>
  </si>
  <si>
    <t>ID HUAWEI</t>
  </si>
  <si>
    <t>Josielen Gomes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</si>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</sst>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4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3" fillId="0" borderId="0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25400</xdr:rowOff>
    </xdr:from>
    <xdr:to>
      <xdr:col>13</xdr:col>
      <xdr:colOff>336138</xdr:colOff>
      <xdr:row>42</xdr:row>
      <xdr:rowOff>160692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0769F5-55EA-4714-8D65-F9E17453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5200"/>
          <a:ext cx="10835863" cy="584076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43698263892" createdVersion="6" refreshedVersion="6" minRefreshableVersion="3" recordCount="10" xr:uid="{1C848D41-D5F5-4BF8-99AA-5E174393D96D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700" maxValue="11341"/>
    </cacheField>
    <cacheField name="ID WEON " numFmtId="0">
      <sharedItems containsSemiMixedTypes="0" containsString="0" containsNumber="1" containsInteger="1" minValue="1700" maxValue="11341"/>
    </cacheField>
    <cacheField name="ID HUAWEI" numFmtId="0">
      <sharedItems containsSemiMixedTypes="0" containsString="0" containsNumber="1" containsInteger="1" minValue="491" maxValue="3028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87"/>
    <n v="10187"/>
    <n v="2456"/>
    <s v="Scarleth Jessy de Melo"/>
    <x v="0"/>
    <s v="UTI - CINZA"/>
    <s v="Tanara Vigentin"/>
    <s v="UTI"/>
    <m/>
  </r>
  <r>
    <n v="11341"/>
    <n v="11341"/>
    <n v="2496"/>
    <s v="Josielen Gomes"/>
    <x v="0"/>
    <s v="UTI - CINZA"/>
    <s v="Tanara Vigentin"/>
    <s v="UTI"/>
    <m/>
  </r>
  <r>
    <n v="10765"/>
    <n v="10765"/>
    <n v="2463"/>
    <s v="Luciane do Rocio Santos da Silva "/>
    <x v="0"/>
    <s v="UTI - CINZA"/>
    <s v="Tanara Vigentin"/>
    <s v="UTI"/>
    <m/>
  </r>
  <r>
    <n v="11236"/>
    <n v="11237"/>
    <n v="2956"/>
    <s v="Jean Carlos Constantino Miranda"/>
    <x v="1"/>
    <s v="UTI - CINZA - BBM"/>
    <s v="Tanara Vigentin"/>
    <s v="UTI"/>
    <s v="FÉRIAS"/>
  </r>
  <r>
    <n v="11151"/>
    <n v="4169"/>
    <n v="2461"/>
    <s v="Matheus Bueno Da Silva Florencio"/>
    <x v="0"/>
    <s v="UTI - CINZA"/>
    <s v="Tanara Vigentin"/>
    <s v="UTI"/>
    <m/>
  </r>
  <r>
    <n v="1945"/>
    <n v="1945"/>
    <n v="491"/>
    <s v="Daiane Sttffen Heiler"/>
    <x v="0"/>
    <s v="RJ - CINZA"/>
    <s v="Tanara Vigentin"/>
    <s v="UTI (RJ)"/>
    <m/>
  </r>
  <r>
    <n v="11094"/>
    <n v="11094"/>
    <n v="2482"/>
    <s v="Monica Brunele Da Silva Nascimento"/>
    <x v="0"/>
    <s v="UTI - COMBO - CINZA"/>
    <s v="Tanara Vigentin"/>
    <s v="UTI"/>
    <m/>
  </r>
  <r>
    <n v="11051"/>
    <n v="11051"/>
    <n v="2479"/>
    <s v="Patricia Aparecida Guesser"/>
    <x v="0"/>
    <s v="BAS - CINZA"/>
    <s v="Tanara Vigentin"/>
    <s v="BAS"/>
    <m/>
  </r>
  <r>
    <n v="1700"/>
    <n v="1700"/>
    <n v="3028"/>
    <s v="Flávio Jiusti de Oliveira"/>
    <x v="0"/>
    <s v="BAS - CINZA"/>
    <s v="Tanara Vigentin"/>
    <s v="BAS"/>
    <m/>
  </r>
  <r>
    <n v="10946"/>
    <n v="10946"/>
    <n v="2457"/>
    <s v="Raillane de Albuquerque de Souza"/>
    <x v="0"/>
    <s v="BAS - CINZA"/>
    <s v="Tanara Vigentin"/>
    <s v="BA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987C3-EEEF-4D7A-A328-DB781BC9C689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7">
      <pivotArea field="4" type="button" dataOnly="0" labelOnly="1" outline="0" axis="axisRow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field="4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1" totalsRowCount="1" headerRowDxfId="21" dataDxfId="20">
  <sortState ref="B2:K4">
    <sortCondition ref="B1:B4"/>
  </sortState>
  <tableColumns count="11">
    <tableColumn id="1" xr3:uid="{00000000-0010-0000-0000-000001000000}" name="MATRICULA" totalsRowDxfId="10"/>
    <tableColumn id="9" xr3:uid="{5D5963D4-6ADD-4B53-A2B4-60955012F1B3}" name="ID WEON " totalsRowDxfId="9"/>
    <tableColumn id="11" xr3:uid="{BEBF50FF-9FB8-45A5-9BD0-2DD1D6319891}" name="ID HUAWEI" dataDxfId="19" totalsRowDxfId="8"/>
    <tableColumn id="2" xr3:uid="{00000000-0010-0000-0000-000002000000}" name="NOME" totalsRowDxfId="7"/>
    <tableColumn id="3" xr3:uid="{00000000-0010-0000-0000-000003000000}" name="STATUS" totalsRowDxfId="6">
      <calculatedColumnFormula>IF(Tabela2[[#This Row],[OBS]]="","ATIVO","INATIVO")</calculatedColumnFormula>
    </tableColumn>
    <tableColumn id="4" xr3:uid="{00000000-0010-0000-0000-000004000000}" name="TURNO / OPERAÇÃO" totalsRowDxfId="5"/>
    <tableColumn id="5" xr3:uid="{00000000-0010-0000-0000-000005000000}" name="SUPERVISOR" totalsRowDxfId="4"/>
    <tableColumn id="6" xr3:uid="{00000000-0010-0000-0000-000006000000}" name="SETOR" totalsRowDxfId="3"/>
    <tableColumn id="7" xr3:uid="{00000000-0010-0000-0000-000007000000}" name="OBS" totalsRowDxfId="2"/>
    <tableColumn id="8" xr3:uid="{00000000-0010-0000-0000-000008000000}" name="CHAVE" dataDxfId="18" totalsRowDxfId="1"/>
    <tableColumn id="10" xr3:uid="{D8BA63F2-D59B-4CD8-8EE0-EAE9BC3FDE4E}" name="OPERACIONAL" totalsRowFunction="custom" dataDxfId="17" totalsRowDxfId="0">
      <totalsRowFormula>COUNTIF(Tabela2[OPERACIONAL],"X")</totalsRowFormula>
    </tableColumn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showGridLines="0" tabSelected="1" topLeftCell="B1" zoomScaleNormal="100" workbookViewId="0">
      <selection activeCell="O13" sqref="O13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3632812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2" width="11.81640625" customWidth="1"/>
    <col min="13" max="13" width="11.816406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32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12</v>
      </c>
      <c r="M1" s="4" t="s">
        <v>12</v>
      </c>
      <c r="O1" s="10" t="s">
        <v>3</v>
      </c>
      <c r="P1" s="10" t="s">
        <v>9</v>
      </c>
    </row>
    <row r="2" spans="2:16" x14ac:dyDescent="0.35">
      <c r="B2" s="3">
        <v>10187</v>
      </c>
      <c r="C2" s="3">
        <v>10187</v>
      </c>
      <c r="D2" s="3">
        <v>2456</v>
      </c>
      <c r="E2" s="5" t="s">
        <v>14</v>
      </c>
      <c r="F2" s="6" t="str">
        <f>IF(Tabela2[[#This Row],[OBS]]="","ATIVO","INATIVO")</f>
        <v>ATIVO</v>
      </c>
      <c r="G2" s="15" t="s">
        <v>20</v>
      </c>
      <c r="H2" s="15" t="s">
        <v>31</v>
      </c>
      <c r="I2" s="16" t="s">
        <v>24</v>
      </c>
      <c r="J2" s="18"/>
      <c r="K2" s="2"/>
      <c r="L2" s="6" t="s">
        <v>34</v>
      </c>
      <c r="M2" s="7" t="s">
        <v>34</v>
      </c>
      <c r="O2" s="9" t="s">
        <v>10</v>
      </c>
      <c r="P2" s="11">
        <v>9</v>
      </c>
    </row>
    <row r="3" spans="2:16" x14ac:dyDescent="0.35">
      <c r="B3" s="3">
        <v>11341</v>
      </c>
      <c r="C3" s="3">
        <v>11341</v>
      </c>
      <c r="D3" s="3">
        <v>2496</v>
      </c>
      <c r="E3" s="5" t="s">
        <v>33</v>
      </c>
      <c r="F3" s="6" t="str">
        <f>IF(Tabela2[[#This Row],[OBS]]="","ATIVO","INATIVO")</f>
        <v>ATIVO</v>
      </c>
      <c r="G3" s="15" t="s">
        <v>20</v>
      </c>
      <c r="H3" s="15" t="s">
        <v>31</v>
      </c>
      <c r="I3" s="16" t="s">
        <v>24</v>
      </c>
      <c r="J3" s="18"/>
      <c r="K3" s="2"/>
      <c r="L3" s="15" t="s">
        <v>35</v>
      </c>
      <c r="M3" s="7" t="s">
        <v>35</v>
      </c>
      <c r="O3" s="9" t="s">
        <v>30</v>
      </c>
      <c r="P3" s="11">
        <v>1</v>
      </c>
    </row>
    <row r="4" spans="2:16" x14ac:dyDescent="0.35">
      <c r="B4" s="3">
        <v>11236</v>
      </c>
      <c r="C4" s="3">
        <v>11237</v>
      </c>
      <c r="D4" s="3">
        <v>2956</v>
      </c>
      <c r="E4" s="5" t="s">
        <v>27</v>
      </c>
      <c r="F4" s="6" t="str">
        <f>IF(Tabela2[[#This Row],[OBS]]="","ATIVO","INATIVO")</f>
        <v>INATIVO</v>
      </c>
      <c r="G4" s="17" t="s">
        <v>28</v>
      </c>
      <c r="H4" s="15" t="s">
        <v>31</v>
      </c>
      <c r="I4" s="16" t="s">
        <v>24</v>
      </c>
      <c r="J4" s="18" t="s">
        <v>29</v>
      </c>
      <c r="K4" s="14"/>
      <c r="L4" s="6" t="s">
        <v>29</v>
      </c>
      <c r="M4" s="7" t="s">
        <v>29</v>
      </c>
      <c r="O4" s="10" t="s">
        <v>11</v>
      </c>
      <c r="P4" s="12">
        <v>10</v>
      </c>
    </row>
    <row r="5" spans="2:16" x14ac:dyDescent="0.35">
      <c r="B5" s="3">
        <v>11151</v>
      </c>
      <c r="C5" s="3">
        <v>4169</v>
      </c>
      <c r="D5" s="3">
        <v>2461</v>
      </c>
      <c r="E5" s="5" t="s">
        <v>16</v>
      </c>
      <c r="F5" s="6" t="str">
        <f>IF(Tabela2[[#This Row],[OBS]]="","ATIVO","INATIVO")</f>
        <v>ATIVO</v>
      </c>
      <c r="G5" s="15" t="s">
        <v>20</v>
      </c>
      <c r="H5" s="15" t="s">
        <v>31</v>
      </c>
      <c r="I5" s="16" t="s">
        <v>24</v>
      </c>
      <c r="J5" s="18"/>
      <c r="K5" s="2"/>
      <c r="L5" s="6" t="s">
        <v>35</v>
      </c>
      <c r="M5" s="7" t="s">
        <v>35</v>
      </c>
    </row>
    <row r="6" spans="2:16" x14ac:dyDescent="0.35">
      <c r="B6" s="3">
        <v>1945</v>
      </c>
      <c r="C6" s="3">
        <v>1945</v>
      </c>
      <c r="D6" s="3">
        <v>491</v>
      </c>
      <c r="E6" s="19" t="s">
        <v>13</v>
      </c>
      <c r="F6" s="20" t="str">
        <f>IF(Tabela2[[#This Row],[OBS]]="","ATIVO","INATIVO")</f>
        <v>ATIVO</v>
      </c>
      <c r="G6" s="17" t="s">
        <v>21</v>
      </c>
      <c r="H6" s="15" t="s">
        <v>31</v>
      </c>
      <c r="I6" s="16" t="s">
        <v>26</v>
      </c>
      <c r="J6" s="18"/>
      <c r="K6" s="2"/>
      <c r="L6" s="6" t="s">
        <v>34</v>
      </c>
      <c r="M6" s="7" t="s">
        <v>34</v>
      </c>
    </row>
    <row r="7" spans="2:16" x14ac:dyDescent="0.35">
      <c r="B7" s="3">
        <v>11094</v>
      </c>
      <c r="C7" s="3">
        <v>11094</v>
      </c>
      <c r="D7" s="3">
        <v>2482</v>
      </c>
      <c r="E7" s="5" t="s">
        <v>17</v>
      </c>
      <c r="F7" s="6" t="str">
        <f>IF(Tabela2[[#This Row],[OBS]]="","ATIVO","INATIVO")</f>
        <v>ATIVO</v>
      </c>
      <c r="G7" s="17" t="s">
        <v>22</v>
      </c>
      <c r="H7" s="15" t="s">
        <v>31</v>
      </c>
      <c r="I7" s="16" t="s">
        <v>24</v>
      </c>
      <c r="J7" s="21"/>
      <c r="K7" s="22"/>
      <c r="L7" s="15" t="s">
        <v>35</v>
      </c>
      <c r="M7" s="7" t="s">
        <v>35</v>
      </c>
    </row>
    <row r="8" spans="2:16" x14ac:dyDescent="0.35">
      <c r="B8" s="3">
        <v>11051</v>
      </c>
      <c r="C8" s="3">
        <v>11051</v>
      </c>
      <c r="D8" s="3">
        <v>2479</v>
      </c>
      <c r="E8" s="26" t="s">
        <v>15</v>
      </c>
      <c r="F8" s="27" t="str">
        <f>IF(Tabela2[[#This Row],[OBS]]="","ATIVO","INATIVO")</f>
        <v>ATIVO</v>
      </c>
      <c r="G8" s="28" t="s">
        <v>23</v>
      </c>
      <c r="H8" s="15" t="s">
        <v>31</v>
      </c>
      <c r="I8" s="16" t="s">
        <v>25</v>
      </c>
      <c r="J8" s="18"/>
      <c r="K8" s="2"/>
      <c r="L8" s="6" t="s">
        <v>34</v>
      </c>
      <c r="M8" s="7" t="s">
        <v>34</v>
      </c>
    </row>
    <row r="9" spans="2:16" x14ac:dyDescent="0.35">
      <c r="B9" s="3">
        <v>1700</v>
      </c>
      <c r="C9" s="3">
        <v>1700</v>
      </c>
      <c r="D9" s="3">
        <v>3028</v>
      </c>
      <c r="E9" s="26" t="s">
        <v>19</v>
      </c>
      <c r="F9" s="27" t="str">
        <f>IF(Tabela2[[#This Row],[OBS]]="","ATIVO","INATIVO")</f>
        <v>ATIVO</v>
      </c>
      <c r="G9" s="28" t="s">
        <v>23</v>
      </c>
      <c r="H9" s="15" t="s">
        <v>31</v>
      </c>
      <c r="I9" s="16" t="s">
        <v>25</v>
      </c>
      <c r="J9" s="18"/>
      <c r="K9" s="30"/>
      <c r="L9" s="15" t="s">
        <v>34</v>
      </c>
      <c r="M9" s="7" t="s">
        <v>34</v>
      </c>
    </row>
    <row r="10" spans="2:16" x14ac:dyDescent="0.35">
      <c r="B10" s="3">
        <v>10946</v>
      </c>
      <c r="C10" s="3">
        <v>10946</v>
      </c>
      <c r="D10" s="3">
        <v>2457</v>
      </c>
      <c r="E10" s="23" t="s">
        <v>18</v>
      </c>
      <c r="F10" s="24" t="str">
        <f>IF(Tabela2[[#This Row],[OBS]]="","ATIVO","INATIVO")</f>
        <v>ATIVO</v>
      </c>
      <c r="G10" s="25" t="s">
        <v>23</v>
      </c>
      <c r="H10" s="15" t="s">
        <v>31</v>
      </c>
      <c r="I10" s="16" t="s">
        <v>25</v>
      </c>
      <c r="J10" s="29"/>
      <c r="K10" s="30"/>
      <c r="L10" s="15" t="s">
        <v>34</v>
      </c>
      <c r="M10" s="7" t="s">
        <v>34</v>
      </c>
    </row>
    <row r="11" spans="2:16" x14ac:dyDescent="0.35">
      <c r="B11" s="31"/>
      <c r="C11" s="31"/>
      <c r="D11" s="32"/>
      <c r="E11" s="31"/>
      <c r="F11" s="31"/>
      <c r="G11" s="31"/>
      <c r="H11" s="31"/>
      <c r="I11" s="31"/>
      <c r="J11" s="31"/>
      <c r="K11" s="33"/>
      <c r="L11" s="34">
        <f>COUNTIF(Tabela2[OPERACIONAL],"X")</f>
        <v>5</v>
      </c>
      <c r="M11" s="13">
        <f>COUNTIF(M2:M10,"X")</f>
        <v>5</v>
      </c>
    </row>
  </sheetData>
  <conditionalFormatting sqref="F1:F1048576">
    <cfRule type="containsText" dxfId="16" priority="11" stopIfTrue="1" operator="containsText" text="INATIVO">
      <formula>NOT(ISERROR(SEARCH("INATIVO",F1)))</formula>
    </cfRule>
    <cfRule type="containsText" dxfId="15" priority="12" stopIfTrue="1" operator="containsText" text="ATIVO">
      <formula>NOT(ISERROR(SEARCH("ATIVO",F1)))</formula>
    </cfRule>
  </conditionalFormatting>
  <conditionalFormatting sqref="L2:M2 L4:M10">
    <cfRule type="containsText" dxfId="14" priority="9" operator="containsText" text="OK">
      <formula>NOT(ISERROR(SEARCH("OK",L2)))</formula>
    </cfRule>
    <cfRule type="containsText" dxfId="13" priority="10" operator="containsText" text="X">
      <formula>NOT(ISERROR(SEARCH("X",L2)))</formula>
    </cfRule>
  </conditionalFormatting>
  <conditionalFormatting sqref="L3:M3">
    <cfRule type="containsText" dxfId="12" priority="1" operator="containsText" text="OK">
      <formula>NOT(ISERROR(SEARCH("OK",L3)))</formula>
    </cfRule>
    <cfRule type="containsText" dxfId="11" priority="2" operator="containsText" text="X">
      <formula>NOT(ISERROR(SEARCH("X",L3)))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4241aaa1-f251-4fb6-8c96-74d7389cb154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C1D774-C03A-466F-B554-2414B5AE3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GRS-CINZA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2026-02-24T13:08:44Z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