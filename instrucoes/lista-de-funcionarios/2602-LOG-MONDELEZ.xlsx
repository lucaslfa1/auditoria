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7" documentId="113_{D89ECFDC-6BEB-4E61-9C3B-2A1401C8DEE5}" xr6:coauthVersionLast="36" xr6:coauthVersionMax="36" xr10:uidLastSave="{D8DE5153-B94F-4B57-B794-0426CAABEAFC}"/>
  <bookViews>
    <workbookView xWindow="0" yWindow="0" windowWidth="19200" windowHeight="6350" xr2:uid="{00000000-000D-0000-FFFF-FFFF00000000}"/>
  </bookViews>
  <sheets>
    <sheet name="MONDELEZ" sheetId="2" r:id="rId1"/>
  </sheets>
  <definedNames>
    <definedName name="_xlnm._FilterDatabase" localSheetId="0" hidden="1">MONDELEZ!$K$1:$K$1</definedName>
  </definedNames>
  <calcPr calcId="191028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I4" i="2"/>
  <c r="K5" i="2" l="1"/>
  <c r="J5" i="2"/>
  <c r="D2" i="2" l="1"/>
  <c r="I3" i="2" l="1"/>
  <c r="D3" i="2"/>
  <c r="I2" i="2"/>
</calcChain>
</file>

<file path=xl/sharedStrings.xml><?xml version="1.0" encoding="utf-8"?>
<sst xmlns="http://schemas.openxmlformats.org/spreadsheetml/2006/main" count="32" uniqueCount="20">
  <si>
    <t>MATRICULA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</si>
  <si>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</si>
  <si>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</si>
  <si>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</si>
  <si>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</si>
  <si>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</si>
  <si>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</si>
  <si>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</si>
  <si>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</si>
  <si>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</si>
  <si>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</si>
  <si>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 xml:space="preserve">RECEPTIVA 1 </t>
  </si>
  <si>
    <t>RECEPTIVA 2</t>
  </si>
  <si>
    <t>MONDELEZ</t>
  </si>
  <si>
    <t>LOGÍSTICA</t>
  </si>
  <si>
    <t>Kayque Lima</t>
  </si>
  <si>
    <t>Filipe Joao Vieira</t>
  </si>
  <si>
    <t>Kamillen Paloma De Góes</t>
  </si>
  <si>
    <t>Paula Soares de Assis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</si>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</sst>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20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0" fillId="0" borderId="3" xfId="0" applyNumberFormat="1" applyBorder="1"/>
    <xf numFmtId="0" fontId="10" fillId="5" borderId="3" xfId="0" applyFont="1" applyFill="1" applyBorder="1"/>
    <xf numFmtId="0" fontId="10" fillId="5" borderId="3" xfId="0" applyFont="1" applyFill="1" applyBorder="1" applyAlignment="1">
      <alignment horizontal="left"/>
    </xf>
    <xf numFmtId="0" fontId="10" fillId="5" borderId="3" xfId="0" applyNumberFormat="1" applyFont="1" applyFill="1" applyBorder="1"/>
    <xf numFmtId="0" fontId="11" fillId="0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69850</xdr:rowOff>
    </xdr:from>
    <xdr:to>
      <xdr:col>14</xdr:col>
      <xdr:colOff>545962</xdr:colOff>
      <xdr:row>38</xdr:row>
      <xdr:rowOff>43217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B0D4D2-DE3B-43E2-A0A6-B1466CFFF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0"/>
          <a:ext cx="11201262" cy="605031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27.466510069447" createdVersion="6" refreshedVersion="6" minRefreshableVersion="3" recordCount="3" xr:uid="{B01DF452-36C0-4DC2-BC03-F932721F2A9A}">
  <cacheSource type="worksheet">
    <worksheetSource ref="B1:K4" sheet="MONDELEZ"/>
  </cacheSource>
  <cacheFields count="10">
    <cacheField name="MATRICULA" numFmtId="0">
      <sharedItems containsSemiMixedTypes="0" containsString="0" containsNumber="1" containsInteger="1" minValue="11237" maxValue="11302"/>
    </cacheField>
    <cacheField name="NOME" numFmtId="0">
      <sharedItems/>
    </cacheField>
    <cacheField name="STATUS" numFmtId="0">
      <sharedItems count="1">
        <s v="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  <cacheField name="CHAVE" numFmtId="0">
      <sharedItems/>
    </cacheField>
    <cacheField name="RECEPTIVA 1 " numFmtId="0">
      <sharedItems containsNonDate="0" containsString="0" containsBlank="1"/>
    </cacheField>
    <cacheField name="RECEPTIVA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1301"/>
    <s v="Filipe Joao Vieira"/>
    <x v="0"/>
    <s v="MONDELEZ"/>
    <s v="Kayque Lima"/>
    <s v="LOGÍSTICA"/>
    <m/>
    <s v="11301-Filipe Joao Vieira"/>
    <m/>
    <m/>
  </r>
  <r>
    <n v="11302"/>
    <s v="Kamillen Paloma De Góes"/>
    <x v="0"/>
    <s v="MONDELEZ"/>
    <s v="Kayque Lima"/>
    <s v="LOGÍSTICA"/>
    <m/>
    <s v="11302-Kamillen Paloma De Góes"/>
    <m/>
    <m/>
  </r>
  <r>
    <n v="11237"/>
    <s v="Paula Soares de Assis"/>
    <x v="0"/>
    <s v="MONDELEZ"/>
    <s v="Kayque Lima"/>
    <s v="LOGÍSTICA"/>
    <m/>
    <s v="11237-Paula Soares de Assi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16809-EFA9-4488-9C40-BDFABA7EC731}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M1:N3" firstHeaderRow="1" firstDataRow="1" firstDataCol="1"/>
  <pivotFields count="10"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QTD" fld="2" subtotal="count" baseField="0" baseItem="0"/>
  </dataFields>
  <formats count="18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field="2" type="button" dataOnly="0" labelOnly="1" outline="0" axis="axisRow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2" type="button" dataOnly="0" labelOnly="1" outline="0" axis="axisRow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2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J4" totalsRowShown="0" headerRowDxfId="15" dataDxfId="14">
  <sortState ref="B2:I4">
    <sortCondition ref="B1:B4"/>
  </sortState>
  <tableColumns count="9">
    <tableColumn id="1" xr3:uid="{00000000-0010-0000-0000-000001000000}" name="MATRICULA" dataDxfId="13"/>
    <tableColumn id="2" xr3:uid="{00000000-0010-0000-0000-000002000000}" name="NOME" dataDxfId="12"/>
    <tableColumn id="3" xr3:uid="{00000000-0010-0000-0000-000003000000}" name="STATUS" dataDxfId="11">
      <calculatedColumnFormula>IF(Tabela2[[#This Row],[OBS]]="","ATIVO","INATIVO")</calculatedColumnFormula>
    </tableColumn>
    <tableColumn id="4" xr3:uid="{00000000-0010-0000-0000-000004000000}" name="TURNO / OPERAÇÃO" dataDxfId="10" totalsRowDxfId="9"/>
    <tableColumn id="5" xr3:uid="{00000000-0010-0000-0000-000005000000}" name="SUPERVISOR" dataDxfId="8" totalsRowDxfId="7"/>
    <tableColumn id="6" xr3:uid="{00000000-0010-0000-0000-000006000000}" name="SETOR" dataDxfId="6"/>
    <tableColumn id="7" xr3:uid="{00000000-0010-0000-0000-000007000000}" name="OBS" dataDxfId="5" totalsRowDxfId="4"/>
    <tableColumn id="8" xr3:uid="{00000000-0010-0000-0000-000008000000}" name="CHAVE" dataDxfId="3" totalsRowDxfId="2">
      <calculatedColumnFormula>Tabela2[[#This Row],[MATRICULA]]&amp;"-"&amp;Tabela2[[#This Row],[NOME]]</calculatedColumnFormula>
    </tableColumn>
    <tableColumn id="10" xr3:uid="{D8BA63F2-D59B-4CD8-8EE0-EAE9BC3FDE4E}" name="RECEPTIVA 1 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topLeftCell="B1" zoomScaleNormal="100" workbookViewId="0">
      <selection activeCell="Q7" sqref="Q7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32.453125" style="1" customWidth="1"/>
    <col min="4" max="4" width="8.54296875" style="1" customWidth="1"/>
    <col min="5" max="5" width="16.81640625" style="1" bestFit="1" customWidth="1"/>
    <col min="6" max="6" width="14.1796875" style="1" bestFit="1" customWidth="1"/>
    <col min="7" max="7" width="12" style="1" bestFit="1" customWidth="1"/>
    <col min="8" max="8" width="13.81640625" style="1" bestFit="1" customWidth="1"/>
    <col min="9" max="9" width="8.36328125" hidden="1" customWidth="1"/>
    <col min="10" max="10" width="11" customWidth="1"/>
    <col min="11" max="11" width="10.54296875" bestFit="1" customWidth="1"/>
    <col min="12" max="12" width="8.90625" customWidth="1"/>
    <col min="13" max="13" width="10" bestFit="1" customWidth="1"/>
    <col min="14" max="14" width="4.453125" bestFit="1" customWidth="1"/>
    <col min="15" max="15" width="24.6328125" bestFit="1" customWidth="1"/>
    <col min="16" max="16" width="18.26953125" bestFit="1" customWidth="1"/>
    <col min="17" max="17" width="10.1796875" bestFit="1" customWidth="1"/>
  </cols>
  <sheetData>
    <row r="1" spans="2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8" t="s">
        <v>11</v>
      </c>
      <c r="K1" s="4" t="s">
        <v>12</v>
      </c>
      <c r="M1" s="14" t="s">
        <v>2</v>
      </c>
      <c r="N1" s="14" t="s">
        <v>8</v>
      </c>
    </row>
    <row r="2" spans="2:14" x14ac:dyDescent="0.35">
      <c r="B2" s="3">
        <v>11301</v>
      </c>
      <c r="C2" s="5" t="s">
        <v>16</v>
      </c>
      <c r="D2" s="6" t="str">
        <f>IF(Tabela2[[#This Row],[OBS]]="","ATIVO","INATIVO")</f>
        <v>ATIVO</v>
      </c>
      <c r="E2" s="6" t="s">
        <v>13</v>
      </c>
      <c r="F2" s="6" t="s">
        <v>15</v>
      </c>
      <c r="G2" s="6" t="s">
        <v>14</v>
      </c>
      <c r="H2" s="3"/>
      <c r="I2" s="2" t="str">
        <f>Tabela2[[#This Row],[MATRICULA]]&amp;"-"&amp;Tabela2[[#This Row],[NOME]]</f>
        <v>11301-Filipe Joao Vieira</v>
      </c>
      <c r="J2" s="6" t="s">
        <v>19</v>
      </c>
      <c r="K2" s="7" t="s">
        <v>19</v>
      </c>
      <c r="M2" s="9" t="s">
        <v>9</v>
      </c>
      <c r="N2" s="13">
        <v>3</v>
      </c>
    </row>
    <row r="3" spans="2:14" x14ac:dyDescent="0.35">
      <c r="B3" s="3">
        <v>11302</v>
      </c>
      <c r="C3" s="12" t="s">
        <v>17</v>
      </c>
      <c r="D3" s="6" t="str">
        <f>IF(Tabela2[[#This Row],[OBS]]="","ATIVO","INATIVO")</f>
        <v>ATIVO</v>
      </c>
      <c r="E3" s="6" t="s">
        <v>13</v>
      </c>
      <c r="F3" s="6" t="s">
        <v>15</v>
      </c>
      <c r="G3" s="6" t="s">
        <v>14</v>
      </c>
      <c r="H3" s="3"/>
      <c r="I3" s="2" t="str">
        <f>Tabela2[[#This Row],[MATRICULA]]&amp;"-"&amp;Tabela2[[#This Row],[NOME]]</f>
        <v>11302-Kamillen Paloma De Góes</v>
      </c>
      <c r="J3" s="6" t="s">
        <v>19</v>
      </c>
      <c r="K3" s="7" t="s">
        <v>19</v>
      </c>
      <c r="M3" s="15" t="s">
        <v>10</v>
      </c>
      <c r="N3" s="16">
        <v>3</v>
      </c>
    </row>
    <row r="4" spans="2:14" x14ac:dyDescent="0.35">
      <c r="B4" s="3">
        <v>11237</v>
      </c>
      <c r="C4" s="5" t="s">
        <v>18</v>
      </c>
      <c r="D4" s="17" t="str">
        <f>IF(Tabela2[[#This Row],[OBS]]="","ATIVO","INATIVO")</f>
        <v>ATIVO</v>
      </c>
      <c r="E4" s="6" t="s">
        <v>13</v>
      </c>
      <c r="F4" s="6" t="s">
        <v>15</v>
      </c>
      <c r="G4" s="6" t="s">
        <v>14</v>
      </c>
      <c r="H4" s="18"/>
      <c r="I4" s="19" t="str">
        <f>Tabela2[[#This Row],[MATRICULA]]&amp;"-"&amp;Tabela2[[#This Row],[NOME]]</f>
        <v>11237-Paula Soares de Assis</v>
      </c>
      <c r="J4" s="6" t="s">
        <v>19</v>
      </c>
      <c r="K4" s="7" t="s">
        <v>19</v>
      </c>
    </row>
    <row r="5" spans="2:14" x14ac:dyDescent="0.35">
      <c r="H5" s="10"/>
      <c r="J5" s="11">
        <f>COUNTIF(Tabela2[[RECEPTIVA 1 ]],"X")</f>
        <v>0</v>
      </c>
      <c r="K5" s="11">
        <f>COUNTIF(K2:K4,"X")</f>
        <v>0</v>
      </c>
    </row>
  </sheetData>
  <conditionalFormatting sqref="D1:D1048576">
    <cfRule type="containsText" dxfId="37" priority="3" stopIfTrue="1" operator="containsText" text="INATIVO">
      <formula>NOT(ISERROR(SEARCH("INATIVO",D1)))</formula>
    </cfRule>
    <cfRule type="containsText" dxfId="36" priority="4" stopIfTrue="1" operator="containsText" text="ATIVO">
      <formula>NOT(ISERROR(SEARCH("ATIVO",D1)))</formula>
    </cfRule>
  </conditionalFormatting>
  <conditionalFormatting sqref="J2:K4">
    <cfRule type="containsText" dxfId="35" priority="1" operator="containsText" text="X">
      <formula>NOT(ISERROR(SEARCH("X",J2)))</formula>
    </cfRule>
    <cfRule type="containsText" dxfId="34" priority="2" operator="containsText" text="OK">
      <formula>NOT(ISERROR(SEARCH("OK",J2)))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F12A7-47A9-4394-8F68-59F903A43B9C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241aaa1-f251-4fb6-8c96-74d7389cb15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CE347AC-22B4-4FDC-913B-2F49B1E600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MONDELEZ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2026-02-25T14:43:40Z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