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54" documentId="14_{DD1BF819-C742-4F02-93B1-F9A567982D9D}" xr6:coauthVersionLast="36" xr6:coauthVersionMax="36" xr10:uidLastSave="{8E10719B-6160-4B75-B82D-1FC0588A8026}"/>
  <bookViews>
    <workbookView xWindow="0" yWindow="0" windowWidth="19200" windowHeight="7750" xr2:uid="{00000000-000D-0000-FFFF-FFFF00000000}"/>
  </bookViews>
  <sheets>
    <sheet name="Geovana" sheetId="2" r:id="rId1"/>
    <sheet name="Richard" sheetId="3" r:id="rId2"/>
  </sheets>
  <definedNames>
    <definedName name="_xlnm._FilterDatabase" localSheetId="0" hidden="1">Geovana!$M$1:$M$1</definedName>
    <definedName name="_xlnm._FilterDatabase" localSheetId="1" hidden="1">Richard!$M$1:$M$1</definedName>
  </definedNames>
  <calcPr calcId="191028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3" l="1"/>
  <c r="F11" i="3"/>
  <c r="F12" i="3"/>
  <c r="F22" i="2" l="1"/>
  <c r="F2" i="3" l="1"/>
  <c r="F3" i="3"/>
  <c r="F4" i="3"/>
  <c r="F5" i="3"/>
  <c r="F6" i="3"/>
  <c r="F7" i="3"/>
  <c r="F8" i="3"/>
  <c r="F9" i="3"/>
  <c r="F10" i="3"/>
  <c r="F13" i="3"/>
  <c r="F14" i="3"/>
  <c r="F16" i="3"/>
  <c r="M17" i="3"/>
  <c r="L17" i="3"/>
  <c r="F23" i="2" l="1"/>
  <c r="F11" i="2" l="1"/>
  <c r="F12" i="2"/>
  <c r="F13" i="2"/>
  <c r="F14" i="2"/>
  <c r="F15" i="2"/>
  <c r="F16" i="2"/>
  <c r="F9" i="2"/>
  <c r="F10" i="2"/>
  <c r="F17" i="2"/>
  <c r="F18" i="2"/>
  <c r="F19" i="2"/>
  <c r="F20" i="2"/>
  <c r="F8" i="2" l="1"/>
  <c r="F21" i="2" l="1"/>
  <c r="M24" i="2" l="1"/>
  <c r="L24" i="2"/>
  <c r="F6" i="2" l="1"/>
  <c r="F7" i="2"/>
  <c r="F2" i="2" l="1"/>
  <c r="F5" i="2" l="1"/>
  <c r="F4" i="2"/>
  <c r="F3" i="2"/>
</calcChain>
</file>

<file path=xl/sharedStrings.xml><?xml version="1.0" encoding="utf-8"?>
<sst xmlns="http://schemas.openxmlformats.org/spreadsheetml/2006/main" count="261" uniqueCount="59">
  <si>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</si>
  <si>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</si>
  <si>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</si>
  <si>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</si>
  <si>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</si>
  <si>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</si>
  <si>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</si>
  <si>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</si>
  <si>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</si>
  <si>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</si>
  <si>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</si>
  <si>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</si>
  <si>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</si>
  <si>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LOGÍSTICA</t>
  </si>
  <si>
    <t>RAFFAELLA BARROZO DA SILVA</t>
  </si>
  <si>
    <t>JOSIMARI CORREA DA SILVA</t>
  </si>
  <si>
    <t>JAQUELINE FRAZÃO DE SOUZA</t>
  </si>
  <si>
    <t>HELOIZA PADILHA</t>
  </si>
  <si>
    <t>JOAO VITOR RIBEIRO</t>
  </si>
  <si>
    <t>HELOISE VASCONCELOS CARDOSO</t>
  </si>
  <si>
    <t>JAMILLE SUELEM DE ALMEIDA</t>
  </si>
  <si>
    <t>SWELLEM ALMEIDA DA SILVA</t>
  </si>
  <si>
    <t>RAYSSA LUISA DA SILVA</t>
  </si>
  <si>
    <t>BRYANN GOMES DA SILVA</t>
  </si>
  <si>
    <t>BRUNO FELIPE DE MIRA CORREA</t>
  </si>
  <si>
    <t>VINICIUS SCHEEL FONTES</t>
  </si>
  <si>
    <t>RUAN PABLO HARDT JOSE</t>
  </si>
  <si>
    <t>RAYLLA THAYNA MARQUES VIEIRA</t>
  </si>
  <si>
    <t>KELIANE CASTRO DE SOUZA</t>
  </si>
  <si>
    <t>ERIKA DA SILVA</t>
  </si>
  <si>
    <t>THAIS DE SOUSA LOPES</t>
  </si>
  <si>
    <t>SARAH REBECA FARIAS BARBOSA</t>
  </si>
  <si>
    <t>ISIS GABRIELY TEODORO</t>
  </si>
  <si>
    <t>Geovana Meurer</t>
  </si>
  <si>
    <t>TAYSSA DANIELE CARVALHO LIMA VERDE</t>
  </si>
  <si>
    <t>BRUNO PINHEIRO SILVA</t>
  </si>
  <si>
    <t>MILENA SCOTI HOFFMANN</t>
  </si>
  <si>
    <t xml:space="preserve">BRUNO ROBERTO DA SILVA </t>
  </si>
  <si>
    <t xml:space="preserve">MATHEUS DUARTE DA SILVA </t>
  </si>
  <si>
    <t xml:space="preserve">AGATA LAIS SILVEIRA </t>
  </si>
  <si>
    <t>LUIS FELIPE RODRIGUES SANTOS</t>
  </si>
  <si>
    <t>LUCIFLAINY SILVA DUARTE</t>
  </si>
  <si>
    <t>NICOLAS MENDES BUENO</t>
  </si>
  <si>
    <t>FLAVIA CAROLINA FERREIRA TEODORO</t>
  </si>
  <si>
    <t>EMANUELA RODRIGUES DA SILVA</t>
  </si>
  <si>
    <t>TABORDA</t>
  </si>
  <si>
    <t>Richard Marques</t>
  </si>
  <si>
    <t>ID HUAWEI</t>
  </si>
  <si>
    <t xml:space="preserve">ANA CAROLINA COSTA DA SILVA </t>
  </si>
  <si>
    <t>LUALE VITORIA MARQUES SATURNO</t>
  </si>
  <si>
    <t>VINICIUS BUDAL DANNA</t>
  </si>
  <si>
    <t>GEOVANNA VITORIA CARDOSO PINTOS</t>
  </si>
  <si>
    <t>LARISSA PAOLA SCHULZE</t>
  </si>
  <si>
    <t>JHAVES DANIEL MARQUES</t>
  </si>
  <si>
    <t>GUSTAVO MANOEL</t>
  </si>
  <si>
    <t>NÃO AUDITAR</t>
  </si>
  <si>
    <t>INATIVO</t>
  </si>
  <si>
    <t>OK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</si>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</sst>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4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0" fillId="0" borderId="4" xfId="0" applyNumberFormat="1" applyBorder="1" applyAlignment="1">
      <alignment horizontal="center"/>
    </xf>
    <xf numFmtId="0" fontId="6" fillId="3" borderId="4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  <xf numFmtId="0" fontId="14" fillId="0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5" fillId="0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0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249977111117893"/>
        </left>
        <right style="thin">
          <color theme="9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vertic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249977111117893"/>
        </left>
        <right style="thin">
          <color theme="9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52</xdr:row>
      <xdr:rowOff>180030</xdr:rowOff>
    </xdr:from>
    <xdr:to>
      <xdr:col>11</xdr:col>
      <xdr:colOff>48514</xdr:colOff>
      <xdr:row>80</xdr:row>
      <xdr:rowOff>27289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E572016-80B0-49B3-8A61-7EEE5B15D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2333930"/>
          <a:ext cx="8909939" cy="5009809"/>
        </a:xfrm>
        <a:prstGeom prst="rect">
          <a:avLst/>
        </a:prstGeom>
      </xdr:spPr>
    </xdr:pic>
    <xdr:clientData/>
  </xdr:twoCellAnchor>
  <xdr:twoCellAnchor editAs="oneCell">
    <xdr:from>
      <xdr:col>1</xdr:col>
      <xdr:colOff>76862</xdr:colOff>
      <xdr:row>24</xdr:row>
      <xdr:rowOff>133350</xdr:rowOff>
    </xdr:from>
    <xdr:to>
      <xdr:col>13</xdr:col>
      <xdr:colOff>336501</xdr:colOff>
      <xdr:row>56</xdr:row>
      <xdr:rowOff>94019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7386F2-F6EB-4DBC-A74C-3B8FD1076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62" y="4737100"/>
          <a:ext cx="10857789" cy="5853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45</xdr:row>
      <xdr:rowOff>180030</xdr:rowOff>
    </xdr:from>
    <xdr:to>
      <xdr:col>12</xdr:col>
      <xdr:colOff>239014</xdr:colOff>
      <xdr:row>73</xdr:row>
      <xdr:rowOff>27289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17A516-5F21-43E5-8737-E5CBB8312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3070530"/>
          <a:ext cx="8909939" cy="500663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17</xdr:row>
      <xdr:rowOff>152400</xdr:rowOff>
    </xdr:from>
    <xdr:to>
      <xdr:col>16</xdr:col>
      <xdr:colOff>361556</xdr:colOff>
      <xdr:row>51</xdr:row>
      <xdr:rowOff>106718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86D989-4D8C-4CAC-A13A-6520DE22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3282950"/>
          <a:ext cx="11512156" cy="621224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61666319448" createdVersion="6" refreshedVersion="6" minRefreshableVersion="3" recordCount="22" xr:uid="{19431362-CBC8-4234-A194-23AD27D2F995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4223" maxValue="11540"/>
    </cacheField>
    <cacheField name="ID WEON " numFmtId="0">
      <sharedItems containsSemiMixedTypes="0" containsString="0" containsNumber="1" containsInteger="1" minValue="4223" maxValue="11540"/>
    </cacheField>
    <cacheField name="ID HUAWEI" numFmtId="0">
      <sharedItems containsSemiMixedTypes="0" containsString="0" containsNumber="1" containsInteger="1" minValue="181" maxValue="2450"/>
    </cacheField>
    <cacheField name="NOME" numFmtId="0">
      <sharedItems/>
    </cacheField>
    <cacheField name="STATUS" numFmtId="0">
      <sharedItems containsBlank="1" count="3">
        <s v="ATIVO"/>
        <s v="INATIVO"/>
        <m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61666550925" createdVersion="6" refreshedVersion="6" minRefreshableVersion="3" recordCount="15" xr:uid="{6F0CE29A-400E-405B-AF82-2A3D709C9907}">
  <cacheSource type="worksheet">
    <worksheetSource name="Tabela22[[MATRICULA]:[SETOR]]"/>
  </cacheSource>
  <cacheFields count="8">
    <cacheField name="MATRICULA" numFmtId="0">
      <sharedItems containsSemiMixedTypes="0" containsString="0" containsNumber="1" containsInteger="1" minValue="10904" maxValue="11545"/>
    </cacheField>
    <cacheField name="ID WEON " numFmtId="0">
      <sharedItems containsSemiMixedTypes="0" containsString="0" containsNumber="1" containsInteger="1" minValue="10904" maxValue="11545"/>
    </cacheField>
    <cacheField name="ID HUAWEI" numFmtId="0">
      <sharedItems containsSemiMixedTypes="0" containsString="0" containsNumber="1" containsInteger="1" minValue="189" maxValue="2444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0699"/>
    <n v="10699"/>
    <n v="2428"/>
    <s v="RAFFAELLA BARROZO DA SILVA"/>
    <x v="0"/>
    <s v="TABORDA"/>
    <s v="Geovana Meurer"/>
    <s v="LOGÍSTICA"/>
    <m/>
  </r>
  <r>
    <n v="11497"/>
    <n v="11497"/>
    <n v="217"/>
    <s v="MATHEUS DUARTE DA SILVA "/>
    <x v="0"/>
    <s v="TABORDA"/>
    <s v="Geovana Meurer"/>
    <s v="LOGÍSTICA"/>
    <m/>
  </r>
  <r>
    <n v="11469"/>
    <n v="11469"/>
    <n v="622"/>
    <s v="BRUNO PINHEIRO SILVA"/>
    <x v="0"/>
    <s v="LOGÍSTICA"/>
    <s v="Geovana Meurer"/>
    <s v="LOGÍSTICA"/>
    <m/>
  </r>
  <r>
    <n v="11540"/>
    <n v="11540"/>
    <n v="229"/>
    <s v="ANA CAROLINA COSTA DA SILVA "/>
    <x v="1"/>
    <s v="LOGÍSTICA"/>
    <s v="Geovana Meurer"/>
    <s v="LOGÍSTICA"/>
    <s v="NÃO AUDITAR"/>
  </r>
  <r>
    <n v="11297"/>
    <n v="11297"/>
    <n v="2441"/>
    <s v="HELOISE VASCONCELOS CARDOSO"/>
    <x v="0"/>
    <s v="TABORDA"/>
    <s v="Geovana Meurer"/>
    <s v="LOGÍSTICA"/>
    <m/>
  </r>
  <r>
    <n v="11328"/>
    <n v="11328"/>
    <n v="2438"/>
    <s v="JAMILLE SUELEM DE ALMEIDA"/>
    <x v="0"/>
    <s v="LOGÍSTICA"/>
    <s v="Geovana Meurer"/>
    <s v="LOGÍSTICA"/>
    <m/>
  </r>
  <r>
    <n v="11393"/>
    <n v="11393"/>
    <n v="2449"/>
    <s v="BRYANN GOMES DA SILVA"/>
    <x v="0"/>
    <s v="TABORDA"/>
    <s v="Geovana Meurer"/>
    <s v="LOGÍSTICA"/>
    <m/>
  </r>
  <r>
    <n v="11422"/>
    <n v="11422"/>
    <n v="615"/>
    <s v="ERIKA DA SILVA"/>
    <x v="0"/>
    <s v="LOGÍSTICA"/>
    <s v="Geovana Meurer"/>
    <s v="LOGÍSTICA"/>
    <m/>
  </r>
  <r>
    <n v="4223"/>
    <n v="4223"/>
    <n v="620"/>
    <s v="ISIS GABRIELY TEODORO"/>
    <x v="0"/>
    <s v="LOGÍSTICA"/>
    <s v="Geovana Meurer"/>
    <s v="LOGÍSTICA"/>
    <m/>
  </r>
  <r>
    <n v="11443"/>
    <n v="11443"/>
    <n v="621"/>
    <s v="MILENA SCOTI HOFFMANN"/>
    <x v="0"/>
    <s v="LOGÍSTICA"/>
    <s v="Geovana Meurer"/>
    <s v="LOGÍSTICA"/>
    <m/>
  </r>
  <r>
    <n v="11506"/>
    <n v="11506"/>
    <n v="666"/>
    <s v="AGATA LAIS SILVEIRA "/>
    <x v="0"/>
    <s v="LOGÍSTICA"/>
    <s v="Geovana Meurer"/>
    <s v="LOGÍSTICA"/>
    <m/>
  </r>
  <r>
    <n v="11536"/>
    <n v="11536"/>
    <n v="467"/>
    <s v="LUALE VITORIA MARQUES SATURNO"/>
    <x v="1"/>
    <s v="LOGÍSTICA"/>
    <s v="Geovana Meurer"/>
    <s v="LOGÍSTICA"/>
    <s v="NÃO AUDITAR"/>
  </r>
  <r>
    <n v="11467"/>
    <n v="11467"/>
    <n v="616"/>
    <s v="TAYSSA DANIELE CARVALHO LIMA VERDE"/>
    <x v="0"/>
    <s v="LOGÍSTICA"/>
    <s v="Geovana Meurer"/>
    <s v="LOGÍSTICA"/>
    <m/>
  </r>
  <r>
    <n v="11144"/>
    <n v="11144"/>
    <n v="2434"/>
    <s v="JOSIMARI CORREA DA SILVA"/>
    <x v="0"/>
    <s v="LOGÍSTICA"/>
    <s v="Geovana Meurer"/>
    <s v="LOGÍSTICA"/>
    <m/>
  </r>
  <r>
    <n v="11210"/>
    <n v="11210"/>
    <n v="627"/>
    <s v="BRUNO ROBERTO DA SILVA "/>
    <x v="0"/>
    <s v="LOGÍSTICA"/>
    <s v="Geovana Meurer"/>
    <s v="LOGÍSTICA"/>
    <m/>
  </r>
  <r>
    <n v="11317"/>
    <n v="11317"/>
    <n v="2424"/>
    <s v="SWELLEM ALMEIDA DA SILVA"/>
    <x v="0"/>
    <s v="TABORDA"/>
    <s v="Geovana Meurer"/>
    <s v="LOGÍSTICA"/>
    <m/>
  </r>
  <r>
    <n v="11354"/>
    <n v="11354"/>
    <n v="2426"/>
    <s v="RAYSSA LUISA DA SILVA"/>
    <x v="0"/>
    <s v="LOGÍSTICA"/>
    <s v="Geovana Meurer"/>
    <s v="LOGÍSTICA"/>
    <m/>
  </r>
  <r>
    <n v="11400"/>
    <n v="11400"/>
    <n v="2450"/>
    <s v="BRUNO FELIPE DE MIRA CORREA"/>
    <x v="0"/>
    <s v="TABORDA"/>
    <s v="Geovana Meurer"/>
    <s v="LOGÍSTICA"/>
    <m/>
  </r>
  <r>
    <n v="11426"/>
    <n v="11426"/>
    <n v="626"/>
    <s v="THAIS DE SOUSA LOPES"/>
    <x v="0"/>
    <s v="LOGÍSTICA"/>
    <s v="Geovana Meurer"/>
    <s v="LOGÍSTICA"/>
    <m/>
  </r>
  <r>
    <n v="11423"/>
    <n v="11423"/>
    <n v="625"/>
    <s v="VINICIUS SCHEEL FONTES"/>
    <x v="0"/>
    <s v="LOGÍSTICA"/>
    <s v="Geovana Meurer"/>
    <s v="LOGÍSTICA"/>
    <m/>
  </r>
  <r>
    <n v="11522"/>
    <n v="11522"/>
    <n v="181"/>
    <s v="VINICIUS BUDAL DANNA"/>
    <x v="1"/>
    <s v="LOGÍSTICA"/>
    <s v="Geovana Meurer"/>
    <s v="LOGÍSTICA"/>
    <s v="NÃO AUDITAR"/>
  </r>
  <r>
    <n v="11290"/>
    <n v="11290"/>
    <n v="2370"/>
    <s v="JOAO VITOR RIBEIRO"/>
    <x v="0"/>
    <s v="TABORDA"/>
    <s v="Geovana Meurer"/>
    <s v="LOGÍSTICA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1503"/>
    <n v="11503"/>
    <n v="222"/>
    <s v="LUIS FELIPE RODRIGUES SANTOS"/>
    <x v="0"/>
    <s v="LOGÍSTICA"/>
    <s v="Richard Marques"/>
    <s v="LOGÍSTICA"/>
  </r>
  <r>
    <n v="11420"/>
    <n v="11420"/>
    <n v="487"/>
    <s v="KELIANE CASTRO DE SOUZA"/>
    <x v="0"/>
    <s v="LOGÍSTICA"/>
    <s v="Richard Marques"/>
    <s v="LOGÍSTICA"/>
  </r>
  <r>
    <n v="11479"/>
    <n v="11479"/>
    <n v="204"/>
    <s v="LUCIFLAINY SILVA DUARTE"/>
    <x v="1"/>
    <s v="LOGÍSTICA"/>
    <s v="Richard Marques"/>
    <s v="LOGÍSTICA"/>
  </r>
  <r>
    <n v="11499"/>
    <n v="11499"/>
    <n v="221"/>
    <s v="NICOLAS MENDES BUENO"/>
    <x v="0"/>
    <s v="LOGÍSTICA"/>
    <s v="Richard Marques"/>
    <s v="LOGÍSTICA"/>
  </r>
  <r>
    <n v="11541"/>
    <n v="11541"/>
    <n v="215"/>
    <s v="GEOVANNA VITORIA CARDOSO PINTOS"/>
    <x v="0"/>
    <s v="LOGÍSTICA"/>
    <s v="Richard Marques"/>
    <s v="LOGÍSTICA"/>
  </r>
  <r>
    <n v="11545"/>
    <n v="11545"/>
    <n v="634"/>
    <s v="LARISSA PAOLA SCHULZE"/>
    <x v="0"/>
    <s v="LOGÍSTICA"/>
    <s v="Richard Marques"/>
    <s v="LOGÍSTICA"/>
  </r>
  <r>
    <n v="11427"/>
    <n v="11427"/>
    <n v="548"/>
    <s v="SARAH REBECA FARIAS BARBOSA"/>
    <x v="0"/>
    <s v="LOGÍSTICA"/>
    <s v="Richard Marques"/>
    <s v="LOGÍSTICA"/>
  </r>
  <r>
    <n v="11303"/>
    <n v="11303"/>
    <n v="2444"/>
    <s v="FLAVIA CAROLINA FERREIRA TEODORO"/>
    <x v="0"/>
    <s v="TABORDA"/>
    <s v="Richard Marques"/>
    <s v="LOGÍSTICA"/>
  </r>
  <r>
    <n v="10904"/>
    <n v="10904"/>
    <n v="2437"/>
    <s v="JAQUELINE FRAZÃO DE SOUZA"/>
    <x v="0"/>
    <s v="LOGÍSTICA"/>
    <s v="Richard Marques"/>
    <s v="LOGÍSTICA"/>
  </r>
  <r>
    <n v="11502"/>
    <n v="11502"/>
    <n v="220"/>
    <s v="EMANUELA RODRIGUES DA SILVA"/>
    <x v="0"/>
    <s v="LOGÍSTICA"/>
    <s v="Richard Marques"/>
    <s v="LOGÍSTICA"/>
  </r>
  <r>
    <n v="11218"/>
    <n v="11218"/>
    <n v="2440"/>
    <s v="HELOIZA PADILHA"/>
    <x v="0"/>
    <s v="LOGÍSTICA"/>
    <s v="Richard Marques"/>
    <s v="LOGÍSTICA"/>
  </r>
  <r>
    <n v="11417"/>
    <n v="11417"/>
    <n v="619"/>
    <s v="RAYLLA THAYNA MARQUES VIEIRA"/>
    <x v="1"/>
    <s v="LOGÍSTICA"/>
    <s v="Richard Marques"/>
    <s v="LOGÍSTICA"/>
  </r>
  <r>
    <n v="11419"/>
    <n v="11419"/>
    <n v="488"/>
    <s v="RUAN PABLO HARDT JOSE"/>
    <x v="0"/>
    <s v="LOGÍSTICA"/>
    <s v="Richard Marques"/>
    <s v="LOGÍSTICA"/>
  </r>
  <r>
    <n v="11534"/>
    <n v="11534"/>
    <n v="189"/>
    <s v="JHAVES DANIEL MARQUES"/>
    <x v="0"/>
    <s v="LOGÍSTICA"/>
    <s v="Richard Marques"/>
    <s v="LOGÍSTICA"/>
  </r>
  <r>
    <n v="11542"/>
    <n v="11542"/>
    <n v="200"/>
    <s v="GUSTAVO MANOEL"/>
    <x v="0"/>
    <s v="LOGÍSTICA"/>
    <s v="Richard Marques"/>
    <s v="LOGÍST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8DC0A-E518-4B71-B7CD-37EDDE414E08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75">
      <pivotArea field="4" type="button" dataOnly="0" labelOnly="1" outline="0" axis="axisRow" fieldPosition="0"/>
    </format>
    <format dxfId="74">
      <pivotArea dataOnly="0" labelOnly="1" outline="0" axis="axisValues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field="4" type="button" dataOnly="0" labelOnly="1" outline="0" axis="axisRow" fieldPosition="0"/>
    </format>
    <format dxfId="62">
      <pivotArea dataOnly="0" labelOnly="1" outline="0" axis="axisValues" fieldPosition="0"/>
    </format>
    <format dxfId="61">
      <pivotArea grandRow="1" outline="0" collapsedLevelsAreSubtotals="1" fieldPosition="0"/>
    </format>
    <format dxfId="6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13EA0-3D0E-4434-825A-FBB3D3FC9CB9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0" baseItem="0"/>
  </dataFields>
  <formats count="16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4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collapsedLevelsAreSubtotals="1" fieldPosition="0">
        <references count="1">
          <reference field="4" count="0"/>
        </references>
      </pivotArea>
    </format>
    <format dxfId="1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23" totalsRowShown="0" headerRowDxfId="59" dataDxfId="58">
  <autoFilter ref="B1:L23" xr:uid="{3B58AFCC-DEBA-4655-9F72-63E18CB697B6}"/>
  <tableColumns count="11">
    <tableColumn id="1" xr3:uid="{00000000-0010-0000-0000-000001000000}" name="MATRICULA" dataDxfId="57"/>
    <tableColumn id="9" xr3:uid="{5D5963D4-6ADD-4B53-A2B4-60955012F1B3}" name="ID WEON " dataDxfId="56"/>
    <tableColumn id="12" xr3:uid="{519BE5F9-95E5-4868-B44E-86E0332FD1C7}" name="ID HUAWEI" dataDxfId="55"/>
    <tableColumn id="2" xr3:uid="{00000000-0010-0000-0000-000002000000}" name="NOME" dataDxfId="54"/>
    <tableColumn id="3" xr3:uid="{00000000-0010-0000-0000-000003000000}" name="STATUS" dataDxfId="53" totalsRowDxfId="52">
      <calculatedColumnFormula>IF(Tabela2[[#This Row],[OBS]]="","ATIVO","INATIVO")</calculatedColumnFormula>
    </tableColumn>
    <tableColumn id="4" xr3:uid="{00000000-0010-0000-0000-000004000000}" name="TURNO / OPERAÇÃO" dataDxfId="51" totalsRowDxfId="50"/>
    <tableColumn id="5" xr3:uid="{00000000-0010-0000-0000-000005000000}" name="SUPERVISOR" dataDxfId="49"/>
    <tableColumn id="6" xr3:uid="{00000000-0010-0000-0000-000006000000}" name="SETOR" dataDxfId="48" totalsRowDxfId="47"/>
    <tableColumn id="7" xr3:uid="{00000000-0010-0000-0000-000007000000}" name="OBS" dataDxfId="46" totalsRowDxfId="45"/>
    <tableColumn id="8" xr3:uid="{00000000-0010-0000-0000-000008000000}" name="CHAVE" dataDxfId="44" totalsRowDxfId="43"/>
    <tableColumn id="10" xr3:uid="{D8BA63F2-D59B-4CD8-8EE0-EAE9BC3FDE4E}" name="OPERACIONAL" dataDxfId="42" totalsRowDxfId="41"/>
  </tableColumns>
  <tableStyleInfo name="TableStyleLight14" showFirstColumn="1" showLastColumn="1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CAE4C-44AB-41DB-8596-506F18CA0612}" name="Tabela22" displayName="Tabela22" ref="B1:L16" totalsRowShown="0" headerRowDxfId="18" dataDxfId="17">
  <sortState ref="B2:L16">
    <sortCondition ref="B1:B4"/>
  </sortState>
  <tableColumns count="11">
    <tableColumn id="1" xr3:uid="{FF719A9E-FE0A-4E1F-A360-D452BE1171C5}" name="MATRICULA" dataDxfId="16"/>
    <tableColumn id="9" xr3:uid="{5F72FC8A-8A90-412E-BF30-E0B891F5DD9F}" name="ID WEON " dataDxfId="15"/>
    <tableColumn id="11" xr3:uid="{8F469146-1287-4C9A-A91C-F88DFBB4111D}" name="ID HUAWEI" dataDxfId="14"/>
    <tableColumn id="2" xr3:uid="{7F53E44F-24E5-441A-96A8-02CC93F0834B}" name="NOME" dataDxfId="13"/>
    <tableColumn id="3" xr3:uid="{F5E0E4C7-33E4-48E9-81F1-A6ED0446B236}" name="STATUS" dataDxfId="12" totalsRowDxfId="11">
      <calculatedColumnFormula>IF(Tabela22[[#This Row],[OBS]]="","ATIVO","INATIVO")</calculatedColumnFormula>
    </tableColumn>
    <tableColumn id="4" xr3:uid="{3168513D-EC07-4B3A-962C-D9CBFC4EDC9D}" name="TURNO / OPERAÇÃO" dataDxfId="10" totalsRowDxfId="9"/>
    <tableColumn id="5" xr3:uid="{63E4893C-E07A-47C9-BCA0-62AA99BA312F}" name="SUPERVISOR" dataDxfId="8"/>
    <tableColumn id="6" xr3:uid="{9FED42B2-8129-4838-A513-82AD2921B6D0}" name="SETOR" dataDxfId="7" totalsRowDxfId="6"/>
    <tableColumn id="7" xr3:uid="{38DCA169-BAC1-4C59-9205-1562A584D390}" name="OBS" dataDxfId="5" totalsRowDxfId="4"/>
    <tableColumn id="8" xr3:uid="{DFEEA8EC-AD29-4051-B315-5390F3930B1C}" name="CHAVE" dataDxfId="3" totalsRowDxfId="2"/>
    <tableColumn id="10" xr3:uid="{CACB52DF-A635-4E7B-9AAA-0C69D31EFF9B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tabSelected="1" topLeftCell="B1" zoomScaleNormal="100" workbookViewId="0">
      <selection activeCell="M22" sqref="M22"/>
    </sheetView>
  </sheetViews>
  <sheetFormatPr defaultRowHeight="14.5" x14ac:dyDescent="0.35"/>
  <cols>
    <col min="1" max="1" width="19.26953125" hidden="1" customWidth="1"/>
    <col min="2" max="2" width="12.1796875" style="1" customWidth="1"/>
    <col min="3" max="3" width="8.1796875" style="1" customWidth="1"/>
    <col min="4" max="4" width="11.6328125" style="1" bestFit="1" customWidth="1"/>
    <col min="5" max="5" width="32.453125" style="1" customWidth="1"/>
    <col min="6" max="6" width="8.54296875" style="1" customWidth="1"/>
    <col min="7" max="7" width="18.1796875" style="1" customWidth="1"/>
    <col min="8" max="8" width="14.1796875" style="1" bestFit="1" customWidth="1"/>
    <col min="9" max="9" width="12" style="1" bestFit="1" customWidth="1"/>
    <col min="10" max="10" width="10.7265625" style="18" customWidth="1"/>
    <col min="11" max="11" width="8.453125" hidden="1" customWidth="1"/>
    <col min="12" max="13" width="11.81640625" bestFit="1" customWidth="1"/>
    <col min="14" max="14" width="10.453125" customWidth="1"/>
    <col min="15" max="15" width="9.26953125" bestFit="1" customWidth="1"/>
    <col min="16" max="16" width="4.1796875" bestFit="1" customWidth="1"/>
    <col min="17" max="17" width="24.5429687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8" t="s">
        <v>7</v>
      </c>
      <c r="K1" s="1" t="s">
        <v>8</v>
      </c>
      <c r="L1" s="8" t="s">
        <v>12</v>
      </c>
      <c r="M1" s="4" t="s">
        <v>12</v>
      </c>
      <c r="O1" s="10" t="s">
        <v>3</v>
      </c>
      <c r="P1" s="10" t="s">
        <v>9</v>
      </c>
    </row>
    <row r="2" spans="2:16" x14ac:dyDescent="0.35">
      <c r="B2" s="3">
        <v>10699</v>
      </c>
      <c r="C2" s="3">
        <v>10699</v>
      </c>
      <c r="D2" s="3">
        <v>2428</v>
      </c>
      <c r="E2" s="5" t="s">
        <v>14</v>
      </c>
      <c r="F2" s="6" t="str">
        <f>IF(Tabela2[[#This Row],[OBS]]="","ATIVO","INATIVO")</f>
        <v>ATIVO</v>
      </c>
      <c r="G2" s="16" t="s">
        <v>45</v>
      </c>
      <c r="H2" s="6" t="s">
        <v>33</v>
      </c>
      <c r="I2" s="6" t="s">
        <v>13</v>
      </c>
      <c r="J2" s="19"/>
      <c r="K2" s="14"/>
      <c r="L2" s="6" t="s">
        <v>57</v>
      </c>
      <c r="M2" s="7" t="s">
        <v>57</v>
      </c>
      <c r="O2" s="9" t="s">
        <v>10</v>
      </c>
      <c r="P2" s="11">
        <v>19</v>
      </c>
    </row>
    <row r="3" spans="2:16" x14ac:dyDescent="0.35">
      <c r="B3" s="33">
        <v>11497</v>
      </c>
      <c r="C3" s="33">
        <v>11497</v>
      </c>
      <c r="D3" s="33">
        <v>217</v>
      </c>
      <c r="E3" s="34" t="s">
        <v>38</v>
      </c>
      <c r="F3" s="6" t="str">
        <f>IF(Tabela2[[#This Row],[OBS]]="","ATIVO","INATIVO")</f>
        <v>ATIVO</v>
      </c>
      <c r="G3" s="16" t="s">
        <v>45</v>
      </c>
      <c r="H3" s="6" t="s">
        <v>33</v>
      </c>
      <c r="I3" s="6" t="s">
        <v>13</v>
      </c>
      <c r="J3" s="19"/>
      <c r="K3" s="2"/>
      <c r="L3" s="6" t="s">
        <v>57</v>
      </c>
      <c r="M3" s="7" t="s">
        <v>57</v>
      </c>
      <c r="O3" s="9" t="s">
        <v>56</v>
      </c>
      <c r="P3" s="11">
        <v>3</v>
      </c>
    </row>
    <row r="4" spans="2:16" x14ac:dyDescent="0.35">
      <c r="B4" s="33">
        <v>11469</v>
      </c>
      <c r="C4" s="33">
        <v>11469</v>
      </c>
      <c r="D4" s="33">
        <v>622</v>
      </c>
      <c r="E4" s="34" t="s">
        <v>35</v>
      </c>
      <c r="F4" s="6" t="str">
        <f>IF(Tabela2[[#This Row],[OBS]]="","ATIVO","INATIVO")</f>
        <v>ATIVO</v>
      </c>
      <c r="G4" s="16" t="s">
        <v>13</v>
      </c>
      <c r="H4" s="6" t="s">
        <v>33</v>
      </c>
      <c r="I4" s="6" t="s">
        <v>13</v>
      </c>
      <c r="J4" s="19"/>
      <c r="K4" s="14"/>
      <c r="L4" s="6" t="s">
        <v>57</v>
      </c>
      <c r="M4" s="7" t="s">
        <v>58</v>
      </c>
      <c r="O4" s="10" t="s">
        <v>11</v>
      </c>
      <c r="P4" s="12">
        <v>22</v>
      </c>
    </row>
    <row r="5" spans="2:16" x14ac:dyDescent="0.35">
      <c r="B5" s="33">
        <v>11540</v>
      </c>
      <c r="C5" s="33">
        <v>11540</v>
      </c>
      <c r="D5" s="33">
        <v>229</v>
      </c>
      <c r="E5" s="34" t="s">
        <v>48</v>
      </c>
      <c r="F5" s="6" t="str">
        <f>IF(Tabela2[[#This Row],[OBS]]="","ATIVO","INATIVO")</f>
        <v>INATIVO</v>
      </c>
      <c r="G5" s="16" t="s">
        <v>13</v>
      </c>
      <c r="H5" s="6" t="s">
        <v>33</v>
      </c>
      <c r="I5" s="6" t="s">
        <v>13</v>
      </c>
      <c r="J5" s="19" t="s">
        <v>55</v>
      </c>
      <c r="K5" s="17"/>
      <c r="L5" s="6" t="s">
        <v>55</v>
      </c>
      <c r="M5" s="7" t="s">
        <v>55</v>
      </c>
    </row>
    <row r="6" spans="2:16" x14ac:dyDescent="0.35">
      <c r="B6" s="33">
        <v>11297</v>
      </c>
      <c r="C6" s="33">
        <v>11297</v>
      </c>
      <c r="D6" s="33">
        <v>2441</v>
      </c>
      <c r="E6" s="34" t="s">
        <v>19</v>
      </c>
      <c r="F6" s="13" t="str">
        <f>IF(Tabela2[[#This Row],[OBS]]="","ATIVO","INATIVO")</f>
        <v>ATIVO</v>
      </c>
      <c r="G6" s="16" t="s">
        <v>45</v>
      </c>
      <c r="H6" s="6" t="s">
        <v>33</v>
      </c>
      <c r="I6" s="6" t="s">
        <v>13</v>
      </c>
      <c r="J6" s="19"/>
      <c r="K6" s="14"/>
      <c r="L6" s="6" t="s">
        <v>57</v>
      </c>
      <c r="M6" s="7" t="s">
        <v>57</v>
      </c>
    </row>
    <row r="7" spans="2:16" x14ac:dyDescent="0.35">
      <c r="B7" s="33">
        <v>11328</v>
      </c>
      <c r="C7" s="33">
        <v>11328</v>
      </c>
      <c r="D7" s="33">
        <v>2438</v>
      </c>
      <c r="E7" s="34" t="s">
        <v>20</v>
      </c>
      <c r="F7" s="13" t="str">
        <f>IF(Tabela2[[#This Row],[OBS]]="","ATIVO","INATIVO")</f>
        <v>ATIVO</v>
      </c>
      <c r="G7" s="16" t="s">
        <v>13</v>
      </c>
      <c r="H7" s="6" t="s">
        <v>33</v>
      </c>
      <c r="I7" s="6" t="s">
        <v>13</v>
      </c>
      <c r="J7" s="20"/>
      <c r="K7" s="14"/>
      <c r="L7" s="6" t="s">
        <v>57</v>
      </c>
      <c r="M7" s="7" t="s">
        <v>57</v>
      </c>
    </row>
    <row r="8" spans="2:16" x14ac:dyDescent="0.35">
      <c r="B8" s="33">
        <v>11393</v>
      </c>
      <c r="C8" s="33">
        <v>11393</v>
      </c>
      <c r="D8" s="33">
        <v>2449</v>
      </c>
      <c r="E8" s="34" t="s">
        <v>23</v>
      </c>
      <c r="F8" s="13" t="str">
        <f>IF(Tabela2[[#This Row],[OBS]]="","ATIVO","INATIVO")</f>
        <v>ATIVO</v>
      </c>
      <c r="G8" s="16" t="s">
        <v>45</v>
      </c>
      <c r="H8" s="6" t="s">
        <v>33</v>
      </c>
      <c r="I8" s="6" t="s">
        <v>13</v>
      </c>
      <c r="J8" s="19"/>
      <c r="K8" s="14"/>
      <c r="L8" s="6" t="s">
        <v>57</v>
      </c>
      <c r="M8" s="7" t="s">
        <v>57</v>
      </c>
    </row>
    <row r="9" spans="2:16" x14ac:dyDescent="0.35">
      <c r="B9" s="33">
        <v>11422</v>
      </c>
      <c r="C9" s="33">
        <v>11422</v>
      </c>
      <c r="D9" s="33">
        <v>615</v>
      </c>
      <c r="E9" s="34" t="s">
        <v>29</v>
      </c>
      <c r="F9" s="25" t="str">
        <f>IF(Tabela2[[#This Row],[OBS]]="","ATIVO","INATIVO")</f>
        <v>ATIVO</v>
      </c>
      <c r="G9" s="16" t="s">
        <v>13</v>
      </c>
      <c r="H9" s="6" t="s">
        <v>33</v>
      </c>
      <c r="I9" s="6" t="s">
        <v>13</v>
      </c>
      <c r="J9" s="26"/>
      <c r="K9" s="27"/>
      <c r="L9" s="6" t="s">
        <v>57</v>
      </c>
      <c r="M9" s="7" t="s">
        <v>57</v>
      </c>
    </row>
    <row r="10" spans="2:16" x14ac:dyDescent="0.35">
      <c r="B10" s="33">
        <v>4223</v>
      </c>
      <c r="C10" s="33">
        <v>4223</v>
      </c>
      <c r="D10" s="33">
        <v>620</v>
      </c>
      <c r="E10" s="34" t="s">
        <v>32</v>
      </c>
      <c r="F10" s="25" t="str">
        <f>IF(Tabela2[[#This Row],[OBS]]="","ATIVO","INATIVO")</f>
        <v>ATIVO</v>
      </c>
      <c r="G10" s="16" t="s">
        <v>13</v>
      </c>
      <c r="H10" s="6" t="s">
        <v>33</v>
      </c>
      <c r="I10" s="6" t="s">
        <v>13</v>
      </c>
      <c r="J10" s="26"/>
      <c r="K10" s="27"/>
      <c r="L10" s="6" t="s">
        <v>57</v>
      </c>
      <c r="M10" s="7" t="s">
        <v>57</v>
      </c>
    </row>
    <row r="11" spans="2:16" x14ac:dyDescent="0.35">
      <c r="B11" s="33">
        <v>11443</v>
      </c>
      <c r="C11" s="33">
        <v>11443</v>
      </c>
      <c r="D11" s="33">
        <v>621</v>
      </c>
      <c r="E11" s="34" t="s">
        <v>36</v>
      </c>
      <c r="F11" s="25" t="str">
        <f>IF(Tabela2[[#This Row],[OBS]]="","ATIVO","INATIVO")</f>
        <v>ATIVO</v>
      </c>
      <c r="G11" s="16" t="s">
        <v>13</v>
      </c>
      <c r="H11" s="6" t="s">
        <v>33</v>
      </c>
      <c r="I11" s="6" t="s">
        <v>13</v>
      </c>
      <c r="J11" s="26"/>
      <c r="K11" s="27"/>
      <c r="L11" s="6" t="s">
        <v>57</v>
      </c>
      <c r="M11" s="7" t="s">
        <v>57</v>
      </c>
    </row>
    <row r="12" spans="2:16" x14ac:dyDescent="0.35">
      <c r="B12" s="33">
        <v>11506</v>
      </c>
      <c r="C12" s="33">
        <v>11506</v>
      </c>
      <c r="D12" s="33">
        <v>666</v>
      </c>
      <c r="E12" s="34" t="s">
        <v>39</v>
      </c>
      <c r="F12" s="25" t="str">
        <f>IF(Tabela2[[#This Row],[OBS]]="","ATIVO","INATIVO")</f>
        <v>ATIVO</v>
      </c>
      <c r="G12" s="16" t="s">
        <v>13</v>
      </c>
      <c r="H12" s="6" t="s">
        <v>33</v>
      </c>
      <c r="I12" s="6" t="s">
        <v>13</v>
      </c>
      <c r="J12" s="26"/>
      <c r="K12" s="27"/>
      <c r="L12" s="6" t="s">
        <v>57</v>
      </c>
      <c r="M12" s="31" t="s">
        <v>57</v>
      </c>
    </row>
    <row r="13" spans="2:16" x14ac:dyDescent="0.35">
      <c r="B13" s="33">
        <v>11536</v>
      </c>
      <c r="C13" s="33">
        <v>11536</v>
      </c>
      <c r="D13" s="33">
        <v>467</v>
      </c>
      <c r="E13" s="34" t="s">
        <v>49</v>
      </c>
      <c r="F13" s="25" t="str">
        <f>IF(Tabela2[[#This Row],[OBS]]="","ATIVO","INATIVO")</f>
        <v>INATIVO</v>
      </c>
      <c r="G13" s="16" t="s">
        <v>13</v>
      </c>
      <c r="H13" s="6" t="s">
        <v>33</v>
      </c>
      <c r="I13" s="6" t="s">
        <v>13</v>
      </c>
      <c r="J13" s="19" t="s">
        <v>55</v>
      </c>
      <c r="K13" s="27"/>
      <c r="L13" s="6" t="s">
        <v>55</v>
      </c>
      <c r="M13" s="7" t="s">
        <v>55</v>
      </c>
    </row>
    <row r="14" spans="2:16" x14ac:dyDescent="0.35">
      <c r="B14" s="33">
        <v>11467</v>
      </c>
      <c r="C14" s="33">
        <v>11467</v>
      </c>
      <c r="D14" s="33">
        <v>616</v>
      </c>
      <c r="E14" s="34" t="s">
        <v>34</v>
      </c>
      <c r="F14" s="25" t="str">
        <f>IF(Tabela2[[#This Row],[OBS]]="","ATIVO","INATIVO")</f>
        <v>ATIVO</v>
      </c>
      <c r="G14" s="16" t="s">
        <v>13</v>
      </c>
      <c r="H14" s="6" t="s">
        <v>33</v>
      </c>
      <c r="I14" s="6" t="s">
        <v>13</v>
      </c>
      <c r="J14" s="26"/>
      <c r="K14" s="27"/>
      <c r="L14" s="6" t="s">
        <v>57</v>
      </c>
      <c r="M14" s="15" t="s">
        <v>57</v>
      </c>
    </row>
    <row r="15" spans="2:16" x14ac:dyDescent="0.35">
      <c r="B15" s="33">
        <v>11144</v>
      </c>
      <c r="C15" s="33">
        <v>11144</v>
      </c>
      <c r="D15" s="33">
        <v>2434</v>
      </c>
      <c r="E15" s="34" t="s">
        <v>15</v>
      </c>
      <c r="F15" s="25" t="str">
        <f>IF(Tabela2[[#This Row],[OBS]]="","ATIVO","INATIVO")</f>
        <v>ATIVO</v>
      </c>
      <c r="G15" s="16" t="s">
        <v>13</v>
      </c>
      <c r="H15" s="6" t="s">
        <v>33</v>
      </c>
      <c r="I15" s="6" t="s">
        <v>13</v>
      </c>
      <c r="J15" s="19"/>
      <c r="K15" s="27"/>
      <c r="L15" s="6" t="s">
        <v>57</v>
      </c>
      <c r="M15" s="15" t="s">
        <v>57</v>
      </c>
    </row>
    <row r="16" spans="2:16" x14ac:dyDescent="0.35">
      <c r="B16" s="33">
        <v>11210</v>
      </c>
      <c r="C16" s="33">
        <v>11210</v>
      </c>
      <c r="D16" s="33">
        <v>627</v>
      </c>
      <c r="E16" s="34" t="s">
        <v>37</v>
      </c>
      <c r="F16" s="25" t="str">
        <f>IF(Tabela2[[#This Row],[OBS]]="","ATIVO","INATIVO")</f>
        <v>ATIVO</v>
      </c>
      <c r="G16" s="16" t="s">
        <v>13</v>
      </c>
      <c r="H16" s="6" t="s">
        <v>33</v>
      </c>
      <c r="I16" s="6" t="s">
        <v>13</v>
      </c>
      <c r="J16" s="19"/>
      <c r="K16" s="27"/>
      <c r="L16" s="6" t="s">
        <v>57</v>
      </c>
      <c r="M16" s="15" t="s">
        <v>57</v>
      </c>
    </row>
    <row r="17" spans="2:13" x14ac:dyDescent="0.35">
      <c r="B17" s="3">
        <v>11317</v>
      </c>
      <c r="C17" s="3">
        <v>11317</v>
      </c>
      <c r="D17" s="3">
        <v>2424</v>
      </c>
      <c r="E17" s="24" t="s">
        <v>21</v>
      </c>
      <c r="F17" s="25" t="str">
        <f>IF(Tabela2[[#This Row],[OBS]]="","ATIVO","INATIVO")</f>
        <v>ATIVO</v>
      </c>
      <c r="G17" s="16" t="s">
        <v>45</v>
      </c>
      <c r="H17" s="6" t="s">
        <v>33</v>
      </c>
      <c r="I17" s="6" t="s">
        <v>13</v>
      </c>
      <c r="J17" s="19"/>
      <c r="K17" s="27"/>
      <c r="L17" s="6" t="s">
        <v>57</v>
      </c>
      <c r="M17" s="15" t="s">
        <v>57</v>
      </c>
    </row>
    <row r="18" spans="2:13" x14ac:dyDescent="0.35">
      <c r="B18" s="33">
        <v>11354</v>
      </c>
      <c r="C18" s="33">
        <v>11354</v>
      </c>
      <c r="D18" s="33">
        <v>2426</v>
      </c>
      <c r="E18" s="34" t="s">
        <v>22</v>
      </c>
      <c r="F18" s="25" t="str">
        <f>IF(Tabela2[[#This Row],[OBS]]="","ATIVO","INATIVO")</f>
        <v>ATIVO</v>
      </c>
      <c r="G18" s="16" t="s">
        <v>13</v>
      </c>
      <c r="H18" s="6" t="s">
        <v>33</v>
      </c>
      <c r="I18" s="6" t="s">
        <v>13</v>
      </c>
      <c r="J18" s="19"/>
      <c r="K18" s="27"/>
      <c r="L18" s="6" t="s">
        <v>57</v>
      </c>
      <c r="M18" s="15" t="s">
        <v>57</v>
      </c>
    </row>
    <row r="19" spans="2:13" x14ac:dyDescent="0.35">
      <c r="B19" s="33">
        <v>11400</v>
      </c>
      <c r="C19" s="33">
        <v>11400</v>
      </c>
      <c r="D19" s="33">
        <v>2450</v>
      </c>
      <c r="E19" s="34" t="s">
        <v>24</v>
      </c>
      <c r="F19" s="25" t="str">
        <f>IF(Tabela2[[#This Row],[OBS]]="","ATIVO","INATIVO")</f>
        <v>ATIVO</v>
      </c>
      <c r="G19" s="16" t="s">
        <v>45</v>
      </c>
      <c r="H19" s="6" t="s">
        <v>33</v>
      </c>
      <c r="I19" s="6" t="s">
        <v>13</v>
      </c>
      <c r="J19" s="19"/>
      <c r="K19" s="27"/>
      <c r="L19" s="6" t="s">
        <v>57</v>
      </c>
      <c r="M19" s="15" t="s">
        <v>57</v>
      </c>
    </row>
    <row r="20" spans="2:13" x14ac:dyDescent="0.35">
      <c r="B20" s="33">
        <v>11426</v>
      </c>
      <c r="C20" s="33">
        <v>11426</v>
      </c>
      <c r="D20" s="33">
        <v>626</v>
      </c>
      <c r="E20" s="34" t="s">
        <v>30</v>
      </c>
      <c r="F20" s="25" t="str">
        <f>IF(Tabela2[[#This Row],[OBS]]="","ATIVO","INATIVO")</f>
        <v>ATIVO</v>
      </c>
      <c r="G20" s="16" t="s">
        <v>13</v>
      </c>
      <c r="H20" s="6" t="s">
        <v>33</v>
      </c>
      <c r="I20" s="6" t="s">
        <v>13</v>
      </c>
      <c r="J20" s="19"/>
      <c r="K20" s="27"/>
      <c r="L20" s="6" t="s">
        <v>57</v>
      </c>
      <c r="M20" s="31" t="s">
        <v>57</v>
      </c>
    </row>
    <row r="21" spans="2:13" x14ac:dyDescent="0.35">
      <c r="B21" s="33">
        <v>11423</v>
      </c>
      <c r="C21" s="33">
        <v>11423</v>
      </c>
      <c r="D21" s="33">
        <v>625</v>
      </c>
      <c r="E21" s="34" t="s">
        <v>25</v>
      </c>
      <c r="F21" s="23" t="str">
        <f>IF(Tabela2[[#This Row],[OBS]]="","ATIVO","INATIVO")</f>
        <v>ATIVO</v>
      </c>
      <c r="G21" s="16" t="s">
        <v>13</v>
      </c>
      <c r="H21" s="6" t="s">
        <v>33</v>
      </c>
      <c r="I21" s="6" t="s">
        <v>13</v>
      </c>
      <c r="J21" s="19"/>
      <c r="K21" s="27"/>
      <c r="L21" s="6" t="s">
        <v>57</v>
      </c>
      <c r="M21" s="15" t="s">
        <v>57</v>
      </c>
    </row>
    <row r="22" spans="2:13" x14ac:dyDescent="0.35">
      <c r="B22" s="3">
        <v>11522</v>
      </c>
      <c r="C22" s="3">
        <v>11522</v>
      </c>
      <c r="D22" s="3">
        <v>181</v>
      </c>
      <c r="E22" s="38" t="s">
        <v>50</v>
      </c>
      <c r="F22" s="28" t="str">
        <f>IF(Tabela2[[#This Row],[OBS]]="","ATIVO","INATIVO")</f>
        <v>INATIVO</v>
      </c>
      <c r="G22" s="16" t="s">
        <v>13</v>
      </c>
      <c r="H22" s="6" t="s">
        <v>33</v>
      </c>
      <c r="I22" s="6" t="s">
        <v>13</v>
      </c>
      <c r="J22" s="19" t="s">
        <v>55</v>
      </c>
      <c r="K22" s="30"/>
      <c r="L22" s="6" t="s">
        <v>55</v>
      </c>
      <c r="M22" s="7" t="s">
        <v>55</v>
      </c>
    </row>
    <row r="23" spans="2:13" x14ac:dyDescent="0.35">
      <c r="B23" s="33">
        <v>11290</v>
      </c>
      <c r="C23" s="33">
        <v>11290</v>
      </c>
      <c r="D23" s="33">
        <v>2370</v>
      </c>
      <c r="E23" s="34" t="s">
        <v>18</v>
      </c>
      <c r="F23" s="28" t="str">
        <f>IF(Tabela2[[#This Row],[OBS]]="","ATIVO","INATIVO")</f>
        <v>ATIVO</v>
      </c>
      <c r="G23" s="16" t="s">
        <v>45</v>
      </c>
      <c r="H23" s="6" t="s">
        <v>33</v>
      </c>
      <c r="I23" s="6" t="s">
        <v>13</v>
      </c>
      <c r="J23" s="29"/>
      <c r="K23" s="30"/>
      <c r="L23" s="6" t="s">
        <v>57</v>
      </c>
      <c r="M23" s="15" t="s">
        <v>57</v>
      </c>
    </row>
    <row r="24" spans="2:13" x14ac:dyDescent="0.35">
      <c r="L24" s="22">
        <f>COUNTIF(L3:L23,"X")</f>
        <v>0</v>
      </c>
      <c r="M24" s="21">
        <f>COUNTIF(M3:M23,"X")</f>
        <v>1</v>
      </c>
    </row>
  </sheetData>
  <conditionalFormatting sqref="F1:F1048576">
    <cfRule type="containsText" dxfId="95" priority="39" stopIfTrue="1" operator="containsText" text="INATIVO">
      <formula>NOT(ISERROR(SEARCH("INATIVO",F1)))</formula>
    </cfRule>
    <cfRule type="containsText" dxfId="94" priority="40" stopIfTrue="1" operator="containsText" text="ATIVO">
      <formula>NOT(ISERROR(SEARCH("ATIVO",F1)))</formula>
    </cfRule>
  </conditionalFormatting>
  <conditionalFormatting sqref="L3:M3 L20:M20 L23:M23 L6:M16">
    <cfRule type="containsText" dxfId="93" priority="37" operator="containsText" text="OK">
      <formula>NOT(ISERROR(SEARCH("OK",L3)))</formula>
    </cfRule>
    <cfRule type="containsText" dxfId="92" priority="38" operator="containsText" text="X">
      <formula>NOT(ISERROR(SEARCH("X",L3)))</formula>
    </cfRule>
  </conditionalFormatting>
  <conditionalFormatting sqref="L5:M5">
    <cfRule type="containsText" dxfId="91" priority="33" operator="containsText" text="OK">
      <formula>NOT(ISERROR(SEARCH("OK",L5)))</formula>
    </cfRule>
    <cfRule type="containsText" dxfId="90" priority="34" operator="containsText" text="X">
      <formula>NOT(ISERROR(SEARCH("X",L5)))</formula>
    </cfRule>
  </conditionalFormatting>
  <conditionalFormatting sqref="J8">
    <cfRule type="containsText" dxfId="89" priority="29" operator="containsText" text="OK">
      <formula>NOT(ISERROR(SEARCH("OK",J8)))</formula>
    </cfRule>
    <cfRule type="containsText" dxfId="88" priority="30" operator="containsText" text="X">
      <formula>NOT(ISERROR(SEARCH("X",J8)))</formula>
    </cfRule>
  </conditionalFormatting>
  <conditionalFormatting sqref="L18:M18">
    <cfRule type="containsText" dxfId="87" priority="27" operator="containsText" text="OK">
      <formula>NOT(ISERROR(SEARCH("OK",L18)))</formula>
    </cfRule>
    <cfRule type="containsText" dxfId="86" priority="28" operator="containsText" text="X">
      <formula>NOT(ISERROR(SEARCH("X",L18)))</formula>
    </cfRule>
  </conditionalFormatting>
  <conditionalFormatting sqref="L19:M19">
    <cfRule type="containsText" dxfId="85" priority="25" operator="containsText" text="OK">
      <formula>NOT(ISERROR(SEARCH("OK",L19)))</formula>
    </cfRule>
    <cfRule type="containsText" dxfId="84" priority="26" operator="containsText" text="X">
      <formula>NOT(ISERROR(SEARCH("X",L19)))</formula>
    </cfRule>
  </conditionalFormatting>
  <conditionalFormatting sqref="L17:M17">
    <cfRule type="containsText" dxfId="83" priority="23" operator="containsText" text="OK">
      <formula>NOT(ISERROR(SEARCH("OK",L17)))</formula>
    </cfRule>
    <cfRule type="containsText" dxfId="82" priority="24" operator="containsText" text="X">
      <formula>NOT(ISERROR(SEARCH("X",L17)))</formula>
    </cfRule>
  </conditionalFormatting>
  <conditionalFormatting sqref="L21:M22">
    <cfRule type="containsText" dxfId="81" priority="13" operator="containsText" text="OK">
      <formula>NOT(ISERROR(SEARCH("OK",L21)))</formula>
    </cfRule>
    <cfRule type="containsText" dxfId="80" priority="14" operator="containsText" text="X">
      <formula>NOT(ISERROR(SEARCH("X",L21)))</formula>
    </cfRule>
  </conditionalFormatting>
  <conditionalFormatting sqref="L4:M4">
    <cfRule type="containsText" dxfId="79" priority="3" operator="containsText" text="OK">
      <formula>NOT(ISERROR(SEARCH("OK",L4)))</formula>
    </cfRule>
    <cfRule type="containsText" dxfId="78" priority="4" operator="containsText" text="X">
      <formula>NOT(ISERROR(SEARCH("X",L4)))</formula>
    </cfRule>
  </conditionalFormatting>
  <conditionalFormatting sqref="L2:M2">
    <cfRule type="containsText" dxfId="77" priority="1" operator="containsText" text="OK">
      <formula>NOT(ISERROR(SEARCH("OK",L2)))</formula>
    </cfRule>
    <cfRule type="containsText" dxfId="76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B276-0396-479E-B411-ED60E964EF8B}">
  <dimension ref="A1:P17"/>
  <sheetViews>
    <sheetView showGridLines="0" topLeftCell="B1" zoomScaleNormal="100" workbookViewId="0">
      <selection activeCell="J7" sqref="J7"/>
    </sheetView>
  </sheetViews>
  <sheetFormatPr defaultRowHeight="14.5" x14ac:dyDescent="0.35"/>
  <cols>
    <col min="1" max="1" width="19.26953125" hidden="1" customWidth="1"/>
    <col min="2" max="2" width="12.1796875" style="1" customWidth="1"/>
    <col min="3" max="3" width="8.1796875" style="1" customWidth="1"/>
    <col min="4" max="4" width="9.36328125" style="1" bestFit="1" customWidth="1"/>
    <col min="5" max="5" width="24.1796875" style="1" bestFit="1" customWidth="1"/>
    <col min="6" max="6" width="8.81640625" style="1" bestFit="1" customWidth="1"/>
    <col min="7" max="7" width="14.1796875" style="1" bestFit="1" customWidth="1"/>
    <col min="8" max="8" width="12" style="1" bestFit="1" customWidth="1"/>
    <col min="9" max="9" width="15.36328125" style="18" customWidth="1"/>
    <col min="10" max="10" width="9.08984375" bestFit="1" customWidth="1"/>
    <col min="11" max="11" width="6.08984375" hidden="1" customWidth="1"/>
    <col min="12" max="13" width="11.81640625" bestFit="1" customWidth="1"/>
    <col min="14" max="15" width="9.26953125" bestFit="1" customWidth="1"/>
    <col min="16" max="16" width="4.1796875" bestFit="1" customWidth="1"/>
    <col min="17" max="17" width="18.26953125" bestFit="1" customWidth="1"/>
    <col min="18" max="18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8" t="s">
        <v>7</v>
      </c>
      <c r="K1" s="1" t="s">
        <v>8</v>
      </c>
      <c r="L1" s="8" t="s">
        <v>12</v>
      </c>
      <c r="M1" s="4" t="s">
        <v>12</v>
      </c>
      <c r="O1" s="10" t="s">
        <v>3</v>
      </c>
      <c r="P1" s="10" t="s">
        <v>9</v>
      </c>
    </row>
    <row r="2" spans="2:16" x14ac:dyDescent="0.35">
      <c r="B2" s="33">
        <v>11503</v>
      </c>
      <c r="C2" s="33">
        <v>11503</v>
      </c>
      <c r="D2" s="33">
        <v>222</v>
      </c>
      <c r="E2" s="34" t="s">
        <v>40</v>
      </c>
      <c r="F2" s="28" t="str">
        <f>IF(Tabela22[[#This Row],[OBS]]="","ATIVO","INATIVO")</f>
        <v>ATIVO</v>
      </c>
      <c r="G2" s="16" t="s">
        <v>13</v>
      </c>
      <c r="H2" s="6" t="s">
        <v>46</v>
      </c>
      <c r="I2" s="6" t="s">
        <v>13</v>
      </c>
      <c r="J2" s="19"/>
      <c r="K2" s="2"/>
      <c r="L2" s="6" t="s">
        <v>57</v>
      </c>
      <c r="M2" s="7" t="s">
        <v>57</v>
      </c>
      <c r="O2" s="9" t="s">
        <v>10</v>
      </c>
      <c r="P2" s="37">
        <v>13</v>
      </c>
    </row>
    <row r="3" spans="2:16" x14ac:dyDescent="0.35">
      <c r="B3" s="33">
        <v>11420</v>
      </c>
      <c r="C3" s="33">
        <v>11420</v>
      </c>
      <c r="D3" s="33">
        <v>487</v>
      </c>
      <c r="E3" s="34" t="s">
        <v>28</v>
      </c>
      <c r="F3" s="28" t="str">
        <f>IF(Tabela22[[#This Row],[OBS]]="","ATIVO","INATIVO")</f>
        <v>ATIVO</v>
      </c>
      <c r="G3" s="16" t="s">
        <v>13</v>
      </c>
      <c r="H3" s="6" t="s">
        <v>46</v>
      </c>
      <c r="I3" s="6" t="s">
        <v>13</v>
      </c>
      <c r="J3" s="19"/>
      <c r="K3" s="2"/>
      <c r="L3" s="6" t="s">
        <v>57</v>
      </c>
      <c r="M3" s="7" t="s">
        <v>57</v>
      </c>
      <c r="O3" s="9" t="s">
        <v>56</v>
      </c>
      <c r="P3" s="37">
        <v>2</v>
      </c>
    </row>
    <row r="4" spans="2:16" x14ac:dyDescent="0.35">
      <c r="B4" s="33">
        <v>11479</v>
      </c>
      <c r="C4" s="33">
        <v>11479</v>
      </c>
      <c r="D4" s="33">
        <v>204</v>
      </c>
      <c r="E4" s="34" t="s">
        <v>41</v>
      </c>
      <c r="F4" s="28" t="str">
        <f>IF(Tabela22[[#This Row],[OBS]]="","ATIVO","INATIVO")</f>
        <v>INATIVO</v>
      </c>
      <c r="G4" s="16" t="s">
        <v>13</v>
      </c>
      <c r="H4" s="6" t="s">
        <v>46</v>
      </c>
      <c r="I4" s="6" t="s">
        <v>13</v>
      </c>
      <c r="J4" s="19" t="s">
        <v>55</v>
      </c>
      <c r="K4" s="2"/>
      <c r="L4" s="6" t="s">
        <v>55</v>
      </c>
      <c r="M4" s="31" t="s">
        <v>55</v>
      </c>
      <c r="O4" s="10" t="s">
        <v>11</v>
      </c>
      <c r="P4" s="12">
        <v>15</v>
      </c>
    </row>
    <row r="5" spans="2:16" x14ac:dyDescent="0.35">
      <c r="B5" s="3">
        <v>11499</v>
      </c>
      <c r="C5" s="3">
        <v>11499</v>
      </c>
      <c r="D5" s="3">
        <v>221</v>
      </c>
      <c r="E5" s="5" t="s">
        <v>42</v>
      </c>
      <c r="F5" s="35" t="str">
        <f>IF(Tabela22[[#This Row],[OBS]]="","ATIVO","INATIVO")</f>
        <v>ATIVO</v>
      </c>
      <c r="G5" s="36" t="s">
        <v>13</v>
      </c>
      <c r="H5" s="6" t="s">
        <v>46</v>
      </c>
      <c r="I5" s="6" t="s">
        <v>13</v>
      </c>
      <c r="J5" s="29"/>
      <c r="K5" s="30"/>
      <c r="L5" s="6" t="s">
        <v>57</v>
      </c>
      <c r="M5" s="15" t="s">
        <v>57</v>
      </c>
    </row>
    <row r="6" spans="2:16" x14ac:dyDescent="0.35">
      <c r="B6" s="3">
        <v>11541</v>
      </c>
      <c r="C6" s="3">
        <v>11541</v>
      </c>
      <c r="D6" s="3">
        <v>215</v>
      </c>
      <c r="E6" s="5" t="s">
        <v>51</v>
      </c>
      <c r="F6" s="35" t="str">
        <f>IF(Tabela22[[#This Row],[OBS]]="","ATIVO","INATIVO")</f>
        <v>ATIVO</v>
      </c>
      <c r="G6" s="36" t="s">
        <v>13</v>
      </c>
      <c r="H6" s="6" t="s">
        <v>46</v>
      </c>
      <c r="I6" s="6" t="s">
        <v>13</v>
      </c>
      <c r="J6" s="19"/>
      <c r="K6" s="32"/>
      <c r="L6" s="6" t="s">
        <v>57</v>
      </c>
      <c r="M6" s="15" t="s">
        <v>57</v>
      </c>
    </row>
    <row r="7" spans="2:16" x14ac:dyDescent="0.35">
      <c r="B7" s="3">
        <v>11545</v>
      </c>
      <c r="C7" s="3">
        <v>11545</v>
      </c>
      <c r="D7" s="3">
        <v>634</v>
      </c>
      <c r="E7" s="5" t="s">
        <v>52</v>
      </c>
      <c r="F7" s="35" t="str">
        <f>IF(Tabela22[[#This Row],[OBS]]="","ATIVO","INATIVO")</f>
        <v>ATIVO</v>
      </c>
      <c r="G7" s="36" t="s">
        <v>13</v>
      </c>
      <c r="H7" s="6" t="s">
        <v>46</v>
      </c>
      <c r="I7" s="6" t="s">
        <v>13</v>
      </c>
      <c r="J7" s="19"/>
      <c r="K7" s="32"/>
      <c r="L7" s="6" t="s">
        <v>57</v>
      </c>
      <c r="M7" s="15" t="s">
        <v>57</v>
      </c>
    </row>
    <row r="8" spans="2:16" x14ac:dyDescent="0.35">
      <c r="B8" s="3">
        <v>11427</v>
      </c>
      <c r="C8" s="3">
        <v>11427</v>
      </c>
      <c r="D8" s="3">
        <v>548</v>
      </c>
      <c r="E8" s="5" t="s">
        <v>31</v>
      </c>
      <c r="F8" s="35" t="str">
        <f>IF(Tabela22[[#This Row],[OBS]]="","ATIVO","INATIVO")</f>
        <v>ATIVO</v>
      </c>
      <c r="G8" s="36" t="s">
        <v>13</v>
      </c>
      <c r="H8" s="6" t="s">
        <v>46</v>
      </c>
      <c r="I8" s="6" t="s">
        <v>13</v>
      </c>
      <c r="J8" s="19"/>
      <c r="K8" s="32"/>
      <c r="L8" s="6" t="s">
        <v>57</v>
      </c>
      <c r="M8" s="15" t="s">
        <v>57</v>
      </c>
    </row>
    <row r="9" spans="2:16" x14ac:dyDescent="0.35">
      <c r="B9" s="3">
        <v>11303</v>
      </c>
      <c r="C9" s="3">
        <v>11303</v>
      </c>
      <c r="D9" s="3">
        <v>2444</v>
      </c>
      <c r="E9" s="5" t="s">
        <v>43</v>
      </c>
      <c r="F9" s="35" t="str">
        <f>IF(Tabela22[[#This Row],[OBS]]="","ATIVO","INATIVO")</f>
        <v>ATIVO</v>
      </c>
      <c r="G9" s="36" t="s">
        <v>45</v>
      </c>
      <c r="H9" s="6" t="s">
        <v>46</v>
      </c>
      <c r="I9" s="6" t="s">
        <v>13</v>
      </c>
      <c r="J9" s="19"/>
      <c r="K9" s="32"/>
      <c r="L9" s="6" t="s">
        <v>57</v>
      </c>
      <c r="M9" s="15" t="s">
        <v>57</v>
      </c>
    </row>
    <row r="10" spans="2:16" x14ac:dyDescent="0.35">
      <c r="B10" s="3">
        <v>10904</v>
      </c>
      <c r="C10" s="3">
        <v>10904</v>
      </c>
      <c r="D10" s="3">
        <v>2437</v>
      </c>
      <c r="E10" s="5" t="s">
        <v>16</v>
      </c>
      <c r="F10" s="35" t="str">
        <f>IF(Tabela22[[#This Row],[OBS]]="","ATIVO","INATIVO")</f>
        <v>ATIVO</v>
      </c>
      <c r="G10" s="36" t="s">
        <v>13</v>
      </c>
      <c r="H10" s="6" t="s">
        <v>46</v>
      </c>
      <c r="I10" s="6" t="s">
        <v>13</v>
      </c>
      <c r="J10" s="19"/>
      <c r="K10" s="32"/>
      <c r="L10" s="6" t="s">
        <v>57</v>
      </c>
      <c r="M10" s="15" t="s">
        <v>57</v>
      </c>
    </row>
    <row r="11" spans="2:16" x14ac:dyDescent="0.35">
      <c r="B11" s="3">
        <v>11502</v>
      </c>
      <c r="C11" s="3">
        <v>11502</v>
      </c>
      <c r="D11" s="3">
        <v>220</v>
      </c>
      <c r="E11" s="39" t="s">
        <v>44</v>
      </c>
      <c r="F11" s="40" t="str">
        <f>IF(Tabela22[[#This Row],[OBS]]="","ATIVO","INATIVO")</f>
        <v>ATIVO</v>
      </c>
      <c r="G11" s="36" t="s">
        <v>13</v>
      </c>
      <c r="H11" s="6" t="s">
        <v>46</v>
      </c>
      <c r="I11" s="6" t="s">
        <v>13</v>
      </c>
      <c r="J11" s="41"/>
      <c r="K11" s="42"/>
      <c r="L11" s="6" t="s">
        <v>57</v>
      </c>
      <c r="M11" s="15" t="s">
        <v>57</v>
      </c>
    </row>
    <row r="12" spans="2:16" x14ac:dyDescent="0.35">
      <c r="B12" s="3">
        <v>11218</v>
      </c>
      <c r="C12" s="3">
        <v>11218</v>
      </c>
      <c r="D12" s="3">
        <v>2440</v>
      </c>
      <c r="E12" s="39" t="s">
        <v>17</v>
      </c>
      <c r="F12" s="40" t="str">
        <f>IF(Tabela22[[#This Row],[OBS]]="","ATIVO","INATIVO")</f>
        <v>ATIVO</v>
      </c>
      <c r="G12" s="36" t="s">
        <v>13</v>
      </c>
      <c r="H12" s="6" t="s">
        <v>46</v>
      </c>
      <c r="I12" s="6" t="s">
        <v>13</v>
      </c>
      <c r="J12" s="41"/>
      <c r="K12" s="42"/>
      <c r="L12" s="6" t="s">
        <v>57</v>
      </c>
      <c r="M12" s="15" t="s">
        <v>57</v>
      </c>
    </row>
    <row r="13" spans="2:16" x14ac:dyDescent="0.35">
      <c r="B13" s="3">
        <v>11417</v>
      </c>
      <c r="C13" s="3">
        <v>11417</v>
      </c>
      <c r="D13" s="3">
        <v>619</v>
      </c>
      <c r="E13" s="5" t="s">
        <v>27</v>
      </c>
      <c r="F13" s="35" t="str">
        <f>IF(Tabela22[[#This Row],[OBS]]="","ATIVO","INATIVO")</f>
        <v>INATIVO</v>
      </c>
      <c r="G13" s="36" t="s">
        <v>13</v>
      </c>
      <c r="H13" s="6" t="s">
        <v>46</v>
      </c>
      <c r="I13" s="6" t="s">
        <v>13</v>
      </c>
      <c r="J13" s="19" t="s">
        <v>55</v>
      </c>
      <c r="K13" s="32"/>
      <c r="L13" s="6" t="s">
        <v>55</v>
      </c>
      <c r="M13" s="15" t="s">
        <v>55</v>
      </c>
    </row>
    <row r="14" spans="2:16" x14ac:dyDescent="0.35">
      <c r="B14" s="3">
        <v>11419</v>
      </c>
      <c r="C14" s="3">
        <v>11419</v>
      </c>
      <c r="D14" s="3">
        <v>488</v>
      </c>
      <c r="E14" s="5" t="s">
        <v>26</v>
      </c>
      <c r="F14" s="35" t="str">
        <f>IF(Tabela22[[#This Row],[OBS]]="","ATIVO","INATIVO")</f>
        <v>ATIVO</v>
      </c>
      <c r="G14" s="36" t="s">
        <v>13</v>
      </c>
      <c r="H14" s="6" t="s">
        <v>46</v>
      </c>
      <c r="I14" s="6" t="s">
        <v>13</v>
      </c>
      <c r="J14" s="19"/>
      <c r="K14" s="32"/>
      <c r="L14" s="6" t="s">
        <v>57</v>
      </c>
      <c r="M14" s="15" t="s">
        <v>57</v>
      </c>
    </row>
    <row r="15" spans="2:16" x14ac:dyDescent="0.35">
      <c r="B15" s="3">
        <v>11534</v>
      </c>
      <c r="C15" s="3">
        <v>11534</v>
      </c>
      <c r="D15" s="3">
        <v>187</v>
      </c>
      <c r="E15" s="39" t="s">
        <v>53</v>
      </c>
      <c r="F15" s="40" t="str">
        <f>IF(Tabela22[[#This Row],[OBS]]="","ATIVO","INATIVO")</f>
        <v>ATIVO</v>
      </c>
      <c r="G15" s="36" t="s">
        <v>13</v>
      </c>
      <c r="H15" s="6" t="s">
        <v>46</v>
      </c>
      <c r="I15" s="6" t="s">
        <v>13</v>
      </c>
      <c r="J15" s="41"/>
      <c r="K15" s="42"/>
      <c r="L15" s="6" t="s">
        <v>57</v>
      </c>
      <c r="M15" s="15" t="s">
        <v>57</v>
      </c>
    </row>
    <row r="16" spans="2:16" x14ac:dyDescent="0.35">
      <c r="B16" s="3">
        <v>11542</v>
      </c>
      <c r="C16" s="3">
        <v>11542</v>
      </c>
      <c r="D16" s="3">
        <v>200</v>
      </c>
      <c r="E16" s="5" t="s">
        <v>54</v>
      </c>
      <c r="F16" s="35" t="str">
        <f>IF(Tabela22[[#This Row],[OBS]]="","ATIVO","INATIVO")</f>
        <v>ATIVO</v>
      </c>
      <c r="G16" s="36" t="s">
        <v>13</v>
      </c>
      <c r="H16" s="6" t="s">
        <v>46</v>
      </c>
      <c r="I16" s="6" t="s">
        <v>13</v>
      </c>
      <c r="J16" s="19"/>
      <c r="K16" s="32"/>
      <c r="L16" s="6" t="s">
        <v>57</v>
      </c>
      <c r="M16" s="15" t="s">
        <v>57</v>
      </c>
    </row>
    <row r="17" spans="12:13" x14ac:dyDescent="0.35">
      <c r="L17" s="22">
        <f>COUNTIF(L3:L16,"X")</f>
        <v>0</v>
      </c>
      <c r="M17" s="21">
        <f>COUNTIF(M3:M16,"X")</f>
        <v>0</v>
      </c>
    </row>
  </sheetData>
  <conditionalFormatting sqref="E17:E1048576 F1:F16">
    <cfRule type="containsText" dxfId="40" priority="19" stopIfTrue="1" operator="containsText" text="INATIVO">
      <formula>NOT(ISERROR(SEARCH("INATIVO",E1)))</formula>
    </cfRule>
    <cfRule type="containsText" dxfId="39" priority="20" stopIfTrue="1" operator="containsText" text="ATIVO">
      <formula>NOT(ISERROR(SEARCH("ATIVO",E1)))</formula>
    </cfRule>
  </conditionalFormatting>
  <conditionalFormatting sqref="L2:M3 L5:M16">
    <cfRule type="containsText" dxfId="38" priority="17" operator="containsText" text="OK">
      <formula>NOT(ISERROR(SEARCH("OK",L2)))</formula>
    </cfRule>
    <cfRule type="containsText" dxfId="37" priority="18" operator="containsText" text="X">
      <formula>NOT(ISERROR(SEARCH("X",L2)))</formula>
    </cfRule>
  </conditionalFormatting>
  <conditionalFormatting sqref="L4:M4">
    <cfRule type="containsText" dxfId="36" priority="13" operator="containsText" text="OK">
      <formula>NOT(ISERROR(SEARCH("OK",L4)))</formula>
    </cfRule>
    <cfRule type="containsText" dxfId="35" priority="14" operator="containsText" text="X">
      <formula>NOT(ISERROR(SEARCH("X",L4)))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8F686-0F46-4EDB-BB4E-2FE831AC6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4241aaa1-f251-4fb6-8c96-74d7389cb1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Geovana</vt:lpstr>
      <vt:lpstr>Richard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2026-02-25T13:59:57Z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