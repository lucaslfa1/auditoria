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0" documentId="8_{5123EB9C-693B-4ED6-A11A-95560F5012A9}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CADASTRO" sheetId="2" r:id="rId1"/>
  </sheets>
  <definedNames>
    <definedName name="_xlnm._FilterDatabase" localSheetId="0" hidden="1">CADASTRO!$M$1:$M$1</definedName>
  </definedNames>
  <calcPr calcId="191028"/>
  <pivotCaches>
    <pivotCache cacheId="6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M12" i="2" l="1"/>
  <c r="F2" i="2" l="1"/>
  <c r="F3" i="2"/>
  <c r="F4" i="2"/>
  <c r="F5" i="2"/>
  <c r="F6" i="2"/>
  <c r="F7" i="2"/>
  <c r="F8" i="2"/>
  <c r="F9" i="2"/>
  <c r="F10" i="2"/>
  <c r="F11" i="2"/>
</calcChain>
</file>

<file path=xl/sharedStrings.xml><?xml version="1.0" encoding="utf-8"?>
<sst xmlns="http://schemas.openxmlformats.org/spreadsheetml/2006/main" count="76" uniqueCount="28">
  <si>
    <t>MATRICULA</t>
  </si>
  <si>
    <t>ID WEON</t>
  </si>
  <si>
    <t xml:space="preserve">ID HUAWEI </t>
  </si>
  <si>
    <t>NOME</t>
  </si>
  <si>
    <t>STATUS</t>
  </si>
  <si>
    <t>TURNO / OPERAÇÃO</t>
  </si>
  <si>
    <t>SUPERVISOR</t>
  </si>
  <si>
    <t>SETOR</t>
  </si>
  <si>
    <t>OBS</t>
  </si>
  <si>
    <t>CHAVE</t>
  </si>
  <si>
    <t xml:space="preserve">RECEPTIVA 1 </t>
  </si>
  <si>
    <t>RECEPTIVA 2</t>
  </si>
  <si>
    <t>QTD</t>
  </si>
  <si>
    <t>JULIANE CRISTINA DA SILVA ASSIS COLAÇO</t>
  </si>
  <si>
    <t>CADASTRO</t>
  </si>
  <si>
    <t>Larissa Cristina</t>
  </si>
  <si>
    <t>OK</t>
  </si>
  <si>
    <t>ATIVO</t>
  </si>
  <si>
    <t>BRUNA MIRANDA PEREIRA</t>
  </si>
  <si>
    <t>Total Geral</t>
  </si>
  <si>
    <t>NATALIA DE SOUZA TORRES</t>
  </si>
  <si>
    <t>KELLY CRISTINA OLIVEIRA SANTOS</t>
  </si>
  <si>
    <t>JULIANA DELL AQUILA</t>
  </si>
  <si>
    <t>CAIO DAS VIRGENS MELO</t>
  </si>
  <si>
    <t>ELOANE CARVALHO DA SILVA</t>
  </si>
  <si>
    <t>LOREN KELLY FREITAS PINHEIRO</t>
  </si>
  <si>
    <t>LARISSA GONÇALVES</t>
  </si>
  <si>
    <t>DAYANE RODRIGUES DE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</si>
</sst>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9"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 outline="0">
        <left/>
        <right/>
        <top/>
        <bottom/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598593171293" createdVersion="6" refreshedVersion="6" minRefreshableVersion="3" recordCount="10" xr:uid="{66591D22-EFFC-4024-BC0C-176290843740}">
  <cacheSource type="worksheet">
    <worksheetSource ref="B1:M11" sheet="CADASTRO"/>
  </cacheSource>
  <cacheFields count="12">
    <cacheField name="MATRICULA" numFmtId="0">
      <sharedItems containsSemiMixedTypes="0" containsString="0" containsNumber="1" containsInteger="1" minValue="10709" maxValue="11457"/>
    </cacheField>
    <cacheField name="ID WEON" numFmtId="0">
      <sharedItems containsSemiMixedTypes="0" containsString="0" containsNumber="1" containsInteger="1" minValue="10709" maxValue="11457"/>
    </cacheField>
    <cacheField name="ID HUAWEI " numFmtId="0">
      <sharedItems containsSemiMixedTypes="0" containsString="0" containsNumber="1" containsInteger="1" minValue="209" maxValue="3025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  <cacheField name="CHAVE" numFmtId="0">
      <sharedItems containsNonDate="0" containsString="0" containsBlank="1"/>
    </cacheField>
    <cacheField name="RECEPTIVA 1 " numFmtId="0">
      <sharedItems containsNonDate="0" containsString="0" containsBlank="1"/>
    </cacheField>
    <cacheField name="RECEPTIVA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1214"/>
    <n v="11214"/>
    <n v="2975"/>
    <s v="JULIANE CRISTINA DA SILVA ASSIS COLAÇO"/>
    <x v="0"/>
    <s v="CADASTRO"/>
    <s v="Larissa Cristina"/>
    <s v="CADASTRO"/>
    <m/>
    <m/>
    <m/>
    <m/>
  </r>
  <r>
    <n v="11248"/>
    <n v="11248"/>
    <n v="2981"/>
    <s v="BRUNA MIRANDA PEREIRA"/>
    <x v="0"/>
    <s v="CADASTRO"/>
    <s v="Larissa Cristina"/>
    <s v="CADASTRO"/>
    <m/>
    <m/>
    <m/>
    <m/>
  </r>
  <r>
    <n v="11254"/>
    <n v="11254"/>
    <n v="2971"/>
    <s v="NATALIA DE SOUZA TORRES"/>
    <x v="0"/>
    <s v="CADASTRO"/>
    <s v="Larissa Cristina"/>
    <s v="CADASTRO"/>
    <m/>
    <m/>
    <m/>
    <m/>
  </r>
  <r>
    <n v="10709"/>
    <n v="10709"/>
    <n v="209"/>
    <s v="KELLY CRISTINA OLIVEIRA SANTOS"/>
    <x v="0"/>
    <s v="CADASTRO"/>
    <s v="Larissa Cristina"/>
    <s v="CADASTRO"/>
    <m/>
    <m/>
    <m/>
    <m/>
  </r>
  <r>
    <n v="11269"/>
    <n v="11269"/>
    <n v="2977"/>
    <s v="JULIANA DELL AQUILA"/>
    <x v="0"/>
    <s v="CADASTRO"/>
    <s v="Larissa Cristina"/>
    <s v="CADASTRO"/>
    <m/>
    <m/>
    <m/>
    <m/>
  </r>
  <r>
    <n v="11010"/>
    <n v="11010"/>
    <n v="2980"/>
    <s v="CAIO DAS VIRGENS MELO"/>
    <x v="0"/>
    <s v="CADASTRO"/>
    <s v="Larissa Cristina"/>
    <s v="CADASTRO"/>
    <m/>
    <m/>
    <m/>
    <m/>
  </r>
  <r>
    <n v="11376"/>
    <n v="11376"/>
    <n v="2979"/>
    <s v="ELOANE CARVALHO DA SILVA"/>
    <x v="0"/>
    <s v="CADASTRO"/>
    <s v="Larissa Cristina"/>
    <s v="CADASTRO"/>
    <m/>
    <m/>
    <m/>
    <m/>
  </r>
  <r>
    <n v="11415"/>
    <n v="11415"/>
    <n v="646"/>
    <s v="LOREN KELLY FREITAS PINHEIRO"/>
    <x v="0"/>
    <s v="CADASTRO"/>
    <s v="Larissa Cristina"/>
    <s v="CADASTRO"/>
    <m/>
    <m/>
    <m/>
    <m/>
  </r>
  <r>
    <n v="11430"/>
    <n v="11430"/>
    <n v="3025"/>
    <s v="LARISSA GONÇALVES"/>
    <x v="0"/>
    <s v="CADASTRO"/>
    <s v="Larissa Cristina"/>
    <s v="CADASTRO"/>
    <m/>
    <m/>
    <m/>
    <m/>
  </r>
  <r>
    <n v="11457"/>
    <n v="11457"/>
    <n v="466"/>
    <s v="DAYANE RODRIGUES DE LARA"/>
    <x v="0"/>
    <s v="CADASTRO"/>
    <s v="Larissa Cristina"/>
    <s v="CADASTRO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9E4EB-B13D-45EA-ACBA-F8F9803B79B1}" name="Tabela dinâmica3" cacheId="6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12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33">
      <pivotArea field="4" type="button" dataOnly="0" labelOnly="1" outline="0" axis="axisRow" fieldPosition="0"/>
    </format>
    <format dxfId="34">
      <pivotArea dataOnly="0" labelOnly="1" outline="0" axis="axisValues" fieldPosition="0"/>
    </format>
    <format dxfId="35">
      <pivotArea grandRow="1" outline="0" collapsedLevelsAreSubtotals="1" fieldPosition="0"/>
    </format>
    <format dxfId="36">
      <pivotArea dataOnly="0" labelOnly="1" grandRow="1" outline="0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4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2">
      <pivotArea dataOnly="0" labelOnly="1" outline="0" axis="axisValues" fieldPosition="0"/>
    </format>
    <format dxfId="43">
      <pivotArea grandRow="1" outline="0" collapsedLevelsAreSubtotals="1" fieldPosition="0"/>
    </format>
    <format dxfId="44">
      <pivotArea dataOnly="0" labelOnly="1" grandRow="1" outline="0" fieldPosition="0"/>
    </format>
    <format dxfId="45">
      <pivotArea field="4" type="button" dataOnly="0" labelOnly="1" outline="0" axis="axisRow" fieldPosition="0"/>
    </format>
    <format dxfId="46">
      <pivotArea dataOnly="0" labelOnly="1" outline="0" axis="axisValues" fieldPosition="0"/>
    </format>
    <format dxfId="47">
      <pivotArea grandRow="1" outline="0" collapsedLevelsAreSubtotals="1" fieldPosition="0"/>
    </format>
    <format dxfId="48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M12" totalsRowCount="1" headerRowDxfId="28" dataDxfId="27" headerRowBorderDxfId="25" tableBorderDxfId="26" totalsRowBorderDxfId="24">
  <sortState xmlns:xlrd2="http://schemas.microsoft.com/office/spreadsheetml/2017/richdata2" ref="B2:K4">
    <sortCondition ref="B1:B4"/>
  </sortState>
  <tableColumns count="12">
    <tableColumn id="1" xr3:uid="{00000000-0010-0000-0000-000001000000}" name="MATRICULA" dataDxfId="22" totalsRowDxfId="23"/>
    <tableColumn id="11" xr3:uid="{EDB289CD-EC39-4F4C-AE5E-F4187BDEA4C2}" name="ID WEON" dataDxfId="20" totalsRowDxfId="21"/>
    <tableColumn id="9" xr3:uid="{5D5963D4-6ADD-4B53-A2B4-60955012F1B3}" name="ID HUAWEI " dataDxfId="18" totalsRowDxfId="19"/>
    <tableColumn id="2" xr3:uid="{00000000-0010-0000-0000-000002000000}" name="NOME" dataDxfId="16" totalsRowDxfId="17"/>
    <tableColumn id="3" xr3:uid="{00000000-0010-0000-0000-000003000000}" name="STATUS" dataDxfId="14" totalsRowDxfId="15">
      <calculatedColumnFormula>IF(Tabela2[[#This Row],[OBS]]="","ATIVO","INATIVO")</calculatedColumnFormula>
    </tableColumn>
    <tableColumn id="4" xr3:uid="{00000000-0010-0000-0000-000004000000}" name="TURNO / OPERAÇÃO" dataDxfId="12" totalsRowDxfId="13"/>
    <tableColumn id="5" xr3:uid="{00000000-0010-0000-0000-000005000000}" name="SUPERVISOR" dataDxfId="10" totalsRowDxfId="11"/>
    <tableColumn id="6" xr3:uid="{00000000-0010-0000-0000-000006000000}" name="SETOR" dataDxfId="8" totalsRowDxfId="9"/>
    <tableColumn id="7" xr3:uid="{00000000-0010-0000-0000-000007000000}" name="OBS" dataDxfId="6" totalsRowDxfId="7"/>
    <tableColumn id="8" xr3:uid="{00000000-0010-0000-0000-000008000000}" name="CHAVE" dataDxfId="4" totalsRowDxfId="5"/>
    <tableColumn id="10" xr3:uid="{D8BA63F2-D59B-4CD8-8EE0-EAE9BC3FDE4E}" name="RECEPTIVA 1 " totalsRowFunction="custom" dataDxfId="2" totalsRowDxfId="3">
      <totalsRowFormula>COUNTIF(Tabela2[[RECEPTIVA 1 ]],"X")</totalsRowFormula>
    </tableColumn>
    <tableColumn id="12" xr3:uid="{28E047C1-9816-4316-B890-9D5CDCA734D6}" name="RECEPTIVA 2" totalsRowFunction="custom" dataDxfId="0" totalsRowDxfId="1">
      <totalsRowFormula>COUNTIF(Tabela2[RECEPTIVA 2],"X")</totalsRowFormula>
    </tableColumn>
  </tableColumns>
  <tableStyleInfo showFirstColumn="1" showLastColumn="1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tabSelected="1" topLeftCell="B1" zoomScaleNormal="100" workbookViewId="0">
      <selection activeCell="G17" sqref="G17"/>
    </sheetView>
  </sheetViews>
  <sheetFormatPr defaultRowHeight="14.45"/>
  <cols>
    <col min="1" max="1" width="19.28515625" hidden="1" customWidth="1"/>
    <col min="2" max="2" width="9.85546875" style="1" bestFit="1" customWidth="1"/>
    <col min="3" max="3" width="9.85546875" style="1" customWidth="1"/>
    <col min="4" max="4" width="9.85546875" style="1" bestFit="1" customWidth="1"/>
    <col min="5" max="5" width="32.42578125" style="1" customWidth="1"/>
    <col min="6" max="6" width="8.5703125" style="1" customWidth="1"/>
    <col min="7" max="7" width="18.140625" style="1" customWidth="1"/>
    <col min="8" max="8" width="14.140625" style="1" bestFit="1" customWidth="1"/>
    <col min="9" max="9" width="12" style="1" bestFit="1" customWidth="1"/>
    <col min="10" max="10" width="13.85546875" style="6" bestFit="1" customWidth="1"/>
    <col min="11" max="11" width="8.42578125" hidden="1" customWidth="1"/>
    <col min="12" max="12" width="10.28515625" style="22" customWidth="1"/>
    <col min="13" max="13" width="10.5703125" style="22" bestFit="1" customWidth="1"/>
    <col min="14" max="14" width="10.42578125" customWidth="1"/>
    <col min="15" max="15" width="9.28515625" bestFit="1" customWidth="1"/>
    <col min="16" max="16" width="4.140625" bestFit="1" customWidth="1"/>
    <col min="17" max="17" width="24.5703125" bestFit="1" customWidth="1"/>
    <col min="18" max="18" width="18.28515625" bestFit="1" customWidth="1"/>
    <col min="19" max="19" width="10.140625" bestFit="1" customWidth="1"/>
  </cols>
  <sheetData>
    <row r="1" spans="2:16">
      <c r="B1" s="13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5" t="s">
        <v>8</v>
      </c>
      <c r="K1" s="14" t="s">
        <v>9</v>
      </c>
      <c r="L1" s="18" t="s">
        <v>10</v>
      </c>
      <c r="M1" s="19" t="s">
        <v>11</v>
      </c>
      <c r="O1" s="3" t="s">
        <v>4</v>
      </c>
      <c r="P1" s="3" t="s">
        <v>12</v>
      </c>
    </row>
    <row r="2" spans="2:16">
      <c r="B2" s="8">
        <v>11214</v>
      </c>
      <c r="C2" s="9">
        <v>11214</v>
      </c>
      <c r="D2" s="9">
        <v>2975</v>
      </c>
      <c r="E2" s="24" t="s">
        <v>13</v>
      </c>
      <c r="F2" s="10" t="str">
        <f>IF(Tabela2[[#This Row],[OBS]]="","ATIVO","INATIVO")</f>
        <v>ATIVO</v>
      </c>
      <c r="G2" s="10" t="s">
        <v>14</v>
      </c>
      <c r="H2" s="10" t="s">
        <v>15</v>
      </c>
      <c r="I2" s="10" t="s">
        <v>14</v>
      </c>
      <c r="J2" s="11"/>
      <c r="K2" s="12"/>
      <c r="L2" s="23" t="s">
        <v>16</v>
      </c>
      <c r="M2" s="20" t="s">
        <v>16</v>
      </c>
      <c r="O2" s="2" t="s">
        <v>17</v>
      </c>
      <c r="P2" s="4">
        <v>10</v>
      </c>
    </row>
    <row r="3" spans="2:16">
      <c r="B3" s="8">
        <v>11248</v>
      </c>
      <c r="C3" s="9">
        <v>11248</v>
      </c>
      <c r="D3" s="9">
        <v>2981</v>
      </c>
      <c r="E3" s="24" t="s">
        <v>18</v>
      </c>
      <c r="F3" s="10" t="str">
        <f>IF(Tabela2[[#This Row],[OBS]]="","ATIVO","INATIVO")</f>
        <v>ATIVO</v>
      </c>
      <c r="G3" s="10" t="s">
        <v>14</v>
      </c>
      <c r="H3" s="10" t="s">
        <v>15</v>
      </c>
      <c r="I3" s="10" t="s">
        <v>14</v>
      </c>
      <c r="J3" s="11"/>
      <c r="K3" s="12"/>
      <c r="L3" s="23" t="s">
        <v>16</v>
      </c>
      <c r="M3" s="20" t="s">
        <v>16</v>
      </c>
      <c r="O3" s="3" t="s">
        <v>19</v>
      </c>
      <c r="P3" s="5">
        <v>10</v>
      </c>
    </row>
    <row r="4" spans="2:16">
      <c r="B4" s="8">
        <v>11254</v>
      </c>
      <c r="C4" s="9">
        <v>11254</v>
      </c>
      <c r="D4" s="9">
        <v>2971</v>
      </c>
      <c r="E4" s="24" t="s">
        <v>20</v>
      </c>
      <c r="F4" s="10" t="str">
        <f>IF(Tabela2[[#This Row],[OBS]]="","ATIVO","INATIVO")</f>
        <v>ATIVO</v>
      </c>
      <c r="G4" s="10" t="s">
        <v>14</v>
      </c>
      <c r="H4" s="10" t="s">
        <v>15</v>
      </c>
      <c r="I4" s="10" t="s">
        <v>14</v>
      </c>
      <c r="J4" s="11"/>
      <c r="K4" s="12"/>
      <c r="L4" s="23" t="s">
        <v>16</v>
      </c>
      <c r="M4" s="20" t="s">
        <v>16</v>
      </c>
    </row>
    <row r="5" spans="2:16">
      <c r="B5" s="8">
        <v>10709</v>
      </c>
      <c r="C5" s="9">
        <v>10709</v>
      </c>
      <c r="D5" s="9">
        <v>209</v>
      </c>
      <c r="E5" s="24" t="s">
        <v>21</v>
      </c>
      <c r="F5" s="10" t="str">
        <f>IF(Tabela2[[#This Row],[OBS]]="","ATIVO","INATIVO")</f>
        <v>ATIVO</v>
      </c>
      <c r="G5" s="10" t="s">
        <v>14</v>
      </c>
      <c r="H5" s="10" t="s">
        <v>15</v>
      </c>
      <c r="I5" s="10" t="s">
        <v>14</v>
      </c>
      <c r="J5" s="11"/>
      <c r="K5" s="12"/>
      <c r="L5" s="23" t="s">
        <v>16</v>
      </c>
      <c r="M5" s="20" t="s">
        <v>16</v>
      </c>
    </row>
    <row r="6" spans="2:16">
      <c r="B6" s="8">
        <v>11269</v>
      </c>
      <c r="C6" s="9">
        <v>11269</v>
      </c>
      <c r="D6" s="9">
        <v>2977</v>
      </c>
      <c r="E6" s="24" t="s">
        <v>22</v>
      </c>
      <c r="F6" s="10" t="str">
        <f>IF(Tabela2[[#This Row],[OBS]]="","ATIVO","INATIVO")</f>
        <v>ATIVO</v>
      </c>
      <c r="G6" s="10" t="s">
        <v>14</v>
      </c>
      <c r="H6" s="10" t="s">
        <v>15</v>
      </c>
      <c r="I6" s="10" t="s">
        <v>14</v>
      </c>
      <c r="J6" s="11"/>
      <c r="K6" s="12"/>
      <c r="L6" s="23" t="s">
        <v>16</v>
      </c>
      <c r="M6" s="20" t="s">
        <v>16</v>
      </c>
    </row>
    <row r="7" spans="2:16">
      <c r="B7" s="8">
        <v>11010</v>
      </c>
      <c r="C7" s="9">
        <v>11010</v>
      </c>
      <c r="D7" s="9">
        <v>2980</v>
      </c>
      <c r="E7" s="24" t="s">
        <v>23</v>
      </c>
      <c r="F7" s="10" t="str">
        <f>IF(Tabela2[[#This Row],[OBS]]="","ATIVO","INATIVO")</f>
        <v>ATIVO</v>
      </c>
      <c r="G7" s="10" t="s">
        <v>14</v>
      </c>
      <c r="H7" s="10" t="s">
        <v>15</v>
      </c>
      <c r="I7" s="10" t="s">
        <v>14</v>
      </c>
      <c r="J7" s="11"/>
      <c r="K7" s="12"/>
      <c r="L7" s="23" t="s">
        <v>16</v>
      </c>
      <c r="M7" s="20" t="s">
        <v>16</v>
      </c>
    </row>
    <row r="8" spans="2:16">
      <c r="B8" s="8">
        <v>11376</v>
      </c>
      <c r="C8" s="9">
        <v>11376</v>
      </c>
      <c r="D8" s="9">
        <v>2979</v>
      </c>
      <c r="E8" s="24" t="s">
        <v>24</v>
      </c>
      <c r="F8" s="10" t="str">
        <f>IF(Tabela2[[#This Row],[OBS]]="","ATIVO","INATIVO")</f>
        <v>ATIVO</v>
      </c>
      <c r="G8" s="10" t="s">
        <v>14</v>
      </c>
      <c r="H8" s="10" t="s">
        <v>15</v>
      </c>
      <c r="I8" s="10" t="s">
        <v>14</v>
      </c>
      <c r="J8" s="11"/>
      <c r="K8" s="12"/>
      <c r="L8" s="23" t="s">
        <v>16</v>
      </c>
      <c r="M8" s="20" t="s">
        <v>16</v>
      </c>
    </row>
    <row r="9" spans="2:16">
      <c r="B9" s="8">
        <v>11415</v>
      </c>
      <c r="C9" s="9">
        <v>11415</v>
      </c>
      <c r="D9" s="9">
        <v>646</v>
      </c>
      <c r="E9" s="24" t="s">
        <v>25</v>
      </c>
      <c r="F9" s="10" t="str">
        <f>IF(Tabela2[[#This Row],[OBS]]="","ATIVO","INATIVO")</f>
        <v>ATIVO</v>
      </c>
      <c r="G9" s="10" t="s">
        <v>14</v>
      </c>
      <c r="H9" s="10" t="s">
        <v>15</v>
      </c>
      <c r="I9" s="10" t="s">
        <v>14</v>
      </c>
      <c r="J9" s="11"/>
      <c r="K9" s="12"/>
      <c r="L9" s="23" t="s">
        <v>16</v>
      </c>
      <c r="M9" s="20" t="s">
        <v>16</v>
      </c>
    </row>
    <row r="10" spans="2:16">
      <c r="B10" s="8">
        <v>11430</v>
      </c>
      <c r="C10" s="9">
        <v>11430</v>
      </c>
      <c r="D10" s="9">
        <v>3025</v>
      </c>
      <c r="E10" s="24" t="s">
        <v>26</v>
      </c>
      <c r="F10" s="10" t="str">
        <f>IF(Tabela2[[#This Row],[OBS]]="","ATIVO","INATIVO")</f>
        <v>ATIVO</v>
      </c>
      <c r="G10" s="10" t="s">
        <v>14</v>
      </c>
      <c r="H10" s="10" t="s">
        <v>15</v>
      </c>
      <c r="I10" s="10" t="s">
        <v>14</v>
      </c>
      <c r="J10" s="11"/>
      <c r="K10" s="12"/>
      <c r="L10" s="23" t="s">
        <v>16</v>
      </c>
      <c r="M10" s="20" t="s">
        <v>16</v>
      </c>
    </row>
    <row r="11" spans="2:16">
      <c r="B11" s="9">
        <v>11457</v>
      </c>
      <c r="C11" s="9">
        <v>11457</v>
      </c>
      <c r="D11" s="9">
        <v>466</v>
      </c>
      <c r="E11" s="24" t="s">
        <v>27</v>
      </c>
      <c r="F11" s="10" t="str">
        <f>IF(Tabela2[[#This Row],[OBS]]="","ATIVO","INATIVO")</f>
        <v>ATIVO</v>
      </c>
      <c r="G11" s="10" t="s">
        <v>14</v>
      </c>
      <c r="H11" s="10" t="s">
        <v>15</v>
      </c>
      <c r="I11" s="10" t="s">
        <v>14</v>
      </c>
      <c r="J11" s="11"/>
      <c r="K11" s="12"/>
      <c r="L11" s="23" t="s">
        <v>16</v>
      </c>
      <c r="M11" s="21" t="s">
        <v>16</v>
      </c>
    </row>
    <row r="12" spans="2:16">
      <c r="B12"/>
      <c r="C12"/>
      <c r="D12"/>
      <c r="E12"/>
      <c r="F12"/>
      <c r="G12"/>
      <c r="H12"/>
      <c r="I12"/>
      <c r="J12"/>
      <c r="K12" s="17"/>
      <c r="L12" s="16">
        <f>COUNTIF(Tabela2[[RECEPTIVA 1 ]],"X")</f>
        <v>0</v>
      </c>
      <c r="M12" s="7">
        <f>COUNTIF(Tabela2[RECEPTIVA 2],"X")</f>
        <v>0</v>
      </c>
    </row>
  </sheetData>
  <conditionalFormatting sqref="F1:F11 F13:F1048576">
    <cfRule type="containsText" dxfId="32" priority="3" stopIfTrue="1" operator="containsText" text="INATIVO">
      <formula>NOT(ISERROR(SEARCH("INATIVO",F1)))</formula>
    </cfRule>
    <cfRule type="containsText" dxfId="31" priority="4" stopIfTrue="1" operator="containsText" text="ATIVO">
      <formula>NOT(ISERROR(SEARCH("ATIVO",F1)))</formula>
    </cfRule>
  </conditionalFormatting>
  <conditionalFormatting sqref="L2:M11">
    <cfRule type="containsText" dxfId="30" priority="1" operator="containsText" text="X">
      <formula>NOT(ISERROR(SEARCH("X",L2)))</formula>
    </cfRule>
    <cfRule type="containsText" dxfId="29" priority="2" operator="containsText" text="OK">
      <formula>NOT(ISERROR(SEARCH("OK",L2)))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F12A7-47A9-4394-8F68-59F903A43B9C}"/>
</file>

<file path=customXml/itemProps2.xml><?xml version="1.0" encoding="utf-8"?>
<ds:datastoreItem xmlns:ds="http://schemas.openxmlformats.org/officeDocument/2006/customXml" ds:itemID="{F45639FE-E974-4E89-9659-FB72A2DB4FB3}"/>
</file>

<file path=customXml/itemProps3.xml><?xml version="1.0" encoding="utf-8"?>
<ds:datastoreItem xmlns:ds="http://schemas.openxmlformats.org/officeDocument/2006/customXml" ds:itemID="{597DD8EA-DC29-49EC-B0B7-6C7851C8C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/>
  <cp:revision/>
  <dcterms:created xsi:type="dcterms:W3CDTF">2020-01-31T11:15:54Z</dcterms:created>
  <dcterms:modified xsi:type="dcterms:W3CDTF">2026-02-26T11:59:59Z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