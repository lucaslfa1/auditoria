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9" codeName="{00000000-0000-0000-0000-000000000000}"/>
  <workbookPr updateLinks="always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nstechcloud.sharepoint.com/sites/opt.openqualidade/Documentos Compartilhados/"/>
    </mc:Choice>
  </mc:AlternateContent>
  <xr:revisionPtr revIDLastSave="0" documentId="8_{E7D047CB-A939-4D9E-81B2-D4B4CE2B6324}" xr6:coauthVersionLast="47" xr6:coauthVersionMax="47" xr10:uidLastSave="{00000000-0000-0000-0000-000000000000}"/>
  <bookViews>
    <workbookView minimized="1" xWindow="768" yWindow="768" windowWidth="17280" windowHeight="10044" tabRatio="0" firstSheet="1" activeTab="1" xr2:uid="{00000000-000D-0000-FFFF-FFFF00000000}"/>
  </bookViews>
  <sheets>
    <sheet name="Inicio" sheetId="44" r:id="rId1"/>
    <sheet name="Consulta" sheetId="65" r:id="rId2"/>
    <sheet name="BD" sheetId="17" state="hidden" r:id="rId3"/>
    <sheet name="Listagem dos op" sheetId="39" state="hidden" r:id="rId4"/>
    <sheet name="BD Campos" sheetId="25" state="hidden" r:id="rId5"/>
    <sheet name="Pesos" sheetId="27" state="hidden" r:id="rId6"/>
  </sheets>
  <externalReferences>
    <externalReference r:id="rId7"/>
  </externalReferences>
  <definedNames>
    <definedName name="_xlnm._FilterDatabase" localSheetId="2" hidden="1">BD!#REF!</definedName>
    <definedName name="_xlnm._FilterDatabase" localSheetId="4" hidden="1">'BD Campos'!$AA$1:$AB$17</definedName>
    <definedName name="_xlnm._FilterDatabase" localSheetId="1" hidden="1">Consulta!$A$2:$F$45</definedName>
    <definedName name="_xlnm._FilterDatabase" localSheetId="5" hidden="1">Pesos!$B$1:$F$1195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92" i="17" l="1"/>
  <c r="B392" i="17"/>
  <c r="AK392" i="17"/>
  <c r="AU392" i="17"/>
  <c r="AV392" i="17"/>
  <c r="AW392" i="17"/>
  <c r="AX392" i="17"/>
  <c r="AY392" i="17"/>
  <c r="AZ392" i="17"/>
  <c r="BA392" i="17"/>
  <c r="BB392" i="17"/>
  <c r="BC392" i="17"/>
  <c r="A391" i="17"/>
  <c r="B391" i="17"/>
  <c r="AK391" i="17"/>
  <c r="AL391" i="17"/>
  <c r="AM391" i="17"/>
  <c r="AN391" i="17"/>
  <c r="AO391" i="17"/>
  <c r="AP391" i="17"/>
  <c r="AQ391" i="17"/>
  <c r="AR391" i="17"/>
  <c r="AS391" i="17"/>
  <c r="AT391" i="17"/>
  <c r="AU391" i="17"/>
  <c r="AV391" i="17"/>
  <c r="AW391" i="17"/>
  <c r="AX391" i="17"/>
  <c r="AY391" i="17"/>
  <c r="AZ391" i="17"/>
  <c r="BA391" i="17"/>
  <c r="BB391" i="17"/>
  <c r="BC391" i="17"/>
  <c r="AF391" i="17" l="1"/>
  <c r="BD391" i="17" s="1"/>
  <c r="A210" i="39" l="1"/>
  <c r="A211" i="39"/>
  <c r="A212" i="39"/>
  <c r="A213" i="39"/>
  <c r="A214" i="39"/>
  <c r="A215" i="39"/>
  <c r="A216" i="39"/>
  <c r="A217" i="39"/>
  <c r="A218" i="39"/>
  <c r="A219" i="39"/>
  <c r="A220" i="39"/>
  <c r="A221" i="39"/>
  <c r="A222" i="39"/>
  <c r="A223" i="39"/>
  <c r="A224" i="39"/>
  <c r="B210" i="39"/>
  <c r="B211" i="39"/>
  <c r="B212" i="39"/>
  <c r="B213" i="39"/>
  <c r="B214" i="39"/>
  <c r="B215" i="39"/>
  <c r="B216" i="39"/>
  <c r="B217" i="39"/>
  <c r="B218" i="39"/>
  <c r="B219" i="39"/>
  <c r="B220" i="39"/>
  <c r="B221" i="39"/>
  <c r="B222" i="39"/>
  <c r="B223" i="39"/>
  <c r="B224" i="39"/>
  <c r="C210" i="39"/>
  <c r="D210" i="39" s="1"/>
  <c r="C211" i="39"/>
  <c r="D211" i="39" s="1"/>
  <c r="C212" i="39"/>
  <c r="D212" i="39" s="1"/>
  <c r="E212" i="39" s="1"/>
  <c r="F212" i="39" s="1"/>
  <c r="C213" i="39"/>
  <c r="D213" i="39" s="1"/>
  <c r="E213" i="39" s="1"/>
  <c r="F213" i="39" s="1"/>
  <c r="C214" i="39"/>
  <c r="D214" i="39" s="1"/>
  <c r="G214" i="39" s="1"/>
  <c r="C215" i="39"/>
  <c r="D215" i="39" s="1"/>
  <c r="C216" i="39"/>
  <c r="D216" i="39" s="1"/>
  <c r="G216" i="39" s="1"/>
  <c r="C217" i="39"/>
  <c r="D217" i="39" s="1"/>
  <c r="G217" i="39" s="1"/>
  <c r="C218" i="39"/>
  <c r="D218" i="39" s="1"/>
  <c r="C219" i="39"/>
  <c r="D219" i="39" s="1"/>
  <c r="G219" i="39" s="1"/>
  <c r="C220" i="39"/>
  <c r="D220" i="39" s="1"/>
  <c r="G220" i="39" s="1"/>
  <c r="C221" i="39"/>
  <c r="D221" i="39" s="1"/>
  <c r="E221" i="39" s="1"/>
  <c r="F221" i="39" s="1"/>
  <c r="C222" i="39"/>
  <c r="D222" i="39" s="1"/>
  <c r="C223" i="39"/>
  <c r="D223" i="39" s="1"/>
  <c r="C224" i="39"/>
  <c r="D224" i="39" s="1"/>
  <c r="E224" i="39" s="1"/>
  <c r="F224" i="39" s="1"/>
  <c r="H210" i="39"/>
  <c r="H211" i="39"/>
  <c r="H212" i="39"/>
  <c r="H213" i="39"/>
  <c r="H214" i="39"/>
  <c r="H215" i="39"/>
  <c r="H216" i="39"/>
  <c r="H217" i="39"/>
  <c r="H218" i="39"/>
  <c r="H219" i="39"/>
  <c r="H220" i="39"/>
  <c r="H221" i="39"/>
  <c r="H222" i="39"/>
  <c r="H223" i="39"/>
  <c r="H224" i="39"/>
  <c r="I210" i="39"/>
  <c r="I211" i="39"/>
  <c r="I212" i="39"/>
  <c r="I213" i="39"/>
  <c r="I214" i="39"/>
  <c r="I215" i="39"/>
  <c r="I216" i="39"/>
  <c r="I217" i="39"/>
  <c r="I218" i="39"/>
  <c r="I219" i="39"/>
  <c r="I220" i="39"/>
  <c r="I221" i="39"/>
  <c r="I222" i="39"/>
  <c r="I223" i="39"/>
  <c r="I224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BB210" i="39"/>
  <c r="BB211" i="39"/>
  <c r="BB212" i="39"/>
  <c r="BB213" i="39"/>
  <c r="BB214" i="39"/>
  <c r="BB215" i="39"/>
  <c r="BB216" i="39"/>
  <c r="BB217" i="39"/>
  <c r="BB218" i="39"/>
  <c r="BB219" i="39"/>
  <c r="BB220" i="39"/>
  <c r="BB221" i="39"/>
  <c r="BB222" i="39"/>
  <c r="BB223" i="39"/>
  <c r="BB224" i="39"/>
  <c r="BG210" i="39"/>
  <c r="BG211" i="39"/>
  <c r="BG212" i="39"/>
  <c r="BG213" i="39"/>
  <c r="BG214" i="39"/>
  <c r="BG215" i="39"/>
  <c r="BG216" i="39"/>
  <c r="BG217" i="39"/>
  <c r="BG218" i="39"/>
  <c r="BG219" i="39"/>
  <c r="BG220" i="39"/>
  <c r="BG221" i="39"/>
  <c r="BG222" i="39"/>
  <c r="BG223" i="39"/>
  <c r="BG224" i="39"/>
  <c r="BH210" i="39"/>
  <c r="BH211" i="39"/>
  <c r="BH212" i="39"/>
  <c r="BH213" i="39"/>
  <c r="BH214" i="39"/>
  <c r="BH215" i="39"/>
  <c r="BH216" i="39"/>
  <c r="BH217" i="39"/>
  <c r="BH218" i="39"/>
  <c r="BH219" i="39"/>
  <c r="BH220" i="39"/>
  <c r="BH221" i="39"/>
  <c r="BH222" i="39"/>
  <c r="BH223" i="39"/>
  <c r="BH224" i="39"/>
  <c r="BI210" i="39"/>
  <c r="BI211" i="39"/>
  <c r="BI212" i="39"/>
  <c r="BI213" i="39"/>
  <c r="BI214" i="39"/>
  <c r="BI215" i="39"/>
  <c r="BI216" i="39"/>
  <c r="BI217" i="39"/>
  <c r="BI218" i="39"/>
  <c r="BI219" i="39"/>
  <c r="BI220" i="39"/>
  <c r="BI221" i="39"/>
  <c r="BI222" i="39"/>
  <c r="BI223" i="39"/>
  <c r="BI224" i="39"/>
  <c r="BJ210" i="39"/>
  <c r="BJ211" i="39"/>
  <c r="BJ212" i="39"/>
  <c r="BJ213" i="39"/>
  <c r="BJ214" i="39"/>
  <c r="BJ215" i="39"/>
  <c r="BJ216" i="39"/>
  <c r="BJ217" i="39"/>
  <c r="BJ218" i="39"/>
  <c r="BJ219" i="39"/>
  <c r="BJ220" i="39"/>
  <c r="BJ221" i="39"/>
  <c r="BJ222" i="39"/>
  <c r="BJ223" i="39"/>
  <c r="BJ224" i="39"/>
  <c r="BK210" i="39"/>
  <c r="BK211" i="39"/>
  <c r="BK212" i="39"/>
  <c r="BK213" i="39"/>
  <c r="BK214" i="39"/>
  <c r="BK215" i="39"/>
  <c r="BK216" i="39"/>
  <c r="BK217" i="39"/>
  <c r="BK218" i="39"/>
  <c r="BK219" i="39"/>
  <c r="BK220" i="39"/>
  <c r="BK221" i="39"/>
  <c r="BK222" i="39"/>
  <c r="BK223" i="39"/>
  <c r="BK224" i="39"/>
  <c r="CG210" i="39"/>
  <c r="CG211" i="39"/>
  <c r="CG212" i="39"/>
  <c r="CG213" i="39"/>
  <c r="CG214" i="39"/>
  <c r="CG215" i="39"/>
  <c r="CG216" i="39"/>
  <c r="CG217" i="39"/>
  <c r="CG218" i="39"/>
  <c r="CG219" i="39"/>
  <c r="CG220" i="39"/>
  <c r="CG221" i="39"/>
  <c r="CG222" i="39"/>
  <c r="CG223" i="39"/>
  <c r="CG224" i="39"/>
  <c r="CH210" i="39"/>
  <c r="CH211" i="39"/>
  <c r="CH212" i="39"/>
  <c r="CH213" i="39"/>
  <c r="CH214" i="39"/>
  <c r="CH215" i="39"/>
  <c r="CH216" i="39"/>
  <c r="CH217" i="39"/>
  <c r="CH218" i="39"/>
  <c r="CH219" i="39"/>
  <c r="CH220" i="39"/>
  <c r="CH221" i="39"/>
  <c r="CH222" i="39"/>
  <c r="CH223" i="39"/>
  <c r="CH224" i="39"/>
  <c r="CI210" i="39"/>
  <c r="CI211" i="39"/>
  <c r="CI212" i="39"/>
  <c r="CI213" i="39"/>
  <c r="CI214" i="39"/>
  <c r="CI215" i="39"/>
  <c r="CI216" i="39"/>
  <c r="CI217" i="39"/>
  <c r="CI218" i="39"/>
  <c r="CI219" i="39"/>
  <c r="CI220" i="39"/>
  <c r="CI221" i="39"/>
  <c r="CI222" i="39"/>
  <c r="CI223" i="39"/>
  <c r="CI224" i="39"/>
  <c r="BL223" i="39" l="1"/>
  <c r="BL216" i="39"/>
  <c r="BL215" i="39"/>
  <c r="BL211" i="39"/>
  <c r="BL217" i="39"/>
  <c r="BL214" i="39"/>
  <c r="BL213" i="39"/>
  <c r="BL224" i="39"/>
  <c r="BL212" i="39"/>
  <c r="BL221" i="39"/>
  <c r="BL220" i="39"/>
  <c r="BL222" i="39"/>
  <c r="BL210" i="39"/>
  <c r="BL219" i="39"/>
  <c r="BL218" i="39"/>
  <c r="G221" i="39"/>
  <c r="E216" i="39"/>
  <c r="F216" i="39" s="1"/>
  <c r="G213" i="39"/>
  <c r="E217" i="39"/>
  <c r="F217" i="39" s="1"/>
  <c r="E214" i="39"/>
  <c r="F214" i="39" s="1"/>
  <c r="E223" i="39"/>
  <c r="F223" i="39" s="1"/>
  <c r="G223" i="39"/>
  <c r="E211" i="39"/>
  <c r="F211" i="39" s="1"/>
  <c r="G211" i="39"/>
  <c r="E222" i="39"/>
  <c r="F222" i="39" s="1"/>
  <c r="G222" i="39"/>
  <c r="E210" i="39"/>
  <c r="F210" i="39" s="1"/>
  <c r="G210" i="39"/>
  <c r="E215" i="39"/>
  <c r="F215" i="39" s="1"/>
  <c r="G215" i="39"/>
  <c r="G218" i="39"/>
  <c r="E218" i="39"/>
  <c r="F218" i="39" s="1"/>
  <c r="E220" i="39"/>
  <c r="F220" i="39" s="1"/>
  <c r="E219" i="39"/>
  <c r="F219" i="39" s="1"/>
  <c r="G224" i="39"/>
  <c r="G212" i="39"/>
  <c r="A196" i="39" l="1"/>
  <c r="A197" i="39"/>
  <c r="A198" i="39"/>
  <c r="A199" i="39"/>
  <c r="A200" i="39"/>
  <c r="A201" i="39"/>
  <c r="A202" i="39"/>
  <c r="A203" i="39"/>
  <c r="A204" i="39"/>
  <c r="A205" i="39"/>
  <c r="A206" i="39"/>
  <c r="A207" i="39"/>
  <c r="A208" i="39"/>
  <c r="A209" i="39"/>
  <c r="B196" i="39"/>
  <c r="B197" i="39"/>
  <c r="B198" i="39"/>
  <c r="B199" i="39"/>
  <c r="B200" i="39"/>
  <c r="B201" i="39"/>
  <c r="B202" i="39"/>
  <c r="B203" i="39"/>
  <c r="B204" i="39"/>
  <c r="B205" i="39"/>
  <c r="B206" i="39"/>
  <c r="B207" i="39"/>
  <c r="B208" i="39"/>
  <c r="B209" i="39"/>
  <c r="C196" i="39"/>
  <c r="D196" i="39" s="1"/>
  <c r="E196" i="39" s="1"/>
  <c r="F196" i="39" s="1"/>
  <c r="C197" i="39"/>
  <c r="D197" i="39" s="1"/>
  <c r="G197" i="39" s="1"/>
  <c r="C198" i="39"/>
  <c r="D198" i="39" s="1"/>
  <c r="E198" i="39" s="1"/>
  <c r="F198" i="39" s="1"/>
  <c r="C199" i="39"/>
  <c r="D199" i="39" s="1"/>
  <c r="G199" i="39" s="1"/>
  <c r="C200" i="39"/>
  <c r="D200" i="39" s="1"/>
  <c r="G200" i="39" s="1"/>
  <c r="C201" i="39"/>
  <c r="D201" i="39" s="1"/>
  <c r="G201" i="39" s="1"/>
  <c r="C202" i="39"/>
  <c r="D202" i="39" s="1"/>
  <c r="E202" i="39" s="1"/>
  <c r="F202" i="39" s="1"/>
  <c r="C203" i="39"/>
  <c r="D203" i="39" s="1"/>
  <c r="E203" i="39" s="1"/>
  <c r="F203" i="39" s="1"/>
  <c r="C204" i="39"/>
  <c r="D204" i="39" s="1"/>
  <c r="E204" i="39" s="1"/>
  <c r="F204" i="39" s="1"/>
  <c r="C205" i="39"/>
  <c r="D205" i="39" s="1"/>
  <c r="E205" i="39" s="1"/>
  <c r="F205" i="39" s="1"/>
  <c r="C206" i="39"/>
  <c r="C207" i="39"/>
  <c r="D207" i="39" s="1"/>
  <c r="G207" i="39" s="1"/>
  <c r="C208" i="39"/>
  <c r="D208" i="39" s="1"/>
  <c r="E208" i="39" s="1"/>
  <c r="F208" i="39" s="1"/>
  <c r="C209" i="39"/>
  <c r="D209" i="39" s="1"/>
  <c r="E209" i="39" s="1"/>
  <c r="F209" i="39" s="1"/>
  <c r="D206" i="39"/>
  <c r="E206" i="39" s="1"/>
  <c r="F206" i="39" s="1"/>
  <c r="H196" i="39"/>
  <c r="H197" i="39"/>
  <c r="H198" i="39"/>
  <c r="H199" i="39"/>
  <c r="H200" i="39"/>
  <c r="H201" i="39"/>
  <c r="H202" i="39"/>
  <c r="H203" i="39"/>
  <c r="H204" i="39"/>
  <c r="H205" i="39"/>
  <c r="H206" i="39"/>
  <c r="H207" i="39"/>
  <c r="H208" i="39"/>
  <c r="H209" i="39"/>
  <c r="I196" i="39"/>
  <c r="I197" i="39"/>
  <c r="I198" i="39"/>
  <c r="I199" i="39"/>
  <c r="I200" i="39"/>
  <c r="I201" i="39"/>
  <c r="I202" i="39"/>
  <c r="I203" i="39"/>
  <c r="I204" i="39"/>
  <c r="I205" i="39"/>
  <c r="I206" i="39"/>
  <c r="I207" i="39"/>
  <c r="I208" i="39"/>
  <c r="I209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P200" i="39"/>
  <c r="BB196" i="39"/>
  <c r="BB197" i="39"/>
  <c r="BB198" i="39"/>
  <c r="BB199" i="39"/>
  <c r="BB200" i="39"/>
  <c r="BB201" i="39"/>
  <c r="BB202" i="39"/>
  <c r="BB203" i="39"/>
  <c r="BB204" i="39"/>
  <c r="BB205" i="39"/>
  <c r="BB206" i="39"/>
  <c r="BB207" i="39"/>
  <c r="BB208" i="39"/>
  <c r="BB209" i="39"/>
  <c r="BG196" i="39"/>
  <c r="BG197" i="39"/>
  <c r="BG198" i="39"/>
  <c r="BG199" i="39"/>
  <c r="BG200" i="39"/>
  <c r="BG201" i="39"/>
  <c r="BG202" i="39"/>
  <c r="BG203" i="39"/>
  <c r="BG204" i="39"/>
  <c r="BG205" i="39"/>
  <c r="BG206" i="39"/>
  <c r="BG207" i="39"/>
  <c r="BG208" i="39"/>
  <c r="BG209" i="39"/>
  <c r="BH196" i="39"/>
  <c r="BH197" i="39"/>
  <c r="BH198" i="39"/>
  <c r="BH199" i="39"/>
  <c r="BH200" i="39"/>
  <c r="BH201" i="39"/>
  <c r="BH202" i="39"/>
  <c r="BH203" i="39"/>
  <c r="BH204" i="39"/>
  <c r="BH205" i="39"/>
  <c r="BH206" i="39"/>
  <c r="BH207" i="39"/>
  <c r="BH208" i="39"/>
  <c r="BH209" i="39"/>
  <c r="BI196" i="39"/>
  <c r="BI197" i="39"/>
  <c r="BI198" i="39"/>
  <c r="BI199" i="39"/>
  <c r="BI200" i="39"/>
  <c r="BI201" i="39"/>
  <c r="BI202" i="39"/>
  <c r="BI203" i="39"/>
  <c r="BI204" i="39"/>
  <c r="BI205" i="39"/>
  <c r="BI206" i="39"/>
  <c r="BI207" i="39"/>
  <c r="BI208" i="39"/>
  <c r="BI209" i="39"/>
  <c r="BJ196" i="39"/>
  <c r="BJ197" i="39"/>
  <c r="BJ198" i="39"/>
  <c r="BJ199" i="39"/>
  <c r="BJ200" i="39"/>
  <c r="BJ201" i="39"/>
  <c r="BJ202" i="39"/>
  <c r="BJ203" i="39"/>
  <c r="BJ204" i="39"/>
  <c r="BJ205" i="39"/>
  <c r="BJ206" i="39"/>
  <c r="BJ207" i="39"/>
  <c r="BJ208" i="39"/>
  <c r="BJ209" i="39"/>
  <c r="BK196" i="39"/>
  <c r="BK197" i="39"/>
  <c r="BK198" i="39"/>
  <c r="BK199" i="39"/>
  <c r="BK200" i="39"/>
  <c r="BK201" i="39"/>
  <c r="BK202" i="39"/>
  <c r="BK203" i="39"/>
  <c r="BK204" i="39"/>
  <c r="BK205" i="39"/>
  <c r="BK206" i="39"/>
  <c r="BK207" i="39"/>
  <c r="BK208" i="39"/>
  <c r="BK209" i="39"/>
  <c r="CG196" i="39"/>
  <c r="CG197" i="39"/>
  <c r="CG198" i="39"/>
  <c r="CG199" i="39"/>
  <c r="CG200" i="39"/>
  <c r="CG201" i="39"/>
  <c r="CG202" i="39"/>
  <c r="CG203" i="39"/>
  <c r="CG204" i="39"/>
  <c r="CG205" i="39"/>
  <c r="CG206" i="39"/>
  <c r="CG207" i="39"/>
  <c r="CG208" i="39"/>
  <c r="CG209" i="39"/>
  <c r="CH196" i="39"/>
  <c r="CH197" i="39"/>
  <c r="CH198" i="39"/>
  <c r="CH199" i="39"/>
  <c r="CH200" i="39"/>
  <c r="CH201" i="39"/>
  <c r="CH202" i="39"/>
  <c r="CH203" i="39"/>
  <c r="CH204" i="39"/>
  <c r="CH205" i="39"/>
  <c r="CH206" i="39"/>
  <c r="CH207" i="39"/>
  <c r="CH208" i="39"/>
  <c r="CH209" i="39"/>
  <c r="CI196" i="39"/>
  <c r="CI197" i="39"/>
  <c r="CI198" i="39"/>
  <c r="CI199" i="39"/>
  <c r="CI200" i="39"/>
  <c r="CI201" i="39"/>
  <c r="CI202" i="39"/>
  <c r="CI203" i="39"/>
  <c r="CI204" i="39"/>
  <c r="CI205" i="39"/>
  <c r="CI206" i="39"/>
  <c r="CI207" i="39"/>
  <c r="CI208" i="39"/>
  <c r="CI209" i="39"/>
  <c r="BL196" i="39" l="1"/>
  <c r="BL200" i="39"/>
  <c r="BL202" i="39"/>
  <c r="BL208" i="39"/>
  <c r="BL204" i="39"/>
  <c r="BL209" i="39"/>
  <c r="BL206" i="39"/>
  <c r="BL203" i="39"/>
  <c r="BL197" i="39"/>
  <c r="BL198" i="39"/>
  <c r="BL207" i="39"/>
  <c r="BL205" i="39"/>
  <c r="BL199" i="39"/>
  <c r="BL201" i="39"/>
  <c r="E207" i="39"/>
  <c r="F207" i="39" s="1"/>
  <c r="E200" i="39"/>
  <c r="F200" i="39" s="1"/>
  <c r="E199" i="39"/>
  <c r="F199" i="39" s="1"/>
  <c r="E197" i="39"/>
  <c r="F197" i="39" s="1"/>
  <c r="G209" i="39"/>
  <c r="G198" i="39"/>
  <c r="G206" i="39"/>
  <c r="G196" i="39"/>
  <c r="G208" i="39"/>
  <c r="E201" i="39"/>
  <c r="F201" i="39" s="1"/>
  <c r="G205" i="39"/>
  <c r="G204" i="39"/>
  <c r="G203" i="39"/>
  <c r="G202" i="39"/>
  <c r="A182" i="39" l="1"/>
  <c r="A183" i="39"/>
  <c r="A184" i="39"/>
  <c r="A185" i="39"/>
  <c r="A186" i="39"/>
  <c r="A187" i="39"/>
  <c r="A188" i="39"/>
  <c r="A189" i="39"/>
  <c r="A190" i="39"/>
  <c r="A191" i="39"/>
  <c r="A192" i="39"/>
  <c r="A193" i="39"/>
  <c r="A194" i="39"/>
  <c r="A195" i="39"/>
  <c r="B182" i="39"/>
  <c r="B183" i="39"/>
  <c r="B184" i="39"/>
  <c r="B185" i="39"/>
  <c r="B186" i="39"/>
  <c r="B187" i="39"/>
  <c r="B188" i="39"/>
  <c r="B189" i="39"/>
  <c r="B190" i="39"/>
  <c r="B191" i="39"/>
  <c r="B192" i="39"/>
  <c r="B193" i="39"/>
  <c r="B194" i="39"/>
  <c r="B195" i="39"/>
  <c r="C182" i="39"/>
  <c r="D182" i="39" s="1"/>
  <c r="E182" i="39" s="1"/>
  <c r="F182" i="39" s="1"/>
  <c r="C183" i="39"/>
  <c r="D183" i="39" s="1"/>
  <c r="C184" i="39"/>
  <c r="D184" i="39" s="1"/>
  <c r="C185" i="39"/>
  <c r="D185" i="39" s="1"/>
  <c r="C186" i="39"/>
  <c r="D186" i="39" s="1"/>
  <c r="E186" i="39" s="1"/>
  <c r="F186" i="39" s="1"/>
  <c r="C187" i="39"/>
  <c r="D187" i="39" s="1"/>
  <c r="E187" i="39" s="1"/>
  <c r="F187" i="39" s="1"/>
  <c r="C188" i="39"/>
  <c r="D188" i="39" s="1"/>
  <c r="E188" i="39" s="1"/>
  <c r="F188" i="39" s="1"/>
  <c r="C189" i="39"/>
  <c r="D189" i="39" s="1"/>
  <c r="C190" i="39"/>
  <c r="D190" i="39" s="1"/>
  <c r="G190" i="39" s="1"/>
  <c r="C191" i="39"/>
  <c r="D191" i="39" s="1"/>
  <c r="G191" i="39" s="1"/>
  <c r="C192" i="39"/>
  <c r="D192" i="39" s="1"/>
  <c r="E192" i="39" s="1"/>
  <c r="F192" i="39" s="1"/>
  <c r="C193" i="39"/>
  <c r="D193" i="39" s="1"/>
  <c r="E193" i="39" s="1"/>
  <c r="F193" i="39" s="1"/>
  <c r="C194" i="39"/>
  <c r="D194" i="39" s="1"/>
  <c r="E194" i="39" s="1"/>
  <c r="F194" i="39" s="1"/>
  <c r="C195" i="39"/>
  <c r="D195" i="39" s="1"/>
  <c r="H182" i="39"/>
  <c r="H183" i="39"/>
  <c r="H184" i="39"/>
  <c r="H185" i="39"/>
  <c r="H186" i="39"/>
  <c r="H187" i="39"/>
  <c r="H188" i="39"/>
  <c r="H189" i="39"/>
  <c r="H190" i="39"/>
  <c r="H191" i="39"/>
  <c r="H192" i="39"/>
  <c r="H193" i="39"/>
  <c r="H194" i="39"/>
  <c r="H195" i="39"/>
  <c r="I182" i="39"/>
  <c r="I183" i="39"/>
  <c r="I184" i="39"/>
  <c r="I185" i="39"/>
  <c r="I186" i="39"/>
  <c r="I187" i="39"/>
  <c r="I188" i="39"/>
  <c r="I189" i="39"/>
  <c r="I190" i="39"/>
  <c r="I191" i="39"/>
  <c r="I192" i="39"/>
  <c r="I193" i="39"/>
  <c r="I194" i="39"/>
  <c r="I195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BB182" i="39"/>
  <c r="BB183" i="39"/>
  <c r="BB184" i="39"/>
  <c r="BB185" i="39"/>
  <c r="BB186" i="39"/>
  <c r="BB187" i="39"/>
  <c r="BB188" i="39"/>
  <c r="BB189" i="39"/>
  <c r="BB190" i="39"/>
  <c r="BB191" i="39"/>
  <c r="BB192" i="39"/>
  <c r="BB193" i="39"/>
  <c r="BB194" i="39"/>
  <c r="BB195" i="39"/>
  <c r="BG182" i="39"/>
  <c r="BG183" i="39"/>
  <c r="BG184" i="39"/>
  <c r="BG185" i="39"/>
  <c r="BG186" i="39"/>
  <c r="BG187" i="39"/>
  <c r="BG188" i="39"/>
  <c r="BG189" i="39"/>
  <c r="BG190" i="39"/>
  <c r="BG191" i="39"/>
  <c r="BG192" i="39"/>
  <c r="BG193" i="39"/>
  <c r="BG194" i="39"/>
  <c r="BG195" i="39"/>
  <c r="BH182" i="39"/>
  <c r="BH183" i="39"/>
  <c r="BH184" i="39"/>
  <c r="BH185" i="39"/>
  <c r="BH186" i="39"/>
  <c r="BH187" i="39"/>
  <c r="BH188" i="39"/>
  <c r="BH189" i="39"/>
  <c r="BH190" i="39"/>
  <c r="BH191" i="39"/>
  <c r="BH192" i="39"/>
  <c r="BH193" i="39"/>
  <c r="BH194" i="39"/>
  <c r="BH195" i="39"/>
  <c r="BI182" i="39"/>
  <c r="BI183" i="39"/>
  <c r="BI184" i="39"/>
  <c r="BI185" i="39"/>
  <c r="BI186" i="39"/>
  <c r="BI187" i="39"/>
  <c r="BI188" i="39"/>
  <c r="BI189" i="39"/>
  <c r="BI190" i="39"/>
  <c r="BI191" i="39"/>
  <c r="BI192" i="39"/>
  <c r="BI193" i="39"/>
  <c r="BI194" i="39"/>
  <c r="BI195" i="39"/>
  <c r="BJ182" i="39"/>
  <c r="BJ183" i="39"/>
  <c r="BJ184" i="39"/>
  <c r="BJ185" i="39"/>
  <c r="BJ186" i="39"/>
  <c r="BJ187" i="39"/>
  <c r="BJ188" i="39"/>
  <c r="BJ189" i="39"/>
  <c r="BJ190" i="39"/>
  <c r="BJ191" i="39"/>
  <c r="BJ192" i="39"/>
  <c r="BJ193" i="39"/>
  <c r="BJ194" i="39"/>
  <c r="BJ195" i="39"/>
  <c r="BK182" i="39"/>
  <c r="BK183" i="39"/>
  <c r="BK184" i="39"/>
  <c r="BK185" i="39"/>
  <c r="BK186" i="39"/>
  <c r="BK187" i="39"/>
  <c r="BK188" i="39"/>
  <c r="BK189" i="39"/>
  <c r="BK190" i="39"/>
  <c r="BK191" i="39"/>
  <c r="BK192" i="39"/>
  <c r="BK193" i="39"/>
  <c r="BK194" i="39"/>
  <c r="BK195" i="39"/>
  <c r="CG182" i="39"/>
  <c r="CG183" i="39"/>
  <c r="CG184" i="39"/>
  <c r="CG185" i="39"/>
  <c r="CG186" i="39"/>
  <c r="CG187" i="39"/>
  <c r="CG188" i="39"/>
  <c r="CG189" i="39"/>
  <c r="CG190" i="39"/>
  <c r="CG191" i="39"/>
  <c r="CG192" i="39"/>
  <c r="CG193" i="39"/>
  <c r="CG194" i="39"/>
  <c r="CG195" i="39"/>
  <c r="CH182" i="39"/>
  <c r="CH183" i="39"/>
  <c r="CH184" i="39"/>
  <c r="CH185" i="39"/>
  <c r="CH186" i="39"/>
  <c r="CH187" i="39"/>
  <c r="CH188" i="39"/>
  <c r="CH189" i="39"/>
  <c r="CH190" i="39"/>
  <c r="CH191" i="39"/>
  <c r="CH192" i="39"/>
  <c r="CH193" i="39"/>
  <c r="CH194" i="39"/>
  <c r="CH195" i="39"/>
  <c r="CI182" i="39"/>
  <c r="CI183" i="39"/>
  <c r="CI184" i="39"/>
  <c r="CI185" i="39"/>
  <c r="CI186" i="39"/>
  <c r="CI187" i="39"/>
  <c r="CI188" i="39"/>
  <c r="CI189" i="39"/>
  <c r="CI190" i="39"/>
  <c r="CI191" i="39"/>
  <c r="CI192" i="39"/>
  <c r="CI193" i="39"/>
  <c r="CI194" i="39"/>
  <c r="CI195" i="39"/>
  <c r="BL193" i="39" l="1"/>
  <c r="BL184" i="39"/>
  <c r="BL195" i="39"/>
  <c r="BL183" i="39"/>
  <c r="BL186" i="39"/>
  <c r="BL188" i="39"/>
  <c r="BL194" i="39"/>
  <c r="BL182" i="39"/>
  <c r="BL190" i="39"/>
  <c r="BL192" i="39"/>
  <c r="BL185" i="39"/>
  <c r="BL187" i="39"/>
  <c r="BL189" i="39"/>
  <c r="BL191" i="39"/>
  <c r="G186" i="39"/>
  <c r="G193" i="39"/>
  <c r="G188" i="39"/>
  <c r="G194" i="39"/>
  <c r="E190" i="39"/>
  <c r="F190" i="39" s="1"/>
  <c r="G182" i="39"/>
  <c r="E191" i="39"/>
  <c r="F191" i="39" s="1"/>
  <c r="E189" i="39"/>
  <c r="F189" i="39" s="1"/>
  <c r="G189" i="39"/>
  <c r="G185" i="39"/>
  <c r="E185" i="39"/>
  <c r="F185" i="39" s="1"/>
  <c r="G184" i="39"/>
  <c r="E184" i="39"/>
  <c r="F184" i="39" s="1"/>
  <c r="G195" i="39"/>
  <c r="E195" i="39"/>
  <c r="F195" i="39" s="1"/>
  <c r="G183" i="39"/>
  <c r="E183" i="39"/>
  <c r="F183" i="39" s="1"/>
  <c r="G192" i="39"/>
  <c r="G187" i="39"/>
  <c r="A168" i="39" l="1"/>
  <c r="A169" i="39"/>
  <c r="A170" i="39"/>
  <c r="A171" i="39"/>
  <c r="A172" i="39"/>
  <c r="A173" i="39"/>
  <c r="A174" i="39"/>
  <c r="A175" i="39"/>
  <c r="A176" i="39"/>
  <c r="A177" i="39"/>
  <c r="A178" i="39"/>
  <c r="A179" i="39"/>
  <c r="A180" i="39"/>
  <c r="A181" i="39"/>
  <c r="B168" i="39"/>
  <c r="B169" i="39"/>
  <c r="B170" i="39"/>
  <c r="B171" i="39"/>
  <c r="B172" i="39"/>
  <c r="B173" i="39"/>
  <c r="B174" i="39"/>
  <c r="B175" i="39"/>
  <c r="B176" i="39"/>
  <c r="B177" i="39"/>
  <c r="B178" i="39"/>
  <c r="B179" i="39"/>
  <c r="B180" i="39"/>
  <c r="B181" i="39"/>
  <c r="C168" i="39"/>
  <c r="D168" i="39" s="1"/>
  <c r="E168" i="39" s="1"/>
  <c r="F168" i="39" s="1"/>
  <c r="C169" i="39"/>
  <c r="D169" i="39" s="1"/>
  <c r="E169" i="39" s="1"/>
  <c r="F169" i="39" s="1"/>
  <c r="C170" i="39"/>
  <c r="D170" i="39" s="1"/>
  <c r="G170" i="39" s="1"/>
  <c r="C171" i="39"/>
  <c r="D171" i="39" s="1"/>
  <c r="G171" i="39" s="1"/>
  <c r="C172" i="39"/>
  <c r="D172" i="39" s="1"/>
  <c r="G172" i="39" s="1"/>
  <c r="C173" i="39"/>
  <c r="D173" i="39" s="1"/>
  <c r="E173" i="39" s="1"/>
  <c r="F173" i="39" s="1"/>
  <c r="C174" i="39"/>
  <c r="D174" i="39" s="1"/>
  <c r="G174" i="39" s="1"/>
  <c r="C175" i="39"/>
  <c r="D175" i="39" s="1"/>
  <c r="C176" i="39"/>
  <c r="D176" i="39" s="1"/>
  <c r="E176" i="39" s="1"/>
  <c r="F176" i="39" s="1"/>
  <c r="C177" i="39"/>
  <c r="D177" i="39" s="1"/>
  <c r="C178" i="39"/>
  <c r="D178" i="39" s="1"/>
  <c r="C179" i="39"/>
  <c r="D179" i="39" s="1"/>
  <c r="C180" i="39"/>
  <c r="D180" i="39" s="1"/>
  <c r="G180" i="39" s="1"/>
  <c r="C181" i="39"/>
  <c r="D181" i="39" s="1"/>
  <c r="E181" i="39" s="1"/>
  <c r="F181" i="39" s="1"/>
  <c r="H168" i="39"/>
  <c r="H169" i="39"/>
  <c r="H170" i="39"/>
  <c r="H171" i="39"/>
  <c r="H172" i="39"/>
  <c r="H173" i="39"/>
  <c r="H174" i="39"/>
  <c r="H175" i="39"/>
  <c r="H176" i="39"/>
  <c r="H177" i="39"/>
  <c r="H178" i="39"/>
  <c r="H179" i="39"/>
  <c r="H180" i="39"/>
  <c r="H181" i="39"/>
  <c r="I168" i="39"/>
  <c r="I169" i="39"/>
  <c r="I170" i="39"/>
  <c r="I171" i="39"/>
  <c r="I172" i="39"/>
  <c r="I173" i="39"/>
  <c r="I174" i="39"/>
  <c r="I175" i="39"/>
  <c r="I176" i="39"/>
  <c r="I177" i="39"/>
  <c r="I178" i="39"/>
  <c r="I179" i="39"/>
  <c r="I180" i="39"/>
  <c r="I181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BB168" i="39"/>
  <c r="BB169" i="39"/>
  <c r="BB170" i="39"/>
  <c r="BB171" i="39"/>
  <c r="BB172" i="39"/>
  <c r="BB173" i="39"/>
  <c r="BB174" i="39"/>
  <c r="BB175" i="39"/>
  <c r="BB176" i="39"/>
  <c r="BB177" i="39"/>
  <c r="BB178" i="39"/>
  <c r="BB179" i="39"/>
  <c r="BB180" i="39"/>
  <c r="BB181" i="39"/>
  <c r="BG168" i="39"/>
  <c r="BG169" i="39"/>
  <c r="BG170" i="39"/>
  <c r="BG171" i="39"/>
  <c r="BG172" i="39"/>
  <c r="BG173" i="39"/>
  <c r="BG174" i="39"/>
  <c r="BG175" i="39"/>
  <c r="BG176" i="39"/>
  <c r="BG177" i="39"/>
  <c r="BG178" i="39"/>
  <c r="BG179" i="39"/>
  <c r="BG180" i="39"/>
  <c r="BG181" i="39"/>
  <c r="BH168" i="39"/>
  <c r="BH169" i="39"/>
  <c r="BH170" i="39"/>
  <c r="BH171" i="39"/>
  <c r="BH172" i="39"/>
  <c r="BH173" i="39"/>
  <c r="BH174" i="39"/>
  <c r="BH175" i="39"/>
  <c r="BH176" i="39"/>
  <c r="BH177" i="39"/>
  <c r="BH178" i="39"/>
  <c r="BH179" i="39"/>
  <c r="BH180" i="39"/>
  <c r="BH181" i="39"/>
  <c r="BI168" i="39"/>
  <c r="BI169" i="39"/>
  <c r="BI170" i="39"/>
  <c r="BI171" i="39"/>
  <c r="BI172" i="39"/>
  <c r="BI173" i="39"/>
  <c r="BI174" i="39"/>
  <c r="BI175" i="39"/>
  <c r="BI176" i="39"/>
  <c r="BI177" i="39"/>
  <c r="BI178" i="39"/>
  <c r="BI179" i="39"/>
  <c r="BI180" i="39"/>
  <c r="BI181" i="39"/>
  <c r="BJ168" i="39"/>
  <c r="BJ169" i="39"/>
  <c r="BJ170" i="39"/>
  <c r="BJ171" i="39"/>
  <c r="BJ172" i="39"/>
  <c r="BJ173" i="39"/>
  <c r="BJ174" i="39"/>
  <c r="BJ175" i="39"/>
  <c r="BJ176" i="39"/>
  <c r="BJ177" i="39"/>
  <c r="BJ178" i="39"/>
  <c r="BJ179" i="39"/>
  <c r="BJ180" i="39"/>
  <c r="BJ181" i="39"/>
  <c r="BK168" i="39"/>
  <c r="BK169" i="39"/>
  <c r="BK170" i="39"/>
  <c r="BK171" i="39"/>
  <c r="BK172" i="39"/>
  <c r="BK173" i="39"/>
  <c r="BK174" i="39"/>
  <c r="BK175" i="39"/>
  <c r="BK176" i="39"/>
  <c r="BK177" i="39"/>
  <c r="BK178" i="39"/>
  <c r="BK179" i="39"/>
  <c r="BK180" i="39"/>
  <c r="BK181" i="39"/>
  <c r="CG168" i="39"/>
  <c r="CG169" i="39"/>
  <c r="CG170" i="39"/>
  <c r="CG171" i="39"/>
  <c r="CG172" i="39"/>
  <c r="CG173" i="39"/>
  <c r="CG174" i="39"/>
  <c r="CG175" i="39"/>
  <c r="CG176" i="39"/>
  <c r="CG177" i="39"/>
  <c r="CG178" i="39"/>
  <c r="CG179" i="39"/>
  <c r="CG180" i="39"/>
  <c r="CG181" i="39"/>
  <c r="CH168" i="39"/>
  <c r="CH169" i="39"/>
  <c r="CH170" i="39"/>
  <c r="CH171" i="39"/>
  <c r="CH172" i="39"/>
  <c r="CH173" i="39"/>
  <c r="CH174" i="39"/>
  <c r="CH175" i="39"/>
  <c r="CH176" i="39"/>
  <c r="CH177" i="39"/>
  <c r="CH178" i="39"/>
  <c r="CH179" i="39"/>
  <c r="CH180" i="39"/>
  <c r="CH181" i="39"/>
  <c r="CI168" i="39"/>
  <c r="CI169" i="39"/>
  <c r="CI170" i="39"/>
  <c r="CI171" i="39"/>
  <c r="CI172" i="39"/>
  <c r="CI173" i="39"/>
  <c r="CI174" i="39"/>
  <c r="CI175" i="39"/>
  <c r="CI176" i="39"/>
  <c r="CI177" i="39"/>
  <c r="CI178" i="39"/>
  <c r="CI179" i="39"/>
  <c r="CI180" i="39"/>
  <c r="CI181" i="39"/>
  <c r="BL169" i="39" l="1"/>
  <c r="BL181" i="39"/>
  <c r="BL173" i="39"/>
  <c r="BL177" i="39"/>
  <c r="BL170" i="39"/>
  <c r="BL178" i="39"/>
  <c r="BL180" i="39"/>
  <c r="BL168" i="39"/>
  <c r="BL179" i="39"/>
  <c r="BL172" i="39"/>
  <c r="BL176" i="39"/>
  <c r="BL175" i="39"/>
  <c r="BL174" i="39"/>
  <c r="BL171" i="39"/>
  <c r="E174" i="39"/>
  <c r="F174" i="39" s="1"/>
  <c r="E170" i="39"/>
  <c r="F170" i="39" s="1"/>
  <c r="G168" i="39"/>
  <c r="G169" i="39"/>
  <c r="E180" i="39"/>
  <c r="F180" i="39" s="1"/>
  <c r="G181" i="39"/>
  <c r="E172" i="39"/>
  <c r="F172" i="39" s="1"/>
  <c r="E171" i="39"/>
  <c r="F171" i="39" s="1"/>
  <c r="E179" i="39"/>
  <c r="F179" i="39" s="1"/>
  <c r="G179" i="39"/>
  <c r="E175" i="39"/>
  <c r="F175" i="39" s="1"/>
  <c r="G175" i="39"/>
  <c r="E178" i="39"/>
  <c r="F178" i="39" s="1"/>
  <c r="G178" i="39"/>
  <c r="E177" i="39"/>
  <c r="F177" i="39" s="1"/>
  <c r="G177" i="39"/>
  <c r="G176" i="39"/>
  <c r="G173" i="39"/>
  <c r="A159" i="39" l="1"/>
  <c r="A160" i="39"/>
  <c r="A161" i="39"/>
  <c r="A162" i="39"/>
  <c r="A163" i="39"/>
  <c r="A164" i="39"/>
  <c r="A165" i="39"/>
  <c r="A166" i="39"/>
  <c r="A167" i="39"/>
  <c r="B159" i="39"/>
  <c r="B160" i="39"/>
  <c r="B161" i="39"/>
  <c r="B162" i="39"/>
  <c r="B163" i="39"/>
  <c r="B164" i="39"/>
  <c r="B165" i="39"/>
  <c r="B166" i="39"/>
  <c r="B167" i="39"/>
  <c r="C159" i="39"/>
  <c r="D159" i="39" s="1"/>
  <c r="C160" i="39"/>
  <c r="D160" i="39" s="1"/>
  <c r="C161" i="39"/>
  <c r="D161" i="39" s="1"/>
  <c r="G161" i="39" s="1"/>
  <c r="C162" i="39"/>
  <c r="D162" i="39" s="1"/>
  <c r="E162" i="39" s="1"/>
  <c r="F162" i="39" s="1"/>
  <c r="C163" i="39"/>
  <c r="D163" i="39" s="1"/>
  <c r="E163" i="39" s="1"/>
  <c r="F163" i="39" s="1"/>
  <c r="C164" i="39"/>
  <c r="D164" i="39" s="1"/>
  <c r="C165" i="39"/>
  <c r="D165" i="39" s="1"/>
  <c r="C166" i="39"/>
  <c r="D166" i="39" s="1"/>
  <c r="C167" i="39"/>
  <c r="D167" i="39" s="1"/>
  <c r="G167" i="39" s="1"/>
  <c r="H159" i="39"/>
  <c r="H160" i="39"/>
  <c r="H161" i="39"/>
  <c r="H162" i="39"/>
  <c r="H163" i="39"/>
  <c r="H164" i="39"/>
  <c r="H165" i="39"/>
  <c r="H166" i="39"/>
  <c r="H167" i="39"/>
  <c r="I159" i="39"/>
  <c r="I160" i="39"/>
  <c r="I161" i="39"/>
  <c r="I162" i="39"/>
  <c r="I163" i="39"/>
  <c r="I164" i="39"/>
  <c r="I165" i="39"/>
  <c r="I166" i="39"/>
  <c r="I167" i="39"/>
  <c r="M159" i="39"/>
  <c r="M160" i="39"/>
  <c r="M161" i="39"/>
  <c r="M162" i="39"/>
  <c r="M163" i="39"/>
  <c r="M164" i="39"/>
  <c r="M165" i="39"/>
  <c r="M166" i="39"/>
  <c r="M167" i="39"/>
  <c r="BB159" i="39"/>
  <c r="BB160" i="39"/>
  <c r="BB161" i="39"/>
  <c r="BB162" i="39"/>
  <c r="BB163" i="39"/>
  <c r="BB164" i="39"/>
  <c r="BB165" i="39"/>
  <c r="BB166" i="39"/>
  <c r="BB167" i="39"/>
  <c r="BG159" i="39"/>
  <c r="BG160" i="39"/>
  <c r="BG161" i="39"/>
  <c r="BG162" i="39"/>
  <c r="BG163" i="39"/>
  <c r="BG164" i="39"/>
  <c r="BG165" i="39"/>
  <c r="BG166" i="39"/>
  <c r="BG167" i="39"/>
  <c r="BH159" i="39"/>
  <c r="BH160" i="39"/>
  <c r="BH161" i="39"/>
  <c r="BH162" i="39"/>
  <c r="BH163" i="39"/>
  <c r="BH164" i="39"/>
  <c r="BH165" i="39"/>
  <c r="BH166" i="39"/>
  <c r="BH167" i="39"/>
  <c r="BI159" i="39"/>
  <c r="BI160" i="39"/>
  <c r="BI161" i="39"/>
  <c r="BI162" i="39"/>
  <c r="BI163" i="39"/>
  <c r="BI164" i="39"/>
  <c r="BI165" i="39"/>
  <c r="BI166" i="39"/>
  <c r="BI167" i="39"/>
  <c r="BJ159" i="39"/>
  <c r="BJ160" i="39"/>
  <c r="BJ161" i="39"/>
  <c r="BJ162" i="39"/>
  <c r="BJ163" i="39"/>
  <c r="BJ164" i="39"/>
  <c r="BJ165" i="39"/>
  <c r="BJ166" i="39"/>
  <c r="BJ167" i="39"/>
  <c r="BK159" i="39"/>
  <c r="BK160" i="39"/>
  <c r="BK161" i="39"/>
  <c r="BK162" i="39"/>
  <c r="BK163" i="39"/>
  <c r="BK164" i="39"/>
  <c r="BK165" i="39"/>
  <c r="BK166" i="39"/>
  <c r="BK167" i="39"/>
  <c r="CG159" i="39"/>
  <c r="CG160" i="39"/>
  <c r="CG161" i="39"/>
  <c r="CG162" i="39"/>
  <c r="CG163" i="39"/>
  <c r="CG164" i="39"/>
  <c r="CG165" i="39"/>
  <c r="CG166" i="39"/>
  <c r="CG167" i="39"/>
  <c r="CH159" i="39"/>
  <c r="CH160" i="39"/>
  <c r="CH161" i="39"/>
  <c r="CH162" i="39"/>
  <c r="CH163" i="39"/>
  <c r="CH164" i="39"/>
  <c r="CH165" i="39"/>
  <c r="CH166" i="39"/>
  <c r="CH167" i="39"/>
  <c r="CI159" i="39"/>
  <c r="CI160" i="39"/>
  <c r="CI161" i="39"/>
  <c r="CI162" i="39"/>
  <c r="CI163" i="39"/>
  <c r="CI164" i="39"/>
  <c r="CI165" i="39"/>
  <c r="CI166" i="39"/>
  <c r="CI167" i="39"/>
  <c r="BL159" i="39" l="1"/>
  <c r="BL164" i="39"/>
  <c r="BL160" i="39"/>
  <c r="BL163" i="39"/>
  <c r="BL162" i="39"/>
  <c r="BL161" i="39"/>
  <c r="BL166" i="39"/>
  <c r="BL165" i="39"/>
  <c r="BL167" i="39"/>
  <c r="E161" i="39"/>
  <c r="F161" i="39" s="1"/>
  <c r="E159" i="39"/>
  <c r="F159" i="39" s="1"/>
  <c r="G159" i="39"/>
  <c r="E164" i="39"/>
  <c r="F164" i="39" s="1"/>
  <c r="G164" i="39"/>
  <c r="E160" i="39"/>
  <c r="F160" i="39" s="1"/>
  <c r="G160" i="39"/>
  <c r="G166" i="39"/>
  <c r="E166" i="39"/>
  <c r="F166" i="39" s="1"/>
  <c r="G165" i="39"/>
  <c r="E165" i="39"/>
  <c r="F165" i="39" s="1"/>
  <c r="G163" i="39"/>
  <c r="G162" i="39"/>
  <c r="E167" i="39"/>
  <c r="F167" i="39" s="1"/>
  <c r="A156" i="39" l="1"/>
  <c r="A157" i="39"/>
  <c r="A158" i="39"/>
  <c r="B156" i="39"/>
  <c r="B157" i="39"/>
  <c r="B158" i="39"/>
  <c r="C156" i="39"/>
  <c r="D156" i="39" s="1"/>
  <c r="C157" i="39"/>
  <c r="D157" i="39" s="1"/>
  <c r="C158" i="39"/>
  <c r="D158" i="39" s="1"/>
  <c r="E158" i="39" s="1"/>
  <c r="F158" i="39" s="1"/>
  <c r="H156" i="39"/>
  <c r="H157" i="39"/>
  <c r="H158" i="39"/>
  <c r="I156" i="39"/>
  <c r="I157" i="39"/>
  <c r="I158" i="39"/>
  <c r="M156" i="39"/>
  <c r="M157" i="39"/>
  <c r="M158" i="39"/>
  <c r="BB156" i="39"/>
  <c r="BB157" i="39"/>
  <c r="BB158" i="39"/>
  <c r="BG156" i="39"/>
  <c r="BG157" i="39"/>
  <c r="BG158" i="39"/>
  <c r="BH156" i="39"/>
  <c r="BH157" i="39"/>
  <c r="BH158" i="39"/>
  <c r="BI156" i="39"/>
  <c r="BI157" i="39"/>
  <c r="BI158" i="39"/>
  <c r="BJ156" i="39"/>
  <c r="BJ157" i="39"/>
  <c r="BJ158" i="39"/>
  <c r="BK156" i="39"/>
  <c r="BK157" i="39"/>
  <c r="BK158" i="39"/>
  <c r="CG156" i="39"/>
  <c r="CG157" i="39"/>
  <c r="CG158" i="39"/>
  <c r="CH156" i="39"/>
  <c r="CH157" i="39"/>
  <c r="CH158" i="39"/>
  <c r="CI156" i="39"/>
  <c r="CI157" i="39"/>
  <c r="CI158" i="39"/>
  <c r="BL157" i="39" l="1"/>
  <c r="BL156" i="39"/>
  <c r="BL158" i="39"/>
  <c r="E157" i="39"/>
  <c r="F157" i="39" s="1"/>
  <c r="G157" i="39"/>
  <c r="E156" i="39"/>
  <c r="F156" i="39" s="1"/>
  <c r="G156" i="39"/>
  <c r="G158" i="39"/>
  <c r="A142" i="39" l="1"/>
  <c r="A143" i="39"/>
  <c r="A144" i="39"/>
  <c r="A145" i="39"/>
  <c r="A146" i="39"/>
  <c r="A147" i="39"/>
  <c r="A148" i="39"/>
  <c r="A149" i="39"/>
  <c r="A150" i="39"/>
  <c r="A151" i="39"/>
  <c r="A152" i="39"/>
  <c r="A153" i="39"/>
  <c r="A154" i="39"/>
  <c r="A155" i="39"/>
  <c r="B142" i="39"/>
  <c r="B143" i="39"/>
  <c r="B144" i="39"/>
  <c r="B145" i="39"/>
  <c r="B146" i="39"/>
  <c r="B147" i="39"/>
  <c r="B148" i="39"/>
  <c r="B149" i="39"/>
  <c r="B150" i="39"/>
  <c r="B151" i="39"/>
  <c r="B152" i="39"/>
  <c r="B153" i="39"/>
  <c r="B154" i="39"/>
  <c r="B155" i="39"/>
  <c r="C142" i="39"/>
  <c r="D142" i="39" s="1"/>
  <c r="E142" i="39" s="1"/>
  <c r="F142" i="39" s="1"/>
  <c r="C143" i="39"/>
  <c r="D143" i="39" s="1"/>
  <c r="E143" i="39" s="1"/>
  <c r="F143" i="39" s="1"/>
  <c r="C144" i="39"/>
  <c r="D144" i="39" s="1"/>
  <c r="G144" i="39" s="1"/>
  <c r="C145" i="39"/>
  <c r="D145" i="39" s="1"/>
  <c r="G145" i="39" s="1"/>
  <c r="C146" i="39"/>
  <c r="D146" i="39" s="1"/>
  <c r="C147" i="39"/>
  <c r="D147" i="39" s="1"/>
  <c r="E147" i="39" s="1"/>
  <c r="F147" i="39" s="1"/>
  <c r="C148" i="39"/>
  <c r="D148" i="39" s="1"/>
  <c r="G148" i="39" s="1"/>
  <c r="C149" i="39"/>
  <c r="D149" i="39" s="1"/>
  <c r="C150" i="39"/>
  <c r="D150" i="39" s="1"/>
  <c r="E150" i="39" s="1"/>
  <c r="F150" i="39" s="1"/>
  <c r="C151" i="39"/>
  <c r="D151" i="39" s="1"/>
  <c r="E151" i="39" s="1"/>
  <c r="F151" i="39" s="1"/>
  <c r="C152" i="39"/>
  <c r="D152" i="39" s="1"/>
  <c r="C153" i="39"/>
  <c r="D153" i="39" s="1"/>
  <c r="C154" i="39"/>
  <c r="D154" i="39" s="1"/>
  <c r="G154" i="39" s="1"/>
  <c r="C155" i="39"/>
  <c r="D155" i="39" s="1"/>
  <c r="G155" i="39" s="1"/>
  <c r="H142" i="39"/>
  <c r="H143" i="39"/>
  <c r="H144" i="39"/>
  <c r="H145" i="39"/>
  <c r="H146" i="39"/>
  <c r="H147" i="39"/>
  <c r="H148" i="39"/>
  <c r="H149" i="39"/>
  <c r="H150" i="39"/>
  <c r="H151" i="39"/>
  <c r="H152" i="39"/>
  <c r="H153" i="39"/>
  <c r="H154" i="39"/>
  <c r="H155" i="39"/>
  <c r="I142" i="39"/>
  <c r="I143" i="39"/>
  <c r="I144" i="39"/>
  <c r="I145" i="39"/>
  <c r="I146" i="39"/>
  <c r="I147" i="39"/>
  <c r="I148" i="39"/>
  <c r="I149" i="39"/>
  <c r="I150" i="39"/>
  <c r="I151" i="39"/>
  <c r="I152" i="39"/>
  <c r="I153" i="39"/>
  <c r="I154" i="39"/>
  <c r="I155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BB142" i="39"/>
  <c r="BB143" i="39"/>
  <c r="BB144" i="39"/>
  <c r="BB145" i="39"/>
  <c r="BB146" i="39"/>
  <c r="BB147" i="39"/>
  <c r="BB148" i="39"/>
  <c r="BB149" i="39"/>
  <c r="BB150" i="39"/>
  <c r="BB151" i="39"/>
  <c r="BB152" i="39"/>
  <c r="BB153" i="39"/>
  <c r="BB154" i="39"/>
  <c r="BB155" i="39"/>
  <c r="BG142" i="39"/>
  <c r="BG143" i="39"/>
  <c r="BG144" i="39"/>
  <c r="BG145" i="39"/>
  <c r="BG146" i="39"/>
  <c r="BG147" i="39"/>
  <c r="BG148" i="39"/>
  <c r="BG149" i="39"/>
  <c r="BG150" i="39"/>
  <c r="BG151" i="39"/>
  <c r="BG152" i="39"/>
  <c r="BG153" i="39"/>
  <c r="BG154" i="39"/>
  <c r="BG155" i="39"/>
  <c r="BH142" i="39"/>
  <c r="BH143" i="39"/>
  <c r="BH144" i="39"/>
  <c r="BH145" i="39"/>
  <c r="BH146" i="39"/>
  <c r="BH147" i="39"/>
  <c r="BH148" i="39"/>
  <c r="BH149" i="39"/>
  <c r="BH150" i="39"/>
  <c r="BH151" i="39"/>
  <c r="BH152" i="39"/>
  <c r="BH153" i="39"/>
  <c r="BH154" i="39"/>
  <c r="BH155" i="39"/>
  <c r="BI142" i="39"/>
  <c r="BI143" i="39"/>
  <c r="BI144" i="39"/>
  <c r="BI145" i="39"/>
  <c r="BI146" i="39"/>
  <c r="BI147" i="39"/>
  <c r="BI148" i="39"/>
  <c r="BI149" i="39"/>
  <c r="BI150" i="39"/>
  <c r="BI151" i="39"/>
  <c r="BI152" i="39"/>
  <c r="BI153" i="39"/>
  <c r="BI154" i="39"/>
  <c r="BI155" i="39"/>
  <c r="BJ142" i="39"/>
  <c r="BJ143" i="39"/>
  <c r="BJ144" i="39"/>
  <c r="BJ145" i="39"/>
  <c r="BJ146" i="39"/>
  <c r="BJ147" i="39"/>
  <c r="BJ148" i="39"/>
  <c r="BJ149" i="39"/>
  <c r="BJ150" i="39"/>
  <c r="BJ151" i="39"/>
  <c r="BJ152" i="39"/>
  <c r="BJ153" i="39"/>
  <c r="BJ154" i="39"/>
  <c r="BJ155" i="39"/>
  <c r="BK142" i="39"/>
  <c r="BK143" i="39"/>
  <c r="BK144" i="39"/>
  <c r="BK145" i="39"/>
  <c r="BK146" i="39"/>
  <c r="BK147" i="39"/>
  <c r="BK148" i="39"/>
  <c r="BK149" i="39"/>
  <c r="BK150" i="39"/>
  <c r="BK151" i="39"/>
  <c r="BK152" i="39"/>
  <c r="BK153" i="39"/>
  <c r="BK154" i="39"/>
  <c r="BK155" i="39"/>
  <c r="CG142" i="39"/>
  <c r="CG143" i="39"/>
  <c r="CG144" i="39"/>
  <c r="CG145" i="39"/>
  <c r="CG146" i="39"/>
  <c r="CG147" i="39"/>
  <c r="CG148" i="39"/>
  <c r="CG149" i="39"/>
  <c r="CG150" i="39"/>
  <c r="CG151" i="39"/>
  <c r="CG152" i="39"/>
  <c r="CG153" i="39"/>
  <c r="CG154" i="39"/>
  <c r="CG155" i="39"/>
  <c r="CH142" i="39"/>
  <c r="CH143" i="39"/>
  <c r="CH144" i="39"/>
  <c r="CH145" i="39"/>
  <c r="CH146" i="39"/>
  <c r="CH147" i="39"/>
  <c r="CH148" i="39"/>
  <c r="CH149" i="39"/>
  <c r="CH150" i="39"/>
  <c r="CH151" i="39"/>
  <c r="CH152" i="39"/>
  <c r="CH153" i="39"/>
  <c r="CH154" i="39"/>
  <c r="CH155" i="39"/>
  <c r="CI142" i="39"/>
  <c r="CI143" i="39"/>
  <c r="CI144" i="39"/>
  <c r="CI145" i="39"/>
  <c r="CI146" i="39"/>
  <c r="CI147" i="39"/>
  <c r="CI148" i="39"/>
  <c r="CI149" i="39"/>
  <c r="CI150" i="39"/>
  <c r="CI151" i="39"/>
  <c r="CI152" i="39"/>
  <c r="CI153" i="39"/>
  <c r="CI154" i="39"/>
  <c r="CI155" i="39"/>
  <c r="A118" i="39"/>
  <c r="A119" i="39"/>
  <c r="A120" i="39"/>
  <c r="A121" i="39"/>
  <c r="A122" i="39"/>
  <c r="A123" i="39"/>
  <c r="A124" i="39"/>
  <c r="A125" i="39"/>
  <c r="A126" i="39"/>
  <c r="A127" i="39"/>
  <c r="A128" i="39"/>
  <c r="A129" i="39"/>
  <c r="A130" i="39"/>
  <c r="A131" i="39"/>
  <c r="A132" i="39"/>
  <c r="A133" i="39"/>
  <c r="A134" i="39"/>
  <c r="A135" i="39"/>
  <c r="A136" i="39"/>
  <c r="A137" i="39"/>
  <c r="A138" i="39"/>
  <c r="A139" i="39"/>
  <c r="A140" i="39"/>
  <c r="A141" i="39"/>
  <c r="B118" i="39"/>
  <c r="B119" i="39"/>
  <c r="B120" i="39"/>
  <c r="B121" i="39"/>
  <c r="B122" i="39"/>
  <c r="B123" i="39"/>
  <c r="B124" i="39"/>
  <c r="B125" i="39"/>
  <c r="B126" i="39"/>
  <c r="B127" i="39"/>
  <c r="B128" i="39"/>
  <c r="B129" i="39"/>
  <c r="B130" i="39"/>
  <c r="B131" i="39"/>
  <c r="B132" i="39"/>
  <c r="B133" i="39"/>
  <c r="B134" i="39"/>
  <c r="B135" i="39"/>
  <c r="B136" i="39"/>
  <c r="B137" i="39"/>
  <c r="B138" i="39"/>
  <c r="B139" i="39"/>
  <c r="B140" i="39"/>
  <c r="B141" i="39"/>
  <c r="C118" i="39"/>
  <c r="D118" i="39" s="1"/>
  <c r="E118" i="39" s="1"/>
  <c r="F118" i="39" s="1"/>
  <c r="C119" i="39"/>
  <c r="D119" i="39" s="1"/>
  <c r="E119" i="39" s="1"/>
  <c r="F119" i="39" s="1"/>
  <c r="C120" i="39"/>
  <c r="D120" i="39" s="1"/>
  <c r="E120" i="39" s="1"/>
  <c r="F120" i="39" s="1"/>
  <c r="C121" i="39"/>
  <c r="D121" i="39" s="1"/>
  <c r="G121" i="39" s="1"/>
  <c r="C122" i="39"/>
  <c r="D122" i="39" s="1"/>
  <c r="G122" i="39" s="1"/>
  <c r="C123" i="39"/>
  <c r="D123" i="39" s="1"/>
  <c r="E123" i="39" s="1"/>
  <c r="F123" i="39" s="1"/>
  <c r="C124" i="39"/>
  <c r="D124" i="39" s="1"/>
  <c r="E124" i="39" s="1"/>
  <c r="F124" i="39" s="1"/>
  <c r="C125" i="39"/>
  <c r="D125" i="39" s="1"/>
  <c r="G125" i="39" s="1"/>
  <c r="C126" i="39"/>
  <c r="D126" i="39" s="1"/>
  <c r="G126" i="39" s="1"/>
  <c r="C127" i="39"/>
  <c r="D127" i="39" s="1"/>
  <c r="E127" i="39" s="1"/>
  <c r="F127" i="39" s="1"/>
  <c r="C128" i="39"/>
  <c r="D128" i="39" s="1"/>
  <c r="G128" i="39" s="1"/>
  <c r="C129" i="39"/>
  <c r="D129" i="39" s="1"/>
  <c r="C130" i="39"/>
  <c r="D130" i="39" s="1"/>
  <c r="G130" i="39" s="1"/>
  <c r="C131" i="39"/>
  <c r="D131" i="39" s="1"/>
  <c r="E131" i="39" s="1"/>
  <c r="F131" i="39" s="1"/>
  <c r="C132" i="39"/>
  <c r="D132" i="39" s="1"/>
  <c r="E132" i="39" s="1"/>
  <c r="F132" i="39" s="1"/>
  <c r="C133" i="39"/>
  <c r="D133" i="39" s="1"/>
  <c r="E133" i="39" s="1"/>
  <c r="F133" i="39" s="1"/>
  <c r="C134" i="39"/>
  <c r="D134" i="39" s="1"/>
  <c r="G134" i="39" s="1"/>
  <c r="C135" i="39"/>
  <c r="D135" i="39" s="1"/>
  <c r="E135" i="39" s="1"/>
  <c r="F135" i="39" s="1"/>
  <c r="C136" i="39"/>
  <c r="D136" i="39" s="1"/>
  <c r="G136" i="39" s="1"/>
  <c r="C137" i="39"/>
  <c r="D137" i="39" s="1"/>
  <c r="E137" i="39" s="1"/>
  <c r="F137" i="39" s="1"/>
  <c r="C138" i="39"/>
  <c r="D138" i="39" s="1"/>
  <c r="G138" i="39" s="1"/>
  <c r="C139" i="39"/>
  <c r="D139" i="39" s="1"/>
  <c r="E139" i="39" s="1"/>
  <c r="F139" i="39" s="1"/>
  <c r="C140" i="39"/>
  <c r="D140" i="39" s="1"/>
  <c r="E140" i="39" s="1"/>
  <c r="F140" i="39" s="1"/>
  <c r="C141" i="39"/>
  <c r="D141" i="39" s="1"/>
  <c r="E141" i="39" s="1"/>
  <c r="F141" i="39" s="1"/>
  <c r="H118" i="39"/>
  <c r="H119" i="39"/>
  <c r="H120" i="39"/>
  <c r="H121" i="39"/>
  <c r="H122" i="39"/>
  <c r="H123" i="39"/>
  <c r="H124" i="39"/>
  <c r="H125" i="39"/>
  <c r="H126" i="39"/>
  <c r="H127" i="39"/>
  <c r="H128" i="39"/>
  <c r="H129" i="39"/>
  <c r="H130" i="39"/>
  <c r="H131" i="39"/>
  <c r="H132" i="39"/>
  <c r="H133" i="39"/>
  <c r="H134" i="39"/>
  <c r="H135" i="39"/>
  <c r="H136" i="39"/>
  <c r="H137" i="39"/>
  <c r="H138" i="39"/>
  <c r="H139" i="39"/>
  <c r="H140" i="39"/>
  <c r="H141" i="39"/>
  <c r="I118" i="39"/>
  <c r="I119" i="39"/>
  <c r="I120" i="39"/>
  <c r="I121" i="39"/>
  <c r="I122" i="39"/>
  <c r="I123" i="39"/>
  <c r="I124" i="39"/>
  <c r="I125" i="39"/>
  <c r="I126" i="39"/>
  <c r="I127" i="39"/>
  <c r="I128" i="39"/>
  <c r="I129" i="39"/>
  <c r="I130" i="39"/>
  <c r="I131" i="39"/>
  <c r="I132" i="39"/>
  <c r="I133" i="39"/>
  <c r="I134" i="39"/>
  <c r="I135" i="39"/>
  <c r="I136" i="39"/>
  <c r="I137" i="39"/>
  <c r="I138" i="39"/>
  <c r="I139" i="39"/>
  <c r="I140" i="39"/>
  <c r="I141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BB118" i="39"/>
  <c r="BB119" i="39"/>
  <c r="BB120" i="39"/>
  <c r="BB121" i="39"/>
  <c r="BB122" i="39"/>
  <c r="BB123" i="39"/>
  <c r="BB124" i="39"/>
  <c r="BB125" i="39"/>
  <c r="BB126" i="39"/>
  <c r="BB127" i="39"/>
  <c r="BB128" i="39"/>
  <c r="BB129" i="39"/>
  <c r="BB130" i="39"/>
  <c r="BB131" i="39"/>
  <c r="BB132" i="39"/>
  <c r="BB133" i="39"/>
  <c r="BB134" i="39"/>
  <c r="BB135" i="39"/>
  <c r="BB136" i="39"/>
  <c r="BB137" i="39"/>
  <c r="BB138" i="39"/>
  <c r="BB139" i="39"/>
  <c r="BB140" i="39"/>
  <c r="BB141" i="39"/>
  <c r="BG118" i="39"/>
  <c r="BG119" i="39"/>
  <c r="BG120" i="39"/>
  <c r="BG121" i="39"/>
  <c r="BG122" i="39"/>
  <c r="BG123" i="39"/>
  <c r="BG124" i="39"/>
  <c r="BG125" i="39"/>
  <c r="BG126" i="39"/>
  <c r="BG127" i="39"/>
  <c r="BG128" i="39"/>
  <c r="BG129" i="39"/>
  <c r="BG130" i="39"/>
  <c r="BG131" i="39"/>
  <c r="BG132" i="39"/>
  <c r="BG133" i="39"/>
  <c r="BG134" i="39"/>
  <c r="BG135" i="39"/>
  <c r="BG136" i="39"/>
  <c r="BG137" i="39"/>
  <c r="BG138" i="39"/>
  <c r="BG139" i="39"/>
  <c r="BG140" i="39"/>
  <c r="BG141" i="39"/>
  <c r="BH118" i="39"/>
  <c r="BH119" i="39"/>
  <c r="BH120" i="39"/>
  <c r="BH121" i="39"/>
  <c r="BH122" i="39"/>
  <c r="BH123" i="39"/>
  <c r="BH124" i="39"/>
  <c r="BH125" i="39"/>
  <c r="BH126" i="39"/>
  <c r="BH127" i="39"/>
  <c r="BH128" i="39"/>
  <c r="BH129" i="39"/>
  <c r="BH130" i="39"/>
  <c r="BH131" i="39"/>
  <c r="BH132" i="39"/>
  <c r="BH133" i="39"/>
  <c r="BH134" i="39"/>
  <c r="BH135" i="39"/>
  <c r="BH136" i="39"/>
  <c r="BH137" i="39"/>
  <c r="BH138" i="39"/>
  <c r="BH139" i="39"/>
  <c r="BH140" i="39"/>
  <c r="BH141" i="39"/>
  <c r="BI118" i="39"/>
  <c r="BI119" i="39"/>
  <c r="BI120" i="39"/>
  <c r="BI121" i="39"/>
  <c r="BI122" i="39"/>
  <c r="BI123" i="39"/>
  <c r="BI124" i="39"/>
  <c r="BI125" i="39"/>
  <c r="BI126" i="39"/>
  <c r="BI127" i="39"/>
  <c r="BI128" i="39"/>
  <c r="BI129" i="39"/>
  <c r="BI130" i="39"/>
  <c r="BI131" i="39"/>
  <c r="BI132" i="39"/>
  <c r="BI133" i="39"/>
  <c r="BI134" i="39"/>
  <c r="BI135" i="39"/>
  <c r="BI136" i="39"/>
  <c r="BI137" i="39"/>
  <c r="BI138" i="39"/>
  <c r="BI139" i="39"/>
  <c r="BI140" i="39"/>
  <c r="BI141" i="39"/>
  <c r="BJ118" i="39"/>
  <c r="BJ119" i="39"/>
  <c r="BJ120" i="39"/>
  <c r="BJ121" i="39"/>
  <c r="BJ122" i="39"/>
  <c r="BJ123" i="39"/>
  <c r="BJ124" i="39"/>
  <c r="BJ125" i="39"/>
  <c r="BJ126" i="39"/>
  <c r="BJ127" i="39"/>
  <c r="BJ128" i="39"/>
  <c r="BJ129" i="39"/>
  <c r="BJ130" i="39"/>
  <c r="BJ131" i="39"/>
  <c r="BJ132" i="39"/>
  <c r="BJ133" i="39"/>
  <c r="BJ134" i="39"/>
  <c r="BJ135" i="39"/>
  <c r="BJ136" i="39"/>
  <c r="BJ137" i="39"/>
  <c r="BJ138" i="39"/>
  <c r="BJ139" i="39"/>
  <c r="BJ140" i="39"/>
  <c r="BJ141" i="39"/>
  <c r="BK118" i="39"/>
  <c r="BK119" i="39"/>
  <c r="BK120" i="39"/>
  <c r="BK121" i="39"/>
  <c r="BK122" i="39"/>
  <c r="BK123" i="39"/>
  <c r="BK124" i="39"/>
  <c r="BK125" i="39"/>
  <c r="BK126" i="39"/>
  <c r="BK127" i="39"/>
  <c r="BK128" i="39"/>
  <c r="BK129" i="39"/>
  <c r="BK130" i="39"/>
  <c r="BK131" i="39"/>
  <c r="BK132" i="39"/>
  <c r="BK133" i="39"/>
  <c r="BK134" i="39"/>
  <c r="BK135" i="39"/>
  <c r="BK136" i="39"/>
  <c r="BK137" i="39"/>
  <c r="BK138" i="39"/>
  <c r="BK139" i="39"/>
  <c r="BK140" i="39"/>
  <c r="BK141" i="39"/>
  <c r="BL118" i="39"/>
  <c r="BL119" i="39"/>
  <c r="BL120" i="39"/>
  <c r="BL121" i="39"/>
  <c r="BL122" i="39"/>
  <c r="BL123" i="39"/>
  <c r="BL124" i="39"/>
  <c r="BL125" i="39"/>
  <c r="BL126" i="39"/>
  <c r="BL127" i="39"/>
  <c r="BL128" i="39"/>
  <c r="BL129" i="39"/>
  <c r="BL130" i="39"/>
  <c r="BL131" i="39"/>
  <c r="BL132" i="39"/>
  <c r="BL133" i="39"/>
  <c r="BL134" i="39"/>
  <c r="BL135" i="39"/>
  <c r="BL136" i="39"/>
  <c r="BL137" i="39"/>
  <c r="BL138" i="39"/>
  <c r="CG118" i="39"/>
  <c r="CG119" i="39"/>
  <c r="CG120" i="39"/>
  <c r="CG121" i="39"/>
  <c r="CG122" i="39"/>
  <c r="CG123" i="39"/>
  <c r="CG124" i="39"/>
  <c r="CG125" i="39"/>
  <c r="CG126" i="39"/>
  <c r="CG127" i="39"/>
  <c r="CG128" i="39"/>
  <c r="CG129" i="39"/>
  <c r="CG130" i="39"/>
  <c r="CG131" i="39"/>
  <c r="CG132" i="39"/>
  <c r="CG133" i="39"/>
  <c r="CG134" i="39"/>
  <c r="CG135" i="39"/>
  <c r="CG136" i="39"/>
  <c r="CG137" i="39"/>
  <c r="CG138" i="39"/>
  <c r="CG139" i="39"/>
  <c r="CG140" i="39"/>
  <c r="CG141" i="39"/>
  <c r="CH118" i="39"/>
  <c r="CH119" i="39"/>
  <c r="CH120" i="39"/>
  <c r="CH121" i="39"/>
  <c r="CH122" i="39"/>
  <c r="CH123" i="39"/>
  <c r="CH124" i="39"/>
  <c r="CH125" i="39"/>
  <c r="CH126" i="39"/>
  <c r="CH127" i="39"/>
  <c r="CH128" i="39"/>
  <c r="CH129" i="39"/>
  <c r="CH130" i="39"/>
  <c r="CH131" i="39"/>
  <c r="CH132" i="39"/>
  <c r="CH133" i="39"/>
  <c r="CH134" i="39"/>
  <c r="CH135" i="39"/>
  <c r="CH136" i="39"/>
  <c r="CH137" i="39"/>
  <c r="CH138" i="39"/>
  <c r="CH139" i="39"/>
  <c r="CH140" i="39"/>
  <c r="CH141" i="39"/>
  <c r="CI118" i="39"/>
  <c r="CI119" i="39"/>
  <c r="CI120" i="39"/>
  <c r="CI121" i="39"/>
  <c r="CI122" i="39"/>
  <c r="CI123" i="39"/>
  <c r="CI124" i="39"/>
  <c r="CI125" i="39"/>
  <c r="CI126" i="39"/>
  <c r="CI127" i="39"/>
  <c r="CI128" i="39"/>
  <c r="CI129" i="39"/>
  <c r="CI130" i="39"/>
  <c r="CI131" i="39"/>
  <c r="CI132" i="39"/>
  <c r="CI133" i="39"/>
  <c r="CI134" i="39"/>
  <c r="CI135" i="39"/>
  <c r="CI136" i="39"/>
  <c r="CI137" i="39"/>
  <c r="CI138" i="39"/>
  <c r="CI139" i="39"/>
  <c r="CI140" i="39"/>
  <c r="CI141" i="39"/>
  <c r="BL140" i="39" l="1"/>
  <c r="BL139" i="39"/>
  <c r="BL141" i="39"/>
  <c r="BL155" i="39"/>
  <c r="BL149" i="39"/>
  <c r="BL143" i="39"/>
  <c r="BL144" i="39"/>
  <c r="BL152" i="39"/>
  <c r="BL154" i="39"/>
  <c r="BL142" i="39"/>
  <c r="BL153" i="39"/>
  <c r="BL145" i="39"/>
  <c r="BL151" i="39"/>
  <c r="BL150" i="39"/>
  <c r="BL146" i="39"/>
  <c r="BL148" i="39"/>
  <c r="BL147" i="39"/>
  <c r="G150" i="39"/>
  <c r="G143" i="39"/>
  <c r="G142" i="39"/>
  <c r="E155" i="39"/>
  <c r="F155" i="39" s="1"/>
  <c r="E148" i="39"/>
  <c r="F148" i="39" s="1"/>
  <c r="E154" i="39"/>
  <c r="F154" i="39" s="1"/>
  <c r="E145" i="39"/>
  <c r="F145" i="39" s="1"/>
  <c r="E146" i="39"/>
  <c r="F146" i="39" s="1"/>
  <c r="G146" i="39"/>
  <c r="E149" i="39"/>
  <c r="F149" i="39" s="1"/>
  <c r="G149" i="39"/>
  <c r="G153" i="39"/>
  <c r="E153" i="39"/>
  <c r="F153" i="39" s="1"/>
  <c r="E152" i="39"/>
  <c r="F152" i="39" s="1"/>
  <c r="G152" i="39"/>
  <c r="E144" i="39"/>
  <c r="F144" i="39" s="1"/>
  <c r="G151" i="39"/>
  <c r="G147" i="39"/>
  <c r="G131" i="39"/>
  <c r="E134" i="39"/>
  <c r="F134" i="39" s="1"/>
  <c r="G139" i="39"/>
  <c r="E121" i="39"/>
  <c r="F121" i="39" s="1"/>
  <c r="G135" i="39"/>
  <c r="E136" i="39"/>
  <c r="F136" i="39" s="1"/>
  <c r="E126" i="39"/>
  <c r="F126" i="39" s="1"/>
  <c r="G124" i="39"/>
  <c r="G118" i="39"/>
  <c r="G137" i="39"/>
  <c r="E122" i="39"/>
  <c r="F122" i="39" s="1"/>
  <c r="G123" i="39"/>
  <c r="E138" i="39"/>
  <c r="F138" i="39" s="1"/>
  <c r="G140" i="39"/>
  <c r="E125" i="39"/>
  <c r="F125" i="39" s="1"/>
  <c r="G127" i="39"/>
  <c r="G133" i="39"/>
  <c r="G120" i="39"/>
  <c r="E128" i="39"/>
  <c r="F128" i="39" s="1"/>
  <c r="E130" i="39"/>
  <c r="F130" i="39" s="1"/>
  <c r="G132" i="39"/>
  <c r="G119" i="39"/>
  <c r="G141" i="39"/>
  <c r="E129" i="39"/>
  <c r="F129" i="39" s="1"/>
  <c r="G129" i="39"/>
  <c r="A108" i="39" l="1"/>
  <c r="A109" i="39"/>
  <c r="A110" i="39"/>
  <c r="A111" i="39"/>
  <c r="A112" i="39"/>
  <c r="A113" i="39"/>
  <c r="A114" i="39"/>
  <c r="A115" i="39"/>
  <c r="A116" i="39"/>
  <c r="A117" i="39"/>
  <c r="B108" i="39"/>
  <c r="B109" i="39"/>
  <c r="B110" i="39"/>
  <c r="B111" i="39"/>
  <c r="B112" i="39"/>
  <c r="B113" i="39"/>
  <c r="B114" i="39"/>
  <c r="B115" i="39"/>
  <c r="B116" i="39"/>
  <c r="B117" i="39"/>
  <c r="C108" i="39"/>
  <c r="D108" i="39" s="1"/>
  <c r="G108" i="39" s="1"/>
  <c r="C109" i="39"/>
  <c r="D109" i="39" s="1"/>
  <c r="C110" i="39"/>
  <c r="D110" i="39" s="1"/>
  <c r="C111" i="39"/>
  <c r="D111" i="39" s="1"/>
  <c r="C112" i="39"/>
  <c r="D112" i="39" s="1"/>
  <c r="G112" i="39" s="1"/>
  <c r="C113" i="39"/>
  <c r="D113" i="39" s="1"/>
  <c r="G113" i="39" s="1"/>
  <c r="C114" i="39"/>
  <c r="D114" i="39" s="1"/>
  <c r="C115" i="39"/>
  <c r="D115" i="39" s="1"/>
  <c r="G115" i="39" s="1"/>
  <c r="C116" i="39"/>
  <c r="D116" i="39" s="1"/>
  <c r="E116" i="39" s="1"/>
  <c r="F116" i="39" s="1"/>
  <c r="C117" i="39"/>
  <c r="D117" i="39" s="1"/>
  <c r="G117" i="39" s="1"/>
  <c r="H108" i="39"/>
  <c r="H109" i="39"/>
  <c r="H110" i="39"/>
  <c r="H111" i="39"/>
  <c r="H112" i="39"/>
  <c r="H113" i="39"/>
  <c r="H114" i="39"/>
  <c r="H115" i="39"/>
  <c r="H116" i="39"/>
  <c r="H117" i="39"/>
  <c r="I108" i="39"/>
  <c r="I109" i="39"/>
  <c r="I110" i="39"/>
  <c r="I111" i="39"/>
  <c r="I112" i="39"/>
  <c r="I113" i="39"/>
  <c r="I114" i="39"/>
  <c r="I115" i="39"/>
  <c r="I116" i="39"/>
  <c r="I117" i="39"/>
  <c r="M108" i="39"/>
  <c r="M109" i="39"/>
  <c r="M110" i="39"/>
  <c r="M111" i="39"/>
  <c r="M112" i="39"/>
  <c r="M113" i="39"/>
  <c r="M114" i="39"/>
  <c r="M115" i="39"/>
  <c r="M116" i="39"/>
  <c r="M117" i="39"/>
  <c r="BB108" i="39"/>
  <c r="BB109" i="39"/>
  <c r="BB110" i="39"/>
  <c r="BB111" i="39"/>
  <c r="BB112" i="39"/>
  <c r="BB113" i="39"/>
  <c r="BB114" i="39"/>
  <c r="BB115" i="39"/>
  <c r="BB116" i="39"/>
  <c r="BB117" i="39"/>
  <c r="BG108" i="39"/>
  <c r="BG109" i="39"/>
  <c r="BG110" i="39"/>
  <c r="BG111" i="39"/>
  <c r="BG112" i="39"/>
  <c r="BG113" i="39"/>
  <c r="BG114" i="39"/>
  <c r="BG115" i="39"/>
  <c r="BG116" i="39"/>
  <c r="BG117" i="39"/>
  <c r="BH108" i="39"/>
  <c r="BH109" i="39"/>
  <c r="BH110" i="39"/>
  <c r="BH111" i="39"/>
  <c r="BH112" i="39"/>
  <c r="BH113" i="39"/>
  <c r="BH114" i="39"/>
  <c r="BH115" i="39"/>
  <c r="BH116" i="39"/>
  <c r="BH117" i="39"/>
  <c r="BI108" i="39"/>
  <c r="BI109" i="39"/>
  <c r="BI110" i="39"/>
  <c r="BI111" i="39"/>
  <c r="BI112" i="39"/>
  <c r="BI113" i="39"/>
  <c r="BI114" i="39"/>
  <c r="BI115" i="39"/>
  <c r="BI116" i="39"/>
  <c r="BI117" i="39"/>
  <c r="BJ108" i="39"/>
  <c r="BJ109" i="39"/>
  <c r="BJ110" i="39"/>
  <c r="BJ111" i="39"/>
  <c r="BJ112" i="39"/>
  <c r="BJ113" i="39"/>
  <c r="BJ114" i="39"/>
  <c r="BJ115" i="39"/>
  <c r="BJ116" i="39"/>
  <c r="BJ117" i="39"/>
  <c r="BK108" i="39"/>
  <c r="BK109" i="39"/>
  <c r="BK110" i="39"/>
  <c r="BK111" i="39"/>
  <c r="BK112" i="39"/>
  <c r="BK113" i="39"/>
  <c r="BK114" i="39"/>
  <c r="BK115" i="39"/>
  <c r="BK116" i="39"/>
  <c r="BK117" i="39"/>
  <c r="CG108" i="39"/>
  <c r="CG109" i="39"/>
  <c r="CG110" i="39"/>
  <c r="CG111" i="39"/>
  <c r="CG112" i="39"/>
  <c r="CG113" i="39"/>
  <c r="CG114" i="39"/>
  <c r="CG115" i="39"/>
  <c r="CG116" i="39"/>
  <c r="CG117" i="39"/>
  <c r="CH108" i="39"/>
  <c r="CH109" i="39"/>
  <c r="CH110" i="39"/>
  <c r="CH111" i="39"/>
  <c r="CH112" i="39"/>
  <c r="CH113" i="39"/>
  <c r="CH114" i="39"/>
  <c r="CH115" i="39"/>
  <c r="CH116" i="39"/>
  <c r="CH117" i="39"/>
  <c r="CI108" i="39"/>
  <c r="CI109" i="39"/>
  <c r="CI110" i="39"/>
  <c r="CI111" i="39"/>
  <c r="CI112" i="39"/>
  <c r="CI113" i="39"/>
  <c r="CI114" i="39"/>
  <c r="CI115" i="39"/>
  <c r="CI116" i="39"/>
  <c r="CI117" i="39"/>
  <c r="BL116" i="39" l="1"/>
  <c r="BL117" i="39"/>
  <c r="BL115" i="39"/>
  <c r="BL114" i="39"/>
  <c r="BL112" i="39"/>
  <c r="BL113" i="39"/>
  <c r="BL111" i="39"/>
  <c r="BL109" i="39"/>
  <c r="BL110" i="39"/>
  <c r="BL108" i="39"/>
  <c r="E117" i="39"/>
  <c r="F117" i="39" s="1"/>
  <c r="E115" i="39"/>
  <c r="F115" i="39" s="1"/>
  <c r="E108" i="39"/>
  <c r="F108" i="39" s="1"/>
  <c r="G110" i="39"/>
  <c r="E110" i="39"/>
  <c r="F110" i="39" s="1"/>
  <c r="G109" i="39"/>
  <c r="E109" i="39"/>
  <c r="F109" i="39" s="1"/>
  <c r="G111" i="39"/>
  <c r="E111" i="39"/>
  <c r="F111" i="39" s="1"/>
  <c r="G114" i="39"/>
  <c r="E114" i="39"/>
  <c r="F114" i="39" s="1"/>
  <c r="E113" i="39"/>
  <c r="F113" i="39" s="1"/>
  <c r="G116" i="39"/>
  <c r="E112" i="39"/>
  <c r="F112" i="39" s="1"/>
  <c r="A97" i="39" l="1"/>
  <c r="A98" i="39"/>
  <c r="A99" i="39"/>
  <c r="A100" i="39"/>
  <c r="A101" i="39"/>
  <c r="A102" i="39"/>
  <c r="A103" i="39"/>
  <c r="A104" i="39"/>
  <c r="A105" i="39"/>
  <c r="A106" i="39"/>
  <c r="A107" i="39"/>
  <c r="B97" i="39"/>
  <c r="B98" i="39"/>
  <c r="B99" i="39"/>
  <c r="B100" i="39"/>
  <c r="B101" i="39"/>
  <c r="B102" i="39"/>
  <c r="B103" i="39"/>
  <c r="B104" i="39"/>
  <c r="B105" i="39"/>
  <c r="B106" i="39"/>
  <c r="B107" i="39"/>
  <c r="C97" i="39"/>
  <c r="D97" i="39" s="1"/>
  <c r="G97" i="39" s="1"/>
  <c r="C98" i="39"/>
  <c r="D98" i="39" s="1"/>
  <c r="G98" i="39" s="1"/>
  <c r="C99" i="39"/>
  <c r="D99" i="39" s="1"/>
  <c r="E99" i="39" s="1"/>
  <c r="F99" i="39" s="1"/>
  <c r="C100" i="39"/>
  <c r="D100" i="39" s="1"/>
  <c r="E100" i="39" s="1"/>
  <c r="F100" i="39" s="1"/>
  <c r="C101" i="39"/>
  <c r="D101" i="39" s="1"/>
  <c r="E101" i="39" s="1"/>
  <c r="F101" i="39" s="1"/>
  <c r="C102" i="39"/>
  <c r="D102" i="39" s="1"/>
  <c r="G102" i="39" s="1"/>
  <c r="C103" i="39"/>
  <c r="D103" i="39" s="1"/>
  <c r="G103" i="39" s="1"/>
  <c r="C104" i="39"/>
  <c r="D104" i="39" s="1"/>
  <c r="E104" i="39" s="1"/>
  <c r="F104" i="39" s="1"/>
  <c r="C105" i="39"/>
  <c r="D105" i="39" s="1"/>
  <c r="E105" i="39" s="1"/>
  <c r="F105" i="39" s="1"/>
  <c r="C106" i="39"/>
  <c r="D106" i="39" s="1"/>
  <c r="G106" i="39" s="1"/>
  <c r="C107" i="39"/>
  <c r="D107" i="39" s="1"/>
  <c r="G107" i="39" s="1"/>
  <c r="H97" i="39"/>
  <c r="H98" i="39"/>
  <c r="H99" i="39"/>
  <c r="H100" i="39"/>
  <c r="H101" i="39"/>
  <c r="H102" i="39"/>
  <c r="H103" i="39"/>
  <c r="H104" i="39"/>
  <c r="H105" i="39"/>
  <c r="H106" i="39"/>
  <c r="H107" i="39"/>
  <c r="I97" i="39"/>
  <c r="I98" i="39"/>
  <c r="I99" i="39"/>
  <c r="I100" i="39"/>
  <c r="I101" i="39"/>
  <c r="I102" i="39"/>
  <c r="I103" i="39"/>
  <c r="I104" i="39"/>
  <c r="I105" i="39"/>
  <c r="I106" i="39"/>
  <c r="I107" i="39"/>
  <c r="M97" i="39"/>
  <c r="M98" i="39"/>
  <c r="M99" i="39"/>
  <c r="M100" i="39"/>
  <c r="M101" i="39"/>
  <c r="M102" i="39"/>
  <c r="M103" i="39"/>
  <c r="M104" i="39"/>
  <c r="M105" i="39"/>
  <c r="M106" i="39"/>
  <c r="M107" i="39"/>
  <c r="P105" i="39"/>
  <c r="BB97" i="39"/>
  <c r="BB98" i="39"/>
  <c r="BB99" i="39"/>
  <c r="BB100" i="39"/>
  <c r="BB101" i="39"/>
  <c r="BB102" i="39"/>
  <c r="BB103" i="39"/>
  <c r="BB104" i="39"/>
  <c r="BB105" i="39"/>
  <c r="BB106" i="39"/>
  <c r="BB107" i="39"/>
  <c r="BG97" i="39"/>
  <c r="BG98" i="39"/>
  <c r="BG99" i="39"/>
  <c r="BG100" i="39"/>
  <c r="BG101" i="39"/>
  <c r="BG102" i="39"/>
  <c r="BG103" i="39"/>
  <c r="BG104" i="39"/>
  <c r="BG105" i="39"/>
  <c r="BG106" i="39"/>
  <c r="BG107" i="39"/>
  <c r="BH97" i="39"/>
  <c r="BH98" i="39"/>
  <c r="BH99" i="39"/>
  <c r="BH100" i="39"/>
  <c r="BH101" i="39"/>
  <c r="BH102" i="39"/>
  <c r="BH103" i="39"/>
  <c r="BH104" i="39"/>
  <c r="BH105" i="39"/>
  <c r="BH106" i="39"/>
  <c r="BH107" i="39"/>
  <c r="BI97" i="39"/>
  <c r="BI98" i="39"/>
  <c r="BI99" i="39"/>
  <c r="BI100" i="39"/>
  <c r="BI101" i="39"/>
  <c r="BI102" i="39"/>
  <c r="BI103" i="39"/>
  <c r="BI104" i="39"/>
  <c r="BI105" i="39"/>
  <c r="BI106" i="39"/>
  <c r="BI107" i="39"/>
  <c r="BJ97" i="39"/>
  <c r="BJ98" i="39"/>
  <c r="BJ99" i="39"/>
  <c r="BJ100" i="39"/>
  <c r="BJ101" i="39"/>
  <c r="BJ102" i="39"/>
  <c r="BJ103" i="39"/>
  <c r="BJ104" i="39"/>
  <c r="BJ105" i="39"/>
  <c r="BJ106" i="39"/>
  <c r="BJ107" i="39"/>
  <c r="BK97" i="39"/>
  <c r="BK98" i="39"/>
  <c r="BK99" i="39"/>
  <c r="BK100" i="39"/>
  <c r="BK101" i="39"/>
  <c r="BK102" i="39"/>
  <c r="BK103" i="39"/>
  <c r="BK104" i="39"/>
  <c r="BK105" i="39"/>
  <c r="BK106" i="39"/>
  <c r="BK107" i="39"/>
  <c r="CG97" i="39"/>
  <c r="CG98" i="39"/>
  <c r="CG99" i="39"/>
  <c r="CG100" i="39"/>
  <c r="CG101" i="39"/>
  <c r="CG102" i="39"/>
  <c r="CG103" i="39"/>
  <c r="CG104" i="39"/>
  <c r="CG105" i="39"/>
  <c r="CG106" i="39"/>
  <c r="CG107" i="39"/>
  <c r="CH97" i="39"/>
  <c r="CH98" i="39"/>
  <c r="CH99" i="39"/>
  <c r="CH100" i="39"/>
  <c r="CH101" i="39"/>
  <c r="CH102" i="39"/>
  <c r="CH103" i="39"/>
  <c r="CH104" i="39"/>
  <c r="CH105" i="39"/>
  <c r="CH106" i="39"/>
  <c r="CH107" i="39"/>
  <c r="CI97" i="39"/>
  <c r="CI98" i="39"/>
  <c r="CI99" i="39"/>
  <c r="CI100" i="39"/>
  <c r="CI101" i="39"/>
  <c r="CI102" i="39"/>
  <c r="CI103" i="39"/>
  <c r="CI104" i="39"/>
  <c r="CI105" i="39"/>
  <c r="CI106" i="39"/>
  <c r="CI107" i="39"/>
  <c r="BL97" i="39" l="1"/>
  <c r="BL105" i="39"/>
  <c r="BL102" i="39"/>
  <c r="BL101" i="39"/>
  <c r="BL100" i="39"/>
  <c r="BL99" i="39"/>
  <c r="BL98" i="39"/>
  <c r="BL107" i="39"/>
  <c r="BL106" i="39"/>
  <c r="BL104" i="39"/>
  <c r="BL103" i="39"/>
  <c r="G101" i="39"/>
  <c r="G105" i="39"/>
  <c r="G100" i="39"/>
  <c r="G99" i="39"/>
  <c r="E103" i="39"/>
  <c r="F103" i="39" s="1"/>
  <c r="G104" i="39"/>
  <c r="E102" i="39"/>
  <c r="F102" i="39" s="1"/>
  <c r="E98" i="39"/>
  <c r="F98" i="39" s="1"/>
  <c r="E97" i="39"/>
  <c r="F97" i="39" s="1"/>
  <c r="E107" i="39"/>
  <c r="F107" i="39" s="1"/>
  <c r="E106" i="39"/>
  <c r="F106" i="39" s="1"/>
  <c r="A85" i="39" l="1"/>
  <c r="A86" i="39"/>
  <c r="A87" i="39"/>
  <c r="A88" i="39"/>
  <c r="A89" i="39"/>
  <c r="A90" i="39"/>
  <c r="A91" i="39"/>
  <c r="A92" i="39"/>
  <c r="A93" i="39"/>
  <c r="A94" i="39"/>
  <c r="A95" i="39"/>
  <c r="A96" i="39"/>
  <c r="B85" i="39"/>
  <c r="B86" i="39"/>
  <c r="B87" i="39"/>
  <c r="B88" i="39"/>
  <c r="B89" i="39"/>
  <c r="B90" i="39"/>
  <c r="B91" i="39"/>
  <c r="B92" i="39"/>
  <c r="B93" i="39"/>
  <c r="B94" i="39"/>
  <c r="B95" i="39"/>
  <c r="B96" i="39"/>
  <c r="C85" i="39"/>
  <c r="D85" i="39" s="1"/>
  <c r="G85" i="39" s="1"/>
  <c r="C86" i="39"/>
  <c r="D86" i="39" s="1"/>
  <c r="G86" i="39" s="1"/>
  <c r="C87" i="39"/>
  <c r="D87" i="39" s="1"/>
  <c r="G87" i="39" s="1"/>
  <c r="C88" i="39"/>
  <c r="D88" i="39" s="1"/>
  <c r="G88" i="39" s="1"/>
  <c r="C89" i="39"/>
  <c r="D89" i="39" s="1"/>
  <c r="E89" i="39" s="1"/>
  <c r="F89" i="39" s="1"/>
  <c r="C90" i="39"/>
  <c r="D90" i="39" s="1"/>
  <c r="E90" i="39" s="1"/>
  <c r="F90" i="39" s="1"/>
  <c r="C91" i="39"/>
  <c r="D91" i="39" s="1"/>
  <c r="E91" i="39" s="1"/>
  <c r="F91" i="39" s="1"/>
  <c r="C92" i="39"/>
  <c r="D92" i="39" s="1"/>
  <c r="E92" i="39" s="1"/>
  <c r="F92" i="39" s="1"/>
  <c r="C93" i="39"/>
  <c r="D93" i="39" s="1"/>
  <c r="E93" i="39" s="1"/>
  <c r="F93" i="39" s="1"/>
  <c r="C94" i="39"/>
  <c r="D94" i="39" s="1"/>
  <c r="E94" i="39" s="1"/>
  <c r="F94" i="39" s="1"/>
  <c r="C95" i="39"/>
  <c r="D95" i="39" s="1"/>
  <c r="E95" i="39" s="1"/>
  <c r="F95" i="39" s="1"/>
  <c r="C96" i="39"/>
  <c r="D96" i="39" s="1"/>
  <c r="E96" i="39" s="1"/>
  <c r="F96" i="39" s="1"/>
  <c r="H85" i="39"/>
  <c r="H86" i="39"/>
  <c r="H87" i="39"/>
  <c r="H88" i="39"/>
  <c r="H89" i="39"/>
  <c r="H90" i="39"/>
  <c r="H91" i="39"/>
  <c r="H92" i="39"/>
  <c r="H93" i="39"/>
  <c r="H94" i="39"/>
  <c r="H95" i="39"/>
  <c r="H96" i="39"/>
  <c r="I85" i="39"/>
  <c r="I86" i="39"/>
  <c r="I87" i="39"/>
  <c r="I88" i="39"/>
  <c r="I89" i="39"/>
  <c r="I90" i="39"/>
  <c r="I91" i="39"/>
  <c r="I92" i="39"/>
  <c r="I93" i="39"/>
  <c r="I94" i="39"/>
  <c r="I95" i="39"/>
  <c r="I96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BB85" i="39"/>
  <c r="BB86" i="39"/>
  <c r="BB87" i="39"/>
  <c r="BB88" i="39"/>
  <c r="BB89" i="39"/>
  <c r="BB90" i="39"/>
  <c r="BB91" i="39"/>
  <c r="BB92" i="39"/>
  <c r="BB93" i="39"/>
  <c r="BB94" i="39"/>
  <c r="BB95" i="39"/>
  <c r="BB96" i="39"/>
  <c r="BG85" i="39"/>
  <c r="BG86" i="39"/>
  <c r="BG87" i="39"/>
  <c r="BG88" i="39"/>
  <c r="BG89" i="39"/>
  <c r="BG90" i="39"/>
  <c r="BG91" i="39"/>
  <c r="BG92" i="39"/>
  <c r="BG93" i="39"/>
  <c r="BG94" i="39"/>
  <c r="BG95" i="39"/>
  <c r="BG96" i="39"/>
  <c r="BH85" i="39"/>
  <c r="BH86" i="39"/>
  <c r="BH87" i="39"/>
  <c r="BH88" i="39"/>
  <c r="BH89" i="39"/>
  <c r="BH90" i="39"/>
  <c r="BH91" i="39"/>
  <c r="BH92" i="39"/>
  <c r="BH93" i="39"/>
  <c r="BH94" i="39"/>
  <c r="BH95" i="39"/>
  <c r="BH96" i="39"/>
  <c r="BI85" i="39"/>
  <c r="BI86" i="39"/>
  <c r="BI87" i="39"/>
  <c r="BI88" i="39"/>
  <c r="BI89" i="39"/>
  <c r="BI90" i="39"/>
  <c r="BI91" i="39"/>
  <c r="BI92" i="39"/>
  <c r="BI93" i="39"/>
  <c r="BI94" i="39"/>
  <c r="BI95" i="39"/>
  <c r="BI96" i="39"/>
  <c r="BJ85" i="39"/>
  <c r="BJ86" i="39"/>
  <c r="BJ87" i="39"/>
  <c r="BJ88" i="39"/>
  <c r="BJ89" i="39"/>
  <c r="BJ90" i="39"/>
  <c r="BJ91" i="39"/>
  <c r="BJ92" i="39"/>
  <c r="BJ93" i="39"/>
  <c r="BJ94" i="39"/>
  <c r="BJ95" i="39"/>
  <c r="BJ96" i="39"/>
  <c r="BK85" i="39"/>
  <c r="BK86" i="39"/>
  <c r="BK87" i="39"/>
  <c r="BK88" i="39"/>
  <c r="BK89" i="39"/>
  <c r="BK90" i="39"/>
  <c r="BK91" i="39"/>
  <c r="BK92" i="39"/>
  <c r="BK93" i="39"/>
  <c r="BK94" i="39"/>
  <c r="BK95" i="39"/>
  <c r="BK96" i="39"/>
  <c r="BL85" i="39"/>
  <c r="CG85" i="39"/>
  <c r="CG86" i="39"/>
  <c r="CG87" i="39"/>
  <c r="CG88" i="39"/>
  <c r="CG89" i="39"/>
  <c r="CG90" i="39"/>
  <c r="CG91" i="39"/>
  <c r="CG92" i="39"/>
  <c r="CG93" i="39"/>
  <c r="CG94" i="39"/>
  <c r="CG95" i="39"/>
  <c r="CG96" i="39"/>
  <c r="CH85" i="39"/>
  <c r="CH86" i="39"/>
  <c r="CH87" i="39"/>
  <c r="CH88" i="39"/>
  <c r="CH89" i="39"/>
  <c r="CH90" i="39"/>
  <c r="CH91" i="39"/>
  <c r="CH92" i="39"/>
  <c r="CH93" i="39"/>
  <c r="CH94" i="39"/>
  <c r="CH95" i="39"/>
  <c r="CH96" i="39"/>
  <c r="CI85" i="39"/>
  <c r="CI86" i="39"/>
  <c r="CI87" i="39"/>
  <c r="CI88" i="39"/>
  <c r="CI89" i="39"/>
  <c r="CI90" i="39"/>
  <c r="CI91" i="39"/>
  <c r="CI92" i="39"/>
  <c r="CI93" i="39"/>
  <c r="CI94" i="39"/>
  <c r="CI95" i="39"/>
  <c r="CI96" i="39"/>
  <c r="BL93" i="39" l="1"/>
  <c r="BL88" i="39"/>
  <c r="BL87" i="39"/>
  <c r="BL86" i="39"/>
  <c r="BL89" i="39"/>
  <c r="BL95" i="39"/>
  <c r="BL96" i="39"/>
  <c r="BL92" i="39"/>
  <c r="BL94" i="39"/>
  <c r="BL91" i="39"/>
  <c r="BL90" i="39"/>
  <c r="E87" i="39"/>
  <c r="F87" i="39" s="1"/>
  <c r="E86" i="39"/>
  <c r="F86" i="39" s="1"/>
  <c r="E85" i="39"/>
  <c r="F85" i="39" s="1"/>
  <c r="G95" i="39"/>
  <c r="G94" i="39"/>
  <c r="E88" i="39"/>
  <c r="F88" i="39" s="1"/>
  <c r="G93" i="39"/>
  <c r="G92" i="39"/>
  <c r="G96" i="39"/>
  <c r="G90" i="39"/>
  <c r="G91" i="39"/>
  <c r="G89" i="39"/>
  <c r="A72" i="39" l="1"/>
  <c r="A73" i="39"/>
  <c r="A74" i="39"/>
  <c r="A75" i="39"/>
  <c r="A76" i="39"/>
  <c r="A77" i="39"/>
  <c r="A78" i="39"/>
  <c r="A79" i="39"/>
  <c r="A80" i="39"/>
  <c r="A81" i="39"/>
  <c r="A82" i="39"/>
  <c r="A83" i="39"/>
  <c r="A84" i="39"/>
  <c r="B72" i="39"/>
  <c r="B73" i="39"/>
  <c r="B74" i="39"/>
  <c r="B75" i="39"/>
  <c r="B76" i="39"/>
  <c r="B77" i="39"/>
  <c r="B78" i="39"/>
  <c r="B79" i="39"/>
  <c r="B80" i="39"/>
  <c r="B81" i="39"/>
  <c r="B82" i="39"/>
  <c r="B83" i="39"/>
  <c r="B84" i="39"/>
  <c r="C72" i="39"/>
  <c r="D72" i="39" s="1"/>
  <c r="C73" i="39"/>
  <c r="D73" i="39" s="1"/>
  <c r="G73" i="39" s="1"/>
  <c r="C74" i="39"/>
  <c r="D74" i="39" s="1"/>
  <c r="E74" i="39" s="1"/>
  <c r="F74" i="39" s="1"/>
  <c r="C75" i="39"/>
  <c r="D75" i="39" s="1"/>
  <c r="E75" i="39" s="1"/>
  <c r="F75" i="39" s="1"/>
  <c r="C76" i="39"/>
  <c r="D76" i="39" s="1"/>
  <c r="C77" i="39"/>
  <c r="D77" i="39" s="1"/>
  <c r="E77" i="39" s="1"/>
  <c r="F77" i="39" s="1"/>
  <c r="C78" i="39"/>
  <c r="D78" i="39" s="1"/>
  <c r="G78" i="39" s="1"/>
  <c r="C79" i="39"/>
  <c r="D79" i="39" s="1"/>
  <c r="G79" i="39" s="1"/>
  <c r="C80" i="39"/>
  <c r="D80" i="39" s="1"/>
  <c r="E80" i="39" s="1"/>
  <c r="F80" i="39" s="1"/>
  <c r="C81" i="39"/>
  <c r="D81" i="39" s="1"/>
  <c r="C82" i="39"/>
  <c r="D82" i="39" s="1"/>
  <c r="C83" i="39"/>
  <c r="D83" i="39" s="1"/>
  <c r="E83" i="39" s="1"/>
  <c r="F83" i="39" s="1"/>
  <c r="C84" i="39"/>
  <c r="D84" i="39" s="1"/>
  <c r="H72" i="39"/>
  <c r="H73" i="39"/>
  <c r="H74" i="39"/>
  <c r="H75" i="39"/>
  <c r="H76" i="39"/>
  <c r="H77" i="39"/>
  <c r="H78" i="39"/>
  <c r="H79" i="39"/>
  <c r="H80" i="39"/>
  <c r="H81" i="39"/>
  <c r="H82" i="39"/>
  <c r="H83" i="39"/>
  <c r="H84" i="39"/>
  <c r="I72" i="39"/>
  <c r="I73" i="39"/>
  <c r="I74" i="39"/>
  <c r="I75" i="39"/>
  <c r="I76" i="39"/>
  <c r="I77" i="39"/>
  <c r="I78" i="39"/>
  <c r="I79" i="39"/>
  <c r="I80" i="39"/>
  <c r="I81" i="39"/>
  <c r="I82" i="39"/>
  <c r="I83" i="39"/>
  <c r="I84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BB72" i="39"/>
  <c r="BB73" i="39"/>
  <c r="BB74" i="39"/>
  <c r="BB75" i="39"/>
  <c r="BB76" i="39"/>
  <c r="BB77" i="39"/>
  <c r="BB78" i="39"/>
  <c r="BB79" i="39"/>
  <c r="BB80" i="39"/>
  <c r="BB81" i="39"/>
  <c r="BB82" i="39"/>
  <c r="BB83" i="39"/>
  <c r="BB84" i="39"/>
  <c r="BG72" i="39"/>
  <c r="BG73" i="39"/>
  <c r="BG74" i="39"/>
  <c r="BG75" i="39"/>
  <c r="BG76" i="39"/>
  <c r="BG77" i="39"/>
  <c r="BG78" i="39"/>
  <c r="BG79" i="39"/>
  <c r="BG80" i="39"/>
  <c r="BG81" i="39"/>
  <c r="BG82" i="39"/>
  <c r="BG83" i="39"/>
  <c r="BG84" i="39"/>
  <c r="BH72" i="39"/>
  <c r="BH73" i="39"/>
  <c r="BH74" i="39"/>
  <c r="BH75" i="39"/>
  <c r="BH76" i="39"/>
  <c r="BH77" i="39"/>
  <c r="BH78" i="39"/>
  <c r="BH79" i="39"/>
  <c r="BH80" i="39"/>
  <c r="BH81" i="39"/>
  <c r="BH82" i="39"/>
  <c r="BH83" i="39"/>
  <c r="BH84" i="39"/>
  <c r="BI72" i="39"/>
  <c r="BI73" i="39"/>
  <c r="BI74" i="39"/>
  <c r="BI75" i="39"/>
  <c r="BI76" i="39"/>
  <c r="BI77" i="39"/>
  <c r="BI78" i="39"/>
  <c r="BI79" i="39"/>
  <c r="BI80" i="39"/>
  <c r="BI81" i="39"/>
  <c r="BI82" i="39"/>
  <c r="BI83" i="39"/>
  <c r="BI84" i="39"/>
  <c r="BJ72" i="39"/>
  <c r="BJ73" i="39"/>
  <c r="BJ74" i="39"/>
  <c r="BJ75" i="39"/>
  <c r="BJ76" i="39"/>
  <c r="BJ77" i="39"/>
  <c r="BJ78" i="39"/>
  <c r="BJ79" i="39"/>
  <c r="BJ80" i="39"/>
  <c r="BJ81" i="39"/>
  <c r="BJ82" i="39"/>
  <c r="BJ83" i="39"/>
  <c r="BJ84" i="39"/>
  <c r="BK72" i="39"/>
  <c r="BK73" i="39"/>
  <c r="BK74" i="39"/>
  <c r="BK75" i="39"/>
  <c r="BK76" i="39"/>
  <c r="BK77" i="39"/>
  <c r="BK78" i="39"/>
  <c r="BK79" i="39"/>
  <c r="BK80" i="39"/>
  <c r="BK81" i="39"/>
  <c r="BK82" i="39"/>
  <c r="BK83" i="39"/>
  <c r="BK84" i="39"/>
  <c r="CG72" i="39"/>
  <c r="CG73" i="39"/>
  <c r="CG74" i="39"/>
  <c r="CG75" i="39"/>
  <c r="CG76" i="39"/>
  <c r="CG77" i="39"/>
  <c r="CG78" i="39"/>
  <c r="CG79" i="39"/>
  <c r="CG80" i="39"/>
  <c r="CG81" i="39"/>
  <c r="CG82" i="39"/>
  <c r="CG83" i="39"/>
  <c r="CG84" i="39"/>
  <c r="CH72" i="39"/>
  <c r="CH73" i="39"/>
  <c r="CH74" i="39"/>
  <c r="CH75" i="39"/>
  <c r="CH76" i="39"/>
  <c r="CH77" i="39"/>
  <c r="CH78" i="39"/>
  <c r="CH79" i="39"/>
  <c r="CH80" i="39"/>
  <c r="CH81" i="39"/>
  <c r="CH82" i="39"/>
  <c r="CH83" i="39"/>
  <c r="CH84" i="39"/>
  <c r="CI72" i="39"/>
  <c r="CI73" i="39"/>
  <c r="CI74" i="39"/>
  <c r="CI75" i="39"/>
  <c r="CI76" i="39"/>
  <c r="CI77" i="39"/>
  <c r="CI78" i="39"/>
  <c r="CI79" i="39"/>
  <c r="CI80" i="39"/>
  <c r="CI81" i="39"/>
  <c r="CI82" i="39"/>
  <c r="CI83" i="39"/>
  <c r="CI84" i="39"/>
  <c r="BL77" i="39" l="1"/>
  <c r="BL84" i="39"/>
  <c r="BL72" i="39"/>
  <c r="BL75" i="39"/>
  <c r="BL74" i="39"/>
  <c r="BL73" i="39"/>
  <c r="BL83" i="39"/>
  <c r="BL81" i="39"/>
  <c r="BL82" i="39"/>
  <c r="BL78" i="39"/>
  <c r="BL79" i="39"/>
  <c r="BL80" i="39"/>
  <c r="BL76" i="39"/>
  <c r="E73" i="39"/>
  <c r="F73" i="39" s="1"/>
  <c r="G83" i="39"/>
  <c r="G77" i="39"/>
  <c r="G75" i="39"/>
  <c r="G74" i="39"/>
  <c r="E79" i="39"/>
  <c r="F79" i="39" s="1"/>
  <c r="E78" i="39"/>
  <c r="F78" i="39" s="1"/>
  <c r="E82" i="39"/>
  <c r="F82" i="39" s="1"/>
  <c r="G82" i="39"/>
  <c r="E81" i="39"/>
  <c r="F81" i="39" s="1"/>
  <c r="G81" i="39"/>
  <c r="E76" i="39"/>
  <c r="F76" i="39" s="1"/>
  <c r="G76" i="39"/>
  <c r="E84" i="39"/>
  <c r="F84" i="39" s="1"/>
  <c r="G84" i="39"/>
  <c r="E72" i="39"/>
  <c r="F72" i="39" s="1"/>
  <c r="G72" i="39"/>
  <c r="G80" i="39"/>
  <c r="A63" i="39" l="1"/>
  <c r="A64" i="39"/>
  <c r="A65" i="39"/>
  <c r="A66" i="39"/>
  <c r="A67" i="39"/>
  <c r="A68" i="39"/>
  <c r="A69" i="39"/>
  <c r="A70" i="39"/>
  <c r="A71" i="39"/>
  <c r="B63" i="39"/>
  <c r="B64" i="39"/>
  <c r="B65" i="39"/>
  <c r="B66" i="39"/>
  <c r="B67" i="39"/>
  <c r="B68" i="39"/>
  <c r="B69" i="39"/>
  <c r="B70" i="39"/>
  <c r="B71" i="39"/>
  <c r="C63" i="39"/>
  <c r="D63" i="39" s="1"/>
  <c r="E63" i="39" s="1"/>
  <c r="F63" i="39" s="1"/>
  <c r="C64" i="39"/>
  <c r="D64" i="39" s="1"/>
  <c r="E64" i="39" s="1"/>
  <c r="F64" i="39" s="1"/>
  <c r="C65" i="39"/>
  <c r="D65" i="39" s="1"/>
  <c r="C66" i="39"/>
  <c r="D66" i="39" s="1"/>
  <c r="C67" i="39"/>
  <c r="D67" i="39" s="1"/>
  <c r="C68" i="39"/>
  <c r="D68" i="39" s="1"/>
  <c r="C69" i="39"/>
  <c r="D69" i="39" s="1"/>
  <c r="G69" i="39" s="1"/>
  <c r="C70" i="39"/>
  <c r="D70" i="39" s="1"/>
  <c r="G70" i="39" s="1"/>
  <c r="C71" i="39"/>
  <c r="D71" i="39" s="1"/>
  <c r="G71" i="39" s="1"/>
  <c r="H63" i="39"/>
  <c r="H64" i="39"/>
  <c r="H65" i="39"/>
  <c r="H66" i="39"/>
  <c r="H67" i="39"/>
  <c r="H68" i="39"/>
  <c r="H69" i="39"/>
  <c r="H70" i="39"/>
  <c r="H71" i="39"/>
  <c r="I63" i="39"/>
  <c r="I64" i="39"/>
  <c r="I65" i="39"/>
  <c r="I66" i="39"/>
  <c r="I67" i="39"/>
  <c r="I68" i="39"/>
  <c r="I69" i="39"/>
  <c r="I70" i="39"/>
  <c r="I71" i="39"/>
  <c r="M63" i="39"/>
  <c r="M64" i="39"/>
  <c r="M65" i="39"/>
  <c r="M66" i="39"/>
  <c r="M67" i="39"/>
  <c r="M68" i="39"/>
  <c r="M69" i="39"/>
  <c r="M70" i="39"/>
  <c r="M71" i="39"/>
  <c r="BB63" i="39"/>
  <c r="BB64" i="39"/>
  <c r="BB65" i="39"/>
  <c r="BB66" i="39"/>
  <c r="BB67" i="39"/>
  <c r="BB68" i="39"/>
  <c r="BB69" i="39"/>
  <c r="BB70" i="39"/>
  <c r="BB71" i="39"/>
  <c r="BG63" i="39"/>
  <c r="BG64" i="39"/>
  <c r="BG65" i="39"/>
  <c r="BG66" i="39"/>
  <c r="BG67" i="39"/>
  <c r="BG68" i="39"/>
  <c r="BG69" i="39"/>
  <c r="BG70" i="39"/>
  <c r="BG71" i="39"/>
  <c r="BH63" i="39"/>
  <c r="BH64" i="39"/>
  <c r="BH65" i="39"/>
  <c r="BH66" i="39"/>
  <c r="BH67" i="39"/>
  <c r="BH68" i="39"/>
  <c r="BH69" i="39"/>
  <c r="BH70" i="39"/>
  <c r="BH71" i="39"/>
  <c r="BI63" i="39"/>
  <c r="BI64" i="39"/>
  <c r="BI65" i="39"/>
  <c r="BI66" i="39"/>
  <c r="BI67" i="39"/>
  <c r="BI68" i="39"/>
  <c r="BI69" i="39"/>
  <c r="BI70" i="39"/>
  <c r="BI71" i="39"/>
  <c r="BJ63" i="39"/>
  <c r="BJ64" i="39"/>
  <c r="BJ65" i="39"/>
  <c r="BJ66" i="39"/>
  <c r="BJ67" i="39"/>
  <c r="BJ68" i="39"/>
  <c r="BJ69" i="39"/>
  <c r="BJ70" i="39"/>
  <c r="BJ71" i="39"/>
  <c r="BK63" i="39"/>
  <c r="BK64" i="39"/>
  <c r="BK65" i="39"/>
  <c r="BK66" i="39"/>
  <c r="BK67" i="39"/>
  <c r="BK68" i="39"/>
  <c r="BK69" i="39"/>
  <c r="BK70" i="39"/>
  <c r="BK71" i="39"/>
  <c r="CG63" i="39"/>
  <c r="CG64" i="39"/>
  <c r="CG65" i="39"/>
  <c r="CG66" i="39"/>
  <c r="CG67" i="39"/>
  <c r="CG68" i="39"/>
  <c r="CG69" i="39"/>
  <c r="CG70" i="39"/>
  <c r="CG71" i="39"/>
  <c r="CH63" i="39"/>
  <c r="CH64" i="39"/>
  <c r="CH65" i="39"/>
  <c r="CH66" i="39"/>
  <c r="CH67" i="39"/>
  <c r="CH68" i="39"/>
  <c r="CH69" i="39"/>
  <c r="CH70" i="39"/>
  <c r="CH71" i="39"/>
  <c r="CI63" i="39"/>
  <c r="CI64" i="39"/>
  <c r="CI65" i="39"/>
  <c r="CI66" i="39"/>
  <c r="CI67" i="39"/>
  <c r="CI68" i="39"/>
  <c r="CI69" i="39"/>
  <c r="CI70" i="39"/>
  <c r="CI71" i="39"/>
  <c r="BL66" i="39" l="1"/>
  <c r="BL67" i="39"/>
  <c r="BL68" i="39"/>
  <c r="BL64" i="39"/>
  <c r="BL63" i="39"/>
  <c r="BL65" i="39"/>
  <c r="BL71" i="39"/>
  <c r="BL70" i="39"/>
  <c r="BL69" i="39"/>
  <c r="E67" i="39"/>
  <c r="F67" i="39" s="1"/>
  <c r="G67" i="39"/>
  <c r="E66" i="39"/>
  <c r="F66" i="39" s="1"/>
  <c r="G66" i="39"/>
  <c r="E65" i="39"/>
  <c r="F65" i="39" s="1"/>
  <c r="G65" i="39"/>
  <c r="E68" i="39"/>
  <c r="F68" i="39" s="1"/>
  <c r="G68" i="39"/>
  <c r="E71" i="39"/>
  <c r="F71" i="39" s="1"/>
  <c r="G64" i="39"/>
  <c r="E70" i="39"/>
  <c r="F70" i="39" s="1"/>
  <c r="G63" i="39"/>
  <c r="E69" i="39"/>
  <c r="F69" i="39" s="1"/>
  <c r="A55" i="39" l="1"/>
  <c r="A56" i="39"/>
  <c r="A57" i="39"/>
  <c r="A58" i="39"/>
  <c r="A59" i="39"/>
  <c r="A60" i="39"/>
  <c r="A61" i="39"/>
  <c r="A62" i="39"/>
  <c r="B55" i="39"/>
  <c r="B56" i="39"/>
  <c r="B57" i="39"/>
  <c r="B58" i="39"/>
  <c r="B59" i="39"/>
  <c r="B60" i="39"/>
  <c r="B61" i="39"/>
  <c r="B62" i="39"/>
  <c r="C55" i="39"/>
  <c r="D55" i="39" s="1"/>
  <c r="E55" i="39" s="1"/>
  <c r="F55" i="39" s="1"/>
  <c r="C56" i="39"/>
  <c r="D56" i="39" s="1"/>
  <c r="C57" i="39"/>
  <c r="D57" i="39" s="1"/>
  <c r="E57" i="39" s="1"/>
  <c r="F57" i="39" s="1"/>
  <c r="C58" i="39"/>
  <c r="D58" i="39" s="1"/>
  <c r="C59" i="39"/>
  <c r="D59" i="39" s="1"/>
  <c r="G59" i="39" s="1"/>
  <c r="C60" i="39"/>
  <c r="D60" i="39" s="1"/>
  <c r="E60" i="39" s="1"/>
  <c r="F60" i="39" s="1"/>
  <c r="C61" i="39"/>
  <c r="D61" i="39" s="1"/>
  <c r="C62" i="39"/>
  <c r="D62" i="39" s="1"/>
  <c r="H55" i="39"/>
  <c r="H56" i="39"/>
  <c r="H57" i="39"/>
  <c r="H58" i="39"/>
  <c r="H59" i="39"/>
  <c r="H60" i="39"/>
  <c r="H61" i="39"/>
  <c r="H62" i="39"/>
  <c r="I55" i="39"/>
  <c r="I56" i="39"/>
  <c r="I57" i="39"/>
  <c r="I58" i="39"/>
  <c r="I59" i="39"/>
  <c r="I60" i="39"/>
  <c r="I61" i="39"/>
  <c r="I62" i="39"/>
  <c r="M55" i="39"/>
  <c r="M56" i="39"/>
  <c r="M57" i="39"/>
  <c r="M58" i="39"/>
  <c r="M59" i="39"/>
  <c r="M60" i="39"/>
  <c r="M61" i="39"/>
  <c r="M62" i="39"/>
  <c r="BB55" i="39"/>
  <c r="BB56" i="39"/>
  <c r="BB57" i="39"/>
  <c r="BB58" i="39"/>
  <c r="BB59" i="39"/>
  <c r="BB60" i="39"/>
  <c r="BB61" i="39"/>
  <c r="BB62" i="39"/>
  <c r="BG55" i="39"/>
  <c r="BG56" i="39"/>
  <c r="BG57" i="39"/>
  <c r="BG58" i="39"/>
  <c r="BG59" i="39"/>
  <c r="BG60" i="39"/>
  <c r="BG61" i="39"/>
  <c r="BG62" i="39"/>
  <c r="BH55" i="39"/>
  <c r="BH56" i="39"/>
  <c r="BH57" i="39"/>
  <c r="BH58" i="39"/>
  <c r="BH59" i="39"/>
  <c r="BH60" i="39"/>
  <c r="BH61" i="39"/>
  <c r="BH62" i="39"/>
  <c r="BI55" i="39"/>
  <c r="BI56" i="39"/>
  <c r="BI57" i="39"/>
  <c r="BI58" i="39"/>
  <c r="BI59" i="39"/>
  <c r="BI60" i="39"/>
  <c r="BI61" i="39"/>
  <c r="BI62" i="39"/>
  <c r="BJ55" i="39"/>
  <c r="BJ56" i="39"/>
  <c r="BJ57" i="39"/>
  <c r="BJ58" i="39"/>
  <c r="BJ59" i="39"/>
  <c r="BJ60" i="39"/>
  <c r="BJ61" i="39"/>
  <c r="BJ62" i="39"/>
  <c r="BK55" i="39"/>
  <c r="BK56" i="39"/>
  <c r="BK57" i="39"/>
  <c r="BK58" i="39"/>
  <c r="BK59" i="39"/>
  <c r="BK60" i="39"/>
  <c r="BK61" i="39"/>
  <c r="BK62" i="39"/>
  <c r="CG55" i="39"/>
  <c r="CG56" i="39"/>
  <c r="CG57" i="39"/>
  <c r="CG58" i="39"/>
  <c r="CG59" i="39"/>
  <c r="CG60" i="39"/>
  <c r="CG61" i="39"/>
  <c r="CG62" i="39"/>
  <c r="CH55" i="39"/>
  <c r="CH56" i="39"/>
  <c r="CH57" i="39"/>
  <c r="CH58" i="39"/>
  <c r="CH59" i="39"/>
  <c r="CH60" i="39"/>
  <c r="CH61" i="39"/>
  <c r="CH62" i="39"/>
  <c r="CI55" i="39"/>
  <c r="CI56" i="39"/>
  <c r="CI57" i="39"/>
  <c r="CI58" i="39"/>
  <c r="CI59" i="39"/>
  <c r="CI60" i="39"/>
  <c r="CI61" i="39"/>
  <c r="CI62" i="39"/>
  <c r="BL56" i="39" l="1"/>
  <c r="BL55" i="39"/>
  <c r="BL62" i="39"/>
  <c r="BL61" i="39"/>
  <c r="BL60" i="39"/>
  <c r="BL59" i="39"/>
  <c r="BL58" i="39"/>
  <c r="BL57" i="39"/>
  <c r="G55" i="39"/>
  <c r="E59" i="39"/>
  <c r="F59" i="39" s="1"/>
  <c r="G60" i="39"/>
  <c r="G57" i="39"/>
  <c r="G58" i="39"/>
  <c r="E58" i="39"/>
  <c r="F58" i="39" s="1"/>
  <c r="G56" i="39"/>
  <c r="E56" i="39"/>
  <c r="F56" i="39" s="1"/>
  <c r="E61" i="39"/>
  <c r="F61" i="39" s="1"/>
  <c r="G61" i="39"/>
  <c r="E62" i="39"/>
  <c r="F62" i="39" s="1"/>
  <c r="G62" i="39"/>
  <c r="A46" i="39" l="1"/>
  <c r="A47" i="39"/>
  <c r="A48" i="39"/>
  <c r="A49" i="39"/>
  <c r="A50" i="39"/>
  <c r="A51" i="39"/>
  <c r="A52" i="39"/>
  <c r="A53" i="39"/>
  <c r="A54" i="39"/>
  <c r="B46" i="39"/>
  <c r="B47" i="39"/>
  <c r="B48" i="39"/>
  <c r="B49" i="39"/>
  <c r="B50" i="39"/>
  <c r="B51" i="39"/>
  <c r="B52" i="39"/>
  <c r="B53" i="39"/>
  <c r="B54" i="39"/>
  <c r="C46" i="39"/>
  <c r="D46" i="39" s="1"/>
  <c r="C47" i="39"/>
  <c r="D47" i="39" s="1"/>
  <c r="C48" i="39"/>
  <c r="D48" i="39" s="1"/>
  <c r="G48" i="39" s="1"/>
  <c r="C49" i="39"/>
  <c r="D49" i="39" s="1"/>
  <c r="E49" i="39" s="1"/>
  <c r="F49" i="39" s="1"/>
  <c r="C50" i="39"/>
  <c r="D50" i="39" s="1"/>
  <c r="E50" i="39" s="1"/>
  <c r="F50" i="39" s="1"/>
  <c r="C51" i="39"/>
  <c r="D51" i="39" s="1"/>
  <c r="C52" i="39"/>
  <c r="D52" i="39" s="1"/>
  <c r="C53" i="39"/>
  <c r="D53" i="39" s="1"/>
  <c r="G53" i="39" s="1"/>
  <c r="C54" i="39"/>
  <c r="D54" i="39" s="1"/>
  <c r="G54" i="39" s="1"/>
  <c r="H46" i="39"/>
  <c r="H47" i="39"/>
  <c r="H48" i="39"/>
  <c r="H49" i="39"/>
  <c r="H50" i="39"/>
  <c r="H51" i="39"/>
  <c r="H52" i="39"/>
  <c r="H53" i="39"/>
  <c r="H54" i="39"/>
  <c r="I46" i="39"/>
  <c r="I47" i="39"/>
  <c r="I48" i="39"/>
  <c r="I49" i="39"/>
  <c r="I50" i="39"/>
  <c r="I51" i="39"/>
  <c r="I52" i="39"/>
  <c r="I53" i="39"/>
  <c r="I54" i="39"/>
  <c r="M46" i="39"/>
  <c r="M47" i="39"/>
  <c r="M48" i="39"/>
  <c r="M49" i="39"/>
  <c r="M50" i="39"/>
  <c r="M51" i="39"/>
  <c r="M52" i="39"/>
  <c r="M53" i="39"/>
  <c r="M54" i="39"/>
  <c r="BB46" i="39"/>
  <c r="BB47" i="39"/>
  <c r="BB48" i="39"/>
  <c r="BB49" i="39"/>
  <c r="BB50" i="39"/>
  <c r="BB51" i="39"/>
  <c r="BB52" i="39"/>
  <c r="BB53" i="39"/>
  <c r="BB54" i="39"/>
  <c r="BG46" i="39"/>
  <c r="BG47" i="39"/>
  <c r="BG48" i="39"/>
  <c r="BG49" i="39"/>
  <c r="BG50" i="39"/>
  <c r="BG51" i="39"/>
  <c r="BG52" i="39"/>
  <c r="BG53" i="39"/>
  <c r="BG54" i="39"/>
  <c r="BH46" i="39"/>
  <c r="BH47" i="39"/>
  <c r="BH48" i="39"/>
  <c r="BH49" i="39"/>
  <c r="BH50" i="39"/>
  <c r="BH51" i="39"/>
  <c r="BH52" i="39"/>
  <c r="BH53" i="39"/>
  <c r="BH54" i="39"/>
  <c r="BI46" i="39"/>
  <c r="BI47" i="39"/>
  <c r="BI48" i="39"/>
  <c r="BI49" i="39"/>
  <c r="BI50" i="39"/>
  <c r="BI51" i="39"/>
  <c r="BI52" i="39"/>
  <c r="BI53" i="39"/>
  <c r="BI54" i="39"/>
  <c r="BJ46" i="39"/>
  <c r="BJ47" i="39"/>
  <c r="BJ48" i="39"/>
  <c r="BJ49" i="39"/>
  <c r="BJ50" i="39"/>
  <c r="BJ51" i="39"/>
  <c r="BJ52" i="39"/>
  <c r="BJ53" i="39"/>
  <c r="BJ54" i="39"/>
  <c r="BK46" i="39"/>
  <c r="BK47" i="39"/>
  <c r="BK48" i="39"/>
  <c r="BK49" i="39"/>
  <c r="BK50" i="39"/>
  <c r="BK51" i="39"/>
  <c r="BK52" i="39"/>
  <c r="BK53" i="39"/>
  <c r="BK54" i="39"/>
  <c r="CG46" i="39"/>
  <c r="CG47" i="39"/>
  <c r="CG48" i="39"/>
  <c r="CG49" i="39"/>
  <c r="CG50" i="39"/>
  <c r="CG51" i="39"/>
  <c r="CG52" i="39"/>
  <c r="CG53" i="39"/>
  <c r="CG54" i="39"/>
  <c r="CH46" i="39"/>
  <c r="CH47" i="39"/>
  <c r="CH48" i="39"/>
  <c r="CH49" i="39"/>
  <c r="CH50" i="39"/>
  <c r="CH51" i="39"/>
  <c r="CH52" i="39"/>
  <c r="CH53" i="39"/>
  <c r="CH54" i="39"/>
  <c r="CI46" i="39"/>
  <c r="CI47" i="39"/>
  <c r="CI48" i="39"/>
  <c r="CI49" i="39"/>
  <c r="CI50" i="39"/>
  <c r="CI51" i="39"/>
  <c r="CI52" i="39"/>
  <c r="CI53" i="39"/>
  <c r="CI54" i="39"/>
  <c r="BL46" i="39" l="1"/>
  <c r="BL51" i="39"/>
  <c r="BL47" i="39"/>
  <c r="BL50" i="39"/>
  <c r="BL49" i="39"/>
  <c r="BL48" i="39"/>
  <c r="BL54" i="39"/>
  <c r="BL53" i="39"/>
  <c r="BL52" i="39"/>
  <c r="E53" i="39"/>
  <c r="F53" i="39" s="1"/>
  <c r="G49" i="39"/>
  <c r="E48" i="39"/>
  <c r="F48" i="39" s="1"/>
  <c r="E51" i="39"/>
  <c r="F51" i="39" s="1"/>
  <c r="G51" i="39"/>
  <c r="G52" i="39"/>
  <c r="E52" i="39"/>
  <c r="F52" i="39" s="1"/>
  <c r="E47" i="39"/>
  <c r="F47" i="39" s="1"/>
  <c r="G47" i="39"/>
  <c r="E46" i="39"/>
  <c r="F46" i="39" s="1"/>
  <c r="G46" i="39"/>
  <c r="G50" i="39"/>
  <c r="E54" i="39"/>
  <c r="F54" i="39" s="1"/>
  <c r="A37" i="39" l="1"/>
  <c r="A38" i="39"/>
  <c r="A39" i="39"/>
  <c r="A40" i="39"/>
  <c r="A41" i="39"/>
  <c r="A42" i="39"/>
  <c r="A43" i="39"/>
  <c r="A44" i="39"/>
  <c r="A45" i="39"/>
  <c r="B37" i="39"/>
  <c r="B38" i="39"/>
  <c r="B39" i="39"/>
  <c r="B40" i="39"/>
  <c r="B41" i="39"/>
  <c r="B42" i="39"/>
  <c r="B43" i="39"/>
  <c r="B44" i="39"/>
  <c r="B45" i="39"/>
  <c r="C37" i="39"/>
  <c r="D37" i="39" s="1"/>
  <c r="C38" i="39"/>
  <c r="D38" i="39" s="1"/>
  <c r="G38" i="39" s="1"/>
  <c r="C39" i="39"/>
  <c r="D39" i="39" s="1"/>
  <c r="G39" i="39" s="1"/>
  <c r="C40" i="39"/>
  <c r="D40" i="39" s="1"/>
  <c r="E40" i="39" s="1"/>
  <c r="F40" i="39" s="1"/>
  <c r="C41" i="39"/>
  <c r="D41" i="39" s="1"/>
  <c r="C42" i="39"/>
  <c r="D42" i="39" s="1"/>
  <c r="C43" i="39"/>
  <c r="D43" i="39" s="1"/>
  <c r="C44" i="39"/>
  <c r="D44" i="39" s="1"/>
  <c r="G44" i="39" s="1"/>
  <c r="C45" i="39"/>
  <c r="D45" i="39" s="1"/>
  <c r="G45" i="39" s="1"/>
  <c r="H37" i="39"/>
  <c r="H38" i="39"/>
  <c r="H39" i="39"/>
  <c r="H40" i="39"/>
  <c r="H41" i="39"/>
  <c r="H42" i="39"/>
  <c r="H43" i="39"/>
  <c r="H44" i="39"/>
  <c r="H45" i="39"/>
  <c r="I37" i="39"/>
  <c r="I38" i="39"/>
  <c r="I39" i="39"/>
  <c r="I40" i="39"/>
  <c r="I41" i="39"/>
  <c r="I42" i="39"/>
  <c r="I43" i="39"/>
  <c r="I44" i="39"/>
  <c r="I45" i="39"/>
  <c r="M37" i="39"/>
  <c r="M38" i="39"/>
  <c r="M39" i="39"/>
  <c r="M40" i="39"/>
  <c r="M41" i="39"/>
  <c r="M42" i="39"/>
  <c r="M43" i="39"/>
  <c r="M44" i="39"/>
  <c r="M45" i="39"/>
  <c r="BB37" i="39"/>
  <c r="BB38" i="39"/>
  <c r="BB39" i="39"/>
  <c r="BB40" i="39"/>
  <c r="BB41" i="39"/>
  <c r="BB42" i="39"/>
  <c r="BB43" i="39"/>
  <c r="BB44" i="39"/>
  <c r="BB45" i="39"/>
  <c r="BG37" i="39"/>
  <c r="BG38" i="39"/>
  <c r="BG39" i="39"/>
  <c r="BG40" i="39"/>
  <c r="BG41" i="39"/>
  <c r="BG42" i="39"/>
  <c r="BG43" i="39"/>
  <c r="BG44" i="39"/>
  <c r="BG45" i="39"/>
  <c r="BH37" i="39"/>
  <c r="BH38" i="39"/>
  <c r="BH39" i="39"/>
  <c r="BH40" i="39"/>
  <c r="BH41" i="39"/>
  <c r="BH42" i="39"/>
  <c r="BH43" i="39"/>
  <c r="BH44" i="39"/>
  <c r="BH45" i="39"/>
  <c r="BI37" i="39"/>
  <c r="BI38" i="39"/>
  <c r="BI39" i="39"/>
  <c r="BI40" i="39"/>
  <c r="BI41" i="39"/>
  <c r="BI42" i="39"/>
  <c r="BI43" i="39"/>
  <c r="BI44" i="39"/>
  <c r="BI45" i="39"/>
  <c r="BJ37" i="39"/>
  <c r="BJ38" i="39"/>
  <c r="BJ39" i="39"/>
  <c r="BJ40" i="39"/>
  <c r="BJ41" i="39"/>
  <c r="BJ42" i="39"/>
  <c r="BJ43" i="39"/>
  <c r="BJ44" i="39"/>
  <c r="BJ45" i="39"/>
  <c r="BK37" i="39"/>
  <c r="BK38" i="39"/>
  <c r="BK39" i="39"/>
  <c r="BK40" i="39"/>
  <c r="BK41" i="39"/>
  <c r="BK42" i="39"/>
  <c r="BK43" i="39"/>
  <c r="BK44" i="39"/>
  <c r="BK45" i="39"/>
  <c r="CG37" i="39"/>
  <c r="CG38" i="39"/>
  <c r="CG39" i="39"/>
  <c r="CG40" i="39"/>
  <c r="CG41" i="39"/>
  <c r="CG42" i="39"/>
  <c r="CG43" i="39"/>
  <c r="CG44" i="39"/>
  <c r="CG45" i="39"/>
  <c r="CH37" i="39"/>
  <c r="CH38" i="39"/>
  <c r="CH39" i="39"/>
  <c r="CH40" i="39"/>
  <c r="CH41" i="39"/>
  <c r="CH42" i="39"/>
  <c r="CH43" i="39"/>
  <c r="CH44" i="39"/>
  <c r="CH45" i="39"/>
  <c r="CI37" i="39"/>
  <c r="CI38" i="39"/>
  <c r="CI39" i="39"/>
  <c r="CI40" i="39"/>
  <c r="CI41" i="39"/>
  <c r="CI42" i="39"/>
  <c r="CI43" i="39"/>
  <c r="CI44" i="39"/>
  <c r="CI45" i="39"/>
  <c r="BL37" i="39" l="1"/>
  <c r="BL42" i="39"/>
  <c r="BL41" i="39"/>
  <c r="BL39" i="39"/>
  <c r="BL40" i="39"/>
  <c r="BL38" i="39"/>
  <c r="BL45" i="39"/>
  <c r="BL44" i="39"/>
  <c r="BL43" i="39"/>
  <c r="E39" i="39"/>
  <c r="F39" i="39" s="1"/>
  <c r="E38" i="39"/>
  <c r="F38" i="39" s="1"/>
  <c r="G43" i="39"/>
  <c r="E43" i="39"/>
  <c r="F43" i="39" s="1"/>
  <c r="G42" i="39"/>
  <c r="E42" i="39"/>
  <c r="F42" i="39" s="1"/>
  <c r="E41" i="39"/>
  <c r="F41" i="39" s="1"/>
  <c r="G41" i="39"/>
  <c r="E37" i="39"/>
  <c r="F37" i="39" s="1"/>
  <c r="G37" i="39"/>
  <c r="G40" i="39"/>
  <c r="E45" i="39"/>
  <c r="F45" i="39" s="1"/>
  <c r="E44" i="39"/>
  <c r="F44" i="39" s="1"/>
  <c r="A23" i="39" l="1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36" i="39"/>
  <c r="C23" i="39"/>
  <c r="D23" i="39" s="1"/>
  <c r="C24" i="39"/>
  <c r="D24" i="39" s="1"/>
  <c r="G24" i="39" s="1"/>
  <c r="C25" i="39"/>
  <c r="D25" i="39" s="1"/>
  <c r="C26" i="39"/>
  <c r="D26" i="39" s="1"/>
  <c r="C27" i="39"/>
  <c r="D27" i="39" s="1"/>
  <c r="E27" i="39" s="1"/>
  <c r="F27" i="39" s="1"/>
  <c r="C28" i="39"/>
  <c r="D28" i="39" s="1"/>
  <c r="E28" i="39" s="1"/>
  <c r="F28" i="39" s="1"/>
  <c r="C29" i="39"/>
  <c r="D29" i="39" s="1"/>
  <c r="G29" i="39" s="1"/>
  <c r="C30" i="39"/>
  <c r="D30" i="39" s="1"/>
  <c r="C31" i="39"/>
  <c r="D31" i="39" s="1"/>
  <c r="G31" i="39" s="1"/>
  <c r="C32" i="39"/>
  <c r="D32" i="39" s="1"/>
  <c r="E32" i="39" s="1"/>
  <c r="F32" i="39" s="1"/>
  <c r="C33" i="39"/>
  <c r="D33" i="39" s="1"/>
  <c r="E33" i="39" s="1"/>
  <c r="F33" i="39" s="1"/>
  <c r="C34" i="39"/>
  <c r="D34" i="39" s="1"/>
  <c r="C35" i="39"/>
  <c r="D35" i="39" s="1"/>
  <c r="C36" i="39"/>
  <c r="D36" i="39" s="1"/>
  <c r="G36" i="39" s="1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36" i="39"/>
  <c r="I23" i="39"/>
  <c r="I24" i="39"/>
  <c r="I25" i="39"/>
  <c r="I26" i="39"/>
  <c r="I27" i="39"/>
  <c r="I28" i="39"/>
  <c r="I29" i="39"/>
  <c r="I30" i="39"/>
  <c r="I31" i="39"/>
  <c r="I32" i="39"/>
  <c r="I33" i="39"/>
  <c r="I34" i="39"/>
  <c r="I35" i="39"/>
  <c r="I36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BB23" i="39"/>
  <c r="BB24" i="39"/>
  <c r="BB25" i="39"/>
  <c r="BB26" i="39"/>
  <c r="BB27" i="39"/>
  <c r="BB28" i="39"/>
  <c r="BB29" i="39"/>
  <c r="BB30" i="39"/>
  <c r="BB31" i="39"/>
  <c r="BB32" i="39"/>
  <c r="BB33" i="39"/>
  <c r="BB34" i="39"/>
  <c r="BB35" i="39"/>
  <c r="BB36" i="39"/>
  <c r="BG23" i="39"/>
  <c r="BG24" i="39"/>
  <c r="BG25" i="39"/>
  <c r="BG26" i="39"/>
  <c r="BG27" i="39"/>
  <c r="BG28" i="39"/>
  <c r="BG29" i="39"/>
  <c r="BG30" i="39"/>
  <c r="BG31" i="39"/>
  <c r="BG32" i="39"/>
  <c r="BG33" i="39"/>
  <c r="BG34" i="39"/>
  <c r="BG35" i="39"/>
  <c r="BG36" i="39"/>
  <c r="BH23" i="39"/>
  <c r="BH24" i="39"/>
  <c r="BH25" i="39"/>
  <c r="BH26" i="39"/>
  <c r="BH27" i="39"/>
  <c r="BH28" i="39"/>
  <c r="BH29" i="39"/>
  <c r="BH30" i="39"/>
  <c r="BH31" i="39"/>
  <c r="BH32" i="39"/>
  <c r="BH33" i="39"/>
  <c r="BH34" i="39"/>
  <c r="BH35" i="39"/>
  <c r="BH36" i="39"/>
  <c r="BI23" i="39"/>
  <c r="BI24" i="39"/>
  <c r="BI25" i="39"/>
  <c r="BI26" i="39"/>
  <c r="BI27" i="39"/>
  <c r="BI28" i="39"/>
  <c r="BI29" i="39"/>
  <c r="BI30" i="39"/>
  <c r="BI31" i="39"/>
  <c r="BI32" i="39"/>
  <c r="BI33" i="39"/>
  <c r="BI34" i="39"/>
  <c r="BI35" i="39"/>
  <c r="BI36" i="39"/>
  <c r="BJ23" i="39"/>
  <c r="BJ24" i="39"/>
  <c r="BJ25" i="39"/>
  <c r="BJ26" i="39"/>
  <c r="BJ27" i="39"/>
  <c r="BJ28" i="39"/>
  <c r="BJ29" i="39"/>
  <c r="BJ30" i="39"/>
  <c r="BJ31" i="39"/>
  <c r="BJ32" i="39"/>
  <c r="BJ33" i="39"/>
  <c r="BJ34" i="39"/>
  <c r="BJ35" i="39"/>
  <c r="BJ36" i="39"/>
  <c r="BK23" i="39"/>
  <c r="BK24" i="39"/>
  <c r="BK25" i="39"/>
  <c r="BK26" i="39"/>
  <c r="BK27" i="39"/>
  <c r="BK28" i="39"/>
  <c r="BK29" i="39"/>
  <c r="BK30" i="39"/>
  <c r="BK31" i="39"/>
  <c r="BK32" i="39"/>
  <c r="BK33" i="39"/>
  <c r="BK34" i="39"/>
  <c r="BK35" i="39"/>
  <c r="BK36" i="39"/>
  <c r="CG23" i="39"/>
  <c r="CG24" i="39"/>
  <c r="CG25" i="39"/>
  <c r="CG26" i="39"/>
  <c r="CG27" i="39"/>
  <c r="CG28" i="39"/>
  <c r="CG29" i="39"/>
  <c r="CG30" i="39"/>
  <c r="CG31" i="39"/>
  <c r="CG32" i="39"/>
  <c r="CG33" i="39"/>
  <c r="CG34" i="39"/>
  <c r="CG35" i="39"/>
  <c r="CG36" i="39"/>
  <c r="CH23" i="39"/>
  <c r="CH24" i="39"/>
  <c r="CH25" i="39"/>
  <c r="CH26" i="39"/>
  <c r="CH27" i="39"/>
  <c r="CH28" i="39"/>
  <c r="CH29" i="39"/>
  <c r="CH30" i="39"/>
  <c r="CH31" i="39"/>
  <c r="CH32" i="39"/>
  <c r="CH33" i="39"/>
  <c r="CH34" i="39"/>
  <c r="CH35" i="39"/>
  <c r="CH36" i="39"/>
  <c r="CI23" i="39"/>
  <c r="CI24" i="39"/>
  <c r="CI25" i="39"/>
  <c r="CI26" i="39"/>
  <c r="CI27" i="39"/>
  <c r="CI28" i="39"/>
  <c r="CI29" i="39"/>
  <c r="CI30" i="39"/>
  <c r="CI31" i="39"/>
  <c r="CI32" i="39"/>
  <c r="CI33" i="39"/>
  <c r="CI34" i="39"/>
  <c r="CI35" i="39"/>
  <c r="CI36" i="39"/>
  <c r="BL33" i="39" l="1"/>
  <c r="BL25" i="39"/>
  <c r="BL31" i="39"/>
  <c r="BL32" i="39"/>
  <c r="BL34" i="39"/>
  <c r="BL26" i="39"/>
  <c r="BL30" i="39"/>
  <c r="BL24" i="39"/>
  <c r="BL28" i="39"/>
  <c r="BL36" i="39"/>
  <c r="BL27" i="39"/>
  <c r="BL29" i="39"/>
  <c r="BL35" i="39"/>
  <c r="BL23" i="39"/>
  <c r="E29" i="39"/>
  <c r="F29" i="39" s="1"/>
  <c r="G27" i="39"/>
  <c r="E31" i="39"/>
  <c r="F31" i="39" s="1"/>
  <c r="G26" i="39"/>
  <c r="E26" i="39"/>
  <c r="F26" i="39" s="1"/>
  <c r="G25" i="39"/>
  <c r="E25" i="39"/>
  <c r="F25" i="39" s="1"/>
  <c r="E30" i="39"/>
  <c r="F30" i="39" s="1"/>
  <c r="G30" i="39"/>
  <c r="G35" i="39"/>
  <c r="E35" i="39"/>
  <c r="F35" i="39" s="1"/>
  <c r="G23" i="39"/>
  <c r="E23" i="39"/>
  <c r="F23" i="39" s="1"/>
  <c r="E34" i="39"/>
  <c r="F34" i="39" s="1"/>
  <c r="G34" i="39"/>
  <c r="G33" i="39"/>
  <c r="G32" i="39"/>
  <c r="E36" i="39"/>
  <c r="F36" i="39" s="1"/>
  <c r="E24" i="39"/>
  <c r="F24" i="39" s="1"/>
  <c r="G28" i="39"/>
  <c r="A22" i="39" l="1"/>
  <c r="B22" i="39"/>
  <c r="C22" i="39"/>
  <c r="D22" i="39" s="1"/>
  <c r="G22" i="39" s="1"/>
  <c r="H22" i="39"/>
  <c r="I22" i="39"/>
  <c r="M22" i="39"/>
  <c r="BB22" i="39"/>
  <c r="BG22" i="39"/>
  <c r="BH22" i="39"/>
  <c r="BI22" i="39"/>
  <c r="BJ22" i="39"/>
  <c r="BK22" i="39"/>
  <c r="CG22" i="39"/>
  <c r="CH22" i="39"/>
  <c r="CI22" i="39"/>
  <c r="A21" i="39"/>
  <c r="B21" i="39"/>
  <c r="C21" i="39"/>
  <c r="D21" i="39" s="1"/>
  <c r="H21" i="39"/>
  <c r="I21" i="39"/>
  <c r="M21" i="39"/>
  <c r="BB21" i="39"/>
  <c r="BG21" i="39"/>
  <c r="BH21" i="39"/>
  <c r="BI21" i="39"/>
  <c r="BJ21" i="39"/>
  <c r="BK21" i="39"/>
  <c r="CG21" i="39"/>
  <c r="CH21" i="39"/>
  <c r="CI21" i="39"/>
  <c r="A20" i="39"/>
  <c r="B20" i="39"/>
  <c r="C20" i="39"/>
  <c r="D20" i="39" s="1"/>
  <c r="H20" i="39"/>
  <c r="I20" i="39"/>
  <c r="M20" i="39"/>
  <c r="BB20" i="39"/>
  <c r="BG20" i="39"/>
  <c r="BH20" i="39"/>
  <c r="BI20" i="39"/>
  <c r="BJ20" i="39"/>
  <c r="BK20" i="39"/>
  <c r="CG20" i="39"/>
  <c r="CH20" i="39"/>
  <c r="CI20" i="39"/>
  <c r="O22" i="39" l="1"/>
  <c r="BL22" i="39"/>
  <c r="E22" i="39"/>
  <c r="F22" i="39" s="1"/>
  <c r="O21" i="39"/>
  <c r="BL21" i="39"/>
  <c r="E21" i="39"/>
  <c r="F21" i="39" s="1"/>
  <c r="G21" i="39"/>
  <c r="BL20" i="39"/>
  <c r="E20" i="39"/>
  <c r="F20" i="39" s="1"/>
  <c r="G20" i="39"/>
  <c r="A19" i="39" l="1"/>
  <c r="B19" i="39"/>
  <c r="C19" i="39"/>
  <c r="D19" i="39" s="1"/>
  <c r="E19" i="39" s="1"/>
  <c r="F19" i="39" s="1"/>
  <c r="H19" i="39"/>
  <c r="I19" i="39"/>
  <c r="M19" i="39"/>
  <c r="BB19" i="39"/>
  <c r="BG19" i="39"/>
  <c r="BH19" i="39"/>
  <c r="BI19" i="39"/>
  <c r="BJ19" i="39"/>
  <c r="BK19" i="39"/>
  <c r="CG19" i="39"/>
  <c r="CH19" i="39"/>
  <c r="CI19" i="39"/>
  <c r="BL19" i="39" l="1"/>
  <c r="O19" i="39"/>
  <c r="G19" i="39"/>
  <c r="A14" i="39" l="1"/>
  <c r="A15" i="39"/>
  <c r="A16" i="39"/>
  <c r="A17" i="39"/>
  <c r="A18" i="39"/>
  <c r="B14" i="39"/>
  <c r="B15" i="39"/>
  <c r="B16" i="39"/>
  <c r="B17" i="39"/>
  <c r="B18" i="39"/>
  <c r="C14" i="39"/>
  <c r="D14" i="39" s="1"/>
  <c r="C15" i="39"/>
  <c r="D15" i="39" s="1"/>
  <c r="C16" i="39"/>
  <c r="D16" i="39" s="1"/>
  <c r="C17" i="39"/>
  <c r="D17" i="39" s="1"/>
  <c r="G17" i="39" s="1"/>
  <c r="C18" i="39"/>
  <c r="D18" i="39" s="1"/>
  <c r="H14" i="39"/>
  <c r="H15" i="39"/>
  <c r="H16" i="39"/>
  <c r="H17" i="39"/>
  <c r="H18" i="39"/>
  <c r="I14" i="39"/>
  <c r="I15" i="39"/>
  <c r="I16" i="39"/>
  <c r="I17" i="39"/>
  <c r="I18" i="39"/>
  <c r="M14" i="39"/>
  <c r="M15" i="39"/>
  <c r="M16" i="39"/>
  <c r="M17" i="39"/>
  <c r="M18" i="39"/>
  <c r="BB14" i="39"/>
  <c r="BB15" i="39"/>
  <c r="BB16" i="39"/>
  <c r="BB17" i="39"/>
  <c r="BB18" i="39"/>
  <c r="BG14" i="39"/>
  <c r="BG15" i="39"/>
  <c r="BG16" i="39"/>
  <c r="BG17" i="39"/>
  <c r="BG18" i="39"/>
  <c r="BH14" i="39"/>
  <c r="BH15" i="39"/>
  <c r="BH16" i="39"/>
  <c r="BH17" i="39"/>
  <c r="BH18" i="39"/>
  <c r="BI14" i="39"/>
  <c r="BI15" i="39"/>
  <c r="BI16" i="39"/>
  <c r="BI17" i="39"/>
  <c r="BI18" i="39"/>
  <c r="BJ14" i="39"/>
  <c r="BJ15" i="39"/>
  <c r="BJ16" i="39"/>
  <c r="BJ17" i="39"/>
  <c r="BJ18" i="39"/>
  <c r="BK14" i="39"/>
  <c r="BK15" i="39"/>
  <c r="BK16" i="39"/>
  <c r="BK17" i="39"/>
  <c r="BK18" i="39"/>
  <c r="CG14" i="39"/>
  <c r="CG15" i="39"/>
  <c r="CG16" i="39"/>
  <c r="CG17" i="39"/>
  <c r="CG18" i="39"/>
  <c r="CH14" i="39"/>
  <c r="CH15" i="39"/>
  <c r="CH16" i="39"/>
  <c r="CH17" i="39"/>
  <c r="CH18" i="39"/>
  <c r="CI14" i="39"/>
  <c r="CI15" i="39"/>
  <c r="CI16" i="39"/>
  <c r="CI17" i="39"/>
  <c r="CI18" i="39"/>
  <c r="BL18" i="39" l="1"/>
  <c r="BL15" i="39"/>
  <c r="BL14" i="39"/>
  <c r="BL16" i="39"/>
  <c r="BL17" i="39"/>
  <c r="E17" i="39"/>
  <c r="F17" i="39" s="1"/>
  <c r="G15" i="39"/>
  <c r="E15" i="39"/>
  <c r="F15" i="39" s="1"/>
  <c r="G14" i="39"/>
  <c r="E14" i="39"/>
  <c r="F14" i="39" s="1"/>
  <c r="E18" i="39"/>
  <c r="F18" i="39" s="1"/>
  <c r="G18" i="39"/>
  <c r="G16" i="39"/>
  <c r="E16" i="39"/>
  <c r="F16" i="39" s="1"/>
  <c r="A3" i="39" l="1"/>
  <c r="A4" i="39"/>
  <c r="A5" i="39"/>
  <c r="A6" i="39"/>
  <c r="A7" i="39"/>
  <c r="A8" i="39"/>
  <c r="A9" i="39"/>
  <c r="A10" i="39"/>
  <c r="A11" i="39"/>
  <c r="A12" i="39"/>
  <c r="A13" i="39"/>
  <c r="B3" i="39"/>
  <c r="B4" i="39"/>
  <c r="B5" i="39"/>
  <c r="B6" i="39"/>
  <c r="B7" i="39"/>
  <c r="B8" i="39"/>
  <c r="B9" i="39"/>
  <c r="B10" i="39"/>
  <c r="B11" i="39"/>
  <c r="B12" i="39"/>
  <c r="B13" i="39"/>
  <c r="C3" i="39"/>
  <c r="D3" i="39" s="1"/>
  <c r="C4" i="39"/>
  <c r="D4" i="39" s="1"/>
  <c r="C5" i="39"/>
  <c r="D5" i="39" s="1"/>
  <c r="G5" i="39" s="1"/>
  <c r="C6" i="39"/>
  <c r="D6" i="39" s="1"/>
  <c r="G6" i="39" s="1"/>
  <c r="C7" i="39"/>
  <c r="D7" i="39" s="1"/>
  <c r="C8" i="39"/>
  <c r="D8" i="39" s="1"/>
  <c r="E8" i="39" s="1"/>
  <c r="F8" i="39" s="1"/>
  <c r="C9" i="39"/>
  <c r="D9" i="39" s="1"/>
  <c r="E9" i="39" s="1"/>
  <c r="F9" i="39" s="1"/>
  <c r="C10" i="39"/>
  <c r="D10" i="39" s="1"/>
  <c r="C11" i="39"/>
  <c r="D11" i="39" s="1"/>
  <c r="C12" i="39"/>
  <c r="D12" i="39" s="1"/>
  <c r="G12" i="39" s="1"/>
  <c r="C13" i="39"/>
  <c r="D13" i="39" s="1"/>
  <c r="G13" i="39" s="1"/>
  <c r="H3" i="39"/>
  <c r="H4" i="39"/>
  <c r="H5" i="39"/>
  <c r="H6" i="39"/>
  <c r="H7" i="39"/>
  <c r="H8" i="39"/>
  <c r="H9" i="39"/>
  <c r="H10" i="39"/>
  <c r="H11" i="39"/>
  <c r="H12" i="39"/>
  <c r="H13" i="39"/>
  <c r="I3" i="39"/>
  <c r="I4" i="39"/>
  <c r="I5" i="39"/>
  <c r="I6" i="39"/>
  <c r="I7" i="39"/>
  <c r="I8" i="39"/>
  <c r="I9" i="39"/>
  <c r="I10" i="39"/>
  <c r="I11" i="39"/>
  <c r="I12" i="39"/>
  <c r="I13" i="39"/>
  <c r="M3" i="39"/>
  <c r="M4" i="39"/>
  <c r="M5" i="39"/>
  <c r="M6" i="39"/>
  <c r="M7" i="39"/>
  <c r="M8" i="39"/>
  <c r="M9" i="39"/>
  <c r="M10" i="39"/>
  <c r="M11" i="39"/>
  <c r="M12" i="39"/>
  <c r="M13" i="39"/>
  <c r="BB3" i="39"/>
  <c r="BB4" i="39"/>
  <c r="BB5" i="39"/>
  <c r="BB6" i="39"/>
  <c r="BB7" i="39"/>
  <c r="BB8" i="39"/>
  <c r="BB9" i="39"/>
  <c r="BB10" i="39"/>
  <c r="BB11" i="39"/>
  <c r="BB12" i="39"/>
  <c r="BB13" i="39"/>
  <c r="BG3" i="39"/>
  <c r="BG4" i="39"/>
  <c r="BG5" i="39"/>
  <c r="BG6" i="39"/>
  <c r="BG7" i="39"/>
  <c r="BG8" i="39"/>
  <c r="BG9" i="39"/>
  <c r="BG10" i="39"/>
  <c r="BG11" i="39"/>
  <c r="BG12" i="39"/>
  <c r="BG13" i="39"/>
  <c r="BH3" i="39"/>
  <c r="BH4" i="39"/>
  <c r="BH5" i="39"/>
  <c r="BH6" i="39"/>
  <c r="BH7" i="39"/>
  <c r="BH8" i="39"/>
  <c r="BH9" i="39"/>
  <c r="BH10" i="39"/>
  <c r="BH11" i="39"/>
  <c r="BH12" i="39"/>
  <c r="BH13" i="39"/>
  <c r="BI3" i="39"/>
  <c r="BI4" i="39"/>
  <c r="BI5" i="39"/>
  <c r="BI6" i="39"/>
  <c r="BI7" i="39"/>
  <c r="BI8" i="39"/>
  <c r="BI9" i="39"/>
  <c r="BI10" i="39"/>
  <c r="BI11" i="39"/>
  <c r="BI12" i="39"/>
  <c r="BI13" i="39"/>
  <c r="BJ3" i="39"/>
  <c r="BJ4" i="39"/>
  <c r="BJ5" i="39"/>
  <c r="BJ6" i="39"/>
  <c r="BJ7" i="39"/>
  <c r="BJ8" i="39"/>
  <c r="BJ9" i="39"/>
  <c r="BJ10" i="39"/>
  <c r="BJ11" i="39"/>
  <c r="BJ12" i="39"/>
  <c r="BJ13" i="39"/>
  <c r="BK3" i="39"/>
  <c r="BK4" i="39"/>
  <c r="BK5" i="39"/>
  <c r="BK6" i="39"/>
  <c r="BK7" i="39"/>
  <c r="BK8" i="39"/>
  <c r="BK9" i="39"/>
  <c r="BK10" i="39"/>
  <c r="BK11" i="39"/>
  <c r="BK12" i="39"/>
  <c r="BK13" i="39"/>
  <c r="CG3" i="39"/>
  <c r="CG4" i="39"/>
  <c r="CG5" i="39"/>
  <c r="CG6" i="39"/>
  <c r="CG7" i="39"/>
  <c r="CG8" i="39"/>
  <c r="CG9" i="39"/>
  <c r="CG10" i="39"/>
  <c r="CG11" i="39"/>
  <c r="CG12" i="39"/>
  <c r="CG13" i="39"/>
  <c r="CH3" i="39"/>
  <c r="CH4" i="39"/>
  <c r="CH5" i="39"/>
  <c r="CH6" i="39"/>
  <c r="CH7" i="39"/>
  <c r="CH8" i="39"/>
  <c r="CH9" i="39"/>
  <c r="CH10" i="39"/>
  <c r="CH11" i="39"/>
  <c r="CH12" i="39"/>
  <c r="CH13" i="39"/>
  <c r="CI3" i="39"/>
  <c r="CI4" i="39"/>
  <c r="CI5" i="39"/>
  <c r="CI6" i="39"/>
  <c r="CI7" i="39"/>
  <c r="CI8" i="39"/>
  <c r="CI9" i="39"/>
  <c r="CI10" i="39"/>
  <c r="CI11" i="39"/>
  <c r="CI12" i="39"/>
  <c r="CI13" i="39"/>
  <c r="BL3" i="39" l="1"/>
  <c r="BL12" i="39"/>
  <c r="BL10" i="39"/>
  <c r="BL9" i="39"/>
  <c r="BL8" i="39"/>
  <c r="BL13" i="39"/>
  <c r="BL11" i="39"/>
  <c r="BL7" i="39"/>
  <c r="BL6" i="39"/>
  <c r="BL5" i="39"/>
  <c r="BL4" i="39"/>
  <c r="G9" i="39"/>
  <c r="G8" i="39"/>
  <c r="E13" i="39"/>
  <c r="F13" i="39" s="1"/>
  <c r="E6" i="39"/>
  <c r="F6" i="39" s="1"/>
  <c r="G3" i="39"/>
  <c r="E3" i="39"/>
  <c r="F3" i="39" s="1"/>
  <c r="G11" i="39"/>
  <c r="E11" i="39"/>
  <c r="F11" i="39" s="1"/>
  <c r="G10" i="39"/>
  <c r="E10" i="39"/>
  <c r="F10" i="39" s="1"/>
  <c r="E7" i="39"/>
  <c r="F7" i="39" s="1"/>
  <c r="G7" i="39"/>
  <c r="G4" i="39"/>
  <c r="E4" i="39"/>
  <c r="F4" i="39" s="1"/>
  <c r="E5" i="39"/>
  <c r="F5" i="39" s="1"/>
  <c r="E12" i="39"/>
  <c r="F12" i="39" s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AK3" i="17"/>
  <c r="AK4" i="17"/>
  <c r="AK5" i="17"/>
  <c r="AK6" i="17"/>
  <c r="AK7" i="17"/>
  <c r="AK8" i="17"/>
  <c r="AK9" i="17"/>
  <c r="AK10" i="17"/>
  <c r="AK11" i="17"/>
  <c r="AK12" i="17"/>
  <c r="AK13" i="17"/>
  <c r="AK14" i="17"/>
  <c r="AK15" i="17"/>
  <c r="AK16" i="17"/>
  <c r="AK17" i="17"/>
  <c r="AK18" i="17"/>
  <c r="AK19" i="17"/>
  <c r="AK20" i="17"/>
  <c r="AK21" i="17"/>
  <c r="AK22" i="17"/>
  <c r="AK23" i="17"/>
  <c r="AK24" i="17"/>
  <c r="AK25" i="17"/>
  <c r="AK26" i="17"/>
  <c r="AK27" i="17"/>
  <c r="AK28" i="17"/>
  <c r="AK29" i="17"/>
  <c r="AK30" i="17"/>
  <c r="AK31" i="17"/>
  <c r="AK32" i="17"/>
  <c r="AK33" i="17"/>
  <c r="AK34" i="17"/>
  <c r="AK35" i="17"/>
  <c r="AK36" i="17"/>
  <c r="AK37" i="17"/>
  <c r="AK38" i="17"/>
  <c r="AK39" i="17"/>
  <c r="AK40" i="17"/>
  <c r="AK41" i="17"/>
  <c r="AK42" i="17"/>
  <c r="AK43" i="17"/>
  <c r="AK44" i="17"/>
  <c r="AK45" i="17"/>
  <c r="AK46" i="17"/>
  <c r="AK47" i="17"/>
  <c r="AK48" i="17"/>
  <c r="AK49" i="17"/>
  <c r="AK50" i="17"/>
  <c r="AK51" i="17"/>
  <c r="AK52" i="17"/>
  <c r="AK53" i="17"/>
  <c r="AK54" i="17"/>
  <c r="AK55" i="17"/>
  <c r="AK56" i="17"/>
  <c r="AK57" i="17"/>
  <c r="AK58" i="17"/>
  <c r="AK59" i="17"/>
  <c r="AK60" i="17"/>
  <c r="AK61" i="17"/>
  <c r="AK62" i="17"/>
  <c r="AK63" i="17"/>
  <c r="AK64" i="17"/>
  <c r="AK65" i="17"/>
  <c r="AK66" i="17"/>
  <c r="AK67" i="17"/>
  <c r="AK68" i="17"/>
  <c r="AK69" i="17"/>
  <c r="AK70" i="17"/>
  <c r="AK71" i="17"/>
  <c r="AK72" i="17"/>
  <c r="AK73" i="17"/>
  <c r="AK74" i="17"/>
  <c r="AK75" i="17"/>
  <c r="AK76" i="17"/>
  <c r="AK77" i="17"/>
  <c r="AK78" i="17"/>
  <c r="AK79" i="17"/>
  <c r="AK80" i="17"/>
  <c r="AK81" i="17"/>
  <c r="AK82" i="17"/>
  <c r="AK83" i="17"/>
  <c r="AK84" i="17"/>
  <c r="AK85" i="17"/>
  <c r="AK86" i="17"/>
  <c r="AK87" i="17"/>
  <c r="AK88" i="17"/>
  <c r="AK89" i="17"/>
  <c r="AK90" i="17"/>
  <c r="AK91" i="17"/>
  <c r="AK92" i="17"/>
  <c r="AK93" i="17"/>
  <c r="AK94" i="17"/>
  <c r="AK95" i="17"/>
  <c r="AK96" i="17"/>
  <c r="AK97" i="17"/>
  <c r="AK98" i="17"/>
  <c r="AK99" i="17"/>
  <c r="AK100" i="17"/>
  <c r="AK101" i="17"/>
  <c r="AK102" i="17"/>
  <c r="AK103" i="17"/>
  <c r="AK104" i="17"/>
  <c r="AK105" i="17"/>
  <c r="AK106" i="17"/>
  <c r="AK107" i="17"/>
  <c r="AK108" i="17"/>
  <c r="AK109" i="17"/>
  <c r="AK110" i="17"/>
  <c r="AK111" i="17"/>
  <c r="AK112" i="17"/>
  <c r="AK113" i="17"/>
  <c r="AK114" i="17"/>
  <c r="AK115" i="17"/>
  <c r="AK116" i="17"/>
  <c r="AK117" i="17"/>
  <c r="AK118" i="17"/>
  <c r="AK119" i="17"/>
  <c r="AK120" i="17"/>
  <c r="AK121" i="17"/>
  <c r="AK122" i="17"/>
  <c r="AK123" i="17"/>
  <c r="AK124" i="17"/>
  <c r="AK125" i="17"/>
  <c r="AK126" i="17"/>
  <c r="AK127" i="17"/>
  <c r="AK128" i="17"/>
  <c r="AK129" i="17"/>
  <c r="AK130" i="17"/>
  <c r="AK131" i="17"/>
  <c r="AK132" i="17"/>
  <c r="AK133" i="17"/>
  <c r="AK134" i="17"/>
  <c r="AK135" i="17"/>
  <c r="AK136" i="17"/>
  <c r="AK137" i="17"/>
  <c r="AK138" i="17"/>
  <c r="AK139" i="17"/>
  <c r="AK140" i="17"/>
  <c r="AK141" i="17"/>
  <c r="AK142" i="17"/>
  <c r="AK143" i="17"/>
  <c r="AK144" i="17"/>
  <c r="AK145" i="17"/>
  <c r="AK146" i="17"/>
  <c r="AK147" i="17"/>
  <c r="AK148" i="17"/>
  <c r="AK149" i="17"/>
  <c r="AK150" i="17"/>
  <c r="AK151" i="17"/>
  <c r="AK152" i="17"/>
  <c r="AK153" i="17"/>
  <c r="AK154" i="17"/>
  <c r="AK155" i="17"/>
  <c r="AK156" i="17"/>
  <c r="AK157" i="17"/>
  <c r="AK158" i="17"/>
  <c r="AK159" i="17"/>
  <c r="AK160" i="17"/>
  <c r="AK161" i="17"/>
  <c r="AK162" i="17"/>
  <c r="AK163" i="17"/>
  <c r="AK164" i="17"/>
  <c r="AK165" i="17"/>
  <c r="AK166" i="17"/>
  <c r="AK167" i="17"/>
  <c r="AK168" i="17"/>
  <c r="AK169" i="17"/>
  <c r="AK170" i="17"/>
  <c r="AK171" i="17"/>
  <c r="AK172" i="17"/>
  <c r="AK173" i="17"/>
  <c r="AK174" i="17"/>
  <c r="AK175" i="17"/>
  <c r="AK176" i="17"/>
  <c r="AK177" i="17"/>
  <c r="AK178" i="17"/>
  <c r="AK179" i="17"/>
  <c r="AK180" i="17"/>
  <c r="AK181" i="17"/>
  <c r="AK182" i="17"/>
  <c r="AK183" i="17"/>
  <c r="AK184" i="17"/>
  <c r="AK185" i="17"/>
  <c r="AK186" i="17"/>
  <c r="AK187" i="17"/>
  <c r="AK188" i="17"/>
  <c r="AK189" i="17"/>
  <c r="AK190" i="17"/>
  <c r="AK191" i="17"/>
  <c r="AK192" i="17"/>
  <c r="AK193" i="17"/>
  <c r="AK194" i="17"/>
  <c r="AK195" i="17"/>
  <c r="AK196" i="17"/>
  <c r="AK197" i="17"/>
  <c r="AK198" i="17"/>
  <c r="AK199" i="17"/>
  <c r="AK200" i="17"/>
  <c r="AK201" i="17"/>
  <c r="AK202" i="17"/>
  <c r="AK203" i="17"/>
  <c r="AK204" i="17"/>
  <c r="AK205" i="17"/>
  <c r="AK206" i="17"/>
  <c r="AK207" i="17"/>
  <c r="AK208" i="17"/>
  <c r="AK209" i="17"/>
  <c r="AK210" i="17"/>
  <c r="AK211" i="17"/>
  <c r="AK212" i="17"/>
  <c r="AK213" i="17"/>
  <c r="AK214" i="17"/>
  <c r="AK215" i="17"/>
  <c r="AK216" i="17"/>
  <c r="AK217" i="17"/>
  <c r="AK218" i="17"/>
  <c r="AK219" i="17"/>
  <c r="AK220" i="17"/>
  <c r="AK221" i="17"/>
  <c r="AK222" i="17"/>
  <c r="AK223" i="17"/>
  <c r="AK224" i="17"/>
  <c r="AK225" i="17"/>
  <c r="AK226" i="17"/>
  <c r="AK227" i="17"/>
  <c r="AK228" i="17"/>
  <c r="AK229" i="17"/>
  <c r="AK230" i="17"/>
  <c r="AK231" i="17"/>
  <c r="AK232" i="17"/>
  <c r="AK233" i="17"/>
  <c r="AK234" i="17"/>
  <c r="AK235" i="17"/>
  <c r="AK236" i="17"/>
  <c r="AK237" i="17"/>
  <c r="AK238" i="17"/>
  <c r="AK239" i="17"/>
  <c r="AK240" i="17"/>
  <c r="AK241" i="17"/>
  <c r="AK242" i="17"/>
  <c r="AK243" i="17"/>
  <c r="AK244" i="17"/>
  <c r="AK245" i="17"/>
  <c r="AK246" i="17"/>
  <c r="AK247" i="17"/>
  <c r="AK248" i="17"/>
  <c r="AK249" i="17"/>
  <c r="AK250" i="17"/>
  <c r="AK251" i="17"/>
  <c r="AK252" i="17"/>
  <c r="AK253" i="17"/>
  <c r="AK254" i="17"/>
  <c r="AK255" i="17"/>
  <c r="AK256" i="17"/>
  <c r="AK257" i="17"/>
  <c r="AK258" i="17"/>
  <c r="AK259" i="17"/>
  <c r="AK260" i="17"/>
  <c r="AK261" i="17"/>
  <c r="AK262" i="17"/>
  <c r="AK263" i="17"/>
  <c r="AK264" i="17"/>
  <c r="AK265" i="17"/>
  <c r="AK266" i="17"/>
  <c r="AK267" i="17"/>
  <c r="AK268" i="17"/>
  <c r="AK269" i="17"/>
  <c r="AK270" i="17"/>
  <c r="AK271" i="17"/>
  <c r="AK272" i="17"/>
  <c r="AK273" i="17"/>
  <c r="AK274" i="17"/>
  <c r="AK275" i="17"/>
  <c r="AK276" i="17"/>
  <c r="AK277" i="17"/>
  <c r="AK278" i="17"/>
  <c r="AK279" i="17"/>
  <c r="AK280" i="17"/>
  <c r="AK281" i="17"/>
  <c r="AK282" i="17"/>
  <c r="AK283" i="17"/>
  <c r="AK284" i="17"/>
  <c r="AK285" i="17"/>
  <c r="AK286" i="17"/>
  <c r="AK287" i="17"/>
  <c r="AK288" i="17"/>
  <c r="AK289" i="17"/>
  <c r="AK290" i="17"/>
  <c r="AK291" i="17"/>
  <c r="AK292" i="17"/>
  <c r="AK293" i="17"/>
  <c r="AK294" i="17"/>
  <c r="AK295" i="17"/>
  <c r="AK296" i="17"/>
  <c r="AK297" i="17"/>
  <c r="AK298" i="17"/>
  <c r="AK299" i="17"/>
  <c r="AK300" i="17"/>
  <c r="AK301" i="17"/>
  <c r="AK302" i="17"/>
  <c r="AK303" i="17"/>
  <c r="AK304" i="17"/>
  <c r="AK305" i="17"/>
  <c r="AK306" i="17"/>
  <c r="AK307" i="17"/>
  <c r="AK308" i="17"/>
  <c r="AK309" i="17"/>
  <c r="AK310" i="17"/>
  <c r="AK311" i="17"/>
  <c r="AK312" i="17"/>
  <c r="AK313" i="17"/>
  <c r="AK314" i="17"/>
  <c r="AK315" i="17"/>
  <c r="AK316" i="17"/>
  <c r="AK317" i="17"/>
  <c r="AK318" i="17"/>
  <c r="AK319" i="17"/>
  <c r="AK320" i="17"/>
  <c r="AK321" i="17"/>
  <c r="AK322" i="17"/>
  <c r="AK323" i="17"/>
  <c r="AK324" i="17"/>
  <c r="AK325" i="17"/>
  <c r="AK326" i="17"/>
  <c r="AK327" i="17"/>
  <c r="AK328" i="17"/>
  <c r="AK329" i="17"/>
  <c r="AK330" i="17"/>
  <c r="AK331" i="17"/>
  <c r="AK332" i="17"/>
  <c r="AK333" i="17"/>
  <c r="AK334" i="17"/>
  <c r="AK335" i="17"/>
  <c r="AK336" i="17"/>
  <c r="AK337" i="17"/>
  <c r="AK338" i="17"/>
  <c r="AK339" i="17"/>
  <c r="AK340" i="17"/>
  <c r="AK341" i="17"/>
  <c r="AK342" i="17"/>
  <c r="AK343" i="17"/>
  <c r="AK344" i="17"/>
  <c r="AK345" i="17"/>
  <c r="AK346" i="17"/>
  <c r="AK347" i="17"/>
  <c r="AK348" i="17"/>
  <c r="AK349" i="17"/>
  <c r="AK350" i="17"/>
  <c r="AK351" i="17"/>
  <c r="AK352" i="17"/>
  <c r="AK353" i="17"/>
  <c r="AK354" i="17"/>
  <c r="AK355" i="17"/>
  <c r="AK356" i="17"/>
  <c r="AK357" i="17"/>
  <c r="AK358" i="17"/>
  <c r="AK359" i="17"/>
  <c r="AK360" i="17"/>
  <c r="AK361" i="17"/>
  <c r="AK362" i="17"/>
  <c r="AK363" i="17"/>
  <c r="AK364" i="17"/>
  <c r="AK365" i="17"/>
  <c r="AK366" i="17"/>
  <c r="AK367" i="17"/>
  <c r="AK368" i="17"/>
  <c r="AK369" i="17"/>
  <c r="AK370" i="17"/>
  <c r="AK371" i="17"/>
  <c r="AK372" i="17"/>
  <c r="AK373" i="17"/>
  <c r="AK374" i="17"/>
  <c r="AK375" i="17"/>
  <c r="AK376" i="17"/>
  <c r="AK377" i="17"/>
  <c r="AK378" i="17"/>
  <c r="AK379" i="17"/>
  <c r="AK380" i="17"/>
  <c r="AK381" i="17"/>
  <c r="AK382" i="17"/>
  <c r="AK383" i="17"/>
  <c r="AK384" i="17"/>
  <c r="AK385" i="17"/>
  <c r="AK386" i="17"/>
  <c r="AK387" i="17"/>
  <c r="AK388" i="17"/>
  <c r="AK389" i="17"/>
  <c r="AK390" i="17"/>
  <c r="AL14" i="17"/>
  <c r="AL15" i="17"/>
  <c r="AL16" i="17"/>
  <c r="AL20" i="17"/>
  <c r="AL21" i="17"/>
  <c r="AL36" i="17"/>
  <c r="AL37" i="17"/>
  <c r="AL55" i="17"/>
  <c r="AL79" i="17"/>
  <c r="AL82" i="17"/>
  <c r="AL94" i="17"/>
  <c r="AL99" i="17"/>
  <c r="AL106" i="17"/>
  <c r="AL108" i="17"/>
  <c r="AL135" i="17"/>
  <c r="AL137" i="17"/>
  <c r="AL164" i="17"/>
  <c r="AL167" i="17"/>
  <c r="AL186" i="17"/>
  <c r="AL193" i="17"/>
  <c r="AL205" i="17"/>
  <c r="AL209" i="17"/>
  <c r="AL223" i="17"/>
  <c r="AL225" i="17"/>
  <c r="AL226" i="17"/>
  <c r="AL229" i="17"/>
  <c r="AL234" i="17"/>
  <c r="AL239" i="17"/>
  <c r="AL246" i="17"/>
  <c r="AL252" i="17"/>
  <c r="AL263" i="17"/>
  <c r="AL264" i="17"/>
  <c r="AL265" i="17"/>
  <c r="AL267" i="17"/>
  <c r="AL268" i="17"/>
  <c r="AL269" i="17"/>
  <c r="AL275" i="17"/>
  <c r="AL276" i="17"/>
  <c r="AL281" i="17"/>
  <c r="AL282" i="17"/>
  <c r="AL283" i="17"/>
  <c r="AL284" i="17"/>
  <c r="AL287" i="17"/>
  <c r="AL288" i="17"/>
  <c r="AL289" i="17"/>
  <c r="AL290" i="17"/>
  <c r="AL292" i="17"/>
  <c r="AL293" i="17"/>
  <c r="AL294" i="17"/>
  <c r="AL297" i="17"/>
  <c r="AL298" i="17"/>
  <c r="AL299" i="17"/>
  <c r="AL300" i="17"/>
  <c r="AL301" i="17"/>
  <c r="AL302" i="17"/>
  <c r="AL303" i="17"/>
  <c r="AL304" i="17"/>
  <c r="AL305" i="17"/>
  <c r="AL306" i="17"/>
  <c r="AL307" i="17"/>
  <c r="AL308" i="17"/>
  <c r="AL309" i="17"/>
  <c r="AL310" i="17"/>
  <c r="AL311" i="17"/>
  <c r="AL312" i="17"/>
  <c r="AL313" i="17"/>
  <c r="AL314" i="17"/>
  <c r="AL315" i="17"/>
  <c r="AL316" i="17"/>
  <c r="AL317" i="17"/>
  <c r="AL318" i="17"/>
  <c r="AL319" i="17"/>
  <c r="AL320" i="17"/>
  <c r="AL321" i="17"/>
  <c r="AL322" i="17"/>
  <c r="AL323" i="17"/>
  <c r="AL324" i="17"/>
  <c r="AL325" i="17"/>
  <c r="AL326" i="17"/>
  <c r="AL337" i="17"/>
  <c r="AL338" i="17"/>
  <c r="AM14" i="17"/>
  <c r="AM15" i="17"/>
  <c r="AM16" i="17"/>
  <c r="AM20" i="17"/>
  <c r="AM21" i="17"/>
  <c r="AM36" i="17"/>
  <c r="AM37" i="17"/>
  <c r="AM55" i="17"/>
  <c r="AM79" i="17"/>
  <c r="AM82" i="17"/>
  <c r="AM94" i="17"/>
  <c r="AM99" i="17"/>
  <c r="AM106" i="17"/>
  <c r="AM108" i="17"/>
  <c r="AM135" i="17"/>
  <c r="AM137" i="17"/>
  <c r="AM164" i="17"/>
  <c r="AM167" i="17"/>
  <c r="AM186" i="17"/>
  <c r="AM193" i="17"/>
  <c r="AM205" i="17"/>
  <c r="AM209" i="17"/>
  <c r="AM223" i="17"/>
  <c r="AM225" i="17"/>
  <c r="AM226" i="17"/>
  <c r="AM229" i="17"/>
  <c r="AM234" i="17"/>
  <c r="AM239" i="17"/>
  <c r="AM246" i="17"/>
  <c r="AM252" i="17"/>
  <c r="AM263" i="17"/>
  <c r="AM264" i="17"/>
  <c r="AM265" i="17"/>
  <c r="AM267" i="17"/>
  <c r="AM268" i="17"/>
  <c r="AM269" i="17"/>
  <c r="AM275" i="17"/>
  <c r="AM276" i="17"/>
  <c r="AM281" i="17"/>
  <c r="AM282" i="17"/>
  <c r="AM283" i="17"/>
  <c r="AM284" i="17"/>
  <c r="AM287" i="17"/>
  <c r="AM288" i="17"/>
  <c r="AM289" i="17"/>
  <c r="AM290" i="17"/>
  <c r="AM292" i="17"/>
  <c r="AM293" i="17"/>
  <c r="AM294" i="17"/>
  <c r="AM297" i="17"/>
  <c r="AM298" i="17"/>
  <c r="AM299" i="17"/>
  <c r="AM300" i="17"/>
  <c r="AM301" i="17"/>
  <c r="AM302" i="17"/>
  <c r="AM303" i="17"/>
  <c r="AM304" i="17"/>
  <c r="AM305" i="17"/>
  <c r="AM306" i="17"/>
  <c r="AM307" i="17"/>
  <c r="AM308" i="17"/>
  <c r="AM309" i="17"/>
  <c r="AM310" i="17"/>
  <c r="AM311" i="17"/>
  <c r="AM312" i="17"/>
  <c r="AM313" i="17"/>
  <c r="AM314" i="17"/>
  <c r="AM315" i="17"/>
  <c r="AM316" i="17"/>
  <c r="AM317" i="17"/>
  <c r="AM318" i="17"/>
  <c r="AM319" i="17"/>
  <c r="AM320" i="17"/>
  <c r="AM321" i="17"/>
  <c r="AM322" i="17"/>
  <c r="AM323" i="17"/>
  <c r="AM324" i="17"/>
  <c r="AM325" i="17"/>
  <c r="AM326" i="17"/>
  <c r="AM337" i="17"/>
  <c r="AM338" i="17"/>
  <c r="AN14" i="17"/>
  <c r="AN15" i="17"/>
  <c r="AN16" i="17"/>
  <c r="AN20" i="17"/>
  <c r="AN21" i="17"/>
  <c r="AN36" i="17"/>
  <c r="AN37" i="17"/>
  <c r="AN55" i="17"/>
  <c r="AN79" i="17"/>
  <c r="AN82" i="17"/>
  <c r="AN94" i="17"/>
  <c r="AN99" i="17"/>
  <c r="AN106" i="17"/>
  <c r="AN108" i="17"/>
  <c r="AN135" i="17"/>
  <c r="AN137" i="17"/>
  <c r="AN164" i="17"/>
  <c r="AN167" i="17"/>
  <c r="AN186" i="17"/>
  <c r="AN193" i="17"/>
  <c r="AN205" i="17"/>
  <c r="AN209" i="17"/>
  <c r="AN223" i="17"/>
  <c r="AN225" i="17"/>
  <c r="AN226" i="17"/>
  <c r="AN229" i="17"/>
  <c r="AN234" i="17"/>
  <c r="AN239" i="17"/>
  <c r="AN246" i="17"/>
  <c r="AN252" i="17"/>
  <c r="AN263" i="17"/>
  <c r="AN264" i="17"/>
  <c r="AN265" i="17"/>
  <c r="AN267" i="17"/>
  <c r="AN268" i="17"/>
  <c r="AN269" i="17"/>
  <c r="AN275" i="17"/>
  <c r="AN276" i="17"/>
  <c r="AN281" i="17"/>
  <c r="AN282" i="17"/>
  <c r="AN283" i="17"/>
  <c r="AN284" i="17"/>
  <c r="AN287" i="17"/>
  <c r="AN288" i="17"/>
  <c r="AN289" i="17"/>
  <c r="AN290" i="17"/>
  <c r="AN292" i="17"/>
  <c r="AN293" i="17"/>
  <c r="AN294" i="17"/>
  <c r="AN297" i="17"/>
  <c r="AN298" i="17"/>
  <c r="AN299" i="17"/>
  <c r="AN300" i="17"/>
  <c r="AN301" i="17"/>
  <c r="AN302" i="17"/>
  <c r="AN303" i="17"/>
  <c r="AN304" i="17"/>
  <c r="AN305" i="17"/>
  <c r="AN306" i="17"/>
  <c r="AN307" i="17"/>
  <c r="AN308" i="17"/>
  <c r="AN309" i="17"/>
  <c r="AN310" i="17"/>
  <c r="AN311" i="17"/>
  <c r="AN312" i="17"/>
  <c r="AN313" i="17"/>
  <c r="AN314" i="17"/>
  <c r="AN315" i="17"/>
  <c r="AN316" i="17"/>
  <c r="AN317" i="17"/>
  <c r="AN318" i="17"/>
  <c r="AN319" i="17"/>
  <c r="AN320" i="17"/>
  <c r="AN321" i="17"/>
  <c r="AN322" i="17"/>
  <c r="AN323" i="17"/>
  <c r="AN324" i="17"/>
  <c r="AN325" i="17"/>
  <c r="AN326" i="17"/>
  <c r="AN337" i="17"/>
  <c r="AN338" i="17"/>
  <c r="AO14" i="17"/>
  <c r="AO15" i="17"/>
  <c r="AO16" i="17"/>
  <c r="AO20" i="17"/>
  <c r="AO21" i="17"/>
  <c r="AO36" i="17"/>
  <c r="AO37" i="17"/>
  <c r="AO55" i="17"/>
  <c r="AO79" i="17"/>
  <c r="AO82" i="17"/>
  <c r="AO94" i="17"/>
  <c r="AO99" i="17"/>
  <c r="AO106" i="17"/>
  <c r="AO108" i="17"/>
  <c r="AO135" i="17"/>
  <c r="AO137" i="17"/>
  <c r="AO164" i="17"/>
  <c r="AO167" i="17"/>
  <c r="AO186" i="17"/>
  <c r="AO193" i="17"/>
  <c r="AO205" i="17"/>
  <c r="AO209" i="17"/>
  <c r="AO223" i="17"/>
  <c r="AO225" i="17"/>
  <c r="AO226" i="17"/>
  <c r="AO229" i="17"/>
  <c r="AO234" i="17"/>
  <c r="AO239" i="17"/>
  <c r="AO246" i="17"/>
  <c r="AO252" i="17"/>
  <c r="AO263" i="17"/>
  <c r="AO264" i="17"/>
  <c r="AO265" i="17"/>
  <c r="AO267" i="17"/>
  <c r="AO268" i="17"/>
  <c r="AO269" i="17"/>
  <c r="AO275" i="17"/>
  <c r="AO276" i="17"/>
  <c r="AO281" i="17"/>
  <c r="AO282" i="17"/>
  <c r="AO283" i="17"/>
  <c r="AO284" i="17"/>
  <c r="AO287" i="17"/>
  <c r="AO288" i="17"/>
  <c r="AO289" i="17"/>
  <c r="AO290" i="17"/>
  <c r="AO292" i="17"/>
  <c r="AO293" i="17"/>
  <c r="AO294" i="17"/>
  <c r="AO297" i="17"/>
  <c r="AO298" i="17"/>
  <c r="AO299" i="17"/>
  <c r="AO300" i="17"/>
  <c r="AO301" i="17"/>
  <c r="AO302" i="17"/>
  <c r="AO303" i="17"/>
  <c r="AO304" i="17"/>
  <c r="AO305" i="17"/>
  <c r="AO306" i="17"/>
  <c r="AO307" i="17"/>
  <c r="AO308" i="17"/>
  <c r="AO309" i="17"/>
  <c r="AO310" i="17"/>
  <c r="AO311" i="17"/>
  <c r="AO312" i="17"/>
  <c r="AO313" i="17"/>
  <c r="AO314" i="17"/>
  <c r="AO315" i="17"/>
  <c r="AO316" i="17"/>
  <c r="AO317" i="17"/>
  <c r="AO318" i="17"/>
  <c r="AO319" i="17"/>
  <c r="AO320" i="17"/>
  <c r="AO321" i="17"/>
  <c r="AO322" i="17"/>
  <c r="AO323" i="17"/>
  <c r="AO324" i="17"/>
  <c r="AO325" i="17"/>
  <c r="AO326" i="17"/>
  <c r="AO337" i="17"/>
  <c r="AO338" i="17"/>
  <c r="AP14" i="17"/>
  <c r="AP15" i="17"/>
  <c r="AP16" i="17"/>
  <c r="AP20" i="17"/>
  <c r="AP21" i="17"/>
  <c r="AP36" i="17"/>
  <c r="AP37" i="17"/>
  <c r="AP55" i="17"/>
  <c r="AP79" i="17"/>
  <c r="AP82" i="17"/>
  <c r="AP94" i="17"/>
  <c r="AP99" i="17"/>
  <c r="AP106" i="17"/>
  <c r="AP108" i="17"/>
  <c r="AP135" i="17"/>
  <c r="AP137" i="17"/>
  <c r="AP164" i="17"/>
  <c r="AP167" i="17"/>
  <c r="AP186" i="17"/>
  <c r="AP193" i="17"/>
  <c r="AP205" i="17"/>
  <c r="AP209" i="17"/>
  <c r="AP223" i="17"/>
  <c r="AP225" i="17"/>
  <c r="AP226" i="17"/>
  <c r="AP229" i="17"/>
  <c r="AP234" i="17"/>
  <c r="AP239" i="17"/>
  <c r="AP246" i="17"/>
  <c r="AP252" i="17"/>
  <c r="AP263" i="17"/>
  <c r="AP264" i="17"/>
  <c r="AP265" i="17"/>
  <c r="AP267" i="17"/>
  <c r="AP268" i="17"/>
  <c r="AP269" i="17"/>
  <c r="AP275" i="17"/>
  <c r="AP276" i="17"/>
  <c r="AP281" i="17"/>
  <c r="AP282" i="17"/>
  <c r="AP283" i="17"/>
  <c r="AP284" i="17"/>
  <c r="AP287" i="17"/>
  <c r="AP288" i="17"/>
  <c r="AP289" i="17"/>
  <c r="AP290" i="17"/>
  <c r="AP292" i="17"/>
  <c r="AP293" i="17"/>
  <c r="AP294" i="17"/>
  <c r="AP297" i="17"/>
  <c r="AP298" i="17"/>
  <c r="AP299" i="17"/>
  <c r="AP300" i="17"/>
  <c r="AP301" i="17"/>
  <c r="AP302" i="17"/>
  <c r="AP303" i="17"/>
  <c r="AP304" i="17"/>
  <c r="AP305" i="17"/>
  <c r="AP306" i="17"/>
  <c r="AP307" i="17"/>
  <c r="AP308" i="17"/>
  <c r="AP309" i="17"/>
  <c r="AP310" i="17"/>
  <c r="AP311" i="17"/>
  <c r="AP312" i="17"/>
  <c r="AP313" i="17"/>
  <c r="AP314" i="17"/>
  <c r="AP315" i="17"/>
  <c r="AP316" i="17"/>
  <c r="AP317" i="17"/>
  <c r="AP318" i="17"/>
  <c r="AP319" i="17"/>
  <c r="AP320" i="17"/>
  <c r="AP321" i="17"/>
  <c r="AP322" i="17"/>
  <c r="AP323" i="17"/>
  <c r="AP324" i="17"/>
  <c r="AP325" i="17"/>
  <c r="AP326" i="17"/>
  <c r="AP337" i="17"/>
  <c r="AP338" i="17"/>
  <c r="AQ14" i="17"/>
  <c r="AQ15" i="17"/>
  <c r="AQ16" i="17"/>
  <c r="AQ20" i="17"/>
  <c r="AQ21" i="17"/>
  <c r="AQ36" i="17"/>
  <c r="AQ37" i="17"/>
  <c r="AQ55" i="17"/>
  <c r="AQ79" i="17"/>
  <c r="AQ82" i="17"/>
  <c r="AQ94" i="17"/>
  <c r="AQ99" i="17"/>
  <c r="AQ106" i="17"/>
  <c r="AQ108" i="17"/>
  <c r="AQ135" i="17"/>
  <c r="AQ137" i="17"/>
  <c r="AQ164" i="17"/>
  <c r="AQ167" i="17"/>
  <c r="AQ186" i="17"/>
  <c r="AQ193" i="17"/>
  <c r="AQ205" i="17"/>
  <c r="AQ209" i="17"/>
  <c r="AQ223" i="17"/>
  <c r="AQ225" i="17"/>
  <c r="AQ226" i="17"/>
  <c r="AQ229" i="17"/>
  <c r="AQ234" i="17"/>
  <c r="AQ239" i="17"/>
  <c r="AQ246" i="17"/>
  <c r="AQ252" i="17"/>
  <c r="AQ263" i="17"/>
  <c r="AQ264" i="17"/>
  <c r="AQ265" i="17"/>
  <c r="AQ267" i="17"/>
  <c r="AQ268" i="17"/>
  <c r="AQ269" i="17"/>
  <c r="AQ275" i="17"/>
  <c r="AQ276" i="17"/>
  <c r="AQ281" i="17"/>
  <c r="AQ282" i="17"/>
  <c r="AQ283" i="17"/>
  <c r="AQ284" i="17"/>
  <c r="AQ287" i="17"/>
  <c r="AQ288" i="17"/>
  <c r="AQ289" i="17"/>
  <c r="AQ290" i="17"/>
  <c r="AQ292" i="17"/>
  <c r="AQ293" i="17"/>
  <c r="AQ294" i="17"/>
  <c r="AQ297" i="17"/>
  <c r="AQ298" i="17"/>
  <c r="AQ299" i="17"/>
  <c r="AQ300" i="17"/>
  <c r="AQ301" i="17"/>
  <c r="AQ302" i="17"/>
  <c r="AQ303" i="17"/>
  <c r="AQ304" i="17"/>
  <c r="AQ305" i="17"/>
  <c r="AQ306" i="17"/>
  <c r="AQ307" i="17"/>
  <c r="AQ308" i="17"/>
  <c r="AQ309" i="17"/>
  <c r="AQ310" i="17"/>
  <c r="AQ311" i="17"/>
  <c r="AQ312" i="17"/>
  <c r="AQ313" i="17"/>
  <c r="AQ314" i="17"/>
  <c r="AQ315" i="17"/>
  <c r="AQ316" i="17"/>
  <c r="AQ317" i="17"/>
  <c r="AQ318" i="17"/>
  <c r="AQ319" i="17"/>
  <c r="AQ320" i="17"/>
  <c r="AQ321" i="17"/>
  <c r="AQ322" i="17"/>
  <c r="AQ323" i="17"/>
  <c r="AQ324" i="17"/>
  <c r="AQ325" i="17"/>
  <c r="AQ326" i="17"/>
  <c r="AQ337" i="17"/>
  <c r="AQ338" i="17"/>
  <c r="AR14" i="17"/>
  <c r="AR15" i="17"/>
  <c r="AR16" i="17"/>
  <c r="AR20" i="17"/>
  <c r="AR21" i="17"/>
  <c r="AR36" i="17"/>
  <c r="AR37" i="17"/>
  <c r="AR55" i="17"/>
  <c r="AR79" i="17"/>
  <c r="AR82" i="17"/>
  <c r="AR94" i="17"/>
  <c r="AR99" i="17"/>
  <c r="AR106" i="17"/>
  <c r="AR108" i="17"/>
  <c r="AR135" i="17"/>
  <c r="AR137" i="17"/>
  <c r="AR164" i="17"/>
  <c r="AR167" i="17"/>
  <c r="AR186" i="17"/>
  <c r="AR193" i="17"/>
  <c r="AR205" i="17"/>
  <c r="AR209" i="17"/>
  <c r="AR223" i="17"/>
  <c r="AR225" i="17"/>
  <c r="AR226" i="17"/>
  <c r="AR229" i="17"/>
  <c r="AR234" i="17"/>
  <c r="AR239" i="17"/>
  <c r="AR246" i="17"/>
  <c r="AR252" i="17"/>
  <c r="AR263" i="17"/>
  <c r="AR264" i="17"/>
  <c r="AR265" i="17"/>
  <c r="AR267" i="17"/>
  <c r="AR268" i="17"/>
  <c r="AR269" i="17"/>
  <c r="AR275" i="17"/>
  <c r="AR276" i="17"/>
  <c r="AR281" i="17"/>
  <c r="AR282" i="17"/>
  <c r="AR283" i="17"/>
  <c r="AR284" i="17"/>
  <c r="AR287" i="17"/>
  <c r="AR288" i="17"/>
  <c r="AR289" i="17"/>
  <c r="AR290" i="17"/>
  <c r="AR292" i="17"/>
  <c r="AR293" i="17"/>
  <c r="AR294" i="17"/>
  <c r="AR297" i="17"/>
  <c r="AR298" i="17"/>
  <c r="AR299" i="17"/>
  <c r="AR300" i="17"/>
  <c r="AR301" i="17"/>
  <c r="AR302" i="17"/>
  <c r="AR303" i="17"/>
  <c r="AR304" i="17"/>
  <c r="AR305" i="17"/>
  <c r="AR306" i="17"/>
  <c r="AR307" i="17"/>
  <c r="AR308" i="17"/>
  <c r="AR309" i="17"/>
  <c r="AR310" i="17"/>
  <c r="AR311" i="17"/>
  <c r="AR312" i="17"/>
  <c r="AR313" i="17"/>
  <c r="AR314" i="17"/>
  <c r="AR315" i="17"/>
  <c r="AR316" i="17"/>
  <c r="AR317" i="17"/>
  <c r="AR318" i="17"/>
  <c r="AR319" i="17"/>
  <c r="AR320" i="17"/>
  <c r="AR321" i="17"/>
  <c r="AR322" i="17"/>
  <c r="AR323" i="17"/>
  <c r="AR324" i="17"/>
  <c r="AR325" i="17"/>
  <c r="AR326" i="17"/>
  <c r="AR337" i="17"/>
  <c r="AR338" i="17"/>
  <c r="AS14" i="17"/>
  <c r="AS15" i="17"/>
  <c r="AS16" i="17"/>
  <c r="AS20" i="17"/>
  <c r="AS21" i="17"/>
  <c r="AS36" i="17"/>
  <c r="AS37" i="17"/>
  <c r="AS55" i="17"/>
  <c r="AS79" i="17"/>
  <c r="AS82" i="17"/>
  <c r="AS94" i="17"/>
  <c r="AS99" i="17"/>
  <c r="AS106" i="17"/>
  <c r="AS108" i="17"/>
  <c r="AS135" i="17"/>
  <c r="AS137" i="17"/>
  <c r="AS164" i="17"/>
  <c r="AS167" i="17"/>
  <c r="AS186" i="17"/>
  <c r="AS193" i="17"/>
  <c r="AS205" i="17"/>
  <c r="AS209" i="17"/>
  <c r="AS223" i="17"/>
  <c r="AS225" i="17"/>
  <c r="AS226" i="17"/>
  <c r="AS229" i="17"/>
  <c r="AS234" i="17"/>
  <c r="AS239" i="17"/>
  <c r="AS246" i="17"/>
  <c r="AS252" i="17"/>
  <c r="AS263" i="17"/>
  <c r="AS264" i="17"/>
  <c r="AS265" i="17"/>
  <c r="AS267" i="17"/>
  <c r="AS268" i="17"/>
  <c r="AS269" i="17"/>
  <c r="AS275" i="17"/>
  <c r="AS276" i="17"/>
  <c r="AS281" i="17"/>
  <c r="AS282" i="17"/>
  <c r="AS283" i="17"/>
  <c r="AS284" i="17"/>
  <c r="AS287" i="17"/>
  <c r="AS288" i="17"/>
  <c r="AS289" i="17"/>
  <c r="AS290" i="17"/>
  <c r="AS292" i="17"/>
  <c r="AS293" i="17"/>
  <c r="AS294" i="17"/>
  <c r="AS297" i="17"/>
  <c r="AS298" i="17"/>
  <c r="AS299" i="17"/>
  <c r="AS300" i="17"/>
  <c r="AS301" i="17"/>
  <c r="AS302" i="17"/>
  <c r="AS303" i="17"/>
  <c r="AS304" i="17"/>
  <c r="AS305" i="17"/>
  <c r="AS306" i="17"/>
  <c r="AS307" i="17"/>
  <c r="AS308" i="17"/>
  <c r="AS309" i="17"/>
  <c r="AS310" i="17"/>
  <c r="AS311" i="17"/>
  <c r="AS312" i="17"/>
  <c r="AS313" i="17"/>
  <c r="AS314" i="17"/>
  <c r="AS315" i="17"/>
  <c r="AS316" i="17"/>
  <c r="AS317" i="17"/>
  <c r="AS318" i="17"/>
  <c r="AS319" i="17"/>
  <c r="AS320" i="17"/>
  <c r="AS321" i="17"/>
  <c r="AS322" i="17"/>
  <c r="AS323" i="17"/>
  <c r="AS324" i="17"/>
  <c r="AS325" i="17"/>
  <c r="AS326" i="17"/>
  <c r="AS337" i="17"/>
  <c r="AS338" i="17"/>
  <c r="AT14" i="17"/>
  <c r="AT15" i="17"/>
  <c r="AT16" i="17"/>
  <c r="AT20" i="17"/>
  <c r="AT21" i="17"/>
  <c r="AT36" i="17"/>
  <c r="AT37" i="17"/>
  <c r="AT55" i="17"/>
  <c r="AT79" i="17"/>
  <c r="AT82" i="17"/>
  <c r="AT94" i="17"/>
  <c r="AT99" i="17"/>
  <c r="AT106" i="17"/>
  <c r="AT108" i="17"/>
  <c r="AT135" i="17"/>
  <c r="AT137" i="17"/>
  <c r="AT164" i="17"/>
  <c r="AT167" i="17"/>
  <c r="AT186" i="17"/>
  <c r="AT193" i="17"/>
  <c r="AT205" i="17"/>
  <c r="AT209" i="17"/>
  <c r="AT223" i="17"/>
  <c r="AT225" i="17"/>
  <c r="AT226" i="17"/>
  <c r="AT229" i="17"/>
  <c r="AT234" i="17"/>
  <c r="AT239" i="17"/>
  <c r="AT246" i="17"/>
  <c r="AT252" i="17"/>
  <c r="AT263" i="17"/>
  <c r="AT264" i="17"/>
  <c r="AT265" i="17"/>
  <c r="AT267" i="17"/>
  <c r="AT268" i="17"/>
  <c r="AT269" i="17"/>
  <c r="AT275" i="17"/>
  <c r="AT276" i="17"/>
  <c r="AT281" i="17"/>
  <c r="AT282" i="17"/>
  <c r="AT283" i="17"/>
  <c r="AT284" i="17"/>
  <c r="AT287" i="17"/>
  <c r="AT288" i="17"/>
  <c r="AT289" i="17"/>
  <c r="AT290" i="17"/>
  <c r="AT292" i="17"/>
  <c r="AT293" i="17"/>
  <c r="AT294" i="17"/>
  <c r="AT297" i="17"/>
  <c r="AT298" i="17"/>
  <c r="AT299" i="17"/>
  <c r="AT300" i="17"/>
  <c r="AT301" i="17"/>
  <c r="AT302" i="17"/>
  <c r="AT303" i="17"/>
  <c r="AT304" i="17"/>
  <c r="AT305" i="17"/>
  <c r="AT306" i="17"/>
  <c r="AT307" i="17"/>
  <c r="AT308" i="17"/>
  <c r="AT309" i="17"/>
  <c r="AT310" i="17"/>
  <c r="AT311" i="17"/>
  <c r="AT312" i="17"/>
  <c r="AT313" i="17"/>
  <c r="AT314" i="17"/>
  <c r="AT315" i="17"/>
  <c r="AT316" i="17"/>
  <c r="AT317" i="17"/>
  <c r="AT318" i="17"/>
  <c r="AT319" i="17"/>
  <c r="AT320" i="17"/>
  <c r="AT321" i="17"/>
  <c r="AT322" i="17"/>
  <c r="AT323" i="17"/>
  <c r="AT324" i="17"/>
  <c r="AT325" i="17"/>
  <c r="AT326" i="17"/>
  <c r="AT337" i="17"/>
  <c r="AT338" i="17"/>
  <c r="AU14" i="17"/>
  <c r="AU15" i="17"/>
  <c r="AU16" i="17"/>
  <c r="AU20" i="17"/>
  <c r="AU21" i="17"/>
  <c r="AU36" i="17"/>
  <c r="AU37" i="17"/>
  <c r="AU44" i="17"/>
  <c r="AU45" i="17"/>
  <c r="AU53" i="17"/>
  <c r="AU54" i="17"/>
  <c r="AU55" i="17"/>
  <c r="AU65" i="17"/>
  <c r="AU79" i="17"/>
  <c r="AU82" i="17"/>
  <c r="AU94" i="17"/>
  <c r="AU99" i="17"/>
  <c r="AU106" i="17"/>
  <c r="AU108" i="17"/>
  <c r="AU135" i="17"/>
  <c r="AU137" i="17"/>
  <c r="AU164" i="17"/>
  <c r="AU167" i="17"/>
  <c r="AU186" i="17"/>
  <c r="AU193" i="17"/>
  <c r="AU205" i="17"/>
  <c r="AU209" i="17"/>
  <c r="AU223" i="17"/>
  <c r="AU225" i="17"/>
  <c r="AU226" i="17"/>
  <c r="AU229" i="17"/>
  <c r="AU234" i="17"/>
  <c r="AU239" i="17"/>
  <c r="AU246" i="17"/>
  <c r="AU252" i="17"/>
  <c r="AU263" i="17"/>
  <c r="AU264" i="17"/>
  <c r="AU265" i="17"/>
  <c r="AU267" i="17"/>
  <c r="AU268" i="17"/>
  <c r="AU269" i="17"/>
  <c r="AU275" i="17"/>
  <c r="AU276" i="17"/>
  <c r="AU279" i="17"/>
  <c r="AU280" i="17"/>
  <c r="AU281" i="17"/>
  <c r="AU282" i="17"/>
  <c r="AU283" i="17"/>
  <c r="AU284" i="17"/>
  <c r="AU287" i="17"/>
  <c r="AU288" i="17"/>
  <c r="AU289" i="17"/>
  <c r="AU290" i="17"/>
  <c r="AU292" i="17"/>
  <c r="AU293" i="17"/>
  <c r="AU294" i="17"/>
  <c r="AU297" i="17"/>
  <c r="AU298" i="17"/>
  <c r="AU299" i="17"/>
  <c r="AU300" i="17"/>
  <c r="AU301" i="17"/>
  <c r="AU302" i="17"/>
  <c r="AU303" i="17"/>
  <c r="AU304" i="17"/>
  <c r="AU305" i="17"/>
  <c r="AU306" i="17"/>
  <c r="AU307" i="17"/>
  <c r="AU308" i="17"/>
  <c r="AU309" i="17"/>
  <c r="AU310" i="17"/>
  <c r="AU311" i="17"/>
  <c r="AU312" i="17"/>
  <c r="AU313" i="17"/>
  <c r="AU314" i="17"/>
  <c r="AU315" i="17"/>
  <c r="AU316" i="17"/>
  <c r="AU317" i="17"/>
  <c r="AU318" i="17"/>
  <c r="AU319" i="17"/>
  <c r="AU320" i="17"/>
  <c r="AU321" i="17"/>
  <c r="AU322" i="17"/>
  <c r="AU323" i="17"/>
  <c r="AU324" i="17"/>
  <c r="AU325" i="17"/>
  <c r="AU326" i="17"/>
  <c r="AU327" i="17"/>
  <c r="AU328" i="17"/>
  <c r="AU331" i="17"/>
  <c r="AU332" i="17"/>
  <c r="AU337" i="17"/>
  <c r="AU338" i="17"/>
  <c r="AU345" i="17"/>
  <c r="AU346" i="17"/>
  <c r="AU353" i="17"/>
  <c r="AU354" i="17"/>
  <c r="AU357" i="17"/>
  <c r="AU358" i="17"/>
  <c r="AU371" i="17"/>
  <c r="AU372" i="17"/>
  <c r="AV14" i="17"/>
  <c r="AV15" i="17"/>
  <c r="AV16" i="17"/>
  <c r="AV20" i="17"/>
  <c r="AV21" i="17"/>
  <c r="AV36" i="17"/>
  <c r="AV37" i="17"/>
  <c r="AV44" i="17"/>
  <c r="AV45" i="17"/>
  <c r="AV53" i="17"/>
  <c r="AV54" i="17"/>
  <c r="AV55" i="17"/>
  <c r="AV65" i="17"/>
  <c r="AV79" i="17"/>
  <c r="AV82" i="17"/>
  <c r="AV94" i="17"/>
  <c r="AV99" i="17"/>
  <c r="AV106" i="17"/>
  <c r="AV108" i="17"/>
  <c r="AV135" i="17"/>
  <c r="AV137" i="17"/>
  <c r="AV164" i="17"/>
  <c r="AV167" i="17"/>
  <c r="AV186" i="17"/>
  <c r="AV193" i="17"/>
  <c r="AV205" i="17"/>
  <c r="AV209" i="17"/>
  <c r="AV223" i="17"/>
  <c r="AV225" i="17"/>
  <c r="AV226" i="17"/>
  <c r="AV229" i="17"/>
  <c r="AV234" i="17"/>
  <c r="AV239" i="17"/>
  <c r="AV246" i="17"/>
  <c r="AV252" i="17"/>
  <c r="AV263" i="17"/>
  <c r="AV264" i="17"/>
  <c r="AV265" i="17"/>
  <c r="AV267" i="17"/>
  <c r="AV268" i="17"/>
  <c r="AV269" i="17"/>
  <c r="AV275" i="17"/>
  <c r="AV276" i="17"/>
  <c r="AV279" i="17"/>
  <c r="AV280" i="17"/>
  <c r="AV281" i="17"/>
  <c r="AV282" i="17"/>
  <c r="AV283" i="17"/>
  <c r="AV284" i="17"/>
  <c r="AV287" i="17"/>
  <c r="AV288" i="17"/>
  <c r="AV289" i="17"/>
  <c r="AV290" i="17"/>
  <c r="AV292" i="17"/>
  <c r="AV293" i="17"/>
  <c r="AV294" i="17"/>
  <c r="AV297" i="17"/>
  <c r="AV298" i="17"/>
  <c r="AV299" i="17"/>
  <c r="AV300" i="17"/>
  <c r="AV301" i="17"/>
  <c r="AV302" i="17"/>
  <c r="AV303" i="17"/>
  <c r="AV304" i="17"/>
  <c r="AV305" i="17"/>
  <c r="AV306" i="17"/>
  <c r="AV307" i="17"/>
  <c r="AV308" i="17"/>
  <c r="AV309" i="17"/>
  <c r="AV310" i="17"/>
  <c r="AV311" i="17"/>
  <c r="AV312" i="17"/>
  <c r="AV313" i="17"/>
  <c r="AV314" i="17"/>
  <c r="AV315" i="17"/>
  <c r="AV316" i="17"/>
  <c r="AV317" i="17"/>
  <c r="AV318" i="17"/>
  <c r="AV319" i="17"/>
  <c r="AV320" i="17"/>
  <c r="AV321" i="17"/>
  <c r="AV322" i="17"/>
  <c r="AV323" i="17"/>
  <c r="AV324" i="17"/>
  <c r="AV325" i="17"/>
  <c r="AV326" i="17"/>
  <c r="AV327" i="17"/>
  <c r="AV328" i="17"/>
  <c r="AV331" i="17"/>
  <c r="AV332" i="17"/>
  <c r="AV337" i="17"/>
  <c r="AV338" i="17"/>
  <c r="AV345" i="17"/>
  <c r="AV346" i="17"/>
  <c r="AV353" i="17"/>
  <c r="AV354" i="17"/>
  <c r="AV357" i="17"/>
  <c r="AV358" i="17"/>
  <c r="AV371" i="17"/>
  <c r="AV372" i="17"/>
  <c r="AW14" i="17"/>
  <c r="AW15" i="17"/>
  <c r="AW16" i="17"/>
  <c r="AW20" i="17"/>
  <c r="AW21" i="17"/>
  <c r="AW36" i="17"/>
  <c r="AW37" i="17"/>
  <c r="AW44" i="17"/>
  <c r="AW45" i="17"/>
  <c r="AW53" i="17"/>
  <c r="AW54" i="17"/>
  <c r="AW55" i="17"/>
  <c r="AW65" i="17"/>
  <c r="AW79" i="17"/>
  <c r="AW82" i="17"/>
  <c r="AW94" i="17"/>
  <c r="AW99" i="17"/>
  <c r="AW106" i="17"/>
  <c r="AW108" i="17"/>
  <c r="AW135" i="17"/>
  <c r="AW137" i="17"/>
  <c r="AW164" i="17"/>
  <c r="AW167" i="17"/>
  <c r="AW186" i="17"/>
  <c r="AW193" i="17"/>
  <c r="AW205" i="17"/>
  <c r="AW209" i="17"/>
  <c r="AW223" i="17"/>
  <c r="AW225" i="17"/>
  <c r="AW226" i="17"/>
  <c r="AW229" i="17"/>
  <c r="AW234" i="17"/>
  <c r="AW239" i="17"/>
  <c r="AW246" i="17"/>
  <c r="AW252" i="17"/>
  <c r="AW263" i="17"/>
  <c r="AW264" i="17"/>
  <c r="AW265" i="17"/>
  <c r="AW267" i="17"/>
  <c r="AW268" i="17"/>
  <c r="AW269" i="17"/>
  <c r="AW275" i="17"/>
  <c r="AW276" i="17"/>
  <c r="AW279" i="17"/>
  <c r="AW280" i="17"/>
  <c r="AW281" i="17"/>
  <c r="AW282" i="17"/>
  <c r="AW283" i="17"/>
  <c r="AW284" i="17"/>
  <c r="AW287" i="17"/>
  <c r="AW288" i="17"/>
  <c r="AW289" i="17"/>
  <c r="AW290" i="17"/>
  <c r="AW292" i="17"/>
  <c r="AW293" i="17"/>
  <c r="AW294" i="17"/>
  <c r="AW297" i="17"/>
  <c r="AW298" i="17"/>
  <c r="AW299" i="17"/>
  <c r="AW300" i="17"/>
  <c r="AW301" i="17"/>
  <c r="AW302" i="17"/>
  <c r="AW303" i="17"/>
  <c r="AW304" i="17"/>
  <c r="AW305" i="17"/>
  <c r="AW306" i="17"/>
  <c r="AW307" i="17"/>
  <c r="AW308" i="17"/>
  <c r="AW309" i="17"/>
  <c r="AW310" i="17"/>
  <c r="AW311" i="17"/>
  <c r="AW312" i="17"/>
  <c r="AW313" i="17"/>
  <c r="AW314" i="17"/>
  <c r="AW315" i="17"/>
  <c r="AW316" i="17"/>
  <c r="AW317" i="17"/>
  <c r="AW318" i="17"/>
  <c r="AW319" i="17"/>
  <c r="AW320" i="17"/>
  <c r="AW321" i="17"/>
  <c r="AW322" i="17"/>
  <c r="AW323" i="17"/>
  <c r="AW324" i="17"/>
  <c r="AW325" i="17"/>
  <c r="AW326" i="17"/>
  <c r="AW327" i="17"/>
  <c r="AW328" i="17"/>
  <c r="AW331" i="17"/>
  <c r="AW332" i="17"/>
  <c r="AW337" i="17"/>
  <c r="AW338" i="17"/>
  <c r="AW345" i="17"/>
  <c r="AW346" i="17"/>
  <c r="AW353" i="17"/>
  <c r="AW354" i="17"/>
  <c r="AW357" i="17"/>
  <c r="AW358" i="17"/>
  <c r="AW371" i="17"/>
  <c r="AW372" i="17"/>
  <c r="AX14" i="17"/>
  <c r="AX15" i="17"/>
  <c r="AX16" i="17"/>
  <c r="AX20" i="17"/>
  <c r="AX21" i="17"/>
  <c r="AX22" i="17"/>
  <c r="AX23" i="17"/>
  <c r="AX24" i="17"/>
  <c r="AX25" i="17"/>
  <c r="AX26" i="17"/>
  <c r="AX27" i="17"/>
  <c r="AX28" i="17"/>
  <c r="AX29" i="17"/>
  <c r="AX36" i="17"/>
  <c r="AX37" i="17"/>
  <c r="AX44" i="17"/>
  <c r="AX45" i="17"/>
  <c r="AX53" i="17"/>
  <c r="AX54" i="17"/>
  <c r="AX55" i="17"/>
  <c r="AX65" i="17"/>
  <c r="AX79" i="17"/>
  <c r="AX82" i="17"/>
  <c r="AX94" i="17"/>
  <c r="AX99" i="17"/>
  <c r="AX106" i="17"/>
  <c r="AX108" i="17"/>
  <c r="AX135" i="17"/>
  <c r="AX137" i="17"/>
  <c r="AX164" i="17"/>
  <c r="AX167" i="17"/>
  <c r="AX186" i="17"/>
  <c r="AX193" i="17"/>
  <c r="AX205" i="17"/>
  <c r="AX209" i="17"/>
  <c r="AX223" i="17"/>
  <c r="AX225" i="17"/>
  <c r="AX226" i="17"/>
  <c r="AX229" i="17"/>
  <c r="AX230" i="17"/>
  <c r="AX234" i="17"/>
  <c r="AX239" i="17"/>
  <c r="AX246" i="17"/>
  <c r="AX252" i="17"/>
  <c r="AX263" i="17"/>
  <c r="AX264" i="17"/>
  <c r="AX265" i="17"/>
  <c r="AX267" i="17"/>
  <c r="AX268" i="17"/>
  <c r="AX269" i="17"/>
  <c r="AX275" i="17"/>
  <c r="AX276" i="17"/>
  <c r="AX279" i="17"/>
  <c r="AX280" i="17"/>
  <c r="AX281" i="17"/>
  <c r="AX282" i="17"/>
  <c r="AX283" i="17"/>
  <c r="AX284" i="17"/>
  <c r="AX287" i="17"/>
  <c r="AX288" i="17"/>
  <c r="AX289" i="17"/>
  <c r="AX290" i="17"/>
  <c r="AX292" i="17"/>
  <c r="AX293" i="17"/>
  <c r="AX294" i="17"/>
  <c r="AX297" i="17"/>
  <c r="AX298" i="17"/>
  <c r="AX299" i="17"/>
  <c r="AX300" i="17"/>
  <c r="AX301" i="17"/>
  <c r="AX302" i="17"/>
  <c r="AX303" i="17"/>
  <c r="AX304" i="17"/>
  <c r="AX305" i="17"/>
  <c r="AX306" i="17"/>
  <c r="AX307" i="17"/>
  <c r="AX308" i="17"/>
  <c r="AX309" i="17"/>
  <c r="AX310" i="17"/>
  <c r="AX311" i="17"/>
  <c r="AX312" i="17"/>
  <c r="AX313" i="17"/>
  <c r="AX314" i="17"/>
  <c r="AX315" i="17"/>
  <c r="AX316" i="17"/>
  <c r="AX317" i="17"/>
  <c r="AX318" i="17"/>
  <c r="AX319" i="17"/>
  <c r="AX320" i="17"/>
  <c r="AX321" i="17"/>
  <c r="AX322" i="17"/>
  <c r="AX323" i="17"/>
  <c r="AX324" i="17"/>
  <c r="AX325" i="17"/>
  <c r="AX326" i="17"/>
  <c r="AX327" i="17"/>
  <c r="AX328" i="17"/>
  <c r="AX331" i="17"/>
  <c r="AX332" i="17"/>
  <c r="AX337" i="17"/>
  <c r="AX338" i="17"/>
  <c r="AX345" i="17"/>
  <c r="AX346" i="17"/>
  <c r="AX353" i="17"/>
  <c r="AX354" i="17"/>
  <c r="AX357" i="17"/>
  <c r="AX358" i="17"/>
  <c r="AX371" i="17"/>
  <c r="AX372" i="17"/>
  <c r="AY14" i="17"/>
  <c r="AY15" i="17"/>
  <c r="AY16" i="17"/>
  <c r="AY20" i="17"/>
  <c r="AY21" i="17"/>
  <c r="AY22" i="17"/>
  <c r="AY23" i="17"/>
  <c r="AY24" i="17"/>
  <c r="AY25" i="17"/>
  <c r="AY26" i="17"/>
  <c r="AY27" i="17"/>
  <c r="AY28" i="17"/>
  <c r="AY29" i="17"/>
  <c r="AY36" i="17"/>
  <c r="AY37" i="17"/>
  <c r="AY44" i="17"/>
  <c r="AY45" i="17"/>
  <c r="AY53" i="17"/>
  <c r="AY54" i="17"/>
  <c r="AY55" i="17"/>
  <c r="AY65" i="17"/>
  <c r="AY79" i="17"/>
  <c r="AY82" i="17"/>
  <c r="AY94" i="17"/>
  <c r="AY99" i="17"/>
  <c r="AY106" i="17"/>
  <c r="AY108" i="17"/>
  <c r="AY135" i="17"/>
  <c r="AY137" i="17"/>
  <c r="AY164" i="17"/>
  <c r="AY167" i="17"/>
  <c r="AY186" i="17"/>
  <c r="AY193" i="17"/>
  <c r="AY205" i="17"/>
  <c r="AY209" i="17"/>
  <c r="AY223" i="17"/>
  <c r="AY225" i="17"/>
  <c r="AY226" i="17"/>
  <c r="AY229" i="17"/>
  <c r="AY234" i="17"/>
  <c r="AY239" i="17"/>
  <c r="AY246" i="17"/>
  <c r="AY252" i="17"/>
  <c r="AY263" i="17"/>
  <c r="AY264" i="17"/>
  <c r="AY265" i="17"/>
  <c r="AY267" i="17"/>
  <c r="AY268" i="17"/>
  <c r="AY269" i="17"/>
  <c r="AY275" i="17"/>
  <c r="AY276" i="17"/>
  <c r="AY279" i="17"/>
  <c r="AY280" i="17"/>
  <c r="AY281" i="17"/>
  <c r="AY282" i="17"/>
  <c r="AY283" i="17"/>
  <c r="AY284" i="17"/>
  <c r="AY287" i="17"/>
  <c r="AY288" i="17"/>
  <c r="AY289" i="17"/>
  <c r="AY290" i="17"/>
  <c r="AY292" i="17"/>
  <c r="AY293" i="17"/>
  <c r="AY294" i="17"/>
  <c r="AY297" i="17"/>
  <c r="AY298" i="17"/>
  <c r="AY299" i="17"/>
  <c r="AY300" i="17"/>
  <c r="AY301" i="17"/>
  <c r="AY302" i="17"/>
  <c r="AY303" i="17"/>
  <c r="AY304" i="17"/>
  <c r="AY305" i="17"/>
  <c r="AY306" i="17"/>
  <c r="AY307" i="17"/>
  <c r="AY308" i="17"/>
  <c r="AY309" i="17"/>
  <c r="AY310" i="17"/>
  <c r="AY311" i="17"/>
  <c r="AY312" i="17"/>
  <c r="AY313" i="17"/>
  <c r="AY314" i="17"/>
  <c r="AY315" i="17"/>
  <c r="AY316" i="17"/>
  <c r="AY317" i="17"/>
  <c r="AY318" i="17"/>
  <c r="AY319" i="17"/>
  <c r="AY320" i="17"/>
  <c r="AY321" i="17"/>
  <c r="AY322" i="17"/>
  <c r="AY323" i="17"/>
  <c r="AY324" i="17"/>
  <c r="AY325" i="17"/>
  <c r="AY326" i="17"/>
  <c r="AY327" i="17"/>
  <c r="AY328" i="17"/>
  <c r="AY331" i="17"/>
  <c r="AY332" i="17"/>
  <c r="AY337" i="17"/>
  <c r="AY338" i="17"/>
  <c r="AY341" i="17"/>
  <c r="AY342" i="17"/>
  <c r="AY343" i="17"/>
  <c r="AY344" i="17"/>
  <c r="AY345" i="17"/>
  <c r="AY346" i="17"/>
  <c r="AY353" i="17"/>
  <c r="AY354" i="17"/>
  <c r="AY357" i="17"/>
  <c r="AY358" i="17"/>
  <c r="AY369" i="17"/>
  <c r="AY370" i="17"/>
  <c r="AY371" i="17"/>
  <c r="AY372" i="17"/>
  <c r="AY378" i="17"/>
  <c r="AZ3" i="17"/>
  <c r="AZ4" i="17"/>
  <c r="AZ5" i="17"/>
  <c r="AZ6" i="17"/>
  <c r="AZ7" i="17"/>
  <c r="AZ8" i="17"/>
  <c r="AZ9" i="17"/>
  <c r="AZ10" i="17"/>
  <c r="AZ11" i="17"/>
  <c r="AZ12" i="17"/>
  <c r="AZ13" i="17"/>
  <c r="AZ14" i="17"/>
  <c r="AZ15" i="17"/>
  <c r="AZ16" i="17"/>
  <c r="AZ18" i="17"/>
  <c r="AZ20" i="17"/>
  <c r="AZ21" i="17"/>
  <c r="AZ22" i="17"/>
  <c r="AZ23" i="17"/>
  <c r="AZ24" i="17"/>
  <c r="AZ25" i="17"/>
  <c r="AZ26" i="17"/>
  <c r="AZ27" i="17"/>
  <c r="AZ28" i="17"/>
  <c r="AZ29" i="17"/>
  <c r="AZ30" i="17"/>
  <c r="AZ36" i="17"/>
  <c r="AZ37" i="17"/>
  <c r="AZ44" i="17"/>
  <c r="AZ45" i="17"/>
  <c r="AZ49" i="17"/>
  <c r="AZ50" i="17"/>
  <c r="AZ53" i="17"/>
  <c r="AZ54" i="17"/>
  <c r="AZ55" i="17"/>
  <c r="AZ61" i="17"/>
  <c r="AZ62" i="17"/>
  <c r="AZ65" i="17"/>
  <c r="AZ66" i="17"/>
  <c r="AZ76" i="17"/>
  <c r="AZ78" i="17"/>
  <c r="AZ79" i="17"/>
  <c r="AZ82" i="17"/>
  <c r="AZ89" i="17"/>
  <c r="AZ91" i="17"/>
  <c r="AZ94" i="17"/>
  <c r="AZ99" i="17"/>
  <c r="AZ101" i="17"/>
  <c r="AZ106" i="17"/>
  <c r="AZ108" i="17"/>
  <c r="AZ114" i="17"/>
  <c r="AZ118" i="17"/>
  <c r="AZ129" i="17"/>
  <c r="AZ132" i="17"/>
  <c r="AZ135" i="17"/>
  <c r="AZ137" i="17"/>
  <c r="AZ164" i="17"/>
  <c r="AZ167" i="17"/>
  <c r="AZ168" i="17"/>
  <c r="AZ169" i="17"/>
  <c r="AZ175" i="17"/>
  <c r="AZ180" i="17"/>
  <c r="AZ182" i="17"/>
  <c r="AZ184" i="17"/>
  <c r="AZ185" i="17"/>
  <c r="AZ186" i="17"/>
  <c r="AZ188" i="17"/>
  <c r="AZ190" i="17"/>
  <c r="AZ192" i="17"/>
  <c r="AZ193" i="17"/>
  <c r="AZ198" i="17"/>
  <c r="AZ199" i="17"/>
  <c r="AZ200" i="17"/>
  <c r="AZ204" i="17"/>
  <c r="AZ205" i="17"/>
  <c r="AZ206" i="17"/>
  <c r="AZ208" i="17"/>
  <c r="AZ209" i="17"/>
  <c r="AZ218" i="17"/>
  <c r="AZ222" i="17"/>
  <c r="AZ223" i="17"/>
  <c r="AZ225" i="17"/>
  <c r="AZ226" i="17"/>
  <c r="AZ229" i="17"/>
  <c r="AZ234" i="17"/>
  <c r="AZ239" i="17"/>
  <c r="AZ244" i="17"/>
  <c r="AZ246" i="17"/>
  <c r="AZ247" i="17"/>
  <c r="AZ251" i="17"/>
  <c r="AZ252" i="17"/>
  <c r="AZ253" i="17"/>
  <c r="AZ254" i="17"/>
  <c r="AZ262" i="17"/>
  <c r="AZ263" i="17"/>
  <c r="AZ264" i="17"/>
  <c r="AZ265" i="17"/>
  <c r="AZ267" i="17"/>
  <c r="AZ268" i="17"/>
  <c r="AZ269" i="17"/>
  <c r="AZ275" i="17"/>
  <c r="AZ276" i="17"/>
  <c r="AZ278" i="17"/>
  <c r="AZ279" i="17"/>
  <c r="AZ280" i="17"/>
  <c r="AZ281" i="17"/>
  <c r="AZ282" i="17"/>
  <c r="AZ283" i="17"/>
  <c r="AZ284" i="17"/>
  <c r="AZ285" i="17"/>
  <c r="AZ286" i="17"/>
  <c r="AZ287" i="17"/>
  <c r="AZ288" i="17"/>
  <c r="AZ289" i="17"/>
  <c r="AZ290" i="17"/>
  <c r="AZ291" i="17"/>
  <c r="AZ292" i="17"/>
  <c r="AZ293" i="17"/>
  <c r="AZ294" i="17"/>
  <c r="AZ297" i="17"/>
  <c r="AZ298" i="17"/>
  <c r="AZ299" i="17"/>
  <c r="AZ300" i="17"/>
  <c r="AZ301" i="17"/>
  <c r="AZ302" i="17"/>
  <c r="AZ303" i="17"/>
  <c r="AZ304" i="17"/>
  <c r="AZ305" i="17"/>
  <c r="AZ306" i="17"/>
  <c r="AZ307" i="17"/>
  <c r="AZ308" i="17"/>
  <c r="AZ309" i="17"/>
  <c r="AZ310" i="17"/>
  <c r="AZ311" i="17"/>
  <c r="AZ312" i="17"/>
  <c r="AZ313" i="17"/>
  <c r="AZ314" i="17"/>
  <c r="AZ315" i="17"/>
  <c r="AZ316" i="17"/>
  <c r="AZ317" i="17"/>
  <c r="AZ318" i="17"/>
  <c r="AZ319" i="17"/>
  <c r="AZ320" i="17"/>
  <c r="AZ321" i="17"/>
  <c r="AZ322" i="17"/>
  <c r="AZ323" i="17"/>
  <c r="AZ324" i="17"/>
  <c r="AZ325" i="17"/>
  <c r="AZ326" i="17"/>
  <c r="AZ327" i="17"/>
  <c r="AZ328" i="17"/>
  <c r="AZ331" i="17"/>
  <c r="AZ332" i="17"/>
  <c r="AZ335" i="17"/>
  <c r="AZ337" i="17"/>
  <c r="AZ338" i="17"/>
  <c r="AZ341" i="17"/>
  <c r="AZ342" i="17"/>
  <c r="AZ343" i="17"/>
  <c r="AZ344" i="17"/>
  <c r="AZ345" i="17"/>
  <c r="AZ346" i="17"/>
  <c r="AZ353" i="17"/>
  <c r="AZ354" i="17"/>
  <c r="AZ357" i="17"/>
  <c r="AZ358" i="17"/>
  <c r="AZ364" i="17"/>
  <c r="AZ369" i="17"/>
  <c r="AZ370" i="17"/>
  <c r="AZ371" i="17"/>
  <c r="AZ372" i="17"/>
  <c r="AZ378" i="17"/>
  <c r="AZ381" i="17"/>
  <c r="AZ383" i="17"/>
  <c r="AZ384" i="17"/>
  <c r="AZ385" i="17"/>
  <c r="AZ386" i="17"/>
  <c r="AZ387" i="17"/>
  <c r="AZ388" i="17"/>
  <c r="AZ389" i="17"/>
  <c r="AZ390" i="17"/>
  <c r="BA3" i="17"/>
  <c r="BA4" i="17"/>
  <c r="BA5" i="17"/>
  <c r="BA6" i="17"/>
  <c r="BA7" i="17"/>
  <c r="BA8" i="17"/>
  <c r="BA9" i="17"/>
  <c r="BA10" i="17"/>
  <c r="BA11" i="17"/>
  <c r="BA12" i="17"/>
  <c r="BA13" i="17"/>
  <c r="BA14" i="17"/>
  <c r="BA15" i="17"/>
  <c r="BA16" i="17"/>
  <c r="BA17" i="17"/>
  <c r="BA18" i="17"/>
  <c r="BA19" i="17"/>
  <c r="BA20" i="17"/>
  <c r="BA21" i="17"/>
  <c r="BA22" i="17"/>
  <c r="BA23" i="17"/>
  <c r="BA24" i="17"/>
  <c r="BA25" i="17"/>
  <c r="BA26" i="17"/>
  <c r="BA27" i="17"/>
  <c r="BA28" i="17"/>
  <c r="BA29" i="17"/>
  <c r="BA30" i="17"/>
  <c r="BA31" i="17"/>
  <c r="BA33" i="17"/>
  <c r="BA34" i="17"/>
  <c r="BA35" i="17"/>
  <c r="BA36" i="17"/>
  <c r="BA37" i="17"/>
  <c r="BA38" i="17"/>
  <c r="BA39" i="17"/>
  <c r="BA40" i="17"/>
  <c r="BA41" i="17"/>
  <c r="BA42" i="17"/>
  <c r="BA43" i="17"/>
  <c r="BA44" i="17"/>
  <c r="BA45" i="17"/>
  <c r="BA46" i="17"/>
  <c r="BA47" i="17"/>
  <c r="BA48" i="17"/>
  <c r="BA49" i="17"/>
  <c r="BA50" i="17"/>
  <c r="BA51" i="17"/>
  <c r="BA52" i="17"/>
  <c r="BA53" i="17"/>
  <c r="BA54" i="17"/>
  <c r="BA55" i="17"/>
  <c r="BA56" i="17"/>
  <c r="BA57" i="17"/>
  <c r="BA59" i="17"/>
  <c r="BA60" i="17"/>
  <c r="BA61" i="17"/>
  <c r="BA62" i="17"/>
  <c r="BA63" i="17"/>
  <c r="BA64" i="17"/>
  <c r="BA65" i="17"/>
  <c r="BA66" i="17"/>
  <c r="BA67" i="17"/>
  <c r="BA68" i="17"/>
  <c r="BA69" i="17"/>
  <c r="BA70" i="17"/>
  <c r="BA71" i="17"/>
  <c r="BA73" i="17"/>
  <c r="BA74" i="17"/>
  <c r="BA75" i="17"/>
  <c r="BA76" i="17"/>
  <c r="BA78" i="17"/>
  <c r="BA79" i="17"/>
  <c r="BA80" i="17"/>
  <c r="BA81" i="17"/>
  <c r="BA82" i="17"/>
  <c r="BA83" i="17"/>
  <c r="BA88" i="17"/>
  <c r="BA89" i="17"/>
  <c r="BA90" i="17"/>
  <c r="BA91" i="17"/>
  <c r="BA92" i="17"/>
  <c r="BA93" i="17"/>
  <c r="BA94" i="17"/>
  <c r="BA95" i="17"/>
  <c r="BA98" i="17"/>
  <c r="BA99" i="17"/>
  <c r="BA100" i="17"/>
  <c r="BA101" i="17"/>
  <c r="BA102" i="17"/>
  <c r="BA103" i="17"/>
  <c r="BA106" i="17"/>
  <c r="BA107" i="17"/>
  <c r="BA108" i="17"/>
  <c r="BA109" i="17"/>
  <c r="BA110" i="17"/>
  <c r="BA111" i="17"/>
  <c r="BA114" i="17"/>
  <c r="BA115" i="17"/>
  <c r="BA118" i="17"/>
  <c r="BA119" i="17"/>
  <c r="BA120" i="17"/>
  <c r="BA121" i="17"/>
  <c r="BA122" i="17"/>
  <c r="BA123" i="17"/>
  <c r="BA124" i="17"/>
  <c r="BA125" i="17"/>
  <c r="BA128" i="17"/>
  <c r="BA129" i="17"/>
  <c r="BA130" i="17"/>
  <c r="BA131" i="17"/>
  <c r="BA132" i="17"/>
  <c r="BA133" i="17"/>
  <c r="BA135" i="17"/>
  <c r="BA137" i="17"/>
  <c r="BA139" i="17"/>
  <c r="BA161" i="17"/>
  <c r="BA164" i="17"/>
  <c r="BA165" i="17"/>
  <c r="BA166" i="17"/>
  <c r="BA167" i="17"/>
  <c r="BA168" i="17"/>
  <c r="BA169" i="17"/>
  <c r="BA170" i="17"/>
  <c r="BA171" i="17"/>
  <c r="BA172" i="17"/>
  <c r="BA173" i="17"/>
  <c r="BA174" i="17"/>
  <c r="BA175" i="17"/>
  <c r="BA176" i="17"/>
  <c r="BA177" i="17"/>
  <c r="BA178" i="17"/>
  <c r="BA179" i="17"/>
  <c r="BA180" i="17"/>
  <c r="BA181" i="17"/>
  <c r="BA182" i="17"/>
  <c r="BA183" i="17"/>
  <c r="BA184" i="17"/>
  <c r="BA185" i="17"/>
  <c r="BA186" i="17"/>
  <c r="BA187" i="17"/>
  <c r="BA188" i="17"/>
  <c r="BA189" i="17"/>
  <c r="BA190" i="17"/>
  <c r="BA191" i="17"/>
  <c r="BA192" i="17"/>
  <c r="BA193" i="17"/>
  <c r="BA194" i="17"/>
  <c r="BA196" i="17"/>
  <c r="BA197" i="17"/>
  <c r="BA198" i="17"/>
  <c r="BA199" i="17"/>
  <c r="BA200" i="17"/>
  <c r="BA201" i="17"/>
  <c r="BA202" i="17"/>
  <c r="BA203" i="17"/>
  <c r="BA204" i="17"/>
  <c r="BA205" i="17"/>
  <c r="BA206" i="17"/>
  <c r="BA207" i="17"/>
  <c r="BA208" i="17"/>
  <c r="BA209" i="17"/>
  <c r="BA210" i="17"/>
  <c r="BA211" i="17"/>
  <c r="BA212" i="17"/>
  <c r="BA213" i="17"/>
  <c r="BA214" i="17"/>
  <c r="BA215" i="17"/>
  <c r="BA216" i="17"/>
  <c r="BA217" i="17"/>
  <c r="BA218" i="17"/>
  <c r="BA219" i="17"/>
  <c r="BA220" i="17"/>
  <c r="BA221" i="17"/>
  <c r="BA222" i="17"/>
  <c r="BA223" i="17"/>
  <c r="BA224" i="17"/>
  <c r="BA225" i="17"/>
  <c r="BA226" i="17"/>
  <c r="BA227" i="17"/>
  <c r="BA228" i="17"/>
  <c r="BA229" i="17"/>
  <c r="BA230" i="17"/>
  <c r="BA232" i="17"/>
  <c r="BA233" i="17"/>
  <c r="BA234" i="17"/>
  <c r="BA235" i="17"/>
  <c r="BA236" i="17"/>
  <c r="BA237" i="17"/>
  <c r="BA238" i="17"/>
  <c r="BA239" i="17"/>
  <c r="BA240" i="17"/>
  <c r="BA241" i="17"/>
  <c r="BA242" i="17"/>
  <c r="BA244" i="17"/>
  <c r="BA245" i="17"/>
  <c r="BA246" i="17"/>
  <c r="BA247" i="17"/>
  <c r="BA248" i="17"/>
  <c r="BA249" i="17"/>
  <c r="BA250" i="17"/>
  <c r="BA251" i="17"/>
  <c r="BA252" i="17"/>
  <c r="BA253" i="17"/>
  <c r="BA254" i="17"/>
  <c r="BA255" i="17"/>
  <c r="BA256" i="17"/>
  <c r="BA257" i="17"/>
  <c r="BA258" i="17"/>
  <c r="BA259" i="17"/>
  <c r="BA260" i="17"/>
  <c r="BA261" i="17"/>
  <c r="BA262" i="17"/>
  <c r="BA263" i="17"/>
  <c r="BA264" i="17"/>
  <c r="BA265" i="17"/>
  <c r="BA266" i="17"/>
  <c r="BA267" i="17"/>
  <c r="BA268" i="17"/>
  <c r="BA269" i="17"/>
  <c r="BA270" i="17"/>
  <c r="BA271" i="17"/>
  <c r="BA272" i="17"/>
  <c r="BA273" i="17"/>
  <c r="BA274" i="17"/>
  <c r="BA275" i="17"/>
  <c r="BA276" i="17"/>
  <c r="BA278" i="17"/>
  <c r="BA279" i="17"/>
  <c r="BA280" i="17"/>
  <c r="BA281" i="17"/>
  <c r="BA282" i="17"/>
  <c r="BA283" i="17"/>
  <c r="BA284" i="17"/>
  <c r="BA285" i="17"/>
  <c r="BA286" i="17"/>
  <c r="BA287" i="17"/>
  <c r="BA288" i="17"/>
  <c r="BA289" i="17"/>
  <c r="BA290" i="17"/>
  <c r="BA291" i="17"/>
  <c r="BA292" i="17"/>
  <c r="BA293" i="17"/>
  <c r="BA294" i="17"/>
  <c r="BA295" i="17"/>
  <c r="BA297" i="17"/>
  <c r="BA298" i="17"/>
  <c r="BA299" i="17"/>
  <c r="BA300" i="17"/>
  <c r="BA301" i="17"/>
  <c r="BA302" i="17"/>
  <c r="BA303" i="17"/>
  <c r="BA304" i="17"/>
  <c r="BA305" i="17"/>
  <c r="BA306" i="17"/>
  <c r="BA307" i="17"/>
  <c r="BA308" i="17"/>
  <c r="BA309" i="17"/>
  <c r="BA310" i="17"/>
  <c r="BA311" i="17"/>
  <c r="BA312" i="17"/>
  <c r="BA313" i="17"/>
  <c r="BA314" i="17"/>
  <c r="BA315" i="17"/>
  <c r="BA316" i="17"/>
  <c r="BA317" i="17"/>
  <c r="BA318" i="17"/>
  <c r="BA319" i="17"/>
  <c r="BA320" i="17"/>
  <c r="BA321" i="17"/>
  <c r="BA322" i="17"/>
  <c r="BA323" i="17"/>
  <c r="BA324" i="17"/>
  <c r="BA325" i="17"/>
  <c r="BA326" i="17"/>
  <c r="BA327" i="17"/>
  <c r="BA328" i="17"/>
  <c r="BA329" i="17"/>
  <c r="BA330" i="17"/>
  <c r="BA331" i="17"/>
  <c r="BA332" i="17"/>
  <c r="BA333" i="17"/>
  <c r="BA334" i="17"/>
  <c r="BA335" i="17"/>
  <c r="BA336" i="17"/>
  <c r="BA337" i="17"/>
  <c r="BA338" i="17"/>
  <c r="BA339" i="17"/>
  <c r="BA340" i="17"/>
  <c r="BA341" i="17"/>
  <c r="BA342" i="17"/>
  <c r="BA343" i="17"/>
  <c r="BA344" i="17"/>
  <c r="BA345" i="17"/>
  <c r="BA346" i="17"/>
  <c r="BA347" i="17"/>
  <c r="BA348" i="17"/>
  <c r="BA349" i="17"/>
  <c r="BA350" i="17"/>
  <c r="BA351" i="17"/>
  <c r="BA352" i="17"/>
  <c r="BA353" i="17"/>
  <c r="BA354" i="17"/>
  <c r="BA355" i="17"/>
  <c r="BA356" i="17"/>
  <c r="BA357" i="17"/>
  <c r="BA358" i="17"/>
  <c r="BA359" i="17"/>
  <c r="BA360" i="17"/>
  <c r="BA361" i="17"/>
  <c r="BA362" i="17"/>
  <c r="BA363" i="17"/>
  <c r="BA364" i="17"/>
  <c r="BA365" i="17"/>
  <c r="BA366" i="17"/>
  <c r="BA367" i="17"/>
  <c r="BA368" i="17"/>
  <c r="BA369" i="17"/>
  <c r="BA370" i="17"/>
  <c r="BA371" i="17"/>
  <c r="BA372" i="17"/>
  <c r="BA373" i="17"/>
  <c r="BA374" i="17"/>
  <c r="BA375" i="17"/>
  <c r="BA376" i="17"/>
  <c r="BA377" i="17"/>
  <c r="BA378" i="17"/>
  <c r="BA379" i="17"/>
  <c r="BA380" i="17"/>
  <c r="BA381" i="17"/>
  <c r="BA382" i="17"/>
  <c r="BA383" i="17"/>
  <c r="BA384" i="17"/>
  <c r="BA385" i="17"/>
  <c r="BA386" i="17"/>
  <c r="BA387" i="17"/>
  <c r="BA388" i="17"/>
  <c r="BA389" i="17"/>
  <c r="BA390" i="17"/>
  <c r="BB3" i="17"/>
  <c r="BB4" i="17"/>
  <c r="BB5" i="17"/>
  <c r="BB6" i="17"/>
  <c r="BB7" i="17"/>
  <c r="BB8" i="17"/>
  <c r="BB9" i="17"/>
  <c r="BB10" i="17"/>
  <c r="BB11" i="17"/>
  <c r="BB12" i="17"/>
  <c r="BB13" i="17"/>
  <c r="BB14" i="17"/>
  <c r="BB15" i="17"/>
  <c r="BB16" i="17"/>
  <c r="BB17" i="17"/>
  <c r="BB18" i="17"/>
  <c r="BB19" i="17"/>
  <c r="BB20" i="17"/>
  <c r="BB21" i="17"/>
  <c r="BB22" i="17"/>
  <c r="BB23" i="17"/>
  <c r="BB24" i="17"/>
  <c r="BB25" i="17"/>
  <c r="BB26" i="17"/>
  <c r="BB27" i="17"/>
  <c r="BB28" i="17"/>
  <c r="BB29" i="17"/>
  <c r="BB30" i="17"/>
  <c r="BB31" i="17"/>
  <c r="BB32" i="17"/>
  <c r="BB33" i="17"/>
  <c r="BB34" i="17"/>
  <c r="BB35" i="17"/>
  <c r="BB36" i="17"/>
  <c r="BB37" i="17"/>
  <c r="BB38" i="17"/>
  <c r="BB39" i="17"/>
  <c r="BB40" i="17"/>
  <c r="BB41" i="17"/>
  <c r="BB42" i="17"/>
  <c r="BB43" i="17"/>
  <c r="BB44" i="17"/>
  <c r="BB45" i="17"/>
  <c r="BB46" i="17"/>
  <c r="BB47" i="17"/>
  <c r="BB48" i="17"/>
  <c r="BB49" i="17"/>
  <c r="BB50" i="17"/>
  <c r="BB51" i="17"/>
  <c r="BB52" i="17"/>
  <c r="BB53" i="17"/>
  <c r="BB54" i="17"/>
  <c r="BB55" i="17"/>
  <c r="BB56" i="17"/>
  <c r="BB57" i="17"/>
  <c r="BB58" i="17"/>
  <c r="BB59" i="17"/>
  <c r="BB60" i="17"/>
  <c r="BB61" i="17"/>
  <c r="BB62" i="17"/>
  <c r="BB63" i="17"/>
  <c r="BB64" i="17"/>
  <c r="BB65" i="17"/>
  <c r="BB66" i="17"/>
  <c r="BB67" i="17"/>
  <c r="BB68" i="17"/>
  <c r="BB69" i="17"/>
  <c r="BB70" i="17"/>
  <c r="BB71" i="17"/>
  <c r="BB72" i="17"/>
  <c r="BB73" i="17"/>
  <c r="BB74" i="17"/>
  <c r="BB75" i="17"/>
  <c r="BB76" i="17"/>
  <c r="BB78" i="17"/>
  <c r="BB79" i="17"/>
  <c r="BB80" i="17"/>
  <c r="BB81" i="17"/>
  <c r="BB82" i="17"/>
  <c r="BB83" i="17"/>
  <c r="BB84" i="17"/>
  <c r="BB85" i="17"/>
  <c r="BB86" i="17"/>
  <c r="BB87" i="17"/>
  <c r="BB88" i="17"/>
  <c r="BB89" i="17"/>
  <c r="BB90" i="17"/>
  <c r="BB91" i="17"/>
  <c r="BB92" i="17"/>
  <c r="BB93" i="17"/>
  <c r="BB94" i="17"/>
  <c r="BB95" i="17"/>
  <c r="BB96" i="17"/>
  <c r="BB97" i="17"/>
  <c r="BB98" i="17"/>
  <c r="BB99" i="17"/>
  <c r="BB100" i="17"/>
  <c r="BB101" i="17"/>
  <c r="BB102" i="17"/>
  <c r="BB103" i="17"/>
  <c r="BB104" i="17"/>
  <c r="BB105" i="17"/>
  <c r="BB106" i="17"/>
  <c r="BB107" i="17"/>
  <c r="BB108" i="17"/>
  <c r="BB109" i="17"/>
  <c r="BB110" i="17"/>
  <c r="BB111" i="17"/>
  <c r="BB112" i="17"/>
  <c r="BB113" i="17"/>
  <c r="BB114" i="17"/>
  <c r="BB115" i="17"/>
  <c r="BB116" i="17"/>
  <c r="BB117" i="17"/>
  <c r="BB118" i="17"/>
  <c r="BB119" i="17"/>
  <c r="BB120" i="17"/>
  <c r="BB121" i="17"/>
  <c r="BB122" i="17"/>
  <c r="BB123" i="17"/>
  <c r="BB124" i="17"/>
  <c r="BB125" i="17"/>
  <c r="BB126" i="17"/>
  <c r="BB127" i="17"/>
  <c r="BB128" i="17"/>
  <c r="BB129" i="17"/>
  <c r="BB130" i="17"/>
  <c r="BB131" i="17"/>
  <c r="BB132" i="17"/>
  <c r="BB133" i="17"/>
  <c r="BB134" i="17"/>
  <c r="BB135" i="17"/>
  <c r="BB136" i="17"/>
  <c r="BB137" i="17"/>
  <c r="BB139" i="17"/>
  <c r="BB140" i="17"/>
  <c r="BB141" i="17"/>
  <c r="BB148" i="17"/>
  <c r="BB151" i="17"/>
  <c r="BB152" i="17"/>
  <c r="BB161" i="17"/>
  <c r="BB164" i="17"/>
  <c r="BB165" i="17"/>
  <c r="BB166" i="17"/>
  <c r="BB167" i="17"/>
  <c r="BB168" i="17"/>
  <c r="BB169" i="17"/>
  <c r="BB170" i="17"/>
  <c r="BB171" i="17"/>
  <c r="BB172" i="17"/>
  <c r="BB173" i="17"/>
  <c r="BB174" i="17"/>
  <c r="BB175" i="17"/>
  <c r="BB176" i="17"/>
  <c r="BB177" i="17"/>
  <c r="BB178" i="17"/>
  <c r="BB179" i="17"/>
  <c r="BB180" i="17"/>
  <c r="BB181" i="17"/>
  <c r="BB182" i="17"/>
  <c r="BB183" i="17"/>
  <c r="BB184" i="17"/>
  <c r="BB185" i="17"/>
  <c r="BB186" i="17"/>
  <c r="BB187" i="17"/>
  <c r="BB188" i="17"/>
  <c r="BB189" i="17"/>
  <c r="BB190" i="17"/>
  <c r="BB191" i="17"/>
  <c r="BB192" i="17"/>
  <c r="BB193" i="17"/>
  <c r="BB194" i="17"/>
  <c r="BB195" i="17"/>
  <c r="BB196" i="17"/>
  <c r="BB197" i="17"/>
  <c r="BB198" i="17"/>
  <c r="BB199" i="17"/>
  <c r="BB200" i="17"/>
  <c r="BB201" i="17"/>
  <c r="BB202" i="17"/>
  <c r="BB203" i="17"/>
  <c r="BB204" i="17"/>
  <c r="BB205" i="17"/>
  <c r="BB206" i="17"/>
  <c r="BB207" i="17"/>
  <c r="BB208" i="17"/>
  <c r="BB209" i="17"/>
  <c r="BB210" i="17"/>
  <c r="BB211" i="17"/>
  <c r="BB212" i="17"/>
  <c r="BB213" i="17"/>
  <c r="BB214" i="17"/>
  <c r="BB215" i="17"/>
  <c r="BB216" i="17"/>
  <c r="BB217" i="17"/>
  <c r="BB218" i="17"/>
  <c r="BB219" i="17"/>
  <c r="BB220" i="17"/>
  <c r="BB221" i="17"/>
  <c r="BB222" i="17"/>
  <c r="BB223" i="17"/>
  <c r="BB224" i="17"/>
  <c r="BB225" i="17"/>
  <c r="BB226" i="17"/>
  <c r="BB227" i="17"/>
  <c r="BB228" i="17"/>
  <c r="BB229" i="17"/>
  <c r="BB230" i="17"/>
  <c r="BB231" i="17"/>
  <c r="BB232" i="17"/>
  <c r="BB233" i="17"/>
  <c r="BB234" i="17"/>
  <c r="BB235" i="17"/>
  <c r="BB236" i="17"/>
  <c r="BB237" i="17"/>
  <c r="BB238" i="17"/>
  <c r="BB239" i="17"/>
  <c r="BB240" i="17"/>
  <c r="BB241" i="17"/>
  <c r="BB242" i="17"/>
  <c r="BB244" i="17"/>
  <c r="BB245" i="17"/>
  <c r="BB246" i="17"/>
  <c r="BB247" i="17"/>
  <c r="BB248" i="17"/>
  <c r="BB249" i="17"/>
  <c r="BB250" i="17"/>
  <c r="BB251" i="17"/>
  <c r="BB252" i="17"/>
  <c r="BB253" i="17"/>
  <c r="BB254" i="17"/>
  <c r="BB255" i="17"/>
  <c r="BB256" i="17"/>
  <c r="BB257" i="17"/>
  <c r="BB258" i="17"/>
  <c r="BB259" i="17"/>
  <c r="BB260" i="17"/>
  <c r="BB261" i="17"/>
  <c r="BB262" i="17"/>
  <c r="BB263" i="17"/>
  <c r="BB264" i="17"/>
  <c r="BB265" i="17"/>
  <c r="BB266" i="17"/>
  <c r="BB267" i="17"/>
  <c r="BB268" i="17"/>
  <c r="BB269" i="17"/>
  <c r="BB270" i="17"/>
  <c r="BB271" i="17"/>
  <c r="BB272" i="17"/>
  <c r="BB273" i="17"/>
  <c r="BB274" i="17"/>
  <c r="BB275" i="17"/>
  <c r="BB276" i="17"/>
  <c r="BB277" i="17"/>
  <c r="BB278" i="17"/>
  <c r="BB279" i="17"/>
  <c r="BB280" i="17"/>
  <c r="BB281" i="17"/>
  <c r="BB282" i="17"/>
  <c r="BB283" i="17"/>
  <c r="BB284" i="17"/>
  <c r="BB285" i="17"/>
  <c r="BB286" i="17"/>
  <c r="BB287" i="17"/>
  <c r="BB288" i="17"/>
  <c r="BB289" i="17"/>
  <c r="BB290" i="17"/>
  <c r="BB291" i="17"/>
  <c r="BB292" i="17"/>
  <c r="BB293" i="17"/>
  <c r="BB294" i="17"/>
  <c r="BB295" i="17"/>
  <c r="BB297" i="17"/>
  <c r="BB298" i="17"/>
  <c r="BB299" i="17"/>
  <c r="BB300" i="17"/>
  <c r="BB301" i="17"/>
  <c r="BB302" i="17"/>
  <c r="BB303" i="17"/>
  <c r="BB304" i="17"/>
  <c r="BB305" i="17"/>
  <c r="BB306" i="17"/>
  <c r="BB307" i="17"/>
  <c r="BB308" i="17"/>
  <c r="BB309" i="17"/>
  <c r="BB310" i="17"/>
  <c r="BB311" i="17"/>
  <c r="BB312" i="17"/>
  <c r="BB313" i="17"/>
  <c r="BB314" i="17"/>
  <c r="BB315" i="17"/>
  <c r="BB316" i="17"/>
  <c r="BB317" i="17"/>
  <c r="BB318" i="17"/>
  <c r="BB319" i="17"/>
  <c r="BB320" i="17"/>
  <c r="BB321" i="17"/>
  <c r="BB322" i="17"/>
  <c r="BB323" i="17"/>
  <c r="BB324" i="17"/>
  <c r="BB325" i="17"/>
  <c r="BB326" i="17"/>
  <c r="BB327" i="17"/>
  <c r="BB328" i="17"/>
  <c r="BB329" i="17"/>
  <c r="BB330" i="17"/>
  <c r="BB331" i="17"/>
  <c r="BB332" i="17"/>
  <c r="BB333" i="17"/>
  <c r="BB334" i="17"/>
  <c r="BB335" i="17"/>
  <c r="BB336" i="17"/>
  <c r="BB337" i="17"/>
  <c r="BB338" i="17"/>
  <c r="BB339" i="17"/>
  <c r="BB340" i="17"/>
  <c r="BB341" i="17"/>
  <c r="BB342" i="17"/>
  <c r="BB343" i="17"/>
  <c r="BB344" i="17"/>
  <c r="BB345" i="17"/>
  <c r="BB346" i="17"/>
  <c r="BB347" i="17"/>
  <c r="BB348" i="17"/>
  <c r="BB349" i="17"/>
  <c r="BB350" i="17"/>
  <c r="BB351" i="17"/>
  <c r="BB352" i="17"/>
  <c r="BB353" i="17"/>
  <c r="BB354" i="17"/>
  <c r="BB355" i="17"/>
  <c r="BB356" i="17"/>
  <c r="BB357" i="17"/>
  <c r="BB358" i="17"/>
  <c r="BB359" i="17"/>
  <c r="BB360" i="17"/>
  <c r="BB361" i="17"/>
  <c r="BB362" i="17"/>
  <c r="BB363" i="17"/>
  <c r="BB364" i="17"/>
  <c r="BB365" i="17"/>
  <c r="BB366" i="17"/>
  <c r="BB367" i="17"/>
  <c r="BB368" i="17"/>
  <c r="BB369" i="17"/>
  <c r="BB370" i="17"/>
  <c r="BB371" i="17"/>
  <c r="BB372" i="17"/>
  <c r="BB373" i="17"/>
  <c r="BB374" i="17"/>
  <c r="BB375" i="17"/>
  <c r="BB376" i="17"/>
  <c r="BB377" i="17"/>
  <c r="BB378" i="17"/>
  <c r="BB379" i="17"/>
  <c r="BB380" i="17"/>
  <c r="BB381" i="17"/>
  <c r="BB382" i="17"/>
  <c r="BB383" i="17"/>
  <c r="BB384" i="17"/>
  <c r="BB385" i="17"/>
  <c r="BB386" i="17"/>
  <c r="BB387" i="17"/>
  <c r="BB388" i="17"/>
  <c r="BB389" i="17"/>
  <c r="BB390" i="17"/>
  <c r="BC3" i="17"/>
  <c r="BC4" i="17"/>
  <c r="BC5" i="17"/>
  <c r="BC6" i="17"/>
  <c r="BC7" i="17"/>
  <c r="BC8" i="17"/>
  <c r="BC9" i="17"/>
  <c r="BC10" i="17"/>
  <c r="BC11" i="17"/>
  <c r="BC12" i="17"/>
  <c r="BC13" i="17"/>
  <c r="BC14" i="17"/>
  <c r="BC15" i="17"/>
  <c r="BC16" i="17"/>
  <c r="BC17" i="17"/>
  <c r="BC18" i="17"/>
  <c r="BC19" i="17"/>
  <c r="BC20" i="17"/>
  <c r="BC21" i="17"/>
  <c r="BC22" i="17"/>
  <c r="BC23" i="17"/>
  <c r="BC24" i="17"/>
  <c r="BC25" i="17"/>
  <c r="BC26" i="17"/>
  <c r="BC27" i="17"/>
  <c r="BC28" i="17"/>
  <c r="BC29" i="17"/>
  <c r="BC30" i="17"/>
  <c r="BC31" i="17"/>
  <c r="BC32" i="17"/>
  <c r="BC33" i="17"/>
  <c r="BC34" i="17"/>
  <c r="BC35" i="17"/>
  <c r="BC36" i="17"/>
  <c r="BC37" i="17"/>
  <c r="BC38" i="17"/>
  <c r="BC39" i="17"/>
  <c r="BC40" i="17"/>
  <c r="BC41" i="17"/>
  <c r="BC42" i="17"/>
  <c r="BC43" i="17"/>
  <c r="BC44" i="17"/>
  <c r="BC45" i="17"/>
  <c r="BC46" i="17"/>
  <c r="BC47" i="17"/>
  <c r="BC48" i="17"/>
  <c r="BC49" i="17"/>
  <c r="BC50" i="17"/>
  <c r="BC51" i="17"/>
  <c r="BC52" i="17"/>
  <c r="BC53" i="17"/>
  <c r="BC54" i="17"/>
  <c r="BC55" i="17"/>
  <c r="BC56" i="17"/>
  <c r="BC57" i="17"/>
  <c r="BC58" i="17"/>
  <c r="BC59" i="17"/>
  <c r="BC60" i="17"/>
  <c r="BC61" i="17"/>
  <c r="BC62" i="17"/>
  <c r="BC63" i="17"/>
  <c r="BC64" i="17"/>
  <c r="BC65" i="17"/>
  <c r="BC66" i="17"/>
  <c r="BC67" i="17"/>
  <c r="BC68" i="17"/>
  <c r="BC69" i="17"/>
  <c r="BC70" i="17"/>
  <c r="BC71" i="17"/>
  <c r="BC72" i="17"/>
  <c r="BC73" i="17"/>
  <c r="BC74" i="17"/>
  <c r="BC75" i="17"/>
  <c r="BC76" i="17"/>
  <c r="BC77" i="17"/>
  <c r="BC78" i="17"/>
  <c r="BC79" i="17"/>
  <c r="BC80" i="17"/>
  <c r="BC81" i="17"/>
  <c r="BC82" i="17"/>
  <c r="BC83" i="17"/>
  <c r="BC84" i="17"/>
  <c r="BC85" i="17"/>
  <c r="BC86" i="17"/>
  <c r="BC87" i="17"/>
  <c r="BC88" i="17"/>
  <c r="BC89" i="17"/>
  <c r="BC90" i="17"/>
  <c r="BC91" i="17"/>
  <c r="BC92" i="17"/>
  <c r="BC93" i="17"/>
  <c r="BC94" i="17"/>
  <c r="BC95" i="17"/>
  <c r="BC96" i="17"/>
  <c r="BC97" i="17"/>
  <c r="BC98" i="17"/>
  <c r="BC99" i="17"/>
  <c r="BC100" i="17"/>
  <c r="BC101" i="17"/>
  <c r="BC102" i="17"/>
  <c r="BC103" i="17"/>
  <c r="BC104" i="17"/>
  <c r="BC105" i="17"/>
  <c r="BC106" i="17"/>
  <c r="BC107" i="17"/>
  <c r="BC108" i="17"/>
  <c r="BC109" i="17"/>
  <c r="BC110" i="17"/>
  <c r="BC111" i="17"/>
  <c r="BC112" i="17"/>
  <c r="BC113" i="17"/>
  <c r="BC114" i="17"/>
  <c r="BC115" i="17"/>
  <c r="BC116" i="17"/>
  <c r="BC117" i="17"/>
  <c r="BC118" i="17"/>
  <c r="BC119" i="17"/>
  <c r="BC120" i="17"/>
  <c r="BC121" i="17"/>
  <c r="BC122" i="17"/>
  <c r="BC123" i="17"/>
  <c r="BC124" i="17"/>
  <c r="BC125" i="17"/>
  <c r="BC126" i="17"/>
  <c r="BC127" i="17"/>
  <c r="BC128" i="17"/>
  <c r="BC129" i="17"/>
  <c r="BC130" i="17"/>
  <c r="BC131" i="17"/>
  <c r="BC132" i="17"/>
  <c r="BC133" i="17"/>
  <c r="BC134" i="17"/>
  <c r="BC135" i="17"/>
  <c r="BC136" i="17"/>
  <c r="BC137" i="17"/>
  <c r="BC138" i="17"/>
  <c r="BC139" i="17"/>
  <c r="BC140" i="17"/>
  <c r="BC141" i="17"/>
  <c r="BC143" i="17"/>
  <c r="BC145" i="17"/>
  <c r="BC147" i="17"/>
  <c r="BC148" i="17"/>
  <c r="BC151" i="17"/>
  <c r="BC152" i="17"/>
  <c r="BC161" i="17"/>
  <c r="BC164" i="17"/>
  <c r="BC165" i="17"/>
  <c r="BC166" i="17"/>
  <c r="BC167" i="17"/>
  <c r="BC168" i="17"/>
  <c r="BC169" i="17"/>
  <c r="BC170" i="17"/>
  <c r="BC171" i="17"/>
  <c r="BC172" i="17"/>
  <c r="BC173" i="17"/>
  <c r="BC174" i="17"/>
  <c r="BC175" i="17"/>
  <c r="BC176" i="17"/>
  <c r="BC177" i="17"/>
  <c r="BC178" i="17"/>
  <c r="BC179" i="17"/>
  <c r="BC180" i="17"/>
  <c r="BC181" i="17"/>
  <c r="BC182" i="17"/>
  <c r="BC183" i="17"/>
  <c r="BC184" i="17"/>
  <c r="BC185" i="17"/>
  <c r="BC186" i="17"/>
  <c r="BC187" i="17"/>
  <c r="BC188" i="17"/>
  <c r="BC189" i="17"/>
  <c r="BC190" i="17"/>
  <c r="BC191" i="17"/>
  <c r="BC192" i="17"/>
  <c r="BC193" i="17"/>
  <c r="BC194" i="17"/>
  <c r="BC195" i="17"/>
  <c r="BC196" i="17"/>
  <c r="BC197" i="17"/>
  <c r="BC198" i="17"/>
  <c r="BC199" i="17"/>
  <c r="BC200" i="17"/>
  <c r="BC201" i="17"/>
  <c r="BC202" i="17"/>
  <c r="BC203" i="17"/>
  <c r="BC204" i="17"/>
  <c r="BC205" i="17"/>
  <c r="BC206" i="17"/>
  <c r="BC207" i="17"/>
  <c r="BC208" i="17"/>
  <c r="BC209" i="17"/>
  <c r="BC210" i="17"/>
  <c r="BC211" i="17"/>
  <c r="BC212" i="17"/>
  <c r="BC213" i="17"/>
  <c r="BC214" i="17"/>
  <c r="BC215" i="17"/>
  <c r="BC216" i="17"/>
  <c r="BC217" i="17"/>
  <c r="BC218" i="17"/>
  <c r="BC219" i="17"/>
  <c r="BC220" i="17"/>
  <c r="BC221" i="17"/>
  <c r="BC222" i="17"/>
  <c r="BC223" i="17"/>
  <c r="BC224" i="17"/>
  <c r="BC225" i="17"/>
  <c r="BC226" i="17"/>
  <c r="BC227" i="17"/>
  <c r="BC228" i="17"/>
  <c r="BC229" i="17"/>
  <c r="BC230" i="17"/>
  <c r="BC231" i="17"/>
  <c r="BC232" i="17"/>
  <c r="BC233" i="17"/>
  <c r="BC234" i="17"/>
  <c r="BC235" i="17"/>
  <c r="BC236" i="17"/>
  <c r="BC237" i="17"/>
  <c r="BC238" i="17"/>
  <c r="BC239" i="17"/>
  <c r="BC240" i="17"/>
  <c r="BC241" i="17"/>
  <c r="BC242" i="17"/>
  <c r="BC243" i="17"/>
  <c r="BC244" i="17"/>
  <c r="BC245" i="17"/>
  <c r="BC246" i="17"/>
  <c r="BC247" i="17"/>
  <c r="BC248" i="17"/>
  <c r="BC249" i="17"/>
  <c r="BC250" i="17"/>
  <c r="BC251" i="17"/>
  <c r="BC252" i="17"/>
  <c r="BC253" i="17"/>
  <c r="BC254" i="17"/>
  <c r="BC255" i="17"/>
  <c r="BC256" i="17"/>
  <c r="BC257" i="17"/>
  <c r="BC258" i="17"/>
  <c r="BC259" i="17"/>
  <c r="BC260" i="17"/>
  <c r="BC261" i="17"/>
  <c r="BC262" i="17"/>
  <c r="BC263" i="17"/>
  <c r="BC264" i="17"/>
  <c r="BC265" i="17"/>
  <c r="BC266" i="17"/>
  <c r="BC267" i="17"/>
  <c r="BC268" i="17"/>
  <c r="BC269" i="17"/>
  <c r="BC270" i="17"/>
  <c r="BC271" i="17"/>
  <c r="BC272" i="17"/>
  <c r="BC273" i="17"/>
  <c r="BC274" i="17"/>
  <c r="BC275" i="17"/>
  <c r="BC276" i="17"/>
  <c r="BC277" i="17"/>
  <c r="BC278" i="17"/>
  <c r="BC279" i="17"/>
  <c r="BC280" i="17"/>
  <c r="BC281" i="17"/>
  <c r="BC282" i="17"/>
  <c r="BC283" i="17"/>
  <c r="BC284" i="17"/>
  <c r="BC285" i="17"/>
  <c r="BC286" i="17"/>
  <c r="BC287" i="17"/>
  <c r="BC288" i="17"/>
  <c r="BC289" i="17"/>
  <c r="BC290" i="17"/>
  <c r="BC291" i="17"/>
  <c r="BC292" i="17"/>
  <c r="BC293" i="17"/>
  <c r="BC294" i="17"/>
  <c r="BC295" i="17"/>
  <c r="BC296" i="17"/>
  <c r="BC297" i="17"/>
  <c r="BC298" i="17"/>
  <c r="BC299" i="17"/>
  <c r="BC300" i="17"/>
  <c r="BC301" i="17"/>
  <c r="BC302" i="17"/>
  <c r="BC303" i="17"/>
  <c r="BC304" i="17"/>
  <c r="BC305" i="17"/>
  <c r="BC306" i="17"/>
  <c r="BC307" i="17"/>
  <c r="BC308" i="17"/>
  <c r="BC309" i="17"/>
  <c r="BC310" i="17"/>
  <c r="BC311" i="17"/>
  <c r="BC312" i="17"/>
  <c r="BC313" i="17"/>
  <c r="BC314" i="17"/>
  <c r="BC315" i="17"/>
  <c r="BC316" i="17"/>
  <c r="BC317" i="17"/>
  <c r="BC318" i="17"/>
  <c r="BC319" i="17"/>
  <c r="BC320" i="17"/>
  <c r="BC321" i="17"/>
  <c r="BC322" i="17"/>
  <c r="BC323" i="17"/>
  <c r="BC324" i="17"/>
  <c r="BC325" i="17"/>
  <c r="BC326" i="17"/>
  <c r="BC327" i="17"/>
  <c r="BC328" i="17"/>
  <c r="BC329" i="17"/>
  <c r="BC330" i="17"/>
  <c r="BC331" i="17"/>
  <c r="BC332" i="17"/>
  <c r="BC333" i="17"/>
  <c r="BC334" i="17"/>
  <c r="BC335" i="17"/>
  <c r="BC336" i="17"/>
  <c r="BC337" i="17"/>
  <c r="BC338" i="17"/>
  <c r="BC339" i="17"/>
  <c r="BC340" i="17"/>
  <c r="BC341" i="17"/>
  <c r="BC342" i="17"/>
  <c r="BC343" i="17"/>
  <c r="BC344" i="17"/>
  <c r="BC345" i="17"/>
  <c r="BC346" i="17"/>
  <c r="BC347" i="17"/>
  <c r="BC348" i="17"/>
  <c r="BC349" i="17"/>
  <c r="BC350" i="17"/>
  <c r="BC351" i="17"/>
  <c r="BC352" i="17"/>
  <c r="BC353" i="17"/>
  <c r="BC354" i="17"/>
  <c r="BC355" i="17"/>
  <c r="BC356" i="17"/>
  <c r="BC357" i="17"/>
  <c r="BC358" i="17"/>
  <c r="BC359" i="17"/>
  <c r="BC360" i="17"/>
  <c r="BC361" i="17"/>
  <c r="BC362" i="17"/>
  <c r="BC363" i="17"/>
  <c r="BC364" i="17"/>
  <c r="BC365" i="17"/>
  <c r="BC366" i="17"/>
  <c r="BC367" i="17"/>
  <c r="BC368" i="17"/>
  <c r="BC369" i="17"/>
  <c r="BC370" i="17"/>
  <c r="BC371" i="17"/>
  <c r="BC372" i="17"/>
  <c r="BC373" i="17"/>
  <c r="BC374" i="17"/>
  <c r="BC375" i="17"/>
  <c r="BC376" i="17"/>
  <c r="BC377" i="17"/>
  <c r="BC378" i="17"/>
  <c r="BC379" i="17"/>
  <c r="BC380" i="17"/>
  <c r="BC381" i="17"/>
  <c r="BC382" i="17"/>
  <c r="BC383" i="17"/>
  <c r="BC384" i="17"/>
  <c r="BC385" i="17"/>
  <c r="BC386" i="17"/>
  <c r="BC387" i="17"/>
  <c r="BC388" i="17"/>
  <c r="BC389" i="17"/>
  <c r="BC390" i="17"/>
  <c r="AF306" i="17" l="1"/>
  <c r="BD306" i="17" s="1"/>
  <c r="AF20" i="17"/>
  <c r="BD20" i="17" s="1"/>
  <c r="AF318" i="17"/>
  <c r="BD318" i="17" s="1"/>
  <c r="AF264" i="17"/>
  <c r="BD264" i="17" s="1"/>
  <c r="AF229" i="17"/>
  <c r="BD229" i="17" s="1"/>
  <c r="AF265" i="17"/>
  <c r="BD265" i="17" s="1"/>
  <c r="AF94" i="17"/>
  <c r="BD94" i="17" s="1"/>
  <c r="AF323" i="17"/>
  <c r="BD323" i="17" s="1"/>
  <c r="AF287" i="17"/>
  <c r="BD287" i="17" s="1"/>
  <c r="AF36" i="17"/>
  <c r="BD36" i="17" s="1"/>
  <c r="AF304" i="17"/>
  <c r="BD304" i="17" s="1"/>
  <c r="AF37" i="17"/>
  <c r="BD37" i="17" s="1"/>
  <c r="AF322" i="17"/>
  <c r="BD322" i="17" s="1"/>
  <c r="AF106" i="17"/>
  <c r="BD106" i="17" s="1"/>
  <c r="AF320" i="17"/>
  <c r="BD320" i="17" s="1"/>
  <c r="AF308" i="17"/>
  <c r="BD308" i="17" s="1"/>
  <c r="AF164" i="17"/>
  <c r="BD164" i="17" s="1"/>
  <c r="AF21" i="17"/>
  <c r="BD21" i="17" s="1"/>
  <c r="AF337" i="17"/>
  <c r="BD337" i="17" s="1"/>
  <c r="AF325" i="17"/>
  <c r="BD325" i="17" s="1"/>
  <c r="AF313" i="17"/>
  <c r="BD313" i="17" s="1"/>
  <c r="AF301" i="17"/>
  <c r="BD301" i="17" s="1"/>
  <c r="AF289" i="17"/>
  <c r="BD289" i="17" s="1"/>
  <c r="AF205" i="17"/>
  <c r="BD205" i="17" s="1"/>
  <c r="AF193" i="17"/>
  <c r="BD193" i="17" s="1"/>
  <c r="AF14" i="17"/>
  <c r="BD14" i="17" s="1"/>
  <c r="AF294" i="17"/>
  <c r="BD294" i="17" s="1"/>
  <c r="AF282" i="17"/>
  <c r="BD282" i="17" s="1"/>
  <c r="AF246" i="17"/>
  <c r="BD246" i="17" s="1"/>
  <c r="AF234" i="17"/>
  <c r="BD234" i="17" s="1"/>
  <c r="AF186" i="17"/>
  <c r="BD186" i="17" s="1"/>
  <c r="AF108" i="17"/>
  <c r="BD108" i="17" s="1"/>
  <c r="AF276" i="17"/>
  <c r="BD276" i="17" s="1"/>
  <c r="AF252" i="17"/>
  <c r="BD252" i="17" s="1"/>
  <c r="AF226" i="17"/>
  <c r="BD226" i="17" s="1"/>
  <c r="AF82" i="17"/>
  <c r="BD82" i="17" s="1"/>
  <c r="AF267" i="17"/>
  <c r="BD267" i="17" s="1"/>
  <c r="AF298" i="17"/>
  <c r="BD298" i="17" s="1"/>
  <c r="AF135" i="17"/>
  <c r="BD135" i="17" s="1"/>
  <c r="AF263" i="17"/>
  <c r="BD263" i="17" s="1"/>
  <c r="AF292" i="17"/>
  <c r="BD292" i="17" s="1"/>
  <c r="AF314" i="17"/>
  <c r="BD314" i="17" s="1"/>
  <c r="AF275" i="17"/>
  <c r="BD275" i="17" s="1"/>
  <c r="AF321" i="17"/>
  <c r="BD321" i="17" s="1"/>
  <c r="AF302" i="17"/>
  <c r="BD302" i="17" s="1"/>
  <c r="AF300" i="17"/>
  <c r="BD300" i="17" s="1"/>
  <c r="AF309" i="17"/>
  <c r="BD309" i="17" s="1"/>
  <c r="AF290" i="17"/>
  <c r="BD290" i="17" s="1"/>
  <c r="AF15" i="17"/>
  <c r="BD15" i="17" s="1"/>
  <c r="AF307" i="17"/>
  <c r="BD307" i="17" s="1"/>
  <c r="AF223" i="17"/>
  <c r="BD223" i="17" s="1"/>
  <c r="AF79" i="17"/>
  <c r="BD79" i="17" s="1"/>
  <c r="AF288" i="17"/>
  <c r="BD288" i="17" s="1"/>
  <c r="AF310" i="17"/>
  <c r="BD310" i="17" s="1"/>
  <c r="AF315" i="17"/>
  <c r="BD315" i="17" s="1"/>
  <c r="AF303" i="17"/>
  <c r="BD303" i="17" s="1"/>
  <c r="AF316" i="17"/>
  <c r="BD316" i="17" s="1"/>
  <c r="AF338" i="17"/>
  <c r="BD338" i="17" s="1"/>
  <c r="AF319" i="17"/>
  <c r="BD319" i="17" s="1"/>
  <c r="AF324" i="17"/>
  <c r="BD324" i="17" s="1"/>
  <c r="AF99" i="17"/>
  <c r="BD99" i="17" s="1"/>
  <c r="AF299" i="17"/>
  <c r="BD299" i="17" s="1"/>
  <c r="AF167" i="17"/>
  <c r="BD167" i="17" s="1"/>
  <c r="AF283" i="17"/>
  <c r="BD283" i="17" s="1"/>
  <c r="AF326" i="17"/>
  <c r="BD326" i="17" s="1"/>
  <c r="AF239" i="17"/>
  <c r="BD239" i="17" s="1"/>
  <c r="AF268" i="17"/>
  <c r="BD268" i="17" s="1"/>
  <c r="AF55" i="17"/>
  <c r="BD55" i="17" s="1"/>
  <c r="AF312" i="17"/>
  <c r="BD312" i="17" s="1"/>
  <c r="AF16" i="17"/>
  <c r="BD16" i="17" s="1"/>
  <c r="AF297" i="17"/>
  <c r="BD297" i="17" s="1"/>
  <c r="AF284" i="17"/>
  <c r="BD284" i="17" s="1"/>
  <c r="AF311" i="17"/>
  <c r="BD311" i="17" s="1"/>
  <c r="AF225" i="17"/>
  <c r="BD225" i="17" s="1"/>
  <c r="AF305" i="17"/>
  <c r="BD305" i="17" s="1"/>
  <c r="AF269" i="17"/>
  <c r="BD269" i="17" s="1"/>
  <c r="AF317" i="17"/>
  <c r="BD317" i="17" s="1"/>
  <c r="AF281" i="17"/>
  <c r="BD281" i="17" s="1"/>
  <c r="AF137" i="17"/>
  <c r="BD137" i="17" s="1"/>
  <c r="AF293" i="17"/>
  <c r="BD293" i="17" s="1"/>
  <c r="AF209" i="17"/>
  <c r="BD209" i="17" s="1"/>
  <c r="G1168" i="27" l="1"/>
  <c r="G1169" i="27"/>
  <c r="G1170" i="27"/>
  <c r="G1171" i="27"/>
  <c r="G1172" i="27"/>
  <c r="G1173" i="27"/>
  <c r="G1174" i="27"/>
  <c r="G1175" i="27"/>
  <c r="G1176" i="27"/>
  <c r="G1177" i="27"/>
  <c r="G1178" i="27"/>
  <c r="G1179" i="27"/>
  <c r="G1180" i="27"/>
  <c r="I1180" i="27" s="1"/>
  <c r="G1181" i="27"/>
  <c r="G1182" i="27"/>
  <c r="G1183" i="27"/>
  <c r="G1184" i="27"/>
  <c r="G1185" i="27"/>
  <c r="G1186" i="27"/>
  <c r="G1187" i="27"/>
  <c r="G1188" i="27"/>
  <c r="G1189" i="27"/>
  <c r="G1190" i="27"/>
  <c r="I1190" i="27" s="1"/>
  <c r="G1191" i="27"/>
  <c r="G1192" i="27"/>
  <c r="G1193" i="27"/>
  <c r="G1194" i="27"/>
  <c r="I1194" i="27" s="1"/>
  <c r="G1195" i="27"/>
  <c r="A1168" i="27"/>
  <c r="A1169" i="27"/>
  <c r="A1170" i="27"/>
  <c r="A1171" i="27"/>
  <c r="A1172" i="27"/>
  <c r="A1173" i="27"/>
  <c r="A1174" i="27"/>
  <c r="A1175" i="27"/>
  <c r="A1176" i="27"/>
  <c r="A1177" i="27"/>
  <c r="A1178" i="27"/>
  <c r="A1179" i="27"/>
  <c r="A1180" i="27"/>
  <c r="A1181" i="27"/>
  <c r="A1182" i="27"/>
  <c r="A1183" i="27"/>
  <c r="A1184" i="27"/>
  <c r="A1185" i="27"/>
  <c r="A1186" i="27"/>
  <c r="A1187" i="27"/>
  <c r="A1188" i="27"/>
  <c r="A1189" i="27"/>
  <c r="A1190" i="27"/>
  <c r="A1191" i="27"/>
  <c r="A1192" i="27"/>
  <c r="A1193" i="27"/>
  <c r="A1194" i="27"/>
  <c r="A1195" i="27"/>
  <c r="G771" i="27"/>
  <c r="G770" i="27"/>
  <c r="G769" i="27"/>
  <c r="G768" i="27"/>
  <c r="G767" i="27"/>
  <c r="G766" i="27"/>
  <c r="G765" i="27"/>
  <c r="G764" i="27"/>
  <c r="G763" i="27"/>
  <c r="G762" i="27"/>
  <c r="G761" i="27"/>
  <c r="G760" i="27"/>
  <c r="G759" i="27"/>
  <c r="G758" i="27"/>
  <c r="G757" i="27"/>
  <c r="G756" i="27"/>
  <c r="G755" i="27"/>
  <c r="G754" i="27"/>
  <c r="G753" i="27"/>
  <c r="G752" i="27"/>
  <c r="G751" i="27"/>
  <c r="G750" i="27"/>
  <c r="G749" i="27"/>
  <c r="G748" i="27"/>
  <c r="G747" i="27"/>
  <c r="G746" i="27"/>
  <c r="G745" i="27"/>
  <c r="G744" i="27"/>
  <c r="G743" i="27"/>
  <c r="G742" i="27"/>
  <c r="I1191" i="27" l="1"/>
  <c r="I1179" i="27"/>
  <c r="I1178" i="27"/>
  <c r="I1176" i="27"/>
  <c r="I1189" i="27"/>
  <c r="I1177" i="27"/>
  <c r="I1175" i="27"/>
  <c r="I1185" i="27"/>
  <c r="I1173" i="27"/>
  <c r="I1174" i="27"/>
  <c r="I1184" i="27"/>
  <c r="I1172" i="27"/>
  <c r="I1186" i="27"/>
  <c r="I1195" i="27"/>
  <c r="I1183" i="27"/>
  <c r="I1171" i="27"/>
  <c r="I1182" i="27"/>
  <c r="I1170" i="27"/>
  <c r="I1187" i="27"/>
  <c r="I1193" i="27"/>
  <c r="I1181" i="27"/>
  <c r="I1169" i="27"/>
  <c r="I1188" i="27"/>
  <c r="I1192" i="27"/>
  <c r="I1168" i="27"/>
  <c r="G970" i="27" l="1"/>
  <c r="I970" i="27" s="1"/>
  <c r="G956" i="27"/>
  <c r="I956" i="27" s="1"/>
  <c r="A970" i="27"/>
  <c r="A956" i="27"/>
  <c r="A44" i="65" l="1"/>
  <c r="A43" i="65"/>
  <c r="A42" i="65"/>
  <c r="A40" i="65"/>
  <c r="A38" i="65"/>
  <c r="A36" i="65"/>
  <c r="A34" i="65"/>
  <c r="A32" i="65"/>
  <c r="A30" i="65"/>
  <c r="A28" i="65"/>
  <c r="A26" i="65"/>
  <c r="A24" i="65"/>
  <c r="A22" i="65"/>
  <c r="A8" i="65"/>
  <c r="A20" i="65"/>
  <c r="A18" i="65"/>
  <c r="A14" i="65"/>
  <c r="A12" i="65"/>
  <c r="A10" i="65"/>
  <c r="C2" i="39" l="1"/>
  <c r="D2" i="39" s="1"/>
  <c r="E2" i="39" s="1"/>
  <c r="F2" i="39" s="1"/>
  <c r="I2" i="39"/>
  <c r="CI2" i="39"/>
  <c r="BG2" i="39"/>
  <c r="BH2" i="39"/>
  <c r="BI2" i="39"/>
  <c r="BJ2" i="39"/>
  <c r="BK2" i="39"/>
  <c r="CG2" i="39"/>
  <c r="CH2" i="39"/>
  <c r="BB2" i="39"/>
  <c r="M2" i="39"/>
  <c r="H2" i="39"/>
  <c r="C14" i="65" s="1"/>
  <c r="C9" i="65" l="1"/>
  <c r="C8" i="65"/>
  <c r="C10" i="65"/>
  <c r="C24" i="65"/>
  <c r="C21" i="65"/>
  <c r="C15" i="65"/>
  <c r="C17" i="65"/>
  <c r="C22" i="65"/>
  <c r="C20" i="65"/>
  <c r="C19" i="65"/>
  <c r="C18" i="65"/>
  <c r="BL2" i="39"/>
  <c r="G2" i="39"/>
  <c r="A2" i="39"/>
  <c r="B2" i="39"/>
  <c r="A2" i="17"/>
  <c r="B2" i="17"/>
  <c r="AK2" i="17"/>
  <c r="AZ2" i="17"/>
  <c r="BA2" i="17"/>
  <c r="BB2" i="17"/>
  <c r="BC2" i="17"/>
  <c r="BD2" i="17"/>
  <c r="AJ392" i="17" l="1"/>
  <c r="AJ391" i="17"/>
  <c r="AA210" i="39"/>
  <c r="AA213" i="39"/>
  <c r="AA217" i="39"/>
  <c r="AA220" i="39"/>
  <c r="AA222" i="39"/>
  <c r="AB212" i="39"/>
  <c r="AB213" i="39"/>
  <c r="AB222" i="39"/>
  <c r="AC210" i="39"/>
  <c r="AC211" i="39"/>
  <c r="AC212" i="39"/>
  <c r="AC213" i="39"/>
  <c r="AC214" i="39"/>
  <c r="AC215" i="39"/>
  <c r="AC216" i="39"/>
  <c r="AC217" i="39"/>
  <c r="AC218" i="39"/>
  <c r="AC219" i="39"/>
  <c r="AC220" i="39"/>
  <c r="AC221" i="39"/>
  <c r="AC222" i="39"/>
  <c r="AC223" i="39"/>
  <c r="AC224" i="39"/>
  <c r="AD210" i="39"/>
  <c r="AD211" i="39"/>
  <c r="AD212" i="39"/>
  <c r="AD213" i="39"/>
  <c r="AD214" i="39"/>
  <c r="AD215" i="39"/>
  <c r="AD216" i="39"/>
  <c r="AD217" i="39"/>
  <c r="AD218" i="39"/>
  <c r="AD219" i="39"/>
  <c r="AD220" i="39"/>
  <c r="AD221" i="39"/>
  <c r="AD222" i="39"/>
  <c r="AD223" i="39"/>
  <c r="AD224" i="39"/>
  <c r="AE210" i="39"/>
  <c r="AE211" i="39"/>
  <c r="AE212" i="39"/>
  <c r="AE213" i="39"/>
  <c r="AE214" i="39"/>
  <c r="AE215" i="39"/>
  <c r="AE216" i="39"/>
  <c r="AE217" i="39"/>
  <c r="AE218" i="39"/>
  <c r="AE219" i="39"/>
  <c r="AE220" i="39"/>
  <c r="AE221" i="39"/>
  <c r="AE222" i="39"/>
  <c r="AE223" i="39"/>
  <c r="AE224" i="39"/>
  <c r="AF210" i="39"/>
  <c r="AF211" i="39"/>
  <c r="AF212" i="39"/>
  <c r="AF213" i="39"/>
  <c r="AF214" i="39"/>
  <c r="AF215" i="39"/>
  <c r="AF216" i="39"/>
  <c r="AF217" i="39"/>
  <c r="AF218" i="39"/>
  <c r="AF219" i="39"/>
  <c r="AF220" i="39"/>
  <c r="AF221" i="39"/>
  <c r="AF222" i="39"/>
  <c r="AF223" i="39"/>
  <c r="AF224" i="39"/>
  <c r="AG210" i="39"/>
  <c r="AG211" i="39"/>
  <c r="AG212" i="39"/>
  <c r="AG213" i="39"/>
  <c r="AG214" i="39"/>
  <c r="AG215" i="39"/>
  <c r="AG216" i="39"/>
  <c r="AG217" i="39"/>
  <c r="AG218" i="39"/>
  <c r="AG219" i="39"/>
  <c r="AG220" i="39"/>
  <c r="AG221" i="39"/>
  <c r="AG222" i="39"/>
  <c r="AG223" i="39"/>
  <c r="AG224" i="39"/>
  <c r="AA198" i="39"/>
  <c r="AA200" i="39"/>
  <c r="AA206" i="39"/>
  <c r="AB198" i="39"/>
  <c r="AB200" i="39"/>
  <c r="AB204" i="39"/>
  <c r="AB205" i="39"/>
  <c r="AB207" i="39"/>
  <c r="AC196" i="39"/>
  <c r="AC197" i="39"/>
  <c r="AC198" i="39"/>
  <c r="AC199" i="39"/>
  <c r="AC200" i="39"/>
  <c r="AC201" i="39"/>
  <c r="AC202" i="39"/>
  <c r="AC203" i="39"/>
  <c r="AC204" i="39"/>
  <c r="AC205" i="39"/>
  <c r="AC206" i="39"/>
  <c r="AC207" i="39"/>
  <c r="AC208" i="39"/>
  <c r="AC209" i="39"/>
  <c r="AD196" i="39"/>
  <c r="AD197" i="39"/>
  <c r="AD198" i="39"/>
  <c r="AD199" i="39"/>
  <c r="AD200" i="39"/>
  <c r="AD201" i="39"/>
  <c r="AD202" i="39"/>
  <c r="AD203" i="39"/>
  <c r="AD204" i="39"/>
  <c r="AD205" i="39"/>
  <c r="AD206" i="39"/>
  <c r="AD207" i="39"/>
  <c r="AD208" i="39"/>
  <c r="AD209" i="39"/>
  <c r="AE196" i="39"/>
  <c r="AE197" i="39"/>
  <c r="AE198" i="39"/>
  <c r="AE199" i="39"/>
  <c r="AE200" i="39"/>
  <c r="AE201" i="39"/>
  <c r="AE202" i="39"/>
  <c r="AE203" i="39"/>
  <c r="AE204" i="39"/>
  <c r="AE205" i="39"/>
  <c r="AE206" i="39"/>
  <c r="AE207" i="39"/>
  <c r="AE208" i="39"/>
  <c r="AE209" i="39"/>
  <c r="AF196" i="39"/>
  <c r="AF197" i="39"/>
  <c r="AF198" i="39"/>
  <c r="AF199" i="39"/>
  <c r="AF200" i="39"/>
  <c r="AF201" i="39"/>
  <c r="AF202" i="39"/>
  <c r="AF203" i="39"/>
  <c r="AF204" i="39"/>
  <c r="AF205" i="39"/>
  <c r="AF206" i="39"/>
  <c r="AF207" i="39"/>
  <c r="AF208" i="39"/>
  <c r="AF209" i="39"/>
  <c r="AG196" i="39"/>
  <c r="AG197" i="39"/>
  <c r="AG198" i="39"/>
  <c r="AG199" i="39"/>
  <c r="AG200" i="39"/>
  <c r="AG201" i="39"/>
  <c r="AG202" i="39"/>
  <c r="AG203" i="39"/>
  <c r="AG204" i="39"/>
  <c r="AG205" i="39"/>
  <c r="AG206" i="39"/>
  <c r="AG207" i="39"/>
  <c r="AG208" i="39"/>
  <c r="AG209" i="39"/>
  <c r="AA182" i="39"/>
  <c r="AA187" i="39"/>
  <c r="AA188" i="39"/>
  <c r="AA192" i="39"/>
  <c r="AB182" i="39"/>
  <c r="AB184" i="39"/>
  <c r="AB187" i="39"/>
  <c r="AB188" i="39"/>
  <c r="AB192" i="39"/>
  <c r="AB193" i="39"/>
  <c r="AB195" i="39"/>
  <c r="AC182" i="39"/>
  <c r="AC183" i="39"/>
  <c r="AC184" i="39"/>
  <c r="AC185" i="39"/>
  <c r="AC186" i="39"/>
  <c r="AC187" i="39"/>
  <c r="AC188" i="39"/>
  <c r="AC189" i="39"/>
  <c r="AC190" i="39"/>
  <c r="AC191" i="39"/>
  <c r="AC192" i="39"/>
  <c r="AC193" i="39"/>
  <c r="AC194" i="39"/>
  <c r="AC195" i="39"/>
  <c r="AD182" i="39"/>
  <c r="AD183" i="39"/>
  <c r="AD184" i="39"/>
  <c r="AD185" i="39"/>
  <c r="AD186" i="39"/>
  <c r="AD187" i="39"/>
  <c r="AD188" i="39"/>
  <c r="AD189" i="39"/>
  <c r="AD190" i="39"/>
  <c r="AD191" i="39"/>
  <c r="AD192" i="39"/>
  <c r="AD193" i="39"/>
  <c r="AD194" i="39"/>
  <c r="AD195" i="39"/>
  <c r="AE182" i="39"/>
  <c r="AE183" i="39"/>
  <c r="AE184" i="39"/>
  <c r="AE185" i="39"/>
  <c r="AE186" i="39"/>
  <c r="AE187" i="39"/>
  <c r="AE188" i="39"/>
  <c r="AE189" i="39"/>
  <c r="AE190" i="39"/>
  <c r="AE191" i="39"/>
  <c r="AE192" i="39"/>
  <c r="AE193" i="39"/>
  <c r="AE194" i="39"/>
  <c r="AE195" i="39"/>
  <c r="AF182" i="39"/>
  <c r="AF183" i="39"/>
  <c r="AF184" i="39"/>
  <c r="AF185" i="39"/>
  <c r="AF186" i="39"/>
  <c r="AF187" i="39"/>
  <c r="AF188" i="39"/>
  <c r="AF189" i="39"/>
  <c r="AF190" i="39"/>
  <c r="AF191" i="39"/>
  <c r="AF192" i="39"/>
  <c r="AF193" i="39"/>
  <c r="AF194" i="39"/>
  <c r="AF195" i="39"/>
  <c r="AG182" i="39"/>
  <c r="AG183" i="39"/>
  <c r="AG184" i="39"/>
  <c r="AG185" i="39"/>
  <c r="AG186" i="39"/>
  <c r="AG187" i="39"/>
  <c r="AG188" i="39"/>
  <c r="AG189" i="39"/>
  <c r="AG190" i="39"/>
  <c r="AG191" i="39"/>
  <c r="AG192" i="39"/>
  <c r="AG193" i="39"/>
  <c r="AG194" i="39"/>
  <c r="AG195" i="39"/>
  <c r="AA168" i="39"/>
  <c r="AA169" i="39"/>
  <c r="AA180" i="39"/>
  <c r="AB168" i="39"/>
  <c r="AB170" i="39"/>
  <c r="AC168" i="39"/>
  <c r="AC169" i="39"/>
  <c r="AC170" i="39"/>
  <c r="AC171" i="39"/>
  <c r="AC172" i="39"/>
  <c r="AC173" i="39"/>
  <c r="AC174" i="39"/>
  <c r="AC175" i="39"/>
  <c r="AC176" i="39"/>
  <c r="AC177" i="39"/>
  <c r="AC178" i="39"/>
  <c r="AC179" i="39"/>
  <c r="AC180" i="39"/>
  <c r="AC181" i="39"/>
  <c r="AD168" i="39"/>
  <c r="AD169" i="39"/>
  <c r="AD170" i="39"/>
  <c r="AD171" i="39"/>
  <c r="AD172" i="39"/>
  <c r="AD173" i="39"/>
  <c r="AD174" i="39"/>
  <c r="AD175" i="39"/>
  <c r="AD176" i="39"/>
  <c r="AD177" i="39"/>
  <c r="AD178" i="39"/>
  <c r="AD179" i="39"/>
  <c r="AD180" i="39"/>
  <c r="AD181" i="39"/>
  <c r="AE168" i="39"/>
  <c r="AE169" i="39"/>
  <c r="AE170" i="39"/>
  <c r="AE171" i="39"/>
  <c r="AE172" i="39"/>
  <c r="AE173" i="39"/>
  <c r="AE174" i="39"/>
  <c r="AE175" i="39"/>
  <c r="AE176" i="39"/>
  <c r="AE177" i="39"/>
  <c r="AE178" i="39"/>
  <c r="AE179" i="39"/>
  <c r="AE180" i="39"/>
  <c r="AE181" i="39"/>
  <c r="AF168" i="39"/>
  <c r="AF169" i="39"/>
  <c r="AF170" i="39"/>
  <c r="AF171" i="39"/>
  <c r="AF172" i="39"/>
  <c r="AF173" i="39"/>
  <c r="AF174" i="39"/>
  <c r="AF175" i="39"/>
  <c r="AF176" i="39"/>
  <c r="AF177" i="39"/>
  <c r="AF178" i="39"/>
  <c r="AF179" i="39"/>
  <c r="AF180" i="39"/>
  <c r="AF181" i="39"/>
  <c r="AG168" i="39"/>
  <c r="AG169" i="39"/>
  <c r="AG170" i="39"/>
  <c r="AG171" i="39"/>
  <c r="AG172" i="39"/>
  <c r="AG173" i="39"/>
  <c r="AG174" i="39"/>
  <c r="AG175" i="39"/>
  <c r="AG176" i="39"/>
  <c r="AG177" i="39"/>
  <c r="AG178" i="39"/>
  <c r="AG179" i="39"/>
  <c r="AG180" i="39"/>
  <c r="AG181" i="39"/>
  <c r="AA165" i="39"/>
  <c r="AB165" i="39"/>
  <c r="AC159" i="39"/>
  <c r="AC160" i="39"/>
  <c r="AC161" i="39"/>
  <c r="AC162" i="39"/>
  <c r="AC163" i="39"/>
  <c r="AC164" i="39"/>
  <c r="AC165" i="39"/>
  <c r="AC166" i="39"/>
  <c r="AC167" i="39"/>
  <c r="AD159" i="39"/>
  <c r="AD160" i="39"/>
  <c r="AD161" i="39"/>
  <c r="AD162" i="39"/>
  <c r="AD163" i="39"/>
  <c r="AD164" i="39"/>
  <c r="AD165" i="39"/>
  <c r="AD166" i="39"/>
  <c r="AD167" i="39"/>
  <c r="AE159" i="39"/>
  <c r="AE160" i="39"/>
  <c r="AE161" i="39"/>
  <c r="AE162" i="39"/>
  <c r="AE163" i="39"/>
  <c r="AE164" i="39"/>
  <c r="AE165" i="39"/>
  <c r="AE166" i="39"/>
  <c r="AE167" i="39"/>
  <c r="AF159" i="39"/>
  <c r="AF160" i="39"/>
  <c r="AF161" i="39"/>
  <c r="AF162" i="39"/>
  <c r="AF163" i="39"/>
  <c r="AF164" i="39"/>
  <c r="AF165" i="39"/>
  <c r="AF166" i="39"/>
  <c r="AF167" i="39"/>
  <c r="AG159" i="39"/>
  <c r="AG160" i="39"/>
  <c r="AG161" i="39"/>
  <c r="AG162" i="39"/>
  <c r="AG163" i="39"/>
  <c r="AG164" i="39"/>
  <c r="AG165" i="39"/>
  <c r="AG166" i="39"/>
  <c r="AG167" i="39"/>
  <c r="AA156" i="39"/>
  <c r="AA157" i="39"/>
  <c r="AA158" i="39"/>
  <c r="AB156" i="39"/>
  <c r="AB157" i="39"/>
  <c r="AB158" i="39"/>
  <c r="AC156" i="39"/>
  <c r="AC157" i="39"/>
  <c r="AC158" i="39"/>
  <c r="AD156" i="39"/>
  <c r="AD157" i="39"/>
  <c r="AD158" i="39"/>
  <c r="AG156" i="39"/>
  <c r="AG157" i="39"/>
  <c r="AG158" i="39"/>
  <c r="AA144" i="39"/>
  <c r="AA149" i="39"/>
  <c r="AA154" i="39"/>
  <c r="AB144" i="39"/>
  <c r="AB149" i="39"/>
  <c r="AB154" i="39"/>
  <c r="AC142" i="39"/>
  <c r="AC143" i="39"/>
  <c r="AC144" i="39"/>
  <c r="AC145" i="39"/>
  <c r="AC146" i="39"/>
  <c r="AC147" i="39"/>
  <c r="AC148" i="39"/>
  <c r="AC149" i="39"/>
  <c r="AC150" i="39"/>
  <c r="AC151" i="39"/>
  <c r="AC152" i="39"/>
  <c r="AC153" i="39"/>
  <c r="AC154" i="39"/>
  <c r="AC155" i="39"/>
  <c r="AD142" i="39"/>
  <c r="AD143" i="39"/>
  <c r="AD144" i="39"/>
  <c r="AD145" i="39"/>
  <c r="AD146" i="39"/>
  <c r="AD147" i="39"/>
  <c r="AD148" i="39"/>
  <c r="AD149" i="39"/>
  <c r="AD150" i="39"/>
  <c r="AD151" i="39"/>
  <c r="AD152" i="39"/>
  <c r="AD153" i="39"/>
  <c r="AD154" i="39"/>
  <c r="AD155" i="39"/>
  <c r="AE142" i="39"/>
  <c r="AE143" i="39"/>
  <c r="AE144" i="39"/>
  <c r="AE145" i="39"/>
  <c r="AE146" i="39"/>
  <c r="AE147" i="39"/>
  <c r="AE148" i="39"/>
  <c r="AE150" i="39"/>
  <c r="AE151" i="39"/>
  <c r="AE152" i="39"/>
  <c r="AE153" i="39"/>
  <c r="AE154" i="39"/>
  <c r="AE155" i="39"/>
  <c r="AF142" i="39"/>
  <c r="AF143" i="39"/>
  <c r="AF144" i="39"/>
  <c r="AF145" i="39"/>
  <c r="AF146" i="39"/>
  <c r="AF147" i="39"/>
  <c r="AF148" i="39"/>
  <c r="AF150" i="39"/>
  <c r="AF151" i="39"/>
  <c r="AF152" i="39"/>
  <c r="AF153" i="39"/>
  <c r="AF154" i="39"/>
  <c r="AF155" i="39"/>
  <c r="AG142" i="39"/>
  <c r="AG143" i="39"/>
  <c r="AG144" i="39"/>
  <c r="AG145" i="39"/>
  <c r="AG146" i="39"/>
  <c r="AG147" i="39"/>
  <c r="AG148" i="39"/>
  <c r="AG149" i="39"/>
  <c r="AG150" i="39"/>
  <c r="AG151" i="39"/>
  <c r="AG152" i="39"/>
  <c r="AG153" i="39"/>
  <c r="AG154" i="39"/>
  <c r="AG155" i="39"/>
  <c r="AA118" i="39"/>
  <c r="AA120" i="39"/>
  <c r="AA121" i="39"/>
  <c r="AA123" i="39"/>
  <c r="AA124" i="39"/>
  <c r="AA126" i="39"/>
  <c r="AA127" i="39"/>
  <c r="AA129" i="39"/>
  <c r="AA131" i="39"/>
  <c r="AA134" i="39"/>
  <c r="AA136" i="39"/>
  <c r="AA139" i="39"/>
  <c r="AA141" i="39"/>
  <c r="AB118" i="39"/>
  <c r="AB120" i="39"/>
  <c r="AB121" i="39"/>
  <c r="AB123" i="39"/>
  <c r="AB124" i="39"/>
  <c r="AB126" i="39"/>
  <c r="AB127" i="39"/>
  <c r="AB129" i="39"/>
  <c r="AB131" i="39"/>
  <c r="AB134" i="39"/>
  <c r="AB136" i="39"/>
  <c r="AB139" i="39"/>
  <c r="AB141" i="39"/>
  <c r="AC118" i="39"/>
  <c r="AC119" i="39"/>
  <c r="AC120" i="39"/>
  <c r="AC121" i="39"/>
  <c r="AC122" i="39"/>
  <c r="AC123" i="39"/>
  <c r="AC124" i="39"/>
  <c r="AC125" i="39"/>
  <c r="AC126" i="39"/>
  <c r="AC127" i="39"/>
  <c r="AC128" i="39"/>
  <c r="AC129" i="39"/>
  <c r="AC130" i="39"/>
  <c r="AC131" i="39"/>
  <c r="AC132" i="39"/>
  <c r="AC133" i="39"/>
  <c r="AC134" i="39"/>
  <c r="AC135" i="39"/>
  <c r="AC136" i="39"/>
  <c r="AC137" i="39"/>
  <c r="AC138" i="39"/>
  <c r="AC139" i="39"/>
  <c r="AC140" i="39"/>
  <c r="AC141" i="39"/>
  <c r="AD118" i="39"/>
  <c r="AD119" i="39"/>
  <c r="AD120" i="39"/>
  <c r="AD121" i="39"/>
  <c r="AD122" i="39"/>
  <c r="AD123" i="39"/>
  <c r="AD124" i="39"/>
  <c r="AD125" i="39"/>
  <c r="AD126" i="39"/>
  <c r="AD127" i="39"/>
  <c r="AD128" i="39"/>
  <c r="AD129" i="39"/>
  <c r="AD130" i="39"/>
  <c r="AD131" i="39"/>
  <c r="AD132" i="39"/>
  <c r="AD133" i="39"/>
  <c r="AD134" i="39"/>
  <c r="AD135" i="39"/>
  <c r="AD136" i="39"/>
  <c r="AD137" i="39"/>
  <c r="AD138" i="39"/>
  <c r="AD139" i="39"/>
  <c r="AD140" i="39"/>
  <c r="AD141" i="39"/>
  <c r="AE118" i="39"/>
  <c r="AE119" i="39"/>
  <c r="AE120" i="39"/>
  <c r="AE122" i="39"/>
  <c r="AE123" i="39"/>
  <c r="AE125" i="39"/>
  <c r="AE126" i="39"/>
  <c r="AE127" i="39"/>
  <c r="AE128" i="39"/>
  <c r="AE129" i="39"/>
  <c r="AE130" i="39"/>
  <c r="AE131" i="39"/>
  <c r="AE132" i="39"/>
  <c r="AE133" i="39"/>
  <c r="AE135" i="39"/>
  <c r="AE136" i="39"/>
  <c r="AE137" i="39"/>
  <c r="AE138" i="39"/>
  <c r="AE140" i="39"/>
  <c r="AF118" i="39"/>
  <c r="AF119" i="39"/>
  <c r="AF120" i="39"/>
  <c r="AF122" i="39"/>
  <c r="AF123" i="39"/>
  <c r="AF125" i="39"/>
  <c r="AF126" i="39"/>
  <c r="AF127" i="39"/>
  <c r="AF128" i="39"/>
  <c r="AF129" i="39"/>
  <c r="AF130" i="39"/>
  <c r="AF131" i="39"/>
  <c r="AF132" i="39"/>
  <c r="AF133" i="39"/>
  <c r="AF135" i="39"/>
  <c r="AF136" i="39"/>
  <c r="AF137" i="39"/>
  <c r="AF138" i="39"/>
  <c r="AF140" i="39"/>
  <c r="AG118" i="39"/>
  <c r="AG119" i="39"/>
  <c r="AG120" i="39"/>
  <c r="AG121" i="39"/>
  <c r="AG122" i="39"/>
  <c r="AG123" i="39"/>
  <c r="AG124" i="39"/>
  <c r="AG125" i="39"/>
  <c r="AG126" i="39"/>
  <c r="AG127" i="39"/>
  <c r="AG128" i="39"/>
  <c r="AG129" i="39"/>
  <c r="AG130" i="39"/>
  <c r="AG131" i="39"/>
  <c r="AG132" i="39"/>
  <c r="AG133" i="39"/>
  <c r="AG134" i="39"/>
  <c r="AG135" i="39"/>
  <c r="AG136" i="39"/>
  <c r="AG137" i="39"/>
  <c r="AG138" i="39"/>
  <c r="AG139" i="39"/>
  <c r="AG140" i="39"/>
  <c r="AG141" i="39"/>
  <c r="AA117" i="39"/>
  <c r="AB113" i="39"/>
  <c r="AB114" i="39"/>
  <c r="AB117" i="39"/>
  <c r="AC108" i="39"/>
  <c r="AC109" i="39"/>
  <c r="AC110" i="39"/>
  <c r="AC111" i="39"/>
  <c r="AC112" i="39"/>
  <c r="AC113" i="39"/>
  <c r="AC114" i="39"/>
  <c r="AC115" i="39"/>
  <c r="AC116" i="39"/>
  <c r="AC117" i="39"/>
  <c r="AD108" i="39"/>
  <c r="AD109" i="39"/>
  <c r="AD110" i="39"/>
  <c r="AD111" i="39"/>
  <c r="AD112" i="39"/>
  <c r="AD113" i="39"/>
  <c r="AD114" i="39"/>
  <c r="AD115" i="39"/>
  <c r="AD116" i="39"/>
  <c r="AD117" i="39"/>
  <c r="AE108" i="39"/>
  <c r="AE109" i="39"/>
  <c r="AE110" i="39"/>
  <c r="AE111" i="39"/>
  <c r="AE112" i="39"/>
  <c r="AE113" i="39"/>
  <c r="AE114" i="39"/>
  <c r="AE115" i="39"/>
  <c r="AE116" i="39"/>
  <c r="AE117" i="39"/>
  <c r="AF108" i="39"/>
  <c r="AF109" i="39"/>
  <c r="AF110" i="39"/>
  <c r="AF111" i="39"/>
  <c r="AF112" i="39"/>
  <c r="AF113" i="39"/>
  <c r="AF114" i="39"/>
  <c r="AF115" i="39"/>
  <c r="AF116" i="39"/>
  <c r="AF117" i="39"/>
  <c r="AG108" i="39"/>
  <c r="AG109" i="39"/>
  <c r="AG110" i="39"/>
  <c r="AG111" i="39"/>
  <c r="AG112" i="39"/>
  <c r="AG113" i="39"/>
  <c r="AG114" i="39"/>
  <c r="AG115" i="39"/>
  <c r="AG116" i="39"/>
  <c r="AG117" i="39"/>
  <c r="AH210" i="39"/>
  <c r="AH211" i="39"/>
  <c r="AH212" i="39"/>
  <c r="AH213" i="39"/>
  <c r="AH214" i="39"/>
  <c r="AH215" i="39"/>
  <c r="AH216" i="39"/>
  <c r="AH217" i="39"/>
  <c r="AH218" i="39"/>
  <c r="AH219" i="39"/>
  <c r="AH220" i="39"/>
  <c r="AH221" i="39"/>
  <c r="AH222" i="39"/>
  <c r="AH223" i="39"/>
  <c r="AH224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J210" i="39"/>
  <c r="AJ211" i="39"/>
  <c r="AJ212" i="39"/>
  <c r="AJ213" i="39"/>
  <c r="AJ214" i="39"/>
  <c r="AJ215" i="39"/>
  <c r="AJ216" i="39"/>
  <c r="AJ217" i="39"/>
  <c r="AJ218" i="39"/>
  <c r="AJ219" i="39"/>
  <c r="AJ220" i="39"/>
  <c r="AJ221" i="39"/>
  <c r="AJ222" i="39"/>
  <c r="AJ223" i="39"/>
  <c r="AJ224" i="39"/>
  <c r="AK210" i="39"/>
  <c r="AK211" i="39"/>
  <c r="AK212" i="39"/>
  <c r="AK213" i="39"/>
  <c r="AK214" i="39"/>
  <c r="AK215" i="39"/>
  <c r="AK216" i="39"/>
  <c r="AK217" i="39"/>
  <c r="AK218" i="39"/>
  <c r="AK219" i="39"/>
  <c r="AK220" i="39"/>
  <c r="AK221" i="39"/>
  <c r="AK222" i="39"/>
  <c r="AK223" i="39"/>
  <c r="AK224" i="39"/>
  <c r="AL210" i="39"/>
  <c r="AL211" i="39"/>
  <c r="AL212" i="39"/>
  <c r="AL213" i="39"/>
  <c r="AL214" i="39"/>
  <c r="AL215" i="39"/>
  <c r="AL216" i="39"/>
  <c r="AL217" i="39"/>
  <c r="AL218" i="39"/>
  <c r="W218" i="39" s="1"/>
  <c r="AL219" i="39"/>
  <c r="AL220" i="39"/>
  <c r="AL221" i="39"/>
  <c r="AL222" i="39"/>
  <c r="AL223" i="39"/>
  <c r="AL224" i="39"/>
  <c r="AM210" i="39"/>
  <c r="AM211" i="39"/>
  <c r="AM212" i="39"/>
  <c r="AM213" i="39"/>
  <c r="AM214" i="39"/>
  <c r="AM215" i="39"/>
  <c r="AM216" i="39"/>
  <c r="AM217" i="39"/>
  <c r="AM218" i="39"/>
  <c r="AM219" i="39"/>
  <c r="AM220" i="39"/>
  <c r="AM221" i="39"/>
  <c r="AM222" i="39"/>
  <c r="AM223" i="39"/>
  <c r="AM224" i="39"/>
  <c r="AN210" i="39"/>
  <c r="AN211" i="39"/>
  <c r="AN212" i="39"/>
  <c r="AN213" i="39"/>
  <c r="AN214" i="39"/>
  <c r="AN215" i="39"/>
  <c r="AN216" i="39"/>
  <c r="AN217" i="39"/>
  <c r="AN218" i="39"/>
  <c r="AN219" i="39"/>
  <c r="AN220" i="39"/>
  <c r="AN221" i="39"/>
  <c r="AN222" i="39"/>
  <c r="AN223" i="39"/>
  <c r="AN224" i="39"/>
  <c r="AO210" i="39"/>
  <c r="AO211" i="39"/>
  <c r="AO212" i="39"/>
  <c r="AO213" i="39"/>
  <c r="AO214" i="39"/>
  <c r="AO215" i="39"/>
  <c r="AO216" i="39"/>
  <c r="AO217" i="39"/>
  <c r="AO218" i="39"/>
  <c r="AO219" i="39"/>
  <c r="AO220" i="39"/>
  <c r="AO221" i="39"/>
  <c r="AO222" i="39"/>
  <c r="AO223" i="39"/>
  <c r="AO224" i="39"/>
  <c r="AP210" i="39"/>
  <c r="AP211" i="39"/>
  <c r="AP212" i="39"/>
  <c r="X212" i="39" s="1"/>
  <c r="AP213" i="39"/>
  <c r="AP214" i="39"/>
  <c r="AP215" i="39"/>
  <c r="AP216" i="39"/>
  <c r="AP217" i="39"/>
  <c r="AP218" i="39"/>
  <c r="AP219" i="39"/>
  <c r="AP220" i="39"/>
  <c r="AP221" i="39"/>
  <c r="AP222" i="39"/>
  <c r="AP223" i="39"/>
  <c r="AP224" i="39"/>
  <c r="X224" i="39" s="1"/>
  <c r="AQ210" i="39"/>
  <c r="AQ211" i="39"/>
  <c r="AQ212" i="39"/>
  <c r="AQ213" i="39"/>
  <c r="AQ214" i="39"/>
  <c r="AQ215" i="39"/>
  <c r="AQ216" i="39"/>
  <c r="AQ217" i="39"/>
  <c r="AQ218" i="39"/>
  <c r="AQ219" i="39"/>
  <c r="AQ220" i="39"/>
  <c r="AQ221" i="39"/>
  <c r="AQ222" i="39"/>
  <c r="AQ223" i="39"/>
  <c r="AQ224" i="39"/>
  <c r="AR210" i="39"/>
  <c r="AR211" i="39"/>
  <c r="AR212" i="39"/>
  <c r="AR213" i="39"/>
  <c r="AR214" i="39"/>
  <c r="AR215" i="39"/>
  <c r="AR216" i="39"/>
  <c r="AR217" i="39"/>
  <c r="AR218" i="39"/>
  <c r="AR219" i="39"/>
  <c r="AR220" i="39"/>
  <c r="AR221" i="39"/>
  <c r="AR222" i="39"/>
  <c r="AR223" i="39"/>
  <c r="AR224" i="39"/>
  <c r="AS210" i="39"/>
  <c r="AS211" i="39"/>
  <c r="AS212" i="39"/>
  <c r="AS213" i="39"/>
  <c r="AS214" i="39"/>
  <c r="AS215" i="39"/>
  <c r="AS216" i="39"/>
  <c r="AS217" i="39"/>
  <c r="AS218" i="39"/>
  <c r="AS219" i="39"/>
  <c r="AS220" i="39"/>
  <c r="AS221" i="39"/>
  <c r="AS222" i="39"/>
  <c r="AS223" i="39"/>
  <c r="AS224" i="39"/>
  <c r="AT210" i="39"/>
  <c r="AT211" i="39"/>
  <c r="Y211" i="39" s="1"/>
  <c r="AT212" i="39"/>
  <c r="AT213" i="39"/>
  <c r="AT214" i="39"/>
  <c r="Y214" i="39" s="1"/>
  <c r="AT215" i="39"/>
  <c r="AT216" i="39"/>
  <c r="AT217" i="39"/>
  <c r="AT218" i="39"/>
  <c r="Y218" i="39" s="1"/>
  <c r="AT219" i="39"/>
  <c r="Y219" i="39" s="1"/>
  <c r="AT220" i="39"/>
  <c r="Y220" i="39" s="1"/>
  <c r="AT221" i="39"/>
  <c r="AT222" i="39"/>
  <c r="AT223" i="39"/>
  <c r="Y223" i="39" s="1"/>
  <c r="AT224" i="39"/>
  <c r="AU210" i="39"/>
  <c r="AU211" i="39"/>
  <c r="AU212" i="39"/>
  <c r="AU213" i="39"/>
  <c r="AU214" i="39"/>
  <c r="AU215" i="39"/>
  <c r="AU216" i="39"/>
  <c r="AU217" i="39"/>
  <c r="AU218" i="39"/>
  <c r="AU219" i="39"/>
  <c r="AU220" i="39"/>
  <c r="AU221" i="39"/>
  <c r="AU222" i="39"/>
  <c r="AU223" i="39"/>
  <c r="AU224" i="39"/>
  <c r="AX210" i="39"/>
  <c r="AX211" i="39"/>
  <c r="AX212" i="39"/>
  <c r="AX213" i="39"/>
  <c r="AX214" i="39"/>
  <c r="AX215" i="39"/>
  <c r="AX216" i="39"/>
  <c r="AX217" i="39"/>
  <c r="AX218" i="39"/>
  <c r="AX219" i="39"/>
  <c r="AX220" i="39"/>
  <c r="AX221" i="39"/>
  <c r="AX222" i="39"/>
  <c r="AX223" i="39"/>
  <c r="AX224" i="39"/>
  <c r="AY210" i="39"/>
  <c r="AY211" i="39"/>
  <c r="AY212" i="39"/>
  <c r="AY213" i="39"/>
  <c r="AY214" i="39"/>
  <c r="AY215" i="39"/>
  <c r="AY216" i="39"/>
  <c r="AY217" i="39"/>
  <c r="AY218" i="39"/>
  <c r="AY219" i="39"/>
  <c r="AY220" i="39"/>
  <c r="AY221" i="39"/>
  <c r="AY222" i="39"/>
  <c r="AY223" i="39"/>
  <c r="AY224" i="39"/>
  <c r="AZ210" i="39"/>
  <c r="AZ211" i="39"/>
  <c r="AZ212" i="39"/>
  <c r="AZ213" i="39"/>
  <c r="AZ214" i="39"/>
  <c r="AZ215" i="39"/>
  <c r="AZ216" i="39"/>
  <c r="AZ217" i="39"/>
  <c r="AZ218" i="39"/>
  <c r="AZ219" i="39"/>
  <c r="AZ220" i="39"/>
  <c r="AZ221" i="39"/>
  <c r="AZ222" i="39"/>
  <c r="AZ223" i="39"/>
  <c r="AZ224" i="39"/>
  <c r="BA210" i="39"/>
  <c r="BA211" i="39"/>
  <c r="BA212" i="39"/>
  <c r="BA213" i="39"/>
  <c r="BA214" i="39"/>
  <c r="BA215" i="39"/>
  <c r="BA216" i="39"/>
  <c r="BA217" i="39"/>
  <c r="BA218" i="39"/>
  <c r="BA219" i="39"/>
  <c r="BA220" i="39"/>
  <c r="BA221" i="39"/>
  <c r="BA222" i="39"/>
  <c r="BA223" i="39"/>
  <c r="BA224" i="39"/>
  <c r="BM210" i="39"/>
  <c r="BM211" i="39"/>
  <c r="BM212" i="39"/>
  <c r="BM213" i="39"/>
  <c r="BM214" i="39"/>
  <c r="BM215" i="39"/>
  <c r="BM216" i="39"/>
  <c r="BM217" i="39"/>
  <c r="BM218" i="39"/>
  <c r="BM219" i="39"/>
  <c r="BM220" i="39"/>
  <c r="BM221" i="39"/>
  <c r="BM222" i="39"/>
  <c r="BM223" i="39"/>
  <c r="BM224" i="39"/>
  <c r="BN210" i="39"/>
  <c r="BN211" i="39"/>
  <c r="BN212" i="39"/>
  <c r="BN213" i="39"/>
  <c r="BN214" i="39"/>
  <c r="BN215" i="39"/>
  <c r="BN216" i="39"/>
  <c r="BN217" i="39"/>
  <c r="BN218" i="39"/>
  <c r="BN219" i="39"/>
  <c r="BN220" i="39"/>
  <c r="BN221" i="39"/>
  <c r="BN222" i="39"/>
  <c r="BN223" i="39"/>
  <c r="BN224" i="39"/>
  <c r="BO210" i="39"/>
  <c r="BO211" i="39"/>
  <c r="BO212" i="39"/>
  <c r="BO213" i="39"/>
  <c r="BO214" i="39"/>
  <c r="BO215" i="39"/>
  <c r="BO216" i="39"/>
  <c r="BO217" i="39"/>
  <c r="BO218" i="39"/>
  <c r="BO219" i="39"/>
  <c r="BO220" i="39"/>
  <c r="BO221" i="39"/>
  <c r="BO222" i="39"/>
  <c r="BO223" i="39"/>
  <c r="BO224" i="39"/>
  <c r="BP210" i="39"/>
  <c r="BP211" i="39"/>
  <c r="BP212" i="39"/>
  <c r="BP213" i="39"/>
  <c r="BP214" i="39"/>
  <c r="BP215" i="39"/>
  <c r="BP216" i="39"/>
  <c r="BP217" i="39"/>
  <c r="BP218" i="39"/>
  <c r="BP219" i="39"/>
  <c r="BP220" i="39"/>
  <c r="BP221" i="39"/>
  <c r="BP222" i="39"/>
  <c r="BP223" i="39"/>
  <c r="BP224" i="39"/>
  <c r="BR210" i="39"/>
  <c r="BR211" i="39"/>
  <c r="BR212" i="39"/>
  <c r="BR213" i="39"/>
  <c r="BR214" i="39"/>
  <c r="BR215" i="39"/>
  <c r="BR216" i="39"/>
  <c r="BR217" i="39"/>
  <c r="BR218" i="39"/>
  <c r="BR219" i="39"/>
  <c r="BR220" i="39"/>
  <c r="BR221" i="39"/>
  <c r="BR222" i="39"/>
  <c r="BR223" i="39"/>
  <c r="BR224" i="39"/>
  <c r="BS210" i="39"/>
  <c r="BS211" i="39"/>
  <c r="BS212" i="39"/>
  <c r="BS213" i="39"/>
  <c r="BS214" i="39"/>
  <c r="BS215" i="39"/>
  <c r="BS216" i="39"/>
  <c r="BS217" i="39"/>
  <c r="BS218" i="39"/>
  <c r="BS219" i="39"/>
  <c r="BS220" i="39"/>
  <c r="BS221" i="39"/>
  <c r="BS222" i="39"/>
  <c r="BS223" i="39"/>
  <c r="BS224" i="39"/>
  <c r="BT210" i="39"/>
  <c r="BT211" i="39"/>
  <c r="BT212" i="39"/>
  <c r="BT213" i="39"/>
  <c r="BT214" i="39"/>
  <c r="BT215" i="39"/>
  <c r="BT216" i="39"/>
  <c r="BT217" i="39"/>
  <c r="BT218" i="39"/>
  <c r="BT219" i="39"/>
  <c r="BT220" i="39"/>
  <c r="BT221" i="39"/>
  <c r="BT222" i="39"/>
  <c r="BT223" i="39"/>
  <c r="BT224" i="39"/>
  <c r="BU210" i="39"/>
  <c r="BU211" i="39"/>
  <c r="BU212" i="39"/>
  <c r="BU213" i="39"/>
  <c r="BU214" i="39"/>
  <c r="BU215" i="39"/>
  <c r="BU216" i="39"/>
  <c r="BU217" i="39"/>
  <c r="BU218" i="39"/>
  <c r="BU219" i="39"/>
  <c r="BU220" i="39"/>
  <c r="BU221" i="39"/>
  <c r="BU222" i="39"/>
  <c r="BU223" i="39"/>
  <c r="BU224" i="39"/>
  <c r="BW210" i="39"/>
  <c r="BW211" i="39"/>
  <c r="BW212" i="39"/>
  <c r="BW213" i="39"/>
  <c r="BW214" i="39"/>
  <c r="BW215" i="39"/>
  <c r="BW216" i="39"/>
  <c r="BW217" i="39"/>
  <c r="BW218" i="39"/>
  <c r="BW219" i="39"/>
  <c r="BW220" i="39"/>
  <c r="BW221" i="39"/>
  <c r="BW222" i="39"/>
  <c r="BW223" i="39"/>
  <c r="BW224" i="39"/>
  <c r="BX210" i="39"/>
  <c r="BX211" i="39"/>
  <c r="BX212" i="39"/>
  <c r="BX213" i="39"/>
  <c r="BX214" i="39"/>
  <c r="BX215" i="39"/>
  <c r="BX216" i="39"/>
  <c r="BX217" i="39"/>
  <c r="BX218" i="39"/>
  <c r="BX219" i="39"/>
  <c r="BX220" i="39"/>
  <c r="BX221" i="39"/>
  <c r="BX222" i="39"/>
  <c r="BX223" i="39"/>
  <c r="BX224" i="39"/>
  <c r="BY210" i="39"/>
  <c r="BY211" i="39"/>
  <c r="BY212" i="39"/>
  <c r="BY213" i="39"/>
  <c r="BY214" i="39"/>
  <c r="BY215" i="39"/>
  <c r="BY216" i="39"/>
  <c r="BY217" i="39"/>
  <c r="BY218" i="39"/>
  <c r="BY219" i="39"/>
  <c r="BY220" i="39"/>
  <c r="BY221" i="39"/>
  <c r="BY222" i="39"/>
  <c r="BY223" i="39"/>
  <c r="BY224" i="39"/>
  <c r="BZ210" i="39"/>
  <c r="BZ211" i="39"/>
  <c r="BZ212" i="39"/>
  <c r="BZ213" i="39"/>
  <c r="BZ214" i="39"/>
  <c r="BZ215" i="39"/>
  <c r="BZ216" i="39"/>
  <c r="BZ217" i="39"/>
  <c r="BZ218" i="39"/>
  <c r="BZ219" i="39"/>
  <c r="BZ220" i="39"/>
  <c r="BZ221" i="39"/>
  <c r="BZ222" i="39"/>
  <c r="BZ223" i="39"/>
  <c r="BZ224" i="39"/>
  <c r="CB210" i="39"/>
  <c r="CB211" i="39"/>
  <c r="CB212" i="39"/>
  <c r="CB213" i="39"/>
  <c r="CB214" i="39"/>
  <c r="CB215" i="39"/>
  <c r="CB216" i="39"/>
  <c r="CB217" i="39"/>
  <c r="CB218" i="39"/>
  <c r="CB219" i="39"/>
  <c r="CB220" i="39"/>
  <c r="CB221" i="39"/>
  <c r="CB222" i="39"/>
  <c r="CB223" i="39"/>
  <c r="CB224" i="39"/>
  <c r="CC210" i="39"/>
  <c r="CC211" i="39"/>
  <c r="CC212" i="39"/>
  <c r="CC213" i="39"/>
  <c r="CC214" i="39"/>
  <c r="CC215" i="39"/>
  <c r="CC216" i="39"/>
  <c r="CC217" i="39"/>
  <c r="CC218" i="39"/>
  <c r="CC219" i="39"/>
  <c r="CC220" i="39"/>
  <c r="CC221" i="39"/>
  <c r="CC222" i="39"/>
  <c r="CC223" i="39"/>
  <c r="CC224" i="39"/>
  <c r="AH196" i="39"/>
  <c r="AH197" i="39"/>
  <c r="AH198" i="39"/>
  <c r="AH199" i="39"/>
  <c r="AH200" i="39"/>
  <c r="AH201" i="39"/>
  <c r="AH202" i="39"/>
  <c r="AH203" i="39"/>
  <c r="AH204" i="39"/>
  <c r="AH205" i="39"/>
  <c r="AH206" i="39"/>
  <c r="AH207" i="39"/>
  <c r="AH208" i="39"/>
  <c r="AH209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J196" i="39"/>
  <c r="AJ197" i="39"/>
  <c r="AJ198" i="39"/>
  <c r="AJ199" i="39"/>
  <c r="AJ200" i="39"/>
  <c r="AJ201" i="39"/>
  <c r="AJ202" i="39"/>
  <c r="AJ203" i="39"/>
  <c r="AJ204" i="39"/>
  <c r="AJ205" i="39"/>
  <c r="AJ206" i="39"/>
  <c r="AJ207" i="39"/>
  <c r="AJ208" i="39"/>
  <c r="AJ209" i="39"/>
  <c r="AK196" i="39"/>
  <c r="AK197" i="39"/>
  <c r="AK198" i="39"/>
  <c r="AK199" i="39"/>
  <c r="AK200" i="39"/>
  <c r="AK201" i="39"/>
  <c r="AK202" i="39"/>
  <c r="AK203" i="39"/>
  <c r="AK204" i="39"/>
  <c r="AK205" i="39"/>
  <c r="AK206" i="39"/>
  <c r="AK207" i="39"/>
  <c r="AK208" i="39"/>
  <c r="AK209" i="39"/>
  <c r="AL196" i="39"/>
  <c r="AL197" i="39"/>
  <c r="AL198" i="39"/>
  <c r="W198" i="39" s="1"/>
  <c r="AL199" i="39"/>
  <c r="AL200" i="39"/>
  <c r="AL201" i="39"/>
  <c r="AL202" i="39"/>
  <c r="AL203" i="39"/>
  <c r="AL204" i="39"/>
  <c r="AL205" i="39"/>
  <c r="AL206" i="39"/>
  <c r="AL207" i="39"/>
  <c r="AL208" i="39"/>
  <c r="AL209" i="39"/>
  <c r="AM196" i="39"/>
  <c r="AM197" i="39"/>
  <c r="AM198" i="39"/>
  <c r="AM199" i="39"/>
  <c r="AM200" i="39"/>
  <c r="AM201" i="39"/>
  <c r="AM202" i="39"/>
  <c r="AM203" i="39"/>
  <c r="AM204" i="39"/>
  <c r="AM205" i="39"/>
  <c r="AM206" i="39"/>
  <c r="AM207" i="39"/>
  <c r="AM208" i="39"/>
  <c r="AM209" i="39"/>
  <c r="AN196" i="39"/>
  <c r="AN197" i="39"/>
  <c r="AN198" i="39"/>
  <c r="AN199" i="39"/>
  <c r="AN200" i="39"/>
  <c r="AN201" i="39"/>
  <c r="AN202" i="39"/>
  <c r="AN203" i="39"/>
  <c r="AN204" i="39"/>
  <c r="AN205" i="39"/>
  <c r="AN206" i="39"/>
  <c r="AN207" i="39"/>
  <c r="AN208" i="39"/>
  <c r="AN209" i="39"/>
  <c r="AO196" i="39"/>
  <c r="AO197" i="39"/>
  <c r="AO198" i="39"/>
  <c r="AO199" i="39"/>
  <c r="AO200" i="39"/>
  <c r="AO201" i="39"/>
  <c r="AO202" i="39"/>
  <c r="AO203" i="39"/>
  <c r="AO204" i="39"/>
  <c r="AO205" i="39"/>
  <c r="AO206" i="39"/>
  <c r="AO207" i="39"/>
  <c r="AO208" i="39"/>
  <c r="AO209" i="39"/>
  <c r="AP196" i="39"/>
  <c r="AP197" i="39"/>
  <c r="X197" i="39" s="1"/>
  <c r="AP198" i="39"/>
  <c r="AP199" i="39"/>
  <c r="AP200" i="39"/>
  <c r="AP201" i="39"/>
  <c r="AP202" i="39"/>
  <c r="AP203" i="39"/>
  <c r="AP204" i="39"/>
  <c r="AP205" i="39"/>
  <c r="AP206" i="39"/>
  <c r="AP207" i="39"/>
  <c r="AP208" i="39"/>
  <c r="AP209" i="39"/>
  <c r="X209" i="39" s="1"/>
  <c r="AQ196" i="39"/>
  <c r="AQ197" i="39"/>
  <c r="AQ198" i="39"/>
  <c r="AQ199" i="39"/>
  <c r="AQ200" i="39"/>
  <c r="AQ201" i="39"/>
  <c r="AQ202" i="39"/>
  <c r="AQ203" i="39"/>
  <c r="AQ204" i="39"/>
  <c r="AQ205" i="39"/>
  <c r="AQ206" i="39"/>
  <c r="AQ207" i="39"/>
  <c r="AQ208" i="39"/>
  <c r="AQ209" i="39"/>
  <c r="AR196" i="39"/>
  <c r="AR197" i="39"/>
  <c r="AR198" i="39"/>
  <c r="AR199" i="39"/>
  <c r="AR200" i="39"/>
  <c r="AR201" i="39"/>
  <c r="AR202" i="39"/>
  <c r="AR203" i="39"/>
  <c r="AR204" i="39"/>
  <c r="AR205" i="39"/>
  <c r="AR206" i="39"/>
  <c r="AR207" i="39"/>
  <c r="AR208" i="39"/>
  <c r="AR209" i="39"/>
  <c r="AS196" i="39"/>
  <c r="AS197" i="39"/>
  <c r="AS198" i="39"/>
  <c r="AS199" i="39"/>
  <c r="AS200" i="39"/>
  <c r="AS201" i="39"/>
  <c r="AS202" i="39"/>
  <c r="AS203" i="39"/>
  <c r="AS204" i="39"/>
  <c r="AS205" i="39"/>
  <c r="AS206" i="39"/>
  <c r="AS207" i="39"/>
  <c r="AS208" i="39"/>
  <c r="AS209" i="39"/>
  <c r="AT196" i="39"/>
  <c r="AT197" i="39"/>
  <c r="AT198" i="39"/>
  <c r="Y198" i="39" s="1"/>
  <c r="AT199" i="39"/>
  <c r="Y199" i="39" s="1"/>
  <c r="AT200" i="39"/>
  <c r="AT201" i="39"/>
  <c r="AT202" i="39"/>
  <c r="AT203" i="39"/>
  <c r="AT204" i="39"/>
  <c r="AT205" i="39"/>
  <c r="Y205" i="39" s="1"/>
  <c r="AT206" i="39"/>
  <c r="AT207" i="39"/>
  <c r="AT208" i="39"/>
  <c r="AT209" i="39"/>
  <c r="AU196" i="39"/>
  <c r="AU197" i="39"/>
  <c r="AU198" i="39"/>
  <c r="AU199" i="39"/>
  <c r="AU200" i="39"/>
  <c r="AU201" i="39"/>
  <c r="AU202" i="39"/>
  <c r="AU203" i="39"/>
  <c r="AU204" i="39"/>
  <c r="AU205" i="39"/>
  <c r="AU206" i="39"/>
  <c r="AU207" i="39"/>
  <c r="AU208" i="39"/>
  <c r="AU209" i="39"/>
  <c r="AX196" i="39"/>
  <c r="AX197" i="39"/>
  <c r="AX198" i="39"/>
  <c r="AX199" i="39"/>
  <c r="AX200" i="39"/>
  <c r="AX201" i="39"/>
  <c r="AX202" i="39"/>
  <c r="AX203" i="39"/>
  <c r="AX204" i="39"/>
  <c r="AX205" i="39"/>
  <c r="AX206" i="39"/>
  <c r="AX207" i="39"/>
  <c r="AX208" i="39"/>
  <c r="AX209" i="39"/>
  <c r="AY196" i="39"/>
  <c r="AY197" i="39"/>
  <c r="AY198" i="39"/>
  <c r="AY199" i="39"/>
  <c r="AY200" i="39"/>
  <c r="AY201" i="39"/>
  <c r="AY202" i="39"/>
  <c r="AY203" i="39"/>
  <c r="AY204" i="39"/>
  <c r="AY205" i="39"/>
  <c r="AY206" i="39"/>
  <c r="AY207" i="39"/>
  <c r="AY208" i="39"/>
  <c r="AY209" i="39"/>
  <c r="AZ196" i="39"/>
  <c r="AZ197" i="39"/>
  <c r="AZ198" i="39"/>
  <c r="AZ199" i="39"/>
  <c r="AZ200" i="39"/>
  <c r="AZ201" i="39"/>
  <c r="AZ202" i="39"/>
  <c r="AZ203" i="39"/>
  <c r="AZ204" i="39"/>
  <c r="AZ205" i="39"/>
  <c r="AZ206" i="39"/>
  <c r="AZ207" i="39"/>
  <c r="AZ208" i="39"/>
  <c r="AZ209" i="39"/>
  <c r="BA196" i="39"/>
  <c r="BA197" i="39"/>
  <c r="BA198" i="39"/>
  <c r="BA199" i="39"/>
  <c r="BA200" i="39"/>
  <c r="BA201" i="39"/>
  <c r="BA202" i="39"/>
  <c r="BA203" i="39"/>
  <c r="BA204" i="39"/>
  <c r="BA205" i="39"/>
  <c r="BA206" i="39"/>
  <c r="BA207" i="39"/>
  <c r="BA208" i="39"/>
  <c r="BA209" i="39"/>
  <c r="BM196" i="39"/>
  <c r="BM197" i="39"/>
  <c r="BM198" i="39"/>
  <c r="BM199" i="39"/>
  <c r="BM200" i="39"/>
  <c r="BM201" i="39"/>
  <c r="BM202" i="39"/>
  <c r="BM203" i="39"/>
  <c r="BM204" i="39"/>
  <c r="BM205" i="39"/>
  <c r="BM206" i="39"/>
  <c r="BM207" i="39"/>
  <c r="BM208" i="39"/>
  <c r="BM209" i="39"/>
  <c r="BN196" i="39"/>
  <c r="BN197" i="39"/>
  <c r="BN198" i="39"/>
  <c r="BN199" i="39"/>
  <c r="BN200" i="39"/>
  <c r="BN201" i="39"/>
  <c r="BN202" i="39"/>
  <c r="BN203" i="39"/>
  <c r="BN204" i="39"/>
  <c r="BN205" i="39"/>
  <c r="BN206" i="39"/>
  <c r="BN207" i="39"/>
  <c r="BN208" i="39"/>
  <c r="BN209" i="39"/>
  <c r="BO196" i="39"/>
  <c r="BO197" i="39"/>
  <c r="BO198" i="39"/>
  <c r="BO199" i="39"/>
  <c r="BO200" i="39"/>
  <c r="BO201" i="39"/>
  <c r="BO202" i="39"/>
  <c r="BO203" i="39"/>
  <c r="BO204" i="39"/>
  <c r="BO205" i="39"/>
  <c r="BO206" i="39"/>
  <c r="BO207" i="39"/>
  <c r="BO208" i="39"/>
  <c r="BO209" i="39"/>
  <c r="BP196" i="39"/>
  <c r="BP197" i="39"/>
  <c r="BP198" i="39"/>
  <c r="BP199" i="39"/>
  <c r="BP200" i="39"/>
  <c r="BP201" i="39"/>
  <c r="BP202" i="39"/>
  <c r="BP203" i="39"/>
  <c r="BP204" i="39"/>
  <c r="BP205" i="39"/>
  <c r="BP206" i="39"/>
  <c r="BP207" i="39"/>
  <c r="BP208" i="39"/>
  <c r="BP209" i="39"/>
  <c r="BR196" i="39"/>
  <c r="BR197" i="39"/>
  <c r="BR198" i="39"/>
  <c r="BR199" i="39"/>
  <c r="BR200" i="39"/>
  <c r="BR201" i="39"/>
  <c r="BR202" i="39"/>
  <c r="BR203" i="39"/>
  <c r="BR204" i="39"/>
  <c r="BR205" i="39"/>
  <c r="BR206" i="39"/>
  <c r="BR207" i="39"/>
  <c r="BR208" i="39"/>
  <c r="BR209" i="39"/>
  <c r="BS196" i="39"/>
  <c r="BS197" i="39"/>
  <c r="BS198" i="39"/>
  <c r="BS199" i="39"/>
  <c r="BS200" i="39"/>
  <c r="BS201" i="39"/>
  <c r="BS202" i="39"/>
  <c r="BS203" i="39"/>
  <c r="BS204" i="39"/>
  <c r="BS205" i="39"/>
  <c r="BS206" i="39"/>
  <c r="BS207" i="39"/>
  <c r="BS208" i="39"/>
  <c r="BS209" i="39"/>
  <c r="BT196" i="39"/>
  <c r="BT197" i="39"/>
  <c r="BT198" i="39"/>
  <c r="BT199" i="39"/>
  <c r="BT200" i="39"/>
  <c r="BT201" i="39"/>
  <c r="BT202" i="39"/>
  <c r="BT203" i="39"/>
  <c r="BT204" i="39"/>
  <c r="BT205" i="39"/>
  <c r="BT206" i="39"/>
  <c r="BT207" i="39"/>
  <c r="BT208" i="39"/>
  <c r="BT209" i="39"/>
  <c r="BU196" i="39"/>
  <c r="BU197" i="39"/>
  <c r="BU198" i="39"/>
  <c r="BU199" i="39"/>
  <c r="BU200" i="39"/>
  <c r="BU201" i="39"/>
  <c r="BU202" i="39"/>
  <c r="BU203" i="39"/>
  <c r="BU204" i="39"/>
  <c r="BU205" i="39"/>
  <c r="BU206" i="39"/>
  <c r="BU207" i="39"/>
  <c r="BU208" i="39"/>
  <c r="BU209" i="39"/>
  <c r="BW196" i="39"/>
  <c r="BW197" i="39"/>
  <c r="BW198" i="39"/>
  <c r="BW199" i="39"/>
  <c r="BW200" i="39"/>
  <c r="BW201" i="39"/>
  <c r="BW202" i="39"/>
  <c r="BW203" i="39"/>
  <c r="BW204" i="39"/>
  <c r="BW205" i="39"/>
  <c r="BW206" i="39"/>
  <c r="BW207" i="39"/>
  <c r="BW208" i="39"/>
  <c r="BW209" i="39"/>
  <c r="BX196" i="39"/>
  <c r="BX197" i="39"/>
  <c r="BX198" i="39"/>
  <c r="BX199" i="39"/>
  <c r="BX200" i="39"/>
  <c r="BX201" i="39"/>
  <c r="BX202" i="39"/>
  <c r="BX203" i="39"/>
  <c r="BX204" i="39"/>
  <c r="BX205" i="39"/>
  <c r="BX206" i="39"/>
  <c r="BX207" i="39"/>
  <c r="BX208" i="39"/>
  <c r="BX209" i="39"/>
  <c r="BY196" i="39"/>
  <c r="BY197" i="39"/>
  <c r="BY198" i="39"/>
  <c r="BY199" i="39"/>
  <c r="BY200" i="39"/>
  <c r="BY201" i="39"/>
  <c r="BY202" i="39"/>
  <c r="BY203" i="39"/>
  <c r="BY204" i="39"/>
  <c r="BY205" i="39"/>
  <c r="BY206" i="39"/>
  <c r="BY207" i="39"/>
  <c r="BY208" i="39"/>
  <c r="BY209" i="39"/>
  <c r="BZ196" i="39"/>
  <c r="BZ197" i="39"/>
  <c r="BZ198" i="39"/>
  <c r="BZ199" i="39"/>
  <c r="BZ200" i="39"/>
  <c r="BZ201" i="39"/>
  <c r="BZ202" i="39"/>
  <c r="BZ203" i="39"/>
  <c r="BZ204" i="39"/>
  <c r="BZ205" i="39"/>
  <c r="BZ206" i="39"/>
  <c r="BZ207" i="39"/>
  <c r="BZ208" i="39"/>
  <c r="BZ209" i="39"/>
  <c r="CB196" i="39"/>
  <c r="CB197" i="39"/>
  <c r="CB198" i="39"/>
  <c r="CB199" i="39"/>
  <c r="CB200" i="39"/>
  <c r="CB201" i="39"/>
  <c r="CB202" i="39"/>
  <c r="CB203" i="39"/>
  <c r="CB204" i="39"/>
  <c r="CB205" i="39"/>
  <c r="CB206" i="39"/>
  <c r="CB207" i="39"/>
  <c r="CB208" i="39"/>
  <c r="CB209" i="39"/>
  <c r="CC196" i="39"/>
  <c r="CC197" i="39"/>
  <c r="CC198" i="39"/>
  <c r="CC199" i="39"/>
  <c r="CC200" i="39"/>
  <c r="CC201" i="39"/>
  <c r="CC202" i="39"/>
  <c r="CC203" i="39"/>
  <c r="CC204" i="39"/>
  <c r="CC205" i="39"/>
  <c r="CC206" i="39"/>
  <c r="CC207" i="39"/>
  <c r="CC208" i="39"/>
  <c r="CC209" i="39"/>
  <c r="AH182" i="39"/>
  <c r="AH183" i="39"/>
  <c r="AH184" i="39"/>
  <c r="AH185" i="39"/>
  <c r="AH186" i="39"/>
  <c r="AH187" i="39"/>
  <c r="AH188" i="39"/>
  <c r="AH189" i="39"/>
  <c r="AH190" i="39"/>
  <c r="AH191" i="39"/>
  <c r="AH192" i="39"/>
  <c r="AH193" i="39"/>
  <c r="AH194" i="39"/>
  <c r="AH195" i="39"/>
  <c r="AI182" i="39"/>
  <c r="AI183" i="39"/>
  <c r="AI184" i="39"/>
  <c r="AI185" i="39"/>
  <c r="AI186" i="39"/>
  <c r="AI187" i="39"/>
  <c r="AI188" i="39"/>
  <c r="AI189" i="39"/>
  <c r="AI190" i="39"/>
  <c r="AI191" i="39"/>
  <c r="AI192" i="39"/>
  <c r="AI193" i="39"/>
  <c r="AI194" i="39"/>
  <c r="AI195" i="39"/>
  <c r="AJ182" i="39"/>
  <c r="AJ183" i="39"/>
  <c r="AJ184" i="39"/>
  <c r="AJ185" i="39"/>
  <c r="AJ186" i="39"/>
  <c r="AJ187" i="39"/>
  <c r="AJ188" i="39"/>
  <c r="AJ189" i="39"/>
  <c r="AJ190" i="39"/>
  <c r="AJ191" i="39"/>
  <c r="AJ192" i="39"/>
  <c r="AJ193" i="39"/>
  <c r="AJ194" i="39"/>
  <c r="AJ195" i="39"/>
  <c r="AK182" i="39"/>
  <c r="AK183" i="39"/>
  <c r="AK184" i="39"/>
  <c r="AK185" i="39"/>
  <c r="AK186" i="39"/>
  <c r="AK187" i="39"/>
  <c r="AK188" i="39"/>
  <c r="AK189" i="39"/>
  <c r="AK190" i="39"/>
  <c r="AK191" i="39"/>
  <c r="AK192" i="39"/>
  <c r="AK193" i="39"/>
  <c r="AK194" i="39"/>
  <c r="AK195" i="39"/>
  <c r="AL182" i="39"/>
  <c r="AL183" i="39"/>
  <c r="AL184" i="39"/>
  <c r="AL185" i="39"/>
  <c r="AL186" i="39"/>
  <c r="AL187" i="39"/>
  <c r="AL188" i="39"/>
  <c r="AL189" i="39"/>
  <c r="AL190" i="39"/>
  <c r="AL191" i="39"/>
  <c r="AL192" i="39"/>
  <c r="W192" i="39" s="1"/>
  <c r="AL193" i="39"/>
  <c r="AL194" i="39"/>
  <c r="AL195" i="39"/>
  <c r="AM182" i="39"/>
  <c r="AM183" i="39"/>
  <c r="AM184" i="39"/>
  <c r="AM185" i="39"/>
  <c r="AM186" i="39"/>
  <c r="AM187" i="39"/>
  <c r="AM188" i="39"/>
  <c r="AM189" i="39"/>
  <c r="AM190" i="39"/>
  <c r="AM191" i="39"/>
  <c r="AM192" i="39"/>
  <c r="AM193" i="39"/>
  <c r="AM194" i="39"/>
  <c r="AM195" i="39"/>
  <c r="AN182" i="39"/>
  <c r="AN183" i="39"/>
  <c r="AN184" i="39"/>
  <c r="AN185" i="39"/>
  <c r="AN186" i="39"/>
  <c r="AN187" i="39"/>
  <c r="AN188" i="39"/>
  <c r="AN189" i="39"/>
  <c r="AN190" i="39"/>
  <c r="AN191" i="39"/>
  <c r="AN192" i="39"/>
  <c r="AN193" i="39"/>
  <c r="AN194" i="39"/>
  <c r="AN195" i="39"/>
  <c r="AO182" i="39"/>
  <c r="AO183" i="39"/>
  <c r="AO184" i="39"/>
  <c r="AO185" i="39"/>
  <c r="AO186" i="39"/>
  <c r="AO187" i="39"/>
  <c r="AO188" i="39"/>
  <c r="AO189" i="39"/>
  <c r="AO190" i="39"/>
  <c r="AO191" i="39"/>
  <c r="AO192" i="39"/>
  <c r="AO193" i="39"/>
  <c r="AO194" i="39"/>
  <c r="AO195" i="39"/>
  <c r="AP182" i="39"/>
  <c r="AP183" i="39"/>
  <c r="AP184" i="39"/>
  <c r="X184" i="39" s="1"/>
  <c r="AP185" i="39"/>
  <c r="AP186" i="39"/>
  <c r="AP187" i="39"/>
  <c r="AP188" i="39"/>
  <c r="AP189" i="39"/>
  <c r="AP190" i="39"/>
  <c r="AP191" i="39"/>
  <c r="AP192" i="39"/>
  <c r="AP193" i="39"/>
  <c r="AP194" i="39"/>
  <c r="AP195" i="39"/>
  <c r="AQ182" i="39"/>
  <c r="AQ183" i="39"/>
  <c r="AQ184" i="39"/>
  <c r="AQ185" i="39"/>
  <c r="AQ186" i="39"/>
  <c r="AQ187" i="39"/>
  <c r="AQ188" i="39"/>
  <c r="AQ189" i="39"/>
  <c r="AQ190" i="39"/>
  <c r="AQ191" i="39"/>
  <c r="AQ192" i="39"/>
  <c r="AQ193" i="39"/>
  <c r="AQ194" i="39"/>
  <c r="AQ195" i="39"/>
  <c r="AR182" i="39"/>
  <c r="AR183" i="39"/>
  <c r="AR184" i="39"/>
  <c r="AR185" i="39"/>
  <c r="AR186" i="39"/>
  <c r="AR187" i="39"/>
  <c r="AR188" i="39"/>
  <c r="AR189" i="39"/>
  <c r="AR190" i="39"/>
  <c r="AR191" i="39"/>
  <c r="AR192" i="39"/>
  <c r="AR193" i="39"/>
  <c r="AR194" i="39"/>
  <c r="AR195" i="39"/>
  <c r="AS182" i="39"/>
  <c r="AS183" i="39"/>
  <c r="AS184" i="39"/>
  <c r="AS185" i="39"/>
  <c r="AS186" i="39"/>
  <c r="AS187" i="39"/>
  <c r="AS188" i="39"/>
  <c r="AS189" i="39"/>
  <c r="AS190" i="39"/>
  <c r="AS191" i="39"/>
  <c r="AS192" i="39"/>
  <c r="AS193" i="39"/>
  <c r="AS194" i="39"/>
  <c r="AS195" i="39"/>
  <c r="AT182" i="39"/>
  <c r="AT183" i="39"/>
  <c r="AT184" i="39"/>
  <c r="Y184" i="39" s="1"/>
  <c r="AT185" i="39"/>
  <c r="Y185" i="39" s="1"/>
  <c r="AT186" i="39"/>
  <c r="AT187" i="39"/>
  <c r="AT188" i="39"/>
  <c r="AT189" i="39"/>
  <c r="AT190" i="39"/>
  <c r="Y190" i="39" s="1"/>
  <c r="AT191" i="39"/>
  <c r="AT192" i="39"/>
  <c r="Y192" i="39" s="1"/>
  <c r="AT193" i="39"/>
  <c r="AT194" i="39"/>
  <c r="AT195" i="39"/>
  <c r="AU182" i="39"/>
  <c r="AU183" i="39"/>
  <c r="AU184" i="39"/>
  <c r="AU185" i="39"/>
  <c r="AU186" i="39"/>
  <c r="AU187" i="39"/>
  <c r="AU188" i="39"/>
  <c r="AU189" i="39"/>
  <c r="AU190" i="39"/>
  <c r="AU191" i="39"/>
  <c r="AU192" i="39"/>
  <c r="AU193" i="39"/>
  <c r="AU194" i="39"/>
  <c r="AU195" i="39"/>
  <c r="AX182" i="39"/>
  <c r="AX183" i="39"/>
  <c r="AX184" i="39"/>
  <c r="Z184" i="39" s="1"/>
  <c r="AX185" i="39"/>
  <c r="AX186" i="39"/>
  <c r="AX187" i="39"/>
  <c r="AX188" i="39"/>
  <c r="AX189" i="39"/>
  <c r="AX190" i="39"/>
  <c r="AX191" i="39"/>
  <c r="AX192" i="39"/>
  <c r="AX193" i="39"/>
  <c r="AX194" i="39"/>
  <c r="AX195" i="39"/>
  <c r="AY182" i="39"/>
  <c r="AY183" i="39"/>
  <c r="AY184" i="39"/>
  <c r="AY185" i="39"/>
  <c r="AY186" i="39"/>
  <c r="AY187" i="39"/>
  <c r="AY188" i="39"/>
  <c r="AY189" i="39"/>
  <c r="AY190" i="39"/>
  <c r="AY191" i="39"/>
  <c r="AY192" i="39"/>
  <c r="AY193" i="39"/>
  <c r="AY194" i="39"/>
  <c r="AY195" i="39"/>
  <c r="AZ182" i="39"/>
  <c r="AZ183" i="39"/>
  <c r="AZ184" i="39"/>
  <c r="AZ185" i="39"/>
  <c r="AZ186" i="39"/>
  <c r="AZ187" i="39"/>
  <c r="AZ188" i="39"/>
  <c r="AZ189" i="39"/>
  <c r="AZ190" i="39"/>
  <c r="AZ191" i="39"/>
  <c r="AZ192" i="39"/>
  <c r="AZ193" i="39"/>
  <c r="AZ194" i="39"/>
  <c r="AZ195" i="39"/>
  <c r="BA182" i="39"/>
  <c r="BA183" i="39"/>
  <c r="BA184" i="39"/>
  <c r="BA185" i="39"/>
  <c r="BA186" i="39"/>
  <c r="BA187" i="39"/>
  <c r="BA188" i="39"/>
  <c r="BA189" i="39"/>
  <c r="BA190" i="39"/>
  <c r="BA191" i="39"/>
  <c r="BA192" i="39"/>
  <c r="BA193" i="39"/>
  <c r="BA194" i="39"/>
  <c r="BA195" i="39"/>
  <c r="BM182" i="39"/>
  <c r="BM183" i="39"/>
  <c r="BM184" i="39"/>
  <c r="BM185" i="39"/>
  <c r="BM186" i="39"/>
  <c r="BM187" i="39"/>
  <c r="BM188" i="39"/>
  <c r="BM189" i="39"/>
  <c r="BM190" i="39"/>
  <c r="BM191" i="39"/>
  <c r="BM192" i="39"/>
  <c r="BM193" i="39"/>
  <c r="BM194" i="39"/>
  <c r="BM195" i="39"/>
  <c r="BN182" i="39"/>
  <c r="BN183" i="39"/>
  <c r="BN184" i="39"/>
  <c r="BN185" i="39"/>
  <c r="BN186" i="39"/>
  <c r="BN187" i="39"/>
  <c r="BN188" i="39"/>
  <c r="BN189" i="39"/>
  <c r="BN190" i="39"/>
  <c r="BN191" i="39"/>
  <c r="BN192" i="39"/>
  <c r="BN193" i="39"/>
  <c r="BN194" i="39"/>
  <c r="BN195" i="39"/>
  <c r="BO182" i="39"/>
  <c r="BO183" i="39"/>
  <c r="BO184" i="39"/>
  <c r="BO185" i="39"/>
  <c r="BO186" i="39"/>
  <c r="BO187" i="39"/>
  <c r="BO188" i="39"/>
  <c r="BO189" i="39"/>
  <c r="BO190" i="39"/>
  <c r="BO191" i="39"/>
  <c r="BO192" i="39"/>
  <c r="BO193" i="39"/>
  <c r="BO194" i="39"/>
  <c r="BO195" i="39"/>
  <c r="BP182" i="39"/>
  <c r="BP183" i="39"/>
  <c r="BP184" i="39"/>
  <c r="BP185" i="39"/>
  <c r="BP186" i="39"/>
  <c r="BP187" i="39"/>
  <c r="BP188" i="39"/>
  <c r="BP189" i="39"/>
  <c r="BP190" i="39"/>
  <c r="BP191" i="39"/>
  <c r="BP192" i="39"/>
  <c r="BP193" i="39"/>
  <c r="BP194" i="39"/>
  <c r="BP195" i="39"/>
  <c r="BR182" i="39"/>
  <c r="BR183" i="39"/>
  <c r="BR184" i="39"/>
  <c r="BR185" i="39"/>
  <c r="BR186" i="39"/>
  <c r="BR187" i="39"/>
  <c r="BR188" i="39"/>
  <c r="BR189" i="39"/>
  <c r="BR190" i="39"/>
  <c r="BR191" i="39"/>
  <c r="BR192" i="39"/>
  <c r="BR193" i="39"/>
  <c r="BR194" i="39"/>
  <c r="BR195" i="39"/>
  <c r="BS182" i="39"/>
  <c r="BS183" i="39"/>
  <c r="BS184" i="39"/>
  <c r="BS185" i="39"/>
  <c r="BS186" i="39"/>
  <c r="BS187" i="39"/>
  <c r="BS188" i="39"/>
  <c r="BS189" i="39"/>
  <c r="BS190" i="39"/>
  <c r="BS191" i="39"/>
  <c r="BS192" i="39"/>
  <c r="BS193" i="39"/>
  <c r="BS194" i="39"/>
  <c r="BS195" i="39"/>
  <c r="BT182" i="39"/>
  <c r="BT183" i="39"/>
  <c r="BT184" i="39"/>
  <c r="BT185" i="39"/>
  <c r="BT186" i="39"/>
  <c r="BT187" i="39"/>
  <c r="BT188" i="39"/>
  <c r="BT189" i="39"/>
  <c r="BT190" i="39"/>
  <c r="BT191" i="39"/>
  <c r="BT192" i="39"/>
  <c r="BT193" i="39"/>
  <c r="BT194" i="39"/>
  <c r="BT195" i="39"/>
  <c r="BU182" i="39"/>
  <c r="BU183" i="39"/>
  <c r="BU184" i="39"/>
  <c r="BU185" i="39"/>
  <c r="BU186" i="39"/>
  <c r="BU187" i="39"/>
  <c r="BU188" i="39"/>
  <c r="BU189" i="39"/>
  <c r="BU190" i="39"/>
  <c r="BU191" i="39"/>
  <c r="BU192" i="39"/>
  <c r="BU193" i="39"/>
  <c r="BU194" i="39"/>
  <c r="BU195" i="39"/>
  <c r="BW182" i="39"/>
  <c r="BW183" i="39"/>
  <c r="BW184" i="39"/>
  <c r="BW185" i="39"/>
  <c r="BW186" i="39"/>
  <c r="BW187" i="39"/>
  <c r="BW188" i="39"/>
  <c r="BW189" i="39"/>
  <c r="BW190" i="39"/>
  <c r="BW191" i="39"/>
  <c r="BW192" i="39"/>
  <c r="BW193" i="39"/>
  <c r="BW194" i="39"/>
  <c r="BW195" i="39"/>
  <c r="BX182" i="39"/>
  <c r="BX183" i="39"/>
  <c r="BX184" i="39"/>
  <c r="BX185" i="39"/>
  <c r="BX186" i="39"/>
  <c r="BX187" i="39"/>
  <c r="BX188" i="39"/>
  <c r="BX189" i="39"/>
  <c r="BX190" i="39"/>
  <c r="BX191" i="39"/>
  <c r="BX192" i="39"/>
  <c r="BX193" i="39"/>
  <c r="BX194" i="39"/>
  <c r="BX195" i="39"/>
  <c r="BY182" i="39"/>
  <c r="BY183" i="39"/>
  <c r="BY184" i="39"/>
  <c r="BY185" i="39"/>
  <c r="BY186" i="39"/>
  <c r="BY187" i="39"/>
  <c r="BY188" i="39"/>
  <c r="BY189" i="39"/>
  <c r="BY190" i="39"/>
  <c r="BY191" i="39"/>
  <c r="BY192" i="39"/>
  <c r="BY193" i="39"/>
  <c r="BY194" i="39"/>
  <c r="BY195" i="39"/>
  <c r="BZ182" i="39"/>
  <c r="BZ183" i="39"/>
  <c r="BZ184" i="39"/>
  <c r="BZ185" i="39"/>
  <c r="BZ186" i="39"/>
  <c r="BZ187" i="39"/>
  <c r="BZ188" i="39"/>
  <c r="BZ189" i="39"/>
  <c r="BZ190" i="39"/>
  <c r="BZ191" i="39"/>
  <c r="BZ192" i="39"/>
  <c r="BZ193" i="39"/>
  <c r="BZ194" i="39"/>
  <c r="BZ195" i="39"/>
  <c r="CB182" i="39"/>
  <c r="CB183" i="39"/>
  <c r="CB184" i="39"/>
  <c r="CB185" i="39"/>
  <c r="CB186" i="39"/>
  <c r="CB187" i="39"/>
  <c r="CB188" i="39"/>
  <c r="CB189" i="39"/>
  <c r="CB190" i="39"/>
  <c r="CB191" i="39"/>
  <c r="CB192" i="39"/>
  <c r="CB193" i="39"/>
  <c r="CB194" i="39"/>
  <c r="CB195" i="39"/>
  <c r="CC182" i="39"/>
  <c r="CC183" i="39"/>
  <c r="CC184" i="39"/>
  <c r="CC185" i="39"/>
  <c r="CC186" i="39"/>
  <c r="CC187" i="39"/>
  <c r="CC188" i="39"/>
  <c r="CC189" i="39"/>
  <c r="CC190" i="39"/>
  <c r="CC191" i="39"/>
  <c r="CC192" i="39"/>
  <c r="CC193" i="39"/>
  <c r="CC194" i="39"/>
  <c r="CC195" i="39"/>
  <c r="AH168" i="39"/>
  <c r="AH169" i="39"/>
  <c r="AH170" i="39"/>
  <c r="AH171" i="39"/>
  <c r="AH172" i="39"/>
  <c r="AH173" i="39"/>
  <c r="AH174" i="39"/>
  <c r="AH175" i="39"/>
  <c r="AH176" i="39"/>
  <c r="AH177" i="39"/>
  <c r="AH178" i="39"/>
  <c r="AH179" i="39"/>
  <c r="AH180" i="39"/>
  <c r="AH181" i="39"/>
  <c r="AI168" i="39"/>
  <c r="AI169" i="39"/>
  <c r="AI170" i="39"/>
  <c r="AI171" i="39"/>
  <c r="AI172" i="39"/>
  <c r="AI173" i="39"/>
  <c r="AI174" i="39"/>
  <c r="AI175" i="39"/>
  <c r="AI176" i="39"/>
  <c r="AI177" i="39"/>
  <c r="AI178" i="39"/>
  <c r="AI179" i="39"/>
  <c r="AI180" i="39"/>
  <c r="AI181" i="39"/>
  <c r="AJ168" i="39"/>
  <c r="AJ169" i="39"/>
  <c r="AJ170" i="39"/>
  <c r="AJ171" i="39"/>
  <c r="AJ172" i="39"/>
  <c r="AJ173" i="39"/>
  <c r="AJ174" i="39"/>
  <c r="AJ175" i="39"/>
  <c r="AJ176" i="39"/>
  <c r="AJ177" i="39"/>
  <c r="AJ178" i="39"/>
  <c r="AJ179" i="39"/>
  <c r="AJ180" i="39"/>
  <c r="AJ181" i="39"/>
  <c r="AK168" i="39"/>
  <c r="AK169" i="39"/>
  <c r="AK170" i="39"/>
  <c r="AK171" i="39"/>
  <c r="AK172" i="39"/>
  <c r="AK173" i="39"/>
  <c r="AK174" i="39"/>
  <c r="AK175" i="39"/>
  <c r="AK176" i="39"/>
  <c r="AK177" i="39"/>
  <c r="AK178" i="39"/>
  <c r="AK179" i="39"/>
  <c r="AK180" i="39"/>
  <c r="AK181" i="39"/>
  <c r="AL168" i="39"/>
  <c r="AL169" i="39"/>
  <c r="AL170" i="39"/>
  <c r="AL171" i="39"/>
  <c r="AL172" i="39"/>
  <c r="AL173" i="39"/>
  <c r="AL174" i="39"/>
  <c r="AL175" i="39"/>
  <c r="AL176" i="39"/>
  <c r="AL177" i="39"/>
  <c r="AL178" i="39"/>
  <c r="AL179" i="39"/>
  <c r="AL180" i="39"/>
  <c r="AL181" i="39"/>
  <c r="AM168" i="39"/>
  <c r="AM169" i="39"/>
  <c r="AM170" i="39"/>
  <c r="AM171" i="39"/>
  <c r="AM172" i="39"/>
  <c r="AM173" i="39"/>
  <c r="AM174" i="39"/>
  <c r="AM175" i="39"/>
  <c r="AM176" i="39"/>
  <c r="AM177" i="39"/>
  <c r="AM178" i="39"/>
  <c r="AM179" i="39"/>
  <c r="AM180" i="39"/>
  <c r="AM181" i="39"/>
  <c r="AN168" i="39"/>
  <c r="AN169" i="39"/>
  <c r="AN170" i="39"/>
  <c r="AN171" i="39"/>
  <c r="AN172" i="39"/>
  <c r="AN173" i="39"/>
  <c r="AN174" i="39"/>
  <c r="AN175" i="39"/>
  <c r="AN176" i="39"/>
  <c r="AN177" i="39"/>
  <c r="AN178" i="39"/>
  <c r="AN179" i="39"/>
  <c r="AN180" i="39"/>
  <c r="AN181" i="39"/>
  <c r="AO168" i="39"/>
  <c r="AO169" i="39"/>
  <c r="AO170" i="39"/>
  <c r="AO171" i="39"/>
  <c r="AO172" i="39"/>
  <c r="AO173" i="39"/>
  <c r="AO174" i="39"/>
  <c r="AO175" i="39"/>
  <c r="AO176" i="39"/>
  <c r="AO177" i="39"/>
  <c r="AO178" i="39"/>
  <c r="AO179" i="39"/>
  <c r="AO180" i="39"/>
  <c r="AO181" i="39"/>
  <c r="AP168" i="39"/>
  <c r="AP169" i="39"/>
  <c r="AP170" i="39"/>
  <c r="AP171" i="39"/>
  <c r="AP172" i="39"/>
  <c r="AP173" i="39"/>
  <c r="AP174" i="39"/>
  <c r="AP175" i="39"/>
  <c r="AP176" i="39"/>
  <c r="AP177" i="39"/>
  <c r="AP178" i="39"/>
  <c r="AP179" i="39"/>
  <c r="AP180" i="39"/>
  <c r="AP181" i="39"/>
  <c r="AQ168" i="39"/>
  <c r="AQ169" i="39"/>
  <c r="AQ170" i="39"/>
  <c r="AQ171" i="39"/>
  <c r="AQ172" i="39"/>
  <c r="AQ173" i="39"/>
  <c r="AQ174" i="39"/>
  <c r="AQ175" i="39"/>
  <c r="AQ176" i="39"/>
  <c r="AQ177" i="39"/>
  <c r="AQ178" i="39"/>
  <c r="AQ179" i="39"/>
  <c r="AQ180" i="39"/>
  <c r="AQ181" i="39"/>
  <c r="AR168" i="39"/>
  <c r="AR169" i="39"/>
  <c r="AR170" i="39"/>
  <c r="AR171" i="39"/>
  <c r="AR172" i="39"/>
  <c r="AR173" i="39"/>
  <c r="AR174" i="39"/>
  <c r="AR175" i="39"/>
  <c r="AR176" i="39"/>
  <c r="AR177" i="39"/>
  <c r="AR178" i="39"/>
  <c r="AR179" i="39"/>
  <c r="AR180" i="39"/>
  <c r="AR181" i="39"/>
  <c r="AS168" i="39"/>
  <c r="AS169" i="39"/>
  <c r="AS170" i="39"/>
  <c r="AS171" i="39"/>
  <c r="AS172" i="39"/>
  <c r="AS173" i="39"/>
  <c r="AS174" i="39"/>
  <c r="AS175" i="39"/>
  <c r="AS176" i="39"/>
  <c r="AS177" i="39"/>
  <c r="AS178" i="39"/>
  <c r="AS179" i="39"/>
  <c r="AS180" i="39"/>
  <c r="AS181" i="39"/>
  <c r="AT168" i="39"/>
  <c r="AT169" i="39"/>
  <c r="AT170" i="39"/>
  <c r="AT171" i="39"/>
  <c r="AT172" i="39"/>
  <c r="Y172" i="39" s="1"/>
  <c r="AT173" i="39"/>
  <c r="AT174" i="39"/>
  <c r="AT175" i="39"/>
  <c r="AT176" i="39"/>
  <c r="AT177" i="39"/>
  <c r="AT178" i="39"/>
  <c r="AT179" i="39"/>
  <c r="AT180" i="39"/>
  <c r="AT181" i="39"/>
  <c r="AU168" i="39"/>
  <c r="AU169" i="39"/>
  <c r="AU170" i="39"/>
  <c r="AU171" i="39"/>
  <c r="AU172" i="39"/>
  <c r="AU173" i="39"/>
  <c r="AU174" i="39"/>
  <c r="AU175" i="39"/>
  <c r="AU176" i="39"/>
  <c r="AU177" i="39"/>
  <c r="AU178" i="39"/>
  <c r="AU179" i="39"/>
  <c r="AU180" i="39"/>
  <c r="AU181" i="39"/>
  <c r="AX168" i="39"/>
  <c r="AX169" i="39"/>
  <c r="AX170" i="39"/>
  <c r="AX171" i="39"/>
  <c r="AX172" i="39"/>
  <c r="AX173" i="39"/>
  <c r="AX174" i="39"/>
  <c r="AX175" i="39"/>
  <c r="AX176" i="39"/>
  <c r="AX177" i="39"/>
  <c r="AX178" i="39"/>
  <c r="AX179" i="39"/>
  <c r="AX180" i="39"/>
  <c r="AX181" i="39"/>
  <c r="AY168" i="39"/>
  <c r="AY169" i="39"/>
  <c r="AY170" i="39"/>
  <c r="AY171" i="39"/>
  <c r="AY172" i="39"/>
  <c r="AY173" i="39"/>
  <c r="AY174" i="39"/>
  <c r="AY175" i="39"/>
  <c r="AY176" i="39"/>
  <c r="AY177" i="39"/>
  <c r="AY178" i="39"/>
  <c r="AY179" i="39"/>
  <c r="AY180" i="39"/>
  <c r="AY181" i="39"/>
  <c r="AZ168" i="39"/>
  <c r="AZ169" i="39"/>
  <c r="AZ170" i="39"/>
  <c r="AZ171" i="39"/>
  <c r="AZ172" i="39"/>
  <c r="AZ173" i="39"/>
  <c r="AZ174" i="39"/>
  <c r="AZ175" i="39"/>
  <c r="AZ176" i="39"/>
  <c r="AZ177" i="39"/>
  <c r="AZ178" i="39"/>
  <c r="AZ179" i="39"/>
  <c r="AZ180" i="39"/>
  <c r="AZ181" i="39"/>
  <c r="BA168" i="39"/>
  <c r="BA169" i="39"/>
  <c r="BA170" i="39"/>
  <c r="BA171" i="39"/>
  <c r="BA172" i="39"/>
  <c r="BA173" i="39"/>
  <c r="BA174" i="39"/>
  <c r="BA175" i="39"/>
  <c r="BA176" i="39"/>
  <c r="BA177" i="39"/>
  <c r="BA178" i="39"/>
  <c r="BA179" i="39"/>
  <c r="BA180" i="39"/>
  <c r="BA181" i="39"/>
  <c r="BM168" i="39"/>
  <c r="BM169" i="39"/>
  <c r="BM170" i="39"/>
  <c r="BM171" i="39"/>
  <c r="BM172" i="39"/>
  <c r="BM173" i="39"/>
  <c r="BM174" i="39"/>
  <c r="BM175" i="39"/>
  <c r="BM176" i="39"/>
  <c r="BM177" i="39"/>
  <c r="BM178" i="39"/>
  <c r="BM179" i="39"/>
  <c r="BM180" i="39"/>
  <c r="BM181" i="39"/>
  <c r="BN168" i="39"/>
  <c r="BN169" i="39"/>
  <c r="BN170" i="39"/>
  <c r="BN171" i="39"/>
  <c r="BN172" i="39"/>
  <c r="BN173" i="39"/>
  <c r="BN174" i="39"/>
  <c r="BN175" i="39"/>
  <c r="BN176" i="39"/>
  <c r="BN177" i="39"/>
  <c r="BN178" i="39"/>
  <c r="BN179" i="39"/>
  <c r="BN180" i="39"/>
  <c r="BN181" i="39"/>
  <c r="BO168" i="39"/>
  <c r="BO169" i="39"/>
  <c r="BO170" i="39"/>
  <c r="BO171" i="39"/>
  <c r="BO172" i="39"/>
  <c r="BO173" i="39"/>
  <c r="BO174" i="39"/>
  <c r="BO175" i="39"/>
  <c r="BO176" i="39"/>
  <c r="BO177" i="39"/>
  <c r="BO178" i="39"/>
  <c r="BO179" i="39"/>
  <c r="BO180" i="39"/>
  <c r="BO181" i="39"/>
  <c r="BP168" i="39"/>
  <c r="BP169" i="39"/>
  <c r="BP170" i="39"/>
  <c r="BP171" i="39"/>
  <c r="BP172" i="39"/>
  <c r="BP173" i="39"/>
  <c r="BP174" i="39"/>
  <c r="BP175" i="39"/>
  <c r="BP176" i="39"/>
  <c r="BP177" i="39"/>
  <c r="BP178" i="39"/>
  <c r="BP179" i="39"/>
  <c r="BP180" i="39"/>
  <c r="BP181" i="39"/>
  <c r="BR168" i="39"/>
  <c r="BR169" i="39"/>
  <c r="BR170" i="39"/>
  <c r="BR171" i="39"/>
  <c r="BR172" i="39"/>
  <c r="BR173" i="39"/>
  <c r="BR174" i="39"/>
  <c r="BR175" i="39"/>
  <c r="BR176" i="39"/>
  <c r="BR177" i="39"/>
  <c r="BR178" i="39"/>
  <c r="BR179" i="39"/>
  <c r="BR180" i="39"/>
  <c r="BR181" i="39"/>
  <c r="BS168" i="39"/>
  <c r="BS169" i="39"/>
  <c r="BS170" i="39"/>
  <c r="BS171" i="39"/>
  <c r="BS172" i="39"/>
  <c r="BS173" i="39"/>
  <c r="BS174" i="39"/>
  <c r="BS175" i="39"/>
  <c r="BS176" i="39"/>
  <c r="BS177" i="39"/>
  <c r="BS178" i="39"/>
  <c r="BS179" i="39"/>
  <c r="BS180" i="39"/>
  <c r="BS181" i="39"/>
  <c r="BT168" i="39"/>
  <c r="BT169" i="39"/>
  <c r="BT170" i="39"/>
  <c r="BT171" i="39"/>
  <c r="BT172" i="39"/>
  <c r="BT173" i="39"/>
  <c r="BT174" i="39"/>
  <c r="BT175" i="39"/>
  <c r="BT176" i="39"/>
  <c r="BT177" i="39"/>
  <c r="BT178" i="39"/>
  <c r="BT179" i="39"/>
  <c r="BT180" i="39"/>
  <c r="BT181" i="39"/>
  <c r="BU168" i="39"/>
  <c r="BU169" i="39"/>
  <c r="BU170" i="39"/>
  <c r="BU171" i="39"/>
  <c r="BU172" i="39"/>
  <c r="BU173" i="39"/>
  <c r="BU174" i="39"/>
  <c r="BU175" i="39"/>
  <c r="BU176" i="39"/>
  <c r="BU177" i="39"/>
  <c r="BU178" i="39"/>
  <c r="BU179" i="39"/>
  <c r="BU180" i="39"/>
  <c r="BU181" i="39"/>
  <c r="BW168" i="39"/>
  <c r="BW169" i="39"/>
  <c r="BW170" i="39"/>
  <c r="BW171" i="39"/>
  <c r="BW172" i="39"/>
  <c r="BW173" i="39"/>
  <c r="BW174" i="39"/>
  <c r="BW175" i="39"/>
  <c r="BW176" i="39"/>
  <c r="BW177" i="39"/>
  <c r="BW178" i="39"/>
  <c r="BW179" i="39"/>
  <c r="BW180" i="39"/>
  <c r="BW181" i="39"/>
  <c r="BX168" i="39"/>
  <c r="BX169" i="39"/>
  <c r="BX170" i="39"/>
  <c r="BX171" i="39"/>
  <c r="BX172" i="39"/>
  <c r="BX173" i="39"/>
  <c r="BX174" i="39"/>
  <c r="BX175" i="39"/>
  <c r="BX176" i="39"/>
  <c r="BX177" i="39"/>
  <c r="BX178" i="39"/>
  <c r="BX179" i="39"/>
  <c r="BX180" i="39"/>
  <c r="BX181" i="39"/>
  <c r="BY168" i="39"/>
  <c r="BY169" i="39"/>
  <c r="BY170" i="39"/>
  <c r="BY171" i="39"/>
  <c r="BY172" i="39"/>
  <c r="BY173" i="39"/>
  <c r="BY174" i="39"/>
  <c r="BY175" i="39"/>
  <c r="BY176" i="39"/>
  <c r="BY177" i="39"/>
  <c r="BY178" i="39"/>
  <c r="BY179" i="39"/>
  <c r="BY180" i="39"/>
  <c r="BY181" i="39"/>
  <c r="BZ168" i="39"/>
  <c r="BZ169" i="39"/>
  <c r="BZ170" i="39"/>
  <c r="BZ171" i="39"/>
  <c r="BZ172" i="39"/>
  <c r="BZ173" i="39"/>
  <c r="BZ174" i="39"/>
  <c r="BZ175" i="39"/>
  <c r="BZ176" i="39"/>
  <c r="BZ177" i="39"/>
  <c r="BZ178" i="39"/>
  <c r="BZ179" i="39"/>
  <c r="BZ180" i="39"/>
  <c r="BZ181" i="39"/>
  <c r="CB168" i="39"/>
  <c r="CB169" i="39"/>
  <c r="CB170" i="39"/>
  <c r="CB171" i="39"/>
  <c r="CB172" i="39"/>
  <c r="CB173" i="39"/>
  <c r="CB174" i="39"/>
  <c r="CB175" i="39"/>
  <c r="CB176" i="39"/>
  <c r="CB177" i="39"/>
  <c r="CB178" i="39"/>
  <c r="CB179" i="39"/>
  <c r="CB180" i="39"/>
  <c r="CB181" i="39"/>
  <c r="CC168" i="39"/>
  <c r="CC169" i="39"/>
  <c r="CC170" i="39"/>
  <c r="CC171" i="39"/>
  <c r="CC172" i="39"/>
  <c r="CC173" i="39"/>
  <c r="CC174" i="39"/>
  <c r="CC175" i="39"/>
  <c r="CC176" i="39"/>
  <c r="CC177" i="39"/>
  <c r="CC178" i="39"/>
  <c r="CC179" i="39"/>
  <c r="CC180" i="39"/>
  <c r="CC181" i="39"/>
  <c r="AH159" i="39"/>
  <c r="AH160" i="39"/>
  <c r="AH161" i="39"/>
  <c r="AH162" i="39"/>
  <c r="AH163" i="39"/>
  <c r="AH164" i="39"/>
  <c r="AH165" i="39"/>
  <c r="AH166" i="39"/>
  <c r="AH167" i="39"/>
  <c r="AI159" i="39"/>
  <c r="AI160" i="39"/>
  <c r="AI161" i="39"/>
  <c r="AI162" i="39"/>
  <c r="AI163" i="39"/>
  <c r="AI164" i="39"/>
  <c r="AI165" i="39"/>
  <c r="AI166" i="39"/>
  <c r="AI167" i="39"/>
  <c r="AJ159" i="39"/>
  <c r="AJ160" i="39"/>
  <c r="AJ161" i="39"/>
  <c r="AJ162" i="39"/>
  <c r="AJ163" i="39"/>
  <c r="AJ164" i="39"/>
  <c r="AJ165" i="39"/>
  <c r="AJ166" i="39"/>
  <c r="AJ167" i="39"/>
  <c r="AK159" i="39"/>
  <c r="AK160" i="39"/>
  <c r="AK161" i="39"/>
  <c r="AK162" i="39"/>
  <c r="AK163" i="39"/>
  <c r="AK164" i="39"/>
  <c r="AK165" i="39"/>
  <c r="AK166" i="39"/>
  <c r="AK167" i="39"/>
  <c r="AL159" i="39"/>
  <c r="AL160" i="39"/>
  <c r="AL161" i="39"/>
  <c r="AL162" i="39"/>
  <c r="AL163" i="39"/>
  <c r="AL164" i="39"/>
  <c r="AL165" i="39"/>
  <c r="AL166" i="39"/>
  <c r="AL167" i="39"/>
  <c r="AM159" i="39"/>
  <c r="AM160" i="39"/>
  <c r="AM161" i="39"/>
  <c r="AM162" i="39"/>
  <c r="AM163" i="39"/>
  <c r="AM164" i="39"/>
  <c r="AM165" i="39"/>
  <c r="AM166" i="39"/>
  <c r="AM167" i="39"/>
  <c r="AN159" i="39"/>
  <c r="AN160" i="39"/>
  <c r="AN161" i="39"/>
  <c r="AN162" i="39"/>
  <c r="AN163" i="39"/>
  <c r="AN164" i="39"/>
  <c r="AN165" i="39"/>
  <c r="AN166" i="39"/>
  <c r="AN167" i="39"/>
  <c r="AO159" i="39"/>
  <c r="AO160" i="39"/>
  <c r="AO161" i="39"/>
  <c r="AO162" i="39"/>
  <c r="AO163" i="39"/>
  <c r="AO164" i="39"/>
  <c r="AO165" i="39"/>
  <c r="AO166" i="39"/>
  <c r="AO167" i="39"/>
  <c r="AP159" i="39"/>
  <c r="AP160" i="39"/>
  <c r="AP161" i="39"/>
  <c r="AP162" i="39"/>
  <c r="AP163" i="39"/>
  <c r="AP164" i="39"/>
  <c r="AP165" i="39"/>
  <c r="AP166" i="39"/>
  <c r="AP167" i="39"/>
  <c r="AQ159" i="39"/>
  <c r="AQ160" i="39"/>
  <c r="AQ161" i="39"/>
  <c r="AQ162" i="39"/>
  <c r="AQ163" i="39"/>
  <c r="AQ164" i="39"/>
  <c r="AQ165" i="39"/>
  <c r="AQ166" i="39"/>
  <c r="AQ167" i="39"/>
  <c r="AR159" i="39"/>
  <c r="AR160" i="39"/>
  <c r="AR161" i="39"/>
  <c r="AR162" i="39"/>
  <c r="AR163" i="39"/>
  <c r="AR164" i="39"/>
  <c r="AR165" i="39"/>
  <c r="AR166" i="39"/>
  <c r="AR167" i="39"/>
  <c r="AS159" i="39"/>
  <c r="AS160" i="39"/>
  <c r="AS161" i="39"/>
  <c r="AS162" i="39"/>
  <c r="AS163" i="39"/>
  <c r="AS164" i="39"/>
  <c r="AS165" i="39"/>
  <c r="AS166" i="39"/>
  <c r="AS167" i="39"/>
  <c r="AT159" i="39"/>
  <c r="AT160" i="39"/>
  <c r="AT161" i="39"/>
  <c r="AT162" i="39"/>
  <c r="AT163" i="39"/>
  <c r="AT164" i="39"/>
  <c r="AT165" i="39"/>
  <c r="AT166" i="39"/>
  <c r="AT167" i="39"/>
  <c r="AU159" i="39"/>
  <c r="AU160" i="39"/>
  <c r="AU161" i="39"/>
  <c r="AU162" i="39"/>
  <c r="AU163" i="39"/>
  <c r="AU164" i="39"/>
  <c r="AU165" i="39"/>
  <c r="AU166" i="39"/>
  <c r="AU167" i="39"/>
  <c r="AX159" i="39"/>
  <c r="AX160" i="39"/>
  <c r="AX161" i="39"/>
  <c r="AX162" i="39"/>
  <c r="AX163" i="39"/>
  <c r="AX164" i="39"/>
  <c r="AX165" i="39"/>
  <c r="AX166" i="39"/>
  <c r="AX167" i="39"/>
  <c r="AY159" i="39"/>
  <c r="AY160" i="39"/>
  <c r="AY161" i="39"/>
  <c r="AY162" i="39"/>
  <c r="AY163" i="39"/>
  <c r="AY164" i="39"/>
  <c r="AY165" i="39"/>
  <c r="AY166" i="39"/>
  <c r="AY167" i="39"/>
  <c r="AZ159" i="39"/>
  <c r="AZ160" i="39"/>
  <c r="AZ161" i="39"/>
  <c r="AZ162" i="39"/>
  <c r="AZ163" i="39"/>
  <c r="AZ164" i="39"/>
  <c r="AZ165" i="39"/>
  <c r="AZ166" i="39"/>
  <c r="AZ167" i="39"/>
  <c r="BA159" i="39"/>
  <c r="BA160" i="39"/>
  <c r="BA161" i="39"/>
  <c r="BA162" i="39"/>
  <c r="BA163" i="39"/>
  <c r="BA164" i="39"/>
  <c r="BA165" i="39"/>
  <c r="BA166" i="39"/>
  <c r="BA167" i="39"/>
  <c r="BM159" i="39"/>
  <c r="BM160" i="39"/>
  <c r="BM161" i="39"/>
  <c r="BM162" i="39"/>
  <c r="BM163" i="39"/>
  <c r="BM164" i="39"/>
  <c r="BM165" i="39"/>
  <c r="BM166" i="39"/>
  <c r="BM167" i="39"/>
  <c r="BN159" i="39"/>
  <c r="BN160" i="39"/>
  <c r="BN161" i="39"/>
  <c r="BN162" i="39"/>
  <c r="BN163" i="39"/>
  <c r="BN164" i="39"/>
  <c r="BN165" i="39"/>
  <c r="BN166" i="39"/>
  <c r="BN167" i="39"/>
  <c r="BO159" i="39"/>
  <c r="BO160" i="39"/>
  <c r="BO161" i="39"/>
  <c r="BO162" i="39"/>
  <c r="BO163" i="39"/>
  <c r="BO164" i="39"/>
  <c r="BO165" i="39"/>
  <c r="BO166" i="39"/>
  <c r="BO167" i="39"/>
  <c r="BP159" i="39"/>
  <c r="BP160" i="39"/>
  <c r="BP161" i="39"/>
  <c r="BP162" i="39"/>
  <c r="BP163" i="39"/>
  <c r="BP164" i="39"/>
  <c r="BP165" i="39"/>
  <c r="BP166" i="39"/>
  <c r="BP167" i="39"/>
  <c r="BR159" i="39"/>
  <c r="BR160" i="39"/>
  <c r="BR161" i="39"/>
  <c r="BR162" i="39"/>
  <c r="BR163" i="39"/>
  <c r="BR164" i="39"/>
  <c r="BR165" i="39"/>
  <c r="BR166" i="39"/>
  <c r="BR167" i="39"/>
  <c r="BS159" i="39"/>
  <c r="BS160" i="39"/>
  <c r="BS161" i="39"/>
  <c r="BS162" i="39"/>
  <c r="BS163" i="39"/>
  <c r="BS164" i="39"/>
  <c r="BS165" i="39"/>
  <c r="BS166" i="39"/>
  <c r="BS167" i="39"/>
  <c r="BT159" i="39"/>
  <c r="BT160" i="39"/>
  <c r="BT161" i="39"/>
  <c r="BT162" i="39"/>
  <c r="BT163" i="39"/>
  <c r="BT164" i="39"/>
  <c r="BT165" i="39"/>
  <c r="BT166" i="39"/>
  <c r="BT167" i="39"/>
  <c r="BU159" i="39"/>
  <c r="BU160" i="39"/>
  <c r="BU161" i="39"/>
  <c r="BU162" i="39"/>
  <c r="BU163" i="39"/>
  <c r="BU164" i="39"/>
  <c r="BU165" i="39"/>
  <c r="BU166" i="39"/>
  <c r="BU167" i="39"/>
  <c r="BW159" i="39"/>
  <c r="BW160" i="39"/>
  <c r="BW161" i="39"/>
  <c r="BW162" i="39"/>
  <c r="BW163" i="39"/>
  <c r="BW164" i="39"/>
  <c r="BW165" i="39"/>
  <c r="BW166" i="39"/>
  <c r="BW167" i="39"/>
  <c r="BX159" i="39"/>
  <c r="BX160" i="39"/>
  <c r="BX161" i="39"/>
  <c r="BX162" i="39"/>
  <c r="BX163" i="39"/>
  <c r="BX164" i="39"/>
  <c r="BX165" i="39"/>
  <c r="BX166" i="39"/>
  <c r="BX167" i="39"/>
  <c r="BY159" i="39"/>
  <c r="BY160" i="39"/>
  <c r="BY161" i="39"/>
  <c r="BY162" i="39"/>
  <c r="BY163" i="39"/>
  <c r="BY164" i="39"/>
  <c r="BY165" i="39"/>
  <c r="BY166" i="39"/>
  <c r="BY167" i="39"/>
  <c r="BZ159" i="39"/>
  <c r="BZ160" i="39"/>
  <c r="BZ161" i="39"/>
  <c r="BZ162" i="39"/>
  <c r="BZ163" i="39"/>
  <c r="BZ164" i="39"/>
  <c r="BZ165" i="39"/>
  <c r="BZ166" i="39"/>
  <c r="BZ167" i="39"/>
  <c r="CB159" i="39"/>
  <c r="CB160" i="39"/>
  <c r="CB161" i="39"/>
  <c r="CB162" i="39"/>
  <c r="CB163" i="39"/>
  <c r="CB164" i="39"/>
  <c r="CB165" i="39"/>
  <c r="CB166" i="39"/>
  <c r="CB167" i="39"/>
  <c r="CC159" i="39"/>
  <c r="CC160" i="39"/>
  <c r="CC161" i="39"/>
  <c r="CC162" i="39"/>
  <c r="CC163" i="39"/>
  <c r="CC164" i="39"/>
  <c r="CC165" i="39"/>
  <c r="CC166" i="39"/>
  <c r="CC167" i="39"/>
  <c r="AH156" i="39"/>
  <c r="AH157" i="39"/>
  <c r="AH158" i="39"/>
  <c r="AI156" i="39"/>
  <c r="AI157" i="39"/>
  <c r="AI158" i="39"/>
  <c r="AJ156" i="39"/>
  <c r="AJ157" i="39"/>
  <c r="AJ158" i="39"/>
  <c r="AK156" i="39"/>
  <c r="AK157" i="39"/>
  <c r="AK158" i="39"/>
  <c r="AL156" i="39"/>
  <c r="AL157" i="39"/>
  <c r="AL158" i="39"/>
  <c r="AM156" i="39"/>
  <c r="AM157" i="39"/>
  <c r="AM158" i="39"/>
  <c r="AN156" i="39"/>
  <c r="AN157" i="39"/>
  <c r="AN158" i="39"/>
  <c r="AO156" i="39"/>
  <c r="AO157" i="39"/>
  <c r="AO158" i="39"/>
  <c r="AP156" i="39"/>
  <c r="AP157" i="39"/>
  <c r="AP158" i="39"/>
  <c r="AQ156" i="39"/>
  <c r="AQ157" i="39"/>
  <c r="AQ158" i="39"/>
  <c r="AR156" i="39"/>
  <c r="AR157" i="39"/>
  <c r="AR158" i="39"/>
  <c r="AS156" i="39"/>
  <c r="AS157" i="39"/>
  <c r="AS158" i="39"/>
  <c r="AT156" i="39"/>
  <c r="AT157" i="39"/>
  <c r="AT158" i="39"/>
  <c r="AU156" i="39"/>
  <c r="AU157" i="39"/>
  <c r="AU158" i="39"/>
  <c r="AX156" i="39"/>
  <c r="AX157" i="39"/>
  <c r="AX158" i="39"/>
  <c r="AY156" i="39"/>
  <c r="AY157" i="39"/>
  <c r="AY158" i="39"/>
  <c r="AZ156" i="39"/>
  <c r="AZ157" i="39"/>
  <c r="AZ158" i="39"/>
  <c r="BA156" i="39"/>
  <c r="BA157" i="39"/>
  <c r="BA158" i="39"/>
  <c r="BM156" i="39"/>
  <c r="BM157" i="39"/>
  <c r="BM158" i="39"/>
  <c r="BN156" i="39"/>
  <c r="BN157" i="39"/>
  <c r="BN158" i="39"/>
  <c r="BO156" i="39"/>
  <c r="BO157" i="39"/>
  <c r="BO158" i="39"/>
  <c r="BP156" i="39"/>
  <c r="BP157" i="39"/>
  <c r="BP158" i="39"/>
  <c r="BR156" i="39"/>
  <c r="BR157" i="39"/>
  <c r="BR158" i="39"/>
  <c r="BS156" i="39"/>
  <c r="BS157" i="39"/>
  <c r="BS158" i="39"/>
  <c r="BT156" i="39"/>
  <c r="BT157" i="39"/>
  <c r="BT158" i="39"/>
  <c r="BU156" i="39"/>
  <c r="BU157" i="39"/>
  <c r="BU158" i="39"/>
  <c r="BW156" i="39"/>
  <c r="BW157" i="39"/>
  <c r="BW158" i="39"/>
  <c r="BX156" i="39"/>
  <c r="BX157" i="39"/>
  <c r="BX158" i="39"/>
  <c r="BY156" i="39"/>
  <c r="BY157" i="39"/>
  <c r="BY158" i="39"/>
  <c r="BZ156" i="39"/>
  <c r="BZ157" i="39"/>
  <c r="BZ158" i="39"/>
  <c r="CB156" i="39"/>
  <c r="CB157" i="39"/>
  <c r="CB158" i="39"/>
  <c r="CC156" i="39"/>
  <c r="CC157" i="39"/>
  <c r="CC158" i="39"/>
  <c r="AH142" i="39"/>
  <c r="AH143" i="39"/>
  <c r="AH144" i="39"/>
  <c r="AH145" i="39"/>
  <c r="AH146" i="39"/>
  <c r="AH147" i="39"/>
  <c r="AH148" i="39"/>
  <c r="AH149" i="39"/>
  <c r="AH150" i="39"/>
  <c r="AH151" i="39"/>
  <c r="AH152" i="39"/>
  <c r="AH153" i="39"/>
  <c r="AH154" i="39"/>
  <c r="AH155" i="39"/>
  <c r="AI142" i="39"/>
  <c r="AI143" i="39"/>
  <c r="AI144" i="39"/>
  <c r="AI145" i="39"/>
  <c r="AI146" i="39"/>
  <c r="AI147" i="39"/>
  <c r="AI148" i="39"/>
  <c r="AI149" i="39"/>
  <c r="AI150" i="39"/>
  <c r="AI151" i="39"/>
  <c r="AI152" i="39"/>
  <c r="AI153" i="39"/>
  <c r="AI154" i="39"/>
  <c r="AI155" i="39"/>
  <c r="AJ142" i="39"/>
  <c r="AJ143" i="39"/>
  <c r="AJ144" i="39"/>
  <c r="AJ145" i="39"/>
  <c r="AJ146" i="39"/>
  <c r="AJ147" i="39"/>
  <c r="AJ148" i="39"/>
  <c r="AJ149" i="39"/>
  <c r="AJ150" i="39"/>
  <c r="AJ151" i="39"/>
  <c r="AJ152" i="39"/>
  <c r="AJ153" i="39"/>
  <c r="AJ154" i="39"/>
  <c r="AJ155" i="39"/>
  <c r="AK142" i="39"/>
  <c r="AK143" i="39"/>
  <c r="AK144" i="39"/>
  <c r="AK145" i="39"/>
  <c r="AK146" i="39"/>
  <c r="AK147" i="39"/>
  <c r="AK148" i="39"/>
  <c r="AK149" i="39"/>
  <c r="AK150" i="39"/>
  <c r="AK151" i="39"/>
  <c r="AK152" i="39"/>
  <c r="AK153" i="39"/>
  <c r="AK154" i="39"/>
  <c r="AK155" i="39"/>
  <c r="AL142" i="39"/>
  <c r="AL143" i="39"/>
  <c r="AL144" i="39"/>
  <c r="AL145" i="39"/>
  <c r="AL146" i="39"/>
  <c r="AL147" i="39"/>
  <c r="AL148" i="39"/>
  <c r="AL149" i="39"/>
  <c r="AL150" i="39"/>
  <c r="AL151" i="39"/>
  <c r="AL152" i="39"/>
  <c r="AL153" i="39"/>
  <c r="AL154" i="39"/>
  <c r="AL155" i="39"/>
  <c r="AM142" i="39"/>
  <c r="AM143" i="39"/>
  <c r="AM144" i="39"/>
  <c r="AM145" i="39"/>
  <c r="AM146" i="39"/>
  <c r="AM147" i="39"/>
  <c r="AM148" i="39"/>
  <c r="AM149" i="39"/>
  <c r="AM150" i="39"/>
  <c r="AM151" i="39"/>
  <c r="AM152" i="39"/>
  <c r="AM153" i="39"/>
  <c r="AM154" i="39"/>
  <c r="AM155" i="39"/>
  <c r="AN142" i="39"/>
  <c r="AN143" i="39"/>
  <c r="AN144" i="39"/>
  <c r="AN145" i="39"/>
  <c r="AN146" i="39"/>
  <c r="AN147" i="39"/>
  <c r="AN148" i="39"/>
  <c r="AN149" i="39"/>
  <c r="AN150" i="39"/>
  <c r="AN151" i="39"/>
  <c r="AN152" i="39"/>
  <c r="AN153" i="39"/>
  <c r="AN154" i="39"/>
  <c r="AN155" i="39"/>
  <c r="AO142" i="39"/>
  <c r="AO143" i="39"/>
  <c r="AO144" i="39"/>
  <c r="AO145" i="39"/>
  <c r="AO146" i="39"/>
  <c r="AO147" i="39"/>
  <c r="AO148" i="39"/>
  <c r="AO149" i="39"/>
  <c r="AO150" i="39"/>
  <c r="AO151" i="39"/>
  <c r="AO152" i="39"/>
  <c r="AO153" i="39"/>
  <c r="AO154" i="39"/>
  <c r="AO155" i="39"/>
  <c r="AP142" i="39"/>
  <c r="AP143" i="39"/>
  <c r="AP144" i="39"/>
  <c r="AP145" i="39"/>
  <c r="AP146" i="39"/>
  <c r="AP147" i="39"/>
  <c r="AP148" i="39"/>
  <c r="AP149" i="39"/>
  <c r="AP150" i="39"/>
  <c r="AP151" i="39"/>
  <c r="AP152" i="39"/>
  <c r="AP153" i="39"/>
  <c r="AP154" i="39"/>
  <c r="AP155" i="39"/>
  <c r="AQ142" i="39"/>
  <c r="AQ143" i="39"/>
  <c r="AQ144" i="39"/>
  <c r="AQ145" i="39"/>
  <c r="AQ146" i="39"/>
  <c r="AQ147" i="39"/>
  <c r="AQ148" i="39"/>
  <c r="AQ149" i="39"/>
  <c r="AQ150" i="39"/>
  <c r="AQ151" i="39"/>
  <c r="AQ152" i="39"/>
  <c r="AQ153" i="39"/>
  <c r="AQ154" i="39"/>
  <c r="AQ155" i="39"/>
  <c r="AR142" i="39"/>
  <c r="AR143" i="39"/>
  <c r="AR144" i="39"/>
  <c r="AR145" i="39"/>
  <c r="AR146" i="39"/>
  <c r="AR147" i="39"/>
  <c r="AR148" i="39"/>
  <c r="AR149" i="39"/>
  <c r="AR150" i="39"/>
  <c r="AR151" i="39"/>
  <c r="AR152" i="39"/>
  <c r="AR153" i="39"/>
  <c r="AR154" i="39"/>
  <c r="AR155" i="39"/>
  <c r="AS142" i="39"/>
  <c r="AS143" i="39"/>
  <c r="AS144" i="39"/>
  <c r="AS145" i="39"/>
  <c r="AS146" i="39"/>
  <c r="AS147" i="39"/>
  <c r="AS148" i="39"/>
  <c r="AS149" i="39"/>
  <c r="AS150" i="39"/>
  <c r="AS151" i="39"/>
  <c r="AS152" i="39"/>
  <c r="AS153" i="39"/>
  <c r="AS154" i="39"/>
  <c r="AS155" i="39"/>
  <c r="AT142" i="39"/>
  <c r="AT143" i="39"/>
  <c r="AT144" i="39"/>
  <c r="AT145" i="39"/>
  <c r="AT146" i="39"/>
  <c r="AT147" i="39"/>
  <c r="AT148" i="39"/>
  <c r="AT149" i="39"/>
  <c r="AT150" i="39"/>
  <c r="AT151" i="39"/>
  <c r="AT152" i="39"/>
  <c r="AT153" i="39"/>
  <c r="AT154" i="39"/>
  <c r="AT155" i="39"/>
  <c r="AU142" i="39"/>
  <c r="AU143" i="39"/>
  <c r="AU144" i="39"/>
  <c r="AU145" i="39"/>
  <c r="AU146" i="39"/>
  <c r="AU147" i="39"/>
  <c r="AU148" i="39"/>
  <c r="AU149" i="39"/>
  <c r="AU150" i="39"/>
  <c r="AU151" i="39"/>
  <c r="AU152" i="39"/>
  <c r="AU153" i="39"/>
  <c r="AU154" i="39"/>
  <c r="AU155" i="39"/>
  <c r="AX142" i="39"/>
  <c r="AX143" i="39"/>
  <c r="AX144" i="39"/>
  <c r="AX145" i="39"/>
  <c r="AX146" i="39"/>
  <c r="AX147" i="39"/>
  <c r="AX148" i="39"/>
  <c r="AX149" i="39"/>
  <c r="AX150" i="39"/>
  <c r="AX151" i="39"/>
  <c r="AX152" i="39"/>
  <c r="AX153" i="39"/>
  <c r="AX154" i="39"/>
  <c r="AX155" i="39"/>
  <c r="AY142" i="39"/>
  <c r="AY143" i="39"/>
  <c r="AY144" i="39"/>
  <c r="AY145" i="39"/>
  <c r="AY146" i="39"/>
  <c r="AY147" i="39"/>
  <c r="AY148" i="39"/>
  <c r="AY149" i="39"/>
  <c r="AY150" i="39"/>
  <c r="AY151" i="39"/>
  <c r="AY152" i="39"/>
  <c r="AY153" i="39"/>
  <c r="AY154" i="39"/>
  <c r="AY155" i="39"/>
  <c r="AZ142" i="39"/>
  <c r="AZ143" i="39"/>
  <c r="AZ144" i="39"/>
  <c r="AZ145" i="39"/>
  <c r="AZ146" i="39"/>
  <c r="AZ147" i="39"/>
  <c r="AZ148" i="39"/>
  <c r="AZ149" i="39"/>
  <c r="AZ150" i="39"/>
  <c r="AZ151" i="39"/>
  <c r="AZ152" i="39"/>
  <c r="AZ153" i="39"/>
  <c r="AZ154" i="39"/>
  <c r="AZ155" i="39"/>
  <c r="BA142" i="39"/>
  <c r="BA143" i="39"/>
  <c r="BA144" i="39"/>
  <c r="BA145" i="39"/>
  <c r="BA146" i="39"/>
  <c r="BA147" i="39"/>
  <c r="BA148" i="39"/>
  <c r="BA149" i="39"/>
  <c r="BA150" i="39"/>
  <c r="BA151" i="39"/>
  <c r="BA152" i="39"/>
  <c r="BA153" i="39"/>
  <c r="BA154" i="39"/>
  <c r="BA155" i="39"/>
  <c r="BM142" i="39"/>
  <c r="BM143" i="39"/>
  <c r="BM144" i="39"/>
  <c r="BM145" i="39"/>
  <c r="BM146" i="39"/>
  <c r="BM147" i="39"/>
  <c r="BM148" i="39"/>
  <c r="BM149" i="39"/>
  <c r="BM150" i="39"/>
  <c r="BM151" i="39"/>
  <c r="BM152" i="39"/>
  <c r="BM153" i="39"/>
  <c r="BM154" i="39"/>
  <c r="BM155" i="39"/>
  <c r="BN142" i="39"/>
  <c r="BN143" i="39"/>
  <c r="BN144" i="39"/>
  <c r="BN145" i="39"/>
  <c r="BN146" i="39"/>
  <c r="BN147" i="39"/>
  <c r="BN148" i="39"/>
  <c r="BN149" i="39"/>
  <c r="BN150" i="39"/>
  <c r="BN151" i="39"/>
  <c r="BN152" i="39"/>
  <c r="BN153" i="39"/>
  <c r="BN154" i="39"/>
  <c r="BN155" i="39"/>
  <c r="BO142" i="39"/>
  <c r="BO143" i="39"/>
  <c r="BO144" i="39"/>
  <c r="BO145" i="39"/>
  <c r="BO146" i="39"/>
  <c r="BO147" i="39"/>
  <c r="BO148" i="39"/>
  <c r="BO149" i="39"/>
  <c r="BO150" i="39"/>
  <c r="BO151" i="39"/>
  <c r="BO152" i="39"/>
  <c r="BO153" i="39"/>
  <c r="BO154" i="39"/>
  <c r="BO155" i="39"/>
  <c r="BP142" i="39"/>
  <c r="BP143" i="39"/>
  <c r="BP144" i="39"/>
  <c r="BP145" i="39"/>
  <c r="BP146" i="39"/>
  <c r="BP147" i="39"/>
  <c r="BP148" i="39"/>
  <c r="BP149" i="39"/>
  <c r="BP150" i="39"/>
  <c r="BP151" i="39"/>
  <c r="BP152" i="39"/>
  <c r="BP153" i="39"/>
  <c r="BP154" i="39"/>
  <c r="BP155" i="39"/>
  <c r="BR142" i="39"/>
  <c r="BR143" i="39"/>
  <c r="BR144" i="39"/>
  <c r="BR145" i="39"/>
  <c r="BR146" i="39"/>
  <c r="BR147" i="39"/>
  <c r="BR148" i="39"/>
  <c r="BR149" i="39"/>
  <c r="BR150" i="39"/>
  <c r="BR151" i="39"/>
  <c r="BR152" i="39"/>
  <c r="BR153" i="39"/>
  <c r="BR154" i="39"/>
  <c r="BR155" i="39"/>
  <c r="BS142" i="39"/>
  <c r="BS143" i="39"/>
  <c r="BS144" i="39"/>
  <c r="BS145" i="39"/>
  <c r="BS146" i="39"/>
  <c r="BS147" i="39"/>
  <c r="BS148" i="39"/>
  <c r="BS149" i="39"/>
  <c r="BS150" i="39"/>
  <c r="BS151" i="39"/>
  <c r="BS152" i="39"/>
  <c r="BS153" i="39"/>
  <c r="BS154" i="39"/>
  <c r="BS155" i="39"/>
  <c r="BT142" i="39"/>
  <c r="BT143" i="39"/>
  <c r="BT144" i="39"/>
  <c r="BT145" i="39"/>
  <c r="BT146" i="39"/>
  <c r="BT147" i="39"/>
  <c r="BT148" i="39"/>
  <c r="BT149" i="39"/>
  <c r="BT150" i="39"/>
  <c r="BT151" i="39"/>
  <c r="BT152" i="39"/>
  <c r="BT153" i="39"/>
  <c r="BT154" i="39"/>
  <c r="BT155" i="39"/>
  <c r="BU142" i="39"/>
  <c r="BU143" i="39"/>
  <c r="BU144" i="39"/>
  <c r="BU145" i="39"/>
  <c r="BU146" i="39"/>
  <c r="BU147" i="39"/>
  <c r="BU148" i="39"/>
  <c r="BU149" i="39"/>
  <c r="BU150" i="39"/>
  <c r="BU151" i="39"/>
  <c r="BU152" i="39"/>
  <c r="BU153" i="39"/>
  <c r="BU154" i="39"/>
  <c r="BU155" i="39"/>
  <c r="BW142" i="39"/>
  <c r="BW143" i="39"/>
  <c r="BW144" i="39"/>
  <c r="BW145" i="39"/>
  <c r="BW146" i="39"/>
  <c r="BW147" i="39"/>
  <c r="BW148" i="39"/>
  <c r="BW149" i="39"/>
  <c r="BW150" i="39"/>
  <c r="BW151" i="39"/>
  <c r="BW152" i="39"/>
  <c r="BW153" i="39"/>
  <c r="BW154" i="39"/>
  <c r="BW155" i="39"/>
  <c r="BX142" i="39"/>
  <c r="BX143" i="39"/>
  <c r="BX144" i="39"/>
  <c r="BX145" i="39"/>
  <c r="BX146" i="39"/>
  <c r="BX147" i="39"/>
  <c r="BX148" i="39"/>
  <c r="BX149" i="39"/>
  <c r="BX150" i="39"/>
  <c r="BX151" i="39"/>
  <c r="BX152" i="39"/>
  <c r="BX153" i="39"/>
  <c r="BX154" i="39"/>
  <c r="BX155" i="39"/>
  <c r="BY142" i="39"/>
  <c r="BY143" i="39"/>
  <c r="BY144" i="39"/>
  <c r="BY145" i="39"/>
  <c r="BY146" i="39"/>
  <c r="BY147" i="39"/>
  <c r="BY148" i="39"/>
  <c r="BY149" i="39"/>
  <c r="BY150" i="39"/>
  <c r="BY151" i="39"/>
  <c r="BY152" i="39"/>
  <c r="BY153" i="39"/>
  <c r="BY154" i="39"/>
  <c r="BY155" i="39"/>
  <c r="BZ142" i="39"/>
  <c r="BZ143" i="39"/>
  <c r="BZ144" i="39"/>
  <c r="BZ145" i="39"/>
  <c r="BZ146" i="39"/>
  <c r="BZ147" i="39"/>
  <c r="BZ148" i="39"/>
  <c r="BZ149" i="39"/>
  <c r="BZ150" i="39"/>
  <c r="BZ151" i="39"/>
  <c r="BZ152" i="39"/>
  <c r="BZ153" i="39"/>
  <c r="BZ154" i="39"/>
  <c r="BZ155" i="39"/>
  <c r="CB142" i="39"/>
  <c r="CB143" i="39"/>
  <c r="CB144" i="39"/>
  <c r="CB145" i="39"/>
  <c r="CB146" i="39"/>
  <c r="CB147" i="39"/>
  <c r="CB148" i="39"/>
  <c r="CB149" i="39"/>
  <c r="CB150" i="39"/>
  <c r="CB151" i="39"/>
  <c r="CB152" i="39"/>
  <c r="CB153" i="39"/>
  <c r="CB154" i="39"/>
  <c r="CB155" i="39"/>
  <c r="CC142" i="39"/>
  <c r="CC143" i="39"/>
  <c r="CC144" i="39"/>
  <c r="CC145" i="39"/>
  <c r="CC146" i="39"/>
  <c r="CC147" i="39"/>
  <c r="CC148" i="39"/>
  <c r="CC149" i="39"/>
  <c r="CC150" i="39"/>
  <c r="CC151" i="39"/>
  <c r="CC152" i="39"/>
  <c r="CC153" i="39"/>
  <c r="CC154" i="39"/>
  <c r="CC155" i="39"/>
  <c r="AH118" i="39"/>
  <c r="AH119" i="39"/>
  <c r="AH120" i="39"/>
  <c r="AH121" i="39"/>
  <c r="AH122" i="39"/>
  <c r="AH123" i="39"/>
  <c r="AH124" i="39"/>
  <c r="AH125" i="39"/>
  <c r="AH126" i="39"/>
  <c r="AH127" i="39"/>
  <c r="AH128" i="39"/>
  <c r="AH129" i="39"/>
  <c r="AH130" i="39"/>
  <c r="AH131" i="39"/>
  <c r="AH132" i="39"/>
  <c r="AH133" i="39"/>
  <c r="AH134" i="39"/>
  <c r="AH135" i="39"/>
  <c r="AH136" i="39"/>
  <c r="AH137" i="39"/>
  <c r="AH138" i="39"/>
  <c r="AH139" i="39"/>
  <c r="AH140" i="39"/>
  <c r="AH141" i="39"/>
  <c r="AI118" i="39"/>
  <c r="AI119" i="39"/>
  <c r="AI120" i="39"/>
  <c r="AI121" i="39"/>
  <c r="AI122" i="39"/>
  <c r="AI123" i="39"/>
  <c r="AI124" i="39"/>
  <c r="AI125" i="39"/>
  <c r="AI126" i="39"/>
  <c r="AI127" i="39"/>
  <c r="AI128" i="39"/>
  <c r="AI129" i="39"/>
  <c r="AI130" i="39"/>
  <c r="AI131" i="39"/>
  <c r="AI132" i="39"/>
  <c r="AI133" i="39"/>
  <c r="AI134" i="39"/>
  <c r="AI135" i="39"/>
  <c r="AI136" i="39"/>
  <c r="AI137" i="39"/>
  <c r="AI138" i="39"/>
  <c r="AI139" i="39"/>
  <c r="AI140" i="39"/>
  <c r="AI141" i="39"/>
  <c r="AJ118" i="39"/>
  <c r="AJ119" i="39"/>
  <c r="AJ120" i="39"/>
  <c r="AJ121" i="39"/>
  <c r="AJ122" i="39"/>
  <c r="AJ123" i="39"/>
  <c r="AJ124" i="39"/>
  <c r="AJ125" i="39"/>
  <c r="AJ126" i="39"/>
  <c r="AJ127" i="39"/>
  <c r="AJ128" i="39"/>
  <c r="AJ129" i="39"/>
  <c r="AJ130" i="39"/>
  <c r="AJ131" i="39"/>
  <c r="AJ132" i="39"/>
  <c r="AJ133" i="39"/>
  <c r="AJ134" i="39"/>
  <c r="AJ135" i="39"/>
  <c r="AJ136" i="39"/>
  <c r="AJ137" i="39"/>
  <c r="AJ138" i="39"/>
  <c r="AJ139" i="39"/>
  <c r="AJ140" i="39"/>
  <c r="AJ141" i="39"/>
  <c r="AK118" i="39"/>
  <c r="AK119" i="39"/>
  <c r="AK120" i="39"/>
  <c r="AK121" i="39"/>
  <c r="AK122" i="39"/>
  <c r="AK123" i="39"/>
  <c r="AK124" i="39"/>
  <c r="AK125" i="39"/>
  <c r="AK126" i="39"/>
  <c r="AK127" i="39"/>
  <c r="AK128" i="39"/>
  <c r="AK129" i="39"/>
  <c r="AK130" i="39"/>
  <c r="AK131" i="39"/>
  <c r="AK132" i="39"/>
  <c r="AK133" i="39"/>
  <c r="AK134" i="39"/>
  <c r="AK135" i="39"/>
  <c r="AK136" i="39"/>
  <c r="AK137" i="39"/>
  <c r="AK138" i="39"/>
  <c r="AK139" i="39"/>
  <c r="AK140" i="39"/>
  <c r="AK141" i="39"/>
  <c r="AL118" i="39"/>
  <c r="AL119" i="39"/>
  <c r="AL120" i="39"/>
  <c r="AL121" i="39"/>
  <c r="AL122" i="39"/>
  <c r="AL123" i="39"/>
  <c r="AL124" i="39"/>
  <c r="AL125" i="39"/>
  <c r="AL126" i="39"/>
  <c r="AL127" i="39"/>
  <c r="AL128" i="39"/>
  <c r="AL129" i="39"/>
  <c r="AL130" i="39"/>
  <c r="AL131" i="39"/>
  <c r="AL132" i="39"/>
  <c r="AL133" i="39"/>
  <c r="AL134" i="39"/>
  <c r="AL135" i="39"/>
  <c r="AL136" i="39"/>
  <c r="AL137" i="39"/>
  <c r="AL138" i="39"/>
  <c r="AL139" i="39"/>
  <c r="AL140" i="39"/>
  <c r="AL141" i="39"/>
  <c r="AM118" i="39"/>
  <c r="AM119" i="39"/>
  <c r="AM120" i="39"/>
  <c r="AM121" i="39"/>
  <c r="AM122" i="39"/>
  <c r="AM123" i="39"/>
  <c r="AM124" i="39"/>
  <c r="AM125" i="39"/>
  <c r="AM126" i="39"/>
  <c r="AM127" i="39"/>
  <c r="AM128" i="39"/>
  <c r="AM129" i="39"/>
  <c r="AM130" i="39"/>
  <c r="AM131" i="39"/>
  <c r="AM132" i="39"/>
  <c r="AM133" i="39"/>
  <c r="AM134" i="39"/>
  <c r="AM135" i="39"/>
  <c r="AM136" i="39"/>
  <c r="AM137" i="39"/>
  <c r="AM138" i="39"/>
  <c r="AM139" i="39"/>
  <c r="AM140" i="39"/>
  <c r="AM141" i="39"/>
  <c r="AN118" i="39"/>
  <c r="AN119" i="39"/>
  <c r="AN120" i="39"/>
  <c r="AN121" i="39"/>
  <c r="AN122" i="39"/>
  <c r="AN123" i="39"/>
  <c r="AN124" i="39"/>
  <c r="AN125" i="39"/>
  <c r="AN126" i="39"/>
  <c r="AN127" i="39"/>
  <c r="AN128" i="39"/>
  <c r="AN129" i="39"/>
  <c r="AN130" i="39"/>
  <c r="AN131" i="39"/>
  <c r="AN132" i="39"/>
  <c r="AN133" i="39"/>
  <c r="AN134" i="39"/>
  <c r="AN135" i="39"/>
  <c r="AN136" i="39"/>
  <c r="AN137" i="39"/>
  <c r="AN138" i="39"/>
  <c r="AN139" i="39"/>
  <c r="AN140" i="39"/>
  <c r="AN141" i="39"/>
  <c r="AO118" i="39"/>
  <c r="AO119" i="39"/>
  <c r="AO120" i="39"/>
  <c r="AO121" i="39"/>
  <c r="AO122" i="39"/>
  <c r="AO123" i="39"/>
  <c r="AO124" i="39"/>
  <c r="AO125" i="39"/>
  <c r="AO126" i="39"/>
  <c r="AO127" i="39"/>
  <c r="AO128" i="39"/>
  <c r="AO129" i="39"/>
  <c r="AO130" i="39"/>
  <c r="AO131" i="39"/>
  <c r="AO132" i="39"/>
  <c r="AO133" i="39"/>
  <c r="AO134" i="39"/>
  <c r="AO135" i="39"/>
  <c r="AO136" i="39"/>
  <c r="AO137" i="39"/>
  <c r="AO138" i="39"/>
  <c r="AO139" i="39"/>
  <c r="AO140" i="39"/>
  <c r="AO141" i="39"/>
  <c r="AP118" i="39"/>
  <c r="AP119" i="39"/>
  <c r="AP120" i="39"/>
  <c r="AP121" i="39"/>
  <c r="AP122" i="39"/>
  <c r="AP123" i="39"/>
  <c r="AP124" i="39"/>
  <c r="AP125" i="39"/>
  <c r="AP126" i="39"/>
  <c r="X126" i="39" s="1"/>
  <c r="AP127" i="39"/>
  <c r="AP128" i="39"/>
  <c r="AP129" i="39"/>
  <c r="AP130" i="39"/>
  <c r="AP131" i="39"/>
  <c r="AP132" i="39"/>
  <c r="X132" i="39" s="1"/>
  <c r="AP133" i="39"/>
  <c r="AP134" i="39"/>
  <c r="AP135" i="39"/>
  <c r="AP136" i="39"/>
  <c r="AP137" i="39"/>
  <c r="AP138" i="39"/>
  <c r="X138" i="39" s="1"/>
  <c r="AP139" i="39"/>
  <c r="AP140" i="39"/>
  <c r="AP141" i="39"/>
  <c r="AQ118" i="39"/>
  <c r="AQ119" i="39"/>
  <c r="AQ120" i="39"/>
  <c r="AQ121" i="39"/>
  <c r="AQ122" i="39"/>
  <c r="AQ123" i="39"/>
  <c r="AQ124" i="39"/>
  <c r="AQ125" i="39"/>
  <c r="AQ126" i="39"/>
  <c r="AQ127" i="39"/>
  <c r="AQ128" i="39"/>
  <c r="AQ129" i="39"/>
  <c r="AQ130" i="39"/>
  <c r="AQ131" i="39"/>
  <c r="AQ132" i="39"/>
  <c r="AQ133" i="39"/>
  <c r="AQ134" i="39"/>
  <c r="AQ135" i="39"/>
  <c r="AQ136" i="39"/>
  <c r="AQ137" i="39"/>
  <c r="AQ138" i="39"/>
  <c r="AQ139" i="39"/>
  <c r="AQ140" i="39"/>
  <c r="AQ141" i="39"/>
  <c r="AR118" i="39"/>
  <c r="AR119" i="39"/>
  <c r="AR120" i="39"/>
  <c r="AR121" i="39"/>
  <c r="AR122" i="39"/>
  <c r="AR123" i="39"/>
  <c r="AR124" i="39"/>
  <c r="AR125" i="39"/>
  <c r="AR126" i="39"/>
  <c r="AR127" i="39"/>
  <c r="AR128" i="39"/>
  <c r="AR129" i="39"/>
  <c r="AR130" i="39"/>
  <c r="AR131" i="39"/>
  <c r="AR132" i="39"/>
  <c r="AR133" i="39"/>
  <c r="AR134" i="39"/>
  <c r="AR135" i="39"/>
  <c r="AR136" i="39"/>
  <c r="AR137" i="39"/>
  <c r="AR138" i="39"/>
  <c r="AR139" i="39"/>
  <c r="AR140" i="39"/>
  <c r="AR141" i="39"/>
  <c r="AS118" i="39"/>
  <c r="AS119" i="39"/>
  <c r="AS120" i="39"/>
  <c r="AS121" i="39"/>
  <c r="AS122" i="39"/>
  <c r="AS123" i="39"/>
  <c r="AS124" i="39"/>
  <c r="AS125" i="39"/>
  <c r="AS126" i="39"/>
  <c r="AS127" i="39"/>
  <c r="AS128" i="39"/>
  <c r="AS129" i="39"/>
  <c r="AS130" i="39"/>
  <c r="AS131" i="39"/>
  <c r="AS132" i="39"/>
  <c r="AS133" i="39"/>
  <c r="AS134" i="39"/>
  <c r="AS135" i="39"/>
  <c r="AS136" i="39"/>
  <c r="AS137" i="39"/>
  <c r="AS138" i="39"/>
  <c r="BE138" i="39" s="1"/>
  <c r="AS139" i="39"/>
  <c r="AS140" i="39"/>
  <c r="AS141" i="39"/>
  <c r="AT118" i="39"/>
  <c r="Y118" i="39" s="1"/>
  <c r="AT119" i="39"/>
  <c r="Y119" i="39" s="1"/>
  <c r="AT120" i="39"/>
  <c r="Y120" i="39" s="1"/>
  <c r="AT121" i="39"/>
  <c r="Y121" i="39" s="1"/>
  <c r="AT122" i="39"/>
  <c r="AT123" i="39"/>
  <c r="AT124" i="39"/>
  <c r="AT125" i="39"/>
  <c r="AT126" i="39"/>
  <c r="Y126" i="39" s="1"/>
  <c r="AT127" i="39"/>
  <c r="Y127" i="39" s="1"/>
  <c r="AT128" i="39"/>
  <c r="AT129" i="39"/>
  <c r="AT130" i="39"/>
  <c r="AT131" i="39"/>
  <c r="AT132" i="39"/>
  <c r="AT133" i="39"/>
  <c r="Y133" i="39" s="1"/>
  <c r="AT134" i="39"/>
  <c r="Y134" i="39" s="1"/>
  <c r="AT135" i="39"/>
  <c r="Y135" i="39" s="1"/>
  <c r="AT136" i="39"/>
  <c r="AT137" i="39"/>
  <c r="AT138" i="39"/>
  <c r="Y138" i="39" s="1"/>
  <c r="AT139" i="39"/>
  <c r="Y139" i="39" s="1"/>
  <c r="AT140" i="39"/>
  <c r="AT141" i="39"/>
  <c r="Y141" i="39" s="1"/>
  <c r="AU118" i="39"/>
  <c r="BD118" i="39" s="1"/>
  <c r="AU119" i="39"/>
  <c r="BD119" i="39" s="1"/>
  <c r="AU120" i="39"/>
  <c r="BD120" i="39" s="1"/>
  <c r="AU121" i="39"/>
  <c r="BD121" i="39" s="1"/>
  <c r="AU122" i="39"/>
  <c r="AU123" i="39"/>
  <c r="AU124" i="39"/>
  <c r="AU125" i="39"/>
  <c r="AU126" i="39"/>
  <c r="BD126" i="39" s="1"/>
  <c r="AU127" i="39"/>
  <c r="BD127" i="39" s="1"/>
  <c r="AU128" i="39"/>
  <c r="AU129" i="39"/>
  <c r="AU130" i="39"/>
  <c r="AU131" i="39"/>
  <c r="AU132" i="39"/>
  <c r="AU133" i="39"/>
  <c r="BD133" i="39" s="1"/>
  <c r="AU134" i="39"/>
  <c r="BD134" i="39" s="1"/>
  <c r="AU135" i="39"/>
  <c r="BD135" i="39" s="1"/>
  <c r="AU136" i="39"/>
  <c r="AU137" i="39"/>
  <c r="AU138" i="39"/>
  <c r="AU139" i="39"/>
  <c r="BD139" i="39" s="1"/>
  <c r="AU140" i="39"/>
  <c r="AU141" i="39"/>
  <c r="BD141" i="39" s="1"/>
  <c r="AX118" i="39"/>
  <c r="AX119" i="39"/>
  <c r="AX120" i="39"/>
  <c r="Z120" i="39" s="1"/>
  <c r="AX121" i="39"/>
  <c r="AX122" i="39"/>
  <c r="Z122" i="39" s="1"/>
  <c r="AX123" i="39"/>
  <c r="AX124" i="39"/>
  <c r="Z124" i="39" s="1"/>
  <c r="AX125" i="39"/>
  <c r="AX126" i="39"/>
  <c r="AX127" i="39"/>
  <c r="AX128" i="39"/>
  <c r="AX129" i="39"/>
  <c r="AX130" i="39"/>
  <c r="AX131" i="39"/>
  <c r="AX132" i="39"/>
  <c r="AX133" i="39"/>
  <c r="AX134" i="39"/>
  <c r="AX135" i="39"/>
  <c r="AX136" i="39"/>
  <c r="AX137" i="39"/>
  <c r="Z137" i="39" s="1"/>
  <c r="AX138" i="39"/>
  <c r="AX139" i="39"/>
  <c r="AX140" i="39"/>
  <c r="AX141" i="39"/>
  <c r="AY118" i="39"/>
  <c r="AY119" i="39"/>
  <c r="AY120" i="39"/>
  <c r="AY121" i="39"/>
  <c r="AY122" i="39"/>
  <c r="AY123" i="39"/>
  <c r="AY124" i="39"/>
  <c r="AY125" i="39"/>
  <c r="AY126" i="39"/>
  <c r="AY127" i="39"/>
  <c r="AY128" i="39"/>
  <c r="AY129" i="39"/>
  <c r="AY130" i="39"/>
  <c r="AY131" i="39"/>
  <c r="AY132" i="39"/>
  <c r="AY133" i="39"/>
  <c r="AY134" i="39"/>
  <c r="AY135" i="39"/>
  <c r="AY136" i="39"/>
  <c r="AY137" i="39"/>
  <c r="AY138" i="39"/>
  <c r="AY139" i="39"/>
  <c r="AY140" i="39"/>
  <c r="AY141" i="39"/>
  <c r="AZ118" i="39"/>
  <c r="AZ119" i="39"/>
  <c r="AZ120" i="39"/>
  <c r="AZ121" i="39"/>
  <c r="AZ122" i="39"/>
  <c r="AZ123" i="39"/>
  <c r="AZ124" i="39"/>
  <c r="AZ125" i="39"/>
  <c r="AZ126" i="39"/>
  <c r="AZ127" i="39"/>
  <c r="AZ128" i="39"/>
  <c r="AZ129" i="39"/>
  <c r="AZ130" i="39"/>
  <c r="AZ131" i="39"/>
  <c r="AZ132" i="39"/>
  <c r="AZ133" i="39"/>
  <c r="AZ134" i="39"/>
  <c r="AZ135" i="39"/>
  <c r="AZ136" i="39"/>
  <c r="AZ137" i="39"/>
  <c r="AZ138" i="39"/>
  <c r="AZ139" i="39"/>
  <c r="AZ140" i="39"/>
  <c r="AZ141" i="39"/>
  <c r="BA118" i="39"/>
  <c r="BA119" i="39"/>
  <c r="BA120" i="39"/>
  <c r="BA121" i="39"/>
  <c r="BA122" i="39"/>
  <c r="BF122" i="39" s="1"/>
  <c r="BA123" i="39"/>
  <c r="BA124" i="39"/>
  <c r="BF124" i="39" s="1"/>
  <c r="BA125" i="39"/>
  <c r="BA126" i="39"/>
  <c r="BA127" i="39"/>
  <c r="BA128" i="39"/>
  <c r="BA129" i="39"/>
  <c r="BA130" i="39"/>
  <c r="BA131" i="39"/>
  <c r="BA132" i="39"/>
  <c r="BA133" i="39"/>
  <c r="BA134" i="39"/>
  <c r="BA135" i="39"/>
  <c r="BA136" i="39"/>
  <c r="BA137" i="39"/>
  <c r="BF137" i="39" s="1"/>
  <c r="BA138" i="39"/>
  <c r="BA139" i="39"/>
  <c r="BA140" i="39"/>
  <c r="BA141" i="39"/>
  <c r="BM118" i="39"/>
  <c r="BM119" i="39"/>
  <c r="BM120" i="39"/>
  <c r="BM121" i="39"/>
  <c r="BM122" i="39"/>
  <c r="BM123" i="39"/>
  <c r="BM124" i="39"/>
  <c r="BM125" i="39"/>
  <c r="BM126" i="39"/>
  <c r="BM127" i="39"/>
  <c r="BM128" i="39"/>
  <c r="BM129" i="39"/>
  <c r="BM130" i="39"/>
  <c r="BM131" i="39"/>
  <c r="BM132" i="39"/>
  <c r="BM133" i="39"/>
  <c r="BM134" i="39"/>
  <c r="BM135" i="39"/>
  <c r="BM136" i="39"/>
  <c r="BM137" i="39"/>
  <c r="BM138" i="39"/>
  <c r="BM139" i="39"/>
  <c r="BM140" i="39"/>
  <c r="BM141" i="39"/>
  <c r="BN118" i="39"/>
  <c r="BN119" i="39"/>
  <c r="BN120" i="39"/>
  <c r="BN121" i="39"/>
  <c r="BN122" i="39"/>
  <c r="BN123" i="39"/>
  <c r="BN124" i="39"/>
  <c r="BN125" i="39"/>
  <c r="BN126" i="39"/>
  <c r="BN127" i="39"/>
  <c r="BN128" i="39"/>
  <c r="BN129" i="39"/>
  <c r="BN130" i="39"/>
  <c r="BN131" i="39"/>
  <c r="BN132" i="39"/>
  <c r="BN133" i="39"/>
  <c r="BN134" i="39"/>
  <c r="BN135" i="39"/>
  <c r="BN136" i="39"/>
  <c r="BN137" i="39"/>
  <c r="BN138" i="39"/>
  <c r="BN139" i="39"/>
  <c r="BN140" i="39"/>
  <c r="BN141" i="39"/>
  <c r="BO118" i="39"/>
  <c r="BO119" i="39"/>
  <c r="BO120" i="39"/>
  <c r="BO121" i="39"/>
  <c r="BO122" i="39"/>
  <c r="BO123" i="39"/>
  <c r="BO124" i="39"/>
  <c r="BO125" i="39"/>
  <c r="BO126" i="39"/>
  <c r="BO127" i="39"/>
  <c r="BO128" i="39"/>
  <c r="BO129" i="39"/>
  <c r="BO130" i="39"/>
  <c r="BO131" i="39"/>
  <c r="BO132" i="39"/>
  <c r="BO133" i="39"/>
  <c r="BO134" i="39"/>
  <c r="BO135" i="39"/>
  <c r="BO136" i="39"/>
  <c r="BO137" i="39"/>
  <c r="BO138" i="39"/>
  <c r="BO139" i="39"/>
  <c r="BO140" i="39"/>
  <c r="BO141" i="39"/>
  <c r="BP118" i="39"/>
  <c r="BP119" i="39"/>
  <c r="BP120" i="39"/>
  <c r="BP121" i="39"/>
  <c r="BP122" i="39"/>
  <c r="BP123" i="39"/>
  <c r="BP124" i="39"/>
  <c r="BP125" i="39"/>
  <c r="BP126" i="39"/>
  <c r="BP127" i="39"/>
  <c r="BP128" i="39"/>
  <c r="BQ128" i="39" s="1"/>
  <c r="BP129" i="39"/>
  <c r="BP130" i="39"/>
  <c r="BP131" i="39"/>
  <c r="BP132" i="39"/>
  <c r="BP133" i="39"/>
  <c r="BP134" i="39"/>
  <c r="BP135" i="39"/>
  <c r="BP136" i="39"/>
  <c r="BP137" i="39"/>
  <c r="BP138" i="39"/>
  <c r="BP139" i="39"/>
  <c r="BP140" i="39"/>
  <c r="BP141" i="39"/>
  <c r="BR118" i="39"/>
  <c r="BR119" i="39"/>
  <c r="BR120" i="39"/>
  <c r="BR121" i="39"/>
  <c r="BR122" i="39"/>
  <c r="BR123" i="39"/>
  <c r="BR124" i="39"/>
  <c r="BR125" i="39"/>
  <c r="BR126" i="39"/>
  <c r="BR127" i="39"/>
  <c r="BR128" i="39"/>
  <c r="BR129" i="39"/>
  <c r="BR130" i="39"/>
  <c r="BR131" i="39"/>
  <c r="BR132" i="39"/>
  <c r="BR133" i="39"/>
  <c r="BR134" i="39"/>
  <c r="BR135" i="39"/>
  <c r="BR136" i="39"/>
  <c r="BR137" i="39"/>
  <c r="BR138" i="39"/>
  <c r="BR139" i="39"/>
  <c r="BR140" i="39"/>
  <c r="BR141" i="39"/>
  <c r="BS118" i="39"/>
  <c r="BS119" i="39"/>
  <c r="BS120" i="39"/>
  <c r="BS121" i="39"/>
  <c r="BS122" i="39"/>
  <c r="BS123" i="39"/>
  <c r="BS124" i="39"/>
  <c r="BS125" i="39"/>
  <c r="BS126" i="39"/>
  <c r="BS127" i="39"/>
  <c r="BS128" i="39"/>
  <c r="BS129" i="39"/>
  <c r="BS130" i="39"/>
  <c r="BS131" i="39"/>
  <c r="BS132" i="39"/>
  <c r="BS133" i="39"/>
  <c r="BS134" i="39"/>
  <c r="BS135" i="39"/>
  <c r="BS136" i="39"/>
  <c r="BS137" i="39"/>
  <c r="BS138" i="39"/>
  <c r="BS139" i="39"/>
  <c r="BS140" i="39"/>
  <c r="BS141" i="39"/>
  <c r="BT118" i="39"/>
  <c r="BT119" i="39"/>
  <c r="BT120" i="39"/>
  <c r="BT121" i="39"/>
  <c r="BT122" i="39"/>
  <c r="BT123" i="39"/>
  <c r="BT124" i="39"/>
  <c r="BT125" i="39"/>
  <c r="BT126" i="39"/>
  <c r="BT127" i="39"/>
  <c r="BT128" i="39"/>
  <c r="BT129" i="39"/>
  <c r="BT130" i="39"/>
  <c r="BT131" i="39"/>
  <c r="BT132" i="39"/>
  <c r="BT133" i="39"/>
  <c r="BT134" i="39"/>
  <c r="BT135" i="39"/>
  <c r="BT136" i="39"/>
  <c r="BT137" i="39"/>
  <c r="BT138" i="39"/>
  <c r="BT139" i="39"/>
  <c r="BT140" i="39"/>
  <c r="BT141" i="39"/>
  <c r="BU118" i="39"/>
  <c r="BU119" i="39"/>
  <c r="BV119" i="39" s="1"/>
  <c r="BU120" i="39"/>
  <c r="BU121" i="39"/>
  <c r="BU122" i="39"/>
  <c r="BU123" i="39"/>
  <c r="BU124" i="39"/>
  <c r="BU125" i="39"/>
  <c r="BU126" i="39"/>
  <c r="BU127" i="39"/>
  <c r="BU128" i="39"/>
  <c r="BV128" i="39" s="1"/>
  <c r="BU129" i="39"/>
  <c r="BU130" i="39"/>
  <c r="BU131" i="39"/>
  <c r="BV131" i="39" s="1"/>
  <c r="BU132" i="39"/>
  <c r="BU133" i="39"/>
  <c r="BU134" i="39"/>
  <c r="BU135" i="39"/>
  <c r="BU136" i="39"/>
  <c r="BU137" i="39"/>
  <c r="BU138" i="39"/>
  <c r="BU139" i="39"/>
  <c r="BU140" i="39"/>
  <c r="BU141" i="39"/>
  <c r="BW118" i="39"/>
  <c r="BW119" i="39"/>
  <c r="BW120" i="39"/>
  <c r="BW121" i="39"/>
  <c r="BW122" i="39"/>
  <c r="BW123" i="39"/>
  <c r="BW124" i="39"/>
  <c r="BW125" i="39"/>
  <c r="BW126" i="39"/>
  <c r="BW127" i="39"/>
  <c r="BW128" i="39"/>
  <c r="BW129" i="39"/>
  <c r="BW130" i="39"/>
  <c r="BW131" i="39"/>
  <c r="BW132" i="39"/>
  <c r="BW133" i="39"/>
  <c r="BW134" i="39"/>
  <c r="BW135" i="39"/>
  <c r="BW136" i="39"/>
  <c r="BW137" i="39"/>
  <c r="BW138" i="39"/>
  <c r="BW139" i="39"/>
  <c r="BW140" i="39"/>
  <c r="BW141" i="39"/>
  <c r="BX118" i="39"/>
  <c r="BX119" i="39"/>
  <c r="BX120" i="39"/>
  <c r="BX121" i="39"/>
  <c r="BX122" i="39"/>
  <c r="BX123" i="39"/>
  <c r="BX124" i="39"/>
  <c r="BX125" i="39"/>
  <c r="BX126" i="39"/>
  <c r="BX127" i="39"/>
  <c r="BX128" i="39"/>
  <c r="BX129" i="39"/>
  <c r="BX130" i="39"/>
  <c r="BX131" i="39"/>
  <c r="BX132" i="39"/>
  <c r="BX133" i="39"/>
  <c r="BX134" i="39"/>
  <c r="BX135" i="39"/>
  <c r="BX136" i="39"/>
  <c r="BX137" i="39"/>
  <c r="BX138" i="39"/>
  <c r="BX139" i="39"/>
  <c r="BX140" i="39"/>
  <c r="BX141" i="39"/>
  <c r="BY118" i="39"/>
  <c r="BY119" i="39"/>
  <c r="BY120" i="39"/>
  <c r="BY121" i="39"/>
  <c r="BY122" i="39"/>
  <c r="BY123" i="39"/>
  <c r="BY124" i="39"/>
  <c r="BY125" i="39"/>
  <c r="BY126" i="39"/>
  <c r="BY127" i="39"/>
  <c r="BY128" i="39"/>
  <c r="BY129" i="39"/>
  <c r="BY130" i="39"/>
  <c r="BY131" i="39"/>
  <c r="BY132" i="39"/>
  <c r="BY133" i="39"/>
  <c r="BY134" i="39"/>
  <c r="BY135" i="39"/>
  <c r="BY136" i="39"/>
  <c r="BY137" i="39"/>
  <c r="BY138" i="39"/>
  <c r="BY139" i="39"/>
  <c r="BY140" i="39"/>
  <c r="BY141" i="39"/>
  <c r="BZ118" i="39"/>
  <c r="BZ119" i="39"/>
  <c r="BZ120" i="39"/>
  <c r="BZ121" i="39"/>
  <c r="BZ122" i="39"/>
  <c r="BZ123" i="39"/>
  <c r="BZ124" i="39"/>
  <c r="BZ125" i="39"/>
  <c r="BZ126" i="39"/>
  <c r="BZ127" i="39"/>
  <c r="BZ128" i="39"/>
  <c r="BZ129" i="39"/>
  <c r="BZ130" i="39"/>
  <c r="BZ131" i="39"/>
  <c r="CA131" i="39" s="1"/>
  <c r="BZ132" i="39"/>
  <c r="BZ133" i="39"/>
  <c r="BZ134" i="39"/>
  <c r="BZ135" i="39"/>
  <c r="BZ136" i="39"/>
  <c r="BZ137" i="39"/>
  <c r="BZ138" i="39"/>
  <c r="BZ139" i="39"/>
  <c r="BZ140" i="39"/>
  <c r="BZ141" i="39"/>
  <c r="CB118" i="39"/>
  <c r="CB119" i="39"/>
  <c r="CB120" i="39"/>
  <c r="CB121" i="39"/>
  <c r="CB122" i="39"/>
  <c r="CB123" i="39"/>
  <c r="CB124" i="39"/>
  <c r="CB125" i="39"/>
  <c r="CB126" i="39"/>
  <c r="CB127" i="39"/>
  <c r="CB128" i="39"/>
  <c r="CB129" i="39"/>
  <c r="CB130" i="39"/>
  <c r="CB131" i="39"/>
  <c r="CB132" i="39"/>
  <c r="CB133" i="39"/>
  <c r="CB134" i="39"/>
  <c r="CB135" i="39"/>
  <c r="CB136" i="39"/>
  <c r="CB137" i="39"/>
  <c r="CB138" i="39"/>
  <c r="CB139" i="39"/>
  <c r="CB140" i="39"/>
  <c r="CB141" i="39"/>
  <c r="CC118" i="39"/>
  <c r="CC119" i="39"/>
  <c r="CC120" i="39"/>
  <c r="CC121" i="39"/>
  <c r="CC122" i="39"/>
  <c r="CC123" i="39"/>
  <c r="CC124" i="39"/>
  <c r="CC125" i="39"/>
  <c r="CC126" i="39"/>
  <c r="CC127" i="39"/>
  <c r="CC128" i="39"/>
  <c r="CC129" i="39"/>
  <c r="CC130" i="39"/>
  <c r="CC131" i="39"/>
  <c r="CC132" i="39"/>
  <c r="CC133" i="39"/>
  <c r="CC134" i="39"/>
  <c r="CC135" i="39"/>
  <c r="CF135" i="39" s="1"/>
  <c r="CC136" i="39"/>
  <c r="CC137" i="39"/>
  <c r="CC138" i="39"/>
  <c r="CC139" i="39"/>
  <c r="CC140" i="39"/>
  <c r="CC141" i="39"/>
  <c r="AH108" i="39"/>
  <c r="AH109" i="39"/>
  <c r="AH110" i="39"/>
  <c r="AH111" i="39"/>
  <c r="AH112" i="39"/>
  <c r="AH113" i="39"/>
  <c r="AH114" i="39"/>
  <c r="AH115" i="39"/>
  <c r="AH116" i="39"/>
  <c r="AH117" i="39"/>
  <c r="AI108" i="39"/>
  <c r="AI109" i="39"/>
  <c r="AI110" i="39"/>
  <c r="AI111" i="39"/>
  <c r="AI112" i="39"/>
  <c r="AI113" i="39"/>
  <c r="AI114" i="39"/>
  <c r="AI115" i="39"/>
  <c r="AI116" i="39"/>
  <c r="AI117" i="39"/>
  <c r="AJ108" i="39"/>
  <c r="AJ109" i="39"/>
  <c r="AJ110" i="39"/>
  <c r="AJ111" i="39"/>
  <c r="AJ112" i="39"/>
  <c r="AJ113" i="39"/>
  <c r="AJ114" i="39"/>
  <c r="AJ115" i="39"/>
  <c r="AJ116" i="39"/>
  <c r="AJ117" i="39"/>
  <c r="AK108" i="39"/>
  <c r="AK109" i="39"/>
  <c r="AK110" i="39"/>
  <c r="AK111" i="39"/>
  <c r="AK112" i="39"/>
  <c r="AK113" i="39"/>
  <c r="AK114" i="39"/>
  <c r="AK115" i="39"/>
  <c r="AK116" i="39"/>
  <c r="AK117" i="39"/>
  <c r="AL108" i="39"/>
  <c r="AL109" i="39"/>
  <c r="AL110" i="39"/>
  <c r="AL111" i="39"/>
  <c r="AL112" i="39"/>
  <c r="AL113" i="39"/>
  <c r="AL114" i="39"/>
  <c r="AL115" i="39"/>
  <c r="AL116" i="39"/>
  <c r="AL117" i="39"/>
  <c r="AM108" i="39"/>
  <c r="AM109" i="39"/>
  <c r="AM110" i="39"/>
  <c r="AM111" i="39"/>
  <c r="AM112" i="39"/>
  <c r="AM113" i="39"/>
  <c r="AM114" i="39"/>
  <c r="AM115" i="39"/>
  <c r="AM116" i="39"/>
  <c r="AM117" i="39"/>
  <c r="AN108" i="39"/>
  <c r="AN109" i="39"/>
  <c r="AN110" i="39"/>
  <c r="AN111" i="39"/>
  <c r="AN112" i="39"/>
  <c r="AN113" i="39"/>
  <c r="AN114" i="39"/>
  <c r="AN115" i="39"/>
  <c r="AN116" i="39"/>
  <c r="AN117" i="39"/>
  <c r="AO108" i="39"/>
  <c r="AO109" i="39"/>
  <c r="AO110" i="39"/>
  <c r="AO111" i="39"/>
  <c r="AO112" i="39"/>
  <c r="AO113" i="39"/>
  <c r="AO114" i="39"/>
  <c r="AO115" i="39"/>
  <c r="AO116" i="39"/>
  <c r="AO117" i="39"/>
  <c r="AP108" i="39"/>
  <c r="AP109" i="39"/>
  <c r="AP110" i="39"/>
  <c r="AP111" i="39"/>
  <c r="AP112" i="39"/>
  <c r="AP113" i="39"/>
  <c r="AP114" i="39"/>
  <c r="AP115" i="39"/>
  <c r="AP116" i="39"/>
  <c r="AP117" i="39"/>
  <c r="AQ108" i="39"/>
  <c r="AQ109" i="39"/>
  <c r="AQ110" i="39"/>
  <c r="AQ111" i="39"/>
  <c r="AQ112" i="39"/>
  <c r="AQ113" i="39"/>
  <c r="AQ114" i="39"/>
  <c r="AQ115" i="39"/>
  <c r="AQ116" i="39"/>
  <c r="AQ117" i="39"/>
  <c r="AR108" i="39"/>
  <c r="AR109" i="39"/>
  <c r="AR110" i="39"/>
  <c r="AR111" i="39"/>
  <c r="AR112" i="39"/>
  <c r="AR113" i="39"/>
  <c r="AR114" i="39"/>
  <c r="AR115" i="39"/>
  <c r="AR116" i="39"/>
  <c r="AR117" i="39"/>
  <c r="AS108" i="39"/>
  <c r="AS109" i="39"/>
  <c r="AS110" i="39"/>
  <c r="AS111" i="39"/>
  <c r="AS112" i="39"/>
  <c r="AS113" i="39"/>
  <c r="AS114" i="39"/>
  <c r="AS115" i="39"/>
  <c r="AS116" i="39"/>
  <c r="AS117" i="39"/>
  <c r="AT108" i="39"/>
  <c r="AT109" i="39"/>
  <c r="AT110" i="39"/>
  <c r="AT111" i="39"/>
  <c r="AT112" i="39"/>
  <c r="AT113" i="39"/>
  <c r="AT114" i="39"/>
  <c r="AT115" i="39"/>
  <c r="AT116" i="39"/>
  <c r="AT117" i="39"/>
  <c r="AU108" i="39"/>
  <c r="AU109" i="39"/>
  <c r="AU110" i="39"/>
  <c r="AU111" i="39"/>
  <c r="AU112" i="39"/>
  <c r="AU113" i="39"/>
  <c r="AU114" i="39"/>
  <c r="AU115" i="39"/>
  <c r="AU116" i="39"/>
  <c r="AU117" i="39"/>
  <c r="AX108" i="39"/>
  <c r="AX109" i="39"/>
  <c r="AX110" i="39"/>
  <c r="AX111" i="39"/>
  <c r="AX112" i="39"/>
  <c r="AX113" i="39"/>
  <c r="AX114" i="39"/>
  <c r="AX115" i="39"/>
  <c r="AX116" i="39"/>
  <c r="AX117" i="39"/>
  <c r="AY108" i="39"/>
  <c r="AY109" i="39"/>
  <c r="AY110" i="39"/>
  <c r="AY111" i="39"/>
  <c r="AY112" i="39"/>
  <c r="AY113" i="39"/>
  <c r="AY114" i="39"/>
  <c r="AY115" i="39"/>
  <c r="AY116" i="39"/>
  <c r="AY117" i="39"/>
  <c r="AZ108" i="39"/>
  <c r="AZ109" i="39"/>
  <c r="AZ110" i="39"/>
  <c r="AZ111" i="39"/>
  <c r="AZ112" i="39"/>
  <c r="AZ113" i="39"/>
  <c r="AZ114" i="39"/>
  <c r="AZ115" i="39"/>
  <c r="AZ116" i="39"/>
  <c r="AZ117" i="39"/>
  <c r="BA108" i="39"/>
  <c r="BA109" i="39"/>
  <c r="BA110" i="39"/>
  <c r="BA111" i="39"/>
  <c r="BA112" i="39"/>
  <c r="BA113" i="39"/>
  <c r="BA114" i="39"/>
  <c r="BA115" i="39"/>
  <c r="BA116" i="39"/>
  <c r="BA117" i="39"/>
  <c r="BM108" i="39"/>
  <c r="BM109" i="39"/>
  <c r="BM110" i="39"/>
  <c r="BM111" i="39"/>
  <c r="BM112" i="39"/>
  <c r="BM113" i="39"/>
  <c r="BM114" i="39"/>
  <c r="BM115" i="39"/>
  <c r="BM116" i="39"/>
  <c r="BM117" i="39"/>
  <c r="BN108" i="39"/>
  <c r="BN109" i="39"/>
  <c r="BN110" i="39"/>
  <c r="BN111" i="39"/>
  <c r="BN112" i="39"/>
  <c r="BN113" i="39"/>
  <c r="BN114" i="39"/>
  <c r="BN115" i="39"/>
  <c r="BN116" i="39"/>
  <c r="BN117" i="39"/>
  <c r="BO108" i="39"/>
  <c r="BO109" i="39"/>
  <c r="BO110" i="39"/>
  <c r="BO111" i="39"/>
  <c r="BO112" i="39"/>
  <c r="BO113" i="39"/>
  <c r="BO114" i="39"/>
  <c r="BO115" i="39"/>
  <c r="BO116" i="39"/>
  <c r="BO117" i="39"/>
  <c r="BP108" i="39"/>
  <c r="BP109" i="39"/>
  <c r="BP110" i="39"/>
  <c r="BP111" i="39"/>
  <c r="BP112" i="39"/>
  <c r="BP113" i="39"/>
  <c r="BP114" i="39"/>
  <c r="BP115" i="39"/>
  <c r="BP116" i="39"/>
  <c r="BP117" i="39"/>
  <c r="BR108" i="39"/>
  <c r="BR109" i="39"/>
  <c r="BR110" i="39"/>
  <c r="BR111" i="39"/>
  <c r="BR112" i="39"/>
  <c r="BR113" i="39"/>
  <c r="BR114" i="39"/>
  <c r="BR115" i="39"/>
  <c r="BR116" i="39"/>
  <c r="BR117" i="39"/>
  <c r="BS108" i="39"/>
  <c r="BS109" i="39"/>
  <c r="BS110" i="39"/>
  <c r="BS111" i="39"/>
  <c r="BS112" i="39"/>
  <c r="BS113" i="39"/>
  <c r="BS114" i="39"/>
  <c r="BS115" i="39"/>
  <c r="BS116" i="39"/>
  <c r="BS117" i="39"/>
  <c r="BT108" i="39"/>
  <c r="BT109" i="39"/>
  <c r="BT110" i="39"/>
  <c r="BT111" i="39"/>
  <c r="BT112" i="39"/>
  <c r="BT113" i="39"/>
  <c r="BT114" i="39"/>
  <c r="BT115" i="39"/>
  <c r="BT116" i="39"/>
  <c r="BT117" i="39"/>
  <c r="BU108" i="39"/>
  <c r="BU109" i="39"/>
  <c r="BU110" i="39"/>
  <c r="BU111" i="39"/>
  <c r="BU112" i="39"/>
  <c r="BU113" i="39"/>
  <c r="BU114" i="39"/>
  <c r="BU115" i="39"/>
  <c r="BU116" i="39"/>
  <c r="BU117" i="39"/>
  <c r="BW108" i="39"/>
  <c r="BW109" i="39"/>
  <c r="BW110" i="39"/>
  <c r="BW111" i="39"/>
  <c r="BW112" i="39"/>
  <c r="BW113" i="39"/>
  <c r="BW114" i="39"/>
  <c r="BW115" i="39"/>
  <c r="BW116" i="39"/>
  <c r="BW117" i="39"/>
  <c r="BX108" i="39"/>
  <c r="BX109" i="39"/>
  <c r="BX110" i="39"/>
  <c r="BX111" i="39"/>
  <c r="BX112" i="39"/>
  <c r="BX113" i="39"/>
  <c r="BX114" i="39"/>
  <c r="BX115" i="39"/>
  <c r="BX116" i="39"/>
  <c r="BX117" i="39"/>
  <c r="BY108" i="39"/>
  <c r="BY109" i="39"/>
  <c r="BY110" i="39"/>
  <c r="BY111" i="39"/>
  <c r="BY112" i="39"/>
  <c r="BY113" i="39"/>
  <c r="BY114" i="39"/>
  <c r="BY115" i="39"/>
  <c r="BY116" i="39"/>
  <c r="BY117" i="39"/>
  <c r="BZ108" i="39"/>
  <c r="BZ109" i="39"/>
  <c r="BZ110" i="39"/>
  <c r="BZ111" i="39"/>
  <c r="BZ112" i="39"/>
  <c r="BZ113" i="39"/>
  <c r="BZ114" i="39"/>
  <c r="BZ115" i="39"/>
  <c r="BZ116" i="39"/>
  <c r="BZ117" i="39"/>
  <c r="CB108" i="39"/>
  <c r="CB109" i="39"/>
  <c r="CB110" i="39"/>
  <c r="CB111" i="39"/>
  <c r="CB112" i="39"/>
  <c r="CB113" i="39"/>
  <c r="CB114" i="39"/>
  <c r="CB115" i="39"/>
  <c r="CB116" i="39"/>
  <c r="CB117" i="39"/>
  <c r="CC108" i="39"/>
  <c r="CC109" i="39"/>
  <c r="CC110" i="39"/>
  <c r="CC111" i="39"/>
  <c r="CC112" i="39"/>
  <c r="CC113" i="39"/>
  <c r="CC114" i="39"/>
  <c r="CC115" i="39"/>
  <c r="CC116" i="39"/>
  <c r="CC117" i="39"/>
  <c r="AC105" i="39"/>
  <c r="AD106" i="39"/>
  <c r="AE107" i="39"/>
  <c r="AG97" i="39"/>
  <c r="AB105" i="39"/>
  <c r="AC106" i="39"/>
  <c r="AD107" i="39"/>
  <c r="AF97" i="39"/>
  <c r="AG98" i="39"/>
  <c r="AG103" i="39"/>
  <c r="AA105" i="39"/>
  <c r="AB106" i="39"/>
  <c r="AC107" i="39"/>
  <c r="AE97" i="39"/>
  <c r="AF98" i="39"/>
  <c r="AG99" i="39"/>
  <c r="AF101" i="39"/>
  <c r="AE101" i="39"/>
  <c r="AA106" i="39"/>
  <c r="AB107" i="39"/>
  <c r="AD97" i="39"/>
  <c r="AE98" i="39"/>
  <c r="AF99" i="39"/>
  <c r="AG100" i="39"/>
  <c r="AC98" i="39"/>
  <c r="AE100" i="39"/>
  <c r="AF102" i="39"/>
  <c r="AA107" i="39"/>
  <c r="AC97" i="39"/>
  <c r="AD98" i="39"/>
  <c r="AE99" i="39"/>
  <c r="AF100" i="39"/>
  <c r="AG101" i="39"/>
  <c r="AD99" i="39"/>
  <c r="AG102" i="39"/>
  <c r="AB98" i="39"/>
  <c r="AC99" i="39"/>
  <c r="AD100" i="39"/>
  <c r="AA98" i="39"/>
  <c r="AC100" i="39"/>
  <c r="AD101" i="39"/>
  <c r="AE102" i="39"/>
  <c r="AF103" i="39"/>
  <c r="AG104" i="39"/>
  <c r="AA101" i="39"/>
  <c r="AC103" i="39"/>
  <c r="AE105" i="39"/>
  <c r="AG107" i="39"/>
  <c r="AC104" i="39"/>
  <c r="AD105" i="39"/>
  <c r="AF107" i="39"/>
  <c r="AC101" i="39"/>
  <c r="AD102" i="39"/>
  <c r="AE103" i="39"/>
  <c r="AF104" i="39"/>
  <c r="AG105" i="39"/>
  <c r="AD104" i="39"/>
  <c r="AF106" i="39"/>
  <c r="AB101" i="39"/>
  <c r="AC102" i="39"/>
  <c r="AD103" i="39"/>
  <c r="AE104" i="39"/>
  <c r="AF105" i="39"/>
  <c r="AG106" i="39"/>
  <c r="AE106" i="39"/>
  <c r="AA92" i="39"/>
  <c r="AB92" i="39"/>
  <c r="AC92" i="39"/>
  <c r="AD92" i="39"/>
  <c r="AE92" i="39"/>
  <c r="AF92" i="39"/>
  <c r="AG92" i="39"/>
  <c r="AC94" i="39"/>
  <c r="AE94" i="39"/>
  <c r="AB87" i="39"/>
  <c r="AC93" i="39"/>
  <c r="AD93" i="39"/>
  <c r="AE93" i="39"/>
  <c r="AF93" i="39"/>
  <c r="AG93" i="39"/>
  <c r="AA94" i="39"/>
  <c r="AD94" i="39"/>
  <c r="AF94" i="39"/>
  <c r="AG94" i="39"/>
  <c r="AF87" i="39"/>
  <c r="AG87" i="39"/>
  <c r="AA95" i="39"/>
  <c r="AC95" i="39"/>
  <c r="AD95" i="39"/>
  <c r="AE95" i="39"/>
  <c r="AF95" i="39"/>
  <c r="AG95" i="39"/>
  <c r="AD87" i="39"/>
  <c r="AC96" i="39"/>
  <c r="AD96" i="39"/>
  <c r="AE96" i="39"/>
  <c r="AF96" i="39"/>
  <c r="AG96" i="39"/>
  <c r="AF86" i="39"/>
  <c r="AC87" i="39"/>
  <c r="AA85" i="39"/>
  <c r="AB85" i="39"/>
  <c r="AC85" i="39"/>
  <c r="AD85" i="39"/>
  <c r="AE85" i="39"/>
  <c r="AF85" i="39"/>
  <c r="AG85" i="39"/>
  <c r="AC86" i="39"/>
  <c r="AE86" i="39"/>
  <c r="AG86" i="39"/>
  <c r="AD86" i="39"/>
  <c r="AE87" i="39"/>
  <c r="AC88" i="39"/>
  <c r="AD88" i="39"/>
  <c r="AE88" i="39"/>
  <c r="AF88" i="39"/>
  <c r="AG88" i="39"/>
  <c r="AC89" i="39"/>
  <c r="AD89" i="39"/>
  <c r="AE89" i="39"/>
  <c r="AF89" i="39"/>
  <c r="AG89" i="39"/>
  <c r="AA91" i="39"/>
  <c r="AC91" i="39"/>
  <c r="AD91" i="39"/>
  <c r="AF91" i="39"/>
  <c r="AA90" i="39"/>
  <c r="AB90" i="39"/>
  <c r="AC90" i="39"/>
  <c r="AD90" i="39"/>
  <c r="AE90" i="39"/>
  <c r="AF90" i="39"/>
  <c r="AG90" i="39"/>
  <c r="AB91" i="39"/>
  <c r="AE91" i="39"/>
  <c r="AG91" i="39"/>
  <c r="AB72" i="39"/>
  <c r="AB84" i="39"/>
  <c r="AC83" i="39"/>
  <c r="AD82" i="39"/>
  <c r="AE81" i="39"/>
  <c r="AF80" i="39"/>
  <c r="AG79" i="39"/>
  <c r="AA74" i="39"/>
  <c r="AC72" i="39"/>
  <c r="AC84" i="39"/>
  <c r="AD83" i="39"/>
  <c r="AE82" i="39"/>
  <c r="AF81" i="39"/>
  <c r="AG80" i="39"/>
  <c r="AC73" i="39"/>
  <c r="AD72" i="39"/>
  <c r="AD84" i="39"/>
  <c r="AE83" i="39"/>
  <c r="AF82" i="39"/>
  <c r="AG81" i="39"/>
  <c r="AF76" i="39"/>
  <c r="AC74" i="39"/>
  <c r="AD73" i="39"/>
  <c r="AE72" i="39"/>
  <c r="AE84" i="39"/>
  <c r="AF83" i="39"/>
  <c r="AG82" i="39"/>
  <c r="AD77" i="39"/>
  <c r="AE77" i="39"/>
  <c r="AA77" i="39"/>
  <c r="AC75" i="39"/>
  <c r="AD74" i="39"/>
  <c r="AE73" i="39"/>
  <c r="AF72" i="39"/>
  <c r="AF84" i="39"/>
  <c r="AG83" i="39"/>
  <c r="AC78" i="39"/>
  <c r="AG74" i="39"/>
  <c r="AC79" i="39"/>
  <c r="AB77" i="39"/>
  <c r="AC76" i="39"/>
  <c r="AD75" i="39"/>
  <c r="AE74" i="39"/>
  <c r="AF73" i="39"/>
  <c r="AG72" i="39"/>
  <c r="AG84" i="39"/>
  <c r="AE76" i="39"/>
  <c r="AD78" i="39"/>
  <c r="AC77" i="39"/>
  <c r="AD76" i="39"/>
  <c r="AE75" i="39"/>
  <c r="AF74" i="39"/>
  <c r="AG73" i="39"/>
  <c r="AA80" i="39"/>
  <c r="AA82" i="39"/>
  <c r="AC80" i="39"/>
  <c r="AD79" i="39"/>
  <c r="AE78" i="39"/>
  <c r="AF77" i="39"/>
  <c r="AG76" i="39"/>
  <c r="AG75" i="39"/>
  <c r="AC81" i="39"/>
  <c r="AD80" i="39"/>
  <c r="AE79" i="39"/>
  <c r="AF78" i="39"/>
  <c r="AG77" i="39"/>
  <c r="AF75" i="39"/>
  <c r="AB80" i="39"/>
  <c r="AA84" i="39"/>
  <c r="AC82" i="39"/>
  <c r="AD81" i="39"/>
  <c r="AE80" i="39"/>
  <c r="AF79" i="39"/>
  <c r="AG78" i="39"/>
  <c r="AH98" i="39"/>
  <c r="AI99" i="39"/>
  <c r="AJ100" i="39"/>
  <c r="AK101" i="39"/>
  <c r="AL102" i="39"/>
  <c r="AM103" i="39"/>
  <c r="AN104" i="39"/>
  <c r="AO105" i="39"/>
  <c r="AP106" i="39"/>
  <c r="AQ107" i="39"/>
  <c r="AS97" i="39"/>
  <c r="AT98" i="39"/>
  <c r="AU99" i="39"/>
  <c r="AX100" i="39"/>
  <c r="AY101" i="39"/>
  <c r="AZ102" i="39"/>
  <c r="BA103" i="39"/>
  <c r="BM102" i="39"/>
  <c r="BN103" i="39"/>
  <c r="BO104" i="39"/>
  <c r="BP105" i="39"/>
  <c r="BR106" i="39"/>
  <c r="BS107" i="39"/>
  <c r="BU97" i="39"/>
  <c r="BW98" i="39"/>
  <c r="BX99" i="39"/>
  <c r="BY100" i="39"/>
  <c r="BZ101" i="39"/>
  <c r="CB102" i="39"/>
  <c r="CC103" i="39"/>
  <c r="AN97" i="39"/>
  <c r="BM107" i="39"/>
  <c r="BW103" i="39"/>
  <c r="AM97" i="39"/>
  <c r="BA97" i="39"/>
  <c r="BT102" i="39"/>
  <c r="AH99" i="39"/>
  <c r="AI100" i="39"/>
  <c r="AJ101" i="39"/>
  <c r="AK102" i="39"/>
  <c r="AL103" i="39"/>
  <c r="AM104" i="39"/>
  <c r="AN105" i="39"/>
  <c r="AO106" i="39"/>
  <c r="AP107" i="39"/>
  <c r="AR97" i="39"/>
  <c r="AS98" i="39"/>
  <c r="AT99" i="39"/>
  <c r="AU100" i="39"/>
  <c r="AX101" i="39"/>
  <c r="AY102" i="39"/>
  <c r="AZ103" i="39"/>
  <c r="BA104" i="39"/>
  <c r="BM103" i="39"/>
  <c r="BN104" i="39"/>
  <c r="BO105" i="39"/>
  <c r="BP106" i="39"/>
  <c r="BR107" i="39"/>
  <c r="BT97" i="39"/>
  <c r="BU98" i="39"/>
  <c r="BW99" i="39"/>
  <c r="BX100" i="39"/>
  <c r="BY101" i="39"/>
  <c r="BZ102" i="39"/>
  <c r="CB103" i="39"/>
  <c r="CC104" i="39"/>
  <c r="AI104" i="39"/>
  <c r="AP99" i="39"/>
  <c r="AT103" i="39"/>
  <c r="BT101" i="39"/>
  <c r="AU105" i="39"/>
  <c r="BY106" i="39"/>
  <c r="AH100" i="39"/>
  <c r="AI101" i="39"/>
  <c r="AJ102" i="39"/>
  <c r="AK103" i="39"/>
  <c r="AL104" i="39"/>
  <c r="AM105" i="39"/>
  <c r="AN106" i="39"/>
  <c r="AO107" i="39"/>
  <c r="AQ97" i="39"/>
  <c r="AR98" i="39"/>
  <c r="AS99" i="39"/>
  <c r="AT100" i="39"/>
  <c r="AU101" i="39"/>
  <c r="AX102" i="39"/>
  <c r="AY103" i="39"/>
  <c r="AZ104" i="39"/>
  <c r="BA105" i="39"/>
  <c r="BM104" i="39"/>
  <c r="BN105" i="39"/>
  <c r="BO106" i="39"/>
  <c r="BP107" i="39"/>
  <c r="BS97" i="39"/>
  <c r="BT98" i="39"/>
  <c r="BU99" i="39"/>
  <c r="BW100" i="39"/>
  <c r="BX101" i="39"/>
  <c r="BY102" i="39"/>
  <c r="BZ103" i="39"/>
  <c r="CB104" i="39"/>
  <c r="CC105" i="39"/>
  <c r="CC107" i="39"/>
  <c r="AK106" i="39"/>
  <c r="AQ100" i="39"/>
  <c r="AX105" i="39"/>
  <c r="BR99" i="39"/>
  <c r="AR102" i="39"/>
  <c r="BR100" i="39"/>
  <c r="CC97" i="39"/>
  <c r="AH101" i="39"/>
  <c r="AI102" i="39"/>
  <c r="AJ103" i="39"/>
  <c r="AK104" i="39"/>
  <c r="AL105" i="39"/>
  <c r="AM106" i="39"/>
  <c r="AN107" i="39"/>
  <c r="AP97" i="39"/>
  <c r="AQ98" i="39"/>
  <c r="AR99" i="39"/>
  <c r="AS100" i="39"/>
  <c r="AT101" i="39"/>
  <c r="Y101" i="39" s="1"/>
  <c r="AU102" i="39"/>
  <c r="AX103" i="39"/>
  <c r="AY104" i="39"/>
  <c r="AZ105" i="39"/>
  <c r="BA106" i="39"/>
  <c r="BM105" i="39"/>
  <c r="BN106" i="39"/>
  <c r="BO107" i="39"/>
  <c r="BR97" i="39"/>
  <c r="BS98" i="39"/>
  <c r="BT99" i="39"/>
  <c r="BU100" i="39"/>
  <c r="BW101" i="39"/>
  <c r="BX102" i="39"/>
  <c r="BY103" i="39"/>
  <c r="BZ104" i="39"/>
  <c r="CB105" i="39"/>
  <c r="CC106" i="39"/>
  <c r="BX103" i="39"/>
  <c r="BZ105" i="39"/>
  <c r="AH103" i="39"/>
  <c r="AL107" i="39"/>
  <c r="AR101" i="39"/>
  <c r="AY106" i="39"/>
  <c r="BO97" i="39"/>
  <c r="AS103" i="39"/>
  <c r="AH102" i="39"/>
  <c r="AI103" i="39"/>
  <c r="AJ104" i="39"/>
  <c r="AK105" i="39"/>
  <c r="AL106" i="39"/>
  <c r="AM107" i="39"/>
  <c r="AO97" i="39"/>
  <c r="AP98" i="39"/>
  <c r="AQ99" i="39"/>
  <c r="AR100" i="39"/>
  <c r="AS101" i="39"/>
  <c r="AT102" i="39"/>
  <c r="AU103" i="39"/>
  <c r="AX104" i="39"/>
  <c r="AY105" i="39"/>
  <c r="AZ106" i="39"/>
  <c r="BA107" i="39"/>
  <c r="BM106" i="39"/>
  <c r="BN107" i="39"/>
  <c r="BP97" i="39"/>
  <c r="BR98" i="39"/>
  <c r="BS99" i="39"/>
  <c r="BT100" i="39"/>
  <c r="BU101" i="39"/>
  <c r="BW102" i="39"/>
  <c r="BY104" i="39"/>
  <c r="CB106" i="39"/>
  <c r="AJ105" i="39"/>
  <c r="AO98" i="39"/>
  <c r="AU104" i="39"/>
  <c r="BY105" i="39"/>
  <c r="AN98" i="39"/>
  <c r="BN97" i="39"/>
  <c r="BW104" i="39"/>
  <c r="AS102" i="39"/>
  <c r="CB107" i="39"/>
  <c r="AO99" i="39"/>
  <c r="AH104" i="39"/>
  <c r="AP100" i="39"/>
  <c r="AY107" i="39"/>
  <c r="BS101" i="39"/>
  <c r="BZ107" i="39"/>
  <c r="AH105" i="39"/>
  <c r="AI106" i="39"/>
  <c r="AJ107" i="39"/>
  <c r="AL97" i="39"/>
  <c r="AM98" i="39"/>
  <c r="AN99" i="39"/>
  <c r="AO100" i="39"/>
  <c r="AP101" i="39"/>
  <c r="AQ102" i="39"/>
  <c r="AR103" i="39"/>
  <c r="AS104" i="39"/>
  <c r="AT105" i="39"/>
  <c r="AU106" i="39"/>
  <c r="AX107" i="39"/>
  <c r="AZ97" i="39"/>
  <c r="BA98" i="39"/>
  <c r="BM97" i="39"/>
  <c r="BN98" i="39"/>
  <c r="BO99" i="39"/>
  <c r="BP100" i="39"/>
  <c r="BR101" i="39"/>
  <c r="BS102" i="39"/>
  <c r="BT103" i="39"/>
  <c r="BU104" i="39"/>
  <c r="BW105" i="39"/>
  <c r="BX106" i="39"/>
  <c r="BY107" i="39"/>
  <c r="CB97" i="39"/>
  <c r="CF97" i="39" s="1"/>
  <c r="CC98" i="39"/>
  <c r="BZ98" i="39"/>
  <c r="AK99" i="39"/>
  <c r="AM101" i="39"/>
  <c r="AP104" i="39"/>
  <c r="AS107" i="39"/>
  <c r="AY99" i="39"/>
  <c r="BO102" i="39"/>
  <c r="BR104" i="39"/>
  <c r="BU107" i="39"/>
  <c r="BZ99" i="39"/>
  <c r="AI98" i="39"/>
  <c r="AK100" i="39"/>
  <c r="AN103" i="39"/>
  <c r="AQ106" i="39"/>
  <c r="AU98" i="39"/>
  <c r="AZ101" i="39"/>
  <c r="BN102" i="39"/>
  <c r="BP104" i="39"/>
  <c r="BT107" i="39"/>
  <c r="BY99" i="39"/>
  <c r="CC102" i="39"/>
  <c r="BP98" i="39"/>
  <c r="BX104" i="39"/>
  <c r="AJ106" i="39"/>
  <c r="AQ101" i="39"/>
  <c r="AH106" i="39"/>
  <c r="AI107" i="39"/>
  <c r="AK97" i="39"/>
  <c r="AL98" i="39"/>
  <c r="AM99" i="39"/>
  <c r="AN100" i="39"/>
  <c r="AO101" i="39"/>
  <c r="AP102" i="39"/>
  <c r="AQ103" i="39"/>
  <c r="AR104" i="39"/>
  <c r="AS105" i="39"/>
  <c r="AT106" i="39"/>
  <c r="AU107" i="39"/>
  <c r="AY97" i="39"/>
  <c r="AZ98" i="39"/>
  <c r="BA99" i="39"/>
  <c r="BM98" i="39"/>
  <c r="BN99" i="39"/>
  <c r="BO100" i="39"/>
  <c r="BP101" i="39"/>
  <c r="BR102" i="39"/>
  <c r="BS103" i="39"/>
  <c r="BT104" i="39"/>
  <c r="BU105" i="39"/>
  <c r="BW106" i="39"/>
  <c r="BX107" i="39"/>
  <c r="BZ97" i="39"/>
  <c r="CB98" i="39"/>
  <c r="CC99" i="39"/>
  <c r="AT107" i="39"/>
  <c r="Y107" i="39" s="1"/>
  <c r="AZ99" i="39"/>
  <c r="BM99" i="39"/>
  <c r="BO101" i="39"/>
  <c r="BR103" i="39"/>
  <c r="BT105" i="39"/>
  <c r="BW107" i="39"/>
  <c r="CB99" i="39"/>
  <c r="AI97" i="39"/>
  <c r="AL100" i="39"/>
  <c r="AN102" i="39"/>
  <c r="AQ105" i="39"/>
  <c r="AU97" i="39"/>
  <c r="AZ100" i="39"/>
  <c r="BM100" i="39"/>
  <c r="BP103" i="39"/>
  <c r="BT106" i="39"/>
  <c r="BY98" i="39"/>
  <c r="CC101" i="39"/>
  <c r="AO104" i="39"/>
  <c r="AT97" i="39"/>
  <c r="Y97" i="39" s="1"/>
  <c r="AY100" i="39"/>
  <c r="BM101" i="39"/>
  <c r="BR105" i="39"/>
  <c r="BW97" i="39"/>
  <c r="BZ100" i="39"/>
  <c r="AZ107" i="39"/>
  <c r="BU102" i="39"/>
  <c r="AI105" i="39"/>
  <c r="AT104" i="39"/>
  <c r="BO98" i="39"/>
  <c r="BU103" i="39"/>
  <c r="AH107" i="39"/>
  <c r="AJ97" i="39"/>
  <c r="AK98" i="39"/>
  <c r="AL99" i="39"/>
  <c r="AM100" i="39"/>
  <c r="AN101" i="39"/>
  <c r="AO102" i="39"/>
  <c r="AP103" i="39"/>
  <c r="AQ104" i="39"/>
  <c r="AR105" i="39"/>
  <c r="AS106" i="39"/>
  <c r="AX97" i="39"/>
  <c r="AY98" i="39"/>
  <c r="BA100" i="39"/>
  <c r="BN100" i="39"/>
  <c r="BP102" i="39"/>
  <c r="BS104" i="39"/>
  <c r="BU106" i="39"/>
  <c r="BY97" i="39"/>
  <c r="CC100" i="39"/>
  <c r="AJ98" i="39"/>
  <c r="AO103" i="39"/>
  <c r="AR106" i="39"/>
  <c r="AX98" i="39"/>
  <c r="Z98" i="39" s="1"/>
  <c r="BA101" i="39"/>
  <c r="BN101" i="39"/>
  <c r="BS105" i="39"/>
  <c r="BX97" i="39"/>
  <c r="CB100" i="39"/>
  <c r="AH97" i="39"/>
  <c r="AJ99" i="39"/>
  <c r="AL101" i="39"/>
  <c r="AM102" i="39"/>
  <c r="AP105" i="39"/>
  <c r="X105" i="39" s="1"/>
  <c r="AR107" i="39"/>
  <c r="AX99" i="39"/>
  <c r="BA102" i="39"/>
  <c r="BO103" i="39"/>
  <c r="BS106" i="39"/>
  <c r="BX98" i="39"/>
  <c r="CB101" i="39"/>
  <c r="BS100" i="39"/>
  <c r="BZ106" i="39"/>
  <c r="AK107" i="39"/>
  <c r="AX106" i="39"/>
  <c r="BP99" i="39"/>
  <c r="BX105" i="39"/>
  <c r="AH92" i="39"/>
  <c r="AI92" i="39"/>
  <c r="AJ92" i="39"/>
  <c r="AK92" i="39"/>
  <c r="AL92" i="39"/>
  <c r="AM92" i="39"/>
  <c r="AN92" i="39"/>
  <c r="AO92" i="39"/>
  <c r="AP92" i="39"/>
  <c r="AQ92" i="39"/>
  <c r="AR92" i="39"/>
  <c r="AS92" i="39"/>
  <c r="AT92" i="39"/>
  <c r="Y92" i="39" s="1"/>
  <c r="AU92" i="39"/>
  <c r="AX92" i="39"/>
  <c r="AY92" i="39"/>
  <c r="AZ92" i="39"/>
  <c r="BA92" i="39"/>
  <c r="BM93" i="39"/>
  <c r="BN93" i="39"/>
  <c r="BO93" i="39"/>
  <c r="BP93" i="39"/>
  <c r="BR93" i="39"/>
  <c r="BS93" i="39"/>
  <c r="BT93" i="39"/>
  <c r="BU93" i="39"/>
  <c r="BW93" i="39"/>
  <c r="BX93" i="39"/>
  <c r="BY93" i="39"/>
  <c r="BZ93" i="39"/>
  <c r="CB93" i="39"/>
  <c r="CC93" i="39"/>
  <c r="AH94" i="39"/>
  <c r="AK94" i="39"/>
  <c r="AN94" i="39"/>
  <c r="AP94" i="39"/>
  <c r="AR94" i="39"/>
  <c r="AU94" i="39"/>
  <c r="AY94" i="39"/>
  <c r="BM95" i="39"/>
  <c r="BO95" i="39"/>
  <c r="BS95" i="39"/>
  <c r="BW95" i="39"/>
  <c r="BZ95" i="39"/>
  <c r="AI87" i="39"/>
  <c r="AQ87" i="39"/>
  <c r="AZ87" i="39"/>
  <c r="BR88" i="39"/>
  <c r="CC88" i="39"/>
  <c r="BN89" i="39"/>
  <c r="CC89" i="39"/>
  <c r="AH93" i="39"/>
  <c r="AI93" i="39"/>
  <c r="AJ93" i="39"/>
  <c r="AK93" i="39"/>
  <c r="AL93" i="39"/>
  <c r="AM93" i="39"/>
  <c r="AN93" i="39"/>
  <c r="AO93" i="39"/>
  <c r="AP93" i="39"/>
  <c r="AQ93" i="39"/>
  <c r="AR93" i="39"/>
  <c r="AS93" i="39"/>
  <c r="AT93" i="39"/>
  <c r="Y93" i="39" s="1"/>
  <c r="AU93" i="39"/>
  <c r="AX93" i="39"/>
  <c r="AY93" i="39"/>
  <c r="AZ93" i="39"/>
  <c r="BA93" i="39"/>
  <c r="BM94" i="39"/>
  <c r="BN94" i="39"/>
  <c r="BO94" i="39"/>
  <c r="BP94" i="39"/>
  <c r="BR94" i="39"/>
  <c r="BS94" i="39"/>
  <c r="BT94" i="39"/>
  <c r="BU94" i="39"/>
  <c r="BW94" i="39"/>
  <c r="BX94" i="39"/>
  <c r="BY94" i="39"/>
  <c r="BZ94" i="39"/>
  <c r="CB94" i="39"/>
  <c r="CC94" i="39"/>
  <c r="AI94" i="39"/>
  <c r="AL94" i="39"/>
  <c r="AM94" i="39"/>
  <c r="AO94" i="39"/>
  <c r="AQ94" i="39"/>
  <c r="AT94" i="39"/>
  <c r="AX94" i="39"/>
  <c r="AZ94" i="39"/>
  <c r="BP95" i="39"/>
  <c r="BT95" i="39"/>
  <c r="BX95" i="39"/>
  <c r="CB95" i="39"/>
  <c r="AK87" i="39"/>
  <c r="AR87" i="39"/>
  <c r="BA87" i="39"/>
  <c r="BP88" i="39"/>
  <c r="BZ88" i="39"/>
  <c r="BP89" i="39"/>
  <c r="CB89" i="39"/>
  <c r="AJ94" i="39"/>
  <c r="AS94" i="39"/>
  <c r="BA94" i="39"/>
  <c r="BN95" i="39"/>
  <c r="BR95" i="39"/>
  <c r="BU95" i="39"/>
  <c r="BY95" i="39"/>
  <c r="CC95" i="39"/>
  <c r="AM87" i="39"/>
  <c r="AU87" i="39"/>
  <c r="BM88" i="39"/>
  <c r="BX88" i="39"/>
  <c r="BR89" i="39"/>
  <c r="AH95" i="39"/>
  <c r="AI95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X95" i="39"/>
  <c r="AY95" i="39"/>
  <c r="AZ95" i="39"/>
  <c r="BA95" i="39"/>
  <c r="BM96" i="39"/>
  <c r="BN96" i="39"/>
  <c r="BO96" i="39"/>
  <c r="BP96" i="39"/>
  <c r="BR96" i="39"/>
  <c r="BS96" i="39"/>
  <c r="BT96" i="39"/>
  <c r="BU96" i="39"/>
  <c r="BW96" i="39"/>
  <c r="BX96" i="39"/>
  <c r="BY96" i="39"/>
  <c r="BZ96" i="39"/>
  <c r="CB96" i="39"/>
  <c r="CC96" i="39"/>
  <c r="BZ87" i="39"/>
  <c r="AL87" i="39"/>
  <c r="AS87" i="39"/>
  <c r="BW88" i="39"/>
  <c r="AH96" i="39"/>
  <c r="AI96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X96" i="39"/>
  <c r="AY96" i="39"/>
  <c r="AZ96" i="39"/>
  <c r="BA96" i="39"/>
  <c r="BM85" i="39"/>
  <c r="BN85" i="39"/>
  <c r="BO85" i="39"/>
  <c r="BP85" i="39"/>
  <c r="BR85" i="39"/>
  <c r="BS85" i="39"/>
  <c r="BT85" i="39"/>
  <c r="BU85" i="39"/>
  <c r="BW85" i="39"/>
  <c r="BX85" i="39"/>
  <c r="BY85" i="39"/>
  <c r="BZ85" i="39"/>
  <c r="CB85" i="39"/>
  <c r="CC85" i="39"/>
  <c r="AH86" i="39"/>
  <c r="AJ86" i="39"/>
  <c r="AL86" i="39"/>
  <c r="AO86" i="39"/>
  <c r="AQ86" i="39"/>
  <c r="AT86" i="39"/>
  <c r="Y86" i="39" s="1"/>
  <c r="AX86" i="39"/>
  <c r="BA86" i="39"/>
  <c r="BM87" i="39"/>
  <c r="BO87" i="39"/>
  <c r="BR87" i="39"/>
  <c r="BT87" i="39"/>
  <c r="BW87" i="39"/>
  <c r="CB87" i="39"/>
  <c r="AJ87" i="39"/>
  <c r="AP87" i="39"/>
  <c r="AT87" i="39"/>
  <c r="BS88" i="39"/>
  <c r="BM89" i="39"/>
  <c r="BY89" i="39"/>
  <c r="AH85" i="39"/>
  <c r="AI85" i="39"/>
  <c r="AJ85" i="39"/>
  <c r="AK85" i="39"/>
  <c r="AL85" i="39"/>
  <c r="W85" i="39" s="1"/>
  <c r="AM85" i="39"/>
  <c r="AN85" i="39"/>
  <c r="AO85" i="39"/>
  <c r="AP85" i="39"/>
  <c r="AQ85" i="39"/>
  <c r="AR85" i="39"/>
  <c r="AS85" i="39"/>
  <c r="AT85" i="39"/>
  <c r="Y85" i="39" s="1"/>
  <c r="AU85" i="39"/>
  <c r="AX85" i="39"/>
  <c r="AY85" i="39"/>
  <c r="AZ85" i="39"/>
  <c r="BA85" i="39"/>
  <c r="BM86" i="39"/>
  <c r="BN86" i="39"/>
  <c r="BO86" i="39"/>
  <c r="BP86" i="39"/>
  <c r="BR86" i="39"/>
  <c r="BS86" i="39"/>
  <c r="BT86" i="39"/>
  <c r="BU86" i="39"/>
  <c r="BW86" i="39"/>
  <c r="BX86" i="39"/>
  <c r="BY86" i="39"/>
  <c r="BZ86" i="39"/>
  <c r="CB86" i="39"/>
  <c r="CC86" i="39"/>
  <c r="AI86" i="39"/>
  <c r="AK86" i="39"/>
  <c r="AN86" i="39"/>
  <c r="AP86" i="39"/>
  <c r="AR86" i="39"/>
  <c r="AU86" i="39"/>
  <c r="AZ86" i="39"/>
  <c r="BN87" i="39"/>
  <c r="BP87" i="39"/>
  <c r="BS87" i="39"/>
  <c r="BU87" i="39"/>
  <c r="BX87" i="39"/>
  <c r="CC87" i="39"/>
  <c r="AN87" i="39"/>
  <c r="AY87" i="39"/>
  <c r="BO88" i="39"/>
  <c r="BY88" i="39"/>
  <c r="BO89" i="39"/>
  <c r="BZ89" i="39"/>
  <c r="AM86" i="39"/>
  <c r="AS86" i="39"/>
  <c r="AY86" i="39"/>
  <c r="BY87" i="39"/>
  <c r="AH87" i="39"/>
  <c r="AO87" i="39"/>
  <c r="AX87" i="39"/>
  <c r="BN88" i="39"/>
  <c r="BT88" i="39"/>
  <c r="AZ88" i="39"/>
  <c r="BX89" i="39"/>
  <c r="AH88" i="39"/>
  <c r="AI88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X88" i="39"/>
  <c r="AY88" i="39"/>
  <c r="BA88" i="39"/>
  <c r="BW89" i="39"/>
  <c r="AH89" i="39"/>
  <c r="AI89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X89" i="39"/>
  <c r="AY89" i="39"/>
  <c r="AZ89" i="39"/>
  <c r="BA89" i="39"/>
  <c r="BM90" i="39"/>
  <c r="BN90" i="39"/>
  <c r="BO90" i="39"/>
  <c r="BP90" i="39"/>
  <c r="BR90" i="39"/>
  <c r="BS90" i="39"/>
  <c r="BT90" i="39"/>
  <c r="BU90" i="39"/>
  <c r="BW90" i="39"/>
  <c r="BX90" i="39"/>
  <c r="BY90" i="39"/>
  <c r="BZ90" i="39"/>
  <c r="CB90" i="39"/>
  <c r="CC90" i="39"/>
  <c r="AH91" i="39"/>
  <c r="AJ91" i="39"/>
  <c r="AM91" i="39"/>
  <c r="AO91" i="39"/>
  <c r="AR91" i="39"/>
  <c r="AT91" i="39"/>
  <c r="Y91" i="39" s="1"/>
  <c r="AX91" i="39"/>
  <c r="AZ91" i="39"/>
  <c r="BO92" i="39"/>
  <c r="BS92" i="39"/>
  <c r="BW92" i="39"/>
  <c r="BY92" i="39"/>
  <c r="CB92" i="39"/>
  <c r="BU88" i="39"/>
  <c r="BT89" i="39"/>
  <c r="AH90" i="39"/>
  <c r="AI90" i="39"/>
  <c r="AJ90" i="39"/>
  <c r="AK90" i="39"/>
  <c r="AL90" i="39"/>
  <c r="AM90" i="39"/>
  <c r="AN90" i="39"/>
  <c r="AO90" i="39"/>
  <c r="AP90" i="39"/>
  <c r="AQ90" i="39"/>
  <c r="AR90" i="39"/>
  <c r="AS90" i="39"/>
  <c r="AT90" i="39"/>
  <c r="Y90" i="39" s="1"/>
  <c r="AU90" i="39"/>
  <c r="AX90" i="39"/>
  <c r="AY90" i="39"/>
  <c r="AZ90" i="39"/>
  <c r="BA90" i="39"/>
  <c r="BM91" i="39"/>
  <c r="BN91" i="39"/>
  <c r="BO91" i="39"/>
  <c r="BP91" i="39"/>
  <c r="BR91" i="39"/>
  <c r="BS91" i="39"/>
  <c r="BT91" i="39"/>
  <c r="BU91" i="39"/>
  <c r="BW91" i="39"/>
  <c r="BX91" i="39"/>
  <c r="BY91" i="39"/>
  <c r="BZ91" i="39"/>
  <c r="CB91" i="39"/>
  <c r="CC91" i="39"/>
  <c r="AI91" i="39"/>
  <c r="AK91" i="39"/>
  <c r="AL91" i="39"/>
  <c r="AN91" i="39"/>
  <c r="AP91" i="39"/>
  <c r="AQ91" i="39"/>
  <c r="AS91" i="39"/>
  <c r="AU91" i="39"/>
  <c r="AY91" i="39"/>
  <c r="BA91" i="39"/>
  <c r="BM92" i="39"/>
  <c r="BN92" i="39"/>
  <c r="BP92" i="39"/>
  <c r="BT92" i="39"/>
  <c r="BU92" i="39"/>
  <c r="BX92" i="39"/>
  <c r="BZ92" i="39"/>
  <c r="CC92" i="39"/>
  <c r="CB88" i="39"/>
  <c r="BS89" i="39"/>
  <c r="BR92" i="39"/>
  <c r="BU89" i="39"/>
  <c r="AH78" i="39"/>
  <c r="AI77" i="39"/>
  <c r="AJ76" i="39"/>
  <c r="AK75" i="39"/>
  <c r="AL74" i="39"/>
  <c r="AM73" i="39"/>
  <c r="AN72" i="39"/>
  <c r="AN84" i="39"/>
  <c r="AO83" i="39"/>
  <c r="AP82" i="39"/>
  <c r="AQ81" i="39"/>
  <c r="AR80" i="39"/>
  <c r="AS79" i="39"/>
  <c r="AT78" i="39"/>
  <c r="AU77" i="39"/>
  <c r="AX76" i="39"/>
  <c r="AY75" i="39"/>
  <c r="AZ74" i="39"/>
  <c r="BA73" i="39"/>
  <c r="BM81" i="39"/>
  <c r="BN80" i="39"/>
  <c r="BO79" i="39"/>
  <c r="BP78" i="39"/>
  <c r="BR77" i="39"/>
  <c r="BS76" i="39"/>
  <c r="BT75" i="39"/>
  <c r="BU74" i="39"/>
  <c r="BW73" i="39"/>
  <c r="BX72" i="39"/>
  <c r="BX84" i="39"/>
  <c r="BY83" i="39"/>
  <c r="BZ82" i="39"/>
  <c r="CB81" i="39"/>
  <c r="CC80" i="39"/>
  <c r="CB83" i="39"/>
  <c r="CC84" i="39"/>
  <c r="AJ83" i="39"/>
  <c r="AT73" i="39"/>
  <c r="BR72" i="39"/>
  <c r="CB76" i="39"/>
  <c r="AR76" i="39"/>
  <c r="BY79" i="39"/>
  <c r="AH79" i="39"/>
  <c r="AI78" i="39"/>
  <c r="AJ77" i="39"/>
  <c r="AK76" i="39"/>
  <c r="AL75" i="39"/>
  <c r="AM74" i="39"/>
  <c r="AN73" i="39"/>
  <c r="AO72" i="39"/>
  <c r="AO84" i="39"/>
  <c r="AP83" i="39"/>
  <c r="AQ82" i="39"/>
  <c r="AR81" i="39"/>
  <c r="AS80" i="39"/>
  <c r="AT79" i="39"/>
  <c r="AU78" i="39"/>
  <c r="AX77" i="39"/>
  <c r="AY76" i="39"/>
  <c r="AZ75" i="39"/>
  <c r="BA74" i="39"/>
  <c r="BM82" i="39"/>
  <c r="BN81" i="39"/>
  <c r="BO80" i="39"/>
  <c r="BP79" i="39"/>
  <c r="BR78" i="39"/>
  <c r="BS77" i="39"/>
  <c r="BT76" i="39"/>
  <c r="BU75" i="39"/>
  <c r="BW74" i="39"/>
  <c r="BX73" i="39"/>
  <c r="BY72" i="39"/>
  <c r="BY84" i="39"/>
  <c r="BZ83" i="39"/>
  <c r="CB82" i="39"/>
  <c r="CC81" i="39"/>
  <c r="BY73" i="39"/>
  <c r="BZ84" i="39"/>
  <c r="CB73" i="39"/>
  <c r="CB75" i="39"/>
  <c r="AQ76" i="39"/>
  <c r="BM76" i="39"/>
  <c r="BW80" i="39"/>
  <c r="AH74" i="39"/>
  <c r="AQ77" i="39"/>
  <c r="BA81" i="39"/>
  <c r="BS84" i="39"/>
  <c r="AH80" i="39"/>
  <c r="AI79" i="39"/>
  <c r="AJ78" i="39"/>
  <c r="AK77" i="39"/>
  <c r="AL76" i="39"/>
  <c r="AM75" i="39"/>
  <c r="AN74" i="39"/>
  <c r="AO73" i="39"/>
  <c r="AP72" i="39"/>
  <c r="AP84" i="39"/>
  <c r="AQ83" i="39"/>
  <c r="AR82" i="39"/>
  <c r="AS81" i="39"/>
  <c r="AT80" i="39"/>
  <c r="Y80" i="39" s="1"/>
  <c r="AU79" i="39"/>
  <c r="AX78" i="39"/>
  <c r="AY77" i="39"/>
  <c r="AZ76" i="39"/>
  <c r="BA75" i="39"/>
  <c r="BM83" i="39"/>
  <c r="BN82" i="39"/>
  <c r="BO81" i="39"/>
  <c r="BP80" i="39"/>
  <c r="BR79" i="39"/>
  <c r="BS78" i="39"/>
  <c r="BT77" i="39"/>
  <c r="BU76" i="39"/>
  <c r="BW75" i="39"/>
  <c r="BX74" i="39"/>
  <c r="BZ72" i="39"/>
  <c r="CC82" i="39"/>
  <c r="BZ75" i="39"/>
  <c r="AT74" i="39"/>
  <c r="BN76" i="39"/>
  <c r="BZ78" i="39"/>
  <c r="AH81" i="39"/>
  <c r="AI80" i="39"/>
  <c r="AJ79" i="39"/>
  <c r="AK78" i="39"/>
  <c r="AL77" i="39"/>
  <c r="AM76" i="39"/>
  <c r="AN75" i="39"/>
  <c r="AO74" i="39"/>
  <c r="AP73" i="39"/>
  <c r="AQ72" i="39"/>
  <c r="AQ84" i="39"/>
  <c r="AR83" i="39"/>
  <c r="AS82" i="39"/>
  <c r="AT81" i="39"/>
  <c r="AU80" i="39"/>
  <c r="BD80" i="39" s="1"/>
  <c r="AX79" i="39"/>
  <c r="AY78" i="39"/>
  <c r="AZ77" i="39"/>
  <c r="BA76" i="39"/>
  <c r="BM72" i="39"/>
  <c r="BM84" i="39"/>
  <c r="BN83" i="39"/>
  <c r="BO82" i="39"/>
  <c r="BP81" i="39"/>
  <c r="BR80" i="39"/>
  <c r="BS79" i="39"/>
  <c r="BT78" i="39"/>
  <c r="BU77" i="39"/>
  <c r="BW76" i="39"/>
  <c r="BX75" i="39"/>
  <c r="BY74" i="39"/>
  <c r="BZ73" i="39"/>
  <c r="CB72" i="39"/>
  <c r="CB84" i="39"/>
  <c r="CF84" i="39" s="1"/>
  <c r="CC83" i="39"/>
  <c r="BY75" i="39"/>
  <c r="CC72" i="39"/>
  <c r="AH73" i="39"/>
  <c r="AM80" i="39"/>
  <c r="AU84" i="39"/>
  <c r="BO74" i="39"/>
  <c r="BY78" i="39"/>
  <c r="AJ72" i="39"/>
  <c r="AM81" i="39"/>
  <c r="AX72" i="39"/>
  <c r="BR73" i="39"/>
  <c r="CC76" i="39"/>
  <c r="AH82" i="39"/>
  <c r="AI81" i="39"/>
  <c r="AJ80" i="39"/>
  <c r="AK79" i="39"/>
  <c r="AL78" i="39"/>
  <c r="AM77" i="39"/>
  <c r="AN76" i="39"/>
  <c r="AO75" i="39"/>
  <c r="AP74" i="39"/>
  <c r="AQ73" i="39"/>
  <c r="AR72" i="39"/>
  <c r="AR84" i="39"/>
  <c r="AS83" i="39"/>
  <c r="AT82" i="39"/>
  <c r="AU81" i="39"/>
  <c r="AX80" i="39"/>
  <c r="AY79" i="39"/>
  <c r="AZ78" i="39"/>
  <c r="BA77" i="39"/>
  <c r="BM73" i="39"/>
  <c r="BN72" i="39"/>
  <c r="BN84" i="39"/>
  <c r="BO83" i="39"/>
  <c r="BP82" i="39"/>
  <c r="BR81" i="39"/>
  <c r="BS80" i="39"/>
  <c r="BT79" i="39"/>
  <c r="BU78" i="39"/>
  <c r="BW77" i="39"/>
  <c r="BX76" i="39"/>
  <c r="BZ74" i="39"/>
  <c r="CC74" i="39"/>
  <c r="AL81" i="39"/>
  <c r="AU72" i="39"/>
  <c r="BN75" i="39"/>
  <c r="BX79" i="39"/>
  <c r="AI73" i="39"/>
  <c r="AL82" i="39"/>
  <c r="AU73" i="39"/>
  <c r="BM77" i="39"/>
  <c r="BX80" i="39"/>
  <c r="AH83" i="39"/>
  <c r="AI82" i="39"/>
  <c r="AJ81" i="39"/>
  <c r="AK80" i="39"/>
  <c r="AL79" i="39"/>
  <c r="AM78" i="39"/>
  <c r="AN77" i="39"/>
  <c r="AO76" i="39"/>
  <c r="AP75" i="39"/>
  <c r="AQ74" i="39"/>
  <c r="AR73" i="39"/>
  <c r="AS72" i="39"/>
  <c r="AS84" i="39"/>
  <c r="AT83" i="39"/>
  <c r="AU82" i="39"/>
  <c r="AX81" i="39"/>
  <c r="AY80" i="39"/>
  <c r="AZ79" i="39"/>
  <c r="BA78" i="39"/>
  <c r="BM74" i="39"/>
  <c r="BN73" i="39"/>
  <c r="BO72" i="39"/>
  <c r="BO84" i="39"/>
  <c r="BP83" i="39"/>
  <c r="BR82" i="39"/>
  <c r="BS81" i="39"/>
  <c r="BT80" i="39"/>
  <c r="BU79" i="39"/>
  <c r="BW78" i="39"/>
  <c r="BX77" i="39"/>
  <c r="BY76" i="39"/>
  <c r="CB74" i="39"/>
  <c r="AI84" i="39"/>
  <c r="AO78" i="39"/>
  <c r="AX83" i="39"/>
  <c r="BP73" i="39"/>
  <c r="BZ77" i="39"/>
  <c r="AK83" i="39"/>
  <c r="AO79" i="39"/>
  <c r="AX84" i="39"/>
  <c r="BP74" i="39"/>
  <c r="CB77" i="39"/>
  <c r="AH72" i="39"/>
  <c r="AH84" i="39"/>
  <c r="AI83" i="39"/>
  <c r="AJ82" i="39"/>
  <c r="AK81" i="39"/>
  <c r="AL80" i="39"/>
  <c r="AM79" i="39"/>
  <c r="AN78" i="39"/>
  <c r="AO77" i="39"/>
  <c r="AP76" i="39"/>
  <c r="AQ75" i="39"/>
  <c r="AR74" i="39"/>
  <c r="AS73" i="39"/>
  <c r="AT72" i="39"/>
  <c r="AT84" i="39"/>
  <c r="AU83" i="39"/>
  <c r="AX82" i="39"/>
  <c r="AY81" i="39"/>
  <c r="AZ80" i="39"/>
  <c r="BA79" i="39"/>
  <c r="BM75" i="39"/>
  <c r="BN74" i="39"/>
  <c r="BO73" i="39"/>
  <c r="BP72" i="39"/>
  <c r="BP84" i="39"/>
  <c r="BR83" i="39"/>
  <c r="BS82" i="39"/>
  <c r="BT81" i="39"/>
  <c r="BU80" i="39"/>
  <c r="BW79" i="39"/>
  <c r="BX78" i="39"/>
  <c r="BY77" i="39"/>
  <c r="BZ76" i="39"/>
  <c r="AP77" i="39"/>
  <c r="AZ81" i="39"/>
  <c r="BS83" i="39"/>
  <c r="AJ84" i="39"/>
  <c r="AS75" i="39"/>
  <c r="BO75" i="39"/>
  <c r="BW81" i="39"/>
  <c r="AH75" i="39"/>
  <c r="AI74" i="39"/>
  <c r="AJ73" i="39"/>
  <c r="AK72" i="39"/>
  <c r="AK84" i="39"/>
  <c r="AL83" i="39"/>
  <c r="AM82" i="39"/>
  <c r="AN81" i="39"/>
  <c r="AO80" i="39"/>
  <c r="AP79" i="39"/>
  <c r="AQ78" i="39"/>
  <c r="AR77" i="39"/>
  <c r="AS76" i="39"/>
  <c r="AT75" i="39"/>
  <c r="AU74" i="39"/>
  <c r="AX73" i="39"/>
  <c r="AY72" i="39"/>
  <c r="AY84" i="39"/>
  <c r="AZ83" i="39"/>
  <c r="BA82" i="39"/>
  <c r="BM78" i="39"/>
  <c r="BN77" i="39"/>
  <c r="BO76" i="39"/>
  <c r="BP75" i="39"/>
  <c r="BR74" i="39"/>
  <c r="BS73" i="39"/>
  <c r="BT72" i="39"/>
  <c r="BT84" i="39"/>
  <c r="BU83" i="39"/>
  <c r="BW82" i="39"/>
  <c r="BX81" i="39"/>
  <c r="BY80" i="39"/>
  <c r="BZ79" i="39"/>
  <c r="CB78" i="39"/>
  <c r="CC77" i="39"/>
  <c r="AI72" i="39"/>
  <c r="AS74" i="39"/>
  <c r="BU81" i="39"/>
  <c r="AP78" i="39"/>
  <c r="AZ82" i="39"/>
  <c r="BT83" i="39"/>
  <c r="AH76" i="39"/>
  <c r="AI75" i="39"/>
  <c r="AJ74" i="39"/>
  <c r="AK73" i="39"/>
  <c r="AL72" i="39"/>
  <c r="AL84" i="39"/>
  <c r="AM83" i="39"/>
  <c r="AN82" i="39"/>
  <c r="AO81" i="39"/>
  <c r="AP80" i="39"/>
  <c r="AQ79" i="39"/>
  <c r="AR78" i="39"/>
  <c r="AS77" i="39"/>
  <c r="AT76" i="39"/>
  <c r="AU75" i="39"/>
  <c r="AX74" i="39"/>
  <c r="AY73" i="39"/>
  <c r="AZ72" i="39"/>
  <c r="AZ84" i="39"/>
  <c r="BA83" i="39"/>
  <c r="BM79" i="39"/>
  <c r="BN78" i="39"/>
  <c r="BO77" i="39"/>
  <c r="BP76" i="39"/>
  <c r="BR75" i="39"/>
  <c r="BS74" i="39"/>
  <c r="BT73" i="39"/>
  <c r="BU72" i="39"/>
  <c r="BU84" i="39"/>
  <c r="BW83" i="39"/>
  <c r="BX82" i="39"/>
  <c r="BY81" i="39"/>
  <c r="BZ80" i="39"/>
  <c r="CB79" i="39"/>
  <c r="CC78" i="39"/>
  <c r="AN79" i="39"/>
  <c r="AY82" i="39"/>
  <c r="BR84" i="39"/>
  <c r="CC75" i="39"/>
  <c r="AN80" i="39"/>
  <c r="AY83" i="39"/>
  <c r="BS72" i="39"/>
  <c r="AH77" i="39"/>
  <c r="AI76" i="39"/>
  <c r="AJ75" i="39"/>
  <c r="AK74" i="39"/>
  <c r="AL73" i="39"/>
  <c r="AM72" i="39"/>
  <c r="AM84" i="39"/>
  <c r="AN83" i="39"/>
  <c r="AO82" i="39"/>
  <c r="AP81" i="39"/>
  <c r="AQ80" i="39"/>
  <c r="AR79" i="39"/>
  <c r="AS78" i="39"/>
  <c r="AT77" i="39"/>
  <c r="AU76" i="39"/>
  <c r="AX75" i="39"/>
  <c r="AY74" i="39"/>
  <c r="AZ73" i="39"/>
  <c r="BA72" i="39"/>
  <c r="BA84" i="39"/>
  <c r="BM80" i="39"/>
  <c r="BN79" i="39"/>
  <c r="BO78" i="39"/>
  <c r="BP77" i="39"/>
  <c r="BR76" i="39"/>
  <c r="BS75" i="39"/>
  <c r="BT74" i="39"/>
  <c r="BU73" i="39"/>
  <c r="BW72" i="39"/>
  <c r="BW84" i="39"/>
  <c r="BX83" i="39"/>
  <c r="BY82" i="39"/>
  <c r="BZ81" i="39"/>
  <c r="CB80" i="39"/>
  <c r="CC79" i="39"/>
  <c r="CC73" i="39"/>
  <c r="AK82" i="39"/>
  <c r="AR75" i="39"/>
  <c r="BA80" i="39"/>
  <c r="BT82" i="39"/>
  <c r="BU82" i="39"/>
  <c r="AB67" i="39"/>
  <c r="AC70" i="39"/>
  <c r="AE64" i="39"/>
  <c r="AF67" i="39"/>
  <c r="AG70" i="39"/>
  <c r="AC71" i="39"/>
  <c r="AE65" i="39"/>
  <c r="AF68" i="39"/>
  <c r="AG71" i="39"/>
  <c r="AD63" i="39"/>
  <c r="AE66" i="39"/>
  <c r="AF69" i="39"/>
  <c r="AG66" i="39"/>
  <c r="AG69" i="39"/>
  <c r="AD69" i="39"/>
  <c r="AA67" i="39"/>
  <c r="AD64" i="39"/>
  <c r="AE67" i="39"/>
  <c r="AF70" i="39"/>
  <c r="AE63" i="39"/>
  <c r="AD65" i="39"/>
  <c r="AE68" i="39"/>
  <c r="AF71" i="39"/>
  <c r="AB63" i="39"/>
  <c r="AC63" i="39"/>
  <c r="AD66" i="39"/>
  <c r="AE69" i="39"/>
  <c r="AG63" i="39"/>
  <c r="AF63" i="39"/>
  <c r="AF66" i="39"/>
  <c r="AC64" i="39"/>
  <c r="AD67" i="39"/>
  <c r="AE70" i="39"/>
  <c r="AG64" i="39"/>
  <c r="AC66" i="39"/>
  <c r="AC65" i="39"/>
  <c r="AD68" i="39"/>
  <c r="AE71" i="39"/>
  <c r="AG65" i="39"/>
  <c r="AC67" i="39"/>
  <c r="AD70" i="39"/>
  <c r="AF64" i="39"/>
  <c r="AG67" i="39"/>
  <c r="AC68" i="39"/>
  <c r="AD71" i="39"/>
  <c r="AF65" i="39"/>
  <c r="AG68" i="39"/>
  <c r="AA63" i="39"/>
  <c r="AC69" i="39"/>
  <c r="AA55" i="39"/>
  <c r="AD55" i="39"/>
  <c r="AE59" i="39"/>
  <c r="AG55" i="39"/>
  <c r="AD57" i="39"/>
  <c r="AG57" i="39"/>
  <c r="AA56" i="39"/>
  <c r="AB60" i="39"/>
  <c r="AD56" i="39"/>
  <c r="AE60" i="39"/>
  <c r="AG56" i="39"/>
  <c r="AE61" i="39"/>
  <c r="AD58" i="39"/>
  <c r="AE62" i="39"/>
  <c r="O62" i="39" s="1"/>
  <c r="AG58" i="39"/>
  <c r="AC55" i="39"/>
  <c r="AD59" i="39"/>
  <c r="AF55" i="39"/>
  <c r="AG59" i="39"/>
  <c r="AE58" i="39"/>
  <c r="AF62" i="39"/>
  <c r="AC56" i="39"/>
  <c r="AD60" i="39"/>
  <c r="AF56" i="39"/>
  <c r="AG60" i="39"/>
  <c r="AC57" i="39"/>
  <c r="AD61" i="39"/>
  <c r="AF57" i="39"/>
  <c r="AG61" i="39"/>
  <c r="AC62" i="39"/>
  <c r="AC58" i="39"/>
  <c r="AD62" i="39"/>
  <c r="AF58" i="39"/>
  <c r="AG62" i="39"/>
  <c r="AE57" i="39"/>
  <c r="AC59" i="39"/>
  <c r="AE55" i="39"/>
  <c r="AF59" i="39"/>
  <c r="AC61" i="39"/>
  <c r="AF61" i="39"/>
  <c r="AB56" i="39"/>
  <c r="AC60" i="39"/>
  <c r="AE56" i="39"/>
  <c r="AF60" i="39"/>
  <c r="AA52" i="39"/>
  <c r="AC46" i="39"/>
  <c r="AD49" i="39"/>
  <c r="AE52" i="39"/>
  <c r="AG46" i="39"/>
  <c r="AC47" i="39"/>
  <c r="AD50" i="39"/>
  <c r="AE53" i="39"/>
  <c r="AG47" i="39"/>
  <c r="AE47" i="39"/>
  <c r="AA47" i="39"/>
  <c r="AC53" i="39"/>
  <c r="AF50" i="39"/>
  <c r="AG53" i="39"/>
  <c r="AC48" i="39"/>
  <c r="AD51" i="39"/>
  <c r="AE54" i="39"/>
  <c r="O54" i="39" s="1"/>
  <c r="AG48" i="39"/>
  <c r="AF49" i="39"/>
  <c r="AB46" i="39"/>
  <c r="AC49" i="39"/>
  <c r="AD52" i="39"/>
  <c r="AF46" i="39"/>
  <c r="AG49" i="39"/>
  <c r="AC51" i="39"/>
  <c r="AF48" i="39"/>
  <c r="AB49" i="39"/>
  <c r="AC52" i="39"/>
  <c r="AG52" i="39"/>
  <c r="AB47" i="39"/>
  <c r="AC50" i="39"/>
  <c r="AD53" i="39"/>
  <c r="AF47" i="39"/>
  <c r="AG50" i="39"/>
  <c r="AD54" i="39"/>
  <c r="AG51" i="39"/>
  <c r="AA46" i="39"/>
  <c r="AE46" i="39"/>
  <c r="AC54" i="39"/>
  <c r="AE48" i="39"/>
  <c r="AF51" i="39"/>
  <c r="AG54" i="39"/>
  <c r="AE50" i="39"/>
  <c r="AF53" i="39"/>
  <c r="AE51" i="39"/>
  <c r="AA49" i="39"/>
  <c r="AB52" i="39"/>
  <c r="AD46" i="39"/>
  <c r="AE49" i="39"/>
  <c r="AF52" i="39"/>
  <c r="AD47" i="39"/>
  <c r="AD48" i="39"/>
  <c r="AF54" i="39"/>
  <c r="AA43" i="39"/>
  <c r="AC37" i="39"/>
  <c r="AD40" i="39"/>
  <c r="AE43" i="39"/>
  <c r="AG37" i="39"/>
  <c r="AC38" i="39"/>
  <c r="AD41" i="39"/>
  <c r="AE44" i="39"/>
  <c r="AG38" i="39"/>
  <c r="AC39" i="39"/>
  <c r="AD42" i="39"/>
  <c r="AE45" i="39"/>
  <c r="AG39" i="39"/>
  <c r="AC40" i="39"/>
  <c r="AD43" i="39"/>
  <c r="AF37" i="39"/>
  <c r="AG40" i="39"/>
  <c r="AC44" i="39"/>
  <c r="AF41" i="39"/>
  <c r="AB38" i="39"/>
  <c r="AC41" i="39"/>
  <c r="AD44" i="39"/>
  <c r="AF38" i="39"/>
  <c r="AG41" i="39"/>
  <c r="AC42" i="39"/>
  <c r="AD45" i="39"/>
  <c r="AF39" i="39"/>
  <c r="AG42" i="39"/>
  <c r="AG44" i="39"/>
  <c r="AB40" i="39"/>
  <c r="AC43" i="39"/>
  <c r="AE37" i="39"/>
  <c r="AF40" i="39"/>
  <c r="AG43" i="39"/>
  <c r="AA38" i="39"/>
  <c r="AE38" i="39"/>
  <c r="AC45" i="39"/>
  <c r="AE39" i="39"/>
  <c r="AF42" i="39"/>
  <c r="AG45" i="39"/>
  <c r="AA40" i="39"/>
  <c r="AB43" i="39"/>
  <c r="AD37" i="39"/>
  <c r="AE40" i="39"/>
  <c r="AF43" i="39"/>
  <c r="AD38" i="39"/>
  <c r="AE41" i="39"/>
  <c r="AF44" i="39"/>
  <c r="AD39" i="39"/>
  <c r="AE42" i="39"/>
  <c r="AF45" i="39"/>
  <c r="AA23" i="39"/>
  <c r="AA35" i="39"/>
  <c r="AC31" i="39"/>
  <c r="AD29" i="39"/>
  <c r="AE27" i="39"/>
  <c r="AF25" i="39"/>
  <c r="AG23" i="39"/>
  <c r="AG35" i="39"/>
  <c r="AD36" i="39"/>
  <c r="AC32" i="39"/>
  <c r="AD30" i="39"/>
  <c r="AE28" i="39"/>
  <c r="AF26" i="39"/>
  <c r="AG24" i="39"/>
  <c r="AG36" i="39"/>
  <c r="AB23" i="39"/>
  <c r="AB35" i="39"/>
  <c r="AC33" i="39"/>
  <c r="AD31" i="39"/>
  <c r="AE29" i="39"/>
  <c r="AF27" i="39"/>
  <c r="AG25" i="39"/>
  <c r="AC26" i="39"/>
  <c r="AA26" i="39"/>
  <c r="AB24" i="39"/>
  <c r="AC34" i="39"/>
  <c r="AD32" i="39"/>
  <c r="AE30" i="39"/>
  <c r="AF28" i="39"/>
  <c r="AG26" i="39"/>
  <c r="AE34" i="39"/>
  <c r="AA27" i="39"/>
  <c r="AB25" i="39"/>
  <c r="AC23" i="39"/>
  <c r="AC35" i="39"/>
  <c r="AD33" i="39"/>
  <c r="AE31" i="39"/>
  <c r="AF29" i="39"/>
  <c r="AG27" i="39"/>
  <c r="AB26" i="39"/>
  <c r="AC24" i="39"/>
  <c r="AC36" i="39"/>
  <c r="AD34" i="39"/>
  <c r="AE32" i="39"/>
  <c r="AF30" i="39"/>
  <c r="AG28" i="39"/>
  <c r="AB27" i="39"/>
  <c r="AC25" i="39"/>
  <c r="AD23" i="39"/>
  <c r="AD35" i="39"/>
  <c r="AE33" i="39"/>
  <c r="AF31" i="39"/>
  <c r="AG29" i="39"/>
  <c r="AA30" i="39"/>
  <c r="AF32" i="39"/>
  <c r="AB29" i="39"/>
  <c r="AC27" i="39"/>
  <c r="AD25" i="39"/>
  <c r="AE23" i="39"/>
  <c r="AE35" i="39"/>
  <c r="AF33" i="39"/>
  <c r="AG31" i="39"/>
  <c r="AA32" i="39"/>
  <c r="AB30" i="39"/>
  <c r="AC28" i="39"/>
  <c r="AD26" i="39"/>
  <c r="AE24" i="39"/>
  <c r="AE36" i="39"/>
  <c r="AF34" i="39"/>
  <c r="AG32" i="39"/>
  <c r="AC29" i="39"/>
  <c r="AD27" i="39"/>
  <c r="AE25" i="39"/>
  <c r="AF23" i="39"/>
  <c r="AF35" i="39"/>
  <c r="AG33" i="39"/>
  <c r="AD24" i="39"/>
  <c r="AB32" i="39"/>
  <c r="AC30" i="39"/>
  <c r="AD28" i="39"/>
  <c r="AE26" i="39"/>
  <c r="AF24" i="39"/>
  <c r="AF36" i="39"/>
  <c r="AG34" i="39"/>
  <c r="AG30" i="39"/>
  <c r="AG22" i="39"/>
  <c r="AA21" i="39"/>
  <c r="AG20" i="39"/>
  <c r="AF22" i="39"/>
  <c r="AB21" i="39"/>
  <c r="AC21" i="39"/>
  <c r="AE22" i="39"/>
  <c r="AD21" i="39"/>
  <c r="AE20" i="39"/>
  <c r="O20" i="39" s="1"/>
  <c r="AE21" i="39"/>
  <c r="AB22" i="39"/>
  <c r="AF21" i="39"/>
  <c r="AA22" i="39"/>
  <c r="AG21" i="39"/>
  <c r="AC22" i="39"/>
  <c r="AC20" i="39"/>
  <c r="AD22" i="39"/>
  <c r="AD20" i="39"/>
  <c r="AF20" i="39"/>
  <c r="AI64" i="39"/>
  <c r="AJ67" i="39"/>
  <c r="AK70" i="39"/>
  <c r="AM64" i="39"/>
  <c r="AN67" i="39"/>
  <c r="AO70" i="39"/>
  <c r="AQ64" i="39"/>
  <c r="AR67" i="39"/>
  <c r="AS70" i="39"/>
  <c r="AU64" i="39"/>
  <c r="AX67" i="39"/>
  <c r="AY70" i="39"/>
  <c r="BA64" i="39"/>
  <c r="BN63" i="39"/>
  <c r="BO66" i="39"/>
  <c r="BP69" i="39"/>
  <c r="BS63" i="39"/>
  <c r="BT66" i="39"/>
  <c r="BU69" i="39"/>
  <c r="BX63" i="39"/>
  <c r="BY66" i="39"/>
  <c r="BZ69" i="39"/>
  <c r="CC63" i="39"/>
  <c r="BS71" i="39"/>
  <c r="CC71" i="39"/>
  <c r="AK69" i="39"/>
  <c r="AY69" i="39"/>
  <c r="BU68" i="39"/>
  <c r="AI65" i="39"/>
  <c r="AJ68" i="39"/>
  <c r="AK71" i="39"/>
  <c r="AM65" i="39"/>
  <c r="AN68" i="39"/>
  <c r="AO71" i="39"/>
  <c r="AQ65" i="39"/>
  <c r="AR68" i="39"/>
  <c r="AS71" i="39"/>
  <c r="AU65" i="39"/>
  <c r="AX68" i="39"/>
  <c r="AY71" i="39"/>
  <c r="BA65" i="39"/>
  <c r="BN64" i="39"/>
  <c r="BO67" i="39"/>
  <c r="BP70" i="39"/>
  <c r="BS64" i="39"/>
  <c r="BT67" i="39"/>
  <c r="BU70" i="39"/>
  <c r="BX64" i="39"/>
  <c r="BY67" i="39"/>
  <c r="BZ70" i="39"/>
  <c r="CC64" i="39"/>
  <c r="AI66" i="39"/>
  <c r="AJ69" i="39"/>
  <c r="AM66" i="39"/>
  <c r="AN69" i="39"/>
  <c r="AQ66" i="39"/>
  <c r="AT63" i="39"/>
  <c r="Y63" i="39" s="1"/>
  <c r="AX69" i="39"/>
  <c r="AZ63" i="39"/>
  <c r="BN65" i="39"/>
  <c r="BP71" i="39"/>
  <c r="BS65" i="39"/>
  <c r="BU71" i="39"/>
  <c r="BY68" i="39"/>
  <c r="CC65" i="39"/>
  <c r="AN70" i="39"/>
  <c r="AT64" i="39"/>
  <c r="Y64" i="39" s="1"/>
  <c r="AZ64" i="39"/>
  <c r="BO69" i="39"/>
  <c r="BS66" i="39"/>
  <c r="BW63" i="39"/>
  <c r="CB63" i="39"/>
  <c r="BR64" i="39"/>
  <c r="BX67" i="39"/>
  <c r="CC69" i="39"/>
  <c r="BM67" i="39"/>
  <c r="BS70" i="39"/>
  <c r="CC70" i="39"/>
  <c r="AN63" i="39"/>
  <c r="AX63" i="39"/>
  <c r="BR68" i="39"/>
  <c r="CB68" i="39"/>
  <c r="AU63" i="39"/>
  <c r="BM71" i="39"/>
  <c r="CB71" i="39"/>
  <c r="CF71" i="39" s="1"/>
  <c r="AH63" i="39"/>
  <c r="AL63" i="39"/>
  <c r="AP63" i="39"/>
  <c r="AR69" i="39"/>
  <c r="AU66" i="39"/>
  <c r="BA66" i="39"/>
  <c r="BO68" i="39"/>
  <c r="BT68" i="39"/>
  <c r="BX65" i="39"/>
  <c r="BZ71" i="39"/>
  <c r="AP64" i="39"/>
  <c r="AU67" i="39"/>
  <c r="BA67" i="39"/>
  <c r="BM63" i="39"/>
  <c r="BR63" i="39"/>
  <c r="BX66" i="39"/>
  <c r="CC66" i="39"/>
  <c r="BS67" i="39"/>
  <c r="BY70" i="39"/>
  <c r="AU71" i="39"/>
  <c r="BX70" i="39"/>
  <c r="AL69" i="39"/>
  <c r="AT69" i="39"/>
  <c r="BP65" i="39"/>
  <c r="AN66" i="39"/>
  <c r="BA63" i="39"/>
  <c r="BW71" i="39"/>
  <c r="AH64" i="39"/>
  <c r="AI67" i="39"/>
  <c r="AJ70" i="39"/>
  <c r="AL64" i="39"/>
  <c r="AM67" i="39"/>
  <c r="AQ67" i="39"/>
  <c r="AR70" i="39"/>
  <c r="AX70" i="39"/>
  <c r="BN66" i="39"/>
  <c r="BT69" i="39"/>
  <c r="BY69" i="39"/>
  <c r="BO70" i="39"/>
  <c r="BW64" i="39"/>
  <c r="CC67" i="39"/>
  <c r="BA71" i="39"/>
  <c r="BU64" i="39"/>
  <c r="AO66" i="39"/>
  <c r="AY66" i="39"/>
  <c r="BU65" i="39"/>
  <c r="AQ63" i="39"/>
  <c r="BO65" i="39"/>
  <c r="BY65" i="39"/>
  <c r="AH65" i="39"/>
  <c r="AI68" i="39"/>
  <c r="AJ71" i="39"/>
  <c r="AL65" i="39"/>
  <c r="AM68" i="39"/>
  <c r="AN71" i="39"/>
  <c r="AP65" i="39"/>
  <c r="AQ68" i="39"/>
  <c r="AR71" i="39"/>
  <c r="AT65" i="39"/>
  <c r="Y65" i="39" s="1"/>
  <c r="AU68" i="39"/>
  <c r="AX71" i="39"/>
  <c r="AZ65" i="39"/>
  <c r="BA68" i="39"/>
  <c r="BM64" i="39"/>
  <c r="BN67" i="39"/>
  <c r="BT70" i="39"/>
  <c r="CB64" i="39"/>
  <c r="AY65" i="39"/>
  <c r="BP64" i="39"/>
  <c r="BZ64" i="39"/>
  <c r="AJ63" i="39"/>
  <c r="AR63" i="39"/>
  <c r="BN71" i="39"/>
  <c r="BZ65" i="39"/>
  <c r="AJ66" i="39"/>
  <c r="AO69" i="39"/>
  <c r="AH66" i="39"/>
  <c r="AI69" i="39"/>
  <c r="AK63" i="39"/>
  <c r="AL66" i="39"/>
  <c r="AM69" i="39"/>
  <c r="AO63" i="39"/>
  <c r="AP66" i="39"/>
  <c r="AQ69" i="39"/>
  <c r="AS63" i="39"/>
  <c r="AT66" i="39"/>
  <c r="Y66" i="39" s="1"/>
  <c r="AU69" i="39"/>
  <c r="AY63" i="39"/>
  <c r="AZ66" i="39"/>
  <c r="BA69" i="39"/>
  <c r="BM65" i="39"/>
  <c r="BN68" i="39"/>
  <c r="BO71" i="39"/>
  <c r="BR65" i="39"/>
  <c r="BS68" i="39"/>
  <c r="BT71" i="39"/>
  <c r="BW65" i="39"/>
  <c r="BX68" i="39"/>
  <c r="BY71" i="39"/>
  <c r="CB65" i="39"/>
  <c r="CF65" i="39" s="1"/>
  <c r="CC68" i="39"/>
  <c r="BW66" i="39"/>
  <c r="BZ63" i="39"/>
  <c r="AZ68" i="39"/>
  <c r="BR67" i="39"/>
  <c r="CB67" i="39"/>
  <c r="AK66" i="39"/>
  <c r="AS66" i="39"/>
  <c r="BM68" i="39"/>
  <c r="BX71" i="39"/>
  <c r="AR66" i="39"/>
  <c r="BR71" i="39"/>
  <c r="AH67" i="39"/>
  <c r="AI70" i="39"/>
  <c r="AK64" i="39"/>
  <c r="AL67" i="39"/>
  <c r="AM70" i="39"/>
  <c r="AO64" i="39"/>
  <c r="AP67" i="39"/>
  <c r="AQ70" i="39"/>
  <c r="AS64" i="39"/>
  <c r="AT67" i="39"/>
  <c r="Y67" i="39" s="1"/>
  <c r="AU70" i="39"/>
  <c r="AY64" i="39"/>
  <c r="AZ67" i="39"/>
  <c r="BA70" i="39"/>
  <c r="BM66" i="39"/>
  <c r="BN69" i="39"/>
  <c r="BP63" i="39"/>
  <c r="BR66" i="39"/>
  <c r="BS69" i="39"/>
  <c r="BU63" i="39"/>
  <c r="BX69" i="39"/>
  <c r="CB66" i="39"/>
  <c r="BN70" i="39"/>
  <c r="BW67" i="39"/>
  <c r="AH69" i="39"/>
  <c r="AP69" i="39"/>
  <c r="AZ69" i="39"/>
  <c r="BW68" i="39"/>
  <c r="AI63" i="39"/>
  <c r="AS69" i="39"/>
  <c r="BT65" i="39"/>
  <c r="AH68" i="39"/>
  <c r="AI71" i="39"/>
  <c r="AK65" i="39"/>
  <c r="AL68" i="39"/>
  <c r="AM71" i="39"/>
  <c r="AO65" i="39"/>
  <c r="AP68" i="39"/>
  <c r="AQ71" i="39"/>
  <c r="AS65" i="39"/>
  <c r="AT68" i="39"/>
  <c r="AH70" i="39"/>
  <c r="AJ64" i="39"/>
  <c r="AK67" i="39"/>
  <c r="AL70" i="39"/>
  <c r="W70" i="39" s="1"/>
  <c r="AN64" i="39"/>
  <c r="AO67" i="39"/>
  <c r="AP70" i="39"/>
  <c r="X70" i="39" s="1"/>
  <c r="AR64" i="39"/>
  <c r="AS67" i="39"/>
  <c r="AT70" i="39"/>
  <c r="AX64" i="39"/>
  <c r="AY67" i="39"/>
  <c r="AZ70" i="39"/>
  <c r="BM69" i="39"/>
  <c r="BO63" i="39"/>
  <c r="BP66" i="39"/>
  <c r="BR69" i="39"/>
  <c r="BT63" i="39"/>
  <c r="BU66" i="39"/>
  <c r="BW69" i="39"/>
  <c r="BY63" i="39"/>
  <c r="BZ66" i="39"/>
  <c r="CB69" i="39"/>
  <c r="AH71" i="39"/>
  <c r="AJ65" i="39"/>
  <c r="AK68" i="39"/>
  <c r="AL71" i="39"/>
  <c r="AN65" i="39"/>
  <c r="AO68" i="39"/>
  <c r="AP71" i="39"/>
  <c r="AR65" i="39"/>
  <c r="AS68" i="39"/>
  <c r="AT71" i="39"/>
  <c r="AX65" i="39"/>
  <c r="AY68" i="39"/>
  <c r="AZ71" i="39"/>
  <c r="BM70" i="39"/>
  <c r="BO64" i="39"/>
  <c r="BP67" i="39"/>
  <c r="BR70" i="39"/>
  <c r="BT64" i="39"/>
  <c r="BU67" i="39"/>
  <c r="BW70" i="39"/>
  <c r="BY64" i="39"/>
  <c r="BZ67" i="39"/>
  <c r="CB70" i="39"/>
  <c r="AM63" i="39"/>
  <c r="AX66" i="39"/>
  <c r="BP68" i="39"/>
  <c r="BZ68" i="39"/>
  <c r="AH59" i="39"/>
  <c r="AJ55" i="39"/>
  <c r="AK59" i="39"/>
  <c r="AM55" i="39"/>
  <c r="AN59" i="39"/>
  <c r="AP55" i="39"/>
  <c r="AQ59" i="39"/>
  <c r="AS55" i="39"/>
  <c r="AT59" i="39"/>
  <c r="AX55" i="39"/>
  <c r="AY59" i="39"/>
  <c r="BA55" i="39"/>
  <c r="BM59" i="39"/>
  <c r="BO55" i="39"/>
  <c r="BP59" i="39"/>
  <c r="BS55" i="39"/>
  <c r="BT59" i="39"/>
  <c r="BW55" i="39"/>
  <c r="BX59" i="39"/>
  <c r="BZ55" i="39"/>
  <c r="CB59" i="39"/>
  <c r="AJ57" i="39"/>
  <c r="AM57" i="39"/>
  <c r="AP57" i="39"/>
  <c r="AT61" i="39"/>
  <c r="AY61" i="39"/>
  <c r="BM61" i="39"/>
  <c r="BP61" i="39"/>
  <c r="BT61" i="39"/>
  <c r="BZ57" i="39"/>
  <c r="BO59" i="39"/>
  <c r="BY55" i="39"/>
  <c r="BW61" i="39"/>
  <c r="BR61" i="39"/>
  <c r="AH60" i="39"/>
  <c r="AJ56" i="39"/>
  <c r="AK60" i="39"/>
  <c r="AM56" i="39"/>
  <c r="AN60" i="39"/>
  <c r="AP56" i="39"/>
  <c r="AQ60" i="39"/>
  <c r="AS56" i="39"/>
  <c r="AT60" i="39"/>
  <c r="AX56" i="39"/>
  <c r="AY60" i="39"/>
  <c r="BA56" i="39"/>
  <c r="BM60" i="39"/>
  <c r="BO56" i="39"/>
  <c r="BP60" i="39"/>
  <c r="BS56" i="39"/>
  <c r="BT60" i="39"/>
  <c r="BW56" i="39"/>
  <c r="BX60" i="39"/>
  <c r="BZ56" i="39"/>
  <c r="CB60" i="39"/>
  <c r="AH61" i="39"/>
  <c r="AK61" i="39"/>
  <c r="AN61" i="39"/>
  <c r="AS57" i="39"/>
  <c r="AX57" i="39"/>
  <c r="BA57" i="39"/>
  <c r="BO57" i="39"/>
  <c r="BS57" i="39"/>
  <c r="BW57" i="39"/>
  <c r="CB61" i="39"/>
  <c r="BN55" i="39"/>
  <c r="BW59" i="39"/>
  <c r="CC55" i="39"/>
  <c r="AT57" i="39"/>
  <c r="BX57" i="39"/>
  <c r="AH58" i="39"/>
  <c r="AZ62" i="39"/>
  <c r="BY62" i="39"/>
  <c r="AQ61" i="39"/>
  <c r="BX61" i="39"/>
  <c r="BR55" i="39"/>
  <c r="BZ59" i="39"/>
  <c r="AU61" i="39"/>
  <c r="AK58" i="39"/>
  <c r="AU62" i="39"/>
  <c r="BX58" i="39"/>
  <c r="AH62" i="39"/>
  <c r="AJ58" i="39"/>
  <c r="AK62" i="39"/>
  <c r="AM58" i="39"/>
  <c r="AN62" i="39"/>
  <c r="AP58" i="39"/>
  <c r="AQ62" i="39"/>
  <c r="AS58" i="39"/>
  <c r="AT62" i="39"/>
  <c r="AX58" i="39"/>
  <c r="AY62" i="39"/>
  <c r="BA58" i="39"/>
  <c r="BM62" i="39"/>
  <c r="BO58" i="39"/>
  <c r="BP62" i="39"/>
  <c r="BS58" i="39"/>
  <c r="BT62" i="39"/>
  <c r="BW58" i="39"/>
  <c r="BX62" i="39"/>
  <c r="BZ58" i="39"/>
  <c r="CB62" i="39"/>
  <c r="AI55" i="39"/>
  <c r="AL55" i="39"/>
  <c r="AM59" i="39"/>
  <c r="AO55" i="39"/>
  <c r="AP59" i="39"/>
  <c r="AS59" i="39"/>
  <c r="AU55" i="39"/>
  <c r="BA59" i="39"/>
  <c r="BS59" i="39"/>
  <c r="BY57" i="39"/>
  <c r="BU61" i="39"/>
  <c r="BR62" i="39"/>
  <c r="AJ59" i="39"/>
  <c r="AR55" i="39"/>
  <c r="AX59" i="39"/>
  <c r="AZ55" i="39"/>
  <c r="BU55" i="39"/>
  <c r="BZ61" i="39"/>
  <c r="BN61" i="39"/>
  <c r="AQ58" i="39"/>
  <c r="BP58" i="39"/>
  <c r="AI56" i="39"/>
  <c r="AJ60" i="39"/>
  <c r="AL56" i="39"/>
  <c r="AM60" i="39"/>
  <c r="AO56" i="39"/>
  <c r="AP60" i="39"/>
  <c r="AR56" i="39"/>
  <c r="AS60" i="39"/>
  <c r="AU56" i="39"/>
  <c r="AX60" i="39"/>
  <c r="AZ56" i="39"/>
  <c r="BA60" i="39"/>
  <c r="BN56" i="39"/>
  <c r="BO60" i="39"/>
  <c r="BR56" i="39"/>
  <c r="BS60" i="39"/>
  <c r="BU56" i="39"/>
  <c r="BW60" i="39"/>
  <c r="BY56" i="39"/>
  <c r="BZ60" i="39"/>
  <c r="CC56" i="39"/>
  <c r="AJ61" i="39"/>
  <c r="AL57" i="39"/>
  <c r="AM61" i="39"/>
  <c r="AO57" i="39"/>
  <c r="AP61" i="39"/>
  <c r="AS61" i="39"/>
  <c r="AU57" i="39"/>
  <c r="AZ57" i="39"/>
  <c r="BN57" i="39"/>
  <c r="BR57" i="39"/>
  <c r="BU57" i="39"/>
  <c r="AZ61" i="39"/>
  <c r="CB57" i="39"/>
  <c r="AI62" i="39"/>
  <c r="AR62" i="39"/>
  <c r="BU62" i="39"/>
  <c r="AI57" i="39"/>
  <c r="AR57" i="39"/>
  <c r="AX61" i="39"/>
  <c r="BA61" i="39"/>
  <c r="BO61" i="39"/>
  <c r="BS61" i="39"/>
  <c r="CC57" i="39"/>
  <c r="BP57" i="39"/>
  <c r="AO62" i="39"/>
  <c r="BN62" i="39"/>
  <c r="AI58" i="39"/>
  <c r="AJ62" i="39"/>
  <c r="AL58" i="39"/>
  <c r="AM62" i="39"/>
  <c r="AO58" i="39"/>
  <c r="AP62" i="39"/>
  <c r="AR58" i="39"/>
  <c r="AS62" i="39"/>
  <c r="AU58" i="39"/>
  <c r="AX62" i="39"/>
  <c r="AZ58" i="39"/>
  <c r="BA62" i="39"/>
  <c r="BN58" i="39"/>
  <c r="BO62" i="39"/>
  <c r="BR58" i="39"/>
  <c r="BS62" i="39"/>
  <c r="BU58" i="39"/>
  <c r="BW62" i="39"/>
  <c r="BY58" i="39"/>
  <c r="BZ62" i="39"/>
  <c r="CC58" i="39"/>
  <c r="BN59" i="39"/>
  <c r="BR59" i="39"/>
  <c r="BU59" i="39"/>
  <c r="BX55" i="39"/>
  <c r="CB55" i="39"/>
  <c r="AI61" i="39"/>
  <c r="AL61" i="39"/>
  <c r="AQ57" i="39"/>
  <c r="BM57" i="39"/>
  <c r="CC61" i="39"/>
  <c r="AN58" i="39"/>
  <c r="BM58" i="39"/>
  <c r="CC62" i="39"/>
  <c r="AH55" i="39"/>
  <c r="AI59" i="39"/>
  <c r="AK55" i="39"/>
  <c r="AL59" i="39"/>
  <c r="AN55" i="39"/>
  <c r="AO59" i="39"/>
  <c r="AQ55" i="39"/>
  <c r="AR59" i="39"/>
  <c r="AT55" i="39"/>
  <c r="AU59" i="39"/>
  <c r="AY55" i="39"/>
  <c r="AZ59" i="39"/>
  <c r="BM55" i="39"/>
  <c r="BP55" i="39"/>
  <c r="BT55" i="39"/>
  <c r="BY59" i="39"/>
  <c r="CC59" i="39"/>
  <c r="AK57" i="39"/>
  <c r="AO61" i="39"/>
  <c r="AY57" i="39"/>
  <c r="BY61" i="39"/>
  <c r="AL62" i="39"/>
  <c r="AT58" i="39"/>
  <c r="BT58" i="39"/>
  <c r="AH56" i="39"/>
  <c r="AI60" i="39"/>
  <c r="AK56" i="39"/>
  <c r="AL60" i="39"/>
  <c r="AN56" i="39"/>
  <c r="AO60" i="39"/>
  <c r="AQ56" i="39"/>
  <c r="AR60" i="39"/>
  <c r="AT56" i="39"/>
  <c r="AU60" i="39"/>
  <c r="AY56" i="39"/>
  <c r="AZ60" i="39"/>
  <c r="BM56" i="39"/>
  <c r="BN60" i="39"/>
  <c r="BP56" i="39"/>
  <c r="BR60" i="39"/>
  <c r="BT56" i="39"/>
  <c r="BU60" i="39"/>
  <c r="BX56" i="39"/>
  <c r="BY60" i="39"/>
  <c r="CB56" i="39"/>
  <c r="CC60" i="39"/>
  <c r="AH57" i="39"/>
  <c r="AN57" i="39"/>
  <c r="AR61" i="39"/>
  <c r="BT57" i="39"/>
  <c r="AY58" i="39"/>
  <c r="CB58" i="39"/>
  <c r="AH49" i="39"/>
  <c r="AI52" i="39"/>
  <c r="AK46" i="39"/>
  <c r="AL49" i="39"/>
  <c r="AM52" i="39"/>
  <c r="AO46" i="39"/>
  <c r="AP49" i="39"/>
  <c r="AQ52" i="39"/>
  <c r="AS46" i="39"/>
  <c r="AT49" i="39"/>
  <c r="AU52" i="39"/>
  <c r="AY46" i="39"/>
  <c r="AZ49" i="39"/>
  <c r="BA52" i="39"/>
  <c r="BM49" i="39"/>
  <c r="BN52" i="39"/>
  <c r="BP46" i="39"/>
  <c r="BR49" i="39"/>
  <c r="BS52" i="39"/>
  <c r="BU46" i="39"/>
  <c r="BW49" i="39"/>
  <c r="BX52" i="39"/>
  <c r="BZ46" i="39"/>
  <c r="CB49" i="39"/>
  <c r="CC52" i="39"/>
  <c r="AH50" i="39"/>
  <c r="AI53" i="39"/>
  <c r="AK47" i="39"/>
  <c r="AL50" i="39"/>
  <c r="AM53" i="39"/>
  <c r="AO47" i="39"/>
  <c r="AQ53" i="39"/>
  <c r="AS47" i="39"/>
  <c r="AT50" i="39"/>
  <c r="AU53" i="39"/>
  <c r="AY47" i="39"/>
  <c r="AZ50" i="39"/>
  <c r="BM50" i="39"/>
  <c r="BP47" i="39"/>
  <c r="BS53" i="39"/>
  <c r="BW50" i="39"/>
  <c r="BZ47" i="39"/>
  <c r="CC53" i="39"/>
  <c r="AJ50" i="39"/>
  <c r="AO53" i="39"/>
  <c r="AX50" i="39"/>
  <c r="BO50" i="39"/>
  <c r="BX47" i="39"/>
  <c r="AP50" i="39"/>
  <c r="BA53" i="39"/>
  <c r="BN53" i="39"/>
  <c r="BR50" i="39"/>
  <c r="BU47" i="39"/>
  <c r="BX53" i="39"/>
  <c r="CB50" i="39"/>
  <c r="AN50" i="39"/>
  <c r="AR50" i="39"/>
  <c r="BA47" i="39"/>
  <c r="BT50" i="39"/>
  <c r="CC47" i="39"/>
  <c r="AH51" i="39"/>
  <c r="AI54" i="39"/>
  <c r="AK48" i="39"/>
  <c r="AL51" i="39"/>
  <c r="AM54" i="39"/>
  <c r="AO48" i="39"/>
  <c r="AP51" i="39"/>
  <c r="AQ54" i="39"/>
  <c r="AS48" i="39"/>
  <c r="AT51" i="39"/>
  <c r="AU54" i="39"/>
  <c r="AY48" i="39"/>
  <c r="AZ51" i="39"/>
  <c r="BA54" i="39"/>
  <c r="BM51" i="39"/>
  <c r="BN54" i="39"/>
  <c r="BP48" i="39"/>
  <c r="BR51" i="39"/>
  <c r="BS54" i="39"/>
  <c r="BU48" i="39"/>
  <c r="BW51" i="39"/>
  <c r="BX54" i="39"/>
  <c r="BZ48" i="39"/>
  <c r="CB51" i="39"/>
  <c r="CC54" i="39"/>
  <c r="AZ54" i="39"/>
  <c r="BT48" i="39"/>
  <c r="BY48" i="39"/>
  <c r="AK52" i="39"/>
  <c r="AQ46" i="39"/>
  <c r="AU46" i="39"/>
  <c r="BA46" i="39"/>
  <c r="BP52" i="39"/>
  <c r="BU52" i="39"/>
  <c r="CC46" i="39"/>
  <c r="AM47" i="39"/>
  <c r="AU47" i="39"/>
  <c r="BP53" i="39"/>
  <c r="BY50" i="39"/>
  <c r="AH52" i="39"/>
  <c r="AJ46" i="39"/>
  <c r="AK49" i="39"/>
  <c r="AL52" i="39"/>
  <c r="AN46" i="39"/>
  <c r="AO49" i="39"/>
  <c r="AP52" i="39"/>
  <c r="AR46" i="39"/>
  <c r="AS49" i="39"/>
  <c r="AT52" i="39"/>
  <c r="AX46" i="39"/>
  <c r="AY49" i="39"/>
  <c r="AZ52" i="39"/>
  <c r="BM52" i="39"/>
  <c r="BO46" i="39"/>
  <c r="BP49" i="39"/>
  <c r="BR52" i="39"/>
  <c r="BT46" i="39"/>
  <c r="BU49" i="39"/>
  <c r="BW52" i="39"/>
  <c r="BY46" i="39"/>
  <c r="BZ49" i="39"/>
  <c r="CB52" i="39"/>
  <c r="AH54" i="39"/>
  <c r="AK51" i="39"/>
  <c r="AN48" i="39"/>
  <c r="AP54" i="39"/>
  <c r="AS51" i="39"/>
  <c r="AX48" i="39"/>
  <c r="BM54" i="39"/>
  <c r="BP51" i="39"/>
  <c r="BU51" i="39"/>
  <c r="BZ51" i="39"/>
  <c r="AJ49" i="39"/>
  <c r="AN49" i="39"/>
  <c r="AR49" i="39"/>
  <c r="AX49" i="39"/>
  <c r="BN46" i="39"/>
  <c r="BS46" i="39"/>
  <c r="BY49" i="39"/>
  <c r="AI47" i="39"/>
  <c r="AQ47" i="39"/>
  <c r="AY53" i="39"/>
  <c r="BS47" i="39"/>
  <c r="BZ53" i="39"/>
  <c r="AH53" i="39"/>
  <c r="AJ47" i="39"/>
  <c r="AK50" i="39"/>
  <c r="AL53" i="39"/>
  <c r="AN47" i="39"/>
  <c r="AO50" i="39"/>
  <c r="AP53" i="39"/>
  <c r="AR47" i="39"/>
  <c r="AS50" i="39"/>
  <c r="AT53" i="39"/>
  <c r="AX47" i="39"/>
  <c r="AY50" i="39"/>
  <c r="AZ53" i="39"/>
  <c r="BM53" i="39"/>
  <c r="BO47" i="39"/>
  <c r="BP50" i="39"/>
  <c r="BR53" i="39"/>
  <c r="BT47" i="39"/>
  <c r="BU50" i="39"/>
  <c r="BW53" i="39"/>
  <c r="BY47" i="39"/>
  <c r="BZ50" i="39"/>
  <c r="CB53" i="39"/>
  <c r="AJ48" i="39"/>
  <c r="AL54" i="39"/>
  <c r="AO51" i="39"/>
  <c r="AR48" i="39"/>
  <c r="AT54" i="39"/>
  <c r="AY51" i="39"/>
  <c r="BO48" i="39"/>
  <c r="BR54" i="39"/>
  <c r="BW54" i="39"/>
  <c r="CB54" i="39"/>
  <c r="AI46" i="39"/>
  <c r="AM46" i="39"/>
  <c r="AO52" i="39"/>
  <c r="AS52" i="39"/>
  <c r="AY52" i="39"/>
  <c r="BO49" i="39"/>
  <c r="BT49" i="39"/>
  <c r="BX46" i="39"/>
  <c r="BZ52" i="39"/>
  <c r="AK53" i="39"/>
  <c r="AS53" i="39"/>
  <c r="BN47" i="39"/>
  <c r="BU53" i="39"/>
  <c r="AI48" i="39"/>
  <c r="AJ51" i="39"/>
  <c r="AK54" i="39"/>
  <c r="AM48" i="39"/>
  <c r="AN51" i="39"/>
  <c r="AO54" i="39"/>
  <c r="AQ48" i="39"/>
  <c r="AR51" i="39"/>
  <c r="AS54" i="39"/>
  <c r="AU48" i="39"/>
  <c r="AX51" i="39"/>
  <c r="AY54" i="39"/>
  <c r="BA48" i="39"/>
  <c r="BN48" i="39"/>
  <c r="BO51" i="39"/>
  <c r="BP54" i="39"/>
  <c r="BS48" i="39"/>
  <c r="BT51" i="39"/>
  <c r="BU54" i="39"/>
  <c r="BX48" i="39"/>
  <c r="BY51" i="39"/>
  <c r="BZ54" i="39"/>
  <c r="CC48" i="39"/>
  <c r="BT52" i="39"/>
  <c r="BY52" i="39"/>
  <c r="CC49" i="39"/>
  <c r="AI50" i="39"/>
  <c r="AJ53" i="39"/>
  <c r="AN53" i="39"/>
  <c r="AQ50" i="39"/>
  <c r="AU50" i="39"/>
  <c r="BA50" i="39"/>
  <c r="BO53" i="39"/>
  <c r="BT53" i="39"/>
  <c r="BY53" i="39"/>
  <c r="AH48" i="39"/>
  <c r="AQ51" i="39"/>
  <c r="AX54" i="39"/>
  <c r="BM48" i="39"/>
  <c r="BR48" i="39"/>
  <c r="BW48" i="39"/>
  <c r="CB48" i="39"/>
  <c r="AH46" i="39"/>
  <c r="AI49" i="39"/>
  <c r="AJ52" i="39"/>
  <c r="AL46" i="39"/>
  <c r="AM49" i="39"/>
  <c r="AN52" i="39"/>
  <c r="AP46" i="39"/>
  <c r="AQ49" i="39"/>
  <c r="AR52" i="39"/>
  <c r="AT46" i="39"/>
  <c r="AU49" i="39"/>
  <c r="AX52" i="39"/>
  <c r="AZ46" i="39"/>
  <c r="BA49" i="39"/>
  <c r="BM46" i="39"/>
  <c r="BN49" i="39"/>
  <c r="BO52" i="39"/>
  <c r="BR46" i="39"/>
  <c r="BS49" i="39"/>
  <c r="BW46" i="39"/>
  <c r="BX49" i="39"/>
  <c r="CB46" i="39"/>
  <c r="AH47" i="39"/>
  <c r="AL47" i="39"/>
  <c r="AP47" i="39"/>
  <c r="AR53" i="39"/>
  <c r="AX53" i="39"/>
  <c r="BN50" i="39"/>
  <c r="BS50" i="39"/>
  <c r="BX50" i="39"/>
  <c r="CB47" i="39"/>
  <c r="AT48" i="39"/>
  <c r="BA51" i="39"/>
  <c r="BO54" i="39"/>
  <c r="BT54" i="39"/>
  <c r="BY54" i="39"/>
  <c r="AM50" i="39"/>
  <c r="AT47" i="39"/>
  <c r="AZ47" i="39"/>
  <c r="BM47" i="39"/>
  <c r="BR47" i="39"/>
  <c r="BW47" i="39"/>
  <c r="CC50" i="39"/>
  <c r="AI51" i="39"/>
  <c r="AJ54" i="39"/>
  <c r="AL48" i="39"/>
  <c r="AM51" i="39"/>
  <c r="AN54" i="39"/>
  <c r="AP48" i="39"/>
  <c r="AR54" i="39"/>
  <c r="AU51" i="39"/>
  <c r="AZ48" i="39"/>
  <c r="BN51" i="39"/>
  <c r="BS51" i="39"/>
  <c r="BX51" i="39"/>
  <c r="CC51" i="39"/>
  <c r="AH40" i="39"/>
  <c r="AI43" i="39"/>
  <c r="AK37" i="39"/>
  <c r="AL40" i="39"/>
  <c r="AM43" i="39"/>
  <c r="AO37" i="39"/>
  <c r="AP40" i="39"/>
  <c r="AQ43" i="39"/>
  <c r="AS37" i="39"/>
  <c r="AT40" i="39"/>
  <c r="AU43" i="39"/>
  <c r="AY37" i="39"/>
  <c r="AZ40" i="39"/>
  <c r="BA43" i="39"/>
  <c r="BM40" i="39"/>
  <c r="BN43" i="39"/>
  <c r="BP37" i="39"/>
  <c r="BR40" i="39"/>
  <c r="BS43" i="39"/>
  <c r="BU37" i="39"/>
  <c r="BW40" i="39"/>
  <c r="BX43" i="39"/>
  <c r="BZ37" i="39"/>
  <c r="CB40" i="39"/>
  <c r="CC43" i="39"/>
  <c r="BZ38" i="39"/>
  <c r="CC45" i="39"/>
  <c r="AN41" i="39"/>
  <c r="BS38" i="39"/>
  <c r="BX39" i="39"/>
  <c r="AH41" i="39"/>
  <c r="AI44" i="39"/>
  <c r="AK38" i="39"/>
  <c r="AL41" i="39"/>
  <c r="AM44" i="39"/>
  <c r="AO38" i="39"/>
  <c r="AP41" i="39"/>
  <c r="AQ44" i="39"/>
  <c r="AS38" i="39"/>
  <c r="AT41" i="39"/>
  <c r="AU44" i="39"/>
  <c r="AY38" i="39"/>
  <c r="AZ41" i="39"/>
  <c r="BA44" i="39"/>
  <c r="BM41" i="39"/>
  <c r="BN44" i="39"/>
  <c r="BP38" i="39"/>
  <c r="BR41" i="39"/>
  <c r="BS44" i="39"/>
  <c r="BU38" i="39"/>
  <c r="BW41" i="39"/>
  <c r="BX44" i="39"/>
  <c r="CB41" i="39"/>
  <c r="CC44" i="39"/>
  <c r="AJ41" i="39"/>
  <c r="BA38" i="39"/>
  <c r="BU44" i="39"/>
  <c r="BZ45" i="39"/>
  <c r="AH42" i="39"/>
  <c r="AI45" i="39"/>
  <c r="AK39" i="39"/>
  <c r="AL42" i="39"/>
  <c r="AM45" i="39"/>
  <c r="AO39" i="39"/>
  <c r="AP42" i="39"/>
  <c r="AQ45" i="39"/>
  <c r="AS39" i="39"/>
  <c r="AT42" i="39"/>
  <c r="AU45" i="39"/>
  <c r="AY39" i="39"/>
  <c r="AZ42" i="39"/>
  <c r="BA45" i="39"/>
  <c r="BM42" i="39"/>
  <c r="BN45" i="39"/>
  <c r="BP39" i="39"/>
  <c r="BR42" i="39"/>
  <c r="BS45" i="39"/>
  <c r="BU39" i="39"/>
  <c r="BW42" i="39"/>
  <c r="BX45" i="39"/>
  <c r="BZ39" i="39"/>
  <c r="CB42" i="39"/>
  <c r="AO44" i="39"/>
  <c r="BP44" i="39"/>
  <c r="CC38" i="39"/>
  <c r="AH43" i="39"/>
  <c r="AJ37" i="39"/>
  <c r="AK40" i="39"/>
  <c r="AL43" i="39"/>
  <c r="AN37" i="39"/>
  <c r="AO40" i="39"/>
  <c r="AP43" i="39"/>
  <c r="AR37" i="39"/>
  <c r="AS40" i="39"/>
  <c r="AT43" i="39"/>
  <c r="AX37" i="39"/>
  <c r="AY40" i="39"/>
  <c r="AZ43" i="39"/>
  <c r="BM43" i="39"/>
  <c r="BO37" i="39"/>
  <c r="BP40" i="39"/>
  <c r="BR43" i="39"/>
  <c r="BT37" i="39"/>
  <c r="BU40" i="39"/>
  <c r="BW43" i="39"/>
  <c r="BY37" i="39"/>
  <c r="BZ40" i="39"/>
  <c r="CB43" i="39"/>
  <c r="CC37" i="39"/>
  <c r="AK44" i="39"/>
  <c r="AR41" i="39"/>
  <c r="AY44" i="39"/>
  <c r="BT41" i="39"/>
  <c r="BY42" i="39"/>
  <c r="AH44" i="39"/>
  <c r="AJ38" i="39"/>
  <c r="AK41" i="39"/>
  <c r="AL44" i="39"/>
  <c r="AN38" i="39"/>
  <c r="AO41" i="39"/>
  <c r="AP44" i="39"/>
  <c r="AR38" i="39"/>
  <c r="AS41" i="39"/>
  <c r="AT44" i="39"/>
  <c r="Y44" i="39" s="1"/>
  <c r="AX38" i="39"/>
  <c r="AY41" i="39"/>
  <c r="AZ44" i="39"/>
  <c r="BM44" i="39"/>
  <c r="BO38" i="39"/>
  <c r="BP41" i="39"/>
  <c r="BR44" i="39"/>
  <c r="BT38" i="39"/>
  <c r="BU41" i="39"/>
  <c r="BW44" i="39"/>
  <c r="BY38" i="39"/>
  <c r="BZ41" i="39"/>
  <c r="CB44" i="39"/>
  <c r="BZ42" i="39"/>
  <c r="AU38" i="39"/>
  <c r="BY41" i="39"/>
  <c r="AH45" i="39"/>
  <c r="AJ39" i="39"/>
  <c r="AK42" i="39"/>
  <c r="AL45" i="39"/>
  <c r="AN39" i="39"/>
  <c r="AO42" i="39"/>
  <c r="AP45" i="39"/>
  <c r="AR39" i="39"/>
  <c r="AS42" i="39"/>
  <c r="AT45" i="39"/>
  <c r="AX39" i="39"/>
  <c r="AY42" i="39"/>
  <c r="AZ45" i="39"/>
  <c r="BM45" i="39"/>
  <c r="BO39" i="39"/>
  <c r="BP42" i="39"/>
  <c r="BR45" i="39"/>
  <c r="BT39" i="39"/>
  <c r="BU42" i="39"/>
  <c r="BW45" i="39"/>
  <c r="BY39" i="39"/>
  <c r="CB45" i="39"/>
  <c r="AM38" i="39"/>
  <c r="AS44" i="39"/>
  <c r="BN38" i="39"/>
  <c r="BX38" i="39"/>
  <c r="CC39" i="39"/>
  <c r="AI37" i="39"/>
  <c r="AJ40" i="39"/>
  <c r="AK43" i="39"/>
  <c r="AM37" i="39"/>
  <c r="AN40" i="39"/>
  <c r="AO43" i="39"/>
  <c r="AQ37" i="39"/>
  <c r="AR40" i="39"/>
  <c r="AS43" i="39"/>
  <c r="AU37" i="39"/>
  <c r="AX40" i="39"/>
  <c r="AY43" i="39"/>
  <c r="BA37" i="39"/>
  <c r="BN37" i="39"/>
  <c r="BO40" i="39"/>
  <c r="BP43" i="39"/>
  <c r="BS37" i="39"/>
  <c r="BT40" i="39"/>
  <c r="BU43" i="39"/>
  <c r="BX37" i="39"/>
  <c r="BY40" i="39"/>
  <c r="BZ43" i="39"/>
  <c r="AI38" i="39"/>
  <c r="AQ38" i="39"/>
  <c r="AX41" i="39"/>
  <c r="BO41" i="39"/>
  <c r="BZ44" i="39"/>
  <c r="AI39" i="39"/>
  <c r="AJ42" i="39"/>
  <c r="AK45" i="39"/>
  <c r="AM39" i="39"/>
  <c r="AN42" i="39"/>
  <c r="AO45" i="39"/>
  <c r="AQ39" i="39"/>
  <c r="AR42" i="39"/>
  <c r="AS45" i="39"/>
  <c r="AU39" i="39"/>
  <c r="AX42" i="39"/>
  <c r="AY45" i="39"/>
  <c r="BA39" i="39"/>
  <c r="BN39" i="39"/>
  <c r="BO42" i="39"/>
  <c r="BP45" i="39"/>
  <c r="BS39" i="39"/>
  <c r="BT42" i="39"/>
  <c r="BU45" i="39"/>
  <c r="AH37" i="39"/>
  <c r="AI40" i="39"/>
  <c r="AJ43" i="39"/>
  <c r="AL37" i="39"/>
  <c r="AM40" i="39"/>
  <c r="AN43" i="39"/>
  <c r="AP37" i="39"/>
  <c r="AQ40" i="39"/>
  <c r="AR43" i="39"/>
  <c r="AT37" i="39"/>
  <c r="AU40" i="39"/>
  <c r="AX43" i="39"/>
  <c r="AZ37" i="39"/>
  <c r="BA40" i="39"/>
  <c r="BM37" i="39"/>
  <c r="BN40" i="39"/>
  <c r="BO43" i="39"/>
  <c r="BR37" i="39"/>
  <c r="BS40" i="39"/>
  <c r="BT43" i="39"/>
  <c r="BW37" i="39"/>
  <c r="BX40" i="39"/>
  <c r="BY43" i="39"/>
  <c r="CB37" i="39"/>
  <c r="CC40" i="39"/>
  <c r="BX41" i="39"/>
  <c r="CB38" i="39"/>
  <c r="AH38" i="39"/>
  <c r="AI41" i="39"/>
  <c r="AJ44" i="39"/>
  <c r="AL38" i="39"/>
  <c r="AM41" i="39"/>
  <c r="AN44" i="39"/>
  <c r="AP38" i="39"/>
  <c r="AQ41" i="39"/>
  <c r="AR44" i="39"/>
  <c r="AT38" i="39"/>
  <c r="AU41" i="39"/>
  <c r="AX44" i="39"/>
  <c r="AZ38" i="39"/>
  <c r="BA41" i="39"/>
  <c r="BM38" i="39"/>
  <c r="BN41" i="39"/>
  <c r="BO44" i="39"/>
  <c r="BR38" i="39"/>
  <c r="BS41" i="39"/>
  <c r="BT44" i="39"/>
  <c r="BW38" i="39"/>
  <c r="BY44" i="39"/>
  <c r="CC41" i="39"/>
  <c r="AH39" i="39"/>
  <c r="AI42" i="39"/>
  <c r="AJ45" i="39"/>
  <c r="AL39" i="39"/>
  <c r="AM42" i="39"/>
  <c r="AN45" i="39"/>
  <c r="AP39" i="39"/>
  <c r="AQ42" i="39"/>
  <c r="AR45" i="39"/>
  <c r="AT39" i="39"/>
  <c r="AU42" i="39"/>
  <c r="AX45" i="39"/>
  <c r="AZ39" i="39"/>
  <c r="BA42" i="39"/>
  <c r="BM39" i="39"/>
  <c r="BN42" i="39"/>
  <c r="BO45" i="39"/>
  <c r="BR39" i="39"/>
  <c r="BS42" i="39"/>
  <c r="BT45" i="39"/>
  <c r="BW39" i="39"/>
  <c r="BX42" i="39"/>
  <c r="BY45" i="39"/>
  <c r="CB39" i="39"/>
  <c r="CF39" i="39" s="1"/>
  <c r="CC42" i="39"/>
  <c r="AH33" i="39"/>
  <c r="AI31" i="39"/>
  <c r="AJ29" i="39"/>
  <c r="AK27" i="39"/>
  <c r="AL25" i="39"/>
  <c r="AM23" i="39"/>
  <c r="AM35" i="39"/>
  <c r="AN33" i="39"/>
  <c r="AO31" i="39"/>
  <c r="AP29" i="39"/>
  <c r="AQ27" i="39"/>
  <c r="AR25" i="39"/>
  <c r="AS23" i="39"/>
  <c r="AS35" i="39"/>
  <c r="AT33" i="39"/>
  <c r="AU31" i="39"/>
  <c r="AX29" i="39"/>
  <c r="AY27" i="39"/>
  <c r="AZ25" i="39"/>
  <c r="BA23" i="39"/>
  <c r="BA35" i="39"/>
  <c r="BM33" i="39"/>
  <c r="BN31" i="39"/>
  <c r="BO29" i="39"/>
  <c r="BP27" i="39"/>
  <c r="BR25" i="39"/>
  <c r="BS23" i="39"/>
  <c r="BS35" i="39"/>
  <c r="BT33" i="39"/>
  <c r="BU31" i="39"/>
  <c r="BW29" i="39"/>
  <c r="BX27" i="39"/>
  <c r="BY25" i="39"/>
  <c r="BZ23" i="39"/>
  <c r="BZ35" i="39"/>
  <c r="CB33" i="39"/>
  <c r="CC31" i="39"/>
  <c r="CC32" i="39"/>
  <c r="AX36" i="39"/>
  <c r="BR32" i="39"/>
  <c r="AH34" i="39"/>
  <c r="AI32" i="39"/>
  <c r="AJ30" i="39"/>
  <c r="AK28" i="39"/>
  <c r="AL26" i="39"/>
  <c r="AM24" i="39"/>
  <c r="AM36" i="39"/>
  <c r="AN34" i="39"/>
  <c r="AO32" i="39"/>
  <c r="AP30" i="39"/>
  <c r="AQ28" i="39"/>
  <c r="AR26" i="39"/>
  <c r="AS24" i="39"/>
  <c r="AS36" i="39"/>
  <c r="AT34" i="39"/>
  <c r="AU32" i="39"/>
  <c r="AX30" i="39"/>
  <c r="AY28" i="39"/>
  <c r="AZ26" i="39"/>
  <c r="BA24" i="39"/>
  <c r="BA36" i="39"/>
  <c r="BM34" i="39"/>
  <c r="BN32" i="39"/>
  <c r="BO30" i="39"/>
  <c r="BP28" i="39"/>
  <c r="BR26" i="39"/>
  <c r="BS24" i="39"/>
  <c r="BS36" i="39"/>
  <c r="BT34" i="39"/>
  <c r="BU32" i="39"/>
  <c r="BW30" i="39"/>
  <c r="BX28" i="39"/>
  <c r="BY26" i="39"/>
  <c r="BZ24" i="39"/>
  <c r="BZ36" i="39"/>
  <c r="CB35" i="39"/>
  <c r="AH28" i="39"/>
  <c r="AZ32" i="39"/>
  <c r="BW24" i="39"/>
  <c r="AH23" i="39"/>
  <c r="AH35" i="39"/>
  <c r="AI33" i="39"/>
  <c r="AJ31" i="39"/>
  <c r="AK29" i="39"/>
  <c r="AL27" i="39"/>
  <c r="AM25" i="39"/>
  <c r="AN23" i="39"/>
  <c r="AN35" i="39"/>
  <c r="AO33" i="39"/>
  <c r="AP31" i="39"/>
  <c r="AQ29" i="39"/>
  <c r="AR27" i="39"/>
  <c r="AS25" i="39"/>
  <c r="AT23" i="39"/>
  <c r="AT35" i="39"/>
  <c r="AU33" i="39"/>
  <c r="AX31" i="39"/>
  <c r="AY29" i="39"/>
  <c r="AZ27" i="39"/>
  <c r="BA25" i="39"/>
  <c r="BM23" i="39"/>
  <c r="BM35" i="39"/>
  <c r="BN33" i="39"/>
  <c r="BO31" i="39"/>
  <c r="BP29" i="39"/>
  <c r="BR27" i="39"/>
  <c r="BS25" i="39"/>
  <c r="BT23" i="39"/>
  <c r="BT35" i="39"/>
  <c r="BU33" i="39"/>
  <c r="BW31" i="39"/>
  <c r="BX29" i="39"/>
  <c r="BY27" i="39"/>
  <c r="BA30" i="39"/>
  <c r="BW36" i="39"/>
  <c r="AH24" i="39"/>
  <c r="AH36" i="39"/>
  <c r="AI34" i="39"/>
  <c r="AJ32" i="39"/>
  <c r="AK30" i="39"/>
  <c r="AL28" i="39"/>
  <c r="AM26" i="39"/>
  <c r="AN24" i="39"/>
  <c r="AN36" i="39"/>
  <c r="AO34" i="39"/>
  <c r="AP32" i="39"/>
  <c r="AQ30" i="39"/>
  <c r="AR28" i="39"/>
  <c r="AS26" i="39"/>
  <c r="AT24" i="39"/>
  <c r="AT36" i="39"/>
  <c r="AU34" i="39"/>
  <c r="AX32" i="39"/>
  <c r="AY30" i="39"/>
  <c r="AZ28" i="39"/>
  <c r="BA26" i="39"/>
  <c r="BM24" i="39"/>
  <c r="BM36" i="39"/>
  <c r="BN34" i="39"/>
  <c r="BO32" i="39"/>
  <c r="BP30" i="39"/>
  <c r="BR28" i="39"/>
  <c r="BS26" i="39"/>
  <c r="BT24" i="39"/>
  <c r="BT36" i="39"/>
  <c r="BU34" i="39"/>
  <c r="BW32" i="39"/>
  <c r="BX30" i="39"/>
  <c r="BY28" i="39"/>
  <c r="BZ26" i="39"/>
  <c r="CB24" i="39"/>
  <c r="CB36" i="39"/>
  <c r="CC34" i="39"/>
  <c r="AJ36" i="39"/>
  <c r="AP24" i="39"/>
  <c r="AS30" i="39"/>
  <c r="BN26" i="39"/>
  <c r="BY32" i="39"/>
  <c r="AH25" i="39"/>
  <c r="AI23" i="39"/>
  <c r="AI35" i="39"/>
  <c r="AJ33" i="39"/>
  <c r="AK31" i="39"/>
  <c r="AL29" i="39"/>
  <c r="AM27" i="39"/>
  <c r="AN25" i="39"/>
  <c r="AO23" i="39"/>
  <c r="AO35" i="39"/>
  <c r="AP33" i="39"/>
  <c r="AQ31" i="39"/>
  <c r="AR29" i="39"/>
  <c r="AS27" i="39"/>
  <c r="AT25" i="39"/>
  <c r="AU23" i="39"/>
  <c r="AU35" i="39"/>
  <c r="AX33" i="39"/>
  <c r="AY31" i="39"/>
  <c r="AZ29" i="39"/>
  <c r="BA27" i="39"/>
  <c r="BM25" i="39"/>
  <c r="BN23" i="39"/>
  <c r="BN35" i="39"/>
  <c r="BO33" i="39"/>
  <c r="BP31" i="39"/>
  <c r="BR29" i="39"/>
  <c r="BS27" i="39"/>
  <c r="BT25" i="39"/>
  <c r="BU23" i="39"/>
  <c r="BU35" i="39"/>
  <c r="BW33" i="39"/>
  <c r="BX31" i="39"/>
  <c r="BY29" i="39"/>
  <c r="BZ27" i="39"/>
  <c r="CB25" i="39"/>
  <c r="CC23" i="39"/>
  <c r="CC35" i="39"/>
  <c r="AJ24" i="39"/>
  <c r="AO26" i="39"/>
  <c r="AX24" i="39"/>
  <c r="BT28" i="39"/>
  <c r="AH26" i="39"/>
  <c r="AI24" i="39"/>
  <c r="AI36" i="39"/>
  <c r="AJ34" i="39"/>
  <c r="AK32" i="39"/>
  <c r="AL30" i="39"/>
  <c r="AM28" i="39"/>
  <c r="AN26" i="39"/>
  <c r="AO24" i="39"/>
  <c r="AO36" i="39"/>
  <c r="AP34" i="39"/>
  <c r="AQ32" i="39"/>
  <c r="AR30" i="39"/>
  <c r="AS28" i="39"/>
  <c r="AT26" i="39"/>
  <c r="AU24" i="39"/>
  <c r="AU36" i="39"/>
  <c r="AX34" i="39"/>
  <c r="AY32" i="39"/>
  <c r="AZ30" i="39"/>
  <c r="BA28" i="39"/>
  <c r="BM26" i="39"/>
  <c r="BN24" i="39"/>
  <c r="BN36" i="39"/>
  <c r="BO34" i="39"/>
  <c r="BP32" i="39"/>
  <c r="BR30" i="39"/>
  <c r="BS28" i="39"/>
  <c r="BT26" i="39"/>
  <c r="BU24" i="39"/>
  <c r="BU36" i="39"/>
  <c r="BW34" i="39"/>
  <c r="BX32" i="39"/>
  <c r="BY30" i="39"/>
  <c r="BZ28" i="39"/>
  <c r="CB26" i="39"/>
  <c r="CC24" i="39"/>
  <c r="CC36" i="39"/>
  <c r="AI26" i="39"/>
  <c r="AM30" i="39"/>
  <c r="AQ34" i="39"/>
  <c r="BS30" i="39"/>
  <c r="CC26" i="39"/>
  <c r="AH27" i="39"/>
  <c r="AI25" i="39"/>
  <c r="AJ23" i="39"/>
  <c r="AJ35" i="39"/>
  <c r="AK33" i="39"/>
  <c r="AL31" i="39"/>
  <c r="AM29" i="39"/>
  <c r="AN27" i="39"/>
  <c r="AO25" i="39"/>
  <c r="AP23" i="39"/>
  <c r="AP35" i="39"/>
  <c r="AQ33" i="39"/>
  <c r="AR31" i="39"/>
  <c r="AS29" i="39"/>
  <c r="AT27" i="39"/>
  <c r="AU25" i="39"/>
  <c r="AX23" i="39"/>
  <c r="AX35" i="39"/>
  <c r="AY33" i="39"/>
  <c r="AZ31" i="39"/>
  <c r="BA29" i="39"/>
  <c r="BM27" i="39"/>
  <c r="BN25" i="39"/>
  <c r="BO23" i="39"/>
  <c r="BO35" i="39"/>
  <c r="BP33" i="39"/>
  <c r="BR31" i="39"/>
  <c r="BS29" i="39"/>
  <c r="BT27" i="39"/>
  <c r="BU25" i="39"/>
  <c r="BW23" i="39"/>
  <c r="BW35" i="39"/>
  <c r="BX33" i="39"/>
  <c r="BY31" i="39"/>
  <c r="BZ29" i="39"/>
  <c r="CB27" i="39"/>
  <c r="CC25" i="39"/>
  <c r="AK34" i="39"/>
  <c r="AP36" i="39"/>
  <c r="AY34" i="39"/>
  <c r="BP34" i="39"/>
  <c r="AH29" i="39"/>
  <c r="AI27" i="39"/>
  <c r="AJ25" i="39"/>
  <c r="AK23" i="39"/>
  <c r="AK35" i="39"/>
  <c r="AL33" i="39"/>
  <c r="AM31" i="39"/>
  <c r="AN29" i="39"/>
  <c r="AO27" i="39"/>
  <c r="AP25" i="39"/>
  <c r="AQ23" i="39"/>
  <c r="AQ35" i="39"/>
  <c r="AR33" i="39"/>
  <c r="AS31" i="39"/>
  <c r="AT29" i="39"/>
  <c r="AU27" i="39"/>
  <c r="AX25" i="39"/>
  <c r="AY23" i="39"/>
  <c r="AY35" i="39"/>
  <c r="AZ33" i="39"/>
  <c r="BA31" i="39"/>
  <c r="BM29" i="39"/>
  <c r="BN27" i="39"/>
  <c r="BO25" i="39"/>
  <c r="BP23" i="39"/>
  <c r="BP35" i="39"/>
  <c r="BR33" i="39"/>
  <c r="BS31" i="39"/>
  <c r="BT29" i="39"/>
  <c r="BU27" i="39"/>
  <c r="BW25" i="39"/>
  <c r="BX23" i="39"/>
  <c r="BX35" i="39"/>
  <c r="BY33" i="39"/>
  <c r="BZ31" i="39"/>
  <c r="CB29" i="39"/>
  <c r="CC27" i="39"/>
  <c r="BM28" i="39"/>
  <c r="CB28" i="39"/>
  <c r="AH30" i="39"/>
  <c r="AI28" i="39"/>
  <c r="AJ26" i="39"/>
  <c r="AK24" i="39"/>
  <c r="AK36" i="39"/>
  <c r="AL34" i="39"/>
  <c r="AM32" i="39"/>
  <c r="AN30" i="39"/>
  <c r="AO28" i="39"/>
  <c r="AP26" i="39"/>
  <c r="AQ24" i="39"/>
  <c r="AQ36" i="39"/>
  <c r="AR34" i="39"/>
  <c r="AS32" i="39"/>
  <c r="AT30" i="39"/>
  <c r="AU28" i="39"/>
  <c r="AX26" i="39"/>
  <c r="AY24" i="39"/>
  <c r="AY36" i="39"/>
  <c r="AZ34" i="39"/>
  <c r="BA32" i="39"/>
  <c r="BM30" i="39"/>
  <c r="BN28" i="39"/>
  <c r="BO26" i="39"/>
  <c r="BP24" i="39"/>
  <c r="BP36" i="39"/>
  <c r="BR34" i="39"/>
  <c r="BS32" i="39"/>
  <c r="BT30" i="39"/>
  <c r="BU28" i="39"/>
  <c r="BW26" i="39"/>
  <c r="BX24" i="39"/>
  <c r="BX36" i="39"/>
  <c r="BY34" i="39"/>
  <c r="BZ32" i="39"/>
  <c r="CB30" i="39"/>
  <c r="CC28" i="39"/>
  <c r="AL32" i="39"/>
  <c r="AU26" i="39"/>
  <c r="BO24" i="39"/>
  <c r="BZ30" i="39"/>
  <c r="AH31" i="39"/>
  <c r="AI29" i="39"/>
  <c r="AJ27" i="39"/>
  <c r="AK25" i="39"/>
  <c r="AL23" i="39"/>
  <c r="AL35" i="39"/>
  <c r="AM33" i="39"/>
  <c r="AN31" i="39"/>
  <c r="AO29" i="39"/>
  <c r="AP27" i="39"/>
  <c r="AQ25" i="39"/>
  <c r="AR23" i="39"/>
  <c r="AR35" i="39"/>
  <c r="AS33" i="39"/>
  <c r="AT31" i="39"/>
  <c r="AU29" i="39"/>
  <c r="AX27" i="39"/>
  <c r="AY25" i="39"/>
  <c r="AZ23" i="39"/>
  <c r="AZ35" i="39"/>
  <c r="BA33" i="39"/>
  <c r="BM31" i="39"/>
  <c r="BN29" i="39"/>
  <c r="BO27" i="39"/>
  <c r="BP25" i="39"/>
  <c r="BR23" i="39"/>
  <c r="BR35" i="39"/>
  <c r="BS33" i="39"/>
  <c r="BT31" i="39"/>
  <c r="BU29" i="39"/>
  <c r="BW27" i="39"/>
  <c r="BX25" i="39"/>
  <c r="BY23" i="39"/>
  <c r="BY35" i="39"/>
  <c r="BZ33" i="39"/>
  <c r="CB31" i="39"/>
  <c r="CC29" i="39"/>
  <c r="CB23" i="39"/>
  <c r="AN28" i="39"/>
  <c r="AT28" i="39"/>
  <c r="BO36" i="39"/>
  <c r="BX34" i="39"/>
  <c r="AH32" i="39"/>
  <c r="AI30" i="39"/>
  <c r="AJ28" i="39"/>
  <c r="AK26" i="39"/>
  <c r="AL24" i="39"/>
  <c r="AL36" i="39"/>
  <c r="AM34" i="39"/>
  <c r="AN32" i="39"/>
  <c r="AO30" i="39"/>
  <c r="AP28" i="39"/>
  <c r="AQ26" i="39"/>
  <c r="AR24" i="39"/>
  <c r="AR36" i="39"/>
  <c r="AS34" i="39"/>
  <c r="AT32" i="39"/>
  <c r="AU30" i="39"/>
  <c r="AX28" i="39"/>
  <c r="AY26" i="39"/>
  <c r="AZ24" i="39"/>
  <c r="AZ36" i="39"/>
  <c r="BA34" i="39"/>
  <c r="BM32" i="39"/>
  <c r="BN30" i="39"/>
  <c r="BO28" i="39"/>
  <c r="BP26" i="39"/>
  <c r="BR24" i="39"/>
  <c r="BR36" i="39"/>
  <c r="BS34" i="39"/>
  <c r="BT32" i="39"/>
  <c r="BU30" i="39"/>
  <c r="BW28" i="39"/>
  <c r="BX26" i="39"/>
  <c r="BY24" i="39"/>
  <c r="BY36" i="39"/>
  <c r="BZ34" i="39"/>
  <c r="CB32" i="39"/>
  <c r="CC30" i="39"/>
  <c r="CB34" i="39"/>
  <c r="BZ25" i="39"/>
  <c r="CC33" i="39"/>
  <c r="AR32" i="39"/>
  <c r="BU26" i="39"/>
  <c r="AS22" i="39"/>
  <c r="BZ22" i="39"/>
  <c r="AM21" i="39"/>
  <c r="BA21" i="39"/>
  <c r="BS21" i="39"/>
  <c r="AS20" i="39"/>
  <c r="BZ20" i="39"/>
  <c r="BU20" i="39"/>
  <c r="AH22" i="39"/>
  <c r="AT22" i="39"/>
  <c r="BM22" i="39"/>
  <c r="CB22" i="39"/>
  <c r="AN21" i="39"/>
  <c r="BT21" i="39"/>
  <c r="AH20" i="39"/>
  <c r="AT20" i="39"/>
  <c r="BM20" i="39"/>
  <c r="CB20" i="39"/>
  <c r="AU20" i="39"/>
  <c r="BN20" i="39"/>
  <c r="BT20" i="39"/>
  <c r="BP21" i="39"/>
  <c r="AL21" i="39"/>
  <c r="AI22" i="39"/>
  <c r="AU22" i="39"/>
  <c r="BN22" i="39"/>
  <c r="CC22" i="39"/>
  <c r="AO21" i="39"/>
  <c r="BU21" i="39"/>
  <c r="AI20" i="39"/>
  <c r="CC20" i="39"/>
  <c r="AR22" i="39"/>
  <c r="AJ22" i="39"/>
  <c r="AX22" i="39"/>
  <c r="BO22" i="39"/>
  <c r="AP21" i="39"/>
  <c r="BW21" i="39"/>
  <c r="AJ20" i="39"/>
  <c r="AX20" i="39"/>
  <c r="BO20" i="39"/>
  <c r="BP20" i="39"/>
  <c r="BT22" i="39"/>
  <c r="AN20" i="39"/>
  <c r="AR20" i="39"/>
  <c r="AK22" i="39"/>
  <c r="AY22" i="39"/>
  <c r="BP22" i="39"/>
  <c r="AQ21" i="39"/>
  <c r="BX21" i="39"/>
  <c r="AK20" i="39"/>
  <c r="AY20" i="39"/>
  <c r="AT21" i="39"/>
  <c r="AK21" i="39"/>
  <c r="BR21" i="39"/>
  <c r="AL22" i="39"/>
  <c r="AZ22" i="39"/>
  <c r="BR22" i="39"/>
  <c r="AR21" i="39"/>
  <c r="BY21" i="39"/>
  <c r="AL20" i="39"/>
  <c r="AZ20" i="39"/>
  <c r="BR20" i="39"/>
  <c r="BS20" i="39"/>
  <c r="AH21" i="39"/>
  <c r="CB21" i="39"/>
  <c r="AY21" i="39"/>
  <c r="BY22" i="39"/>
  <c r="AM22" i="39"/>
  <c r="BA22" i="39"/>
  <c r="BS22" i="39"/>
  <c r="AS21" i="39"/>
  <c r="BZ21" i="39"/>
  <c r="AM20" i="39"/>
  <c r="BA20" i="39"/>
  <c r="AN22" i="39"/>
  <c r="BM21" i="39"/>
  <c r="AQ22" i="39"/>
  <c r="BX20" i="39"/>
  <c r="BY20" i="39"/>
  <c r="AO22" i="39"/>
  <c r="BU22" i="39"/>
  <c r="AI21" i="39"/>
  <c r="AU21" i="39"/>
  <c r="BN21" i="39"/>
  <c r="CC21" i="39"/>
  <c r="AO20" i="39"/>
  <c r="BX22" i="39"/>
  <c r="AZ21" i="39"/>
  <c r="AP22" i="39"/>
  <c r="BW22" i="39"/>
  <c r="AJ21" i="39"/>
  <c r="AX21" i="39"/>
  <c r="BO21" i="39"/>
  <c r="AP20" i="39"/>
  <c r="BW20" i="39"/>
  <c r="AQ20" i="39"/>
  <c r="AF19" i="39"/>
  <c r="AG19" i="39"/>
  <c r="AD19" i="39"/>
  <c r="AE19" i="39"/>
  <c r="AC19" i="39"/>
  <c r="AJ19" i="39"/>
  <c r="AY19" i="39"/>
  <c r="AH19" i="39"/>
  <c r="AL19" i="39"/>
  <c r="AZ19" i="39"/>
  <c r="BR19" i="39"/>
  <c r="BU19" i="39"/>
  <c r="BW19" i="39"/>
  <c r="BX19" i="39"/>
  <c r="AS19" i="39"/>
  <c r="BM19" i="39"/>
  <c r="AI19" i="39"/>
  <c r="CC19" i="39"/>
  <c r="BO19" i="39"/>
  <c r="BP19" i="39"/>
  <c r="AM19" i="39"/>
  <c r="BA19" i="39"/>
  <c r="BS19" i="39"/>
  <c r="AP19" i="39"/>
  <c r="AQ19" i="39"/>
  <c r="BY19" i="39"/>
  <c r="AT19" i="39"/>
  <c r="AN19" i="39"/>
  <c r="BT19" i="39"/>
  <c r="AR19" i="39"/>
  <c r="BZ19" i="39"/>
  <c r="CB19" i="39"/>
  <c r="AU19" i="39"/>
  <c r="BN19" i="39"/>
  <c r="AX19" i="39"/>
  <c r="AK19" i="39"/>
  <c r="AO19" i="39"/>
  <c r="AD16" i="39"/>
  <c r="AD17" i="39"/>
  <c r="AG14" i="39"/>
  <c r="AD18" i="39"/>
  <c r="AG15" i="39"/>
  <c r="AB17" i="39"/>
  <c r="AG16" i="39"/>
  <c r="AG17" i="39"/>
  <c r="AC14" i="39"/>
  <c r="AG18" i="39"/>
  <c r="AC15" i="39"/>
  <c r="AE17" i="39"/>
  <c r="AC16" i="39"/>
  <c r="AC17" i="39"/>
  <c r="AF17" i="39"/>
  <c r="AC18" i="39"/>
  <c r="AA17" i="39"/>
  <c r="AD14" i="39"/>
  <c r="AD15" i="39"/>
  <c r="AI15" i="39"/>
  <c r="AK17" i="39"/>
  <c r="AN14" i="39"/>
  <c r="AP16" i="39"/>
  <c r="AR18" i="39"/>
  <c r="AU15" i="39"/>
  <c r="AY17" i="39"/>
  <c r="BM18" i="39"/>
  <c r="BP15" i="39"/>
  <c r="BS17" i="39"/>
  <c r="CB18" i="39"/>
  <c r="AS17" i="39"/>
  <c r="AI16" i="39"/>
  <c r="AK18" i="39"/>
  <c r="AN15" i="39"/>
  <c r="AP17" i="39"/>
  <c r="X17" i="39" s="1"/>
  <c r="AS14" i="39"/>
  <c r="AU16" i="39"/>
  <c r="AY18" i="39"/>
  <c r="BN14" i="39"/>
  <c r="BP16" i="39"/>
  <c r="BS18" i="39"/>
  <c r="BW15" i="39"/>
  <c r="BY17" i="39"/>
  <c r="CC14" i="39"/>
  <c r="BP17" i="39"/>
  <c r="CC15" i="39"/>
  <c r="BN17" i="39"/>
  <c r="AI17" i="39"/>
  <c r="AL14" i="39"/>
  <c r="AN16" i="39"/>
  <c r="AP18" i="39"/>
  <c r="X18" i="39" s="1"/>
  <c r="AS15" i="39"/>
  <c r="AU17" i="39"/>
  <c r="AZ14" i="39"/>
  <c r="BN15" i="39"/>
  <c r="BT14" i="39"/>
  <c r="BZ14" i="39"/>
  <c r="BT16" i="39"/>
  <c r="AI18" i="39"/>
  <c r="AL15" i="39"/>
  <c r="AN17" i="39"/>
  <c r="AQ14" i="39"/>
  <c r="AS16" i="39"/>
  <c r="AU18" i="39"/>
  <c r="AZ15" i="39"/>
  <c r="BN16" i="39"/>
  <c r="BP18" i="39"/>
  <c r="BT15" i="39"/>
  <c r="CC16" i="39"/>
  <c r="BW18" i="39"/>
  <c r="AJ14" i="39"/>
  <c r="AL16" i="39"/>
  <c r="W16" i="39" s="1"/>
  <c r="AN18" i="39"/>
  <c r="AJ15" i="39"/>
  <c r="AL17" i="39"/>
  <c r="AO14" i="39"/>
  <c r="AQ16" i="39"/>
  <c r="AS18" i="39"/>
  <c r="AX15" i="39"/>
  <c r="AZ17" i="39"/>
  <c r="BN18" i="39"/>
  <c r="BR15" i="39"/>
  <c r="BT17" i="39"/>
  <c r="BX14" i="39"/>
  <c r="BZ16" i="39"/>
  <c r="CC18" i="39"/>
  <c r="BW17" i="39"/>
  <c r="BR14" i="39"/>
  <c r="AH14" i="39"/>
  <c r="AJ16" i="39"/>
  <c r="AL18" i="39"/>
  <c r="W18" i="39" s="1"/>
  <c r="AO15" i="39"/>
  <c r="AQ17" i="39"/>
  <c r="AT14" i="39"/>
  <c r="Y14" i="39" s="1"/>
  <c r="AX16" i="39"/>
  <c r="Z16" i="39" s="1"/>
  <c r="AZ18" i="39"/>
  <c r="BO14" i="39"/>
  <c r="BR16" i="39"/>
  <c r="BT18" i="39"/>
  <c r="BX15" i="39"/>
  <c r="BZ17" i="39"/>
  <c r="BY16" i="39"/>
  <c r="AQ15" i="39"/>
  <c r="AH15" i="39"/>
  <c r="AJ17" i="39"/>
  <c r="AM14" i="39"/>
  <c r="AO16" i="39"/>
  <c r="AQ18" i="39"/>
  <c r="AT15" i="39"/>
  <c r="AX17" i="39"/>
  <c r="BA14" i="39"/>
  <c r="BO15" i="39"/>
  <c r="BR17" i="39"/>
  <c r="BU14" i="39"/>
  <c r="BX16" i="39"/>
  <c r="BZ18" i="39"/>
  <c r="AH16" i="39"/>
  <c r="AJ18" i="39"/>
  <c r="AM15" i="39"/>
  <c r="AO17" i="39"/>
  <c r="AR14" i="39"/>
  <c r="AT16" i="39"/>
  <c r="AX18" i="39"/>
  <c r="BA15" i="39"/>
  <c r="BM14" i="39"/>
  <c r="BO16" i="39"/>
  <c r="BR18" i="39"/>
  <c r="BU15" i="39"/>
  <c r="BX17" i="39"/>
  <c r="CB14" i="39"/>
  <c r="AT18" i="39"/>
  <c r="BM16" i="39"/>
  <c r="BS15" i="39"/>
  <c r="BY14" i="39"/>
  <c r="AK16" i="39"/>
  <c r="AP15" i="39"/>
  <c r="AU14" i="39"/>
  <c r="BA18" i="39"/>
  <c r="BP14" i="39"/>
  <c r="BU18" i="39"/>
  <c r="CB17" i="39"/>
  <c r="BW16" i="39"/>
  <c r="AX14" i="39"/>
  <c r="Z14" i="39" s="1"/>
  <c r="BZ15" i="39"/>
  <c r="AH17" i="39"/>
  <c r="AK14" i="39"/>
  <c r="AM16" i="39"/>
  <c r="AO18" i="39"/>
  <c r="AR15" i="39"/>
  <c r="AT17" i="39"/>
  <c r="AY14" i="39"/>
  <c r="BA16" i="39"/>
  <c r="BM15" i="39"/>
  <c r="BO17" i="39"/>
  <c r="BS14" i="39"/>
  <c r="BU16" i="39"/>
  <c r="BX18" i="39"/>
  <c r="CB15" i="39"/>
  <c r="AH18" i="39"/>
  <c r="AK15" i="39"/>
  <c r="AM17" i="39"/>
  <c r="AP14" i="39"/>
  <c r="AR16" i="39"/>
  <c r="AY15" i="39"/>
  <c r="BA17" i="39"/>
  <c r="BO18" i="39"/>
  <c r="BU17" i="39"/>
  <c r="CB16" i="39"/>
  <c r="AI14" i="39"/>
  <c r="AM18" i="39"/>
  <c r="AR17" i="39"/>
  <c r="AY16" i="39"/>
  <c r="BM17" i="39"/>
  <c r="BS16" i="39"/>
  <c r="BY15" i="39"/>
  <c r="BW14" i="39"/>
  <c r="BY18" i="39"/>
  <c r="AZ16" i="39"/>
  <c r="CC17" i="39"/>
  <c r="AA3" i="39"/>
  <c r="AC5" i="39"/>
  <c r="AD6" i="39"/>
  <c r="AG9" i="39"/>
  <c r="AB5" i="39"/>
  <c r="AC6" i="39"/>
  <c r="AD7" i="39"/>
  <c r="AG10" i="39"/>
  <c r="AA5" i="39"/>
  <c r="AC7" i="39"/>
  <c r="AD8" i="39"/>
  <c r="AG11" i="39"/>
  <c r="AC8" i="39"/>
  <c r="AD9" i="39"/>
  <c r="AG12" i="39"/>
  <c r="AC9" i="39"/>
  <c r="AD10" i="39"/>
  <c r="AG13" i="39"/>
  <c r="AC10" i="39"/>
  <c r="AD11" i="39"/>
  <c r="AC11" i="39"/>
  <c r="AD12" i="39"/>
  <c r="AG3" i="39"/>
  <c r="AC12" i="39"/>
  <c r="AD13" i="39"/>
  <c r="AF3" i="39"/>
  <c r="AG4" i="39"/>
  <c r="AC13" i="39"/>
  <c r="AE3" i="39"/>
  <c r="AG5" i="39"/>
  <c r="AD3" i="39"/>
  <c r="AF5" i="39"/>
  <c r="AG6" i="39"/>
  <c r="AC3" i="39"/>
  <c r="AD4" i="39"/>
  <c r="AE5" i="39"/>
  <c r="AG7" i="39"/>
  <c r="AB3" i="39"/>
  <c r="AC4" i="39"/>
  <c r="AD5" i="39"/>
  <c r="AG8" i="39"/>
  <c r="AH10" i="39"/>
  <c r="AI11" i="39"/>
  <c r="AJ12" i="39"/>
  <c r="AK13" i="39"/>
  <c r="AM3" i="39"/>
  <c r="AN4" i="39"/>
  <c r="AO5" i="39"/>
  <c r="AP6" i="39"/>
  <c r="AQ7" i="39"/>
  <c r="AR8" i="39"/>
  <c r="AS9" i="39"/>
  <c r="AT10" i="39"/>
  <c r="AU11" i="39"/>
  <c r="AX12" i="39"/>
  <c r="AY13" i="39"/>
  <c r="BA3" i="39"/>
  <c r="BM10" i="39"/>
  <c r="BN11" i="39"/>
  <c r="BO12" i="39"/>
  <c r="BP13" i="39"/>
  <c r="BS3" i="39"/>
  <c r="BT4" i="39"/>
  <c r="BU5" i="39"/>
  <c r="BW6" i="39"/>
  <c r="BX7" i="39"/>
  <c r="BY8" i="39"/>
  <c r="BZ9" i="39"/>
  <c r="CB10" i="39"/>
  <c r="CC11" i="39"/>
  <c r="CC10" i="39"/>
  <c r="AH11" i="39"/>
  <c r="AI12" i="39"/>
  <c r="AJ13" i="39"/>
  <c r="AL3" i="39"/>
  <c r="AM4" i="39"/>
  <c r="AN5" i="39"/>
  <c r="AO6" i="39"/>
  <c r="AP7" i="39"/>
  <c r="AQ8" i="39"/>
  <c r="AR9" i="39"/>
  <c r="AS10" i="39"/>
  <c r="AT11" i="39"/>
  <c r="AU12" i="39"/>
  <c r="AX13" i="39"/>
  <c r="AZ3" i="39"/>
  <c r="BA4" i="39"/>
  <c r="BM11" i="39"/>
  <c r="BN12" i="39"/>
  <c r="BO13" i="39"/>
  <c r="BR3" i="39"/>
  <c r="BS4" i="39"/>
  <c r="BT5" i="39"/>
  <c r="BU6" i="39"/>
  <c r="BW7" i="39"/>
  <c r="BX8" i="39"/>
  <c r="BY9" i="39"/>
  <c r="BZ10" i="39"/>
  <c r="CB11" i="39"/>
  <c r="CC12" i="39"/>
  <c r="BW8" i="39"/>
  <c r="BY10" i="39"/>
  <c r="CB12" i="39"/>
  <c r="CC13" i="39"/>
  <c r="CC3" i="39"/>
  <c r="BT9" i="39"/>
  <c r="BX12" i="39"/>
  <c r="AQ6" i="39"/>
  <c r="BT3" i="39"/>
  <c r="AH12" i="39"/>
  <c r="AI13" i="39"/>
  <c r="AK3" i="39"/>
  <c r="AL4" i="39"/>
  <c r="AM5" i="39"/>
  <c r="AN6" i="39"/>
  <c r="AO7" i="39"/>
  <c r="AP8" i="39"/>
  <c r="AQ9" i="39"/>
  <c r="AR10" i="39"/>
  <c r="AS11" i="39"/>
  <c r="AT12" i="39"/>
  <c r="Y12" i="39" s="1"/>
  <c r="AU13" i="39"/>
  <c r="AY3" i="39"/>
  <c r="AZ4" i="39"/>
  <c r="BA5" i="39"/>
  <c r="BM12" i="39"/>
  <c r="BN13" i="39"/>
  <c r="BP3" i="39"/>
  <c r="BR4" i="39"/>
  <c r="BS5" i="39"/>
  <c r="BT6" i="39"/>
  <c r="BU7" i="39"/>
  <c r="BX9" i="39"/>
  <c r="BZ11" i="39"/>
  <c r="BX11" i="39"/>
  <c r="BR7" i="39"/>
  <c r="CB3" i="39"/>
  <c r="AR7" i="39"/>
  <c r="BO11" i="39"/>
  <c r="BZ8" i="39"/>
  <c r="AH13" i="39"/>
  <c r="AJ3" i="39"/>
  <c r="AK4" i="39"/>
  <c r="AL5" i="39"/>
  <c r="AM6" i="39"/>
  <c r="AN7" i="39"/>
  <c r="AO8" i="39"/>
  <c r="AP9" i="39"/>
  <c r="AQ10" i="39"/>
  <c r="AR11" i="39"/>
  <c r="AS12" i="39"/>
  <c r="AT13" i="39"/>
  <c r="Y13" i="39" s="1"/>
  <c r="AX3" i="39"/>
  <c r="AY4" i="39"/>
  <c r="AZ5" i="39"/>
  <c r="BA6" i="39"/>
  <c r="BM13" i="39"/>
  <c r="BO3" i="39"/>
  <c r="BP4" i="39"/>
  <c r="BR5" i="39"/>
  <c r="BS6" i="39"/>
  <c r="BT7" i="39"/>
  <c r="BU8" i="39"/>
  <c r="BW9" i="39"/>
  <c r="BX10" i="39"/>
  <c r="BY11" i="39"/>
  <c r="BZ12" i="39"/>
  <c r="CB13" i="39"/>
  <c r="BZ13" i="39"/>
  <c r="BP6" i="39"/>
  <c r="BW11" i="39"/>
  <c r="AP5" i="39"/>
  <c r="BR13" i="39"/>
  <c r="CB9" i="39"/>
  <c r="AI3" i="39"/>
  <c r="AJ4" i="39"/>
  <c r="AK5" i="39"/>
  <c r="AL6" i="39"/>
  <c r="AM7" i="39"/>
  <c r="AN8" i="39"/>
  <c r="AO9" i="39"/>
  <c r="AP10" i="39"/>
  <c r="AQ11" i="39"/>
  <c r="AR12" i="39"/>
  <c r="AS13" i="39"/>
  <c r="AU3" i="39"/>
  <c r="AX4" i="39"/>
  <c r="AY5" i="39"/>
  <c r="AZ6" i="39"/>
  <c r="BA7" i="39"/>
  <c r="BN3" i="39"/>
  <c r="BO4" i="39"/>
  <c r="BP5" i="39"/>
  <c r="BR6" i="39"/>
  <c r="BS7" i="39"/>
  <c r="BT8" i="39"/>
  <c r="BU9" i="39"/>
  <c r="BW10" i="39"/>
  <c r="BY12" i="39"/>
  <c r="BS8" i="39"/>
  <c r="BY13" i="39"/>
  <c r="AO4" i="39"/>
  <c r="BM9" i="39"/>
  <c r="BY7" i="39"/>
  <c r="AH3" i="39"/>
  <c r="AI4" i="39"/>
  <c r="AJ5" i="39"/>
  <c r="AK6" i="39"/>
  <c r="AL7" i="39"/>
  <c r="AM8" i="39"/>
  <c r="AN9" i="39"/>
  <c r="AO10" i="39"/>
  <c r="AP11" i="39"/>
  <c r="AQ12" i="39"/>
  <c r="AR13" i="39"/>
  <c r="AT3" i="39"/>
  <c r="AU4" i="39"/>
  <c r="AX5" i="39"/>
  <c r="AY6" i="39"/>
  <c r="AZ7" i="39"/>
  <c r="BA8" i="39"/>
  <c r="BM3" i="39"/>
  <c r="BN4" i="39"/>
  <c r="BO5" i="39"/>
  <c r="BU10" i="39"/>
  <c r="CC4" i="39"/>
  <c r="AT9" i="39"/>
  <c r="BN10" i="39"/>
  <c r="BX6" i="39"/>
  <c r="AH4" i="39"/>
  <c r="AI5" i="39"/>
  <c r="AJ6" i="39"/>
  <c r="AK7" i="39"/>
  <c r="AL8" i="39"/>
  <c r="AM9" i="39"/>
  <c r="AN10" i="39"/>
  <c r="AO11" i="39"/>
  <c r="AP12" i="39"/>
  <c r="AQ13" i="39"/>
  <c r="AS3" i="39"/>
  <c r="AT4" i="39"/>
  <c r="AU5" i="39"/>
  <c r="AX6" i="39"/>
  <c r="AY7" i="39"/>
  <c r="AZ8" i="39"/>
  <c r="BA9" i="39"/>
  <c r="BM4" i="39"/>
  <c r="BN5" i="39"/>
  <c r="BO6" i="39"/>
  <c r="BP7" i="39"/>
  <c r="BR8" i="39"/>
  <c r="BS9" i="39"/>
  <c r="BT10" i="39"/>
  <c r="BU11" i="39"/>
  <c r="BW12" i="39"/>
  <c r="BX13" i="39"/>
  <c r="BZ3" i="39"/>
  <c r="CB4" i="39"/>
  <c r="CC5" i="39"/>
  <c r="AX11" i="39"/>
  <c r="BP12" i="39"/>
  <c r="AH5" i="39"/>
  <c r="AI6" i="39"/>
  <c r="AJ7" i="39"/>
  <c r="AK8" i="39"/>
  <c r="AL9" i="39"/>
  <c r="AM10" i="39"/>
  <c r="AN11" i="39"/>
  <c r="AO12" i="39"/>
  <c r="AP13" i="39"/>
  <c r="AR3" i="39"/>
  <c r="AS4" i="39"/>
  <c r="AT5" i="39"/>
  <c r="AU6" i="39"/>
  <c r="AX7" i="39"/>
  <c r="AY8" i="39"/>
  <c r="AZ9" i="39"/>
  <c r="BA10" i="39"/>
  <c r="BM5" i="39"/>
  <c r="BN6" i="39"/>
  <c r="BO7" i="39"/>
  <c r="BP8" i="39"/>
  <c r="BR9" i="39"/>
  <c r="BS10" i="39"/>
  <c r="BT11" i="39"/>
  <c r="BU12" i="39"/>
  <c r="BW13" i="39"/>
  <c r="BY3" i="39"/>
  <c r="BZ4" i="39"/>
  <c r="CB5" i="39"/>
  <c r="CC6" i="39"/>
  <c r="AH6" i="39"/>
  <c r="AI7" i="39"/>
  <c r="AJ8" i="39"/>
  <c r="AK9" i="39"/>
  <c r="AL10" i="39"/>
  <c r="AM11" i="39"/>
  <c r="AN12" i="39"/>
  <c r="AO13" i="39"/>
  <c r="AQ3" i="39"/>
  <c r="AR4" i="39"/>
  <c r="AS5" i="39"/>
  <c r="AT6" i="39"/>
  <c r="Y6" i="39" s="1"/>
  <c r="AU7" i="39"/>
  <c r="AX8" i="39"/>
  <c r="AY9" i="39"/>
  <c r="AZ10" i="39"/>
  <c r="BA11" i="39"/>
  <c r="BM6" i="39"/>
  <c r="BN7" i="39"/>
  <c r="BO8" i="39"/>
  <c r="BP9" i="39"/>
  <c r="BR10" i="39"/>
  <c r="BS11" i="39"/>
  <c r="BT12" i="39"/>
  <c r="BU13" i="39"/>
  <c r="BX3" i="39"/>
  <c r="BY4" i="39"/>
  <c r="BZ5" i="39"/>
  <c r="CB6" i="39"/>
  <c r="CC7" i="39"/>
  <c r="BM8" i="39"/>
  <c r="BO10" i="39"/>
  <c r="BR12" i="39"/>
  <c r="BW4" i="39"/>
  <c r="BY6" i="39"/>
  <c r="CB8" i="39"/>
  <c r="AH9" i="39"/>
  <c r="AL13" i="39"/>
  <c r="AS8" i="39"/>
  <c r="AY12" i="39"/>
  <c r="BW5" i="39"/>
  <c r="AJ11" i="39"/>
  <c r="AH7" i="39"/>
  <c r="AI8" i="39"/>
  <c r="AJ9" i="39"/>
  <c r="AK10" i="39"/>
  <c r="AL11" i="39"/>
  <c r="AM12" i="39"/>
  <c r="AN13" i="39"/>
  <c r="AP3" i="39"/>
  <c r="AQ4" i="39"/>
  <c r="AR5" i="39"/>
  <c r="AS6" i="39"/>
  <c r="AT7" i="39"/>
  <c r="AU8" i="39"/>
  <c r="AX9" i="39"/>
  <c r="AY10" i="39"/>
  <c r="AZ11" i="39"/>
  <c r="BA12" i="39"/>
  <c r="BM7" i="39"/>
  <c r="BN8" i="39"/>
  <c r="BO9" i="39"/>
  <c r="BP10" i="39"/>
  <c r="BR11" i="39"/>
  <c r="BS12" i="39"/>
  <c r="BT13" i="39"/>
  <c r="BW3" i="39"/>
  <c r="BX4" i="39"/>
  <c r="BY5" i="39"/>
  <c r="BZ6" i="39"/>
  <c r="CB7" i="39"/>
  <c r="CC8" i="39"/>
  <c r="AH8" i="39"/>
  <c r="AI9" i="39"/>
  <c r="AJ10" i="39"/>
  <c r="AK11" i="39"/>
  <c r="AL12" i="39"/>
  <c r="AM13" i="39"/>
  <c r="AO3" i="39"/>
  <c r="AP4" i="39"/>
  <c r="AQ5" i="39"/>
  <c r="AR6" i="39"/>
  <c r="AS7" i="39"/>
  <c r="AT8" i="39"/>
  <c r="AU9" i="39"/>
  <c r="AX10" i="39"/>
  <c r="AY11" i="39"/>
  <c r="AZ12" i="39"/>
  <c r="BA13" i="39"/>
  <c r="BN9" i="39"/>
  <c r="BP11" i="39"/>
  <c r="BS13" i="39"/>
  <c r="BU3" i="39"/>
  <c r="BX5" i="39"/>
  <c r="BZ7" i="39"/>
  <c r="CC9" i="39"/>
  <c r="AK12" i="39"/>
  <c r="AN3" i="39"/>
  <c r="AU10" i="39"/>
  <c r="AZ13" i="39"/>
  <c r="BU4" i="39"/>
  <c r="AI10" i="39"/>
  <c r="AJ5" i="17"/>
  <c r="AJ17" i="17"/>
  <c r="AJ29" i="17"/>
  <c r="AJ41" i="17"/>
  <c r="AJ52" i="17"/>
  <c r="AJ64" i="17"/>
  <c r="AJ76" i="17"/>
  <c r="AJ88" i="17"/>
  <c r="AJ100" i="17"/>
  <c r="AJ112" i="17"/>
  <c r="AJ124" i="17"/>
  <c r="AJ136" i="17"/>
  <c r="AJ148" i="17"/>
  <c r="AJ160" i="17"/>
  <c r="AJ172" i="17"/>
  <c r="AJ184" i="17"/>
  <c r="AJ196" i="17"/>
  <c r="AJ208" i="17"/>
  <c r="AJ220" i="17"/>
  <c r="AJ232" i="17"/>
  <c r="AJ244" i="17"/>
  <c r="AJ256" i="17"/>
  <c r="AJ268" i="17"/>
  <c r="AJ280" i="17"/>
  <c r="AJ292" i="17"/>
  <c r="AJ304" i="17"/>
  <c r="AJ316" i="17"/>
  <c r="AJ328" i="17"/>
  <c r="AJ340" i="17"/>
  <c r="AJ352" i="17"/>
  <c r="AJ364" i="17"/>
  <c r="AJ376" i="17"/>
  <c r="AJ388" i="17"/>
  <c r="AJ192" i="17"/>
  <c r="AJ6" i="17"/>
  <c r="AJ18" i="17"/>
  <c r="AJ30" i="17"/>
  <c r="AJ42" i="17"/>
  <c r="AJ53" i="17"/>
  <c r="AJ65" i="17"/>
  <c r="AJ77" i="17"/>
  <c r="AJ89" i="17"/>
  <c r="AJ101" i="17"/>
  <c r="AJ113" i="17"/>
  <c r="AJ125" i="17"/>
  <c r="AJ137" i="17"/>
  <c r="AJ149" i="17"/>
  <c r="AJ161" i="17"/>
  <c r="AJ173" i="17"/>
  <c r="AJ185" i="17"/>
  <c r="AJ197" i="17"/>
  <c r="AJ209" i="17"/>
  <c r="AJ221" i="17"/>
  <c r="AJ233" i="17"/>
  <c r="AJ245" i="17"/>
  <c r="AJ257" i="17"/>
  <c r="AJ269" i="17"/>
  <c r="AJ281" i="17"/>
  <c r="AJ293" i="17"/>
  <c r="AJ305" i="17"/>
  <c r="AJ317" i="17"/>
  <c r="AJ329" i="17"/>
  <c r="AJ341" i="17"/>
  <c r="AJ353" i="17"/>
  <c r="AJ365" i="17"/>
  <c r="AJ377" i="17"/>
  <c r="AJ389" i="17"/>
  <c r="AJ204" i="17"/>
  <c r="AJ7" i="17"/>
  <c r="AJ19" i="17"/>
  <c r="AJ31" i="17"/>
  <c r="AJ43" i="17"/>
  <c r="AJ54" i="17"/>
  <c r="AJ66" i="17"/>
  <c r="AJ78" i="17"/>
  <c r="AJ90" i="17"/>
  <c r="AJ102" i="17"/>
  <c r="AJ114" i="17"/>
  <c r="AJ126" i="17"/>
  <c r="AJ138" i="17"/>
  <c r="AJ150" i="17"/>
  <c r="AJ162" i="17"/>
  <c r="AJ174" i="17"/>
  <c r="AJ186" i="17"/>
  <c r="AJ198" i="17"/>
  <c r="AJ210" i="17"/>
  <c r="AJ222" i="17"/>
  <c r="AJ234" i="17"/>
  <c r="AJ246" i="17"/>
  <c r="AJ258" i="17"/>
  <c r="AJ270" i="17"/>
  <c r="AJ282" i="17"/>
  <c r="AJ294" i="17"/>
  <c r="AJ306" i="17"/>
  <c r="AJ318" i="17"/>
  <c r="AJ330" i="17"/>
  <c r="AJ342" i="17"/>
  <c r="AJ354" i="17"/>
  <c r="AJ366" i="17"/>
  <c r="AJ378" i="17"/>
  <c r="AJ390" i="17"/>
  <c r="AJ216" i="17"/>
  <c r="AJ8" i="17"/>
  <c r="AJ20" i="17"/>
  <c r="AJ32" i="17"/>
  <c r="AJ44" i="17"/>
  <c r="AJ55" i="17"/>
  <c r="AJ67" i="17"/>
  <c r="AJ79" i="17"/>
  <c r="AJ91" i="17"/>
  <c r="AJ103" i="17"/>
  <c r="AJ115" i="17"/>
  <c r="AJ127" i="17"/>
  <c r="AJ139" i="17"/>
  <c r="AJ151" i="17"/>
  <c r="AJ163" i="17"/>
  <c r="AJ175" i="17"/>
  <c r="AJ187" i="17"/>
  <c r="AJ199" i="17"/>
  <c r="AJ211" i="17"/>
  <c r="AJ223" i="17"/>
  <c r="AJ235" i="17"/>
  <c r="AJ247" i="17"/>
  <c r="AJ259" i="17"/>
  <c r="AJ271" i="17"/>
  <c r="AJ283" i="17"/>
  <c r="AJ295" i="17"/>
  <c r="AJ307" i="17"/>
  <c r="AJ319" i="17"/>
  <c r="AJ331" i="17"/>
  <c r="AJ343" i="17"/>
  <c r="AJ355" i="17"/>
  <c r="AJ367" i="17"/>
  <c r="AJ379" i="17"/>
  <c r="AJ168" i="17"/>
  <c r="AJ9" i="17"/>
  <c r="AJ21" i="17"/>
  <c r="AJ33" i="17"/>
  <c r="AJ45" i="17"/>
  <c r="AJ56" i="17"/>
  <c r="AJ68" i="17"/>
  <c r="AJ80" i="17"/>
  <c r="AJ92" i="17"/>
  <c r="AJ104" i="17"/>
  <c r="AJ116" i="17"/>
  <c r="AJ128" i="17"/>
  <c r="AJ140" i="17"/>
  <c r="AJ152" i="17"/>
  <c r="AJ164" i="17"/>
  <c r="AJ176" i="17"/>
  <c r="AJ188" i="17"/>
  <c r="AJ200" i="17"/>
  <c r="AJ212" i="17"/>
  <c r="AJ224" i="17"/>
  <c r="AJ236" i="17"/>
  <c r="AJ248" i="17"/>
  <c r="AJ260" i="17"/>
  <c r="AJ272" i="17"/>
  <c r="AJ284" i="17"/>
  <c r="AJ296" i="17"/>
  <c r="AJ308" i="17"/>
  <c r="AJ320" i="17"/>
  <c r="AJ332" i="17"/>
  <c r="AJ344" i="17"/>
  <c r="AJ356" i="17"/>
  <c r="AJ368" i="17"/>
  <c r="AJ380" i="17"/>
  <c r="AJ25" i="17"/>
  <c r="AJ279" i="17"/>
  <c r="AJ10" i="17"/>
  <c r="AJ22" i="17"/>
  <c r="AJ34" i="17"/>
  <c r="AJ46" i="17"/>
  <c r="AJ57" i="17"/>
  <c r="AJ69" i="17"/>
  <c r="AJ81" i="17"/>
  <c r="AJ93" i="17"/>
  <c r="AJ105" i="17"/>
  <c r="AJ117" i="17"/>
  <c r="AJ129" i="17"/>
  <c r="AJ141" i="17"/>
  <c r="AJ153" i="17"/>
  <c r="AJ165" i="17"/>
  <c r="AJ177" i="17"/>
  <c r="AJ189" i="17"/>
  <c r="AJ201" i="17"/>
  <c r="AJ213" i="17"/>
  <c r="AJ225" i="17"/>
  <c r="AJ237" i="17"/>
  <c r="AJ249" i="17"/>
  <c r="AJ261" i="17"/>
  <c r="AJ273" i="17"/>
  <c r="AJ285" i="17"/>
  <c r="AJ297" i="17"/>
  <c r="AJ309" i="17"/>
  <c r="AJ321" i="17"/>
  <c r="AJ333" i="17"/>
  <c r="AJ345" i="17"/>
  <c r="AJ357" i="17"/>
  <c r="AJ369" i="17"/>
  <c r="AJ381" i="17"/>
  <c r="AJ252" i="17"/>
  <c r="AJ11" i="17"/>
  <c r="AJ23" i="17"/>
  <c r="AJ35" i="17"/>
  <c r="AJ58" i="17"/>
  <c r="AJ70" i="17"/>
  <c r="AJ82" i="17"/>
  <c r="AJ94" i="17"/>
  <c r="AJ106" i="17"/>
  <c r="AJ118" i="17"/>
  <c r="AJ130" i="17"/>
  <c r="AJ142" i="17"/>
  <c r="AJ154" i="17"/>
  <c r="AJ166" i="17"/>
  <c r="AJ178" i="17"/>
  <c r="AJ190" i="17"/>
  <c r="AJ202" i="17"/>
  <c r="AJ214" i="17"/>
  <c r="AJ226" i="17"/>
  <c r="AJ238" i="17"/>
  <c r="AJ250" i="17"/>
  <c r="AJ262" i="17"/>
  <c r="AJ274" i="17"/>
  <c r="AJ286" i="17"/>
  <c r="AJ298" i="17"/>
  <c r="AJ310" i="17"/>
  <c r="AJ322" i="17"/>
  <c r="AJ334" i="17"/>
  <c r="AJ346" i="17"/>
  <c r="AJ358" i="17"/>
  <c r="AJ370" i="17"/>
  <c r="AJ382" i="17"/>
  <c r="AJ37" i="17"/>
  <c r="AJ255" i="17"/>
  <c r="AJ12" i="17"/>
  <c r="AJ24" i="17"/>
  <c r="AJ36" i="17"/>
  <c r="AJ47" i="17"/>
  <c r="AJ59" i="17"/>
  <c r="AJ71" i="17"/>
  <c r="AJ83" i="17"/>
  <c r="AJ95" i="17"/>
  <c r="AJ107" i="17"/>
  <c r="AJ119" i="17"/>
  <c r="AJ131" i="17"/>
  <c r="AJ143" i="17"/>
  <c r="AJ155" i="17"/>
  <c r="AJ167" i="17"/>
  <c r="AJ179" i="17"/>
  <c r="AJ191" i="17"/>
  <c r="AJ203" i="17"/>
  <c r="AJ215" i="17"/>
  <c r="AJ227" i="17"/>
  <c r="AJ239" i="17"/>
  <c r="AJ251" i="17"/>
  <c r="AJ263" i="17"/>
  <c r="AJ275" i="17"/>
  <c r="AJ287" i="17"/>
  <c r="AJ299" i="17"/>
  <c r="AJ311" i="17"/>
  <c r="AJ323" i="17"/>
  <c r="AJ335" i="17"/>
  <c r="AJ347" i="17"/>
  <c r="AJ359" i="17"/>
  <c r="AJ371" i="17"/>
  <c r="AJ383" i="17"/>
  <c r="AJ13" i="17"/>
  <c r="AJ48" i="17"/>
  <c r="AJ60" i="17"/>
  <c r="AJ72" i="17"/>
  <c r="AJ84" i="17"/>
  <c r="AJ96" i="17"/>
  <c r="AJ108" i="17"/>
  <c r="AJ120" i="17"/>
  <c r="AJ132" i="17"/>
  <c r="AJ144" i="17"/>
  <c r="AJ156" i="17"/>
  <c r="AJ180" i="17"/>
  <c r="AJ228" i="17"/>
  <c r="AJ240" i="17"/>
  <c r="AJ264" i="17"/>
  <c r="AJ276" i="17"/>
  <c r="AJ288" i="17"/>
  <c r="AJ300" i="17"/>
  <c r="AJ312" i="17"/>
  <c r="AJ324" i="17"/>
  <c r="AJ336" i="17"/>
  <c r="AJ348" i="17"/>
  <c r="AJ372" i="17"/>
  <c r="AJ384" i="17"/>
  <c r="AJ16" i="17"/>
  <c r="AJ63" i="17"/>
  <c r="AJ87" i="17"/>
  <c r="AJ135" i="17"/>
  <c r="AJ159" i="17"/>
  <c r="AJ195" i="17"/>
  <c r="AJ219" i="17"/>
  <c r="AJ291" i="17"/>
  <c r="AJ315" i="17"/>
  <c r="AJ363" i="17"/>
  <c r="AJ360" i="17"/>
  <c r="AJ99" i="17"/>
  <c r="AJ231" i="17"/>
  <c r="AJ339" i="17"/>
  <c r="AJ387" i="17"/>
  <c r="AJ14" i="17"/>
  <c r="AJ26" i="17"/>
  <c r="AJ38" i="17"/>
  <c r="AJ49" i="17"/>
  <c r="AJ61" i="17"/>
  <c r="AJ73" i="17"/>
  <c r="AJ85" i="17"/>
  <c r="AJ97" i="17"/>
  <c r="AJ109" i="17"/>
  <c r="AJ121" i="17"/>
  <c r="AJ133" i="17"/>
  <c r="AJ145" i="17"/>
  <c r="AJ157" i="17"/>
  <c r="AJ169" i="17"/>
  <c r="AJ181" i="17"/>
  <c r="AJ193" i="17"/>
  <c r="AJ205" i="17"/>
  <c r="AJ217" i="17"/>
  <c r="AJ229" i="17"/>
  <c r="AJ241" i="17"/>
  <c r="AJ253" i="17"/>
  <c r="AJ265" i="17"/>
  <c r="AJ277" i="17"/>
  <c r="AJ289" i="17"/>
  <c r="AJ301" i="17"/>
  <c r="AJ313" i="17"/>
  <c r="AJ325" i="17"/>
  <c r="AJ337" i="17"/>
  <c r="AJ349" i="17"/>
  <c r="AJ361" i="17"/>
  <c r="AJ373" i="17"/>
  <c r="AJ385" i="17"/>
  <c r="AJ3" i="17"/>
  <c r="AJ15" i="17"/>
  <c r="AJ27" i="17"/>
  <c r="AJ39" i="17"/>
  <c r="AJ50" i="17"/>
  <c r="AJ62" i="17"/>
  <c r="AJ74" i="17"/>
  <c r="AJ86" i="17"/>
  <c r="AJ98" i="17"/>
  <c r="AJ110" i="17"/>
  <c r="AJ122" i="17"/>
  <c r="AJ134" i="17"/>
  <c r="AJ146" i="17"/>
  <c r="AJ158" i="17"/>
  <c r="AJ170" i="17"/>
  <c r="AJ182" i="17"/>
  <c r="AJ194" i="17"/>
  <c r="AJ206" i="17"/>
  <c r="AJ218" i="17"/>
  <c r="AJ230" i="17"/>
  <c r="AJ242" i="17"/>
  <c r="AJ266" i="17"/>
  <c r="AJ278" i="17"/>
  <c r="AJ290" i="17"/>
  <c r="AJ302" i="17"/>
  <c r="AJ314" i="17"/>
  <c r="AJ326" i="17"/>
  <c r="AJ338" i="17"/>
  <c r="AJ350" i="17"/>
  <c r="AJ362" i="17"/>
  <c r="AJ374" i="17"/>
  <c r="AJ386" i="17"/>
  <c r="AJ4" i="17"/>
  <c r="AJ28" i="17"/>
  <c r="AJ40" i="17"/>
  <c r="AJ51" i="17"/>
  <c r="AJ75" i="17"/>
  <c r="AJ123" i="17"/>
  <c r="AJ147" i="17"/>
  <c r="AJ171" i="17"/>
  <c r="AJ183" i="17"/>
  <c r="AJ207" i="17"/>
  <c r="AJ267" i="17"/>
  <c r="AJ303" i="17"/>
  <c r="AJ351" i="17"/>
  <c r="AJ254" i="17"/>
  <c r="AJ111" i="17"/>
  <c r="AJ243" i="17"/>
  <c r="AJ327" i="17"/>
  <c r="AJ375" i="17"/>
  <c r="AC2" i="39"/>
  <c r="AQ2" i="39"/>
  <c r="AU2" i="39"/>
  <c r="AT2" i="39"/>
  <c r="Y2" i="39" s="1"/>
  <c r="AP2" i="39"/>
  <c r="X2" i="39" s="1"/>
  <c r="AJ2" i="39"/>
  <c r="AI2" i="39"/>
  <c r="BA2" i="39"/>
  <c r="AD2" i="39"/>
  <c r="AZ2" i="39"/>
  <c r="AB2" i="39"/>
  <c r="AY2" i="39"/>
  <c r="AM2" i="39"/>
  <c r="AX2" i="39"/>
  <c r="Z2" i="39" s="1"/>
  <c r="AR2" i="39"/>
  <c r="AN2" i="39"/>
  <c r="AA2" i="39"/>
  <c r="AL2" i="39"/>
  <c r="W2" i="39" s="1"/>
  <c r="AK2" i="39"/>
  <c r="AH2" i="39"/>
  <c r="AS2" i="39"/>
  <c r="AG2" i="39"/>
  <c r="AF2" i="39"/>
  <c r="AE2" i="39"/>
  <c r="BM2" i="39"/>
  <c r="BO2" i="39"/>
  <c r="BR2" i="39"/>
  <c r="BT2" i="39"/>
  <c r="BW2" i="39"/>
  <c r="BX2" i="39"/>
  <c r="BY2" i="39"/>
  <c r="CC2" i="39"/>
  <c r="BS2" i="39"/>
  <c r="BZ2" i="39"/>
  <c r="BN2" i="39"/>
  <c r="BU2" i="39"/>
  <c r="CB2" i="39"/>
  <c r="BP2" i="39"/>
  <c r="AO2" i="39"/>
  <c r="CF134" i="39" l="1"/>
  <c r="BF120" i="39"/>
  <c r="BE132" i="39"/>
  <c r="BD138" i="39"/>
  <c r="CF138" i="39"/>
  <c r="BV127" i="39"/>
  <c r="BV133" i="39"/>
  <c r="BE126" i="39"/>
  <c r="BD219" i="39"/>
  <c r="BD192" i="39"/>
  <c r="BD198" i="39"/>
  <c r="BD184" i="39"/>
  <c r="CF207" i="39"/>
  <c r="BD185" i="39"/>
  <c r="BD214" i="39"/>
  <c r="BF184" i="39"/>
  <c r="BE184" i="39"/>
  <c r="BC192" i="39"/>
  <c r="BC198" i="39"/>
  <c r="BD223" i="39"/>
  <c r="BD211" i="39"/>
  <c r="BD172" i="39"/>
  <c r="BD190" i="39"/>
  <c r="BD220" i="39"/>
  <c r="BD205" i="39"/>
  <c r="BE209" i="39"/>
  <c r="BE197" i="39"/>
  <c r="BD218" i="39"/>
  <c r="BE224" i="39"/>
  <c r="BE212" i="39"/>
  <c r="BD199" i="39"/>
  <c r="BV224" i="39"/>
  <c r="BV212" i="39"/>
  <c r="CF117" i="39"/>
  <c r="CF116" i="39"/>
  <c r="CF115" i="39"/>
  <c r="CF114" i="39"/>
  <c r="CF113" i="39"/>
  <c r="CF112" i="39"/>
  <c r="CF111" i="39"/>
  <c r="CF110" i="39"/>
  <c r="CF109" i="39"/>
  <c r="CF108" i="39"/>
  <c r="CA117" i="39"/>
  <c r="CA116" i="39"/>
  <c r="CA115" i="39"/>
  <c r="CA114" i="39"/>
  <c r="CA113" i="39"/>
  <c r="CA112" i="39"/>
  <c r="CA111" i="39"/>
  <c r="CA110" i="39"/>
  <c r="CA109" i="39"/>
  <c r="CA108" i="39"/>
  <c r="BV117" i="39"/>
  <c r="BV116" i="39"/>
  <c r="BV115" i="39"/>
  <c r="BV114" i="39"/>
  <c r="BV113" i="39"/>
  <c r="BV112" i="39"/>
  <c r="BV111" i="39"/>
  <c r="BV110" i="39"/>
  <c r="BV109" i="39"/>
  <c r="BV108" i="39"/>
  <c r="BQ117" i="39"/>
  <c r="BQ116" i="39"/>
  <c r="BQ115" i="39"/>
  <c r="BQ114" i="39"/>
  <c r="BQ113" i="39"/>
  <c r="BQ112" i="39"/>
  <c r="BQ111" i="39"/>
  <c r="BQ110" i="39"/>
  <c r="BQ109" i="39"/>
  <c r="BQ108" i="39"/>
  <c r="Z117" i="39"/>
  <c r="BF117" i="39"/>
  <c r="Z116" i="39"/>
  <c r="BF116" i="39"/>
  <c r="BF115" i="39"/>
  <c r="BF114" i="39"/>
  <c r="BF113" i="39"/>
  <c r="Z112" i="39"/>
  <c r="BF112" i="39"/>
  <c r="BF111" i="39"/>
  <c r="BF110" i="39"/>
  <c r="Z109" i="39"/>
  <c r="BF109" i="39"/>
  <c r="BF108" i="39"/>
  <c r="Y117" i="39"/>
  <c r="BD117" i="39"/>
  <c r="Y116" i="39"/>
  <c r="BD116" i="39"/>
  <c r="Y115" i="39"/>
  <c r="BD115" i="39"/>
  <c r="Y114" i="39"/>
  <c r="BD114" i="39"/>
  <c r="Y113" i="39"/>
  <c r="BD113" i="39"/>
  <c r="BD112" i="39"/>
  <c r="BD111" i="39"/>
  <c r="BD110" i="39"/>
  <c r="Y109" i="39"/>
  <c r="BD109" i="39"/>
  <c r="BD108" i="39"/>
  <c r="X117" i="39"/>
  <c r="BE117" i="39"/>
  <c r="X116" i="39"/>
  <c r="BE116" i="39"/>
  <c r="BE115" i="39"/>
  <c r="BE114" i="39"/>
  <c r="X114" i="39"/>
  <c r="X113" i="39"/>
  <c r="BE113" i="39"/>
  <c r="BE112" i="39"/>
  <c r="BE111" i="39"/>
  <c r="X110" i="39"/>
  <c r="BE110" i="39"/>
  <c r="X109" i="39"/>
  <c r="BE109" i="39"/>
  <c r="BE108" i="39"/>
  <c r="W117" i="39"/>
  <c r="BC117" i="39"/>
  <c r="W116" i="39"/>
  <c r="BC116" i="39"/>
  <c r="W115" i="39"/>
  <c r="BC115" i="39"/>
  <c r="W114" i="39"/>
  <c r="BC114" i="39"/>
  <c r="W113" i="39"/>
  <c r="BC113" i="39"/>
  <c r="W112" i="39"/>
  <c r="BC112" i="39"/>
  <c r="W111" i="39"/>
  <c r="BC111" i="39"/>
  <c r="W110" i="39"/>
  <c r="BC110" i="39"/>
  <c r="W109" i="39"/>
  <c r="BC109" i="39"/>
  <c r="W108" i="39"/>
  <c r="BC108" i="39"/>
  <c r="CF141" i="39"/>
  <c r="CF140" i="39"/>
  <c r="CF139" i="39"/>
  <c r="CF137" i="39"/>
  <c r="CF136" i="39"/>
  <c r="CF133" i="39"/>
  <c r="CF132" i="39"/>
  <c r="CF131" i="39"/>
  <c r="CF130" i="39"/>
  <c r="CF129" i="39"/>
  <c r="CF128" i="39"/>
  <c r="CF127" i="39"/>
  <c r="CF126" i="39"/>
  <c r="CF125" i="39"/>
  <c r="CF124" i="39"/>
  <c r="CF123" i="39"/>
  <c r="CF122" i="39"/>
  <c r="CF121" i="39"/>
  <c r="CF120" i="39"/>
  <c r="CF119" i="39"/>
  <c r="CF118" i="39"/>
  <c r="CA141" i="39"/>
  <c r="CA140" i="39"/>
  <c r="CA139" i="39"/>
  <c r="CA138" i="39"/>
  <c r="CA137" i="39"/>
  <c r="CA136" i="39"/>
  <c r="CA135" i="39"/>
  <c r="CA134" i="39"/>
  <c r="CA133" i="39"/>
  <c r="CA132" i="39"/>
  <c r="CA130" i="39"/>
  <c r="CA129" i="39"/>
  <c r="CA128" i="39"/>
  <c r="CA127" i="39"/>
  <c r="CA126" i="39"/>
  <c r="CA125" i="39"/>
  <c r="CA124" i="39"/>
  <c r="CA123" i="39"/>
  <c r="CA122" i="39"/>
  <c r="CA121" i="39"/>
  <c r="CA120" i="39"/>
  <c r="CA119" i="39"/>
  <c r="CA118" i="39"/>
  <c r="BV141" i="39"/>
  <c r="BV140" i="39"/>
  <c r="BV139" i="39"/>
  <c r="BV138" i="39"/>
  <c r="BV137" i="39"/>
  <c r="BV136" i="39"/>
  <c r="BV135" i="39"/>
  <c r="BV134" i="39"/>
  <c r="BV132" i="39"/>
  <c r="BV130" i="39"/>
  <c r="BV129" i="39"/>
  <c r="BV126" i="39"/>
  <c r="BV125" i="39"/>
  <c r="BV124" i="39"/>
  <c r="BV123" i="39"/>
  <c r="BV122" i="39"/>
  <c r="BV121" i="39"/>
  <c r="BV120" i="39"/>
  <c r="BV118" i="39"/>
  <c r="BQ141" i="39"/>
  <c r="BQ140" i="39"/>
  <c r="BQ139" i="39"/>
  <c r="BQ138" i="39"/>
  <c r="BQ137" i="39"/>
  <c r="BQ136" i="39"/>
  <c r="BQ135" i="39"/>
  <c r="BQ134" i="39"/>
  <c r="BQ133" i="39"/>
  <c r="BQ132" i="39"/>
  <c r="BQ131" i="39"/>
  <c r="BQ130" i="39"/>
  <c r="BQ129" i="39"/>
  <c r="BQ127" i="39"/>
  <c r="BQ126" i="39"/>
  <c r="BQ125" i="39"/>
  <c r="BQ124" i="39"/>
  <c r="BQ123" i="39"/>
  <c r="BQ122" i="39"/>
  <c r="BQ121" i="39"/>
  <c r="BQ120" i="39"/>
  <c r="BQ119" i="39"/>
  <c r="BQ118" i="39"/>
  <c r="Z141" i="39"/>
  <c r="BF141" i="39"/>
  <c r="Z140" i="39"/>
  <c r="BF140" i="39"/>
  <c r="Z139" i="39"/>
  <c r="BF139" i="39"/>
  <c r="Z138" i="39"/>
  <c r="BF138" i="39"/>
  <c r="Z136" i="39"/>
  <c r="BF136" i="39"/>
  <c r="Z135" i="39"/>
  <c r="BF135" i="39"/>
  <c r="Z134" i="39"/>
  <c r="BF134" i="39"/>
  <c r="Z133" i="39"/>
  <c r="BF133" i="39"/>
  <c r="Z132" i="39"/>
  <c r="BF132" i="39"/>
  <c r="Z131" i="39"/>
  <c r="BF131" i="39"/>
  <c r="Z130" i="39"/>
  <c r="BF130" i="39"/>
  <c r="Z129" i="39"/>
  <c r="BF129" i="39"/>
  <c r="Z128" i="39"/>
  <c r="BF128" i="39"/>
  <c r="Z127" i="39"/>
  <c r="BF127" i="39"/>
  <c r="Z126" i="39"/>
  <c r="BF126" i="39"/>
  <c r="Z125" i="39"/>
  <c r="BF125" i="39"/>
  <c r="Z123" i="39"/>
  <c r="BF123" i="39"/>
  <c r="Z121" i="39"/>
  <c r="BF121" i="39"/>
  <c r="Z119" i="39"/>
  <c r="BF119" i="39"/>
  <c r="Z118" i="39"/>
  <c r="BF118" i="39"/>
  <c r="Y140" i="39"/>
  <c r="BD140" i="39"/>
  <c r="Y137" i="39"/>
  <c r="BD137" i="39"/>
  <c r="Y136" i="39"/>
  <c r="BD136" i="39"/>
  <c r="Y132" i="39"/>
  <c r="BD132" i="39"/>
  <c r="Y131" i="39"/>
  <c r="BD131" i="39"/>
  <c r="Y130" i="39"/>
  <c r="BD130" i="39"/>
  <c r="Y129" i="39"/>
  <c r="BD129" i="39"/>
  <c r="Y128" i="39"/>
  <c r="BD128" i="39"/>
  <c r="Y125" i="39"/>
  <c r="BD125" i="39"/>
  <c r="Y124" i="39"/>
  <c r="BD124" i="39"/>
  <c r="Y123" i="39"/>
  <c r="BD123" i="39"/>
  <c r="Y122" i="39"/>
  <c r="BD122" i="39"/>
  <c r="X141" i="39"/>
  <c r="BE141" i="39"/>
  <c r="X140" i="39"/>
  <c r="BE140" i="39"/>
  <c r="X139" i="39"/>
  <c r="BE139" i="39"/>
  <c r="X137" i="39"/>
  <c r="BE137" i="39"/>
  <c r="X136" i="39"/>
  <c r="BE136" i="39"/>
  <c r="X135" i="39"/>
  <c r="BE135" i="39"/>
  <c r="X134" i="39"/>
  <c r="BE134" i="39"/>
  <c r="X133" i="39"/>
  <c r="BE133" i="39"/>
  <c r="X131" i="39"/>
  <c r="BE131" i="39"/>
  <c r="X130" i="39"/>
  <c r="BE130" i="39"/>
  <c r="X129" i="39"/>
  <c r="BE129" i="39"/>
  <c r="X128" i="39"/>
  <c r="BE128" i="39"/>
  <c r="X127" i="39"/>
  <c r="BE127" i="39"/>
  <c r="X125" i="39"/>
  <c r="BE125" i="39"/>
  <c r="X124" i="39"/>
  <c r="BE124" i="39"/>
  <c r="X123" i="39"/>
  <c r="BE123" i="39"/>
  <c r="X122" i="39"/>
  <c r="BE122" i="39"/>
  <c r="X121" i="39"/>
  <c r="BE121" i="39"/>
  <c r="X120" i="39"/>
  <c r="BE120" i="39"/>
  <c r="X119" i="39"/>
  <c r="BE119" i="39"/>
  <c r="X118" i="39"/>
  <c r="BE118" i="39"/>
  <c r="W141" i="39"/>
  <c r="BC141" i="39"/>
  <c r="W140" i="39"/>
  <c r="BC140" i="39"/>
  <c r="W139" i="39"/>
  <c r="BC139" i="39"/>
  <c r="W138" i="39"/>
  <c r="BC138" i="39"/>
  <c r="W137" i="39"/>
  <c r="BC137" i="39"/>
  <c r="W136" i="39"/>
  <c r="BC136" i="39"/>
  <c r="W135" i="39"/>
  <c r="BC135" i="39"/>
  <c r="W134" i="39"/>
  <c r="BC134" i="39"/>
  <c r="W133" i="39"/>
  <c r="BC133" i="39"/>
  <c r="W132" i="39"/>
  <c r="BC132" i="39"/>
  <c r="W131" i="39"/>
  <c r="BC131" i="39"/>
  <c r="W130" i="39"/>
  <c r="BC130" i="39"/>
  <c r="W129" i="39"/>
  <c r="BC129" i="39"/>
  <c r="W128" i="39"/>
  <c r="BC128" i="39"/>
  <c r="W127" i="39"/>
  <c r="BC127" i="39"/>
  <c r="W126" i="39"/>
  <c r="U126" i="39" s="1"/>
  <c r="V126" i="39" s="1"/>
  <c r="BC126" i="39"/>
  <c r="W125" i="39"/>
  <c r="BC125" i="39"/>
  <c r="W124" i="39"/>
  <c r="BC124" i="39"/>
  <c r="W123" i="39"/>
  <c r="BC123" i="39"/>
  <c r="W122" i="39"/>
  <c r="BC122" i="39"/>
  <c r="W121" i="39"/>
  <c r="BC121" i="39"/>
  <c r="W120" i="39"/>
  <c r="U120" i="39" s="1"/>
  <c r="V120" i="39" s="1"/>
  <c r="BC120" i="39"/>
  <c r="W119" i="39"/>
  <c r="BC119" i="39"/>
  <c r="W118" i="39"/>
  <c r="BC118" i="39"/>
  <c r="CF155" i="39"/>
  <c r="CF154" i="39"/>
  <c r="CF153" i="39"/>
  <c r="CF152" i="39"/>
  <c r="CF151" i="39"/>
  <c r="CF150" i="39"/>
  <c r="CF149" i="39"/>
  <c r="CF148" i="39"/>
  <c r="CF147" i="39"/>
  <c r="CF146" i="39"/>
  <c r="CF145" i="39"/>
  <c r="CF144" i="39"/>
  <c r="CF143" i="39"/>
  <c r="CF142" i="39"/>
  <c r="CA155" i="39"/>
  <c r="CA154" i="39"/>
  <c r="CA153" i="39"/>
  <c r="CA152" i="39"/>
  <c r="CA151" i="39"/>
  <c r="CA150" i="39"/>
  <c r="CA149" i="39"/>
  <c r="CA148" i="39"/>
  <c r="CA147" i="39"/>
  <c r="CA146" i="39"/>
  <c r="CA145" i="39"/>
  <c r="CA144" i="39"/>
  <c r="CA143" i="39"/>
  <c r="CA142" i="39"/>
  <c r="BV155" i="39"/>
  <c r="BV154" i="39"/>
  <c r="BV153" i="39"/>
  <c r="BV152" i="39"/>
  <c r="BV151" i="39"/>
  <c r="BV150" i="39"/>
  <c r="BV149" i="39"/>
  <c r="BV148" i="39"/>
  <c r="BV147" i="39"/>
  <c r="BV146" i="39"/>
  <c r="BV145" i="39"/>
  <c r="BV144" i="39"/>
  <c r="BV143" i="39"/>
  <c r="BV142" i="39"/>
  <c r="BQ155" i="39"/>
  <c r="BQ154" i="39"/>
  <c r="BQ153" i="39"/>
  <c r="BQ152" i="39"/>
  <c r="BQ151" i="39"/>
  <c r="BQ150" i="39"/>
  <c r="BQ149" i="39"/>
  <c r="BQ148" i="39"/>
  <c r="BQ147" i="39"/>
  <c r="BQ146" i="39"/>
  <c r="BQ145" i="39"/>
  <c r="BQ144" i="39"/>
  <c r="BQ143" i="39"/>
  <c r="BQ142" i="39"/>
  <c r="Z155" i="39"/>
  <c r="BF155" i="39"/>
  <c r="Z154" i="39"/>
  <c r="BF154" i="39"/>
  <c r="Z153" i="39"/>
  <c r="BF153" i="39"/>
  <c r="Z152" i="39"/>
  <c r="BF152" i="39"/>
  <c r="Z151" i="39"/>
  <c r="BF151" i="39"/>
  <c r="Z150" i="39"/>
  <c r="BF150" i="39"/>
  <c r="Z149" i="39"/>
  <c r="BF149" i="39"/>
  <c r="Z148" i="39"/>
  <c r="BF148" i="39"/>
  <c r="Z147" i="39"/>
  <c r="BF147" i="39"/>
  <c r="Z146" i="39"/>
  <c r="BF146" i="39"/>
  <c r="Z145" i="39"/>
  <c r="BF145" i="39"/>
  <c r="Z144" i="39"/>
  <c r="BF144" i="39"/>
  <c r="Z143" i="39"/>
  <c r="BF143" i="39"/>
  <c r="Z142" i="39"/>
  <c r="BF142" i="39"/>
  <c r="Y155" i="39"/>
  <c r="BD155" i="39"/>
  <c r="Y154" i="39"/>
  <c r="BD154" i="39"/>
  <c r="Y153" i="39"/>
  <c r="BD153" i="39"/>
  <c r="BD152" i="39"/>
  <c r="Y152" i="39"/>
  <c r="BD151" i="39"/>
  <c r="Y151" i="39"/>
  <c r="Y150" i="39"/>
  <c r="BD150" i="39"/>
  <c r="BD149" i="39"/>
  <c r="Y149" i="39"/>
  <c r="Y148" i="39"/>
  <c r="BD148" i="39"/>
  <c r="Y147" i="39"/>
  <c r="BD147" i="39"/>
  <c r="Y146" i="39"/>
  <c r="BD146" i="39"/>
  <c r="Y145" i="39"/>
  <c r="BD145" i="39"/>
  <c r="Y144" i="39"/>
  <c r="BD144" i="39"/>
  <c r="Y143" i="39"/>
  <c r="BD143" i="39"/>
  <c r="Y142" i="39"/>
  <c r="BD142" i="39"/>
  <c r="X155" i="39"/>
  <c r="BE155" i="39"/>
  <c r="X154" i="39"/>
  <c r="BE154" i="39"/>
  <c r="X153" i="39"/>
  <c r="BE153" i="39"/>
  <c r="X152" i="39"/>
  <c r="BE152" i="39"/>
  <c r="X151" i="39"/>
  <c r="BE151" i="39"/>
  <c r="X150" i="39"/>
  <c r="BE150" i="39"/>
  <c r="X149" i="39"/>
  <c r="BE149" i="39"/>
  <c r="X148" i="39"/>
  <c r="BE148" i="39"/>
  <c r="X147" i="39"/>
  <c r="BE147" i="39"/>
  <c r="X146" i="39"/>
  <c r="BE146" i="39"/>
  <c r="X145" i="39"/>
  <c r="BE145" i="39"/>
  <c r="X144" i="39"/>
  <c r="BE144" i="39"/>
  <c r="X143" i="39"/>
  <c r="BE143" i="39"/>
  <c r="X142" i="39"/>
  <c r="BE142" i="39"/>
  <c r="W155" i="39"/>
  <c r="BC155" i="39"/>
  <c r="W154" i="39"/>
  <c r="BC154" i="39"/>
  <c r="W153" i="39"/>
  <c r="BC153" i="39"/>
  <c r="W152" i="39"/>
  <c r="BC152" i="39"/>
  <c r="W151" i="39"/>
  <c r="BC151" i="39"/>
  <c r="W150" i="39"/>
  <c r="BC150" i="39"/>
  <c r="W149" i="39"/>
  <c r="BC149" i="39"/>
  <c r="W148" i="39"/>
  <c r="BC148" i="39"/>
  <c r="W147" i="39"/>
  <c r="BC147" i="39"/>
  <c r="W146" i="39"/>
  <c r="BC146" i="39"/>
  <c r="W145" i="39"/>
  <c r="BC145" i="39"/>
  <c r="W144" i="39"/>
  <c r="BC144" i="39"/>
  <c r="W143" i="39"/>
  <c r="BC143" i="39"/>
  <c r="W142" i="39"/>
  <c r="BC142" i="39"/>
  <c r="CF158" i="39"/>
  <c r="CF157" i="39"/>
  <c r="CF156" i="39"/>
  <c r="CA158" i="39"/>
  <c r="CA157" i="39"/>
  <c r="CA156" i="39"/>
  <c r="BV158" i="39"/>
  <c r="BV157" i="39"/>
  <c r="BV156" i="39"/>
  <c r="BQ158" i="39"/>
  <c r="BQ157" i="39"/>
  <c r="BQ156" i="39"/>
  <c r="Z158" i="39"/>
  <c r="BF158" i="39"/>
  <c r="Z157" i="39"/>
  <c r="BF157" i="39"/>
  <c r="Z156" i="39"/>
  <c r="BF156" i="39"/>
  <c r="Y158" i="39"/>
  <c r="BD158" i="39"/>
  <c r="Y157" i="39"/>
  <c r="BD157" i="39"/>
  <c r="Y156" i="39"/>
  <c r="BD156" i="39"/>
  <c r="X158" i="39"/>
  <c r="BE158" i="39"/>
  <c r="X157" i="39"/>
  <c r="BE157" i="39"/>
  <c r="X156" i="39"/>
  <c r="BE156" i="39"/>
  <c r="W158" i="39"/>
  <c r="BC158" i="39"/>
  <c r="W157" i="39"/>
  <c r="BC157" i="39"/>
  <c r="W156" i="39"/>
  <c r="BC156" i="39"/>
  <c r="CF167" i="39"/>
  <c r="CF166" i="39"/>
  <c r="CF165" i="39"/>
  <c r="CF164" i="39"/>
  <c r="CF163" i="39"/>
  <c r="CF162" i="39"/>
  <c r="CF161" i="39"/>
  <c r="CF160" i="39"/>
  <c r="CF159" i="39"/>
  <c r="CA167" i="39"/>
  <c r="CA166" i="39"/>
  <c r="CA165" i="39"/>
  <c r="CA164" i="39"/>
  <c r="CA163" i="39"/>
  <c r="CA162" i="39"/>
  <c r="CA161" i="39"/>
  <c r="CA160" i="39"/>
  <c r="CA159" i="39"/>
  <c r="BV167" i="39"/>
  <c r="BV166" i="39"/>
  <c r="BV165" i="39"/>
  <c r="BV164" i="39"/>
  <c r="BV163" i="39"/>
  <c r="BV162" i="39"/>
  <c r="BV161" i="39"/>
  <c r="BV160" i="39"/>
  <c r="BV159" i="39"/>
  <c r="BQ167" i="39"/>
  <c r="BQ166" i="39"/>
  <c r="BQ165" i="39"/>
  <c r="BQ164" i="39"/>
  <c r="BQ163" i="39"/>
  <c r="BQ162" i="39"/>
  <c r="BQ161" i="39"/>
  <c r="BQ160" i="39"/>
  <c r="BQ159" i="39"/>
  <c r="Z167" i="39"/>
  <c r="BF167" i="39"/>
  <c r="Z166" i="39"/>
  <c r="BF166" i="39"/>
  <c r="Z165" i="39"/>
  <c r="BF165" i="39"/>
  <c r="Z164" i="39"/>
  <c r="BF164" i="39"/>
  <c r="Z163" i="39"/>
  <c r="BF163" i="39"/>
  <c r="Z162" i="39"/>
  <c r="BF162" i="39"/>
  <c r="Z161" i="39"/>
  <c r="BF161" i="39"/>
  <c r="Z160" i="39"/>
  <c r="BF160" i="39"/>
  <c r="Z159" i="39"/>
  <c r="BF159" i="39"/>
  <c r="Y167" i="39"/>
  <c r="BD167" i="39"/>
  <c r="Y166" i="39"/>
  <c r="BD166" i="39"/>
  <c r="Y165" i="39"/>
  <c r="BD165" i="39"/>
  <c r="Y164" i="39"/>
  <c r="BD164" i="39"/>
  <c r="Y163" i="39"/>
  <c r="BD163" i="39"/>
  <c r="Y162" i="39"/>
  <c r="BD162" i="39"/>
  <c r="Y161" i="39"/>
  <c r="BD161" i="39"/>
  <c r="Y160" i="39"/>
  <c r="BD160" i="39"/>
  <c r="Y159" i="39"/>
  <c r="BD159" i="39"/>
  <c r="X167" i="39"/>
  <c r="BE167" i="39"/>
  <c r="X166" i="39"/>
  <c r="BE166" i="39"/>
  <c r="X165" i="39"/>
  <c r="BE165" i="39"/>
  <c r="X164" i="39"/>
  <c r="BE164" i="39"/>
  <c r="X163" i="39"/>
  <c r="BE163" i="39"/>
  <c r="X162" i="39"/>
  <c r="BE162" i="39"/>
  <c r="X161" i="39"/>
  <c r="BE161" i="39"/>
  <c r="X160" i="39"/>
  <c r="BE160" i="39"/>
  <c r="X159" i="39"/>
  <c r="BE159" i="39"/>
  <c r="W167" i="39"/>
  <c r="BC167" i="39"/>
  <c r="W166" i="39"/>
  <c r="BC166" i="39"/>
  <c r="W165" i="39"/>
  <c r="BC165" i="39"/>
  <c r="W164" i="39"/>
  <c r="BC164" i="39"/>
  <c r="W163" i="39"/>
  <c r="BC163" i="39"/>
  <c r="W162" i="39"/>
  <c r="BC162" i="39"/>
  <c r="W161" i="39"/>
  <c r="BC161" i="39"/>
  <c r="W160" i="39"/>
  <c r="BC160" i="39"/>
  <c r="W159" i="39"/>
  <c r="BC159" i="39"/>
  <c r="CF181" i="39"/>
  <c r="CF180" i="39"/>
  <c r="CF179" i="39"/>
  <c r="CF178" i="39"/>
  <c r="CF177" i="39"/>
  <c r="CF176" i="39"/>
  <c r="CF175" i="39"/>
  <c r="CF174" i="39"/>
  <c r="CF173" i="39"/>
  <c r="CF172" i="39"/>
  <c r="CF171" i="39"/>
  <c r="CF170" i="39"/>
  <c r="CF169" i="39"/>
  <c r="CF168" i="39"/>
  <c r="CA181" i="39"/>
  <c r="CA180" i="39"/>
  <c r="CA179" i="39"/>
  <c r="CA178" i="39"/>
  <c r="CA177" i="39"/>
  <c r="CA176" i="39"/>
  <c r="CA175" i="39"/>
  <c r="CA174" i="39"/>
  <c r="CA173" i="39"/>
  <c r="CA172" i="39"/>
  <c r="CA171" i="39"/>
  <c r="CA170" i="39"/>
  <c r="CA169" i="39"/>
  <c r="CA168" i="39"/>
  <c r="BV181" i="39"/>
  <c r="BV180" i="39"/>
  <c r="BV179" i="39"/>
  <c r="BV178" i="39"/>
  <c r="BV177" i="39"/>
  <c r="BV176" i="39"/>
  <c r="BV175" i="39"/>
  <c r="BV174" i="39"/>
  <c r="BV173" i="39"/>
  <c r="BV172" i="39"/>
  <c r="BV171" i="39"/>
  <c r="BV170" i="39"/>
  <c r="BV169" i="39"/>
  <c r="BV168" i="39"/>
  <c r="BQ181" i="39"/>
  <c r="BQ180" i="39"/>
  <c r="BQ179" i="39"/>
  <c r="BQ178" i="39"/>
  <c r="BQ177" i="39"/>
  <c r="BQ176" i="39"/>
  <c r="BQ175" i="39"/>
  <c r="BQ174" i="39"/>
  <c r="BQ173" i="39"/>
  <c r="BQ172" i="39"/>
  <c r="BQ171" i="39"/>
  <c r="BQ170" i="39"/>
  <c r="BQ169" i="39"/>
  <c r="BQ168" i="39"/>
  <c r="Z181" i="39"/>
  <c r="BF181" i="39"/>
  <c r="Z180" i="39"/>
  <c r="BF180" i="39"/>
  <c r="Z179" i="39"/>
  <c r="BF179" i="39"/>
  <c r="Z178" i="39"/>
  <c r="BF178" i="39"/>
  <c r="Z177" i="39"/>
  <c r="BF177" i="39"/>
  <c r="Z176" i="39"/>
  <c r="BF176" i="39"/>
  <c r="Z175" i="39"/>
  <c r="BF175" i="39"/>
  <c r="Z174" i="39"/>
  <c r="BF174" i="39"/>
  <c r="Z173" i="39"/>
  <c r="BF173" i="39"/>
  <c r="Z172" i="39"/>
  <c r="BF172" i="39"/>
  <c r="Z171" i="39"/>
  <c r="BF171" i="39"/>
  <c r="Z170" i="39"/>
  <c r="BF170" i="39"/>
  <c r="Z169" i="39"/>
  <c r="BF169" i="39"/>
  <c r="Z168" i="39"/>
  <c r="BF168" i="39"/>
  <c r="Y181" i="39"/>
  <c r="BD181" i="39"/>
  <c r="Y180" i="39"/>
  <c r="BD180" i="39"/>
  <c r="Y179" i="39"/>
  <c r="BD179" i="39"/>
  <c r="BD178" i="39"/>
  <c r="Y178" i="39"/>
  <c r="BD177" i="39"/>
  <c r="Y177" i="39"/>
  <c r="Y176" i="39"/>
  <c r="BD176" i="39"/>
  <c r="BD175" i="39"/>
  <c r="Y175" i="39"/>
  <c r="Y174" i="39"/>
  <c r="BD174" i="39"/>
  <c r="Y173" i="39"/>
  <c r="BD173" i="39"/>
  <c r="Y171" i="39"/>
  <c r="BD171" i="39"/>
  <c r="Y170" i="39"/>
  <c r="BD170" i="39"/>
  <c r="Y169" i="39"/>
  <c r="BD169" i="39"/>
  <c r="Y168" i="39"/>
  <c r="BD168" i="39"/>
  <c r="X181" i="39"/>
  <c r="BE181" i="39"/>
  <c r="X180" i="39"/>
  <c r="BE180" i="39"/>
  <c r="X179" i="39"/>
  <c r="BE179" i="39"/>
  <c r="X178" i="39"/>
  <c r="BE178" i="39"/>
  <c r="X177" i="39"/>
  <c r="BE177" i="39"/>
  <c r="X176" i="39"/>
  <c r="BE176" i="39"/>
  <c r="X175" i="39"/>
  <c r="BE175" i="39"/>
  <c r="X174" i="39"/>
  <c r="BE174" i="39"/>
  <c r="X173" i="39"/>
  <c r="BE173" i="39"/>
  <c r="X172" i="39"/>
  <c r="BE172" i="39"/>
  <c r="X171" i="39"/>
  <c r="BE171" i="39"/>
  <c r="X170" i="39"/>
  <c r="BE170" i="39"/>
  <c r="X169" i="39"/>
  <c r="BE169" i="39"/>
  <c r="X168" i="39"/>
  <c r="BE168" i="39"/>
  <c r="W181" i="39"/>
  <c r="BC181" i="39"/>
  <c r="W180" i="39"/>
  <c r="BC180" i="39"/>
  <c r="W179" i="39"/>
  <c r="BC179" i="39"/>
  <c r="W178" i="39"/>
  <c r="BC178" i="39"/>
  <c r="W177" i="39"/>
  <c r="BC177" i="39"/>
  <c r="W176" i="39"/>
  <c r="BC176" i="39"/>
  <c r="W175" i="39"/>
  <c r="BC175" i="39"/>
  <c r="W174" i="39"/>
  <c r="BC174" i="39"/>
  <c r="W173" i="39"/>
  <c r="BC173" i="39"/>
  <c r="W172" i="39"/>
  <c r="BC172" i="39"/>
  <c r="W171" i="39"/>
  <c r="BC171" i="39"/>
  <c r="W170" i="39"/>
  <c r="BC170" i="39"/>
  <c r="W169" i="39"/>
  <c r="BC169" i="39"/>
  <c r="W168" i="39"/>
  <c r="BC168" i="39"/>
  <c r="CF195" i="39"/>
  <c r="CF194" i="39"/>
  <c r="CF193" i="39"/>
  <c r="CF192" i="39"/>
  <c r="CF191" i="39"/>
  <c r="CF190" i="39"/>
  <c r="CF189" i="39"/>
  <c r="CF188" i="39"/>
  <c r="CF187" i="39"/>
  <c r="CF186" i="39"/>
  <c r="CF185" i="39"/>
  <c r="CF184" i="39"/>
  <c r="CF183" i="39"/>
  <c r="CF182" i="39"/>
  <c r="CA195" i="39"/>
  <c r="CA194" i="39"/>
  <c r="CA193" i="39"/>
  <c r="CA192" i="39"/>
  <c r="CA191" i="39"/>
  <c r="CA190" i="39"/>
  <c r="CA189" i="39"/>
  <c r="CA188" i="39"/>
  <c r="CA187" i="39"/>
  <c r="CA186" i="39"/>
  <c r="CA185" i="39"/>
  <c r="CA184" i="39"/>
  <c r="CA183" i="39"/>
  <c r="CA182" i="39"/>
  <c r="BV195" i="39"/>
  <c r="BV194" i="39"/>
  <c r="BV193" i="39"/>
  <c r="BV192" i="39"/>
  <c r="BV191" i="39"/>
  <c r="BV190" i="39"/>
  <c r="BV189" i="39"/>
  <c r="BV188" i="39"/>
  <c r="BV187" i="39"/>
  <c r="BV186" i="39"/>
  <c r="BV185" i="39"/>
  <c r="BV184" i="39"/>
  <c r="BV183" i="39"/>
  <c r="BV182" i="39"/>
  <c r="BQ195" i="39"/>
  <c r="BQ194" i="39"/>
  <c r="BQ193" i="39"/>
  <c r="BQ192" i="39"/>
  <c r="BQ191" i="39"/>
  <c r="BQ190" i="39"/>
  <c r="BQ189" i="39"/>
  <c r="BQ188" i="39"/>
  <c r="BQ187" i="39"/>
  <c r="BQ186" i="39"/>
  <c r="BQ185" i="39"/>
  <c r="BQ184" i="39"/>
  <c r="BQ183" i="39"/>
  <c r="BQ182" i="39"/>
  <c r="Z195" i="39"/>
  <c r="BF195" i="39"/>
  <c r="Z194" i="39"/>
  <c r="BF194" i="39"/>
  <c r="Z193" i="39"/>
  <c r="BF193" i="39"/>
  <c r="Z192" i="39"/>
  <c r="BF192" i="39"/>
  <c r="Z191" i="39"/>
  <c r="BF191" i="39"/>
  <c r="Z190" i="39"/>
  <c r="BF190" i="39"/>
  <c r="Z189" i="39"/>
  <c r="BF189" i="39"/>
  <c r="Z188" i="39"/>
  <c r="BF188" i="39"/>
  <c r="Z187" i="39"/>
  <c r="BF187" i="39"/>
  <c r="Z186" i="39"/>
  <c r="BF186" i="39"/>
  <c r="Z185" i="39"/>
  <c r="BF185" i="39"/>
  <c r="Z183" i="39"/>
  <c r="BF183" i="39"/>
  <c r="Z182" i="39"/>
  <c r="BF182" i="39"/>
  <c r="BD195" i="39"/>
  <c r="Y195" i="39"/>
  <c r="BD194" i="39"/>
  <c r="Y194" i="39"/>
  <c r="Y193" i="39"/>
  <c r="BD193" i="39"/>
  <c r="Y191" i="39"/>
  <c r="BD191" i="39"/>
  <c r="Y189" i="39"/>
  <c r="BD189" i="39"/>
  <c r="Y188" i="39"/>
  <c r="BD188" i="39"/>
  <c r="Y187" i="39"/>
  <c r="BD187" i="39"/>
  <c r="Y186" i="39"/>
  <c r="BD186" i="39"/>
  <c r="BD183" i="39"/>
  <c r="Y183" i="39"/>
  <c r="Y182" i="39"/>
  <c r="BD182" i="39"/>
  <c r="X195" i="39"/>
  <c r="BE195" i="39"/>
  <c r="X194" i="39"/>
  <c r="BE194" i="39"/>
  <c r="X193" i="39"/>
  <c r="BE193" i="39"/>
  <c r="X192" i="39"/>
  <c r="BE192" i="39"/>
  <c r="X191" i="39"/>
  <c r="BE191" i="39"/>
  <c r="X190" i="39"/>
  <c r="BE190" i="39"/>
  <c r="X189" i="39"/>
  <c r="BE189" i="39"/>
  <c r="X188" i="39"/>
  <c r="BE188" i="39"/>
  <c r="X187" i="39"/>
  <c r="BE187" i="39"/>
  <c r="X186" i="39"/>
  <c r="BE186" i="39"/>
  <c r="X185" i="39"/>
  <c r="BE185" i="39"/>
  <c r="X183" i="39"/>
  <c r="BE183" i="39"/>
  <c r="X182" i="39"/>
  <c r="BE182" i="39"/>
  <c r="W195" i="39"/>
  <c r="BC195" i="39"/>
  <c r="W194" i="39"/>
  <c r="BC194" i="39"/>
  <c r="W193" i="39"/>
  <c r="BC193" i="39"/>
  <c r="W191" i="39"/>
  <c r="BC191" i="39"/>
  <c r="W190" i="39"/>
  <c r="BC190" i="39"/>
  <c r="W189" i="39"/>
  <c r="BC189" i="39"/>
  <c r="W188" i="39"/>
  <c r="BC188" i="39"/>
  <c r="W187" i="39"/>
  <c r="BC187" i="39"/>
  <c r="W186" i="39"/>
  <c r="BC186" i="39"/>
  <c r="W185" i="39"/>
  <c r="BC185" i="39"/>
  <c r="W184" i="39"/>
  <c r="U184" i="39" s="1"/>
  <c r="V184" i="39" s="1"/>
  <c r="BC184" i="39"/>
  <c r="W183" i="39"/>
  <c r="BC183" i="39"/>
  <c r="W182" i="39"/>
  <c r="BC182" i="39"/>
  <c r="CF209" i="39"/>
  <c r="CF208" i="39"/>
  <c r="CF206" i="39"/>
  <c r="CF205" i="39"/>
  <c r="CF204" i="39"/>
  <c r="CF203" i="39"/>
  <c r="CF202" i="39"/>
  <c r="CF201" i="39"/>
  <c r="CF200" i="39"/>
  <c r="CF199" i="39"/>
  <c r="CF198" i="39"/>
  <c r="CF197" i="39"/>
  <c r="CF196" i="39"/>
  <c r="CA209" i="39"/>
  <c r="CA208" i="39"/>
  <c r="CA207" i="39"/>
  <c r="CA206" i="39"/>
  <c r="CA205" i="39"/>
  <c r="CA204" i="39"/>
  <c r="CA203" i="39"/>
  <c r="CA202" i="39"/>
  <c r="CA201" i="39"/>
  <c r="CA200" i="39"/>
  <c r="CA199" i="39"/>
  <c r="CA198" i="39"/>
  <c r="CA197" i="39"/>
  <c r="CA196" i="39"/>
  <c r="BV209" i="39"/>
  <c r="BV208" i="39"/>
  <c r="BV207" i="39"/>
  <c r="BV206" i="39"/>
  <c r="BV205" i="39"/>
  <c r="BV204" i="39"/>
  <c r="BV203" i="39"/>
  <c r="BV202" i="39"/>
  <c r="BV201" i="39"/>
  <c r="BV200" i="39"/>
  <c r="BV199" i="39"/>
  <c r="BV198" i="39"/>
  <c r="BV197" i="39"/>
  <c r="BV196" i="39"/>
  <c r="BQ198" i="39"/>
  <c r="BQ209" i="39"/>
  <c r="BQ208" i="39"/>
  <c r="BQ207" i="39"/>
  <c r="BQ206" i="39"/>
  <c r="BQ205" i="39"/>
  <c r="BQ204" i="39"/>
  <c r="BQ203" i="39"/>
  <c r="BQ202" i="39"/>
  <c r="BQ201" i="39"/>
  <c r="BQ200" i="39"/>
  <c r="BQ199" i="39"/>
  <c r="BQ197" i="39"/>
  <c r="BQ196" i="39"/>
  <c r="Z209" i="39"/>
  <c r="BF209" i="39"/>
  <c r="Z208" i="39"/>
  <c r="BF208" i="39"/>
  <c r="Z207" i="39"/>
  <c r="BF207" i="39"/>
  <c r="Z206" i="39"/>
  <c r="BF206" i="39"/>
  <c r="Z205" i="39"/>
  <c r="BF205" i="39"/>
  <c r="Z204" i="39"/>
  <c r="BF204" i="39"/>
  <c r="Z203" i="39"/>
  <c r="BF203" i="39"/>
  <c r="Z202" i="39"/>
  <c r="BF202" i="39"/>
  <c r="Z201" i="39"/>
  <c r="BF201" i="39"/>
  <c r="Z200" i="39"/>
  <c r="BF200" i="39"/>
  <c r="Z199" i="39"/>
  <c r="BF199" i="39"/>
  <c r="Z198" i="39"/>
  <c r="BF198" i="39"/>
  <c r="Z197" i="39"/>
  <c r="BF197" i="39"/>
  <c r="Z196" i="39"/>
  <c r="BF196" i="39"/>
  <c r="Y209" i="39"/>
  <c r="BD209" i="39"/>
  <c r="Y208" i="39"/>
  <c r="BD208" i="39"/>
  <c r="Y207" i="39"/>
  <c r="BD207" i="39"/>
  <c r="Y206" i="39"/>
  <c r="BD206" i="39"/>
  <c r="Y204" i="39"/>
  <c r="BD204" i="39"/>
  <c r="BD203" i="39"/>
  <c r="Y203" i="39"/>
  <c r="Y202" i="39"/>
  <c r="BD202" i="39"/>
  <c r="Y201" i="39"/>
  <c r="BD201" i="39"/>
  <c r="Y200" i="39"/>
  <c r="BD200" i="39"/>
  <c r="Y197" i="39"/>
  <c r="BD197" i="39"/>
  <c r="Y196" i="39"/>
  <c r="BD196" i="39"/>
  <c r="X208" i="39"/>
  <c r="BE208" i="39"/>
  <c r="X207" i="39"/>
  <c r="BE207" i="39"/>
  <c r="X206" i="39"/>
  <c r="BE206" i="39"/>
  <c r="X205" i="39"/>
  <c r="BE205" i="39"/>
  <c r="X204" i="39"/>
  <c r="BE204" i="39"/>
  <c r="X203" i="39"/>
  <c r="BE203" i="39"/>
  <c r="X202" i="39"/>
  <c r="BE202" i="39"/>
  <c r="X201" i="39"/>
  <c r="BE201" i="39"/>
  <c r="X200" i="39"/>
  <c r="BE200" i="39"/>
  <c r="BE199" i="39"/>
  <c r="X199" i="39"/>
  <c r="X198" i="39"/>
  <c r="U198" i="39" s="1"/>
  <c r="V198" i="39" s="1"/>
  <c r="BE198" i="39"/>
  <c r="X196" i="39"/>
  <c r="BE196" i="39"/>
  <c r="W209" i="39"/>
  <c r="BC209" i="39"/>
  <c r="W208" i="39"/>
  <c r="BC208" i="39"/>
  <c r="W207" i="39"/>
  <c r="BC207" i="39"/>
  <c r="W206" i="39"/>
  <c r="BC206" i="39"/>
  <c r="W205" i="39"/>
  <c r="BC205" i="39"/>
  <c r="W204" i="39"/>
  <c r="BC204" i="39"/>
  <c r="W203" i="39"/>
  <c r="BC203" i="39"/>
  <c r="W202" i="39"/>
  <c r="BC202" i="39"/>
  <c r="W201" i="39"/>
  <c r="BC201" i="39"/>
  <c r="W200" i="39"/>
  <c r="BC200" i="39"/>
  <c r="W199" i="39"/>
  <c r="BC199" i="39"/>
  <c r="W197" i="39"/>
  <c r="BC197" i="39"/>
  <c r="W196" i="39"/>
  <c r="BC196" i="39"/>
  <c r="CF224" i="39"/>
  <c r="CF223" i="39"/>
  <c r="CF222" i="39"/>
  <c r="CF221" i="39"/>
  <c r="CF220" i="39"/>
  <c r="CF219" i="39"/>
  <c r="CF218" i="39"/>
  <c r="CF217" i="39"/>
  <c r="CF216" i="39"/>
  <c r="CF215" i="39"/>
  <c r="CF214" i="39"/>
  <c r="CF213" i="39"/>
  <c r="CF212" i="39"/>
  <c r="CF211" i="39"/>
  <c r="CF210" i="39"/>
  <c r="CA224" i="39"/>
  <c r="CA223" i="39"/>
  <c r="CA222" i="39"/>
  <c r="CA221" i="39"/>
  <c r="CA220" i="39"/>
  <c r="CA219" i="39"/>
  <c r="CA218" i="39"/>
  <c r="CA217" i="39"/>
  <c r="CA216" i="39"/>
  <c r="CA215" i="39"/>
  <c r="CA214" i="39"/>
  <c r="CA213" i="39"/>
  <c r="CA212" i="39"/>
  <c r="CA211" i="39"/>
  <c r="CA210" i="39"/>
  <c r="BV223" i="39"/>
  <c r="BV222" i="39"/>
  <c r="BV221" i="39"/>
  <c r="BV220" i="39"/>
  <c r="BV219" i="39"/>
  <c r="BV218" i="39"/>
  <c r="BV217" i="39"/>
  <c r="BV216" i="39"/>
  <c r="BV215" i="39"/>
  <c r="BV214" i="39"/>
  <c r="BV213" i="39"/>
  <c r="BV211" i="39"/>
  <c r="BV210" i="39"/>
  <c r="BQ224" i="39"/>
  <c r="BQ223" i="39"/>
  <c r="BQ222" i="39"/>
  <c r="BQ221" i="39"/>
  <c r="BQ220" i="39"/>
  <c r="BQ219" i="39"/>
  <c r="BQ218" i="39"/>
  <c r="BQ217" i="39"/>
  <c r="BQ216" i="39"/>
  <c r="BQ215" i="39"/>
  <c r="BQ214" i="39"/>
  <c r="BQ213" i="39"/>
  <c r="BQ212" i="39"/>
  <c r="BQ211" i="39"/>
  <c r="BQ210" i="39"/>
  <c r="Z224" i="39"/>
  <c r="BF224" i="39"/>
  <c r="Z223" i="39"/>
  <c r="BF223" i="39"/>
  <c r="Z222" i="39"/>
  <c r="BF222" i="39"/>
  <c r="Z221" i="39"/>
  <c r="BF221" i="39"/>
  <c r="Z220" i="39"/>
  <c r="BF220" i="39"/>
  <c r="Z219" i="39"/>
  <c r="BF219" i="39"/>
  <c r="Z218" i="39"/>
  <c r="BF218" i="39"/>
  <c r="Z217" i="39"/>
  <c r="BF217" i="39"/>
  <c r="Z216" i="39"/>
  <c r="BF216" i="39"/>
  <c r="Z215" i="39"/>
  <c r="BF215" i="39"/>
  <c r="Z214" i="39"/>
  <c r="BF214" i="39"/>
  <c r="Z213" i="39"/>
  <c r="BF213" i="39"/>
  <c r="Z212" i="39"/>
  <c r="BF212" i="39"/>
  <c r="Z211" i="39"/>
  <c r="BF211" i="39"/>
  <c r="Z210" i="39"/>
  <c r="BF210" i="39"/>
  <c r="Y224" i="39"/>
  <c r="BD224" i="39"/>
  <c r="Y222" i="39"/>
  <c r="BD222" i="39"/>
  <c r="Y221" i="39"/>
  <c r="BD221" i="39"/>
  <c r="Y217" i="39"/>
  <c r="BD217" i="39"/>
  <c r="Y216" i="39"/>
  <c r="BD216" i="39"/>
  <c r="Y215" i="39"/>
  <c r="BD215" i="39"/>
  <c r="Y213" i="39"/>
  <c r="BD213" i="39"/>
  <c r="Y212" i="39"/>
  <c r="BD212" i="39"/>
  <c r="Y210" i="39"/>
  <c r="BD210" i="39"/>
  <c r="X223" i="39"/>
  <c r="BE223" i="39"/>
  <c r="X222" i="39"/>
  <c r="BE222" i="39"/>
  <c r="X221" i="39"/>
  <c r="BE221" i="39"/>
  <c r="X220" i="39"/>
  <c r="BE220" i="39"/>
  <c r="X219" i="39"/>
  <c r="BE219" i="39"/>
  <c r="X218" i="39"/>
  <c r="BE218" i="39"/>
  <c r="X217" i="39"/>
  <c r="BE217" i="39"/>
  <c r="X216" i="39"/>
  <c r="BE216" i="39"/>
  <c r="BE215" i="39"/>
  <c r="X215" i="39"/>
  <c r="X214" i="39"/>
  <c r="BE214" i="39"/>
  <c r="X213" i="39"/>
  <c r="BE213" i="39"/>
  <c r="X211" i="39"/>
  <c r="BE211" i="39"/>
  <c r="X210" i="39"/>
  <c r="BE210" i="39"/>
  <c r="BC218" i="39"/>
  <c r="W224" i="39"/>
  <c r="BC224" i="39"/>
  <c r="BC223" i="39"/>
  <c r="W223" i="39"/>
  <c r="W222" i="39"/>
  <c r="BC222" i="39"/>
  <c r="W221" i="39"/>
  <c r="BC221" i="39"/>
  <c r="W220" i="39"/>
  <c r="BC220" i="39"/>
  <c r="W219" i="39"/>
  <c r="BC219" i="39"/>
  <c r="W217" i="39"/>
  <c r="BC217" i="39"/>
  <c r="W216" i="39"/>
  <c r="BC216" i="39"/>
  <c r="W215" i="39"/>
  <c r="BC215" i="39"/>
  <c r="W214" i="39"/>
  <c r="BC214" i="39"/>
  <c r="W213" i="39"/>
  <c r="BC213" i="39"/>
  <c r="W212" i="39"/>
  <c r="BC212" i="39"/>
  <c r="BC211" i="39"/>
  <c r="W211" i="39"/>
  <c r="W210" i="39"/>
  <c r="BC210" i="39"/>
  <c r="O117" i="39"/>
  <c r="O116" i="39"/>
  <c r="O115" i="39"/>
  <c r="O114" i="39"/>
  <c r="O113" i="39"/>
  <c r="O112" i="39"/>
  <c r="O111" i="39"/>
  <c r="O110" i="39"/>
  <c r="O109" i="39"/>
  <c r="O108" i="39"/>
  <c r="N117" i="39"/>
  <c r="P117" i="39" s="1"/>
  <c r="O140" i="39"/>
  <c r="O138" i="39"/>
  <c r="O137" i="39"/>
  <c r="O136" i="39"/>
  <c r="O135" i="39"/>
  <c r="O133" i="39"/>
  <c r="O132" i="39"/>
  <c r="O131" i="39"/>
  <c r="O130" i="39"/>
  <c r="O129" i="39"/>
  <c r="O128" i="39"/>
  <c r="O127" i="39"/>
  <c r="O126" i="39"/>
  <c r="O125" i="39"/>
  <c r="O123" i="39"/>
  <c r="O122" i="39"/>
  <c r="O120" i="39"/>
  <c r="O119" i="39"/>
  <c r="O118" i="39"/>
  <c r="N141" i="39"/>
  <c r="P141" i="39" s="1"/>
  <c r="N139" i="39"/>
  <c r="P139" i="39" s="1"/>
  <c r="N136" i="39"/>
  <c r="P136" i="39" s="1"/>
  <c r="N134" i="39"/>
  <c r="P134" i="39" s="1"/>
  <c r="N131" i="39"/>
  <c r="P131" i="39" s="1"/>
  <c r="N129" i="39"/>
  <c r="P129" i="39" s="1"/>
  <c r="N127" i="39"/>
  <c r="P127" i="39" s="1"/>
  <c r="N126" i="39"/>
  <c r="P126" i="39" s="1"/>
  <c r="N124" i="39"/>
  <c r="P124" i="39" s="1"/>
  <c r="N123" i="39"/>
  <c r="P123" i="39" s="1"/>
  <c r="N121" i="39"/>
  <c r="P121" i="39" s="1"/>
  <c r="N120" i="39"/>
  <c r="P120" i="39" s="1"/>
  <c r="N118" i="39"/>
  <c r="P118" i="39" s="1"/>
  <c r="O155" i="39"/>
  <c r="O154" i="39"/>
  <c r="O153" i="39"/>
  <c r="O152" i="39"/>
  <c r="O151" i="39"/>
  <c r="O150" i="39"/>
  <c r="O148" i="39"/>
  <c r="O147" i="39"/>
  <c r="O146" i="39"/>
  <c r="O145" i="39"/>
  <c r="O144" i="39"/>
  <c r="O143" i="39"/>
  <c r="O142" i="39"/>
  <c r="N154" i="39"/>
  <c r="P154" i="39" s="1"/>
  <c r="N149" i="39"/>
  <c r="P149" i="39" s="1"/>
  <c r="N144" i="39"/>
  <c r="P144" i="39" s="1"/>
  <c r="N158" i="39"/>
  <c r="P158" i="39" s="1"/>
  <c r="N157" i="39"/>
  <c r="P157" i="39" s="1"/>
  <c r="N156" i="39"/>
  <c r="P156" i="39" s="1"/>
  <c r="O167" i="39"/>
  <c r="O166" i="39"/>
  <c r="O165" i="39"/>
  <c r="O164" i="39"/>
  <c r="O163" i="39"/>
  <c r="O162" i="39"/>
  <c r="O161" i="39"/>
  <c r="O160" i="39"/>
  <c r="O159" i="39"/>
  <c r="N165" i="39"/>
  <c r="P165" i="39" s="1"/>
  <c r="O181" i="39"/>
  <c r="O180" i="39"/>
  <c r="O179" i="39"/>
  <c r="O178" i="39"/>
  <c r="O177" i="39"/>
  <c r="O176" i="39"/>
  <c r="O175" i="39"/>
  <c r="O174" i="39"/>
  <c r="O173" i="39"/>
  <c r="O172" i="39"/>
  <c r="O171" i="39"/>
  <c r="O170" i="39"/>
  <c r="O169" i="39"/>
  <c r="O168" i="39"/>
  <c r="N168" i="39"/>
  <c r="P168" i="39" s="1"/>
  <c r="O195" i="39"/>
  <c r="O194" i="39"/>
  <c r="O193" i="39"/>
  <c r="O192" i="39"/>
  <c r="O191" i="39"/>
  <c r="O190" i="39"/>
  <c r="O189" i="39"/>
  <c r="O188" i="39"/>
  <c r="O187" i="39"/>
  <c r="O186" i="39"/>
  <c r="O185" i="39"/>
  <c r="O184" i="39"/>
  <c r="O183" i="39"/>
  <c r="O182" i="39"/>
  <c r="N192" i="39"/>
  <c r="P192" i="39" s="1"/>
  <c r="N188" i="39"/>
  <c r="P188" i="39" s="1"/>
  <c r="N187" i="39"/>
  <c r="P187" i="39" s="1"/>
  <c r="N182" i="39"/>
  <c r="P182" i="39" s="1"/>
  <c r="O209" i="39"/>
  <c r="O208" i="39"/>
  <c r="O207" i="39"/>
  <c r="O206" i="39"/>
  <c r="O205" i="39"/>
  <c r="O204" i="39"/>
  <c r="O203" i="39"/>
  <c r="O202" i="39"/>
  <c r="O201" i="39"/>
  <c r="O200" i="39"/>
  <c r="O199" i="39"/>
  <c r="O198" i="39"/>
  <c r="O197" i="39"/>
  <c r="O196" i="39"/>
  <c r="N200" i="39"/>
  <c r="N198" i="39"/>
  <c r="P198" i="39" s="1"/>
  <c r="O224" i="39"/>
  <c r="O223" i="39"/>
  <c r="O222" i="39"/>
  <c r="O221" i="39"/>
  <c r="O220" i="39"/>
  <c r="O219" i="39"/>
  <c r="O218" i="39"/>
  <c r="O217" i="39"/>
  <c r="O216" i="39"/>
  <c r="O215" i="39"/>
  <c r="O214" i="39"/>
  <c r="O213" i="39"/>
  <c r="O212" i="39"/>
  <c r="O211" i="39"/>
  <c r="O210" i="39"/>
  <c r="N222" i="39"/>
  <c r="P222" i="39" s="1"/>
  <c r="N213" i="39"/>
  <c r="P213" i="39" s="1"/>
  <c r="O87" i="39"/>
  <c r="CF98" i="39"/>
  <c r="O101" i="39"/>
  <c r="O95" i="39"/>
  <c r="O93" i="39"/>
  <c r="O104" i="39"/>
  <c r="O89" i="39"/>
  <c r="CF80" i="39"/>
  <c r="O74" i="39"/>
  <c r="CF82" i="39"/>
  <c r="CF103" i="39"/>
  <c r="CF21" i="39"/>
  <c r="O72" i="39"/>
  <c r="CA83" i="39"/>
  <c r="CF105" i="39"/>
  <c r="CA101" i="39"/>
  <c r="CF45" i="39"/>
  <c r="BD90" i="39"/>
  <c r="CF87" i="39"/>
  <c r="BQ99" i="39"/>
  <c r="CF101" i="39"/>
  <c r="BD97" i="39"/>
  <c r="CF83" i="39"/>
  <c r="CF99" i="39"/>
  <c r="CA102" i="39"/>
  <c r="CF88" i="39"/>
  <c r="N106" i="39"/>
  <c r="P106" i="39" s="1"/>
  <c r="O82" i="39"/>
  <c r="CF46" i="39"/>
  <c r="CF85" i="39"/>
  <c r="BV101" i="39"/>
  <c r="CF106" i="39"/>
  <c r="N98" i="39"/>
  <c r="P98" i="39" s="1"/>
  <c r="CF91" i="39"/>
  <c r="BD92" i="39"/>
  <c r="O83" i="39"/>
  <c r="O81" i="39"/>
  <c r="CA90" i="39"/>
  <c r="BV86" i="39"/>
  <c r="CA85" i="39"/>
  <c r="CA96" i="39"/>
  <c r="BQ94" i="39"/>
  <c r="BV103" i="39"/>
  <c r="O79" i="39"/>
  <c r="O98" i="39"/>
  <c r="BQ58" i="39"/>
  <c r="CA84" i="39"/>
  <c r="CF81" i="39"/>
  <c r="BV98" i="39"/>
  <c r="BV100" i="39"/>
  <c r="CA100" i="39"/>
  <c r="BD101" i="39"/>
  <c r="O75" i="39"/>
  <c r="N90" i="39"/>
  <c r="P90" i="39" s="1"/>
  <c r="CA89" i="39"/>
  <c r="N85" i="39"/>
  <c r="P85" i="39" s="1"/>
  <c r="O102" i="39"/>
  <c r="BV76" i="39"/>
  <c r="CA81" i="39"/>
  <c r="CF76" i="39"/>
  <c r="CA73" i="39"/>
  <c r="CF92" i="39"/>
  <c r="BQ95" i="39"/>
  <c r="BF99" i="39"/>
  <c r="BQ107" i="39"/>
  <c r="BV79" i="39"/>
  <c r="CA93" i="39"/>
  <c r="O97" i="39"/>
  <c r="BD85" i="39"/>
  <c r="CF104" i="39"/>
  <c r="O90" i="39"/>
  <c r="CA72" i="39"/>
  <c r="W73" i="39"/>
  <c r="BC73" i="39"/>
  <c r="BF73" i="39"/>
  <c r="Y83" i="39"/>
  <c r="BD83" i="39"/>
  <c r="W76" i="39"/>
  <c r="BC76" i="39"/>
  <c r="CF75" i="39"/>
  <c r="Y79" i="39"/>
  <c r="BD79" i="39"/>
  <c r="BQ81" i="39"/>
  <c r="BD89" i="39"/>
  <c r="X85" i="39"/>
  <c r="BE85" i="39"/>
  <c r="BD87" i="39"/>
  <c r="Y96" i="39"/>
  <c r="BD96" i="39"/>
  <c r="BD95" i="39"/>
  <c r="W93" i="39"/>
  <c r="BC93" i="39"/>
  <c r="BQ100" i="39"/>
  <c r="X102" i="39"/>
  <c r="BE102" i="39"/>
  <c r="Z107" i="39"/>
  <c r="BF107" i="39"/>
  <c r="BE98" i="39"/>
  <c r="W107" i="39"/>
  <c r="BC107" i="39"/>
  <c r="BD100" i="39"/>
  <c r="BD99" i="39"/>
  <c r="Y98" i="39"/>
  <c r="BD98" i="39"/>
  <c r="CF69" i="39"/>
  <c r="Z75" i="39"/>
  <c r="BF75" i="39"/>
  <c r="CF79" i="39"/>
  <c r="X80" i="39"/>
  <c r="BE80" i="39"/>
  <c r="X78" i="39"/>
  <c r="BE78" i="39"/>
  <c r="BV82" i="39"/>
  <c r="CA76" i="39"/>
  <c r="BC77" i="39"/>
  <c r="CA75" i="39"/>
  <c r="Z78" i="39"/>
  <c r="BF78" i="39"/>
  <c r="CF73" i="39"/>
  <c r="X91" i="39"/>
  <c r="BE91" i="39"/>
  <c r="BC85" i="39"/>
  <c r="BE87" i="39"/>
  <c r="CA88" i="39"/>
  <c r="BV89" i="39"/>
  <c r="CA95" i="39"/>
  <c r="CF93" i="39"/>
  <c r="BQ93" i="39"/>
  <c r="BV104" i="39"/>
  <c r="CA105" i="39"/>
  <c r="BV97" i="39"/>
  <c r="BV99" i="39"/>
  <c r="N80" i="39"/>
  <c r="P80" i="39" s="1"/>
  <c r="O73" i="39"/>
  <c r="O99" i="39"/>
  <c r="BQ79" i="39"/>
  <c r="Y75" i="39"/>
  <c r="BD75" i="39"/>
  <c r="CA79" i="39"/>
  <c r="W80" i="39"/>
  <c r="BC80" i="39"/>
  <c r="CA77" i="39"/>
  <c r="W78" i="39"/>
  <c r="BC78" i="39"/>
  <c r="Z79" i="39"/>
  <c r="BF79" i="39"/>
  <c r="BV78" i="39"/>
  <c r="BV90" i="39"/>
  <c r="W88" i="39"/>
  <c r="BC88" i="39"/>
  <c r="CF86" i="39"/>
  <c r="BQ86" i="39"/>
  <c r="W86" i="39"/>
  <c r="BC86" i="39"/>
  <c r="BV85" i="39"/>
  <c r="BV96" i="39"/>
  <c r="CF89" i="39"/>
  <c r="Z94" i="39"/>
  <c r="BF94" i="39"/>
  <c r="CA94" i="39"/>
  <c r="Z93" i="39"/>
  <c r="BF93" i="39"/>
  <c r="CF100" i="39"/>
  <c r="CA97" i="39"/>
  <c r="Y105" i="39"/>
  <c r="BD105" i="39"/>
  <c r="BQ106" i="39"/>
  <c r="X97" i="39"/>
  <c r="BE97" i="39"/>
  <c r="Z105" i="39"/>
  <c r="BF105" i="39"/>
  <c r="BV107" i="39"/>
  <c r="BV106" i="39"/>
  <c r="O80" i="39"/>
  <c r="O92" i="39"/>
  <c r="Y77" i="39"/>
  <c r="BD77" i="39"/>
  <c r="BV74" i="39"/>
  <c r="Z82" i="39"/>
  <c r="BF82" i="39"/>
  <c r="Z83" i="39"/>
  <c r="BF83" i="39"/>
  <c r="BQ77" i="39"/>
  <c r="Z80" i="39"/>
  <c r="BF80" i="39"/>
  <c r="W74" i="39"/>
  <c r="BC74" i="39"/>
  <c r="BC91" i="39"/>
  <c r="BV91" i="39"/>
  <c r="W87" i="39"/>
  <c r="BC87" i="39"/>
  <c r="BQ88" i="39"/>
  <c r="BD94" i="39"/>
  <c r="BV94" i="39"/>
  <c r="BD93" i="39"/>
  <c r="W92" i="39"/>
  <c r="BC92" i="39"/>
  <c r="W99" i="39"/>
  <c r="BC99" i="39"/>
  <c r="BV105" i="39"/>
  <c r="BQ98" i="39"/>
  <c r="BC106" i="39"/>
  <c r="W106" i="39"/>
  <c r="BD103" i="39"/>
  <c r="X107" i="39"/>
  <c r="BE107" i="39"/>
  <c r="CA103" i="39"/>
  <c r="X106" i="39"/>
  <c r="BE106" i="39"/>
  <c r="O86" i="39"/>
  <c r="Y81" i="39"/>
  <c r="BD81" i="39"/>
  <c r="X83" i="39"/>
  <c r="BE83" i="39"/>
  <c r="Z76" i="39"/>
  <c r="BF76" i="39"/>
  <c r="BE89" i="39"/>
  <c r="Z88" i="39"/>
  <c r="BF88" i="39"/>
  <c r="X96" i="39"/>
  <c r="BE96" i="39"/>
  <c r="CA87" i="39"/>
  <c r="BE95" i="39"/>
  <c r="BQ101" i="39"/>
  <c r="BC98" i="39"/>
  <c r="BE103" i="39"/>
  <c r="BQ105" i="39"/>
  <c r="BE99" i="39"/>
  <c r="N107" i="39"/>
  <c r="P107" i="39" s="1"/>
  <c r="Y82" i="39"/>
  <c r="BD82" i="39"/>
  <c r="N77" i="39"/>
  <c r="P77" i="39" s="1"/>
  <c r="W72" i="39"/>
  <c r="BC72" i="39"/>
  <c r="CF78" i="39"/>
  <c r="BE79" i="39"/>
  <c r="BV83" i="39"/>
  <c r="CF74" i="39"/>
  <c r="BQ74" i="39"/>
  <c r="BV81" i="39"/>
  <c r="BQ82" i="39"/>
  <c r="BD73" i="39"/>
  <c r="BD78" i="39"/>
  <c r="CA92" i="39"/>
  <c r="CF90" i="39"/>
  <c r="BQ90" i="39"/>
  <c r="BD88" i="39"/>
  <c r="CA86" i="39"/>
  <c r="Z85" i="39"/>
  <c r="BF85" i="39"/>
  <c r="BV87" i="39"/>
  <c r="BQ85" i="39"/>
  <c r="CF96" i="39"/>
  <c r="BQ96" i="39"/>
  <c r="BF87" i="39"/>
  <c r="X101" i="39"/>
  <c r="BE101" i="39"/>
  <c r="Z104" i="39"/>
  <c r="BF104" i="39"/>
  <c r="BQ104" i="39"/>
  <c r="BQ103" i="39"/>
  <c r="BQ102" i="39"/>
  <c r="N84" i="39"/>
  <c r="P84" i="39" s="1"/>
  <c r="O77" i="39"/>
  <c r="O88" i="39"/>
  <c r="O96" i="39"/>
  <c r="N92" i="39"/>
  <c r="O100" i="39"/>
  <c r="BV72" i="39"/>
  <c r="X100" i="39"/>
  <c r="BE100" i="39"/>
  <c r="O50" i="39"/>
  <c r="BE81" i="39"/>
  <c r="BF74" i="39"/>
  <c r="BQ78" i="39"/>
  <c r="X84" i="39"/>
  <c r="BE84" i="39"/>
  <c r="BQ92" i="39"/>
  <c r="BQ91" i="39"/>
  <c r="BD86" i="39"/>
  <c r="W94" i="39"/>
  <c r="BC94" i="39"/>
  <c r="Z97" i="39"/>
  <c r="BF97" i="39"/>
  <c r="CA106" i="39"/>
  <c r="BD107" i="39"/>
  <c r="BC104" i="39"/>
  <c r="W104" i="39"/>
  <c r="W103" i="39"/>
  <c r="BC103" i="39"/>
  <c r="CF102" i="39"/>
  <c r="W102" i="39"/>
  <c r="BC102" i="39"/>
  <c r="O106" i="39"/>
  <c r="O105" i="39"/>
  <c r="O107" i="39"/>
  <c r="W82" i="39"/>
  <c r="BC82" i="39"/>
  <c r="BV80" i="39"/>
  <c r="X90" i="39"/>
  <c r="BE90" i="39"/>
  <c r="W105" i="39"/>
  <c r="BC105" i="39"/>
  <c r="BQ80" i="39"/>
  <c r="CF77" i="39"/>
  <c r="BV73" i="39"/>
  <c r="BD74" i="39"/>
  <c r="X72" i="39"/>
  <c r="BE72" i="39"/>
  <c r="BV77" i="39"/>
  <c r="CA91" i="39"/>
  <c r="W89" i="39"/>
  <c r="BC89" i="39"/>
  <c r="BQ87" i="39"/>
  <c r="W96" i="39"/>
  <c r="BC96" i="39"/>
  <c r="W95" i="39"/>
  <c r="BC95" i="39"/>
  <c r="X93" i="39"/>
  <c r="BE93" i="39"/>
  <c r="BV88" i="39"/>
  <c r="X94" i="39"/>
  <c r="BE94" i="39"/>
  <c r="CA107" i="39"/>
  <c r="Y106" i="39"/>
  <c r="BD106" i="39"/>
  <c r="CF107" i="39"/>
  <c r="BD102" i="39"/>
  <c r="BF103" i="39"/>
  <c r="O78" i="39"/>
  <c r="O91" i="39"/>
  <c r="N91" i="39"/>
  <c r="P91" i="39" s="1"/>
  <c r="O85" i="39"/>
  <c r="Y84" i="39"/>
  <c r="BD84" i="39"/>
  <c r="BF92" i="39"/>
  <c r="Z92" i="39"/>
  <c r="W100" i="39"/>
  <c r="BC100" i="39"/>
  <c r="BE104" i="39"/>
  <c r="BV84" i="39"/>
  <c r="Y76" i="39"/>
  <c r="BD76" i="39"/>
  <c r="CA78" i="39"/>
  <c r="W79" i="39"/>
  <c r="BC79" i="39"/>
  <c r="BD72" i="39"/>
  <c r="Z72" i="39"/>
  <c r="BF72" i="39"/>
  <c r="CF72" i="39"/>
  <c r="BQ84" i="39"/>
  <c r="BE73" i="39"/>
  <c r="X73" i="39"/>
  <c r="BQ83" i="39"/>
  <c r="CA80" i="39"/>
  <c r="BC75" i="39"/>
  <c r="W75" i="39"/>
  <c r="BV92" i="39"/>
  <c r="W90" i="39"/>
  <c r="BC90" i="39"/>
  <c r="X86" i="39"/>
  <c r="BE86" i="39"/>
  <c r="BV95" i="39"/>
  <c r="CF95" i="39"/>
  <c r="CF94" i="39"/>
  <c r="BV93" i="39"/>
  <c r="BD104" i="39"/>
  <c r="BE105" i="39"/>
  <c r="BQ97" i="39"/>
  <c r="O103" i="39"/>
  <c r="N101" i="39"/>
  <c r="P101" i="39" s="1"/>
  <c r="N105" i="39"/>
  <c r="W84" i="39"/>
  <c r="BC84" i="39"/>
  <c r="X75" i="39"/>
  <c r="BE75" i="39"/>
  <c r="BV75" i="39"/>
  <c r="CA82" i="39"/>
  <c r="W83" i="39"/>
  <c r="BC83" i="39"/>
  <c r="X77" i="39"/>
  <c r="BE77" i="39"/>
  <c r="X76" i="39"/>
  <c r="BE76" i="39"/>
  <c r="BF84" i="39"/>
  <c r="Z84" i="39"/>
  <c r="Z81" i="39"/>
  <c r="BF81" i="39"/>
  <c r="W81" i="39"/>
  <c r="BC81" i="39"/>
  <c r="X74" i="39"/>
  <c r="BE74" i="39"/>
  <c r="BQ72" i="39"/>
  <c r="BQ76" i="39"/>
  <c r="CA74" i="39"/>
  <c r="Z77" i="39"/>
  <c r="BF77" i="39"/>
  <c r="BE82" i="39"/>
  <c r="BD91" i="39"/>
  <c r="Z91" i="39"/>
  <c r="BF91" i="39"/>
  <c r="Z89" i="39"/>
  <c r="BF89" i="39"/>
  <c r="BE88" i="39"/>
  <c r="BQ89" i="39"/>
  <c r="Z86" i="39"/>
  <c r="BF86" i="39"/>
  <c r="Z96" i="39"/>
  <c r="BF96" i="39"/>
  <c r="BF95" i="39"/>
  <c r="Z106" i="39"/>
  <c r="BF106" i="39"/>
  <c r="BF98" i="39"/>
  <c r="W97" i="39"/>
  <c r="BC97" i="39"/>
  <c r="CA104" i="39"/>
  <c r="Z102" i="39"/>
  <c r="BF102" i="39"/>
  <c r="Z101" i="39"/>
  <c r="BF101" i="39"/>
  <c r="Z100" i="39"/>
  <c r="BF100" i="39"/>
  <c r="O76" i="39"/>
  <c r="O84" i="39"/>
  <c r="O94" i="39"/>
  <c r="BQ75" i="39"/>
  <c r="BQ73" i="39"/>
  <c r="Z90" i="39"/>
  <c r="BF90" i="39"/>
  <c r="X92" i="39"/>
  <c r="BE92" i="39"/>
  <c r="BC101" i="39"/>
  <c r="BV102" i="39"/>
  <c r="CA99" i="39"/>
  <c r="CA98" i="39"/>
  <c r="O49" i="39"/>
  <c r="O38" i="39"/>
  <c r="CF64" i="39"/>
  <c r="CF70" i="39"/>
  <c r="O56" i="39"/>
  <c r="CF66" i="39"/>
  <c r="CA65" i="39"/>
  <c r="CA38" i="39"/>
  <c r="BV47" i="39"/>
  <c r="O55" i="39"/>
  <c r="CF67" i="39"/>
  <c r="CA70" i="39"/>
  <c r="O25" i="39"/>
  <c r="O68" i="39"/>
  <c r="BQ46" i="39"/>
  <c r="BV65" i="39"/>
  <c r="BD63" i="39"/>
  <c r="CF63" i="39"/>
  <c r="CF23" i="39"/>
  <c r="BD64" i="39"/>
  <c r="CF56" i="39"/>
  <c r="O69" i="39"/>
  <c r="O67" i="39"/>
  <c r="BV36" i="39"/>
  <c r="CF32" i="39"/>
  <c r="BQ55" i="39"/>
  <c r="CF31" i="39"/>
  <c r="BV24" i="39"/>
  <c r="BQ25" i="39"/>
  <c r="CF33" i="39"/>
  <c r="CF38" i="39"/>
  <c r="BQ37" i="39"/>
  <c r="CF43" i="39"/>
  <c r="BV41" i="39"/>
  <c r="CF40" i="39"/>
  <c r="CA46" i="39"/>
  <c r="CF58" i="39"/>
  <c r="BV60" i="39"/>
  <c r="CF55" i="39"/>
  <c r="BV55" i="39"/>
  <c r="CA56" i="39"/>
  <c r="O70" i="39"/>
  <c r="CA27" i="39"/>
  <c r="O23" i="39"/>
  <c r="CF20" i="39"/>
  <c r="CA23" i="39"/>
  <c r="CF37" i="39"/>
  <c r="CF54" i="39"/>
  <c r="BV59" i="39"/>
  <c r="O26" i="39"/>
  <c r="O29" i="39"/>
  <c r="O41" i="39"/>
  <c r="BV66" i="39"/>
  <c r="N63" i="39"/>
  <c r="P63" i="39" s="1"/>
  <c r="O30" i="39"/>
  <c r="O33" i="39"/>
  <c r="BQ31" i="39"/>
  <c r="BQ39" i="39"/>
  <c r="CF52" i="39"/>
  <c r="N40" i="39"/>
  <c r="P40" i="39" s="1"/>
  <c r="N49" i="39"/>
  <c r="P49" i="39" s="1"/>
  <c r="CA67" i="39"/>
  <c r="O51" i="39"/>
  <c r="CA57" i="39"/>
  <c r="BQ67" i="39"/>
  <c r="O53" i="39"/>
  <c r="CF34" i="39"/>
  <c r="O42" i="39"/>
  <c r="BV46" i="39"/>
  <c r="BQ21" i="39"/>
  <c r="BQ32" i="39"/>
  <c r="CF26" i="39"/>
  <c r="CA39" i="39"/>
  <c r="BQ47" i="39"/>
  <c r="O32" i="39"/>
  <c r="O48" i="39"/>
  <c r="O52" i="39"/>
  <c r="BV35" i="39"/>
  <c r="CF24" i="39"/>
  <c r="CA36" i="39"/>
  <c r="CA42" i="39"/>
  <c r="BV54" i="39"/>
  <c r="CF50" i="39"/>
  <c r="BQ60" i="39"/>
  <c r="CA63" i="39"/>
  <c r="O34" i="39"/>
  <c r="O66" i="39"/>
  <c r="N30" i="39"/>
  <c r="P30" i="39" s="1"/>
  <c r="BD44" i="39"/>
  <c r="O40" i="39"/>
  <c r="O37" i="39"/>
  <c r="O60" i="39"/>
  <c r="Y48" i="39"/>
  <c r="BD48" i="39"/>
  <c r="CF49" i="39"/>
  <c r="Z24" i="39"/>
  <c r="BF24" i="39"/>
  <c r="W20" i="39"/>
  <c r="BC20" i="39"/>
  <c r="X21" i="39"/>
  <c r="BE21" i="39"/>
  <c r="CF22" i="39"/>
  <c r="W36" i="39"/>
  <c r="BC36" i="39"/>
  <c r="Z26" i="39"/>
  <c r="BF26" i="39"/>
  <c r="CA34" i="39"/>
  <c r="CF35" i="39"/>
  <c r="BV32" i="39"/>
  <c r="W38" i="39"/>
  <c r="BC38" i="39"/>
  <c r="X37" i="39"/>
  <c r="BE37" i="39"/>
  <c r="CA45" i="39"/>
  <c r="BV42" i="39"/>
  <c r="Y41" i="39"/>
  <c r="BD41" i="39"/>
  <c r="W40" i="39"/>
  <c r="BC40" i="39"/>
  <c r="W47" i="39"/>
  <c r="BC47" i="39"/>
  <c r="Z52" i="39"/>
  <c r="BF52" i="39"/>
  <c r="CF48" i="39"/>
  <c r="Y54" i="39"/>
  <c r="BD54" i="39"/>
  <c r="W53" i="39"/>
  <c r="BC53" i="39"/>
  <c r="Z49" i="39"/>
  <c r="BF49" i="39"/>
  <c r="W51" i="39"/>
  <c r="BC51" i="39"/>
  <c r="BV50" i="39"/>
  <c r="W49" i="39"/>
  <c r="BC49" i="39"/>
  <c r="BQ57" i="39"/>
  <c r="CA62" i="39"/>
  <c r="X62" i="39"/>
  <c r="BE62" i="39"/>
  <c r="W55" i="39"/>
  <c r="BC55" i="39"/>
  <c r="Z56" i="39"/>
  <c r="BF56" i="39"/>
  <c r="Z65" i="39"/>
  <c r="BF65" i="39"/>
  <c r="Y70" i="39"/>
  <c r="BD70" i="39"/>
  <c r="BQ66" i="39"/>
  <c r="BQ65" i="39"/>
  <c r="W64" i="39"/>
  <c r="BC64" i="39"/>
  <c r="Z63" i="39"/>
  <c r="BF63" i="39"/>
  <c r="O31" i="39"/>
  <c r="O39" i="39"/>
  <c r="N47" i="39"/>
  <c r="P47" i="39" s="1"/>
  <c r="N52" i="39"/>
  <c r="P52" i="39" s="1"/>
  <c r="O57" i="39"/>
  <c r="N56" i="39"/>
  <c r="P56" i="39" s="1"/>
  <c r="W59" i="39"/>
  <c r="BC59" i="39"/>
  <c r="X34" i="39"/>
  <c r="BE34" i="39"/>
  <c r="CA20" i="39"/>
  <c r="W21" i="39"/>
  <c r="BC21" i="39"/>
  <c r="BQ22" i="39"/>
  <c r="Z28" i="39"/>
  <c r="BF28" i="39"/>
  <c r="W24" i="39"/>
  <c r="BC24" i="39"/>
  <c r="CA25" i="39"/>
  <c r="CF27" i="39"/>
  <c r="CA32" i="39"/>
  <c r="CA31" i="39"/>
  <c r="Z36" i="39"/>
  <c r="BF36" i="39"/>
  <c r="Y33" i="39"/>
  <c r="BD33" i="39"/>
  <c r="W39" i="39"/>
  <c r="BC39" i="39"/>
  <c r="BQ38" i="39"/>
  <c r="BV37" i="39"/>
  <c r="X45" i="39"/>
  <c r="BE45" i="39"/>
  <c r="BQ43" i="39"/>
  <c r="CA41" i="39"/>
  <c r="BQ40" i="39"/>
  <c r="CA48" i="39"/>
  <c r="BQ51" i="39"/>
  <c r="BQ49" i="39"/>
  <c r="Z61" i="39"/>
  <c r="BF61" i="39"/>
  <c r="Z58" i="39"/>
  <c r="BF58" i="39"/>
  <c r="CA59" i="39"/>
  <c r="CF60" i="39"/>
  <c r="Y60" i="39"/>
  <c r="BD60" i="39"/>
  <c r="Y71" i="39"/>
  <c r="BD71" i="39"/>
  <c r="X68" i="39"/>
  <c r="BE68" i="39"/>
  <c r="X69" i="39"/>
  <c r="BE69" i="39"/>
  <c r="CA66" i="39"/>
  <c r="O36" i="39"/>
  <c r="O27" i="39"/>
  <c r="O44" i="39"/>
  <c r="O47" i="39"/>
  <c r="CF51" i="39"/>
  <c r="X38" i="39"/>
  <c r="BE38" i="39"/>
  <c r="Z39" i="39"/>
  <c r="BF39" i="39"/>
  <c r="X20" i="39"/>
  <c r="BE20" i="39"/>
  <c r="Z22" i="39"/>
  <c r="BF22" i="39"/>
  <c r="Y22" i="39"/>
  <c r="BD22" i="39"/>
  <c r="X27" i="39"/>
  <c r="BE27" i="39"/>
  <c r="BV34" i="39"/>
  <c r="Y30" i="39"/>
  <c r="BD30" i="39"/>
  <c r="W33" i="39"/>
  <c r="BC33" i="39"/>
  <c r="X35" i="39"/>
  <c r="BE35" i="39"/>
  <c r="Z34" i="39"/>
  <c r="BF34" i="39"/>
  <c r="W30" i="39"/>
  <c r="BC30" i="39"/>
  <c r="CF25" i="39"/>
  <c r="BQ34" i="39"/>
  <c r="X30" i="39"/>
  <c r="BE30" i="39"/>
  <c r="BV25" i="39"/>
  <c r="CA44" i="39"/>
  <c r="W42" i="39"/>
  <c r="BC42" i="39"/>
  <c r="W48" i="39"/>
  <c r="BC48" i="39"/>
  <c r="Y46" i="39"/>
  <c r="BD46" i="39"/>
  <c r="BV48" i="39"/>
  <c r="BQ53" i="39"/>
  <c r="Z46" i="39"/>
  <c r="BF46" i="39"/>
  <c r="BQ50" i="39"/>
  <c r="W61" i="39"/>
  <c r="BC61" i="39"/>
  <c r="BV56" i="39"/>
  <c r="W56" i="39"/>
  <c r="BC56" i="39"/>
  <c r="BV62" i="39"/>
  <c r="CF62" i="39"/>
  <c r="BD62" i="39"/>
  <c r="Y62" i="39"/>
  <c r="CA55" i="39"/>
  <c r="X55" i="39"/>
  <c r="BE55" i="39"/>
  <c r="CA69" i="39"/>
  <c r="W65" i="39"/>
  <c r="BC65" i="39"/>
  <c r="BD66" i="39"/>
  <c r="BC70" i="39"/>
  <c r="O24" i="39"/>
  <c r="N26" i="39"/>
  <c r="P26" i="39" s="1"/>
  <c r="N67" i="39"/>
  <c r="P67" i="39" s="1"/>
  <c r="O65" i="39"/>
  <c r="W45" i="39"/>
  <c r="BC45" i="39"/>
  <c r="CA29" i="39"/>
  <c r="BV22" i="39"/>
  <c r="Y32" i="39"/>
  <c r="BD32" i="39"/>
  <c r="W32" i="39"/>
  <c r="BC32" i="39"/>
  <c r="Z25" i="39"/>
  <c r="BF25" i="39"/>
  <c r="BQ27" i="39"/>
  <c r="X23" i="39"/>
  <c r="BE23" i="39"/>
  <c r="X33" i="39"/>
  <c r="BE33" i="39"/>
  <c r="Z32" i="39"/>
  <c r="BF32" i="39"/>
  <c r="W28" i="39"/>
  <c r="BC28" i="39"/>
  <c r="Z31" i="39"/>
  <c r="BF31" i="39"/>
  <c r="W27" i="39"/>
  <c r="BC27" i="39"/>
  <c r="W37" i="39"/>
  <c r="BC37" i="39"/>
  <c r="Z42" i="39"/>
  <c r="BF42" i="39"/>
  <c r="BV45" i="39"/>
  <c r="X44" i="39"/>
  <c r="BE44" i="39"/>
  <c r="BQ42" i="39"/>
  <c r="X41" i="39"/>
  <c r="BE41" i="39"/>
  <c r="BQ48" i="39"/>
  <c r="W54" i="39"/>
  <c r="BC54" i="39"/>
  <c r="Y52" i="39"/>
  <c r="BD52" i="39"/>
  <c r="X50" i="39"/>
  <c r="BE50" i="39"/>
  <c r="BV58" i="39"/>
  <c r="W58" i="39"/>
  <c r="BC58" i="39"/>
  <c r="X61" i="39"/>
  <c r="BE61" i="39"/>
  <c r="CF61" i="39"/>
  <c r="BV71" i="39"/>
  <c r="BQ64" i="39"/>
  <c r="CA64" i="39"/>
  <c r="N22" i="39"/>
  <c r="P22" i="39" s="1"/>
  <c r="N21" i="39"/>
  <c r="P21" i="39" s="1"/>
  <c r="O28" i="39"/>
  <c r="Z21" i="39"/>
  <c r="BF21" i="39"/>
  <c r="BC68" i="39"/>
  <c r="W68" i="39"/>
  <c r="CA71" i="39"/>
  <c r="X63" i="39"/>
  <c r="BE63" i="39"/>
  <c r="W22" i="39"/>
  <c r="BC22" i="39"/>
  <c r="CF30" i="39"/>
  <c r="CF28" i="39"/>
  <c r="BV33" i="39"/>
  <c r="Y29" i="39"/>
  <c r="BD29" i="39"/>
  <c r="CA35" i="39"/>
  <c r="BV30" i="39"/>
  <c r="Y26" i="39"/>
  <c r="BD26" i="39"/>
  <c r="X24" i="39"/>
  <c r="BE24" i="39"/>
  <c r="Y36" i="39"/>
  <c r="BD36" i="39"/>
  <c r="Y35" i="39"/>
  <c r="BD35" i="39"/>
  <c r="CA30" i="39"/>
  <c r="Z45" i="39"/>
  <c r="BF45" i="39"/>
  <c r="BV44" i="39"/>
  <c r="Y43" i="39"/>
  <c r="BD43" i="39"/>
  <c r="CF47" i="39"/>
  <c r="X46" i="39"/>
  <c r="BE46" i="39"/>
  <c r="CF53" i="39"/>
  <c r="Z47" i="39"/>
  <c r="BF47" i="39"/>
  <c r="CA52" i="39"/>
  <c r="CA58" i="39"/>
  <c r="BE58" i="39"/>
  <c r="X58" i="39"/>
  <c r="BQ61" i="39"/>
  <c r="BV69" i="39"/>
  <c r="BQ63" i="39"/>
  <c r="W63" i="39"/>
  <c r="BC63" i="39"/>
  <c r="Z68" i="39"/>
  <c r="BF68" i="39"/>
  <c r="N27" i="39"/>
  <c r="P27" i="39" s="1"/>
  <c r="N35" i="39"/>
  <c r="P35" i="39" s="1"/>
  <c r="N38" i="39"/>
  <c r="P38" i="39" s="1"/>
  <c r="O59" i="39"/>
  <c r="Z41" i="39"/>
  <c r="BF41" i="39"/>
  <c r="W60" i="39"/>
  <c r="BC60" i="39"/>
  <c r="X71" i="39"/>
  <c r="BE71" i="39"/>
  <c r="CA22" i="39"/>
  <c r="BV21" i="39"/>
  <c r="W35" i="39"/>
  <c r="BC35" i="39"/>
  <c r="BQ28" i="39"/>
  <c r="CA33" i="39"/>
  <c r="BV28" i="39"/>
  <c r="Y24" i="39"/>
  <c r="BD24" i="39"/>
  <c r="BV27" i="39"/>
  <c r="Y23" i="39"/>
  <c r="BD23" i="39"/>
  <c r="BQ33" i="39"/>
  <c r="X29" i="39"/>
  <c r="BE29" i="39"/>
  <c r="Y38" i="39"/>
  <c r="BD38" i="39"/>
  <c r="Z40" i="39"/>
  <c r="BF40" i="39"/>
  <c r="BQ45" i="39"/>
  <c r="W44" i="39"/>
  <c r="BC44" i="39"/>
  <c r="CF42" i="39"/>
  <c r="W41" i="39"/>
  <c r="BC41" i="39"/>
  <c r="Y40" i="39"/>
  <c r="BD40" i="39"/>
  <c r="CA47" i="39"/>
  <c r="Y53" i="39"/>
  <c r="BD53" i="39"/>
  <c r="X52" i="39"/>
  <c r="BE52" i="39"/>
  <c r="Y51" i="39"/>
  <c r="BD51" i="39"/>
  <c r="Z50" i="39"/>
  <c r="BF50" i="39"/>
  <c r="Y50" i="39"/>
  <c r="BD50" i="39"/>
  <c r="Y49" i="39"/>
  <c r="BD49" i="39"/>
  <c r="W57" i="39"/>
  <c r="BC57" i="39"/>
  <c r="BV70" i="39"/>
  <c r="BQ68" i="39"/>
  <c r="Z71" i="39"/>
  <c r="BF71" i="39"/>
  <c r="BD65" i="39"/>
  <c r="N32" i="39"/>
  <c r="P32" i="39" s="1"/>
  <c r="N23" i="39"/>
  <c r="P23" i="39" s="1"/>
  <c r="O43" i="39"/>
  <c r="O61" i="39"/>
  <c r="Z44" i="39"/>
  <c r="BF44" i="39"/>
  <c r="X56" i="39"/>
  <c r="BE56" i="39"/>
  <c r="BV63" i="39"/>
  <c r="X22" i="39"/>
  <c r="BE22" i="39"/>
  <c r="BQ20" i="39"/>
  <c r="Z27" i="39"/>
  <c r="BF27" i="39"/>
  <c r="W23" i="39"/>
  <c r="BC23" i="39"/>
  <c r="BQ30" i="39"/>
  <c r="X26" i="39"/>
  <c r="BE26" i="39"/>
  <c r="Z35" i="39"/>
  <c r="BF35" i="39"/>
  <c r="W31" i="39"/>
  <c r="BC31" i="39"/>
  <c r="Z30" i="39"/>
  <c r="BF30" i="39"/>
  <c r="W26" i="39"/>
  <c r="BC26" i="39"/>
  <c r="Y39" i="39"/>
  <c r="BD39" i="39"/>
  <c r="Z43" i="39"/>
  <c r="BF43" i="39"/>
  <c r="CA43" i="39"/>
  <c r="BQ41" i="39"/>
  <c r="CA40" i="39"/>
  <c r="Z51" i="39"/>
  <c r="BF51" i="39"/>
  <c r="BQ54" i="39"/>
  <c r="CA51" i="39"/>
  <c r="CA49" i="39"/>
  <c r="BQ56" i="39"/>
  <c r="CF57" i="39"/>
  <c r="Z60" i="39"/>
  <c r="BF60" i="39"/>
  <c r="BD61" i="39"/>
  <c r="Y61" i="39"/>
  <c r="BQ59" i="39"/>
  <c r="W71" i="39"/>
  <c r="BC71" i="39"/>
  <c r="BD67" i="39"/>
  <c r="BV64" i="39"/>
  <c r="O46" i="39"/>
  <c r="O58" i="39"/>
  <c r="Y21" i="39"/>
  <c r="BD21" i="39"/>
  <c r="Y20" i="39"/>
  <c r="BD20" i="39"/>
  <c r="X28" i="39"/>
  <c r="BE28" i="39"/>
  <c r="Y28" i="39"/>
  <c r="BD28" i="39"/>
  <c r="CF29" i="39"/>
  <c r="Z23" i="39"/>
  <c r="BF23" i="39"/>
  <c r="Z33" i="39"/>
  <c r="BF33" i="39"/>
  <c r="W29" i="39"/>
  <c r="BC29" i="39"/>
  <c r="CF36" i="39"/>
  <c r="BQ44" i="39"/>
  <c r="X43" i="39"/>
  <c r="BE43" i="39"/>
  <c r="Y42" i="39"/>
  <c r="BD42" i="39"/>
  <c r="W46" i="39"/>
  <c r="BC46" i="39"/>
  <c r="CA54" i="39"/>
  <c r="CA53" i="39"/>
  <c r="Z48" i="39"/>
  <c r="BF48" i="39"/>
  <c r="BV52" i="39"/>
  <c r="Z62" i="39"/>
  <c r="BF62" i="39"/>
  <c r="Z57" i="39"/>
  <c r="BF57" i="39"/>
  <c r="X57" i="39"/>
  <c r="BE57" i="39"/>
  <c r="BQ69" i="39"/>
  <c r="X67" i="39"/>
  <c r="BE67" i="39"/>
  <c r="X66" i="39"/>
  <c r="BE66" i="39"/>
  <c r="Z70" i="39"/>
  <c r="BF70" i="39"/>
  <c r="Y69" i="39"/>
  <c r="BD69" i="39"/>
  <c r="X64" i="39"/>
  <c r="BE64" i="39"/>
  <c r="BQ71" i="39"/>
  <c r="O45" i="39"/>
  <c r="N46" i="39"/>
  <c r="P46" i="39" s="1"/>
  <c r="O64" i="39"/>
  <c r="Z54" i="39"/>
  <c r="BF54" i="39"/>
  <c r="Y37" i="39"/>
  <c r="BD37" i="39"/>
  <c r="X40" i="39"/>
  <c r="BE40" i="39"/>
  <c r="Z53" i="39"/>
  <c r="BF53" i="39"/>
  <c r="X53" i="39"/>
  <c r="BE53" i="39"/>
  <c r="W52" i="39"/>
  <c r="BC52" i="39"/>
  <c r="X51" i="39"/>
  <c r="BE51" i="39"/>
  <c r="X49" i="39"/>
  <c r="BE49" i="39"/>
  <c r="Y58" i="39"/>
  <c r="BD58" i="39"/>
  <c r="X59" i="39"/>
  <c r="BE59" i="39"/>
  <c r="BQ70" i="39"/>
  <c r="W69" i="39"/>
  <c r="BC69" i="39"/>
  <c r="Z67" i="39"/>
  <c r="BF67" i="39"/>
  <c r="O35" i="39"/>
  <c r="N43" i="39"/>
  <c r="P43" i="39" s="1"/>
  <c r="O63" i="39"/>
  <c r="Z20" i="39"/>
  <c r="BF20" i="39"/>
  <c r="CA24" i="39"/>
  <c r="BV20" i="39"/>
  <c r="BV23" i="39"/>
  <c r="CA26" i="39"/>
  <c r="BQ29" i="39"/>
  <c r="X25" i="39"/>
  <c r="BE25" i="39"/>
  <c r="X36" i="39"/>
  <c r="BE36" i="39"/>
  <c r="BV31" i="39"/>
  <c r="Y27" i="39"/>
  <c r="BD27" i="39"/>
  <c r="BQ26" i="39"/>
  <c r="BQ36" i="39"/>
  <c r="X32" i="39"/>
  <c r="BE32" i="39"/>
  <c r="BQ35" i="39"/>
  <c r="X31" i="39"/>
  <c r="BE31" i="39"/>
  <c r="BV26" i="39"/>
  <c r="X39" i="39"/>
  <c r="BE39" i="39"/>
  <c r="BV38" i="39"/>
  <c r="CA37" i="39"/>
  <c r="Y45" i="39"/>
  <c r="BD45" i="39"/>
  <c r="BV43" i="39"/>
  <c r="BV40" i="39"/>
  <c r="Y47" i="39"/>
  <c r="BD47" i="39"/>
  <c r="X54" i="39"/>
  <c r="BE54" i="39"/>
  <c r="BV51" i="39"/>
  <c r="BV49" i="39"/>
  <c r="W62" i="39"/>
  <c r="BC62" i="39"/>
  <c r="BV57" i="39"/>
  <c r="BQ62" i="39"/>
  <c r="BV61" i="39"/>
  <c r="Z55" i="39"/>
  <c r="BF55" i="39"/>
  <c r="Z66" i="39"/>
  <c r="BF66" i="39"/>
  <c r="Y68" i="39"/>
  <c r="BD68" i="39"/>
  <c r="BV67" i="39"/>
  <c r="CF68" i="39"/>
  <c r="Z69" i="39"/>
  <c r="BF69" i="39"/>
  <c r="O71" i="39"/>
  <c r="Z37" i="39"/>
  <c r="BF37" i="39"/>
  <c r="Y31" i="39"/>
  <c r="BD31" i="39"/>
  <c r="Y34" i="39"/>
  <c r="BD34" i="39"/>
  <c r="CA21" i="39"/>
  <c r="CA28" i="39"/>
  <c r="W34" i="39"/>
  <c r="BC34" i="39"/>
  <c r="BV29" i="39"/>
  <c r="Y25" i="39"/>
  <c r="BD25" i="39"/>
  <c r="BQ24" i="39"/>
  <c r="BQ23" i="39"/>
  <c r="Z29" i="39"/>
  <c r="BF29" i="39"/>
  <c r="W25" i="39"/>
  <c r="BC25" i="39"/>
  <c r="BV39" i="39"/>
  <c r="CF44" i="39"/>
  <c r="Z38" i="39"/>
  <c r="BF38" i="39"/>
  <c r="W43" i="39"/>
  <c r="BC43" i="39"/>
  <c r="X42" i="39"/>
  <c r="BE42" i="39"/>
  <c r="CF41" i="39"/>
  <c r="X48" i="39"/>
  <c r="BE48" i="39"/>
  <c r="X47" i="39"/>
  <c r="BE47" i="39"/>
  <c r="BV53" i="39"/>
  <c r="BQ52" i="39"/>
  <c r="CA50" i="39"/>
  <c r="W50" i="39"/>
  <c r="BC50" i="39"/>
  <c r="Y56" i="39"/>
  <c r="BD56" i="39"/>
  <c r="Y55" i="39"/>
  <c r="BD55" i="39"/>
  <c r="CA60" i="39"/>
  <c r="X60" i="39"/>
  <c r="BE60" i="39"/>
  <c r="Z59" i="39"/>
  <c r="BF59" i="39"/>
  <c r="Y57" i="39"/>
  <c r="BD57" i="39"/>
  <c r="CA61" i="39"/>
  <c r="CF59" i="39"/>
  <c r="Y59" i="39"/>
  <c r="BD59" i="39"/>
  <c r="Z64" i="39"/>
  <c r="BF64" i="39"/>
  <c r="CA68" i="39"/>
  <c r="W67" i="39"/>
  <c r="BC67" i="39"/>
  <c r="W66" i="39"/>
  <c r="BC66" i="39"/>
  <c r="X65" i="39"/>
  <c r="BE65" i="39"/>
  <c r="BV68" i="39"/>
  <c r="BE70" i="39"/>
  <c r="CF14" i="39"/>
  <c r="CF19" i="39"/>
  <c r="W19" i="39"/>
  <c r="BC19" i="39"/>
  <c r="BQ19" i="39"/>
  <c r="Y19" i="39"/>
  <c r="BD19" i="39"/>
  <c r="CA19" i="39"/>
  <c r="X19" i="39"/>
  <c r="BE19" i="39"/>
  <c r="CF15" i="39"/>
  <c r="Z19" i="39"/>
  <c r="BF19" i="39"/>
  <c r="BV19" i="39"/>
  <c r="CF3" i="39"/>
  <c r="BE17" i="39"/>
  <c r="CF16" i="39"/>
  <c r="BD14" i="39"/>
  <c r="BQ15" i="39"/>
  <c r="BQ16" i="39"/>
  <c r="BE18" i="39"/>
  <c r="CA14" i="39"/>
  <c r="Y15" i="39"/>
  <c r="BD15" i="39"/>
  <c r="BV18" i="39"/>
  <c r="Z15" i="39"/>
  <c r="BF15" i="39"/>
  <c r="W14" i="39"/>
  <c r="BC14" i="39"/>
  <c r="X14" i="39"/>
  <c r="BE14" i="39"/>
  <c r="Y17" i="39"/>
  <c r="BD17" i="39"/>
  <c r="CA15" i="39"/>
  <c r="CF18" i="39"/>
  <c r="BQ17" i="39"/>
  <c r="BQ14" i="39"/>
  <c r="BV17" i="39"/>
  <c r="BF16" i="39"/>
  <c r="X15" i="39"/>
  <c r="BE15" i="39"/>
  <c r="BV14" i="39"/>
  <c r="O17" i="39"/>
  <c r="BF18" i="39"/>
  <c r="Z18" i="39"/>
  <c r="BF14" i="39"/>
  <c r="CA17" i="39"/>
  <c r="W17" i="39"/>
  <c r="BC17" i="39"/>
  <c r="BQ18" i="39"/>
  <c r="N17" i="39"/>
  <c r="P17" i="39" s="1"/>
  <c r="BC18" i="39"/>
  <c r="Y16" i="39"/>
  <c r="BD16" i="39"/>
  <c r="Z17" i="39"/>
  <c r="BF17" i="39"/>
  <c r="BV16" i="39"/>
  <c r="W15" i="39"/>
  <c r="BC15" i="39"/>
  <c r="Y18" i="39"/>
  <c r="BD18" i="39"/>
  <c r="BC16" i="39"/>
  <c r="X16" i="39"/>
  <c r="BE16" i="39"/>
  <c r="CA16" i="39"/>
  <c r="BV15" i="39"/>
  <c r="CA18" i="39"/>
  <c r="CF17" i="39"/>
  <c r="O5" i="39"/>
  <c r="CF6" i="39"/>
  <c r="CF7" i="39"/>
  <c r="CA13" i="39"/>
  <c r="CA9" i="39"/>
  <c r="O3" i="39"/>
  <c r="CF13" i="39"/>
  <c r="BD6" i="39"/>
  <c r="CA10" i="39"/>
  <c r="BV6" i="39"/>
  <c r="CF10" i="39"/>
  <c r="CA12" i="39"/>
  <c r="CF5" i="39"/>
  <c r="BQ13" i="39"/>
  <c r="BV12" i="39"/>
  <c r="BD12" i="39"/>
  <c r="BQ8" i="39"/>
  <c r="Z7" i="39"/>
  <c r="BF7" i="39"/>
  <c r="BV8" i="39"/>
  <c r="Y9" i="39"/>
  <c r="BD9" i="39"/>
  <c r="BQ9" i="39"/>
  <c r="CA7" i="39"/>
  <c r="Y11" i="39"/>
  <c r="BD11" i="39"/>
  <c r="Z9" i="39"/>
  <c r="BF9" i="39"/>
  <c r="W6" i="39"/>
  <c r="BC6" i="39"/>
  <c r="BQ10" i="39"/>
  <c r="W5" i="39"/>
  <c r="BC5" i="39"/>
  <c r="X12" i="39"/>
  <c r="BE12" i="39"/>
  <c r="Y7" i="39"/>
  <c r="BD7" i="39"/>
  <c r="BQ6" i="39"/>
  <c r="Y5" i="39"/>
  <c r="BD5" i="39"/>
  <c r="X11" i="39"/>
  <c r="BE11" i="39"/>
  <c r="Z3" i="39"/>
  <c r="BF3" i="39"/>
  <c r="BV4" i="39"/>
  <c r="X8" i="39"/>
  <c r="BE8" i="39"/>
  <c r="W12" i="39"/>
  <c r="BC12" i="39"/>
  <c r="Z11" i="39"/>
  <c r="BF11" i="39"/>
  <c r="W10" i="39"/>
  <c r="BC10" i="39"/>
  <c r="BV11" i="39"/>
  <c r="BV9" i="39"/>
  <c r="BQ4" i="39"/>
  <c r="Z4" i="39"/>
  <c r="BF4" i="39"/>
  <c r="CF12" i="39"/>
  <c r="BV3" i="39"/>
  <c r="X7" i="39"/>
  <c r="BE7" i="39"/>
  <c r="Z12" i="39"/>
  <c r="BF12" i="39"/>
  <c r="CA5" i="39"/>
  <c r="X13" i="39"/>
  <c r="BE13" i="39"/>
  <c r="CF4" i="39"/>
  <c r="W8" i="39"/>
  <c r="BC8" i="39"/>
  <c r="BQ3" i="39"/>
  <c r="CF9" i="39"/>
  <c r="BQ12" i="39"/>
  <c r="CA3" i="39"/>
  <c r="Z10" i="39"/>
  <c r="BF10" i="39"/>
  <c r="X3" i="39"/>
  <c r="BE3" i="39"/>
  <c r="W13" i="39"/>
  <c r="BC13" i="39"/>
  <c r="Z8" i="39"/>
  <c r="BF8" i="39"/>
  <c r="W7" i="39"/>
  <c r="BC7" i="39"/>
  <c r="BV13" i="39"/>
  <c r="W4" i="39"/>
  <c r="BC4" i="39"/>
  <c r="CA8" i="39"/>
  <c r="CA6" i="39"/>
  <c r="Y10" i="39"/>
  <c r="BD10" i="39"/>
  <c r="X4" i="39"/>
  <c r="BE4" i="39"/>
  <c r="X5" i="39"/>
  <c r="BE5" i="39"/>
  <c r="BV5" i="39"/>
  <c r="X9" i="39"/>
  <c r="BE9" i="39"/>
  <c r="BV7" i="39"/>
  <c r="BQ11" i="39"/>
  <c r="Y8" i="39"/>
  <c r="BD8" i="39"/>
  <c r="BQ7" i="39"/>
  <c r="CF8" i="39"/>
  <c r="BQ5" i="39"/>
  <c r="BF6" i="39"/>
  <c r="Z6" i="39"/>
  <c r="CA11" i="39"/>
  <c r="CF11" i="39"/>
  <c r="W3" i="39"/>
  <c r="BC3" i="39"/>
  <c r="N5" i="39"/>
  <c r="P5" i="39" s="1"/>
  <c r="Y3" i="39"/>
  <c r="BD3" i="39"/>
  <c r="W11" i="39"/>
  <c r="BC11" i="39"/>
  <c r="W9" i="39"/>
  <c r="BC9" i="39"/>
  <c r="Z5" i="39"/>
  <c r="BF5" i="39"/>
  <c r="X10" i="39"/>
  <c r="BE10" i="39"/>
  <c r="BD13" i="39"/>
  <c r="CA4" i="39"/>
  <c r="BV10" i="39"/>
  <c r="BD4" i="39"/>
  <c r="Y4" i="39"/>
  <c r="Z13" i="39"/>
  <c r="BF13" i="39"/>
  <c r="X6" i="39"/>
  <c r="BE6" i="39"/>
  <c r="N3" i="39"/>
  <c r="P3" i="39" s="1"/>
  <c r="N2" i="39"/>
  <c r="P2" i="39" s="1"/>
  <c r="BD2" i="39"/>
  <c r="BC2" i="39"/>
  <c r="O2" i="39"/>
  <c r="BF2" i="39"/>
  <c r="BE2" i="39"/>
  <c r="CF2" i="39"/>
  <c r="BV2" i="39"/>
  <c r="BQ2" i="39"/>
  <c r="CA2" i="39"/>
  <c r="U2" i="39"/>
  <c r="V2" i="39" s="1"/>
  <c r="P92" i="39" l="1"/>
  <c r="U138" i="39"/>
  <c r="V138" i="39" s="1"/>
  <c r="U133" i="39"/>
  <c r="V133" i="39" s="1"/>
  <c r="U162" i="39"/>
  <c r="V162" i="39" s="1"/>
  <c r="U127" i="39"/>
  <c r="V127" i="39" s="1"/>
  <c r="U139" i="39"/>
  <c r="V139" i="39" s="1"/>
  <c r="U221" i="39"/>
  <c r="V221" i="39" s="1"/>
  <c r="U163" i="39"/>
  <c r="V163" i="39" s="1"/>
  <c r="U146" i="39"/>
  <c r="V146" i="39" s="1"/>
  <c r="U134" i="39"/>
  <c r="V134" i="39" s="1"/>
  <c r="U112" i="39"/>
  <c r="V112" i="39" s="1"/>
  <c r="U205" i="39"/>
  <c r="V205" i="39" s="1"/>
  <c r="U216" i="39"/>
  <c r="V216" i="39" s="1"/>
  <c r="U201" i="39"/>
  <c r="V201" i="39" s="1"/>
  <c r="U207" i="39"/>
  <c r="V207" i="39" s="1"/>
  <c r="U218" i="39"/>
  <c r="V218" i="39" s="1"/>
  <c r="U170" i="39"/>
  <c r="V170" i="39" s="1"/>
  <c r="U176" i="39"/>
  <c r="V176" i="39" s="1"/>
  <c r="U145" i="39"/>
  <c r="V145" i="39" s="1"/>
  <c r="U121" i="39"/>
  <c r="V121" i="39" s="1"/>
  <c r="U111" i="39"/>
  <c r="V111" i="39" s="1"/>
  <c r="U117" i="39"/>
  <c r="V117" i="39" s="1"/>
  <c r="U214" i="39"/>
  <c r="V214" i="39" s="1"/>
  <c r="U171" i="39"/>
  <c r="V171" i="39" s="1"/>
  <c r="U122" i="39"/>
  <c r="V122" i="39" s="1"/>
  <c r="U128" i="39"/>
  <c r="V128" i="39" s="1"/>
  <c r="U140" i="39"/>
  <c r="V140" i="39" s="1"/>
  <c r="U210" i="39"/>
  <c r="V210" i="39" s="1"/>
  <c r="U223" i="39"/>
  <c r="V223" i="39" s="1"/>
  <c r="U193" i="39"/>
  <c r="V193" i="39" s="1"/>
  <c r="U192" i="39"/>
  <c r="V192" i="39" s="1"/>
  <c r="U124" i="39"/>
  <c r="V124" i="39" s="1"/>
  <c r="U222" i="39"/>
  <c r="V222" i="39" s="1"/>
  <c r="U224" i="39"/>
  <c r="V224" i="39" s="1"/>
  <c r="U212" i="39"/>
  <c r="V212" i="39" s="1"/>
  <c r="U161" i="39"/>
  <c r="V161" i="39" s="1"/>
  <c r="U167" i="39"/>
  <c r="V167" i="39" s="1"/>
  <c r="U158" i="39"/>
  <c r="V158" i="39" s="1"/>
  <c r="U197" i="39"/>
  <c r="V197" i="39" s="1"/>
  <c r="U189" i="39"/>
  <c r="V189" i="39" s="1"/>
  <c r="U204" i="39"/>
  <c r="V204" i="39" s="1"/>
  <c r="U190" i="39"/>
  <c r="V190" i="39" s="1"/>
  <c r="U185" i="39"/>
  <c r="V185" i="39" s="1"/>
  <c r="U191" i="39"/>
  <c r="V191" i="39" s="1"/>
  <c r="U211" i="39"/>
  <c r="V211" i="39" s="1"/>
  <c r="U200" i="39"/>
  <c r="V200" i="39" s="1"/>
  <c r="U206" i="39"/>
  <c r="V206" i="39" s="1"/>
  <c r="U172" i="39"/>
  <c r="V172" i="39" s="1"/>
  <c r="U164" i="39"/>
  <c r="V164" i="39" s="1"/>
  <c r="U147" i="39"/>
  <c r="V147" i="39" s="1"/>
  <c r="U153" i="39"/>
  <c r="V153" i="39" s="1"/>
  <c r="U123" i="39"/>
  <c r="V123" i="39" s="1"/>
  <c r="U129" i="39"/>
  <c r="V129" i="39" s="1"/>
  <c r="U135" i="39"/>
  <c r="V135" i="39" s="1"/>
  <c r="U141" i="39"/>
  <c r="V141" i="39" s="1"/>
  <c r="U113" i="39"/>
  <c r="V113" i="39" s="1"/>
  <c r="U217" i="39"/>
  <c r="V217" i="39" s="1"/>
  <c r="U186" i="39"/>
  <c r="V186" i="39" s="1"/>
  <c r="U173" i="39"/>
  <c r="V173" i="39" s="1"/>
  <c r="U179" i="39"/>
  <c r="V179" i="39" s="1"/>
  <c r="U159" i="39"/>
  <c r="V159" i="39" s="1"/>
  <c r="U165" i="39"/>
  <c r="V165" i="39" s="1"/>
  <c r="U156" i="39"/>
  <c r="V156" i="39" s="1"/>
  <c r="U142" i="39"/>
  <c r="V142" i="39" s="1"/>
  <c r="U148" i="39"/>
  <c r="V148" i="39" s="1"/>
  <c r="U154" i="39"/>
  <c r="V154" i="39" s="1"/>
  <c r="U118" i="39"/>
  <c r="V118" i="39" s="1"/>
  <c r="U130" i="39"/>
  <c r="V130" i="39" s="1"/>
  <c r="U136" i="39"/>
  <c r="V136" i="39" s="1"/>
  <c r="U108" i="39"/>
  <c r="V108" i="39" s="1"/>
  <c r="U187" i="39"/>
  <c r="V187" i="39" s="1"/>
  <c r="U219" i="39"/>
  <c r="V219" i="39" s="1"/>
  <c r="U202" i="39"/>
  <c r="V202" i="39" s="1"/>
  <c r="U208" i="39"/>
  <c r="V208" i="39" s="1"/>
  <c r="U168" i="39"/>
  <c r="V168" i="39" s="1"/>
  <c r="U174" i="39"/>
  <c r="V174" i="39" s="1"/>
  <c r="U180" i="39"/>
  <c r="V180" i="39" s="1"/>
  <c r="U160" i="39"/>
  <c r="V160" i="39" s="1"/>
  <c r="U166" i="39"/>
  <c r="V166" i="39" s="1"/>
  <c r="U157" i="39"/>
  <c r="V157" i="39" s="1"/>
  <c r="U143" i="39"/>
  <c r="V143" i="39" s="1"/>
  <c r="U155" i="39"/>
  <c r="V155" i="39" s="1"/>
  <c r="U119" i="39"/>
  <c r="V119" i="39" s="1"/>
  <c r="U125" i="39"/>
  <c r="V125" i="39" s="1"/>
  <c r="U131" i="39"/>
  <c r="V131" i="39" s="1"/>
  <c r="U137" i="39"/>
  <c r="V137" i="39" s="1"/>
  <c r="U109" i="39"/>
  <c r="V109" i="39" s="1"/>
  <c r="U115" i="39"/>
  <c r="V115" i="39" s="1"/>
  <c r="U213" i="39"/>
  <c r="V213" i="39" s="1"/>
  <c r="U196" i="39"/>
  <c r="V196" i="39" s="1"/>
  <c r="U182" i="39"/>
  <c r="V182" i="39" s="1"/>
  <c r="U188" i="39"/>
  <c r="V188" i="39" s="1"/>
  <c r="U220" i="39"/>
  <c r="V220" i="39" s="1"/>
  <c r="U209" i="39"/>
  <c r="V209" i="39" s="1"/>
  <c r="U169" i="39"/>
  <c r="V169" i="39" s="1"/>
  <c r="U181" i="39"/>
  <c r="V181" i="39" s="1"/>
  <c r="U144" i="39"/>
  <c r="V144" i="39" s="1"/>
  <c r="U150" i="39"/>
  <c r="V150" i="39" s="1"/>
  <c r="U132" i="39"/>
  <c r="V132" i="39" s="1"/>
  <c r="U110" i="39"/>
  <c r="V110" i="39" s="1"/>
  <c r="U116" i="39"/>
  <c r="V116" i="39" s="1"/>
  <c r="U215" i="39"/>
  <c r="V215" i="39" s="1"/>
  <c r="U199" i="39"/>
  <c r="V199" i="39" s="1"/>
  <c r="U203" i="39"/>
  <c r="V203" i="39" s="1"/>
  <c r="U183" i="39"/>
  <c r="V183" i="39" s="1"/>
  <c r="U194" i="39"/>
  <c r="V194" i="39" s="1"/>
  <c r="U195" i="39"/>
  <c r="V195" i="39" s="1"/>
  <c r="U175" i="39"/>
  <c r="V175" i="39" s="1"/>
  <c r="U177" i="39"/>
  <c r="V177" i="39" s="1"/>
  <c r="U178" i="39"/>
  <c r="V178" i="39" s="1"/>
  <c r="U149" i="39"/>
  <c r="V149" i="39" s="1"/>
  <c r="U151" i="39"/>
  <c r="V151" i="39" s="1"/>
  <c r="U152" i="39"/>
  <c r="V152" i="39" s="1"/>
  <c r="U114" i="39"/>
  <c r="V114" i="39" s="1"/>
  <c r="U98" i="39"/>
  <c r="V98" i="39" s="1"/>
  <c r="U101" i="39"/>
  <c r="V101" i="39" s="1"/>
  <c r="U85" i="39"/>
  <c r="V85" i="39" s="1"/>
  <c r="U104" i="39"/>
  <c r="V104" i="39" s="1"/>
  <c r="U95" i="39"/>
  <c r="V95" i="39" s="1"/>
  <c r="U73" i="39"/>
  <c r="V73" i="39" s="1"/>
  <c r="U82" i="39"/>
  <c r="V82" i="39" s="1"/>
  <c r="U80" i="39"/>
  <c r="V80" i="39" s="1"/>
  <c r="U84" i="39"/>
  <c r="V84" i="39" s="1"/>
  <c r="U74" i="39"/>
  <c r="V74" i="39" s="1"/>
  <c r="U87" i="39"/>
  <c r="V87" i="39" s="1"/>
  <c r="U93" i="39"/>
  <c r="V93" i="39" s="1"/>
  <c r="U86" i="39"/>
  <c r="V86" i="39" s="1"/>
  <c r="U100" i="39"/>
  <c r="V100" i="39" s="1"/>
  <c r="U94" i="39"/>
  <c r="V94" i="39" s="1"/>
  <c r="U99" i="39"/>
  <c r="V99" i="39" s="1"/>
  <c r="U91" i="39"/>
  <c r="V91" i="39" s="1"/>
  <c r="U107" i="39"/>
  <c r="V107" i="39" s="1"/>
  <c r="U72" i="39"/>
  <c r="V72" i="39" s="1"/>
  <c r="U92" i="39"/>
  <c r="V92" i="39" s="1"/>
  <c r="U102" i="39"/>
  <c r="V102" i="39" s="1"/>
  <c r="U96" i="39"/>
  <c r="V96" i="39" s="1"/>
  <c r="U76" i="39"/>
  <c r="V76" i="39" s="1"/>
  <c r="U97" i="39"/>
  <c r="V97" i="39" s="1"/>
  <c r="U90" i="39"/>
  <c r="V90" i="39" s="1"/>
  <c r="U105" i="39"/>
  <c r="V105" i="39" s="1"/>
  <c r="U88" i="39"/>
  <c r="V88" i="39" s="1"/>
  <c r="U77" i="39"/>
  <c r="V77" i="39" s="1"/>
  <c r="U83" i="39"/>
  <c r="V83" i="39" s="1"/>
  <c r="U75" i="39"/>
  <c r="V75" i="39" s="1"/>
  <c r="U79" i="39"/>
  <c r="V79" i="39" s="1"/>
  <c r="U89" i="39"/>
  <c r="V89" i="39" s="1"/>
  <c r="U103" i="39"/>
  <c r="V103" i="39" s="1"/>
  <c r="U81" i="39"/>
  <c r="V81" i="39" s="1"/>
  <c r="U106" i="39"/>
  <c r="V106" i="39" s="1"/>
  <c r="U78" i="39"/>
  <c r="V78" i="39" s="1"/>
  <c r="U32" i="39"/>
  <c r="V32" i="39" s="1"/>
  <c r="U35" i="39"/>
  <c r="V35" i="39" s="1"/>
  <c r="U56" i="39"/>
  <c r="V56" i="39" s="1"/>
  <c r="U48" i="39"/>
  <c r="V48" i="39" s="1"/>
  <c r="U30" i="39"/>
  <c r="V30" i="39" s="1"/>
  <c r="U50" i="39"/>
  <c r="V50" i="39" s="1"/>
  <c r="U43" i="39"/>
  <c r="V43" i="39" s="1"/>
  <c r="U46" i="39"/>
  <c r="V46" i="39" s="1"/>
  <c r="U53" i="39"/>
  <c r="V53" i="39" s="1"/>
  <c r="U26" i="39"/>
  <c r="V26" i="39" s="1"/>
  <c r="U24" i="39"/>
  <c r="V24" i="39" s="1"/>
  <c r="U70" i="39"/>
  <c r="V70" i="39" s="1"/>
  <c r="U66" i="39"/>
  <c r="V66" i="39" s="1"/>
  <c r="U71" i="39"/>
  <c r="V71" i="39" s="1"/>
  <c r="U34" i="39"/>
  <c r="V34" i="39" s="1"/>
  <c r="U47" i="39"/>
  <c r="V47" i="39" s="1"/>
  <c r="U52" i="39"/>
  <c r="V52" i="39" s="1"/>
  <c r="U29" i="39"/>
  <c r="V29" i="39" s="1"/>
  <c r="U27" i="39"/>
  <c r="V27" i="39" s="1"/>
  <c r="U55" i="39"/>
  <c r="V55" i="39" s="1"/>
  <c r="U23" i="39"/>
  <c r="V23" i="39" s="1"/>
  <c r="U59" i="39"/>
  <c r="V59" i="39" s="1"/>
  <c r="U69" i="39"/>
  <c r="V69" i="39" s="1"/>
  <c r="U36" i="39"/>
  <c r="V36" i="39" s="1"/>
  <c r="U21" i="39"/>
  <c r="V21" i="39" s="1"/>
  <c r="U58" i="39"/>
  <c r="V58" i="39" s="1"/>
  <c r="U68" i="39"/>
  <c r="V68" i="39" s="1"/>
  <c r="U64" i="39"/>
  <c r="V64" i="39" s="1"/>
  <c r="U65" i="39"/>
  <c r="V65" i="39" s="1"/>
  <c r="U49" i="39"/>
  <c r="V49" i="39" s="1"/>
  <c r="U20" i="39"/>
  <c r="V20" i="39" s="1"/>
  <c r="U22" i="39"/>
  <c r="V22" i="39" s="1"/>
  <c r="U42" i="39"/>
  <c r="V42" i="39" s="1"/>
  <c r="U38" i="39"/>
  <c r="V38" i="39" s="1"/>
  <c r="U67" i="39"/>
  <c r="V67" i="39" s="1"/>
  <c r="U28" i="39"/>
  <c r="V28" i="39" s="1"/>
  <c r="U41" i="39"/>
  <c r="V41" i="39" s="1"/>
  <c r="U33" i="39"/>
  <c r="V33" i="39" s="1"/>
  <c r="U39" i="39"/>
  <c r="V39" i="39" s="1"/>
  <c r="U25" i="39"/>
  <c r="V25" i="39" s="1"/>
  <c r="U31" i="39"/>
  <c r="V31" i="39" s="1"/>
  <c r="U45" i="39"/>
  <c r="V45" i="39" s="1"/>
  <c r="U51" i="39"/>
  <c r="V51" i="39" s="1"/>
  <c r="U57" i="39"/>
  <c r="V57" i="39" s="1"/>
  <c r="U61" i="39"/>
  <c r="V61" i="39" s="1"/>
  <c r="U44" i="39"/>
  <c r="V44" i="39" s="1"/>
  <c r="U60" i="39"/>
  <c r="V60" i="39" s="1"/>
  <c r="U63" i="39"/>
  <c r="V63" i="39" s="1"/>
  <c r="U37" i="39"/>
  <c r="V37" i="39" s="1"/>
  <c r="U40" i="39"/>
  <c r="V40" i="39" s="1"/>
  <c r="U54" i="39"/>
  <c r="V54" i="39" s="1"/>
  <c r="U62" i="39"/>
  <c r="V62" i="39" s="1"/>
  <c r="U19" i="39"/>
  <c r="V19" i="39" s="1"/>
  <c r="U14" i="39"/>
  <c r="V14" i="39" s="1"/>
  <c r="U16" i="39"/>
  <c r="V16" i="39" s="1"/>
  <c r="U17" i="39"/>
  <c r="V17" i="39" s="1"/>
  <c r="U18" i="39"/>
  <c r="V18" i="39" s="1"/>
  <c r="U15" i="39"/>
  <c r="V15" i="39" s="1"/>
  <c r="U8" i="39"/>
  <c r="V8" i="39" s="1"/>
  <c r="U7" i="39"/>
  <c r="V7" i="39" s="1"/>
  <c r="U13" i="39"/>
  <c r="V13" i="39" s="1"/>
  <c r="U4" i="39"/>
  <c r="V4" i="39" s="1"/>
  <c r="U11" i="39"/>
  <c r="V11" i="39" s="1"/>
  <c r="U12" i="39"/>
  <c r="V12" i="39" s="1"/>
  <c r="U3" i="39"/>
  <c r="V3" i="39" s="1"/>
  <c r="U10" i="39"/>
  <c r="V10" i="39" s="1"/>
  <c r="U9" i="39"/>
  <c r="V9" i="39" s="1"/>
  <c r="U6" i="39"/>
  <c r="V6" i="39" s="1"/>
  <c r="U5" i="39"/>
  <c r="V5" i="39" s="1"/>
  <c r="G1167" i="27"/>
  <c r="A1167" i="27"/>
  <c r="G1166" i="27"/>
  <c r="A1166" i="27"/>
  <c r="G1165" i="27"/>
  <c r="A1165" i="27"/>
  <c r="G1164" i="27"/>
  <c r="A1164" i="27"/>
  <c r="G1163" i="27"/>
  <c r="A1163" i="27"/>
  <c r="G1162" i="27"/>
  <c r="A1162" i="27"/>
  <c r="G1161" i="27"/>
  <c r="A1161" i="27"/>
  <c r="G1160" i="27"/>
  <c r="A1160" i="27"/>
  <c r="G1159" i="27"/>
  <c r="A1159" i="27"/>
  <c r="G1158" i="27"/>
  <c r="A1158" i="27"/>
  <c r="G1157" i="27"/>
  <c r="A1157" i="27"/>
  <c r="G1156" i="27"/>
  <c r="A1156" i="27"/>
  <c r="G1155" i="27"/>
  <c r="A1155" i="27"/>
  <c r="G1154" i="27"/>
  <c r="A1154" i="27"/>
  <c r="G1153" i="27"/>
  <c r="A1153" i="27"/>
  <c r="G1152" i="27"/>
  <c r="A1152" i="27"/>
  <c r="G1151" i="27"/>
  <c r="A1151" i="27"/>
  <c r="G1150" i="27"/>
  <c r="A1150" i="27"/>
  <c r="G1149" i="27"/>
  <c r="A1149" i="27"/>
  <c r="G1148" i="27"/>
  <c r="A1148" i="27"/>
  <c r="G1147" i="27"/>
  <c r="A1147" i="27"/>
  <c r="G1146" i="27"/>
  <c r="A1146" i="27"/>
  <c r="G1145" i="27"/>
  <c r="A1145" i="27"/>
  <c r="G1144" i="27"/>
  <c r="A1144" i="27"/>
  <c r="G1143" i="27"/>
  <c r="A1143" i="27"/>
  <c r="G1142" i="27"/>
  <c r="A1142" i="27"/>
  <c r="G1141" i="27"/>
  <c r="A1141" i="27"/>
  <c r="G1140" i="27"/>
  <c r="A1140" i="27"/>
  <c r="G1139" i="27"/>
  <c r="A1139" i="27"/>
  <c r="G1138" i="27"/>
  <c r="A1138" i="27"/>
  <c r="G1137" i="27"/>
  <c r="A1137" i="27"/>
  <c r="G1136" i="27"/>
  <c r="A1136" i="27"/>
  <c r="G1135" i="27"/>
  <c r="A1135" i="27"/>
  <c r="G1134" i="27"/>
  <c r="A1134" i="27"/>
  <c r="G1133" i="27"/>
  <c r="A1133" i="27"/>
  <c r="G1132" i="27"/>
  <c r="A1132" i="27"/>
  <c r="G1131" i="27"/>
  <c r="A1131" i="27"/>
  <c r="G1130" i="27"/>
  <c r="A1130" i="27"/>
  <c r="G1129" i="27"/>
  <c r="A1129" i="27"/>
  <c r="G1128" i="27"/>
  <c r="A1128" i="27"/>
  <c r="G1127" i="27"/>
  <c r="A1127" i="27"/>
  <c r="G1126" i="27"/>
  <c r="A1126" i="27"/>
  <c r="G1125" i="27"/>
  <c r="A1125" i="27"/>
  <c r="G1124" i="27"/>
  <c r="A1124" i="27"/>
  <c r="G1123" i="27"/>
  <c r="A1123" i="27"/>
  <c r="G1122" i="27"/>
  <c r="A1122" i="27"/>
  <c r="G1121" i="27"/>
  <c r="A1121" i="27"/>
  <c r="G1120" i="27"/>
  <c r="A1120" i="27"/>
  <c r="G1119" i="27"/>
  <c r="A1119" i="27"/>
  <c r="G1118" i="27"/>
  <c r="A1118" i="27"/>
  <c r="G1117" i="27"/>
  <c r="A1117" i="27"/>
  <c r="G1116" i="27"/>
  <c r="A1116" i="27"/>
  <c r="G1115" i="27"/>
  <c r="A1115" i="27"/>
  <c r="G1114" i="27"/>
  <c r="A1114" i="27"/>
  <c r="G1113" i="27"/>
  <c r="A1113" i="27"/>
  <c r="G1112" i="27"/>
  <c r="A1112" i="27"/>
  <c r="G1111" i="27"/>
  <c r="A1111" i="27"/>
  <c r="G1110" i="27"/>
  <c r="A1110" i="27"/>
  <c r="G1109" i="27"/>
  <c r="A1109" i="27"/>
  <c r="G1108" i="27"/>
  <c r="A1108" i="27"/>
  <c r="G1107" i="27"/>
  <c r="A1107" i="27"/>
  <c r="G1106" i="27"/>
  <c r="A1106" i="27"/>
  <c r="G1105" i="27"/>
  <c r="A1105" i="27"/>
  <c r="G1104" i="27"/>
  <c r="A1104" i="27"/>
  <c r="G1103" i="27"/>
  <c r="A1103" i="27"/>
  <c r="G1102" i="27"/>
  <c r="A1102" i="27"/>
  <c r="G1101" i="27"/>
  <c r="A1101" i="27"/>
  <c r="G1100" i="27"/>
  <c r="A1100" i="27"/>
  <c r="G1099" i="27"/>
  <c r="A1099" i="27"/>
  <c r="G1098" i="27"/>
  <c r="A1098" i="27"/>
  <c r="G1097" i="27"/>
  <c r="A1097" i="27"/>
  <c r="G1096" i="27"/>
  <c r="A1096" i="27"/>
  <c r="G1095" i="27"/>
  <c r="A1095" i="27"/>
  <c r="G1094" i="27"/>
  <c r="A1094" i="27"/>
  <c r="G1093" i="27"/>
  <c r="A1093" i="27"/>
  <c r="G1092" i="27"/>
  <c r="A1092" i="27"/>
  <c r="G1091" i="27"/>
  <c r="I1091" i="27" s="1"/>
  <c r="A1091" i="27"/>
  <c r="G1090" i="27"/>
  <c r="I1090" i="27" s="1"/>
  <c r="A1090" i="27"/>
  <c r="G1089" i="27"/>
  <c r="I1089" i="27" s="1"/>
  <c r="A1089" i="27"/>
  <c r="G1088" i="27"/>
  <c r="I1088" i="27" s="1"/>
  <c r="A1088" i="27"/>
  <c r="G1087" i="27"/>
  <c r="I1087" i="27" s="1"/>
  <c r="A1087" i="27"/>
  <c r="G1086" i="27"/>
  <c r="I1086" i="27" s="1"/>
  <c r="A1086" i="27"/>
  <c r="G1085" i="27"/>
  <c r="A1085" i="27"/>
  <c r="G1084" i="27"/>
  <c r="I1084" i="27" s="1"/>
  <c r="A1084" i="27"/>
  <c r="G1083" i="27"/>
  <c r="I1083" i="27" s="1"/>
  <c r="A1083" i="27"/>
  <c r="G1082" i="27"/>
  <c r="I1082" i="27" s="1"/>
  <c r="A1082" i="27"/>
  <c r="G1081" i="27"/>
  <c r="A1081" i="27"/>
  <c r="G1080" i="27"/>
  <c r="I1080" i="27" s="1"/>
  <c r="A1080" i="27"/>
  <c r="G1079" i="27"/>
  <c r="I1079" i="27" s="1"/>
  <c r="A1079" i="27"/>
  <c r="G1078" i="27"/>
  <c r="I1078" i="27" s="1"/>
  <c r="A1078" i="27"/>
  <c r="G1077" i="27"/>
  <c r="I1077" i="27" s="1"/>
  <c r="A1077" i="27"/>
  <c r="G1076" i="27"/>
  <c r="I1076" i="27" s="1"/>
  <c r="A1076" i="27"/>
  <c r="G1075" i="27"/>
  <c r="I1075" i="27" s="1"/>
  <c r="A1075" i="27"/>
  <c r="G1074" i="27"/>
  <c r="A1074" i="27"/>
  <c r="G1073" i="27"/>
  <c r="I1073" i="27" s="1"/>
  <c r="A1073" i="27"/>
  <c r="G1072" i="27"/>
  <c r="I1072" i="27" s="1"/>
  <c r="A1072" i="27"/>
  <c r="G1071" i="27"/>
  <c r="I1071" i="27" s="1"/>
  <c r="A1071" i="27"/>
  <c r="G1070" i="27"/>
  <c r="I1070" i="27" s="1"/>
  <c r="A1070" i="27"/>
  <c r="G1069" i="27"/>
  <c r="I1069" i="27" s="1"/>
  <c r="A1069" i="27"/>
  <c r="G1068" i="27"/>
  <c r="I1068" i="27" s="1"/>
  <c r="A1068" i="27"/>
  <c r="G1067" i="27"/>
  <c r="I1067" i="27" s="1"/>
  <c r="A1067" i="27"/>
  <c r="G1066" i="27"/>
  <c r="I1066" i="27" s="1"/>
  <c r="A1066" i="27"/>
  <c r="G1065" i="27"/>
  <c r="I1065" i="27" s="1"/>
  <c r="A1065" i="27"/>
  <c r="G1064" i="27"/>
  <c r="I1064" i="27" s="1"/>
  <c r="A1064" i="27"/>
  <c r="G1063" i="27"/>
  <c r="I1063" i="27" s="1"/>
  <c r="A1063" i="27"/>
  <c r="G1062" i="27"/>
  <c r="I1062" i="27" s="1"/>
  <c r="A1062" i="27"/>
  <c r="G1061" i="27"/>
  <c r="I1061" i="27" s="1"/>
  <c r="A1061" i="27"/>
  <c r="G1060" i="27"/>
  <c r="I1060" i="27" s="1"/>
  <c r="A1060" i="27"/>
  <c r="G1059" i="27"/>
  <c r="I1059" i="27" s="1"/>
  <c r="A1059" i="27"/>
  <c r="G1058" i="27"/>
  <c r="I1058" i="27" s="1"/>
  <c r="A1058" i="27"/>
  <c r="G1057" i="27"/>
  <c r="I1057" i="27" s="1"/>
  <c r="A1057" i="27"/>
  <c r="G1056" i="27"/>
  <c r="I1056" i="27" s="1"/>
  <c r="A1056" i="27"/>
  <c r="G1055" i="27"/>
  <c r="A1055" i="27"/>
  <c r="G1054" i="27"/>
  <c r="A1054" i="27"/>
  <c r="G1053" i="27"/>
  <c r="A1053" i="27"/>
  <c r="G1052" i="27"/>
  <c r="A1052" i="27"/>
  <c r="G1051" i="27"/>
  <c r="A1051" i="27"/>
  <c r="G1050" i="27"/>
  <c r="A1050" i="27"/>
  <c r="G1049" i="27"/>
  <c r="A1049" i="27"/>
  <c r="G1048" i="27"/>
  <c r="A1048" i="27"/>
  <c r="G1047" i="27"/>
  <c r="A1047" i="27"/>
  <c r="G1046" i="27"/>
  <c r="A1046" i="27"/>
  <c r="G1045" i="27"/>
  <c r="A1045" i="27"/>
  <c r="G1044" i="27"/>
  <c r="A1044" i="27"/>
  <c r="G1043" i="27"/>
  <c r="A1043" i="27"/>
  <c r="G1042" i="27"/>
  <c r="A1042" i="27"/>
  <c r="G1041" i="27"/>
  <c r="A1041" i="27"/>
  <c r="G1040" i="27"/>
  <c r="A1040" i="27"/>
  <c r="G1039" i="27"/>
  <c r="A1039" i="27"/>
  <c r="G1038" i="27"/>
  <c r="A1038" i="27"/>
  <c r="G1037" i="27"/>
  <c r="I1037" i="27" s="1"/>
  <c r="A1037" i="27"/>
  <c r="G1036" i="27"/>
  <c r="I1036" i="27" s="1"/>
  <c r="A1036" i="27"/>
  <c r="G1035" i="27"/>
  <c r="I1035" i="27" s="1"/>
  <c r="A1035" i="27"/>
  <c r="G1034" i="27"/>
  <c r="I1034" i="27" s="1"/>
  <c r="A1034" i="27"/>
  <c r="G1033" i="27"/>
  <c r="I1033" i="27" s="1"/>
  <c r="A1033" i="27"/>
  <c r="G1032" i="27"/>
  <c r="I1032" i="27" s="1"/>
  <c r="A1032" i="27"/>
  <c r="G1031" i="27"/>
  <c r="I1031" i="27" s="1"/>
  <c r="A1031" i="27"/>
  <c r="G1030" i="27"/>
  <c r="I1030" i="27" s="1"/>
  <c r="A1030" i="27"/>
  <c r="G1029" i="27"/>
  <c r="I1029" i="27" s="1"/>
  <c r="A1029" i="27"/>
  <c r="G1028" i="27"/>
  <c r="I1028" i="27" s="1"/>
  <c r="A1028" i="27"/>
  <c r="G1027" i="27"/>
  <c r="I1027" i="27" s="1"/>
  <c r="A1027" i="27"/>
  <c r="G1026" i="27"/>
  <c r="I1026" i="27" s="1"/>
  <c r="A1026" i="27"/>
  <c r="G1025" i="27"/>
  <c r="I1025" i="27" s="1"/>
  <c r="A1025" i="27"/>
  <c r="G1024" i="27"/>
  <c r="I1024" i="27" s="1"/>
  <c r="A1024" i="27"/>
  <c r="G1023" i="27"/>
  <c r="I1023" i="27" s="1"/>
  <c r="A1023" i="27"/>
  <c r="G1022" i="27"/>
  <c r="I1022" i="27" s="1"/>
  <c r="A1022" i="27"/>
  <c r="G1021" i="27"/>
  <c r="I1021" i="27" s="1"/>
  <c r="A1021" i="27"/>
  <c r="G1020" i="27"/>
  <c r="A1020" i="27"/>
  <c r="G1019" i="27"/>
  <c r="A1019" i="27"/>
  <c r="G1018" i="27"/>
  <c r="A1018" i="27"/>
  <c r="G1017" i="27"/>
  <c r="A1017" i="27"/>
  <c r="G1016" i="27"/>
  <c r="A1016" i="27"/>
  <c r="G1015" i="27"/>
  <c r="I1015" i="27" s="1"/>
  <c r="A1015" i="27"/>
  <c r="G1014" i="27"/>
  <c r="A1014" i="27"/>
  <c r="G1013" i="27"/>
  <c r="I1013" i="27" s="1"/>
  <c r="A1013" i="27"/>
  <c r="G1012" i="27"/>
  <c r="I1012" i="27" s="1"/>
  <c r="A1012" i="27"/>
  <c r="G1011" i="27"/>
  <c r="A1011" i="27"/>
  <c r="G1010" i="27"/>
  <c r="A1010" i="27"/>
  <c r="G1009" i="27"/>
  <c r="A1009" i="27"/>
  <c r="G1008" i="27"/>
  <c r="I1008" i="27" s="1"/>
  <c r="A1008" i="27"/>
  <c r="G1007" i="27"/>
  <c r="A1007" i="27"/>
  <c r="G1006" i="27"/>
  <c r="A1006" i="27"/>
  <c r="G1005" i="27"/>
  <c r="I1005" i="27" s="1"/>
  <c r="A1005" i="27"/>
  <c r="G1004" i="27"/>
  <c r="A1004" i="27"/>
  <c r="G1003" i="27"/>
  <c r="I1003" i="27" s="1"/>
  <c r="A1003" i="27"/>
  <c r="G1002" i="27"/>
  <c r="I1002" i="27" s="1"/>
  <c r="A1002" i="27"/>
  <c r="G1001" i="27"/>
  <c r="I1001" i="27" s="1"/>
  <c r="A1001" i="27"/>
  <c r="G1000" i="27"/>
  <c r="I1000" i="27" s="1"/>
  <c r="A1000" i="27"/>
  <c r="G999" i="27"/>
  <c r="I999" i="27" s="1"/>
  <c r="A999" i="27"/>
  <c r="G998" i="27"/>
  <c r="I998" i="27" s="1"/>
  <c r="A998" i="27"/>
  <c r="G997" i="27"/>
  <c r="I997" i="27" s="1"/>
  <c r="A997" i="27"/>
  <c r="G996" i="27"/>
  <c r="I996" i="27" s="1"/>
  <c r="A996" i="27"/>
  <c r="G995" i="27"/>
  <c r="I995" i="27" s="1"/>
  <c r="A995" i="27"/>
  <c r="G994" i="27"/>
  <c r="I994" i="27" s="1"/>
  <c r="A994" i="27"/>
  <c r="G993" i="27"/>
  <c r="I993" i="27" s="1"/>
  <c r="A993" i="27"/>
  <c r="G992" i="27"/>
  <c r="I992" i="27" s="1"/>
  <c r="A992" i="27"/>
  <c r="G991" i="27"/>
  <c r="I991" i="27" s="1"/>
  <c r="A991" i="27"/>
  <c r="G990" i="27"/>
  <c r="I990" i="27" s="1"/>
  <c r="A990" i="27"/>
  <c r="G989" i="27"/>
  <c r="I989" i="27" s="1"/>
  <c r="A989" i="27"/>
  <c r="G988" i="27"/>
  <c r="I988" i="27" s="1"/>
  <c r="A988" i="27"/>
  <c r="G987" i="27"/>
  <c r="I987" i="27" s="1"/>
  <c r="A987" i="27"/>
  <c r="G986" i="27"/>
  <c r="I986" i="27" s="1"/>
  <c r="A986" i="27"/>
  <c r="G985" i="27"/>
  <c r="I985" i="27" s="1"/>
  <c r="A985" i="27"/>
  <c r="G984" i="27"/>
  <c r="I984" i="27" s="1"/>
  <c r="A984" i="27"/>
  <c r="G983" i="27"/>
  <c r="I983" i="27" s="1"/>
  <c r="A983" i="27"/>
  <c r="G982" i="27"/>
  <c r="I982" i="27" s="1"/>
  <c r="A982" i="27"/>
  <c r="G981" i="27"/>
  <c r="I981" i="27" s="1"/>
  <c r="A981" i="27"/>
  <c r="G980" i="27"/>
  <c r="I980" i="27" s="1"/>
  <c r="A980" i="27"/>
  <c r="G979" i="27"/>
  <c r="I979" i="27" s="1"/>
  <c r="A979" i="27"/>
  <c r="G978" i="27"/>
  <c r="I978" i="27" s="1"/>
  <c r="A978" i="27"/>
  <c r="G977" i="27"/>
  <c r="I977" i="27" s="1"/>
  <c r="A977" i="27"/>
  <c r="G976" i="27"/>
  <c r="I976" i="27" s="1"/>
  <c r="A976" i="27"/>
  <c r="G975" i="27"/>
  <c r="I975" i="27" s="1"/>
  <c r="A975" i="27"/>
  <c r="G974" i="27"/>
  <c r="I974" i="27" s="1"/>
  <c r="A974" i="27"/>
  <c r="G973" i="27"/>
  <c r="I973" i="27" s="1"/>
  <c r="A973" i="27"/>
  <c r="G972" i="27"/>
  <c r="I972" i="27" s="1"/>
  <c r="A972" i="27"/>
  <c r="G971" i="27"/>
  <c r="I971" i="27" s="1"/>
  <c r="A971" i="27"/>
  <c r="G969" i="27"/>
  <c r="I969" i="27" s="1"/>
  <c r="A969" i="27"/>
  <c r="G968" i="27"/>
  <c r="I968" i="27" s="1"/>
  <c r="A968" i="27"/>
  <c r="G967" i="27"/>
  <c r="I967" i="27" s="1"/>
  <c r="A967" i="27"/>
  <c r="G966" i="27"/>
  <c r="I966" i="27" s="1"/>
  <c r="A966" i="27"/>
  <c r="G965" i="27"/>
  <c r="I965" i="27" s="1"/>
  <c r="A965" i="27"/>
  <c r="G964" i="27"/>
  <c r="I964" i="27" s="1"/>
  <c r="A964" i="27"/>
  <c r="G963" i="27"/>
  <c r="I963" i="27" s="1"/>
  <c r="A963" i="27"/>
  <c r="G962" i="27"/>
  <c r="I962" i="27" s="1"/>
  <c r="A962" i="27"/>
  <c r="G961" i="27"/>
  <c r="I961" i="27" s="1"/>
  <c r="A961" i="27"/>
  <c r="G960" i="27"/>
  <c r="I960" i="27" s="1"/>
  <c r="A960" i="27"/>
  <c r="G959" i="27"/>
  <c r="I959" i="27" s="1"/>
  <c r="A959" i="27"/>
  <c r="G958" i="27"/>
  <c r="I958" i="27" s="1"/>
  <c r="A958" i="27"/>
  <c r="G957" i="27"/>
  <c r="I957" i="27" s="1"/>
  <c r="A957" i="27"/>
  <c r="G955" i="27"/>
  <c r="I955" i="27" s="1"/>
  <c r="A955" i="27"/>
  <c r="G954" i="27"/>
  <c r="I954" i="27" s="1"/>
  <c r="A954" i="27"/>
  <c r="G953" i="27"/>
  <c r="I953" i="27" s="1"/>
  <c r="A953" i="27"/>
  <c r="G952" i="27"/>
  <c r="I952" i="27" s="1"/>
  <c r="A952" i="27"/>
  <c r="G951" i="27"/>
  <c r="I951" i="27" s="1"/>
  <c r="A951" i="27"/>
  <c r="G950" i="27"/>
  <c r="I950" i="27" s="1"/>
  <c r="A950" i="27"/>
  <c r="G949" i="27"/>
  <c r="I949" i="27" s="1"/>
  <c r="A949" i="27"/>
  <c r="G948" i="27"/>
  <c r="I948" i="27" s="1"/>
  <c r="A948" i="27"/>
  <c r="G947" i="27"/>
  <c r="I947" i="27" s="1"/>
  <c r="A947" i="27"/>
  <c r="G946" i="27"/>
  <c r="I946" i="27" s="1"/>
  <c r="A946" i="27"/>
  <c r="G945" i="27"/>
  <c r="I945" i="27" s="1"/>
  <c r="A945" i="27"/>
  <c r="G944" i="27"/>
  <c r="I944" i="27" s="1"/>
  <c r="A944" i="27"/>
  <c r="G943" i="27"/>
  <c r="A943" i="27"/>
  <c r="G942" i="27"/>
  <c r="A942" i="27"/>
  <c r="G941" i="27"/>
  <c r="A941" i="27"/>
  <c r="G940" i="27"/>
  <c r="A940" i="27"/>
  <c r="G939" i="27"/>
  <c r="A939" i="27"/>
  <c r="G938" i="27"/>
  <c r="A938" i="27"/>
  <c r="G937" i="27"/>
  <c r="A937" i="27"/>
  <c r="G936" i="27"/>
  <c r="A936" i="27"/>
  <c r="G935" i="27"/>
  <c r="A935" i="27"/>
  <c r="G934" i="27"/>
  <c r="A934" i="27"/>
  <c r="G933" i="27"/>
  <c r="A933" i="27"/>
  <c r="G932" i="27"/>
  <c r="A932" i="27"/>
  <c r="G931" i="27"/>
  <c r="A931" i="27"/>
  <c r="G930" i="27"/>
  <c r="A930" i="27"/>
  <c r="G929" i="27"/>
  <c r="A929" i="27"/>
  <c r="G928" i="27"/>
  <c r="A928" i="27"/>
  <c r="G927" i="27"/>
  <c r="A927" i="27"/>
  <c r="G926" i="27"/>
  <c r="A926" i="27"/>
  <c r="G925" i="27"/>
  <c r="A925" i="27"/>
  <c r="G924" i="27"/>
  <c r="A924" i="27"/>
  <c r="G923" i="27"/>
  <c r="A923" i="27"/>
  <c r="G922" i="27"/>
  <c r="A922" i="27"/>
  <c r="G921" i="27"/>
  <c r="A921" i="27"/>
  <c r="G920" i="27"/>
  <c r="A920" i="27"/>
  <c r="G919" i="27"/>
  <c r="A919" i="27"/>
  <c r="G918" i="27"/>
  <c r="A918" i="27"/>
  <c r="G917" i="27"/>
  <c r="A917" i="27"/>
  <c r="G916" i="27"/>
  <c r="A916" i="27"/>
  <c r="G915" i="27"/>
  <c r="A915" i="27"/>
  <c r="G914" i="27"/>
  <c r="A914" i="27"/>
  <c r="G913" i="27"/>
  <c r="A913" i="27"/>
  <c r="G912" i="27"/>
  <c r="A912" i="27"/>
  <c r="G911" i="27"/>
  <c r="A911" i="27"/>
  <c r="G910" i="27"/>
  <c r="A910" i="27"/>
  <c r="G909" i="27"/>
  <c r="A909" i="27"/>
  <c r="G908" i="27"/>
  <c r="A908" i="27"/>
  <c r="G907" i="27"/>
  <c r="A907" i="27"/>
  <c r="G906" i="27"/>
  <c r="A906" i="27"/>
  <c r="G905" i="27"/>
  <c r="A905" i="27"/>
  <c r="G904" i="27"/>
  <c r="A904" i="27"/>
  <c r="G903" i="27"/>
  <c r="A903" i="27"/>
  <c r="G902" i="27"/>
  <c r="A902" i="27"/>
  <c r="G901" i="27"/>
  <c r="A901" i="27"/>
  <c r="G900" i="27"/>
  <c r="A900" i="27"/>
  <c r="G899" i="27"/>
  <c r="A899" i="27"/>
  <c r="G898" i="27"/>
  <c r="I898" i="27" s="1"/>
  <c r="A898" i="27"/>
  <c r="G897" i="27"/>
  <c r="A897" i="27"/>
  <c r="G896" i="27"/>
  <c r="A896" i="27"/>
  <c r="G895" i="27"/>
  <c r="A895" i="27"/>
  <c r="G894" i="27"/>
  <c r="A894" i="27"/>
  <c r="G893" i="27"/>
  <c r="A893" i="27"/>
  <c r="G892" i="27"/>
  <c r="I892" i="27" s="1"/>
  <c r="A892" i="27"/>
  <c r="G891" i="27"/>
  <c r="A891" i="27"/>
  <c r="G890" i="27"/>
  <c r="A890" i="27"/>
  <c r="G889" i="27"/>
  <c r="A889" i="27"/>
  <c r="G888" i="27"/>
  <c r="A888" i="27"/>
  <c r="G887" i="27"/>
  <c r="A887" i="27"/>
  <c r="G886" i="27"/>
  <c r="A886" i="27"/>
  <c r="G885" i="27"/>
  <c r="I885" i="27" s="1"/>
  <c r="A885" i="27"/>
  <c r="G884" i="27"/>
  <c r="A884" i="27"/>
  <c r="G883" i="27"/>
  <c r="A883" i="27"/>
  <c r="G882" i="27"/>
  <c r="A882" i="27"/>
  <c r="G881" i="27"/>
  <c r="A881" i="27"/>
  <c r="G880" i="27"/>
  <c r="A880" i="27"/>
  <c r="G879" i="27"/>
  <c r="A879" i="27"/>
  <c r="G878" i="27"/>
  <c r="A878" i="27"/>
  <c r="G877" i="27"/>
  <c r="A877" i="27"/>
  <c r="G876" i="27"/>
  <c r="A876" i="27"/>
  <c r="G875" i="27"/>
  <c r="A875" i="27"/>
  <c r="G874" i="27"/>
  <c r="A874" i="27"/>
  <c r="G873" i="27"/>
  <c r="A873" i="27"/>
  <c r="G872" i="27"/>
  <c r="A872" i="27"/>
  <c r="G871" i="27"/>
  <c r="I871" i="27" s="1"/>
  <c r="A871" i="27"/>
  <c r="G870" i="27"/>
  <c r="A870" i="27"/>
  <c r="G869" i="27"/>
  <c r="A869" i="27"/>
  <c r="G868" i="27"/>
  <c r="A868" i="27"/>
  <c r="G867" i="27"/>
  <c r="A867" i="27"/>
  <c r="G866" i="27"/>
  <c r="A866" i="27"/>
  <c r="G865" i="27"/>
  <c r="A865" i="27"/>
  <c r="G864" i="27"/>
  <c r="A864" i="27"/>
  <c r="G863" i="27"/>
  <c r="I863" i="27" s="1"/>
  <c r="A863" i="27"/>
  <c r="G862" i="27"/>
  <c r="I862" i="27" s="1"/>
  <c r="A862" i="27"/>
  <c r="G861" i="27"/>
  <c r="I861" i="27" s="1"/>
  <c r="A861" i="27"/>
  <c r="G860" i="27"/>
  <c r="I860" i="27" s="1"/>
  <c r="A860" i="27"/>
  <c r="G859" i="27"/>
  <c r="I859" i="27" s="1"/>
  <c r="A859" i="27"/>
  <c r="G858" i="27"/>
  <c r="I858" i="27" s="1"/>
  <c r="A858" i="27"/>
  <c r="G857" i="27"/>
  <c r="I857" i="27" s="1"/>
  <c r="A857" i="27"/>
  <c r="G856" i="27"/>
  <c r="I856" i="27" s="1"/>
  <c r="A856" i="27"/>
  <c r="G855" i="27"/>
  <c r="I855" i="27" s="1"/>
  <c r="A855" i="27"/>
  <c r="G854" i="27"/>
  <c r="I854" i="27" s="1"/>
  <c r="A854" i="27"/>
  <c r="G853" i="27"/>
  <c r="I853" i="27" s="1"/>
  <c r="A853" i="27"/>
  <c r="G852" i="27"/>
  <c r="I852" i="27" s="1"/>
  <c r="A852" i="27"/>
  <c r="G851" i="27"/>
  <c r="I851" i="27" s="1"/>
  <c r="A851" i="27"/>
  <c r="G850" i="27"/>
  <c r="I850" i="27" s="1"/>
  <c r="A850" i="27"/>
  <c r="G849" i="27"/>
  <c r="I849" i="27" s="1"/>
  <c r="A849" i="27"/>
  <c r="G848" i="27"/>
  <c r="I848" i="27" s="1"/>
  <c r="A848" i="27"/>
  <c r="G847" i="27"/>
  <c r="I847" i="27" s="1"/>
  <c r="A847" i="27"/>
  <c r="G846" i="27"/>
  <c r="I846" i="27" s="1"/>
  <c r="A846" i="27"/>
  <c r="G845" i="27"/>
  <c r="I845" i="27" s="1"/>
  <c r="A845" i="27"/>
  <c r="G844" i="27"/>
  <c r="I844" i="27" s="1"/>
  <c r="A844" i="27"/>
  <c r="G843" i="27"/>
  <c r="I843" i="27" s="1"/>
  <c r="A843" i="27"/>
  <c r="G842" i="27"/>
  <c r="I842" i="27" s="1"/>
  <c r="A842" i="27"/>
  <c r="G841" i="27"/>
  <c r="I841" i="27" s="1"/>
  <c r="A841" i="27"/>
  <c r="G840" i="27"/>
  <c r="I840" i="27" s="1"/>
  <c r="A840" i="27"/>
  <c r="G839" i="27"/>
  <c r="I839" i="27" s="1"/>
  <c r="A839" i="27"/>
  <c r="G838" i="27"/>
  <c r="I838" i="27" s="1"/>
  <c r="A838" i="27"/>
  <c r="G837" i="27"/>
  <c r="I837" i="27" s="1"/>
  <c r="A837" i="27"/>
  <c r="G836" i="27"/>
  <c r="I836" i="27" s="1"/>
  <c r="A836" i="27"/>
  <c r="G835" i="27"/>
  <c r="I835" i="27" s="1"/>
  <c r="A835" i="27"/>
  <c r="G834" i="27"/>
  <c r="I834" i="27" s="1"/>
  <c r="A834" i="27"/>
  <c r="G833" i="27"/>
  <c r="I833" i="27" s="1"/>
  <c r="A833" i="27"/>
  <c r="G832" i="27"/>
  <c r="I832" i="27" s="1"/>
  <c r="A832" i="27"/>
  <c r="G831" i="27"/>
  <c r="I831" i="27" s="1"/>
  <c r="A831" i="27"/>
  <c r="G830" i="27"/>
  <c r="I830" i="27" s="1"/>
  <c r="A830" i="27"/>
  <c r="G829" i="27"/>
  <c r="I829" i="27" s="1"/>
  <c r="A829" i="27"/>
  <c r="G828" i="27"/>
  <c r="I828" i="27" s="1"/>
  <c r="A828" i="27"/>
  <c r="G827" i="27"/>
  <c r="I827" i="27" s="1"/>
  <c r="A827" i="27"/>
  <c r="G826" i="27"/>
  <c r="I826" i="27" s="1"/>
  <c r="A826" i="27"/>
  <c r="G825" i="27"/>
  <c r="I825" i="27" s="1"/>
  <c r="A825" i="27"/>
  <c r="G824" i="27"/>
  <c r="I824" i="27" s="1"/>
  <c r="A824" i="27"/>
  <c r="G823" i="27"/>
  <c r="I823" i="27" s="1"/>
  <c r="A823" i="27"/>
  <c r="G822" i="27"/>
  <c r="I822" i="27" s="1"/>
  <c r="A822" i="27"/>
  <c r="G821" i="27"/>
  <c r="I821" i="27" s="1"/>
  <c r="A821" i="27"/>
  <c r="G820" i="27"/>
  <c r="I820" i="27" s="1"/>
  <c r="A820" i="27"/>
  <c r="G819" i="27"/>
  <c r="I819" i="27" s="1"/>
  <c r="A819" i="27"/>
  <c r="G818" i="27"/>
  <c r="I818" i="27" s="1"/>
  <c r="A818" i="27"/>
  <c r="G817" i="27"/>
  <c r="I817" i="27" s="1"/>
  <c r="A817" i="27"/>
  <c r="G816" i="27"/>
  <c r="I816" i="27" s="1"/>
  <c r="A816" i="27"/>
  <c r="G815" i="27"/>
  <c r="I815" i="27" s="1"/>
  <c r="A815" i="27"/>
  <c r="G814" i="27"/>
  <c r="I814" i="27" s="1"/>
  <c r="A814" i="27"/>
  <c r="G813" i="27"/>
  <c r="I813" i="27" s="1"/>
  <c r="A813" i="27"/>
  <c r="G812" i="27"/>
  <c r="I812" i="27" s="1"/>
  <c r="A812" i="27"/>
  <c r="G811" i="27"/>
  <c r="I811" i="27" s="1"/>
  <c r="A811" i="27"/>
  <c r="G810" i="27"/>
  <c r="I810" i="27" s="1"/>
  <c r="A810" i="27"/>
  <c r="G809" i="27"/>
  <c r="I809" i="27" s="1"/>
  <c r="A809" i="27"/>
  <c r="G808" i="27"/>
  <c r="I808" i="27" s="1"/>
  <c r="A808" i="27"/>
  <c r="G807" i="27"/>
  <c r="I807" i="27" s="1"/>
  <c r="A807" i="27"/>
  <c r="G806" i="27"/>
  <c r="I806" i="27" s="1"/>
  <c r="A806" i="27"/>
  <c r="G805" i="27"/>
  <c r="I805" i="27" s="1"/>
  <c r="A805" i="27"/>
  <c r="G804" i="27"/>
  <c r="I804" i="27" s="1"/>
  <c r="A804" i="27"/>
  <c r="G803" i="27"/>
  <c r="I803" i="27" s="1"/>
  <c r="A803" i="27"/>
  <c r="G802" i="27"/>
  <c r="I802" i="27" s="1"/>
  <c r="A802" i="27"/>
  <c r="G801" i="27"/>
  <c r="A801" i="27"/>
  <c r="G800" i="27"/>
  <c r="A800" i="27"/>
  <c r="G799" i="27"/>
  <c r="A799" i="27"/>
  <c r="G798" i="27"/>
  <c r="A798" i="27"/>
  <c r="G797" i="27"/>
  <c r="A797" i="27"/>
  <c r="G796" i="27"/>
  <c r="A796" i="27"/>
  <c r="G795" i="27"/>
  <c r="A795" i="27"/>
  <c r="G794" i="27"/>
  <c r="A794" i="27"/>
  <c r="G793" i="27"/>
  <c r="A793" i="27"/>
  <c r="G792" i="27"/>
  <c r="A792" i="27"/>
  <c r="G791" i="27"/>
  <c r="A791" i="27"/>
  <c r="G790" i="27"/>
  <c r="A790" i="27"/>
  <c r="G789" i="27"/>
  <c r="A789" i="27"/>
  <c r="G788" i="27"/>
  <c r="A788" i="27"/>
  <c r="G787" i="27"/>
  <c r="A787" i="27"/>
  <c r="G786" i="27"/>
  <c r="A786" i="27"/>
  <c r="G785" i="27"/>
  <c r="A785" i="27"/>
  <c r="G784" i="27"/>
  <c r="A784" i="27"/>
  <c r="G783" i="27"/>
  <c r="A783" i="27"/>
  <c r="G782" i="27"/>
  <c r="A782" i="27"/>
  <c r="G781" i="27"/>
  <c r="A781" i="27"/>
  <c r="G780" i="27"/>
  <c r="A780" i="27"/>
  <c r="G779" i="27"/>
  <c r="A779" i="27"/>
  <c r="G778" i="27"/>
  <c r="A778" i="27"/>
  <c r="G777" i="27"/>
  <c r="A777" i="27"/>
  <c r="G776" i="27"/>
  <c r="A776" i="27"/>
  <c r="G775" i="27"/>
  <c r="A775" i="27"/>
  <c r="G774" i="27"/>
  <c r="A774" i="27"/>
  <c r="G773" i="27"/>
  <c r="A773" i="27"/>
  <c r="G772" i="27"/>
  <c r="A772" i="27"/>
  <c r="I771" i="27"/>
  <c r="A771" i="27"/>
  <c r="I770" i="27"/>
  <c r="A770" i="27"/>
  <c r="I769" i="27"/>
  <c r="A769" i="27"/>
  <c r="I768" i="27"/>
  <c r="A768" i="27"/>
  <c r="I767" i="27"/>
  <c r="A767" i="27"/>
  <c r="I766" i="27"/>
  <c r="A766" i="27"/>
  <c r="I765" i="27"/>
  <c r="A765" i="27"/>
  <c r="I764" i="27"/>
  <c r="A764" i="27"/>
  <c r="I763" i="27"/>
  <c r="A763" i="27"/>
  <c r="I762" i="27"/>
  <c r="A762" i="27"/>
  <c r="I761" i="27"/>
  <c r="A761" i="27"/>
  <c r="I760" i="27"/>
  <c r="A760" i="27"/>
  <c r="I759" i="27"/>
  <c r="A759" i="27"/>
  <c r="I758" i="27"/>
  <c r="A758" i="27"/>
  <c r="I757" i="27"/>
  <c r="A757" i="27"/>
  <c r="A756" i="27"/>
  <c r="I755" i="27"/>
  <c r="A755" i="27"/>
  <c r="A754" i="27"/>
  <c r="A753" i="27"/>
  <c r="A752" i="27"/>
  <c r="A751" i="27"/>
  <c r="A750" i="27"/>
  <c r="I749" i="27"/>
  <c r="A749" i="27"/>
  <c r="A748" i="27"/>
  <c r="A747" i="27"/>
  <c r="A746" i="27"/>
  <c r="A745" i="27"/>
  <c r="A744" i="27"/>
  <c r="A743" i="27"/>
  <c r="A742" i="27"/>
  <c r="G741" i="27"/>
  <c r="A741" i="27"/>
  <c r="G740" i="27"/>
  <c r="A740" i="27"/>
  <c r="G739" i="27"/>
  <c r="A739" i="27"/>
  <c r="G738" i="27"/>
  <c r="A738" i="27"/>
  <c r="G737" i="27"/>
  <c r="A737" i="27"/>
  <c r="G736" i="27"/>
  <c r="A736" i="27"/>
  <c r="G735" i="27"/>
  <c r="A735" i="27"/>
  <c r="G734" i="27"/>
  <c r="A734" i="27"/>
  <c r="G733" i="27"/>
  <c r="A733" i="27"/>
  <c r="G732" i="27"/>
  <c r="A732" i="27"/>
  <c r="G731" i="27"/>
  <c r="A731" i="27"/>
  <c r="G730" i="27"/>
  <c r="A730" i="27"/>
  <c r="G729" i="27"/>
  <c r="A729" i="27"/>
  <c r="G728" i="27"/>
  <c r="A728" i="27"/>
  <c r="G727" i="27"/>
  <c r="A727" i="27"/>
  <c r="G726" i="27"/>
  <c r="A726" i="27"/>
  <c r="G725" i="27"/>
  <c r="A725" i="27"/>
  <c r="G724" i="27"/>
  <c r="A724" i="27"/>
  <c r="G723" i="27"/>
  <c r="A723" i="27"/>
  <c r="G722" i="27"/>
  <c r="A722" i="27"/>
  <c r="G721" i="27"/>
  <c r="A721" i="27"/>
  <c r="G720" i="27"/>
  <c r="A720" i="27"/>
  <c r="G719" i="27"/>
  <c r="A719" i="27"/>
  <c r="G718" i="27"/>
  <c r="A718" i="27"/>
  <c r="G717" i="27"/>
  <c r="A717" i="27"/>
  <c r="G716" i="27"/>
  <c r="A716" i="27"/>
  <c r="G715" i="27"/>
  <c r="A715" i="27"/>
  <c r="G714" i="27"/>
  <c r="A714" i="27"/>
  <c r="G713" i="27"/>
  <c r="I713" i="27" s="1"/>
  <c r="A713" i="27"/>
  <c r="G712" i="27"/>
  <c r="I712" i="27" s="1"/>
  <c r="A712" i="27"/>
  <c r="G711" i="27"/>
  <c r="I711" i="27" s="1"/>
  <c r="A711" i="27"/>
  <c r="G710" i="27"/>
  <c r="I710" i="27" s="1"/>
  <c r="A710" i="27"/>
  <c r="G709" i="27"/>
  <c r="I709" i="27" s="1"/>
  <c r="A709" i="27"/>
  <c r="G708" i="27"/>
  <c r="I708" i="27" s="1"/>
  <c r="A708" i="27"/>
  <c r="G707" i="27"/>
  <c r="I707" i="27" s="1"/>
  <c r="A707" i="27"/>
  <c r="G706" i="27"/>
  <c r="I706" i="27" s="1"/>
  <c r="A706" i="27"/>
  <c r="G705" i="27"/>
  <c r="I705" i="27" s="1"/>
  <c r="A705" i="27"/>
  <c r="G704" i="27"/>
  <c r="I704" i="27" s="1"/>
  <c r="A704" i="27"/>
  <c r="G703" i="27"/>
  <c r="I703" i="27" s="1"/>
  <c r="A703" i="27"/>
  <c r="G702" i="27"/>
  <c r="I702" i="27" s="1"/>
  <c r="A702" i="27"/>
  <c r="G701" i="27"/>
  <c r="I701" i="27" s="1"/>
  <c r="A701" i="27"/>
  <c r="G700" i="27"/>
  <c r="I700" i="27" s="1"/>
  <c r="A700" i="27"/>
  <c r="G699" i="27"/>
  <c r="I699" i="27" s="1"/>
  <c r="A699" i="27"/>
  <c r="G698" i="27"/>
  <c r="I698" i="27" s="1"/>
  <c r="A698" i="27"/>
  <c r="G697" i="27"/>
  <c r="I697" i="27" s="1"/>
  <c r="A697" i="27"/>
  <c r="G696" i="27"/>
  <c r="I696" i="27" s="1"/>
  <c r="A696" i="27"/>
  <c r="G695" i="27"/>
  <c r="I695" i="27" s="1"/>
  <c r="A695" i="27"/>
  <c r="G694" i="27"/>
  <c r="I694" i="27" s="1"/>
  <c r="A694" i="27"/>
  <c r="G693" i="27"/>
  <c r="I693" i="27" s="1"/>
  <c r="A693" i="27"/>
  <c r="G692" i="27"/>
  <c r="I692" i="27" s="1"/>
  <c r="A692" i="27"/>
  <c r="G691" i="27"/>
  <c r="I691" i="27" s="1"/>
  <c r="A691" i="27"/>
  <c r="G690" i="27"/>
  <c r="I690" i="27" s="1"/>
  <c r="A690" i="27"/>
  <c r="G689" i="27"/>
  <c r="I689" i="27" s="1"/>
  <c r="A689" i="27"/>
  <c r="G688" i="27"/>
  <c r="I688" i="27" s="1"/>
  <c r="A688" i="27"/>
  <c r="G687" i="27"/>
  <c r="I687" i="27" s="1"/>
  <c r="A687" i="27"/>
  <c r="G686" i="27"/>
  <c r="I686" i="27" s="1"/>
  <c r="A686" i="27"/>
  <c r="G685" i="27"/>
  <c r="I685" i="27" s="1"/>
  <c r="A685" i="27"/>
  <c r="G684" i="27"/>
  <c r="I684" i="27" s="1"/>
  <c r="A684" i="27"/>
  <c r="G683" i="27"/>
  <c r="I683" i="27" s="1"/>
  <c r="A683" i="27"/>
  <c r="G682" i="27"/>
  <c r="I682" i="27" s="1"/>
  <c r="A682" i="27"/>
  <c r="G681" i="27"/>
  <c r="I681" i="27" s="1"/>
  <c r="A681" i="27"/>
  <c r="G680" i="27"/>
  <c r="I680" i="27" s="1"/>
  <c r="A680" i="27"/>
  <c r="G679" i="27"/>
  <c r="I679" i="27" s="1"/>
  <c r="A679" i="27"/>
  <c r="G678" i="27"/>
  <c r="I678" i="27" s="1"/>
  <c r="A678" i="27"/>
  <c r="G677" i="27"/>
  <c r="I677" i="27" s="1"/>
  <c r="A677" i="27"/>
  <c r="G676" i="27"/>
  <c r="I676" i="27" s="1"/>
  <c r="A676" i="27"/>
  <c r="G675" i="27"/>
  <c r="I675" i="27" s="1"/>
  <c r="A675" i="27"/>
  <c r="G674" i="27"/>
  <c r="I674" i="27" s="1"/>
  <c r="A674" i="27"/>
  <c r="G673" i="27"/>
  <c r="I673" i="27" s="1"/>
  <c r="A673" i="27"/>
  <c r="G672" i="27"/>
  <c r="I672" i="27" s="1"/>
  <c r="A672" i="27"/>
  <c r="G671" i="27"/>
  <c r="I671" i="27" s="1"/>
  <c r="A671" i="27"/>
  <c r="G670" i="27"/>
  <c r="I670" i="27" s="1"/>
  <c r="A670" i="27"/>
  <c r="G669" i="27"/>
  <c r="I669" i="27" s="1"/>
  <c r="A669" i="27"/>
  <c r="G668" i="27"/>
  <c r="I668" i="27" s="1"/>
  <c r="A668" i="27"/>
  <c r="G667" i="27"/>
  <c r="I667" i="27" s="1"/>
  <c r="A667" i="27"/>
  <c r="G666" i="27"/>
  <c r="I666" i="27" s="1"/>
  <c r="A666" i="27"/>
  <c r="G665" i="27"/>
  <c r="I665" i="27" s="1"/>
  <c r="A665" i="27"/>
  <c r="G664" i="27"/>
  <c r="I664" i="27" s="1"/>
  <c r="A664" i="27"/>
  <c r="G663" i="27"/>
  <c r="I663" i="27" s="1"/>
  <c r="A663" i="27"/>
  <c r="G662" i="27"/>
  <c r="I662" i="27" s="1"/>
  <c r="A662" i="27"/>
  <c r="G661" i="27"/>
  <c r="I661" i="27" s="1"/>
  <c r="A661" i="27"/>
  <c r="G660" i="27"/>
  <c r="I660" i="27" s="1"/>
  <c r="A660" i="27"/>
  <c r="G659" i="27"/>
  <c r="I659" i="27" s="1"/>
  <c r="A659" i="27"/>
  <c r="G658" i="27"/>
  <c r="I658" i="27" s="1"/>
  <c r="A658" i="27"/>
  <c r="G657" i="27"/>
  <c r="I657" i="27" s="1"/>
  <c r="A657" i="27"/>
  <c r="G656" i="27"/>
  <c r="I656" i="27" s="1"/>
  <c r="A656" i="27"/>
  <c r="G655" i="27"/>
  <c r="I655" i="27" s="1"/>
  <c r="A655" i="27"/>
  <c r="G654" i="27"/>
  <c r="I654" i="27" s="1"/>
  <c r="A654" i="27"/>
  <c r="G653" i="27"/>
  <c r="I653" i="27" s="1"/>
  <c r="A653" i="27"/>
  <c r="G652" i="27"/>
  <c r="I652" i="27" s="1"/>
  <c r="A652" i="27"/>
  <c r="G651" i="27"/>
  <c r="A651" i="27"/>
  <c r="G650" i="27"/>
  <c r="A650" i="27"/>
  <c r="G649" i="27"/>
  <c r="A649" i="27"/>
  <c r="G648" i="27"/>
  <c r="A648" i="27"/>
  <c r="G647" i="27"/>
  <c r="A647" i="27"/>
  <c r="G646" i="27"/>
  <c r="A646" i="27"/>
  <c r="G645" i="27"/>
  <c r="A645" i="27"/>
  <c r="G644" i="27"/>
  <c r="A644" i="27"/>
  <c r="G643" i="27"/>
  <c r="A643" i="27"/>
  <c r="G642" i="27"/>
  <c r="A642" i="27"/>
  <c r="G641" i="27"/>
  <c r="A641" i="27"/>
  <c r="G640" i="27"/>
  <c r="A640" i="27"/>
  <c r="G639" i="27"/>
  <c r="A639" i="27"/>
  <c r="G638" i="27"/>
  <c r="A638" i="27"/>
  <c r="G637" i="27"/>
  <c r="A637" i="27"/>
  <c r="G636" i="27"/>
  <c r="A636" i="27"/>
  <c r="G635" i="27"/>
  <c r="A635" i="27"/>
  <c r="G634" i="27"/>
  <c r="A634" i="27"/>
  <c r="G633" i="27"/>
  <c r="A633" i="27"/>
  <c r="G632" i="27"/>
  <c r="A632" i="27"/>
  <c r="G631" i="27"/>
  <c r="A631" i="27"/>
  <c r="G630" i="27"/>
  <c r="A630" i="27"/>
  <c r="G629" i="27"/>
  <c r="A629" i="27"/>
  <c r="G628" i="27"/>
  <c r="A628" i="27"/>
  <c r="G627" i="27"/>
  <c r="A627" i="27"/>
  <c r="G626" i="27"/>
  <c r="A626" i="27"/>
  <c r="G625" i="27"/>
  <c r="A625" i="27"/>
  <c r="G624" i="27"/>
  <c r="A624" i="27"/>
  <c r="G623" i="27"/>
  <c r="A623" i="27"/>
  <c r="G622" i="27"/>
  <c r="A622" i="27"/>
  <c r="G621" i="27"/>
  <c r="A621" i="27"/>
  <c r="G620" i="27"/>
  <c r="A620" i="27"/>
  <c r="G619" i="27"/>
  <c r="A619" i="27"/>
  <c r="G618" i="27"/>
  <c r="A618" i="27"/>
  <c r="G617" i="27"/>
  <c r="A617" i="27"/>
  <c r="G616" i="27"/>
  <c r="A616" i="27"/>
  <c r="G615" i="27"/>
  <c r="A615" i="27"/>
  <c r="G614" i="27"/>
  <c r="A614" i="27"/>
  <c r="G613" i="27"/>
  <c r="A613" i="27"/>
  <c r="G612" i="27"/>
  <c r="A612" i="27"/>
  <c r="G611" i="27"/>
  <c r="A611" i="27"/>
  <c r="G610" i="27"/>
  <c r="A610" i="27"/>
  <c r="G609" i="27"/>
  <c r="A609" i="27"/>
  <c r="G608" i="27"/>
  <c r="A608" i="27"/>
  <c r="G607" i="27"/>
  <c r="A607" i="27"/>
  <c r="G606" i="27"/>
  <c r="A606" i="27"/>
  <c r="G605" i="27"/>
  <c r="A605" i="27"/>
  <c r="G604" i="27"/>
  <c r="A604" i="27"/>
  <c r="G603" i="27"/>
  <c r="A603" i="27"/>
  <c r="G602" i="27"/>
  <c r="A602" i="27"/>
  <c r="G601" i="27"/>
  <c r="A601" i="27"/>
  <c r="G600" i="27"/>
  <c r="A600" i="27"/>
  <c r="G599" i="27"/>
  <c r="A599" i="27"/>
  <c r="G598" i="27"/>
  <c r="A598" i="27"/>
  <c r="G597" i="27"/>
  <c r="A597" i="27"/>
  <c r="G596" i="27"/>
  <c r="A596" i="27"/>
  <c r="G595" i="27"/>
  <c r="A595" i="27"/>
  <c r="G594" i="27"/>
  <c r="A594" i="27"/>
  <c r="G593" i="27"/>
  <c r="A593" i="27"/>
  <c r="G592" i="27"/>
  <c r="A592" i="27"/>
  <c r="G591" i="27"/>
  <c r="A591" i="27"/>
  <c r="G590" i="27"/>
  <c r="A590" i="27"/>
  <c r="G589" i="27"/>
  <c r="A589" i="27"/>
  <c r="G588" i="27"/>
  <c r="A588" i="27"/>
  <c r="G587" i="27"/>
  <c r="A587" i="27"/>
  <c r="G586" i="27"/>
  <c r="A586" i="27"/>
  <c r="G585" i="27"/>
  <c r="A585" i="27"/>
  <c r="G584" i="27"/>
  <c r="A584" i="27"/>
  <c r="G583" i="27"/>
  <c r="I583" i="27" s="1"/>
  <c r="A583" i="27"/>
  <c r="G582" i="27"/>
  <c r="I582" i="27" s="1"/>
  <c r="A582" i="27"/>
  <c r="G581" i="27"/>
  <c r="I581" i="27" s="1"/>
  <c r="A581" i="27"/>
  <c r="G580" i="27"/>
  <c r="I580" i="27" s="1"/>
  <c r="A580" i="27"/>
  <c r="G579" i="27"/>
  <c r="I579" i="27" s="1"/>
  <c r="A579" i="27"/>
  <c r="G578" i="27"/>
  <c r="I578" i="27" s="1"/>
  <c r="A578" i="27"/>
  <c r="G577" i="27"/>
  <c r="I577" i="27" s="1"/>
  <c r="A577" i="27"/>
  <c r="G576" i="27"/>
  <c r="I576" i="27" s="1"/>
  <c r="A576" i="27"/>
  <c r="G575" i="27"/>
  <c r="I575" i="27" s="1"/>
  <c r="A575" i="27"/>
  <c r="G574" i="27"/>
  <c r="I574" i="27" s="1"/>
  <c r="A574" i="27"/>
  <c r="G573" i="27"/>
  <c r="I573" i="27" s="1"/>
  <c r="A573" i="27"/>
  <c r="G572" i="27"/>
  <c r="I572" i="27" s="1"/>
  <c r="A572" i="27"/>
  <c r="G571" i="27"/>
  <c r="I571" i="27" s="1"/>
  <c r="A571" i="27"/>
  <c r="G570" i="27"/>
  <c r="I570" i="27" s="1"/>
  <c r="A570" i="27"/>
  <c r="G569" i="27"/>
  <c r="I569" i="27" s="1"/>
  <c r="A569" i="27"/>
  <c r="G568" i="27"/>
  <c r="A568" i="27"/>
  <c r="G567" i="27"/>
  <c r="A567" i="27"/>
  <c r="G566" i="27"/>
  <c r="A566" i="27"/>
  <c r="G565" i="27"/>
  <c r="A565" i="27"/>
  <c r="G564" i="27"/>
  <c r="A564" i="27"/>
  <c r="G563" i="27"/>
  <c r="I563" i="27" s="1"/>
  <c r="A563" i="27"/>
  <c r="G562" i="27"/>
  <c r="A562" i="27"/>
  <c r="G561" i="27"/>
  <c r="A561" i="27"/>
  <c r="G560" i="27"/>
  <c r="A560" i="27"/>
  <c r="G559" i="27"/>
  <c r="A559" i="27"/>
  <c r="G558" i="27"/>
  <c r="A558" i="27"/>
  <c r="G557" i="27"/>
  <c r="A557" i="27"/>
  <c r="G556" i="27"/>
  <c r="A556" i="27"/>
  <c r="G555" i="27"/>
  <c r="A555" i="27"/>
  <c r="G554" i="27"/>
  <c r="A554" i="27"/>
  <c r="G553" i="27"/>
  <c r="A553" i="27"/>
  <c r="G552" i="27"/>
  <c r="A552" i="27"/>
  <c r="G551" i="27"/>
  <c r="A551" i="27"/>
  <c r="G550" i="27"/>
  <c r="A550" i="27"/>
  <c r="G549" i="27"/>
  <c r="A549" i="27"/>
  <c r="G548" i="27"/>
  <c r="A548" i="27"/>
  <c r="G547" i="27"/>
  <c r="A547" i="27"/>
  <c r="G546" i="27"/>
  <c r="A546" i="27"/>
  <c r="G545" i="27"/>
  <c r="A545" i="27"/>
  <c r="G544" i="27"/>
  <c r="A544" i="27"/>
  <c r="G543" i="27"/>
  <c r="A543" i="27"/>
  <c r="G542" i="27"/>
  <c r="A542" i="27"/>
  <c r="G541" i="27"/>
  <c r="A541" i="27"/>
  <c r="G540" i="27"/>
  <c r="A540" i="27"/>
  <c r="G539" i="27"/>
  <c r="A539" i="27"/>
  <c r="G538" i="27"/>
  <c r="A538" i="27"/>
  <c r="G537" i="27"/>
  <c r="A537" i="27"/>
  <c r="G536" i="27"/>
  <c r="A536" i="27"/>
  <c r="G535" i="27"/>
  <c r="A535" i="27"/>
  <c r="G534" i="27"/>
  <c r="A534" i="27"/>
  <c r="G533" i="27"/>
  <c r="A533" i="27"/>
  <c r="G532" i="27"/>
  <c r="A532" i="27"/>
  <c r="G531" i="27"/>
  <c r="A531" i="27"/>
  <c r="G530" i="27"/>
  <c r="A530" i="27"/>
  <c r="G529" i="27"/>
  <c r="A529" i="27"/>
  <c r="G528" i="27"/>
  <c r="A528" i="27"/>
  <c r="G527" i="27"/>
  <c r="A527" i="27"/>
  <c r="G526" i="27"/>
  <c r="A526" i="27"/>
  <c r="G525" i="27"/>
  <c r="I525" i="27" s="1"/>
  <c r="A525" i="27"/>
  <c r="G524" i="27"/>
  <c r="I524" i="27" s="1"/>
  <c r="A524" i="27"/>
  <c r="G523" i="27"/>
  <c r="I523" i="27" s="1"/>
  <c r="A523" i="27"/>
  <c r="G522" i="27"/>
  <c r="I522" i="27" s="1"/>
  <c r="A522" i="27"/>
  <c r="G521" i="27"/>
  <c r="I521" i="27" s="1"/>
  <c r="A521" i="27"/>
  <c r="G520" i="27"/>
  <c r="I520" i="27" s="1"/>
  <c r="A520" i="27"/>
  <c r="G519" i="27"/>
  <c r="I519" i="27" s="1"/>
  <c r="A519" i="27"/>
  <c r="G518" i="27"/>
  <c r="I518" i="27" s="1"/>
  <c r="A518" i="27"/>
  <c r="G517" i="27"/>
  <c r="I517" i="27" s="1"/>
  <c r="A517" i="27"/>
  <c r="G516" i="27"/>
  <c r="I516" i="27" s="1"/>
  <c r="A516" i="27"/>
  <c r="G515" i="27"/>
  <c r="I515" i="27" s="1"/>
  <c r="A515" i="27"/>
  <c r="G514" i="27"/>
  <c r="I514" i="27" s="1"/>
  <c r="A514" i="27"/>
  <c r="G513" i="27"/>
  <c r="I513" i="27" s="1"/>
  <c r="A513" i="27"/>
  <c r="G512" i="27"/>
  <c r="I512" i="27" s="1"/>
  <c r="A512" i="27"/>
  <c r="G511" i="27"/>
  <c r="I511" i="27" s="1"/>
  <c r="A511" i="27"/>
  <c r="G510" i="27"/>
  <c r="I510" i="27" s="1"/>
  <c r="A510" i="27"/>
  <c r="G509" i="27"/>
  <c r="I509" i="27" s="1"/>
  <c r="A509" i="27"/>
  <c r="G508" i="27"/>
  <c r="I508" i="27" s="1"/>
  <c r="A508" i="27"/>
  <c r="G507" i="27"/>
  <c r="I507" i="27" s="1"/>
  <c r="A507" i="27"/>
  <c r="G506" i="27"/>
  <c r="I506" i="27" s="1"/>
  <c r="A506" i="27"/>
  <c r="G505" i="27"/>
  <c r="I505" i="27" s="1"/>
  <c r="A505" i="27"/>
  <c r="G504" i="27"/>
  <c r="I504" i="27" s="1"/>
  <c r="A504" i="27"/>
  <c r="G503" i="27"/>
  <c r="I503" i="27" s="1"/>
  <c r="A503" i="27"/>
  <c r="G502" i="27"/>
  <c r="I502" i="27" s="1"/>
  <c r="A502" i="27"/>
  <c r="G501" i="27"/>
  <c r="I501" i="27" s="1"/>
  <c r="A501" i="27"/>
  <c r="G500" i="27"/>
  <c r="I500" i="27" s="1"/>
  <c r="A500" i="27"/>
  <c r="G499" i="27"/>
  <c r="A499" i="27"/>
  <c r="G498" i="27"/>
  <c r="A498" i="27"/>
  <c r="G497" i="27"/>
  <c r="A497" i="27"/>
  <c r="G496" i="27"/>
  <c r="A496" i="27"/>
  <c r="G495" i="27"/>
  <c r="A495" i="27"/>
  <c r="G494" i="27"/>
  <c r="A494" i="27"/>
  <c r="G493" i="27"/>
  <c r="A493" i="27"/>
  <c r="G492" i="27"/>
  <c r="A492" i="27"/>
  <c r="G491" i="27"/>
  <c r="A491" i="27"/>
  <c r="G490" i="27"/>
  <c r="A490" i="27"/>
  <c r="G489" i="27"/>
  <c r="A489" i="27"/>
  <c r="G488" i="27"/>
  <c r="A488" i="27"/>
  <c r="G487" i="27"/>
  <c r="A487" i="27"/>
  <c r="G486" i="27"/>
  <c r="A486" i="27"/>
  <c r="G485" i="27"/>
  <c r="A485" i="27"/>
  <c r="G484" i="27"/>
  <c r="A484" i="27"/>
  <c r="G483" i="27"/>
  <c r="A483" i="27"/>
  <c r="G482" i="27"/>
  <c r="A482" i="27"/>
  <c r="G481" i="27"/>
  <c r="A481" i="27"/>
  <c r="G480" i="27"/>
  <c r="A480" i="27"/>
  <c r="G479" i="27"/>
  <c r="A479" i="27"/>
  <c r="G478" i="27"/>
  <c r="A478" i="27"/>
  <c r="G477" i="27"/>
  <c r="A477" i="27"/>
  <c r="G476" i="27"/>
  <c r="A476" i="27"/>
  <c r="G475" i="27"/>
  <c r="A475" i="27"/>
  <c r="G474" i="27"/>
  <c r="A474" i="27"/>
  <c r="G473" i="27"/>
  <c r="A473" i="27"/>
  <c r="G472" i="27"/>
  <c r="A472" i="27"/>
  <c r="G471" i="27"/>
  <c r="A471" i="27"/>
  <c r="G470" i="27"/>
  <c r="A470" i="27"/>
  <c r="G469" i="27"/>
  <c r="A469" i="27"/>
  <c r="G468" i="27"/>
  <c r="A468" i="27"/>
  <c r="G467" i="27"/>
  <c r="A467" i="27"/>
  <c r="G466" i="27"/>
  <c r="A466" i="27"/>
  <c r="G465" i="27"/>
  <c r="A465" i="27"/>
  <c r="G464" i="27"/>
  <c r="A464" i="27"/>
  <c r="G463" i="27"/>
  <c r="A463" i="27"/>
  <c r="G462" i="27"/>
  <c r="A462" i="27"/>
  <c r="G461" i="27"/>
  <c r="A461" i="27"/>
  <c r="G460" i="27"/>
  <c r="A460" i="27"/>
  <c r="G459" i="27"/>
  <c r="A459" i="27"/>
  <c r="G458" i="27"/>
  <c r="A458" i="27"/>
  <c r="G457" i="27"/>
  <c r="A457" i="27"/>
  <c r="G456" i="27"/>
  <c r="A456" i="27"/>
  <c r="G455" i="27"/>
  <c r="A455" i="27"/>
  <c r="G454" i="27"/>
  <c r="A454" i="27"/>
  <c r="G453" i="27"/>
  <c r="A453" i="27"/>
  <c r="G452" i="27"/>
  <c r="A452" i="27"/>
  <c r="G451" i="27"/>
  <c r="A451" i="27"/>
  <c r="G450" i="27"/>
  <c r="A450" i="27"/>
  <c r="G449" i="27"/>
  <c r="I449" i="27" s="1"/>
  <c r="A449" i="27"/>
  <c r="G448" i="27"/>
  <c r="A448" i="27"/>
  <c r="G447" i="27"/>
  <c r="A447" i="27"/>
  <c r="G446" i="27"/>
  <c r="I446" i="27" s="1"/>
  <c r="A446" i="27"/>
  <c r="G445" i="27"/>
  <c r="A445" i="27"/>
  <c r="G444" i="27"/>
  <c r="A444" i="27"/>
  <c r="G443" i="27"/>
  <c r="I443" i="27" s="1"/>
  <c r="A443" i="27"/>
  <c r="G442" i="27"/>
  <c r="A442" i="27"/>
  <c r="G441" i="27"/>
  <c r="A441" i="27"/>
  <c r="G440" i="27"/>
  <c r="A440" i="27"/>
  <c r="G439" i="27"/>
  <c r="I439" i="27" s="1"/>
  <c r="A439" i="27"/>
  <c r="G438" i="27"/>
  <c r="A438" i="27"/>
  <c r="G437" i="27"/>
  <c r="A437" i="27"/>
  <c r="G436" i="27"/>
  <c r="A436" i="27"/>
  <c r="G435" i="27"/>
  <c r="A435" i="27"/>
  <c r="G434" i="27"/>
  <c r="A434" i="27"/>
  <c r="G433" i="27"/>
  <c r="A433" i="27"/>
  <c r="G432" i="27"/>
  <c r="A432" i="27"/>
  <c r="G431" i="27"/>
  <c r="A431" i="27"/>
  <c r="G430" i="27"/>
  <c r="I430" i="27" s="1"/>
  <c r="A430" i="27"/>
  <c r="G429" i="27"/>
  <c r="A429" i="27"/>
  <c r="G428" i="27"/>
  <c r="A428" i="27"/>
  <c r="G427" i="27"/>
  <c r="A427" i="27"/>
  <c r="G426" i="27"/>
  <c r="A426" i="27"/>
  <c r="G425" i="27"/>
  <c r="A425" i="27"/>
  <c r="G424" i="27"/>
  <c r="A424" i="27"/>
  <c r="G423" i="27"/>
  <c r="A423" i="27"/>
  <c r="G422" i="27"/>
  <c r="A422" i="27"/>
  <c r="G421" i="27"/>
  <c r="A421" i="27"/>
  <c r="G420" i="27"/>
  <c r="A420" i="27"/>
  <c r="G419" i="27"/>
  <c r="I419" i="27" s="1"/>
  <c r="A419" i="27"/>
  <c r="G418" i="27"/>
  <c r="I418" i="27" s="1"/>
  <c r="A418" i="27"/>
  <c r="G417" i="27"/>
  <c r="I417" i="27" s="1"/>
  <c r="A417" i="27"/>
  <c r="G416" i="27"/>
  <c r="I416" i="27" s="1"/>
  <c r="A416" i="27"/>
  <c r="G415" i="27"/>
  <c r="I415" i="27" s="1"/>
  <c r="A415" i="27"/>
  <c r="G414" i="27"/>
  <c r="I414" i="27" s="1"/>
  <c r="A414" i="27"/>
  <c r="G413" i="27"/>
  <c r="I413" i="27" s="1"/>
  <c r="A413" i="27"/>
  <c r="G412" i="27"/>
  <c r="I412" i="27" s="1"/>
  <c r="A412" i="27"/>
  <c r="G411" i="27"/>
  <c r="I411" i="27" s="1"/>
  <c r="A411" i="27"/>
  <c r="G410" i="27"/>
  <c r="I410" i="27" s="1"/>
  <c r="A410" i="27"/>
  <c r="G409" i="27"/>
  <c r="I409" i="27" s="1"/>
  <c r="A409" i="27"/>
  <c r="G408" i="27"/>
  <c r="I408" i="27" s="1"/>
  <c r="A408" i="27"/>
  <c r="G407" i="27"/>
  <c r="I407" i="27" s="1"/>
  <c r="A407" i="27"/>
  <c r="G406" i="27"/>
  <c r="I406" i="27" s="1"/>
  <c r="A406" i="27"/>
  <c r="G405" i="27"/>
  <c r="I405" i="27" s="1"/>
  <c r="A405" i="27"/>
  <c r="G404" i="27"/>
  <c r="I404" i="27" s="1"/>
  <c r="A404" i="27"/>
  <c r="G403" i="27"/>
  <c r="I403" i="27" s="1"/>
  <c r="A403" i="27"/>
  <c r="G402" i="27"/>
  <c r="I402" i="27" s="1"/>
  <c r="A402" i="27"/>
  <c r="G401" i="27"/>
  <c r="I401" i="27" s="1"/>
  <c r="A401" i="27"/>
  <c r="G400" i="27"/>
  <c r="I400" i="27" s="1"/>
  <c r="A400" i="27"/>
  <c r="G399" i="27"/>
  <c r="I399" i="27" s="1"/>
  <c r="A399" i="27"/>
  <c r="G398" i="27"/>
  <c r="I398" i="27" s="1"/>
  <c r="A398" i="27"/>
  <c r="G397" i="27"/>
  <c r="I397" i="27" s="1"/>
  <c r="A397" i="27"/>
  <c r="G396" i="27"/>
  <c r="I396" i="27" s="1"/>
  <c r="A396" i="27"/>
  <c r="G395" i="27"/>
  <c r="I395" i="27" s="1"/>
  <c r="A395" i="27"/>
  <c r="G394" i="27"/>
  <c r="I394" i="27" s="1"/>
  <c r="A394" i="27"/>
  <c r="G393" i="27"/>
  <c r="I393" i="27" s="1"/>
  <c r="A393" i="27"/>
  <c r="G392" i="27"/>
  <c r="I392" i="27" s="1"/>
  <c r="A392" i="27"/>
  <c r="G391" i="27"/>
  <c r="I391" i="27" s="1"/>
  <c r="A391" i="27"/>
  <c r="G390" i="27"/>
  <c r="I390" i="27" s="1"/>
  <c r="A390" i="27"/>
  <c r="G389" i="27"/>
  <c r="I389" i="27" s="1"/>
  <c r="A389" i="27"/>
  <c r="G388" i="27"/>
  <c r="I388" i="27" s="1"/>
  <c r="A388" i="27"/>
  <c r="G387" i="27"/>
  <c r="I387" i="27" s="1"/>
  <c r="A387" i="27"/>
  <c r="G386" i="27"/>
  <c r="I386" i="27" s="1"/>
  <c r="A386" i="27"/>
  <c r="G385" i="27"/>
  <c r="I385" i="27" s="1"/>
  <c r="A385" i="27"/>
  <c r="G384" i="27"/>
  <c r="I384" i="27" s="1"/>
  <c r="A384" i="27"/>
  <c r="G383" i="27"/>
  <c r="I383" i="27" s="1"/>
  <c r="A383" i="27"/>
  <c r="G382" i="27"/>
  <c r="I382" i="27" s="1"/>
  <c r="A382" i="27"/>
  <c r="G381" i="27"/>
  <c r="I381" i="27" s="1"/>
  <c r="A381" i="27"/>
  <c r="G380" i="27"/>
  <c r="I380" i="27" s="1"/>
  <c r="A380" i="27"/>
  <c r="G379" i="27"/>
  <c r="I379" i="27" s="1"/>
  <c r="A379" i="27"/>
  <c r="G378" i="27"/>
  <c r="I378" i="27" s="1"/>
  <c r="A378" i="27"/>
  <c r="G377" i="27"/>
  <c r="I377" i="27" s="1"/>
  <c r="A377" i="27"/>
  <c r="G376" i="27"/>
  <c r="I376" i="27" s="1"/>
  <c r="A376" i="27"/>
  <c r="G375" i="27"/>
  <c r="I375" i="27" s="1"/>
  <c r="A375" i="27"/>
  <c r="G374" i="27"/>
  <c r="I374" i="27" s="1"/>
  <c r="A374" i="27"/>
  <c r="G373" i="27"/>
  <c r="I373" i="27" s="1"/>
  <c r="A373" i="27"/>
  <c r="G372" i="27"/>
  <c r="I372" i="27" s="1"/>
  <c r="A372" i="27"/>
  <c r="G371" i="27"/>
  <c r="I371" i="27" s="1"/>
  <c r="A371" i="27"/>
  <c r="G370" i="27"/>
  <c r="I370" i="27" s="1"/>
  <c r="A370" i="27"/>
  <c r="G369" i="27"/>
  <c r="I369" i="27" s="1"/>
  <c r="A369" i="27"/>
  <c r="G368" i="27"/>
  <c r="I368" i="27" s="1"/>
  <c r="A368" i="27"/>
  <c r="G367" i="27"/>
  <c r="I367" i="27" s="1"/>
  <c r="A367" i="27"/>
  <c r="G366" i="27"/>
  <c r="I366" i="27" s="1"/>
  <c r="A366" i="27"/>
  <c r="G365" i="27"/>
  <c r="I365" i="27" s="1"/>
  <c r="A365" i="27"/>
  <c r="G364" i="27"/>
  <c r="I364" i="27" s="1"/>
  <c r="A364" i="27"/>
  <c r="G363" i="27"/>
  <c r="I363" i="27" s="1"/>
  <c r="A363" i="27"/>
  <c r="G362" i="27"/>
  <c r="I362" i="27" s="1"/>
  <c r="A362" i="27"/>
  <c r="G361" i="27"/>
  <c r="I361" i="27" s="1"/>
  <c r="A361" i="27"/>
  <c r="G360" i="27"/>
  <c r="I360" i="27" s="1"/>
  <c r="A360" i="27"/>
  <c r="G359" i="27"/>
  <c r="I359" i="27" s="1"/>
  <c r="A359" i="27"/>
  <c r="G358" i="27"/>
  <c r="I358" i="27" s="1"/>
  <c r="A358" i="27"/>
  <c r="G357" i="27"/>
  <c r="I357" i="27" s="1"/>
  <c r="A357" i="27"/>
  <c r="G356" i="27"/>
  <c r="I356" i="27" s="1"/>
  <c r="A356" i="27"/>
  <c r="G355" i="27"/>
  <c r="I355" i="27" s="1"/>
  <c r="A355" i="27"/>
  <c r="G354" i="27"/>
  <c r="I354" i="27" s="1"/>
  <c r="A354" i="27"/>
  <c r="G353" i="27"/>
  <c r="I353" i="27" s="1"/>
  <c r="A353" i="27"/>
  <c r="G352" i="27"/>
  <c r="I352" i="27" s="1"/>
  <c r="A352" i="27"/>
  <c r="G351" i="27"/>
  <c r="I351" i="27" s="1"/>
  <c r="A351" i="27"/>
  <c r="G350" i="27"/>
  <c r="I350" i="27" s="1"/>
  <c r="A350" i="27"/>
  <c r="G349" i="27"/>
  <c r="I349" i="27" s="1"/>
  <c r="A349" i="27"/>
  <c r="G348" i="27"/>
  <c r="I348" i="27" s="1"/>
  <c r="A348" i="27"/>
  <c r="G347" i="27"/>
  <c r="I347" i="27" s="1"/>
  <c r="A347" i="27"/>
  <c r="G346" i="27"/>
  <c r="I346" i="27" s="1"/>
  <c r="A346" i="27"/>
  <c r="G345" i="27"/>
  <c r="I345" i="27" s="1"/>
  <c r="A345" i="27"/>
  <c r="G344" i="27"/>
  <c r="I344" i="27" s="1"/>
  <c r="A344" i="27"/>
  <c r="G343" i="27"/>
  <c r="I343" i="27" s="1"/>
  <c r="A343" i="27"/>
  <c r="G342" i="27"/>
  <c r="I342" i="27" s="1"/>
  <c r="A342" i="27"/>
  <c r="G341" i="27"/>
  <c r="I341" i="27" s="1"/>
  <c r="A341" i="27"/>
  <c r="G340" i="27"/>
  <c r="I340" i="27" s="1"/>
  <c r="A340" i="27"/>
  <c r="G339" i="27"/>
  <c r="I339" i="27" s="1"/>
  <c r="A339" i="27"/>
  <c r="G338" i="27"/>
  <c r="I338" i="27" s="1"/>
  <c r="A338" i="27"/>
  <c r="G337" i="27"/>
  <c r="I337" i="27" s="1"/>
  <c r="A337" i="27"/>
  <c r="G336" i="27"/>
  <c r="I336" i="27" s="1"/>
  <c r="A336" i="27"/>
  <c r="G335" i="27"/>
  <c r="I335" i="27" s="1"/>
  <c r="A335" i="27"/>
  <c r="G334" i="27"/>
  <c r="I334" i="27" s="1"/>
  <c r="A334" i="27"/>
  <c r="G333" i="27"/>
  <c r="I333" i="27" s="1"/>
  <c r="A333" i="27"/>
  <c r="G332" i="27"/>
  <c r="I332" i="27" s="1"/>
  <c r="A332" i="27"/>
  <c r="G331" i="27"/>
  <c r="I331" i="27" s="1"/>
  <c r="A331" i="27"/>
  <c r="G330" i="27"/>
  <c r="I330" i="27" s="1"/>
  <c r="A330" i="27"/>
  <c r="G329" i="27"/>
  <c r="I329" i="27" s="1"/>
  <c r="A329" i="27"/>
  <c r="G328" i="27"/>
  <c r="I328" i="27" s="1"/>
  <c r="A328" i="27"/>
  <c r="G327" i="27"/>
  <c r="I327" i="27" s="1"/>
  <c r="A327" i="27"/>
  <c r="G326" i="27"/>
  <c r="I326" i="27" s="1"/>
  <c r="A326" i="27"/>
  <c r="G325" i="27"/>
  <c r="I325" i="27" s="1"/>
  <c r="A325" i="27"/>
  <c r="G324" i="27"/>
  <c r="I324" i="27" s="1"/>
  <c r="A324" i="27"/>
  <c r="G323" i="27"/>
  <c r="I323" i="27" s="1"/>
  <c r="A323" i="27"/>
  <c r="G322" i="27"/>
  <c r="I322" i="27" s="1"/>
  <c r="A322" i="27"/>
  <c r="G321" i="27"/>
  <c r="I321" i="27" s="1"/>
  <c r="A321" i="27"/>
  <c r="G320" i="27"/>
  <c r="I320" i="27" s="1"/>
  <c r="A320" i="27"/>
  <c r="G319" i="27"/>
  <c r="I319" i="27" s="1"/>
  <c r="A319" i="27"/>
  <c r="G318" i="27"/>
  <c r="I318" i="27" s="1"/>
  <c r="A318" i="27"/>
  <c r="G317" i="27"/>
  <c r="I317" i="27" s="1"/>
  <c r="A317" i="27"/>
  <c r="G316" i="27"/>
  <c r="I316" i="27" s="1"/>
  <c r="A316" i="27"/>
  <c r="G315" i="27"/>
  <c r="I315" i="27" s="1"/>
  <c r="A315" i="27"/>
  <c r="G314" i="27"/>
  <c r="I314" i="27" s="1"/>
  <c r="A314" i="27"/>
  <c r="G313" i="27"/>
  <c r="I313" i="27" s="1"/>
  <c r="A313" i="27"/>
  <c r="G312" i="27"/>
  <c r="I312" i="27" s="1"/>
  <c r="A312" i="27"/>
  <c r="G311" i="27"/>
  <c r="I311" i="27" s="1"/>
  <c r="A311" i="27"/>
  <c r="G310" i="27"/>
  <c r="I310" i="27" s="1"/>
  <c r="A310" i="27"/>
  <c r="G309" i="27"/>
  <c r="I309" i="27" s="1"/>
  <c r="A309" i="27"/>
  <c r="G308" i="27"/>
  <c r="I308" i="27" s="1"/>
  <c r="A308" i="27"/>
  <c r="G307" i="27"/>
  <c r="I307" i="27" s="1"/>
  <c r="A307" i="27"/>
  <c r="G306" i="27"/>
  <c r="I306" i="27" s="1"/>
  <c r="A306" i="27"/>
  <c r="G305" i="27"/>
  <c r="I305" i="27" s="1"/>
  <c r="A305" i="27"/>
  <c r="G304" i="27"/>
  <c r="I304" i="27" s="1"/>
  <c r="A304" i="27"/>
  <c r="G303" i="27"/>
  <c r="I303" i="27" s="1"/>
  <c r="A303" i="27"/>
  <c r="G302" i="27"/>
  <c r="I302" i="27" s="1"/>
  <c r="A302" i="27"/>
  <c r="G301" i="27"/>
  <c r="I301" i="27" s="1"/>
  <c r="A301" i="27"/>
  <c r="G300" i="27"/>
  <c r="I300" i="27" s="1"/>
  <c r="A300" i="27"/>
  <c r="G299" i="27"/>
  <c r="I299" i="27" s="1"/>
  <c r="A299" i="27"/>
  <c r="G298" i="27"/>
  <c r="I298" i="27" s="1"/>
  <c r="A298" i="27"/>
  <c r="G297" i="27"/>
  <c r="I297" i="27" s="1"/>
  <c r="A297" i="27"/>
  <c r="G296" i="27"/>
  <c r="I296" i="27" s="1"/>
  <c r="A296" i="27"/>
  <c r="G295" i="27"/>
  <c r="I295" i="27" s="1"/>
  <c r="A295" i="27"/>
  <c r="G294" i="27"/>
  <c r="I294" i="27" s="1"/>
  <c r="A294" i="27"/>
  <c r="G293" i="27"/>
  <c r="I293" i="27" s="1"/>
  <c r="A293" i="27"/>
  <c r="G292" i="27"/>
  <c r="I292" i="27" s="1"/>
  <c r="A292" i="27"/>
  <c r="G291" i="27"/>
  <c r="I291" i="27" s="1"/>
  <c r="A291" i="27"/>
  <c r="G290" i="27"/>
  <c r="I290" i="27" s="1"/>
  <c r="A290" i="27"/>
  <c r="G289" i="27"/>
  <c r="I289" i="27" s="1"/>
  <c r="A289" i="27"/>
  <c r="G288" i="27"/>
  <c r="I288" i="27" s="1"/>
  <c r="A288" i="27"/>
  <c r="G287" i="27"/>
  <c r="I287" i="27" s="1"/>
  <c r="A287" i="27"/>
  <c r="G286" i="27"/>
  <c r="I286" i="27" s="1"/>
  <c r="A286" i="27"/>
  <c r="G285" i="27"/>
  <c r="I285" i="27" s="1"/>
  <c r="A285" i="27"/>
  <c r="G284" i="27"/>
  <c r="I284" i="27" s="1"/>
  <c r="A284" i="27"/>
  <c r="G283" i="27"/>
  <c r="I283" i="27" s="1"/>
  <c r="A283" i="27"/>
  <c r="G282" i="27"/>
  <c r="I282" i="27" s="1"/>
  <c r="A282" i="27"/>
  <c r="G281" i="27"/>
  <c r="I281" i="27" s="1"/>
  <c r="A281" i="27"/>
  <c r="G280" i="27"/>
  <c r="I280" i="27" s="1"/>
  <c r="A280" i="27"/>
  <c r="G279" i="27"/>
  <c r="I279" i="27" s="1"/>
  <c r="A279" i="27"/>
  <c r="G278" i="27"/>
  <c r="I278" i="27" s="1"/>
  <c r="A278" i="27"/>
  <c r="G277" i="27"/>
  <c r="I277" i="27" s="1"/>
  <c r="A277" i="27"/>
  <c r="G276" i="27"/>
  <c r="I276" i="27" s="1"/>
  <c r="A276" i="27"/>
  <c r="G275" i="27"/>
  <c r="I275" i="27" s="1"/>
  <c r="A275" i="27"/>
  <c r="G274" i="27"/>
  <c r="I274" i="27" s="1"/>
  <c r="A274" i="27"/>
  <c r="G273" i="27"/>
  <c r="I273" i="27" s="1"/>
  <c r="A273" i="27"/>
  <c r="G272" i="27"/>
  <c r="I272" i="27" s="1"/>
  <c r="A272" i="27"/>
  <c r="G271" i="27"/>
  <c r="I271" i="27" s="1"/>
  <c r="A271" i="27"/>
  <c r="G270" i="27"/>
  <c r="I270" i="27" s="1"/>
  <c r="A270" i="27"/>
  <c r="G269" i="27"/>
  <c r="I269" i="27" s="1"/>
  <c r="A269" i="27"/>
  <c r="G268" i="27"/>
  <c r="I268" i="27" s="1"/>
  <c r="A268" i="27"/>
  <c r="G267" i="27"/>
  <c r="I267" i="27" s="1"/>
  <c r="A267" i="27"/>
  <c r="G266" i="27"/>
  <c r="I266" i="27" s="1"/>
  <c r="A266" i="27"/>
  <c r="G265" i="27"/>
  <c r="I265" i="27" s="1"/>
  <c r="A265" i="27"/>
  <c r="G264" i="27"/>
  <c r="I264" i="27" s="1"/>
  <c r="A264" i="27"/>
  <c r="G263" i="27"/>
  <c r="I263" i="27" s="1"/>
  <c r="A263" i="27"/>
  <c r="G262" i="27"/>
  <c r="I262" i="27" s="1"/>
  <c r="A262" i="27"/>
  <c r="G261" i="27"/>
  <c r="I261" i="27" s="1"/>
  <c r="A261" i="27"/>
  <c r="G260" i="27"/>
  <c r="I260" i="27" s="1"/>
  <c r="A260" i="27"/>
  <c r="G259" i="27"/>
  <c r="I259" i="27" s="1"/>
  <c r="A259" i="27"/>
  <c r="G258" i="27"/>
  <c r="I258" i="27" s="1"/>
  <c r="A258" i="27"/>
  <c r="G257" i="27"/>
  <c r="I257" i="27" s="1"/>
  <c r="A257" i="27"/>
  <c r="G256" i="27"/>
  <c r="I256" i="27" s="1"/>
  <c r="A256" i="27"/>
  <c r="G255" i="27"/>
  <c r="I255" i="27" s="1"/>
  <c r="A255" i="27"/>
  <c r="G254" i="27"/>
  <c r="I254" i="27" s="1"/>
  <c r="A254" i="27"/>
  <c r="G253" i="27"/>
  <c r="I253" i="27" s="1"/>
  <c r="A253" i="27"/>
  <c r="G252" i="27"/>
  <c r="I252" i="27" s="1"/>
  <c r="A252" i="27"/>
  <c r="G251" i="27"/>
  <c r="I251" i="27" s="1"/>
  <c r="A251" i="27"/>
  <c r="G250" i="27"/>
  <c r="I250" i="27" s="1"/>
  <c r="A250" i="27"/>
  <c r="G249" i="27"/>
  <c r="I249" i="27" s="1"/>
  <c r="A249" i="27"/>
  <c r="G248" i="27"/>
  <c r="I248" i="27" s="1"/>
  <c r="A248" i="27"/>
  <c r="G247" i="27"/>
  <c r="I247" i="27" s="1"/>
  <c r="A247" i="27"/>
  <c r="G246" i="27"/>
  <c r="I246" i="27" s="1"/>
  <c r="A246" i="27"/>
  <c r="G245" i="27"/>
  <c r="I245" i="27" s="1"/>
  <c r="A245" i="27"/>
  <c r="G244" i="27"/>
  <c r="I244" i="27" s="1"/>
  <c r="A244" i="27"/>
  <c r="G243" i="27"/>
  <c r="I243" i="27" s="1"/>
  <c r="A243" i="27"/>
  <c r="G242" i="27"/>
  <c r="I242" i="27" s="1"/>
  <c r="A242" i="27"/>
  <c r="G241" i="27"/>
  <c r="I241" i="27" s="1"/>
  <c r="A241" i="27"/>
  <c r="G240" i="27"/>
  <c r="I240" i="27" s="1"/>
  <c r="A240" i="27"/>
  <c r="G239" i="27"/>
  <c r="I239" i="27" s="1"/>
  <c r="A239" i="27"/>
  <c r="G238" i="27"/>
  <c r="I238" i="27" s="1"/>
  <c r="A238" i="27"/>
  <c r="G237" i="27"/>
  <c r="I237" i="27" s="1"/>
  <c r="A237" i="27"/>
  <c r="G236" i="27"/>
  <c r="A236" i="27"/>
  <c r="G235" i="27"/>
  <c r="A235" i="27"/>
  <c r="G234" i="27"/>
  <c r="A234" i="27"/>
  <c r="G233" i="27"/>
  <c r="A233" i="27"/>
  <c r="G232" i="27"/>
  <c r="A232" i="27"/>
  <c r="G231" i="27"/>
  <c r="A231" i="27"/>
  <c r="G230" i="27"/>
  <c r="I230" i="27" s="1"/>
  <c r="A230" i="27"/>
  <c r="G229" i="27"/>
  <c r="A229" i="27"/>
  <c r="G228" i="27"/>
  <c r="A228" i="27"/>
  <c r="G227" i="27"/>
  <c r="A227" i="27"/>
  <c r="G226" i="27"/>
  <c r="A226" i="27"/>
  <c r="G225" i="27"/>
  <c r="A225" i="27"/>
  <c r="G224" i="27"/>
  <c r="A224" i="27"/>
  <c r="G223" i="27"/>
  <c r="A223" i="27"/>
  <c r="G222" i="27"/>
  <c r="A222" i="27"/>
  <c r="G221" i="27"/>
  <c r="I221" i="27" s="1"/>
  <c r="A221" i="27"/>
  <c r="G220" i="27"/>
  <c r="I220" i="27" s="1"/>
  <c r="A220" i="27"/>
  <c r="G219" i="27"/>
  <c r="I219" i="27" s="1"/>
  <c r="A219" i="27"/>
  <c r="G218" i="27"/>
  <c r="I218" i="27" s="1"/>
  <c r="A218" i="27"/>
  <c r="G217" i="27"/>
  <c r="I217" i="27" s="1"/>
  <c r="A217" i="27"/>
  <c r="G216" i="27"/>
  <c r="I216" i="27" s="1"/>
  <c r="A216" i="27"/>
  <c r="G215" i="27"/>
  <c r="I215" i="27" s="1"/>
  <c r="A215" i="27"/>
  <c r="G214" i="27"/>
  <c r="I214" i="27" s="1"/>
  <c r="A214" i="27"/>
  <c r="G213" i="27"/>
  <c r="I213" i="27" s="1"/>
  <c r="A213" i="27"/>
  <c r="G212" i="27"/>
  <c r="I212" i="27" s="1"/>
  <c r="A212" i="27"/>
  <c r="G211" i="27"/>
  <c r="I211" i="27" s="1"/>
  <c r="A211" i="27"/>
  <c r="G210" i="27"/>
  <c r="I210" i="27" s="1"/>
  <c r="A210" i="27"/>
  <c r="G209" i="27"/>
  <c r="I209" i="27" s="1"/>
  <c r="A209" i="27"/>
  <c r="G208" i="27"/>
  <c r="I208" i="27" s="1"/>
  <c r="A208" i="27"/>
  <c r="G207" i="27"/>
  <c r="I207" i="27" s="1"/>
  <c r="A207" i="27"/>
  <c r="G206" i="27"/>
  <c r="I206" i="27" s="1"/>
  <c r="A206" i="27"/>
  <c r="G205" i="27"/>
  <c r="I205" i="27" s="1"/>
  <c r="A205" i="27"/>
  <c r="G204" i="27"/>
  <c r="A204" i="27"/>
  <c r="G203" i="27"/>
  <c r="A203" i="27"/>
  <c r="G202" i="27"/>
  <c r="A202" i="27"/>
  <c r="G201" i="27"/>
  <c r="A201" i="27"/>
  <c r="G200" i="27"/>
  <c r="A200" i="27"/>
  <c r="G199" i="27"/>
  <c r="A199" i="27"/>
  <c r="G198" i="27"/>
  <c r="A198" i="27"/>
  <c r="G197" i="27"/>
  <c r="A197" i="27"/>
  <c r="G196" i="27"/>
  <c r="A196" i="27"/>
  <c r="G195" i="27"/>
  <c r="A195" i="27"/>
  <c r="G194" i="27"/>
  <c r="A194" i="27"/>
  <c r="G193" i="27"/>
  <c r="A193" i="27"/>
  <c r="G192" i="27"/>
  <c r="A192" i="27"/>
  <c r="G191" i="27"/>
  <c r="A191" i="27"/>
  <c r="G190" i="27"/>
  <c r="A190" i="27"/>
  <c r="G189" i="27"/>
  <c r="A189" i="27"/>
  <c r="G188" i="27"/>
  <c r="A188" i="27"/>
  <c r="G187" i="27"/>
  <c r="I187" i="27" s="1"/>
  <c r="A187" i="27"/>
  <c r="G186" i="27"/>
  <c r="I186" i="27" s="1"/>
  <c r="A186" i="27"/>
  <c r="G185" i="27"/>
  <c r="I185" i="27" s="1"/>
  <c r="A185" i="27"/>
  <c r="G184" i="27"/>
  <c r="I184" i="27" s="1"/>
  <c r="A184" i="27"/>
  <c r="G183" i="27"/>
  <c r="I183" i="27" s="1"/>
  <c r="A183" i="27"/>
  <c r="G182" i="27"/>
  <c r="I182" i="27" s="1"/>
  <c r="A182" i="27"/>
  <c r="G181" i="27"/>
  <c r="I181" i="27" s="1"/>
  <c r="A181" i="27"/>
  <c r="G180" i="27"/>
  <c r="I180" i="27" s="1"/>
  <c r="A180" i="27"/>
  <c r="G179" i="27"/>
  <c r="I179" i="27" s="1"/>
  <c r="A179" i="27"/>
  <c r="G178" i="27"/>
  <c r="I178" i="27" s="1"/>
  <c r="A178" i="27"/>
  <c r="G177" i="27"/>
  <c r="I177" i="27" s="1"/>
  <c r="A177" i="27"/>
  <c r="G176" i="27"/>
  <c r="I176" i="27" s="1"/>
  <c r="A176" i="27"/>
  <c r="G175" i="27"/>
  <c r="I175" i="27" s="1"/>
  <c r="A175" i="27"/>
  <c r="G174" i="27"/>
  <c r="I174" i="27" s="1"/>
  <c r="A174" i="27"/>
  <c r="G173" i="27"/>
  <c r="I173" i="27" s="1"/>
  <c r="A173" i="27"/>
  <c r="G172" i="27"/>
  <c r="I172" i="27" s="1"/>
  <c r="A172" i="27"/>
  <c r="G171" i="27"/>
  <c r="I171" i="27" s="1"/>
  <c r="A171" i="27"/>
  <c r="G170" i="27"/>
  <c r="I170" i="27" s="1"/>
  <c r="A170" i="27"/>
  <c r="G169" i="27"/>
  <c r="I169" i="27" s="1"/>
  <c r="A169" i="27"/>
  <c r="G168" i="27"/>
  <c r="I168" i="27" s="1"/>
  <c r="A168" i="27"/>
  <c r="G167" i="27"/>
  <c r="I167" i="27" s="1"/>
  <c r="A167" i="27"/>
  <c r="G166" i="27"/>
  <c r="I166" i="27" s="1"/>
  <c r="A166" i="27"/>
  <c r="G165" i="27"/>
  <c r="I165" i="27" s="1"/>
  <c r="A165" i="27"/>
  <c r="G164" i="27"/>
  <c r="I164" i="27" s="1"/>
  <c r="A164" i="27"/>
  <c r="G163" i="27"/>
  <c r="I163" i="27" s="1"/>
  <c r="A163" i="27"/>
  <c r="G162" i="27"/>
  <c r="I162" i="27" s="1"/>
  <c r="A162" i="27"/>
  <c r="G161" i="27"/>
  <c r="I161" i="27" s="1"/>
  <c r="A161" i="27"/>
  <c r="G160" i="27"/>
  <c r="I160" i="27" s="1"/>
  <c r="A160" i="27"/>
  <c r="G159" i="27"/>
  <c r="I159" i="27" s="1"/>
  <c r="A159" i="27"/>
  <c r="G158" i="27"/>
  <c r="I158" i="27" s="1"/>
  <c r="A158" i="27"/>
  <c r="G157" i="27"/>
  <c r="I157" i="27" s="1"/>
  <c r="A157" i="27"/>
  <c r="G156" i="27"/>
  <c r="I156" i="27" s="1"/>
  <c r="A156" i="27"/>
  <c r="G155" i="27"/>
  <c r="I155" i="27" s="1"/>
  <c r="A155" i="27"/>
  <c r="G154" i="27"/>
  <c r="I154" i="27" s="1"/>
  <c r="A154" i="27"/>
  <c r="G153" i="27"/>
  <c r="I153" i="27" s="1"/>
  <c r="A153" i="27"/>
  <c r="G152" i="27"/>
  <c r="I152" i="27" s="1"/>
  <c r="A152" i="27"/>
  <c r="G151" i="27"/>
  <c r="I151" i="27" s="1"/>
  <c r="A151" i="27"/>
  <c r="G150" i="27"/>
  <c r="I150" i="27" s="1"/>
  <c r="A150" i="27"/>
  <c r="G149" i="27"/>
  <c r="I149" i="27" s="1"/>
  <c r="A149" i="27"/>
  <c r="G148" i="27"/>
  <c r="I148" i="27" s="1"/>
  <c r="A148" i="27"/>
  <c r="G147" i="27"/>
  <c r="I147" i="27" s="1"/>
  <c r="A147" i="27"/>
  <c r="G146" i="27"/>
  <c r="I146" i="27" s="1"/>
  <c r="A146" i="27"/>
  <c r="G145" i="27"/>
  <c r="I145" i="27" s="1"/>
  <c r="A145" i="27"/>
  <c r="G144" i="27"/>
  <c r="I144" i="27" s="1"/>
  <c r="A144" i="27"/>
  <c r="G143" i="27"/>
  <c r="I143" i="27" s="1"/>
  <c r="A143" i="27"/>
  <c r="G142" i="27"/>
  <c r="I142" i="27" s="1"/>
  <c r="A142" i="27"/>
  <c r="G141" i="27"/>
  <c r="I141" i="27" s="1"/>
  <c r="A141" i="27"/>
  <c r="G140" i="27"/>
  <c r="I140" i="27" s="1"/>
  <c r="A140" i="27"/>
  <c r="G139" i="27"/>
  <c r="I139" i="27" s="1"/>
  <c r="A139" i="27"/>
  <c r="G138" i="27"/>
  <c r="I138" i="27" s="1"/>
  <c r="A138" i="27"/>
  <c r="G137" i="27"/>
  <c r="I137" i="27" s="1"/>
  <c r="A137" i="27"/>
  <c r="G136" i="27"/>
  <c r="I136" i="27" s="1"/>
  <c r="A136" i="27"/>
  <c r="G135" i="27"/>
  <c r="I135" i="27" s="1"/>
  <c r="A135" i="27"/>
  <c r="G134" i="27"/>
  <c r="I134" i="27" s="1"/>
  <c r="A134" i="27"/>
  <c r="G133" i="27"/>
  <c r="I133" i="27" s="1"/>
  <c r="A133" i="27"/>
  <c r="G132" i="27"/>
  <c r="I132" i="27" s="1"/>
  <c r="A132" i="27"/>
  <c r="G131" i="27"/>
  <c r="I131" i="27" s="1"/>
  <c r="A131" i="27"/>
  <c r="G130" i="27"/>
  <c r="I130" i="27" s="1"/>
  <c r="A130" i="27"/>
  <c r="G129" i="27"/>
  <c r="I129" i="27" s="1"/>
  <c r="A129" i="27"/>
  <c r="G128" i="27"/>
  <c r="I128" i="27" s="1"/>
  <c r="A128" i="27"/>
  <c r="G127" i="27"/>
  <c r="I127" i="27" s="1"/>
  <c r="A127" i="27"/>
  <c r="G126" i="27"/>
  <c r="I126" i="27" s="1"/>
  <c r="A126" i="27"/>
  <c r="G125" i="27"/>
  <c r="I125" i="27" s="1"/>
  <c r="A125" i="27"/>
  <c r="G124" i="27"/>
  <c r="I124" i="27" s="1"/>
  <c r="A124" i="27"/>
  <c r="G123" i="27"/>
  <c r="I123" i="27" s="1"/>
  <c r="A123" i="27"/>
  <c r="G122" i="27"/>
  <c r="I122" i="27" s="1"/>
  <c r="A122" i="27"/>
  <c r="G121" i="27"/>
  <c r="A121" i="27"/>
  <c r="G120" i="27"/>
  <c r="A120" i="27"/>
  <c r="G119" i="27"/>
  <c r="A119" i="27"/>
  <c r="G118" i="27"/>
  <c r="A118" i="27"/>
  <c r="G117" i="27"/>
  <c r="A117" i="27"/>
  <c r="G116" i="27"/>
  <c r="A116" i="27"/>
  <c r="G115" i="27"/>
  <c r="A115" i="27"/>
  <c r="G114" i="27"/>
  <c r="A114" i="27"/>
  <c r="G113" i="27"/>
  <c r="A113" i="27"/>
  <c r="G112" i="27"/>
  <c r="A112" i="27"/>
  <c r="G111" i="27"/>
  <c r="A111" i="27"/>
  <c r="G110" i="27"/>
  <c r="A110" i="27"/>
  <c r="G109" i="27"/>
  <c r="A109" i="27"/>
  <c r="G108" i="27"/>
  <c r="A108" i="27"/>
  <c r="G107" i="27"/>
  <c r="A107" i="27"/>
  <c r="G106" i="27"/>
  <c r="A106" i="27"/>
  <c r="G105" i="27"/>
  <c r="A105" i="27"/>
  <c r="G104" i="27"/>
  <c r="A104" i="27"/>
  <c r="G103" i="27"/>
  <c r="A103" i="27"/>
  <c r="G102" i="27"/>
  <c r="A102" i="27"/>
  <c r="G101" i="27"/>
  <c r="A101" i="27"/>
  <c r="G100" i="27"/>
  <c r="A100" i="27"/>
  <c r="G99" i="27"/>
  <c r="A99" i="27"/>
  <c r="G98" i="27"/>
  <c r="A98" i="27"/>
  <c r="G97" i="27"/>
  <c r="A97" i="27"/>
  <c r="G96" i="27"/>
  <c r="A96" i="27"/>
  <c r="G95" i="27"/>
  <c r="A95" i="27"/>
  <c r="G94" i="27"/>
  <c r="A94" i="27"/>
  <c r="G93" i="27"/>
  <c r="A93" i="27"/>
  <c r="G92" i="27"/>
  <c r="A92" i="27"/>
  <c r="G91" i="27"/>
  <c r="A91" i="27"/>
  <c r="G90" i="27"/>
  <c r="A90" i="27"/>
  <c r="G89" i="27"/>
  <c r="A89" i="27"/>
  <c r="G88" i="27"/>
  <c r="A88" i="27"/>
  <c r="G87" i="27"/>
  <c r="A87" i="27"/>
  <c r="G86" i="27"/>
  <c r="A86" i="27"/>
  <c r="G85" i="27"/>
  <c r="A85" i="27"/>
  <c r="G84" i="27"/>
  <c r="A84" i="27"/>
  <c r="G83" i="27"/>
  <c r="A83" i="27"/>
  <c r="G82" i="27"/>
  <c r="A82" i="27"/>
  <c r="G81" i="27"/>
  <c r="A81" i="27"/>
  <c r="G80" i="27"/>
  <c r="A80" i="27"/>
  <c r="G79" i="27"/>
  <c r="A79" i="27"/>
  <c r="G78" i="27"/>
  <c r="A78" i="27"/>
  <c r="G77" i="27"/>
  <c r="A77" i="27"/>
  <c r="G76" i="27"/>
  <c r="A76" i="27"/>
  <c r="G75" i="27"/>
  <c r="A75" i="27"/>
  <c r="G74" i="27"/>
  <c r="A74" i="27"/>
  <c r="G73" i="27"/>
  <c r="A73" i="27"/>
  <c r="G72" i="27"/>
  <c r="A72" i="27"/>
  <c r="G71" i="27"/>
  <c r="A71" i="27"/>
  <c r="G70" i="27"/>
  <c r="A70" i="27"/>
  <c r="G69" i="27"/>
  <c r="A69" i="27"/>
  <c r="G68" i="27"/>
  <c r="A68" i="27"/>
  <c r="G67" i="27"/>
  <c r="A67" i="27"/>
  <c r="G66" i="27"/>
  <c r="A66" i="27"/>
  <c r="G65" i="27"/>
  <c r="A65" i="27"/>
  <c r="G64" i="27"/>
  <c r="A64" i="27"/>
  <c r="G63" i="27"/>
  <c r="A63" i="27"/>
  <c r="G62" i="27"/>
  <c r="A62" i="27"/>
  <c r="G61" i="27"/>
  <c r="A61" i="27"/>
  <c r="G60" i="27"/>
  <c r="A60" i="27"/>
  <c r="G59" i="27"/>
  <c r="A59" i="27"/>
  <c r="G58" i="27"/>
  <c r="A58" i="27"/>
  <c r="G57" i="27"/>
  <c r="A57" i="27"/>
  <c r="G56" i="27"/>
  <c r="A56" i="27"/>
  <c r="G55" i="27"/>
  <c r="A55" i="27"/>
  <c r="G54" i="27"/>
  <c r="A54" i="27"/>
  <c r="G53" i="27"/>
  <c r="A53" i="27"/>
  <c r="G52" i="27"/>
  <c r="A52" i="27"/>
  <c r="G51" i="27"/>
  <c r="A51" i="27"/>
  <c r="G50" i="27"/>
  <c r="A50" i="27"/>
  <c r="G49" i="27"/>
  <c r="A49" i="27"/>
  <c r="G48" i="27"/>
  <c r="A48" i="27"/>
  <c r="G47" i="27"/>
  <c r="A47" i="27"/>
  <c r="G46" i="27"/>
  <c r="A46" i="27"/>
  <c r="G45" i="27"/>
  <c r="A45" i="27"/>
  <c r="G44" i="27"/>
  <c r="A44" i="27"/>
  <c r="G43" i="27"/>
  <c r="A43" i="27"/>
  <c r="G42" i="27"/>
  <c r="A42" i="27"/>
  <c r="G41" i="27"/>
  <c r="A41" i="27"/>
  <c r="G40" i="27"/>
  <c r="A40" i="27"/>
  <c r="G39" i="27"/>
  <c r="A39" i="27"/>
  <c r="G38" i="27"/>
  <c r="A38" i="27"/>
  <c r="G37" i="27"/>
  <c r="A37" i="27"/>
  <c r="G36" i="27"/>
  <c r="A36" i="27"/>
  <c r="G35" i="27"/>
  <c r="A35" i="27"/>
  <c r="G34" i="27"/>
  <c r="A34" i="27"/>
  <c r="G33" i="27"/>
  <c r="A33" i="27"/>
  <c r="G32" i="27"/>
  <c r="A32" i="27"/>
  <c r="G31" i="27"/>
  <c r="A31" i="27"/>
  <c r="G30" i="27"/>
  <c r="A30" i="27"/>
  <c r="G29" i="27"/>
  <c r="A29" i="27"/>
  <c r="G28" i="27"/>
  <c r="A28" i="27"/>
  <c r="G27" i="27"/>
  <c r="A27" i="27"/>
  <c r="G26" i="27"/>
  <c r="A26" i="27"/>
  <c r="G25" i="27"/>
  <c r="A25" i="27"/>
  <c r="G24" i="27"/>
  <c r="A24" i="27"/>
  <c r="G23" i="27"/>
  <c r="A23" i="27"/>
  <c r="G22" i="27"/>
  <c r="A22" i="27"/>
  <c r="G21" i="27"/>
  <c r="A21" i="27"/>
  <c r="G20" i="27"/>
  <c r="A20" i="27"/>
  <c r="G19" i="27"/>
  <c r="A19" i="27"/>
  <c r="G18" i="27"/>
  <c r="A18" i="27"/>
  <c r="G17" i="27"/>
  <c r="A17" i="27"/>
  <c r="G16" i="27"/>
  <c r="A16" i="27"/>
  <c r="G15" i="27"/>
  <c r="A15" i="27"/>
  <c r="G14" i="27"/>
  <c r="A14" i="27"/>
  <c r="G13" i="27"/>
  <c r="A13" i="27"/>
  <c r="G12" i="27"/>
  <c r="A12" i="27"/>
  <c r="G11" i="27"/>
  <c r="A11" i="27"/>
  <c r="G10" i="27"/>
  <c r="A10" i="27"/>
  <c r="G9" i="27"/>
  <c r="A9" i="27"/>
  <c r="G8" i="27"/>
  <c r="A8" i="27"/>
  <c r="G7" i="27"/>
  <c r="A7" i="27"/>
  <c r="G6" i="27"/>
  <c r="A6" i="27"/>
  <c r="G5" i="27"/>
  <c r="A5" i="27"/>
  <c r="G4" i="27"/>
  <c r="A4" i="27"/>
  <c r="G3" i="27"/>
  <c r="A3" i="27"/>
  <c r="G2" i="27"/>
  <c r="A2" i="27"/>
  <c r="AL392" i="17" l="1"/>
  <c r="AM392" i="17"/>
  <c r="AN392" i="17"/>
  <c r="AO392" i="17"/>
  <c r="AP392" i="17"/>
  <c r="AQ392" i="17"/>
  <c r="AR392" i="17"/>
  <c r="AS392" i="17"/>
  <c r="AT392" i="17"/>
  <c r="AL143" i="17"/>
  <c r="AL26" i="17"/>
  <c r="AL38" i="17"/>
  <c r="AL49" i="17"/>
  <c r="AL61" i="17"/>
  <c r="AL73" i="17"/>
  <c r="AL85" i="17"/>
  <c r="AL97" i="17"/>
  <c r="AL109" i="17"/>
  <c r="AL121" i="17"/>
  <c r="AL133" i="17"/>
  <c r="AL145" i="17"/>
  <c r="AL157" i="17"/>
  <c r="AL169" i="17"/>
  <c r="AL181" i="17"/>
  <c r="AL217" i="17"/>
  <c r="AL241" i="17"/>
  <c r="AL277" i="17"/>
  <c r="AL349" i="17"/>
  <c r="AL361" i="17"/>
  <c r="AL373" i="17"/>
  <c r="AL385" i="17"/>
  <c r="AM9" i="17"/>
  <c r="AM45" i="17"/>
  <c r="AM56" i="17"/>
  <c r="AM68" i="17"/>
  <c r="AM80" i="17"/>
  <c r="AM92" i="17"/>
  <c r="AM104" i="17"/>
  <c r="AM116" i="17"/>
  <c r="AM128" i="17"/>
  <c r="AM140" i="17"/>
  <c r="AM152" i="17"/>
  <c r="AM176" i="17"/>
  <c r="AM188" i="17"/>
  <c r="AM200" i="17"/>
  <c r="AM212" i="17"/>
  <c r="AM224" i="17"/>
  <c r="AM236" i="17"/>
  <c r="AM248" i="17"/>
  <c r="AM260" i="17"/>
  <c r="AM272" i="17"/>
  <c r="AM296" i="17"/>
  <c r="AM332" i="17"/>
  <c r="AM344" i="17"/>
  <c r="AM356" i="17"/>
  <c r="AM368" i="17"/>
  <c r="AM380" i="17"/>
  <c r="AN4" i="17"/>
  <c r="AN28" i="17"/>
  <c r="AN40" i="17"/>
  <c r="AN51" i="17"/>
  <c r="AN63" i="17"/>
  <c r="AN75" i="17"/>
  <c r="AN87" i="17"/>
  <c r="AN111" i="17"/>
  <c r="AN123" i="17"/>
  <c r="AN147" i="17"/>
  <c r="AN159" i="17"/>
  <c r="AN171" i="17"/>
  <c r="AN183" i="17"/>
  <c r="AN195" i="17"/>
  <c r="AN207" i="17"/>
  <c r="AN219" i="17"/>
  <c r="AN231" i="17"/>
  <c r="AN243" i="17"/>
  <c r="AN255" i="17"/>
  <c r="AN279" i="17"/>
  <c r="AN291" i="17"/>
  <c r="AN327" i="17"/>
  <c r="AN339" i="17"/>
  <c r="AN351" i="17"/>
  <c r="AN363" i="17"/>
  <c r="AN375" i="17"/>
  <c r="AN387" i="17"/>
  <c r="AO11" i="17"/>
  <c r="AO23" i="17"/>
  <c r="AO35" i="17"/>
  <c r="AO58" i="17"/>
  <c r="AO70" i="17"/>
  <c r="AO118" i="17"/>
  <c r="AO130" i="17"/>
  <c r="AO142" i="17"/>
  <c r="AL3" i="17"/>
  <c r="AL27" i="17"/>
  <c r="AL39" i="17"/>
  <c r="AL50" i="17"/>
  <c r="AL62" i="17"/>
  <c r="AL74" i="17"/>
  <c r="AL86" i="17"/>
  <c r="AL98" i="17"/>
  <c r="AL110" i="17"/>
  <c r="AL122" i="17"/>
  <c r="AL134" i="17"/>
  <c r="AL4" i="17"/>
  <c r="AL28" i="17"/>
  <c r="AL40" i="17"/>
  <c r="AL51" i="17"/>
  <c r="AL75" i="17"/>
  <c r="AL87" i="17"/>
  <c r="AL123" i="17"/>
  <c r="AL147" i="17"/>
  <c r="AL159" i="17"/>
  <c r="AL31" i="17"/>
  <c r="AL46" i="17"/>
  <c r="AL60" i="17"/>
  <c r="AL78" i="17"/>
  <c r="AL93" i="17"/>
  <c r="AL107" i="17"/>
  <c r="AL125" i="17"/>
  <c r="AL139" i="17"/>
  <c r="AL153" i="17"/>
  <c r="AL180" i="17"/>
  <c r="AL218" i="17"/>
  <c r="AL230" i="17"/>
  <c r="AL243" i="17"/>
  <c r="AL256" i="17"/>
  <c r="AL329" i="17"/>
  <c r="AL341" i="17"/>
  <c r="AL354" i="17"/>
  <c r="AL380" i="17"/>
  <c r="AM5" i="17"/>
  <c r="AM18" i="17"/>
  <c r="AM30" i="17"/>
  <c r="AM43" i="17"/>
  <c r="AM69" i="17"/>
  <c r="AM95" i="17"/>
  <c r="AM121" i="17"/>
  <c r="AM134" i="17"/>
  <c r="AM147" i="17"/>
  <c r="AM160" i="17"/>
  <c r="AL5" i="17"/>
  <c r="AL17" i="17"/>
  <c r="AL32" i="17"/>
  <c r="AL64" i="17"/>
  <c r="AL126" i="17"/>
  <c r="AL140" i="17"/>
  <c r="AL168" i="17"/>
  <c r="AL182" i="17"/>
  <c r="AL194" i="17"/>
  <c r="AL206" i="17"/>
  <c r="AL219" i="17"/>
  <c r="AL244" i="17"/>
  <c r="AL257" i="17"/>
  <c r="AL330" i="17"/>
  <c r="AL342" i="17"/>
  <c r="AL355" i="17"/>
  <c r="AL381" i="17"/>
  <c r="AM6" i="17"/>
  <c r="AM31" i="17"/>
  <c r="AM44" i="17"/>
  <c r="AM57" i="17"/>
  <c r="AM70" i="17"/>
  <c r="AM83" i="17"/>
  <c r="AM96" i="17"/>
  <c r="AM109" i="17"/>
  <c r="AM122" i="17"/>
  <c r="AM148" i="17"/>
  <c r="AM161" i="17"/>
  <c r="AM173" i="17"/>
  <c r="AM213" i="17"/>
  <c r="AM278" i="17"/>
  <c r="AM327" i="17"/>
  <c r="AM340" i="17"/>
  <c r="AM353" i="17"/>
  <c r="AM366" i="17"/>
  <c r="AM379" i="17"/>
  <c r="AN5" i="17"/>
  <c r="AN17" i="17"/>
  <c r="AN30" i="17"/>
  <c r="AN43" i="17"/>
  <c r="AN68" i="17"/>
  <c r="AN81" i="17"/>
  <c r="AN119" i="17"/>
  <c r="AN132" i="17"/>
  <c r="AN144" i="17"/>
  <c r="AN157" i="17"/>
  <c r="AN170" i="17"/>
  <c r="AN184" i="17"/>
  <c r="AN197" i="17"/>
  <c r="AN210" i="17"/>
  <c r="AN236" i="17"/>
  <c r="AN249" i="17"/>
  <c r="AN262" i="17"/>
  <c r="AN274" i="17"/>
  <c r="AN350" i="17"/>
  <c r="AN364" i="17"/>
  <c r="AN377" i="17"/>
  <c r="AN390" i="17"/>
  <c r="AO28" i="17"/>
  <c r="AO53" i="17"/>
  <c r="AO66" i="17"/>
  <c r="AO91" i="17"/>
  <c r="AO103" i="17"/>
  <c r="AO115" i="17"/>
  <c r="AO128" i="17"/>
  <c r="AL6" i="17"/>
  <c r="AL33" i="17"/>
  <c r="AL47" i="17"/>
  <c r="AL65" i="17"/>
  <c r="AL80" i="17"/>
  <c r="AL95" i="17"/>
  <c r="AL112" i="17"/>
  <c r="AL127" i="17"/>
  <c r="AL141" i="17"/>
  <c r="AL170" i="17"/>
  <c r="AL183" i="17"/>
  <c r="AL195" i="17"/>
  <c r="AL207" i="17"/>
  <c r="AL220" i="17"/>
  <c r="AL232" i="17"/>
  <c r="AL245" i="17"/>
  <c r="AL258" i="17"/>
  <c r="AL295" i="17"/>
  <c r="AL331" i="17"/>
  <c r="AL343" i="17"/>
  <c r="AL356" i="17"/>
  <c r="AL369" i="17"/>
  <c r="AL382" i="17"/>
  <c r="AM46" i="17"/>
  <c r="AM58" i="17"/>
  <c r="AM71" i="17"/>
  <c r="AM84" i="17"/>
  <c r="AM97" i="17"/>
  <c r="AM110" i="17"/>
  <c r="AM123" i="17"/>
  <c r="AM136" i="17"/>
  <c r="AM149" i="17"/>
  <c r="AM162" i="17"/>
  <c r="AM174" i="17"/>
  <c r="AM201" i="17"/>
  <c r="AM214" i="17"/>
  <c r="AM227" i="17"/>
  <c r="AM253" i="17"/>
  <c r="AM279" i="17"/>
  <c r="AM291" i="17"/>
  <c r="AM328" i="17"/>
  <c r="AM341" i="17"/>
  <c r="AM354" i="17"/>
  <c r="AM367" i="17"/>
  <c r="AM381" i="17"/>
  <c r="AN6" i="17"/>
  <c r="AN18" i="17"/>
  <c r="AN31" i="17"/>
  <c r="AN44" i="17"/>
  <c r="AN56" i="17"/>
  <c r="AN69" i="17"/>
  <c r="AN95" i="17"/>
  <c r="AN107" i="17"/>
  <c r="AN120" i="17"/>
  <c r="AN133" i="17"/>
  <c r="AN145" i="17"/>
  <c r="AN158" i="17"/>
  <c r="AN172" i="17"/>
  <c r="AN185" i="17"/>
  <c r="AN198" i="17"/>
  <c r="AN211" i="17"/>
  <c r="AN224" i="17"/>
  <c r="AN237" i="17"/>
  <c r="AN250" i="17"/>
  <c r="AN352" i="17"/>
  <c r="AN365" i="17"/>
  <c r="AN378" i="17"/>
  <c r="AO3" i="17"/>
  <c r="AO29" i="17"/>
  <c r="AO42" i="17"/>
  <c r="AO54" i="17"/>
  <c r="AO67" i="17"/>
  <c r="AO80" i="17"/>
  <c r="AO92" i="17"/>
  <c r="AO116" i="17"/>
  <c r="AO129" i="17"/>
  <c r="AL41" i="17"/>
  <c r="AL58" i="17"/>
  <c r="AL81" i="17"/>
  <c r="AL100" i="17"/>
  <c r="AL117" i="17"/>
  <c r="AL158" i="17"/>
  <c r="AL174" i="17"/>
  <c r="AL190" i="17"/>
  <c r="AL204" i="17"/>
  <c r="AL222" i="17"/>
  <c r="AL237" i="17"/>
  <c r="AL254" i="17"/>
  <c r="AL296" i="17"/>
  <c r="AL335" i="17"/>
  <c r="AL351" i="17"/>
  <c r="AL370" i="17"/>
  <c r="AL387" i="17"/>
  <c r="AM29" i="17"/>
  <c r="AM48" i="17"/>
  <c r="AM63" i="17"/>
  <c r="AM98" i="17"/>
  <c r="AM113" i="17"/>
  <c r="AM130" i="17"/>
  <c r="AM145" i="17"/>
  <c r="AM179" i="17"/>
  <c r="AM208" i="17"/>
  <c r="AM238" i="17"/>
  <c r="AM295" i="17"/>
  <c r="AM335" i="17"/>
  <c r="AM350" i="17"/>
  <c r="AM365" i="17"/>
  <c r="AM383" i="17"/>
  <c r="AN10" i="17"/>
  <c r="AN24" i="17"/>
  <c r="AN39" i="17"/>
  <c r="AN54" i="17"/>
  <c r="AN70" i="17"/>
  <c r="AN84" i="17"/>
  <c r="AN98" i="17"/>
  <c r="AN112" i="17"/>
  <c r="AN127" i="17"/>
  <c r="AN141" i="17"/>
  <c r="AN156" i="17"/>
  <c r="AN174" i="17"/>
  <c r="AN189" i="17"/>
  <c r="AN220" i="17"/>
  <c r="AN251" i="17"/>
  <c r="AN278" i="17"/>
  <c r="AN329" i="17"/>
  <c r="AN342" i="17"/>
  <c r="AN357" i="17"/>
  <c r="AN372" i="17"/>
  <c r="AN388" i="17"/>
  <c r="AO30" i="17"/>
  <c r="AO45" i="17"/>
  <c r="AO60" i="17"/>
  <c r="AO75" i="17"/>
  <c r="AO88" i="17"/>
  <c r="AO102" i="17"/>
  <c r="AO119" i="17"/>
  <c r="AO134" i="17"/>
  <c r="AO159" i="17"/>
  <c r="AO171" i="17"/>
  <c r="AO183" i="17"/>
  <c r="AO195" i="17"/>
  <c r="AO207" i="17"/>
  <c r="AO219" i="17"/>
  <c r="AO231" i="17"/>
  <c r="AO243" i="17"/>
  <c r="AO255" i="17"/>
  <c r="AO279" i="17"/>
  <c r="AO291" i="17"/>
  <c r="AO327" i="17"/>
  <c r="AO339" i="17"/>
  <c r="AO351" i="17"/>
  <c r="AO363" i="17"/>
  <c r="AO375" i="17"/>
  <c r="AO387" i="17"/>
  <c r="AP11" i="17"/>
  <c r="AP23" i="17"/>
  <c r="AP35" i="17"/>
  <c r="AP58" i="17"/>
  <c r="AL7" i="17"/>
  <c r="AL42" i="17"/>
  <c r="AL59" i="17"/>
  <c r="AL101" i="17"/>
  <c r="AL118" i="17"/>
  <c r="AL138" i="17"/>
  <c r="AL160" i="17"/>
  <c r="AL191" i="17"/>
  <c r="AL238" i="17"/>
  <c r="AL255" i="17"/>
  <c r="AL336" i="17"/>
  <c r="AL352" i="17"/>
  <c r="AL371" i="17"/>
  <c r="AL388" i="17"/>
  <c r="AM34" i="17"/>
  <c r="AM49" i="17"/>
  <c r="AM64" i="17"/>
  <c r="AM81" i="17"/>
  <c r="AM114" i="17"/>
  <c r="AM131" i="17"/>
  <c r="AM146" i="17"/>
  <c r="AM165" i="17"/>
  <c r="AM180" i="17"/>
  <c r="AM194" i="17"/>
  <c r="AM254" i="17"/>
  <c r="AM336" i="17"/>
  <c r="AM351" i="17"/>
  <c r="AM369" i="17"/>
  <c r="AN11" i="17"/>
  <c r="AN25" i="17"/>
  <c r="AN41" i="17"/>
  <c r="AN71" i="17"/>
  <c r="AN85" i="17"/>
  <c r="AN113" i="17"/>
  <c r="AN128" i="17"/>
  <c r="AN142" i="17"/>
  <c r="AN160" i="17"/>
  <c r="AN175" i="17"/>
  <c r="AN190" i="17"/>
  <c r="AN221" i="17"/>
  <c r="AN235" i="17"/>
  <c r="AN266" i="17"/>
  <c r="AN280" i="17"/>
  <c r="AN330" i="17"/>
  <c r="AN343" i="17"/>
  <c r="AN358" i="17"/>
  <c r="AN373" i="17"/>
  <c r="AN389" i="17"/>
  <c r="AO31" i="17"/>
  <c r="AO46" i="17"/>
  <c r="AO61" i="17"/>
  <c r="AO76" i="17"/>
  <c r="AO89" i="17"/>
  <c r="AO120" i="17"/>
  <c r="AO148" i="17"/>
  <c r="AO160" i="17"/>
  <c r="AO172" i="17"/>
  <c r="AO184" i="17"/>
  <c r="AO196" i="17"/>
  <c r="AO208" i="17"/>
  <c r="AO220" i="17"/>
  <c r="AO232" i="17"/>
  <c r="AO244" i="17"/>
  <c r="AO256" i="17"/>
  <c r="AO280" i="17"/>
  <c r="AO328" i="17"/>
  <c r="AO340" i="17"/>
  <c r="AO352" i="17"/>
  <c r="AO364" i="17"/>
  <c r="AO376" i="17"/>
  <c r="AO388" i="17"/>
  <c r="AP12" i="17"/>
  <c r="AP24" i="17"/>
  <c r="AP47" i="17"/>
  <c r="AP59" i="17"/>
  <c r="AP71" i="17"/>
  <c r="AL8" i="17"/>
  <c r="AL22" i="17"/>
  <c r="AL43" i="17"/>
  <c r="AL66" i="17"/>
  <c r="AL102" i="17"/>
  <c r="AL142" i="17"/>
  <c r="AL161" i="17"/>
  <c r="AL176" i="17"/>
  <c r="AL192" i="17"/>
  <c r="AL208" i="17"/>
  <c r="AL224" i="17"/>
  <c r="AL259" i="17"/>
  <c r="AL272" i="17"/>
  <c r="AL285" i="17"/>
  <c r="AL353" i="17"/>
  <c r="AL372" i="17"/>
  <c r="AL389" i="17"/>
  <c r="AM17" i="17"/>
  <c r="AM35" i="17"/>
  <c r="AM50" i="17"/>
  <c r="AM65" i="17"/>
  <c r="AM100" i="17"/>
  <c r="AM115" i="17"/>
  <c r="AM132" i="17"/>
  <c r="AM150" i="17"/>
  <c r="AM166" i="17"/>
  <c r="AM181" i="17"/>
  <c r="AM195" i="17"/>
  <c r="AM210" i="17"/>
  <c r="AM241" i="17"/>
  <c r="AM255" i="17"/>
  <c r="AM352" i="17"/>
  <c r="AM370" i="17"/>
  <c r="AM385" i="17"/>
  <c r="AN12" i="17"/>
  <c r="AN26" i="17"/>
  <c r="AN42" i="17"/>
  <c r="AN57" i="17"/>
  <c r="AN86" i="17"/>
  <c r="AN100" i="17"/>
  <c r="AN114" i="17"/>
  <c r="AN129" i="17"/>
  <c r="AN143" i="17"/>
  <c r="AN161" i="17"/>
  <c r="AN176" i="17"/>
  <c r="AN191" i="17"/>
  <c r="AN206" i="17"/>
  <c r="AN222" i="17"/>
  <c r="AN238" i="17"/>
  <c r="AN253" i="17"/>
  <c r="AN331" i="17"/>
  <c r="AN344" i="17"/>
  <c r="AN359" i="17"/>
  <c r="AN374" i="17"/>
  <c r="AO4" i="17"/>
  <c r="AO17" i="17"/>
  <c r="AO32" i="17"/>
  <c r="AO47" i="17"/>
  <c r="AO62" i="17"/>
  <c r="AO77" i="17"/>
  <c r="AO90" i="17"/>
  <c r="AO121" i="17"/>
  <c r="AO136" i="17"/>
  <c r="AO149" i="17"/>
  <c r="AO161" i="17"/>
  <c r="AO173" i="17"/>
  <c r="AO185" i="17"/>
  <c r="AO197" i="17"/>
  <c r="AO221" i="17"/>
  <c r="AO233" i="17"/>
  <c r="AO245" i="17"/>
  <c r="AO257" i="17"/>
  <c r="AL35" i="17"/>
  <c r="AL67" i="17"/>
  <c r="AL89" i="17"/>
  <c r="AL113" i="17"/>
  <c r="AL69" i="17"/>
  <c r="AL91" i="17"/>
  <c r="AL115" i="17"/>
  <c r="AL165" i="17"/>
  <c r="AL187" i="17"/>
  <c r="AL247" i="17"/>
  <c r="AL266" i="17"/>
  <c r="AL360" i="17"/>
  <c r="AL383" i="17"/>
  <c r="AM77" i="17"/>
  <c r="AM118" i="17"/>
  <c r="AL19" i="17"/>
  <c r="AL70" i="17"/>
  <c r="AL92" i="17"/>
  <c r="AL116" i="17"/>
  <c r="AL144" i="17"/>
  <c r="AL166" i="17"/>
  <c r="AL188" i="17"/>
  <c r="AL227" i="17"/>
  <c r="AL339" i="17"/>
  <c r="AL362" i="17"/>
  <c r="AL384" i="17"/>
  <c r="AM38" i="17"/>
  <c r="AM59" i="17"/>
  <c r="AM78" i="17"/>
  <c r="AM119" i="17"/>
  <c r="AL45" i="17"/>
  <c r="AL71" i="17"/>
  <c r="AL120" i="17"/>
  <c r="AL146" i="17"/>
  <c r="AL189" i="17"/>
  <c r="AL210" i="17"/>
  <c r="AL228" i="17"/>
  <c r="AL249" i="17"/>
  <c r="AL340" i="17"/>
  <c r="AL363" i="17"/>
  <c r="AL386" i="17"/>
  <c r="AM39" i="17"/>
  <c r="AM60" i="17"/>
  <c r="AM101" i="17"/>
  <c r="AM120" i="17"/>
  <c r="AL48" i="17"/>
  <c r="AL72" i="17"/>
  <c r="AL96" i="17"/>
  <c r="AL148" i="17"/>
  <c r="AL171" i="17"/>
  <c r="AL211" i="17"/>
  <c r="AL250" i="17"/>
  <c r="AL286" i="17"/>
  <c r="AL344" i="17"/>
  <c r="AL364" i="17"/>
  <c r="AL390" i="17"/>
  <c r="AM40" i="17"/>
  <c r="AM102" i="17"/>
  <c r="AM143" i="17"/>
  <c r="AM185" i="17"/>
  <c r="AM221" i="17"/>
  <c r="AM235" i="17"/>
  <c r="AM342" i="17"/>
  <c r="AM361" i="17"/>
  <c r="AM382" i="17"/>
  <c r="AN35" i="17"/>
  <c r="AN74" i="17"/>
  <c r="AN92" i="17"/>
  <c r="AN130" i="17"/>
  <c r="AN150" i="17"/>
  <c r="AN168" i="17"/>
  <c r="AN192" i="17"/>
  <c r="AN212" i="17"/>
  <c r="AN247" i="17"/>
  <c r="AN295" i="17"/>
  <c r="AN335" i="17"/>
  <c r="AN354" i="17"/>
  <c r="AN376" i="17"/>
  <c r="AO8" i="17"/>
  <c r="AO22" i="17"/>
  <c r="AO43" i="17"/>
  <c r="AO64" i="17"/>
  <c r="AO83" i="17"/>
  <c r="AO100" i="17"/>
  <c r="AO122" i="17"/>
  <c r="AO139" i="17"/>
  <c r="AO170" i="17"/>
  <c r="AO188" i="17"/>
  <c r="AO203" i="17"/>
  <c r="AO217" i="17"/>
  <c r="AO235" i="17"/>
  <c r="AO250" i="17"/>
  <c r="AO277" i="17"/>
  <c r="AO330" i="17"/>
  <c r="AO344" i="17"/>
  <c r="AO358" i="17"/>
  <c r="AO372" i="17"/>
  <c r="AO386" i="17"/>
  <c r="AP28" i="17"/>
  <c r="AP41" i="17"/>
  <c r="AP54" i="17"/>
  <c r="AP68" i="17"/>
  <c r="AP81" i="17"/>
  <c r="AP93" i="17"/>
  <c r="AP105" i="17"/>
  <c r="AP117" i="17"/>
  <c r="AP129" i="17"/>
  <c r="AP141" i="17"/>
  <c r="AP153" i="17"/>
  <c r="AP165" i="17"/>
  <c r="AP177" i="17"/>
  <c r="AP189" i="17"/>
  <c r="AP201" i="17"/>
  <c r="AP213" i="17"/>
  <c r="AP237" i="17"/>
  <c r="AP249" i="17"/>
  <c r="AP261" i="17"/>
  <c r="AP273" i="17"/>
  <c r="AP285" i="17"/>
  <c r="AP333" i="17"/>
  <c r="AP345" i="17"/>
  <c r="AP357" i="17"/>
  <c r="AP369" i="17"/>
  <c r="AL23" i="17"/>
  <c r="AL52" i="17"/>
  <c r="AL76" i="17"/>
  <c r="AL128" i="17"/>
  <c r="AL149" i="17"/>
  <c r="AL172" i="17"/>
  <c r="AL196" i="17"/>
  <c r="AL212" i="17"/>
  <c r="AL233" i="17"/>
  <c r="AL251" i="17"/>
  <c r="AL273" i="17"/>
  <c r="AL345" i="17"/>
  <c r="AM3" i="17"/>
  <c r="AM22" i="17"/>
  <c r="AM41" i="17"/>
  <c r="AM62" i="17"/>
  <c r="AM85" i="17"/>
  <c r="AM103" i="17"/>
  <c r="AM125" i="17"/>
  <c r="AM144" i="17"/>
  <c r="AM168" i="17"/>
  <c r="AM222" i="17"/>
  <c r="AM237" i="17"/>
  <c r="AM256" i="17"/>
  <c r="AM270" i="17"/>
  <c r="AM285" i="17"/>
  <c r="AM343" i="17"/>
  <c r="AM362" i="17"/>
  <c r="AM386" i="17"/>
  <c r="AN76" i="17"/>
  <c r="AN93" i="17"/>
  <c r="AN109" i="17"/>
  <c r="AN131" i="17"/>
  <c r="AN151" i="17"/>
  <c r="AN169" i="17"/>
  <c r="AN213" i="17"/>
  <c r="AN230" i="17"/>
  <c r="AN248" i="17"/>
  <c r="AN296" i="17"/>
  <c r="AN336" i="17"/>
  <c r="AN355" i="17"/>
  <c r="AN379" i="17"/>
  <c r="AO9" i="17"/>
  <c r="AO24" i="17"/>
  <c r="AO65" i="17"/>
  <c r="AO101" i="17"/>
  <c r="AO123" i="17"/>
  <c r="AO140" i="17"/>
  <c r="AO156" i="17"/>
  <c r="AO174" i="17"/>
  <c r="AO189" i="17"/>
  <c r="AO204" i="17"/>
  <c r="AO218" i="17"/>
  <c r="AO236" i="17"/>
  <c r="AO251" i="17"/>
  <c r="AO266" i="17"/>
  <c r="AO278" i="17"/>
  <c r="AO331" i="17"/>
  <c r="AO345" i="17"/>
  <c r="AO359" i="17"/>
  <c r="AO373" i="17"/>
  <c r="AO389" i="17"/>
  <c r="AP29" i="17"/>
  <c r="AP42" i="17"/>
  <c r="AP69" i="17"/>
  <c r="AP118" i="17"/>
  <c r="AP130" i="17"/>
  <c r="AP154" i="17"/>
  <c r="AP166" i="17"/>
  <c r="AP178" i="17"/>
  <c r="AP190" i="17"/>
  <c r="AP202" i="17"/>
  <c r="AP214" i="17"/>
  <c r="AP238" i="17"/>
  <c r="AP250" i="17"/>
  <c r="AP262" i="17"/>
  <c r="AP274" i="17"/>
  <c r="AP286" i="17"/>
  <c r="AP334" i="17"/>
  <c r="AP346" i="17"/>
  <c r="AP358" i="17"/>
  <c r="AP370" i="17"/>
  <c r="AP382" i="17"/>
  <c r="AQ6" i="17"/>
  <c r="AQ18" i="17"/>
  <c r="AQ30" i="17"/>
  <c r="AQ42" i="17"/>
  <c r="AQ65" i="17"/>
  <c r="AQ77" i="17"/>
  <c r="AQ89" i="17"/>
  <c r="AQ113" i="17"/>
  <c r="AQ125" i="17"/>
  <c r="AQ149" i="17"/>
  <c r="AQ161" i="17"/>
  <c r="AQ185" i="17"/>
  <c r="AQ197" i="17"/>
  <c r="AQ221" i="17"/>
  <c r="AQ257" i="17"/>
  <c r="AQ341" i="17"/>
  <c r="AQ353" i="17"/>
  <c r="AQ365" i="17"/>
  <c r="AQ377" i="17"/>
  <c r="AQ389" i="17"/>
  <c r="AR25" i="17"/>
  <c r="AR84" i="17"/>
  <c r="AR96" i="17"/>
  <c r="AR120" i="17"/>
  <c r="AR132" i="17"/>
  <c r="AR144" i="17"/>
  <c r="AR156" i="17"/>
  <c r="AR168" i="17"/>
  <c r="AR180" i="17"/>
  <c r="AR192" i="17"/>
  <c r="AR204" i="17"/>
  <c r="AR240" i="17"/>
  <c r="AR336" i="17"/>
  <c r="AR348" i="17"/>
  <c r="AR360" i="17"/>
  <c r="AR372" i="17"/>
  <c r="AR384" i="17"/>
  <c r="AS8" i="17"/>
  <c r="AS32" i="17"/>
  <c r="AS67" i="17"/>
  <c r="AS91" i="17"/>
  <c r="AS127" i="17"/>
  <c r="AS139" i="17"/>
  <c r="AS151" i="17"/>
  <c r="AS199" i="17"/>
  <c r="AS211" i="17"/>
  <c r="AS235" i="17"/>
  <c r="AS247" i="17"/>
  <c r="AS271" i="17"/>
  <c r="AS295" i="17"/>
  <c r="AS331" i="17"/>
  <c r="AL9" i="17"/>
  <c r="AL24" i="17"/>
  <c r="AL53" i="17"/>
  <c r="AL77" i="17"/>
  <c r="AL103" i="17"/>
  <c r="AL129" i="17"/>
  <c r="AL150" i="17"/>
  <c r="AL173" i="17"/>
  <c r="AL197" i="17"/>
  <c r="AL213" i="17"/>
  <c r="AL274" i="17"/>
  <c r="AL346" i="17"/>
  <c r="AM4" i="17"/>
  <c r="AM23" i="17"/>
  <c r="AM42" i="17"/>
  <c r="AM66" i="17"/>
  <c r="AM86" i="17"/>
  <c r="AM105" i="17"/>
  <c r="AM126" i="17"/>
  <c r="AM151" i="17"/>
  <c r="AM169" i="17"/>
  <c r="AM189" i="17"/>
  <c r="AM206" i="17"/>
  <c r="AM257" i="17"/>
  <c r="AM271" i="17"/>
  <c r="AM286" i="17"/>
  <c r="AM345" i="17"/>
  <c r="AM363" i="17"/>
  <c r="AM387" i="17"/>
  <c r="AN19" i="17"/>
  <c r="AN58" i="17"/>
  <c r="AN77" i="17"/>
  <c r="AN110" i="17"/>
  <c r="AN134" i="17"/>
  <c r="AN152" i="17"/>
  <c r="AN173" i="17"/>
  <c r="AN194" i="17"/>
  <c r="AN214" i="17"/>
  <c r="AN232" i="17"/>
  <c r="AN356" i="17"/>
  <c r="AN380" i="17"/>
  <c r="AO10" i="17"/>
  <c r="AO25" i="17"/>
  <c r="AO48" i="17"/>
  <c r="AO68" i="17"/>
  <c r="AO85" i="17"/>
  <c r="AO124" i="17"/>
  <c r="AO141" i="17"/>
  <c r="AO157" i="17"/>
  <c r="AO175" i="17"/>
  <c r="AO190" i="17"/>
  <c r="AO222" i="17"/>
  <c r="AO237" i="17"/>
  <c r="AO332" i="17"/>
  <c r="AO346" i="17"/>
  <c r="AO360" i="17"/>
  <c r="AO374" i="17"/>
  <c r="AO390" i="17"/>
  <c r="AP30" i="17"/>
  <c r="AP43" i="17"/>
  <c r="AP56" i="17"/>
  <c r="AP70" i="17"/>
  <c r="AP83" i="17"/>
  <c r="AP95" i="17"/>
  <c r="AP107" i="17"/>
  <c r="AP119" i="17"/>
  <c r="AP131" i="17"/>
  <c r="AP155" i="17"/>
  <c r="AP179" i="17"/>
  <c r="AP191" i="17"/>
  <c r="AP203" i="17"/>
  <c r="AP215" i="17"/>
  <c r="AP227" i="17"/>
  <c r="AP251" i="17"/>
  <c r="AP335" i="17"/>
  <c r="AP347" i="17"/>
  <c r="AP359" i="17"/>
  <c r="AP371" i="17"/>
  <c r="AP383" i="17"/>
  <c r="AQ7" i="17"/>
  <c r="AQ19" i="17"/>
  <c r="AQ31" i="17"/>
  <c r="AQ43" i="17"/>
  <c r="AQ54" i="17"/>
  <c r="AQ66" i="17"/>
  <c r="AQ78" i="17"/>
  <c r="AQ90" i="17"/>
  <c r="AQ102" i="17"/>
  <c r="AQ126" i="17"/>
  <c r="AQ138" i="17"/>
  <c r="AQ150" i="17"/>
  <c r="AQ162" i="17"/>
  <c r="AQ174" i="17"/>
  <c r="AQ198" i="17"/>
  <c r="AQ210" i="17"/>
  <c r="AQ270" i="17"/>
  <c r="AQ330" i="17"/>
  <c r="AQ342" i="17"/>
  <c r="AQ354" i="17"/>
  <c r="AQ366" i="17"/>
  <c r="AQ378" i="17"/>
  <c r="AQ390" i="17"/>
  <c r="AR26" i="17"/>
  <c r="AR38" i="17"/>
  <c r="AR49" i="17"/>
  <c r="AR61" i="17"/>
  <c r="AR73" i="17"/>
  <c r="AR85" i="17"/>
  <c r="AR97" i="17"/>
  <c r="AR109" i="17"/>
  <c r="AR121" i="17"/>
  <c r="AR133" i="17"/>
  <c r="AR145" i="17"/>
  <c r="AR157" i="17"/>
  <c r="AR169" i="17"/>
  <c r="AR181" i="17"/>
  <c r="AR217" i="17"/>
  <c r="AR241" i="17"/>
  <c r="AR253" i="17"/>
  <c r="AR349" i="17"/>
  <c r="AR361" i="17"/>
  <c r="AR373" i="17"/>
  <c r="AR385" i="17"/>
  <c r="AS9" i="17"/>
  <c r="AS33" i="17"/>
  <c r="AS45" i="17"/>
  <c r="AS56" i="17"/>
  <c r="AS68" i="17"/>
  <c r="AS80" i="17"/>
  <c r="AS104" i="17"/>
  <c r="AS128" i="17"/>
  <c r="AS140" i="17"/>
  <c r="AS152" i="17"/>
  <c r="AS176" i="17"/>
  <c r="AS188" i="17"/>
  <c r="AS200" i="17"/>
  <c r="AS212" i="17"/>
  <c r="AS224" i="17"/>
  <c r="AS236" i="17"/>
  <c r="AS260" i="17"/>
  <c r="AS272" i="17"/>
  <c r="AS332" i="17"/>
  <c r="AL10" i="17"/>
  <c r="AL25" i="17"/>
  <c r="AL104" i="17"/>
  <c r="AL130" i="17"/>
  <c r="AL151" i="17"/>
  <c r="AL177" i="17"/>
  <c r="AL198" i="17"/>
  <c r="AL214" i="17"/>
  <c r="AL235" i="17"/>
  <c r="AL260" i="17"/>
  <c r="AL327" i="17"/>
  <c r="AL347" i="17"/>
  <c r="AL374" i="17"/>
  <c r="AM8" i="17"/>
  <c r="AM24" i="17"/>
  <c r="AM67" i="17"/>
  <c r="AM87" i="17"/>
  <c r="AM127" i="17"/>
  <c r="AM153" i="17"/>
  <c r="AM170" i="17"/>
  <c r="AM190" i="17"/>
  <c r="AM207" i="17"/>
  <c r="AM242" i="17"/>
  <c r="AM258" i="17"/>
  <c r="AM273" i="17"/>
  <c r="AM346" i="17"/>
  <c r="AM364" i="17"/>
  <c r="AM388" i="17"/>
  <c r="AN38" i="17"/>
  <c r="AN59" i="17"/>
  <c r="AN78" i="17"/>
  <c r="AN96" i="17"/>
  <c r="AN115" i="17"/>
  <c r="AN153" i="17"/>
  <c r="AN177" i="17"/>
  <c r="AN196" i="17"/>
  <c r="AN215" i="17"/>
  <c r="AN233" i="17"/>
  <c r="AN254" i="17"/>
  <c r="AN285" i="17"/>
  <c r="AN360" i="17"/>
  <c r="AN381" i="17"/>
  <c r="AO12" i="17"/>
  <c r="AO26" i="17"/>
  <c r="AO49" i="17"/>
  <c r="AO69" i="17"/>
  <c r="AO86" i="17"/>
  <c r="AO107" i="17"/>
  <c r="AO125" i="17"/>
  <c r="AO143" i="17"/>
  <c r="AO158" i="17"/>
  <c r="AO176" i="17"/>
  <c r="AO191" i="17"/>
  <c r="AO206" i="17"/>
  <c r="AO238" i="17"/>
  <c r="AO253" i="17"/>
  <c r="AO295" i="17"/>
  <c r="AO333" i="17"/>
  <c r="AO347" i="17"/>
  <c r="AO361" i="17"/>
  <c r="AO377" i="17"/>
  <c r="AP3" i="17"/>
  <c r="AP17" i="17"/>
  <c r="AP31" i="17"/>
  <c r="AP57" i="17"/>
  <c r="AP72" i="17"/>
  <c r="AP84" i="17"/>
  <c r="AP96" i="17"/>
  <c r="AP120" i="17"/>
  <c r="AP132" i="17"/>
  <c r="AP156" i="17"/>
  <c r="AP168" i="17"/>
  <c r="AP180" i="17"/>
  <c r="AP192" i="17"/>
  <c r="AP204" i="17"/>
  <c r="AP216" i="17"/>
  <c r="AP228" i="17"/>
  <c r="AP240" i="17"/>
  <c r="AP336" i="17"/>
  <c r="AP348" i="17"/>
  <c r="AP360" i="17"/>
  <c r="AP372" i="17"/>
  <c r="AP384" i="17"/>
  <c r="AQ8" i="17"/>
  <c r="AQ32" i="17"/>
  <c r="AQ44" i="17"/>
  <c r="AQ67" i="17"/>
  <c r="AQ91" i="17"/>
  <c r="AQ103" i="17"/>
  <c r="AQ115" i="17"/>
  <c r="AQ127" i="17"/>
  <c r="AQ151" i="17"/>
  <c r="AQ163" i="17"/>
  <c r="AQ187" i="17"/>
  <c r="AQ211" i="17"/>
  <c r="AQ235" i="17"/>
  <c r="AQ247" i="17"/>
  <c r="AQ259" i="17"/>
  <c r="AQ271" i="17"/>
  <c r="AQ331" i="17"/>
  <c r="AQ343" i="17"/>
  <c r="AQ355" i="17"/>
  <c r="AQ367" i="17"/>
  <c r="AQ379" i="17"/>
  <c r="AR3" i="17"/>
  <c r="AR27" i="17"/>
  <c r="AR39" i="17"/>
  <c r="AR50" i="17"/>
  <c r="AR62" i="17"/>
  <c r="AR74" i="17"/>
  <c r="AR86" i="17"/>
  <c r="AR98" i="17"/>
  <c r="AR110" i="17"/>
  <c r="AR122" i="17"/>
  <c r="AR146" i="17"/>
  <c r="AR158" i="17"/>
  <c r="AR170" i="17"/>
  <c r="AR182" i="17"/>
  <c r="AR194" i="17"/>
  <c r="AR206" i="17"/>
  <c r="AR218" i="17"/>
  <c r="AR230" i="17"/>
  <c r="AR242" i="17"/>
  <c r="AR254" i="17"/>
  <c r="AR266" i="17"/>
  <c r="AR278" i="17"/>
  <c r="AR350" i="17"/>
  <c r="AR362" i="17"/>
  <c r="AR374" i="17"/>
  <c r="AR386" i="17"/>
  <c r="AS10" i="17"/>
  <c r="AS22" i="17"/>
  <c r="AS46" i="17"/>
  <c r="AS57" i="17"/>
  <c r="AS69" i="17"/>
  <c r="AS81" i="17"/>
  <c r="AS105" i="17"/>
  <c r="AS129" i="17"/>
  <c r="AS141" i="17"/>
  <c r="AS153" i="17"/>
  <c r="AS165" i="17"/>
  <c r="AS213" i="17"/>
  <c r="AS237" i="17"/>
  <c r="AS261" i="17"/>
  <c r="AS273" i="17"/>
  <c r="AS285" i="17"/>
  <c r="AS333" i="17"/>
  <c r="AL68" i="17"/>
  <c r="AL131" i="17"/>
  <c r="AL179" i="17"/>
  <c r="AL215" i="17"/>
  <c r="AL278" i="17"/>
  <c r="AL334" i="17"/>
  <c r="AL379" i="17"/>
  <c r="AM27" i="17"/>
  <c r="AM74" i="17"/>
  <c r="AM141" i="17"/>
  <c r="AM172" i="17"/>
  <c r="AM197" i="17"/>
  <c r="AM220" i="17"/>
  <c r="AM243" i="17"/>
  <c r="AM347" i="17"/>
  <c r="AM375" i="17"/>
  <c r="AL132" i="17"/>
  <c r="AL184" i="17"/>
  <c r="AL216" i="17"/>
  <c r="AL279" i="17"/>
  <c r="AM10" i="17"/>
  <c r="AM28" i="17"/>
  <c r="AM75" i="17"/>
  <c r="AM107" i="17"/>
  <c r="AM142" i="17"/>
  <c r="AM175" i="17"/>
  <c r="AM198" i="17"/>
  <c r="AM244" i="17"/>
  <c r="AM348" i="17"/>
  <c r="AM376" i="17"/>
  <c r="AN45" i="17"/>
  <c r="AN64" i="17"/>
  <c r="AN91" i="17"/>
  <c r="AN117" i="17"/>
  <c r="AN140" i="17"/>
  <c r="AN178" i="17"/>
  <c r="AN202" i="17"/>
  <c r="AN257" i="17"/>
  <c r="AN271" i="17"/>
  <c r="AN328" i="17"/>
  <c r="AN349" i="17"/>
  <c r="AN384" i="17"/>
  <c r="AO52" i="17"/>
  <c r="AO81" i="17"/>
  <c r="AO109" i="17"/>
  <c r="AO163" i="17"/>
  <c r="AO182" i="17"/>
  <c r="AO227" i="17"/>
  <c r="AO249" i="17"/>
  <c r="AO342" i="17"/>
  <c r="AO366" i="17"/>
  <c r="AO384" i="17"/>
  <c r="AP75" i="17"/>
  <c r="AP90" i="17"/>
  <c r="AP123" i="17"/>
  <c r="AP139" i="17"/>
  <c r="AP159" i="17"/>
  <c r="AP174" i="17"/>
  <c r="AP194" i="17"/>
  <c r="AP210" i="17"/>
  <c r="AP243" i="17"/>
  <c r="AP258" i="17"/>
  <c r="AP272" i="17"/>
  <c r="AP340" i="17"/>
  <c r="AP356" i="17"/>
  <c r="AP376" i="17"/>
  <c r="AQ3" i="17"/>
  <c r="AQ35" i="17"/>
  <c r="AQ63" i="17"/>
  <c r="AQ80" i="17"/>
  <c r="AQ95" i="17"/>
  <c r="AQ110" i="17"/>
  <c r="AQ128" i="17"/>
  <c r="AQ142" i="17"/>
  <c r="AQ157" i="17"/>
  <c r="AQ172" i="17"/>
  <c r="AQ189" i="17"/>
  <c r="AQ204" i="17"/>
  <c r="AQ218" i="17"/>
  <c r="AQ232" i="17"/>
  <c r="AQ248" i="17"/>
  <c r="AQ277" i="17"/>
  <c r="AQ344" i="17"/>
  <c r="AQ359" i="17"/>
  <c r="AQ374" i="17"/>
  <c r="AR4" i="17"/>
  <c r="AR17" i="17"/>
  <c r="AR32" i="17"/>
  <c r="AR63" i="17"/>
  <c r="AR78" i="17"/>
  <c r="AR93" i="17"/>
  <c r="AR125" i="17"/>
  <c r="AR140" i="17"/>
  <c r="AR155" i="17"/>
  <c r="AR173" i="17"/>
  <c r="AR188" i="17"/>
  <c r="AL185" i="17"/>
  <c r="AL221" i="17"/>
  <c r="AL261" i="17"/>
  <c r="AL280" i="17"/>
  <c r="AM11" i="17"/>
  <c r="AM76" i="17"/>
  <c r="AM154" i="17"/>
  <c r="AM177" i="17"/>
  <c r="AM202" i="17"/>
  <c r="AM245" i="17"/>
  <c r="AM349" i="17"/>
  <c r="AM377" i="17"/>
  <c r="AN46" i="17"/>
  <c r="AN65" i="17"/>
  <c r="AN118" i="17"/>
  <c r="AN146" i="17"/>
  <c r="AL84" i="17"/>
  <c r="AL136" i="17"/>
  <c r="AL262" i="17"/>
  <c r="AL348" i="17"/>
  <c r="AM12" i="17"/>
  <c r="AM111" i="17"/>
  <c r="AM155" i="17"/>
  <c r="AM178" i="17"/>
  <c r="AM203" i="17"/>
  <c r="AM355" i="17"/>
  <c r="AM378" i="17"/>
  <c r="AN66" i="17"/>
  <c r="AN97" i="17"/>
  <c r="AN121" i="17"/>
  <c r="AN148" i="17"/>
  <c r="AN180" i="17"/>
  <c r="AN259" i="17"/>
  <c r="AN273" i="17"/>
  <c r="AN333" i="17"/>
  <c r="AN361" i="17"/>
  <c r="AN386" i="17"/>
  <c r="AO27" i="17"/>
  <c r="AO56" i="17"/>
  <c r="AO87" i="17"/>
  <c r="AO111" i="17"/>
  <c r="AO138" i="17"/>
  <c r="AO165" i="17"/>
  <c r="AO187" i="17"/>
  <c r="AO211" i="17"/>
  <c r="AO254" i="17"/>
  <c r="AO270" i="17"/>
  <c r="AO286" i="17"/>
  <c r="AO348" i="17"/>
  <c r="AO368" i="17"/>
  <c r="AP4" i="17"/>
  <c r="AP19" i="17"/>
  <c r="AP38" i="17"/>
  <c r="AP60" i="17"/>
  <c r="AP77" i="17"/>
  <c r="AP92" i="17"/>
  <c r="AP109" i="17"/>
  <c r="AP125" i="17"/>
  <c r="AP161" i="17"/>
  <c r="AP176" i="17"/>
  <c r="AP196" i="17"/>
  <c r="AP212" i="17"/>
  <c r="AP230" i="17"/>
  <c r="AP245" i="17"/>
  <c r="AP260" i="17"/>
  <c r="AL29" i="17"/>
  <c r="AL88" i="17"/>
  <c r="AL350" i="17"/>
  <c r="AM13" i="17"/>
  <c r="AM47" i="17"/>
  <c r="AM112" i="17"/>
  <c r="AM156" i="17"/>
  <c r="AM182" i="17"/>
  <c r="AM228" i="17"/>
  <c r="AM247" i="17"/>
  <c r="AM329" i="17"/>
  <c r="AM357" i="17"/>
  <c r="AM389" i="17"/>
  <c r="AN22" i="17"/>
  <c r="AN47" i="17"/>
  <c r="AN67" i="17"/>
  <c r="AN122" i="17"/>
  <c r="AN149" i="17"/>
  <c r="AL30" i="17"/>
  <c r="AL90" i="17"/>
  <c r="AL152" i="17"/>
  <c r="AL199" i="17"/>
  <c r="AL357" i="17"/>
  <c r="AM51" i="17"/>
  <c r="AM88" i="17"/>
  <c r="AM117" i="17"/>
  <c r="AM157" i="17"/>
  <c r="AM183" i="17"/>
  <c r="AM249" i="17"/>
  <c r="AM330" i="17"/>
  <c r="AM358" i="17"/>
  <c r="AM390" i="17"/>
  <c r="AN23" i="17"/>
  <c r="AL34" i="17"/>
  <c r="AL156" i="17"/>
  <c r="AL200" i="17"/>
  <c r="AL358" i="17"/>
  <c r="AM52" i="17"/>
  <c r="AM89" i="17"/>
  <c r="AM129" i="17"/>
  <c r="AM158" i="17"/>
  <c r="AM184" i="17"/>
  <c r="AM211" i="17"/>
  <c r="AM230" i="17"/>
  <c r="AM250" i="17"/>
  <c r="AM274" i="17"/>
  <c r="AM331" i="17"/>
  <c r="AM359" i="17"/>
  <c r="AN3" i="17"/>
  <c r="AL162" i="17"/>
  <c r="AL201" i="17"/>
  <c r="AL359" i="17"/>
  <c r="AM53" i="17"/>
  <c r="AM90" i="17"/>
  <c r="AM133" i="17"/>
  <c r="AM159" i="17"/>
  <c r="AM215" i="17"/>
  <c r="AM231" i="17"/>
  <c r="AM251" i="17"/>
  <c r="AM333" i="17"/>
  <c r="AM360" i="17"/>
  <c r="AN7" i="17"/>
  <c r="AN29" i="17"/>
  <c r="AL11" i="17"/>
  <c r="AL105" i="17"/>
  <c r="AL163" i="17"/>
  <c r="AL202" i="17"/>
  <c r="AL236" i="17"/>
  <c r="AL375" i="17"/>
  <c r="AM54" i="17"/>
  <c r="AM91" i="17"/>
  <c r="AM163" i="17"/>
  <c r="AM191" i="17"/>
  <c r="AM232" i="17"/>
  <c r="AM334" i="17"/>
  <c r="AM371" i="17"/>
  <c r="AN8" i="17"/>
  <c r="AN32" i="17"/>
  <c r="AN52" i="17"/>
  <c r="AN104" i="17"/>
  <c r="AN163" i="17"/>
  <c r="AN188" i="17"/>
  <c r="AN218" i="17"/>
  <c r="AN244" i="17"/>
  <c r="AN341" i="17"/>
  <c r="AN369" i="17"/>
  <c r="AO38" i="17"/>
  <c r="AO72" i="17"/>
  <c r="AO97" i="17"/>
  <c r="AO126" i="17"/>
  <c r="AO151" i="17"/>
  <c r="AO177" i="17"/>
  <c r="AO199" i="17"/>
  <c r="AO216" i="17"/>
  <c r="AO241" i="17"/>
  <c r="AO262" i="17"/>
  <c r="AO335" i="17"/>
  <c r="AO355" i="17"/>
  <c r="AO379" i="17"/>
  <c r="AP9" i="17"/>
  <c r="AP26" i="17"/>
  <c r="AP48" i="17"/>
  <c r="AP65" i="17"/>
  <c r="AP85" i="17"/>
  <c r="AP100" i="17"/>
  <c r="AP114" i="17"/>
  <c r="AP134" i="17"/>
  <c r="AP150" i="17"/>
  <c r="AP169" i="17"/>
  <c r="AP185" i="17"/>
  <c r="AP221" i="17"/>
  <c r="AP235" i="17"/>
  <c r="AP253" i="17"/>
  <c r="AP295" i="17"/>
  <c r="AP331" i="17"/>
  <c r="AP351" i="17"/>
  <c r="AP367" i="17"/>
  <c r="AP386" i="17"/>
  <c r="AQ13" i="17"/>
  <c r="AQ27" i="17"/>
  <c r="AQ45" i="17"/>
  <c r="AQ58" i="17"/>
  <c r="AQ73" i="17"/>
  <c r="AQ87" i="17"/>
  <c r="AQ105" i="17"/>
  <c r="AQ120" i="17"/>
  <c r="AQ152" i="17"/>
  <c r="AQ182" i="17"/>
  <c r="AQ196" i="17"/>
  <c r="AQ213" i="17"/>
  <c r="AQ241" i="17"/>
  <c r="AQ255" i="17"/>
  <c r="AQ272" i="17"/>
  <c r="AQ336" i="17"/>
  <c r="AQ351" i="17"/>
  <c r="AQ369" i="17"/>
  <c r="AQ384" i="17"/>
  <c r="AR24" i="17"/>
  <c r="AR70" i="17"/>
  <c r="AR88" i="17"/>
  <c r="AR103" i="17"/>
  <c r="AR117" i="17"/>
  <c r="AR150" i="17"/>
  <c r="AR211" i="17"/>
  <c r="AR243" i="17"/>
  <c r="AR257" i="17"/>
  <c r="AR270" i="17"/>
  <c r="AR296" i="17"/>
  <c r="AR332" i="17"/>
  <c r="AR345" i="17"/>
  <c r="AR363" i="17"/>
  <c r="AR378" i="17"/>
  <c r="AS5" i="17"/>
  <c r="AS50" i="17"/>
  <c r="AS64" i="17"/>
  <c r="AS96" i="17"/>
  <c r="AS126" i="17"/>
  <c r="AS144" i="17"/>
  <c r="AS159" i="17"/>
  <c r="AS191" i="17"/>
  <c r="AL12" i="17"/>
  <c r="AL328" i="17"/>
  <c r="AL376" i="17"/>
  <c r="AM93" i="17"/>
  <c r="AM192" i="17"/>
  <c r="AM217" i="17"/>
  <c r="AM233" i="17"/>
  <c r="AM259" i="17"/>
  <c r="AM277" i="17"/>
  <c r="AM372" i="17"/>
  <c r="AN9" i="17"/>
  <c r="AN33" i="17"/>
  <c r="AN83" i="17"/>
  <c r="AN105" i="17"/>
  <c r="AN136" i="17"/>
  <c r="AN245" i="17"/>
  <c r="AN345" i="17"/>
  <c r="AN370" i="17"/>
  <c r="AO39" i="17"/>
  <c r="AO73" i="17"/>
  <c r="AO98" i="17"/>
  <c r="AO127" i="17"/>
  <c r="AO178" i="17"/>
  <c r="AO200" i="17"/>
  <c r="AO242" i="17"/>
  <c r="AO336" i="17"/>
  <c r="AO356" i="17"/>
  <c r="AO380" i="17"/>
  <c r="AP10" i="17"/>
  <c r="AP27" i="17"/>
  <c r="AP49" i="17"/>
  <c r="AP66" i="17"/>
  <c r="AP86" i="17"/>
  <c r="AP101" i="17"/>
  <c r="AP115" i="17"/>
  <c r="AP151" i="17"/>
  <c r="AP170" i="17"/>
  <c r="AP222" i="17"/>
  <c r="AP236" i="17"/>
  <c r="AP254" i="17"/>
  <c r="AP296" i="17"/>
  <c r="AP332" i="17"/>
  <c r="AP352" i="17"/>
  <c r="AP368" i="17"/>
  <c r="AP387" i="17"/>
  <c r="AQ28" i="17"/>
  <c r="AQ46" i="17"/>
  <c r="AQ59" i="17"/>
  <c r="AQ74" i="17"/>
  <c r="AQ88" i="17"/>
  <c r="AQ121" i="17"/>
  <c r="AQ136" i="17"/>
  <c r="AQ153" i="17"/>
  <c r="AQ183" i="17"/>
  <c r="AQ214" i="17"/>
  <c r="AQ228" i="17"/>
  <c r="AQ242" i="17"/>
  <c r="AQ256" i="17"/>
  <c r="AQ273" i="17"/>
  <c r="AQ352" i="17"/>
  <c r="AQ370" i="17"/>
  <c r="AQ385" i="17"/>
  <c r="AR12" i="17"/>
  <c r="AR28" i="17"/>
  <c r="AR42" i="17"/>
  <c r="AR56" i="17"/>
  <c r="AR71" i="17"/>
  <c r="AR89" i="17"/>
  <c r="AR104" i="17"/>
  <c r="AR118" i="17"/>
  <c r="AR151" i="17"/>
  <c r="AR184" i="17"/>
  <c r="AR198" i="17"/>
  <c r="AR212" i="17"/>
  <c r="AR227" i="17"/>
  <c r="AR244" i="17"/>
  <c r="AR258" i="17"/>
  <c r="AR271" i="17"/>
  <c r="AR285" i="17"/>
  <c r="AR333" i="17"/>
  <c r="AR346" i="17"/>
  <c r="AR364" i="17"/>
  <c r="AR379" i="17"/>
  <c r="AS6" i="17"/>
  <c r="AS51" i="17"/>
  <c r="AS65" i="17"/>
  <c r="AS97" i="17"/>
  <c r="AS145" i="17"/>
  <c r="AS160" i="17"/>
  <c r="AS174" i="17"/>
  <c r="AL333" i="17"/>
  <c r="AM219" i="17"/>
  <c r="AN27" i="17"/>
  <c r="AN201" i="17"/>
  <c r="AN353" i="17"/>
  <c r="AO13" i="17"/>
  <c r="AO40" i="17"/>
  <c r="AO93" i="17"/>
  <c r="AO131" i="17"/>
  <c r="AO198" i="17"/>
  <c r="AO258" i="17"/>
  <c r="AO273" i="17"/>
  <c r="AO334" i="17"/>
  <c r="AO367" i="17"/>
  <c r="AP8" i="17"/>
  <c r="AP34" i="17"/>
  <c r="AP62" i="17"/>
  <c r="AP88" i="17"/>
  <c r="AP110" i="17"/>
  <c r="AP160" i="17"/>
  <c r="AP184" i="17"/>
  <c r="AP208" i="17"/>
  <c r="AP231" i="17"/>
  <c r="AP255" i="17"/>
  <c r="AP271" i="17"/>
  <c r="AP349" i="17"/>
  <c r="AP374" i="17"/>
  <c r="AQ5" i="17"/>
  <c r="AQ23" i="17"/>
  <c r="AQ41" i="17"/>
  <c r="AQ62" i="17"/>
  <c r="AQ83" i="17"/>
  <c r="AQ104" i="17"/>
  <c r="AQ123" i="17"/>
  <c r="AQ143" i="17"/>
  <c r="AQ181" i="17"/>
  <c r="AQ203" i="17"/>
  <c r="AQ240" i="17"/>
  <c r="AQ262" i="17"/>
  <c r="AQ279" i="17"/>
  <c r="AQ332" i="17"/>
  <c r="AQ349" i="17"/>
  <c r="AQ372" i="17"/>
  <c r="AR6" i="17"/>
  <c r="AR22" i="17"/>
  <c r="AR44" i="17"/>
  <c r="AR64" i="17"/>
  <c r="AR105" i="17"/>
  <c r="AR124" i="17"/>
  <c r="AR142" i="17"/>
  <c r="AR259" i="17"/>
  <c r="AR341" i="17"/>
  <c r="AR358" i="17"/>
  <c r="AR380" i="17"/>
  <c r="AS12" i="17"/>
  <c r="AS25" i="17"/>
  <c r="AS40" i="17"/>
  <c r="AS58" i="17"/>
  <c r="AS75" i="17"/>
  <c r="AS89" i="17"/>
  <c r="AS109" i="17"/>
  <c r="AS131" i="17"/>
  <c r="AS148" i="17"/>
  <c r="AS184" i="17"/>
  <c r="AS219" i="17"/>
  <c r="AS232" i="17"/>
  <c r="AS250" i="17"/>
  <c r="AS280" i="17"/>
  <c r="AS334" i="17"/>
  <c r="AS346" i="17"/>
  <c r="AS358" i="17"/>
  <c r="AS370" i="17"/>
  <c r="AS382" i="17"/>
  <c r="AT6" i="17"/>
  <c r="AT30" i="17"/>
  <c r="AT65" i="17"/>
  <c r="AT77" i="17"/>
  <c r="AL114" i="17"/>
  <c r="AL291" i="17"/>
  <c r="AM138" i="17"/>
  <c r="AN34" i="17"/>
  <c r="AN80" i="17"/>
  <c r="AN116" i="17"/>
  <c r="AN165" i="17"/>
  <c r="AN203" i="17"/>
  <c r="AN362" i="17"/>
  <c r="AO50" i="17"/>
  <c r="AO132" i="17"/>
  <c r="AO166" i="17"/>
  <c r="AO201" i="17"/>
  <c r="AO259" i="17"/>
  <c r="AO274" i="17"/>
  <c r="AO369" i="17"/>
  <c r="AP13" i="17"/>
  <c r="AP63" i="17"/>
  <c r="AP89" i="17"/>
  <c r="AP111" i="17"/>
  <c r="AP136" i="17"/>
  <c r="AP162" i="17"/>
  <c r="AP232" i="17"/>
  <c r="AP256" i="17"/>
  <c r="AP327" i="17"/>
  <c r="AP350" i="17"/>
  <c r="AP375" i="17"/>
  <c r="AQ9" i="17"/>
  <c r="AQ24" i="17"/>
  <c r="AQ64" i="17"/>
  <c r="AQ84" i="17"/>
  <c r="AQ124" i="17"/>
  <c r="AQ144" i="17"/>
  <c r="AQ165" i="17"/>
  <c r="AQ184" i="17"/>
  <c r="AM139" i="17"/>
  <c r="AN124" i="17"/>
  <c r="AN166" i="17"/>
  <c r="AN240" i="17"/>
  <c r="AN286" i="17"/>
  <c r="AN366" i="17"/>
  <c r="AO51" i="17"/>
  <c r="AO95" i="17"/>
  <c r="AO133" i="17"/>
  <c r="AO202" i="17"/>
  <c r="AO260" i="17"/>
  <c r="AO370" i="17"/>
  <c r="AP64" i="17"/>
  <c r="AP91" i="17"/>
  <c r="AP112" i="17"/>
  <c r="AP163" i="17"/>
  <c r="AP187" i="17"/>
  <c r="AP211" i="17"/>
  <c r="AP233" i="17"/>
  <c r="AP257" i="17"/>
  <c r="AP328" i="17"/>
  <c r="AP353" i="17"/>
  <c r="AP377" i="17"/>
  <c r="AQ10" i="17"/>
  <c r="AQ25" i="17"/>
  <c r="AQ68" i="17"/>
  <c r="AQ85" i="17"/>
  <c r="AQ107" i="17"/>
  <c r="AQ145" i="17"/>
  <c r="AL377" i="17"/>
  <c r="AM339" i="17"/>
  <c r="AN88" i="17"/>
  <c r="AN125" i="17"/>
  <c r="AN208" i="17"/>
  <c r="AN241" i="17"/>
  <c r="AL378" i="17"/>
  <c r="AM73" i="17"/>
  <c r="AM373" i="17"/>
  <c r="AN48" i="17"/>
  <c r="AN89" i="17"/>
  <c r="AN126" i="17"/>
  <c r="AN179" i="17"/>
  <c r="AN242" i="17"/>
  <c r="AN332" i="17"/>
  <c r="AN368" i="17"/>
  <c r="AO18" i="17"/>
  <c r="AL56" i="17"/>
  <c r="AL240" i="17"/>
  <c r="AM171" i="17"/>
  <c r="AM374" i="17"/>
  <c r="AN49" i="17"/>
  <c r="AN90" i="17"/>
  <c r="AN181" i="17"/>
  <c r="AN270" i="17"/>
  <c r="AN334" i="17"/>
  <c r="AN371" i="17"/>
  <c r="AO19" i="17"/>
  <c r="AO59" i="17"/>
  <c r="AL57" i="17"/>
  <c r="AL178" i="17"/>
  <c r="AL242" i="17"/>
  <c r="AN13" i="17"/>
  <c r="AN50" i="17"/>
  <c r="AN182" i="17"/>
  <c r="AN217" i="17"/>
  <c r="AN272" i="17"/>
  <c r="AN382" i="17"/>
  <c r="AO63" i="17"/>
  <c r="AO145" i="17"/>
  <c r="AO180" i="17"/>
  <c r="AM280" i="17"/>
  <c r="AN138" i="17"/>
  <c r="AN256" i="17"/>
  <c r="AN383" i="17"/>
  <c r="AO71" i="17"/>
  <c r="AO110" i="17"/>
  <c r="AO181" i="17"/>
  <c r="AO213" i="17"/>
  <c r="AO240" i="17"/>
  <c r="AL13" i="17"/>
  <c r="AM196" i="17"/>
  <c r="AN60" i="17"/>
  <c r="AN101" i="17"/>
  <c r="AN139" i="17"/>
  <c r="AN187" i="17"/>
  <c r="AN258" i="17"/>
  <c r="AN340" i="17"/>
  <c r="AN385" i="17"/>
  <c r="AO33" i="17"/>
  <c r="AO74" i="17"/>
  <c r="AO112" i="17"/>
  <c r="AO150" i="17"/>
  <c r="AO214" i="17"/>
  <c r="AO285" i="17"/>
  <c r="AO354" i="17"/>
  <c r="AO385" i="17"/>
  <c r="AP22" i="17"/>
  <c r="AP51" i="17"/>
  <c r="AP103" i="17"/>
  <c r="AP126" i="17"/>
  <c r="AP149" i="17"/>
  <c r="AP175" i="17"/>
  <c r="AP199" i="17"/>
  <c r="AP224" i="17"/>
  <c r="AP341" i="17"/>
  <c r="AP364" i="17"/>
  <c r="AP388" i="17"/>
  <c r="AQ17" i="17"/>
  <c r="AQ56" i="17"/>
  <c r="AQ76" i="17"/>
  <c r="AQ97" i="17"/>
  <c r="AQ117" i="17"/>
  <c r="AQ156" i="17"/>
  <c r="AQ177" i="17"/>
  <c r="AQ194" i="17"/>
  <c r="AQ216" i="17"/>
  <c r="AQ236" i="17"/>
  <c r="AQ274" i="17"/>
  <c r="AQ345" i="17"/>
  <c r="AQ363" i="17"/>
  <c r="AQ386" i="17"/>
  <c r="AR18" i="17"/>
  <c r="AR115" i="17"/>
  <c r="AR159" i="17"/>
  <c r="AR199" i="17"/>
  <c r="AR219" i="17"/>
  <c r="AR251" i="17"/>
  <c r="AR354" i="17"/>
  <c r="AR371" i="17"/>
  <c r="AS3" i="17"/>
  <c r="AS71" i="17"/>
  <c r="AS85" i="17"/>
  <c r="AS122" i="17"/>
  <c r="AS161" i="17"/>
  <c r="AS215" i="17"/>
  <c r="AS243" i="17"/>
  <c r="AS258" i="17"/>
  <c r="AS327" i="17"/>
  <c r="AS342" i="17"/>
  <c r="AS354" i="17"/>
  <c r="AS366" i="17"/>
  <c r="AS378" i="17"/>
  <c r="AS390" i="17"/>
  <c r="AM261" i="17"/>
  <c r="AN102" i="17"/>
  <c r="AN154" i="17"/>
  <c r="AN260" i="17"/>
  <c r="AN277" i="17"/>
  <c r="AN346" i="17"/>
  <c r="AO5" i="17"/>
  <c r="AO34" i="17"/>
  <c r="AO78" i="17"/>
  <c r="AO113" i="17"/>
  <c r="AO192" i="17"/>
  <c r="AO215" i="17"/>
  <c r="AO247" i="17"/>
  <c r="AO357" i="17"/>
  <c r="AP5" i="17"/>
  <c r="AP25" i="17"/>
  <c r="AP52" i="17"/>
  <c r="AP80" i="17"/>
  <c r="AP104" i="17"/>
  <c r="AP127" i="17"/>
  <c r="AP152" i="17"/>
  <c r="AP181" i="17"/>
  <c r="AP200" i="17"/>
  <c r="AP247" i="17"/>
  <c r="AP342" i="17"/>
  <c r="AP365" i="17"/>
  <c r="AP389" i="17"/>
  <c r="AQ38" i="17"/>
  <c r="AQ57" i="17"/>
  <c r="AQ98" i="17"/>
  <c r="AQ118" i="17"/>
  <c r="AQ158" i="17"/>
  <c r="AQ178" i="17"/>
  <c r="AQ195" i="17"/>
  <c r="AQ217" i="17"/>
  <c r="AQ237" i="17"/>
  <c r="AQ254" i="17"/>
  <c r="AQ346" i="17"/>
  <c r="AQ364" i="17"/>
  <c r="AQ387" i="17"/>
  <c r="AR19" i="17"/>
  <c r="AR57" i="17"/>
  <c r="AR100" i="17"/>
  <c r="AR116" i="17"/>
  <c r="AR138" i="17"/>
  <c r="AR160" i="17"/>
  <c r="AR178" i="17"/>
  <c r="AR200" i="17"/>
  <c r="AR220" i="17"/>
  <c r="AR235" i="17"/>
  <c r="AR286" i="17"/>
  <c r="AR355" i="17"/>
  <c r="AR375" i="17"/>
  <c r="AS4" i="17"/>
  <c r="AS53" i="17"/>
  <c r="AS72" i="17"/>
  <c r="AS86" i="17"/>
  <c r="AS181" i="17"/>
  <c r="AM26" i="17"/>
  <c r="AO194" i="17"/>
  <c r="AO272" i="17"/>
  <c r="AO341" i="17"/>
  <c r="AP6" i="17"/>
  <c r="AP39" i="17"/>
  <c r="AP121" i="17"/>
  <c r="AP157" i="17"/>
  <c r="AP195" i="17"/>
  <c r="AP280" i="17"/>
  <c r="AP343" i="17"/>
  <c r="AP381" i="17"/>
  <c r="AQ26" i="17"/>
  <c r="AQ92" i="17"/>
  <c r="AQ119" i="17"/>
  <c r="AQ147" i="17"/>
  <c r="AQ176" i="17"/>
  <c r="AQ278" i="17"/>
  <c r="AQ333" i="17"/>
  <c r="AQ358" i="17"/>
  <c r="AQ383" i="17"/>
  <c r="AR23" i="17"/>
  <c r="AR68" i="17"/>
  <c r="AR92" i="17"/>
  <c r="AR114" i="17"/>
  <c r="AR141" i="17"/>
  <c r="AR171" i="17"/>
  <c r="AR215" i="17"/>
  <c r="AR236" i="17"/>
  <c r="AR260" i="17"/>
  <c r="AR329" i="17"/>
  <c r="AR347" i="17"/>
  <c r="AS27" i="17"/>
  <c r="AS43" i="17"/>
  <c r="AS66" i="17"/>
  <c r="AS88" i="17"/>
  <c r="AS227" i="17"/>
  <c r="AS245" i="17"/>
  <c r="AS351" i="17"/>
  <c r="AS365" i="17"/>
  <c r="AS380" i="17"/>
  <c r="AT7" i="17"/>
  <c r="AT58" i="17"/>
  <c r="AT71" i="17"/>
  <c r="AT84" i="17"/>
  <c r="AT97" i="17"/>
  <c r="AT109" i="17"/>
  <c r="AT145" i="17"/>
  <c r="AT157" i="17"/>
  <c r="AT169" i="17"/>
  <c r="AT217" i="17"/>
  <c r="AT241" i="17"/>
  <c r="AT253" i="17"/>
  <c r="AT277" i="17"/>
  <c r="AT349" i="17"/>
  <c r="AT361" i="17"/>
  <c r="AU9" i="17"/>
  <c r="AU56" i="17"/>
  <c r="AU68" i="17"/>
  <c r="AU80" i="17"/>
  <c r="AU92" i="17"/>
  <c r="AU104" i="17"/>
  <c r="AU116" i="17"/>
  <c r="AU128" i="17"/>
  <c r="AU140" i="17"/>
  <c r="AU152" i="17"/>
  <c r="AU176" i="17"/>
  <c r="AU188" i="17"/>
  <c r="AU200" i="17"/>
  <c r="AU212" i="17"/>
  <c r="AU224" i="17"/>
  <c r="AU236" i="17"/>
  <c r="AU248" i="17"/>
  <c r="AU260" i="17"/>
  <c r="AU272" i="17"/>
  <c r="AU344" i="17"/>
  <c r="AU356" i="17"/>
  <c r="AU368" i="17"/>
  <c r="AU380" i="17"/>
  <c r="AV4" i="17"/>
  <c r="AV28" i="17"/>
  <c r="AV40" i="17"/>
  <c r="AV51" i="17"/>
  <c r="AV63" i="17"/>
  <c r="AV75" i="17"/>
  <c r="AV87" i="17"/>
  <c r="AV111" i="17"/>
  <c r="AV123" i="17"/>
  <c r="AV147" i="17"/>
  <c r="AV159" i="17"/>
  <c r="AV171" i="17"/>
  <c r="AV183" i="17"/>
  <c r="AV195" i="17"/>
  <c r="AV207" i="17"/>
  <c r="AV219" i="17"/>
  <c r="AV231" i="17"/>
  <c r="AV255" i="17"/>
  <c r="AV291" i="17"/>
  <c r="AV339" i="17"/>
  <c r="AN347" i="17"/>
  <c r="AO343" i="17"/>
  <c r="AP7" i="17"/>
  <c r="AP40" i="17"/>
  <c r="AP122" i="17"/>
  <c r="AP158" i="17"/>
  <c r="AP197" i="17"/>
  <c r="AP344" i="17"/>
  <c r="AP385" i="17"/>
  <c r="AQ29" i="17"/>
  <c r="AQ60" i="17"/>
  <c r="AQ93" i="17"/>
  <c r="AQ122" i="17"/>
  <c r="AQ148" i="17"/>
  <c r="AQ179" i="17"/>
  <c r="AQ207" i="17"/>
  <c r="AQ230" i="17"/>
  <c r="AQ280" i="17"/>
  <c r="AQ334" i="17"/>
  <c r="AQ360" i="17"/>
  <c r="AQ388" i="17"/>
  <c r="AR29" i="17"/>
  <c r="AR69" i="17"/>
  <c r="AR119" i="17"/>
  <c r="AR195" i="17"/>
  <c r="AR221" i="17"/>
  <c r="AR261" i="17"/>
  <c r="AR279" i="17"/>
  <c r="AR330" i="17"/>
  <c r="AR351" i="17"/>
  <c r="AR376" i="17"/>
  <c r="AS28" i="17"/>
  <c r="AS70" i="17"/>
  <c r="AS90" i="17"/>
  <c r="AS114" i="17"/>
  <c r="AS166" i="17"/>
  <c r="AS266" i="17"/>
  <c r="AS352" i="17"/>
  <c r="AS367" i="17"/>
  <c r="AS381" i="17"/>
  <c r="AT8" i="17"/>
  <c r="AT72" i="17"/>
  <c r="AT85" i="17"/>
  <c r="AT110" i="17"/>
  <c r="AT122" i="17"/>
  <c r="AT134" i="17"/>
  <c r="AT146" i="17"/>
  <c r="AT158" i="17"/>
  <c r="AT170" i="17"/>
  <c r="AT182" i="17"/>
  <c r="AT194" i="17"/>
  <c r="AT206" i="17"/>
  <c r="AT230" i="17"/>
  <c r="AT242" i="17"/>
  <c r="AT254" i="17"/>
  <c r="AT278" i="17"/>
  <c r="AT350" i="17"/>
  <c r="AT362" i="17"/>
  <c r="AT386" i="17"/>
  <c r="AU10" i="17"/>
  <c r="AU22" i="17"/>
  <c r="AU34" i="17"/>
  <c r="AU46" i="17"/>
  <c r="AU57" i="17"/>
  <c r="AU81" i="17"/>
  <c r="AU105" i="17"/>
  <c r="AU117" i="17"/>
  <c r="AU129" i="17"/>
  <c r="AU141" i="17"/>
  <c r="AN155" i="17"/>
  <c r="AN348" i="17"/>
  <c r="AO57" i="17"/>
  <c r="AO144" i="17"/>
  <c r="AO248" i="17"/>
  <c r="AO296" i="17"/>
  <c r="AO349" i="17"/>
  <c r="AP87" i="17"/>
  <c r="AP124" i="17"/>
  <c r="AP198" i="17"/>
  <c r="AP266" i="17"/>
  <c r="AP354" i="17"/>
  <c r="AP390" i="17"/>
  <c r="AQ33" i="17"/>
  <c r="AQ130" i="17"/>
  <c r="AQ154" i="17"/>
  <c r="AQ180" i="17"/>
  <c r="AQ231" i="17"/>
  <c r="AQ261" i="17"/>
  <c r="AQ335" i="17"/>
  <c r="AQ361" i="17"/>
  <c r="AR5" i="17"/>
  <c r="AR30" i="17"/>
  <c r="AR51" i="17"/>
  <c r="AR123" i="17"/>
  <c r="AR147" i="17"/>
  <c r="AR174" i="17"/>
  <c r="AR222" i="17"/>
  <c r="AR262" i="17"/>
  <c r="AR280" i="17"/>
  <c r="AR331" i="17"/>
  <c r="AR352" i="17"/>
  <c r="AR377" i="17"/>
  <c r="AS29" i="17"/>
  <c r="AS73" i="17"/>
  <c r="AS118" i="17"/>
  <c r="AS210" i="17"/>
  <c r="AS230" i="17"/>
  <c r="AS251" i="17"/>
  <c r="AS339" i="17"/>
  <c r="AS353" i="17"/>
  <c r="AS368" i="17"/>
  <c r="AS383" i="17"/>
  <c r="AT9" i="17"/>
  <c r="AT22" i="17"/>
  <c r="AT60" i="17"/>
  <c r="AT86" i="17"/>
  <c r="AT123" i="17"/>
  <c r="AT147" i="17"/>
  <c r="AT159" i="17"/>
  <c r="AT171" i="17"/>
  <c r="AT195" i="17"/>
  <c r="AT231" i="17"/>
  <c r="AT243" i="17"/>
  <c r="AT279" i="17"/>
  <c r="AT291" i="17"/>
  <c r="AT327" i="17"/>
  <c r="AT351" i="17"/>
  <c r="AT363" i="17"/>
  <c r="AL332" i="17"/>
  <c r="AM262" i="17"/>
  <c r="AN62" i="17"/>
  <c r="AN162" i="17"/>
  <c r="AN227" i="17"/>
  <c r="AN367" i="17"/>
  <c r="AO210" i="17"/>
  <c r="AO350" i="17"/>
  <c r="AP46" i="17"/>
  <c r="AP128" i="17"/>
  <c r="AP355" i="17"/>
  <c r="AQ4" i="17"/>
  <c r="AQ34" i="17"/>
  <c r="AQ96" i="17"/>
  <c r="AQ131" i="17"/>
  <c r="AQ155" i="17"/>
  <c r="AQ296" i="17"/>
  <c r="AR7" i="17"/>
  <c r="AR31" i="17"/>
  <c r="AR52" i="17"/>
  <c r="AR76" i="17"/>
  <c r="AR126" i="17"/>
  <c r="AR148" i="17"/>
  <c r="AR175" i="17"/>
  <c r="AR201" i="17"/>
  <c r="AR245" i="17"/>
  <c r="AR295" i="17"/>
  <c r="AR334" i="17"/>
  <c r="AR353" i="17"/>
  <c r="AR381" i="17"/>
  <c r="AS30" i="17"/>
  <c r="AS74" i="17"/>
  <c r="AS95" i="17"/>
  <c r="AS119" i="17"/>
  <c r="AS146" i="17"/>
  <c r="AS214" i="17"/>
  <c r="AS340" i="17"/>
  <c r="AS355" i="17"/>
  <c r="AS384" i="17"/>
  <c r="AT23" i="17"/>
  <c r="AT61" i="17"/>
  <c r="AT87" i="17"/>
  <c r="AT112" i="17"/>
  <c r="AT136" i="17"/>
  <c r="AT148" i="17"/>
  <c r="AT160" i="17"/>
  <c r="AT184" i="17"/>
  <c r="AT208" i="17"/>
  <c r="AT220" i="17"/>
  <c r="AT244" i="17"/>
  <c r="AT256" i="17"/>
  <c r="AT280" i="17"/>
  <c r="AT328" i="17"/>
  <c r="AT340" i="17"/>
  <c r="AT352" i="17"/>
  <c r="AT364" i="17"/>
  <c r="AT376" i="17"/>
  <c r="AU12" i="17"/>
  <c r="AU24" i="17"/>
  <c r="AU47" i="17"/>
  <c r="AU59" i="17"/>
  <c r="AU71" i="17"/>
  <c r="AU83" i="17"/>
  <c r="AU95" i="17"/>
  <c r="AU107" i="17"/>
  <c r="AU119" i="17"/>
  <c r="AU131" i="17"/>
  <c r="AU143" i="17"/>
  <c r="AN73" i="17"/>
  <c r="AO6" i="17"/>
  <c r="AO162" i="17"/>
  <c r="AO212" i="17"/>
  <c r="AO261" i="17"/>
  <c r="AO353" i="17"/>
  <c r="AP50" i="17"/>
  <c r="AP97" i="17"/>
  <c r="AP133" i="17"/>
  <c r="AP171" i="17"/>
  <c r="AP207" i="17"/>
  <c r="AP241" i="17"/>
  <c r="AP361" i="17"/>
  <c r="AQ11" i="17"/>
  <c r="AQ132" i="17"/>
  <c r="AQ159" i="17"/>
  <c r="AQ212" i="17"/>
  <c r="AQ238" i="17"/>
  <c r="AR8" i="17"/>
  <c r="AR101" i="17"/>
  <c r="AR127" i="17"/>
  <c r="AR149" i="17"/>
  <c r="AR335" i="17"/>
  <c r="AR356" i="17"/>
  <c r="AR382" i="17"/>
  <c r="AS17" i="17"/>
  <c r="AS49" i="17"/>
  <c r="AS76" i="17"/>
  <c r="AS98" i="17"/>
  <c r="AS120" i="17"/>
  <c r="AS147" i="17"/>
  <c r="AS253" i="17"/>
  <c r="AS286" i="17"/>
  <c r="AS341" i="17"/>
  <c r="AS356" i="17"/>
  <c r="AS371" i="17"/>
  <c r="AS385" i="17"/>
  <c r="AT24" i="17"/>
  <c r="AT62" i="17"/>
  <c r="AT101" i="17"/>
  <c r="AT113" i="17"/>
  <c r="AT125" i="17"/>
  <c r="AT149" i="17"/>
  <c r="AT161" i="17"/>
  <c r="AT185" i="17"/>
  <c r="AT245" i="17"/>
  <c r="AT257" i="17"/>
  <c r="AT341" i="17"/>
  <c r="AT353" i="17"/>
  <c r="AT365" i="17"/>
  <c r="AT377" i="17"/>
  <c r="AU13" i="17"/>
  <c r="AU25" i="17"/>
  <c r="AU48" i="17"/>
  <c r="AU60" i="17"/>
  <c r="AU84" i="17"/>
  <c r="AU96" i="17"/>
  <c r="AU120" i="17"/>
  <c r="AU132" i="17"/>
  <c r="AU144" i="17"/>
  <c r="AO7" i="17"/>
  <c r="AP18" i="17"/>
  <c r="AP98" i="17"/>
  <c r="AP172" i="17"/>
  <c r="AP242" i="17"/>
  <c r="AP362" i="17"/>
  <c r="AQ12" i="17"/>
  <c r="AQ71" i="17"/>
  <c r="AQ100" i="17"/>
  <c r="AQ133" i="17"/>
  <c r="AQ160" i="17"/>
  <c r="AQ215" i="17"/>
  <c r="AQ339" i="17"/>
  <c r="AQ371" i="17"/>
  <c r="AR9" i="17"/>
  <c r="AR34" i="17"/>
  <c r="AR54" i="17"/>
  <c r="AR80" i="17"/>
  <c r="AR102" i="17"/>
  <c r="AR128" i="17"/>
  <c r="AR152" i="17"/>
  <c r="AR247" i="17"/>
  <c r="AR357" i="17"/>
  <c r="AR383" i="17"/>
  <c r="AS18" i="17"/>
  <c r="AS121" i="17"/>
  <c r="AS149" i="17"/>
  <c r="AS195" i="17"/>
  <c r="AS218" i="17"/>
  <c r="AS270" i="17"/>
  <c r="AS343" i="17"/>
  <c r="AS357" i="17"/>
  <c r="AS372" i="17"/>
  <c r="AS386" i="17"/>
  <c r="AT12" i="17"/>
  <c r="AT25" i="17"/>
  <c r="AT50" i="17"/>
  <c r="AT63" i="17"/>
  <c r="AT90" i="17"/>
  <c r="AT114" i="17"/>
  <c r="AT126" i="17"/>
  <c r="AT138" i="17"/>
  <c r="AT150" i="17"/>
  <c r="AT162" i="17"/>
  <c r="AT174" i="17"/>
  <c r="AT198" i="17"/>
  <c r="AT210" i="17"/>
  <c r="AT222" i="17"/>
  <c r="AT330" i="17"/>
  <c r="AT342" i="17"/>
  <c r="AT354" i="17"/>
  <c r="AT366" i="17"/>
  <c r="AT378" i="17"/>
  <c r="AU26" i="17"/>
  <c r="AU49" i="17"/>
  <c r="AU61" i="17"/>
  <c r="AU73" i="17"/>
  <c r="AU85" i="17"/>
  <c r="AU97" i="17"/>
  <c r="AU109" i="17"/>
  <c r="AU121" i="17"/>
  <c r="AU133" i="17"/>
  <c r="AU157" i="17"/>
  <c r="AU169" i="17"/>
  <c r="AU181" i="17"/>
  <c r="AU217" i="17"/>
  <c r="AU241" i="17"/>
  <c r="AM218" i="17"/>
  <c r="AO96" i="17"/>
  <c r="AO224" i="17"/>
  <c r="AP61" i="17"/>
  <c r="AP173" i="17"/>
  <c r="AP217" i="17"/>
  <c r="AP244" i="17"/>
  <c r="AP270" i="17"/>
  <c r="AP363" i="17"/>
  <c r="AQ72" i="17"/>
  <c r="AQ134" i="17"/>
  <c r="AQ191" i="17"/>
  <c r="AQ219" i="17"/>
  <c r="AQ266" i="17"/>
  <c r="AQ340" i="17"/>
  <c r="AQ373" i="17"/>
  <c r="AR35" i="17"/>
  <c r="AR81" i="17"/>
  <c r="AR129" i="17"/>
  <c r="AR153" i="17"/>
  <c r="AR185" i="17"/>
  <c r="AR207" i="17"/>
  <c r="AR359" i="17"/>
  <c r="AR387" i="17"/>
  <c r="AS19" i="17"/>
  <c r="AS78" i="17"/>
  <c r="AS100" i="17"/>
  <c r="AS124" i="17"/>
  <c r="AS150" i="17"/>
  <c r="AS171" i="17"/>
  <c r="AS220" i="17"/>
  <c r="AS238" i="17"/>
  <c r="AS274" i="17"/>
  <c r="AS344" i="17"/>
  <c r="AS359" i="17"/>
  <c r="AS373" i="17"/>
  <c r="AS387" i="17"/>
  <c r="AT13" i="17"/>
  <c r="AT26" i="17"/>
  <c r="AT78" i="17"/>
  <c r="AT91" i="17"/>
  <c r="AT115" i="17"/>
  <c r="AT127" i="17"/>
  <c r="AT151" i="17"/>
  <c r="AT163" i="17"/>
  <c r="AT175" i="17"/>
  <c r="AT199" i="17"/>
  <c r="AT211" i="17"/>
  <c r="AT235" i="17"/>
  <c r="AT247" i="17"/>
  <c r="AT331" i="17"/>
  <c r="AT343" i="17"/>
  <c r="AT355" i="17"/>
  <c r="AT367" i="17"/>
  <c r="AT379" i="17"/>
  <c r="AU3" i="17"/>
  <c r="AU27" i="17"/>
  <c r="AU50" i="17"/>
  <c r="AU62" i="17"/>
  <c r="AU74" i="17"/>
  <c r="AU86" i="17"/>
  <c r="AU98" i="17"/>
  <c r="AU110" i="17"/>
  <c r="AU122" i="17"/>
  <c r="AU146" i="17"/>
  <c r="AU158" i="17"/>
  <c r="AU170" i="17"/>
  <c r="AU182" i="17"/>
  <c r="AU194" i="17"/>
  <c r="AU206" i="17"/>
  <c r="AU218" i="17"/>
  <c r="AU230" i="17"/>
  <c r="AO168" i="17"/>
  <c r="AO371" i="17"/>
  <c r="AP67" i="17"/>
  <c r="AP102" i="17"/>
  <c r="AP138" i="17"/>
  <c r="AP182" i="17"/>
  <c r="AP218" i="17"/>
  <c r="AP329" i="17"/>
  <c r="AP366" i="17"/>
  <c r="AQ75" i="17"/>
  <c r="AQ166" i="17"/>
  <c r="AQ244" i="17"/>
  <c r="AQ347" i="17"/>
  <c r="AQ375" i="17"/>
  <c r="AR107" i="17"/>
  <c r="AR130" i="17"/>
  <c r="AR154" i="17"/>
  <c r="AR208" i="17"/>
  <c r="AR339" i="17"/>
  <c r="AR365" i="17"/>
  <c r="AR388" i="17"/>
  <c r="AS125" i="17"/>
  <c r="AS154" i="17"/>
  <c r="AS256" i="17"/>
  <c r="AS328" i="17"/>
  <c r="AS345" i="17"/>
  <c r="AS360" i="17"/>
  <c r="AS374" i="17"/>
  <c r="AS388" i="17"/>
  <c r="AT27" i="17"/>
  <c r="AT66" i="17"/>
  <c r="AT104" i="17"/>
  <c r="AT116" i="17"/>
  <c r="AT128" i="17"/>
  <c r="AT140" i="17"/>
  <c r="AT152" i="17"/>
  <c r="AT176" i="17"/>
  <c r="AT188" i="17"/>
  <c r="AT236" i="17"/>
  <c r="AT248" i="17"/>
  <c r="AT260" i="17"/>
  <c r="AT296" i="17"/>
  <c r="AT332" i="17"/>
  <c r="AT344" i="17"/>
  <c r="AT356" i="17"/>
  <c r="AT368" i="17"/>
  <c r="AT380" i="17"/>
  <c r="AU4" i="17"/>
  <c r="AU28" i="17"/>
  <c r="AU40" i="17"/>
  <c r="AU51" i="17"/>
  <c r="AU63" i="17"/>
  <c r="AU75" i="17"/>
  <c r="AU87" i="17"/>
  <c r="AU123" i="17"/>
  <c r="AU147" i="17"/>
  <c r="AU159" i="17"/>
  <c r="AU171" i="17"/>
  <c r="AU195" i="17"/>
  <c r="AU219" i="17"/>
  <c r="AU231" i="17"/>
  <c r="AU243" i="17"/>
  <c r="AU255" i="17"/>
  <c r="AU291" i="17"/>
  <c r="AU339" i="17"/>
  <c r="AU363" i="17"/>
  <c r="AU375" i="17"/>
  <c r="AU387" i="17"/>
  <c r="AV11" i="17"/>
  <c r="AV23" i="17"/>
  <c r="AV35" i="17"/>
  <c r="AV58" i="17"/>
  <c r="AV70" i="17"/>
  <c r="AV118" i="17"/>
  <c r="AV130" i="17"/>
  <c r="AV154" i="17"/>
  <c r="AV166" i="17"/>
  <c r="AV178" i="17"/>
  <c r="AV190" i="17"/>
  <c r="AV202" i="17"/>
  <c r="AV214" i="17"/>
  <c r="AV238" i="17"/>
  <c r="AV250" i="17"/>
  <c r="AV262" i="17"/>
  <c r="AV274" i="17"/>
  <c r="AV286" i="17"/>
  <c r="AV334" i="17"/>
  <c r="AV370" i="17"/>
  <c r="AV382" i="17"/>
  <c r="AW6" i="17"/>
  <c r="AW18" i="17"/>
  <c r="AW42" i="17"/>
  <c r="AW89" i="17"/>
  <c r="AW101" i="17"/>
  <c r="AW113" i="17"/>
  <c r="AW125" i="17"/>
  <c r="AW161" i="17"/>
  <c r="AW173" i="17"/>
  <c r="AW185" i="17"/>
  <c r="AW197" i="17"/>
  <c r="AW233" i="17"/>
  <c r="AW245" i="17"/>
  <c r="AW257" i="17"/>
  <c r="AW329" i="17"/>
  <c r="AW365" i="17"/>
  <c r="AW377" i="17"/>
  <c r="AW389" i="17"/>
  <c r="AX13" i="17"/>
  <c r="AX48" i="17"/>
  <c r="AX60" i="17"/>
  <c r="AX72" i="17"/>
  <c r="AX84" i="17"/>
  <c r="AX96" i="17"/>
  <c r="AX120" i="17"/>
  <c r="AX132" i="17"/>
  <c r="AX156" i="17"/>
  <c r="AX168" i="17"/>
  <c r="AN199" i="17"/>
  <c r="AO169" i="17"/>
  <c r="AO378" i="17"/>
  <c r="AP32" i="17"/>
  <c r="AP73" i="17"/>
  <c r="AP140" i="17"/>
  <c r="AP183" i="17"/>
  <c r="AP219" i="17"/>
  <c r="AP248" i="17"/>
  <c r="AP330" i="17"/>
  <c r="AP373" i="17"/>
  <c r="AQ48" i="17"/>
  <c r="AQ109" i="17"/>
  <c r="AQ376" i="17"/>
  <c r="AR83" i="17"/>
  <c r="AR131" i="17"/>
  <c r="AR161" i="17"/>
  <c r="AR187" i="17"/>
  <c r="AR250" i="17"/>
  <c r="AR340" i="17"/>
  <c r="AR366" i="17"/>
  <c r="AR389" i="17"/>
  <c r="AS38" i="17"/>
  <c r="AS60" i="17"/>
  <c r="AS132" i="17"/>
  <c r="AS155" i="17"/>
  <c r="AS178" i="17"/>
  <c r="AS203" i="17"/>
  <c r="AS222" i="17"/>
  <c r="AS240" i="17"/>
  <c r="AS257" i="17"/>
  <c r="AS329" i="17"/>
  <c r="AS347" i="17"/>
  <c r="AS361" i="17"/>
  <c r="AS375" i="17"/>
  <c r="AS389" i="17"/>
  <c r="AT28" i="17"/>
  <c r="AT41" i="17"/>
  <c r="AT80" i="17"/>
  <c r="AT105" i="17"/>
  <c r="AT117" i="17"/>
  <c r="AT129" i="17"/>
  <c r="AT141" i="17"/>
  <c r="AT153" i="17"/>
  <c r="AT165" i="17"/>
  <c r="AT189" i="17"/>
  <c r="AT213" i="17"/>
  <c r="AT237" i="17"/>
  <c r="AT261" i="17"/>
  <c r="AT285" i="17"/>
  <c r="AT345" i="17"/>
  <c r="AT357" i="17"/>
  <c r="AT369" i="17"/>
  <c r="AT381" i="17"/>
  <c r="AU5" i="17"/>
  <c r="AU17" i="17"/>
  <c r="AU29" i="17"/>
  <c r="AU52" i="17"/>
  <c r="AU64" i="17"/>
  <c r="AU76" i="17"/>
  <c r="AU88" i="17"/>
  <c r="AU100" i="17"/>
  <c r="AU112" i="17"/>
  <c r="AU124" i="17"/>
  <c r="AU136" i="17"/>
  <c r="AU160" i="17"/>
  <c r="AU184" i="17"/>
  <c r="AU196" i="17"/>
  <c r="AU208" i="17"/>
  <c r="AU220" i="17"/>
  <c r="AU232" i="17"/>
  <c r="AU244" i="17"/>
  <c r="AU256" i="17"/>
  <c r="AU340" i="17"/>
  <c r="AU352" i="17"/>
  <c r="AU364" i="17"/>
  <c r="AU376" i="17"/>
  <c r="AU388" i="17"/>
  <c r="AV12" i="17"/>
  <c r="AV24" i="17"/>
  <c r="AV47" i="17"/>
  <c r="AV59" i="17"/>
  <c r="AV71" i="17"/>
  <c r="AV83" i="17"/>
  <c r="AV95" i="17"/>
  <c r="AV107" i="17"/>
  <c r="AV119" i="17"/>
  <c r="AV131" i="17"/>
  <c r="AV143" i="17"/>
  <c r="AV155" i="17"/>
  <c r="AV179" i="17"/>
  <c r="AV191" i="17"/>
  <c r="AV203" i="17"/>
  <c r="AV215" i="17"/>
  <c r="AV227" i="17"/>
  <c r="AV251" i="17"/>
  <c r="AV335" i="17"/>
  <c r="AV347" i="17"/>
  <c r="AV359" i="17"/>
  <c r="AW7" i="17"/>
  <c r="AW19" i="17"/>
  <c r="AW31" i="17"/>
  <c r="AW43" i="17"/>
  <c r="AW66" i="17"/>
  <c r="AW78" i="17"/>
  <c r="AW90" i="17"/>
  <c r="AW102" i="17"/>
  <c r="AW114" i="17"/>
  <c r="AW126" i="17"/>
  <c r="AW150" i="17"/>
  <c r="AW174" i="17"/>
  <c r="AW198" i="17"/>
  <c r="AW210" i="17"/>
  <c r="AW222" i="17"/>
  <c r="AW258" i="17"/>
  <c r="AW270" i="17"/>
  <c r="AW330" i="17"/>
  <c r="AW366" i="17"/>
  <c r="AW378" i="17"/>
  <c r="AW390" i="17"/>
  <c r="AX38" i="17"/>
  <c r="AX49" i="17"/>
  <c r="AX61" i="17"/>
  <c r="AX73" i="17"/>
  <c r="AX85" i="17"/>
  <c r="AX97" i="17"/>
  <c r="AX121" i="17"/>
  <c r="AX133" i="17"/>
  <c r="AX145" i="17"/>
  <c r="AX157" i="17"/>
  <c r="AX169" i="17"/>
  <c r="AN103" i="17"/>
  <c r="AN200" i="17"/>
  <c r="AN261" i="17"/>
  <c r="AO179" i="17"/>
  <c r="AO329" i="17"/>
  <c r="AO381" i="17"/>
  <c r="AP33" i="17"/>
  <c r="AP74" i="17"/>
  <c r="AP146" i="17"/>
  <c r="AP220" i="17"/>
  <c r="AP277" i="17"/>
  <c r="AP291" i="17"/>
  <c r="AP378" i="17"/>
  <c r="AQ81" i="17"/>
  <c r="AQ111" i="17"/>
  <c r="AQ140" i="17"/>
  <c r="AQ169" i="17"/>
  <c r="AQ201" i="17"/>
  <c r="AQ249" i="17"/>
  <c r="AQ350" i="17"/>
  <c r="AQ380" i="17"/>
  <c r="AR40" i="17"/>
  <c r="AR65" i="17"/>
  <c r="AR87" i="17"/>
  <c r="AR111" i="17"/>
  <c r="AR162" i="17"/>
  <c r="AR189" i="17"/>
  <c r="AR210" i="17"/>
  <c r="AR272" i="17"/>
  <c r="AR342" i="17"/>
  <c r="AR367" i="17"/>
  <c r="AR390" i="17"/>
  <c r="AS23" i="17"/>
  <c r="AS107" i="17"/>
  <c r="AS133" i="17"/>
  <c r="AS156" i="17"/>
  <c r="AS179" i="17"/>
  <c r="AS241" i="17"/>
  <c r="AS291" i="17"/>
  <c r="AS330" i="17"/>
  <c r="AS348" i="17"/>
  <c r="AS362" i="17"/>
  <c r="AS376" i="17"/>
  <c r="AT3" i="17"/>
  <c r="AT29" i="17"/>
  <c r="AT81" i="17"/>
  <c r="AT118" i="17"/>
  <c r="AT130" i="17"/>
  <c r="AT142" i="17"/>
  <c r="AT154" i="17"/>
  <c r="AT190" i="17"/>
  <c r="AT214" i="17"/>
  <c r="AT262" i="17"/>
  <c r="AT346" i="17"/>
  <c r="AT358" i="17"/>
  <c r="AT370" i="17"/>
  <c r="AT382" i="17"/>
  <c r="AU6" i="17"/>
  <c r="AU18" i="17"/>
  <c r="AU30" i="17"/>
  <c r="AU42" i="17"/>
  <c r="AU77" i="17"/>
  <c r="AU89" i="17"/>
  <c r="AU101" i="17"/>
  <c r="AU113" i="17"/>
  <c r="AU125" i="17"/>
  <c r="AU149" i="17"/>
  <c r="AU161" i="17"/>
  <c r="AU185" i="17"/>
  <c r="AU197" i="17"/>
  <c r="AU221" i="17"/>
  <c r="AU233" i="17"/>
  <c r="AU245" i="17"/>
  <c r="AU257" i="17"/>
  <c r="AU329" i="17"/>
  <c r="AU341" i="17"/>
  <c r="AU377" i="17"/>
  <c r="AU389" i="17"/>
  <c r="AV13" i="17"/>
  <c r="AV25" i="17"/>
  <c r="AV48" i="17"/>
  <c r="AV60" i="17"/>
  <c r="AV84" i="17"/>
  <c r="AV120" i="17"/>
  <c r="AV132" i="17"/>
  <c r="AV168" i="17"/>
  <c r="AV180" i="17"/>
  <c r="AV192" i="17"/>
  <c r="AV216" i="17"/>
  <c r="AV228" i="17"/>
  <c r="AV240" i="17"/>
  <c r="AV336" i="17"/>
  <c r="AV348" i="17"/>
  <c r="AV360" i="17"/>
  <c r="AW8" i="17"/>
  <c r="AW32" i="17"/>
  <c r="AW67" i="17"/>
  <c r="AW91" i="17"/>
  <c r="AW103" i="17"/>
  <c r="AW115" i="17"/>
  <c r="AW127" i="17"/>
  <c r="AW139" i="17"/>
  <c r="AW151" i="17"/>
  <c r="AW175" i="17"/>
  <c r="AW187" i="17"/>
  <c r="AW199" i="17"/>
  <c r="AW211" i="17"/>
  <c r="AW235" i="17"/>
  <c r="AW247" i="17"/>
  <c r="AW259" i="17"/>
  <c r="AW271" i="17"/>
  <c r="AW295" i="17"/>
  <c r="AW355" i="17"/>
  <c r="AW367" i="17"/>
  <c r="AW379" i="17"/>
  <c r="AP78" i="17"/>
  <c r="AP148" i="17"/>
  <c r="AP380" i="17"/>
  <c r="AQ146" i="17"/>
  <c r="AQ291" i="17"/>
  <c r="AR344" i="17"/>
  <c r="AS349" i="17"/>
  <c r="AT216" i="17"/>
  <c r="AT375" i="17"/>
  <c r="AU165" i="17"/>
  <c r="AU189" i="17"/>
  <c r="AU228" i="17"/>
  <c r="AU266" i="17"/>
  <c r="AU330" i="17"/>
  <c r="AU361" i="17"/>
  <c r="AU381" i="17"/>
  <c r="AV9" i="17"/>
  <c r="AV27" i="17"/>
  <c r="AV42" i="17"/>
  <c r="AV57" i="17"/>
  <c r="AV92" i="17"/>
  <c r="AV124" i="17"/>
  <c r="AV139" i="17"/>
  <c r="AV158" i="17"/>
  <c r="AV174" i="17"/>
  <c r="AV210" i="17"/>
  <c r="AV244" i="17"/>
  <c r="AV259" i="17"/>
  <c r="AV272" i="17"/>
  <c r="AV285" i="17"/>
  <c r="AV367" i="17"/>
  <c r="AV380" i="17"/>
  <c r="AW10" i="17"/>
  <c r="AW24" i="17"/>
  <c r="AW39" i="17"/>
  <c r="AW52" i="17"/>
  <c r="AW64" i="17"/>
  <c r="AW80" i="17"/>
  <c r="AW95" i="17"/>
  <c r="AW110" i="17"/>
  <c r="AW128" i="17"/>
  <c r="AW142" i="17"/>
  <c r="AW172" i="17"/>
  <c r="AW189" i="17"/>
  <c r="AW204" i="17"/>
  <c r="AW218" i="17"/>
  <c r="AW232" i="17"/>
  <c r="AW248" i="17"/>
  <c r="AW277" i="17"/>
  <c r="AW340" i="17"/>
  <c r="AW356" i="17"/>
  <c r="AW386" i="17"/>
  <c r="AX12" i="17"/>
  <c r="AX51" i="17"/>
  <c r="AX93" i="17"/>
  <c r="AX107" i="17"/>
  <c r="AX122" i="17"/>
  <c r="AX136" i="17"/>
  <c r="AX150" i="17"/>
  <c r="AX178" i="17"/>
  <c r="AX190" i="17"/>
  <c r="AX202" i="17"/>
  <c r="AX214" i="17"/>
  <c r="AX250" i="17"/>
  <c r="AX262" i="17"/>
  <c r="AX274" i="17"/>
  <c r="AX286" i="17"/>
  <c r="AX334" i="17"/>
  <c r="AX370" i="17"/>
  <c r="AX382" i="17"/>
  <c r="AO382" i="17"/>
  <c r="AP278" i="17"/>
  <c r="AR43" i="17"/>
  <c r="AR368" i="17"/>
  <c r="AS242" i="17"/>
  <c r="AS278" i="17"/>
  <c r="AS350" i="17"/>
  <c r="AT120" i="17"/>
  <c r="AT383" i="17"/>
  <c r="AU23" i="17"/>
  <c r="AU166" i="17"/>
  <c r="AU190" i="17"/>
  <c r="AU251" i="17"/>
  <c r="AU347" i="17"/>
  <c r="AU362" i="17"/>
  <c r="AU382" i="17"/>
  <c r="AV10" i="17"/>
  <c r="AV29" i="17"/>
  <c r="AV43" i="17"/>
  <c r="AV61" i="17"/>
  <c r="AV78" i="17"/>
  <c r="AV93" i="17"/>
  <c r="AV125" i="17"/>
  <c r="AV140" i="17"/>
  <c r="AV160" i="17"/>
  <c r="AV175" i="17"/>
  <c r="AV194" i="17"/>
  <c r="AV211" i="17"/>
  <c r="AV245" i="17"/>
  <c r="AV260" i="17"/>
  <c r="AV273" i="17"/>
  <c r="AV340" i="17"/>
  <c r="AV368" i="17"/>
  <c r="AV381" i="17"/>
  <c r="AW11" i="17"/>
  <c r="AW25" i="17"/>
  <c r="AW40" i="17"/>
  <c r="AW81" i="17"/>
  <c r="AW111" i="17"/>
  <c r="AW129" i="17"/>
  <c r="AW143" i="17"/>
  <c r="AW158" i="17"/>
  <c r="AW176" i="17"/>
  <c r="AW190" i="17"/>
  <c r="AW219" i="17"/>
  <c r="AW249" i="17"/>
  <c r="AW278" i="17"/>
  <c r="AW387" i="17"/>
  <c r="AX39" i="17"/>
  <c r="AX52" i="17"/>
  <c r="AX66" i="17"/>
  <c r="AX80" i="17"/>
  <c r="AX123" i="17"/>
  <c r="AX151" i="17"/>
  <c r="AX165" i="17"/>
  <c r="AX191" i="17"/>
  <c r="AX203" i="17"/>
  <c r="AX215" i="17"/>
  <c r="AX227" i="17"/>
  <c r="AX251" i="17"/>
  <c r="AX335" i="17"/>
  <c r="AX347" i="17"/>
  <c r="AX359" i="17"/>
  <c r="AX383" i="17"/>
  <c r="AY7" i="17"/>
  <c r="AY19" i="17"/>
  <c r="AY31" i="17"/>
  <c r="AY43" i="17"/>
  <c r="AY66" i="17"/>
  <c r="AY78" i="17"/>
  <c r="AY90" i="17"/>
  <c r="AY102" i="17"/>
  <c r="AY114" i="17"/>
  <c r="AO114" i="17"/>
  <c r="AO383" i="17"/>
  <c r="AP279" i="17"/>
  <c r="AQ86" i="17"/>
  <c r="AQ356" i="17"/>
  <c r="AR45" i="17"/>
  <c r="AR112" i="17"/>
  <c r="AR255" i="17"/>
  <c r="AR369" i="17"/>
  <c r="AS244" i="17"/>
  <c r="AS279" i="17"/>
  <c r="AS363" i="17"/>
  <c r="AT131" i="17"/>
  <c r="AT180" i="17"/>
  <c r="AT335" i="17"/>
  <c r="AT384" i="17"/>
  <c r="AU31" i="17"/>
  <c r="AU102" i="17"/>
  <c r="AU138" i="17"/>
  <c r="AU191" i="17"/>
  <c r="AU211" i="17"/>
  <c r="AU348" i="17"/>
  <c r="AU366" i="17"/>
  <c r="AU383" i="17"/>
  <c r="AV30" i="17"/>
  <c r="AV62" i="17"/>
  <c r="AV109" i="17"/>
  <c r="AV126" i="17"/>
  <c r="AV141" i="17"/>
  <c r="AV161" i="17"/>
  <c r="AV176" i="17"/>
  <c r="AV196" i="17"/>
  <c r="AV212" i="17"/>
  <c r="AV230" i="17"/>
  <c r="AV261" i="17"/>
  <c r="AV341" i="17"/>
  <c r="AV355" i="17"/>
  <c r="AV369" i="17"/>
  <c r="AV385" i="17"/>
  <c r="AW12" i="17"/>
  <c r="AW26" i="17"/>
  <c r="AW41" i="17"/>
  <c r="AW68" i="17"/>
  <c r="AW97" i="17"/>
  <c r="AW112" i="17"/>
  <c r="AW130" i="17"/>
  <c r="AW144" i="17"/>
  <c r="AW159" i="17"/>
  <c r="AW177" i="17"/>
  <c r="AW191" i="17"/>
  <c r="AW220" i="17"/>
  <c r="AW236" i="17"/>
  <c r="AW250" i="17"/>
  <c r="AW291" i="17"/>
  <c r="AW373" i="17"/>
  <c r="AW388" i="17"/>
  <c r="AX40" i="17"/>
  <c r="AX67" i="17"/>
  <c r="AX81" i="17"/>
  <c r="AX110" i="17"/>
  <c r="AX124" i="17"/>
  <c r="AX138" i="17"/>
  <c r="AX152" i="17"/>
  <c r="AX166" i="17"/>
  <c r="AX180" i="17"/>
  <c r="AX192" i="17"/>
  <c r="AX204" i="17"/>
  <c r="AX216" i="17"/>
  <c r="AX240" i="17"/>
  <c r="AO117" i="17"/>
  <c r="AO271" i="17"/>
  <c r="AQ170" i="17"/>
  <c r="AQ357" i="17"/>
  <c r="AR113" i="17"/>
  <c r="AR256" i="17"/>
  <c r="AS7" i="17"/>
  <c r="AS42" i="17"/>
  <c r="AS110" i="17"/>
  <c r="AS364" i="17"/>
  <c r="AT387" i="17"/>
  <c r="AU32" i="17"/>
  <c r="AU103" i="17"/>
  <c r="AU139" i="17"/>
  <c r="AU168" i="17"/>
  <c r="AU192" i="17"/>
  <c r="AU235" i="17"/>
  <c r="AU253" i="17"/>
  <c r="AU333" i="17"/>
  <c r="AU349" i="17"/>
  <c r="AU367" i="17"/>
  <c r="AU384" i="17"/>
  <c r="AV31" i="17"/>
  <c r="AV64" i="17"/>
  <c r="AV80" i="17"/>
  <c r="AV97" i="17"/>
  <c r="AV110" i="17"/>
  <c r="AV127" i="17"/>
  <c r="AV162" i="17"/>
  <c r="AV177" i="17"/>
  <c r="AV197" i="17"/>
  <c r="AV213" i="17"/>
  <c r="AV232" i="17"/>
  <c r="AV247" i="17"/>
  <c r="AV342" i="17"/>
  <c r="AV356" i="17"/>
  <c r="AV386" i="17"/>
  <c r="AW27" i="17"/>
  <c r="AW69" i="17"/>
  <c r="AW83" i="17"/>
  <c r="AW98" i="17"/>
  <c r="AW131" i="17"/>
  <c r="AW145" i="17"/>
  <c r="AW160" i="17"/>
  <c r="AW178" i="17"/>
  <c r="AW192" i="17"/>
  <c r="AW207" i="17"/>
  <c r="AW237" i="17"/>
  <c r="AW251" i="17"/>
  <c r="AW266" i="17"/>
  <c r="AW359" i="17"/>
  <c r="AW374" i="17"/>
  <c r="AX3" i="17"/>
  <c r="AX41" i="17"/>
  <c r="AX68" i="17"/>
  <c r="AX98" i="17"/>
  <c r="AX111" i="17"/>
  <c r="AX125" i="17"/>
  <c r="AX139" i="17"/>
  <c r="AX181" i="17"/>
  <c r="AX241" i="17"/>
  <c r="AX253" i="17"/>
  <c r="AX277" i="17"/>
  <c r="AX349" i="17"/>
  <c r="AX361" i="17"/>
  <c r="AX373" i="17"/>
  <c r="AX385" i="17"/>
  <c r="AY9" i="17"/>
  <c r="AY33" i="17"/>
  <c r="AY56" i="17"/>
  <c r="AY68" i="17"/>
  <c r="AY80" i="17"/>
  <c r="AO230" i="17"/>
  <c r="AP188" i="17"/>
  <c r="AP259" i="17"/>
  <c r="AQ171" i="17"/>
  <c r="AQ381" i="17"/>
  <c r="AR66" i="17"/>
  <c r="AR214" i="17"/>
  <c r="AS11" i="17"/>
  <c r="AS377" i="17"/>
  <c r="AT32" i="17"/>
  <c r="AT191" i="17"/>
  <c r="AU7" i="17"/>
  <c r="AU35" i="17"/>
  <c r="AU66" i="17"/>
  <c r="AU142" i="17"/>
  <c r="AU174" i="17"/>
  <c r="AU237" i="17"/>
  <c r="AU254" i="17"/>
  <c r="AU270" i="17"/>
  <c r="AU334" i="17"/>
  <c r="AU350" i="17"/>
  <c r="AU369" i="17"/>
  <c r="AU385" i="17"/>
  <c r="AV32" i="17"/>
  <c r="AV46" i="17"/>
  <c r="AV81" i="17"/>
  <c r="AV98" i="17"/>
  <c r="AV112" i="17"/>
  <c r="AV128" i="17"/>
  <c r="AV163" i="17"/>
  <c r="AV181" i="17"/>
  <c r="AV198" i="17"/>
  <c r="AV217" i="17"/>
  <c r="AV233" i="17"/>
  <c r="AV248" i="17"/>
  <c r="AV277" i="17"/>
  <c r="AV343" i="17"/>
  <c r="AV387" i="17"/>
  <c r="AW28" i="17"/>
  <c r="AW56" i="17"/>
  <c r="AW70" i="17"/>
  <c r="AW84" i="17"/>
  <c r="AW117" i="17"/>
  <c r="AW132" i="17"/>
  <c r="AW146" i="17"/>
  <c r="AW179" i="17"/>
  <c r="AW224" i="17"/>
  <c r="AW238" i="17"/>
  <c r="AW347" i="17"/>
  <c r="AW360" i="17"/>
  <c r="AW375" i="17"/>
  <c r="AX4" i="17"/>
  <c r="AX17" i="17"/>
  <c r="AX42" i="17"/>
  <c r="AX69" i="17"/>
  <c r="AX83" i="17"/>
  <c r="AX112" i="17"/>
  <c r="AX126" i="17"/>
  <c r="AX140" i="17"/>
  <c r="AX154" i="17"/>
  <c r="AX170" i="17"/>
  <c r="AX182" i="17"/>
  <c r="AX194" i="17"/>
  <c r="AX206" i="17"/>
  <c r="AX218" i="17"/>
  <c r="AX242" i="17"/>
  <c r="AX254" i="17"/>
  <c r="AX278" i="17"/>
  <c r="AX350" i="17"/>
  <c r="AX362" i="17"/>
  <c r="AX374" i="17"/>
  <c r="AX386" i="17"/>
  <c r="AY10" i="17"/>
  <c r="AY34" i="17"/>
  <c r="AY46" i="17"/>
  <c r="AY57" i="17"/>
  <c r="AY69" i="17"/>
  <c r="AQ250" i="17"/>
  <c r="AQ382" i="17"/>
  <c r="AR67" i="17"/>
  <c r="AS62" i="17"/>
  <c r="AS207" i="17"/>
  <c r="AS379" i="17"/>
  <c r="AT192" i="17"/>
  <c r="AT228" i="17"/>
  <c r="AU8" i="17"/>
  <c r="AU67" i="17"/>
  <c r="AU150" i="17"/>
  <c r="AU175" i="17"/>
  <c r="AU198" i="17"/>
  <c r="AU238" i="17"/>
  <c r="AU258" i="17"/>
  <c r="AU271" i="17"/>
  <c r="AU335" i="17"/>
  <c r="AU370" i="17"/>
  <c r="AU386" i="17"/>
  <c r="AV17" i="17"/>
  <c r="AV33" i="17"/>
  <c r="AV49" i="17"/>
  <c r="AV66" i="17"/>
  <c r="AV113" i="17"/>
  <c r="AV129" i="17"/>
  <c r="AV148" i="17"/>
  <c r="AV182" i="17"/>
  <c r="AV199" i="17"/>
  <c r="AV218" i="17"/>
  <c r="AV249" i="17"/>
  <c r="AV278" i="17"/>
  <c r="AV344" i="17"/>
  <c r="AV373" i="17"/>
  <c r="AV388" i="17"/>
  <c r="AW29" i="17"/>
  <c r="AW46" i="17"/>
  <c r="AW57" i="17"/>
  <c r="AW71" i="17"/>
  <c r="AW85" i="17"/>
  <c r="AW100" i="17"/>
  <c r="AW118" i="17"/>
  <c r="AW133" i="17"/>
  <c r="AW147" i="17"/>
  <c r="AW165" i="17"/>
  <c r="AW180" i="17"/>
  <c r="AW194" i="17"/>
  <c r="AW253" i="17"/>
  <c r="AW333" i="17"/>
  <c r="AW348" i="17"/>
  <c r="AW361" i="17"/>
  <c r="AW376" i="17"/>
  <c r="AX5" i="17"/>
  <c r="AX18" i="17"/>
  <c r="AX30" i="17"/>
  <c r="AX56" i="17"/>
  <c r="AX70" i="17"/>
  <c r="AX86" i="17"/>
  <c r="AX100" i="17"/>
  <c r="AX113" i="17"/>
  <c r="AX127" i="17"/>
  <c r="AX141" i="17"/>
  <c r="AX171" i="17"/>
  <c r="AX183" i="17"/>
  <c r="AX195" i="17"/>
  <c r="AX207" i="17"/>
  <c r="AX219" i="17"/>
  <c r="AX231" i="17"/>
  <c r="AX243" i="17"/>
  <c r="AX255" i="17"/>
  <c r="AX291" i="17"/>
  <c r="AX339" i="17"/>
  <c r="AX351" i="17"/>
  <c r="AX363" i="17"/>
  <c r="AX375" i="17"/>
  <c r="AX387" i="17"/>
  <c r="AY11" i="17"/>
  <c r="AY35" i="17"/>
  <c r="AY58" i="17"/>
  <c r="AY70" i="17"/>
  <c r="AQ22" i="17"/>
  <c r="AQ251" i="17"/>
  <c r="AR139" i="17"/>
  <c r="AT4" i="17"/>
  <c r="AT143" i="17"/>
  <c r="AT347" i="17"/>
  <c r="AU11" i="17"/>
  <c r="AU114" i="17"/>
  <c r="AU151" i="17"/>
  <c r="AU177" i="17"/>
  <c r="AU199" i="17"/>
  <c r="AU216" i="17"/>
  <c r="AU259" i="17"/>
  <c r="AU273" i="17"/>
  <c r="AU285" i="17"/>
  <c r="AU390" i="17"/>
  <c r="AV18" i="17"/>
  <c r="AV34" i="17"/>
  <c r="AV50" i="17"/>
  <c r="AV67" i="17"/>
  <c r="AV85" i="17"/>
  <c r="AV100" i="17"/>
  <c r="AV114" i="17"/>
  <c r="AV133" i="17"/>
  <c r="AV149" i="17"/>
  <c r="AV165" i="17"/>
  <c r="AV184" i="17"/>
  <c r="AV200" i="17"/>
  <c r="AV220" i="17"/>
  <c r="AV235" i="17"/>
  <c r="AV266" i="17"/>
  <c r="AV329" i="17"/>
  <c r="AV361" i="17"/>
  <c r="AV374" i="17"/>
  <c r="AV389" i="17"/>
  <c r="AW33" i="17"/>
  <c r="AW58" i="17"/>
  <c r="AW72" i="17"/>
  <c r="AW86" i="17"/>
  <c r="AW104" i="17"/>
  <c r="AW119" i="17"/>
  <c r="AW134" i="17"/>
  <c r="AW148" i="17"/>
  <c r="AW166" i="17"/>
  <c r="AW195" i="17"/>
  <c r="AW212" i="17"/>
  <c r="AW240" i="17"/>
  <c r="AW254" i="17"/>
  <c r="AW334" i="17"/>
  <c r="AW349" i="17"/>
  <c r="AW362" i="17"/>
  <c r="AW380" i="17"/>
  <c r="AX6" i="17"/>
  <c r="AX19" i="17"/>
  <c r="AX71" i="17"/>
  <c r="AX87" i="17"/>
  <c r="AX101" i="17"/>
  <c r="AX114" i="17"/>
  <c r="AX128" i="17"/>
  <c r="AX158" i="17"/>
  <c r="AX172" i="17"/>
  <c r="AX184" i="17"/>
  <c r="AX196" i="17"/>
  <c r="AX208" i="17"/>
  <c r="AX220" i="17"/>
  <c r="AX232" i="17"/>
  <c r="AX244" i="17"/>
  <c r="AX256" i="17"/>
  <c r="AX340" i="17"/>
  <c r="AX352" i="17"/>
  <c r="AX364" i="17"/>
  <c r="AX376" i="17"/>
  <c r="AX388" i="17"/>
  <c r="AY12" i="17"/>
  <c r="AY47" i="17"/>
  <c r="AP113" i="17"/>
  <c r="AQ112" i="17"/>
  <c r="AQ202" i="17"/>
  <c r="AR327" i="17"/>
  <c r="AS157" i="17"/>
  <c r="AT5" i="17"/>
  <c r="AT44" i="17"/>
  <c r="AT96" i="17"/>
  <c r="AT144" i="17"/>
  <c r="AT348" i="17"/>
  <c r="AU43" i="17"/>
  <c r="AU78" i="17"/>
  <c r="AU115" i="17"/>
  <c r="AU153" i="17"/>
  <c r="AU178" i="17"/>
  <c r="AU201" i="17"/>
  <c r="AU222" i="17"/>
  <c r="AU240" i="17"/>
  <c r="AU261" i="17"/>
  <c r="AU274" i="17"/>
  <c r="AU286" i="17"/>
  <c r="AU355" i="17"/>
  <c r="AV3" i="17"/>
  <c r="AV19" i="17"/>
  <c r="AV52" i="17"/>
  <c r="AV68" i="17"/>
  <c r="AV86" i="17"/>
  <c r="AV101" i="17"/>
  <c r="AV115" i="17"/>
  <c r="AV134" i="17"/>
  <c r="AV150" i="17"/>
  <c r="AV185" i="17"/>
  <c r="AV201" i="17"/>
  <c r="AV221" i="17"/>
  <c r="AV236" i="17"/>
  <c r="AV253" i="17"/>
  <c r="AV330" i="17"/>
  <c r="AV362" i="17"/>
  <c r="AV375" i="17"/>
  <c r="AW17" i="17"/>
  <c r="AW34" i="17"/>
  <c r="AW47" i="17"/>
  <c r="AW59" i="17"/>
  <c r="AW73" i="17"/>
  <c r="AW87" i="17"/>
  <c r="AW105" i="17"/>
  <c r="AW120" i="17"/>
  <c r="AW152" i="17"/>
  <c r="AW182" i="17"/>
  <c r="AW196" i="17"/>
  <c r="AW213" i="17"/>
  <c r="AW227" i="17"/>
  <c r="AW241" i="17"/>
  <c r="AW255" i="17"/>
  <c r="AW272" i="17"/>
  <c r="AW335" i="17"/>
  <c r="AW350" i="17"/>
  <c r="AW363" i="17"/>
  <c r="AW381" i="17"/>
  <c r="AX7" i="17"/>
  <c r="AX32" i="17"/>
  <c r="AX58" i="17"/>
  <c r="AX74" i="17"/>
  <c r="AX88" i="17"/>
  <c r="AX102" i="17"/>
  <c r="AX115" i="17"/>
  <c r="AX129" i="17"/>
  <c r="AX143" i="17"/>
  <c r="AX159" i="17"/>
  <c r="AX173" i="17"/>
  <c r="AX185" i="17"/>
  <c r="AX221" i="17"/>
  <c r="AX233" i="17"/>
  <c r="AX245" i="17"/>
  <c r="AX257" i="17"/>
  <c r="AX329" i="17"/>
  <c r="AX341" i="17"/>
  <c r="AX365" i="17"/>
  <c r="AX377" i="17"/>
  <c r="AX389" i="17"/>
  <c r="AY13" i="17"/>
  <c r="AY48" i="17"/>
  <c r="AY60" i="17"/>
  <c r="AY72" i="17"/>
  <c r="AY120" i="17"/>
  <c r="AY132" i="17"/>
  <c r="AY156" i="17"/>
  <c r="AY168" i="17"/>
  <c r="AY180" i="17"/>
  <c r="AY192" i="17"/>
  <c r="AY204" i="17"/>
  <c r="AY216" i="17"/>
  <c r="AY228" i="17"/>
  <c r="AY240" i="17"/>
  <c r="AY336" i="17"/>
  <c r="AY360" i="17"/>
  <c r="AY384" i="17"/>
  <c r="AZ32" i="17"/>
  <c r="AZ67" i="17"/>
  <c r="AZ103" i="17"/>
  <c r="AZ115" i="17"/>
  <c r="AZ127" i="17"/>
  <c r="AZ139" i="17"/>
  <c r="AZ151" i="17"/>
  <c r="AZ163" i="17"/>
  <c r="AZ187" i="17"/>
  <c r="AZ211" i="17"/>
  <c r="AZ235" i="17"/>
  <c r="AZ259" i="17"/>
  <c r="AZ271" i="17"/>
  <c r="AZ295" i="17"/>
  <c r="AZ355" i="17"/>
  <c r="AZ367" i="17"/>
  <c r="AZ379" i="17"/>
  <c r="BA86" i="17"/>
  <c r="BA134" i="17"/>
  <c r="BA158" i="17"/>
  <c r="BB153" i="17"/>
  <c r="BC160" i="17"/>
  <c r="AP116" i="17"/>
  <c r="AQ116" i="17"/>
  <c r="AR90" i="17"/>
  <c r="AR328" i="17"/>
  <c r="AS158" i="17"/>
  <c r="AS335" i="17"/>
  <c r="AT45" i="17"/>
  <c r="AT155" i="17"/>
  <c r="AT204" i="17"/>
  <c r="AU118" i="17"/>
  <c r="AU179" i="17"/>
  <c r="AU202" i="17"/>
  <c r="AU242" i="17"/>
  <c r="AU262" i="17"/>
  <c r="AU373" i="17"/>
  <c r="AV5" i="17"/>
  <c r="AV69" i="17"/>
  <c r="AV88" i="17"/>
  <c r="AV102" i="17"/>
  <c r="AV116" i="17"/>
  <c r="AV151" i="17"/>
  <c r="AV169" i="17"/>
  <c r="AV222" i="17"/>
  <c r="AV237" i="17"/>
  <c r="AV254" i="17"/>
  <c r="AV295" i="17"/>
  <c r="AV349" i="17"/>
  <c r="AV363" i="17"/>
  <c r="AV376" i="17"/>
  <c r="AW3" i="17"/>
  <c r="AW35" i="17"/>
  <c r="AW48" i="17"/>
  <c r="AW60" i="17"/>
  <c r="AW74" i="17"/>
  <c r="AW88" i="17"/>
  <c r="AW121" i="17"/>
  <c r="AW136" i="17"/>
  <c r="AW168" i="17"/>
  <c r="AW183" i="17"/>
  <c r="AW200" i="17"/>
  <c r="AW214" i="17"/>
  <c r="AW228" i="17"/>
  <c r="AW242" i="17"/>
  <c r="AW256" i="17"/>
  <c r="AW273" i="17"/>
  <c r="AW285" i="17"/>
  <c r="AW336" i="17"/>
  <c r="AW351" i="17"/>
  <c r="AW364" i="17"/>
  <c r="AW382" i="17"/>
  <c r="AX8" i="17"/>
  <c r="AX33" i="17"/>
  <c r="AX46" i="17"/>
  <c r="AX59" i="17"/>
  <c r="AX75" i="17"/>
  <c r="AX89" i="17"/>
  <c r="AX116" i="17"/>
  <c r="AX130" i="17"/>
  <c r="AX160" i="17"/>
  <c r="AX174" i="17"/>
  <c r="AX198" i="17"/>
  <c r="AX222" i="17"/>
  <c r="AX270" i="17"/>
  <c r="AX330" i="17"/>
  <c r="AX342" i="17"/>
  <c r="AX366" i="17"/>
  <c r="AX378" i="17"/>
  <c r="AX390" i="17"/>
  <c r="AY38" i="17"/>
  <c r="AY49" i="17"/>
  <c r="AY61" i="17"/>
  <c r="AY73" i="17"/>
  <c r="AY85" i="17"/>
  <c r="AY109" i="17"/>
  <c r="AY121" i="17"/>
  <c r="AY133" i="17"/>
  <c r="AY145" i="17"/>
  <c r="AY157" i="17"/>
  <c r="AY169" i="17"/>
  <c r="AY181" i="17"/>
  <c r="AY217" i="17"/>
  <c r="AY241" i="17"/>
  <c r="AY253" i="17"/>
  <c r="AY349" i="17"/>
  <c r="AY361" i="17"/>
  <c r="AY373" i="17"/>
  <c r="AY385" i="17"/>
  <c r="AZ33" i="17"/>
  <c r="AZ56" i="17"/>
  <c r="AZ68" i="17"/>
  <c r="AZ80" i="17"/>
  <c r="AZ92" i="17"/>
  <c r="AZ104" i="17"/>
  <c r="AZ116" i="17"/>
  <c r="AZ128" i="17"/>
  <c r="AZ140" i="17"/>
  <c r="AZ152" i="17"/>
  <c r="AZ176" i="17"/>
  <c r="AZ212" i="17"/>
  <c r="AZ224" i="17"/>
  <c r="AZ236" i="17"/>
  <c r="AZ248" i="17"/>
  <c r="AZ260" i="17"/>
  <c r="AZ272" i="17"/>
  <c r="AZ296" i="17"/>
  <c r="AZ356" i="17"/>
  <c r="AZ368" i="17"/>
  <c r="AZ380" i="17"/>
  <c r="BA87" i="17"/>
  <c r="BA147" i="17"/>
  <c r="BA159" i="17"/>
  <c r="BA195" i="17"/>
  <c r="BA231" i="17"/>
  <c r="BA243" i="17"/>
  <c r="BB142" i="17"/>
  <c r="BB154" i="17"/>
  <c r="BC149" i="17"/>
  <c r="AQ51" i="17"/>
  <c r="AR91" i="17"/>
  <c r="AR233" i="17"/>
  <c r="AR291" i="17"/>
  <c r="AS84" i="17"/>
  <c r="AS336" i="17"/>
  <c r="AT156" i="17"/>
  <c r="AT240" i="17"/>
  <c r="AT360" i="17"/>
  <c r="AU126" i="17"/>
  <c r="AU162" i="17"/>
  <c r="AU180" i="17"/>
  <c r="AU203" i="17"/>
  <c r="AU342" i="17"/>
  <c r="AU374" i="17"/>
  <c r="AV6" i="17"/>
  <c r="AV38" i="17"/>
  <c r="AV73" i="17"/>
  <c r="AV89" i="17"/>
  <c r="AV103" i="17"/>
  <c r="AV117" i="17"/>
  <c r="AV152" i="17"/>
  <c r="AV170" i="17"/>
  <c r="AV187" i="17"/>
  <c r="AV206" i="17"/>
  <c r="AV256" i="17"/>
  <c r="AV350" i="17"/>
  <c r="AV364" i="17"/>
  <c r="AV377" i="17"/>
  <c r="AW4" i="17"/>
  <c r="AW49" i="17"/>
  <c r="AW61" i="17"/>
  <c r="AW75" i="17"/>
  <c r="AW92" i="17"/>
  <c r="AW107" i="17"/>
  <c r="AW122" i="17"/>
  <c r="AW169" i="17"/>
  <c r="AW184" i="17"/>
  <c r="AW201" i="17"/>
  <c r="AW215" i="17"/>
  <c r="AW243" i="17"/>
  <c r="AW260" i="17"/>
  <c r="AW274" i="17"/>
  <c r="AW286" i="17"/>
  <c r="AW352" i="17"/>
  <c r="AW368" i="17"/>
  <c r="AW383" i="17"/>
  <c r="AX9" i="17"/>
  <c r="AX62" i="17"/>
  <c r="AX76" i="17"/>
  <c r="AX90" i="17"/>
  <c r="AX104" i="17"/>
  <c r="AX117" i="17"/>
  <c r="AX147" i="17"/>
  <c r="AX161" i="17"/>
  <c r="AX175" i="17"/>
  <c r="AX187" i="17"/>
  <c r="AX199" i="17"/>
  <c r="AX211" i="17"/>
  <c r="AX235" i="17"/>
  <c r="AX247" i="17"/>
  <c r="AX271" i="17"/>
  <c r="AX295" i="17"/>
  <c r="AX343" i="17"/>
  <c r="AX355" i="17"/>
  <c r="AX367" i="17"/>
  <c r="AX379" i="17"/>
  <c r="AY3" i="17"/>
  <c r="AY39" i="17"/>
  <c r="AY50" i="17"/>
  <c r="AY62" i="17"/>
  <c r="AY74" i="17"/>
  <c r="AY98" i="17"/>
  <c r="AY110" i="17"/>
  <c r="AY122" i="17"/>
  <c r="AY134" i="17"/>
  <c r="AY146" i="17"/>
  <c r="AY158" i="17"/>
  <c r="AY170" i="17"/>
  <c r="AY182" i="17"/>
  <c r="AY194" i="17"/>
  <c r="AY206" i="17"/>
  <c r="AY218" i="17"/>
  <c r="AY230" i="17"/>
  <c r="AY242" i="17"/>
  <c r="AY254" i="17"/>
  <c r="AY266" i="17"/>
  <c r="AY278" i="17"/>
  <c r="AY350" i="17"/>
  <c r="AY374" i="17"/>
  <c r="AY386" i="17"/>
  <c r="AZ34" i="17"/>
  <c r="AZ46" i="17"/>
  <c r="AZ57" i="17"/>
  <c r="AZ69" i="17"/>
  <c r="AZ81" i="17"/>
  <c r="AZ93" i="17"/>
  <c r="AZ105" i="17"/>
  <c r="AZ117" i="17"/>
  <c r="AZ141" i="17"/>
  <c r="AZ153" i="17"/>
  <c r="AZ165" i="17"/>
  <c r="AZ177" i="17"/>
  <c r="AZ189" i="17"/>
  <c r="AZ201" i="17"/>
  <c r="AZ213" i="17"/>
  <c r="AZ237" i="17"/>
  <c r="AZ249" i="17"/>
  <c r="AZ261" i="17"/>
  <c r="AZ273" i="17"/>
  <c r="AZ333" i="17"/>
  <c r="BA112" i="17"/>
  <c r="BA136" i="17"/>
  <c r="BA148" i="17"/>
  <c r="BA160" i="17"/>
  <c r="BB143" i="17"/>
  <c r="BB155" i="17"/>
  <c r="AS87" i="17"/>
  <c r="AU91" i="17"/>
  <c r="AU360" i="17"/>
  <c r="AV22" i="17"/>
  <c r="AW50" i="17"/>
  <c r="AW156" i="17"/>
  <c r="AW216" i="17"/>
  <c r="AW339" i="17"/>
  <c r="AW385" i="17"/>
  <c r="AX163" i="17"/>
  <c r="AY83" i="17"/>
  <c r="AY103" i="17"/>
  <c r="AY118" i="17"/>
  <c r="AY136" i="17"/>
  <c r="AY151" i="17"/>
  <c r="AY166" i="17"/>
  <c r="AY184" i="17"/>
  <c r="AY198" i="17"/>
  <c r="AY212" i="17"/>
  <c r="AY227" i="17"/>
  <c r="AY244" i="17"/>
  <c r="AY258" i="17"/>
  <c r="AY271" i="17"/>
  <c r="AY285" i="17"/>
  <c r="AY364" i="17"/>
  <c r="AZ17" i="17"/>
  <c r="AZ58" i="17"/>
  <c r="AZ73" i="17"/>
  <c r="AZ87" i="17"/>
  <c r="AZ119" i="17"/>
  <c r="AZ133" i="17"/>
  <c r="AZ148" i="17"/>
  <c r="AZ179" i="17"/>
  <c r="AZ221" i="17"/>
  <c r="AZ266" i="17"/>
  <c r="BA149" i="17"/>
  <c r="BB138" i="17"/>
  <c r="AZ86" i="17"/>
  <c r="AZ250" i="17"/>
  <c r="BB77" i="17"/>
  <c r="AR273" i="17"/>
  <c r="AV26" i="17"/>
  <c r="AV74" i="17"/>
  <c r="AV121" i="17"/>
  <c r="AV188" i="17"/>
  <c r="AW51" i="17"/>
  <c r="AW217" i="17"/>
  <c r="AW261" i="17"/>
  <c r="AX10" i="17"/>
  <c r="AX105" i="17"/>
  <c r="AX212" i="17"/>
  <c r="AX272" i="17"/>
  <c r="AX348" i="17"/>
  <c r="AX381" i="17"/>
  <c r="AY63" i="17"/>
  <c r="AY87" i="17"/>
  <c r="AY119" i="17"/>
  <c r="AY185" i="17"/>
  <c r="AY199" i="17"/>
  <c r="AY213" i="17"/>
  <c r="AY245" i="17"/>
  <c r="AY259" i="17"/>
  <c r="AY272" i="17"/>
  <c r="AY286" i="17"/>
  <c r="AY347" i="17"/>
  <c r="AY379" i="17"/>
  <c r="AZ59" i="17"/>
  <c r="AZ74" i="17"/>
  <c r="AZ88" i="17"/>
  <c r="AZ102" i="17"/>
  <c r="AZ120" i="17"/>
  <c r="AZ134" i="17"/>
  <c r="AZ149" i="17"/>
  <c r="AZ166" i="17"/>
  <c r="AZ194" i="17"/>
  <c r="AZ207" i="17"/>
  <c r="AZ238" i="17"/>
  <c r="AZ359" i="17"/>
  <c r="AZ373" i="17"/>
  <c r="BA58" i="17"/>
  <c r="BA96" i="17"/>
  <c r="BA150" i="17"/>
  <c r="BB156" i="17"/>
  <c r="AP147" i="17"/>
  <c r="AU247" i="17"/>
  <c r="AU278" i="17"/>
  <c r="AV76" i="17"/>
  <c r="AV122" i="17"/>
  <c r="AV189" i="17"/>
  <c r="AV241" i="17"/>
  <c r="AV270" i="17"/>
  <c r="AW262" i="17"/>
  <c r="AX11" i="17"/>
  <c r="AX63" i="17"/>
  <c r="AX213" i="17"/>
  <c r="AX248" i="17"/>
  <c r="AX384" i="17"/>
  <c r="AY40" i="17"/>
  <c r="AY64" i="17"/>
  <c r="AY88" i="17"/>
  <c r="AY123" i="17"/>
  <c r="AY138" i="17"/>
  <c r="AY153" i="17"/>
  <c r="AY171" i="17"/>
  <c r="AY214" i="17"/>
  <c r="AY260" i="17"/>
  <c r="AY273" i="17"/>
  <c r="AY335" i="17"/>
  <c r="AY351" i="17"/>
  <c r="AY366" i="17"/>
  <c r="AZ19" i="17"/>
  <c r="AZ31" i="17"/>
  <c r="AZ60" i="17"/>
  <c r="AZ75" i="17"/>
  <c r="AZ121" i="17"/>
  <c r="AZ150" i="17"/>
  <c r="AZ181" i="17"/>
  <c r="AZ195" i="17"/>
  <c r="AZ334" i="17"/>
  <c r="AZ360" i="17"/>
  <c r="AZ374" i="17"/>
  <c r="BA97" i="17"/>
  <c r="BA151" i="17"/>
  <c r="BA277" i="17"/>
  <c r="BB157" i="17"/>
  <c r="BC153" i="17"/>
  <c r="AQ141" i="17"/>
  <c r="AT215" i="17"/>
  <c r="AU204" i="17"/>
  <c r="AU249" i="17"/>
  <c r="AU378" i="17"/>
  <c r="AV242" i="17"/>
  <c r="AV271" i="17"/>
  <c r="AW170" i="17"/>
  <c r="AX64" i="17"/>
  <c r="AX176" i="17"/>
  <c r="AX249" i="17"/>
  <c r="AY4" i="17"/>
  <c r="AY41" i="17"/>
  <c r="AY89" i="17"/>
  <c r="AY124" i="17"/>
  <c r="AY139" i="17"/>
  <c r="AY154" i="17"/>
  <c r="AY172" i="17"/>
  <c r="AY187" i="17"/>
  <c r="AY201" i="17"/>
  <c r="AY215" i="17"/>
  <c r="AY232" i="17"/>
  <c r="AY247" i="17"/>
  <c r="AY261" i="17"/>
  <c r="AY274" i="17"/>
  <c r="AY352" i="17"/>
  <c r="AY367" i="17"/>
  <c r="AY381" i="17"/>
  <c r="AZ35" i="17"/>
  <c r="AZ47" i="17"/>
  <c r="AZ90" i="17"/>
  <c r="AZ107" i="17"/>
  <c r="AZ122" i="17"/>
  <c r="AZ136" i="17"/>
  <c r="AZ154" i="17"/>
  <c r="AZ196" i="17"/>
  <c r="AZ240" i="17"/>
  <c r="AZ347" i="17"/>
  <c r="AZ361" i="17"/>
  <c r="AZ375" i="17"/>
  <c r="BA72" i="17"/>
  <c r="BA84" i="17"/>
  <c r="BA152" i="17"/>
  <c r="BB158" i="17"/>
  <c r="BC154" i="17"/>
  <c r="AV173" i="17"/>
  <c r="AZ100" i="17"/>
  <c r="AU343" i="17"/>
  <c r="AV39" i="17"/>
  <c r="AV365" i="17"/>
  <c r="AW109" i="17"/>
  <c r="AW171" i="17"/>
  <c r="AX35" i="17"/>
  <c r="AX118" i="17"/>
  <c r="AX356" i="17"/>
  <c r="AY5" i="17"/>
  <c r="AY42" i="17"/>
  <c r="AY67" i="17"/>
  <c r="AY91" i="17"/>
  <c r="AY107" i="17"/>
  <c r="AY125" i="17"/>
  <c r="AY140" i="17"/>
  <c r="AY155" i="17"/>
  <c r="AY173" i="17"/>
  <c r="AY188" i="17"/>
  <c r="AY202" i="17"/>
  <c r="AY219" i="17"/>
  <c r="AY233" i="17"/>
  <c r="AY248" i="17"/>
  <c r="AY262" i="17"/>
  <c r="AY382" i="17"/>
  <c r="AZ48" i="17"/>
  <c r="AZ77" i="17"/>
  <c r="AZ123" i="17"/>
  <c r="AZ155" i="17"/>
  <c r="AZ183" i="17"/>
  <c r="AZ197" i="17"/>
  <c r="AZ210" i="17"/>
  <c r="AZ241" i="17"/>
  <c r="AZ255" i="17"/>
  <c r="AZ270" i="17"/>
  <c r="AZ336" i="17"/>
  <c r="AZ348" i="17"/>
  <c r="AZ362" i="17"/>
  <c r="AZ376" i="17"/>
  <c r="BA85" i="17"/>
  <c r="BA138" i="17"/>
  <c r="BA153" i="17"/>
  <c r="BB144" i="17"/>
  <c r="BB159" i="17"/>
  <c r="BB243" i="17"/>
  <c r="BC142" i="17"/>
  <c r="BC155" i="17"/>
  <c r="AP76" i="17"/>
  <c r="AQ52" i="17"/>
  <c r="AS24" i="17"/>
  <c r="AU127" i="17"/>
  <c r="AV7" i="17"/>
  <c r="AV41" i="17"/>
  <c r="AV90" i="17"/>
  <c r="AV208" i="17"/>
  <c r="AV333" i="17"/>
  <c r="AV366" i="17"/>
  <c r="AW22" i="17"/>
  <c r="AW62" i="17"/>
  <c r="AW123" i="17"/>
  <c r="AX77" i="17"/>
  <c r="AX119" i="17"/>
  <c r="AX260" i="17"/>
  <c r="AY6" i="17"/>
  <c r="AY71" i="17"/>
  <c r="AY92" i="17"/>
  <c r="AY126" i="17"/>
  <c r="AY141" i="17"/>
  <c r="AY159" i="17"/>
  <c r="AY174" i="17"/>
  <c r="AY189" i="17"/>
  <c r="AY203" i="17"/>
  <c r="AY220" i="17"/>
  <c r="AY249" i="17"/>
  <c r="AY339" i="17"/>
  <c r="AY383" i="17"/>
  <c r="AZ63" i="17"/>
  <c r="AZ109" i="17"/>
  <c r="AZ124" i="17"/>
  <c r="AZ138" i="17"/>
  <c r="AZ156" i="17"/>
  <c r="AZ170" i="17"/>
  <c r="AZ214" i="17"/>
  <c r="AZ227" i="17"/>
  <c r="AZ242" i="17"/>
  <c r="AZ256" i="17"/>
  <c r="AZ274" i="17"/>
  <c r="AZ349" i="17"/>
  <c r="AZ363" i="17"/>
  <c r="AZ377" i="17"/>
  <c r="BA113" i="17"/>
  <c r="BA154" i="17"/>
  <c r="BB145" i="17"/>
  <c r="BB160" i="17"/>
  <c r="BC156" i="17"/>
  <c r="AR190" i="17"/>
  <c r="AS26" i="17"/>
  <c r="AU130" i="17"/>
  <c r="AV8" i="17"/>
  <c r="AV91" i="17"/>
  <c r="AV153" i="17"/>
  <c r="AV257" i="17"/>
  <c r="AW23" i="17"/>
  <c r="AW63" i="17"/>
  <c r="AW124" i="17"/>
  <c r="AW188" i="17"/>
  <c r="AW230" i="17"/>
  <c r="AX78" i="17"/>
  <c r="AX134" i="17"/>
  <c r="AX188" i="17"/>
  <c r="AX261" i="17"/>
  <c r="AX333" i="17"/>
  <c r="AY8" i="17"/>
  <c r="AY75" i="17"/>
  <c r="AY93" i="17"/>
  <c r="AY142" i="17"/>
  <c r="AY160" i="17"/>
  <c r="AY175" i="17"/>
  <c r="AY190" i="17"/>
  <c r="AY221" i="17"/>
  <c r="AY235" i="17"/>
  <c r="AY250" i="17"/>
  <c r="AY291" i="17"/>
  <c r="AY340" i="17"/>
  <c r="AY387" i="17"/>
  <c r="AZ38" i="17"/>
  <c r="AZ64" i="17"/>
  <c r="AZ95" i="17"/>
  <c r="AZ110" i="17"/>
  <c r="AZ125" i="17"/>
  <c r="AZ142" i="17"/>
  <c r="AZ157" i="17"/>
  <c r="AZ171" i="17"/>
  <c r="AZ215" i="17"/>
  <c r="AZ228" i="17"/>
  <c r="AZ243" i="17"/>
  <c r="AZ257" i="17"/>
  <c r="AZ350" i="17"/>
  <c r="BA126" i="17"/>
  <c r="BA140" i="17"/>
  <c r="BA155" i="17"/>
  <c r="BB146" i="17"/>
  <c r="BC144" i="17"/>
  <c r="BC157" i="17"/>
  <c r="AQ327" i="17"/>
  <c r="AV258" i="17"/>
  <c r="AW231" i="17"/>
  <c r="AW369" i="17"/>
  <c r="AX189" i="17"/>
  <c r="AX296" i="17"/>
  <c r="AX336" i="17"/>
  <c r="AX360" i="17"/>
  <c r="AY51" i="17"/>
  <c r="AY76" i="17"/>
  <c r="AY112" i="17"/>
  <c r="AY128" i="17"/>
  <c r="AY143" i="17"/>
  <c r="AY161" i="17"/>
  <c r="AY176" i="17"/>
  <c r="AY191" i="17"/>
  <c r="AY207" i="17"/>
  <c r="AY222" i="17"/>
  <c r="AY236" i="17"/>
  <c r="AY251" i="17"/>
  <c r="AY388" i="17"/>
  <c r="AZ39" i="17"/>
  <c r="AZ51" i="17"/>
  <c r="AZ96" i="17"/>
  <c r="AZ111" i="17"/>
  <c r="AZ126" i="17"/>
  <c r="AZ158" i="17"/>
  <c r="AZ172" i="17"/>
  <c r="AZ216" i="17"/>
  <c r="AZ258" i="17"/>
  <c r="AZ339" i="17"/>
  <c r="AZ351" i="17"/>
  <c r="AZ365" i="17"/>
  <c r="BA127" i="17"/>
  <c r="BA141" i="17"/>
  <c r="BA156" i="17"/>
  <c r="BB147" i="17"/>
  <c r="BB162" i="17"/>
  <c r="BC158" i="17"/>
  <c r="AY131" i="17"/>
  <c r="BA162" i="17"/>
  <c r="AP339" i="17"/>
  <c r="AQ328" i="17"/>
  <c r="AV224" i="17"/>
  <c r="AV378" i="17"/>
  <c r="AW76" i="17"/>
  <c r="AW202" i="17"/>
  <c r="AW370" i="17"/>
  <c r="AX368" i="17"/>
  <c r="AY52" i="17"/>
  <c r="AY77" i="17"/>
  <c r="AY95" i="17"/>
  <c r="AY113" i="17"/>
  <c r="AY129" i="17"/>
  <c r="AY147" i="17"/>
  <c r="AY162" i="17"/>
  <c r="AY177" i="17"/>
  <c r="AY208" i="17"/>
  <c r="AY237" i="17"/>
  <c r="AY329" i="17"/>
  <c r="AY389" i="17"/>
  <c r="AZ40" i="17"/>
  <c r="AZ52" i="17"/>
  <c r="AZ83" i="17"/>
  <c r="AZ97" i="17"/>
  <c r="AZ112" i="17"/>
  <c r="AZ144" i="17"/>
  <c r="AZ159" i="17"/>
  <c r="AZ173" i="17"/>
  <c r="AZ202" i="17"/>
  <c r="AZ217" i="17"/>
  <c r="AZ230" i="17"/>
  <c r="AZ245" i="17"/>
  <c r="AZ277" i="17"/>
  <c r="AZ340" i="17"/>
  <c r="AZ352" i="17"/>
  <c r="AZ366" i="17"/>
  <c r="AZ382" i="17"/>
  <c r="BA77" i="17"/>
  <c r="BA116" i="17"/>
  <c r="BA157" i="17"/>
  <c r="BB163" i="17"/>
  <c r="BC146" i="17"/>
  <c r="BC159" i="17"/>
  <c r="AX236" i="17"/>
  <c r="AY179" i="17"/>
  <c r="AY256" i="17"/>
  <c r="AZ42" i="17"/>
  <c r="AZ131" i="17"/>
  <c r="AZ232" i="17"/>
  <c r="AZ329" i="17"/>
  <c r="BA105" i="17"/>
  <c r="BB150" i="17"/>
  <c r="AU90" i="17"/>
  <c r="AV56" i="17"/>
  <c r="AW9" i="17"/>
  <c r="AW155" i="17"/>
  <c r="AW384" i="17"/>
  <c r="AX237" i="17"/>
  <c r="AY32" i="17"/>
  <c r="AY117" i="17"/>
  <c r="AY150" i="17"/>
  <c r="AY183" i="17"/>
  <c r="AY243" i="17"/>
  <c r="AY270" i="17"/>
  <c r="AY377" i="17"/>
  <c r="AZ43" i="17"/>
  <c r="AZ220" i="17"/>
  <c r="BA145" i="17"/>
  <c r="BC163" i="17"/>
  <c r="AP379" i="17"/>
  <c r="AS182" i="17"/>
  <c r="AU163" i="17"/>
  <c r="AU227" i="17"/>
  <c r="AV379" i="17"/>
  <c r="AW38" i="17"/>
  <c r="AW140" i="17"/>
  <c r="AW203" i="17"/>
  <c r="AX91" i="17"/>
  <c r="AX148" i="17"/>
  <c r="AX200" i="17"/>
  <c r="AX369" i="17"/>
  <c r="AY115" i="17"/>
  <c r="AY130" i="17"/>
  <c r="AY148" i="17"/>
  <c r="AY163" i="17"/>
  <c r="AY178" i="17"/>
  <c r="AY195" i="17"/>
  <c r="AY224" i="17"/>
  <c r="AY238" i="17"/>
  <c r="AY255" i="17"/>
  <c r="AY330" i="17"/>
  <c r="AY375" i="17"/>
  <c r="AY390" i="17"/>
  <c r="AZ41" i="17"/>
  <c r="AZ70" i="17"/>
  <c r="AZ84" i="17"/>
  <c r="AZ98" i="17"/>
  <c r="AZ113" i="17"/>
  <c r="AZ130" i="17"/>
  <c r="AZ160" i="17"/>
  <c r="AZ174" i="17"/>
  <c r="AZ203" i="17"/>
  <c r="AZ231" i="17"/>
  <c r="BA104" i="17"/>
  <c r="BA117" i="17"/>
  <c r="BA143" i="17"/>
  <c r="BA296" i="17"/>
  <c r="BB149" i="17"/>
  <c r="BB296" i="17"/>
  <c r="AY149" i="17"/>
  <c r="AY210" i="17"/>
  <c r="AY295" i="17"/>
  <c r="AZ85" i="17"/>
  <c r="AZ161" i="17"/>
  <c r="AZ219" i="17"/>
  <c r="AY18" i="17"/>
  <c r="AY211" i="17"/>
  <c r="AZ162" i="17"/>
  <c r="AZ233" i="17"/>
  <c r="AZ330" i="17"/>
  <c r="BA163" i="17"/>
  <c r="BC150" i="17"/>
  <c r="AM25" i="17"/>
  <c r="AT56" i="17"/>
  <c r="AV172" i="17"/>
  <c r="AV351" i="17"/>
  <c r="AW5" i="17"/>
  <c r="AW141" i="17"/>
  <c r="AW244" i="17"/>
  <c r="AX50" i="17"/>
  <c r="AX92" i="17"/>
  <c r="AX149" i="17"/>
  <c r="AX201" i="17"/>
  <c r="AX344" i="17"/>
  <c r="AY17" i="17"/>
  <c r="AY30" i="17"/>
  <c r="AY81" i="17"/>
  <c r="AY100" i="17"/>
  <c r="AY116" i="17"/>
  <c r="AY196" i="17"/>
  <c r="AZ71" i="17"/>
  <c r="AZ146" i="17"/>
  <c r="AZ191" i="17"/>
  <c r="BA32" i="17"/>
  <c r="BC162" i="17"/>
  <c r="AR343" i="17"/>
  <c r="AT251" i="17"/>
  <c r="AU359" i="17"/>
  <c r="AV352" i="17"/>
  <c r="AW93" i="17"/>
  <c r="AX162" i="17"/>
  <c r="AX285" i="17"/>
  <c r="AY101" i="17"/>
  <c r="AY165" i="17"/>
  <c r="AY197" i="17"/>
  <c r="AY257" i="17"/>
  <c r="AY296" i="17"/>
  <c r="AZ72" i="17"/>
  <c r="AZ178" i="17"/>
  <c r="I234" i="27"/>
  <c r="AX228" i="17" s="1"/>
  <c r="I436" i="27"/>
  <c r="I448" i="27"/>
  <c r="I460" i="27"/>
  <c r="I592" i="27"/>
  <c r="I442" i="27"/>
  <c r="I454" i="27"/>
  <c r="I466" i="27"/>
  <c r="I869" i="27"/>
  <c r="I875" i="27"/>
  <c r="I881" i="27"/>
  <c r="I887" i="27"/>
  <c r="I1009" i="27"/>
  <c r="I1105" i="27"/>
  <c r="AZ147" i="17" s="1"/>
  <c r="I197" i="27"/>
  <c r="AU296" i="17" s="1"/>
  <c r="I461" i="27"/>
  <c r="I719" i="27"/>
  <c r="I437" i="27"/>
  <c r="I455" i="27"/>
  <c r="I467" i="27"/>
  <c r="I593" i="27"/>
  <c r="AU148" i="17" s="1"/>
  <c r="I864" i="27"/>
  <c r="I870" i="27"/>
  <c r="I876" i="27"/>
  <c r="I882" i="27"/>
  <c r="I888" i="27"/>
  <c r="I924" i="27"/>
  <c r="I1004" i="27"/>
  <c r="I1010" i="27"/>
  <c r="I1016" i="27"/>
  <c r="I222" i="27"/>
  <c r="I438" i="27"/>
  <c r="I444" i="27"/>
  <c r="I450" i="27"/>
  <c r="I456" i="27"/>
  <c r="I462" i="27"/>
  <c r="I865" i="27"/>
  <c r="I877" i="27"/>
  <c r="I883" i="27"/>
  <c r="I889" i="27"/>
  <c r="I937" i="27"/>
  <c r="AR370" i="17" s="1"/>
  <c r="I1011" i="27"/>
  <c r="I1017" i="27"/>
  <c r="I445" i="27"/>
  <c r="I457" i="27"/>
  <c r="I866" i="27"/>
  <c r="I872" i="27"/>
  <c r="I878" i="27"/>
  <c r="I884" i="27"/>
  <c r="I890" i="27"/>
  <c r="I1006" i="27"/>
  <c r="I1018" i="27"/>
  <c r="I451" i="27"/>
  <c r="I463" i="27"/>
  <c r="I458" i="27"/>
  <c r="I584" i="27"/>
  <c r="I734" i="27"/>
  <c r="I740" i="27"/>
  <c r="I440" i="27"/>
  <c r="I452" i="27"/>
  <c r="I464" i="27"/>
  <c r="I867" i="27"/>
  <c r="I873" i="27"/>
  <c r="I879" i="27"/>
  <c r="I891" i="27"/>
  <c r="I1007" i="27"/>
  <c r="I1019" i="27"/>
  <c r="I441" i="27"/>
  <c r="I447" i="27"/>
  <c r="I453" i="27"/>
  <c r="I459" i="27"/>
  <c r="I465" i="27"/>
  <c r="AY127" i="17" s="1"/>
  <c r="I868" i="27"/>
  <c r="I874" i="27"/>
  <c r="I880" i="27"/>
  <c r="I886" i="27"/>
  <c r="I1014" i="27"/>
  <c r="I1020" i="27"/>
  <c r="I2" i="27"/>
  <c r="I3" i="27"/>
  <c r="AM72" i="17" s="1"/>
  <c r="I4" i="27"/>
  <c r="AN72" i="17" s="1"/>
  <c r="I5" i="27"/>
  <c r="I6" i="27"/>
  <c r="I7" i="27"/>
  <c r="I8" i="27"/>
  <c r="AR72" i="17" s="1"/>
  <c r="I9" i="27"/>
  <c r="AS277" i="17" s="1"/>
  <c r="I10" i="27"/>
  <c r="I11" i="27"/>
  <c r="AU134" i="17" s="1"/>
  <c r="I12" i="27"/>
  <c r="AV136" i="17" s="1"/>
  <c r="I13" i="27"/>
  <c r="AW116" i="17" s="1"/>
  <c r="I14" i="27"/>
  <c r="I15" i="27"/>
  <c r="AY277" i="17" s="1"/>
  <c r="I16" i="27"/>
  <c r="I17" i="27"/>
  <c r="I18" i="27"/>
  <c r="AL231" i="17" s="1"/>
  <c r="I19" i="27"/>
  <c r="I20" i="27"/>
  <c r="I21" i="27"/>
  <c r="I22" i="27"/>
  <c r="I23" i="27"/>
  <c r="I24" i="27"/>
  <c r="AR58" i="17" s="1"/>
  <c r="I25" i="27"/>
  <c r="AS113" i="17" s="1"/>
  <c r="I26" i="27"/>
  <c r="I27" i="27"/>
  <c r="AU58" i="17" s="1"/>
  <c r="I28" i="27"/>
  <c r="I29" i="27"/>
  <c r="I30" i="27"/>
  <c r="I31" i="27"/>
  <c r="AY231" i="17" s="1"/>
  <c r="I32" i="27"/>
  <c r="I33" i="27"/>
  <c r="I41" i="27"/>
  <c r="AS170" i="17" s="1"/>
  <c r="I55" i="27"/>
  <c r="AR48" i="17" s="1"/>
  <c r="I56" i="27"/>
  <c r="AS189" i="17" s="1"/>
  <c r="I58" i="27"/>
  <c r="AU69" i="17" s="1"/>
  <c r="I72" i="27"/>
  <c r="AT98" i="17" s="1"/>
  <c r="I87" i="27"/>
  <c r="I94" i="27"/>
  <c r="I95" i="27"/>
  <c r="AM61" i="17" s="1"/>
  <c r="I96" i="27"/>
  <c r="AN204" i="17" s="1"/>
  <c r="I97" i="27"/>
  <c r="I98" i="27"/>
  <c r="AP206" i="17" s="1"/>
  <c r="I99" i="27"/>
  <c r="AQ114" i="17" s="1"/>
  <c r="I100" i="27"/>
  <c r="AR13" i="17" s="1"/>
  <c r="I101" i="27"/>
  <c r="AS262" i="17" s="1"/>
  <c r="I102" i="27"/>
  <c r="AT200" i="17" s="1"/>
  <c r="I103" i="27"/>
  <c r="I104" i="27"/>
  <c r="AV204" i="17" s="1"/>
  <c r="I105" i="27"/>
  <c r="AW30" i="17" s="1"/>
  <c r="I106" i="27"/>
  <c r="I107" i="27"/>
  <c r="AY200" i="17" s="1"/>
  <c r="I108" i="27"/>
  <c r="AL175" i="17" s="1"/>
  <c r="I109" i="27"/>
  <c r="AM199" i="17" s="1"/>
  <c r="I110" i="27"/>
  <c r="I111" i="27"/>
  <c r="I112" i="27"/>
  <c r="I113" i="27"/>
  <c r="AQ101" i="17" s="1"/>
  <c r="I114" i="27"/>
  <c r="I115" i="27"/>
  <c r="AS101" i="17" s="1"/>
  <c r="I116" i="27"/>
  <c r="AT286" i="17" s="1"/>
  <c r="I117" i="27"/>
  <c r="I118" i="27"/>
  <c r="I119" i="27"/>
  <c r="I120" i="27"/>
  <c r="I121" i="27"/>
  <c r="I188" i="27"/>
  <c r="I189" i="27"/>
  <c r="I190" i="27"/>
  <c r="I191" i="27"/>
  <c r="I192" i="27"/>
  <c r="I193" i="27"/>
  <c r="AQ243" i="17" s="1"/>
  <c r="I194" i="27"/>
  <c r="AR77" i="17" s="1"/>
  <c r="I195" i="27"/>
  <c r="AS296" i="17" s="1"/>
  <c r="I196" i="27"/>
  <c r="I198" i="27"/>
  <c r="AV296" i="17" s="1"/>
  <c r="I199" i="27"/>
  <c r="AW296" i="17" s="1"/>
  <c r="I200" i="27"/>
  <c r="I201" i="27"/>
  <c r="I202" i="27"/>
  <c r="I203" i="27"/>
  <c r="I204" i="27"/>
  <c r="I223" i="27"/>
  <c r="I224" i="27"/>
  <c r="AN228" i="17" s="1"/>
  <c r="I225" i="27"/>
  <c r="AO228" i="17" s="1"/>
  <c r="I226" i="27"/>
  <c r="I227" i="27"/>
  <c r="I228" i="27"/>
  <c r="AR228" i="17" s="1"/>
  <c r="I229" i="27"/>
  <c r="AS41" i="17" s="1"/>
  <c r="I231" i="27"/>
  <c r="AU41" i="17" s="1"/>
  <c r="I232" i="27"/>
  <c r="I233" i="27"/>
  <c r="I235" i="27"/>
  <c r="I236" i="27"/>
  <c r="I420" i="27"/>
  <c r="I421" i="27"/>
  <c r="I422" i="27"/>
  <c r="I423" i="27"/>
  <c r="I424" i="27"/>
  <c r="I425" i="27"/>
  <c r="I426" i="27"/>
  <c r="I427" i="27"/>
  <c r="I428" i="27"/>
  <c r="I429" i="27"/>
  <c r="I431" i="27"/>
  <c r="I432" i="27"/>
  <c r="I433" i="27"/>
  <c r="I434" i="27"/>
  <c r="I435" i="27"/>
  <c r="I468" i="27"/>
  <c r="I469" i="27"/>
  <c r="I470" i="27"/>
  <c r="I471" i="27"/>
  <c r="AO104" i="17" s="1"/>
  <c r="I472" i="27"/>
  <c r="I473" i="27"/>
  <c r="I474" i="27"/>
  <c r="I475" i="27"/>
  <c r="I476" i="27"/>
  <c r="I477" i="27"/>
  <c r="I478" i="27"/>
  <c r="AV96" i="17" s="1"/>
  <c r="I479" i="27"/>
  <c r="AW96" i="17" s="1"/>
  <c r="I480" i="27"/>
  <c r="I481" i="27"/>
  <c r="AY96" i="17" s="1"/>
  <c r="I482" i="27"/>
  <c r="I483" i="27"/>
  <c r="I484" i="27"/>
  <c r="I485" i="27"/>
  <c r="I486" i="27"/>
  <c r="I487" i="27"/>
  <c r="AO105" i="17" s="1"/>
  <c r="I488" i="27"/>
  <c r="I489" i="27"/>
  <c r="I490" i="27"/>
  <c r="I491" i="27"/>
  <c r="I492" i="27"/>
  <c r="I493" i="27"/>
  <c r="I494" i="27"/>
  <c r="AV105" i="17" s="1"/>
  <c r="I495" i="27"/>
  <c r="I496" i="27"/>
  <c r="I497" i="27"/>
  <c r="AY97" i="17" s="1"/>
  <c r="I498" i="27"/>
  <c r="I499" i="27"/>
  <c r="I526" i="27"/>
  <c r="AL2" i="17" s="1"/>
  <c r="I532" i="27"/>
  <c r="AR2" i="17" s="1"/>
  <c r="I536" i="27"/>
  <c r="AV383" i="17" s="1"/>
  <c r="I538" i="27"/>
  <c r="AX2" i="17" s="1"/>
  <c r="I540" i="27"/>
  <c r="I541" i="27"/>
  <c r="AM384" i="17" s="1"/>
  <c r="I542" i="27"/>
  <c r="I543" i="27"/>
  <c r="I544" i="27"/>
  <c r="I545" i="27"/>
  <c r="I546" i="27"/>
  <c r="AR11" i="17" s="1"/>
  <c r="I547" i="27"/>
  <c r="I548" i="27"/>
  <c r="AT389" i="17" s="1"/>
  <c r="I549" i="27"/>
  <c r="I550" i="27"/>
  <c r="AV390" i="17" s="1"/>
  <c r="I551" i="27"/>
  <c r="I552" i="27"/>
  <c r="I553" i="27"/>
  <c r="I554" i="27"/>
  <c r="I555" i="27"/>
  <c r="I556" i="27"/>
  <c r="I557" i="27"/>
  <c r="I558" i="27"/>
  <c r="I559" i="27"/>
  <c r="I560" i="27"/>
  <c r="I561" i="27"/>
  <c r="I562" i="27"/>
  <c r="I564" i="27"/>
  <c r="I565" i="27"/>
  <c r="I566" i="27"/>
  <c r="I567" i="27"/>
  <c r="I568" i="27"/>
  <c r="I585" i="27"/>
  <c r="I586" i="27"/>
  <c r="I587" i="27"/>
  <c r="AO152" i="17" s="1"/>
  <c r="I588" i="27"/>
  <c r="I589" i="27"/>
  <c r="I590" i="27"/>
  <c r="I591" i="27"/>
  <c r="I594" i="27"/>
  <c r="I595" i="27"/>
  <c r="I596" i="27"/>
  <c r="I597" i="27"/>
  <c r="AY152" i="17" s="1"/>
  <c r="I598" i="27"/>
  <c r="I599" i="27"/>
  <c r="I600" i="27"/>
  <c r="I601" i="27"/>
  <c r="I602" i="27"/>
  <c r="I603" i="27"/>
  <c r="I604" i="27"/>
  <c r="I605" i="27"/>
  <c r="I606" i="27"/>
  <c r="I607" i="27"/>
  <c r="I608" i="27"/>
  <c r="I609" i="27"/>
  <c r="I610" i="27"/>
  <c r="I611" i="27"/>
  <c r="I612" i="27"/>
  <c r="I613" i="27"/>
  <c r="I614" i="27"/>
  <c r="I615" i="27"/>
  <c r="I616" i="27"/>
  <c r="AL154" i="17" s="1"/>
  <c r="I617" i="27"/>
  <c r="I618" i="27"/>
  <c r="I619" i="27"/>
  <c r="AO154" i="17" s="1"/>
  <c r="I620" i="27"/>
  <c r="I621" i="27"/>
  <c r="I622" i="27"/>
  <c r="I623" i="27"/>
  <c r="AS162" i="17" s="1"/>
  <c r="I624" i="27"/>
  <c r="I625" i="27"/>
  <c r="AU156" i="17" s="1"/>
  <c r="I626" i="27"/>
  <c r="AV156" i="17" s="1"/>
  <c r="I627" i="27"/>
  <c r="AW162" i="17" s="1"/>
  <c r="I628" i="27"/>
  <c r="I629" i="27"/>
  <c r="I630" i="27"/>
  <c r="I631" i="27"/>
  <c r="I632" i="27"/>
  <c r="I633" i="27"/>
  <c r="I634" i="27"/>
  <c r="AL155" i="17" s="1"/>
  <c r="I635" i="27"/>
  <c r="I636" i="27"/>
  <c r="I637" i="27"/>
  <c r="AO155" i="17" s="1"/>
  <c r="I638" i="27"/>
  <c r="I639" i="27"/>
  <c r="I640" i="27"/>
  <c r="AR163" i="17" s="1"/>
  <c r="I641" i="27"/>
  <c r="AS163" i="17" s="1"/>
  <c r="I642" i="27"/>
  <c r="I643" i="27"/>
  <c r="AU155" i="17" s="1"/>
  <c r="I644" i="27"/>
  <c r="AV157" i="17" s="1"/>
  <c r="I645" i="27"/>
  <c r="AW163" i="17" s="1"/>
  <c r="I646" i="27"/>
  <c r="AX153" i="17" s="1"/>
  <c r="I647" i="27"/>
  <c r="I648" i="27"/>
  <c r="I649" i="27"/>
  <c r="I650" i="27"/>
  <c r="I651" i="27"/>
  <c r="I714" i="27"/>
  <c r="I715" i="27"/>
  <c r="I716" i="27"/>
  <c r="I717" i="27"/>
  <c r="I718" i="27"/>
  <c r="I720" i="27"/>
  <c r="I721" i="27"/>
  <c r="I722" i="27"/>
  <c r="I723" i="27"/>
  <c r="I724" i="27"/>
  <c r="I725" i="27"/>
  <c r="I726" i="27"/>
  <c r="I727" i="27"/>
  <c r="I728" i="27"/>
  <c r="I729" i="27"/>
  <c r="I730" i="27"/>
  <c r="I731" i="27"/>
  <c r="I732" i="27"/>
  <c r="I733" i="27"/>
  <c r="I735" i="27"/>
  <c r="I736" i="27"/>
  <c r="I737" i="27"/>
  <c r="I738" i="27"/>
  <c r="I739" i="27"/>
  <c r="I741" i="27"/>
  <c r="I772" i="27"/>
  <c r="AL365" i="17" s="1"/>
  <c r="I773" i="27"/>
  <c r="I774" i="27"/>
  <c r="I775" i="27"/>
  <c r="AO362" i="17" s="1"/>
  <c r="I776" i="27"/>
  <c r="I777" i="27"/>
  <c r="AQ348" i="17" s="1"/>
  <c r="I778" i="27"/>
  <c r="I779" i="27"/>
  <c r="I780" i="27"/>
  <c r="AT359" i="17" s="1"/>
  <c r="I781" i="27"/>
  <c r="AU336" i="17" s="1"/>
  <c r="I782" i="27"/>
  <c r="I783" i="27"/>
  <c r="I784" i="27"/>
  <c r="AX380" i="17" s="1"/>
  <c r="I785" i="27"/>
  <c r="I786" i="27"/>
  <c r="I787" i="27"/>
  <c r="I788" i="27"/>
  <c r="I789" i="27"/>
  <c r="I790" i="27"/>
  <c r="I791" i="27"/>
  <c r="I792" i="27"/>
  <c r="I793" i="27"/>
  <c r="I794" i="27"/>
  <c r="I795" i="27"/>
  <c r="AT334" i="17" s="1"/>
  <c r="I796" i="27"/>
  <c r="I797" i="27"/>
  <c r="I798" i="27"/>
  <c r="I799" i="27"/>
  <c r="I800" i="27"/>
  <c r="AY334" i="17" s="1"/>
  <c r="I801" i="27"/>
  <c r="I893" i="27"/>
  <c r="I894" i="27"/>
  <c r="I895" i="27"/>
  <c r="I896" i="27"/>
  <c r="I897" i="27"/>
  <c r="I899" i="27"/>
  <c r="I900" i="27"/>
  <c r="I901" i="27"/>
  <c r="I902" i="27"/>
  <c r="I903" i="27"/>
  <c r="AW343" i="17" s="1"/>
  <c r="I904" i="27"/>
  <c r="I905" i="27"/>
  <c r="I906" i="27"/>
  <c r="I907" i="27"/>
  <c r="I908" i="27"/>
  <c r="I909" i="27"/>
  <c r="I910" i="27"/>
  <c r="I911" i="27"/>
  <c r="I912" i="27"/>
  <c r="I913" i="27"/>
  <c r="I914" i="27"/>
  <c r="I915" i="27"/>
  <c r="I916" i="27"/>
  <c r="AW344" i="17" s="1"/>
  <c r="I917" i="27"/>
  <c r="I918" i="27"/>
  <c r="I919" i="27"/>
  <c r="I920" i="27"/>
  <c r="I921" i="27"/>
  <c r="I922" i="27"/>
  <c r="I923" i="27"/>
  <c r="I925" i="27"/>
  <c r="AS369" i="17" s="1"/>
  <c r="I926" i="27"/>
  <c r="I927" i="27"/>
  <c r="I928" i="27"/>
  <c r="I929" i="27"/>
  <c r="AW341" i="17" s="1"/>
  <c r="I930" i="27"/>
  <c r="I931" i="27"/>
  <c r="I932" i="27"/>
  <c r="I933" i="27"/>
  <c r="I934" i="27"/>
  <c r="I935" i="27"/>
  <c r="I936" i="27"/>
  <c r="I938" i="27"/>
  <c r="I939" i="27"/>
  <c r="I940" i="27"/>
  <c r="I941" i="27"/>
  <c r="I942" i="27"/>
  <c r="AW342" i="17" s="1"/>
  <c r="I943" i="27"/>
  <c r="I1039" i="27"/>
  <c r="I1044" i="27"/>
  <c r="I1050" i="27"/>
  <c r="AX142" i="17" s="1"/>
  <c r="I1092" i="27"/>
  <c r="I1093" i="27"/>
  <c r="I1094" i="27"/>
  <c r="AO147" i="17" s="1"/>
  <c r="I1095" i="27"/>
  <c r="AP145" i="17" s="1"/>
  <c r="I1096" i="27"/>
  <c r="I1097" i="27"/>
  <c r="AR143" i="17" s="1"/>
  <c r="I1098" i="27"/>
  <c r="AS143" i="17" s="1"/>
  <c r="I1099" i="27"/>
  <c r="I1100" i="27"/>
  <c r="AU145" i="17" s="1"/>
  <c r="I1101" i="27"/>
  <c r="AV145" i="17" s="1"/>
  <c r="I1102" i="27"/>
  <c r="I1103" i="27"/>
  <c r="I1104" i="27"/>
  <c r="I1106" i="27"/>
  <c r="I1107" i="27"/>
  <c r="I1108" i="27"/>
  <c r="I1109" i="27"/>
  <c r="I1110" i="27"/>
  <c r="I1111" i="27"/>
  <c r="I1112" i="27"/>
  <c r="I1113" i="27"/>
  <c r="I1114" i="27"/>
  <c r="I1115" i="27"/>
  <c r="I1116" i="27"/>
  <c r="I1117" i="27"/>
  <c r="I1118" i="27"/>
  <c r="I1119" i="27"/>
  <c r="I1120" i="27"/>
  <c r="I1121" i="27"/>
  <c r="I1122" i="27"/>
  <c r="I1123" i="27"/>
  <c r="I1124" i="27"/>
  <c r="I1125" i="27"/>
  <c r="I1126" i="27"/>
  <c r="I1127" i="27"/>
  <c r="I1128" i="27"/>
  <c r="I1129" i="27"/>
  <c r="I1130" i="27"/>
  <c r="I1131" i="27"/>
  <c r="I1132" i="27"/>
  <c r="AL44" i="17" s="1"/>
  <c r="I1133" i="27"/>
  <c r="I1134" i="27"/>
  <c r="AN53" i="17" s="1"/>
  <c r="I1135" i="27"/>
  <c r="AO44" i="17" s="1"/>
  <c r="I1136" i="27"/>
  <c r="AP53" i="17" s="1"/>
  <c r="I1137" i="27"/>
  <c r="AQ53" i="17" s="1"/>
  <c r="I1138" i="27"/>
  <c r="AR53" i="17" s="1"/>
  <c r="I1139" i="27"/>
  <c r="AS44" i="17" s="1"/>
  <c r="I1140" i="27"/>
  <c r="AT53" i="17" s="1"/>
  <c r="I1141" i="27"/>
  <c r="AL54" i="17" s="1"/>
  <c r="I1142" i="27"/>
  <c r="I1143" i="27"/>
  <c r="I1144" i="27"/>
  <c r="I1145" i="27"/>
  <c r="AP45" i="17" s="1"/>
  <c r="I1146" i="27"/>
  <c r="I1147" i="27"/>
  <c r="I1148" i="27"/>
  <c r="AS54" i="17" s="1"/>
  <c r="I1149" i="27"/>
  <c r="AT54" i="17" s="1"/>
  <c r="I1150" i="27"/>
  <c r="I1151" i="27"/>
  <c r="I1152" i="27"/>
  <c r="I1153" i="27"/>
  <c r="I1154" i="27"/>
  <c r="I1155" i="27"/>
  <c r="I1156" i="27"/>
  <c r="I1157" i="27"/>
  <c r="I1158" i="27"/>
  <c r="AT371" i="17" s="1"/>
  <c r="I1159" i="27"/>
  <c r="I1160" i="27"/>
  <c r="I1161" i="27"/>
  <c r="I1162" i="27"/>
  <c r="I1163" i="27"/>
  <c r="I1164" i="27"/>
  <c r="I1165" i="27"/>
  <c r="I1166" i="27"/>
  <c r="I1167" i="27"/>
  <c r="AT372" i="17" s="1"/>
  <c r="I93" i="27"/>
  <c r="I63" i="27"/>
  <c r="I39" i="27"/>
  <c r="AQ220" i="17" s="1"/>
  <c r="I81" i="27"/>
  <c r="I34" i="27"/>
  <c r="AL248" i="17" s="1"/>
  <c r="I40" i="27"/>
  <c r="AR216" i="17" s="1"/>
  <c r="I46" i="27"/>
  <c r="AX57" i="17" s="1"/>
  <c r="I52" i="27"/>
  <c r="I64" i="27"/>
  <c r="AL63" i="17" s="1"/>
  <c r="I82" i="27"/>
  <c r="I70" i="27"/>
  <c r="AR46" i="17" s="1"/>
  <c r="I76" i="27"/>
  <c r="AX34" i="17" s="1"/>
  <c r="I88" i="27"/>
  <c r="AU93" i="17" s="1"/>
  <c r="I35" i="27"/>
  <c r="AM216" i="17" s="1"/>
  <c r="I47" i="27"/>
  <c r="AY59" i="17" s="1"/>
  <c r="I59" i="27"/>
  <c r="I71" i="27"/>
  <c r="AS47" i="17" s="1"/>
  <c r="I83" i="27"/>
  <c r="I69" i="27"/>
  <c r="AQ295" i="17" s="1"/>
  <c r="I53" i="27"/>
  <c r="I65" i="27"/>
  <c r="AM266" i="17" s="1"/>
  <c r="I77" i="27"/>
  <c r="I89" i="27"/>
  <c r="I45" i="27"/>
  <c r="I75" i="27"/>
  <c r="I54" i="27"/>
  <c r="AQ69" i="17" s="1"/>
  <c r="I78" i="27"/>
  <c r="I57" i="27"/>
  <c r="AT183" i="17" s="1"/>
  <c r="I42" i="27"/>
  <c r="AT196" i="17" s="1"/>
  <c r="I60" i="27"/>
  <c r="I84" i="27"/>
  <c r="AQ39" i="17" s="1"/>
  <c r="I37" i="27"/>
  <c r="I43" i="27"/>
  <c r="AU210" i="17" s="1"/>
  <c r="I49" i="27"/>
  <c r="AL83" i="17" s="1"/>
  <c r="I61" i="27"/>
  <c r="AX131" i="17" s="1"/>
  <c r="I73" i="27"/>
  <c r="AU70" i="17" s="1"/>
  <c r="I85" i="27"/>
  <c r="AR33" i="17" s="1"/>
  <c r="I51" i="27"/>
  <c r="I36" i="27"/>
  <c r="AN216" i="17" s="1"/>
  <c r="I48" i="27"/>
  <c r="I66" i="27"/>
  <c r="I90" i="27"/>
  <c r="AW221" i="17" s="1"/>
  <c r="I67" i="27"/>
  <c r="I79" i="27"/>
  <c r="AL111" i="17" s="1"/>
  <c r="I91" i="27"/>
  <c r="AX43" i="17" s="1"/>
  <c r="I38" i="27"/>
  <c r="I44" i="27"/>
  <c r="I50" i="27"/>
  <c r="I62" i="27"/>
  <c r="I68" i="27"/>
  <c r="I74" i="27"/>
  <c r="I80" i="27"/>
  <c r="AM187" i="17" s="1"/>
  <c r="I86" i="27"/>
  <c r="AS201" i="17" s="1"/>
  <c r="I92" i="27"/>
  <c r="AY111" i="17" s="1"/>
  <c r="I1045" i="27"/>
  <c r="AS142" i="17" s="1"/>
  <c r="I1051" i="27"/>
  <c r="AY144" i="17" s="1"/>
  <c r="I534" i="27"/>
  <c r="AT388" i="17" s="1"/>
  <c r="AT2" i="17"/>
  <c r="I528" i="27"/>
  <c r="AN2" i="17"/>
  <c r="I535" i="27"/>
  <c r="AU2" i="17"/>
  <c r="I530" i="27"/>
  <c r="AP2" i="17"/>
  <c r="I1040" i="27"/>
  <c r="I1046" i="27"/>
  <c r="I1052" i="27"/>
  <c r="I531" i="27"/>
  <c r="AQ2" i="17"/>
  <c r="I1041" i="27"/>
  <c r="AO146" i="17" s="1"/>
  <c r="I1047" i="27"/>
  <c r="I1053" i="27"/>
  <c r="BA142" i="17" s="1"/>
  <c r="I529" i="27"/>
  <c r="AO2" i="17"/>
  <c r="I537" i="27"/>
  <c r="AW2" i="17"/>
  <c r="I1042" i="27"/>
  <c r="AP142" i="17" s="1"/>
  <c r="I1048" i="27"/>
  <c r="AV144" i="17" s="1"/>
  <c r="I1054" i="27"/>
  <c r="I527" i="27"/>
  <c r="AM2" i="17"/>
  <c r="I539" i="27"/>
  <c r="AY2" i="17"/>
  <c r="I1043" i="27"/>
  <c r="I1049" i="27"/>
  <c r="I1055" i="27"/>
  <c r="I533" i="27"/>
  <c r="AS2" i="17"/>
  <c r="I1038" i="27"/>
  <c r="I744" i="27"/>
  <c r="I1074" i="27"/>
  <c r="I745" i="27"/>
  <c r="I746" i="27"/>
  <c r="I751" i="27"/>
  <c r="AU351" i="17" s="1"/>
  <c r="I750" i="27"/>
  <c r="I747" i="27"/>
  <c r="AQ260" i="17" s="1"/>
  <c r="I752" i="27"/>
  <c r="I756" i="27"/>
  <c r="I742" i="27"/>
  <c r="AL367" i="17" s="1"/>
  <c r="I748" i="27"/>
  <c r="I753" i="27"/>
  <c r="I743" i="27"/>
  <c r="I754" i="27"/>
  <c r="I1085" i="27"/>
  <c r="I1081" i="27"/>
  <c r="AF392" i="17" l="1"/>
  <c r="AY348" i="17"/>
  <c r="AF348" i="17" s="1"/>
  <c r="AY376" i="17"/>
  <c r="AF376" i="17" s="1"/>
  <c r="AT33" i="17"/>
  <c r="AT107" i="17"/>
  <c r="AF367" i="17"/>
  <c r="AX259" i="17"/>
  <c r="AZ143" i="17"/>
  <c r="AX146" i="17"/>
  <c r="AU154" i="17"/>
  <c r="AX103" i="17"/>
  <c r="AZ145" i="17"/>
  <c r="AF145" i="17" s="1"/>
  <c r="AU379" i="17"/>
  <c r="AF379" i="17" s="1"/>
  <c r="AX47" i="17"/>
  <c r="BA144" i="17"/>
  <c r="AY105" i="17"/>
  <c r="AF147" i="17"/>
  <c r="AF54" i="17"/>
  <c r="AY368" i="17"/>
  <c r="AT57" i="17"/>
  <c r="AF57" i="17" s="1"/>
  <c r="AY363" i="17"/>
  <c r="AF363" i="17" s="1"/>
  <c r="AV104" i="17"/>
  <c r="AX177" i="17"/>
  <c r="AU187" i="17"/>
  <c r="AW154" i="17"/>
  <c r="AX258" i="17"/>
  <c r="BA146" i="17"/>
  <c r="AY84" i="17"/>
  <c r="AX155" i="17"/>
  <c r="AF155" i="17" s="1"/>
  <c r="AW208" i="17"/>
  <c r="AX179" i="17"/>
  <c r="AV72" i="17"/>
  <c r="AT250" i="17"/>
  <c r="AT68" i="17"/>
  <c r="AF68" i="17" s="1"/>
  <c r="AR232" i="17"/>
  <c r="AX109" i="17"/>
  <c r="AF109" i="17" s="1"/>
  <c r="AT333" i="17"/>
  <c r="AS59" i="17"/>
  <c r="AU38" i="17"/>
  <c r="AT38" i="17"/>
  <c r="AT172" i="17"/>
  <c r="AT10" i="17"/>
  <c r="AS48" i="17"/>
  <c r="AR75" i="17"/>
  <c r="AQ61" i="17"/>
  <c r="AR172" i="17"/>
  <c r="AU33" i="17"/>
  <c r="AS52" i="17"/>
  <c r="AT42" i="17"/>
  <c r="AF42" i="17" s="1"/>
  <c r="AL203" i="17"/>
  <c r="AF350" i="17"/>
  <c r="AS177" i="17"/>
  <c r="AS34" i="17"/>
  <c r="AF235" i="17"/>
  <c r="AS116" i="17"/>
  <c r="AM204" i="17"/>
  <c r="AF211" i="17"/>
  <c r="AF174" i="17"/>
  <c r="AM240" i="17"/>
  <c r="AF240" i="17" s="1"/>
  <c r="AL270" i="17"/>
  <c r="AL368" i="17"/>
  <c r="AM33" i="17"/>
  <c r="AY359" i="17"/>
  <c r="AU19" i="17"/>
  <c r="AY356" i="17"/>
  <c r="AF356" i="17" s="1"/>
  <c r="AY362" i="17"/>
  <c r="AS63" i="17"/>
  <c r="AF63" i="17" s="1"/>
  <c r="AW206" i="17"/>
  <c r="AS183" i="17"/>
  <c r="AT238" i="17"/>
  <c r="AT43" i="17"/>
  <c r="AF43" i="17" s="1"/>
  <c r="AW149" i="17"/>
  <c r="AF149" i="17" s="1"/>
  <c r="AV142" i="17"/>
  <c r="AF142" i="17" s="1"/>
  <c r="AR10" i="17"/>
  <c r="AT329" i="17"/>
  <c r="AQ368" i="17"/>
  <c r="AT339" i="17"/>
  <c r="AF339" i="17" s="1"/>
  <c r="AT218" i="17"/>
  <c r="AF218" i="17" s="1"/>
  <c r="AS13" i="17"/>
  <c r="AS216" i="17"/>
  <c r="AF216" i="17" s="1"/>
  <c r="AQ129" i="17"/>
  <c r="AF129" i="17" s="1"/>
  <c r="AS204" i="17"/>
  <c r="AS130" i="17"/>
  <c r="AF130" i="17" s="1"/>
  <c r="AF12" i="17"/>
  <c r="AE13" i="39" s="1"/>
  <c r="AF162" i="17"/>
  <c r="AF131" i="17"/>
  <c r="AR277" i="17"/>
  <c r="AF150" i="17"/>
  <c r="AF171" i="17"/>
  <c r="AF340" i="17"/>
  <c r="AF91" i="17"/>
  <c r="AF161" i="17"/>
  <c r="AF118" i="17"/>
  <c r="AF158" i="17"/>
  <c r="AF140" i="17"/>
  <c r="AF230" i="17"/>
  <c r="AF159" i="17"/>
  <c r="AF122" i="17"/>
  <c r="AY355" i="17"/>
  <c r="AF355" i="17" s="1"/>
  <c r="AX210" i="17"/>
  <c r="AF210" i="17" s="1"/>
  <c r="AX197" i="17"/>
  <c r="AU215" i="17"/>
  <c r="AX266" i="17"/>
  <c r="AT227" i="17"/>
  <c r="AT336" i="17"/>
  <c r="AF336" i="17" s="1"/>
  <c r="AU250" i="17"/>
  <c r="AT273" i="17"/>
  <c r="AQ192" i="17"/>
  <c r="AT139" i="17"/>
  <c r="AT390" i="17"/>
  <c r="AF390" i="17" s="1"/>
  <c r="AF13" i="39" s="1"/>
  <c r="AS77" i="17"/>
  <c r="AT88" i="17"/>
  <c r="AF88" i="17" s="1"/>
  <c r="AS233" i="17"/>
  <c r="AT59" i="17"/>
  <c r="AT385" i="17"/>
  <c r="AF385" i="17" s="1"/>
  <c r="AF6" i="39" s="1"/>
  <c r="AT133" i="17"/>
  <c r="AF133" i="17" s="1"/>
  <c r="AS198" i="17"/>
  <c r="AF198" i="17" s="1"/>
  <c r="AS228" i="17"/>
  <c r="AF228" i="17" s="1"/>
  <c r="AF242" i="17"/>
  <c r="AT18" i="17"/>
  <c r="AS112" i="17"/>
  <c r="AF112" i="17" s="1"/>
  <c r="AF358" i="17"/>
  <c r="AF29" i="17"/>
  <c r="AF18" i="39" s="1"/>
  <c r="AS248" i="17"/>
  <c r="AS92" i="17"/>
  <c r="AQ258" i="17"/>
  <c r="AS187" i="17"/>
  <c r="AQ173" i="17"/>
  <c r="AF148" i="17"/>
  <c r="AF388" i="17"/>
  <c r="AE10" i="39" s="1"/>
  <c r="AF101" i="17"/>
  <c r="AF387" i="17"/>
  <c r="AF8" i="39" s="1"/>
  <c r="AF80" i="17"/>
  <c r="AO41" i="17"/>
  <c r="AF342" i="17"/>
  <c r="AF126" i="17"/>
  <c r="AF110" i="17"/>
  <c r="AX31" i="17"/>
  <c r="AW181" i="17"/>
  <c r="AT132" i="17"/>
  <c r="AF132" i="17" s="1"/>
  <c r="AX95" i="17"/>
  <c r="AT179" i="17"/>
  <c r="AT202" i="17"/>
  <c r="AX144" i="17"/>
  <c r="AU111" i="17"/>
  <c r="AT295" i="17"/>
  <c r="AU72" i="17"/>
  <c r="AF72" i="17" s="1"/>
  <c r="AT75" i="17"/>
  <c r="AS217" i="17"/>
  <c r="AQ362" i="17"/>
  <c r="AT373" i="17"/>
  <c r="AF373" i="17" s="1"/>
  <c r="AT121" i="17"/>
  <c r="AF121" i="17" s="1"/>
  <c r="AR274" i="17"/>
  <c r="AQ200" i="17"/>
  <c r="AF200" i="17" s="1"/>
  <c r="AS173" i="17"/>
  <c r="AQ227" i="17"/>
  <c r="AF262" i="17"/>
  <c r="AP44" i="17"/>
  <c r="AF44" i="17" s="1"/>
  <c r="AQ222" i="17"/>
  <c r="AF222" i="17" s="1"/>
  <c r="AF53" i="17"/>
  <c r="AS175" i="17"/>
  <c r="AF128" i="17"/>
  <c r="AM124" i="17"/>
  <c r="AL124" i="17"/>
  <c r="AF113" i="17"/>
  <c r="AF389" i="17"/>
  <c r="AF10" i="39" s="1"/>
  <c r="AL119" i="17"/>
  <c r="AF371" i="17"/>
  <c r="AF370" i="17"/>
  <c r="AF65" i="17"/>
  <c r="AF330" i="17"/>
  <c r="AF98" i="17"/>
  <c r="AT83" i="17"/>
  <c r="AU295" i="17"/>
  <c r="AT31" i="17"/>
  <c r="AF189" i="17"/>
  <c r="AU173" i="17"/>
  <c r="AS83" i="17"/>
  <c r="AT249" i="17"/>
  <c r="AT93" i="17"/>
  <c r="AR231" i="17"/>
  <c r="AR249" i="17"/>
  <c r="AT271" i="17"/>
  <c r="AQ286" i="17"/>
  <c r="AF286" i="17" s="1"/>
  <c r="AS35" i="17"/>
  <c r="AT233" i="17"/>
  <c r="AS194" i="17"/>
  <c r="AF194" i="17" s="1"/>
  <c r="AR224" i="17"/>
  <c r="AQ188" i="17"/>
  <c r="AF188" i="17" s="1"/>
  <c r="AT124" i="17"/>
  <c r="AT111" i="17"/>
  <c r="AT34" i="17"/>
  <c r="AR47" i="17"/>
  <c r="AN61" i="17"/>
  <c r="AS197" i="17"/>
  <c r="AQ253" i="17"/>
  <c r="AF378" i="17"/>
  <c r="AF156" i="17"/>
  <c r="AF357" i="17"/>
  <c r="AQ49" i="17"/>
  <c r="AF151" i="17"/>
  <c r="AF24" i="17"/>
  <c r="AE15" i="39" s="1"/>
  <c r="AF96" i="17"/>
  <c r="AF372" i="17"/>
  <c r="AF352" i="17"/>
  <c r="AF351" i="17"/>
  <c r="AF81" i="17"/>
  <c r="AM32" i="17"/>
  <c r="AF32" i="17" s="1"/>
  <c r="AF220" i="17"/>
  <c r="AF257" i="17"/>
  <c r="AF361" i="17"/>
  <c r="AY380" i="17"/>
  <c r="AF380" i="17" s="1"/>
  <c r="AW153" i="17"/>
  <c r="AX217" i="17"/>
  <c r="AT70" i="17"/>
  <c r="AV77" i="17"/>
  <c r="AT178" i="17"/>
  <c r="AF178" i="17" s="1"/>
  <c r="AS61" i="17"/>
  <c r="AQ50" i="17"/>
  <c r="AF50" i="17" s="1"/>
  <c r="AU172" i="17"/>
  <c r="AT272" i="17"/>
  <c r="AF272" i="17" s="1"/>
  <c r="AQ40" i="17"/>
  <c r="AT259" i="17"/>
  <c r="AT103" i="17"/>
  <c r="AT221" i="17"/>
  <c r="AT49" i="17"/>
  <c r="AS169" i="17"/>
  <c r="AF169" i="17" s="1"/>
  <c r="AR203" i="17"/>
  <c r="AS231" i="17"/>
  <c r="AT255" i="17"/>
  <c r="AT374" i="17"/>
  <c r="AF374" i="17" s="1"/>
  <c r="AS208" i="17"/>
  <c r="AS180" i="17"/>
  <c r="AF180" i="17" s="1"/>
  <c r="AF56" i="17"/>
  <c r="AQ47" i="17"/>
  <c r="AR238" i="17"/>
  <c r="AQ168" i="17"/>
  <c r="AR41" i="17"/>
  <c r="AS117" i="17"/>
  <c r="AF117" i="17" s="1"/>
  <c r="AQ199" i="17"/>
  <c r="AF199" i="17" s="1"/>
  <c r="AL366" i="17"/>
  <c r="AF366" i="17" s="1"/>
  <c r="AF9" i="17"/>
  <c r="AF11" i="39" s="1"/>
  <c r="AF383" i="17"/>
  <c r="AE4" i="39" s="1"/>
  <c r="AF353" i="17"/>
  <c r="AF335" i="17"/>
  <c r="AF58" i="17"/>
  <c r="AM7" i="17"/>
  <c r="AF7" i="17" s="1"/>
  <c r="AF9" i="39" s="1"/>
  <c r="AF244" i="17"/>
  <c r="AF87" i="17"/>
  <c r="AF349" i="17"/>
  <c r="AF97" i="17"/>
  <c r="AY333" i="17"/>
  <c r="AT203" i="17"/>
  <c r="AV146" i="17"/>
  <c r="AW157" i="17"/>
  <c r="AF157" i="17" s="1"/>
  <c r="AT166" i="17"/>
  <c r="AS39" i="17"/>
  <c r="AT67" i="17"/>
  <c r="AF67" i="17" s="1"/>
  <c r="AW77" i="17"/>
  <c r="AS221" i="17"/>
  <c r="AS255" i="17"/>
  <c r="AR248" i="17"/>
  <c r="AO365" i="17"/>
  <c r="AT197" i="17"/>
  <c r="AR176" i="17"/>
  <c r="AF176" i="17" s="1"/>
  <c r="AT100" i="17"/>
  <c r="AF100" i="17" s="1"/>
  <c r="AT73" i="17"/>
  <c r="AF73" i="17" s="1"/>
  <c r="AS185" i="17"/>
  <c r="AF185" i="17" s="1"/>
  <c r="AS123" i="17"/>
  <c r="AF123" i="17" s="1"/>
  <c r="AO153" i="17"/>
  <c r="AF291" i="17"/>
  <c r="AF375" i="17"/>
  <c r="AF152" i="17"/>
  <c r="AF280" i="17"/>
  <c r="AF346" i="17"/>
  <c r="AF23" i="17"/>
  <c r="AF14" i="39" s="1"/>
  <c r="AF360" i="17"/>
  <c r="AF66" i="17"/>
  <c r="AL271" i="17"/>
  <c r="AF296" i="17"/>
  <c r="AF382" i="17"/>
  <c r="AF195" i="17"/>
  <c r="AL18" i="17"/>
  <c r="AF18" i="17" s="1"/>
  <c r="AF125" i="17"/>
  <c r="AF62" i="17"/>
  <c r="AF85" i="17"/>
  <c r="AY365" i="17"/>
  <c r="AY104" i="17"/>
  <c r="AY86" i="17"/>
  <c r="AF86" i="17" s="1"/>
  <c r="AS206" i="17"/>
  <c r="AW13" i="17"/>
  <c r="AF13" i="17" s="1"/>
  <c r="AU213" i="17"/>
  <c r="AV384" i="17"/>
  <c r="AF384" i="17" s="1"/>
  <c r="AF4" i="39" s="1"/>
  <c r="AU365" i="17"/>
  <c r="AT201" i="17"/>
  <c r="AF201" i="17" s="1"/>
  <c r="AT92" i="17"/>
  <c r="AS202" i="17"/>
  <c r="AU39" i="17"/>
  <c r="AT102" i="17"/>
  <c r="AT11" i="17"/>
  <c r="AF11" i="17" s="1"/>
  <c r="AF12" i="39" s="1"/>
  <c r="AQ70" i="17"/>
  <c r="AT232" i="17"/>
  <c r="AS168" i="17"/>
  <c r="AS190" i="17"/>
  <c r="AR196" i="17"/>
  <c r="AV243" i="17"/>
  <c r="AF243" i="17" s="1"/>
  <c r="AS136" i="17"/>
  <c r="AQ206" i="17"/>
  <c r="AR177" i="17"/>
  <c r="AF114" i="17"/>
  <c r="AR166" i="17"/>
  <c r="AS111" i="17"/>
  <c r="AF236" i="17"/>
  <c r="AF90" i="17"/>
  <c r="AF261" i="17"/>
  <c r="AF279" i="17"/>
  <c r="AS249" i="17"/>
  <c r="AS93" i="17"/>
  <c r="AR134" i="17"/>
  <c r="AQ175" i="17"/>
  <c r="AQ329" i="17"/>
  <c r="AO84" i="17"/>
  <c r="AF345" i="17"/>
  <c r="AF120" i="17"/>
  <c r="AF369" i="17"/>
  <c r="AF6" i="17"/>
  <c r="AE9" i="39" s="1"/>
  <c r="AF5" i="17"/>
  <c r="AF7" i="39" s="1"/>
  <c r="AF107" i="17"/>
  <c r="AL253" i="17"/>
  <c r="AU214" i="17"/>
  <c r="AF214" i="17" s="1"/>
  <c r="AS134" i="17"/>
  <c r="AX238" i="17"/>
  <c r="AT168" i="17"/>
  <c r="AW138" i="17"/>
  <c r="AU207" i="17"/>
  <c r="AS172" i="17"/>
  <c r="AT64" i="17"/>
  <c r="AF64" i="17" s="1"/>
  <c r="AT270" i="17"/>
  <c r="AS254" i="17"/>
  <c r="AF254" i="17" s="1"/>
  <c r="AQ190" i="17"/>
  <c r="AT173" i="17"/>
  <c r="AT74" i="17"/>
  <c r="AF74" i="17" s="1"/>
  <c r="AT219" i="17"/>
  <c r="AF219" i="17" s="1"/>
  <c r="AT47" i="17"/>
  <c r="AS138" i="17"/>
  <c r="AQ208" i="17"/>
  <c r="AT89" i="17"/>
  <c r="AF89" i="17" s="1"/>
  <c r="AF30" i="17"/>
  <c r="AP144" i="17"/>
  <c r="AF25" i="17"/>
  <c r="AF15" i="39" s="1"/>
  <c r="AS115" i="17"/>
  <c r="AF115" i="17" s="1"/>
  <c r="AF364" i="17"/>
  <c r="AF71" i="17"/>
  <c r="AF247" i="17"/>
  <c r="AF22" i="17"/>
  <c r="AE14" i="39" s="1"/>
  <c r="AF170" i="17"/>
  <c r="AF354" i="17"/>
  <c r="AF241" i="17"/>
  <c r="AV138" i="17"/>
  <c r="AT119" i="17"/>
  <c r="AT177" i="17"/>
  <c r="AR59" i="17"/>
  <c r="AT224" i="17"/>
  <c r="AT52" i="17"/>
  <c r="AF52" i="17" s="1"/>
  <c r="AT51" i="17"/>
  <c r="AF51" i="17" s="1"/>
  <c r="AS196" i="17"/>
  <c r="AT258" i="17"/>
  <c r="AT76" i="17"/>
  <c r="AF76" i="17" s="1"/>
  <c r="AR179" i="17"/>
  <c r="AT207" i="17"/>
  <c r="AT35" i="17"/>
  <c r="AT266" i="17"/>
  <c r="AR237" i="17"/>
  <c r="AF237" i="17" s="1"/>
  <c r="AT46" i="17"/>
  <c r="AF46" i="17" s="1"/>
  <c r="AS102" i="17"/>
  <c r="AS192" i="17"/>
  <c r="AR136" i="17"/>
  <c r="AQ285" i="17"/>
  <c r="AF285" i="17" s="1"/>
  <c r="AR197" i="17"/>
  <c r="AF163" i="17"/>
  <c r="AF184" i="17"/>
  <c r="AF334" i="17"/>
  <c r="AF347" i="17"/>
  <c r="AP143" i="17"/>
  <c r="AF143" i="17" s="1"/>
  <c r="AS259" i="17"/>
  <c r="AS103" i="17"/>
  <c r="AQ245" i="17"/>
  <c r="AF245" i="17" s="1"/>
  <c r="AF251" i="17"/>
  <c r="AF344" i="17"/>
  <c r="AF45" i="17"/>
  <c r="AF8" i="17"/>
  <c r="AE11" i="39" s="1"/>
  <c r="AF343" i="17"/>
  <c r="AM19" i="17"/>
  <c r="AF341" i="17"/>
  <c r="AF78" i="17"/>
  <c r="AF27" i="17"/>
  <c r="AF16" i="39" s="1"/>
  <c r="AR191" i="17"/>
  <c r="AF191" i="17" s="1"/>
  <c r="AR213" i="17"/>
  <c r="AT69" i="17"/>
  <c r="AF69" i="17" s="1"/>
  <c r="AT274" i="17"/>
  <c r="AU183" i="17"/>
  <c r="AT212" i="17"/>
  <c r="AF212" i="17" s="1"/>
  <c r="AT40" i="17"/>
  <c r="AT187" i="17"/>
  <c r="AT39" i="17"/>
  <c r="AT48" i="17"/>
  <c r="AF48" i="17" s="1"/>
  <c r="AF332" i="17"/>
  <c r="AT181" i="17"/>
  <c r="AR183" i="17"/>
  <c r="AF105" i="17"/>
  <c r="AR202" i="17"/>
  <c r="AF278" i="17"/>
  <c r="AQ139" i="17"/>
  <c r="AF327" i="17"/>
  <c r="AR60" i="17"/>
  <c r="AF60" i="17" s="1"/>
  <c r="AQ233" i="17"/>
  <c r="AF116" i="17"/>
  <c r="AF331" i="17"/>
  <c r="AF141" i="17"/>
  <c r="AF182" i="17"/>
  <c r="AF28" i="17"/>
  <c r="AE18" i="39" s="1"/>
  <c r="AF3" i="17"/>
  <c r="AE6" i="39" s="1"/>
  <c r="AX224" i="17"/>
  <c r="AT17" i="17"/>
  <c r="AF17" i="17" s="1"/>
  <c r="AX273" i="17"/>
  <c r="AU277" i="17"/>
  <c r="AT95" i="17"/>
  <c r="AT19" i="17"/>
  <c r="AQ224" i="17"/>
  <c r="AS31" i="17"/>
  <c r="AR95" i="17"/>
  <c r="AF377" i="17"/>
  <c r="AF328" i="17"/>
  <c r="AR165" i="17"/>
  <c r="AF165" i="17" s="1"/>
  <c r="AF359" i="17"/>
  <c r="AF215" i="17"/>
  <c r="AF260" i="17"/>
  <c r="AF386" i="17"/>
  <c r="AE8" i="39" s="1"/>
  <c r="AF160" i="17"/>
  <c r="AF127" i="17"/>
  <c r="AF381" i="17"/>
  <c r="AF256" i="17"/>
  <c r="AF4" i="17"/>
  <c r="AE7" i="39" s="1"/>
  <c r="AF26" i="17"/>
  <c r="AE16" i="39" s="1"/>
  <c r="AV2" i="17"/>
  <c r="A4" i="65"/>
  <c r="A16" i="65"/>
  <c r="A6" i="65"/>
  <c r="A2" i="65"/>
  <c r="BD392" i="17" l="1"/>
  <c r="AB62" i="39"/>
  <c r="AF10" i="17"/>
  <c r="AE12" i="39" s="1"/>
  <c r="AF139" i="17"/>
  <c r="BD139" i="17" s="1"/>
  <c r="AF146" i="17"/>
  <c r="AE158" i="39" s="1"/>
  <c r="AF277" i="17"/>
  <c r="AF84" i="17"/>
  <c r="AF248" i="17"/>
  <c r="BD248" i="17" s="1"/>
  <c r="AF49" i="17"/>
  <c r="AF329" i="17"/>
  <c r="AF104" i="17"/>
  <c r="AF187" i="17"/>
  <c r="BD187" i="17" s="1"/>
  <c r="AF273" i="17"/>
  <c r="AF181" i="17"/>
  <c r="AB177" i="39" s="1"/>
  <c r="AF233" i="17"/>
  <c r="BD233" i="17" s="1"/>
  <c r="BD256" i="17"/>
  <c r="AA223" i="39"/>
  <c r="BD381" i="17"/>
  <c r="AA155" i="39"/>
  <c r="BD127" i="17"/>
  <c r="AB109" i="39"/>
  <c r="BD160" i="17"/>
  <c r="AA166" i="39"/>
  <c r="BD260" i="17"/>
  <c r="AA119" i="39"/>
  <c r="BD215" i="17"/>
  <c r="AB199" i="39"/>
  <c r="BD359" i="17"/>
  <c r="AA142" i="39"/>
  <c r="BD165" i="17"/>
  <c r="AB169" i="39"/>
  <c r="N169" i="39" s="1"/>
  <c r="P169" i="39" s="1"/>
  <c r="BD328" i="17"/>
  <c r="AF121" i="39"/>
  <c r="BD377" i="17"/>
  <c r="AA152" i="39"/>
  <c r="BD182" i="17"/>
  <c r="AA178" i="39"/>
  <c r="BD141" i="17"/>
  <c r="AB116" i="39"/>
  <c r="BD331" i="17"/>
  <c r="AE124" i="39"/>
  <c r="BD327" i="17"/>
  <c r="AE121" i="39"/>
  <c r="BD376" i="17"/>
  <c r="AB151" i="39"/>
  <c r="BD332" i="17"/>
  <c r="AF124" i="39"/>
  <c r="BD212" i="17"/>
  <c r="AA197" i="39"/>
  <c r="BD191" i="17"/>
  <c r="AB183" i="39"/>
  <c r="BD341" i="17"/>
  <c r="AA132" i="39"/>
  <c r="BD343" i="17"/>
  <c r="AA133" i="39"/>
  <c r="BD344" i="17"/>
  <c r="AB133" i="39"/>
  <c r="BD251" i="17"/>
  <c r="AB219" i="39"/>
  <c r="BD245" i="17"/>
  <c r="AB216" i="39"/>
  <c r="BD143" i="17"/>
  <c r="AF156" i="39"/>
  <c r="BD347" i="17"/>
  <c r="AA135" i="39"/>
  <c r="BD334" i="17"/>
  <c r="AB125" i="39"/>
  <c r="BD184" i="17"/>
  <c r="AA179" i="39"/>
  <c r="BD163" i="17"/>
  <c r="AB167" i="39"/>
  <c r="BD237" i="17"/>
  <c r="AB211" i="39"/>
  <c r="BD241" i="17"/>
  <c r="AB214" i="39"/>
  <c r="BD354" i="17"/>
  <c r="AF139" i="39"/>
  <c r="BD170" i="17"/>
  <c r="AA172" i="39"/>
  <c r="BD247" i="17"/>
  <c r="AB217" i="39"/>
  <c r="N217" i="39" s="1"/>
  <c r="P217" i="39" s="1"/>
  <c r="BD364" i="17"/>
  <c r="AB145" i="39"/>
  <c r="BD379" i="17"/>
  <c r="AA153" i="39"/>
  <c r="BD216" i="17"/>
  <c r="AA201" i="39"/>
  <c r="BD219" i="17"/>
  <c r="AB202" i="39"/>
  <c r="BD254" i="17"/>
  <c r="AA221" i="39"/>
  <c r="BD214" i="17"/>
  <c r="AA199" i="39"/>
  <c r="BD369" i="17"/>
  <c r="AA148" i="39"/>
  <c r="BD345" i="17"/>
  <c r="AE134" i="39"/>
  <c r="BD329" i="17"/>
  <c r="AA122" i="39"/>
  <c r="BD261" i="17"/>
  <c r="AB119" i="39"/>
  <c r="BD236" i="17"/>
  <c r="AA211" i="39"/>
  <c r="BD243" i="17"/>
  <c r="AB215" i="39"/>
  <c r="BD201" i="17"/>
  <c r="AB190" i="39"/>
  <c r="BD125" i="17"/>
  <c r="AB108" i="39"/>
  <c r="BD195" i="17"/>
  <c r="AB185" i="39"/>
  <c r="BD382" i="17"/>
  <c r="AB155" i="39"/>
  <c r="BD360" i="17"/>
  <c r="AB142" i="39"/>
  <c r="BD346" i="17"/>
  <c r="AF134" i="39"/>
  <c r="BD152" i="17"/>
  <c r="AA161" i="39"/>
  <c r="BD375" i="17"/>
  <c r="AA151" i="39"/>
  <c r="BD185" i="17"/>
  <c r="AB179" i="39"/>
  <c r="BD176" i="17"/>
  <c r="AA175" i="39"/>
  <c r="BD157" i="17"/>
  <c r="AB163" i="39"/>
  <c r="BD349" i="17"/>
  <c r="AA137" i="39"/>
  <c r="BD244" i="17"/>
  <c r="AA216" i="39"/>
  <c r="BD335" i="17"/>
  <c r="AA128" i="39"/>
  <c r="BD353" i="17"/>
  <c r="AE139" i="39"/>
  <c r="BD366" i="17"/>
  <c r="AB146" i="39"/>
  <c r="BD199" i="17"/>
  <c r="AB189" i="39"/>
  <c r="BD180" i="17"/>
  <c r="AA177" i="39"/>
  <c r="BD374" i="17"/>
  <c r="AB150" i="39"/>
  <c r="BD169" i="17"/>
  <c r="AB171" i="39"/>
  <c r="BD178" i="17"/>
  <c r="AA176" i="39"/>
  <c r="BD380" i="17"/>
  <c r="AB153" i="39"/>
  <c r="BD361" i="17"/>
  <c r="AA143" i="39"/>
  <c r="BD257" i="17"/>
  <c r="AB223" i="39"/>
  <c r="BD220" i="17"/>
  <c r="AA203" i="39"/>
  <c r="BD351" i="17"/>
  <c r="AA138" i="39"/>
  <c r="BD352" i="17"/>
  <c r="AB138" i="39"/>
  <c r="BD372" i="17"/>
  <c r="AF149" i="39"/>
  <c r="BD151" i="17"/>
  <c r="AB160" i="39"/>
  <c r="BD357" i="17"/>
  <c r="AE141" i="39"/>
  <c r="BD156" i="17"/>
  <c r="AA163" i="39"/>
  <c r="BD378" i="17"/>
  <c r="AB152" i="39"/>
  <c r="BD188" i="17"/>
  <c r="AA181" i="39"/>
  <c r="BD194" i="17"/>
  <c r="AA185" i="39"/>
  <c r="BD189" i="17"/>
  <c r="AB181" i="39"/>
  <c r="BD330" i="17"/>
  <c r="AB122" i="39"/>
  <c r="BD370" i="17"/>
  <c r="AB148" i="39"/>
  <c r="BD371" i="17"/>
  <c r="AE149" i="39"/>
  <c r="BD128" i="17"/>
  <c r="AA110" i="39"/>
  <c r="BD222" i="17"/>
  <c r="AA204" i="39"/>
  <c r="N204" i="39" s="1"/>
  <c r="P204" i="39" s="1"/>
  <c r="BD200" i="17"/>
  <c r="AA190" i="39"/>
  <c r="BD373" i="17"/>
  <c r="AA150" i="39"/>
  <c r="BD132" i="17"/>
  <c r="AA112" i="39"/>
  <c r="BD133" i="17"/>
  <c r="AB112" i="39"/>
  <c r="BD126" i="17"/>
  <c r="AA109" i="39"/>
  <c r="BD342" i="17"/>
  <c r="AB132" i="39"/>
  <c r="BD148" i="17"/>
  <c r="AA159" i="39"/>
  <c r="BD149" i="17"/>
  <c r="AB159" i="39"/>
  <c r="BD348" i="17"/>
  <c r="AB135" i="39"/>
  <c r="BD358" i="17"/>
  <c r="AF141" i="39"/>
  <c r="BD242" i="17"/>
  <c r="AA215" i="39"/>
  <c r="BD228" i="17"/>
  <c r="AA207" i="39"/>
  <c r="N207" i="39" s="1"/>
  <c r="P207" i="39" s="1"/>
  <c r="BD198" i="17"/>
  <c r="AA189" i="39"/>
  <c r="N189" i="39" s="1"/>
  <c r="P189" i="39" s="1"/>
  <c r="BD336" i="17"/>
  <c r="AB128" i="39"/>
  <c r="BD210" i="17"/>
  <c r="AA196" i="39"/>
  <c r="BD355" i="17"/>
  <c r="AA140" i="39"/>
  <c r="BD159" i="17"/>
  <c r="AB164" i="39"/>
  <c r="BD230" i="17"/>
  <c r="AA208" i="39"/>
  <c r="BD140" i="17"/>
  <c r="AA116" i="39"/>
  <c r="N116" i="39" s="1"/>
  <c r="P116" i="39" s="1"/>
  <c r="BD158" i="17"/>
  <c r="AA164" i="39"/>
  <c r="BD161" i="17"/>
  <c r="AB166" i="39"/>
  <c r="BD340" i="17"/>
  <c r="AB130" i="39"/>
  <c r="BD171" i="17"/>
  <c r="AB172" i="39"/>
  <c r="BD150" i="17"/>
  <c r="AA160" i="39"/>
  <c r="BD131" i="17"/>
  <c r="AB111" i="39"/>
  <c r="BD162" i="17"/>
  <c r="AA167" i="39"/>
  <c r="BD130" i="17"/>
  <c r="AA111" i="39"/>
  <c r="BD129" i="17"/>
  <c r="AB110" i="39"/>
  <c r="BD218" i="17"/>
  <c r="AA202" i="39"/>
  <c r="BD339" i="17"/>
  <c r="AA130" i="39"/>
  <c r="BD142" i="17"/>
  <c r="AE156" i="39"/>
  <c r="BD356" i="17"/>
  <c r="AB140" i="39"/>
  <c r="BD240" i="17"/>
  <c r="AA214" i="39"/>
  <c r="BD174" i="17"/>
  <c r="AA174" i="39"/>
  <c r="BD211" i="17"/>
  <c r="AB196" i="39"/>
  <c r="BD235" i="17"/>
  <c r="AB210" i="39"/>
  <c r="N210" i="39" s="1"/>
  <c r="P210" i="39" s="1"/>
  <c r="BD350" i="17"/>
  <c r="AB137" i="39"/>
  <c r="BD155" i="17"/>
  <c r="AB162" i="39"/>
  <c r="BD363" i="17"/>
  <c r="AA145" i="39"/>
  <c r="BD147" i="17"/>
  <c r="AF158" i="39"/>
  <c r="BD145" i="17"/>
  <c r="AF157" i="39"/>
  <c r="BD367" i="17"/>
  <c r="AA147" i="39"/>
  <c r="BD114" i="17"/>
  <c r="AA99" i="39"/>
  <c r="BD115" i="17"/>
  <c r="AB99" i="39"/>
  <c r="BD89" i="17"/>
  <c r="AB78" i="39"/>
  <c r="BD97" i="17"/>
  <c r="AB83" i="39"/>
  <c r="BD117" i="17"/>
  <c r="AB100" i="39"/>
  <c r="BD96" i="17"/>
  <c r="AA83" i="39"/>
  <c r="BD80" i="17"/>
  <c r="AA73" i="39"/>
  <c r="BD88" i="17"/>
  <c r="AA78" i="39"/>
  <c r="BD116" i="17"/>
  <c r="AA100" i="39"/>
  <c r="BD78" i="17"/>
  <c r="AA72" i="39"/>
  <c r="N72" i="39" s="1"/>
  <c r="P72" i="39" s="1"/>
  <c r="BD84" i="17"/>
  <c r="AA75" i="39"/>
  <c r="BD85" i="17"/>
  <c r="AB75" i="39"/>
  <c r="AF38" i="17"/>
  <c r="BD38" i="17" s="1"/>
  <c r="BD113" i="17"/>
  <c r="AB97" i="39"/>
  <c r="BD101" i="17"/>
  <c r="AB88" i="39"/>
  <c r="BD112" i="17"/>
  <c r="AA97" i="39"/>
  <c r="BD122" i="17"/>
  <c r="AA104" i="39"/>
  <c r="BD87" i="17"/>
  <c r="AB76" i="39"/>
  <c r="BD121" i="17"/>
  <c r="AB103" i="39"/>
  <c r="BD30" i="17"/>
  <c r="AA86" i="39"/>
  <c r="BD120" i="17"/>
  <c r="AA103" i="39"/>
  <c r="BD109" i="17"/>
  <c r="AB95" i="39"/>
  <c r="N95" i="39" s="1"/>
  <c r="P95" i="39" s="1"/>
  <c r="BD105" i="17"/>
  <c r="AB93" i="39"/>
  <c r="BD123" i="17"/>
  <c r="AB104" i="39"/>
  <c r="BD107" i="17"/>
  <c r="AB94" i="39"/>
  <c r="N94" i="39" s="1"/>
  <c r="BD98" i="17"/>
  <c r="AA87" i="39"/>
  <c r="N87" i="39" s="1"/>
  <c r="P87" i="39" s="1"/>
  <c r="BD118" i="17"/>
  <c r="AA102" i="39"/>
  <c r="BD81" i="17"/>
  <c r="AB73" i="39"/>
  <c r="BD110" i="17"/>
  <c r="AA96" i="39"/>
  <c r="BD91" i="17"/>
  <c r="AB79" i="39"/>
  <c r="BD90" i="17"/>
  <c r="AA79" i="39"/>
  <c r="BD100" i="17"/>
  <c r="AA88" i="39"/>
  <c r="BD86" i="17"/>
  <c r="AA76" i="39"/>
  <c r="BD104" i="17"/>
  <c r="AA93" i="39"/>
  <c r="BD66" i="17"/>
  <c r="AA64" i="39"/>
  <c r="BD76" i="17"/>
  <c r="AA71" i="39"/>
  <c r="BD71" i="17"/>
  <c r="AB68" i="39"/>
  <c r="BD69" i="17"/>
  <c r="AB65" i="39"/>
  <c r="AF93" i="17"/>
  <c r="BD67" i="17"/>
  <c r="AB64" i="39"/>
  <c r="AF295" i="17"/>
  <c r="BD74" i="17"/>
  <c r="AA70" i="39"/>
  <c r="AF59" i="17"/>
  <c r="AA58" i="39" s="1"/>
  <c r="BD296" i="17"/>
  <c r="AB66" i="39"/>
  <c r="BD68" i="17"/>
  <c r="AA65" i="39"/>
  <c r="BD73" i="17"/>
  <c r="AB69" i="39"/>
  <c r="BD72" i="17"/>
  <c r="AA69" i="39"/>
  <c r="BD49" i="17"/>
  <c r="AA51" i="39"/>
  <c r="BD62" i="17"/>
  <c r="AB59" i="39"/>
  <c r="BD278" i="17"/>
  <c r="AB36" i="39"/>
  <c r="BD285" i="17"/>
  <c r="AA44" i="39"/>
  <c r="BD273" i="17"/>
  <c r="AA34" i="39"/>
  <c r="BD51" i="17"/>
  <c r="AA53" i="39"/>
  <c r="BD42" i="17"/>
  <c r="AA45" i="39"/>
  <c r="BD18" i="17"/>
  <c r="AB28" i="39"/>
  <c r="BD58" i="17"/>
  <c r="AB57" i="39"/>
  <c r="BD56" i="17"/>
  <c r="AB55" i="39"/>
  <c r="N55" i="39" s="1"/>
  <c r="P55" i="39" s="1"/>
  <c r="BD291" i="17"/>
  <c r="AA60" i="39"/>
  <c r="N60" i="39" s="1"/>
  <c r="P60" i="39" s="1"/>
  <c r="BD272" i="17"/>
  <c r="AB33" i="39"/>
  <c r="BD43" i="17"/>
  <c r="AB45" i="39"/>
  <c r="BD17" i="17"/>
  <c r="AA28" i="39"/>
  <c r="N28" i="39" s="1"/>
  <c r="P28" i="39" s="1"/>
  <c r="BD45" i="17"/>
  <c r="AB20" i="39"/>
  <c r="BD52" i="17"/>
  <c r="AB53" i="39"/>
  <c r="BD46" i="17"/>
  <c r="AA48" i="39"/>
  <c r="BD32" i="17"/>
  <c r="AA37" i="39"/>
  <c r="BD53" i="17"/>
  <c r="AA54" i="39"/>
  <c r="BD50" i="17"/>
  <c r="AB51" i="39"/>
  <c r="BD65" i="17"/>
  <c r="AA62" i="39"/>
  <c r="N62" i="39" s="1"/>
  <c r="P62" i="39" s="1"/>
  <c r="BD44" i="17"/>
  <c r="AA20" i="39"/>
  <c r="BD57" i="17"/>
  <c r="AA57" i="39"/>
  <c r="BD286" i="17"/>
  <c r="AB44" i="39"/>
  <c r="BD48" i="17"/>
  <c r="AB50" i="39"/>
  <c r="BD64" i="17"/>
  <c r="AB61" i="39"/>
  <c r="BD262" i="17"/>
  <c r="AA24" i="39"/>
  <c r="N24" i="39" s="1"/>
  <c r="BD63" i="17"/>
  <c r="AA61" i="39"/>
  <c r="BD60" i="17"/>
  <c r="AB58" i="39"/>
  <c r="BD13" i="17"/>
  <c r="AA25" i="39"/>
  <c r="N25" i="39" s="1"/>
  <c r="BD277" i="17"/>
  <c r="AA36" i="39"/>
  <c r="BD54" i="17"/>
  <c r="AB54" i="39"/>
  <c r="O14" i="39"/>
  <c r="O15" i="39"/>
  <c r="AF202" i="17"/>
  <c r="O16" i="39"/>
  <c r="O18" i="39"/>
  <c r="AF153" i="17"/>
  <c r="BD279" i="17"/>
  <c r="AA19" i="39"/>
  <c r="BD280" i="17"/>
  <c r="AB19" i="39"/>
  <c r="O7" i="39"/>
  <c r="O9" i="39"/>
  <c r="O8" i="39"/>
  <c r="O6" i="39"/>
  <c r="O13" i="39"/>
  <c r="O11" i="39"/>
  <c r="BD27" i="17"/>
  <c r="AB16" i="39"/>
  <c r="BD24" i="17"/>
  <c r="AA15" i="39"/>
  <c r="BD25" i="17"/>
  <c r="AB15" i="39"/>
  <c r="AF249" i="17"/>
  <c r="O12" i="39"/>
  <c r="AF144" i="17"/>
  <c r="O10" i="39"/>
  <c r="BD29" i="17"/>
  <c r="AB18" i="39"/>
  <c r="AF192" i="17"/>
  <c r="AF154" i="17"/>
  <c r="AF40" i="17"/>
  <c r="AF172" i="17"/>
  <c r="O4" i="39"/>
  <c r="AF362" i="17"/>
  <c r="AF250" i="17"/>
  <c r="AF111" i="17"/>
  <c r="BD23" i="17"/>
  <c r="AB14" i="39"/>
  <c r="BD22" i="17"/>
  <c r="AA14" i="39"/>
  <c r="BD26" i="17"/>
  <c r="AA16" i="39"/>
  <c r="BD28" i="17"/>
  <c r="AA18" i="39"/>
  <c r="AF255" i="17"/>
  <c r="BD5" i="17"/>
  <c r="AB7" i="39"/>
  <c r="BD387" i="17"/>
  <c r="AB8" i="39"/>
  <c r="BD10" i="17"/>
  <c r="AA12" i="39"/>
  <c r="BD389" i="17"/>
  <c r="AB10" i="39"/>
  <c r="BD6" i="17"/>
  <c r="AA9" i="39"/>
  <c r="BD7" i="17"/>
  <c r="AB9" i="39"/>
  <c r="BD390" i="17"/>
  <c r="AB13" i="39"/>
  <c r="BD4" i="17"/>
  <c r="AA7" i="39"/>
  <c r="BD388" i="17"/>
  <c r="AA10" i="39"/>
  <c r="BD3" i="17"/>
  <c r="AA6" i="39"/>
  <c r="BD8" i="17"/>
  <c r="AA11" i="39"/>
  <c r="AF333" i="17"/>
  <c r="BD9" i="17"/>
  <c r="AB11" i="39"/>
  <c r="BD12" i="17"/>
  <c r="AA13" i="39"/>
  <c r="AF238" i="17"/>
  <c r="BD11" i="17"/>
  <c r="AB12" i="39"/>
  <c r="BD383" i="17"/>
  <c r="AA4" i="39"/>
  <c r="AF213" i="17"/>
  <c r="BD385" i="17"/>
  <c r="AB6" i="39"/>
  <c r="AF75" i="17"/>
  <c r="AF208" i="17"/>
  <c r="BD386" i="17"/>
  <c r="AA8" i="39"/>
  <c r="BD384" i="17"/>
  <c r="AB4" i="39"/>
  <c r="AF206" i="17"/>
  <c r="AF92" i="17"/>
  <c r="AF266" i="17"/>
  <c r="AF196" i="17"/>
  <c r="AF95" i="17"/>
  <c r="AF204" i="17"/>
  <c r="AF33" i="17"/>
  <c r="AF232" i="17"/>
  <c r="AF61" i="17"/>
  <c r="AF102" i="17"/>
  <c r="AF35" i="17"/>
  <c r="AF217" i="17"/>
  <c r="AF168" i="17"/>
  <c r="AF221" i="17"/>
  <c r="AF175" i="17"/>
  <c r="AF31" i="17"/>
  <c r="AF134" i="17"/>
  <c r="AF47" i="17"/>
  <c r="AF41" i="17"/>
  <c r="AF173" i="17"/>
  <c r="AF190" i="17"/>
  <c r="AF166" i="17"/>
  <c r="AF274" i="17"/>
  <c r="AF19" i="17"/>
  <c r="AF365" i="17"/>
  <c r="AF70" i="17"/>
  <c r="AF258" i="17"/>
  <c r="AF227" i="17"/>
  <c r="AF259" i="17"/>
  <c r="AF183" i="17"/>
  <c r="AF197" i="17"/>
  <c r="AF253" i="17"/>
  <c r="AF83" i="17"/>
  <c r="AF119" i="17"/>
  <c r="AF103" i="17"/>
  <c r="AF177" i="17"/>
  <c r="AF39" i="17"/>
  <c r="AF231" i="17"/>
  <c r="AF224" i="17"/>
  <c r="AF77" i="17"/>
  <c r="AF136" i="17"/>
  <c r="AF34" i="17"/>
  <c r="AF207" i="17"/>
  <c r="AF138" i="17"/>
  <c r="AF179" i="17"/>
  <c r="AF271" i="17"/>
  <c r="AF124" i="17"/>
  <c r="AF203" i="17"/>
  <c r="AF368" i="17"/>
  <c r="AF270" i="17"/>
  <c r="E23" i="65"/>
  <c r="AJ2" i="17"/>
  <c r="H5" i="65"/>
  <c r="C44" i="65"/>
  <c r="C35" i="65"/>
  <c r="C27" i="65"/>
  <c r="C38" i="65"/>
  <c r="C26" i="65"/>
  <c r="E42" i="65"/>
  <c r="C41" i="65"/>
  <c r="C30" i="65"/>
  <c r="C43" i="65"/>
  <c r="O5" i="65"/>
  <c r="C32" i="65"/>
  <c r="C33" i="65"/>
  <c r="C34" i="65"/>
  <c r="C11" i="65"/>
  <c r="E41" i="65"/>
  <c r="E40" i="65"/>
  <c r="D43" i="65"/>
  <c r="E43" i="65"/>
  <c r="E38" i="65"/>
  <c r="C42" i="65"/>
  <c r="C40" i="65"/>
  <c r="E44" i="65"/>
  <c r="C45" i="65"/>
  <c r="L5" i="65"/>
  <c r="D45" i="65"/>
  <c r="D44" i="65"/>
  <c r="C28" i="65"/>
  <c r="C31" i="65"/>
  <c r="C29" i="65"/>
  <c r="C37" i="65"/>
  <c r="C39" i="65"/>
  <c r="E39" i="65"/>
  <c r="C25" i="65"/>
  <c r="C36" i="65"/>
  <c r="E45" i="65"/>
  <c r="P94" i="39" l="1"/>
  <c r="D17" i="65"/>
  <c r="N214" i="39"/>
  <c r="P214" i="39" s="1"/>
  <c r="AB115" i="39"/>
  <c r="O121" i="39"/>
  <c r="E11" i="65" s="1"/>
  <c r="N16" i="39"/>
  <c r="P16" i="39" s="1"/>
  <c r="AB180" i="39"/>
  <c r="N180" i="39" s="1"/>
  <c r="P180" i="39" s="1"/>
  <c r="N199" i="39"/>
  <c r="P199" i="39" s="1"/>
  <c r="BD146" i="17"/>
  <c r="BD181" i="17"/>
  <c r="AA218" i="39"/>
  <c r="BD59" i="17"/>
  <c r="AA41" i="39"/>
  <c r="N215" i="39"/>
  <c r="P215" i="39" s="1"/>
  <c r="AB209" i="39"/>
  <c r="N167" i="39"/>
  <c r="P167" i="39" s="1"/>
  <c r="N190" i="39"/>
  <c r="P190" i="39" s="1"/>
  <c r="N145" i="39"/>
  <c r="P145" i="39" s="1"/>
  <c r="N160" i="39"/>
  <c r="P160" i="39" s="1"/>
  <c r="N202" i="39"/>
  <c r="P202" i="39" s="1"/>
  <c r="O139" i="39"/>
  <c r="N177" i="39"/>
  <c r="P177" i="39" s="1"/>
  <c r="N109" i="39"/>
  <c r="P109" i="39" s="1"/>
  <c r="N111" i="39"/>
  <c r="P111" i="39" s="1"/>
  <c r="N163" i="39"/>
  <c r="P163" i="39" s="1"/>
  <c r="N216" i="39"/>
  <c r="P216" i="39" s="1"/>
  <c r="N164" i="39"/>
  <c r="P164" i="39" s="1"/>
  <c r="N151" i="39"/>
  <c r="P151" i="39" s="1"/>
  <c r="N130" i="39"/>
  <c r="P130" i="39" s="1"/>
  <c r="P24" i="39"/>
  <c r="P5" i="65"/>
  <c r="N150" i="39"/>
  <c r="P150" i="39" s="1"/>
  <c r="O156" i="39"/>
  <c r="N185" i="39"/>
  <c r="P185" i="39" s="1"/>
  <c r="N211" i="39"/>
  <c r="P211" i="39" s="1"/>
  <c r="O149" i="39"/>
  <c r="P25" i="39"/>
  <c r="BD368" i="17"/>
  <c r="AB147" i="39"/>
  <c r="N147" i="39" s="1"/>
  <c r="P147" i="39" s="1"/>
  <c r="BD203" i="17"/>
  <c r="AB191" i="39"/>
  <c r="BD124" i="17"/>
  <c r="AA108" i="39"/>
  <c r="N108" i="39" s="1"/>
  <c r="P108" i="39" s="1"/>
  <c r="BD179" i="17"/>
  <c r="AB176" i="39"/>
  <c r="N176" i="39" s="1"/>
  <c r="P176" i="39" s="1"/>
  <c r="BD138" i="17"/>
  <c r="AA115" i="39"/>
  <c r="BD207" i="17"/>
  <c r="AB194" i="39"/>
  <c r="BD136" i="17"/>
  <c r="AA114" i="39"/>
  <c r="N114" i="39" s="1"/>
  <c r="P114" i="39" s="1"/>
  <c r="BD224" i="17"/>
  <c r="AA205" i="39"/>
  <c r="N205" i="39" s="1"/>
  <c r="P205" i="39" s="1"/>
  <c r="BD231" i="17"/>
  <c r="AB208" i="39"/>
  <c r="N208" i="39" s="1"/>
  <c r="P208" i="39" s="1"/>
  <c r="BD177" i="17"/>
  <c r="AB175" i="39"/>
  <c r="N175" i="39" s="1"/>
  <c r="P175" i="39" s="1"/>
  <c r="BD253" i="17"/>
  <c r="AB220" i="39"/>
  <c r="N220" i="39" s="1"/>
  <c r="P220" i="39" s="1"/>
  <c r="BD197" i="17"/>
  <c r="AB186" i="39"/>
  <c r="BD183" i="17"/>
  <c r="AB178" i="39"/>
  <c r="N178" i="39" s="1"/>
  <c r="P178" i="39" s="1"/>
  <c r="BD259" i="17"/>
  <c r="AB224" i="39"/>
  <c r="BD227" i="17"/>
  <c r="AB206" i="39"/>
  <c r="N206" i="39" s="1"/>
  <c r="P206" i="39" s="1"/>
  <c r="BD258" i="17"/>
  <c r="AA224" i="39"/>
  <c r="BD365" i="17"/>
  <c r="AA146" i="39"/>
  <c r="N146" i="39" s="1"/>
  <c r="P146" i="39" s="1"/>
  <c r="BD166" i="17"/>
  <c r="AA170" i="39"/>
  <c r="N170" i="39" s="1"/>
  <c r="BD190" i="17"/>
  <c r="AA183" i="39"/>
  <c r="N183" i="39" s="1"/>
  <c r="P183" i="39" s="1"/>
  <c r="BD173" i="17"/>
  <c r="AB173" i="39"/>
  <c r="BD134" i="17"/>
  <c r="AA113" i="39"/>
  <c r="N113" i="39" s="1"/>
  <c r="P113" i="39" s="1"/>
  <c r="BD175" i="17"/>
  <c r="AB174" i="39"/>
  <c r="N174" i="39" s="1"/>
  <c r="P174" i="39" s="1"/>
  <c r="BD221" i="17"/>
  <c r="AB203" i="39"/>
  <c r="N203" i="39" s="1"/>
  <c r="P203" i="39" s="1"/>
  <c r="BD168" i="17"/>
  <c r="AA171" i="39"/>
  <c r="N171" i="39" s="1"/>
  <c r="P171" i="39" s="1"/>
  <c r="BD217" i="17"/>
  <c r="AB201" i="39"/>
  <c r="N201" i="39" s="1"/>
  <c r="P201" i="39" s="1"/>
  <c r="BD232" i="17"/>
  <c r="AA209" i="39"/>
  <c r="BD204" i="17"/>
  <c r="AA193" i="39"/>
  <c r="N193" i="39" s="1"/>
  <c r="P193" i="39" s="1"/>
  <c r="BD196" i="17"/>
  <c r="AA186" i="39"/>
  <c r="BD206" i="17"/>
  <c r="AA194" i="39"/>
  <c r="BD208" i="17"/>
  <c r="AA195" i="39"/>
  <c r="N195" i="39" s="1"/>
  <c r="P195" i="39" s="1"/>
  <c r="BD213" i="17"/>
  <c r="AB197" i="39"/>
  <c r="N197" i="39" s="1"/>
  <c r="P197" i="39" s="1"/>
  <c r="BD238" i="17"/>
  <c r="AA212" i="39"/>
  <c r="N212" i="39" s="1"/>
  <c r="P212" i="39" s="1"/>
  <c r="BD333" i="17"/>
  <c r="AA125" i="39"/>
  <c r="N125" i="39" s="1"/>
  <c r="P125" i="39" s="1"/>
  <c r="BD255" i="17"/>
  <c r="AB221" i="39"/>
  <c r="N221" i="39" s="1"/>
  <c r="P221" i="39" s="1"/>
  <c r="BD250" i="17"/>
  <c r="AA219" i="39"/>
  <c r="N219" i="39" s="1"/>
  <c r="P219" i="39" s="1"/>
  <c r="BD362" i="17"/>
  <c r="AB143" i="39"/>
  <c r="N143" i="39" s="1"/>
  <c r="P143" i="39" s="1"/>
  <c r="BD172" i="17"/>
  <c r="AA173" i="39"/>
  <c r="BD154" i="17"/>
  <c r="AA162" i="39"/>
  <c r="N162" i="39" s="1"/>
  <c r="P162" i="39" s="1"/>
  <c r="BD192" i="17"/>
  <c r="AA184" i="39"/>
  <c r="N184" i="39" s="1"/>
  <c r="P184" i="39" s="1"/>
  <c r="BD144" i="17"/>
  <c r="AE157" i="39"/>
  <c r="O157" i="39" s="1"/>
  <c r="BD249" i="17"/>
  <c r="AB218" i="39"/>
  <c r="N218" i="39" s="1"/>
  <c r="P218" i="39" s="1"/>
  <c r="BD153" i="17"/>
  <c r="AB161" i="39"/>
  <c r="N161" i="39" s="1"/>
  <c r="P161" i="39" s="1"/>
  <c r="BD202" i="17"/>
  <c r="AA191" i="39"/>
  <c r="N191" i="39" s="1"/>
  <c r="P191" i="39" s="1"/>
  <c r="N140" i="39"/>
  <c r="P140" i="39" s="1"/>
  <c r="N196" i="39"/>
  <c r="P196" i="39" s="1"/>
  <c r="N159" i="39"/>
  <c r="P159" i="39" s="1"/>
  <c r="N112" i="39"/>
  <c r="P112" i="39" s="1"/>
  <c r="N110" i="39"/>
  <c r="P110" i="39" s="1"/>
  <c r="N181" i="39"/>
  <c r="P181" i="39" s="1"/>
  <c r="O141" i="39"/>
  <c r="N138" i="39"/>
  <c r="P138" i="39" s="1"/>
  <c r="N128" i="39"/>
  <c r="P128" i="39" s="1"/>
  <c r="N137" i="39"/>
  <c r="P137" i="39" s="1"/>
  <c r="O158" i="39"/>
  <c r="N122" i="39"/>
  <c r="P122" i="39" s="1"/>
  <c r="O134" i="39"/>
  <c r="N148" i="39"/>
  <c r="P148" i="39" s="1"/>
  <c r="N153" i="39"/>
  <c r="P153" i="39" s="1"/>
  <c r="N172" i="39"/>
  <c r="P172" i="39" s="1"/>
  <c r="N179" i="39"/>
  <c r="P179" i="39" s="1"/>
  <c r="N135" i="39"/>
  <c r="P135" i="39" s="1"/>
  <c r="N133" i="39"/>
  <c r="P133" i="39" s="1"/>
  <c r="N132" i="39"/>
  <c r="P132" i="39" s="1"/>
  <c r="O124" i="39"/>
  <c r="N152" i="39"/>
  <c r="P152" i="39" s="1"/>
  <c r="N142" i="39"/>
  <c r="P142" i="39" s="1"/>
  <c r="N119" i="39"/>
  <c r="P119" i="39" s="1"/>
  <c r="N166" i="39"/>
  <c r="P166" i="39" s="1"/>
  <c r="N155" i="39"/>
  <c r="P155" i="39" s="1"/>
  <c r="N223" i="39"/>
  <c r="P223" i="39" s="1"/>
  <c r="N64" i="39"/>
  <c r="P64" i="39" s="1"/>
  <c r="N99" i="39"/>
  <c r="P99" i="39" s="1"/>
  <c r="N93" i="39"/>
  <c r="P93" i="39" s="1"/>
  <c r="N97" i="39"/>
  <c r="P97" i="39" s="1"/>
  <c r="N100" i="39"/>
  <c r="P100" i="39" s="1"/>
  <c r="N78" i="39"/>
  <c r="P78" i="39" s="1"/>
  <c r="N75" i="39"/>
  <c r="P75" i="39" s="1"/>
  <c r="N103" i="39"/>
  <c r="P103" i="39" s="1"/>
  <c r="BD93" i="17"/>
  <c r="AB81" i="39"/>
  <c r="N88" i="39"/>
  <c r="P88" i="39" s="1"/>
  <c r="BD119" i="17"/>
  <c r="AB102" i="39"/>
  <c r="N102" i="39" s="1"/>
  <c r="P102" i="39" s="1"/>
  <c r="BD83" i="17"/>
  <c r="AB74" i="39"/>
  <c r="N74" i="39" s="1"/>
  <c r="P74" i="39" s="1"/>
  <c r="BD102" i="17"/>
  <c r="AA89" i="39"/>
  <c r="BD111" i="17"/>
  <c r="AB96" i="39"/>
  <c r="N96" i="39" s="1"/>
  <c r="P96" i="39" s="1"/>
  <c r="N73" i="39"/>
  <c r="P73" i="39" s="1"/>
  <c r="BD103" i="17"/>
  <c r="AB89" i="39"/>
  <c r="N79" i="39"/>
  <c r="P79" i="39" s="1"/>
  <c r="BD92" i="17"/>
  <c r="AA81" i="39"/>
  <c r="N83" i="39"/>
  <c r="P83" i="39" s="1"/>
  <c r="BD31" i="17"/>
  <c r="AB86" i="39"/>
  <c r="N86" i="39" s="1"/>
  <c r="P86" i="39" s="1"/>
  <c r="BD95" i="17"/>
  <c r="AB82" i="39"/>
  <c r="N82" i="39" s="1"/>
  <c r="P82" i="39" s="1"/>
  <c r="N104" i="39"/>
  <c r="N76" i="39"/>
  <c r="P76" i="39" s="1"/>
  <c r="N65" i="39"/>
  <c r="P65" i="39" s="1"/>
  <c r="N69" i="39"/>
  <c r="P69" i="39" s="1"/>
  <c r="BD70" i="17"/>
  <c r="AA68" i="39"/>
  <c r="N68" i="39" s="1"/>
  <c r="P68" i="39" s="1"/>
  <c r="BD295" i="17"/>
  <c r="AA66" i="39"/>
  <c r="N66" i="39" s="1"/>
  <c r="P66" i="39" s="1"/>
  <c r="BD75" i="17"/>
  <c r="AB70" i="39"/>
  <c r="N70" i="39" s="1"/>
  <c r="P70" i="39" s="1"/>
  <c r="BD77" i="17"/>
  <c r="AB71" i="39"/>
  <c r="N71" i="39" s="1"/>
  <c r="P71" i="39" s="1"/>
  <c r="N61" i="39"/>
  <c r="P61" i="39" s="1"/>
  <c r="N20" i="39"/>
  <c r="P20" i="39" s="1"/>
  <c r="BD266" i="17"/>
  <c r="AA29" i="39"/>
  <c r="N29" i="39" s="1"/>
  <c r="BD270" i="17"/>
  <c r="AB31" i="39"/>
  <c r="BD39" i="17"/>
  <c r="AB41" i="39"/>
  <c r="BD274" i="17"/>
  <c r="AB34" i="39"/>
  <c r="N34" i="39" s="1"/>
  <c r="P34" i="39" s="1"/>
  <c r="N44" i="39"/>
  <c r="P44" i="39" s="1"/>
  <c r="BD19" i="17"/>
  <c r="AA31" i="39"/>
  <c r="BD271" i="17"/>
  <c r="AA33" i="39"/>
  <c r="N33" i="39" s="1"/>
  <c r="P33" i="39" s="1"/>
  <c r="BD35" i="17"/>
  <c r="AB39" i="39"/>
  <c r="BD61" i="17"/>
  <c r="AA59" i="39"/>
  <c r="N59" i="39" s="1"/>
  <c r="P59" i="39" s="1"/>
  <c r="BD41" i="17"/>
  <c r="AB42" i="39"/>
  <c r="N36" i="39"/>
  <c r="N54" i="39"/>
  <c r="P54" i="39" s="1"/>
  <c r="BD34" i="17"/>
  <c r="AA39" i="39"/>
  <c r="BD47" i="17"/>
  <c r="AA50" i="39"/>
  <c r="N50" i="39" s="1"/>
  <c r="P50" i="39" s="1"/>
  <c r="BD33" i="17"/>
  <c r="AB37" i="39"/>
  <c r="N37" i="39" s="1"/>
  <c r="P37" i="39" s="1"/>
  <c r="N45" i="39"/>
  <c r="P45" i="39" s="1"/>
  <c r="BD40" i="17"/>
  <c r="AA42" i="39"/>
  <c r="AB48" i="39"/>
  <c r="N48" i="39" s="1"/>
  <c r="P48" i="39" s="1"/>
  <c r="N57" i="39"/>
  <c r="P57" i="39" s="1"/>
  <c r="N58" i="39"/>
  <c r="P58" i="39" s="1"/>
  <c r="N53" i="39"/>
  <c r="P53" i="39" s="1"/>
  <c r="N51" i="39"/>
  <c r="P51" i="39" s="1"/>
  <c r="N19" i="39"/>
  <c r="P19" i="39" s="1"/>
  <c r="E12" i="65"/>
  <c r="N18" i="39"/>
  <c r="P18" i="39" s="1"/>
  <c r="N15" i="39"/>
  <c r="P15" i="39" s="1"/>
  <c r="N14" i="39"/>
  <c r="P14" i="39" s="1"/>
  <c r="N7" i="39"/>
  <c r="P7" i="39" s="1"/>
  <c r="N10" i="39"/>
  <c r="P10" i="39" s="1"/>
  <c r="N9" i="39"/>
  <c r="P9" i="39" s="1"/>
  <c r="N13" i="39"/>
  <c r="P13" i="39" s="1"/>
  <c r="N8" i="39"/>
  <c r="P8" i="39" s="1"/>
  <c r="N11" i="39"/>
  <c r="P11" i="39" s="1"/>
  <c r="N4" i="39"/>
  <c r="P4" i="39" s="1"/>
  <c r="N6" i="39"/>
  <c r="P6" i="39" s="1"/>
  <c r="N12" i="39"/>
  <c r="P12" i="39" s="1"/>
  <c r="E27" i="65"/>
  <c r="E18" i="65"/>
  <c r="E19" i="65"/>
  <c r="L8" i="65"/>
  <c r="H31" i="65"/>
  <c r="A45" i="65" s="1"/>
  <c r="E37" i="65"/>
  <c r="C13" i="65"/>
  <c r="C16" i="65"/>
  <c r="C12" i="65"/>
  <c r="I5" i="65"/>
  <c r="I9" i="65"/>
  <c r="Z16" i="65" s="1"/>
  <c r="J10" i="65"/>
  <c r="A3" i="65"/>
  <c r="J9" i="65"/>
  <c r="R5" i="65"/>
  <c r="E35" i="65"/>
  <c r="P104" i="39" l="1"/>
  <c r="D15" i="65"/>
  <c r="N115" i="39"/>
  <c r="P115" i="39" s="1"/>
  <c r="N209" i="39"/>
  <c r="P209" i="39" s="1"/>
  <c r="N41" i="39"/>
  <c r="P41" i="39" s="1"/>
  <c r="D9" i="65"/>
  <c r="N194" i="39"/>
  <c r="P194" i="39" s="1"/>
  <c r="N173" i="39"/>
  <c r="P173" i="39" s="1"/>
  <c r="P29" i="39"/>
  <c r="D14" i="65"/>
  <c r="N186" i="39"/>
  <c r="P186" i="39" s="1"/>
  <c r="N224" i="39"/>
  <c r="P224" i="39" s="1"/>
  <c r="P170" i="39"/>
  <c r="P36" i="39"/>
  <c r="D21" i="65"/>
  <c r="N81" i="39"/>
  <c r="P81" i="39" s="1"/>
  <c r="N89" i="39"/>
  <c r="P89" i="39" s="1"/>
  <c r="N42" i="39"/>
  <c r="P42" i="39" s="1"/>
  <c r="N39" i="39"/>
  <c r="N31" i="39"/>
  <c r="P31" i="39" s="1"/>
  <c r="Z24" i="65"/>
  <c r="Z20" i="65"/>
  <c r="H19" i="65"/>
  <c r="A21" i="65" s="1"/>
  <c r="D24" i="65"/>
  <c r="D22" i="65"/>
  <c r="H20" i="65"/>
  <c r="A23" i="65" s="1"/>
  <c r="H13" i="65"/>
  <c r="A9" i="65" s="1"/>
  <c r="Z22" i="65"/>
  <c r="Z17" i="65"/>
  <c r="Z18" i="65"/>
  <c r="Z28" i="65"/>
  <c r="Z15" i="65"/>
  <c r="Z27" i="65"/>
  <c r="Z11" i="65"/>
  <c r="Z14" i="65"/>
  <c r="H23" i="65"/>
  <c r="A29" i="65" s="1"/>
  <c r="H22" i="65"/>
  <c r="A27" i="65" s="1"/>
  <c r="H21" i="65"/>
  <c r="A25" i="65" s="1"/>
  <c r="H18" i="65"/>
  <c r="A19" i="65" s="1"/>
  <c r="H29" i="65"/>
  <c r="A41" i="65" s="1"/>
  <c r="H28" i="65"/>
  <c r="A39" i="65" s="1"/>
  <c r="H27" i="65"/>
  <c r="A37" i="65" s="1"/>
  <c r="H24" i="65"/>
  <c r="A31" i="65" s="1"/>
  <c r="H26" i="65"/>
  <c r="A35" i="65" s="1"/>
  <c r="H25" i="65"/>
  <c r="A33" i="65" s="1"/>
  <c r="Z23" i="65"/>
  <c r="Z26" i="65"/>
  <c r="Z12" i="65"/>
  <c r="Z13" i="65"/>
  <c r="Z21" i="65"/>
  <c r="Z25" i="65"/>
  <c r="Z19" i="65"/>
  <c r="Z10" i="65"/>
  <c r="D42" i="65"/>
  <c r="A5" i="65"/>
  <c r="D39" i="65"/>
  <c r="D28" i="65"/>
  <c r="E30" i="65"/>
  <c r="E31" i="65"/>
  <c r="E33" i="65"/>
  <c r="E28" i="65"/>
  <c r="E36" i="65"/>
  <c r="E32" i="65"/>
  <c r="E29" i="65"/>
  <c r="E34" i="65"/>
  <c r="E10" i="65"/>
  <c r="E25" i="65"/>
  <c r="E9" i="65"/>
  <c r="E14" i="65"/>
  <c r="E15" i="65"/>
  <c r="E16" i="65"/>
  <c r="D29" i="65"/>
  <c r="D31" i="65"/>
  <c r="E13" i="65"/>
  <c r="D27" i="65"/>
  <c r="H17" i="65"/>
  <c r="A17" i="65" s="1"/>
  <c r="H14" i="65"/>
  <c r="A11" i="65" s="1"/>
  <c r="H15" i="65"/>
  <c r="A13" i="65" s="1"/>
  <c r="H16" i="65"/>
  <c r="A15" i="65" s="1"/>
  <c r="H12" i="65"/>
  <c r="A7" i="65" s="1"/>
  <c r="E26" i="65"/>
  <c r="E8" i="65"/>
  <c r="P39" i="39" l="1"/>
  <c r="D10" i="65"/>
  <c r="D34" i="65"/>
  <c r="D20" i="65" l="1"/>
  <c r="H9" i="65" l="1"/>
  <c r="D33" i="65" l="1"/>
  <c r="E24" i="65"/>
  <c r="E17" i="65" l="1"/>
  <c r="E21" i="65"/>
  <c r="D32" i="65"/>
  <c r="D41" i="65"/>
  <c r="D37" i="65"/>
  <c r="D18" i="65"/>
  <c r="D40" i="65"/>
  <c r="D26" i="65"/>
  <c r="D25" i="65"/>
  <c r="D38" i="65"/>
  <c r="D35" i="65"/>
  <c r="D30" i="65"/>
  <c r="E20" i="65"/>
  <c r="E22" i="65"/>
  <c r="D23" i="65" l="1"/>
  <c r="D36" i="65"/>
  <c r="D19" i="65"/>
  <c r="D11" i="65" l="1"/>
  <c r="D16" i="65" l="1"/>
  <c r="Q5" i="65" l="1"/>
  <c r="D13" i="65" l="1"/>
  <c r="D12" i="65" l="1"/>
  <c r="D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de Souza da Silva</author>
    <author>Jivago Pereira</author>
  </authors>
  <commentList>
    <comment ref="A1" authorId="0" shapeId="0" xr:uid="{9A081C06-3199-402D-98EF-B68DA1DA22E4}">
      <text>
        <r>
          <rPr>
            <b/>
            <sz val="9"/>
            <color indexed="81"/>
            <rFont val="Segoe UI"/>
            <family val="2"/>
          </rPr>
          <t>Nathalia de Souza da 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=E2&amp;F2&amp;J2&amp;K2&amp;""</t>
        </r>
      </text>
    </comment>
    <comment ref="B1" authorId="0" shapeId="0" xr:uid="{1D6504E4-B14A-49FF-8A75-9D9EEAF3C1E4}">
      <text>
        <r>
          <rPr>
            <b/>
            <sz val="9"/>
            <color indexed="81"/>
            <rFont val="Segoe UI"/>
            <family val="2"/>
          </rPr>
          <t>Nathalia de Souza da 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=E2&amp;F2&amp;H2&amp;K2&amp;AI2</t>
        </r>
      </text>
    </comment>
    <comment ref="N1" authorId="1" shapeId="0" xr:uid="{00000000-0006-0000-0600-000001000000}">
      <text>
        <r>
          <rPr>
            <b/>
            <sz val="9"/>
            <color indexed="81"/>
            <rFont val="Segoe UI"/>
            <family val="2"/>
          </rPr>
          <t>Critérios Chave</t>
        </r>
      </text>
    </comment>
    <comment ref="O1" authorId="1" shapeId="0" xr:uid="{00000000-0006-0000-0600-000002000000}">
      <text>
        <r>
          <rPr>
            <b/>
            <sz val="9"/>
            <color indexed="81"/>
            <rFont val="Segoe UI"/>
            <family val="2"/>
          </rPr>
          <t>Critérios Chave</t>
        </r>
      </text>
    </comment>
    <comment ref="P1" authorId="1" shapeId="0" xr:uid="{00000000-0006-0000-0600-000003000000}">
      <text>
        <r>
          <rPr>
            <b/>
            <sz val="9"/>
            <color indexed="81"/>
            <rFont val="Segoe UI"/>
            <family val="2"/>
          </rPr>
          <t>Critérios Chave</t>
        </r>
      </text>
    </comment>
    <comment ref="Q1" authorId="1" shapeId="0" xr:uid="{00000000-0006-0000-0600-000004000000}">
      <text>
        <r>
          <rPr>
            <b/>
            <sz val="9"/>
            <color indexed="81"/>
            <rFont val="Segoe UI"/>
            <family val="2"/>
          </rPr>
          <t>Critérios Chave</t>
        </r>
      </text>
    </comment>
    <comment ref="R1" authorId="1" shapeId="0" xr:uid="{00000000-0006-0000-0600-000005000000}">
      <text>
        <r>
          <rPr>
            <b/>
            <sz val="9"/>
            <color indexed="81"/>
            <rFont val="Segoe UI"/>
            <family val="2"/>
          </rPr>
          <t>Critérios Chave</t>
        </r>
      </text>
    </comment>
    <comment ref="S1" authorId="1" shapeId="0" xr:uid="{00000000-0006-0000-0600-000006000000}">
      <text>
        <r>
          <rPr>
            <b/>
            <sz val="9"/>
            <color indexed="81"/>
            <rFont val="Segoe UI"/>
            <family val="2"/>
          </rPr>
          <t>Critérios Chave</t>
        </r>
      </text>
    </comment>
    <comment ref="AK1" authorId="0" shapeId="0" xr:uid="{408F9018-AA1A-44B7-9E83-1F0F9F23F80E}">
      <text>
        <r>
          <rPr>
            <b/>
            <sz val="9"/>
            <color indexed="81"/>
            <rFont val="Segoe UI"/>
            <family val="2"/>
          </rPr>
          <t>Nathalia de Souza da 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=E2&amp;F2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Everson Willian Koschnik</author>
  </authors>
  <commentList>
    <comment ref="U1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Everson Willian Koschnik:</t>
        </r>
        <r>
          <rPr>
            <sz val="9"/>
            <color indexed="81"/>
            <rFont val="Segoe UI"/>
            <family val="2"/>
          </rPr>
          <t xml:space="preserve">
=SE(SOMA(Tabela1[@[MOT]:[POLICIA]])=4;110%;SE(SOMA(Tabela1[@[MOT]:[POLICIA]])=3;100%;SE(OU(SOMA(Tabela1[@[MOT]:[POLICIA]])=2;SOMA(Tabela1[@[MOT]:[POLICIA]])=2,5);90%;SE(SOMA(Tabela1[@[MOT]:[POLICIA]])=2;80%;SE(SOMA(Tabela1[@[MOT]:[POLICIA]])&gt;4;110%;70%)))))</t>
        </r>
      </text>
    </comment>
    <comment ref="V1" authorId="0" shapeId="0" xr:uid="{00000000-0006-0000-0100-000002000000}">
      <text>
        <r>
          <rPr>
            <b/>
            <sz val="9"/>
            <color indexed="81"/>
            <rFont val="Segoe UI"/>
            <family val="2"/>
          </rPr>
          <t>Everson Willian Koschnik:</t>
        </r>
        <r>
          <rPr>
            <sz val="9"/>
            <color indexed="81"/>
            <rFont val="Segoe UI"/>
            <family val="2"/>
          </rPr>
          <t xml:space="preserve">
=SE([@STATUS]="INATIVO";"Adeus";SE([@[PROCESSO - CADEIA DE CONTATOS]]=70%;-10%;SE(E([@[PROCESSO - CADEIA DE CONTATOS]]&gt;80%;[@[PROCESSO - CADEIA DE CONTATOS]]&lt;100%);-5%;SE([@[PROCESSO - CADEIA DE CONTATOS]]=100%;0%;SE([@[PROCESSO - CADEIA DE CONTATOS]]&gt;100%;5%;"x")))))</t>
        </r>
      </text>
    </comment>
    <comment ref="W1" authorId="0" shapeId="0" xr:uid="{00000000-0006-0000-0100-000003000000}">
      <text>
        <r>
          <rPr>
            <b/>
            <sz val="9"/>
            <color indexed="81"/>
            <rFont val="Segoe UI"/>
            <family val="2"/>
          </rPr>
          <t>Everson Willian Koschnik:</t>
        </r>
        <r>
          <rPr>
            <sz val="9"/>
            <color indexed="81"/>
            <rFont val="Segoe UI"/>
            <family val="2"/>
          </rPr>
          <t xml:space="preserve">
=SE(E([@SETOR]="UTI";[@MOT2]&lt;&gt;"");1;SE(E([@SETOR]="UTI (RJ)";[@MOT2]&lt;&gt;"");1,5;0))</t>
        </r>
      </text>
    </comment>
    <comment ref="X1" authorId="0" shapeId="0" xr:uid="{00000000-0006-0000-0100-000004000000}">
      <text>
        <r>
          <rPr>
            <b/>
            <sz val="9"/>
            <color indexed="81"/>
            <rFont val="Segoe UI"/>
            <family val="2"/>
          </rPr>
          <t>Everson Willian Koschnik:</t>
        </r>
        <r>
          <rPr>
            <sz val="9"/>
            <color indexed="81"/>
            <rFont val="Segoe UI"/>
            <family val="2"/>
          </rPr>
          <t xml:space="preserve">
=SE(E([@SETOR]="UTI";[@PA2]&lt;&gt;"");1;SE(E([@SETOR]="UTI (RJ)";[@PA2]&lt;&gt;"");0;0))</t>
        </r>
      </text>
    </comment>
    <comment ref="Y1" authorId="0" shapeId="0" xr:uid="{00000000-0006-0000-0100-000005000000}">
      <text>
        <r>
          <rPr>
            <b/>
            <sz val="9"/>
            <color indexed="81"/>
            <rFont val="Segoe UI"/>
            <family val="2"/>
          </rPr>
          <t>Everson Willian Koschnik:</t>
        </r>
        <r>
          <rPr>
            <sz val="9"/>
            <color indexed="81"/>
            <rFont val="Segoe UI"/>
            <family val="2"/>
          </rPr>
          <t xml:space="preserve">
=SE(E([@SETOR]="UTI";[@CLI2]&lt;&gt;"");1;SE(E([@SETOR]="UTI (RJ)";[@CLI2]&lt;&gt;"");1,5;0))</t>
        </r>
      </text>
    </comment>
    <comment ref="Z1" authorId="0" shapeId="0" xr:uid="{00000000-0006-0000-0100-000006000000}">
      <text>
        <r>
          <rPr>
            <b/>
            <sz val="9"/>
            <color indexed="81"/>
            <rFont val="Segoe UI"/>
            <family val="2"/>
          </rPr>
          <t>Everson Willian Koschnik:</t>
        </r>
        <r>
          <rPr>
            <sz val="9"/>
            <color indexed="81"/>
            <rFont val="Segoe UI"/>
            <family val="2"/>
          </rPr>
          <t xml:space="preserve">
=SE(E([@SETOR]="UTI";[@POL]&lt;&gt;"");1;SE(E([@SETOR]="UTI (RJ)";[@POL]&lt;&gt;"");1;0))</t>
        </r>
      </text>
    </comment>
  </commentList>
</comments>
</file>

<file path=xl/sharedStrings.xml><?xml version="1.0" encoding="utf-8"?>
<sst xmlns="http://schemas.openxmlformats.org/spreadsheetml/2006/main" count="12510" uniqueCount="1098">
  <si>
    <t>-</t>
  </si>
  <si>
    <t>DADOS DA EQUIPE</t>
  </si>
  <si>
    <t>DADOS DO OPERADOR</t>
  </si>
  <si>
    <t>DADOS GERAIS DA AUDITORIA REALIZADA</t>
  </si>
  <si>
    <t>GESTOR</t>
  </si>
  <si>
    <t>MÊS</t>
  </si>
  <si>
    <t>MATRÍCULA</t>
  </si>
  <si>
    <t xml:space="preserve">NOME </t>
  </si>
  <si>
    <t>SETOR</t>
  </si>
  <si>
    <t>STATUS</t>
  </si>
  <si>
    <t>OPERACIONAL</t>
  </si>
  <si>
    <t>Geovana Meurer</t>
  </si>
  <si>
    <t>Jan</t>
  </si>
  <si>
    <t>OPERADORES</t>
  </si>
  <si>
    <t>OP</t>
  </si>
  <si>
    <t>TEL</t>
  </si>
  <si>
    <t>DADOS DA AUDITORIA</t>
  </si>
  <si>
    <t>SIM</t>
  </si>
  <si>
    <t>NÃO</t>
  </si>
  <si>
    <t>AVALIAÇÃO DOS CRITÉRIOS</t>
  </si>
  <si>
    <t>BRUNO ROBERTO DA SILVA</t>
  </si>
  <si>
    <t>APONTAMENTOS DO AUDITOR</t>
  </si>
  <si>
    <t>#</t>
  </si>
  <si>
    <t>#2</t>
  </si>
  <si>
    <t>Coluna3</t>
  </si>
  <si>
    <t>Hora Atual</t>
  </si>
  <si>
    <t>Mês Ref.</t>
  </si>
  <si>
    <t>Matricula do Operador</t>
  </si>
  <si>
    <t>Nome do Operador</t>
  </si>
  <si>
    <t>Auditoria</t>
  </si>
  <si>
    <t>Ocorrência</t>
  </si>
  <si>
    <t>Motivo Desafio</t>
  </si>
  <si>
    <t>Setor</t>
  </si>
  <si>
    <t>AE/Placa</t>
  </si>
  <si>
    <t>DadosdaGravação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</si>
  <si>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</si>
  <si>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</si>
  <si>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</si>
  <si>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</si>
  <si>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</si>
  <si>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</si>
  <si>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</si>
  <si>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</si>
  <si>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</si>
  <si>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</si>
  <si>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</si>
  <si>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</si>
  <si>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</si>
  <si>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</si>
  <si>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</si>
  <si>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</si>
  <si>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</si>
  <si>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</si>
  <si>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nota</t>
  </si>
  <si>
    <t>Observação</t>
  </si>
  <si>
    <t>Relato da Ligação</t>
  </si>
  <si>
    <t>Modalidade da Auditoria</t>
  </si>
  <si>
    <t>super</t>
  </si>
  <si>
    <t>#3</t>
  </si>
  <si>
    <t>FIXO-1</t>
  </si>
  <si>
    <t>FIXO-2</t>
  </si>
  <si>
    <t>FIXO-3</t>
  </si>
  <si>
    <t>FIXO-4</t>
  </si>
  <si>
    <t>FIXO-5</t>
  </si>
  <si>
    <t>FIXO-6</t>
  </si>
  <si>
    <t>FIXO-7</t>
  </si>
  <si>
    <t>FIXO-8</t>
  </si>
  <si>
    <t>FIXO-9</t>
  </si>
  <si>
    <t>FIXO-10</t>
  </si>
  <si>
    <t>FIXO-11</t>
  </si>
  <si>
    <t>FIXO-12</t>
  </si>
  <si>
    <t>FIXO-13</t>
  </si>
  <si>
    <t>FIXO-14</t>
  </si>
  <si>
    <t>FIXO-15</t>
  </si>
  <si>
    <t>FIXO-16</t>
  </si>
  <si>
    <t>FIXO-17</t>
  </si>
  <si>
    <t>FIXO-18</t>
  </si>
  <si>
    <t>Nota Final</t>
  </si>
  <si>
    <t>Jul</t>
  </si>
  <si>
    <t>NATHÁLIA DE SOUZA DA SILVA</t>
  </si>
  <si>
    <t>ANTECEDENTES</t>
  </si>
  <si>
    <t>Receptiva</t>
  </si>
  <si>
    <t>CADASTRO</t>
  </si>
  <si>
    <t>PADRÃO</t>
  </si>
  <si>
    <t>NATALIA DE SOUZA TORRES</t>
  </si>
  <si>
    <t>KELLY CRISTINA OLIVEIRA SANTOS</t>
  </si>
  <si>
    <t>Receptiva 2</t>
  </si>
  <si>
    <t>CAIO DAS VIRGENS MELO</t>
  </si>
  <si>
    <t>LOREN KELLY FREITAS PINHEIRO</t>
  </si>
  <si>
    <t>LARISSA GONCALVES</t>
  </si>
  <si>
    <t>DAYANE RODRIGUES DE LARA</t>
  </si>
  <si>
    <t>NATHALYE CHRYSTINE BARBOSA DA COSTA</t>
  </si>
  <si>
    <t>ALERTAS PRIORITÁRIOS</t>
  </si>
  <si>
    <t>Motorista</t>
  </si>
  <si>
    <t>DISTRIBUIÇÃO</t>
  </si>
  <si>
    <t xml:space="preserve">11954742119 MOT CONF SENHA DE SEG, INF QUE ESTÁ REALIZANDO MANUTENÇÃO NO VEICUÇO POSI O SENSOR DA PORTA ESTÁ COM PROBLEMA, VEUCULO CARREGADO </t>
  </si>
  <si>
    <t>POSIÇÃO EM ATRASO</t>
  </si>
  <si>
    <t>Motorista 2</t>
  </si>
  <si>
    <t>INFORMAÇÃO ANTES DA SENHA</t>
  </si>
  <si>
    <t xml:space="preserve">081993095337 MOT CONF SENHA DE SEG, INF QUE AINDA ESTÁ NO CLIENT AG DESCARGA, INF QUE VAI MOVIMENTAR O VEICULO PRA VER SE VOLTA A COMUNICAR </t>
  </si>
  <si>
    <t>ORLANYS ARREAZA</t>
  </si>
  <si>
    <t>ACATOU CPF COMO SENHA</t>
  </si>
  <si>
    <t xml:space="preserve">DIEGO DA SILVEIRA BETTO - CEL: (32) 991379061 MOT CONF SENHA INFORMA QUE ESTA AGUARDANDO A LOJA ABRIR PARA DESCARREGAR, QUE TEM MUITO TEMPO PARADO E QUE A BATERIA ESTA ARREANDO. FOI ORIENTADO ENVIAR VIDEO PARA CONFIRMAR A SITUAÇÃO </t>
  </si>
  <si>
    <t xml:space="preserve">11939529636ALEXANDRE CARLOS HENRIQUE FREITAS DEFACI MTO CONF SENHA INFORMA QUE ESTA NO CLIENTEM AREA MUITO RUIM DE SINAL, REINICIA EM 10 MINUTOS MAS O PROXIMO CLIENTE É PERTO DO LOCAL ONDE SE ENCONTRA. ORIENTADO FORÇAR POSIÇÃO </t>
  </si>
  <si>
    <t>NICOLAS DO NASCIMENTO CARVALHO</t>
  </si>
  <si>
    <t>WANDERLY AMARAL DA SILVA -  (21) 983025400MOT INF SENHA, AFIRMA ESTAR PASSANDO PELA CRR - IGUABA, REG RUIM DE SINAL, SOLICITAMOS QUE O CONDUTOR MANDE UM "TUDO OK" NO TECLADO. AGUARD. ENVIO  LOC EM TEMPO REAL - 8HRS.</t>
  </si>
  <si>
    <t>LUIS FELIPE SILVA RODRIGUES - (11) 933365356MOT INF SENHA, AFIRMA ESTAR AGUARDANDO PARA DESCARREGAR NO CLIENTE. AO SER QUESTIONADO SOBRE O BOTÃO, CONDUTOR SUSPEITA TER BATIDO SEM QUERER NELE. SOLICITAMOS O VIDEO DA CABINE.</t>
  </si>
  <si>
    <t>LARISSA DE SOUZA MELO</t>
  </si>
  <si>
    <t xml:space="preserve">VINICIUS PEDRO PEREIRA - TEL 1: (11) 952853371 - MOT CONFIRMOU SENHA, INFORMOU QUE ESTAVA FAZENDO A REFEIÇÃO ENCIMA DO PAINEL E PROVAVELMENTE TENHA BATIDO EM ALGO. ORIENTADO A ENVIAR UM VIDEO PARA CONFIRMARMOS QUE O EQUIPAMENTO ESTÁ OK </t>
  </si>
  <si>
    <t>FLAVYA FERNANDES DE OLIVEIRA</t>
  </si>
  <si>
    <t>EM CONTATO MOT VIA LIGAÇÃO, APERTOU O BOTÃO DE PANICO PQ ESTAVA COM A SIRENE LIGADA (18) 996169724</t>
  </si>
  <si>
    <t>ACATOU SENHA INCORRETA</t>
  </si>
  <si>
    <t>EM CONTATO MOT CONF SENHA, ESTÁ TUDO OK COM A VIAGEM, ENVIADO LOCALIZAÇÃO EM TEMPO REAL VIA WPP 051981742375</t>
  </si>
  <si>
    <t>HELOISA CLARA DOS SANTOS</t>
  </si>
  <si>
    <t>PROCESSO CHATBOT</t>
  </si>
  <si>
    <t>CHECKLIST</t>
  </si>
  <si>
    <t>176833646090500390152769797494</t>
  </si>
  <si>
    <t>176882496161712877413690041198</t>
  </si>
  <si>
    <t xml:space="preserve">CAROLINA MEURER </t>
  </si>
  <si>
    <t>176885151546171807013382521301</t>
  </si>
  <si>
    <t>176773061949769576855055878129</t>
  </si>
  <si>
    <t>FELIPE DALPRA</t>
  </si>
  <si>
    <t>176769911651804256999807386726</t>
  </si>
  <si>
    <t>176893539591637949323807856363</t>
  </si>
  <si>
    <t>LUCAS RODRIGUES SEGURA GIMENEZ ALMEIDA DA SILVA</t>
  </si>
  <si>
    <t>176835037320064675666018979110</t>
  </si>
  <si>
    <t>176883964406741775871676414309</t>
  </si>
  <si>
    <t xml:space="preserve">STHEFANY MOREIRA DE SOUZA </t>
  </si>
  <si>
    <t>UTI</t>
  </si>
  <si>
    <t xml:space="preserve">011965993145 CONDUTOR CONF SENHA E INFORMA QUE ESTA NA BASE ACIONOU O BOTÃO POIS  NAO INFORMA QUE ESTA SEM ACROS E NÃO CONSEGUI CONTATO CONOSCO, SOLICITADO VIDEO DA CABINE </t>
  </si>
  <si>
    <t>PARADA INDEVIDA</t>
  </si>
  <si>
    <t xml:space="preserve">(54) 996134320CONDUTOR CONF SENHA E INFORMA QUE PAROU PARA ALMOCAR, ORIENTADO SOBRE OS POSTOS HOMOLOGADOS, VAI REINICIAR EM 10 MINUTOS </t>
  </si>
  <si>
    <t>TAINARA STEFANI BARBOSA MANUEL</t>
  </si>
  <si>
    <t>DESVIO DE ROTA</t>
  </si>
  <si>
    <t>CONDUTOR ENCERROU ANTES QUE OPERADORA PUDESSE FINALIZAR</t>
  </si>
  <si>
    <t xml:space="preserve">GILSIMAR 027995099662, E, LINHA O MEMSO INFORMA QUE NAO RECEBEU A SENHA DE SEGURANÇA E INFORMA SEU CPF , AO SER COBRADO DO DESVIO INFORMA QUE SEMPRE FAZ ESSE TRAJETO E QUE A TRANSPORTADORA NÃO PASSOU O PERCURSO QUE ESTÁ CADASTRADO  NO SISTEMA </t>
  </si>
  <si>
    <t xml:space="preserve">RAIMUNDO 011958008345 EM LINHA MOTORISTA INFORM AQUE ESTA TUSO BEM COM A VIAGEM CONFIRMA SUA SENHA DE SEGURANÇA E INFORMA QUE ESTÁ A 5KM DO PROXIMO CLIENTE PASSANDO PELA RAPSO TAVARES /ALGUMA COISA PAULISTA INDO PARA O CLIENTE FLEURI ENTREGA D BOMI, IMFORMA TB QUE O LOCAL É RUIM DE SINAL </t>
  </si>
  <si>
    <t>THAISA MACHADO COELHO</t>
  </si>
  <si>
    <t>(21) 991264735 MOT CONF SENHA, ACABOU DE CHEGAR NO PRIMEIRO CLIENTE GUSTAVO GOURMET, ESTÁ SEM SINAL NO TECLADO, ORIENTADO MANDAR TUDO OK PARA FORÇAR POSIÇÃO</t>
  </si>
  <si>
    <t xml:space="preserve">11 95060-6201 LUIS LOCAL NÃO TEM ÁREA, ESTÁ DESCARREGANDO, CLUBE AQUATICO, ORIENTADO MANDAR TUDO OK </t>
  </si>
  <si>
    <t>SAMARA SOARES LOTH</t>
  </si>
  <si>
    <t>NÃO CONFIRMOU SENHA</t>
  </si>
  <si>
    <t xml:space="preserve">11 95996-0855 CONDUTOR INFORMA QUE FOI DAR REINICIO E GEROU, ESTA TD OK, OIENTADO A MANDAR O VIDEO </t>
  </si>
  <si>
    <t>011916706536 CONDUTOR INFORMA QUE ESTA NO CLIENTE MERCADO AÇAI, REG ESTA RUIM DE SINAL, INFORMA QUE VAI DEMORAR PARA REIN A VIAGEM POIS ACABOU DE CHEGAR, O MESMO ENVIOU A MENSAGEM DE TD OK PARA FORÇAR A POSI</t>
  </si>
  <si>
    <t>RUAN RICHELI DA SILVA</t>
  </si>
  <si>
    <t xml:space="preserve">ELIAS BASTOS CUNHA  31 8866-4484, MOTORISTA CONFIRMA O CPF COMPLETO E INFORMA QUE ESTA NO CLIENTE E A AREA E MUITO RUIM DE SINAL, MESMO RECUSOU A COMPARTILHAR SUA LOCALIZAÇÃO EM TEMPO REAL MAS MANDOU A ATUAL </t>
  </si>
  <si>
    <t>LUCAS TEIXEIRA MATIAS 11945559516 MOTORISTA CONFIRMA SENHA DE SEGURANÇA, SOLICITADO LOCALIZAÇÃO EM TEMPO REAL E RESET NA BATERIA, MESMO INFORMOU QUE NÃO PODERIA REALIZAR O RESET ENTÃO COMPARTILHOU A LOCALIZAÇÃO</t>
  </si>
  <si>
    <t>NATALIA BRYCH</t>
  </si>
  <si>
    <t>(11) 990005866 - RAIMUNDO NONATO RODRIGUES LOPES CONF SENHA, ESTA EM MOVIMENTO NUMA REGIAO SEM AREA, PEDI PRA MANDAR UMA MSG NO TECLADO, ELE DISSE QUE VAI MANDAR E DIZ QUE LOGO CHEGA NUMA REGIAO COM SINAL</t>
  </si>
  <si>
    <t>Cliente</t>
  </si>
  <si>
    <t>(11) 98791-5579 - GUILHERME ALMEIDA DISSE QUE VAI TENTAR CONTATO COM O CONDUTOR E VAI RESTORNAR NO WPP</t>
  </si>
  <si>
    <t>ISABELLY DAFINNY MOZAMBITE DE ARAUJO </t>
  </si>
  <si>
    <t xml:space="preserve">021989321782 MOT ALEXANDRE COF O CPF COMPLETO, INF QUE ESTA NO CLIENTE LOCAL TEM COBERTURA </t>
  </si>
  <si>
    <t xml:space="preserve">011981250353 MOT COF SENHA INF QUE ESTA EM CAJAMAR REGIÃO RUIM DE SINAL, TUDO OK COM A VIAGEM </t>
  </si>
  <si>
    <t>OTAVIO GABRIEL VALENTE DA SILVA</t>
  </si>
  <si>
    <t>CHATBOT</t>
  </si>
  <si>
    <t>RECEPTIVO</t>
  </si>
  <si>
    <t>176779606139594265622064121399</t>
  </si>
  <si>
    <t>176910252307492964685414938821</t>
  </si>
  <si>
    <t>EVERTON PINTO DA SILVA</t>
  </si>
  <si>
    <t>ARLISON ARAUJO DO NASCIMENTO - CEL: (21) 965557156 INFORMU A SENHA, INFORMOU QUE ESTVA NO TUNEL, ENGARRFADO EM SERRA, E ESTAVA RUIM DE SINAL.</t>
  </si>
  <si>
    <t>LUCIANY CRISTINA LIMA FURTADO DE SOUZA</t>
  </si>
  <si>
    <t>LIGAÇÃO EFETUADA (COM SUCESSO) PARA THIAGO SANTOS DE OLIVEIRA - CEL: (94) 992958855 - SENHA OK. LOC WPP</t>
  </si>
  <si>
    <t>LIGAÇÃO EFETUADA (COM SUCESSO) PARA SANDRO DE MORAES - CEL: (11) 949618491 - CONFIRMOU CPF E INFORMOU QUE PAROU PARA SUA HIGIENE E ENVIOU MACRO DE PARADA. FOI ORIENTADO E ENVIA-LA NOVAMENTE.</t>
  </si>
  <si>
    <t>MARIANE SILVA DOS SANTOS</t>
  </si>
  <si>
    <t>PAULO RICARDO ALVES FRANCO - CEL: (77) 988254696 -MOT CONFIRMOU SENHA , ESTA TUDO BEM EM MANUTENCAO, FOI ORIENTADO A ENVIAR O VIDEO, E INFORMOU QUE ESTA FINALIZANDO A MANUTENCAO DAQUI A ALGUNS MIN E REINICIAR A VIAGEM.</t>
  </si>
  <si>
    <t>RONALDO DOS SANTOS SERRA -  TEL 2: (11) 943562700 MOT CONFIRMOU SENHA ESTA TUDO BEM, E O TECLADO ESTA COM PROBLEMA JA AVISOU A TRANSPORTADORA, SOBRE E VAO ARRUMAR.</t>
  </si>
  <si>
    <t>STEFANE MOURA SANTOS</t>
  </si>
  <si>
    <t xml:space="preserve">088998669677FRANCISCO NETO ARAUJO DA SILVACONFIRMOU SENHA E DISSE QUE AINDA ESTÁ NO POST TREVO, EM PERNOITE. SE ENCONTRA SEM SINAL DE CELULAR E CHAMADA ESTAVA COM INTERFERENCIA DEVIDO BAIXO SINAL DA REGIÃO. CONDUTOR IRÁ REINICIAR ENTRE 3/6H DA MANHÃ </t>
  </si>
  <si>
    <t xml:space="preserve">GERSON LUIZ DE CAMPOS SARNO JUNIOR085999274343 - INFORMOU SENHA DE SEGURANÇA, DISSE QUE NÃO DESSE A SERRA DURANTE A NOITE E PAROU NO POSTO SEM OLHAR SE ERA DE FATO HOMOLOGADO OU NÃO. CONDUTOR ESTÁ CIENTE DOS PROCEDIMENTOS DE PARAR EM LOCAL NÃO HOMOLOGADO E ALEGA QUE SÓ SAIRÁ DE MADRUGADA. </t>
  </si>
  <si>
    <t>FELIPE BRYAN MATOSA RODRIGUES</t>
  </si>
  <si>
    <t>176768940823876215876254613142</t>
  </si>
  <si>
    <t>176907176660490590469609099149</t>
  </si>
  <si>
    <t xml:space="preserve">ELIZANDRA INACIO </t>
  </si>
  <si>
    <t>ADRIANO DAMICO DE MELO (011) 911037009 : CTT COM MOTORISTA ALEGA QUE ESTA PASSANDO POR AMERICANAS E QUE ESTA TUDO CERTO COM O RASTREANDOR, O MESMO INFORMA QUE ESTAVA DIRIGINDO E PAROU PARA ATENDER A LIGAÇÃO. O MESMO INFORMA QUE JÁ ESTA CHEGANDO NO CLIENTE E PEÇO QUE DEIXEI IGNIÇÃO LIGADA E DE TUDO OK NO TECLADO PARA FORÇAR POSIÇÃO, PEDI QUE ENVIASSE A LOCALIZAÇÃO EM TEMPO REAL NO WHATS, DEPOIS A LIGAÇÃO CAIU</t>
  </si>
  <si>
    <t>00:02;19</t>
  </si>
  <si>
    <t>RENATO DOS SANTOS MARTINS (021) 974353373 : CTT COM MOT ALEGA QUE ESTA PASSANDO POR SERRA E QUE ESTA INDO EM DIREÇÃO A POUSADA, PEÇO QUE MANDE OK NO TECLADO E ENVIE A LOC POR TEMPO REAL NO WHATS. CIENTE DOS RISCOS</t>
  </si>
  <si>
    <t>JULIANA SILVA CASTELO GOMES SILVEIRA</t>
  </si>
  <si>
    <t>LIGAÇÃO EFETUADA (11) 984907151 MANACESCONFIRMOU SENHATRANSPORTADORA CIENTESOLICITOU VARIAS VEZES O AJUSTE E NAO REALIZARAMREINICIANDO JÁ</t>
  </si>
  <si>
    <t>LIGAÇÃO EFETUADA (79) 998156099 ALISSONCONFIRMOU SENHAROTA RECORRENTE COM DESVIO, CONDUTOR SOLICITOU AJUSTES À EMPRESA, JÁ VAI REINICIAR E VOLTARÁ A ROTA EM 30KM</t>
  </si>
  <si>
    <t>RENDESON BEZERRA FERREIRA</t>
  </si>
  <si>
    <t>EMERSON MACHADO DE LIRA -- TEL 2: (11) 979524025 - MOT CONFIRMOU SENHA E  INFORMOU QUE PAROU PAROU PARA ABASTECIMENTO, O MESMO IRA REINCIAR !</t>
  </si>
  <si>
    <t xml:space="preserve">ERIVALDO MARTINS DA SILVA -- TEL 2: (11) 980482441 - MOT CONFIRMOU SENHA, E INFORMOU QUE PAROU PARA ABSTECIMENTO, ORINETADO DOS RISCOS </t>
  </si>
  <si>
    <t>KAUA MAIA</t>
  </si>
  <si>
    <t>SILVIO APARECIDO TACON - CEL: (41) 996551834 - TEL 1: (41) 996551834 - TEL 2: (41) 996551834 - CONDUTOR INFORMA NÃO TER RECEBIDO A SENHA E QUE APERTOU O BOTÃO DE PÂNICO PARA TER SUAS MACROS EMBARCADAS, O MESMO FOI ORIENTADO QUANTO AO PRESSIONAMENTO INDEVIDO DO BOTÃO DE PÂNCIO E PARA SOLICITAR SUA SENHA A TRANSPORTADORA.</t>
  </si>
  <si>
    <t>VALTER DE OLIVEIRA DOS SANTOS - CEL: (17) 997810751 - TEL 1: (17) 997810751 - TEL 2: (17) 997810751 - CONDUTOR CONFIRMA A SENHA, LOCALIZAÇÃO E CONFIRMA QUE ESTÁ TUDO BEM, NÃO NOTOU NENHUMA MOVIMENTAÇÃO ESTRANHA E RELATOU ESTÁ TUDO OK NO PAINEL. FOI SOLICITADO O VÍDEO NO WHATSAPP PARA VERIFICAÇÃO</t>
  </si>
  <si>
    <t>LORENA FERREIRA RODRIGUES SANTOS</t>
  </si>
  <si>
    <t>CARLOS EDUARDO DOS SANTOS BORGES  011962101795, MOTORISTA CONFIRMOU A SENHA DE SEGURANÇA, ESTA PARADO NO POSTO GRAAL NA CASTELO BRANCO, ESTA FINALIZANDO A VIAGEM COM DEVOLUÇÃO, O MESMO FOI ORIENTADO A FORÇAR POSICIONAMENTO DO RASTREADOR, ENVIANDO UMA MENSAGEM , TUDO OK.  FOI INFORMADO DO RISCO CASO O SINAL NÃO RESTABELEÇA, NO CASO DE SINISTRO A CARGA FICA SEM COBERTURA SECURITÁRIA.</t>
  </si>
  <si>
    <t>EVERTON TIAGO GOMES DA SILVA   019997626052 , MOTORISTA CONFIRMOU A SENHA DE SEGURANÇA, ESTÁ PASSANDO NA RODOVIA POÇOS DE CALDAS EM MINAS GERAIS, FOI ORIENTADO A FORÇAR POSICIONAMENTO DO RASTREADOR ENVIANDO UMA MENSAGEM TUDO OK, PREVISÃO DE CHEGADA NO CLIENTE 06:20H.</t>
  </si>
  <si>
    <t>KAREN KIMBERLY DUARTE DE OLIVEIRA</t>
  </si>
  <si>
    <t>176825955225552457040768571488</t>
  </si>
  <si>
    <t xml:space="preserve">MAISA SANTOS ALEXANDRE </t>
  </si>
  <si>
    <t>TRANSFERÊNCIA</t>
  </si>
  <si>
    <t>DALBERTI GONCALVES48 9 8824-1174CONDUTOR CONFIRMA SENHA, INFORMA QUE ESTÁ MEXENDO EM UM FIO NA PAINEL QUE ESTÁ COM PROBLEMA ELETRICO, O MESMO INFORMOU QUE NÃO VAI PRECISAR DE AJUSA NO LOCAL E CONSEGUE RESOLVER O PROBLEMA !SOLICITADO VIDEO VIA WPP ..</t>
  </si>
  <si>
    <t xml:space="preserve">TABAJARA PEREIRA JACOBY(51) 992925252CONFIRMA SENHA, INFORMA QUE REGIÃO É RUIM DE SINAL !SOLICITADO AO MESMO PARA LIGAR A IGNIÇÃO PARA FORÇAR A COMUNICAÇÃO </t>
  </si>
  <si>
    <t>GUILHERME SCREMIN PAIXÃO</t>
  </si>
  <si>
    <t xml:space="preserve">EDSON FERREIRA NUNES (34) 991432971 INFORMOU QUE IRÁ REALIZAR O PROCEDIMENTO PARA FORÇAR POSIÇÃOESTA EM AMBIENTE ABERTO E CONFIRMOU ESTAR NO POSTO EM FORMOSA, O MESMO VAI ENVIAR A LOCALIZAÇÃO EM TEMPO REAL VIA WPP </t>
  </si>
  <si>
    <t xml:space="preserve">AGMAR VIEIRA DE MENEZES (34) 992357465 CONFIRMOU A SENHA, VAI SE DESLOCAR PARA O PROXIMO POSTO </t>
  </si>
  <si>
    <t>JHONATA MARQUES</t>
  </si>
  <si>
    <t>GILBERTO RUBLOSKI CEL: (47) 992074872 CONDUTOR ATENDEU CONFIRMOU SENHA INFORMOU QUE ESTA ABASTECENDO VAI FORÇAR POSIÇÃO ASSIM QUE FINALIZAR O ABASTECIMENTO</t>
  </si>
  <si>
    <t>WESLLEY APARECIDO SILVA FIALHO CEL: (67) 996634648 CONDUTOR ATENDEU CONFIRMOU CPF E NOME COMPLETO INFORMOU QUE ESTA PARADO NO POSTO PALACE SOLICITADO PARA FORÇAR POSIÇÃO</t>
  </si>
  <si>
    <t>YURI NOVAK SILVEIRA</t>
  </si>
  <si>
    <t>VALDEVINO PEREIRA DUTRA - CEL: (19) 981882928 - TEL 1: (19) 981882928 - TEL 2: (19) 981882928MOT CONF DADOS, INFORMOU QUE PEGOU UM CAMINHO ERRADO PELO GPS MAS JA ESTA VOLTANDO PARA A ROTA</t>
  </si>
  <si>
    <t>JEFERSON SCHWARTZHAUPT WERB - CEL: (51) 000000000 - TEL 1: (11) 59089132 - TEL 2: ()  51 9350-8406MOT CONF DADOS, INFORMOU QUE ESTA DEBAIXO DE ARVORE POIS SÓ TINHA ESSE LUGAR PRA FICAR, ESTA AGUARDANDO PRA TROCAR A NOTA, VAI LIGAR A IGNIÇÃO E MANDAR LOCALIZAÇÃO EM TEMPO REAL</t>
  </si>
  <si>
    <t>AMANDA DE OLIVEIRA DOS SANTOS</t>
  </si>
  <si>
    <t>HEBERTON - (49) 999588265 - CONF CPF, INFORMOU QUE ESTÁ A APROXIMADAMENTE 40KM DE BOA VISTA E QUE ESTÁ PASSANDO POR LOCAL RUIM DE SINAL. O MESMO FOI ORIENTADO A ENVIAR MACRO LIVRE E LOCALIZAÇÃO VIA WPP</t>
  </si>
  <si>
    <t>ADRIANO - (11) 994040529 - CONF SENHA, INFORMOU QUE PAROU PARA HIGIENE E QUE ESTÁ REINICINANDO DO LOCAL</t>
  </si>
  <si>
    <t>ANA JULIA NUNES</t>
  </si>
  <si>
    <t>FERNANDO RAMOS DE OLIVEIRA - CEL: (48) 991100598 - MOT CONFIRMOU SENHA E INFORMOU QUE PAROU PARA ABASTECER E ESTA TUDO OK, VAI ENCAMINHAR VIDEO</t>
  </si>
  <si>
    <t>FERNANDO STUDZINSKI ? (48) 99174-3705 - INFORMOU QUE VAI TENTAR CONTATO, VERIFICOU QUE TALVEZ ESTA EMBAIXO DE COBERTURA, E QUE QUALQUER NOVIDADE INFORMA</t>
  </si>
  <si>
    <t>ANDRESSA RAMBO FRANCO</t>
  </si>
  <si>
    <t xml:space="preserve">037998153568 CARLOS LOPESMOT CONF DADOS, DISSE QUE NAO LEMBRAVA DA SENHA, DISSE QUE ESTA TUDO OK, SEGUINDO PELA REGIÃO DE LUZIANIA, VAI FORÇAR O SINAL E DEIXAR LOCALIZAÇÃO NO WPP, ESTA CHEGANDO NO CLIENTE E VAI PARAR APENAS LÁ </t>
  </si>
  <si>
    <t>INFORMOU NO INÍCIO QUE A SENHA ESTÁ INCORRETA</t>
  </si>
  <si>
    <t xml:space="preserve">ALEXSANDRO PEREIRA GOMES037991059265CONF DADOS, INF QUE NAO RECEBEU SENHA, DISSE QUE NAO ACIONOU O BOTÃO E QUE É PROBLEMA E JA FOI FEITO MANUTENÇÃO, VAI ENVIAR VIDEO </t>
  </si>
  <si>
    <t>DAIANE FONTANA</t>
  </si>
  <si>
    <t>UTI (RJ)</t>
  </si>
  <si>
    <t>JOAO SAMPAIO DUARTE62 999147496 MOT CONF SENHA INF QUE JA PASSOU POR POR MOGI MIRIM ESTÁ EM MOVIMENTO SEGUINDO PARA O RODOANEL E DEPOIS ANCHIETA, FOI ORIENTADO VAI MANDAR MACRO PARA FORÇAR O SINAL, DISSE QUE É AREA DE MUITA MATA, FICOU CIENTE DOS RISCOS</t>
  </si>
  <si>
    <t>MARCELO CANDIDO DOS REIS MORAIS017992237288 MOT CONF DADOS, INF QUE PAROU PARA DESCANSO E EESTÁ SEGUINDO, TUDO OK, FOI ORIENTADO, FICOU CIENTE DOS RISCOS, RECEBEU O PLANO DE VIAGEM, MAS FOI ORIENTADO A VERIF COM A TRANSP OS POSTOS HOMOLOGADOS E A SUA SENHA DE SEGURANÇA</t>
  </si>
  <si>
    <t>GABRIEL RIBEIRO GUILHERME</t>
  </si>
  <si>
    <t>ALMIR AUGUSTO ALVES DA SILVA - CEL: (14) 996791490 - MOT CONF SENHA E INFORMOU QUE PARROU IR AO BANHEIRO E TOMAR CAFE, INFORMOU QUE REIONICIA EM 15 MINUTOS, ORIENTADO DOS RISCOS</t>
  </si>
  <si>
    <t>ROGERIO PAULINO DA SILVA - CEL: 067 99985-0556 - MOT CONF SENHA E INFORMOU QUE PARROU PARA TOMAR CAFE E QUE VAI REINICIAR EM 20 MINUTOS, ORIENTADO DOS RISCOS</t>
  </si>
  <si>
    <t>ISABELLE CARDOSO SCHIER</t>
  </si>
  <si>
    <t>Polícia</t>
  </si>
  <si>
    <t>BAS</t>
  </si>
  <si>
    <t xml:space="preserve">071190 COPOM &gt; COM SUCESSO, SOLICITADO UMA VIATURA ATE O LOCAL E PASSADO OS DADOS E CONTATO PARA RETORNO </t>
  </si>
  <si>
    <t>Polícia 2</t>
  </si>
  <si>
    <t>COPOM SP - 011190 &gt; SILVANA ANOTOU CARACTERISTICAS DA PLACA E NUMERO PARA CONTATO IFNORMOU QUE VAI DESLOCAR VIATURA ATE O LOCAL D</t>
  </si>
  <si>
    <t>LUANA BEATRIZ FAUSTINO</t>
  </si>
  <si>
    <t>COPOM 021190 - EM CONTATO INFORMOU QUE VAI REPASSAR PARA AS VIATURAS</t>
  </si>
  <si>
    <t>COPOM 01190 - SILVIA COLETOU OS DADOS E INFORMOU QUE VAI REPASSAR AS VIATURAS</t>
  </si>
  <si>
    <t>LUCAS VENTURA SUHR</t>
  </si>
  <si>
    <t>EVANDRO CARLOS DOS REIS - CEL:  (37) 998707079 - CONF DADOS, INF QUE AINDA ESTÁ NO POSTO VAI SAIR SOMENTE AMANHÃ, VAI LIGAR IGNIÇÃO PRA FORÇAR SINAL</t>
  </si>
  <si>
    <t xml:space="preserve">EMERSON LUCIO DE PAULA - CEL: (34) 998362510 CONF SENHA, INF QUE ESTAVA MEXENDO NA GRADE DO AR CONDICIONADO </t>
  </si>
  <si>
    <t>MATHEUS VENTURA SUHR</t>
  </si>
  <si>
    <t>THEOZILDES OLIVEIRA CALDEIRA 031989767267 -&gt; CONF CPF, ESTA EM MOVIMENTO QUASE CHEGANDO NO POSTO AUT, AINDA ESTA NA ROD SENADOR ELISEU E REGIÃO OSCILA O SINAL, ORIENTADA A FORÇAR O RASTREADOR ASSIM QUE CHEGAR NO POSTO</t>
  </si>
  <si>
    <t xml:space="preserve">EDISON LUIZ DOS SANTOS GARCIA - 047997440176 -&gt; CONF SENHA, INF QUE DESLIGOU A CHAVE GERAL POR CONTA DO PROBLEMA NO VEÍCULO QUE ESTAVA ANDANDO A 40KM NA RODOVIA, ESTA EM CTT COM EMERSON, ASSIM QUE VOLTAR PARA O VEÍCULO VAI LIGAR A GERAL, NO MOMENTO ESTA ALMOÇANDO, ORIENTADO ENVIAR VIDEO/FOTO NO WPP </t>
  </si>
  <si>
    <t>THALYSSA CHRISTIANE BARBOSA DA COSTA</t>
  </si>
  <si>
    <t>ANDRE LUIS MICHELON - (54) 991722336 - CONF CPF - INFORMOU QUE CONTINUA NO POSTO E QUE ESTÁ TUDO OK. SOLICITADO LOC EM TEMPO REAL.</t>
  </si>
  <si>
    <t xml:space="preserve">LUCIANO DA SILVA -(11) 975511597 - CONF CPF - INDO PARA O SUL DE MINAS, TUDO OK. VAI MANDAR A LOC. DISSE QUE EM 10 MIN CHEGA NO CLIENTE </t>
  </si>
  <si>
    <t>VITORIA ALICE ADAO</t>
  </si>
  <si>
    <t>JEFFERSON SILVA DA COSTA048996688447 CONFIRMOU CPF POIS NÃO RECEBEU A SENHAINFORMOU QUE AINDA ESTÁ EM PERNOITE NO POSTO R7ORIENTADO LIGAR IGNIÇÃO PARA FPRÇAR COMUNICAÇÃO</t>
  </si>
  <si>
    <t>062992251752 CONFIRMOU CPFCONFIRMOU PARADA PARA NECESSIDADES</t>
  </si>
  <si>
    <t>YASMIN YANDRA GARROS SANTOS</t>
  </si>
  <si>
    <t xml:space="preserve">COPOM021190 COLETOU INFORMAÇÕES </t>
  </si>
  <si>
    <t>COPOM 011190MARIA COLETOU INF</t>
  </si>
  <si>
    <t>JACKSON MACHADO NOVAK</t>
  </si>
  <si>
    <t>MARCIO DE SOUZA(67) 99876 3788CONFIRMOU DADOS, INFORMA QUE SEGUE VIAGEM NORMALMENTE E ESTA A MENOS DE 50KM DE PONTA GROSSA/PR, VAI FORÇAR E COMPARTILHAR POSICIONAMENTO DO VEICULO COM A CENTRAL</t>
  </si>
  <si>
    <t>ACATOU AE COMO SENHA</t>
  </si>
  <si>
    <t>RODRIGO MARCOS DA SILVA(037) 99122 6316CONFIRMOU SENHA, SEGUE VIAGEM NORMALMENTE,NÃO HOUVE QUALQUER INDÍCIO DE ACIONAMENTO DO PANICO DO VEICULO, IRA ENCAMINHAR VIDEO CONFIRME SOLICITADO</t>
  </si>
  <si>
    <t>VANESSA PATERNO</t>
  </si>
  <si>
    <t xml:space="preserve">JOAO PEDRO DOMINGOS DE MORAES - CEL: (011) 987925047 -MOT INF QUE LOCAL RUIM DE SINAL ,JA VAI REINICIAR A VIAGEM </t>
  </si>
  <si>
    <t xml:space="preserve">ADILSON SEBASTIAO DE OLIVEIRA - CEL: (031) 9 7594 5710 -  MOT INF QUE ACIONOU O BOTÃO , PR QUE ESTAVA BLOQUEADO NO POSTO  </t>
  </si>
  <si>
    <t>FRANCIELI ALVES DA LUZ</t>
  </si>
  <si>
    <t>RICARDO ALEXANDRE SILVA DOS SANTOS ? CEL: (84) 99940-7325EM PERNOITE. INFORMOU QUE IRÁ LIGAR A IGNIÇÃO PARA REPOSICIONAR O VEÍCULO.PREVISÃO DE SAÍDA ÀS 08H.</t>
  </si>
  <si>
    <t xml:space="preserve">BETUEL OLIVEIRA DA ROCHA - CEL: (11) 977964656 - TUDO CERTO , SOLICITADO LOCALIZAÇÃO NO WHATS </t>
  </si>
  <si>
    <t>FABIULA DE ESPINDOLA</t>
  </si>
  <si>
    <t xml:space="preserve">CUPOM - 027190 - FOI REGISTRADO O AVISO, VAI ALARMAR PARA AS VIATURAS PROXIMAS </t>
  </si>
  <si>
    <t xml:space="preserve">POLICIA COPOM - 011190 - VAI ENVIAR APOIO NO LOCAL, PASSADO INFORMAÇÕES E O NUMERO DE TELEFONE. </t>
  </si>
  <si>
    <t>GUILHERME APARECIDO PARENTE BOETTGER</t>
  </si>
  <si>
    <t>FRANCISCO CARLOS DA SILVA CRUZ - CEL: (011) 945291224 CONFIRMOU CPF, PAROU PARA FAZER AS NECESSIDADES, VAI REINICIAR.</t>
  </si>
  <si>
    <t>PAULO ROBERTO FERNANDES DE CARVALHO FILHO - CEL: (021) 978924757 CONFIRMOU SENHA, INFORMOU QUE O LOCAL É REALMENTE RUIM DE SINAL E ESTÁ USANDO O WIFI DO POSTO. VAI TENTAR FORÇAR CONEXÃO E MANDAR LOCALIZAÇÃO NO WHATSAPP. SEGUE PARA REINICIAR SOMENTE AMANHÃ ÀS 5</t>
  </si>
  <si>
    <t>HAZAEL ELISEU SILVA LANARO</t>
  </si>
  <si>
    <t>SOLICITOU SENHA OU CPF</t>
  </si>
  <si>
    <t>021996621956 CONF SENHA, DISSE Q O VEÍCULO ESTA EMBAIXO DA COBERTURA VAI SÓ TERMINAR DE TOMAR O CAFÉ E VAI RETORNAR PRO VEÍCULO PRA FORÇAR POSIÇÃO</t>
  </si>
  <si>
    <t>043991627538 CONF SENHA E DISSE QUE HAVIA PARADO PRA BANHEIRO POR SER EMERGENCIA MAS JA REINICIOU E VAI SEGUIR DIRETO ATÉ O CLIENTE</t>
  </si>
  <si>
    <t>LIBIA CONCEIÇÃO OLIVEIRA CORDEIRO</t>
  </si>
  <si>
    <t xml:space="preserve">ADALBERTO BECKER BALCONI - CEL: (48) 996940575 -CONF SENHA , DISSE QUE NÃO OLHOU O PLAO DE VIAGEM , DISSE QUE SEMORE PARA NESSE POSTO , FOI ORIENTADO SENHOR PARA OUTRO POSTO HOMOLOGADO OU REINICIAR VIAGEM , DISSE QUE VAI SEGUIR POR VOLTA DAS 07:30 , O MEMSO FOI ALERTADO SOBRE RISCOS </t>
  </si>
  <si>
    <t xml:space="preserve">GILMAR GOMES FARIA BARBOSA - CEL: (31) 996315850 - MOT ESTA FORA DO VEIUCLO , ESTA EM ALMOÇO , DISSE QUE ACABOU DE PARAR PARA ALMOÇO FOI IRIENTADO ENVIAR LOCALIZAÇÃO PARA ACOMP . </t>
  </si>
  <si>
    <t>SCARLETH JESSY DE MELO</t>
  </si>
  <si>
    <t>IVAN DE MEDEIROS TEIXEIRA - CEL: (48) 996727828 - TEL 1: (48) 996727828 - TEL 2: (48) 996727828, EM CONTATO COM O MOTORISTA O MESMO INF QUE ESTA EM COMBOIO SEGUINDO COM O MJX6G10, INF QUE VÃO SEGUIR SENTIDO AS CIDADES DE JEQUITIBA,OSASCO E EM SOROCABA RETORNA NOVAMENTE A ROTA.</t>
  </si>
  <si>
    <t>CRISTIANO CECHINEL DE BORBA - CEL: (51) 981238027 - TEL 1: (51) 981238027 - TEL 2: , EM CONTATO COM CONDUTOR O MESMO INFORMOU QUE VAI SEGUIR SENTIDO AS CIDADE DE JUQUITIBA,EMBU DAS ARTES, OSASCO E RETORNA A ROTA EM SOROCABA, VEICULO EM COMBOIO JUNTO COM O IQR0I02.</t>
  </si>
  <si>
    <t>LUCIANE DO ROCIO SANTOS DA SILVA</t>
  </si>
  <si>
    <t xml:space="preserve"> CLAUDIO RIBEIRO DOS SANTOS - CEL:  (11) 947298637 - MOTORISTA CONF SENHA E INFORMOU QUE NÃO APERTOU O BOTÃO DE PANICO, ESTÁ INDO TOMANDO BANHO E ASSIM QUE VOLTAR MANDA O VIDEO.</t>
  </si>
  <si>
    <t xml:space="preserve"> JOHNNY SILVA MENDES077 98876-3364 MOTORISTA CONFIMAÇÃO SENHA E INFORMOU QUE INFORMOU O SR EVANDRO E ESTA AGUARDANDO A AUTORIZAÇÃO PARA PERNOITE, POIS JÁ PASSOU DO HORARIO E É O POSTO ONDE ELES ABASTECEM. FOI ORIENTADO DOS RISCOS, </t>
  </si>
  <si>
    <t>JEAN CARLOS CONSTANTINO MIRANDA</t>
  </si>
  <si>
    <t xml:space="preserve">VEICULO SXX6C88 AE 34486148 - DESVIO DE ROTAJAKSON FERNANDES DA SILVA (47) 997226438 /# MOT CONF SENHA# RECEBEU PLANO DE VIAGENS# ABASTECIMENTO CADASTRADO POR JARAGUA# INFORMADO DO DESVIO, ORIENTADO EFETUAR PARADA E SOLICITAR AJUSTE# CIENTE DOS RISCOS </t>
  </si>
  <si>
    <t>RICARDO APARECIDO USTULIN (19) 982463351EDUARDO SECWAY  047992203419 /# INFORMOU QUE NÃO FOI AUTORIZADO PARADA NO LOCAL# CONDUTOR RECEBEU ROTA E POSTOS HOMOLOGADOS# VAI VERIFICAR INTERNAMENTE E ORIENTAR CONDUTOR SEGUIR PARA POSTO HOMOLOGADO</t>
  </si>
  <si>
    <t>MATHEUS BUENO DA SILVA FLORENCIO</t>
  </si>
  <si>
    <t>ADRIANO SERGIO DE MELO - CEL: (37) 998704679CONDUTOR INFORMA QUE ESTÁ EM VEÍCULO E QUE NÃO CONSTAM VIOLAÇÕES.</t>
  </si>
  <si>
    <t>PEDRO CANDIDO - CEL: (44) 997041611APÓS CONTATO CONDUTOR INFORMOU QUE ESTÁ TUDO OK E RECUSOU-SE A FORÇAR O SINAL DO VEÍCULO.</t>
  </si>
  <si>
    <t>MONICA BRUNELE DA SILVA NASCIMENTO</t>
  </si>
  <si>
    <t xml:space="preserve">GLAUBER GUIMARAES NASCIMENTO 021 9 9232-5957 MOT ATENDEU CONFIRMOU SENHA E COLABOROU NA REALIZAÇÃO DOS PROCEDIMENTOS PADRÕES PARA FORÇAR A COMUNICAÇÃO DO VEÍCULO E NOS ENVIAR UMA LOCALIZAÇÃO EM TEMPO REAL </t>
  </si>
  <si>
    <t xml:space="preserve">CASSIO FERNANDO GOMES BARBOSA (091) 986051090 MOT ATENDEU CONFIRMOU CPF COMPLETO E INFORMOU QUE ESTA PARADO ABASTECENDO NO POSTO MAROJO EM FRUTAL . INFORMOU QUE VAI PERNOITAR NO LOCAL E COLAB EM NOS ENVIAR UMA LOC EM TEMPO REAL E FAZER O PROCEDIMENTO PADRAO </t>
  </si>
  <si>
    <t>PATRICIA APARECIDA GUESSER</t>
  </si>
  <si>
    <t>GUILHERME FERREIRA DE ANDRADETEL 1: (14) 991046201 CONFIRMOU CPFINFORMOU QUE PAROU PARA PERNOITE NÃO TEM PLANO DE VIAGEMNÃO TEM COMO SEGUIR VIAGEM PARA LOCAL HOMOLOGADO POIS PAGOU O HOTEL E FEZ CHECK-IN.VAI REINICIAR PELA MANHÃ 06/07:00CIENTE DOS RISCOS E ORIENTADO A SEGUIR</t>
  </si>
  <si>
    <t>JOSE LEITE DA SILVA- TEL 2: 022992436130CONFIRMOU CPFINFORMOU QUE PAROU PARA ABASTECER E COMERVAI SEGUIR EM 30 MINUTOSTEM PLANO DE VIAGEM.CIENTE DOS RISCOS</t>
  </si>
  <si>
    <t>PAMELA SUELLEN RODRIGUES</t>
  </si>
  <si>
    <t>LUCAS TEIXEIRA MATIAS - CEL: 011945559516 &gt;&gt; DEVIDO A ESTAR DIRIGINDO NÃO POSSUIA A SENHA EM MAOS, CONFIRMOU CPF, ESTA CHEGANDO EM GUARULHOS, ACABOU DE DESCER A SERRA NA FERNÃO DIAS, ESTA INDO PARA A FILIAL. ORIENTADO A FORÇAR COMUNICAÇÃO.</t>
  </si>
  <si>
    <t xml:space="preserve">LUIZ FRANCISCO AZEVEDO POVOAS - CEL: 062993192906 &gt;&gt; CONFIRMOU SENHA, INFORMA ESTAR EM POSTO EM SANTA JULIANA, POSTO GARIMPO, VAI PERNOITAR NO LOCAL REINICIA 01/02 ÁS 05, CHOVENDO NA REGIÃO, ORIENTADO A FORÇAR COMUNICAÇÃO DO VEÍCULO, ORIENTADO DOS RISCOS CASO NÃO COMUNIQUE. SOLICITADO LOCALIZAÇÃO DO VIA WPP. </t>
  </si>
  <si>
    <t>LUIZ GUILHERME BAPISTA</t>
  </si>
  <si>
    <t>COPOM SP011190POLICIAL COLETOU AS INFORMAÇÕES SOBRE A VIAGEM E DADOS PARA RETORNO</t>
  </si>
  <si>
    <t>COPOM SP011190ATENDENTE COLETOU OS DADOS DA VIAGEM E TELEFONE PARA RETORNO</t>
  </si>
  <si>
    <t>FELIPE ROCHA MAZOTTO</t>
  </si>
  <si>
    <t xml:space="preserve">EDISON LUIZ DOS SANTOS GARCIA - CEL #1CONTATOS : (47) 997440176 -EM CONTATO COM O CONDUTOR, CONF SENHA, INFORMOU QUE ESTÁ TUDO OK, PAROU NO LOCAL PARA PERNOITE, NÃO IRÁ DESLOCAR, CIENTE DOS RISCOS, RECEBEU LISTA DE POSTOS, </t>
  </si>
  <si>
    <t>MARLON MAIBERG DA LUZ - CEL: #2CONTATOS (47) 9 9612-5542 EM CONTATO COM O CONDUTOR, CONF SENHA, INFORMA QUE ESTÁ TUDO OK, NÃO APERTOU BP, SOLICITADO LAUDOS INTERNOS</t>
  </si>
  <si>
    <t>PEDRO XAVIER BRITO</t>
  </si>
  <si>
    <t>ADRIANO RAIMUNDO DA SILVA - CEL: 41999107420MOT CONF SENHA INFORMA QUE ESTÁ NA VIAGEM SENTIDO PORTO ALEGRE, TOMANDO CAFÉ, ORIENTADO DOS RISCOS PREVISÃO DE REINICIO EM 30 MIN</t>
  </si>
  <si>
    <t xml:space="preserve">043991627538MOT CONF SENHA INFORMA QUE PAROU PARA ALIMENTAÇÃO E ESTÁ SEGUINDO VIAGEM </t>
  </si>
  <si>
    <t xml:space="preserve">ALISSON LUIZ DE FREITAS </t>
  </si>
  <si>
    <t>JOAO PAULO RIBEIRO DA ROCHA (66) 981274333 - CONFIRMOU CPF, VEICULO DEU PROBLEMA ELÉTRICO, ESTA COM O PAINEL ABERTO, O MOTORISTA ACREDITA QUE CONSEGUE RESOLVER A SITUAÇÃO, MAS SE NÃO CONSEGUIR, VAI PERNOITAR NO LOCAL E AMANHÃ VAI SOLICITAR APOIO, SOLICITADO LAUDOS</t>
  </si>
  <si>
    <t>WANGER DE SOUSA (44) 991367735 - CONFIRMOU SENHA, EM PERNOITE REINICIA AS 05:00, CHOVENDO NO MOMENTO, SOLICITADO FORÇAR POSIÇÃO E LOC</t>
  </si>
  <si>
    <t>POLYANA VIDAL DIAS</t>
  </si>
  <si>
    <t>DIONIS BERNARDES DA CUNHA  (34) 991692828 CONF SENHA E INF QUE ESTA INDO SENTIDO BARREIRAS POREM VAI PARAR PARA PERNOITE ANTES, CIENTE QUE ESTA EM DESVIO, VAI SOLICITAR O AJUSTE DA ROTA</t>
  </si>
  <si>
    <t>JOSE SEVERINO DE SENA FILHO (81) 994612196 CONF CPF E INF QUE RECEBEU O PLANO DE VIAGEM PORÉM NAO CONSEGUIU ENTENDER, JA ESTÁ REINICIANDO</t>
  </si>
  <si>
    <t>MILENY RODRIGUES</t>
  </si>
  <si>
    <t>LEANDRO LUZINI DA CUNHA(69) 992806465 -CONF SENHA INFORMOU QUE VAI PASSAR PO UBERLANDIA NA BR-050, ORIENTADO SOLICITAR AJUSTE ASSIM QUE POSSIVEL.</t>
  </si>
  <si>
    <t>GILMAR GOMES FARIA BARBOSA(31) 99631580 - INFORMOU QUE VAI FICAR NO LOCAL ATE UMAS 22H POIS ESTÁ LAVANDO ROUPA, AVISOU O TRANSPORTADOR.</t>
  </si>
  <si>
    <t>SOLANGE MIRANDA DE ARAÚJO</t>
  </si>
  <si>
    <t xml:space="preserve">ARLEI - TREVOSUL     51 9381-3200      INFORMEI QUE SOBRE O VEICULO , O MESMO INFORMOU QUE E LOCAL DE SOMBRA DA SASCAR , E QUE DEVERIA  ACIONAR ELE  MAIS CEDO . SOLICITEI CONTATO ALUAL DO CONDUTOR  </t>
  </si>
  <si>
    <t xml:space="preserve"> WAGNER PEREIRA CARDOSO     11 97525-5904   MOT CONF SENHA, INFORMEI O MOTIVO DO CONTATO, SOLICITEI OS PROCEDIEMTOS  E SUA LOCALIZAÇÃO VIA WHATS , INFORMOU QUE ESTA TUDO BEM E QUE NÃO ESTA EMBAIXO DE ARVORE OU DE COBERTURA.   </t>
  </si>
  <si>
    <t>MARCELA DUARTE</t>
  </si>
  <si>
    <t xml:space="preserve">COPOM 11190AT. RODRIGO - REGISTROU A OCORRÊNCIA NO SISTEMA SOB N° 5832 </t>
  </si>
  <si>
    <t xml:space="preserve">COPOM 11190AT. PAULA COLETOU OS DADOS E IRÁ ENVIAR A UMA VIATURA </t>
  </si>
  <si>
    <t>FILIPE JOAO VIEIRA</t>
  </si>
  <si>
    <t>MONITORAMENTO II</t>
  </si>
  <si>
    <t>LOGÍSTICA</t>
  </si>
  <si>
    <t>LOGÍSTICA REVERSA</t>
  </si>
  <si>
    <t>KAMILLEN PALOMA DE GÓES</t>
  </si>
  <si>
    <t>PAULA SOARES DE ASSIS</t>
  </si>
  <si>
    <t>ANA BEATRIZ DO CARMO</t>
  </si>
  <si>
    <t>DEVOLUÇÃO</t>
  </si>
  <si>
    <t>ATUAÇÃO TRATATIVA</t>
  </si>
  <si>
    <t>Cliente 2</t>
  </si>
  <si>
    <t>ARYELLE DE JESUS DA SILVA</t>
  </si>
  <si>
    <t>FELIPE CARLOS HUMMELGEN</t>
  </si>
  <si>
    <t>GABRIELA LUIZA MARTINS DE CARVALHO</t>
  </si>
  <si>
    <t>JULIA DA SILVEIRA GOMES FERREIRA DA ROSA</t>
  </si>
  <si>
    <t>KEVYN LUIZ DOS SANTOS DA SILVA</t>
  </si>
  <si>
    <t>MARIA FERNANDA CORDOVA BORGES</t>
  </si>
  <si>
    <t>CABINETS</t>
  </si>
  <si>
    <t>ROSSIELE DE SOUZA MARTINS</t>
  </si>
  <si>
    <t>ISABELY NUNES</t>
  </si>
  <si>
    <t xml:space="preserve">GUILHERME XAVIER DE AMORIM +55 49 9164-1613 - CONF SENHA E INF QUE PAROU PARA ABASTECER E IRA REINICIAR EM TORNO DE 2 HRS - INF SOBRE OS RISCOS </t>
  </si>
  <si>
    <t xml:space="preserve">079999057979 ARTUR CRUZ SOUZA CONF SENHA ONDE INF QUE ESTAVA EM PERNOITE, INF QUE JA IRA REINICIAR A VIAGEM  </t>
  </si>
  <si>
    <t>LAIS DA SILVA GUERREIRO DE ARRUDA</t>
  </si>
  <si>
    <t xml:space="preserve">CONF DADOS EDINALDO CARVALHO 17 99715-4058 MOT INF QUE FOI ABASTECER NO POSTO E QUE JÁ IRÁ RETORNAR PARA O CLIENTE // FINALIZADO O PAGAMENTO PARA RETORNAR // 500 METROS DO VEICULO </t>
  </si>
  <si>
    <t xml:space="preserve">RODOLFO RIBEIRO CYRINO (16) 996132207 CONF SENHA MOT INF QUE IRIA RETORNAR PARA O VEICULO E REALIZAR OS PROCEDIMENTOS PARA FORÇAR SINAL </t>
  </si>
  <si>
    <t>MATHEUS FERNANDES GARCIA</t>
  </si>
  <si>
    <t>(69) 992651201. CESAR.MOT CONF SENHA. INF ESTÁ EM MANUT. CONTINAR TRATATIVAS PELO WPP</t>
  </si>
  <si>
    <t>(51) 986093649, LEONARDO.MOT INF TUDO OK, NÃO PRESSIONOU BOTÃO DE PÂNICO.</t>
  </si>
  <si>
    <t>ANTONIO DA SILVA NETO</t>
  </si>
  <si>
    <t>SIDINEI DE LIMA GOMES - TEL 2: (67) 998789933 MOT CONF CPF, INFORMOU QUE SÓ FOI TRCOAR OLEO E EM 10 MINUTOS VAI REINICIAR</t>
  </si>
  <si>
    <t>RAFAEL MARCELO DE OLIVEIRA - TEL 1: (15) 996833610 MOT CONF SENHA, INFORMADO DA PARADA INDEVIDA, O MESMO SE DESCULPOU E DISSE QUE VAI REINICAR IMEDIATAMENTE</t>
  </si>
  <si>
    <t xml:space="preserve">STEFANIE PRISCILA VIEIRA DO CARMO </t>
  </si>
  <si>
    <t xml:space="preserve">TACIANO DE MACEDO BARBOSA - CEL: (65) 999143241 MOT CONF SENHA E INFORMA QUE PARO PARA ALMOCAR E EM UMA HORA O MESMO IRA REINICIA </t>
  </si>
  <si>
    <t xml:space="preserve">PAULO ALESSANDRO DA SILVA SENA - CEL: (61) 998136652 MOT CONF SENHA E INFORMA QUE IRA FAZER O RESET DA BATERIA </t>
  </si>
  <si>
    <t>VICTOR GABRIEL ULINSKI</t>
  </si>
  <si>
    <t>IVANEY BARRETO DOS SANTOS - CEL: (11) 972915568 -MOTORISTA CONFIRMA CPF, INFORMA QUE PAROU EM POSTO NÃO HOMOLOGADO PARA ALMOÇAR E BANHEIRO, PORÉM O MESMO VIU QUE NÃO HAVIA ALMOÇO E SEGUIU VIAGEM, MOTORISTA INFORMA QUE RECEBEU PLANO DE VIAGEM, E É ORIENTADO SOBRE AS MEDIDAS TRATATIVAS DA COBERTURA SECURITÁRIA</t>
  </si>
  <si>
    <t>JOAO PEDRO NEUMANN 051996136808MOT CONF SENHA, É INFORMADO SOBRE OS ALERTAS E O MESMO INFORMA QUE VEÍCULO ESTÁ PARADO NO POSTO E APENAS ISSO, NÃO ESTÁ FAZENDO MANUT NEM NADA DO TIPO, ESTÁ APENAS PARADO, FOI CONVERSADO QUE IRIA CONTINUAR TRATATIVAS DE VIDEO PELO WHATS, AGD VDU DO MOT DO ENGATE E DA CABINE</t>
  </si>
  <si>
    <t>ANGY FABIANA ORTIZ SALAS</t>
  </si>
  <si>
    <t>BENEDITO JOSE MESQUITA DE BARROS - CEL:(65) 996175193 CONF SENHA INF QUE O PAROU PARA IR NO BAHEIRO JA VAI INICIAR A VIAGEM</t>
  </si>
  <si>
    <t>MAURO SERGIO DOS SANTOS - CEL: (28) 992566041 - CONF CPF SOLI ENTRAR EM CTT POR WPP PARA ENVIAR A LOC EM TEMPO REAL</t>
  </si>
  <si>
    <t>CARLOS EDUARDO KRAISCH</t>
  </si>
  <si>
    <t xml:space="preserve">016992931469 &gt; MOT JULIO &gt; CONFIRMA SENHA E INFORMA QUE ESTÁ DESCARREGANDO NO CLIENTE E ASSIM QUE POSSIVEL IRA REALIZAR PROCEDIMENTO PARA ESTAR POSICIONANDO VEÍCULO </t>
  </si>
  <si>
    <t>034991416785 &gt; MOT CONFIRMOU SENHA E INFORMOU ESTAR NO POSTO MARAJÓ, SOLICITADO LOC ATUAL ATÉ 8H</t>
  </si>
  <si>
    <t>CLEWERTON RODRIGUES</t>
  </si>
  <si>
    <t>FABIO ARMSTRONG - CEL: (19) 983621061 - TEL 1: (19)  O CAMINHAO VAI REINICIAR HJ POIS ESTAVA PARADA DESDE QUARTA FEIRA, E NESSE TEMPO A BATERIA DESCARREGOU</t>
  </si>
  <si>
    <t>SR CARLOS (11) 949948768 AVISOU QUE ESTA EM UMA AREA RUIM DE SINAL, PEDI QUE MANDASSE MENSAGEM DE TEXTO LIVRE PARA FORÇA O SINAL</t>
  </si>
  <si>
    <t>DAYANE MACÊDO DE OLIVEIRA GUIMARÃES</t>
  </si>
  <si>
    <t xml:space="preserve">CARLOS ALBERTO DE OLIVEIRA -  - TEL 2: (11) 944431038  IMFORMOU CPF POIS NAO LEMBRAVA A SENHA E RELATOU ESTA FAZENDO UM CHEK LIST FOI SOLICITADO UM VIDEO DA CABINE E DA ANTENA PARA DESBLOQUEAR O VEICULO </t>
  </si>
  <si>
    <t xml:space="preserve"> ALMIRO DAS NEVES 41987779659 INFORMOU O CPF E FALOU QUE PAROUY PARA FAZER UMA REFEIÇAO E QUE O VEICULO ESTA PARADO DO PATIO DE UM POSTO QUE SEMPRE PARA AUTORIZADO DA TRANSPORTADORA </t>
  </si>
  <si>
    <t>LUCAS DUARTE DE OLIVEIRA</t>
  </si>
  <si>
    <t>LIGAÇÃO EFETUADA (COM SUCESSO) PARA JOSE MARCELO DA COSTA - CEL: WHATS  074999452742 - TEL 1: (74) 499945274 - TEL 2: (74) 999452742 // PLACA RYW9C18 // 34518358. O CONDUTOR CONFIRMOU A SENHA E LOCALIZAÇÃO. PERGUNTADO SOBRE O MOTIVO DO ALERTA, O MESMO ALEGOU QUE APERTOU O BOTÃO DE PANICO SEM QUERER. FOI ORIENTADO PARA ENVIAR UM VIDEO VIA WHATSAPP PARA A VERIFICAÇÃO SUCESSO) PARA O CLIENTE SR. .................</t>
  </si>
  <si>
    <t>VITOR LEONARDO DE OLIVEIRA TEIXEIRA // (32) 99813-4976 ? O MOTORISTA CONFIRMOU A SENHA DE SEGURANÇA. AO SER QUESTIONADO SOBRE O ALERTA DE PAINEL VIOLADO, INFORMOU QUE ESTAVA REALIZANDO MANUTENÇÃO NA CAIXA DE FUSÍVEIS. INFORMOU, TAMBÉM, QUE SE ENCONTRA A POUCOS QUILÔMETROS  DO CLIENTE.</t>
  </si>
  <si>
    <t>GUTEMBERG BEZERRA ALVES DA LUZ</t>
  </si>
  <si>
    <t>00:01;21</t>
  </si>
  <si>
    <t>MOTORISTA : LEONARDO PAULINO DE SOUZA032998490622 - VAI REINICIAR A VIAGEM AS 04:00 DA MANHA DO DIA 12/01</t>
  </si>
  <si>
    <t>MOTORISTA:SANDRO CESAR MICHELLI047996822477 (2X) SO CHAMA !!!047934351518 FOI SOLICITADO AO MOTORISTA ENVIAR UMA MACRO DE MSG DE TEXTO AVULSA PARA FORÇAR LOCALIZAÇÃO !!!</t>
  </si>
  <si>
    <t>KAUANE MAIARA MAZETTI MOURA</t>
  </si>
  <si>
    <t>LIGAÇAO C/ SUCESSO MOT ROGERIO LUIZ DE OLIVEIRA - CEL: (11) 952039578 - TEL 1: (11) 952039578, CONFIRMOU CPF,  RELATOU QUE ENVIOU TODAS AS MACROS CORRETAMENTE. FOI SOLICITADO VIDEO DO TECLADO</t>
  </si>
  <si>
    <t xml:space="preserve">MOT ALEX NASCIMENTO DA SILVA - CEL: (61) 982605881, CONF SENHA. INFORMOU QUE FEZ PARADA NESTEPOSTO PQ NO POSTO HOMOLOGADO ESTVA SEM DIESEL S10, TRANSP PEDIU PARA QUE O MESMO FOSSE ATÉ O POSTO EM QUE ESTÁ PARA ABASTECER </t>
  </si>
  <si>
    <t>KENDRIO MURILLO DE LIMA SELLES</t>
  </si>
  <si>
    <t xml:space="preserve">011974562517 MANOEL JOSE DA SILVA INFORMOU QUE NAO REALIZOU ESSA VIAGEME ESTA REALIZANDO CHEECKLIST PARA REALIZAR UMA NOVA VIAGEM PELA MR </t>
  </si>
  <si>
    <t xml:space="preserve">(11) 994655691 JOAO BATISTA E ESTA AGUARDANDO PARA SEGUIR PARA O CLIENTE, FOI ORIENTADO SOBRE OS RISCOS SECURITARIOS E ORIENTADO SEGUIR PARA O POSTO BR GIGANTE NA DUTRA PROXIMO AO COBRASCAM E CASO NECESSARIO REALIZAR PERNOITE </t>
  </si>
  <si>
    <t xml:space="preserve">PAULO HENRICK OLIVEIRA SANTOS </t>
  </si>
  <si>
    <t xml:space="preserve">VALDIR FARIA DE CARVALHO - 022 99651774MOT CONF CPF E INF QUE ESTAVA REALIZANDO TESTE </t>
  </si>
  <si>
    <t>VANILTON VIEIRA SANTOS - 081 981197469MOT CONF SENHA E INF QUE ESTÁ EM UM ESTACIONAMENTO E QUE REALIZAR AS TRATATIVAS DE FORÇAR COMUNICAÇÃO!</t>
  </si>
  <si>
    <t>ANA BEATRIZ RAICHELT MEURER</t>
  </si>
  <si>
    <t>FABIO JUNIOR OLIVEIRA DE LIMA ? (67) 999966727CONF SENHA E INFORMA QUE NÃO É PROBLEMA DO CONDUTOR, NÃO IRÁ MANDAR MACRO DE TEXTO LIVRE DIRIGINDO, SÓ QUANDO PARAR QUE IRÁ FAZER ALGUM PROCEDIMENTO, INFORMADO DOS RISCOS E CIENTE</t>
  </si>
  <si>
    <t>MARCELO GUIMARAES BEZERRA DE MELO ? 067993094966CONF SENHA E INFORMA QUE ESTÁ EM DESVIO POIS NÃO HAVIA POSTOS HOMOLOGADOS PARA PERNOITE, FOI FAZER MANUTENÇÃO DO PNEU E ESTÁ SEGUINDO VIAGEM PARA COMPLETAR DIESEL, ESTÁ TAMBÉM VOLTANDO P/ ROTA, ESTAVA TROCANDO PNEU, ORIENTADO E CIENTE DOS RISCOS</t>
  </si>
  <si>
    <t>NICOLE ALAIANE MODESTO DE LIMA FLORES</t>
  </si>
  <si>
    <t xml:space="preserve">ITIEL MOISES COSTA DE OLIVEIRA - CEL: (11) 985899071 MOOT CONF SENHA, INFORMA QUE ESTA EM PERNOITE </t>
  </si>
  <si>
    <t xml:space="preserve">011992080727 MOT CONF SENHA, INFORMA QUE PAROU ALMOÇAR JA VAI SEGUIR VIAGEM </t>
  </si>
  <si>
    <t>NANCIS JOANNA GARCIA MARVAL</t>
  </si>
  <si>
    <t>JOAO DOUGLAS RIBEIRO PALHANO - TEL 2: (47) 997265655 MOT CONF SENHA, INF QUE ESTA TUDO OK COM A VIAGEM, ATIVOU O PERNOITE E REICIA AMANHA AS 05:00, INFORMOU QUE NÃO FOI ACIONADO O BOTÃO DE PANICO, MAS PODE TER SIDO ESBARRADO SEM QUERER</t>
  </si>
  <si>
    <t>JOSE BORBA JUNIOR  (47) 9 9780 9092 MOT CONF CPF INFORMOU QUE ESTA TUDO OK, ESTAVA MEXENDO NO PAINEL PARA VERIFICAR O FUSIVEL, VAI PERNOITAR NO POSTO, SOLICT VIDEO VALIDAÇÃO</t>
  </si>
  <si>
    <t>ALEXSANDRO OLIVEIRA</t>
  </si>
  <si>
    <t xml:space="preserve">FABIO JOSE DE CARVALHO - CEL: 44991043936 - MOT CONF SENHA,INFORMA QUE  CABO DA BATERIA ESTAVA FOLGADO, MAS INFORMA QUE CONSEGUIU CONCERTAR. SOLICITAMOS VIDEO DO MESMO VIA WHATSAPP; </t>
  </si>
  <si>
    <t xml:space="preserve">ROBSON MACEDO SOUZA - 12 988192388 -  CTT MOT | CONF SENHA E INFORMA QUE ESTÁ EM CUIABA, MT ALMOÇANDO. ORIENTAMOS ENVIAR MENSAGENS DE TEXTO LIVRE E GIRAR CHAVE GERAL DO VEICULO; </t>
  </si>
  <si>
    <t>GABRIELLE DE LIMA DOS SANTOS</t>
  </si>
  <si>
    <t>ELOI ISAAC AZEREDO - CEL: (42) 999197037 - MOT LIGOU INFORMOU AE E SENHA; O MESMO INFORMA QUE IRA SAIR POR VOLTA DAS 11H O MESMO IRA SAIR DO LOC</t>
  </si>
  <si>
    <t>JURACY ANTONIO DA SILVA - CEL: (65) 99228-4672 - MOT INFORMOU AE E SNEHA; O MESMO PAROU PARA DESCANÇO O MESMO ESTA REINICIO</t>
  </si>
  <si>
    <t>THAIS DOS SANTOS FRAGA</t>
  </si>
  <si>
    <t xml:space="preserve">DEIVID LIMA DAS NEVES013997113096MOT CONFIRMOU SENHA, AFIRMA QUE ESTAVA NA TRANSPORTADORA E AO TENTAR LIGAR O CAMINHÃO O MESMO NÃO FUNCIONOU E FOI PRECISO DESLIGAR A CHAVE GERAL PARA VOLTAR A LIGAR O VEICULO. </t>
  </si>
  <si>
    <t>VICENTE PAULINO DOS SANTOS027999628102MOT AFIRMA QUE ESSA É A ROTA QUE SEMPRE SEGUE E QUE CONHECE. FOI FALADO DOS RICOS E DO SEGURO.NÃO ABRIU A CABINE.</t>
  </si>
  <si>
    <t>CLEBER NATAN RAMOS</t>
  </si>
  <si>
    <t>SAMUEL MORAIS BROEDEL - CEL: (27) 998609636 MOTORISTA CONFIRMO QUE ESTA TUDO OK E INICIO A VIAGEM</t>
  </si>
  <si>
    <t>CELIO RIBEIRO DE OLIVEIRA - CEL: (27) 992722212 - TEL 1: (27) 97737716 PAROU NO PA POSTO LAMPIAO (IPIRANGA) - SAPUCAIA/RJ PARA ABASTECER E IRA PERNOITA NO LOCALSEGUIREI COM AS TRATAVIAS PARADA VOLTAR O SINAL COM O MOTORISTA</t>
  </si>
  <si>
    <t>FLAVIANE SILVEIRA DA SILVA</t>
  </si>
  <si>
    <t>MOT. CONFIRMOU A SENHA, INFORMOU QUE APERTOU O BOTÃO DE PANICO POIS ESTAVA BLOQUEADO E NÃO COSEGUIA CONTATO COM A OPEN E PRECISAVA SER DESBLOQUEADO.</t>
  </si>
  <si>
    <t>MOT CONFIRMOU QUE ABERTOU BOTÃO POIS ESTAVA NO CLIENTE ENVIU MACRO E NÃO FOI RESPONDIDO, CONFIRMOU SENHA E PEDIU DESBLOQ, CONFIRMOU ESTAR TUDO OK</t>
  </si>
  <si>
    <t>DABYNI CRISTINA KREUTZFELD SILVA</t>
  </si>
  <si>
    <t>FABRICIO DE OLIVEIRA MARTINS  - TEL 2: 0(61) 998606984CONDUTOR CONFIRMA SENHA DE SEGURANÇA, INFORMA QUE PAROU PARA ABASTECER E QUE RECEBEU O PLANO DE VIAGEM. CIENTE DOS RISCOS, VAI REINICIAR VIAGEM.</t>
  </si>
  <si>
    <t xml:space="preserve">JOSE CICERO FERREIRA DE MELO - CEL: 0(87) 981684652CONFIRMOU CPF E DESTINO DA VIAGEM, INFORMOU QUE PAROU PRA PERNOITAR COM A CIÊNCIA DA TRANSPORTADORA. CIENTE DOS RISCOS, SE RECUSA A SEGUIR PRO LOCAL HOMOLOGADO </t>
  </si>
  <si>
    <t>ISMAEL ELIAS BRANCO PEREIRA</t>
  </si>
  <si>
    <t>ADRIANO017992719223CONF SENHA, INFORMA QUE ESTÁ TUDO BEM, QUE ESTÁ EM UMA REGIÃO RUIM DE SINAL E COM TRANSITO PARADO. VAI REALIZAR OS PROCEDIMENTOS PARA FORÇAR COMUNICAÇÃO E VAI ENVIAR A LOC VIA WPP ASSIM QUE DER SINAL DE CELULAR.</t>
  </si>
  <si>
    <t>CLEBER017996123581CONF SENHAINFORMA QUE PAROU PARA ABASTECERCIENTE DOS RISCOS, VAI SEGUIR PARA LOCAL HOMOLOGADO</t>
  </si>
  <si>
    <t>JOSIELEN GOMES</t>
  </si>
  <si>
    <t>ISAEL SOUSA DA SILVA  (081) 994525887   MOT CONFI SENHAINFORMOU QUE PENSOU ESTA EM POSTO HOMOLOGADOVAI RETORNAR PARA POSTO CACHONHERINHA / ALBELANA</t>
  </si>
  <si>
    <t xml:space="preserve">  MARCELO RODRIGUES DOS SANTOS - CEL: (67993093005  MOT CONFI SENHACONFIRMOU TER RECEBIDO PLANO DE VIAGEMESTAVA EM ABASTECIMENTO, VAI REINICIAR E SEGUIR PARA O POSTO QUINTA DO MARQUES.</t>
  </si>
  <si>
    <t>LARISSA VITORIA CORREA</t>
  </si>
  <si>
    <t>ALESSANDRO CAETANO DA SILVA - CEL: (34) 991074033 - SENHA CONFIRM. RECEBEU O PLANO DE VIAGEM, INFORMA QUE PAROU PARA ABASTECER, IRA TOMAR UM BANHO E IRA SEGUIR PARA A JBS EM MAIS OU MENSO 40 MINUTOS. INFORMADO DOS RISCOS</t>
  </si>
  <si>
    <t>046988069136 - CPF CONFIRM. MOTORISTA FOI ORIENTADO A REALIZAR OS PROCEDIMENTOS PARA O VEICULO POSICIONAR, FOI SOLICITADO A SUA LOCALIZAÇÃO COM DURAÇÃO DE 8HORAS POREM O MESMO INFORMOU QUE NAO SE ENCONTRA NO VEICULO, FOI INFORMADO DOS RISCOS E ORIENTADO A VOLTAR PARA O VEICULO E REALIZAR OS PROCEDIMENTOS PARA O VEICULO VOLTAR A POSICIONAR</t>
  </si>
  <si>
    <t>NICKSON BARRETO LIMA</t>
  </si>
  <si>
    <t xml:space="preserve">GJN4F25  34549107 DEIVISON DO NASCIMENTO ROMANO DA SILVA - CEL: (011) 945956413MOT CONF CPF MOT INFORMA QUE PAROU PRA TOMAR UM CAFE POR ISSO ABRIU A PORTA DO  VEICULO QUANTO AO ALERTA DE PAINEL VIOLADO FPOI SOLICITADO VIDEO DE VERIFICACAO PARA O MESMO AGD O VIDEO </t>
  </si>
  <si>
    <t xml:space="preserve">SIV6J16  34749052ILDIMARK KISCHKA RODRIGUES - CEL: 031971494929  MOT CONF SENHA FALEI COM O MOTORISTA O MESMO VAI SEGUI PARA O PROXIMO POSTO HOMOLOGADO </t>
  </si>
  <si>
    <t>PRISCILLA GUESSER</t>
  </si>
  <si>
    <t>MIGUEL RIBEIRO DE SOUZA - (69) 992680102CONFIRMOU CPFMOTORISTA INFORMA QUE FOI PASSADO PARA ELE A AUTORIZAÇÃO DE EMBARQUE INCORRETA, FICANDO ASSIM SEM ACESSO A SENHA DE SEGURANÇA.INFORMADO SOBRE A PARADA, MOT INFORMA QUE PAROU POIS O POSTO É HOMOLOGADO.INFORMO QUE NÃO, QUE PODE OCORRER DIVERGÊNCIA DE CADASTROS ENTRE O TRANSPORTADOR, MAS QUE PARA NÓS DA CENTRAL, O POSTO NO QUAL ELE SE ENCONTRA, NÃO É HOMOLOGADO.SOLICITO QUE SIGA ATÉ UM PRÓXIMO POSTO, E MOTORISTA CONFIRMA QUE IRÁ SEGUIR.INFORMO QUE SERÁ ENVIADO MENSAGEM NO WHATSAPP PARA AUXILIÁL-LO REFERENTE A LOCALIZAÇÃO DE UM POSTO HOMOLOGADO MAIS PRÓXIMO</t>
  </si>
  <si>
    <t>DAVI DELA MOURA PUERTAS - (16) 996250878CONFIRMOU SENHAINFORMADO SOBRE A POSIÇÃO EM ATRASO, SOLICITO QUE TENTE FORÇAR COMUNICAÇÃO COM A IGNIÇÃO DO VEICULO LIGADA + MACRO DE TEXTO LIVRE "TUDO OK", PORÉM MOTORISTA INFORMA QUE ESTÁ COM PROBLEMA NO TABLET E QUE NÃO SERÁ POSSIVEL ENVIAR.SOLICITO QUE MANTENHA PELO MENOS A IGNIÇÃO LIGADA PARA TENTAR FORÇAR COMUNICAÇÃO, MAS CASO NÃO VOLTE, SOLICITO QUE O MOTORISTA NOS ENVIE SUA LOCALIZAÇÃO EM TEMPO REAL COM DURAÇÃO DE 8 HORAS PARA CONTINUARMOS COM O MONITORAMENTO</t>
  </si>
  <si>
    <t xml:space="preserve">RAFAELA DOS SANTOS CORREA </t>
  </si>
  <si>
    <t xml:space="preserve">FABIO 18981257557MOT CONF SENHA INFORMOU QUE PAROU PARA TOMAR BANHO NO POSTO E O CABO DA BATERIA DESCONECTOU NA TRIPIDAÇÃO SOLICITEI O VIDEO VAI ENCAMINHAR NO CELULAR DA JBS </t>
  </si>
  <si>
    <t xml:space="preserve">DARINES DA SILVA - CEL: (46) 988225969 MOT CONF SENHA ESTÁ EM TRANSITO INFORMOU QUE DAQUI UMA HORA PARA NO POSTO PARA PERNOITE ESTÁ TUDO O QUE COM A VIAGEM LOCAL QUE ESTÁ PASSANDO É ABERTO CIENTE QUE IREI SOLICITAR VIA WHATS A LOCALIZAÇÃO EM TEMPO REAL CIENTE DA QUESTÃO SECURITARIA </t>
  </si>
  <si>
    <t>RITA DE CASSIA XAVIER DE OLIVEIRA </t>
  </si>
  <si>
    <t>+55 94 9295-8855 - SENHA OK, RICARDO. VEICULO  ESTA DEBAIXO DE UMA COBERTURA E ESTA CHOVENDO MUITO</t>
  </si>
  <si>
    <t>LIGAÇÃO ABANDONADA</t>
  </si>
  <si>
    <t>DANIEL JOSE RODRIGUES - CEL: (35) 999882502 - TEL 1: (32) 99988250 - TEL 2: (35) 999882502 - CPF OK. CONDUTOR SE RECUSA SAIR DO LOCAL,CIENTE DOS RISCOS</t>
  </si>
  <si>
    <t>WELINGTON RODRIGO ROSARIO DE QUADROS</t>
  </si>
  <si>
    <t>INFORMAÇÃO ANTES DE CONFIRMAR DADOS</t>
  </si>
  <si>
    <t xml:space="preserve">EZEQUIEL 042991278036 | MOT ATENDEU CONF CPF E DISSE QUE TA SEGUINDO A ROTA PASSADA PELA TRANSPORTADORA | ORIENTADO SOBRE COMO PROSSEGUIR </t>
  </si>
  <si>
    <t xml:space="preserve">JOSE 021964948323 ATENDEU CONF SENHA | MOT INFORMA QUE VAI SEGUIR | ORIENTADO SOBRE LOCAL HOMOLOGADO </t>
  </si>
  <si>
    <t>EDUARDA KAUANE DA SILVA</t>
  </si>
  <si>
    <t>NÍVEL   41 98408-7735 ATENDEU E INFOMROU QUE IRA CONTATAR O MOT</t>
  </si>
  <si>
    <t>FELLIPE FONSECA DA SILVA - CEL: (61) 981289436  CONF SENHA E INF QUE APERTOU BOTÃO DE PANICO POIS ELE TINHA PARADO A 5KM ATRAS PARA IR AO BANHEIRO E SEGUIU VIAGEM E O SISTEMA O BLOQUEOU EM RODOVIA, ELE JÁ TINHA ENVIADO VARIAS MENSAGENS MAS NÃO FOI ATENDIDO E COM ISSO ELE APERTOU O BOTÃO DE PANICO PARA O ALERTA DELE SUBIR PARA ELE SER ATENDIDO</t>
  </si>
  <si>
    <t>ROSANA ALMEIDA</t>
  </si>
  <si>
    <t>LIGAÇÃO EFETUADA (COM SUCESSO) PARA O MOTORISTA NO NUMERO (11) 949311455E O MESMO INFORMOU QUE ESTÁ MUITO LONGE DO PRÓXIMO PA E QUE JÁ ESTÁ FORA DP HPRÁRIO E QUE VAI FICAR NESSE POSTO,E PEDIR PARA A TRANSPORTADORA INCLUIR ,ESTÁ CIENTE DOS RISCOS.</t>
  </si>
  <si>
    <t>LIGAÇÃO EETUADA MOTORIDTA NO NUMERO (12) 992095795 O MESMO INFORMOU QUE ESTÁ  SEGUINDO A ROTA QUE A EMPRESA PASSOU,INFORMEI QUE NO SISTEMA ESTAVA ERRADA E ORIENTEI QUE SOLICITASSE A EMPRESA O AJUSTE .</t>
  </si>
  <si>
    <t>HERICLES BAGATOLI DOS PASSOS</t>
  </si>
  <si>
    <t>CLAUDEMIR XAVIER CRUZ - CEL: (19) 974187111 INFORMOU QUE FEZ UMA PARADA PARA COMPRAR UM MARMITEX, DISSE QUE ESQUECEU DE COLOCAR A MACRO, PEDIU PARA ESPERAR ELE VOLTAR AO VEICULO, DISSE QUE IRÁ RETOMAR A VIAGEM E SOLICITOU O DESBLOQUEIO DO VEICULO</t>
  </si>
  <si>
    <t>HENRIQUE MIRANDA DE MATOS - CEL: (61) 996122446 CONFIRMOU SENHA E INFORMOU QUE IRA FORÇAR A POSICIONAR, AGUARDANDO</t>
  </si>
  <si>
    <t>ANAMELHA NAISSINGER GONÇALVES</t>
  </si>
  <si>
    <t xml:space="preserve">LEONARDO AGUIAR DA SILVA - (34) 988218282 - MOT CONF SENHA, INFORMOU QUE O POSTO É ONDE ABASTECE E POSSUI SEGURANÇA, INFORMOU QUE SEGUIR PARA OUTRO POSTO VAI PRECISAR ABASTECER PARA PODER FICAR NO LOCAL, RECEBEU O PLANO DE VIAGEM E FOI ORIENTADO DOS RISCOS </t>
  </si>
  <si>
    <t>MARCOS ALCENIO GREGORIO -(42)999199713 - MOT CONF SENHA, INFORMOU QUE ESSE POSTO QUE SE ENCONTRA É ONDE ABASTECEM, OS OUTROS HOMOLOGADOS PROXIMOS PRECISA PAGAR O ESTACIONAMENTO, VAI TERMINAR DE COMER E VAI SEGUIR VER SE ACHA OUTRO POSTO OU VAI SEGUIR ATE PONTA GROSSA, INFORMOU.</t>
  </si>
  <si>
    <t>ANFRANNY DAYANA JIMENEZ CAÑA</t>
  </si>
  <si>
    <t>(11) 98182-0231 - HENRIQUE FERREIRA DOS SANTOS - FALEI COM IGOR - INFORMEI QUE O VEICULO  GEROU BOTÃO DE PANICO E TENTE CONTATO COM  O MOTORISTA VIA LIGAÇÃO E VIA WHAT  POREM NÃO TEVE SUCESSO, ALI PASSEI A PLACA, NOME DO MOTORISTA, ORIGEM E DESTINO DA VIAGEM, E PERGUNTEI SE TINH AOUTRO NUMERODE TELFONE DO MOTORISTAPARA  VER SE ERA DIFERNTE AO QUE ESTAVA EM NOSSO SISTEMA, INFORMOU QUE ERA O MESMO NUMERO, ALI FAKEI QUE IA CONTINU AS TRATAVIVAS</t>
  </si>
  <si>
    <t xml:space="preserve">ALESSANDRO ANGELO MARTINS - CEL: (37) 991696927 O SENHOR CONFIRMOU A SENHA DE SEGURANÇA, O MESMO INFORMOU QU ESTAVA PARADO ALI AGUARDANDO  PARA SEGUIR ATÉ O LUGAR ONDE VAI FAZER DESCARGA , ELE DIZ QU E VAI CHEGAR LA E VAI AGUARDAR LÁ NA PORTARIA DO CLIENTE, DEIXAI A ELE CIENTE DOS RISCOS DE PARAR NUM LUGAR NÃO HOMOLOGADO </t>
  </si>
  <si>
    <t>DAMARIS JULIANA PEREIRA</t>
  </si>
  <si>
    <t xml:space="preserve">+55 087 99116-7612 - CONF SENHA, INFORMOU QUE EM TODA VIAGEM PERDE SINAL NESSA REGIÃO, ESTÁ EM MOVIMENTO. ORIENTADO A ENVIAR A LOC EM TEMPO REAL DE 8H NO WPP. </t>
  </si>
  <si>
    <t xml:space="preserve">LUCAS - TEL +55 062983243675 - SEM SENHA, CONFIRMOU OS DADOS. RELATOU QUE ESTA REALIZANDO PARADA ABAST. E VAI REINICIAR EM APROX. 20 MINUTOS, PAROU NO LOCAL PORQUE CONSTAVA NA NOTA INFORMOU. QUESTIONADO SOBRE O PLANO DE VIAGEM. </t>
  </si>
  <si>
    <t>ELEANOR SASSE</t>
  </si>
  <si>
    <t>LUCIANO APARECIDO VITAL DA SILVA - 019983635110 - CONF. SENHA, INFORMA QUE PAROU EM POSTO PROXIMO AO CLIENTE POIS N TINHA ESTRUTURA NO CLIENTE. CIENTE DOS RISCOS, ORIENTADO A SEGUIR PARA POSTO TREVO OU SOLICITAR AO TRANSPORTADOR QUE ENCAMINHE E-MAIL AUTORIZANDO A ESTADIA NO LOCAL</t>
  </si>
  <si>
    <t>RAFAEL GUALBERTO DE JESUS - 011993455469 - CONF. SENHA, INFORMA ESTAR TUDO OK EM POSTO HOMOLOGADO POSTO PRATAO SEM COBERTURA SOBRE O VEICULO. FALHA DA EMISSAO DE GASES, ACELERAR O VEICULO NO POTO NEUTRO E RELIGAR A CHAVE GERAL. CIENTE DOS RISCOS, SOLCIITADO PROCEDIMENTO PARA FORÇAR COMUNICAÇÃO.</t>
  </si>
  <si>
    <t>ERICK MICHEL MENEZES DOS SANTOS</t>
  </si>
  <si>
    <t xml:space="preserve">JOAO HENRIQUE DE JESUS SIQUEIRA - CEL: (27) 997465770 - (2X) MOT CONFIRMOU CPF E INFOMROU QUE NÃO RECEBEU SENHA O CONDUTOR INFORMOU QUE PAROU ALI POIS NA EMPRESA DE RASTREAMENRO ANTIGA TINHA AUTORIZAÇÃO PRA PARADA O MESMO RELATA TBM QUE NÃO CONSEGUIU LIGAR PARA A CENTRAL POIS NÃO RECEBU SENHA E O SISTEMA SOLICITA ASSIM NÃO FINALIZANDO O ATENDIMENTO POR NÃO TER SENHA </t>
  </si>
  <si>
    <t xml:space="preserve">JOLIVAN RASTREAMENTO +55 28 99298-3623 EM CONTATO COM O LUIS O MESMO PEGOU OS DADOS DO VEICULO E VERIFICOU NO SISTEMA QUE CONSTA QUE O VEICULO SE ENCONTRA NO POSTO LAMPIÃO E INFORMA QUE O LOCAL É RUIN DE SINAL O MESMO VERIFICOU O 2° RATREADOR E CONSTA QUE O ULTIMO SINAL FOI ÁS 16:24 </t>
  </si>
  <si>
    <t>GEAN FIGUEIREDO LEAL</t>
  </si>
  <si>
    <t>081998684944ERALDO SALUSTIANO DA COSTAMOT INF SUA SENHA E QUE ESTA TUDO BEM,O MESMO SE ENCONTRA EM PERNOITE E IRA ENVIAR UM VIDEO NO WHATS COM RELATOS</t>
  </si>
  <si>
    <t>035999731417ADRIANO CESAR RODRIGUES DA SILVAMOT INF SUA SENHA DE SEGURANÇA E QUE PAROU NO POSTO ONDE TEM COBERTURA POR ISSO QUE NAO ESTA COMUNICANDO SINAL,O MESMO VAI TENTAR FORÇAR COMUNICAÇAO E ENVIAR SUA LOCALIZAÇAO POR WHATS EM 5 MINUTOS</t>
  </si>
  <si>
    <t>JACIARA SIMAO LEITE</t>
  </si>
  <si>
    <t xml:space="preserve">FELIPE CAMARGO - CEL: (45) 999074781 CONF A SENHA E INF QUE O GPS QUE JOGOU ELE NO LOCAL , O MESMO FOI ORIENTADO DOS RISCO VAI SERGUIR </t>
  </si>
  <si>
    <t xml:space="preserve">88 9705-3800 ANTONIO FERREIRA RODRIGUES  CONF A SENHA E INF QUE ESTA TUDO OK QUE O MESMO IRIA REINICIAR POIS ESTA ATRASADO VAI ENCAMINHAR O VIDEO </t>
  </si>
  <si>
    <t>JADSON MARCOS DA SILVA SANTOS</t>
  </si>
  <si>
    <t xml:space="preserve">RUAN SOUZA CANA BRASIL - CEL: (75) 999030930  CONFIRMOU SENHA DISSE QUE SEMPRE PARA NAQUELE ´POSTO E VAI ENTRAR EM CONTATO COM A TRANSP PARA HOMOLOGAR O LOCAL </t>
  </si>
  <si>
    <t>00:02;11</t>
  </si>
  <si>
    <t xml:space="preserve">11) 940152504 NILTON CESAR SOARES DA SILVA CONFIRMOU SENHA DISSE JA TER AVISADO A TRANSP QUE IRIA PERNOITAR NO LOCAL,CIENTE QUE O LOCAL NÃO E HOMOLOGADO MAS FALOU QUE NÃO SE IMPORTA </t>
  </si>
  <si>
    <t>JENNYFER FERNANDA INACIO KRUEGER</t>
  </si>
  <si>
    <t xml:space="preserve">ALMIR SOUZA MOURA - CEL: (21) 966697654 - CONDUTOR CONFIRMOU SENHA E INFORMOU QUE ESTA NUM POSTO, PAROU UM POUCO POIS ESTA ADIANTADO EM SUA VIAGEM, INFORMADO SOBRE PERCA DE COMUNICAÇÃO, O MESMO FORÇOU POSIÇÃO. </t>
  </si>
  <si>
    <t xml:space="preserve">RUBENS QUIRINO MOREIRA - CEL: (27) 998452808 - CONDUTOR CONFIRMOU CPF E INFORMOU QUE NAO ACIONOU O BOTÃO DE PANICO, PEDIDO VIDEO DA CABINE O MESMO IRÁ ENVIAR ASSIM QUE PARAR O VEICULO, POIS ESTÁ PASSANDO POR LOCAL PERIGOSO. </t>
  </si>
  <si>
    <t>HUGO DOS SANTOS LANZETTI AYRES</t>
  </si>
  <si>
    <t>GUSTAVO HENRIQUE SANTOS PEREIRA - CEL: (027) 9 8122-4157 RELATOU QUE A SENHA QUE A TRANSPORTADORA INFORMOU PARA ELE ERA OU O INICIO DO CPF OU O FINAL.INFORMOU TAMBEM QUE A TRANSPORTADORA DEU ESSA ROTA QUE ELE ESTA FAZENDO.QUESTIONEI SE ELE RECEBEU A LISTA DE POSTOS HOMOLOGADOS E O MESMO DISSE QUE SIM.INFORMEU SOBRE OS RISCOS E SOBRE O SEGURO.MOTORISTA DISSE QUE IRIA LIGAR PARA A TRANSPORTADORA PARA ATUALIZAR A ROTA.</t>
  </si>
  <si>
    <t>LUIZ INACIO DE SOUZA - CEL: (041) 997369741 INFORMOU A SENHA;INFORMOU QUE ESTÁ TUDO BEM, ESTÁ JANTANDO;INFORMOU QUE NÃO FEZ NADA PARA QUE GERASSE ESTE ALERTA;ORIENTEI ELE A GRAVAR UM VÍDEO MOSTRANDO O TECLADO FUNCIONANDO E A CABINE EM 360° FALANDO O CPF + DATA + HORARIO NO TELEFONE DA CENTRAL 07</t>
  </si>
  <si>
    <t>THIAGO WALLACE LUBKE</t>
  </si>
  <si>
    <t>WILLES PANTOJA MONTEIRO(62) 993300585MOT ATENDEU, CONF SENHAINFORMOU QUE FOI A SUA FILHA QUE PRESSIONOU O BOTÃO DE PÂNICO SEM QUERER, INFORMOU QUE ESTÁ VIAJANDO EM FAMÍLIAINFORMOU QUE JÁ ENCAMINHOU O VÍDEO PARA UM OPERADOR DA OPENTECH E CONFIRMOU QUE PODERIA ENCAMINHAR O VÍDEO NOVAMENTE</t>
  </si>
  <si>
    <t>REGINALDO MARQUES(16) 993505047MOT ATENDEU, CONF CPF E ITINERÁRIOINFORMOU QUE O TECLADO PAROU DE FUNCIONARCONFIRMOU QUE ESTÁ NO POSTO SENTINELA 2 QUE É HOMOLOGADOCONFIRMOU QUE PODERIA ENVIAR A LOCALIZAÇÃO EM TEMPO REAL VIA WHATSAPP</t>
  </si>
  <si>
    <t>VIVIA JOANA DA SILVA</t>
  </si>
  <si>
    <t>GLEIDSON MARCELINO RODRIGUES 81998923355 - MOT CONF CPF. CONDUTOR RECEBEU O PLANO DE VIAGEM E INFORMA QUE REALIZOU PARADA DEVIDO AO HORÁRIO. CONTUDO, FOI ORIENTADO A PROSSEGUIR COM A VIAGEM. FORAM REPASSADOS AO MESMO O NOME E A DISTÂNCIA DO POSTO MAIS PRÓXIMO, BEM COMO ALERTADO SOBRE OS RISCOS EM CASO DE PERMANÊNCIA NO LOCAL. TAMBÉM FOI ORIENTADO A SE INFORMAR SOBRE A SENHA. CONDUTOR SEGUIRÁ VIAGEM.</t>
  </si>
  <si>
    <t>ALEXANDRE VIEIRA DO NASCIMENTO 11996939051 - CONDUTOR CONFIRMA DADOS. EM CONTATO, O CONDUTOR RELATOU CANSAÇO E QUE, EM DECORRÊNCIA DAS FORTES CHUVAS, PRECISOU REALIZAR PARADA. ORIENTADO A SEGUIR, CIENTE DOS RISCOS.</t>
  </si>
  <si>
    <t>EDEILSON PEREIRA</t>
  </si>
  <si>
    <t>011976977335 MOT CONFIRMOU SENHA, ALEGA ESTAR EM PARADA ALIMENTAÇÃO, E IRÁ REINICIAR EM 15 MINUTOS. ORIENTADO A LIGAR IGNIÇÃO E MANDAR MSG DE TEXTO PARA FORÇAR POSIÇÃO.</t>
  </si>
  <si>
    <t>011947629695 CONFIRMA SENHA. CONDUTOR SE ENCONTRA EM POSTO HOMOLOGADO PERNOITE.MESMO LUGAR ONDE MANDOU MACRO. IRÁ REINICIAR AS 05:00SOLICITADO O MESMO LIGAR IGNIÇÃO E MANDAR MSG NO TECLADO E FORÇAR POSIÇÃO</t>
  </si>
  <si>
    <t>BRUNO PINHEIRO SILVA</t>
  </si>
  <si>
    <t>CONTROLE DE TEMPERATURA</t>
  </si>
  <si>
    <t>JESSICA KARLA SCHUSTERSCHITZ COUTINHO</t>
  </si>
  <si>
    <t>LUCAS MOREIRA NEZA - CEL: (41) 995771991MOTORISTA INFORMA SENHA E ESTA NO CLIENTE NOME ELE NAO SABE , CHMEI ELE NO WHATSAPP O MESMO DISSE QUE NAO APERTOU BOTAO DE PANICO</t>
  </si>
  <si>
    <t xml:space="preserve">11985364541- EM LIGACAO MOTORISTA CONFIRMA CPF E INFORMA QUE DORMOU NO PSOTO POR VONTADE PROPRIA POR CONTA DO CANSAÇO C, CAMINHAO ESTA CARREGADO E JA MANDOU MACRO DE REINICIO , O MESMO NAO COMUNICOU A TRASNPORTADORA E FOI INFORMADO PELO SINISTRO </t>
  </si>
  <si>
    <t>TALIA MARIA DE SOUZA</t>
  </si>
  <si>
    <t>NÃO ENCONTRADA</t>
  </si>
  <si>
    <t>MARIA VITORIA OLIVEIRA SILVA</t>
  </si>
  <si>
    <t>021980669023 - CONF SENHA, INF QUE ESTA NO CLIENTE FAZENDO DESCARGA (MERCADO UNIAO). FOI SOLICITADO ENVIO DE TD OK NO TECLADO</t>
  </si>
  <si>
    <t>011942358736 - CONF SENHA, INF QUE ESTA NO CLIENTE AGUARDANDO DESCARREGAR. FOI SOLICITADO ENVIO DE TD OK NO TECLADO</t>
  </si>
  <si>
    <t>MATHEUS EDUARDO DA SILVA</t>
  </si>
  <si>
    <t xml:space="preserve">MARCELO DOS SANTOS VIEIRA - TEL 1: (11) 980577470 - MOT ESTAVA DESCARREGANDO NO SUBSOLO DO SHOPPING, FINALIZOU E JÁ SAIU DO LOCA. ORIENTADO A ENVIAR UM *TUDO OK* NO TECLADO PARA FORÇAR A POSIÇÃO. </t>
  </si>
  <si>
    <t>ISAAK LOPES VISNHESKI</t>
  </si>
  <si>
    <t xml:space="preserve">RODRIGO FERNANDES DA SILVA - CEL: 0(21)991022726, MOT CONFIRMOU SENHA DE SEGURANÇLA E INFORMOU QUE SE ENCONTRA NO CLIENTE AGUARDANDO PARA DESCARREGAR NO MERCADO JJ, MOT INFORMOU QUE ESTA TUDO BEM COM A SUA VIAGEM, MOT INSTRUIDO A ENVIAR TUDO OK NO SEU TECLADO PARA FORÇAR POSIÇÃO CONOSCO </t>
  </si>
  <si>
    <t>ALBERTO DE AZEVEDO BEZERRA - CEL:0(19)982960227, MOT CONFIRMOU SENHA DE SEGURANÇA E INFORMOU QUE SE ENCONTRA NO CLIETE NO SUBSOLO DO SHOPPING IGUATEMI, PREVISÃO DE SAIDA  DENTRO DE 5 MINUTOS MOT INSTRUIDO A ENVIAR TUDO OK NO SEU TECLADO PARA FORÇAR POSIÇÃO</t>
  </si>
  <si>
    <t>LETICIA GONÇALVES</t>
  </si>
  <si>
    <t>(21) 982423591 CONF SENHA ESTA A CAMINHO DO CLIENTE, CAMINHO DE SERRA INDO PRO CLIENTE CHURASCARIA CHIMARON. FOI ORIENTADO(21) 982423591 CONF SENHA ESTA A CAMINHO DO CLIENTE, CAMINHO DE SERRA INDO PRO CLIENTE CHURASCARIA CHIMARON. FOI ORIENTADO</t>
  </si>
  <si>
    <t>(11) 979627265 ESTA SAINDO DO SHOOPING ESTAVA NO SUBSOLO SEGUINDO PRO MAPA DA GULA.  FOI ORIENTADO</t>
  </si>
  <si>
    <t>GABRIEL CARVALHO STRAUSS</t>
  </si>
  <si>
    <t>JENIFFER  JULIANA DA ROCHA</t>
  </si>
  <si>
    <t>071992068595MOTORISTA INFORMOU QUE ESTA NA ROTA CERTAORIENTEI PARA QUE ELE FALE COM A TRANSPORTADORA PARA ATUALIZAR A ROTA PARA EVITAR ALERTAS E POSSÍVEIS BLOQUEIOSMOTORISTA INFORMOU CPF  QUE TINHA PARADO PARA TOMAR CAFE</t>
  </si>
  <si>
    <t>011960621906MOTORISTA INFORMOU QUE ESTAVA FAZENDO MANUTENÇÃO NA BATERIAGERANDO ALERTAS DE PERDA DE BATERIA E TECLADO DESCONECTADOINFORMOU SENHA DE SEGURANÇA</t>
  </si>
  <si>
    <t>GUSTAVO ANTONIO DA COSTA PEREIRA</t>
  </si>
  <si>
    <t>176980565641462139803801337210</t>
  </si>
  <si>
    <t>176977057466296755084291163701</t>
  </si>
  <si>
    <t>THAIS SILVA CARVALHO</t>
  </si>
  <si>
    <t>GLEDSON GONÇALVES DOS SANTOS</t>
  </si>
  <si>
    <t>PATRICK MIRANDA NUNES</t>
  </si>
  <si>
    <t>067984717263 - MOT CONFIRMA CPF E INFORMA QUE TEVE QUE DESLIGAR A CHAVE GERAL DEVIDO UM PROBLEMA NO VEICULO, MAS JA CONSERTOU TUDO CERTO, IRA MANDAR VIDEO NO WPP</t>
  </si>
  <si>
    <t xml:space="preserve">+55 91 8275-6803 - MOT CONFIMR A SENHA E INFORMA QUE APERTOU SEM QUERER O BOTAO DE PANICO PQ FOI MANDAR UMA MENSAGEM NO TECLADO PRA O RASTREAMENTO E APERTOU SEM QUERER, ORIENTADO A MANDAR VIDEO DA CABINE NO WPP </t>
  </si>
  <si>
    <t>SCARLET MEROLI FERREIRA DE OLIVEIRA</t>
  </si>
  <si>
    <t xml:space="preserve">EVELYN PANTOJA FERREIRA </t>
  </si>
  <si>
    <t>LUCAS ARTMANN MARQUES</t>
  </si>
  <si>
    <t xml:space="preserve">MOT GENIVALDO DO TELEFONE 011981406516, INFORMOU QUE VEICULO DEU PROBLEMA NO POLO DA BATERIA, O MESMO INFORMOU QUE FEZ UM REPARO NO VEICULO MMAIS ESTA A CAMINHO DA CIDADE DA REALIZAR A TROCA DO POLO PARA PODER SEGUIR VIAGEM COM SEGURANÇA, O MESMO VAI ENCAMINHAR AS IMAGENS DA BATERIA VIA WPP E TAMBEM SOLICITEI VIDEO DA CABINE 360 PARA DESCONSSIDERAR O ALERTA O MESMO VAI ENCAMINHAR, TRATAIVAS SEGUINDO VIA WPP. </t>
  </si>
  <si>
    <t xml:space="preserve">MOT THOMAS DO TELEFONE 051991704122, INFORMOU QUE REGIÃO É RUIM DE SINAL E QUE ESTA DE PERNOITE, SOLICITEI QUE FIZESSE OS PROCEIDEMNTOS PADRÃO PARA FORÇAR COMUNICAÇÃO E ENVIASSE A LOCALIZAÇÃO EM TEMPO REAL DE 8 HORAS, PREVISÃO DE REINICIO DA VIAGEM PARA DIA 29/01 AS 06:00 HRS.  </t>
  </si>
  <si>
    <t xml:space="preserve">GABRIEL VARLEI DE BORBA </t>
  </si>
  <si>
    <t>ANA CLARA ALVES PEREIRA</t>
  </si>
  <si>
    <t>LIGAÇÃO EFETUADA (COM SUCESSO) PARA O CONDUTOR SR. LEONARDO DOS SANTOS DE SOUZA - CEL: (51) 981924497 - CONDUTOR INFORMA QUE JÁ PAROU PARA PERNOITE, REINICIA AS 4H. INFORMA QUE O LOCAL ESTÁ COM MUITA CHUVA.LIGOU A IGNIÇÃO E ENVIOU UMA LOCALIZAÇÃO NO WHATSAPP</t>
  </si>
  <si>
    <t>LIGAÇÃO EFETUADA (COM SUCESSO) PARA O CLIENTE SR. LUIZ GUSTAVO - 48988045569FOI PASSADO A SITUAÇÃO AO LUIZ E O MESMO INFORMA QUE VAI VERIFICAR A SITUAÇÃO E NOS DAR UM RETORNO</t>
  </si>
  <si>
    <t>JOSE FERNANDO ALVES DE MATOS</t>
  </si>
  <si>
    <t>LUCAS LUCIO CARDOSO</t>
  </si>
  <si>
    <t>EVELYN PEREIRA RAMOS</t>
  </si>
  <si>
    <t>LUCAS FELIPE AFONSO</t>
  </si>
  <si>
    <t>THIAGO ALEXANDRE MACHADO</t>
  </si>
  <si>
    <t>JOAO VITOR DA SILVA GOMES</t>
  </si>
  <si>
    <t>DAIANE STTFFEN HEILER</t>
  </si>
  <si>
    <t>ALAN ROBSON NORONHA DOS SANTOS</t>
  </si>
  <si>
    <t>FLÁVIO JIUSTI DE OLIVEIRA</t>
  </si>
  <si>
    <t>BIANCA RIBEIRO CARVALHO</t>
  </si>
  <si>
    <t>THALITA ARAUJO DA SILVA</t>
  </si>
  <si>
    <t>KISLA HIANY DE ARAÚJO PEREIRA</t>
  </si>
  <si>
    <t xml:space="preserve">FERNANDA FREITAS DE RAMOS </t>
  </si>
  <si>
    <t>JOÃO GABRIEL MILLER FLORINDO</t>
  </si>
  <si>
    <t>VICTOR JESUS ROSAS NAVARRO</t>
  </si>
  <si>
    <t>JOAO VITOR RIBEIRO</t>
  </si>
  <si>
    <t>OPERAÇÃO TABORDA</t>
  </si>
  <si>
    <t>176945343313375184446233662359</t>
  </si>
  <si>
    <t>176738893781024814241842012906</t>
  </si>
  <si>
    <t>TAYSSA DANIELE CARVALHO LIMA VERDE</t>
  </si>
  <si>
    <t>HELOISE VASCONCELOS CARDOSO</t>
  </si>
  <si>
    <t>176969844070123225629420961344</t>
  </si>
  <si>
    <t>176727765397446098714424466803</t>
  </si>
  <si>
    <t>JAMILLE SUELEM DE ALMEIDA</t>
  </si>
  <si>
    <t>ERIKA DA SILVA</t>
  </si>
  <si>
    <t>POSIÇÃO EM ATRASO (LOG)</t>
  </si>
  <si>
    <t>ISIS GABRIELY TEODORO</t>
  </si>
  <si>
    <t>MILENA HOFFMANN</t>
  </si>
  <si>
    <t>JOSIMARI CORREA DA SILVA</t>
  </si>
  <si>
    <t>DESVIO DE ROTA (LOG)</t>
  </si>
  <si>
    <t xml:space="preserve">BRUNO ROBERTO DA SILVA </t>
  </si>
  <si>
    <t>PARADA INDEVIDA (LOG)</t>
  </si>
  <si>
    <t>SWELLEM ALMEIDA DA SILVA</t>
  </si>
  <si>
    <t>176988810048788488722350324630</t>
  </si>
  <si>
    <t>176790406507674486661445757265</t>
  </si>
  <si>
    <t>RAYSSA LUISA DA SILVA</t>
  </si>
  <si>
    <t>THAIS DE SOUSA LOPES</t>
  </si>
  <si>
    <t>VINICIUS SCHEEL FONTES</t>
  </si>
  <si>
    <t>GABRIEL CACHOEIRA MORAES</t>
  </si>
  <si>
    <t>176824725199609489167112949090</t>
  </si>
  <si>
    <t>176780953601487632533928720919</t>
  </si>
  <si>
    <t>HENRIQUE SCHIODINI CORREA</t>
  </si>
  <si>
    <t>MATHEUS AUGUSTO DE ABREU</t>
  </si>
  <si>
    <t>176960474810280846650763172927</t>
  </si>
  <si>
    <t>176908901095354260234421433549</t>
  </si>
  <si>
    <t>LUIS FELIPE RODRIGUES SANTOS</t>
  </si>
  <si>
    <t>KELIANE CASTRO DE SOUZA</t>
  </si>
  <si>
    <t>MARIA EDUARDA DE SOUZA</t>
  </si>
  <si>
    <t>NICOLAS MENDES BUENO</t>
  </si>
  <si>
    <t xml:space="preserve">RAMON DE OLIVEIRA PINTO </t>
  </si>
  <si>
    <t>SARAH REBECA FARIAS BARBOSA</t>
  </si>
  <si>
    <t>FLAVIA CAROLINA FERREIRA TEODO</t>
  </si>
  <si>
    <t>176985142427237521356219830395</t>
  </si>
  <si>
    <t>176760403064059876438149382843</t>
  </si>
  <si>
    <t>JAQUELINE FRAZÃO DE SOUZA</t>
  </si>
  <si>
    <t>EMANUELA RODRIGUES DA SILVA</t>
  </si>
  <si>
    <t>HELOIZA PADILHA</t>
  </si>
  <si>
    <t>ATRASO DE ENTREGA</t>
  </si>
  <si>
    <t>JÉSSICA OLIVEIRA CAPISTRANO</t>
  </si>
  <si>
    <t>RUAN PABLO HARDT JOSE</t>
  </si>
  <si>
    <t>JULIANE CRISTINA DA SILVA ASSIS COLAÇO</t>
  </si>
  <si>
    <t>JULIANA DELL AQUILA</t>
  </si>
  <si>
    <t>ELOANE CARVALHO DA SILVA</t>
  </si>
  <si>
    <t>LUCIANO BENTO PACHECO 13 99776-7616 INFORMOU A SENHA, INFORMOU QUE ESTAVA NO PATIO DA JBS, ESTAVA COM PROBLEMA NA BATERIA E TEVE QUE DESLIGAR A CHAVE GERAL</t>
  </si>
  <si>
    <t>176924307785308048478648703994</t>
  </si>
  <si>
    <t>chave</t>
  </si>
  <si>
    <t>Colunas1</t>
  </si>
  <si>
    <t>ADMISSÃO</t>
  </si>
  <si>
    <t>TEMPO DE CASA (DIAS)</t>
  </si>
  <si>
    <t>TEMPO DE CASA (MESES)</t>
  </si>
  <si>
    <t>TEMPO DE CASA (ANO)</t>
  </si>
  <si>
    <t>TEMPO DE CASA</t>
  </si>
  <si>
    <t>CHAVE GESTOR</t>
  </si>
  <si>
    <t>SITUAÇÃO</t>
  </si>
  <si>
    <t>ID</t>
  </si>
  <si>
    <t>MATRICULA</t>
  </si>
  <si>
    <t>COLABORADOR</t>
  </si>
  <si>
    <t>TELEFÔNICA</t>
  </si>
  <si>
    <t>DESEMPENHO</t>
  </si>
  <si>
    <t>TURNO / OPERAÇÃO</t>
  </si>
  <si>
    <t>SUPERVISOR</t>
  </si>
  <si>
    <t>PROCESSO - CADEIA DE CONTATOS</t>
  </si>
  <si>
    <t>FINAL</t>
  </si>
  <si>
    <t>MOT</t>
  </si>
  <si>
    <t>PA</t>
  </si>
  <si>
    <t>CLI</t>
  </si>
  <si>
    <t>POLICIA</t>
  </si>
  <si>
    <t>A1</t>
  </si>
  <si>
    <t>A2</t>
  </si>
  <si>
    <t>A3</t>
  </si>
  <si>
    <t>A4</t>
  </si>
  <si>
    <t>A5</t>
  </si>
  <si>
    <t>A6</t>
  </si>
  <si>
    <t>RL</t>
  </si>
  <si>
    <t>RC</t>
  </si>
  <si>
    <t>RC2</t>
  </si>
  <si>
    <t>RC3</t>
  </si>
  <si>
    <t>RC4</t>
  </si>
  <si>
    <t>M</t>
  </si>
  <si>
    <t>M2</t>
  </si>
  <si>
    <t>M3</t>
  </si>
  <si>
    <t>M4</t>
  </si>
  <si>
    <t>PA2</t>
  </si>
  <si>
    <t>PA 2</t>
  </si>
  <si>
    <t>PA 3</t>
  </si>
  <si>
    <t>PA 4</t>
  </si>
  <si>
    <t>C</t>
  </si>
  <si>
    <t>C2</t>
  </si>
  <si>
    <t>C3</t>
  </si>
  <si>
    <t>C4</t>
  </si>
  <si>
    <t>PL</t>
  </si>
  <si>
    <t>PL2</t>
  </si>
  <si>
    <t>PL3</t>
  </si>
  <si>
    <t>PL4</t>
  </si>
  <si>
    <t>COORD</t>
  </si>
  <si>
    <t>MM</t>
  </si>
  <si>
    <t>MC</t>
  </si>
  <si>
    <t>MPA</t>
  </si>
  <si>
    <t>MPL</t>
  </si>
  <si>
    <t>MOT2</t>
  </si>
  <si>
    <t>P.A</t>
  </si>
  <si>
    <t>CLIENTE</t>
  </si>
  <si>
    <t>POLICIA2</t>
  </si>
  <si>
    <t>RECEPTIVA</t>
  </si>
  <si>
    <t>LIG. FALTANTES</t>
  </si>
  <si>
    <t>DMOT</t>
  </si>
  <si>
    <t>DMOT2</t>
  </si>
  <si>
    <t>DMOT3</t>
  </si>
  <si>
    <t>DMOT4</t>
  </si>
  <si>
    <t>DMOT MEDIA</t>
  </si>
  <si>
    <t>DPA</t>
  </si>
  <si>
    <t>DPA 2</t>
  </si>
  <si>
    <t>DPA 3</t>
  </si>
  <si>
    <t>DPA 4</t>
  </si>
  <si>
    <t>DPA MEDIA</t>
  </si>
  <si>
    <t>DCLI</t>
  </si>
  <si>
    <t>DCLI 2</t>
  </si>
  <si>
    <t>DCLI 3</t>
  </si>
  <si>
    <t>DCLI 4</t>
  </si>
  <si>
    <t>DCLI MEDIA</t>
  </si>
  <si>
    <t>DPOL1</t>
  </si>
  <si>
    <t>DPOL2</t>
  </si>
  <si>
    <t>DPOL3</t>
  </si>
  <si>
    <t>DPOL4</t>
  </si>
  <si>
    <t>DPOL MÉDIA</t>
  </si>
  <si>
    <t>MANTID</t>
  </si>
  <si>
    <t>RETIFICADOS</t>
  </si>
  <si>
    <t>ARKANGEL</t>
  </si>
  <si>
    <t>JUL</t>
  </si>
  <si>
    <t>ATIVO</t>
  </si>
  <si>
    <t>Larissa Cristina</t>
  </si>
  <si>
    <t>JAN</t>
  </si>
  <si>
    <t>INATIVO</t>
  </si>
  <si>
    <t>Carlos Eduardo</t>
  </si>
  <si>
    <t>CÉLULA</t>
  </si>
  <si>
    <t>Thayssa de Almeida</t>
  </si>
  <si>
    <t>Amanda Carla</t>
  </si>
  <si>
    <t>Douglas de Aguiar</t>
  </si>
  <si>
    <t>Bruna Vieira</t>
  </si>
  <si>
    <t>FÊNIX</t>
  </si>
  <si>
    <t>Adryan Celso</t>
  </si>
  <si>
    <t>UTI - COMBO - Alternativo</t>
  </si>
  <si>
    <t>Geniffer Maciel</t>
  </si>
  <si>
    <t>RJ - Amarela</t>
  </si>
  <si>
    <t>UTI - COMBO - AMARELA</t>
  </si>
  <si>
    <t>BAS - Amarela</t>
  </si>
  <si>
    <t>UTI -Amarela</t>
  </si>
  <si>
    <t>UTI - Amarela</t>
  </si>
  <si>
    <t>UTI - Amarela - BBM</t>
  </si>
  <si>
    <t xml:space="preserve">BAS - AZUL </t>
  </si>
  <si>
    <t>Lucas Rafael</t>
  </si>
  <si>
    <t>UTI - AZUL</t>
  </si>
  <si>
    <t xml:space="preserve">UTI - AZUL </t>
  </si>
  <si>
    <t>RJ - AZUL</t>
  </si>
  <si>
    <t>UTI - CINZA</t>
  </si>
  <si>
    <t>Tanara Vigentin</t>
  </si>
  <si>
    <t>RJ - CINZA</t>
  </si>
  <si>
    <t>UTI - CINZA - BBM</t>
  </si>
  <si>
    <t>UTI - COMBO - CINZA</t>
  </si>
  <si>
    <t>BAS - CINZA</t>
  </si>
  <si>
    <t>UTI - VERDE</t>
  </si>
  <si>
    <t>Hervert Moreira</t>
  </si>
  <si>
    <t>BAS - VERDE</t>
  </si>
  <si>
    <t xml:space="preserve">UTI - VERDE </t>
  </si>
  <si>
    <t>UTI - COMBO</t>
  </si>
  <si>
    <t>RJ - VERDE</t>
  </si>
  <si>
    <t>Richard Marques</t>
  </si>
  <si>
    <t>TABORDA</t>
  </si>
  <si>
    <t>MONDELEZ</t>
  </si>
  <si>
    <t>Kayque Lima</t>
  </si>
  <si>
    <t>UNILEVER</t>
  </si>
  <si>
    <t>Giulia Machado</t>
  </si>
  <si>
    <t>CENTRAL - AMARELA</t>
  </si>
  <si>
    <t>Gustavo Miralha</t>
  </si>
  <si>
    <t>CENTRAL - AZUL</t>
  </si>
  <si>
    <t>Ana Caroline</t>
  </si>
  <si>
    <t>CENTRAL - CINZA</t>
  </si>
  <si>
    <t>Rodrigo Barros</t>
  </si>
  <si>
    <t>CENTRAL - VERDE</t>
  </si>
  <si>
    <t>Gabryelle Marcilio</t>
  </si>
  <si>
    <t>MAT.</t>
  </si>
  <si>
    <t>EQUIPE</t>
  </si>
  <si>
    <t>SUPER</t>
  </si>
  <si>
    <t>SEXO</t>
  </si>
  <si>
    <t>ALERTAS AUDITADOS</t>
  </si>
  <si>
    <t>x</t>
  </si>
  <si>
    <t>MOTIVO DESAFIO</t>
  </si>
  <si>
    <t>Ano</t>
  </si>
  <si>
    <t>AVALIADOR</t>
  </si>
  <si>
    <t>OPÇÕES AUDITORIA</t>
  </si>
  <si>
    <t>MARCAÇÃO INCORRETA</t>
  </si>
  <si>
    <t>Critério</t>
  </si>
  <si>
    <t>Peso</t>
  </si>
  <si>
    <t>Tipo Ligação</t>
  </si>
  <si>
    <t>Supervisores</t>
  </si>
  <si>
    <t>ESCALA</t>
  </si>
  <si>
    <t>Nathália de Souza</t>
  </si>
  <si>
    <t>X</t>
  </si>
  <si>
    <t>Fixo</t>
  </si>
  <si>
    <t>N</t>
  </si>
  <si>
    <t>Fev</t>
  </si>
  <si>
    <t>Chave</t>
  </si>
  <si>
    <t>DISTRIBUIÇÃO E CDA</t>
  </si>
  <si>
    <t>O</t>
  </si>
  <si>
    <t>NATALI NEIVA DA SILVA</t>
  </si>
  <si>
    <t>Mar</t>
  </si>
  <si>
    <t>BBM</t>
  </si>
  <si>
    <t>P</t>
  </si>
  <si>
    <t>CAUE MACHADO PERES</t>
  </si>
  <si>
    <t>Abr</t>
  </si>
  <si>
    <t>VERIFICAR</t>
  </si>
  <si>
    <t>Q</t>
  </si>
  <si>
    <t>ANY EVELYN MENDES DE MELO</t>
  </si>
  <si>
    <t>Ponto de Apoio</t>
  </si>
  <si>
    <t>Mai</t>
  </si>
  <si>
    <t>R</t>
  </si>
  <si>
    <t>Ponto de Apoio 2</t>
  </si>
  <si>
    <t>Jun</t>
  </si>
  <si>
    <t>Policia</t>
  </si>
  <si>
    <t>T</t>
  </si>
  <si>
    <t xml:space="preserve">Policia 2 </t>
  </si>
  <si>
    <t>GRS - CINZA</t>
  </si>
  <si>
    <t>U</t>
  </si>
  <si>
    <t>Policia 2</t>
  </si>
  <si>
    <t>Ago</t>
  </si>
  <si>
    <t>W</t>
  </si>
  <si>
    <t>ESTADIA</t>
  </si>
  <si>
    <t>Set</t>
  </si>
  <si>
    <t>MONDELEZA</t>
  </si>
  <si>
    <t>FELIPE DOS SANTOS</t>
  </si>
  <si>
    <t>Out</t>
  </si>
  <si>
    <t>LP - AZUL</t>
  </si>
  <si>
    <t>JACIR MELO DOS SANTOS JUNIOR</t>
  </si>
  <si>
    <t>DESLIGAMENTO (TEMPERATURA)</t>
  </si>
  <si>
    <t>Nov</t>
  </si>
  <si>
    <t>LP - CINZA</t>
  </si>
  <si>
    <t>DANIELLE DIAS DA SILVA</t>
  </si>
  <si>
    <t>Dez</t>
  </si>
  <si>
    <t>LP - VERDE</t>
  </si>
  <si>
    <t>GABRIELA VANDERLINDE DA SILVA</t>
  </si>
  <si>
    <t>GRS - AMARELA</t>
  </si>
  <si>
    <t>JAILA CARLA DE SOUSA MONTEIRO</t>
  </si>
  <si>
    <t>JOANA SENA FURLANETO</t>
  </si>
  <si>
    <t>GRS - AZUL</t>
  </si>
  <si>
    <t>SIOMARA DA SILVA</t>
  </si>
  <si>
    <t>KAMILA SILVA DE OLIVEIRA</t>
  </si>
  <si>
    <t>GRS - VERDE</t>
  </si>
  <si>
    <t>KIMBERLY SILVA LIMA</t>
  </si>
  <si>
    <t>LP - AMARELA</t>
  </si>
  <si>
    <t>BRUNA MIRANDA PEREIRA</t>
  </si>
  <si>
    <t>DESTRIBUICAO</t>
  </si>
  <si>
    <t>LOSS TREE</t>
  </si>
  <si>
    <t>MONITORAMENTO I</t>
  </si>
  <si>
    <t>JULIANA NAIR DUTRA GUERRA</t>
  </si>
  <si>
    <t>CAMILLE NOVAK SILVEIRA</t>
  </si>
  <si>
    <t>CARLOS EDUARDO PEREIRA</t>
  </si>
  <si>
    <t>WILLIAN BURG</t>
  </si>
  <si>
    <t>JESSICA MARTINS BIGUNAS PIRES</t>
  </si>
  <si>
    <t>AMANDA TORRENS</t>
  </si>
  <si>
    <t>MATEUS DE ALMEIDA GAIA</t>
  </si>
  <si>
    <t>TAYNARA DE OLIVEIRA SERRÃO</t>
  </si>
  <si>
    <t>THIAGO RAFAEL MOZAMBITE DE ARAUJO</t>
  </si>
  <si>
    <t>ISAQUE SOUZA CORREA DE BRITO</t>
  </si>
  <si>
    <t>DARYANE VITORIA BONFORT SILVA</t>
  </si>
  <si>
    <t>LUKA EDUARDO SOVERAL</t>
  </si>
  <si>
    <t>DANIELLA GOMES</t>
  </si>
  <si>
    <t>HERON MATHEUS IADELKA</t>
  </si>
  <si>
    <t>RENAN DAMASCENO GÓES CHAGAS</t>
  </si>
  <si>
    <t xml:space="preserve">FELIPE KOCK MENDONÇA </t>
  </si>
  <si>
    <t>JHESSICA JANAÍNA DE SOUZA DE OLIVEIRA</t>
  </si>
  <si>
    <t>NICOLE DA MAIA PAPINI</t>
  </si>
  <si>
    <t>LAIS REBEKA BARBOSA DA SILVA</t>
  </si>
  <si>
    <t>EMANUELLA FERREIRA MARQUES</t>
  </si>
  <si>
    <t>JACKELINE MUNIZ DA SILVA</t>
  </si>
  <si>
    <t>MATHIAS GRUBER MARTINHUNK</t>
  </si>
  <si>
    <t>BEATRIZ LOURENÇO VIEIRA</t>
  </si>
  <si>
    <t>CAMILLA FONSECA SOUZA</t>
  </si>
  <si>
    <t>RAFAELA EMMENDORFER BERTOLD</t>
  </si>
  <si>
    <t>FABIANA MORAES DE SOUZA</t>
  </si>
  <si>
    <t>SHIRLEI APARECIDA MEDEIROS</t>
  </si>
  <si>
    <t>DÉBORA CRISTINA JAVOSKI</t>
  </si>
  <si>
    <t>KAMILI VITORIA CUBAS</t>
  </si>
  <si>
    <t>BRUNO DA SILVA</t>
  </si>
  <si>
    <t>DAYANNA ELISABETH PUGSLEY</t>
  </si>
  <si>
    <t>GESSICA FARIAS DAS CHAGAS DE LIMA</t>
  </si>
  <si>
    <t>LIANA GUESSER DOS SANTOS</t>
  </si>
  <si>
    <t>JUNIOR LEAB DIAS DO NASCIMENTO</t>
  </si>
  <si>
    <t xml:space="preserve">PRISCILA DE LIMA CABRAL </t>
  </si>
  <si>
    <t>CAMILLA CUNHA DE SANTANA GAIA</t>
  </si>
  <si>
    <t>FRANCIELE KULKAMP</t>
  </si>
  <si>
    <t>FÁTIMA DE JESUS RAMOS GUTIERREZ</t>
  </si>
  <si>
    <t>KALEB PIMENTEL RODRIGUES</t>
  </si>
  <si>
    <t>LARISSA DE OLIVEIRA SILVA</t>
  </si>
  <si>
    <t>QUEREN HAPUQUE MARQUES</t>
  </si>
  <si>
    <t>ANA CAROLINE ALVES DOS SANTOS</t>
  </si>
  <si>
    <t>ANA PAULA DA SILVA</t>
  </si>
  <si>
    <t>JENIFER FARIAS</t>
  </si>
  <si>
    <t>KETLELIN DOS SANTOS DE OLIVEIRA</t>
  </si>
  <si>
    <t>JESSE DA VEIGA NIMER</t>
  </si>
  <si>
    <t>NAYLE GABRYELLY DE MATOS AGUIAR DA SILVA</t>
  </si>
  <si>
    <t>RAILLANE DE ALBUQUERQUE DE SOUZA</t>
  </si>
  <si>
    <t>BRUNO GABRIEL SILVEIRA</t>
  </si>
  <si>
    <t>STHEFANY DE ASSIS PEREIRA</t>
  </si>
  <si>
    <t>RAFAEL JOENCK</t>
  </si>
  <si>
    <t>DANILO AMARO ALVES</t>
  </si>
  <si>
    <t>DAVID JOÃO CARDOSO</t>
  </si>
  <si>
    <t>RAFFAELLA BARROZO DA SILVA</t>
  </si>
  <si>
    <t>THIAGO DOS SANTOS SILVA</t>
  </si>
  <si>
    <t>ANTONY ALVES BANDEIRA</t>
  </si>
  <si>
    <t>CAMILA LAMIN</t>
  </si>
  <si>
    <t>LEVI FERREIRA DOS SANTOS</t>
  </si>
  <si>
    <t>LUCAS JUNQUEIRA BASTOS DA SILVA</t>
  </si>
  <si>
    <t>PEDRO PEREIRA DA ROCHA NETO</t>
  </si>
  <si>
    <t xml:space="preserve">BRUNO  ROBERTO DA SILVA </t>
  </si>
  <si>
    <t>LIZA GRANGEIRO MENDES</t>
  </si>
  <si>
    <t>VICTOR MATHEUS GONCALVES MOREIRA</t>
  </si>
  <si>
    <t>LUCAS ALEXSSANDER MENDES DE AZEVEDO</t>
  </si>
  <si>
    <t>LUAN VANDRESEN</t>
  </si>
  <si>
    <t>ANDRESSA THAIS MUHLMANN</t>
  </si>
  <si>
    <t>ELAINE FRANÇA DE SANTANA</t>
  </si>
  <si>
    <t>GUILHERME SOARES GRAPER</t>
  </si>
  <si>
    <t>JOHN MANUEL SALAZAR ORTEGA</t>
  </si>
  <si>
    <t>JULIA AURA FERREIRA</t>
  </si>
  <si>
    <t>PETERSON LUIS BONFORT</t>
  </si>
  <si>
    <t>VINICIUS GABRIEL MOLVERSDET RICH</t>
  </si>
  <si>
    <t>ISMAEL ROMULO AZEVEDO GOMES</t>
  </si>
  <si>
    <t>JESSICA DE BORBA SANTOS</t>
  </si>
  <si>
    <t>LETICIA CAMARGO DE MIRANDA</t>
  </si>
  <si>
    <t>LEUDYS DEL ROSARIO GARCIA</t>
  </si>
  <si>
    <t>YECZIBETH VALENTINA LÓPEZ SALAZAR</t>
  </si>
  <si>
    <t>ANDRIELE ALVES DA SILVA</t>
  </si>
  <si>
    <t>EVELLYN ISMIRNA RODRIGUES TIMOTEO</t>
  </si>
  <si>
    <t>OSMEL JOSE NAIM MARQUINA RUIZ</t>
  </si>
  <si>
    <t>MARIA FERNANDA DOS SANTOS</t>
  </si>
  <si>
    <t>KELLYN GONÇALVES MOREIRA </t>
  </si>
  <si>
    <t>DANIEL EDUARDO MONTEIRO LOPES</t>
  </si>
  <si>
    <t xml:space="preserve">REINALDO JOSE PINHEIRO DE SOUSA JUNIOR </t>
  </si>
  <si>
    <t>ISABELA GRAPPER</t>
  </si>
  <si>
    <t>KEVTON ROCHA DA SILVA </t>
  </si>
  <si>
    <t>LANNA BEATRIZ DA ROCHA</t>
  </si>
  <si>
    <t>LEO VICTOR DE PAULA NOVAIS</t>
  </si>
  <si>
    <t>LUCAS DA SILVA DOS SANTOS</t>
  </si>
  <si>
    <t>MARILIA DOS SANTOS SOUZA</t>
  </si>
  <si>
    <t>RAFAEL DA SILVA FARIA</t>
  </si>
  <si>
    <t>MISRAIN SANTOS</t>
  </si>
  <si>
    <t>JESSICA DOS SANTOS VIANA</t>
  </si>
  <si>
    <t>ANA CLAUDIA ORTS ALVES</t>
  </si>
  <si>
    <t>DEIRILENE DEANE LISBOA PEREIRA</t>
  </si>
  <si>
    <t>EMANUEL VINICIUS PAREIRA DOS SANTOS</t>
  </si>
  <si>
    <t>SELVINO ANTELMO RUBLESCK JUNIOR</t>
  </si>
  <si>
    <t>MAISE DA ROCHA CARVALHO</t>
  </si>
  <si>
    <t>KETLIN CORREIA DA SILVEIRA</t>
  </si>
  <si>
    <t xml:space="preserve">LARISSA DA SILVA </t>
  </si>
  <si>
    <t>MATHEUS CRISTIAN NARCISO HAZURE</t>
  </si>
  <si>
    <t>DANIELE CRISTINE GONÇALVES</t>
  </si>
  <si>
    <t>JOSEANE ALMEIDA BRITO</t>
  </si>
  <si>
    <t xml:space="preserve">MARIA MARIANA SOUZA LIMA </t>
  </si>
  <si>
    <t xml:space="preserve">CLARIANA CELESTE MORENO ZAMORA </t>
  </si>
  <si>
    <t>HENRIQUE OSVALDO CARVALHO</t>
  </si>
  <si>
    <t xml:space="preserve">ELITON FERREIRA DA SILVA </t>
  </si>
  <si>
    <t xml:space="preserve">JEAN CARLOS PALHETA LIMA </t>
  </si>
  <si>
    <t xml:space="preserve">JEFFERSON FERNANDO CARNEIRO ALEXANDRINO DA IGREJA </t>
  </si>
  <si>
    <t>SILVIO CEZAR OLIVEIRA SANTOS</t>
  </si>
  <si>
    <t>GIOVANA SILVEIRA</t>
  </si>
  <si>
    <t>LILIAN RAQUEL MODESTO</t>
  </si>
  <si>
    <t>LUANA CRISTINA GRAMONSKI PEREIRA</t>
  </si>
  <si>
    <t>ANDREZA MESQUITA DAS CHAGAS</t>
  </si>
  <si>
    <t>ROSANE PAZ BRITO</t>
  </si>
  <si>
    <t>MARIA CAROLINA LUCKMANN</t>
  </si>
  <si>
    <t>MARIA EDUARDA LOPES NICOLINO</t>
  </si>
  <si>
    <t>MARIA EDUARDA PACHECO</t>
  </si>
  <si>
    <t>IGOR GOMES DE BRAGA</t>
  </si>
  <si>
    <t>PRISCILA CRISTINE GUESSER</t>
  </si>
  <si>
    <t>RITA DE CASSIA XAVIER DE OLIVEIRA</t>
  </si>
  <si>
    <t>DABYNI CRISTINA KREUTZFELD</t>
  </si>
  <si>
    <t>DIENIFER PAULA DALAVECHIA</t>
  </si>
  <si>
    <t>MARIA EDUARDA ANACLETO FLORIANO</t>
  </si>
  <si>
    <t>REBECA VITORIA GUEDES ROCHA</t>
  </si>
  <si>
    <t>NATALIA DOS SANTOS LACERDA</t>
  </si>
  <si>
    <t>ENZO CUGLER LAZARO</t>
  </si>
  <si>
    <t>CAMILA FLORINDO REINERT</t>
  </si>
  <si>
    <t>JULIA VITORIA DE SOUZA</t>
  </si>
  <si>
    <t>RODRIGO DA SILVA DE CASTRO</t>
  </si>
  <si>
    <t>MARIA VITÓRIA OLIVEIRA SILVA</t>
  </si>
  <si>
    <t>IANATHELY MOTA DOMINGOS</t>
  </si>
  <si>
    <t>LUDMYLLA KHALILL DA SILVA GO</t>
  </si>
  <si>
    <t>RAISSA GAMA DE LIMA</t>
  </si>
  <si>
    <t>BRYANN GOMES DA SILVA</t>
  </si>
  <si>
    <t>BRUNO FELIPE DE MIRA CORREA</t>
  </si>
  <si>
    <t>RAYLLA THAYNA MARQUES VIEIRA</t>
  </si>
  <si>
    <t>PRISCILA KESKE</t>
  </si>
  <si>
    <t>JOSIAS BATISTA DOS SANTOS</t>
  </si>
  <si>
    <t>KAMILA TAVARES</t>
  </si>
  <si>
    <t>MARIA EDUARDA PEREIRA MARTINS</t>
  </si>
  <si>
    <t>NICOLE EDUARDA CARDOSO DA SILVA</t>
  </si>
  <si>
    <t>BARBARA FROGEL</t>
  </si>
  <si>
    <t>JOSILAINE FERNANDA DO CARMO</t>
  </si>
  <si>
    <t>DANIELA RIEDEL</t>
  </si>
  <si>
    <t>RAYNICE MONTEIRO</t>
  </si>
  <si>
    <t>SUELEN APARECIDA BORBA</t>
  </si>
  <si>
    <t>NICOLAS GABRIEL MARTINS FURTADO</t>
  </si>
  <si>
    <t xml:space="preserve">RAISSA MENDES CARDOSO </t>
  </si>
  <si>
    <t>SELMA VITORIA BATISTA VIEIRA</t>
  </si>
  <si>
    <t>RILLARY NASCIMENTO</t>
  </si>
  <si>
    <t>FERNANDA FREITAS DE RAMOS</t>
  </si>
  <si>
    <t>LUCIFLAINY SILVA DUARTE</t>
  </si>
  <si>
    <t xml:space="preserve">AGATA LAIS SILVEIRA </t>
  </si>
  <si>
    <t>MARCOS NASCIMENTO DALESSANDRO</t>
  </si>
  <si>
    <t>Ref.Search</t>
  </si>
  <si>
    <t>Ref.Alerta</t>
  </si>
  <si>
    <t>Ref.Contato</t>
  </si>
  <si>
    <t>Ref.cod</t>
  </si>
  <si>
    <t>Questions</t>
  </si>
  <si>
    <t>Peso %</t>
  </si>
  <si>
    <t>Deflator %</t>
  </si>
  <si>
    <t>Deflator</t>
  </si>
  <si>
    <t>Se Identificou? (Saudação: Bom dia/tarde/noite)</t>
  </si>
  <si>
    <t>Se Identificou? (Nome)</t>
  </si>
  <si>
    <t>Se Identificou? (Setor ou Empresa)</t>
  </si>
  <si>
    <t>Confirmou a senha de segurança no inicio da Ligação?</t>
  </si>
  <si>
    <t>O operador informou claramente o motivo do contato?</t>
  </si>
  <si>
    <t>O operador confirmou o motivo do desvio de rota?</t>
  </si>
  <si>
    <t>Confirmou se o motorista recebeu o plano de viagem e instruções de rastreamento?</t>
  </si>
  <si>
    <t>Orientou o motorista a retornar para a rota ou permanecer parado até confirmação com o cliente?</t>
  </si>
  <si>
    <t>Coletou qual itinerário o motorista está realizando?</t>
  </si>
  <si>
    <t>O operador informou os riscos operacionais e de seguro caso o motorista continue fora da rota?</t>
  </si>
  <si>
    <t>Realizou a despedida padrão com cordialidade?</t>
  </si>
  <si>
    <t>Utilizou a função mudo corretamente para evitar ruídos externos?</t>
  </si>
  <si>
    <t>Evitou silêncios prolongados (mais de 45 segundos sem interação)?</t>
  </si>
  <si>
    <t>O operador registrou corretamente o contato no sistema, incluindo número de telefone, nome do responsável, e resumo da conversa?</t>
  </si>
  <si>
    <t>Após a resolução do alerta, finalizou corretamente a ligação sem reter a linha desnecessariamente (10s)?</t>
  </si>
  <si>
    <t>O volume de voz, entonação e condução da chamada transmitiram credibilidade e cordialidade, sem excesso de girias?</t>
  </si>
  <si>
    <t>O operador confirmou o motivo pelo qual o motorista parou em local indevido?</t>
  </si>
  <si>
    <t>O operador confirmou se o motorista recebeu o plano de viagem e instruções de rastreamento?</t>
  </si>
  <si>
    <t>O operador orientou o motorista a reiniciar a viagem e seguir para um local homologado?</t>
  </si>
  <si>
    <t>O operador informou os riscos operacionais da parada indevida, incluindo problemas com seguro?</t>
  </si>
  <si>
    <t>O operador confirmou a localização atual do motorista? (Em movimento/parado, cidade e referência de local)</t>
  </si>
  <si>
    <t>Passou orientações para forçar posicionamento do rastreador? (Envio de mensagem, reset de bateria, etc.)</t>
  </si>
  <si>
    <t>O operador procurou identificar o motivo da perda de sinal? (Embaixo de cobertura, área sem sinal de celular, falha no rastreador, etc.)</t>
  </si>
  <si>
    <t>O operador informou os riscos operacionais e de seguro caso o sinal não restabelecer?</t>
  </si>
  <si>
    <t>O operador confirmou a localização e a condição do motorista?</t>
  </si>
  <si>
    <t>O operador identificou o motivo do alerta? (Sinistro, manutenção, problema técnico, acionamento indevido, etc.)</t>
  </si>
  <si>
    <t xml:space="preserve">O operador solicitou vídeo do veículo nos casos necessários (Painel violado, Botão de pânico, Sensor de desengate e baú)? </t>
  </si>
  <si>
    <t>O volume de voz, entonação e condução da chamada transmitiram credibilidade e cordialidade, sem excesso de gírias?</t>
  </si>
  <si>
    <t>Confirmou com quem está falando?</t>
  </si>
  <si>
    <t>O operador informou as ações adotadas até o momento? (Resumir os contatos/tratativas com ou sem sucesso)</t>
  </si>
  <si>
    <t>O operador informou o trajeto que o motorista está realizando e o que estava programado na rota?</t>
  </si>
  <si>
    <t>O operador questionou se o cliente tem conhecimento do motivo do desvio? O motorista informou antecipadamente?</t>
  </si>
  <si>
    <t>O operador confirmou se o motorista recebeu o plano de viagem e instruções de rastreamento antes da viagem?</t>
  </si>
  <si>
    <t>O operador indicou medidas de segurança ao cliente? (Ex.: Retornar a rota correta ou realizar o ajuste no sistema)</t>
  </si>
  <si>
    <t>O operador enfatizou ao cliente que estava atuando em uma suspeita de sinistro?</t>
  </si>
  <si>
    <t>O operador informou corretamente o local da parada? (Cidade, estado, referência como rodovia, posto, mecânica, etc.)</t>
  </si>
  <si>
    <t>O operador confirmou se os pontos de parada autorizada foram passados ao motorista antes do início da viagem?</t>
  </si>
  <si>
    <t>O operador informou ao cliente sobre os riscos operacionais e de seguro caso a parada indevida permaneça?</t>
  </si>
  <si>
    <t>O operador indicou medidas de segurança ao cliente? (Ex.: Seguir até posto autorizado, acionar escolta, pronta resposta, etc.)</t>
  </si>
  <si>
    <t>O operador informou corretamente o local onde perdeu a posição? (Estado, cidade, parado/movimento, referência como posto, mecânica, rodovia)</t>
  </si>
  <si>
    <t>O operador questionou se o conjunto possui equipamento de contingência? (Ex.: isca, rastreador secundário, bloqueio remoto)</t>
  </si>
  <si>
    <t>O operador questionou se o cliente tem informações recentes sobre o veículo e o motorista? (Ex.: manutenção, revisão, problemas no rastreador)</t>
  </si>
  <si>
    <t>O operador confirmou os contatos atuais do condutor?</t>
  </si>
  <si>
    <t>O operador informou corretamente o local onde gerou o alerta? (Cidade, estado, referência como rodovia, posto, mecânica, etc.)</t>
  </si>
  <si>
    <t>O operador informou os dados e as características do veículo? (cor, placa, modelo)</t>
  </si>
  <si>
    <t>O operador passou detalhes da última posição do veículo? (Referência dentro do posto)</t>
  </si>
  <si>
    <t>O operador solicitou que o atendente verificasse se o conjunto (cavalo/carreta) estava no local sem violações?</t>
  </si>
  <si>
    <t>O operador orientou o atendente a chamar o motorista até o telefone do posto?</t>
  </si>
  <si>
    <t>O operador passou detalhes do evento que indicam a suspeita?</t>
  </si>
  <si>
    <t>O operador informou os dados e as características do conjunto e do motorista? (cavalo, carreta, cor, modelo)</t>
  </si>
  <si>
    <t>O operador passou detalhes do local da ocorrência? (Rodovia, Referência, KM)</t>
  </si>
  <si>
    <t>O operador solicitou deslocamento e/ou reporte da ocorrência para patrulhamento?</t>
  </si>
  <si>
    <t>O operador deixou telefone de contato para retorno?</t>
  </si>
  <si>
    <t>O operador utilizou o alfabeto fonético ao passar informações?</t>
  </si>
  <si>
    <t>Solicitou a AE/Placa para iniciar o atendimento?</t>
  </si>
  <si>
    <t>Realizou um atendimento cordial com educação? (Utilizando "senhor"/"obrigado"/"por favor")</t>
  </si>
  <si>
    <t>O tom de voz estava adequado? (Voz abafada, microfone mal colocado ou distante da boca)</t>
  </si>
  <si>
    <t>Utilizou linguagem apropriada? (Sem excessos de gírias e vícios de linguagem)</t>
  </si>
  <si>
    <t>O operador realizou a qualificação do atendimento corretamente</t>
  </si>
  <si>
    <t>O operador solicitou CPF/Placa para iniciar o atendimento?</t>
  </si>
  <si>
    <t>O operador enfatizou sobre bloqueio/cadastro negativado?</t>
  </si>
  <si>
    <t>O operador informou se o cliente possui inquérito/processo/apontamento?</t>
  </si>
  <si>
    <t>O operador informou qual o estado/justiça federal?</t>
  </si>
  <si>
    <t>O operador informou qual documento é necessário?</t>
  </si>
  <si>
    <t>Evitou silêncios prolongados (mais de 60 segundos sem interação)?</t>
  </si>
  <si>
    <t>Informou que irá comunicar um insucesso?</t>
  </si>
  <si>
    <t>Informou o nome do cliente corretamente?</t>
  </si>
  <si>
    <t>Informou o endereço correto do cliente?</t>
  </si>
  <si>
    <t>Informou o código do cliente?</t>
  </si>
  <si>
    <t>Ação resultante (e-mail, ligação, mobile) foi registrada corretamente?</t>
  </si>
  <si>
    <t>Informou que a devolução foi confirmada e qual o próximo passo?</t>
  </si>
  <si>
    <t>Confirmou a quantidade de caixas a serem devolvidas?</t>
  </si>
  <si>
    <t>Informou o motivo do contato?</t>
  </si>
  <si>
    <t>Informou o motivo da devolução?</t>
  </si>
  <si>
    <t>Informou a quantidade de caixas?</t>
  </si>
  <si>
    <t>Informou o tempo de Roadnet?</t>
  </si>
  <si>
    <t>Ação resultante (e-mail, ligação, mobile). Ação final ao atendimento</t>
  </si>
  <si>
    <t>Informou a Placa do veículo?</t>
  </si>
  <si>
    <t>Informou o nome do cliente?</t>
  </si>
  <si>
    <t>Informou o endereço do cliente?</t>
  </si>
  <si>
    <t>Informou a data que ocorreu a devolução?</t>
  </si>
  <si>
    <t>Confirmou o motivo que gerou o pedido não solicitado?</t>
  </si>
  <si>
    <t>Ação resultante. Registrar o retorno no relatório.</t>
  </si>
  <si>
    <t>Questionou se há previsão para descarga?</t>
  </si>
  <si>
    <t>Confirmou o tempo de espera até o momento?</t>
  </si>
  <si>
    <t>Verificou se houve alguma intercorrência no processo?</t>
  </si>
  <si>
    <t>Questionou a temperatura do aparelho de frio?</t>
  </si>
  <si>
    <t>Questionou o módulo de ajuste? (Contínuo/Automático)</t>
  </si>
  <si>
    <t>Orientou a seguir o padrão de temperatura da Unidade?</t>
  </si>
  <si>
    <t>Perguntou sobre o funcionamento do aparelho?</t>
  </si>
  <si>
    <t>Informou ações adotadas?</t>
  </si>
  <si>
    <t>Questionou se possui conhecimento do ajuste?</t>
  </si>
  <si>
    <t>Verificou se há alguma falha ou motorista reportou algo?</t>
  </si>
  <si>
    <t>Confirmou ajuste do aparelho?</t>
  </si>
  <si>
    <t>Confirmou se houve desligamento?</t>
  </si>
  <si>
    <t>Confirmou a causa do desligamento?</t>
  </si>
  <si>
    <t>Reforçou sobre riscos de devolução devido ao desligamento?</t>
  </si>
  <si>
    <t>Orientou religamento imediato, se necessário?</t>
  </si>
  <si>
    <t>Reforçou sobre riscos de devolução devido desligamento?</t>
  </si>
  <si>
    <t>ATRASO</t>
  </si>
  <si>
    <t>Questionou o motivo do atraso?</t>
  </si>
  <si>
    <t>Questionou se há previsão de chegada?</t>
  </si>
  <si>
    <t>Confirmou se houve contato prévio com a base ou cliente sobre o atraso?</t>
  </si>
  <si>
    <t>O operador orientou o motorista a realizar paradas somente em locais homologados?</t>
  </si>
  <si>
    <t>Orientou o motorista a seguir a rota informada pela transportadora?</t>
  </si>
  <si>
    <t>ATIVAÇÃO DE AE</t>
  </si>
  <si>
    <t>Informou nº da programação ou outra informação semelhante?</t>
  </si>
  <si>
    <t>Se estiver atrasada, questionou o motivo do atraso na emissão?</t>
  </si>
  <si>
    <t>Solicitou emissão?</t>
  </si>
  <si>
    <t>Reforçou com o cliente a importância da emissão dentro do prazo?</t>
  </si>
  <si>
    <t>Informou o número da OS, Placa ou AE?</t>
  </si>
  <si>
    <t>Reforçou o impacto do atraso na operação e no cliente?</t>
  </si>
  <si>
    <t>Confirmou se a pessoa é motorista ou transportadora?</t>
  </si>
  <si>
    <t>Solicitou o número da Nota Fiscal? (Confirmar 2x caso não localize)</t>
  </si>
  <si>
    <t>Confirmou o nome do cliente que está no nosso sistema? [Informe o cliente]</t>
  </si>
  <si>
    <t>Confirmou o telefone do motorista?</t>
  </si>
  <si>
    <t>Questionou o motivo da ocorrência?</t>
  </si>
  <si>
    <t>Confirmou quanto tempo que foi finalizado a descarga?</t>
  </si>
  <si>
    <t>Informou o número da Ocorrência gerada no sistema?</t>
  </si>
  <si>
    <t>Solicitou que retorne o contato após 2 horas para realizar uma atuação da ocorrência?</t>
  </si>
  <si>
    <t>Questionou a data de agendamento?</t>
  </si>
  <si>
    <t>Questionou se possui notas de outros clientes?</t>
  </si>
  <si>
    <t>Solicitou o número da NF de devolução?</t>
  </si>
  <si>
    <t>Solicitou informação dos produtos/itens/caixas devolvidos?</t>
  </si>
  <si>
    <t>O operador se identificou informando saudação.</t>
  </si>
  <si>
    <t>Enviou o auto texto perguntando qual o tipo de veículo?</t>
  </si>
  <si>
    <t>Seguiu corretamente o fluxo do checklist conforme a solicitação inicial?</t>
  </si>
  <si>
    <t>Realizou um atendimento cordial, utilizando linguagem apropriada?</t>
  </si>
  <si>
    <t>Informou o status final do checklist (aprovado ou reprovado)?</t>
  </si>
  <si>
    <t>Se reprovado, informou corretamente o motivo da reprovação?</t>
  </si>
  <si>
    <t>Anexou imagens dos testes no SIL, correspondentes ao veículo e tecnologia analisada?</t>
  </si>
  <si>
    <t>A informação passada no atendimento corresponde ao que foi registrado no SIL?</t>
  </si>
  <si>
    <t>Encerrou o checklist no SIL em até 5 minutos após informar o status final?</t>
  </si>
  <si>
    <t>Encerrou o atendimento no Weon em até 5 minutos após informar o status final do checklist?</t>
  </si>
  <si>
    <t>Realizou a qualificação correta do atendimento?</t>
  </si>
  <si>
    <t>O operador se identificou informando saudação?</t>
  </si>
  <si>
    <t>Utilizou linguagem apropriada? (Sem usar gírias ou estereótipos de apoio)</t>
  </si>
  <si>
    <t>Fluxo do atendimento correspondeu à solicitação inicial? (Foco no atendimento)</t>
  </si>
  <si>
    <t>Realizou o preenchimento de ociosidade? (Não deixando atendimento sem retorno por mais de 3min)</t>
  </si>
  <si>
    <t>Realizou um atendimento cordial com educação? (Utilizando "obrigado"/"por favor"/"senhor")</t>
  </si>
  <si>
    <t>Questionou se podia encerrar o atendimento?</t>
  </si>
  <si>
    <t>Encerrou somente no tempo ocioso padrão? (3min)</t>
  </si>
  <si>
    <t>Foi realizado a despedida final padrão?</t>
  </si>
  <si>
    <t>Foi realizada a qualificação correta do atendimento?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</si>
</sst>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* #,##0.00_);_(* \(#,##0.00\);_(* &quot;-&quot;??_);_(@_)"/>
    <numFmt numFmtId="165" formatCode="[$-416]General"/>
    <numFmt numFmtId="166" formatCode="0.0"/>
    <numFmt numFmtId="167" formatCode="d/m/yy\ h:mm;@"/>
    <numFmt numFmtId="168" formatCode="0.0000"/>
    <numFmt numFmtId="169" formatCode="mm/yy"/>
    <numFmt numFmtId="170" formatCode="h:mm:ss"/>
    <numFmt numFmtId="171" formatCode="m/d/yyyy"/>
  </numFmts>
  <fonts count="3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5"/>
      <name val="Calibri"/>
      <family val="2"/>
      <scheme val="minor"/>
    </font>
    <font>
      <sz val="10"/>
      <color theme="1"/>
      <name val="Arial"/>
      <family val="2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theme="1"/>
      <name val="Arial"/>
      <family val="2"/>
    </font>
    <font>
      <sz val="10"/>
      <color theme="1"/>
      <name val="Calibri"/>
      <family val="2"/>
      <scheme val="minor"/>
    </font>
    <font>
      <sz val="12"/>
      <color theme="5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0.79998168889431442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indexed="81"/>
      <name val="Arial"/>
      <family val="2"/>
    </font>
    <font>
      <sz val="9"/>
      <color theme="0"/>
      <name val="Roboto"/>
    </font>
    <font>
      <b/>
      <sz val="16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180">
        <stop position="0">
          <color theme="0"/>
        </stop>
        <stop position="1">
          <color theme="5"/>
        </stop>
      </gradientFill>
    </fill>
    <fill>
      <gradientFill degree="270">
        <stop position="0">
          <color theme="0"/>
        </stop>
        <stop position="1">
          <color theme="5"/>
        </stop>
      </gradientFill>
    </fill>
    <fill>
      <patternFill patternType="solid">
        <fgColor theme="5"/>
        <bgColor auto="1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/>
      <diagonal/>
    </border>
    <border>
      <left style="thin">
        <color theme="5" tint="0.79998168889431442"/>
      </left>
      <right style="thin">
        <color theme="5" tint="0.79998168889431442"/>
      </right>
      <top/>
      <bottom style="thin">
        <color theme="5" tint="0.79998168889431442"/>
      </bottom>
      <diagonal/>
    </border>
    <border>
      <left style="thin">
        <color theme="5" tint="0.79998168889431442"/>
      </left>
      <right/>
      <top style="thin">
        <color theme="5"/>
      </top>
      <bottom style="thin">
        <color theme="5" tint="0.79998168889431442"/>
      </bottom>
      <diagonal/>
    </border>
    <border>
      <left/>
      <right/>
      <top style="thin">
        <color theme="5"/>
      </top>
      <bottom style="thin">
        <color theme="5" tint="0.79998168889431442"/>
      </bottom>
      <diagonal/>
    </border>
    <border>
      <left/>
      <right style="thin">
        <color theme="5" tint="0.79998168889431442"/>
      </right>
      <top style="thin">
        <color theme="5"/>
      </top>
      <bottom style="thin">
        <color theme="5" tint="0.79998168889431442"/>
      </bottom>
      <diagonal/>
    </border>
    <border>
      <left style="thin">
        <color theme="5" tint="0.79998168889431442"/>
      </left>
      <right/>
      <top/>
      <bottom style="thin">
        <color theme="5" tint="0.79998168889431442"/>
      </bottom>
      <diagonal/>
    </border>
    <border>
      <left style="thin">
        <color theme="5" tint="0.79998168889431442"/>
      </left>
      <right/>
      <top style="thin">
        <color theme="5" tint="0.79998168889431442"/>
      </top>
      <bottom style="thin">
        <color theme="5" tint="0.79998168889431442"/>
      </bottom>
      <diagonal/>
    </border>
    <border>
      <left/>
      <right style="thin">
        <color theme="5" tint="0.79998168889431442"/>
      </right>
      <top/>
      <bottom style="thin">
        <color theme="5" tint="0.79998168889431442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 tint="0.79998168889431442"/>
      </right>
      <top style="thin">
        <color theme="5"/>
      </top>
      <bottom/>
      <diagonal/>
    </border>
    <border>
      <left/>
      <right style="thin">
        <color theme="5" tint="0.79998168889431442"/>
      </right>
      <top/>
      <bottom/>
      <diagonal/>
    </border>
    <border>
      <left style="thin">
        <color theme="5"/>
      </left>
      <right/>
      <top/>
      <bottom style="thin">
        <color theme="5" tint="0.79998168889431442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thin">
        <color theme="5" tint="0.79998168889431442"/>
      </right>
      <top style="thin">
        <color theme="5" tint="0.79998168889431442"/>
      </top>
      <bottom/>
      <diagonal/>
    </border>
    <border>
      <left/>
      <right/>
      <top/>
      <bottom style="thin">
        <color theme="5" tint="0.79998168889431442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6">
    <xf numFmtId="0" fontId="0" fillId="0" borderId="0"/>
    <xf numFmtId="9" fontId="4" fillId="0" borderId="0" applyFont="0" applyFill="0" applyBorder="0" applyAlignment="0" applyProtection="0"/>
    <xf numFmtId="165" fontId="6" fillId="0" borderId="0" applyBorder="0" applyProtection="0"/>
    <xf numFmtId="0" fontId="10" fillId="0" borderId="0"/>
    <xf numFmtId="0" fontId="11" fillId="0" borderId="0"/>
    <xf numFmtId="164" fontId="4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9" fontId="0" fillId="0" borderId="0" xfId="1" applyFont="1" applyAlignment="1">
      <alignment horizontal="center"/>
    </xf>
    <xf numFmtId="0" fontId="3" fillId="0" borderId="0" xfId="0" applyFont="1" applyAlignment="1">
      <alignment horizontal="left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15" fillId="4" borderId="0" xfId="0" applyFont="1" applyFill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16" fillId="0" borderId="0" xfId="0" applyNumberFormat="1" applyFont="1" applyAlignment="1">
      <alignment horizontal="center" vertical="center" wrapText="1"/>
    </xf>
    <xf numFmtId="2" fontId="16" fillId="0" borderId="0" xfId="0" applyNumberFormat="1" applyFont="1" applyAlignment="1">
      <alignment horizontal="center" vertical="center"/>
    </xf>
    <xf numFmtId="0" fontId="0" fillId="2" borderId="0" xfId="0" applyFill="1"/>
    <xf numFmtId="0" fontId="3" fillId="0" borderId="0" xfId="0" applyFont="1"/>
    <xf numFmtId="0" fontId="0" fillId="4" borderId="0" xfId="0" applyFill="1"/>
    <xf numFmtId="0" fontId="17" fillId="0" borderId="0" xfId="0" applyFont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49" fontId="0" fillId="0" borderId="0" xfId="5" applyNumberFormat="1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69" fontId="16" fillId="0" borderId="0" xfId="0" applyNumberFormat="1" applyFont="1" applyAlignment="1">
      <alignment horizontal="center" vertical="center" wrapText="1"/>
    </xf>
    <xf numFmtId="166" fontId="16" fillId="0" borderId="0" xfId="0" applyNumberFormat="1" applyFont="1" applyAlignment="1">
      <alignment horizontal="center" vertical="center" wrapText="1"/>
    </xf>
    <xf numFmtId="166" fontId="1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21" fontId="19" fillId="0" borderId="0" xfId="0" applyNumberFormat="1" applyFont="1" applyAlignment="1">
      <alignment horizontal="left" vertical="center" wrapText="1"/>
    </xf>
    <xf numFmtId="2" fontId="19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3" fillId="0" borderId="0" xfId="0" applyFont="1"/>
    <xf numFmtId="0" fontId="2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2" fontId="14" fillId="0" borderId="0" xfId="0" applyNumberFormat="1" applyFont="1" applyAlignment="1">
      <alignment horizontal="center" vertical="center" wrapText="1"/>
    </xf>
    <xf numFmtId="21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2" fontId="19" fillId="0" borderId="0" xfId="0" applyNumberFormat="1" applyFont="1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2" fontId="16" fillId="0" borderId="0" xfId="0" applyNumberFormat="1" applyFont="1" applyAlignment="1">
      <alignment horizontal="left" vertical="center" wrapText="1"/>
    </xf>
    <xf numFmtId="0" fontId="24" fillId="0" borderId="0" xfId="0" applyFont="1" applyAlignment="1">
      <alignment horizontal="left" vertical="center"/>
    </xf>
    <xf numFmtId="0" fontId="0" fillId="2" borderId="0" xfId="0" applyFill="1" applyAlignment="1">
      <alignment horizontal="center"/>
    </xf>
    <xf numFmtId="171" fontId="0" fillId="0" borderId="0" xfId="0" applyNumberFormat="1" applyAlignment="1">
      <alignment horizontal="center"/>
    </xf>
    <xf numFmtId="0" fontId="26" fillId="4" borderId="0" xfId="0" applyFont="1" applyFill="1" applyAlignment="1">
      <alignment vertical="center"/>
    </xf>
    <xf numFmtId="0" fontId="22" fillId="6" borderId="0" xfId="0" applyFont="1" applyFill="1" applyAlignment="1">
      <alignment vertical="center"/>
    </xf>
    <xf numFmtId="0" fontId="22" fillId="4" borderId="0" xfId="0" applyFont="1" applyFill="1" applyAlignment="1">
      <alignment vertical="center"/>
    </xf>
    <xf numFmtId="0" fontId="27" fillId="4" borderId="0" xfId="0" applyFont="1" applyFill="1" applyAlignment="1">
      <alignment vertical="center"/>
    </xf>
    <xf numFmtId="0" fontId="22" fillId="7" borderId="0" xfId="0" applyFont="1" applyFill="1" applyAlignment="1">
      <alignment vertical="center"/>
    </xf>
    <xf numFmtId="0" fontId="28" fillId="6" borderId="0" xfId="0" applyFont="1" applyFill="1" applyAlignment="1">
      <alignment vertical="center" wrapText="1"/>
    </xf>
    <xf numFmtId="0" fontId="22" fillId="6" borderId="0" xfId="0" applyFont="1" applyFill="1" applyAlignment="1">
      <alignment vertical="center" wrapText="1"/>
    </xf>
    <xf numFmtId="0" fontId="25" fillId="3" borderId="7" xfId="0" applyFont="1" applyFill="1" applyBorder="1" applyAlignment="1">
      <alignment horizontal="left" vertical="center"/>
    </xf>
    <xf numFmtId="2" fontId="22" fillId="0" borderId="9" xfId="0" applyNumberFormat="1" applyFont="1" applyBorder="1" applyAlignment="1">
      <alignment horizontal="left" vertical="center"/>
    </xf>
    <xf numFmtId="2" fontId="22" fillId="4" borderId="19" xfId="0" applyNumberFormat="1" applyFont="1" applyFill="1" applyBorder="1" applyAlignment="1">
      <alignment vertical="center"/>
    </xf>
    <xf numFmtId="0" fontId="22" fillId="8" borderId="0" xfId="0" applyFont="1" applyFill="1" applyAlignment="1">
      <alignment vertical="center"/>
    </xf>
    <xf numFmtId="0" fontId="26" fillId="8" borderId="0" xfId="0" applyFont="1" applyFill="1" applyAlignment="1">
      <alignment vertical="center"/>
    </xf>
    <xf numFmtId="2" fontId="22" fillId="4" borderId="20" xfId="0" applyNumberFormat="1" applyFont="1" applyFill="1" applyBorder="1" applyAlignment="1">
      <alignment vertical="center"/>
    </xf>
    <xf numFmtId="0" fontId="12" fillId="10" borderId="22" xfId="0" applyFont="1" applyFill="1" applyBorder="1" applyAlignment="1">
      <alignment horizontal="center" vertical="center" wrapText="1"/>
    </xf>
    <xf numFmtId="0" fontId="12" fillId="11" borderId="22" xfId="0" applyFont="1" applyFill="1" applyBorder="1" applyAlignment="1">
      <alignment horizontal="center" vertical="center" wrapText="1"/>
    </xf>
    <xf numFmtId="0" fontId="26" fillId="4" borderId="22" xfId="0" applyFont="1" applyFill="1" applyBorder="1" applyAlignment="1">
      <alignment vertical="center" wrapText="1"/>
    </xf>
    <xf numFmtId="0" fontId="5" fillId="4" borderId="23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vertical="center"/>
    </xf>
    <xf numFmtId="0" fontId="12" fillId="12" borderId="23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5" fillId="9" borderId="28" xfId="0" applyFont="1" applyFill="1" applyBorder="1" applyAlignment="1">
      <alignment horizontal="center" vertical="center"/>
    </xf>
    <xf numFmtId="2" fontId="26" fillId="8" borderId="0" xfId="0" applyNumberFormat="1" applyFont="1" applyFill="1" applyAlignment="1">
      <alignment vertical="center"/>
    </xf>
    <xf numFmtId="0" fontId="26" fillId="8" borderId="0" xfId="0" applyFont="1" applyFill="1" applyAlignment="1">
      <alignment vertical="center" wrapText="1"/>
    </xf>
    <xf numFmtId="0" fontId="26" fillId="7" borderId="0" xfId="0" applyFont="1" applyFill="1" applyAlignment="1">
      <alignment vertical="center"/>
    </xf>
    <xf numFmtId="0" fontId="0" fillId="0" borderId="15" xfId="0" applyBorder="1" applyAlignment="1">
      <alignment horizontal="right"/>
    </xf>
    <xf numFmtId="0" fontId="22" fillId="0" borderId="42" xfId="0" applyFont="1" applyBorder="1" applyAlignment="1">
      <alignment horizontal="left" vertical="center" wrapText="1"/>
    </xf>
    <xf numFmtId="1" fontId="22" fillId="0" borderId="42" xfId="0" applyNumberFormat="1" applyFont="1" applyBorder="1" applyAlignment="1">
      <alignment horizontal="center" vertical="center" wrapText="1"/>
    </xf>
    <xf numFmtId="167" fontId="22" fillId="0" borderId="42" xfId="0" applyNumberFormat="1" applyFont="1" applyBorder="1" applyAlignment="1">
      <alignment horizontal="center" vertical="center" wrapText="1"/>
    </xf>
    <xf numFmtId="0" fontId="22" fillId="0" borderId="42" xfId="0" applyFont="1" applyBorder="1" applyAlignment="1">
      <alignment horizontal="center" vertical="center" wrapText="1"/>
    </xf>
    <xf numFmtId="21" fontId="22" fillId="0" borderId="42" xfId="0" applyNumberFormat="1" applyFont="1" applyBorder="1" applyAlignment="1">
      <alignment horizontal="right" vertical="center" wrapText="1"/>
    </xf>
    <xf numFmtId="0" fontId="12" fillId="0" borderId="42" xfId="0" applyFont="1" applyBorder="1" applyAlignment="1">
      <alignment horizontal="center" vertical="center" wrapText="1"/>
    </xf>
    <xf numFmtId="0" fontId="22" fillId="0" borderId="42" xfId="0" applyFont="1" applyBorder="1" applyAlignment="1">
      <alignment vertical="center" wrapText="1"/>
    </xf>
    <xf numFmtId="0" fontId="0" fillId="0" borderId="42" xfId="0" applyBorder="1"/>
    <xf numFmtId="0" fontId="7" fillId="0" borderId="42" xfId="0" applyFont="1" applyBorder="1" applyAlignment="1">
      <alignment horizontal="left"/>
    </xf>
    <xf numFmtId="0" fontId="0" fillId="0" borderId="42" xfId="0" applyBorder="1" applyAlignment="1">
      <alignment horizontal="left"/>
    </xf>
    <xf numFmtId="1" fontId="7" fillId="0" borderId="42" xfId="0" applyNumberFormat="1" applyFont="1" applyBorder="1" applyAlignment="1">
      <alignment horizontal="center"/>
    </xf>
    <xf numFmtId="167" fontId="0" fillId="0" borderId="42" xfId="0" applyNumberFormat="1" applyBorder="1" applyAlignment="1">
      <alignment horizontal="center"/>
    </xf>
    <xf numFmtId="0" fontId="3" fillId="0" borderId="42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2" xfId="0" applyBorder="1" applyAlignment="1">
      <alignment horizontal="center" vertical="center"/>
    </xf>
    <xf numFmtId="21" fontId="0" fillId="0" borderId="42" xfId="0" applyNumberFormat="1" applyBorder="1" applyAlignment="1">
      <alignment horizontal="right"/>
    </xf>
    <xf numFmtId="2" fontId="0" fillId="0" borderId="42" xfId="0" applyNumberFormat="1" applyBorder="1" applyAlignment="1">
      <alignment horizontal="center"/>
    </xf>
    <xf numFmtId="0" fontId="0" fillId="14" borderId="43" xfId="0" applyFill="1" applyBorder="1" applyAlignment="1">
      <alignment horizontal="left" vertical="center"/>
    </xf>
    <xf numFmtId="10" fontId="0" fillId="14" borderId="43" xfId="1" applyNumberFormat="1" applyFont="1" applyFill="1" applyBorder="1" applyAlignment="1">
      <alignment horizontal="left" vertical="center"/>
    </xf>
    <xf numFmtId="0" fontId="21" fillId="0" borderId="43" xfId="0" applyFont="1" applyBorder="1" applyAlignment="1">
      <alignment horizontal="left" vertical="center"/>
    </xf>
    <xf numFmtId="10" fontId="21" fillId="0" borderId="43" xfId="1" applyNumberFormat="1" applyFont="1" applyBorder="1" applyAlignment="1">
      <alignment horizontal="left" vertical="center"/>
    </xf>
    <xf numFmtId="2" fontId="21" fillId="0" borderId="43" xfId="0" applyNumberFormat="1" applyFont="1" applyBorder="1" applyAlignment="1">
      <alignment horizontal="left" vertical="center"/>
    </xf>
    <xf numFmtId="9" fontId="21" fillId="0" borderId="43" xfId="0" applyNumberFormat="1" applyFont="1" applyBorder="1" applyAlignment="1">
      <alignment horizontal="left" vertical="center"/>
    </xf>
    <xf numFmtId="168" fontId="21" fillId="0" borderId="43" xfId="0" applyNumberFormat="1" applyFont="1" applyBorder="1" applyAlignment="1">
      <alignment horizontal="left" vertical="center"/>
    </xf>
    <xf numFmtId="0" fontId="21" fillId="13" borderId="43" xfId="0" applyFont="1" applyFill="1" applyBorder="1" applyAlignment="1">
      <alignment horizontal="left" vertical="center"/>
    </xf>
    <xf numFmtId="10" fontId="21" fillId="13" borderId="43" xfId="1" applyNumberFormat="1" applyFont="1" applyFill="1" applyBorder="1" applyAlignment="1">
      <alignment horizontal="left" vertical="center"/>
    </xf>
    <xf numFmtId="2" fontId="21" fillId="13" borderId="43" xfId="0" applyNumberFormat="1" applyFont="1" applyFill="1" applyBorder="1" applyAlignment="1">
      <alignment horizontal="left" vertical="center"/>
    </xf>
    <xf numFmtId="9" fontId="21" fillId="13" borderId="43" xfId="0" applyNumberFormat="1" applyFont="1" applyFill="1" applyBorder="1" applyAlignment="1">
      <alignment horizontal="left" vertical="center"/>
    </xf>
    <xf numFmtId="168" fontId="21" fillId="13" borderId="43" xfId="0" applyNumberFormat="1" applyFont="1" applyFill="1" applyBorder="1" applyAlignment="1">
      <alignment horizontal="left" vertical="center"/>
    </xf>
    <xf numFmtId="0" fontId="21" fillId="2" borderId="43" xfId="0" applyFont="1" applyFill="1" applyBorder="1" applyAlignment="1">
      <alignment horizontal="left" vertical="center"/>
    </xf>
    <xf numFmtId="10" fontId="21" fillId="2" borderId="43" xfId="1" applyNumberFormat="1" applyFont="1" applyFill="1" applyBorder="1" applyAlignment="1">
      <alignment horizontal="left" vertical="center"/>
    </xf>
    <xf numFmtId="2" fontId="21" fillId="2" borderId="43" xfId="0" applyNumberFormat="1" applyFont="1" applyFill="1" applyBorder="1" applyAlignment="1">
      <alignment horizontal="left" vertical="center"/>
    </xf>
    <xf numFmtId="9" fontId="21" fillId="2" borderId="43" xfId="0" applyNumberFormat="1" applyFont="1" applyFill="1" applyBorder="1" applyAlignment="1">
      <alignment horizontal="left" vertical="center"/>
    </xf>
    <xf numFmtId="168" fontId="21" fillId="2" borderId="43" xfId="0" applyNumberFormat="1" applyFont="1" applyFill="1" applyBorder="1" applyAlignment="1">
      <alignment horizontal="left" vertical="center"/>
    </xf>
    <xf numFmtId="0" fontId="0" fillId="14" borderId="43" xfId="0" applyFill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13" borderId="43" xfId="0" applyFont="1" applyFill="1" applyBorder="1" applyAlignment="1">
      <alignment horizontal="center" vertical="center"/>
    </xf>
    <xf numFmtId="0" fontId="21" fillId="2" borderId="43" xfId="0" applyFont="1" applyFill="1" applyBorder="1" applyAlignment="1">
      <alignment horizontal="center" vertical="center"/>
    </xf>
    <xf numFmtId="0" fontId="21" fillId="0" borderId="31" xfId="0" applyFont="1" applyBorder="1"/>
    <xf numFmtId="166" fontId="21" fillId="0" borderId="31" xfId="0" applyNumberFormat="1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1" xfId="0" applyFont="1" applyBorder="1" applyAlignment="1">
      <alignment horizontal="left"/>
    </xf>
    <xf numFmtId="0" fontId="21" fillId="0" borderId="4" xfId="0" applyFont="1" applyBorder="1" applyAlignment="1">
      <alignment horizontal="left"/>
    </xf>
    <xf numFmtId="1" fontId="21" fillId="0" borderId="31" xfId="0" applyNumberFormat="1" applyFont="1" applyBorder="1" applyAlignment="1">
      <alignment horizontal="center"/>
    </xf>
    <xf numFmtId="167" fontId="21" fillId="0" borderId="31" xfId="0" applyNumberFormat="1" applyFont="1" applyBorder="1" applyAlignment="1">
      <alignment horizontal="center"/>
    </xf>
    <xf numFmtId="0" fontId="21" fillId="0" borderId="31" xfId="0" applyFont="1" applyBorder="1" applyAlignment="1">
      <alignment horizontal="center"/>
    </xf>
    <xf numFmtId="170" fontId="21" fillId="0" borderId="31" xfId="0" applyNumberFormat="1" applyFont="1" applyBorder="1" applyAlignment="1">
      <alignment horizontal="right"/>
    </xf>
    <xf numFmtId="2" fontId="21" fillId="0" borderId="31" xfId="0" applyNumberFormat="1" applyFont="1" applyBorder="1" applyAlignment="1">
      <alignment horizontal="center"/>
    </xf>
    <xf numFmtId="1" fontId="21" fillId="0" borderId="31" xfId="0" applyNumberFormat="1" applyFont="1" applyBorder="1" applyAlignment="1">
      <alignment horizontal="center" vertical="center"/>
    </xf>
    <xf numFmtId="0" fontId="5" fillId="4" borderId="9" xfId="0" applyFont="1" applyFill="1" applyBorder="1" applyAlignment="1">
      <alignment vertical="center"/>
    </xf>
    <xf numFmtId="169" fontId="16" fillId="0" borderId="0" xfId="0" applyNumberFormat="1" applyFont="1" applyAlignment="1">
      <alignment horizontal="left" vertical="center"/>
    </xf>
    <xf numFmtId="0" fontId="21" fillId="0" borderId="42" xfId="0" applyFont="1" applyBorder="1"/>
    <xf numFmtId="166" fontId="21" fillId="0" borderId="42" xfId="0" applyNumberFormat="1" applyFont="1" applyBorder="1" applyAlignment="1">
      <alignment horizontal="center" vertical="center"/>
    </xf>
    <xf numFmtId="2" fontId="16" fillId="0" borderId="0" xfId="0" applyNumberFormat="1" applyFont="1" applyAlignment="1">
      <alignment horizontal="left" vertical="center"/>
    </xf>
    <xf numFmtId="9" fontId="16" fillId="0" borderId="0" xfId="0" applyNumberFormat="1" applyFont="1" applyAlignment="1">
      <alignment horizontal="left" vertical="center"/>
    </xf>
    <xf numFmtId="170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21" fillId="0" borderId="44" xfId="0" applyFont="1" applyBorder="1" applyAlignment="1">
      <alignment horizontal="left" vertical="center"/>
    </xf>
    <xf numFmtId="10" fontId="21" fillId="0" borderId="44" xfId="1" applyNumberFormat="1" applyFont="1" applyBorder="1" applyAlignment="1">
      <alignment horizontal="left" vertical="center"/>
    </xf>
    <xf numFmtId="0" fontId="21" fillId="13" borderId="44" xfId="0" applyFont="1" applyFill="1" applyBorder="1" applyAlignment="1">
      <alignment horizontal="left" vertical="center"/>
    </xf>
    <xf numFmtId="10" fontId="21" fillId="13" borderId="44" xfId="1" applyNumberFormat="1" applyFont="1" applyFill="1" applyBorder="1" applyAlignment="1">
      <alignment horizontal="left" vertical="center"/>
    </xf>
    <xf numFmtId="2" fontId="21" fillId="0" borderId="44" xfId="0" applyNumberFormat="1" applyFont="1" applyBorder="1" applyAlignment="1">
      <alignment horizontal="left" vertical="center"/>
    </xf>
    <xf numFmtId="2" fontId="21" fillId="13" borderId="44" xfId="0" applyNumberFormat="1" applyFont="1" applyFill="1" applyBorder="1" applyAlignment="1">
      <alignment horizontal="left" vertical="center"/>
    </xf>
    <xf numFmtId="0" fontId="21" fillId="0" borderId="44" xfId="0" applyFont="1" applyBorder="1" applyAlignment="1">
      <alignment horizontal="center" vertical="center"/>
    </xf>
    <xf numFmtId="0" fontId="21" fillId="13" borderId="44" xfId="0" applyFont="1" applyFill="1" applyBorder="1" applyAlignment="1">
      <alignment horizontal="center" vertical="center"/>
    </xf>
    <xf numFmtId="0" fontId="21" fillId="2" borderId="44" xfId="0" applyFont="1" applyFill="1" applyBorder="1" applyAlignment="1">
      <alignment horizontal="left" vertical="center"/>
    </xf>
    <xf numFmtId="10" fontId="21" fillId="2" borderId="44" xfId="1" applyNumberFormat="1" applyFont="1" applyFill="1" applyBorder="1" applyAlignment="1">
      <alignment horizontal="left" vertical="center"/>
    </xf>
    <xf numFmtId="0" fontId="21" fillId="13" borderId="45" xfId="0" applyFont="1" applyFill="1" applyBorder="1" applyAlignment="1">
      <alignment horizontal="left" vertical="center"/>
    </xf>
    <xf numFmtId="10" fontId="21" fillId="13" borderId="45" xfId="1" applyNumberFormat="1" applyFont="1" applyFill="1" applyBorder="1" applyAlignment="1">
      <alignment horizontal="left" vertical="center"/>
    </xf>
    <xf numFmtId="0" fontId="21" fillId="0" borderId="42" xfId="0" applyFont="1" applyBorder="1" applyAlignment="1">
      <alignment horizontal="left"/>
    </xf>
    <xf numFmtId="0" fontId="21" fillId="0" borderId="31" xfId="0" applyFont="1" applyBorder="1" applyAlignment="1">
      <alignment horizontal="left" vertical="center"/>
    </xf>
    <xf numFmtId="0" fontId="21" fillId="0" borderId="12" xfId="0" applyFont="1" applyBorder="1" applyAlignment="1">
      <alignment horizontal="left"/>
    </xf>
    <xf numFmtId="1" fontId="21" fillId="0" borderId="42" xfId="0" applyNumberFormat="1" applyFont="1" applyBorder="1" applyAlignment="1">
      <alignment horizontal="center"/>
    </xf>
    <xf numFmtId="167" fontId="21" fillId="0" borderId="42" xfId="0" applyNumberFormat="1" applyFont="1" applyBorder="1" applyAlignment="1">
      <alignment horizontal="center"/>
    </xf>
    <xf numFmtId="0" fontId="21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/>
    </xf>
    <xf numFmtId="1" fontId="21" fillId="0" borderId="42" xfId="0" applyNumberFormat="1" applyFont="1" applyBorder="1" applyAlignment="1">
      <alignment horizontal="center" vertical="center"/>
    </xf>
    <xf numFmtId="170" fontId="21" fillId="0" borderId="42" xfId="0" applyNumberFormat="1" applyFont="1" applyBorder="1" applyAlignment="1">
      <alignment horizontal="right"/>
    </xf>
    <xf numFmtId="2" fontId="21" fillId="0" borderId="42" xfId="0" applyNumberFormat="1" applyFont="1" applyBorder="1" applyAlignment="1">
      <alignment horizontal="center"/>
    </xf>
    <xf numFmtId="0" fontId="21" fillId="0" borderId="42" xfId="0" applyFont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5" fillId="4" borderId="9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horizontal="left" vertical="center"/>
    </xf>
    <xf numFmtId="0" fontId="22" fillId="0" borderId="36" xfId="0" applyFont="1" applyBorder="1" applyAlignment="1">
      <alignment horizontal="left" vertical="center"/>
    </xf>
    <xf numFmtId="0" fontId="22" fillId="0" borderId="12" xfId="0" applyFont="1" applyBorder="1" applyAlignment="1">
      <alignment horizontal="left" vertical="center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5" fillId="9" borderId="16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center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2" fontId="33" fillId="0" borderId="31" xfId="0" applyNumberFormat="1" applyFont="1" applyBorder="1" applyAlignment="1">
      <alignment horizontal="right" vertical="center"/>
    </xf>
    <xf numFmtId="2" fontId="33" fillId="0" borderId="13" xfId="0" applyNumberFormat="1" applyFont="1" applyBorder="1" applyAlignment="1">
      <alignment horizontal="right" vertical="center"/>
    </xf>
    <xf numFmtId="2" fontId="33" fillId="0" borderId="32" xfId="0" applyNumberFormat="1" applyFont="1" applyBorder="1" applyAlignment="1">
      <alignment horizontal="right" vertical="center"/>
    </xf>
    <xf numFmtId="2" fontId="29" fillId="0" borderId="31" xfId="0" applyNumberFormat="1" applyFont="1" applyBorder="1" applyAlignment="1">
      <alignment horizontal="right" vertical="center"/>
    </xf>
    <xf numFmtId="2" fontId="29" fillId="0" borderId="13" xfId="0" applyNumberFormat="1" applyFont="1" applyBorder="1" applyAlignment="1">
      <alignment horizontal="right" vertical="center"/>
    </xf>
    <xf numFmtId="2" fontId="29" fillId="0" borderId="32" xfId="0" applyNumberFormat="1" applyFont="1" applyBorder="1" applyAlignment="1">
      <alignment horizontal="right" vertical="center"/>
    </xf>
    <xf numFmtId="2" fontId="7" fillId="0" borderId="31" xfId="0" applyNumberFormat="1" applyFont="1" applyBorder="1" applyAlignment="1">
      <alignment horizontal="center" vertical="center"/>
    </xf>
    <xf numFmtId="2" fontId="7" fillId="0" borderId="13" xfId="0" applyNumberFormat="1" applyFont="1" applyBorder="1" applyAlignment="1">
      <alignment horizontal="center" vertical="center"/>
    </xf>
    <xf numFmtId="2" fontId="7" fillId="0" borderId="32" xfId="0" applyNumberFormat="1" applyFont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5" fillId="9" borderId="27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12" fillId="11" borderId="23" xfId="0" applyFont="1" applyFill="1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 wrapText="1"/>
    </xf>
    <xf numFmtId="0" fontId="22" fillId="0" borderId="38" xfId="0" applyFont="1" applyBorder="1" applyAlignment="1">
      <alignment horizontal="center" vertical="center"/>
    </xf>
    <xf numFmtId="0" fontId="22" fillId="0" borderId="39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2" fontId="7" fillId="0" borderId="5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2" fontId="7" fillId="0" borderId="6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1" fontId="13" fillId="3" borderId="29" xfId="0" applyNumberFormat="1" applyFont="1" applyFill="1" applyBorder="1" applyAlignment="1">
      <alignment horizontal="center" vertical="center"/>
    </xf>
    <xf numFmtId="1" fontId="13" fillId="3" borderId="37" xfId="0" applyNumberFormat="1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4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22" fillId="0" borderId="3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34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2" fontId="32" fillId="0" borderId="23" xfId="0" applyNumberFormat="1" applyFont="1" applyBorder="1" applyAlignment="1">
      <alignment horizontal="center" vertical="center"/>
    </xf>
    <xf numFmtId="2" fontId="32" fillId="0" borderId="24" xfId="0" applyNumberFormat="1" applyFont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31" fillId="0" borderId="31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2" fontId="29" fillId="0" borderId="3" xfId="0" applyNumberFormat="1" applyFont="1" applyBorder="1" applyAlignment="1">
      <alignment horizontal="center" vertical="center"/>
    </xf>
    <xf numFmtId="2" fontId="29" fillId="0" borderId="10" xfId="0" applyNumberFormat="1" applyFont="1" applyBorder="1" applyAlignment="1">
      <alignment horizontal="center" vertical="center"/>
    </xf>
    <xf numFmtId="2" fontId="29" fillId="0" borderId="4" xfId="0" applyNumberFormat="1" applyFont="1" applyBorder="1" applyAlignment="1">
      <alignment horizontal="center" vertical="center"/>
    </xf>
    <xf numFmtId="2" fontId="29" fillId="0" borderId="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6" xfId="0" applyNumberFormat="1" applyFont="1" applyBorder="1" applyAlignment="1">
      <alignment horizontal="center" vertical="center"/>
    </xf>
    <xf numFmtId="2" fontId="29" fillId="0" borderId="7" xfId="0" applyNumberFormat="1" applyFont="1" applyBorder="1" applyAlignment="1">
      <alignment horizontal="center" vertical="center"/>
    </xf>
    <xf numFmtId="2" fontId="29" fillId="0" borderId="9" xfId="0" applyNumberFormat="1" applyFont="1" applyBorder="1" applyAlignment="1">
      <alignment horizontal="center" vertical="center"/>
    </xf>
    <xf numFmtId="2" fontId="29" fillId="0" borderId="8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left" vertical="center"/>
    </xf>
    <xf numFmtId="0" fontId="22" fillId="0" borderId="9" xfId="0" applyFont="1" applyBorder="1" applyAlignment="1">
      <alignment horizontal="left" vertical="center"/>
    </xf>
    <xf numFmtId="0" fontId="22" fillId="0" borderId="8" xfId="0" applyFont="1" applyBorder="1" applyAlignment="1">
      <alignment horizontal="left" vertical="center"/>
    </xf>
  </cellXfs>
  <cellStyles count="6">
    <cellStyle name="Excel Built-in Normal" xfId="2" xr:uid="{00000000-0005-0000-0000-000000000000}"/>
    <cellStyle name="Excel Built-in Normal 2" xfId="4" xr:uid="{00000000-0005-0000-0000-000001000000}"/>
    <cellStyle name="Normal" xfId="0" builtinId="0"/>
    <cellStyle name="Normal 2" xfId="3" xr:uid="{00000000-0005-0000-0000-000003000000}"/>
    <cellStyle name="Porcentagem" xfId="1" builtinId="5"/>
    <cellStyle name="Vírgula" xfId="5" builtinId="3"/>
  </cellStyles>
  <dxfs count="415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71" formatCode="m/d/yyyy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0" formatCode="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9" formatCode="mm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 val="0"/>
        <i val="0"/>
        <color rgb="FFFF0000"/>
      </font>
      <fill>
        <patternFill patternType="none">
          <fgColor auto="1"/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gradientFill>
          <stop position="0">
            <color theme="0"/>
          </stop>
          <stop position="0.5">
            <color rgb="FFFF7979"/>
          </stop>
          <stop position="1">
            <color theme="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CCFFFF"/>
          </stop>
        </gradient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99FF99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1"/>
      </font>
      <fill>
        <gradientFill degree="180">
          <stop position="0">
            <color theme="0"/>
          </stop>
          <stop position="1">
            <color theme="0" tint="-0.1490218817712943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FF66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EAF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CCFFFF"/>
          </stop>
        </gradient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99FF99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1"/>
      </font>
      <fill>
        <gradientFill degree="180">
          <stop position="0">
            <color theme="0"/>
          </stop>
          <stop position="1">
            <color theme="0" tint="-0.1490218817712943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FF66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EAF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CCFFFF"/>
          </stop>
        </gradient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99FF99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1"/>
      </font>
      <fill>
        <gradientFill degree="180">
          <stop position="0">
            <color theme="0"/>
          </stop>
          <stop position="1">
            <color theme="0" tint="-0.1490218817712943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FF66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EAF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rgb="FFFF0000"/>
      </font>
      <fill>
        <patternFill patternType="none">
          <fgColor auto="1"/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gradientFill>
          <stop position="0">
            <color theme="0"/>
          </stop>
          <stop position="0.5">
            <color rgb="FFFF7979"/>
          </stop>
          <stop position="1">
            <color theme="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CCFFFF"/>
          </stop>
        </gradient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99FF99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1"/>
      </font>
      <fill>
        <gradientFill degree="180">
          <stop position="0">
            <color theme="0"/>
          </stop>
          <stop position="1">
            <color theme="0" tint="-0.1490218817712943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FF66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EAF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CCFFFF"/>
          </stop>
        </gradient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99FF99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1"/>
      </font>
      <fill>
        <gradientFill degree="180">
          <stop position="0">
            <color theme="0"/>
          </stop>
          <stop position="1">
            <color theme="0" tint="-0.1490218817712943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FF66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EAF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CCFFFF"/>
          </stop>
        </gradient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99FF99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1"/>
      </font>
      <fill>
        <gradientFill degree="180">
          <stop position="0">
            <color theme="0"/>
          </stop>
          <stop position="1">
            <color theme="0" tint="-0.1490218817712943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FF66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EAF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rgb="FFFF0000"/>
      </font>
      <fill>
        <patternFill patternType="none">
          <fgColor auto="1"/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gradientFill>
          <stop position="0">
            <color theme="0"/>
          </stop>
          <stop position="0.5">
            <color rgb="FFFF7979"/>
          </stop>
          <stop position="1">
            <color theme="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CCFFFF"/>
          </stop>
        </gradient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99FF99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1"/>
      </font>
      <fill>
        <gradientFill degree="180">
          <stop position="0">
            <color theme="0"/>
          </stop>
          <stop position="1">
            <color theme="0" tint="-0.1490218817712943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FF66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EAF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CCFFFF"/>
          </stop>
        </gradient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99FF99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1"/>
      </font>
      <fill>
        <gradientFill degree="180">
          <stop position="0">
            <color theme="0"/>
          </stop>
          <stop position="1">
            <color theme="0" tint="-0.1490218817712943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FF66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EAF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CCFFFF"/>
          </stop>
        </gradient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99FF99"/>
          </stop>
        </gradient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color theme="1"/>
      </font>
      <fill>
        <gradientFill degree="180">
          <stop position="0">
            <color theme="0"/>
          </stop>
          <stop position="1">
            <color theme="0" tint="-0.1490218817712943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FF66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EAF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AFFF"/>
          </stop>
        </gradient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FB7B7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color theme="1"/>
      </font>
      <fill>
        <gradientFill degree="180">
          <stop position="0">
            <color theme="0"/>
          </stop>
          <stop position="1">
            <color rgb="FFFED2EC"/>
          </stop>
        </gradientFill>
      </fill>
      <border>
        <left style="thin">
          <color rgb="FFFF3399"/>
        </left>
        <right style="thin">
          <color rgb="FFFF3399"/>
        </right>
        <top style="thin">
          <color rgb="FFFF3399"/>
        </top>
        <bottom style="thin">
          <color rgb="FFFF3399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8B8B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0.0"/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0.0"/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0.0"/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0.0"/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0.0"/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h:mm:ss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d/m/yy\ h:mm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 style="thin">
          <color theme="5"/>
        </vertical>
        <horizontal style="thin">
          <color theme="5"/>
        </horizontal>
      </border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  <border>
        <left/>
        <right/>
        <top/>
        <bottom/>
        <vertical/>
        <horizontal/>
      </border>
    </dxf>
    <dxf>
      <fill>
        <gradientFill degree="180">
          <stop position="0">
            <color theme="0"/>
          </stop>
          <stop position="1">
            <color rgb="FFFF0000"/>
          </stop>
        </gradientFill>
      </fill>
      <border>
        <left/>
        <right/>
        <top/>
        <bottom/>
        <vertical/>
        <horizontal/>
      </border>
    </dxf>
    <dxf>
      <fill>
        <gradientFill degree="180">
          <stop position="0">
            <color theme="0"/>
          </stop>
          <stop position="1">
            <color rgb="FFFF0000"/>
          </stop>
        </gradientFill>
      </fill>
      <border>
        <left/>
        <right/>
        <top/>
        <bottom/>
        <vertical/>
        <horizontal/>
      </border>
    </dxf>
    <dxf>
      <fill>
        <gradientFill degree="180">
          <stop position="0">
            <color theme="0"/>
          </stop>
          <stop position="1">
            <color rgb="FFFF0000"/>
          </stop>
        </gradientFill>
      </fill>
      <border>
        <left/>
        <right/>
        <top/>
        <bottom/>
        <vertical/>
        <horizontal/>
      </border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180">
          <stop position="0">
            <color theme="0"/>
          </stop>
          <stop position="1">
            <color rgb="FF00B050"/>
          </stop>
        </gradientFill>
      </fill>
    </dxf>
    <dxf>
      <fill>
        <gradientFill degree="18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FF66"/>
          </stop>
        </gradientFill>
      </fill>
    </dxf>
    <dxf>
      <fill>
        <gradientFill degree="90">
          <stop position="0">
            <color theme="0"/>
          </stop>
          <stop position="1">
            <color theme="4" tint="0.80001220740379042"/>
          </stop>
        </gradientFill>
      </fill>
    </dxf>
    <dxf>
      <fill>
        <gradientFill degree="90">
          <stop position="0">
            <color theme="0"/>
          </stop>
          <stop position="1">
            <color theme="0" tint="-5.0965910824915313E-2"/>
          </stop>
        </gradientFill>
      </fill>
    </dxf>
    <dxf>
      <fill>
        <gradientFill degree="90">
          <stop position="0">
            <color theme="0"/>
          </stop>
          <stop position="1">
            <color rgb="FF99FF99"/>
          </stop>
        </gradient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color theme="5"/>
      </font>
      <fill>
        <patternFill>
          <bgColor theme="5"/>
        </patternFill>
      </fill>
    </dxf>
    <dxf>
      <font>
        <b/>
        <i val="0"/>
        <color theme="5" tint="-0.24994659260841701"/>
      </font>
      <fill>
        <patternFill patternType="solid">
          <fgColor auto="1"/>
          <bgColor theme="0"/>
        </patternFill>
      </fill>
    </dxf>
    <dxf>
      <fill>
        <patternFill>
          <bgColor theme="5"/>
        </patternFill>
      </fill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ont>
        <b/>
        <i val="0"/>
        <color theme="0"/>
      </font>
      <fill>
        <patternFill>
          <bgColor theme="5"/>
        </patternFill>
      </fill>
    </dxf>
  </dxfs>
  <tableStyles count="2" defaultTableStyle="TableStyleMedium2" defaultPivotStyle="PivotStyleLight16">
    <tableStyle name="Estilo de Segmentação de Dados 1" pivot="0" table="0" count="1" xr9:uid="{00000000-0011-0000-FFFF-FFFF00000000}">
      <tableStyleElement type="headerRow" dxfId="414"/>
    </tableStyle>
    <tableStyle name="Estilo de Segmentação de Dados 2" pivot="0" table="0" count="7" xr9:uid="{00000000-0011-0000-FFFF-FFFF01000000}">
      <tableStyleElement type="wholeTable" dxfId="413"/>
      <tableStyleElement type="headerRow" dxfId="412"/>
    </tableStyle>
  </tableStyles>
  <colors>
    <mruColors>
      <color rgb="FFFF9999"/>
      <color rgb="FFFF7979"/>
      <color rgb="FFFFFF66"/>
      <color rgb="FF0DFF7A"/>
      <color rgb="FF99FF99"/>
      <color rgb="FFCCFFFF"/>
      <color rgb="FFFFB7B7"/>
      <color rgb="FFFF3399"/>
      <color rgb="FFFED2EC"/>
      <color rgb="FFFFBEAF"/>
    </mruColors>
  </colors>
  <extLst>
    <ext xmlns:x14="http://schemas.microsoft.com/office/spreadsheetml/2009/9/main" uri="{46F421CA-312F-682f-3DD2-61675219B42D}">
      <x14:dxfs count="5">
        <dxf>
          <font>
            <color theme="0"/>
          </font>
          <fill>
            <patternFill>
              <bgColor theme="5"/>
            </patternFill>
          </fill>
          <border>
            <left style="thin">
              <color theme="2" tint="-0.749961851863155"/>
            </left>
            <right style="thin">
              <color theme="2" tint="-0.749961851863155"/>
            </right>
            <top style="thin">
              <color theme="2" tint="-0.749961851863155"/>
            </top>
            <bottom style="thin">
              <color theme="2" tint="-0.749961851863155"/>
            </bottom>
          </border>
        </dxf>
        <dxf>
          <font>
            <b/>
            <i val="0"/>
            <color theme="0"/>
          </font>
          <fill>
            <patternFill>
              <bgColor theme="5"/>
            </patternFill>
          </fill>
          <border>
            <left style="thin">
              <color theme="2" tint="-0.749961851863155"/>
            </left>
            <right style="thin">
              <color theme="2" tint="-0.749961851863155"/>
            </right>
            <top style="thin">
              <color theme="2" tint="-0.749961851863155"/>
            </top>
            <bottom style="thin">
              <color theme="2" tint="-0.749961851863155"/>
            </bottom>
          </border>
        </dxf>
        <dxf>
          <font>
            <color theme="1"/>
          </font>
          <fill>
            <patternFill>
              <bgColor theme="0"/>
            </patternFill>
          </fill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</border>
        </dxf>
        <dxf>
          <font>
            <b val="0"/>
            <i val="0"/>
            <color theme="1"/>
          </font>
          <fill>
            <patternFill>
              <bgColor theme="0"/>
            </patternFill>
          </fill>
          <border>
            <left style="thin">
              <color theme="0" tint="-0.14993743705557422"/>
            </left>
            <right style="thin">
              <color theme="0" tint="-0.14993743705557422"/>
            </right>
            <top style="thin">
              <color theme="0" tint="-0.14993743705557422"/>
            </top>
            <bottom style="thin">
              <color theme="0" tint="-0.14993743705557422"/>
            </bottom>
          </border>
        </dxf>
        <dxf>
          <font>
            <color theme="0" tint="-0.34998626667073579"/>
          </font>
          <fill>
            <patternFill>
              <bgColor theme="0" tint="-0.14996795556505021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Estilo de Segmentação de Dados 2">
          <x14:slicerStyleElements>
            <x14:slicerStyleElement type="unselectedItemWithData" dxfId="4"/>
            <x14:slicerStyleElement type="selectedItemWithData" dxfId="3"/>
            <x14:slicerStyleElement type="selectedItemWithNo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Radio" firstButton="1" fmlaLink="$F$7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25</xdr:col>
      <xdr:colOff>771525</xdr:colOff>
      <xdr:row>31</xdr:row>
      <xdr:rowOff>47626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0" y="361950"/>
          <a:ext cx="13277850" cy="5295901"/>
          <a:chOff x="-133350" y="66675"/>
          <a:chExt cx="12887325" cy="5572126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artisticCrisscrossEtching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81550" y="1445196"/>
            <a:ext cx="4210050" cy="4193605"/>
          </a:xfrm>
          <a:prstGeom prst="rect">
            <a:avLst/>
          </a:prstGeom>
        </xdr:spPr>
      </xdr:pic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33350" y="66675"/>
            <a:ext cx="12887325" cy="752475"/>
          </a:xfrm>
          <a:prstGeom prst="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de cantos arredondados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228850" y="266701"/>
            <a:ext cx="2390775" cy="361950"/>
          </a:xfrm>
          <a:prstGeom prst="round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200" b="1">
                <a:solidFill>
                  <a:schemeClr val="accent2">
                    <a:lumMod val="50000"/>
                  </a:schemeClr>
                </a:solidFill>
              </a:rPr>
              <a:t>Antes de sair,</a:t>
            </a:r>
            <a:r>
              <a:rPr lang="pt-BR" sz="1200" b="1" baseline="0">
                <a:solidFill>
                  <a:schemeClr val="accent2">
                    <a:lumMod val="50000"/>
                  </a:schemeClr>
                </a:solidFill>
              </a:rPr>
              <a:t> clique aqui:  </a:t>
            </a:r>
            <a:endParaRPr lang="pt-BR" sz="1200" b="1">
              <a:solidFill>
                <a:schemeClr val="accent2">
                  <a:lumMod val="50000"/>
                </a:schemeClr>
              </a:solidFill>
            </a:endParaRPr>
          </a:p>
        </xdr:txBody>
      </xdr:sp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0" y="1352550"/>
            <a:ext cx="3403465" cy="1028700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Retângulo de cantos arredondados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04825" y="1514475"/>
            <a:ext cx="1381125" cy="704850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Auditorias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biLevel thresh="5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492" b="-9801"/>
          <a:stretch/>
        </xdr:blipFill>
        <xdr:spPr>
          <a:xfrm>
            <a:off x="114300" y="249403"/>
            <a:ext cx="1943928" cy="426872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11</xdr:col>
      <xdr:colOff>285750</xdr:colOff>
      <xdr:row>3</xdr:row>
      <xdr:rowOff>44457</xdr:rowOff>
    </xdr:from>
    <xdr:to>
      <xdr:col>12</xdr:col>
      <xdr:colOff>215900</xdr:colOff>
      <xdr:row>4</xdr:row>
      <xdr:rowOff>126387</xdr:rowOff>
    </xdr:to>
    <xdr:pic macro="[0]!EstaPasta_de_trabalho.Apresentar_off">
      <xdr:nvPicPr>
        <xdr:cNvPr id="56" name="Imagem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2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artisticCrisscrossEtching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476750" y="587382"/>
          <a:ext cx="311150" cy="262905"/>
        </a:xfrm>
        <a:prstGeom prst="rect">
          <a:avLst/>
        </a:prstGeom>
      </xdr:spPr>
    </xdr:pic>
    <xdr:clientData/>
  </xdr:twoCellAnchor>
  <xdr:twoCellAnchor>
    <xdr:from>
      <xdr:col>6</xdr:col>
      <xdr:colOff>120650</xdr:colOff>
      <xdr:row>9</xdr:row>
      <xdr:rowOff>152400</xdr:rowOff>
    </xdr:from>
    <xdr:to>
      <xdr:col>9</xdr:col>
      <xdr:colOff>6800</xdr:colOff>
      <xdr:row>13</xdr:row>
      <xdr:rowOff>30775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292350" y="1781175"/>
          <a:ext cx="972000" cy="602275"/>
          <a:chOff x="8858250" y="1562100"/>
          <a:chExt cx="972000" cy="637200"/>
        </a:xfrm>
      </xdr:grpSpPr>
      <xdr:sp macro="[0]!abope" textlink="">
        <xdr:nvSpPr>
          <xdr:cNvPr id="5" name="Retângulo de cantos arredondado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858250" y="1562100"/>
            <a:ext cx="972000" cy="637200"/>
          </a:xfrm>
          <a:prstGeom prst="roundRect">
            <a:avLst/>
          </a:prstGeom>
          <a:ln w="19050"/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l"/>
            <a:endParaRPr lang="pt-BR" sz="1100"/>
          </a:p>
          <a:p>
            <a:pPr algn="l"/>
            <a:endParaRPr lang="pt-BR" sz="1100"/>
          </a:p>
          <a:p>
            <a:pPr algn="ctr"/>
            <a:r>
              <a:rPr lang="pt-BR" sz="800" b="1">
                <a:solidFill>
                  <a:schemeClr val="accent2"/>
                </a:solidFill>
              </a:rPr>
              <a:t>OPERACIONAL</a:t>
            </a:r>
            <a:endParaRPr lang="pt-BR" sz="1000" b="1">
              <a:solidFill>
                <a:schemeClr val="accent2"/>
              </a:solidFill>
            </a:endParaRPr>
          </a:p>
        </xdr:txBody>
      </xdr:sp>
      <xdr:pic macro="[0]!abope">
        <xdr:nvPicPr>
          <xdr:cNvPr id="210" name="Imagem 209">
            <a:extLst>
              <a:ext uri="{FF2B5EF4-FFF2-40B4-BE49-F238E27FC236}">
                <a16:creationId xmlns:a16="http://schemas.microsoft.com/office/drawing/2014/main" id="{00000000-0008-0000-0000-0000D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26660" y="1568498"/>
            <a:ext cx="455479" cy="45547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6</xdr:row>
      <xdr:rowOff>247651</xdr:rowOff>
    </xdr:from>
    <xdr:to>
      <xdr:col>20</xdr:col>
      <xdr:colOff>9526</xdr:colOff>
      <xdr:row>36</xdr:row>
      <xdr:rowOff>161925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981327" y="1333501"/>
          <a:ext cx="8620124" cy="7800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270579</xdr:colOff>
      <xdr:row>6</xdr:row>
      <xdr:rowOff>64206</xdr:rowOff>
    </xdr:from>
    <xdr:to>
      <xdr:col>9</xdr:col>
      <xdr:colOff>240240</xdr:colOff>
      <xdr:row>36</xdr:row>
      <xdr:rowOff>140406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62135" y="1150762"/>
          <a:ext cx="1712383" cy="786553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7</xdr:row>
          <xdr:rowOff>30480</xdr:rowOff>
        </xdr:from>
        <xdr:to>
          <xdr:col>5</xdr:col>
          <xdr:colOff>259080</xdr:colOff>
          <xdr:row>7</xdr:row>
          <xdr:rowOff>228600</xdr:rowOff>
        </xdr:to>
        <xdr:sp macro="" textlink="">
          <xdr:nvSpPr>
            <xdr:cNvPr id="43009" name="Option 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30480</xdr:rowOff>
        </xdr:from>
        <xdr:to>
          <xdr:col>5</xdr:col>
          <xdr:colOff>259080</xdr:colOff>
          <xdr:row>8</xdr:row>
          <xdr:rowOff>220980</xdr:rowOff>
        </xdr:to>
        <xdr:sp macro="" textlink="">
          <xdr:nvSpPr>
            <xdr:cNvPr id="43010" name="Option 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9</xdr:row>
          <xdr:rowOff>30480</xdr:rowOff>
        </xdr:from>
        <xdr:to>
          <xdr:col>5</xdr:col>
          <xdr:colOff>259080</xdr:colOff>
          <xdr:row>9</xdr:row>
          <xdr:rowOff>220980</xdr:rowOff>
        </xdr:to>
        <xdr:sp macro="" textlink="">
          <xdr:nvSpPr>
            <xdr:cNvPr id="43011" name="Option 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1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30480</xdr:rowOff>
        </xdr:from>
        <xdr:to>
          <xdr:col>5</xdr:col>
          <xdr:colOff>259080</xdr:colOff>
          <xdr:row>10</xdr:row>
          <xdr:rowOff>220980</xdr:rowOff>
        </xdr:to>
        <xdr:sp macro="" textlink="">
          <xdr:nvSpPr>
            <xdr:cNvPr id="43012" name="Option 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30480</xdr:rowOff>
        </xdr:from>
        <xdr:to>
          <xdr:col>5</xdr:col>
          <xdr:colOff>259080</xdr:colOff>
          <xdr:row>11</xdr:row>
          <xdr:rowOff>220980</xdr:rowOff>
        </xdr:to>
        <xdr:sp macro="" textlink="">
          <xdr:nvSpPr>
            <xdr:cNvPr id="43013" name="Option 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1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12</xdr:row>
          <xdr:rowOff>30480</xdr:rowOff>
        </xdr:from>
        <xdr:to>
          <xdr:col>5</xdr:col>
          <xdr:colOff>259080</xdr:colOff>
          <xdr:row>12</xdr:row>
          <xdr:rowOff>220980</xdr:rowOff>
        </xdr:to>
        <xdr:sp macro="" textlink="">
          <xdr:nvSpPr>
            <xdr:cNvPr id="43014" name="Option 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1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30480</xdr:rowOff>
        </xdr:from>
        <xdr:to>
          <xdr:col>5</xdr:col>
          <xdr:colOff>259080</xdr:colOff>
          <xdr:row>13</xdr:row>
          <xdr:rowOff>220980</xdr:rowOff>
        </xdr:to>
        <xdr:sp macro="" textlink="">
          <xdr:nvSpPr>
            <xdr:cNvPr id="43015" name="Option 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1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196850</xdr:colOff>
      <xdr:row>7</xdr:row>
      <xdr:rowOff>200024</xdr:rowOff>
    </xdr:from>
    <xdr:to>
      <xdr:col>21</xdr:col>
      <xdr:colOff>615950</xdr:colOff>
      <xdr:row>9</xdr:row>
      <xdr:rowOff>136524</xdr:rowOff>
    </xdr:to>
    <xdr:sp macro="[0]!revfina" textlink="">
      <xdr:nvSpPr>
        <xdr:cNvPr id="6" name="Retângulo de cantos arredondados 2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1769725" y="1543049"/>
          <a:ext cx="1190625" cy="450850"/>
        </a:xfrm>
        <a:prstGeom prst="roundRect">
          <a:avLst/>
        </a:prstGeom>
        <a:solidFill>
          <a:srgbClr val="00B050"/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pt-BR" sz="1600" b="1" baseline="0">
              <a:solidFill>
                <a:schemeClr val="bg1"/>
              </a:solidFill>
            </a:rPr>
            <a:t> Finalizar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376275</xdr:colOff>
      <xdr:row>7</xdr:row>
      <xdr:rowOff>88649</xdr:rowOff>
    </xdr:from>
    <xdr:to>
      <xdr:col>18</xdr:col>
      <xdr:colOff>378675</xdr:colOff>
      <xdr:row>9</xdr:row>
      <xdr:rowOff>85724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663150" y="1403099"/>
          <a:ext cx="612000" cy="511425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31F19639-BCED-4A60-ADC4-E9642A236FB7}">
            <a14:hiddenScene3d xmlns:a14="http://schemas.microsoft.com/office/drawing/2010/main">
              <a:camera prst="orthographicFront">
                <a:rot lat="0" lon="0" rev="0"/>
              </a:camera>
              <a:lightRig rig="chilly" dir="b">
                <a:rot lat="0" lon="0" rev="18480000"/>
              </a:lightRig>
            </a14:hiddenScene3d>
          </a:ext>
          <a:ext uri="{E45631CC-5BF2-4C18-A39C-3461C7D3F71A}">
            <a14:hiddenSp3d xmlns:a14="http://schemas.microsoft.com/office/drawing/2010/main" prstMaterial="clear">
              <a:bevelT h="63500"/>
            </a14:hiddenSp3d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2400</xdr:colOff>
      <xdr:row>7</xdr:row>
      <xdr:rowOff>6600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0210800" y="809625"/>
          <a:ext cx="735825" cy="511425"/>
        </a:xfrm>
        <a:prstGeom prst="rect">
          <a:avLst/>
        </a:prstGeom>
        <a:noFill/>
        <a:ln w="9525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21</xdr:col>
      <xdr:colOff>2400</xdr:colOff>
      <xdr:row>7</xdr:row>
      <xdr:rowOff>6600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229975" y="1085850"/>
          <a:ext cx="612000" cy="578100"/>
        </a:xfrm>
        <a:prstGeom prst="rect">
          <a:avLst/>
        </a:prstGeom>
        <a:noFill/>
        <a:ln w="9525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0</xdr:colOff>
      <xdr:row>4</xdr:row>
      <xdr:rowOff>0</xdr:rowOff>
    </xdr:from>
    <xdr:to>
      <xdr:col>22</xdr:col>
      <xdr:colOff>2400</xdr:colOff>
      <xdr:row>7</xdr:row>
      <xdr:rowOff>6600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839575" y="1085850"/>
          <a:ext cx="612000" cy="578100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2">
                  <a:lumMod val="100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21167</xdr:colOff>
      <xdr:row>6</xdr:row>
      <xdr:rowOff>17641</xdr:rowOff>
    </xdr:from>
    <xdr:to>
      <xdr:col>5</xdr:col>
      <xdr:colOff>40217</xdr:colOff>
      <xdr:row>45</xdr:row>
      <xdr:rowOff>0</xdr:rowOff>
    </xdr:to>
    <xdr:sp macro="[0]!bloqueio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1167" y="1104197"/>
          <a:ext cx="2544939" cy="104880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380999</xdr:colOff>
      <xdr:row>0</xdr:row>
      <xdr:rowOff>50011</xdr:rowOff>
    </xdr:from>
    <xdr:to>
      <xdr:col>4</xdr:col>
      <xdr:colOff>28574</xdr:colOff>
      <xdr:row>1</xdr:row>
      <xdr:rowOff>87913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50011"/>
          <a:ext cx="1447800" cy="237927"/>
        </a:xfrm>
        <a:prstGeom prst="rect">
          <a:avLst/>
        </a:prstGeom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14</xdr:row>
          <xdr:rowOff>68580</xdr:rowOff>
        </xdr:from>
        <xdr:to>
          <xdr:col>5</xdr:col>
          <xdr:colOff>259080</xdr:colOff>
          <xdr:row>14</xdr:row>
          <xdr:rowOff>228600</xdr:rowOff>
        </xdr:to>
        <xdr:sp macro="" textlink="">
          <xdr:nvSpPr>
            <xdr:cNvPr id="43019" name="Option 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68580</xdr:rowOff>
        </xdr:from>
        <xdr:to>
          <xdr:col>5</xdr:col>
          <xdr:colOff>259080</xdr:colOff>
          <xdr:row>16</xdr:row>
          <xdr:rowOff>0</xdr:rowOff>
        </xdr:to>
        <xdr:sp macro="" textlink="">
          <xdr:nvSpPr>
            <xdr:cNvPr id="43020" name="Option 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1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30480</xdr:rowOff>
        </xdr:from>
        <xdr:to>
          <xdr:col>5</xdr:col>
          <xdr:colOff>259080</xdr:colOff>
          <xdr:row>16</xdr:row>
          <xdr:rowOff>220980</xdr:rowOff>
        </xdr:to>
        <xdr:sp macro="" textlink="">
          <xdr:nvSpPr>
            <xdr:cNvPr id="43021" name="Option 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1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17</xdr:row>
          <xdr:rowOff>38100</xdr:rowOff>
        </xdr:from>
        <xdr:to>
          <xdr:col>5</xdr:col>
          <xdr:colOff>236220</xdr:colOff>
          <xdr:row>17</xdr:row>
          <xdr:rowOff>228600</xdr:rowOff>
        </xdr:to>
        <xdr:sp macro="" textlink="">
          <xdr:nvSpPr>
            <xdr:cNvPr id="43022" name="Option 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1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18</xdr:row>
          <xdr:rowOff>30480</xdr:rowOff>
        </xdr:from>
        <xdr:to>
          <xdr:col>5</xdr:col>
          <xdr:colOff>259080</xdr:colOff>
          <xdr:row>18</xdr:row>
          <xdr:rowOff>220980</xdr:rowOff>
        </xdr:to>
        <xdr:sp macro="" textlink="">
          <xdr:nvSpPr>
            <xdr:cNvPr id="43023" name="Option 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1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19</xdr:row>
          <xdr:rowOff>38100</xdr:rowOff>
        </xdr:from>
        <xdr:to>
          <xdr:col>5</xdr:col>
          <xdr:colOff>259080</xdr:colOff>
          <xdr:row>19</xdr:row>
          <xdr:rowOff>228600</xdr:rowOff>
        </xdr:to>
        <xdr:sp macro="" textlink="">
          <xdr:nvSpPr>
            <xdr:cNvPr id="43024" name="Option 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1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20</xdr:row>
          <xdr:rowOff>38100</xdr:rowOff>
        </xdr:from>
        <xdr:to>
          <xdr:col>5</xdr:col>
          <xdr:colOff>259080</xdr:colOff>
          <xdr:row>20</xdr:row>
          <xdr:rowOff>228600</xdr:rowOff>
        </xdr:to>
        <xdr:sp macro="" textlink="">
          <xdr:nvSpPr>
            <xdr:cNvPr id="43025" name="Option 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1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21</xdr:row>
          <xdr:rowOff>38100</xdr:rowOff>
        </xdr:from>
        <xdr:to>
          <xdr:col>5</xdr:col>
          <xdr:colOff>266700</xdr:colOff>
          <xdr:row>21</xdr:row>
          <xdr:rowOff>228600</xdr:rowOff>
        </xdr:to>
        <xdr:sp macro="" textlink="">
          <xdr:nvSpPr>
            <xdr:cNvPr id="43026" name="Option 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1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22</xdr:row>
          <xdr:rowOff>68580</xdr:rowOff>
        </xdr:from>
        <xdr:to>
          <xdr:col>5</xdr:col>
          <xdr:colOff>274320</xdr:colOff>
          <xdr:row>23</xdr:row>
          <xdr:rowOff>0</xdr:rowOff>
        </xdr:to>
        <xdr:sp macro="" textlink="">
          <xdr:nvSpPr>
            <xdr:cNvPr id="43027" name="Option 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1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23</xdr:row>
          <xdr:rowOff>30480</xdr:rowOff>
        </xdr:from>
        <xdr:to>
          <xdr:col>5</xdr:col>
          <xdr:colOff>274320</xdr:colOff>
          <xdr:row>23</xdr:row>
          <xdr:rowOff>220980</xdr:rowOff>
        </xdr:to>
        <xdr:sp macro="" textlink="">
          <xdr:nvSpPr>
            <xdr:cNvPr id="43028" name="Option 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1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24</xdr:row>
          <xdr:rowOff>45720</xdr:rowOff>
        </xdr:from>
        <xdr:to>
          <xdr:col>5</xdr:col>
          <xdr:colOff>274320</xdr:colOff>
          <xdr:row>24</xdr:row>
          <xdr:rowOff>236220</xdr:rowOff>
        </xdr:to>
        <xdr:sp macro="" textlink="">
          <xdr:nvSpPr>
            <xdr:cNvPr id="43029" name="Option 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1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25</xdr:row>
          <xdr:rowOff>68580</xdr:rowOff>
        </xdr:from>
        <xdr:to>
          <xdr:col>5</xdr:col>
          <xdr:colOff>297180</xdr:colOff>
          <xdr:row>28</xdr:row>
          <xdr:rowOff>188595</xdr:rowOff>
        </xdr:to>
        <xdr:sp macro="" textlink="">
          <xdr:nvSpPr>
            <xdr:cNvPr id="43031" name="Option 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1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26</xdr:row>
          <xdr:rowOff>68580</xdr:rowOff>
        </xdr:from>
        <xdr:to>
          <xdr:col>5</xdr:col>
          <xdr:colOff>297180</xdr:colOff>
          <xdr:row>28</xdr:row>
          <xdr:rowOff>188595</xdr:rowOff>
        </xdr:to>
        <xdr:sp macro="" textlink="">
          <xdr:nvSpPr>
            <xdr:cNvPr id="43032" name="Option 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1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27</xdr:row>
          <xdr:rowOff>68580</xdr:rowOff>
        </xdr:from>
        <xdr:to>
          <xdr:col>5</xdr:col>
          <xdr:colOff>266700</xdr:colOff>
          <xdr:row>28</xdr:row>
          <xdr:rowOff>188595</xdr:rowOff>
        </xdr:to>
        <xdr:sp macro="" textlink="">
          <xdr:nvSpPr>
            <xdr:cNvPr id="43033" name="Option 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1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28</xdr:row>
          <xdr:rowOff>30480</xdr:rowOff>
        </xdr:from>
        <xdr:to>
          <xdr:col>5</xdr:col>
          <xdr:colOff>266700</xdr:colOff>
          <xdr:row>28</xdr:row>
          <xdr:rowOff>220980</xdr:rowOff>
        </xdr:to>
        <xdr:sp macro="" textlink="">
          <xdr:nvSpPr>
            <xdr:cNvPr id="43034" name="Option 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1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29</xdr:row>
          <xdr:rowOff>68580</xdr:rowOff>
        </xdr:from>
        <xdr:to>
          <xdr:col>5</xdr:col>
          <xdr:colOff>266700</xdr:colOff>
          <xdr:row>30</xdr:row>
          <xdr:rowOff>0</xdr:rowOff>
        </xdr:to>
        <xdr:sp macro="" textlink="">
          <xdr:nvSpPr>
            <xdr:cNvPr id="43035" name="Option 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1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30</xdr:row>
          <xdr:rowOff>30480</xdr:rowOff>
        </xdr:from>
        <xdr:to>
          <xdr:col>5</xdr:col>
          <xdr:colOff>297180</xdr:colOff>
          <xdr:row>30</xdr:row>
          <xdr:rowOff>220980</xdr:rowOff>
        </xdr:to>
        <xdr:sp macro="" textlink="">
          <xdr:nvSpPr>
            <xdr:cNvPr id="43036" name="Option 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1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31</xdr:row>
          <xdr:rowOff>68580</xdr:rowOff>
        </xdr:from>
        <xdr:to>
          <xdr:col>5</xdr:col>
          <xdr:colOff>297180</xdr:colOff>
          <xdr:row>31</xdr:row>
          <xdr:rowOff>259080</xdr:rowOff>
        </xdr:to>
        <xdr:sp macro="" textlink="">
          <xdr:nvSpPr>
            <xdr:cNvPr id="43037" name="Option 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1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9525</xdr:colOff>
      <xdr:row>0</xdr:row>
      <xdr:rowOff>0</xdr:rowOff>
    </xdr:from>
    <xdr:to>
      <xdr:col>6</xdr:col>
      <xdr:colOff>1</xdr:colOff>
      <xdr:row>3</xdr:row>
      <xdr:rowOff>161924</xdr:rowOff>
    </xdr:to>
    <xdr:sp macro="[0]!bloqueio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525" y="0"/>
          <a:ext cx="2743201" cy="7715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609599</xdr:colOff>
      <xdr:row>3</xdr:row>
      <xdr:rowOff>200024</xdr:rowOff>
    </xdr:from>
    <xdr:to>
      <xdr:col>15</xdr:col>
      <xdr:colOff>733424</xdr:colOff>
      <xdr:row>6</xdr:row>
      <xdr:rowOff>257174</xdr:rowOff>
    </xdr:to>
    <xdr:sp macro="[0]!naudi1" textlink="">
      <xdr:nvSpPr>
        <xdr:cNvPr id="43517" name="Retângulo 29">
          <a:extLst>
            <a:ext uri="{FF2B5EF4-FFF2-40B4-BE49-F238E27FC236}">
              <a16:creationId xmlns:a16="http://schemas.microsoft.com/office/drawing/2014/main" id="{00000000-0008-0000-0100-0000FDA90000}"/>
            </a:ext>
            <a:ext uri="{147F2762-F138-4A5C-976F-8EAC2B608ADB}">
              <a16:predDERef xmlns:a16="http://schemas.microsoft.com/office/drawing/2014/main" pred="{00000000-0008-0000-0100-000016000000}"/>
            </a:ext>
          </a:extLst>
        </xdr:cNvPr>
        <xdr:cNvSpPr/>
      </xdr:nvSpPr>
      <xdr:spPr>
        <a:xfrm>
          <a:off x="7277099" y="809624"/>
          <a:ext cx="733425" cy="504825"/>
        </a:xfrm>
        <a:prstGeom prst="rect">
          <a:avLst/>
        </a:prstGeom>
        <a:noFill/>
        <a:ln w="38100" cap="flat" cmpd="sng" algn="ctr">
          <a:solidFill>
            <a:srgbClr val="0DFF7A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marL="0" indent="0" algn="l"/>
          <a:endParaRPr lang="en-US" sz="1100" b="0" i="0" u="none" strike="noStrike">
            <a:solidFill>
              <a:schemeClr val="accent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1</xdr:colOff>
      <xdr:row>3</xdr:row>
      <xdr:rowOff>200024</xdr:rowOff>
    </xdr:from>
    <xdr:to>
      <xdr:col>17</xdr:col>
      <xdr:colOff>0</xdr:colOff>
      <xdr:row>6</xdr:row>
      <xdr:rowOff>257174</xdr:rowOff>
    </xdr:to>
    <xdr:sp macro="[0]!naudi2" textlink="">
      <xdr:nvSpPr>
        <xdr:cNvPr id="43066" name="Retângulo 32">
          <a:extLst>
            <a:ext uri="{FF2B5EF4-FFF2-40B4-BE49-F238E27FC236}">
              <a16:creationId xmlns:a16="http://schemas.microsoft.com/office/drawing/2014/main" id="{00000000-0008-0000-0100-00003AA80000}"/>
            </a:ext>
          </a:extLst>
        </xdr:cNvPr>
        <xdr:cNvSpPr/>
      </xdr:nvSpPr>
      <xdr:spPr>
        <a:xfrm>
          <a:off x="8010526" y="809624"/>
          <a:ext cx="733424" cy="504825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1</xdr:colOff>
      <xdr:row>3</xdr:row>
      <xdr:rowOff>200024</xdr:rowOff>
    </xdr:from>
    <xdr:to>
      <xdr:col>18</xdr:col>
      <xdr:colOff>0</xdr:colOff>
      <xdr:row>6</xdr:row>
      <xdr:rowOff>257174</xdr:rowOff>
    </xdr:to>
    <xdr:sp macro="[0]!naudi3" textlink="">
      <xdr:nvSpPr>
        <xdr:cNvPr id="43067" name="Retângulo 33">
          <a:extLst>
            <a:ext uri="{FF2B5EF4-FFF2-40B4-BE49-F238E27FC236}">
              <a16:creationId xmlns:a16="http://schemas.microsoft.com/office/drawing/2014/main" id="{00000000-0008-0000-0100-00003BA80000}"/>
            </a:ext>
          </a:extLst>
        </xdr:cNvPr>
        <xdr:cNvSpPr/>
      </xdr:nvSpPr>
      <xdr:spPr>
        <a:xfrm>
          <a:off x="8743951" y="809624"/>
          <a:ext cx="733424" cy="504825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733424</xdr:colOff>
      <xdr:row>3</xdr:row>
      <xdr:rowOff>200024</xdr:rowOff>
    </xdr:from>
    <xdr:to>
      <xdr:col>18</xdr:col>
      <xdr:colOff>733424</xdr:colOff>
      <xdr:row>6</xdr:row>
      <xdr:rowOff>257174</xdr:rowOff>
    </xdr:to>
    <xdr:sp macro="[0]!naudi4" textlink="">
      <xdr:nvSpPr>
        <xdr:cNvPr id="43068" name="Retângulo 34">
          <a:extLst>
            <a:ext uri="{FF2B5EF4-FFF2-40B4-BE49-F238E27FC236}">
              <a16:creationId xmlns:a16="http://schemas.microsoft.com/office/drawing/2014/main" id="{00000000-0008-0000-0100-00003CA80000}"/>
            </a:ext>
          </a:extLst>
        </xdr:cNvPr>
        <xdr:cNvSpPr/>
      </xdr:nvSpPr>
      <xdr:spPr>
        <a:xfrm>
          <a:off x="9477374" y="809624"/>
          <a:ext cx="733425" cy="504825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0</xdr:colOff>
      <xdr:row>3</xdr:row>
      <xdr:rowOff>200024</xdr:rowOff>
    </xdr:from>
    <xdr:to>
      <xdr:col>20</xdr:col>
      <xdr:colOff>0</xdr:colOff>
      <xdr:row>6</xdr:row>
      <xdr:rowOff>257174</xdr:rowOff>
    </xdr:to>
    <xdr:sp macro="[0]!naudi5" textlink="">
      <xdr:nvSpPr>
        <xdr:cNvPr id="43069" name="Retângulo 35">
          <a:extLst>
            <a:ext uri="{FF2B5EF4-FFF2-40B4-BE49-F238E27FC236}">
              <a16:creationId xmlns:a16="http://schemas.microsoft.com/office/drawing/2014/main" id="{00000000-0008-0000-0100-00003DA80000}"/>
            </a:ext>
          </a:extLst>
        </xdr:cNvPr>
        <xdr:cNvSpPr/>
      </xdr:nvSpPr>
      <xdr:spPr>
        <a:xfrm>
          <a:off x="10210800" y="809624"/>
          <a:ext cx="733425" cy="504825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9525</xdr:colOff>
      <xdr:row>4</xdr:row>
      <xdr:rowOff>9524</xdr:rowOff>
    </xdr:from>
    <xdr:to>
      <xdr:col>21</xdr:col>
      <xdr:colOff>9525</xdr:colOff>
      <xdr:row>7</xdr:row>
      <xdr:rowOff>9524</xdr:rowOff>
    </xdr:to>
    <xdr:sp macro="[0]!naudi6" textlink="">
      <xdr:nvSpPr>
        <xdr:cNvPr id="43070" name="Retângulo 36">
          <a:extLst>
            <a:ext uri="{FF2B5EF4-FFF2-40B4-BE49-F238E27FC236}">
              <a16:creationId xmlns:a16="http://schemas.microsoft.com/office/drawing/2014/main" id="{00000000-0008-0000-0100-00003EA80000}"/>
            </a:ext>
          </a:extLst>
        </xdr:cNvPr>
        <xdr:cNvSpPr/>
      </xdr:nvSpPr>
      <xdr:spPr>
        <a:xfrm>
          <a:off x="10953750" y="819149"/>
          <a:ext cx="733425" cy="504825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0</xdr:colOff>
      <xdr:row>3</xdr:row>
      <xdr:rowOff>200024</xdr:rowOff>
    </xdr:from>
    <xdr:to>
      <xdr:col>22</xdr:col>
      <xdr:colOff>0</xdr:colOff>
      <xdr:row>6</xdr:row>
      <xdr:rowOff>257174</xdr:rowOff>
    </xdr:to>
    <xdr:sp macro="[0]!naudi7" textlink="">
      <xdr:nvSpPr>
        <xdr:cNvPr id="43071" name="Retângulo 37">
          <a:extLst>
            <a:ext uri="{FF2B5EF4-FFF2-40B4-BE49-F238E27FC236}">
              <a16:creationId xmlns:a16="http://schemas.microsoft.com/office/drawing/2014/main" id="{00000000-0008-0000-0100-00003FA80000}"/>
            </a:ext>
          </a:extLst>
        </xdr:cNvPr>
        <xdr:cNvSpPr/>
      </xdr:nvSpPr>
      <xdr:spPr>
        <a:xfrm>
          <a:off x="11677650" y="809624"/>
          <a:ext cx="733425" cy="504825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9525</xdr:colOff>
      <xdr:row>0</xdr:row>
      <xdr:rowOff>0</xdr:rowOff>
    </xdr:from>
    <xdr:to>
      <xdr:col>14</xdr:col>
      <xdr:colOff>571501</xdr:colOff>
      <xdr:row>10</xdr:row>
      <xdr:rowOff>257174</xdr:rowOff>
    </xdr:to>
    <xdr:sp macro="[0]!bloqueio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847975" y="0"/>
          <a:ext cx="4448176" cy="23812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9525</xdr:colOff>
      <xdr:row>0</xdr:row>
      <xdr:rowOff>0</xdr:rowOff>
    </xdr:from>
    <xdr:to>
      <xdr:col>22</xdr:col>
      <xdr:colOff>114301</xdr:colOff>
      <xdr:row>2</xdr:row>
      <xdr:rowOff>190500</xdr:rowOff>
    </xdr:to>
    <xdr:sp macro="[0]!bloqueio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847975" y="0"/>
          <a:ext cx="9734551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59091</xdr:colOff>
      <xdr:row>9</xdr:row>
      <xdr:rowOff>8465</xdr:rowOff>
    </xdr:from>
    <xdr:to>
      <xdr:col>10</xdr:col>
      <xdr:colOff>254177</xdr:colOff>
      <xdr:row>38</xdr:row>
      <xdr:rowOff>176741</xdr:rowOff>
    </xdr:to>
    <xdr:sp macro="" textlink="">
      <xdr:nvSpPr>
        <xdr:cNvPr id="48" name="Retângulo 1">
          <a:extLst>
            <a:ext uri="{FF2B5EF4-FFF2-40B4-BE49-F238E27FC236}">
              <a16:creationId xmlns:a16="http://schemas.microsoft.com/office/drawing/2014/main" id="{00000000-0008-0000-0100-000030000000}"/>
            </a:ext>
            <a:ext uri="{147F2762-F138-4A5C-976F-8EAC2B608ADB}">
              <a16:predDERef xmlns:a16="http://schemas.microsoft.com/office/drawing/2014/main" pred="{00000000-0008-0000-0100-000028000000}"/>
            </a:ext>
          </a:extLst>
        </xdr:cNvPr>
        <xdr:cNvSpPr/>
      </xdr:nvSpPr>
      <xdr:spPr>
        <a:xfrm>
          <a:off x="3059466" y="1857903"/>
          <a:ext cx="2465211" cy="78120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lt"/>
            <a:cs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32</xdr:row>
          <xdr:rowOff>68580</xdr:rowOff>
        </xdr:from>
        <xdr:to>
          <xdr:col>5</xdr:col>
          <xdr:colOff>297180</xdr:colOff>
          <xdr:row>32</xdr:row>
          <xdr:rowOff>259080</xdr:rowOff>
        </xdr:to>
        <xdr:sp macro="" textlink="">
          <xdr:nvSpPr>
            <xdr:cNvPr id="43039" name="Option 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1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33</xdr:row>
          <xdr:rowOff>68580</xdr:rowOff>
        </xdr:from>
        <xdr:to>
          <xdr:col>5</xdr:col>
          <xdr:colOff>266700</xdr:colOff>
          <xdr:row>33</xdr:row>
          <xdr:rowOff>259080</xdr:rowOff>
        </xdr:to>
        <xdr:sp macro="" textlink="">
          <xdr:nvSpPr>
            <xdr:cNvPr id="43040" name="Option 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34</xdr:row>
          <xdr:rowOff>68580</xdr:rowOff>
        </xdr:from>
        <xdr:to>
          <xdr:col>5</xdr:col>
          <xdr:colOff>259080</xdr:colOff>
          <xdr:row>34</xdr:row>
          <xdr:rowOff>259080</xdr:rowOff>
        </xdr:to>
        <xdr:sp macro="" textlink="">
          <xdr:nvSpPr>
            <xdr:cNvPr id="43041" name="Option 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1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35</xdr:row>
          <xdr:rowOff>68580</xdr:rowOff>
        </xdr:from>
        <xdr:to>
          <xdr:col>5</xdr:col>
          <xdr:colOff>259080</xdr:colOff>
          <xdr:row>35</xdr:row>
          <xdr:rowOff>259080</xdr:rowOff>
        </xdr:to>
        <xdr:sp macro="" textlink="">
          <xdr:nvSpPr>
            <xdr:cNvPr id="43042" name="Option 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1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36</xdr:row>
          <xdr:rowOff>38100</xdr:rowOff>
        </xdr:from>
        <xdr:to>
          <xdr:col>5</xdr:col>
          <xdr:colOff>259080</xdr:colOff>
          <xdr:row>36</xdr:row>
          <xdr:rowOff>228600</xdr:rowOff>
        </xdr:to>
        <xdr:sp macro="" textlink="">
          <xdr:nvSpPr>
            <xdr:cNvPr id="43043" name="Option 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1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37</xdr:row>
          <xdr:rowOff>76200</xdr:rowOff>
        </xdr:from>
        <xdr:to>
          <xdr:col>5</xdr:col>
          <xdr:colOff>259080</xdr:colOff>
          <xdr:row>37</xdr:row>
          <xdr:rowOff>266700</xdr:rowOff>
        </xdr:to>
        <xdr:sp macro="" textlink="">
          <xdr:nvSpPr>
            <xdr:cNvPr id="43044" name="Option 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1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96838</xdr:colOff>
      <xdr:row>2</xdr:row>
      <xdr:rowOff>1587</xdr:rowOff>
    </xdr:from>
    <xdr:to>
      <xdr:col>15</xdr:col>
      <xdr:colOff>7938</xdr:colOff>
      <xdr:row>10</xdr:row>
      <xdr:rowOff>39687</xdr:rowOff>
    </xdr:to>
    <xdr:sp macro="[0]!bloqueio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2986088" y="406400"/>
          <a:ext cx="4737100" cy="1736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0</xdr:colOff>
      <xdr:row>10</xdr:row>
      <xdr:rowOff>19051</xdr:rowOff>
    </xdr:from>
    <xdr:to>
      <xdr:col>23</xdr:col>
      <xdr:colOff>0</xdr:colOff>
      <xdr:row>40</xdr:row>
      <xdr:rowOff>25401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11591925" y="2133601"/>
          <a:ext cx="1704975" cy="8074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27268</xdr:colOff>
      <xdr:row>11</xdr:row>
      <xdr:rowOff>28762</xdr:rowOff>
    </xdr:from>
    <xdr:to>
      <xdr:col>20</xdr:col>
      <xdr:colOff>44824</xdr:colOff>
      <xdr:row>32</xdr:row>
      <xdr:rowOff>44822</xdr:rowOff>
    </xdr:to>
    <xdr:sp macro="[0]!bloqueio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030444" y="2415615"/>
          <a:ext cx="8623674" cy="5450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38</xdr:row>
          <xdr:rowOff>68580</xdr:rowOff>
        </xdr:from>
        <xdr:to>
          <xdr:col>5</xdr:col>
          <xdr:colOff>259080</xdr:colOff>
          <xdr:row>38</xdr:row>
          <xdr:rowOff>259080</xdr:rowOff>
        </xdr:to>
        <xdr:sp macro="" textlink="">
          <xdr:nvSpPr>
            <xdr:cNvPr id="43049" name="Option 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1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39</xdr:row>
          <xdr:rowOff>38100</xdr:rowOff>
        </xdr:from>
        <xdr:to>
          <xdr:col>5</xdr:col>
          <xdr:colOff>350520</xdr:colOff>
          <xdr:row>39</xdr:row>
          <xdr:rowOff>297180</xdr:rowOff>
        </xdr:to>
        <xdr:sp macro="" textlink="">
          <xdr:nvSpPr>
            <xdr:cNvPr id="43050" name="Option 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1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40</xdr:row>
          <xdr:rowOff>38100</xdr:rowOff>
        </xdr:from>
        <xdr:to>
          <xdr:col>5</xdr:col>
          <xdr:colOff>350520</xdr:colOff>
          <xdr:row>40</xdr:row>
          <xdr:rowOff>297180</xdr:rowOff>
        </xdr:to>
        <xdr:sp macro="" textlink="">
          <xdr:nvSpPr>
            <xdr:cNvPr id="43051" name="Option 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1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41</xdr:row>
          <xdr:rowOff>38100</xdr:rowOff>
        </xdr:from>
        <xdr:to>
          <xdr:col>5</xdr:col>
          <xdr:colOff>335280</xdr:colOff>
          <xdr:row>41</xdr:row>
          <xdr:rowOff>297180</xdr:rowOff>
        </xdr:to>
        <xdr:sp macro="" textlink="">
          <xdr:nvSpPr>
            <xdr:cNvPr id="43052" name="Option 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1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42</xdr:row>
          <xdr:rowOff>38100</xdr:rowOff>
        </xdr:from>
        <xdr:to>
          <xdr:col>5</xdr:col>
          <xdr:colOff>335280</xdr:colOff>
          <xdr:row>42</xdr:row>
          <xdr:rowOff>297180</xdr:rowOff>
        </xdr:to>
        <xdr:sp macro="" textlink="">
          <xdr:nvSpPr>
            <xdr:cNvPr id="43053" name="Option 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1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6600" mc:Ignorable="a14" a14:legacySpreadsheetColorIndex="53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152400</xdr:colOff>
      <xdr:row>0</xdr:row>
      <xdr:rowOff>66675</xdr:rowOff>
    </xdr:from>
    <xdr:to>
      <xdr:col>9</xdr:col>
      <xdr:colOff>571500</xdr:colOff>
      <xdr:row>1</xdr:row>
      <xdr:rowOff>381000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E6C9695E-C800-41C1-AE4E-4FC118AD9B43}"/>
            </a:ext>
            <a:ext uri="{147F2762-F138-4A5C-976F-8EAC2B608ADB}">
              <a16:predDERef xmlns:a16="http://schemas.microsoft.com/office/drawing/2014/main" pred="{6101D490-C82C-4032-8CD8-B399AE1689BF}"/>
            </a:ext>
          </a:extLst>
        </xdr:cNvPr>
        <xdr:cNvSpPr/>
      </xdr:nvSpPr>
      <xdr:spPr>
        <a:xfrm>
          <a:off x="4124325" y="66675"/>
          <a:ext cx="2085975" cy="504825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0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Operadores</a:t>
          </a:r>
        </a:p>
      </xdr:txBody>
    </xdr:sp>
    <xdr:clientData/>
  </xdr:twoCellAnchor>
  <xdr:twoCellAnchor>
    <xdr:from>
      <xdr:col>9</xdr:col>
      <xdr:colOff>676275</xdr:colOff>
      <xdr:row>0</xdr:row>
      <xdr:rowOff>76200</xdr:rowOff>
    </xdr:from>
    <xdr:to>
      <xdr:col>14</xdr:col>
      <xdr:colOff>409575</xdr:colOff>
      <xdr:row>1</xdr:row>
      <xdr:rowOff>390525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71F6C05A-10C0-45D0-BB4D-6689E878ADDA}"/>
            </a:ext>
            <a:ext uri="{147F2762-F138-4A5C-976F-8EAC2B608ADB}">
              <a16:predDERef xmlns:a16="http://schemas.microsoft.com/office/drawing/2014/main" pred="{E6C9695E-C800-41C1-AE4E-4FC118AD9B43}"/>
            </a:ext>
          </a:extLst>
        </xdr:cNvPr>
        <xdr:cNvSpPr/>
      </xdr:nvSpPr>
      <xdr:spPr>
        <a:xfrm>
          <a:off x="6315075" y="76200"/>
          <a:ext cx="2085975" cy="504825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0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Gestor</a:t>
          </a:r>
        </a:p>
      </xdr:txBody>
    </xdr:sp>
    <xdr:clientData/>
  </xdr:twoCellAnchor>
  <xdr:twoCellAnchor>
    <xdr:from>
      <xdr:col>14</xdr:col>
      <xdr:colOff>514350</xdr:colOff>
      <xdr:row>0</xdr:row>
      <xdr:rowOff>76200</xdr:rowOff>
    </xdr:from>
    <xdr:to>
      <xdr:col>17</xdr:col>
      <xdr:colOff>504825</xdr:colOff>
      <xdr:row>1</xdr:row>
      <xdr:rowOff>390525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5C68876A-87AB-4952-BD67-4FA902D1D0A6}"/>
            </a:ext>
            <a:ext uri="{147F2762-F138-4A5C-976F-8EAC2B608ADB}">
              <a16:predDERef xmlns:a16="http://schemas.microsoft.com/office/drawing/2014/main" pred="{71F6C05A-10C0-45D0-BB4D-6689E878ADDA}"/>
            </a:ext>
          </a:extLst>
        </xdr:cNvPr>
        <xdr:cNvSpPr/>
      </xdr:nvSpPr>
      <xdr:spPr>
        <a:xfrm>
          <a:off x="8505825" y="76200"/>
          <a:ext cx="2085975" cy="504825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0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Mês</a:t>
          </a:r>
        </a:p>
      </xdr:txBody>
    </xdr:sp>
    <xdr:clientData/>
  </xdr:twoCellAnchor>
  <xdr:twoCellAnchor>
    <xdr:from>
      <xdr:col>19</xdr:col>
      <xdr:colOff>9525</xdr:colOff>
      <xdr:row>0</xdr:row>
      <xdr:rowOff>85725</xdr:rowOff>
    </xdr:from>
    <xdr:to>
      <xdr:col>21</xdr:col>
      <xdr:colOff>628650</xdr:colOff>
      <xdr:row>1</xdr:row>
      <xdr:rowOff>400050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493C9AD8-965D-4155-8C93-EFEDAB58D7C8}"/>
            </a:ext>
            <a:ext uri="{147F2762-F138-4A5C-976F-8EAC2B608ADB}">
              <a16:predDERef xmlns:a16="http://schemas.microsoft.com/office/drawing/2014/main" pred="{5C68876A-87AB-4952-BD67-4FA902D1D0A6}"/>
            </a:ext>
          </a:extLst>
        </xdr:cNvPr>
        <xdr:cNvSpPr/>
      </xdr:nvSpPr>
      <xdr:spPr>
        <a:xfrm>
          <a:off x="12296775" y="85725"/>
          <a:ext cx="2085975" cy="50482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0" i="0" u="none" strike="noStrike">
              <a:solidFill>
                <a:schemeClr val="l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Baixar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67984</xdr:colOff>
      <xdr:row>0</xdr:row>
      <xdr:rowOff>78068</xdr:rowOff>
    </xdr:from>
    <xdr:to>
      <xdr:col>0</xdr:col>
      <xdr:colOff>701676</xdr:colOff>
      <xdr:row>0</xdr:row>
      <xdr:rowOff>457200</xdr:rowOff>
    </xdr:to>
    <xdr:sp macro="" textlink="">
      <xdr:nvSpPr>
        <xdr:cNvPr id="2" name="Seta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7984" y="78068"/>
          <a:ext cx="633692" cy="379132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     Inicio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stechcloud-my.sharepoint.com/sites/Fileserver/Documentos%20Compartilhados/Opera&#231;&#227;o/AUDITORIA/AUDITORIAS.xlsm" TargetMode="External"/><Relationship Id="rId1" Type="http://schemas.openxmlformats.org/officeDocument/2006/relationships/externalLinkPath" Target="/sites/Fileserver/Documentos%20Compartilhados/Opera&#231;&#227;o/AUDITORIA/AUDITORI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nsulta"/>
      <sheetName val="Auditoria"/>
      <sheetName val="BD"/>
      <sheetName val="BD Campos"/>
      <sheetName val="Planilha1"/>
      <sheetName val="Pesos"/>
    </sheetNames>
    <sheetDataSet>
      <sheetData sheetId="0"/>
      <sheetData sheetId="1"/>
      <sheetData sheetId="2"/>
      <sheetData sheetId="3">
        <row r="2">
          <cell r="S2">
            <v>0.25</v>
          </cell>
        </row>
        <row r="3">
          <cell r="S3">
            <v>1</v>
          </cell>
        </row>
      </sheetData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ela6" displayName="Tabela6" ref="A1:BD392" totalsRowShown="0" headerRowDxfId="328" dataDxfId="327">
  <autoFilter ref="A1:BD392" xr:uid="{D970C919-643B-4E37-A641-614DA6140A93}"/>
  <tableColumns count="56">
    <tableColumn id="1" xr3:uid="{00000000-0010-0000-0100-000001000000}" name="#" dataDxfId="326">
      <calculatedColumnFormula>E2&amp;F2&amp;J2&amp;K2&amp;""</calculatedColumnFormula>
    </tableColumn>
    <tableColumn id="2" xr3:uid="{00000000-0010-0000-0100-000002000000}" name="#2" dataDxfId="325">
      <calculatedColumnFormula>E2&amp;F2&amp;H2&amp;K2&amp;AI2</calculatedColumnFormula>
    </tableColumn>
    <tableColumn id="3" xr3:uid="{00000000-0010-0000-0100-000003000000}" name="Coluna3" dataDxfId="324"/>
    <tableColumn id="4" xr3:uid="{00000000-0010-0000-0100-000004000000}" name="Hora Atual" dataDxfId="323"/>
    <tableColumn id="5" xr3:uid="{00000000-0010-0000-0100-000005000000}" name="Mês Ref." dataDxfId="322"/>
    <tableColumn id="6" xr3:uid="{00000000-0010-0000-0100-000006000000}" name="Matricula do Operador" dataDxfId="321"/>
    <tableColumn id="7" xr3:uid="{00000000-0010-0000-0100-000007000000}" name="Nome do Operador" dataDxfId="320"/>
    <tableColumn id="8" xr3:uid="{00000000-0010-0000-0100-000008000000}" name="Auditoria" dataDxfId="319"/>
    <tableColumn id="9" xr3:uid="{00000000-0010-0000-0100-000009000000}" name="Ocorrência" dataDxfId="318"/>
    <tableColumn id="10" xr3:uid="{00000000-0010-0000-0100-00000A000000}" name="Motivo Desafio" dataDxfId="317"/>
    <tableColumn id="11" xr3:uid="{00000000-0010-0000-0100-00000B000000}" name="Setor" dataDxfId="316"/>
    <tableColumn id="12" xr3:uid="{00000000-0010-0000-0100-00000C000000}" name="AE/Placa" dataDxfId="315"/>
    <tableColumn id="13" xr3:uid="{00000000-0010-0000-0100-00000D000000}" name="DadosdaGravação" dataDxfId="314"/>
    <tableColumn id="14" xr3:uid="{00000000-0010-0000-0100-00000E000000}" name="1" dataDxfId="313"/>
    <tableColumn id="15" xr3:uid="{00000000-0010-0000-0100-00000F000000}" name="2" dataDxfId="312"/>
    <tableColumn id="16" xr3:uid="{00000000-0010-0000-0100-000010000000}" name="3" dataDxfId="311"/>
    <tableColumn id="17" xr3:uid="{00000000-0010-0000-0100-000011000000}" name="4" dataDxfId="310"/>
    <tableColumn id="18" xr3:uid="{00000000-0010-0000-0100-000012000000}" name="5" dataDxfId="309"/>
    <tableColumn id="19" xr3:uid="{00000000-0010-0000-0100-000013000000}" name="6" dataDxfId="308"/>
    <tableColumn id="49" xr3:uid="{093FFAC4-7773-4549-864F-595845E46B7B}" name="7" dataDxfId="307"/>
    <tableColumn id="50" xr3:uid="{AC072EF6-F7F8-4B47-B122-D6B93DF73CEE}" name="8" dataDxfId="306"/>
    <tableColumn id="51" xr3:uid="{FB16F87F-9D3C-4137-9E86-539261424C47}" name="9" dataDxfId="305"/>
    <tableColumn id="52" xr3:uid="{85F8FB01-8461-46AF-9470-69F8934249D0}" name="10" dataDxfId="304"/>
    <tableColumn id="53" xr3:uid="{9E8D57FB-54C6-4C35-9D4F-66BEC59C695C}" name="11" dataDxfId="303"/>
    <tableColumn id="54" xr3:uid="{BCC0EE86-C764-4C02-83DC-7A9981B1134B}" name="12" dataDxfId="302"/>
    <tableColumn id="20" xr3:uid="{00000000-0010-0000-0100-000014000000}" name="13" dataDxfId="301"/>
    <tableColumn id="21" xr3:uid="{00000000-0010-0000-0100-000015000000}" name="14" dataDxfId="300"/>
    <tableColumn id="22" xr3:uid="{00000000-0010-0000-0100-000016000000}" name="15" dataDxfId="299"/>
    <tableColumn id="23" xr3:uid="{00000000-0010-0000-0100-000017000000}" name="16" dataDxfId="298"/>
    <tableColumn id="24" xr3:uid="{00000000-0010-0000-0100-000018000000}" name="17" dataDxfId="297"/>
    <tableColumn id="25" xr3:uid="{00000000-0010-0000-0100-000019000000}" name="18" dataDxfId="296"/>
    <tableColumn id="26" xr3:uid="{00000000-0010-0000-0100-00001A000000}" name="nota" dataDxfId="295"/>
    <tableColumn id="27" xr3:uid="{00000000-0010-0000-0100-00001B000000}" name="Observação" dataDxfId="294"/>
    <tableColumn id="28" xr3:uid="{00000000-0010-0000-0100-00001C000000}" name="Relato da Ligação" dataDxfId="293"/>
    <tableColumn id="29" xr3:uid="{00000000-0010-0000-0100-00001D000000}" name="Modalidade da Auditoria" dataDxfId="292"/>
    <tableColumn id="30" xr3:uid="{00000000-0010-0000-0100-00001E000000}" name="super" dataDxfId="291">
      <calculatedColumnFormula>IFERROR(VLOOKUP(E2&amp;F2,'Listagem dos op'!A:S,19,0),"")</calculatedColumnFormula>
    </tableColumn>
    <tableColumn id="31" xr3:uid="{00000000-0010-0000-0100-00001F000000}" name="#3" dataDxfId="290">
      <calculatedColumnFormula>E2&amp;F2</calculatedColumnFormula>
    </tableColumn>
    <tableColumn id="32" xr3:uid="{00000000-0010-0000-0100-000020000000}" name="FIXO-1" dataDxfId="289">
      <calculatedColumnFormula>IF(N2="","",IF(N2="SIM",VLOOKUP($I2&amp;$J2&amp;N$1,Pesos!$A:$I,7,FALSE),VLOOKUP($I2&amp;$J2&amp;N$1,Pesos!$A:$I,9,FALSE)))</calculatedColumnFormula>
    </tableColumn>
    <tableColumn id="33" xr3:uid="{00000000-0010-0000-0100-000021000000}" name="FIXO-2" dataDxfId="288">
      <calculatedColumnFormula>IF(O2="","",IF(O2="SIM",VLOOKUP($I2&amp;$J2&amp;O$1,Pesos!$A:$I,7,FALSE),VLOOKUP($I2&amp;$J2&amp;O$1,Pesos!$A:$I,9,FALSE)))</calculatedColumnFormula>
    </tableColumn>
    <tableColumn id="34" xr3:uid="{00000000-0010-0000-0100-000022000000}" name="FIXO-3" dataDxfId="287">
      <calculatedColumnFormula>IF(P2="","",IF(P2="SIM",VLOOKUP($I2&amp;$J2&amp;P$1,Pesos!$A:$I,7,FALSE),VLOOKUP($I2&amp;$J2&amp;P$1,Pesos!$A:$I,9,FALSE)))</calculatedColumnFormula>
    </tableColumn>
    <tableColumn id="35" xr3:uid="{00000000-0010-0000-0100-000023000000}" name="FIXO-4" dataDxfId="286">
      <calculatedColumnFormula>IF(Q2="","",IF(Q2="SIM",VLOOKUP($I2&amp;$J2&amp;Q$1,Pesos!$A:$I,7,FALSE),VLOOKUP($I2&amp;$J2&amp;Q$1,Pesos!$A:$I,9,FALSE)))</calculatedColumnFormula>
    </tableColumn>
    <tableColumn id="36" xr3:uid="{00000000-0010-0000-0100-000024000000}" name="FIXO-5" dataDxfId="285">
      <calculatedColumnFormula>IF(R2="","",IF(R2="SIM",VLOOKUP($I2&amp;$J2&amp;R$1,Pesos!$A:$I,7,FALSE),VLOOKUP($I2&amp;$J2&amp;R$1,Pesos!$A:$I,9,FALSE)))</calculatedColumnFormula>
    </tableColumn>
    <tableColumn id="37" xr3:uid="{00000000-0010-0000-0100-000025000000}" name="FIXO-6" dataDxfId="284">
      <calculatedColumnFormula>IF(S2="","",IF(S2="SIM",VLOOKUP($I2&amp;$J2&amp;S$1,Pesos!$A:$I,7,FALSE),VLOOKUP($I2&amp;$J2&amp;S$1,Pesos!$A:$I,9,FALSE)))</calculatedColumnFormula>
    </tableColumn>
    <tableColumn id="38" xr3:uid="{00000000-0010-0000-0100-000026000000}" name="FIXO-7" dataDxfId="283">
      <calculatedColumnFormula>IF(T2="","",IF(T2="SIM",VLOOKUP($I2&amp;$J2&amp;T$1,Pesos!$A:$I,7,FALSE),VLOOKUP($I2&amp;$J2&amp;T$1,Pesos!$A:$I,9,FALSE)))</calculatedColumnFormula>
    </tableColumn>
    <tableColumn id="39" xr3:uid="{00000000-0010-0000-0100-000027000000}" name="FIXO-8" dataDxfId="282">
      <calculatedColumnFormula>IF(U2="","",IF(U2="SIM",VLOOKUP($I2&amp;$J2&amp;U$1,Pesos!$A:$I,7,FALSE),VLOOKUP($I2&amp;$J2&amp;U$1,Pesos!$A:$I,9,FALSE)))</calculatedColumnFormula>
    </tableColumn>
    <tableColumn id="55" xr3:uid="{4B420C90-7378-409B-BF7B-F2BF632339FE}" name="FIXO-9" dataDxfId="281">
      <calculatedColumnFormula>IF(V2="","",IF(V2="SIM",VLOOKUP($I2&amp;$J2&amp;V$1,Pesos!$A:$I,7,FALSE),VLOOKUP($I2&amp;$J2&amp;V$1,Pesos!$A:$I,9,FALSE)))</calculatedColumnFormula>
    </tableColumn>
    <tableColumn id="56" xr3:uid="{935116DB-0C85-4A8C-A220-58A65AAFE79E}" name="FIXO-10" dataDxfId="280">
      <calculatedColumnFormula>IF(W2="","",IF(W2="SIM",VLOOKUP($I2&amp;$J2&amp;W$1,Pesos!$A:$I,7,FALSE),VLOOKUP($I2&amp;$J2&amp;W$1,Pesos!$A:$I,9,FALSE)))</calculatedColumnFormula>
    </tableColumn>
    <tableColumn id="57" xr3:uid="{E5E7209F-41FD-4A1E-A151-E4ED3B7A4755}" name="FIXO-11" dataDxfId="279">
      <calculatedColumnFormula>IF(X2="","",IF(X2="SIM",VLOOKUP($I2&amp;$J2&amp;X$1,Pesos!$A:$I,7,FALSE),VLOOKUP($I2&amp;$J2&amp;X$1,Pesos!$A:$I,9,FALSE)))</calculatedColumnFormula>
    </tableColumn>
    <tableColumn id="58" xr3:uid="{50249BB5-513D-4D7E-949B-D08CB03D7ACE}" name="FIXO-12" dataDxfId="278">
      <calculatedColumnFormula>IF(Y2="","",IF(Y2="SIM",VLOOKUP($I2&amp;$J2&amp;Y$1,Pesos!$A:$I,7,FALSE),VLOOKUP($I2&amp;$J2&amp;Y$1,Pesos!$A:$I,9,FALSE)))</calculatedColumnFormula>
    </tableColumn>
    <tableColumn id="59" xr3:uid="{8A781303-CE87-4544-A739-02EEBABF3D9E}" name="FIXO-13" dataDxfId="277">
      <calculatedColumnFormula>IF(Z2="","",IF(Z2="SIM",VLOOKUP($I2&amp;$J2&amp;Z$1,Pesos!$A:$I,7,FALSE),VLOOKUP($I2&amp;$J2&amp;Z$1,Pesos!$A:$I,9,FALSE)))</calculatedColumnFormula>
    </tableColumn>
    <tableColumn id="40" xr3:uid="{00000000-0010-0000-0100-000028000000}" name="FIXO-14" dataDxfId="276">
      <calculatedColumnFormula>IF(AA2="","",IF(AA2="SIM",VLOOKUP($I2&amp;$J2&amp;AA$1,Pesos!$A:$I,7,FALSE),VLOOKUP($I2&amp;$J2&amp;AA$1,Pesos!$A:$I,9,FALSE)))</calculatedColumnFormula>
    </tableColumn>
    <tableColumn id="41" xr3:uid="{00000000-0010-0000-0100-000029000000}" name="FIXO-15" dataDxfId="275">
      <calculatedColumnFormula>IF(AB2="","",IF(AB2="SIM",VLOOKUP($I2&amp;$J2&amp;AB$1,Pesos!$A:$I,7,FALSE),VLOOKUP($I2&amp;$J2&amp;AB$1,Pesos!$A:$I,9,FALSE)))</calculatedColumnFormula>
    </tableColumn>
    <tableColumn id="42" xr3:uid="{00000000-0010-0000-0100-00002A000000}" name="FIXO-16" dataDxfId="274">
      <calculatedColumnFormula>IF(AC2="","",IF(AC2="SIM",VLOOKUP($I2&amp;$J2&amp;AC$1,Pesos!$A:$I,7,FALSE),VLOOKUP($I2&amp;$J2&amp;AC$1,Pesos!$A:$I,9,FALSE)))</calculatedColumnFormula>
    </tableColumn>
    <tableColumn id="43" xr3:uid="{00000000-0010-0000-0100-00002B000000}" name="FIXO-17" dataDxfId="273">
      <calculatedColumnFormula>IF(AD2="","",IF(AD2="SIM",VLOOKUP($I2&amp;$J2&amp;AD$1,Pesos!$A:$I,7,FALSE),VLOOKUP($I2&amp;$J2&amp;AD$1,Pesos!$A:$I,9,FALSE)))</calculatedColumnFormula>
    </tableColumn>
    <tableColumn id="44" xr3:uid="{00000000-0010-0000-0100-00002C000000}" name="FIXO-18" dataDxfId="272">
      <calculatedColumnFormula>IF(AE2="","",IF(AE2="SIM",VLOOKUP($I2&amp;$J2&amp;AE$1,Pesos!$A:$I,7,FALSE),VLOOKUP($I2&amp;$J2&amp;AE$1,Pesos!$A:$I,9,FALSE)))</calculatedColumnFormula>
    </tableColumn>
    <tableColumn id="45" xr3:uid="{00000000-0010-0000-0100-00002D000000}" name="Nota Final" dataDxfId="271">
      <calculatedColumnFormula>IFERROR(AF2*VLOOKUP(J2,'BD Campos'!$X$1:$Y$14,2,FALSE),"0")</calculatedColumnFormula>
    </tableColumn>
  </tableColumns>
  <tableStyleInfo name="TableStyleLight10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CI224" headerRowDxfId="178" dataDxfId="177">
  <autoFilter ref="A1:CI224" xr:uid="{00000000-0009-0000-0100-000001000000}"/>
  <tableColumns count="87">
    <tableColumn id="1" xr3:uid="{00000000-0010-0000-0000-000001000000}" name="chave" totalsRowLabel="Total" dataDxfId="175" totalsRowDxfId="176">
      <calculatedColumnFormula>Tabela1[[#This Row],[MÊS]]&amp;Tabela1[[#This Row],[MATRICULA]]&amp;Tabela1[[#This Row],[ID]]</calculatedColumnFormula>
    </tableColumn>
    <tableColumn id="80" xr3:uid="{00000000-0010-0000-0000-000050000000}" name="Colunas1" dataDxfId="173" totalsRowDxfId="174">
      <calculatedColumnFormula>Tabela1[[#This Row],[MÊS]]&amp;Tabela1[[#This Row],[ID]]&amp;Tabela1[[#This Row],[MATRICULA]]&amp;Tabela1[[#This Row],[SETOR]]</calculatedColumnFormula>
    </tableColumn>
    <tableColumn id="21" xr3:uid="{00000000-0010-0000-0000-000015000000}" name="ADMISSÃO" dataDxfId="172">
      <calculatedColumnFormula>VLOOKUP(Tabela1[[#This Row],[MATRICULA]],'BD Campos'!A:D,5,0)</calculatedColumnFormula>
    </tableColumn>
    <tableColumn id="28" xr3:uid="{00000000-0010-0000-0000-00001C000000}" name="TEMPO DE CASA (DIAS)" dataDxfId="170" totalsRowDxfId="171">
      <calculatedColumnFormula>IFERROR(SUM(TODAY()-Tabela1[[#This Row],[ADMISSÃO]]),"")</calculatedColumnFormula>
    </tableColumn>
    <tableColumn id="30" xr3:uid="{00000000-0010-0000-0000-00001E000000}" name="TEMPO DE CASA (MESES)" dataDxfId="168" totalsRowDxfId="169">
      <calculatedColumnFormula>IFERROR(TRUNC(Tabela1[[#This Row],[TEMPO DE CASA (DIAS)]]/30),"")</calculatedColumnFormula>
    </tableColumn>
    <tableColumn id="32" xr3:uid="{00000000-0010-0000-0000-000020000000}" name="TEMPO DE CASA (ANO)" dataDxfId="166" totalsRowDxfId="167">
      <calculatedColumnFormula>IFERROR(SUM(Tabela1[[#This Row],[TEMPO DE CASA (MESES)]]/12),"")</calculatedColumnFormula>
    </tableColumn>
    <tableColumn id="29" xr3:uid="{00000000-0010-0000-0000-00001D000000}" name="TEMPO DE CASA" dataDxfId="164" totalsRowDxfId="165">
      <calculatedColumnFormula>IF(Tabela1[[#This Row],[TEMPO DE CASA (DIAS)]]="","SEM DADOS",IF(Tabela1[[#This Row],[TEMPO DE CASA (DIAS)]]&gt;180,"&gt; 6 MESES","&lt; 6 MESES"))</calculatedColumnFormula>
    </tableColumn>
    <tableColumn id="27" xr3:uid="{00000000-0010-0000-0000-00001B000000}" name="CHAVE GESTOR" dataDxfId="162" totalsRowDxfId="163">
      <calculatedColumnFormula>K2&amp;S2&amp;J2</calculatedColumnFormula>
    </tableColumn>
    <tableColumn id="22" xr3:uid="{00000000-0010-0000-0000-000016000000}" name="SITUAÇÃO" dataDxfId="160" totalsRowDxfId="161">
      <calculatedColumnFormula>IFERROR(VLOOKUP(Tabela1[[#This Row],[MATRICULA]],'BD Campos'!A:F,7,0),"")</calculatedColumnFormula>
    </tableColumn>
    <tableColumn id="2" xr3:uid="{00000000-0010-0000-0000-000002000000}" name="ID" dataDxfId="158" totalsRowDxfId="159"/>
    <tableColumn id="3" xr3:uid="{00000000-0010-0000-0000-000003000000}" name="MÊS" dataDxfId="156" totalsRowDxfId="157"/>
    <tableColumn id="5" xr3:uid="{00000000-0010-0000-0000-000005000000}" name="MATRICULA" dataDxfId="154" totalsRowDxfId="155"/>
    <tableColumn id="6" xr3:uid="{00000000-0010-0000-0000-000006000000}" name="COLABORADOR" dataDxfId="153">
      <calculatedColumnFormula>IFERROR(VLOOKUP(Tabela1[[#This Row],[MATRICULA]],'BD Campos'!A:B,2,0),"")</calculatedColumnFormula>
    </tableColumn>
    <tableColumn id="7" xr3:uid="{00000000-0010-0000-0000-000007000000}" name="OPERACIONAL" dataDxfId="151" totalsRowDxfId="152">
      <calculatedColumnFormula>IFERROR(AVERAGE(Tabela1[[#This Row],[A1]:[A4]]),"")</calculatedColumnFormula>
    </tableColumn>
    <tableColumn id="8" xr3:uid="{00000000-0010-0000-0000-000008000000}" name="TELEFÔNICA" dataDxfId="149" totalsRowDxfId="150">
      <calculatedColumnFormula>IFERROR(IF(Tabela1[[#This Row],[SETOR]]="RECEPTIVO","",AVERAGE(Tabela1[[#This Row],[A5]:[A6]])),"")</calculatedColumnFormula>
    </tableColumn>
    <tableColumn id="9" xr3:uid="{00000000-0010-0000-0000-000009000000}" name="DESEMPENHO" dataDxfId="147" totalsRowDxfId="148">
      <calculatedColumnFormula>IFERROR(IF(Tabela1[[#This Row],[STATUS]]="INATIVO","INATIVO",IF(Tabela1[[#This Row],[STATUS]]="QRT","INATIVO",IF(Tabela1[[#This Row],[OPERACIONAL]]&gt;7.99999,"BOM","RUIM"))),"")</calculatedColumnFormula>
    </tableColumn>
    <tableColumn id="10" xr3:uid="{00000000-0010-0000-0000-00000A000000}" name="STATUS" dataDxfId="145" totalsRowDxfId="146"/>
    <tableColumn id="11" xr3:uid="{00000000-0010-0000-0000-00000B000000}" name="TURNO / OPERAÇÃO" dataDxfId="143" totalsRowDxfId="144"/>
    <tableColumn id="12" xr3:uid="{00000000-0010-0000-0000-00000C000000}" name="SUPERVISOR" dataDxfId="141" totalsRowDxfId="142"/>
    <tableColumn id="13" xr3:uid="{00000000-0010-0000-0000-00000D000000}" name="SETOR" dataDxfId="139" totalsRowDxfId="140"/>
    <tableColumn id="82" xr3:uid="{00000000-0010-0000-0000-000052000000}" name="PROCESSO - CADEIA DE CONTATOS" dataDxfId="137" totalsRowDxfId="138">
      <calculatedColumnFormula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calculatedColumnFormula>
    </tableColumn>
    <tableColumn id="87" xr3:uid="{00000000-0010-0000-0000-000057000000}" name="FINAL" dataDxfId="135" totalsRowDxfId="136">
      <calculatedColumnFormula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calculatedColumnFormula>
    </tableColumn>
    <tableColumn id="83" xr3:uid="{00000000-0010-0000-0000-000053000000}" name="MOT" dataDxfId="134">
      <calculatedColumnFormula>IF(AND(Tabela1[[#This Row],[SETOR]]="UTI",Tabela1[[#This Row],[M]]&lt;&gt;""),1,IF(AND(Tabela1[[#This Row],[SETOR]]="UTI (RJ)",Tabela1[[#This Row],[M]]&lt;&gt;""),1.5,0))</calculatedColumnFormula>
    </tableColumn>
    <tableColumn id="84" xr3:uid="{00000000-0010-0000-0000-000054000000}" name="PA" dataDxfId="132" totalsRowDxfId="133">
      <calculatedColumnFormula>IF(AND(Tabela1[[#This Row],[SETOR]]="UTI",Tabela1[[#This Row],[PA2]]&lt;&gt;""),1,IF(AND(Tabela1[[#This Row],[SETOR]]="UTI (RJ)",Tabela1[[#This Row],[PA2]]&lt;&gt;""),0,0))</calculatedColumnFormula>
    </tableColumn>
    <tableColumn id="85" xr3:uid="{00000000-0010-0000-0000-000055000000}" name="CLI" dataDxfId="130" totalsRowDxfId="131">
      <calculatedColumnFormula>IF(AND(Tabela1[[#This Row],[SETOR]]="UTI",Tabela1[[#This Row],[C]]&lt;&gt;""),1,IF(AND(Tabela1[[#This Row],[SETOR]]="UTI (RJ)",Tabela1[[#This Row],[C]]&lt;&gt;""),1.5,0))</calculatedColumnFormula>
    </tableColumn>
    <tableColumn id="86" xr3:uid="{00000000-0010-0000-0000-000056000000}" name="POLICIA" dataDxfId="128" totalsRowDxfId="129">
      <calculatedColumnFormula>IF(AND(Tabela1[[#This Row],[SETOR]]="UTI",Tabela1[[#This Row],[PL]]&lt;&gt;""),1,IF(AND(Tabela1[[#This Row],[SETOR]]="UTI (RJ)",Tabela1[[#This Row],[PL]]&lt;&gt;""),1,0))</calculatedColumnFormula>
    </tableColumn>
    <tableColumn id="33" xr3:uid="{00000000-0010-0000-0000-000021000000}" name="A1" dataDxfId="126" totalsRowDxfId="127">
      <calculatedColumnFormula>IFERROR(VLOOKUP(Tabela1[[#This Row],[MÊS]]&amp;Tabela1[[#This Row],[MATRICULA]]&amp;"1"&amp;Tabela1[[#This Row],[SETOR]]&amp;"PADRÃO",BD!B:AF,31,0),"")</calculatedColumnFormula>
    </tableColumn>
    <tableColumn id="34" xr3:uid="{00000000-0010-0000-0000-000022000000}" name="A2" dataDxfId="124" totalsRowDxfId="125">
      <calculatedColumnFormula>IFERROR(VLOOKUP(Tabela1[[#This Row],[MÊS]]&amp;Tabela1[[#This Row],[MATRICULA]]&amp;"2"&amp;Tabela1[[#This Row],[SETOR]]&amp;"PADRÃO",BD!B:AF,31,0),"")</calculatedColumnFormula>
    </tableColumn>
    <tableColumn id="35" xr3:uid="{00000000-0010-0000-0000-000023000000}" name="A3" dataDxfId="122" totalsRowDxfId="123">
      <calculatedColumnFormula>IFERROR(VLOOKUP(Tabela1[[#This Row],[MÊS]]&amp;Tabela1[[#This Row],[MATRICULA]]&amp;"3"&amp;Tabela1[[#This Row],[SETOR]]&amp;"PADRÃO",BD!B:AF,31,0),"")</calculatedColumnFormula>
    </tableColumn>
    <tableColumn id="36" xr3:uid="{00000000-0010-0000-0000-000024000000}" name="A4" dataDxfId="120" totalsRowDxfId="121">
      <calculatedColumnFormula>IFERROR(VLOOKUP(Tabela1[[#This Row],[MÊS]]&amp;Tabela1[[#This Row],[MATRICULA]]&amp;"4"&amp;Tabela1[[#This Row],[SETOR]]&amp;"PADRÃO",BD!B:AF,25,0),"")</calculatedColumnFormula>
    </tableColumn>
    <tableColumn id="37" xr3:uid="{00000000-0010-0000-0000-000025000000}" name="A5" dataDxfId="118" totalsRowDxfId="119">
      <calculatedColumnFormula>IFERROR(VLOOKUP(Tabela1[[#This Row],[MÊS]]&amp;Tabela1[[#This Row],[MATRICULA]]&amp;"5"&amp;Tabela1[[#This Row],[SETOR]]&amp;"PADRÃO",BD!B:AF,31,0),"")</calculatedColumnFormula>
    </tableColumn>
    <tableColumn id="38" xr3:uid="{00000000-0010-0000-0000-000026000000}" name="A6" dataDxfId="116" totalsRowDxfId="117">
      <calculatedColumnFormula>IFERROR(VLOOKUP(Tabela1[[#This Row],[MÊS]]&amp;Tabela1[[#This Row],[MATRICULA]]&amp;"6"&amp;Tabela1[[#This Row],[SETOR]]&amp;"PADRÃO",BD!B:AF,31,0),"")</calculatedColumnFormula>
    </tableColumn>
    <tableColumn id="39" xr3:uid="{00000000-0010-0000-0000-000027000000}" name="RL" dataDxfId="114" totalsRowDxfId="115">
      <calculatedColumnFormula>IFERROR(VLOOKUP(Tabela1[[#This Row],[MÊS]]&amp;Tabela1[[#This Row],[MATRICULA]]&amp;"7"&amp;Tabela1[[#This Row],[SETOR]]&amp;"PADRÃO",BD!B:AF,31,0),"")</calculatedColumnFormula>
    </tableColumn>
    <tableColumn id="55" xr3:uid="{00000000-0010-0000-0000-000037000000}" name="RC" dataDxfId="112" totalsRowDxfId="113">
      <calculatedColumnFormula>IFERROR(VLOOKUP(Tabela1[[#This Row],[MÊS]]&amp;Tabela1[[#This Row],[ID]]&amp;Tabela1[[#This Row],[MATRICULA]]&amp;"Receptiva"&amp;Tabela1[[#This Row],[SETOR]],BD!A:AF,31,0),"")</calculatedColumnFormula>
    </tableColumn>
    <tableColumn id="56" xr3:uid="{00000000-0010-0000-0000-000038000000}" name="RC2" dataDxfId="110" totalsRowDxfId="111">
      <calculatedColumnFormula>IFERROR(VLOOKUP(Tabela1[[#This Row],[MÊS]]&amp;Tabela1[[#This Row],[ID]]&amp;Tabela1[[#This Row],[MATRICULA]]&amp;"Receptiva 2"&amp;Tabela1[[#This Row],[SETOR]],BD!A:AF,31,0),"")</calculatedColumnFormula>
    </tableColumn>
    <tableColumn id="59" xr3:uid="{00000000-0010-0000-0000-00003B000000}" name="RC3" dataDxfId="108" totalsRowDxfId="109">
      <calculatedColumnFormula>IFERROR(VLOOKUP(Tabela1[[#This Row],[MÊS]]&amp;Tabela1[[#This Row],[ID]]&amp;Tabela1[[#This Row],[MATRICULA]]&amp;"Receptiva 3"&amp;Tabela1[[#This Row],[SETOR]],BD!A:AF,31,0),"")</calculatedColumnFormula>
    </tableColumn>
    <tableColumn id="60" xr3:uid="{00000000-0010-0000-0000-00003C000000}" name="RC4" dataDxfId="106" totalsRowDxfId="107">
      <calculatedColumnFormula>IFERROR(VLOOKUP(Tabela1[[#This Row],[MÊS]]&amp;Tabela1[[#This Row],[ID]]&amp;Tabela1[[#This Row],[MATRICULA]]&amp;"Receptiva 4"&amp;Tabela1[[#This Row],[SETOR]],BD!A:AF,31,0),"")</calculatedColumnFormula>
    </tableColumn>
    <tableColumn id="14" xr3:uid="{00000000-0010-0000-0000-00000E000000}" name="M" dataDxfId="104" totalsRowDxfId="105">
      <calculatedColumnFormula>IFERROR(VLOOKUP(Tabela1[[#This Row],[MÊS]]&amp;Tabela1[[#This Row],[MATRICULA]]&amp;"Motorista"&amp;Tabela1[[#This Row],[SETOR]],BD!A:AF,31,0),"")</calculatedColumnFormula>
    </tableColumn>
    <tableColumn id="15" xr3:uid="{00000000-0010-0000-0000-00000F000000}" name="M2" dataDxfId="102" totalsRowDxfId="103">
      <calculatedColumnFormula>IFERROR(VLOOKUP(Tabela1[[#This Row],[MÊS]]&amp;Tabela1[[#This Row],[ID]]&amp;Tabela1[[#This Row],[MATRICULA]]&amp;"Motorista 2"&amp;Tabela1[[#This Row],[SETOR]],BD!A:AF,26,0),"")</calculatedColumnFormula>
    </tableColumn>
    <tableColumn id="57" xr3:uid="{00000000-0010-0000-0000-000039000000}" name="M3" dataDxfId="100" totalsRowDxfId="101">
      <calculatedColumnFormula>IFERROR(VLOOKUP(Tabela1[[#This Row],[MÊS]]&amp;Tabela1[[#This Row],[ID]]&amp;Tabela1[[#This Row],[MATRICULA]]&amp;"Motorista 3"&amp;Tabela1[[#This Row],[SETOR]],BD!A:AF,26,0),"")</calculatedColumnFormula>
    </tableColumn>
    <tableColumn id="58" xr3:uid="{00000000-0010-0000-0000-00003A000000}" name="M4" dataDxfId="98" totalsRowDxfId="99">
      <calculatedColumnFormula>IFERROR(VLOOKUP(Tabela1[[#This Row],[MÊS]]&amp;Tabela1[[#This Row],[ID]]&amp;Tabela1[[#This Row],[MATRICULA]]&amp;"Motorista 4"&amp;Tabela1[[#This Row],[SETOR]],BD!A:AF,26,0),"")</calculatedColumnFormula>
    </tableColumn>
    <tableColumn id="16" xr3:uid="{00000000-0010-0000-0000-000010000000}" name="PA2" dataDxfId="96" totalsRowDxfId="97">
      <calculatedColumnFormula>IFERROR(VLOOKUP(Tabela1[[#This Row],[MÊS]]&amp;Tabela1[[#This Row],[MATRICULA]]&amp;"Ponto de Apoio"&amp;Tabela1[[#This Row],[SETOR]],BD!A:AF,31,0),"")</calculatedColumnFormula>
    </tableColumn>
    <tableColumn id="40" xr3:uid="{00000000-0010-0000-0000-000028000000}" name="PA 2" dataDxfId="94" totalsRowDxfId="95">
      <calculatedColumnFormula>IFERROR(VLOOKUP(Tabela1[[#This Row],[MÊS]]&amp;Tabela1[[#This Row],[ID]]&amp;Tabela1[[#This Row],[MATRICULA]]&amp;"Ponto de Apoio 2"&amp;Tabela1[[#This Row],[SETOR]],BD!A:AF,26,0),"")</calculatedColumnFormula>
    </tableColumn>
    <tableColumn id="61" xr3:uid="{00000000-0010-0000-0000-00003D000000}" name="PA 3" dataDxfId="92" totalsRowDxfId="93">
      <calculatedColumnFormula>IFERROR(VLOOKUP(Tabela1[[#This Row],[MÊS]]&amp;Tabela1[[#This Row],[ID]]&amp;Tabela1[[#This Row],[MATRICULA]]&amp;"Ponto de Apoio 3"&amp;Tabela1[[#This Row],[SETOR]],BD!A:AF,26,0),"")</calculatedColumnFormula>
    </tableColumn>
    <tableColumn id="62" xr3:uid="{00000000-0010-0000-0000-00003E000000}" name="PA 4" dataDxfId="90" totalsRowDxfId="91">
      <calculatedColumnFormula>IFERROR(VLOOKUP(Tabela1[[#This Row],[MÊS]]&amp;Tabela1[[#This Row],[ID]]&amp;Tabela1[[#This Row],[MATRICULA]]&amp;"Ponto de Apoio 4"&amp;Tabela1[[#This Row],[SETOR]],BD!A:AF,26,0),"")</calculatedColumnFormula>
    </tableColumn>
    <tableColumn id="17" xr3:uid="{00000000-0010-0000-0000-000011000000}" name="C" dataDxfId="88" totalsRowDxfId="89">
      <calculatedColumnFormula>IFERROR(VLOOKUP(Tabela1[[#This Row],[MÊS]]&amp;Tabela1[[#This Row],[MATRICULA]]&amp;"Cliente"&amp;Tabela1[[#This Row],[SETOR]],BD!A:AF,31,0),"")</calculatedColumnFormula>
    </tableColumn>
    <tableColumn id="18" xr3:uid="{00000000-0010-0000-0000-000012000000}" name="C2" dataDxfId="86" totalsRowDxfId="87">
      <calculatedColumnFormula>IFERROR(VLOOKUP(Tabela1[[#This Row],[MÊS]]&amp;Tabela1[[#This Row],[ID]]&amp;Tabela1[[#This Row],[MATRICULA]]&amp;"Cliente 2"&amp;Tabela1[[#This Row],[SETOR]],BD!A:AF,26,0),"")</calculatedColumnFormula>
    </tableColumn>
    <tableColumn id="65" xr3:uid="{00000000-0010-0000-0000-000041000000}" name="C3" dataDxfId="84" totalsRowDxfId="85"/>
    <tableColumn id="66" xr3:uid="{00000000-0010-0000-0000-000042000000}" name="C4" dataDxfId="82" totalsRowDxfId="83"/>
    <tableColumn id="19" xr3:uid="{00000000-0010-0000-0000-000013000000}" name="PL" dataDxfId="80" totalsRowDxfId="81">
      <calculatedColumnFormula>IFERROR(VLOOKUP(Tabela1[[#This Row],[MÊS]]&amp;Tabela1[[#This Row],[MATRICULA]]&amp;"Policia"&amp;Tabela1[[#This Row],[SETOR]],BD!A:AF,31,0),"")</calculatedColumnFormula>
    </tableColumn>
    <tableColumn id="20" xr3:uid="{00000000-0010-0000-0000-000014000000}" name="PL2" dataDxfId="78" totalsRowDxfId="79">
      <calculatedColumnFormula>IFERROR(VLOOKUP(Tabela1[[#This Row],[MÊS]]&amp;Tabela1[[#This Row],[ID]]&amp;Tabela1[[#This Row],[MATRICULA]]&amp;"Policia 2"&amp;Tabela1[[#This Row],[SETOR]],BD!A:AF,26,0),"")</calculatedColumnFormula>
    </tableColumn>
    <tableColumn id="63" xr3:uid="{00000000-0010-0000-0000-00003F000000}" name="PL3" dataDxfId="76" totalsRowDxfId="77">
      <calculatedColumnFormula>IFERROR(VLOOKUP(Tabela1[[#This Row],[MÊS]]&amp;Tabela1[[#This Row],[ID]]&amp;Tabela1[[#This Row],[MATRICULA]]&amp;"Policia 3"&amp;Tabela1[[#This Row],[SETOR]],BD!A:AF,26,0),"")</calculatedColumnFormula>
    </tableColumn>
    <tableColumn id="64" xr3:uid="{00000000-0010-0000-0000-000040000000}" name="PL4" dataDxfId="74" totalsRowDxfId="75">
      <calculatedColumnFormula>IFERROR(VLOOKUP(Tabela1[[#This Row],[MÊS]]&amp;Tabela1[[#This Row],[ID]]&amp;Tabela1[[#This Row],[MATRICULA]]&amp;"Policia 4"&amp;Tabela1[[#This Row],[SETOR]],BD!A:AF,26,0),"")</calculatedColumnFormula>
    </tableColumn>
    <tableColumn id="23" xr3:uid="{00000000-0010-0000-0000-000017000000}" name="COORD" dataDxfId="72" totalsRowDxfId="73">
      <calculatedColumnFormula>IF(Tabela1[[#This Row],[SETOR]]="BAS","GUERRA",IF(Tabela1[[#This Row],[SETOR]]="UTI","GUERRA",IF(Tabela1[[#This Row],[SETOR]]="UTI (RJ)","GUERRA",IF(Tabela1[[#This Row],[SETOR]]="LOGÍSTICA","JULIANO",IF(Tabela1[[#This Row],[SETOR]]="RASTREAMENTO","ALINE","DANIELLE")))))</calculatedColumnFormula>
    </tableColumn>
    <tableColumn id="24" xr3:uid="{00000000-0010-0000-0000-000018000000}" name="MM" dataDxfId="70" totalsRowDxfId="71">
      <calculatedColumnFormula>IFERROR(AVERAGE(Tabela1[[#This Row],[M]:[M4]]),"")</calculatedColumnFormula>
    </tableColumn>
    <tableColumn id="25" xr3:uid="{00000000-0010-0000-0000-000019000000}" name="MC" dataDxfId="68" totalsRowDxfId="69">
      <calculatedColumnFormula>IFERROR(AVERAGE(Tabela1[[#This Row],[C]:[C4]]),"")</calculatedColumnFormula>
    </tableColumn>
    <tableColumn id="4" xr3:uid="{00000000-0010-0000-0000-000004000000}" name="MPA" dataDxfId="66" totalsRowDxfId="67">
      <calculatedColumnFormula>IFERROR(AVERAGE(Tabela1[[#This Row],[PA2]:[PA 4]]),"")</calculatedColumnFormula>
    </tableColumn>
    <tableColumn id="26" xr3:uid="{00000000-0010-0000-0000-00001A000000}" name="MPL" dataDxfId="64" totalsRowDxfId="65">
      <calculatedColumnFormula>IFERROR(AVERAGE(Tabela1[[#This Row],[PL]:[PL4]]),"")</calculatedColumnFormula>
    </tableColumn>
    <tableColumn id="75" xr3:uid="{00000000-0010-0000-0000-00004B000000}" name="MOT2" dataDxfId="62" totalsRowDxfId="63">
      <calculatedColumnFormula>IFERROR(VLOOKUP(Tabela1[[#This Row],[MÊS]]&amp;Tabela1[[#This Row],[MATRICULA]],#REF!,2,0),"")</calculatedColumnFormula>
    </tableColumn>
    <tableColumn id="76" xr3:uid="{00000000-0010-0000-0000-00004C000000}" name="P.A" dataDxfId="60" totalsRowDxfId="61">
      <calculatedColumnFormula>IFERROR(VLOOKUP(Tabela1[[#This Row],[MÊS]]&amp;Tabela1[[#This Row],[MATRICULA]],#REF!,2,0),"")</calculatedColumnFormula>
    </tableColumn>
    <tableColumn id="77" xr3:uid="{00000000-0010-0000-0000-00004D000000}" name="CLIENTE" dataDxfId="58" totalsRowDxfId="59">
      <calculatedColumnFormula>IFERROR(VLOOKUP(Tabela1[[#This Row],[MÊS]]&amp;Tabela1[[#This Row],[MATRICULA]],#REF!,2,0),"")</calculatedColumnFormula>
    </tableColumn>
    <tableColumn id="78" xr3:uid="{00000000-0010-0000-0000-00004E000000}" name="POLICIA2" dataDxfId="56" totalsRowDxfId="57">
      <calculatedColumnFormula>IFERROR(VLOOKUP(Tabela1[[#This Row],[MÊS]]&amp;Tabela1[[#This Row],[MATRICULA]],#REF!,2,0),"")</calculatedColumnFormula>
    </tableColumn>
    <tableColumn id="79" xr3:uid="{00000000-0010-0000-0000-00004F000000}" name="RECEPTIVA" dataDxfId="54" totalsRowDxfId="55">
      <calculatedColumnFormula>IFERROR(VLOOKUP(Tabela1[[#This Row],[MÊS]]&amp;Tabela1[[#This Row],[MATRICULA]],#REF!,2,0),"")</calculatedColumnFormula>
    </tableColumn>
    <tableColumn id="31" xr3:uid="{00000000-0010-0000-0000-00001F000000}" name="LIG. FALTANTES" dataDxfId="53">
      <calculatedColumnFormula>COUNTIF(Tabela1[[#This Row],[MOT2]:[RECEPTIVA]],"NÃO ENCONTRADA")</calculatedColumnFormula>
    </tableColumn>
    <tableColumn id="41" xr3:uid="{00000000-0010-0000-0000-000029000000}" name="DMOT" dataDxfId="51" totalsRowDxfId="52">
      <calculatedColumnFormula>IFERROR(VLOOKUP(Tabela1[[#This Row],[MÊS]]&amp;Tabela1[[#This Row],[ID]]&amp;Tabela1[[#This Row],[MATRICULA]]&amp;"Motorista"&amp;Tabela1[[#This Row],[SETOR]],BD!A:AF,13,0),"")</calculatedColumnFormula>
    </tableColumn>
    <tableColumn id="42" xr3:uid="{00000000-0010-0000-0000-00002A000000}" name="DMOT2" dataDxfId="49" totalsRowDxfId="50">
      <calculatedColumnFormula>IFERROR(VLOOKUP(Tabela1[[#This Row],[MÊS]]&amp;Tabela1[[#This Row],[ID]]&amp;Tabela1[[#This Row],[MATRICULA]]&amp;"Motorista 2"&amp;Tabela1[[#This Row],[SETOR]],BD!A:AF,13,0),"")</calculatedColumnFormula>
    </tableColumn>
    <tableColumn id="67" xr3:uid="{00000000-0010-0000-0000-000043000000}" name="DMOT3" dataDxfId="47" totalsRowDxfId="48">
      <calculatedColumnFormula>IFERROR(VLOOKUP(Tabela1[[#This Row],[MÊS]]&amp;Tabela1[[#This Row],[ID]]&amp;Tabela1[[#This Row],[MATRICULA]]&amp;"Motorista 3"&amp;Tabela1[[#This Row],[SETOR]],BD!A:AF,13,0),"")</calculatedColumnFormula>
    </tableColumn>
    <tableColumn id="68" xr3:uid="{00000000-0010-0000-0000-000044000000}" name="DMOT4" dataDxfId="45" totalsRowDxfId="46">
      <calculatedColumnFormula>IFERROR(VLOOKUP(Tabela1[[#This Row],[MÊS]]&amp;Tabela1[[#This Row],[ID]]&amp;Tabela1[[#This Row],[MATRICULA]]&amp;"Motorista 4"&amp;Tabela1[[#This Row],[SETOR]],BD!A:AF,13,0),"")</calculatedColumnFormula>
    </tableColumn>
    <tableColumn id="43" xr3:uid="{00000000-0010-0000-0000-00002B000000}" name="DMOT MEDIA" dataDxfId="43" totalsRowDxfId="44">
      <calculatedColumnFormula>IFERROR(AVERAGE(Tabela1[[#This Row],[DMOT]:[DMOT4]]),"")</calculatedColumnFormula>
    </tableColumn>
    <tableColumn id="44" xr3:uid="{00000000-0010-0000-0000-00002C000000}" name="DPA" dataDxfId="41" totalsRowDxfId="42">
      <calculatedColumnFormula>IFERROR(VLOOKUP(Tabela1[[#This Row],[MÊS]]&amp;Tabela1[[#This Row],[ID]]&amp;Tabela1[[#This Row],[MATRICULA]]&amp;"Ponto de Apoio"&amp;Tabela1[[#This Row],[SETOR]],BD!A:AF,13,0),"")</calculatedColumnFormula>
    </tableColumn>
    <tableColumn id="45" xr3:uid="{00000000-0010-0000-0000-00002D000000}" name="DPA 2" dataDxfId="39" totalsRowDxfId="40">
      <calculatedColumnFormula>IFERROR(VLOOKUP(Tabela1[[#This Row],[MÊS]]&amp;Tabela1[[#This Row],[ID]]&amp;Tabela1[[#This Row],[MATRICULA]]&amp;"Ponto de Apoio 2"&amp;Tabela1[[#This Row],[SETOR]],BD!A:AF,13,0),"")</calculatedColumnFormula>
    </tableColumn>
    <tableColumn id="69" xr3:uid="{00000000-0010-0000-0000-000045000000}" name="DPA 3" dataDxfId="37" totalsRowDxfId="38">
      <calculatedColumnFormula>IFERROR(VLOOKUP(Tabela1[[#This Row],[MÊS]]&amp;Tabela1[[#This Row],[ID]]&amp;Tabela1[[#This Row],[MATRICULA]]&amp;"Ponto de Apoio 3"&amp;Tabela1[[#This Row],[SETOR]],BD!A:AF,13,0),"")</calculatedColumnFormula>
    </tableColumn>
    <tableColumn id="70" xr3:uid="{00000000-0010-0000-0000-000046000000}" name="DPA 4" dataDxfId="35" totalsRowDxfId="36">
      <calculatedColumnFormula>IFERROR(VLOOKUP(Tabela1[[#This Row],[MÊS]]&amp;Tabela1[[#This Row],[ID]]&amp;Tabela1[[#This Row],[MATRICULA]]&amp;"Ponto de Apoio 4"&amp;Tabela1[[#This Row],[SETOR]],BD!A:AF,13,0),"")</calculatedColumnFormula>
    </tableColumn>
    <tableColumn id="46" xr3:uid="{00000000-0010-0000-0000-00002E000000}" name="DPA MEDIA" dataDxfId="33" totalsRowDxfId="34">
      <calculatedColumnFormula>IFERROR(AVERAGE(Tabela1[[#This Row],[DPA]:[DPA 4]]),"")</calculatedColumnFormula>
    </tableColumn>
    <tableColumn id="47" xr3:uid="{00000000-0010-0000-0000-00002F000000}" name="DCLI" dataDxfId="31" totalsRowDxfId="32">
      <calculatedColumnFormula>IFERROR(VLOOKUP(Tabela1[[#This Row],[MÊS]]&amp;Tabela1[[#This Row],[ID]]&amp;Tabela1[[#This Row],[MATRICULA]]&amp;"Cliente"&amp;Tabela1[[#This Row],[SETOR]],BD!A:AF,13,0),"")</calculatedColumnFormula>
    </tableColumn>
    <tableColumn id="48" xr3:uid="{00000000-0010-0000-0000-000030000000}" name="DCLI 2" dataDxfId="29" totalsRowDxfId="30">
      <calculatedColumnFormula>IFERROR(VLOOKUP(Tabela1[[#This Row],[MÊS]]&amp;Tabela1[[#This Row],[ID]]&amp;Tabela1[[#This Row],[MATRICULA]]&amp;"cliente 2"&amp;Tabela1[[#This Row],[SETOR]],BD!A:AF,13,0),"")</calculatedColumnFormula>
    </tableColumn>
    <tableColumn id="71" xr3:uid="{00000000-0010-0000-0000-000047000000}" name="DCLI 3" dataDxfId="27" totalsRowDxfId="28">
      <calculatedColumnFormula>IFERROR(VLOOKUP(Tabela1[[#This Row],[MÊS]]&amp;Tabela1[[#This Row],[ID]]&amp;Tabela1[[#This Row],[MATRICULA]]&amp;"cliente 3"&amp;Tabela1[[#This Row],[SETOR]],BD!A:AF,13,0),"")</calculatedColumnFormula>
    </tableColumn>
    <tableColumn id="72" xr3:uid="{00000000-0010-0000-0000-000048000000}" name="DCLI 4" dataDxfId="25" totalsRowDxfId="26">
      <calculatedColumnFormula>IFERROR(VLOOKUP(Tabela1[[#This Row],[MÊS]]&amp;Tabela1[[#This Row],[ID]]&amp;Tabela1[[#This Row],[MATRICULA]]&amp;"cliente 4"&amp;Tabela1[[#This Row],[SETOR]],BD!A:AF,13,0),"")</calculatedColumnFormula>
    </tableColumn>
    <tableColumn id="49" xr3:uid="{00000000-0010-0000-0000-000031000000}" name="DCLI MEDIA" dataDxfId="23" totalsRowDxfId="24">
      <calculatedColumnFormula>IFERROR(AVERAGE(Tabela1[[#This Row],[DCLI]:[DCLI 4]]),"")</calculatedColumnFormula>
    </tableColumn>
    <tableColumn id="50" xr3:uid="{00000000-0010-0000-0000-000032000000}" name="DPOL1" dataDxfId="21" totalsRowDxfId="22">
      <calculatedColumnFormula>IFERROR(VLOOKUP(Tabela1[[#This Row],[MÊS]]&amp;Tabela1[[#This Row],[ID]]&amp;Tabela1[[#This Row],[MATRICULA]]&amp;"Policia"&amp;Tabela1[[#This Row],[SETOR]],BD!A:AF,13,0),"")</calculatedColumnFormula>
    </tableColumn>
    <tableColumn id="51" xr3:uid="{00000000-0010-0000-0000-000033000000}" name="DPOL2" dataDxfId="19" totalsRowDxfId="20">
      <calculatedColumnFormula>IFERROR(VLOOKUP(Tabela1[[#This Row],[MÊS]]&amp;Tabela1[[#This Row],[ID]]&amp;Tabela1[[#This Row],[MATRICULA]]&amp;"Policia 2"&amp;Tabela1[[#This Row],[SETOR]],BD!A:AF,13,0),"")</calculatedColumnFormula>
    </tableColumn>
    <tableColumn id="73" xr3:uid="{00000000-0010-0000-0000-000049000000}" name="DPOL3" dataDxfId="17" totalsRowDxfId="18"/>
    <tableColumn id="74" xr3:uid="{00000000-0010-0000-0000-00004A000000}" name="DPOL4" dataDxfId="15" totalsRowDxfId="16"/>
    <tableColumn id="52" xr3:uid="{00000000-0010-0000-0000-000034000000}" name="DPOL MÉDIA" dataDxfId="13" totalsRowDxfId="14">
      <calculatedColumnFormula>IFERROR((AVERAGE(Tabela1[[#This Row],[DPOL1]:[DPOL4]])),"")</calculatedColumnFormula>
    </tableColumn>
    <tableColumn id="53" xr3:uid="{00000000-0010-0000-0000-000035000000}" name="MANTID" dataDxfId="11" totalsRowDxfId="12">
      <calculatedColumnFormula>IFERROR(VLOOKUP(Tabela1[[#This Row],[ID]]&amp;Tabela1[[#This Row],[MÊS]]&amp;Tabela1[[#This Row],[MATRICULA]],#REF!,2,0),"")</calculatedColumnFormula>
    </tableColumn>
    <tableColumn id="54" xr3:uid="{00000000-0010-0000-0000-000036000000}" name="RETIFICADOS" dataDxfId="9" totalsRowDxfId="10">
      <calculatedColumnFormula>IFERROR(VLOOKUP(Tabela1[[#This Row],[ID]]&amp;Tabela1[[#This Row],[MÊS]]&amp;Tabela1[[#This Row],[MATRICULA]],#REF!,2,0),"")</calculatedColumnFormula>
    </tableColumn>
    <tableColumn id="81" xr3:uid="{00000000-0010-0000-0000-000051000000}" name="ARKANGEL" dataDxfId="7" totalsRowDxfId="8">
      <calculatedColumnFormula>IFERROR(VLOOKUP(Tabela1[[#This Row],[MÊS]]&amp;Tabela1[[#This Row],[MATRICULA]],#REF!,2,0),"")</calculatedColumnFormula>
    </tableColumn>
  </tableColumns>
  <tableStyleInfo name="TableStyleLight10" showFirstColumn="1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ela4" displayName="Tabela4" ref="A1:F403" totalsRowShown="0" headerRowDxfId="6">
  <autoFilter ref="A1:F403" xr:uid="{00000000-0009-0000-0100-000004000000}"/>
  <tableColumns count="6">
    <tableColumn id="1" xr3:uid="{00000000-0010-0000-0500-000001000000}" name="MAT." dataDxfId="5"/>
    <tableColumn id="3" xr3:uid="{00000000-0010-0000-0500-000003000000}" name="EQUIPE" dataDxfId="4"/>
    <tableColumn id="4" xr3:uid="{00000000-0010-0000-0500-000004000000}" name="SUPER" dataDxfId="3"/>
    <tableColumn id="5" xr3:uid="{00000000-0010-0000-0500-000005000000}" name="ADMISSÃO" dataDxfId="2"/>
    <tableColumn id="6" xr3:uid="{00000000-0010-0000-0500-000006000000}" name="SEXO" dataDxfId="1"/>
    <tableColumn id="7" xr3:uid="{00000000-0010-0000-0500-000007000000}" name="SITU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6">
    <tabColor rgb="FF00B050"/>
  </sheetPr>
  <dimension ref="A1:Z35"/>
  <sheetViews>
    <sheetView showGridLines="0" showZeros="0" topLeftCell="A8" zoomScale="70" zoomScaleNormal="70" workbookViewId="0">
      <selection activeCell="G6" sqref="G6"/>
    </sheetView>
  </sheetViews>
  <sheetFormatPr defaultColWidth="0" defaultRowHeight="14.45" zeroHeight="1"/>
  <cols>
    <col min="1" max="1" width="5.42578125" style="22" customWidth="1"/>
    <col min="2" max="6" width="5.42578125" style="24" customWidth="1"/>
    <col min="7" max="12" width="5.42578125" style="160" customWidth="1"/>
    <col min="13" max="25" width="9.42578125" style="160" customWidth="1"/>
    <col min="26" max="26" width="11.42578125" style="160" customWidth="1"/>
    <col min="27" max="16384" width="9.42578125" style="22" hidden="1"/>
  </cols>
  <sheetData>
    <row r="1" spans="1:26">
      <c r="A1" s="53"/>
      <c r="W1" s="22"/>
      <c r="X1" s="22"/>
      <c r="Y1" s="22"/>
      <c r="Z1" s="22"/>
    </row>
    <row r="2" spans="1:26" s="24" customFormat="1"/>
    <row r="3" spans="1:26" s="24" customFormat="1"/>
    <row r="4" spans="1:26" s="24" customFormat="1"/>
    <row r="5" spans="1:26" s="24" customFormat="1"/>
    <row r="6" spans="1:26"/>
    <row r="7" spans="1:26"/>
    <row r="8" spans="1:26"/>
    <row r="9" spans="1:26"/>
    <row r="10" spans="1:26"/>
    <row r="11" spans="1:26"/>
    <row r="12" spans="1:26"/>
    <row r="13" spans="1:26"/>
    <row r="14" spans="1:26"/>
    <row r="15" spans="1:26"/>
    <row r="16" spans="1:2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</sheetData>
  <mergeCells count="2">
    <mergeCell ref="G1:V1"/>
    <mergeCell ref="G6:Z104857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>
    <tabColor rgb="FF00B050"/>
  </sheetPr>
  <dimension ref="A1:AA45"/>
  <sheetViews>
    <sheetView showGridLines="0" tabSelected="1" zoomScale="85" zoomScaleNormal="85" workbookViewId="0">
      <selection activeCell="P5" sqref="P5:P7"/>
    </sheetView>
  </sheetViews>
  <sheetFormatPr defaultColWidth="0" defaultRowHeight="14.45" zeroHeight="1"/>
  <cols>
    <col min="1" max="1" width="1.5703125" style="10" customWidth="1"/>
    <col min="2" max="2" width="1.42578125" style="24" customWidth="1"/>
    <col min="3" max="3" width="28" customWidth="1"/>
    <col min="4" max="5" width="6.42578125" bestFit="1" customWidth="1"/>
    <col min="6" max="6" width="5.42578125" customWidth="1"/>
    <col min="7" max="7" width="10.28515625" customWidth="1"/>
    <col min="8" max="8" width="12.5703125" customWidth="1"/>
    <col min="9" max="9" width="12.42578125" customWidth="1"/>
    <col min="10" max="10" width="16.42578125" customWidth="1"/>
    <col min="11" max="11" width="2.42578125" bestFit="1" customWidth="1"/>
    <col min="12" max="12" width="5.5703125" customWidth="1"/>
    <col min="13" max="13" width="6.42578125" customWidth="1"/>
    <col min="14" max="14" width="4.42578125" customWidth="1"/>
    <col min="15" max="15" width="9.42578125" customWidth="1"/>
    <col min="16" max="18" width="11" customWidth="1"/>
    <col min="19" max="19" width="22" customWidth="1"/>
    <col min="20" max="22" width="11" customWidth="1"/>
    <col min="23" max="23" width="2.42578125" customWidth="1"/>
    <col min="24" max="16384" width="9.42578125" hidden="1"/>
  </cols>
  <sheetData>
    <row r="1" spans="1:27" ht="15.6">
      <c r="A1" s="66"/>
      <c r="B1" s="65"/>
      <c r="C1" s="55"/>
      <c r="D1" s="55"/>
      <c r="E1" s="55"/>
      <c r="F1" s="55"/>
      <c r="G1" s="56"/>
      <c r="H1" s="57"/>
      <c r="I1" s="57"/>
      <c r="J1" s="57"/>
      <c r="K1" s="57"/>
      <c r="L1" s="57"/>
      <c r="M1" s="57"/>
      <c r="N1" s="57"/>
      <c r="O1" s="57"/>
      <c r="P1" s="57"/>
      <c r="Q1" s="58"/>
      <c r="R1" s="57"/>
      <c r="S1" s="57"/>
      <c r="T1" s="57"/>
      <c r="U1" s="57"/>
      <c r="V1" s="57"/>
      <c r="W1" s="56"/>
    </row>
    <row r="2" spans="1:27" ht="35.25" customHeight="1" thickBot="1">
      <c r="A2" s="66" t="str">
        <f>D5</f>
        <v>Jan</v>
      </c>
      <c r="B2" s="78" t="s">
        <v>0</v>
      </c>
      <c r="C2" s="59"/>
      <c r="D2" s="59"/>
      <c r="E2" s="59"/>
      <c r="F2" s="59"/>
      <c r="G2" s="56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6"/>
      <c r="Y2" s="4"/>
      <c r="Z2" s="40"/>
      <c r="AA2" s="4"/>
    </row>
    <row r="3" spans="1:27" ht="15.6">
      <c r="A3" s="66">
        <f>H5</f>
        <v>11210</v>
      </c>
      <c r="B3" s="172" t="s">
        <v>1</v>
      </c>
      <c r="C3" s="172"/>
      <c r="D3" s="172"/>
      <c r="E3" s="172"/>
      <c r="F3" s="172"/>
      <c r="G3" s="56"/>
      <c r="H3" s="169" t="s">
        <v>2</v>
      </c>
      <c r="I3" s="170"/>
      <c r="J3" s="170"/>
      <c r="K3" s="170"/>
      <c r="L3" s="170"/>
      <c r="M3" s="170"/>
      <c r="N3" s="170"/>
      <c r="O3" s="171"/>
      <c r="P3" s="169" t="s">
        <v>3</v>
      </c>
      <c r="Q3" s="170"/>
      <c r="R3" s="170"/>
      <c r="S3" s="170"/>
      <c r="T3" s="170"/>
      <c r="U3" s="170"/>
      <c r="V3" s="171"/>
      <c r="W3" s="56"/>
      <c r="Y3" s="4"/>
      <c r="Z3" s="40"/>
      <c r="AA3" s="4"/>
    </row>
    <row r="4" spans="1:27" ht="15.75">
      <c r="A4" s="76" t="str">
        <f>B5</f>
        <v>Geovana Meurer</v>
      </c>
      <c r="B4" s="173" t="s">
        <v>4</v>
      </c>
      <c r="C4" s="173"/>
      <c r="D4" s="173" t="s">
        <v>5</v>
      </c>
      <c r="E4" s="173"/>
      <c r="F4" s="173"/>
      <c r="G4" s="56"/>
      <c r="H4" s="71" t="s">
        <v>6</v>
      </c>
      <c r="I4" s="198" t="s">
        <v>7</v>
      </c>
      <c r="J4" s="198"/>
      <c r="K4" s="198"/>
      <c r="L4" s="198" t="s">
        <v>8</v>
      </c>
      <c r="M4" s="198"/>
      <c r="N4" s="198"/>
      <c r="O4" s="72" t="s">
        <v>9</v>
      </c>
      <c r="P4" s="200" t="s">
        <v>10</v>
      </c>
      <c r="Q4" s="200"/>
      <c r="R4" s="200"/>
      <c r="S4" s="200"/>
      <c r="T4" s="199"/>
      <c r="U4" s="199"/>
      <c r="V4" s="73"/>
      <c r="W4" s="56"/>
      <c r="Y4" s="40"/>
      <c r="Z4" s="41"/>
      <c r="AA4" s="41"/>
    </row>
    <row r="5" spans="1:27" ht="16.5" customHeight="1">
      <c r="A5" s="66" t="str">
        <f>I9</f>
        <v>Motorista</v>
      </c>
      <c r="B5" s="197" t="s">
        <v>11</v>
      </c>
      <c r="C5" s="197"/>
      <c r="D5" s="202" t="s">
        <v>12</v>
      </c>
      <c r="E5" s="203"/>
      <c r="F5" s="204"/>
      <c r="G5" s="56"/>
      <c r="H5" s="240">
        <f>IFERROR(VLOOKUP($D$5&amp;$B$5&amp;F7,'Listagem dos op'!H:T,5,0),"")</f>
        <v>11210</v>
      </c>
      <c r="I5" s="188" t="str">
        <f>IFERROR(VLOOKUP($D$5&amp;$B$5&amp;F7,'Listagem dos op'!H:T,6,0),"")</f>
        <v xml:space="preserve">BRUNO  ROBERTO DA SILVA </v>
      </c>
      <c r="J5" s="189"/>
      <c r="K5" s="190"/>
      <c r="L5" s="208" t="str">
        <f>IFERROR(VLOOKUP($D$5&amp;$B$5&amp;F7,'Listagem dos op'!H:T,13,0),"")</f>
        <v>LOGÍSTICA</v>
      </c>
      <c r="M5" s="209"/>
      <c r="N5" s="210"/>
      <c r="O5" s="182" t="str">
        <f>IFERROR(VLOOKUP($D$5&amp;$B$5&amp;F7,'Listagem dos op'!H:T,10,0),"")</f>
        <v>ATIVO</v>
      </c>
      <c r="P5" s="176">
        <f>IFERROR(VLOOKUP($D$5&amp;$B$5&amp;F7,'Listagem dos op'!H:AG,20,0),"")</f>
        <v>9.6850000000000005</v>
      </c>
      <c r="Q5" s="179">
        <f>IFERROR(VLOOKUP($D$5&amp;$B$5&amp;F7,'Listagem dos op'!H:AG,21,0),"")</f>
        <v>9.6850000000000005</v>
      </c>
      <c r="R5" s="243" t="str">
        <f>IFERROR(VLOOKUP($D$5&amp;$B$5&amp;F7,'Listagem dos op'!H:AG,22,0),"")</f>
        <v/>
      </c>
      <c r="S5" s="244"/>
      <c r="T5" s="244"/>
      <c r="U5" s="244"/>
      <c r="V5" s="245"/>
      <c r="W5" s="56"/>
      <c r="Y5" s="40"/>
      <c r="Z5" s="41"/>
      <c r="AA5" s="41"/>
    </row>
    <row r="6" spans="1:27" ht="15.6" customHeight="1">
      <c r="A6" s="66">
        <f>K8</f>
        <v>1</v>
      </c>
      <c r="B6" s="197"/>
      <c r="C6" s="197"/>
      <c r="D6" s="205"/>
      <c r="E6" s="206"/>
      <c r="F6" s="207"/>
      <c r="G6" s="56"/>
      <c r="H6" s="241"/>
      <c r="I6" s="191"/>
      <c r="J6" s="192"/>
      <c r="K6" s="193"/>
      <c r="L6" s="211"/>
      <c r="M6" s="212"/>
      <c r="N6" s="213"/>
      <c r="O6" s="183"/>
      <c r="P6" s="177"/>
      <c r="Q6" s="180"/>
      <c r="R6" s="246"/>
      <c r="S6" s="247"/>
      <c r="T6" s="247"/>
      <c r="U6" s="247"/>
      <c r="V6" s="248"/>
      <c r="W6" s="56"/>
      <c r="Y6" s="40"/>
      <c r="Z6" s="41"/>
      <c r="AA6" s="41"/>
    </row>
    <row r="7" spans="1:27" ht="20.25" customHeight="1">
      <c r="A7" s="77" t="str">
        <f>H12</f>
        <v>Se Identificou? (Saudação: Bom dia/tarde/noite)</v>
      </c>
      <c r="B7" s="201" t="s">
        <v>13</v>
      </c>
      <c r="C7" s="201"/>
      <c r="D7" s="68" t="s">
        <v>14</v>
      </c>
      <c r="E7" s="69" t="s">
        <v>15</v>
      </c>
      <c r="F7" s="70">
        <v>16</v>
      </c>
      <c r="G7" s="60"/>
      <c r="H7" s="242"/>
      <c r="I7" s="194"/>
      <c r="J7" s="195"/>
      <c r="K7" s="196"/>
      <c r="L7" s="214"/>
      <c r="M7" s="215"/>
      <c r="N7" s="216"/>
      <c r="O7" s="184"/>
      <c r="P7" s="178"/>
      <c r="Q7" s="181"/>
      <c r="R7" s="249"/>
      <c r="S7" s="250"/>
      <c r="T7" s="250"/>
      <c r="U7" s="250"/>
      <c r="V7" s="251"/>
      <c r="W7" s="61"/>
      <c r="Y7" s="40"/>
      <c r="Z7" s="41"/>
      <c r="AA7" s="41"/>
    </row>
    <row r="8" spans="1:27" ht="20.25" customHeight="1">
      <c r="A8" s="66">
        <f>U12</f>
        <v>0</v>
      </c>
      <c r="B8" s="66">
        <v>1</v>
      </c>
      <c r="C8" s="62" t="str">
        <f>IFERROR(VLOOKUP($D$5&amp;$B$5&amp;B8,'Listagem dos op'!H:T,6,0),"")</f>
        <v>RAFFAELLA BARROZO DA SILVA</v>
      </c>
      <c r="D8" s="63" t="str">
        <f>IFERROR(VLOOKUP($D$5&amp;$B$5&amp;B8,'Listagem dos op'!H:T,7,0),"")</f>
        <v/>
      </c>
      <c r="E8" s="63" t="str">
        <f>IFERROR(VLOOKUP($D$5&amp;$B$5&amp;B8,'Listagem dos op'!H:T,8,0),"")</f>
        <v/>
      </c>
      <c r="F8" s="67"/>
      <c r="G8" s="56"/>
      <c r="H8" s="185" t="s">
        <v>16</v>
      </c>
      <c r="I8" s="186"/>
      <c r="J8" s="187"/>
      <c r="K8" s="75">
        <v>1</v>
      </c>
      <c r="L8" s="222">
        <f>IFERROR(VLOOKUP($D$5&amp;$H$5&amp;K8&amp;$L$5&amp;"PADRÃO",BD!B:AH,33,0),"")</f>
        <v>0</v>
      </c>
      <c r="M8" s="223"/>
      <c r="N8" s="223"/>
      <c r="O8" s="223"/>
      <c r="P8" s="223"/>
      <c r="Q8" s="223"/>
      <c r="R8" s="223"/>
      <c r="S8" s="223"/>
      <c r="T8" s="224"/>
      <c r="U8" s="231"/>
      <c r="V8" s="232"/>
      <c r="W8" s="56"/>
      <c r="Y8" s="4"/>
      <c r="Z8" s="40" t="s">
        <v>17</v>
      </c>
      <c r="AA8" s="4"/>
    </row>
    <row r="9" spans="1:27" ht="20.25" customHeight="1">
      <c r="A9" s="66" t="str">
        <f>H13</f>
        <v>Se Identificou? (Nome)</v>
      </c>
      <c r="B9" s="66">
        <v>2</v>
      </c>
      <c r="C9" s="62" t="str">
        <f>IFERROR(VLOOKUP($D$5&amp;$B$5&amp;B9,'Listagem dos op'!H:T,6,0),"")</f>
        <v>BRUNO PINHEIRO SILVA</v>
      </c>
      <c r="D9" s="63">
        <f>IFERROR(VLOOKUP($D$5&amp;$B$5&amp;B9,'Listagem dos op'!H:T,7,0),"")</f>
        <v>7.9</v>
      </c>
      <c r="E9" s="63" t="str">
        <f>IFERROR(VLOOKUP($D$5&amp;$B$5&amp;B9,'Listagem dos op'!H:T,8,0),"")</f>
        <v/>
      </c>
      <c r="F9" s="64"/>
      <c r="G9" s="56"/>
      <c r="H9" s="236">
        <f>IFERROR(VLOOKUP($D$5&amp;$H$5&amp;K8&amp;$L$5&amp;"PADRÃO",BD!B:AF,31,0),"")</f>
        <v>9.6850000000000005</v>
      </c>
      <c r="I9" s="238" t="str">
        <f>IFERROR(VLOOKUP($D$5&amp;$H$5&amp;K8&amp;$L$5&amp;"PADRÃO",BD!B:J,9,0),"")</f>
        <v>Motorista</v>
      </c>
      <c r="J9" s="174" t="str">
        <f>IFERROR(VLOOKUP($D$5&amp;$H$5&amp;K8&amp;$L$5&amp;"PADRÃO",BD!B:J,8,0),"")</f>
        <v>PARADA INDEVIDA (LOG)</v>
      </c>
      <c r="K9" s="175"/>
      <c r="L9" s="225"/>
      <c r="M9" s="226"/>
      <c r="N9" s="226"/>
      <c r="O9" s="226"/>
      <c r="P9" s="226"/>
      <c r="Q9" s="226"/>
      <c r="R9" s="226"/>
      <c r="S9" s="226"/>
      <c r="T9" s="227"/>
      <c r="U9" s="233"/>
      <c r="V9" s="234"/>
      <c r="W9" s="56"/>
      <c r="Y9" s="4"/>
      <c r="Z9" s="40" t="s">
        <v>18</v>
      </c>
      <c r="AA9" s="4"/>
    </row>
    <row r="10" spans="1:27" ht="20.25" customHeight="1">
      <c r="A10" s="66">
        <f>U13</f>
        <v>0</v>
      </c>
      <c r="B10" s="66">
        <v>3</v>
      </c>
      <c r="C10" s="62" t="str">
        <f>IFERROR(VLOOKUP($D$5&amp;$B$5&amp;B10,'Listagem dos op'!H:T,6,0),"")</f>
        <v/>
      </c>
      <c r="D10" s="63" t="str">
        <f>IFERROR(VLOOKUP($D$5&amp;$B$5&amp;B10,'Listagem dos op'!H:T,7,0),"")</f>
        <v/>
      </c>
      <c r="E10" s="63" t="str">
        <f>IFERROR(VLOOKUP($D$5&amp;$B$5&amp;B10,'Listagem dos op'!H:T,8,0),"")</f>
        <v/>
      </c>
      <c r="F10" s="64"/>
      <c r="G10" s="56"/>
      <c r="H10" s="237"/>
      <c r="I10" s="239"/>
      <c r="J10" s="217">
        <f>IFERROR(VLOOKUP($D$5&amp;$H$5&amp;K8&amp;$L$5&amp;"PADRÃO",BD!B:AF,11,0),"")</f>
        <v>0</v>
      </c>
      <c r="K10" s="218"/>
      <c r="L10" s="228"/>
      <c r="M10" s="229"/>
      <c r="N10" s="229"/>
      <c r="O10" s="229"/>
      <c r="P10" s="229"/>
      <c r="Q10" s="229"/>
      <c r="R10" s="229"/>
      <c r="S10" s="229"/>
      <c r="T10" s="230"/>
      <c r="U10" s="235"/>
      <c r="V10" s="207"/>
      <c r="W10" s="56"/>
      <c r="Y10" s="40">
        <v>1</v>
      </c>
      <c r="Z10" s="41" t="str">
        <f>IFERROR(VLOOKUP($D$5&amp;$H$5&amp;$I$9&amp;$L$5&amp;"",BD!A:AF,AA10,0),"")</f>
        <v>SIM</v>
      </c>
      <c r="AA10" s="41">
        <v>14</v>
      </c>
    </row>
    <row r="11" spans="1:27" ht="20.25" customHeight="1">
      <c r="A11" s="66" t="str">
        <f>H14</f>
        <v>Se Identificou? (Setor ou Empresa)</v>
      </c>
      <c r="B11" s="66">
        <v>4</v>
      </c>
      <c r="C11" s="62" t="str">
        <f>IFERROR(VLOOKUP($D$5&amp;$B$5&amp;B11,'Listagem dos op'!H:T,6,0),"")</f>
        <v>JOAO VITOR RIBEIRO</v>
      </c>
      <c r="D11" s="63" t="str">
        <f>IFERROR(VLOOKUP($D$5&amp;$B$5&amp;B11,'Listagem dos op'!H:T,7,0),"")</f>
        <v/>
      </c>
      <c r="E11" s="63">
        <f>IFERROR(VLOOKUP($D$5&amp;$B$5&amp;B11,'Listagem dos op'!H:T,8,0),"")</f>
        <v>10.000000000000002</v>
      </c>
      <c r="F11" s="64"/>
      <c r="G11" s="56"/>
      <c r="H11" s="219" t="s">
        <v>19</v>
      </c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1"/>
      <c r="W11" s="56"/>
      <c r="Y11" s="40">
        <v>2</v>
      </c>
      <c r="Z11" s="41" t="str">
        <f>IFERROR(VLOOKUP($D$5&amp;$H$5&amp;$I$9&amp;$L$5&amp;"",BD!A:AF,AA11,0),"")</f>
        <v>SIM</v>
      </c>
      <c r="AA11" s="41">
        <v>15</v>
      </c>
    </row>
    <row r="12" spans="1:27" ht="20.25" customHeight="1">
      <c r="A12" s="66">
        <f>U14</f>
        <v>0</v>
      </c>
      <c r="B12" s="66">
        <v>5</v>
      </c>
      <c r="C12" s="62" t="str">
        <f>IFERROR(VLOOKUP($D$5&amp;$B$5&amp;B12,'Listagem dos op'!H:T,6,0),"")</f>
        <v>TAYSSA DANIELE CARVALHO LIMA VERDE</v>
      </c>
      <c r="D12" s="63">
        <f>IFERROR(VLOOKUP($D$5&amp;$B$5&amp;B12,'Listagem dos op'!H:T,7,0),"")</f>
        <v>8.2937500000000011</v>
      </c>
      <c r="E12" s="63" t="str">
        <f>IFERROR(VLOOKUP($D$5&amp;$B$5&amp;B12,'Listagem dos op'!H:T,8,0),"")</f>
        <v/>
      </c>
      <c r="F12" s="64"/>
      <c r="G12" s="56"/>
      <c r="H12" s="252" t="str">
        <f>IFERROR(VLOOKUP($J$9&amp;$I$9&amp;"1",Pesos!$A:$I,5,FALSE),"")</f>
        <v>Se Identificou? (Saudação: Bom dia/tarde/noite)</v>
      </c>
      <c r="I12" s="253"/>
      <c r="J12" s="253"/>
      <c r="K12" s="253"/>
      <c r="L12" s="253"/>
      <c r="M12" s="253"/>
      <c r="N12" s="253"/>
      <c r="O12" s="253"/>
      <c r="P12" s="253"/>
      <c r="Q12" s="253"/>
      <c r="R12" s="253"/>
      <c r="S12" s="254"/>
      <c r="T12" s="74"/>
      <c r="U12" s="162"/>
      <c r="V12" s="163"/>
      <c r="W12" s="56"/>
      <c r="Y12" s="40">
        <v>3</v>
      </c>
      <c r="Z12" s="41" t="str">
        <f>IFERROR(VLOOKUP($D$5&amp;$H$5&amp;$I$9&amp;$L$5&amp;"",BD!A:AF,AA12,0),"")</f>
        <v>SIM</v>
      </c>
      <c r="AA12" s="41">
        <v>16</v>
      </c>
    </row>
    <row r="13" spans="1:27" ht="20.25" customHeight="1">
      <c r="A13" s="66" t="str">
        <f>H15</f>
        <v>Confirmou com quem está falando?</v>
      </c>
      <c r="B13" s="66">
        <v>6</v>
      </c>
      <c r="C13" s="62" t="str">
        <f>IFERROR(VLOOKUP($D$5&amp;$B$5&amp;B13,'Listagem dos op'!H:T,6,0),"")</f>
        <v>DAVID JOÃO CARDOSO</v>
      </c>
      <c r="D13" s="63" t="str">
        <f>IFERROR(VLOOKUP($D$5&amp;$B$5&amp;B13,'Listagem dos op'!H:T,7,0),"")</f>
        <v/>
      </c>
      <c r="E13" s="63" t="str">
        <f>IFERROR(VLOOKUP($D$5&amp;$B$5&amp;B13,'Listagem dos op'!H:T,8,0),"")</f>
        <v/>
      </c>
      <c r="F13" s="64"/>
      <c r="G13" s="56"/>
      <c r="H13" s="164" t="str">
        <f>IFERROR(VLOOKUP($J$9&amp;$I$9&amp;"2",Pesos!$A:$I,5,FALSE),"")</f>
        <v>Se Identificou? (Nome)</v>
      </c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6"/>
      <c r="T13" s="74"/>
      <c r="U13" s="162"/>
      <c r="V13" s="163"/>
      <c r="W13" s="56"/>
      <c r="Y13" s="40">
        <v>4</v>
      </c>
      <c r="Z13" s="41" t="str">
        <f>IFERROR(VLOOKUP($D$5&amp;$H$5&amp;$I$9&amp;$L$5&amp;"",BD!A:AF,AA13,0),"")</f>
        <v>SIM</v>
      </c>
      <c r="AA13" s="41">
        <v>17</v>
      </c>
    </row>
    <row r="14" spans="1:27" ht="20.25" customHeight="1">
      <c r="A14" s="66">
        <f>U15</f>
        <v>0</v>
      </c>
      <c r="B14" s="66">
        <v>7</v>
      </c>
      <c r="C14" s="62" t="str">
        <f>IFERROR(VLOOKUP($D$5&amp;$B$5&amp;B14,'Listagem dos op'!H:T,6,0),"")</f>
        <v>HELOISE VASCONCELOS CARDOSO</v>
      </c>
      <c r="D14" s="63" t="str">
        <f>IFERROR(VLOOKUP($D$5&amp;$B$5&amp;B14,'Listagem dos op'!H:T,7,0),"")</f>
        <v/>
      </c>
      <c r="E14" s="63">
        <f>IFERROR(VLOOKUP($D$5&amp;$B$5&amp;B14,'Listagem dos op'!H:T,8,0),"")</f>
        <v>10.000000000000002</v>
      </c>
      <c r="F14" s="64"/>
      <c r="G14" s="56"/>
      <c r="H14" s="164" t="str">
        <f>IFERROR(VLOOKUP($J$9&amp;$I$9&amp;"3",Pesos!$A:$I,5,FALSE),"")</f>
        <v>Se Identificou? (Setor ou Empresa)</v>
      </c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6"/>
      <c r="T14" s="74"/>
      <c r="U14" s="162"/>
      <c r="V14" s="163"/>
      <c r="W14" s="56"/>
      <c r="Y14" s="40">
        <v>5</v>
      </c>
      <c r="Z14" s="41" t="str">
        <f>IFERROR(VLOOKUP($D$5&amp;$H$5&amp;$I$9&amp;$L$5&amp;"",BD!A:AF,AA14,0),"")</f>
        <v>SIM</v>
      </c>
      <c r="AA14" s="41">
        <v>18</v>
      </c>
    </row>
    <row r="15" spans="1:27" ht="20.25" customHeight="1">
      <c r="A15" s="66" t="str">
        <f>H16</f>
        <v>Informou o motivo do contato?</v>
      </c>
      <c r="B15" s="66">
        <v>8</v>
      </c>
      <c r="C15" s="62" t="str">
        <f>IFERROR(VLOOKUP($D$5&amp;$B$5&amp;B15,'Listagem dos op'!H:T,6,0),"")</f>
        <v>JAMILLE SUELEM DE ALMEIDA</v>
      </c>
      <c r="D15" s="63">
        <f>IFERROR(VLOOKUP($D$5&amp;$B$5&amp;B15,'Listagem dos op'!H:T,7,0),"")</f>
        <v>8.11</v>
      </c>
      <c r="E15" s="63" t="str">
        <f>IFERROR(VLOOKUP($D$5&amp;$B$5&amp;B15,'Listagem dos op'!H:T,8,0),"")</f>
        <v/>
      </c>
      <c r="F15" s="64"/>
      <c r="G15" s="56"/>
      <c r="H15" s="164" t="str">
        <f>IFERROR(VLOOKUP($J$9&amp;$I$9&amp;"4",Pesos!$A:$I,5,FALSE),"")</f>
        <v>Confirmou com quem está falando?</v>
      </c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6"/>
      <c r="T15" s="74"/>
      <c r="U15" s="162"/>
      <c r="V15" s="163"/>
      <c r="W15" s="56"/>
      <c r="Y15" s="40">
        <v>6</v>
      </c>
      <c r="Z15" s="41" t="str">
        <f>IFERROR(VLOOKUP($D$5&amp;$H$5&amp;$I$9&amp;$L$5&amp;"",BD!A:AF,AA15,0),"")</f>
        <v>SIM</v>
      </c>
      <c r="AA15" s="41">
        <v>19</v>
      </c>
    </row>
    <row r="16" spans="1:27" ht="20.25" customHeight="1">
      <c r="A16" s="66">
        <f>U16</f>
        <v>0</v>
      </c>
      <c r="B16" s="66">
        <v>9</v>
      </c>
      <c r="C16" s="62" t="str">
        <f>IFERROR(VLOOKUP($D$5&amp;$B$5&amp;B16,'Listagem dos op'!H:T,6,0),"")</f>
        <v>BRYANN GOMES DA SILVA</v>
      </c>
      <c r="D16" s="63" t="str">
        <f>IFERROR(VLOOKUP($D$5&amp;$B$5&amp;B16,'Listagem dos op'!H:T,7,0),"")</f>
        <v/>
      </c>
      <c r="E16" s="63" t="str">
        <f>IFERROR(VLOOKUP($D$5&amp;$B$5&amp;B16,'Listagem dos op'!H:T,8,0),"")</f>
        <v/>
      </c>
      <c r="F16" s="64"/>
      <c r="G16" s="56"/>
      <c r="H16" s="164" t="str">
        <f>IFERROR(VLOOKUP($J$9&amp;$I$9&amp;"5",Pesos!$A:$I,5,FALSE),"")</f>
        <v>Informou o motivo do contato?</v>
      </c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6"/>
      <c r="T16" s="74"/>
      <c r="U16" s="162"/>
      <c r="V16" s="163"/>
      <c r="W16" s="56"/>
      <c r="Y16" s="40">
        <v>7</v>
      </c>
      <c r="Z16" s="41" t="str">
        <f>IFERROR(VLOOKUP($D$5&amp;$H$5&amp;$I$9&amp;$L$5&amp;"",BD!A:AF,AA16,0),"")</f>
        <v>SIM</v>
      </c>
      <c r="AA16" s="41">
        <v>20</v>
      </c>
    </row>
    <row r="17" spans="1:27" ht="20.25" customHeight="1">
      <c r="A17" s="66" t="str">
        <f>H17</f>
        <v>O operador confirmou o motivo pelo qual o motorista parou em local indevido?</v>
      </c>
      <c r="B17" s="66">
        <v>10</v>
      </c>
      <c r="C17" s="62" t="str">
        <f>IFERROR(VLOOKUP($D$5&amp;$B$5&amp;B17,'Listagem dos op'!H:T,6,0),"")</f>
        <v>CAMILA FLORINDO REINERT</v>
      </c>
      <c r="D17" s="63" t="str">
        <f>IFERROR(VLOOKUP($D$5&amp;$B$5&amp;B17,'Listagem dos op'!H:T,7,0),"")</f>
        <v/>
      </c>
      <c r="E17" s="63" t="str">
        <f>IFERROR(VLOOKUP($D$5&amp;$B$5&amp;B17,'Listagem dos op'!H:T,8,0),"")</f>
        <v/>
      </c>
      <c r="F17" s="64"/>
      <c r="G17" s="56"/>
      <c r="H17" s="164" t="str">
        <f>IFERROR(VLOOKUP($J$9&amp;$I$9&amp;"6",Pesos!$A:$I,5,FALSE),"")</f>
        <v>O operador confirmou o motivo pelo qual o motorista parou em local indevido?</v>
      </c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6"/>
      <c r="T17" s="74"/>
      <c r="U17" s="162"/>
      <c r="V17" s="163"/>
      <c r="W17" s="56"/>
      <c r="Y17" s="40">
        <v>8</v>
      </c>
      <c r="Z17" s="41" t="str">
        <f>IFERROR(VLOOKUP($D$5&amp;$H$5&amp;$I$9&amp;$L$5&amp;"",BD!A:AF,AA17,0),"")</f>
        <v>SIM</v>
      </c>
      <c r="AA17" s="41">
        <v>21</v>
      </c>
    </row>
    <row r="18" spans="1:27" ht="20.25" customHeight="1">
      <c r="A18" s="66">
        <f>U17</f>
        <v>0</v>
      </c>
      <c r="B18" s="66">
        <v>11</v>
      </c>
      <c r="C18" s="62" t="str">
        <f>IFERROR(VLOOKUP($D$5&amp;$B$5&amp;B18,'Listagem dos op'!H:T,6,0),"")</f>
        <v>ERIKA DA SILVA</v>
      </c>
      <c r="D18" s="63">
        <f>IFERROR(VLOOKUP($D$5&amp;$B$5&amp;B18,'Listagem dos op'!H:T,7,0),"")</f>
        <v>8.5300000000000011</v>
      </c>
      <c r="E18" s="63" t="str">
        <f>IFERROR(VLOOKUP($D$5&amp;$B$5&amp;B18,'Listagem dos op'!H:T,8,0),"")</f>
        <v/>
      </c>
      <c r="F18" s="64"/>
      <c r="G18" s="56"/>
      <c r="H18" s="164" t="str">
        <f>IFERROR(VLOOKUP($J$9&amp;$I$9&amp;"7",Pesos!$A:$I,5,FALSE),"")</f>
        <v>O operador orientou o motorista a realizar paradas somente em locais homologados?</v>
      </c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6"/>
      <c r="T18" s="74"/>
      <c r="U18" s="162"/>
      <c r="V18" s="163"/>
      <c r="W18" s="56"/>
      <c r="Y18" s="40">
        <v>9</v>
      </c>
      <c r="Z18" s="41" t="str">
        <f>IFERROR(VLOOKUP($D$5&amp;$H$5&amp;$I$9&amp;$L$5&amp;"",BD!A:AF,AA18,0),"")</f>
        <v>SIM</v>
      </c>
      <c r="AA18" s="41">
        <v>22</v>
      </c>
    </row>
    <row r="19" spans="1:27" ht="20.25" customHeight="1">
      <c r="A19" s="66" t="str">
        <f>H18</f>
        <v>O operador orientou o motorista a realizar paradas somente em locais homologados?</v>
      </c>
      <c r="B19" s="66">
        <v>12</v>
      </c>
      <c r="C19" s="62" t="str">
        <f>IFERROR(VLOOKUP($D$5&amp;$B$5&amp;B19,'Listagem dos op'!H:T,6,0),"")</f>
        <v>ISIS GABRIELY TEODORO</v>
      </c>
      <c r="D19" s="63">
        <f>IFERROR(VLOOKUP($D$5&amp;$B$5&amp;B19,'Listagem dos op'!H:T,7,0),"")</f>
        <v>0</v>
      </c>
      <c r="E19" s="63" t="str">
        <f>IFERROR(VLOOKUP($D$5&amp;$B$5&amp;B19,'Listagem dos op'!H:T,8,0),"")</f>
        <v/>
      </c>
      <c r="F19" s="64"/>
      <c r="G19" s="56"/>
      <c r="H19" s="164" t="str">
        <f>IFERROR(VLOOKUP($J$9&amp;$I$9&amp;"8",Pesos!$A:$I,5,FALSE),"")</f>
        <v>Realizou a despedida padrão com cordialidade?</v>
      </c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6"/>
      <c r="T19" s="74"/>
      <c r="U19" s="162"/>
      <c r="V19" s="163"/>
      <c r="W19" s="56"/>
      <c r="Y19" s="40">
        <v>10</v>
      </c>
      <c r="Z19" s="41" t="str">
        <f>IFERROR(VLOOKUP($D$5&amp;$H$5&amp;$I$9&amp;$L$5&amp;"",BD!A:AF,AA19,0),"")</f>
        <v>SIM</v>
      </c>
      <c r="AA19" s="41">
        <v>23</v>
      </c>
    </row>
    <row r="20" spans="1:27" ht="20.25" customHeight="1">
      <c r="A20" s="66">
        <f>U18</f>
        <v>0</v>
      </c>
      <c r="B20" s="66">
        <v>13</v>
      </c>
      <c r="C20" s="62" t="str">
        <f>IFERROR(VLOOKUP($D$5&amp;$B$5&amp;B20,'Listagem dos op'!H:T,6,0),"")</f>
        <v>MILENA HOFFMANN</v>
      </c>
      <c r="D20" s="63">
        <f>IFERROR(VLOOKUP($D$5&amp;$B$5&amp;B20,'Listagem dos op'!H:T,7,0),"")</f>
        <v>9.2125000000000021</v>
      </c>
      <c r="E20" s="63" t="str">
        <f>IFERROR(VLOOKUP($D$5&amp;$B$5&amp;B20,'Listagem dos op'!H:T,8,0),"")</f>
        <v/>
      </c>
      <c r="F20" s="64"/>
      <c r="G20" s="56"/>
      <c r="H20" s="164" t="str">
        <f>IFERROR(VLOOKUP($J$9&amp;$I$9&amp;"9",Pesos!$A:$I,5,FALSE),"")</f>
        <v>Utilizou a função mudo corretamente para evitar ruídos externos?</v>
      </c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6"/>
      <c r="T20" s="74"/>
      <c r="U20" s="162"/>
      <c r="V20" s="163"/>
      <c r="W20" s="56"/>
      <c r="Y20" s="40">
        <v>11</v>
      </c>
      <c r="Z20" s="41" t="str">
        <f>IFERROR(VLOOKUP($D$5&amp;$H$5&amp;$I$9&amp;$L$5&amp;"",BD!A:AF,AA20,0),"")</f>
        <v>SIM</v>
      </c>
      <c r="AA20" s="41">
        <v>24</v>
      </c>
    </row>
    <row r="21" spans="1:27" ht="20.25" customHeight="1">
      <c r="A21" s="66" t="str">
        <f>H19</f>
        <v>Realizou a despedida padrão com cordialidade?</v>
      </c>
      <c r="B21" s="66">
        <v>14</v>
      </c>
      <c r="C21" s="62" t="str">
        <f>IFERROR(VLOOKUP($D$5&amp;$B$5&amp;B21,'Listagem dos op'!H:T,6,0),"")</f>
        <v xml:space="preserve">AGATA LAIS SILVEIRA </v>
      </c>
      <c r="D21" s="63" t="str">
        <f>IFERROR(VLOOKUP($D$5&amp;$B$5&amp;B21,'Listagem dos op'!H:T,7,0),"")</f>
        <v/>
      </c>
      <c r="E21" s="63" t="str">
        <f>IFERROR(VLOOKUP($D$5&amp;$B$5&amp;B21,'Listagem dos op'!H:T,8,0),"")</f>
        <v/>
      </c>
      <c r="F21" s="64"/>
      <c r="G21" s="56"/>
      <c r="H21" s="164" t="str">
        <f>IFERROR(VLOOKUP($J$9&amp;$I$9&amp;"10",Pesos!$A:$I,5,FALSE),"")</f>
        <v>Evitou silêncios prolongados (mais de 45 segundos sem interação)?</v>
      </c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6"/>
      <c r="T21" s="74"/>
      <c r="U21" s="162"/>
      <c r="V21" s="163"/>
      <c r="W21" s="56"/>
      <c r="Y21" s="40">
        <v>12</v>
      </c>
      <c r="Z21" s="41" t="str">
        <f>IFERROR(VLOOKUP($D$5&amp;$H$5&amp;$I$9&amp;$L$5&amp;"",BD!A:AF,AA21,0),"")</f>
        <v>NÃO</v>
      </c>
      <c r="AA21" s="41">
        <v>25</v>
      </c>
    </row>
    <row r="22" spans="1:27" ht="20.25" customHeight="1">
      <c r="A22" s="66">
        <f>U19</f>
        <v>0</v>
      </c>
      <c r="B22" s="66">
        <v>15</v>
      </c>
      <c r="C22" s="62" t="str">
        <f>IFERROR(VLOOKUP($D$5&amp;$B$5&amp;B22,'Listagem dos op'!H:T,6,0),"")</f>
        <v>JOSIMARI CORREA DA SILVA</v>
      </c>
      <c r="D22" s="63">
        <f>IFERROR(VLOOKUP($D$5&amp;$B$5&amp;B22,'Listagem dos op'!H:T,7,0),"")</f>
        <v>9.6850000000000005</v>
      </c>
      <c r="E22" s="63" t="str">
        <f>IFERROR(VLOOKUP($D$5&amp;$B$5&amp;B22,'Listagem dos op'!H:T,8,0),"")</f>
        <v/>
      </c>
      <c r="F22" s="64"/>
      <c r="G22" s="56"/>
      <c r="H22" s="164" t="str">
        <f>IFERROR(VLOOKUP($J$9&amp;$I$9&amp;"11",Pesos!$A:$I,5,FALSE),"")</f>
        <v>Após a resolução do alerta, finalizou corretamente a ligação sem reter a linha desnecessariamente (10s)?</v>
      </c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6"/>
      <c r="T22" s="74"/>
      <c r="U22" s="162"/>
      <c r="V22" s="163"/>
      <c r="W22" s="56"/>
      <c r="Y22" s="40">
        <v>13</v>
      </c>
      <c r="Z22" s="41" t="str">
        <f>IFERROR(VLOOKUP($D$5&amp;$H$5&amp;$I$9&amp;$L$5&amp;"",BD!A:AF,AA22,0),"")</f>
        <v>SIM</v>
      </c>
      <c r="AA22" s="41">
        <v>26</v>
      </c>
    </row>
    <row r="23" spans="1:27" ht="20.25" customHeight="1">
      <c r="A23" s="66" t="str">
        <f>H20</f>
        <v>Utilizou a função mudo corretamente para evitar ruídos externos?</v>
      </c>
      <c r="B23" s="66">
        <v>16</v>
      </c>
      <c r="C23" s="62" t="s">
        <v>20</v>
      </c>
      <c r="D23" s="63">
        <f>IFERROR(VLOOKUP($D$5&amp;$B$5&amp;B23,'Listagem dos op'!H:T,7,0),"")</f>
        <v>9.6850000000000005</v>
      </c>
      <c r="E23" s="63" t="str">
        <f>IFERROR(VLOOKUP($D$5&amp;$B$5&amp;B23,'Listagem dos op'!H:T,8,0),"")</f>
        <v/>
      </c>
      <c r="F23" s="64"/>
      <c r="G23" s="56"/>
      <c r="H23" s="164" t="str">
        <f>IFERROR(VLOOKUP($J$9&amp;$I$9&amp;"12",Pesos!$A:$I,5,FALSE),"")</f>
        <v>O operador realizou a qualificação do atendimento corretamente</v>
      </c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6"/>
      <c r="T23" s="74"/>
      <c r="U23" s="162"/>
      <c r="V23" s="163"/>
      <c r="W23" s="56"/>
      <c r="Y23" s="40">
        <v>14</v>
      </c>
      <c r="Z23" s="41">
        <f>IFERROR(VLOOKUP($D$5&amp;$H$5&amp;$I$9&amp;$L$5&amp;"",BD!A:AF,AA23,0),"")</f>
        <v>0</v>
      </c>
      <c r="AA23" s="41">
        <v>27</v>
      </c>
    </row>
    <row r="24" spans="1:27" ht="20.25" customHeight="1">
      <c r="A24" s="66">
        <f>U20</f>
        <v>0</v>
      </c>
      <c r="B24" s="66">
        <v>17</v>
      </c>
      <c r="C24" s="62" t="str">
        <f>IFERROR(VLOOKUP($D$5&amp;$B$5&amp;B24,'Listagem dos op'!H:T,6,0),"")</f>
        <v>SWELLEM ALMEIDA DA SILVA</v>
      </c>
      <c r="D24" s="63" t="str">
        <f>IFERROR(VLOOKUP($D$5&amp;$B$5&amp;B24,'Listagem dos op'!H:T,7,0),"")</f>
        <v/>
      </c>
      <c r="E24" s="63">
        <f>IFERROR(VLOOKUP($D$5&amp;$B$5&amp;B24,'Listagem dos op'!H:T,8,0),"")</f>
        <v>10.000000000000002</v>
      </c>
      <c r="F24" s="64"/>
      <c r="G24" s="56"/>
      <c r="H24" s="164" t="str">
        <f>IFERROR(VLOOKUP($J$9&amp;$I$9&amp;"13",Pesos!$A:$I,5,FALSE),"")</f>
        <v>O volume de voz, entonação e condução da chamada transmitiram credibilidade e cordialidade, sem excesso de girias?</v>
      </c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6"/>
      <c r="T24" s="74"/>
      <c r="U24" s="162"/>
      <c r="V24" s="163"/>
      <c r="W24" s="56"/>
      <c r="Y24" s="40">
        <v>15</v>
      </c>
      <c r="Z24" s="41">
        <f>IFERROR(VLOOKUP($D$5&amp;$H$5&amp;$I$9&amp;$L$5&amp;"",BD!A:AF,AA24,0),"")</f>
        <v>0</v>
      </c>
      <c r="AA24" s="41">
        <v>28</v>
      </c>
    </row>
    <row r="25" spans="1:27" ht="20.25" customHeight="1">
      <c r="A25" s="66" t="str">
        <f>H21</f>
        <v>Evitou silêncios prolongados (mais de 45 segundos sem interação)?</v>
      </c>
      <c r="B25" s="66">
        <v>18</v>
      </c>
      <c r="C25" s="62" t="str">
        <f>IFERROR(VLOOKUP($D$5&amp;$B$5&amp;B25,'Listagem dos op'!H:T,6,0),"")</f>
        <v>RAYSSA LUISA DA SILVA</v>
      </c>
      <c r="D25" s="63">
        <f>IFERROR(VLOOKUP($D$5&amp;$B$5&amp;B25,'Listagem dos op'!H:T,7,0),"")</f>
        <v>8.2255000000000003</v>
      </c>
      <c r="E25" s="63" t="str">
        <f>IFERROR(VLOOKUP($D$5&amp;$B$5&amp;B25,'Listagem dos op'!H:T,8,0),"")</f>
        <v/>
      </c>
      <c r="F25" s="64"/>
      <c r="G25" s="56"/>
      <c r="H25" s="164" t="str">
        <f>IFERROR(VLOOKUP($J$9&amp;$I$9&amp;"14",Pesos!$A:$I,5,FALSE),"")</f>
        <v/>
      </c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6"/>
      <c r="T25" s="74"/>
      <c r="U25" s="162"/>
      <c r="V25" s="163"/>
      <c r="W25" s="56"/>
      <c r="Y25" s="40">
        <v>16</v>
      </c>
      <c r="Z25" s="41">
        <f>IFERROR(VLOOKUP($D$5&amp;$H$5&amp;$I$9&amp;$L$5&amp;"",BD!A:AF,AA25,0),"")</f>
        <v>0</v>
      </c>
      <c r="AA25" s="41">
        <v>29</v>
      </c>
    </row>
    <row r="26" spans="1:27" ht="20.25" hidden="1" customHeight="1">
      <c r="A26" s="66">
        <f>U21</f>
        <v>0</v>
      </c>
      <c r="B26" s="66">
        <v>19</v>
      </c>
      <c r="C26" s="62" t="str">
        <f>IFERROR(VLOOKUP($D$5&amp;$B$5&amp;B26,'Listagem dos op'!H:T,6,0),"")</f>
        <v>BRUNO FELIPE DE MIRA CORREA</v>
      </c>
      <c r="D26" s="63" t="str">
        <f>IFERROR(VLOOKUP($D$5&amp;$B$5&amp;B26,'Listagem dos op'!H:T,7,0),"")</f>
        <v/>
      </c>
      <c r="E26" s="63" t="str">
        <f>IFERROR(VLOOKUP($D$5&amp;$B$5&amp;B26,'Listagem dos op'!H:T,8,0),"")</f>
        <v/>
      </c>
      <c r="F26" s="64"/>
      <c r="G26" s="56"/>
      <c r="H26" s="164" t="str">
        <f>IFERROR(VLOOKUP($J$9&amp;$I$9&amp;"15",Pesos!$A:$I,5,FALSE),"")</f>
        <v/>
      </c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6"/>
      <c r="T26" s="74"/>
      <c r="U26" s="162"/>
      <c r="V26" s="163"/>
      <c r="W26" s="56"/>
      <c r="Y26" s="40">
        <v>17</v>
      </c>
      <c r="Z26" s="41">
        <f>IFERROR(VLOOKUP($D$5&amp;$H$5&amp;$I$9&amp;$L$5&amp;"",BD!A:AF,AA26,0),"")</f>
        <v>0</v>
      </c>
      <c r="AA26" s="41">
        <v>30</v>
      </c>
    </row>
    <row r="27" spans="1:27" ht="20.25" hidden="1" customHeight="1">
      <c r="A27" s="66" t="str">
        <f>H22</f>
        <v>Após a resolução do alerta, finalizou corretamente a ligação sem reter a linha desnecessariamente (10s)?</v>
      </c>
      <c r="B27" s="66">
        <v>20</v>
      </c>
      <c r="C27" s="62" t="str">
        <f>IFERROR(VLOOKUP($D$5&amp;$B$5&amp;B27,'Listagem dos op'!H:T,6,0),"")</f>
        <v>THAIS DE SOUSA LOPES</v>
      </c>
      <c r="D27" s="63">
        <f>IFERROR(VLOOKUP($D$5&amp;$B$5&amp;B27,'Listagem dos op'!H:T,7,0),"")</f>
        <v>9.8425000000000011</v>
      </c>
      <c r="E27" s="63" t="str">
        <f>IFERROR(VLOOKUP($D$5&amp;$B$5&amp;B27,'Listagem dos op'!H:T,8,0),"")</f>
        <v/>
      </c>
      <c r="F27" s="64"/>
      <c r="G27" s="56"/>
      <c r="H27" s="164" t="str">
        <f>IFERROR(VLOOKUP($J$9&amp;$I$9&amp;"16",Pesos!$A:$I,5,FALSE),"")</f>
        <v/>
      </c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6"/>
      <c r="T27" s="74"/>
      <c r="U27" s="162"/>
      <c r="V27" s="163"/>
      <c r="W27" s="56"/>
      <c r="Y27" s="40">
        <v>18</v>
      </c>
      <c r="Z27" s="41">
        <f>IFERROR(VLOOKUP($D$5&amp;$H$5&amp;$I$9&amp;$L$5&amp;"",BD!A:AF,AA27,0),"")</f>
        <v>0</v>
      </c>
      <c r="AA27" s="41">
        <v>31</v>
      </c>
    </row>
    <row r="28" spans="1:27" ht="20.25" hidden="1" customHeight="1">
      <c r="A28" s="66">
        <f>U22</f>
        <v>0</v>
      </c>
      <c r="B28" s="66">
        <v>21</v>
      </c>
      <c r="C28" s="62" t="str">
        <f>IFERROR(VLOOKUP($D$5&amp;$B$5&amp;B28,'Listagem dos op'!H:T,6,0),"")</f>
        <v>VINICIUS SCHEEL FONTES</v>
      </c>
      <c r="D28" s="63">
        <f>IFERROR(VLOOKUP($D$5&amp;$B$5&amp;B28,'Listagem dos op'!H:T,7,0),"")</f>
        <v>8.8292500000000018</v>
      </c>
      <c r="E28" s="63" t="str">
        <f>IFERROR(VLOOKUP($D$5&amp;$B$5&amp;B28,'Listagem dos op'!H:T,8,0),"")</f>
        <v/>
      </c>
      <c r="F28" s="64"/>
      <c r="G28" s="56"/>
      <c r="H28" s="164" t="str">
        <f>IFERROR(VLOOKUP($J$9&amp;$I$9&amp;"17",Pesos!$A:$I,5,FALSE),"")</f>
        <v/>
      </c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6"/>
      <c r="T28" s="74"/>
      <c r="U28" s="162"/>
      <c r="V28" s="163"/>
      <c r="W28" s="56"/>
      <c r="Y28" s="40"/>
      <c r="Z28" s="41" t="str">
        <f>IFERROR(VLOOKUP($D$5&amp;$H$5&amp;$I$9&amp;$L$5&amp;"",BD!A:AF,AA28,0),"")</f>
        <v/>
      </c>
      <c r="AA28" s="41"/>
    </row>
    <row r="29" spans="1:27" ht="20.25" customHeight="1">
      <c r="A29" s="66" t="str">
        <f>H23</f>
        <v>O operador realizou a qualificação do atendimento corretamente</v>
      </c>
      <c r="B29" s="66">
        <v>22</v>
      </c>
      <c r="C29" s="62" t="str">
        <f>IFERROR(VLOOKUP($D$5&amp;$B$5&amp;B29,'Listagem dos op'!H:T,6,0),"")</f>
        <v>GABRIEL CACHOEIRA MORAES</v>
      </c>
      <c r="D29" s="63" t="str">
        <f>IFERROR(VLOOKUP($D$5&amp;$B$5&amp;B29,'Listagem dos op'!H:T,7,0),"")</f>
        <v/>
      </c>
      <c r="E29" s="63">
        <f>IFERROR(VLOOKUP($D$5&amp;$B$5&amp;B29,'Listagem dos op'!H:T,8,0),"")</f>
        <v>10.000000000000002</v>
      </c>
      <c r="F29" s="64"/>
      <c r="G29" s="56"/>
      <c r="H29" s="164" t="str">
        <f>IFERROR(VLOOKUP($J$9&amp;$I$9&amp;"18",Pesos!$A:$I,5,FALSE),"")</f>
        <v/>
      </c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166"/>
      <c r="T29" s="74"/>
      <c r="U29" s="162"/>
      <c r="V29" s="163"/>
      <c r="W29" s="56"/>
    </row>
    <row r="30" spans="1:27" ht="20.25" customHeight="1">
      <c r="A30" s="66">
        <f>U23</f>
        <v>0</v>
      </c>
      <c r="B30" s="66">
        <v>23</v>
      </c>
      <c r="C30" s="62" t="str">
        <f>IFERROR(VLOOKUP($D$5&amp;$B$5&amp;B30,'Listagem dos op'!H:T,6,0),"")</f>
        <v>HENRIQUE SCHIODINI CORREA</v>
      </c>
      <c r="D30" s="63">
        <f>IFERROR(VLOOKUP($D$5&amp;$B$5&amp;B30,'Listagem dos op'!H:T,7,0),"")</f>
        <v>9.6850000000000005</v>
      </c>
      <c r="E30" s="63" t="str">
        <f>IFERROR(VLOOKUP($D$5&amp;$B$5&amp;B30,'Listagem dos op'!H:T,8,0),"")</f>
        <v/>
      </c>
      <c r="F30" s="64"/>
      <c r="G30" s="56"/>
      <c r="H30" s="161" t="s">
        <v>21</v>
      </c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29"/>
      <c r="V30" s="129"/>
      <c r="W30" s="56"/>
    </row>
    <row r="31" spans="1:27" ht="21" customHeight="1">
      <c r="A31" s="66" t="str">
        <f>H24</f>
        <v>O volume de voz, entonação e condução da chamada transmitiram credibilidade e cordialidade, sem excesso de girias?</v>
      </c>
      <c r="B31" s="66">
        <v>24</v>
      </c>
      <c r="C31" s="62" t="str">
        <f>IFERROR(VLOOKUP($D$5&amp;$B$5&amp;B31,'Listagem dos op'!H:T,6,0),"")</f>
        <v>MATHEUS AUGUSTO DE ABREU</v>
      </c>
      <c r="D31" s="63" t="str">
        <f>IFERROR(VLOOKUP($D$5&amp;$B$5&amp;B31,'Listagem dos op'!H:T,7,0),"")</f>
        <v/>
      </c>
      <c r="E31" s="63">
        <f>IFERROR(VLOOKUP($D$5&amp;$B$5&amp;B31,'Listagem dos op'!H:T,8,0),"")</f>
        <v>10.000000000000002</v>
      </c>
      <c r="F31" s="64"/>
      <c r="G31" s="56"/>
      <c r="H31" s="167">
        <f>IFERROR(VLOOKUP($D$5&amp;$H$5&amp;K8&amp;$L$5&amp;"PADRÃO",BD!B:AG,32,0),"")</f>
        <v>0</v>
      </c>
      <c r="I31" s="167"/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2"/>
      <c r="V31" s="163"/>
      <c r="W31" s="56"/>
    </row>
    <row r="32" spans="1:27" ht="21" customHeight="1">
      <c r="A32" s="66">
        <f>U24</f>
        <v>0</v>
      </c>
      <c r="B32" s="66">
        <v>25</v>
      </c>
      <c r="C32" s="62" t="str">
        <f>IFERROR(VLOOKUP($D$5&amp;$B$5&amp;B32,'Listagem dos op'!H:T,6,0),"")</f>
        <v/>
      </c>
      <c r="D32" s="63" t="str">
        <f>IFERROR(VLOOKUP($D$5&amp;$B$5&amp;B32,'Listagem dos op'!H:T,7,0),"")</f>
        <v/>
      </c>
      <c r="E32" s="63" t="str">
        <f>IFERROR(VLOOKUP($D$5&amp;$B$5&amp;B32,'Listagem dos op'!H:T,8,0),"")</f>
        <v/>
      </c>
      <c r="F32" s="64"/>
      <c r="G32" s="56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57"/>
      <c r="V32" s="57"/>
      <c r="W32" s="56"/>
    </row>
    <row r="33" spans="1:23" ht="23.25" customHeight="1">
      <c r="A33" s="66" t="str">
        <f>H25</f>
        <v/>
      </c>
      <c r="B33" s="66">
        <v>26</v>
      </c>
      <c r="C33" s="62" t="str">
        <f>IFERROR(VLOOKUP($D$5&amp;$B$5&amp;B33,'Listagem dos op'!H:T,6,0),"")</f>
        <v/>
      </c>
      <c r="D33" s="63" t="str">
        <f>IFERROR(VLOOKUP($D$5&amp;$B$5&amp;B33,'Listagem dos op'!H:T,7,0),"")</f>
        <v/>
      </c>
      <c r="E33" s="63" t="str">
        <f>IFERROR(VLOOKUP($D$5&amp;$B$5&amp;B33,'Listagem dos op'!H:T,8,0),"")</f>
        <v/>
      </c>
      <c r="F33" s="64"/>
      <c r="G33" s="56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56"/>
    </row>
    <row r="34" spans="1:23" ht="23.25" customHeight="1">
      <c r="A34" s="66">
        <f>U25</f>
        <v>0</v>
      </c>
      <c r="B34" s="66">
        <v>27</v>
      </c>
      <c r="C34" s="62" t="str">
        <f>IFERROR(VLOOKUP($D$5&amp;$B$5&amp;B34,'Listagem dos op'!H:T,6,0),"")</f>
        <v/>
      </c>
      <c r="D34" s="63" t="str">
        <f>IFERROR(VLOOKUP($D$5&amp;$B$5&amp;B34,'Listagem dos op'!H:T,7,0),"")</f>
        <v/>
      </c>
      <c r="E34" s="63" t="str">
        <f>IFERROR(VLOOKUP($D$5&amp;$B$5&amp;B34,'Listagem dos op'!H:T,8,0),"")</f>
        <v/>
      </c>
      <c r="F34" s="64"/>
      <c r="G34" s="56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56"/>
    </row>
    <row r="35" spans="1:23" ht="23.25" customHeight="1">
      <c r="A35" s="66" t="str">
        <f>H26</f>
        <v/>
      </c>
      <c r="B35" s="66">
        <v>28</v>
      </c>
      <c r="C35" s="62" t="str">
        <f>IFERROR(VLOOKUP($D$5&amp;$B$5&amp;B35,'Listagem dos op'!H:T,6,0),"")</f>
        <v/>
      </c>
      <c r="D35" s="63" t="str">
        <f>IFERROR(VLOOKUP($D$5&amp;$B$5&amp;B35,'Listagem dos op'!H:T,7,0),"")</f>
        <v/>
      </c>
      <c r="E35" s="63" t="str">
        <f>IFERROR(VLOOKUP($D$5&amp;$B$5&amp;B35,'Listagem dos op'!H:T,8,0),"")</f>
        <v/>
      </c>
      <c r="F35" s="64"/>
      <c r="G35" s="56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56"/>
    </row>
    <row r="36" spans="1:23" ht="23.25" customHeight="1">
      <c r="A36" s="66">
        <f>U26</f>
        <v>0</v>
      </c>
      <c r="B36" s="66">
        <v>29</v>
      </c>
      <c r="C36" s="62" t="str">
        <f>IFERROR(VLOOKUP($D$5&amp;$B$5&amp;B36,'Listagem dos op'!H:T,6,0),"")</f>
        <v/>
      </c>
      <c r="D36" s="63" t="str">
        <f>IFERROR(VLOOKUP($D$5&amp;$B$5&amp;B36,'Listagem dos op'!H:T,7,0),"")</f>
        <v/>
      </c>
      <c r="E36" s="63" t="str">
        <f>IFERROR(VLOOKUP($D$5&amp;$B$5&amp;B36,'Listagem dos op'!H:T,8,0),"")</f>
        <v/>
      </c>
      <c r="F36" s="64"/>
      <c r="G36" s="56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56"/>
    </row>
    <row r="37" spans="1:23" ht="23.25" customHeight="1">
      <c r="A37" s="66" t="str">
        <f>H27</f>
        <v/>
      </c>
      <c r="B37" s="66">
        <v>30</v>
      </c>
      <c r="C37" s="62" t="str">
        <f>IFERROR(VLOOKUP($D$5&amp;$B$5&amp;B37,'Listagem dos op'!H:T,6,0),"")</f>
        <v/>
      </c>
      <c r="D37" s="63" t="str">
        <f>IFERROR(VLOOKUP($D$5&amp;$B$5&amp;B37,'Listagem dos op'!H:T,7,0),"")</f>
        <v/>
      </c>
      <c r="E37" s="63" t="str">
        <f>IFERROR(VLOOKUP($D$5&amp;$B$5&amp;B37,'Listagem dos op'!H:T,8,0),"")</f>
        <v/>
      </c>
      <c r="F37" s="64"/>
      <c r="G37" s="56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56"/>
    </row>
    <row r="38" spans="1:23" ht="24" customHeight="1">
      <c r="A38" s="66">
        <f>U27</f>
        <v>0</v>
      </c>
      <c r="B38" s="66">
        <v>31</v>
      </c>
      <c r="C38" s="62" t="str">
        <f>IFERROR(VLOOKUP($D$5&amp;$B$5&amp;B38,'Listagem dos op'!H:T,6,0),"")</f>
        <v/>
      </c>
      <c r="D38" s="63" t="str">
        <f>IFERROR(VLOOKUP($D$5&amp;$B$5&amp;B38,'Listagem dos op'!H:T,7,0),"")</f>
        <v/>
      </c>
      <c r="E38" s="63" t="str">
        <f>IFERROR(VLOOKUP($D$5&amp;$B$5&amp;B38,'Listagem dos op'!H:T,8,0),"")</f>
        <v/>
      </c>
      <c r="F38" s="64"/>
      <c r="G38" s="56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56"/>
    </row>
    <row r="39" spans="1:23" ht="24" customHeight="1">
      <c r="A39" s="10" t="str">
        <f>H28</f>
        <v/>
      </c>
      <c r="B39" s="66">
        <v>32</v>
      </c>
      <c r="C39" s="62" t="str">
        <f>IFERROR(VLOOKUP($D$5&amp;$B$5&amp;B39,'Listagem dos op'!H:T,6,0),"")</f>
        <v/>
      </c>
      <c r="D39" s="63" t="str">
        <f>IFERROR(VLOOKUP($D$5&amp;$B$5&amp;B39,'Listagem dos op'!H:T,7,0),"")</f>
        <v/>
      </c>
      <c r="E39" s="63" t="str">
        <f>IFERROR(VLOOKUP($D$5&amp;$B$5&amp;B39,'Listagem dos op'!H:T,8,0),"")</f>
        <v/>
      </c>
      <c r="F39" s="64"/>
      <c r="G39" s="56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56"/>
    </row>
    <row r="40" spans="1:23" ht="24" customHeight="1">
      <c r="A40" s="10">
        <f>U28</f>
        <v>0</v>
      </c>
      <c r="B40" s="66">
        <v>33</v>
      </c>
      <c r="C40" s="62" t="str">
        <f>IFERROR(VLOOKUP($D$5&amp;$B$5&amp;B40,'Listagem dos op'!H:T,6,0),"")</f>
        <v/>
      </c>
      <c r="D40" s="63" t="str">
        <f>IFERROR(VLOOKUP($D$5&amp;$B$5&amp;B40,'Listagem dos op'!H:T,7,0),"")</f>
        <v/>
      </c>
      <c r="E40" s="63" t="str">
        <f>IFERROR(VLOOKUP($D$5&amp;$B$5&amp;B40,'Listagem dos op'!H:T,8,0),"")</f>
        <v/>
      </c>
      <c r="F40" s="64"/>
      <c r="G40" s="56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56"/>
    </row>
    <row r="41" spans="1:23" ht="24" customHeight="1">
      <c r="A41" s="10" t="str">
        <f>H29</f>
        <v/>
      </c>
      <c r="B41" s="66">
        <v>34</v>
      </c>
      <c r="C41" s="62" t="str">
        <f>IFERROR(VLOOKUP($D$5&amp;$B$5&amp;B41,'Listagem dos op'!H:T,6,0),"")</f>
        <v/>
      </c>
      <c r="D41" s="63" t="str">
        <f>IFERROR(VLOOKUP($D$5&amp;$B$5&amp;B41,'Listagem dos op'!H:T,7,0),"")</f>
        <v/>
      </c>
      <c r="E41" s="63" t="str">
        <f>IFERROR(VLOOKUP($D$5&amp;$B$5&amp;B41,'Listagem dos op'!H:T,8,0),"")</f>
        <v/>
      </c>
      <c r="F41" s="64"/>
      <c r="G41" s="56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56"/>
    </row>
    <row r="42" spans="1:23" ht="24" customHeight="1">
      <c r="A42" s="10">
        <f>U29</f>
        <v>0</v>
      </c>
      <c r="B42" s="66">
        <v>35</v>
      </c>
      <c r="C42" s="62" t="str">
        <f>IFERROR(VLOOKUP($D$5&amp;$B$5&amp;B42,'Listagem dos op'!H:T,6,0),"")</f>
        <v/>
      </c>
      <c r="D42" s="63" t="str">
        <f>IFERROR(VLOOKUP($D$5&amp;$B$5&amp;B42,'Listagem dos op'!H:T,7,0),"")</f>
        <v/>
      </c>
      <c r="E42" s="63" t="str">
        <f>IFERROR(VLOOKUP($D$5&amp;$B$5&amp;B42,'Listagem dos op'!H:T,8,0),"")</f>
        <v/>
      </c>
      <c r="F42" s="64"/>
      <c r="G42" s="56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56"/>
    </row>
    <row r="43" spans="1:23" ht="24" customHeight="1">
      <c r="A43" s="10" t="str">
        <f>H30</f>
        <v>APONTAMENTOS DO AUDITOR</v>
      </c>
      <c r="B43" s="66">
        <v>36</v>
      </c>
      <c r="C43" s="62" t="str">
        <f>IFERROR(VLOOKUP($D$5&amp;$B$5&amp;B43,'Listagem dos op'!H:T,6,0),"")</f>
        <v/>
      </c>
      <c r="D43" s="63" t="str">
        <f>IFERROR(VLOOKUP($D$5&amp;$B$5&amp;B43,'Listagem dos op'!H:T,7,0),"")</f>
        <v/>
      </c>
      <c r="E43" s="63" t="str">
        <f>IFERROR(VLOOKUP($D$5&amp;$B$5&amp;B43,'Listagem dos op'!H:T,8,0),"")</f>
        <v/>
      </c>
      <c r="F43" s="64"/>
      <c r="G43" s="56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56"/>
    </row>
    <row r="44" spans="1:23" ht="24" customHeight="1">
      <c r="A44" s="10">
        <f>U30</f>
        <v>0</v>
      </c>
      <c r="B44" s="66">
        <v>37</v>
      </c>
      <c r="C44" s="62" t="str">
        <f>IFERROR(VLOOKUP($D$5&amp;$B$5&amp;B44,'Listagem dos op'!H:T,6,0),"")</f>
        <v/>
      </c>
      <c r="D44" s="63" t="str">
        <f>IFERROR(VLOOKUP($D$5&amp;$B$5&amp;B44,'Listagem dos op'!H:T,7,0),"")</f>
        <v/>
      </c>
      <c r="E44" s="63" t="str">
        <f>IFERROR(VLOOKUP($D$5&amp;$B$5&amp;B44,'Listagem dos op'!H:T,8,0),"")</f>
        <v/>
      </c>
      <c r="F44" s="64"/>
      <c r="G44" s="56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56"/>
    </row>
    <row r="45" spans="1:23" ht="24" customHeight="1">
      <c r="A45" s="10">
        <f>H31</f>
        <v>0</v>
      </c>
      <c r="B45" s="66">
        <v>38</v>
      </c>
      <c r="C45" s="62" t="str">
        <f>IFERROR(VLOOKUP($D$5&amp;$B$5&amp;B45,'Listagem dos op'!H:T,6,0),"")</f>
        <v/>
      </c>
      <c r="D45" s="63" t="str">
        <f>IFERROR(VLOOKUP($D$5&amp;$B$5&amp;B45,'Listagem dos op'!H:T,7,0),"")</f>
        <v/>
      </c>
      <c r="E45" s="63" t="str">
        <f>IFERROR(VLOOKUP($D$5&amp;$B$5&amp;B45,'Listagem dos op'!H:T,8,0),"")</f>
        <v/>
      </c>
      <c r="F45" s="64"/>
      <c r="G45" s="56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56"/>
    </row>
  </sheetData>
  <autoFilter ref="A2:F45" xr:uid="{00000000-0001-0000-0400-000000000000}"/>
  <mergeCells count="66">
    <mergeCell ref="H12:S12"/>
    <mergeCell ref="U25:V25"/>
    <mergeCell ref="H26:S26"/>
    <mergeCell ref="U26:V26"/>
    <mergeCell ref="H27:S27"/>
    <mergeCell ref="U27:V27"/>
    <mergeCell ref="U12:V12"/>
    <mergeCell ref="H13:S13"/>
    <mergeCell ref="U13:V13"/>
    <mergeCell ref="D5:F6"/>
    <mergeCell ref="L5:N7"/>
    <mergeCell ref="I4:K4"/>
    <mergeCell ref="J10:K10"/>
    <mergeCell ref="H11:V11"/>
    <mergeCell ref="L8:T10"/>
    <mergeCell ref="U8:V10"/>
    <mergeCell ref="H9:H10"/>
    <mergeCell ref="I9:I10"/>
    <mergeCell ref="H5:H7"/>
    <mergeCell ref="R5:V7"/>
    <mergeCell ref="P3:V3"/>
    <mergeCell ref="H3:O3"/>
    <mergeCell ref="B3:F3"/>
    <mergeCell ref="B4:C4"/>
    <mergeCell ref="J9:K9"/>
    <mergeCell ref="P5:P7"/>
    <mergeCell ref="Q5:Q7"/>
    <mergeCell ref="O5:O7"/>
    <mergeCell ref="H8:J8"/>
    <mergeCell ref="I5:K7"/>
    <mergeCell ref="B5:C6"/>
    <mergeCell ref="L4:N4"/>
    <mergeCell ref="T4:U4"/>
    <mergeCell ref="P4:S4"/>
    <mergeCell ref="B7:C7"/>
    <mergeCell ref="D4:F4"/>
    <mergeCell ref="H31:T32"/>
    <mergeCell ref="U31:V31"/>
    <mergeCell ref="H14:S14"/>
    <mergeCell ref="U14:V14"/>
    <mergeCell ref="H15:S15"/>
    <mergeCell ref="U15:V15"/>
    <mergeCell ref="H16:S16"/>
    <mergeCell ref="U16:V16"/>
    <mergeCell ref="H28:S28"/>
    <mergeCell ref="U28:V28"/>
    <mergeCell ref="H17:S17"/>
    <mergeCell ref="U17:V17"/>
    <mergeCell ref="H24:S24"/>
    <mergeCell ref="U24:V24"/>
    <mergeCell ref="H25:S25"/>
    <mergeCell ref="H29:S29"/>
    <mergeCell ref="H30:T30"/>
    <mergeCell ref="U23:V23"/>
    <mergeCell ref="U18:V18"/>
    <mergeCell ref="U19:V19"/>
    <mergeCell ref="U20:V20"/>
    <mergeCell ref="U21:V21"/>
    <mergeCell ref="U22:V22"/>
    <mergeCell ref="H18:S18"/>
    <mergeCell ref="H23:S23"/>
    <mergeCell ref="H22:S22"/>
    <mergeCell ref="H21:S21"/>
    <mergeCell ref="H20:S20"/>
    <mergeCell ref="H19:S19"/>
    <mergeCell ref="U29:V29"/>
  </mergeCells>
  <phoneticPr fontId="20" type="noConversion"/>
  <conditionalFormatting sqref="C8:E38">
    <cfRule type="expression" dxfId="411" priority="104">
      <formula>$B$5=""</formula>
    </cfRule>
  </conditionalFormatting>
  <conditionalFormatting sqref="C8:E8">
    <cfRule type="containsBlanks" dxfId="410" priority="103">
      <formula>LEN(TRIM(C8))=0</formula>
    </cfRule>
  </conditionalFormatting>
  <conditionalFormatting sqref="C9:E9">
    <cfRule type="containsBlanks" dxfId="409" priority="102">
      <formula>LEN(TRIM(C9))=0</formula>
    </cfRule>
  </conditionalFormatting>
  <conditionalFormatting sqref="C10:E10">
    <cfRule type="containsBlanks" dxfId="408" priority="101">
      <formula>LEN(TRIM(C10))=0</formula>
    </cfRule>
  </conditionalFormatting>
  <conditionalFormatting sqref="C11:E11">
    <cfRule type="containsBlanks" dxfId="407" priority="100">
      <formula>LEN(TRIM(C11))=0</formula>
    </cfRule>
  </conditionalFormatting>
  <conditionalFormatting sqref="C12:E12">
    <cfRule type="containsBlanks" dxfId="406" priority="99">
      <formula>LEN(TRIM(C12))=0</formula>
    </cfRule>
  </conditionalFormatting>
  <conditionalFormatting sqref="C13:E13">
    <cfRule type="containsBlanks" dxfId="405" priority="98">
      <formula>LEN(TRIM(C13))=0</formula>
    </cfRule>
  </conditionalFormatting>
  <conditionalFormatting sqref="C14:E14">
    <cfRule type="containsBlanks" dxfId="404" priority="97">
      <formula>LEN(TRIM(C14))=0</formula>
    </cfRule>
  </conditionalFormatting>
  <conditionalFormatting sqref="C15:E15">
    <cfRule type="containsBlanks" dxfId="403" priority="96">
      <formula>LEN(TRIM(C15))=0</formula>
    </cfRule>
  </conditionalFormatting>
  <conditionalFormatting sqref="C16:E16">
    <cfRule type="containsBlanks" dxfId="402" priority="95">
      <formula>LEN(TRIM(C16))=0</formula>
    </cfRule>
  </conditionalFormatting>
  <conditionalFormatting sqref="D18:D25 C17:E23">
    <cfRule type="containsBlanks" dxfId="401" priority="94">
      <formula>LEN(TRIM(C17))=0</formula>
    </cfRule>
  </conditionalFormatting>
  <conditionalFormatting sqref="C24:E24">
    <cfRule type="containsBlanks" dxfId="400" priority="93">
      <formula>LEN(TRIM(C24))=0</formula>
    </cfRule>
  </conditionalFormatting>
  <conditionalFormatting sqref="C25:E25 D26">
    <cfRule type="containsBlanks" dxfId="399" priority="92">
      <formula>LEN(TRIM(C25))=0</formula>
    </cfRule>
  </conditionalFormatting>
  <conditionalFormatting sqref="C26:E26">
    <cfRule type="containsBlanks" dxfId="398" priority="91">
      <formula>LEN(TRIM(C26))=0</formula>
    </cfRule>
  </conditionalFormatting>
  <conditionalFormatting sqref="C27:E27">
    <cfRule type="containsBlanks" dxfId="397" priority="90">
      <formula>LEN(TRIM(C27))=0</formula>
    </cfRule>
  </conditionalFormatting>
  <conditionalFormatting sqref="C28:E28">
    <cfRule type="containsBlanks" dxfId="396" priority="89">
      <formula>LEN(TRIM(C28))=0</formula>
    </cfRule>
  </conditionalFormatting>
  <conditionalFormatting sqref="C29:E29">
    <cfRule type="containsBlanks" dxfId="395" priority="88">
      <formula>LEN(TRIM(C29))=0</formula>
    </cfRule>
  </conditionalFormatting>
  <conditionalFormatting sqref="C30:E30">
    <cfRule type="containsBlanks" dxfId="394" priority="87">
      <formula>LEN(TRIM(C30))=0</formula>
    </cfRule>
  </conditionalFormatting>
  <conditionalFormatting sqref="C31:E31">
    <cfRule type="containsBlanks" dxfId="393" priority="86">
      <formula>LEN(TRIM(C31))=0</formula>
    </cfRule>
  </conditionalFormatting>
  <conditionalFormatting sqref="C32:E32">
    <cfRule type="containsBlanks" dxfId="392" priority="85">
      <formula>LEN(TRIM(C32))=0</formula>
    </cfRule>
  </conditionalFormatting>
  <conditionalFormatting sqref="C33:E33">
    <cfRule type="containsBlanks" dxfId="391" priority="84">
      <formula>LEN(TRIM(C33))=0</formula>
    </cfRule>
  </conditionalFormatting>
  <conditionalFormatting sqref="C34:E34">
    <cfRule type="containsBlanks" dxfId="390" priority="83">
      <formula>LEN(TRIM(C34))=0</formula>
    </cfRule>
  </conditionalFormatting>
  <conditionalFormatting sqref="C35:E35">
    <cfRule type="containsBlanks" dxfId="389" priority="82">
      <formula>LEN(TRIM(C35))=0</formula>
    </cfRule>
  </conditionalFormatting>
  <conditionalFormatting sqref="C36:E36">
    <cfRule type="containsBlanks" dxfId="388" priority="81">
      <formula>LEN(TRIM(C36))=0</formula>
    </cfRule>
  </conditionalFormatting>
  <conditionalFormatting sqref="C37:E37">
    <cfRule type="containsBlanks" dxfId="387" priority="80">
      <formula>LEN(TRIM(C37))=0</formula>
    </cfRule>
  </conditionalFormatting>
  <conditionalFormatting sqref="C38:E38">
    <cfRule type="containsBlanks" dxfId="386" priority="79">
      <formula>LEN(TRIM(C38))=0</formula>
    </cfRule>
  </conditionalFormatting>
  <conditionalFormatting sqref="P5:P7">
    <cfRule type="iconSet" priority="77">
      <iconSet iconSet="3TrafficLights2">
        <cfvo type="percent" val="0"/>
        <cfvo type="num" val="6.5"/>
        <cfvo type="num" val="8.5"/>
      </iconSet>
    </cfRule>
  </conditionalFormatting>
  <conditionalFormatting sqref="Q5:Q7">
    <cfRule type="iconSet" priority="76">
      <iconSet iconSet="3TrafficLights2">
        <cfvo type="percent" val="0"/>
        <cfvo type="num" val="6.5"/>
        <cfvo type="num" val="8.5"/>
      </iconSet>
    </cfRule>
  </conditionalFormatting>
  <conditionalFormatting sqref="R5">
    <cfRule type="iconSet" priority="75">
      <iconSet iconSet="3TrafficLights2">
        <cfvo type="percent" val="0"/>
        <cfvo type="num" val="6.5"/>
        <cfvo type="num" val="8.5"/>
      </iconSet>
    </cfRule>
  </conditionalFormatting>
  <conditionalFormatting sqref="L5:N7">
    <cfRule type="containsText" dxfId="385" priority="67" operator="containsText" text="Verde">
      <formula>NOT(ISERROR(SEARCH("Verde",L5)))</formula>
    </cfRule>
    <cfRule type="containsText" dxfId="384" priority="68" operator="containsText" text="Cinza">
      <formula>NOT(ISERROR(SEARCH("Cinza",L5)))</formula>
    </cfRule>
    <cfRule type="containsText" dxfId="383" priority="69" operator="containsText" text="Azul">
      <formula>NOT(ISERROR(SEARCH("Azul",L5)))</formula>
    </cfRule>
    <cfRule type="containsText" dxfId="382" priority="70" operator="containsText" text="Amarela">
      <formula>NOT(ISERROR(SEARCH("Amarela",L5)))</formula>
    </cfRule>
  </conditionalFormatting>
  <conditionalFormatting sqref="T12">
    <cfRule type="expression" dxfId="381" priority="1">
      <formula>$Z$10=$Z$9</formula>
    </cfRule>
    <cfRule type="expression" dxfId="380" priority="66">
      <formula>Z10=$Z$8</formula>
    </cfRule>
  </conditionalFormatting>
  <conditionalFormatting sqref="T13">
    <cfRule type="expression" dxfId="379" priority="2">
      <formula>$Z$11=$Z$9</formula>
    </cfRule>
    <cfRule type="expression" dxfId="378" priority="65">
      <formula>$Z$11=$Z$8</formula>
    </cfRule>
  </conditionalFormatting>
  <conditionalFormatting sqref="T14">
    <cfRule type="expression" dxfId="377" priority="3">
      <formula>$Z$12=$Z$9</formula>
    </cfRule>
    <cfRule type="expression" dxfId="376" priority="64">
      <formula>$Z$12=$Z$8</formula>
    </cfRule>
  </conditionalFormatting>
  <conditionalFormatting sqref="T15">
    <cfRule type="expression" dxfId="375" priority="4">
      <formula>$Z$13=$Z$9</formula>
    </cfRule>
    <cfRule type="expression" dxfId="374" priority="63">
      <formula>$Z$13=$Z$8</formula>
    </cfRule>
  </conditionalFormatting>
  <conditionalFormatting sqref="T16">
    <cfRule type="expression" dxfId="373" priority="5">
      <formula>$Z$14=$Z$9</formula>
    </cfRule>
    <cfRule type="expression" dxfId="372" priority="62">
      <formula>$Z$14=$Z$8</formula>
    </cfRule>
  </conditionalFormatting>
  <conditionalFormatting sqref="T24">
    <cfRule type="expression" dxfId="371" priority="15" stopIfTrue="1">
      <formula>$Z$22=$Z$9</formula>
    </cfRule>
    <cfRule type="expression" dxfId="370" priority="45">
      <formula>$Z$22=$Z$8</formula>
    </cfRule>
  </conditionalFormatting>
  <conditionalFormatting sqref="T25">
    <cfRule type="expression" dxfId="369" priority="16">
      <formula>$Z$23=$Z$9</formula>
    </cfRule>
    <cfRule type="expression" dxfId="368" priority="44">
      <formula>$Z$23=$Z$8</formula>
    </cfRule>
  </conditionalFormatting>
  <conditionalFormatting sqref="T26">
    <cfRule type="expression" dxfId="367" priority="43">
      <formula>$Z$24=$Z$8</formula>
    </cfRule>
  </conditionalFormatting>
  <conditionalFormatting sqref="T27">
    <cfRule type="expression" dxfId="366" priority="42">
      <formula>$Z$25=$Z$8</formula>
    </cfRule>
  </conditionalFormatting>
  <conditionalFormatting sqref="T28">
    <cfRule type="expression" dxfId="365" priority="26">
      <formula>$Z$26=$Z$8</formula>
    </cfRule>
  </conditionalFormatting>
  <conditionalFormatting sqref="T29">
    <cfRule type="expression" dxfId="364" priority="23">
      <formula>$Z$27=$Z$8</formula>
    </cfRule>
  </conditionalFormatting>
  <conditionalFormatting sqref="T26">
    <cfRule type="expression" dxfId="363" priority="17">
      <formula>$Z$24=$Z$9</formula>
    </cfRule>
  </conditionalFormatting>
  <conditionalFormatting sqref="T27">
    <cfRule type="expression" dxfId="362" priority="18">
      <formula>$Z$25=$Z$9</formula>
    </cfRule>
  </conditionalFormatting>
  <conditionalFormatting sqref="T28">
    <cfRule type="expression" dxfId="361" priority="19">
      <formula>$Z$26=$Z$9</formula>
    </cfRule>
  </conditionalFormatting>
  <conditionalFormatting sqref="T29">
    <cfRule type="expression" dxfId="360" priority="22">
      <formula>$Z$27=$Z$9</formula>
    </cfRule>
  </conditionalFormatting>
  <conditionalFormatting sqref="J9:K9">
    <cfRule type="containsText" dxfId="359" priority="41" operator="containsText" text="NÃO ENCONTRADA">
      <formula>NOT(ISERROR(SEARCH("NÃO ENCONTRADA",J9)))</formula>
    </cfRule>
  </conditionalFormatting>
  <conditionalFormatting sqref="C39:E39">
    <cfRule type="expression" dxfId="358" priority="40">
      <formula>$B$5=""</formula>
    </cfRule>
  </conditionalFormatting>
  <conditionalFormatting sqref="C39:E39">
    <cfRule type="containsBlanks" dxfId="357" priority="39">
      <formula>LEN(TRIM(C39))=0</formula>
    </cfRule>
  </conditionalFormatting>
  <conditionalFormatting sqref="C40:E40">
    <cfRule type="expression" dxfId="356" priority="38">
      <formula>$B$5=""</formula>
    </cfRule>
  </conditionalFormatting>
  <conditionalFormatting sqref="C40:E40">
    <cfRule type="containsBlanks" dxfId="355" priority="37">
      <formula>LEN(TRIM(C40))=0</formula>
    </cfRule>
  </conditionalFormatting>
  <conditionalFormatting sqref="C41:E41">
    <cfRule type="expression" dxfId="354" priority="36">
      <formula>$B$5=""</formula>
    </cfRule>
  </conditionalFormatting>
  <conditionalFormatting sqref="C41:E41">
    <cfRule type="containsBlanks" dxfId="353" priority="35">
      <formula>LEN(TRIM(C41))=0</formula>
    </cfRule>
  </conditionalFormatting>
  <conditionalFormatting sqref="C42:E42">
    <cfRule type="expression" dxfId="352" priority="34">
      <formula>$B$5=""</formula>
    </cfRule>
  </conditionalFormatting>
  <conditionalFormatting sqref="C42:E42">
    <cfRule type="containsBlanks" dxfId="351" priority="33">
      <formula>LEN(TRIM(C42))=0</formula>
    </cfRule>
  </conditionalFormatting>
  <conditionalFormatting sqref="C43:E43">
    <cfRule type="expression" dxfId="350" priority="32">
      <formula>$B$5=""</formula>
    </cfRule>
  </conditionalFormatting>
  <conditionalFormatting sqref="C43:E43">
    <cfRule type="containsBlanks" dxfId="349" priority="31">
      <formula>LEN(TRIM(C43))=0</formula>
    </cfRule>
  </conditionalFormatting>
  <conditionalFormatting sqref="C44:E44">
    <cfRule type="expression" dxfId="348" priority="30">
      <formula>$B$5=""</formula>
    </cfRule>
  </conditionalFormatting>
  <conditionalFormatting sqref="C44:E44">
    <cfRule type="containsBlanks" dxfId="347" priority="29">
      <formula>LEN(TRIM(C44))=0</formula>
    </cfRule>
  </conditionalFormatting>
  <conditionalFormatting sqref="C45:E45">
    <cfRule type="expression" dxfId="346" priority="28">
      <formula>$B$5=""</formula>
    </cfRule>
  </conditionalFormatting>
  <conditionalFormatting sqref="C45:E45">
    <cfRule type="containsBlanks" dxfId="345" priority="27">
      <formula>LEN(TRIM(C45))=0</formula>
    </cfRule>
  </conditionalFormatting>
  <conditionalFormatting sqref="T18">
    <cfRule type="expression" dxfId="344" priority="7">
      <formula>$Z$16=$Z$9</formula>
    </cfRule>
    <cfRule type="expression" dxfId="343" priority="59">
      <formula>$Z$16=$Z$8</formula>
    </cfRule>
  </conditionalFormatting>
  <conditionalFormatting sqref="T19">
    <cfRule type="expression" dxfId="342" priority="10">
      <formula>$Z$17=$Z$9</formula>
    </cfRule>
    <cfRule type="expression" dxfId="341" priority="58">
      <formula>$Z$17=$Z$8</formula>
    </cfRule>
  </conditionalFormatting>
  <conditionalFormatting sqref="T21">
    <cfRule type="expression" dxfId="340" priority="12">
      <formula>$Z$19=$Z$9</formula>
    </cfRule>
    <cfRule type="expression" dxfId="339" priority="56">
      <formula>$Z$19=$Z$8</formula>
    </cfRule>
  </conditionalFormatting>
  <conditionalFormatting sqref="T22">
    <cfRule type="expression" dxfId="338" priority="13">
      <formula>$Z$20=$Z$9</formula>
    </cfRule>
    <cfRule type="expression" dxfId="337" priority="55">
      <formula>$Z$20=$Z$8</formula>
    </cfRule>
  </conditionalFormatting>
  <conditionalFormatting sqref="T17">
    <cfRule type="expression" dxfId="336" priority="6">
      <formula>$Z$15=$Z$9</formula>
    </cfRule>
    <cfRule type="expression" dxfId="335" priority="60">
      <formula>$Z$15=$Z$8</formula>
    </cfRule>
  </conditionalFormatting>
  <conditionalFormatting sqref="T20">
    <cfRule type="expression" dxfId="334" priority="11">
      <formula>$Z$18=$Z$9</formula>
    </cfRule>
    <cfRule type="expression" dxfId="333" priority="57">
      <formula>$Z$18=$Z$8</formula>
    </cfRule>
  </conditionalFormatting>
  <conditionalFormatting sqref="T23">
    <cfRule type="expression" dxfId="332" priority="14">
      <formula>$Z$21=$Z$9</formula>
    </cfRule>
    <cfRule type="expression" dxfId="331" priority="46">
      <formula>$Z$21=$Z$8</formula>
    </cfRule>
  </conditionalFormatting>
  <conditionalFormatting sqref="C18:E18">
    <cfRule type="containsBlanks" dxfId="330" priority="9">
      <formula>LEN(TRIM(C18))=0</formula>
    </cfRule>
  </conditionalFormatting>
  <conditionalFormatting sqref="C19:E19">
    <cfRule type="containsBlanks" dxfId="329" priority="8">
      <formula>LEN(TRIM(C19))=0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Option Button 1">
              <controlPr defaultSize="0" autoFill="0" autoLine="0" autoPict="0">
                <anchor moveWithCells="1">
                  <from>
                    <xdr:col>5</xdr:col>
                    <xdr:colOff>76200</xdr:colOff>
                    <xdr:row>7</xdr:row>
                    <xdr:rowOff>30480</xdr:rowOff>
                  </from>
                  <to>
                    <xdr:col>5</xdr:col>
                    <xdr:colOff>259080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Option Button 2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30480</xdr:rowOff>
                  </from>
                  <to>
                    <xdr:col>5</xdr:col>
                    <xdr:colOff>259080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Option Button 3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30480</xdr:rowOff>
                  </from>
                  <to>
                    <xdr:col>5</xdr:col>
                    <xdr:colOff>259080</xdr:colOff>
                    <xdr:row>9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Option Button 4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30480</xdr:rowOff>
                  </from>
                  <to>
                    <xdr:col>5</xdr:col>
                    <xdr:colOff>259080</xdr:colOff>
                    <xdr:row>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Option Button 5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30480</xdr:rowOff>
                  </from>
                  <to>
                    <xdr:col>5</xdr:col>
                    <xdr:colOff>259080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Option Button 6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30480</xdr:rowOff>
                  </from>
                  <to>
                    <xdr:col>5</xdr:col>
                    <xdr:colOff>259080</xdr:colOff>
                    <xdr:row>12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Option Button 7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30480</xdr:rowOff>
                  </from>
                  <to>
                    <xdr:col>5</xdr:col>
                    <xdr:colOff>259080</xdr:colOff>
                    <xdr:row>13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1" name="Option Button 11">
              <controlPr defaultSize="0" autoFill="0" autoLine="0" autoPict="0">
                <anchor moveWithCells="1">
                  <from>
                    <xdr:col>5</xdr:col>
                    <xdr:colOff>83820</xdr:colOff>
                    <xdr:row>14</xdr:row>
                    <xdr:rowOff>68580</xdr:rowOff>
                  </from>
                  <to>
                    <xdr:col>5</xdr:col>
                    <xdr:colOff>259080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2" name="Option Button 12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68580</xdr:rowOff>
                  </from>
                  <to>
                    <xdr:col>5</xdr:col>
                    <xdr:colOff>259080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3" name="Option Button 13">
              <controlPr defaultSize="0" autoFill="0" autoLine="0" autoPict="0">
                <anchor moveWithCells="1">
                  <from>
                    <xdr:col>5</xdr:col>
                    <xdr:colOff>76200</xdr:colOff>
                    <xdr:row>16</xdr:row>
                    <xdr:rowOff>30480</xdr:rowOff>
                  </from>
                  <to>
                    <xdr:col>5</xdr:col>
                    <xdr:colOff>259080</xdr:colOff>
                    <xdr:row>16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4" name="Option Button 14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38100</xdr:rowOff>
                  </from>
                  <to>
                    <xdr:col>5</xdr:col>
                    <xdr:colOff>236220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5" name="Option Button 15">
              <controlPr defaultSize="0" autoFill="0" autoLine="0" autoPict="0">
                <anchor moveWithCells="1">
                  <from>
                    <xdr:col>5</xdr:col>
                    <xdr:colOff>83820</xdr:colOff>
                    <xdr:row>18</xdr:row>
                    <xdr:rowOff>30480</xdr:rowOff>
                  </from>
                  <to>
                    <xdr:col>5</xdr:col>
                    <xdr:colOff>259080</xdr:colOff>
                    <xdr:row>18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6" name="Option Button 16">
              <controlPr defaultSize="0" autoFill="0" autoLine="0" autoPict="0">
                <anchor moveWithCells="1">
                  <from>
                    <xdr:col>5</xdr:col>
                    <xdr:colOff>76200</xdr:colOff>
                    <xdr:row>19</xdr:row>
                    <xdr:rowOff>38100</xdr:rowOff>
                  </from>
                  <to>
                    <xdr:col>5</xdr:col>
                    <xdr:colOff>259080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7" name="Option Button 17">
              <controlPr defaultSize="0" autoFill="0" autoLine="0" autoPict="0">
                <anchor moveWithCells="1">
                  <from>
                    <xdr:col>5</xdr:col>
                    <xdr:colOff>106680</xdr:colOff>
                    <xdr:row>20</xdr:row>
                    <xdr:rowOff>38100</xdr:rowOff>
                  </from>
                  <to>
                    <xdr:col>5</xdr:col>
                    <xdr:colOff>259080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18" name="Option Button 18">
              <controlPr defaultSize="0" autoFill="0" autoLine="0" autoPict="0">
                <anchor moveWithCells="1">
                  <from>
                    <xdr:col>5</xdr:col>
                    <xdr:colOff>106680</xdr:colOff>
                    <xdr:row>21</xdr:row>
                    <xdr:rowOff>38100</xdr:rowOff>
                  </from>
                  <to>
                    <xdr:col>5</xdr:col>
                    <xdr:colOff>266700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19" name="Option Button 19">
              <controlPr defaultSize="0" autoFill="0" autoLine="0" autoPict="0">
                <anchor moveWithCells="1">
                  <from>
                    <xdr:col>5</xdr:col>
                    <xdr:colOff>106680</xdr:colOff>
                    <xdr:row>22</xdr:row>
                    <xdr:rowOff>68580</xdr:rowOff>
                  </from>
                  <to>
                    <xdr:col>5</xdr:col>
                    <xdr:colOff>274320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0" name="Option Button 20">
              <controlPr defaultSize="0" autoFill="0" autoLine="0" autoPict="0">
                <anchor moveWithCells="1">
                  <from>
                    <xdr:col>5</xdr:col>
                    <xdr:colOff>106680</xdr:colOff>
                    <xdr:row>23</xdr:row>
                    <xdr:rowOff>30480</xdr:rowOff>
                  </from>
                  <to>
                    <xdr:col>5</xdr:col>
                    <xdr:colOff>274320</xdr:colOff>
                    <xdr:row>23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1" name="Option Button 21">
              <controlPr defaultSize="0" autoFill="0" autoLine="0" autoPict="0">
                <anchor moveWithCells="1">
                  <from>
                    <xdr:col>5</xdr:col>
                    <xdr:colOff>106680</xdr:colOff>
                    <xdr:row>24</xdr:row>
                    <xdr:rowOff>45720</xdr:rowOff>
                  </from>
                  <to>
                    <xdr:col>5</xdr:col>
                    <xdr:colOff>274320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2" name="Option Button 23">
              <controlPr defaultSize="0" autoFill="0" autoLine="0" autoPict="0">
                <anchor moveWithCells="1">
                  <from>
                    <xdr:col>5</xdr:col>
                    <xdr:colOff>106680</xdr:colOff>
                    <xdr:row>25</xdr:row>
                    <xdr:rowOff>68580</xdr:rowOff>
                  </from>
                  <to>
                    <xdr:col>5</xdr:col>
                    <xdr:colOff>297180</xdr:colOff>
                    <xdr:row>28</xdr:row>
                    <xdr:rowOff>188595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3" name="Option Button 24">
              <controlPr defaultSize="0" autoFill="0" autoLine="0" autoPict="0">
                <anchor moveWithCells="1">
                  <from>
                    <xdr:col>5</xdr:col>
                    <xdr:colOff>106680</xdr:colOff>
                    <xdr:row>26</xdr:row>
                    <xdr:rowOff>68580</xdr:rowOff>
                  </from>
                  <to>
                    <xdr:col>5</xdr:col>
                    <xdr:colOff>297180</xdr:colOff>
                    <xdr:row>28</xdr:row>
                    <xdr:rowOff>188595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4" name="Option Button 25">
              <controlPr defaultSize="0" autoFill="0" autoLine="0" autoPict="0">
                <anchor moveWithCells="1">
                  <from>
                    <xdr:col>5</xdr:col>
                    <xdr:colOff>106680</xdr:colOff>
                    <xdr:row>27</xdr:row>
                    <xdr:rowOff>68580</xdr:rowOff>
                  </from>
                  <to>
                    <xdr:col>5</xdr:col>
                    <xdr:colOff>266700</xdr:colOff>
                    <xdr:row>28</xdr:row>
                    <xdr:rowOff>188595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5" name="Option Button 26">
              <controlPr defaultSize="0" autoFill="0" autoLine="0" autoPict="0">
                <anchor moveWithCells="1">
                  <from>
                    <xdr:col>5</xdr:col>
                    <xdr:colOff>106680</xdr:colOff>
                    <xdr:row>28</xdr:row>
                    <xdr:rowOff>30480</xdr:rowOff>
                  </from>
                  <to>
                    <xdr:col>5</xdr:col>
                    <xdr:colOff>266700</xdr:colOff>
                    <xdr:row>28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26" name="Option Button 27">
              <controlPr defaultSize="0" autoFill="0" autoLine="0" autoPict="0">
                <anchor moveWithCells="1">
                  <from>
                    <xdr:col>5</xdr:col>
                    <xdr:colOff>106680</xdr:colOff>
                    <xdr:row>29</xdr:row>
                    <xdr:rowOff>68580</xdr:rowOff>
                  </from>
                  <to>
                    <xdr:col>5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27" name="Option Button 28">
              <controlPr defaultSize="0" autoFill="0" autoLine="0" autoPict="0">
                <anchor moveWithCells="1">
                  <from>
                    <xdr:col>5</xdr:col>
                    <xdr:colOff>106680</xdr:colOff>
                    <xdr:row>30</xdr:row>
                    <xdr:rowOff>30480</xdr:rowOff>
                  </from>
                  <to>
                    <xdr:col>5</xdr:col>
                    <xdr:colOff>297180</xdr:colOff>
                    <xdr:row>30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28" name="Option Button 29">
              <controlPr defaultSize="0" autoFill="0" autoLine="0" autoPict="0">
                <anchor moveWithCells="1">
                  <from>
                    <xdr:col>5</xdr:col>
                    <xdr:colOff>106680</xdr:colOff>
                    <xdr:row>31</xdr:row>
                    <xdr:rowOff>68580</xdr:rowOff>
                  </from>
                  <to>
                    <xdr:col>5</xdr:col>
                    <xdr:colOff>297180</xdr:colOff>
                    <xdr:row>31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29" name="Option Button 31">
              <controlPr defaultSize="0" autoFill="0" autoLine="0" autoPict="0">
                <anchor moveWithCells="1">
                  <from>
                    <xdr:col>5</xdr:col>
                    <xdr:colOff>106680</xdr:colOff>
                    <xdr:row>32</xdr:row>
                    <xdr:rowOff>68580</xdr:rowOff>
                  </from>
                  <to>
                    <xdr:col>5</xdr:col>
                    <xdr:colOff>297180</xdr:colOff>
                    <xdr:row>32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0" name="Option Button 32">
              <controlPr defaultSize="0" autoFill="0" autoLine="0" autoPict="0">
                <anchor moveWithCells="1">
                  <from>
                    <xdr:col>5</xdr:col>
                    <xdr:colOff>106680</xdr:colOff>
                    <xdr:row>33</xdr:row>
                    <xdr:rowOff>68580</xdr:rowOff>
                  </from>
                  <to>
                    <xdr:col>5</xdr:col>
                    <xdr:colOff>266700</xdr:colOff>
                    <xdr:row>33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1" name="Option Button 3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68580</xdr:rowOff>
                  </from>
                  <to>
                    <xdr:col>5</xdr:col>
                    <xdr:colOff>259080</xdr:colOff>
                    <xdr:row>34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2" name="Option Button 3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68580</xdr:rowOff>
                  </from>
                  <to>
                    <xdr:col>5</xdr:col>
                    <xdr:colOff>259080</xdr:colOff>
                    <xdr:row>35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3" name="Option Button 35">
              <controlPr defaultSize="0" autoFill="0" autoLine="0" autoPict="0">
                <anchor moveWithCells="1">
                  <from>
                    <xdr:col>5</xdr:col>
                    <xdr:colOff>106680</xdr:colOff>
                    <xdr:row>36</xdr:row>
                    <xdr:rowOff>38100</xdr:rowOff>
                  </from>
                  <to>
                    <xdr:col>5</xdr:col>
                    <xdr:colOff>259080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4" name="Option Button 36">
              <controlPr defaultSize="0" autoFill="0" autoLine="0" autoPict="0">
                <anchor moveWithCells="1">
                  <from>
                    <xdr:col>5</xdr:col>
                    <xdr:colOff>106680</xdr:colOff>
                    <xdr:row>37</xdr:row>
                    <xdr:rowOff>76200</xdr:rowOff>
                  </from>
                  <to>
                    <xdr:col>5</xdr:col>
                    <xdr:colOff>259080</xdr:colOff>
                    <xdr:row>37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35" name="Option Button 41">
              <controlPr defaultSize="0" autoFill="0" autoLine="0" autoPict="0">
                <anchor moveWithCells="1">
                  <from>
                    <xdr:col>5</xdr:col>
                    <xdr:colOff>106680</xdr:colOff>
                    <xdr:row>38</xdr:row>
                    <xdr:rowOff>68580</xdr:rowOff>
                  </from>
                  <to>
                    <xdr:col>5</xdr:col>
                    <xdr:colOff>259080</xdr:colOff>
                    <xdr:row>38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36" name="Option Button 42">
              <controlPr defaultSize="0" autoFill="0" autoLine="0" autoPict="0">
                <anchor moveWithCells="1">
                  <from>
                    <xdr:col>5</xdr:col>
                    <xdr:colOff>83820</xdr:colOff>
                    <xdr:row>39</xdr:row>
                    <xdr:rowOff>38100</xdr:rowOff>
                  </from>
                  <to>
                    <xdr:col>5</xdr:col>
                    <xdr:colOff>350520</xdr:colOff>
                    <xdr:row>39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37" name="Option Button 43">
              <controlPr defaultSize="0" autoFill="0" autoLine="0" autoPict="0">
                <anchor moveWithCells="1">
                  <from>
                    <xdr:col>5</xdr:col>
                    <xdr:colOff>106680</xdr:colOff>
                    <xdr:row>40</xdr:row>
                    <xdr:rowOff>38100</xdr:rowOff>
                  </from>
                  <to>
                    <xdr:col>5</xdr:col>
                    <xdr:colOff>350520</xdr:colOff>
                    <xdr:row>40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38" name="Option Button 44">
              <controlPr defaultSize="0" autoFill="0" autoLine="0" autoPict="0">
                <anchor moveWithCells="1">
                  <from>
                    <xdr:col>5</xdr:col>
                    <xdr:colOff>83820</xdr:colOff>
                    <xdr:row>41</xdr:row>
                    <xdr:rowOff>38100</xdr:rowOff>
                  </from>
                  <to>
                    <xdr:col>5</xdr:col>
                    <xdr:colOff>335280</xdr:colOff>
                    <xdr:row>41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39" name="Option Button 45">
              <controlPr defaultSize="0" autoFill="0" autoLine="0" autoPict="0">
                <anchor moveWithCells="1">
                  <from>
                    <xdr:col>5</xdr:col>
                    <xdr:colOff>106680</xdr:colOff>
                    <xdr:row>42</xdr:row>
                    <xdr:rowOff>38100</xdr:rowOff>
                  </from>
                  <to>
                    <xdr:col>5</xdr:col>
                    <xdr:colOff>335280</xdr:colOff>
                    <xdr:row>42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'BD Campos'!$L$2:$L$13</xm:f>
          </x14:formula1>
          <xm:sqref>D5:F6</xm:sqref>
        </x14:dataValidation>
        <x14:dataValidation type="list" allowBlank="1" showInputMessage="1" showErrorMessage="1" xr:uid="{00000000-0002-0000-0400-000001000000}">
          <x14:formula1>
            <xm:f>'BD Campos'!$AA$2:$AA$20</xm:f>
          </x14:formula1>
          <xm:sqref>B5:C6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>
    <tabColor theme="1"/>
  </sheetPr>
  <dimension ref="A1:BD1003982"/>
  <sheetViews>
    <sheetView showZeros="0" zoomScale="90" zoomScaleNormal="90" workbookViewId="0">
      <pane ySplit="1" topLeftCell="A2" activePane="bottomLeft" state="frozen"/>
      <selection pane="bottomLeft" activeCell="O397" sqref="O397"/>
    </sheetView>
  </sheetViews>
  <sheetFormatPr defaultColWidth="8.5703125" defaultRowHeight="14.45"/>
  <cols>
    <col min="1" max="1" width="3.42578125" style="88" customWidth="1"/>
    <col min="2" max="2" width="2.5703125" style="89" customWidth="1"/>
    <col min="3" max="3" width="2.5703125" style="90" customWidth="1"/>
    <col min="4" max="4" width="11.5703125" style="91" customWidth="1"/>
    <col min="5" max="5" width="5.5703125" style="92" customWidth="1"/>
    <col min="6" max="6" width="7.5703125" style="93" customWidth="1"/>
    <col min="7" max="7" width="16.5703125" style="89" customWidth="1"/>
    <col min="8" max="8" width="3.42578125" style="92" customWidth="1"/>
    <col min="9" max="9" width="18.42578125" style="89" customWidth="1"/>
    <col min="10" max="10" width="19.5703125" style="89" customWidth="1"/>
    <col min="11" max="11" width="13.42578125" style="89" bestFit="1" customWidth="1"/>
    <col min="12" max="12" width="15.42578125" style="94" bestFit="1" customWidth="1"/>
    <col min="13" max="13" width="6.5703125" style="95" customWidth="1"/>
    <col min="14" max="27" width="4.5703125" style="87" customWidth="1"/>
    <col min="28" max="31" width="3.42578125" style="87" customWidth="1"/>
    <col min="32" max="32" width="5.5703125" style="96" customWidth="1"/>
    <col min="33" max="33" width="4.5703125" style="87" customWidth="1"/>
    <col min="34" max="34" width="5.5703125" style="93" customWidth="1"/>
    <col min="35" max="35" width="11.42578125" style="93" customWidth="1"/>
    <col min="36" max="36" width="11" style="87" bestFit="1" customWidth="1"/>
    <col min="37" max="37" width="7.42578125" style="87" bestFit="1" customWidth="1"/>
    <col min="38" max="46" width="6.5703125" style="94" bestFit="1" customWidth="1"/>
    <col min="47" max="55" width="8" style="94" bestFit="1" customWidth="1"/>
    <col min="56" max="56" width="15.5703125" style="93" bestFit="1" customWidth="1"/>
    <col min="57" max="16384" width="8.5703125" style="87"/>
  </cols>
  <sheetData>
    <row r="1" spans="1:56" s="86" customFormat="1" ht="29.25" customHeight="1">
      <c r="A1" s="80" t="s">
        <v>22</v>
      </c>
      <c r="B1" s="80" t="s">
        <v>23</v>
      </c>
      <c r="C1" s="81" t="s">
        <v>24</v>
      </c>
      <c r="D1" s="82" t="s">
        <v>25</v>
      </c>
      <c r="E1" s="83" t="s">
        <v>26</v>
      </c>
      <c r="F1" s="83" t="s">
        <v>27</v>
      </c>
      <c r="G1" s="80" t="s">
        <v>28</v>
      </c>
      <c r="H1" s="83" t="s">
        <v>29</v>
      </c>
      <c r="I1" s="80" t="s">
        <v>30</v>
      </c>
      <c r="J1" s="80" t="s">
        <v>31</v>
      </c>
      <c r="K1" s="80" t="s">
        <v>32</v>
      </c>
      <c r="L1" s="83" t="s">
        <v>33</v>
      </c>
      <c r="M1" s="84" t="s">
        <v>34</v>
      </c>
      <c r="N1" s="85" t="s">
        <v>35</v>
      </c>
      <c r="O1" s="85" t="s">
        <v>36</v>
      </c>
      <c r="P1" s="85" t="s">
        <v>37</v>
      </c>
      <c r="Q1" s="85" t="s">
        <v>38</v>
      </c>
      <c r="R1" s="85" t="s">
        <v>39</v>
      </c>
      <c r="S1" s="85" t="s">
        <v>40</v>
      </c>
      <c r="T1" s="85" t="s">
        <v>41</v>
      </c>
      <c r="U1" s="85" t="s">
        <v>42</v>
      </c>
      <c r="V1" s="85" t="s">
        <v>43</v>
      </c>
      <c r="W1" s="85" t="s">
        <v>44</v>
      </c>
      <c r="X1" s="85" t="s">
        <v>45</v>
      </c>
      <c r="Y1" s="85" t="s">
        <v>46</v>
      </c>
      <c r="Z1" s="85" t="s">
        <v>47</v>
      </c>
      <c r="AA1" s="85" t="s">
        <v>48</v>
      </c>
      <c r="AB1" s="85" t="s">
        <v>49</v>
      </c>
      <c r="AC1" s="85" t="s">
        <v>50</v>
      </c>
      <c r="AD1" s="85" t="s">
        <v>51</v>
      </c>
      <c r="AE1" s="85" t="s">
        <v>52</v>
      </c>
      <c r="AF1" s="85" t="s">
        <v>53</v>
      </c>
      <c r="AG1" s="85" t="s">
        <v>54</v>
      </c>
      <c r="AH1" s="83" t="s">
        <v>55</v>
      </c>
      <c r="AI1" s="83" t="s">
        <v>56</v>
      </c>
      <c r="AJ1" s="83" t="s">
        <v>57</v>
      </c>
      <c r="AK1" s="83" t="s">
        <v>58</v>
      </c>
      <c r="AL1" s="83" t="s">
        <v>59</v>
      </c>
      <c r="AM1" s="83" t="s">
        <v>60</v>
      </c>
      <c r="AN1" s="83" t="s">
        <v>61</v>
      </c>
      <c r="AO1" s="83" t="s">
        <v>62</v>
      </c>
      <c r="AP1" s="83" t="s">
        <v>63</v>
      </c>
      <c r="AQ1" s="83" t="s">
        <v>64</v>
      </c>
      <c r="AR1" s="83" t="s">
        <v>65</v>
      </c>
      <c r="AS1" s="83" t="s">
        <v>66</v>
      </c>
      <c r="AT1" s="83" t="s">
        <v>67</v>
      </c>
      <c r="AU1" s="83" t="s">
        <v>68</v>
      </c>
      <c r="AV1" s="83" t="s">
        <v>69</v>
      </c>
      <c r="AW1" s="83" t="s">
        <v>70</v>
      </c>
      <c r="AX1" s="83" t="s">
        <v>71</v>
      </c>
      <c r="AY1" s="83" t="s">
        <v>72</v>
      </c>
      <c r="AZ1" s="83" t="s">
        <v>73</v>
      </c>
      <c r="BA1" s="83" t="s">
        <v>74</v>
      </c>
      <c r="BB1" s="83" t="s">
        <v>75</v>
      </c>
      <c r="BC1" s="83" t="s">
        <v>76</v>
      </c>
      <c r="BD1" s="83" t="s">
        <v>77</v>
      </c>
    </row>
    <row r="2" spans="1:56">
      <c r="A2" s="122" t="str">
        <f t="shared" ref="A2" si="0">E2&amp;F2&amp;J2&amp;K2&amp;""</f>
        <v>Jul11253ReceptivaCADASTRO</v>
      </c>
      <c r="B2" s="121" t="str">
        <f t="shared" ref="B2" si="1">E2&amp;F2&amp;H2&amp;K2&amp;AI2</f>
        <v>Jul112535CADASTROPADRÃO</v>
      </c>
      <c r="C2" s="123">
        <v>1</v>
      </c>
      <c r="D2" s="124">
        <v>45868.583307638888</v>
      </c>
      <c r="E2" s="120" t="s">
        <v>78</v>
      </c>
      <c r="F2" s="125">
        <v>11253</v>
      </c>
      <c r="G2" s="121" t="s">
        <v>79</v>
      </c>
      <c r="H2" s="120">
        <v>5</v>
      </c>
      <c r="I2" s="121" t="s">
        <v>80</v>
      </c>
      <c r="J2" s="121" t="s">
        <v>81</v>
      </c>
      <c r="K2" s="121" t="s">
        <v>82</v>
      </c>
      <c r="L2" s="120"/>
      <c r="M2" s="126">
        <v>3.9583333333333337E-3</v>
      </c>
      <c r="N2" s="118" t="s">
        <v>18</v>
      </c>
      <c r="O2" s="118" t="s">
        <v>17</v>
      </c>
      <c r="P2" s="118" t="s">
        <v>17</v>
      </c>
      <c r="Q2" s="118" t="s">
        <v>17</v>
      </c>
      <c r="R2" s="118" t="s">
        <v>17</v>
      </c>
      <c r="S2" s="118" t="s">
        <v>17</v>
      </c>
      <c r="T2" s="118" t="s">
        <v>18</v>
      </c>
      <c r="U2" s="118" t="s">
        <v>17</v>
      </c>
      <c r="V2" s="118" t="s">
        <v>17</v>
      </c>
      <c r="W2" s="118" t="s">
        <v>17</v>
      </c>
      <c r="X2" s="118" t="s">
        <v>18</v>
      </c>
      <c r="Y2" s="118" t="s">
        <v>17</v>
      </c>
      <c r="Z2" s="118" t="s">
        <v>18</v>
      </c>
      <c r="AA2" s="118" t="s">
        <v>17</v>
      </c>
      <c r="AB2" s="118"/>
      <c r="AC2" s="118"/>
      <c r="AD2" s="118"/>
      <c r="AE2" s="118"/>
      <c r="AF2" s="127">
        <v>7.6375000000000002</v>
      </c>
      <c r="AG2" s="118"/>
      <c r="AH2" s="125"/>
      <c r="AI2" s="125" t="s">
        <v>83</v>
      </c>
      <c r="AJ2" s="118" t="str">
        <f>IFERROR(VLOOKUP(E2&amp;F2,'Listagem dos op'!A:S,19,0),"")</f>
        <v/>
      </c>
      <c r="AK2" s="118" t="str">
        <f t="shared" ref="AK2" si="2">E2&amp;F2</f>
        <v>Jul11253</v>
      </c>
      <c r="AL2" s="120">
        <f>IF(N2="","",IF(N2="SIM",VLOOKUP($I2&amp;$J2&amp;N$1,Pesos!$A:$I,7,FALSE),VLOOKUP($I2&amp;$J2&amp;N$1,Pesos!$A:$I,9,FALSE)))</f>
        <v>-5.000000000000001E-3</v>
      </c>
      <c r="AM2" s="120">
        <f>IF(O2="","",IF(O2="SIM",VLOOKUP($I2&amp;$J2&amp;O$1,Pesos!$A:$I,7,FALSE),VLOOKUP($I2&amp;$J2&amp;O$1,Pesos!$A:$I,9,FALSE)))</f>
        <v>0.1</v>
      </c>
      <c r="AN2" s="120">
        <f>IF(P2="","",IF(P2="SIM",VLOOKUP($I2&amp;$J2&amp;P$1,Pesos!$A:$I,7,FALSE),VLOOKUP($I2&amp;$J2&amp;P$1,Pesos!$A:$I,9,FALSE)))</f>
        <v>0.1</v>
      </c>
      <c r="AO2" s="120">
        <f>IF(Q2="","",IF(Q2="SIM",VLOOKUP($I2&amp;$J2&amp;Q$1,Pesos!$A:$I,7,FALSE),VLOOKUP($I2&amp;$J2&amp;Q$1,Pesos!$A:$I,9,FALSE)))</f>
        <v>1.6</v>
      </c>
      <c r="AP2" s="120">
        <f>IF(R2="","",IF(R2="SIM",VLOOKUP($I2&amp;$J2&amp;R$1,Pesos!$A:$I,7,FALSE),VLOOKUP($I2&amp;$J2&amp;R$1,Pesos!$A:$I,9,FALSE)))</f>
        <v>1.7000000000000002</v>
      </c>
      <c r="AQ2" s="120">
        <f>IF(S2="","",IF(S2="SIM",VLOOKUP($I2&amp;$J2&amp;S$1,Pesos!$A:$I,7,FALSE),VLOOKUP($I2&amp;$J2&amp;S$1,Pesos!$A:$I,9,FALSE)))</f>
        <v>1.7000000000000002</v>
      </c>
      <c r="AR2" s="128">
        <f>IF(T2="","",IF(T2="SIM",VLOOKUP($I2&amp;$J2&amp;T$1,Pesos!$A:$I,7,FALSE),VLOOKUP($I2&amp;$J2&amp;T$1,Pesos!$A:$I,9,FALSE)))</f>
        <v>-8.500000000000002E-2</v>
      </c>
      <c r="AS2" s="119">
        <f>IF(U2="","",IF(U2="SIM",VLOOKUP($I2&amp;$J2&amp;U$1,Pesos!$A:$I,7,FALSE),VLOOKUP($I2&amp;$J2&amp;U$1,Pesos!$A:$I,9,FALSE)))</f>
        <v>1.6500000000000001</v>
      </c>
      <c r="AT2" s="119">
        <f>IF(V2="","",IF(V2="SIM",VLOOKUP($I2&amp;$J2&amp;V$1,Pesos!$A:$I,7,FALSE),VLOOKUP($I2&amp;$J2&amp;V$1,Pesos!$A:$I,9,FALSE)))</f>
        <v>0.3</v>
      </c>
      <c r="AU2" s="119">
        <f>IF(W2="","",IF(W2="SIM",VLOOKUP($I2&amp;$J2&amp;W$1,Pesos!$A:$I,7,FALSE),VLOOKUP($I2&amp;$J2&amp;W$1,Pesos!$A:$I,9,FALSE)))</f>
        <v>0.3</v>
      </c>
      <c r="AV2" s="119">
        <f>IF(X2="","",IF(X2="SIM",VLOOKUP($I2&amp;$J2&amp;X$1,Pesos!$A:$I,7,FALSE),VLOOKUP($I2&amp;$J2&amp;X$1,Pesos!$A:$I,9,FALSE)))</f>
        <v>-7.4999999999999997E-3</v>
      </c>
      <c r="AW2" s="119">
        <f>IF(Y2="","",IF(Y2="SIM",VLOOKUP($I2&amp;$J2&amp;Y$1,Pesos!$A:$I,7,FALSE),VLOOKUP($I2&amp;$J2&amp;Y$1,Pesos!$A:$I,9,FALSE)))</f>
        <v>0.2</v>
      </c>
      <c r="AX2" s="119">
        <f>IF(Z2="","",IF(Z2="SIM",VLOOKUP($I2&amp;$J2&amp;Z$1,Pesos!$A:$I,7,FALSE),VLOOKUP($I2&amp;$J2&amp;Z$1,Pesos!$A:$I,9,FALSE)))</f>
        <v>-1.4999999999999999E-2</v>
      </c>
      <c r="AY2" s="119">
        <f>IF(AA2="","",IF(AA2="SIM",VLOOKUP($I2&amp;$J2&amp;AA$1,Pesos!$A:$I,7,FALSE),VLOOKUP($I2&amp;$J2&amp;AA$1,Pesos!$A:$I,9,FALSE)))</f>
        <v>0.1</v>
      </c>
      <c r="AZ2" s="119" t="str">
        <f>IF(AB2="","",IF(AB2="SIM",VLOOKUP($I2&amp;$J2&amp;AB$1,Pesos!$A:$I,7,FALSE),VLOOKUP($I2&amp;$J2&amp;AB$1,Pesos!$A:$I,9,FALSE)))</f>
        <v/>
      </c>
      <c r="BA2" s="119" t="str">
        <f>IF(AC2="","",IF(AC2="SIM",VLOOKUP($I2&amp;$J2&amp;AC$1,Pesos!$A:$I,7,FALSE),VLOOKUP($I2&amp;$J2&amp;AC$1,Pesos!$A:$I,9,FALSE)))</f>
        <v/>
      </c>
      <c r="BB2" s="119" t="str">
        <f>IF(AD2="","",IF(AD2="SIM",VLOOKUP($I2&amp;$J2&amp;AD$1,Pesos!$A:$I,7,FALSE),VLOOKUP($I2&amp;$J2&amp;AD$1,Pesos!$A:$I,9,FALSE)))</f>
        <v/>
      </c>
      <c r="BC2" s="119" t="str">
        <f>IF(AE2="","",IF(AE2="SIM",VLOOKUP($I2&amp;$J2&amp;AE$1,Pesos!$A:$I,7,FALSE),VLOOKUP($I2&amp;$J2&amp;AE$1,Pesos!$A:$I,9,FALSE)))</f>
        <v/>
      </c>
      <c r="BD2" s="127">
        <f>IFERROR(AF2*VLOOKUP(J2,'BD Campos'!$X$1:$Y$14,2,FALSE),"0")</f>
        <v>7.6375000000000002</v>
      </c>
    </row>
    <row r="3" spans="1:56">
      <c r="A3" s="151" t="str">
        <f t="shared" ref="A3:A65" si="3">E3&amp;F3&amp;J3&amp;K3&amp;""</f>
        <v>Jan11254ReceptivaCADASTRO</v>
      </c>
      <c r="B3" s="149" t="str">
        <f t="shared" ref="B3:B65" si="4">E3&amp;F3&amp;H3&amp;K3&amp;AI3</f>
        <v>Jan112545CADASTROPADRÃO</v>
      </c>
      <c r="C3" s="152">
        <v>1</v>
      </c>
      <c r="D3" s="153">
        <v>46035.394663888888</v>
      </c>
      <c r="E3" s="154" t="s">
        <v>12</v>
      </c>
      <c r="F3" s="155">
        <v>11254</v>
      </c>
      <c r="G3" s="149" t="s">
        <v>84</v>
      </c>
      <c r="H3" s="154">
        <v>5</v>
      </c>
      <c r="I3" s="149" t="s">
        <v>80</v>
      </c>
      <c r="J3" s="149" t="s">
        <v>81</v>
      </c>
      <c r="K3" s="149" t="s">
        <v>82</v>
      </c>
      <c r="L3" s="156"/>
      <c r="M3" s="157">
        <v>3.7037037037037034E-3</v>
      </c>
      <c r="N3" s="131" t="s">
        <v>17</v>
      </c>
      <c r="O3" s="131" t="s">
        <v>17</v>
      </c>
      <c r="P3" s="131" t="s">
        <v>17</v>
      </c>
      <c r="Q3" s="131" t="s">
        <v>17</v>
      </c>
      <c r="R3" s="131" t="s">
        <v>17</v>
      </c>
      <c r="S3" s="131" t="s">
        <v>17</v>
      </c>
      <c r="T3" s="131" t="s">
        <v>17</v>
      </c>
      <c r="U3" s="131" t="s">
        <v>17</v>
      </c>
      <c r="V3" s="131" t="s">
        <v>17</v>
      </c>
      <c r="W3" s="131" t="s">
        <v>17</v>
      </c>
      <c r="X3" s="131" t="s">
        <v>17</v>
      </c>
      <c r="Y3" s="131" t="s">
        <v>17</v>
      </c>
      <c r="Z3" s="131" t="s">
        <v>17</v>
      </c>
      <c r="AA3" s="131" t="s">
        <v>17</v>
      </c>
      <c r="AB3" s="131"/>
      <c r="AC3" s="131"/>
      <c r="AD3" s="131"/>
      <c r="AE3" s="131"/>
      <c r="AF3" s="158">
        <f>SUM(AL3:BC3)</f>
        <v>10.000000000000002</v>
      </c>
      <c r="AG3" s="159"/>
      <c r="AH3" s="155"/>
      <c r="AI3" s="155" t="s">
        <v>83</v>
      </c>
      <c r="AJ3" s="131" t="str">
        <f>IFERROR(VLOOKUP(E3&amp;F3,'Listagem dos op'!A:S,19,0),"")</f>
        <v/>
      </c>
      <c r="AK3" s="131" t="str">
        <f t="shared" ref="AK3:AK65" si="5">E3&amp;F3</f>
        <v>Jan11254</v>
      </c>
      <c r="AL3" s="154">
        <f>IF(N3="","",IF(N3="SIM",VLOOKUP($I3&amp;$J3&amp;N$1,Pesos!$A:$I,7,FALSE),VLOOKUP($I3&amp;$J3&amp;N$1,Pesos!$A:$I,9,FALSE)))</f>
        <v>0.1</v>
      </c>
      <c r="AM3" s="154">
        <f>IF(O3="","",IF(O3="SIM",VLOOKUP($I3&amp;$J3&amp;O$1,Pesos!$A:$I,7,FALSE),VLOOKUP($I3&amp;$J3&amp;O$1,Pesos!$A:$I,9,FALSE)))</f>
        <v>0.1</v>
      </c>
      <c r="AN3" s="154">
        <f>IF(P3="","",IF(P3="SIM",VLOOKUP($I3&amp;$J3&amp;P$1,Pesos!$A:$I,7,FALSE),VLOOKUP($I3&amp;$J3&amp;P$1,Pesos!$A:$I,9,FALSE)))</f>
        <v>0.1</v>
      </c>
      <c r="AO3" s="154">
        <f>IF(Q3="","",IF(Q3="SIM",VLOOKUP($I3&amp;$J3&amp;Q$1,Pesos!$A:$I,7,FALSE),VLOOKUP($I3&amp;$J3&amp;Q$1,Pesos!$A:$I,9,FALSE)))</f>
        <v>1.6</v>
      </c>
      <c r="AP3" s="154">
        <f>IF(R3="","",IF(R3="SIM",VLOOKUP($I3&amp;$J3&amp;R$1,Pesos!$A:$I,7,FALSE),VLOOKUP($I3&amp;$J3&amp;R$1,Pesos!$A:$I,9,FALSE)))</f>
        <v>1.7000000000000002</v>
      </c>
      <c r="AQ3" s="154">
        <f>IF(S3="","",IF(S3="SIM",VLOOKUP($I3&amp;$J3&amp;S$1,Pesos!$A:$I,7,FALSE),VLOOKUP($I3&amp;$J3&amp;S$1,Pesos!$A:$I,9,FALSE)))</f>
        <v>1.7000000000000002</v>
      </c>
      <c r="AR3" s="156">
        <f>IF(T3="","",IF(T3="SIM",VLOOKUP($I3&amp;$J3&amp;T$1,Pesos!$A:$I,7,FALSE),VLOOKUP($I3&amp;$J3&amp;T$1,Pesos!$A:$I,9,FALSE)))</f>
        <v>1.7000000000000002</v>
      </c>
      <c r="AS3" s="132">
        <f>IF(U3="","",IF(U3="SIM",VLOOKUP($I3&amp;$J3&amp;U$1,Pesos!$A:$I,7,FALSE),VLOOKUP($I3&amp;$J3&amp;U$1,Pesos!$A:$I,9,FALSE)))</f>
        <v>1.6500000000000001</v>
      </c>
      <c r="AT3" s="132">
        <f>IF(V3="","",IF(V3="SIM",VLOOKUP($I3&amp;$J3&amp;V$1,Pesos!$A:$I,7,FALSE),VLOOKUP($I3&amp;$J3&amp;V$1,Pesos!$A:$I,9,FALSE)))</f>
        <v>0.3</v>
      </c>
      <c r="AU3" s="132">
        <f>IF(W3="","",IF(W3="SIM",VLOOKUP($I3&amp;$J3&amp;W$1,Pesos!$A:$I,7,FALSE),VLOOKUP($I3&amp;$J3&amp;W$1,Pesos!$A:$I,9,FALSE)))</f>
        <v>0.3</v>
      </c>
      <c r="AV3" s="132">
        <f>IF(X3="","",IF(X3="SIM",VLOOKUP($I3&amp;$J3&amp;X$1,Pesos!$A:$I,7,FALSE),VLOOKUP($I3&amp;$J3&amp;X$1,Pesos!$A:$I,9,FALSE)))</f>
        <v>0.15</v>
      </c>
      <c r="AW3" s="132">
        <f>IF(Y3="","",IF(Y3="SIM",VLOOKUP($I3&amp;$J3&amp;Y$1,Pesos!$A:$I,7,FALSE),VLOOKUP($I3&amp;$J3&amp;Y$1,Pesos!$A:$I,9,FALSE)))</f>
        <v>0.2</v>
      </c>
      <c r="AX3" s="132">
        <f>IF(Z3="","",IF(Z3="SIM",VLOOKUP($I3&amp;$J3&amp;Z$1,Pesos!$A:$I,7,FALSE),VLOOKUP($I3&amp;$J3&amp;Z$1,Pesos!$A:$I,9,FALSE)))</f>
        <v>0.3</v>
      </c>
      <c r="AY3" s="132">
        <f>IF(AA3="","",IF(AA3="SIM",VLOOKUP($I3&amp;$J3&amp;AA$1,Pesos!$A:$I,7,FALSE),VLOOKUP($I3&amp;$J3&amp;AA$1,Pesos!$A:$I,9,FALSE)))</f>
        <v>0.1</v>
      </c>
      <c r="AZ3" s="132" t="str">
        <f>IF(AB3="","",IF(AB3="SIM",VLOOKUP($I3&amp;$J3&amp;AB$1,Pesos!$A:$I,7,FALSE),VLOOKUP($I3&amp;$J3&amp;AB$1,Pesos!$A:$I,9,FALSE)))</f>
        <v/>
      </c>
      <c r="BA3" s="132" t="str">
        <f>IF(AC3="","",IF(AC3="SIM",VLOOKUP($I3&amp;$J3&amp;AC$1,Pesos!$A:$I,7,FALSE),VLOOKUP($I3&amp;$J3&amp;AC$1,Pesos!$A:$I,9,FALSE)))</f>
        <v/>
      </c>
      <c r="BB3" s="132" t="str">
        <f>IF(AD3="","",IF(AD3="SIM",VLOOKUP($I3&amp;$J3&amp;AD$1,Pesos!$A:$I,7,FALSE),VLOOKUP($I3&amp;$J3&amp;AD$1,Pesos!$A:$I,9,FALSE)))</f>
        <v/>
      </c>
      <c r="BC3" s="132" t="str">
        <f>IF(AE3="","",IF(AE3="SIM",VLOOKUP($I3&amp;$J3&amp;AE$1,Pesos!$A:$I,7,FALSE),VLOOKUP($I3&amp;$J3&amp;AE$1,Pesos!$A:$I,9,FALSE)))</f>
        <v/>
      </c>
      <c r="BD3" s="158">
        <f>IFERROR(AF3*VLOOKUP(J3,'BD Campos'!$X$1:$Y$14,2,FALSE),"0")</f>
        <v>10.000000000000002</v>
      </c>
    </row>
    <row r="4" spans="1:56">
      <c r="A4" s="151" t="str">
        <f t="shared" si="3"/>
        <v>Jan10709ReceptivaCADASTRO</v>
      </c>
      <c r="B4" s="149" t="str">
        <f t="shared" si="4"/>
        <v>Jan107095CADASTROPADRÃO</v>
      </c>
      <c r="C4" s="152">
        <v>1</v>
      </c>
      <c r="D4" s="153">
        <v>46035.41025335648</v>
      </c>
      <c r="E4" s="154" t="s">
        <v>12</v>
      </c>
      <c r="F4" s="155">
        <v>10709</v>
      </c>
      <c r="G4" s="149" t="s">
        <v>85</v>
      </c>
      <c r="H4" s="154">
        <v>5</v>
      </c>
      <c r="I4" s="149" t="s">
        <v>80</v>
      </c>
      <c r="J4" s="149" t="s">
        <v>81</v>
      </c>
      <c r="K4" s="149" t="s">
        <v>82</v>
      </c>
      <c r="L4" s="156"/>
      <c r="M4" s="157">
        <v>1.423611111111111E-3</v>
      </c>
      <c r="N4" s="131" t="s">
        <v>17</v>
      </c>
      <c r="O4" s="131" t="s">
        <v>17</v>
      </c>
      <c r="P4" s="131" t="s">
        <v>17</v>
      </c>
      <c r="Q4" s="131" t="s">
        <v>17</v>
      </c>
      <c r="R4" s="131" t="s">
        <v>17</v>
      </c>
      <c r="S4" s="131" t="s">
        <v>17</v>
      </c>
      <c r="T4" s="131" t="s">
        <v>17</v>
      </c>
      <c r="U4" s="131" t="s">
        <v>17</v>
      </c>
      <c r="V4" s="131" t="s">
        <v>17</v>
      </c>
      <c r="W4" s="131" t="s">
        <v>17</v>
      </c>
      <c r="X4" s="131" t="s">
        <v>17</v>
      </c>
      <c r="Y4" s="131" t="s">
        <v>17</v>
      </c>
      <c r="Z4" s="131" t="s">
        <v>17</v>
      </c>
      <c r="AA4" s="131" t="s">
        <v>17</v>
      </c>
      <c r="AB4" s="131"/>
      <c r="AC4" s="131"/>
      <c r="AD4" s="131"/>
      <c r="AE4" s="131"/>
      <c r="AF4" s="158">
        <f t="shared" ref="AF4:AF66" si="6">SUM(AL4:BC4)</f>
        <v>10.000000000000002</v>
      </c>
      <c r="AG4" s="159"/>
      <c r="AH4" s="155"/>
      <c r="AI4" s="155" t="s">
        <v>83</v>
      </c>
      <c r="AJ4" s="131" t="str">
        <f>IFERROR(VLOOKUP(E4&amp;F4,'Listagem dos op'!A:S,19,0),"")</f>
        <v/>
      </c>
      <c r="AK4" s="131" t="str">
        <f t="shared" si="5"/>
        <v>Jan10709</v>
      </c>
      <c r="AL4" s="154">
        <f>IF(N4="","",IF(N4="SIM",VLOOKUP($I4&amp;$J4&amp;N$1,Pesos!$A:$I,7,FALSE),VLOOKUP($I4&amp;$J4&amp;N$1,Pesos!$A:$I,9,FALSE)))</f>
        <v>0.1</v>
      </c>
      <c r="AM4" s="154">
        <f>IF(O4="","",IF(O4="SIM",VLOOKUP($I4&amp;$J4&amp;O$1,Pesos!$A:$I,7,FALSE),VLOOKUP($I4&amp;$J4&amp;O$1,Pesos!$A:$I,9,FALSE)))</f>
        <v>0.1</v>
      </c>
      <c r="AN4" s="154">
        <f>IF(P4="","",IF(P4="SIM",VLOOKUP($I4&amp;$J4&amp;P$1,Pesos!$A:$I,7,FALSE),VLOOKUP($I4&amp;$J4&amp;P$1,Pesos!$A:$I,9,FALSE)))</f>
        <v>0.1</v>
      </c>
      <c r="AO4" s="154">
        <f>IF(Q4="","",IF(Q4="SIM",VLOOKUP($I4&amp;$J4&amp;Q$1,Pesos!$A:$I,7,FALSE),VLOOKUP($I4&amp;$J4&amp;Q$1,Pesos!$A:$I,9,FALSE)))</f>
        <v>1.6</v>
      </c>
      <c r="AP4" s="154">
        <f>IF(R4="","",IF(R4="SIM",VLOOKUP($I4&amp;$J4&amp;R$1,Pesos!$A:$I,7,FALSE),VLOOKUP($I4&amp;$J4&amp;R$1,Pesos!$A:$I,9,FALSE)))</f>
        <v>1.7000000000000002</v>
      </c>
      <c r="AQ4" s="154">
        <f>IF(S4="","",IF(S4="SIM",VLOOKUP($I4&amp;$J4&amp;S$1,Pesos!$A:$I,7,FALSE),VLOOKUP($I4&amp;$J4&amp;S$1,Pesos!$A:$I,9,FALSE)))</f>
        <v>1.7000000000000002</v>
      </c>
      <c r="AR4" s="156">
        <f>IF(T4="","",IF(T4="SIM",VLOOKUP($I4&amp;$J4&amp;T$1,Pesos!$A:$I,7,FALSE),VLOOKUP($I4&amp;$J4&amp;T$1,Pesos!$A:$I,9,FALSE)))</f>
        <v>1.7000000000000002</v>
      </c>
      <c r="AS4" s="132">
        <f>IF(U4="","",IF(U4="SIM",VLOOKUP($I4&amp;$J4&amp;U$1,Pesos!$A:$I,7,FALSE),VLOOKUP($I4&amp;$J4&amp;U$1,Pesos!$A:$I,9,FALSE)))</f>
        <v>1.6500000000000001</v>
      </c>
      <c r="AT4" s="132">
        <f>IF(V4="","",IF(V4="SIM",VLOOKUP($I4&amp;$J4&amp;V$1,Pesos!$A:$I,7,FALSE),VLOOKUP($I4&amp;$J4&amp;V$1,Pesos!$A:$I,9,FALSE)))</f>
        <v>0.3</v>
      </c>
      <c r="AU4" s="132">
        <f>IF(W4="","",IF(W4="SIM",VLOOKUP($I4&amp;$J4&amp;W$1,Pesos!$A:$I,7,FALSE),VLOOKUP($I4&amp;$J4&amp;W$1,Pesos!$A:$I,9,FALSE)))</f>
        <v>0.3</v>
      </c>
      <c r="AV4" s="132">
        <f>IF(X4="","",IF(X4="SIM",VLOOKUP($I4&amp;$J4&amp;X$1,Pesos!$A:$I,7,FALSE),VLOOKUP($I4&amp;$J4&amp;X$1,Pesos!$A:$I,9,FALSE)))</f>
        <v>0.15</v>
      </c>
      <c r="AW4" s="132">
        <f>IF(Y4="","",IF(Y4="SIM",VLOOKUP($I4&amp;$J4&amp;Y$1,Pesos!$A:$I,7,FALSE),VLOOKUP($I4&amp;$J4&amp;Y$1,Pesos!$A:$I,9,FALSE)))</f>
        <v>0.2</v>
      </c>
      <c r="AX4" s="132">
        <f>IF(Z4="","",IF(Z4="SIM",VLOOKUP($I4&amp;$J4&amp;Z$1,Pesos!$A:$I,7,FALSE),VLOOKUP($I4&amp;$J4&amp;Z$1,Pesos!$A:$I,9,FALSE)))</f>
        <v>0.3</v>
      </c>
      <c r="AY4" s="132">
        <f>IF(AA4="","",IF(AA4="SIM",VLOOKUP($I4&amp;$J4&amp;AA$1,Pesos!$A:$I,7,FALSE),VLOOKUP($I4&amp;$J4&amp;AA$1,Pesos!$A:$I,9,FALSE)))</f>
        <v>0.1</v>
      </c>
      <c r="AZ4" s="132" t="str">
        <f>IF(AB4="","",IF(AB4="SIM",VLOOKUP($I4&amp;$J4&amp;AB$1,Pesos!$A:$I,7,FALSE),VLOOKUP($I4&amp;$J4&amp;AB$1,Pesos!$A:$I,9,FALSE)))</f>
        <v/>
      </c>
      <c r="BA4" s="132" t="str">
        <f>IF(AC4="","",IF(AC4="SIM",VLOOKUP($I4&amp;$J4&amp;AC$1,Pesos!$A:$I,7,FALSE),VLOOKUP($I4&amp;$J4&amp;AC$1,Pesos!$A:$I,9,FALSE)))</f>
        <v/>
      </c>
      <c r="BB4" s="132" t="str">
        <f>IF(AD4="","",IF(AD4="SIM",VLOOKUP($I4&amp;$J4&amp;AD$1,Pesos!$A:$I,7,FALSE),VLOOKUP($I4&amp;$J4&amp;AD$1,Pesos!$A:$I,9,FALSE)))</f>
        <v/>
      </c>
      <c r="BC4" s="132" t="str">
        <f>IF(AE4="","",IF(AE4="SIM",VLOOKUP($I4&amp;$J4&amp;AE$1,Pesos!$A:$I,7,FALSE),VLOOKUP($I4&amp;$J4&amp;AE$1,Pesos!$A:$I,9,FALSE)))</f>
        <v/>
      </c>
      <c r="BD4" s="158">
        <f>IFERROR(AF4*VLOOKUP(J4,'BD Campos'!$X$1:$Y$14,2,FALSE),"0")</f>
        <v>10.000000000000002</v>
      </c>
    </row>
    <row r="5" spans="1:56">
      <c r="A5" s="151" t="str">
        <f t="shared" si="3"/>
        <v>Jan10709Receptiva 2CADASTRO</v>
      </c>
      <c r="B5" s="149" t="str">
        <f t="shared" si="4"/>
        <v>Jan107096CADASTROPADRÃO</v>
      </c>
      <c r="C5" s="152">
        <v>1</v>
      </c>
      <c r="D5" s="153">
        <v>46035.42899479167</v>
      </c>
      <c r="E5" s="154" t="s">
        <v>12</v>
      </c>
      <c r="F5" s="155">
        <v>10709</v>
      </c>
      <c r="G5" s="149" t="s">
        <v>85</v>
      </c>
      <c r="H5" s="154">
        <v>6</v>
      </c>
      <c r="I5" s="149" t="s">
        <v>80</v>
      </c>
      <c r="J5" s="149" t="s">
        <v>86</v>
      </c>
      <c r="K5" s="149" t="s">
        <v>82</v>
      </c>
      <c r="L5" s="156"/>
      <c r="M5" s="157">
        <v>3.0902777777777782E-3</v>
      </c>
      <c r="N5" s="131" t="s">
        <v>17</v>
      </c>
      <c r="O5" s="131" t="s">
        <v>17</v>
      </c>
      <c r="P5" s="131" t="s">
        <v>17</v>
      </c>
      <c r="Q5" s="131" t="s">
        <v>17</v>
      </c>
      <c r="R5" s="131" t="s">
        <v>17</v>
      </c>
      <c r="S5" s="131" t="s">
        <v>17</v>
      </c>
      <c r="T5" s="131" t="s">
        <v>17</v>
      </c>
      <c r="U5" s="131" t="s">
        <v>17</v>
      </c>
      <c r="V5" s="131" t="s">
        <v>17</v>
      </c>
      <c r="W5" s="131" t="s">
        <v>17</v>
      </c>
      <c r="X5" s="131" t="s">
        <v>17</v>
      </c>
      <c r="Y5" s="131" t="s">
        <v>17</v>
      </c>
      <c r="Z5" s="131" t="s">
        <v>17</v>
      </c>
      <c r="AA5" s="131" t="s">
        <v>17</v>
      </c>
      <c r="AB5" s="131"/>
      <c r="AC5" s="131"/>
      <c r="AD5" s="131"/>
      <c r="AE5" s="131"/>
      <c r="AF5" s="158">
        <f t="shared" si="6"/>
        <v>10.000000000000002</v>
      </c>
      <c r="AG5" s="159"/>
      <c r="AH5" s="155"/>
      <c r="AI5" s="155" t="s">
        <v>83</v>
      </c>
      <c r="AJ5" s="131" t="str">
        <f>IFERROR(VLOOKUP(E5&amp;F5,'Listagem dos op'!A:S,19,0),"")</f>
        <v/>
      </c>
      <c r="AK5" s="131" t="str">
        <f t="shared" si="5"/>
        <v>Jan10709</v>
      </c>
      <c r="AL5" s="154">
        <f>IF(N5="","",IF(N5="SIM",VLOOKUP($I5&amp;$J5&amp;N$1,Pesos!$A:$I,7,FALSE),VLOOKUP($I5&amp;$J5&amp;N$1,Pesos!$A:$I,9,FALSE)))</f>
        <v>0.1</v>
      </c>
      <c r="AM5" s="154">
        <f>IF(O5="","",IF(O5="SIM",VLOOKUP($I5&amp;$J5&amp;O$1,Pesos!$A:$I,7,FALSE),VLOOKUP($I5&amp;$J5&amp;O$1,Pesos!$A:$I,9,FALSE)))</f>
        <v>0.1</v>
      </c>
      <c r="AN5" s="154">
        <f>IF(P5="","",IF(P5="SIM",VLOOKUP($I5&amp;$J5&amp;P$1,Pesos!$A:$I,7,FALSE),VLOOKUP($I5&amp;$J5&amp;P$1,Pesos!$A:$I,9,FALSE)))</f>
        <v>0.1</v>
      </c>
      <c r="AO5" s="154">
        <f>IF(Q5="","",IF(Q5="SIM",VLOOKUP($I5&amp;$J5&amp;Q$1,Pesos!$A:$I,7,FALSE),VLOOKUP($I5&amp;$J5&amp;Q$1,Pesos!$A:$I,9,FALSE)))</f>
        <v>1.6</v>
      </c>
      <c r="AP5" s="154">
        <f>IF(R5="","",IF(R5="SIM",VLOOKUP($I5&amp;$J5&amp;R$1,Pesos!$A:$I,7,FALSE),VLOOKUP($I5&amp;$J5&amp;R$1,Pesos!$A:$I,9,FALSE)))</f>
        <v>1.7000000000000002</v>
      </c>
      <c r="AQ5" s="154">
        <f>IF(S5="","",IF(S5="SIM",VLOOKUP($I5&amp;$J5&amp;S$1,Pesos!$A:$I,7,FALSE),VLOOKUP($I5&amp;$J5&amp;S$1,Pesos!$A:$I,9,FALSE)))</f>
        <v>1.7000000000000002</v>
      </c>
      <c r="AR5" s="156">
        <f>IF(T5="","",IF(T5="SIM",VLOOKUP($I5&amp;$J5&amp;T$1,Pesos!$A:$I,7,FALSE),VLOOKUP($I5&amp;$J5&amp;T$1,Pesos!$A:$I,9,FALSE)))</f>
        <v>1.7000000000000002</v>
      </c>
      <c r="AS5" s="132">
        <f>IF(U5="","",IF(U5="SIM",VLOOKUP($I5&amp;$J5&amp;U$1,Pesos!$A:$I,7,FALSE),VLOOKUP($I5&amp;$J5&amp;U$1,Pesos!$A:$I,9,FALSE)))</f>
        <v>1.6500000000000001</v>
      </c>
      <c r="AT5" s="132">
        <f>IF(V5="","",IF(V5="SIM",VLOOKUP($I5&amp;$J5&amp;V$1,Pesos!$A:$I,7,FALSE),VLOOKUP($I5&amp;$J5&amp;V$1,Pesos!$A:$I,9,FALSE)))</f>
        <v>0.3</v>
      </c>
      <c r="AU5" s="132">
        <f>IF(W5="","",IF(W5="SIM",VLOOKUP($I5&amp;$J5&amp;W$1,Pesos!$A:$I,7,FALSE),VLOOKUP($I5&amp;$J5&amp;W$1,Pesos!$A:$I,9,FALSE)))</f>
        <v>0.3</v>
      </c>
      <c r="AV5" s="132">
        <f>IF(X5="","",IF(X5="SIM",VLOOKUP($I5&amp;$J5&amp;X$1,Pesos!$A:$I,7,FALSE),VLOOKUP($I5&amp;$J5&amp;X$1,Pesos!$A:$I,9,FALSE)))</f>
        <v>0.15</v>
      </c>
      <c r="AW5" s="132">
        <f>IF(Y5="","",IF(Y5="SIM",VLOOKUP($I5&amp;$J5&amp;Y$1,Pesos!$A:$I,7,FALSE),VLOOKUP($I5&amp;$J5&amp;Y$1,Pesos!$A:$I,9,FALSE)))</f>
        <v>0.2</v>
      </c>
      <c r="AX5" s="132">
        <f>IF(Z5="","",IF(Z5="SIM",VLOOKUP($I5&amp;$J5&amp;Z$1,Pesos!$A:$I,7,FALSE),VLOOKUP($I5&amp;$J5&amp;Z$1,Pesos!$A:$I,9,FALSE)))</f>
        <v>0.3</v>
      </c>
      <c r="AY5" s="132">
        <f>IF(AA5="","",IF(AA5="SIM",VLOOKUP($I5&amp;$J5&amp;AA$1,Pesos!$A:$I,7,FALSE),VLOOKUP($I5&amp;$J5&amp;AA$1,Pesos!$A:$I,9,FALSE)))</f>
        <v>0.1</v>
      </c>
      <c r="AZ5" s="132" t="str">
        <f>IF(AB5="","",IF(AB5="SIM",VLOOKUP($I5&amp;$J5&amp;AB$1,Pesos!$A:$I,7,FALSE),VLOOKUP($I5&amp;$J5&amp;AB$1,Pesos!$A:$I,9,FALSE)))</f>
        <v/>
      </c>
      <c r="BA5" s="132" t="str">
        <f>IF(AC5="","",IF(AC5="SIM",VLOOKUP($I5&amp;$J5&amp;AC$1,Pesos!$A:$I,7,FALSE),VLOOKUP($I5&amp;$J5&amp;AC$1,Pesos!$A:$I,9,FALSE)))</f>
        <v/>
      </c>
      <c r="BB5" s="132" t="str">
        <f>IF(AD5="","",IF(AD5="SIM",VLOOKUP($I5&amp;$J5&amp;AD$1,Pesos!$A:$I,7,FALSE),VLOOKUP($I5&amp;$J5&amp;AD$1,Pesos!$A:$I,9,FALSE)))</f>
        <v/>
      </c>
      <c r="BC5" s="132" t="str">
        <f>IF(AE5="","",IF(AE5="SIM",VLOOKUP($I5&amp;$J5&amp;AE$1,Pesos!$A:$I,7,FALSE),VLOOKUP($I5&amp;$J5&amp;AE$1,Pesos!$A:$I,9,FALSE)))</f>
        <v/>
      </c>
      <c r="BD5" s="158">
        <f>IFERROR(AF5*VLOOKUP(J5,'BD Campos'!$X$1:$Y$14,2,FALSE),"0")</f>
        <v>10.000000000000002</v>
      </c>
    </row>
    <row r="6" spans="1:56">
      <c r="A6" s="151" t="str">
        <f t="shared" si="3"/>
        <v>Jan11010ReceptivaCADASTRO</v>
      </c>
      <c r="B6" s="149" t="str">
        <f t="shared" si="4"/>
        <v>Jan110105CADASTROPADRÃO</v>
      </c>
      <c r="C6" s="152">
        <v>1</v>
      </c>
      <c r="D6" s="153">
        <v>46035.437728009259</v>
      </c>
      <c r="E6" s="154" t="s">
        <v>12</v>
      </c>
      <c r="F6" s="155">
        <v>11010</v>
      </c>
      <c r="G6" s="149" t="s">
        <v>87</v>
      </c>
      <c r="H6" s="154">
        <v>5</v>
      </c>
      <c r="I6" s="149" t="s">
        <v>80</v>
      </c>
      <c r="J6" s="149" t="s">
        <v>81</v>
      </c>
      <c r="K6" s="149" t="s">
        <v>82</v>
      </c>
      <c r="L6" s="156"/>
      <c r="M6" s="157">
        <v>3.0671296296296297E-3</v>
      </c>
      <c r="N6" s="131" t="s">
        <v>17</v>
      </c>
      <c r="O6" s="131" t="s">
        <v>17</v>
      </c>
      <c r="P6" s="131" t="s">
        <v>17</v>
      </c>
      <c r="Q6" s="131" t="s">
        <v>17</v>
      </c>
      <c r="R6" s="131" t="s">
        <v>17</v>
      </c>
      <c r="S6" s="131" t="s">
        <v>17</v>
      </c>
      <c r="T6" s="131" t="s">
        <v>17</v>
      </c>
      <c r="U6" s="131" t="s">
        <v>17</v>
      </c>
      <c r="V6" s="131" t="s">
        <v>17</v>
      </c>
      <c r="W6" s="131" t="s">
        <v>17</v>
      </c>
      <c r="X6" s="131" t="s">
        <v>17</v>
      </c>
      <c r="Y6" s="131" t="s">
        <v>17</v>
      </c>
      <c r="Z6" s="131" t="s">
        <v>17</v>
      </c>
      <c r="AA6" s="131" t="s">
        <v>17</v>
      </c>
      <c r="AB6" s="131"/>
      <c r="AC6" s="131"/>
      <c r="AD6" s="131"/>
      <c r="AE6" s="131"/>
      <c r="AF6" s="158">
        <f t="shared" si="6"/>
        <v>10.000000000000002</v>
      </c>
      <c r="AG6" s="159"/>
      <c r="AH6" s="155"/>
      <c r="AI6" s="155" t="s">
        <v>83</v>
      </c>
      <c r="AJ6" s="131" t="str">
        <f>IFERROR(VLOOKUP(E6&amp;F6,'Listagem dos op'!A:S,19,0),"")</f>
        <v/>
      </c>
      <c r="AK6" s="131" t="str">
        <f t="shared" si="5"/>
        <v>Jan11010</v>
      </c>
      <c r="AL6" s="154">
        <f>IF(N6="","",IF(N6="SIM",VLOOKUP($I6&amp;$J6&amp;N$1,Pesos!$A:$I,7,FALSE),VLOOKUP($I6&amp;$J6&amp;N$1,Pesos!$A:$I,9,FALSE)))</f>
        <v>0.1</v>
      </c>
      <c r="AM6" s="154">
        <f>IF(O6="","",IF(O6="SIM",VLOOKUP($I6&amp;$J6&amp;O$1,Pesos!$A:$I,7,FALSE),VLOOKUP($I6&amp;$J6&amp;O$1,Pesos!$A:$I,9,FALSE)))</f>
        <v>0.1</v>
      </c>
      <c r="AN6" s="154">
        <f>IF(P6="","",IF(P6="SIM",VLOOKUP($I6&amp;$J6&amp;P$1,Pesos!$A:$I,7,FALSE),VLOOKUP($I6&amp;$J6&amp;P$1,Pesos!$A:$I,9,FALSE)))</f>
        <v>0.1</v>
      </c>
      <c r="AO6" s="154">
        <f>IF(Q6="","",IF(Q6="SIM",VLOOKUP($I6&amp;$J6&amp;Q$1,Pesos!$A:$I,7,FALSE),VLOOKUP($I6&amp;$J6&amp;Q$1,Pesos!$A:$I,9,FALSE)))</f>
        <v>1.6</v>
      </c>
      <c r="AP6" s="154">
        <f>IF(R6="","",IF(R6="SIM",VLOOKUP($I6&amp;$J6&amp;R$1,Pesos!$A:$I,7,FALSE),VLOOKUP($I6&amp;$J6&amp;R$1,Pesos!$A:$I,9,FALSE)))</f>
        <v>1.7000000000000002</v>
      </c>
      <c r="AQ6" s="154">
        <f>IF(S6="","",IF(S6="SIM",VLOOKUP($I6&amp;$J6&amp;S$1,Pesos!$A:$I,7,FALSE),VLOOKUP($I6&amp;$J6&amp;S$1,Pesos!$A:$I,9,FALSE)))</f>
        <v>1.7000000000000002</v>
      </c>
      <c r="AR6" s="156">
        <f>IF(T6="","",IF(T6="SIM",VLOOKUP($I6&amp;$J6&amp;T$1,Pesos!$A:$I,7,FALSE),VLOOKUP($I6&amp;$J6&amp;T$1,Pesos!$A:$I,9,FALSE)))</f>
        <v>1.7000000000000002</v>
      </c>
      <c r="AS6" s="132">
        <f>IF(U6="","",IF(U6="SIM",VLOOKUP($I6&amp;$J6&amp;U$1,Pesos!$A:$I,7,FALSE),VLOOKUP($I6&amp;$J6&amp;U$1,Pesos!$A:$I,9,FALSE)))</f>
        <v>1.6500000000000001</v>
      </c>
      <c r="AT6" s="132">
        <f>IF(V6="","",IF(V6="SIM",VLOOKUP($I6&amp;$J6&amp;V$1,Pesos!$A:$I,7,FALSE),VLOOKUP($I6&amp;$J6&amp;V$1,Pesos!$A:$I,9,FALSE)))</f>
        <v>0.3</v>
      </c>
      <c r="AU6" s="132">
        <f>IF(W6="","",IF(W6="SIM",VLOOKUP($I6&amp;$J6&amp;W$1,Pesos!$A:$I,7,FALSE),VLOOKUP($I6&amp;$J6&amp;W$1,Pesos!$A:$I,9,FALSE)))</f>
        <v>0.3</v>
      </c>
      <c r="AV6" s="132">
        <f>IF(X6="","",IF(X6="SIM",VLOOKUP($I6&amp;$J6&amp;X$1,Pesos!$A:$I,7,FALSE),VLOOKUP($I6&amp;$J6&amp;X$1,Pesos!$A:$I,9,FALSE)))</f>
        <v>0.15</v>
      </c>
      <c r="AW6" s="132">
        <f>IF(Y6="","",IF(Y6="SIM",VLOOKUP($I6&amp;$J6&amp;Y$1,Pesos!$A:$I,7,FALSE),VLOOKUP($I6&amp;$J6&amp;Y$1,Pesos!$A:$I,9,FALSE)))</f>
        <v>0.2</v>
      </c>
      <c r="AX6" s="132">
        <f>IF(Z6="","",IF(Z6="SIM",VLOOKUP($I6&amp;$J6&amp;Z$1,Pesos!$A:$I,7,FALSE),VLOOKUP($I6&amp;$J6&amp;Z$1,Pesos!$A:$I,9,FALSE)))</f>
        <v>0.3</v>
      </c>
      <c r="AY6" s="132">
        <f>IF(AA6="","",IF(AA6="SIM",VLOOKUP($I6&amp;$J6&amp;AA$1,Pesos!$A:$I,7,FALSE),VLOOKUP($I6&amp;$J6&amp;AA$1,Pesos!$A:$I,9,FALSE)))</f>
        <v>0.1</v>
      </c>
      <c r="AZ6" s="132" t="str">
        <f>IF(AB6="","",IF(AB6="SIM",VLOOKUP($I6&amp;$J6&amp;AB$1,Pesos!$A:$I,7,FALSE),VLOOKUP($I6&amp;$J6&amp;AB$1,Pesos!$A:$I,9,FALSE)))</f>
        <v/>
      </c>
      <c r="BA6" s="132" t="str">
        <f>IF(AC6="","",IF(AC6="SIM",VLOOKUP($I6&amp;$J6&amp;AC$1,Pesos!$A:$I,7,FALSE),VLOOKUP($I6&amp;$J6&amp;AC$1,Pesos!$A:$I,9,FALSE)))</f>
        <v/>
      </c>
      <c r="BB6" s="132" t="str">
        <f>IF(AD6="","",IF(AD6="SIM",VLOOKUP($I6&amp;$J6&amp;AD$1,Pesos!$A:$I,7,FALSE),VLOOKUP($I6&amp;$J6&amp;AD$1,Pesos!$A:$I,9,FALSE)))</f>
        <v/>
      </c>
      <c r="BC6" s="132" t="str">
        <f>IF(AE6="","",IF(AE6="SIM",VLOOKUP($I6&amp;$J6&amp;AE$1,Pesos!$A:$I,7,FALSE),VLOOKUP($I6&amp;$J6&amp;AE$1,Pesos!$A:$I,9,FALSE)))</f>
        <v/>
      </c>
      <c r="BD6" s="158">
        <f>IFERROR(AF6*VLOOKUP(J6,'BD Campos'!$X$1:$Y$14,2,FALSE),"0")</f>
        <v>10.000000000000002</v>
      </c>
    </row>
    <row r="7" spans="1:56">
      <c r="A7" s="151" t="str">
        <f t="shared" si="3"/>
        <v>Jan11010Receptiva 2CADASTRO</v>
      </c>
      <c r="B7" s="149" t="str">
        <f t="shared" si="4"/>
        <v>Jan110106CADASTROPADRÃO</v>
      </c>
      <c r="C7" s="152">
        <v>1</v>
      </c>
      <c r="D7" s="153">
        <v>46035.458546875001</v>
      </c>
      <c r="E7" s="154" t="s">
        <v>12</v>
      </c>
      <c r="F7" s="155">
        <v>11010</v>
      </c>
      <c r="G7" s="149" t="s">
        <v>87</v>
      </c>
      <c r="H7" s="154">
        <v>6</v>
      </c>
      <c r="I7" s="149" t="s">
        <v>80</v>
      </c>
      <c r="J7" s="149" t="s">
        <v>86</v>
      </c>
      <c r="K7" s="149" t="s">
        <v>82</v>
      </c>
      <c r="L7" s="156"/>
      <c r="M7" s="157">
        <v>2.2800925925925927E-3</v>
      </c>
      <c r="N7" s="131" t="s">
        <v>17</v>
      </c>
      <c r="O7" s="131" t="s">
        <v>18</v>
      </c>
      <c r="P7" s="131" t="s">
        <v>17</v>
      </c>
      <c r="Q7" s="131" t="s">
        <v>17</v>
      </c>
      <c r="R7" s="131" t="s">
        <v>17</v>
      </c>
      <c r="S7" s="131" t="s">
        <v>17</v>
      </c>
      <c r="T7" s="131" t="s">
        <v>17</v>
      </c>
      <c r="U7" s="131" t="s">
        <v>17</v>
      </c>
      <c r="V7" s="131" t="s">
        <v>17</v>
      </c>
      <c r="W7" s="131" t="s">
        <v>17</v>
      </c>
      <c r="X7" s="131" t="s">
        <v>17</v>
      </c>
      <c r="Y7" s="131" t="s">
        <v>17</v>
      </c>
      <c r="Z7" s="131" t="s">
        <v>17</v>
      </c>
      <c r="AA7" s="131" t="s">
        <v>17</v>
      </c>
      <c r="AB7" s="131"/>
      <c r="AC7" s="131"/>
      <c r="AD7" s="131"/>
      <c r="AE7" s="131"/>
      <c r="AF7" s="158">
        <f t="shared" si="6"/>
        <v>9.8950000000000014</v>
      </c>
      <c r="AG7" s="159"/>
      <c r="AH7" s="155"/>
      <c r="AI7" s="155" t="s">
        <v>83</v>
      </c>
      <c r="AJ7" s="131" t="str">
        <f>IFERROR(VLOOKUP(E7&amp;F7,'Listagem dos op'!A:S,19,0),"")</f>
        <v/>
      </c>
      <c r="AK7" s="131" t="str">
        <f t="shared" si="5"/>
        <v>Jan11010</v>
      </c>
      <c r="AL7" s="154">
        <f>IF(N7="","",IF(N7="SIM",VLOOKUP($I7&amp;$J7&amp;N$1,Pesos!$A:$I,7,FALSE),VLOOKUP($I7&amp;$J7&amp;N$1,Pesos!$A:$I,9,FALSE)))</f>
        <v>0.1</v>
      </c>
      <c r="AM7" s="154">
        <f>IF(O7="","",IF(O7="SIM",VLOOKUP($I7&amp;$J7&amp;O$1,Pesos!$A:$I,7,FALSE),VLOOKUP($I7&amp;$J7&amp;O$1,Pesos!$A:$I,9,FALSE)))</f>
        <v>-5.000000000000001E-3</v>
      </c>
      <c r="AN7" s="154">
        <f>IF(P7="","",IF(P7="SIM",VLOOKUP($I7&amp;$J7&amp;P$1,Pesos!$A:$I,7,FALSE),VLOOKUP($I7&amp;$J7&amp;P$1,Pesos!$A:$I,9,FALSE)))</f>
        <v>0.1</v>
      </c>
      <c r="AO7" s="154">
        <f>IF(Q7="","",IF(Q7="SIM",VLOOKUP($I7&amp;$J7&amp;Q$1,Pesos!$A:$I,7,FALSE),VLOOKUP($I7&amp;$J7&amp;Q$1,Pesos!$A:$I,9,FALSE)))</f>
        <v>1.6</v>
      </c>
      <c r="AP7" s="154">
        <f>IF(R7="","",IF(R7="SIM",VLOOKUP($I7&amp;$J7&amp;R$1,Pesos!$A:$I,7,FALSE),VLOOKUP($I7&amp;$J7&amp;R$1,Pesos!$A:$I,9,FALSE)))</f>
        <v>1.7000000000000002</v>
      </c>
      <c r="AQ7" s="154">
        <f>IF(S7="","",IF(S7="SIM",VLOOKUP($I7&amp;$J7&amp;S$1,Pesos!$A:$I,7,FALSE),VLOOKUP($I7&amp;$J7&amp;S$1,Pesos!$A:$I,9,FALSE)))</f>
        <v>1.7000000000000002</v>
      </c>
      <c r="AR7" s="156">
        <f>IF(T7="","",IF(T7="SIM",VLOOKUP($I7&amp;$J7&amp;T$1,Pesos!$A:$I,7,FALSE),VLOOKUP($I7&amp;$J7&amp;T$1,Pesos!$A:$I,9,FALSE)))</f>
        <v>1.7000000000000002</v>
      </c>
      <c r="AS7" s="132">
        <f>IF(U7="","",IF(U7="SIM",VLOOKUP($I7&amp;$J7&amp;U$1,Pesos!$A:$I,7,FALSE),VLOOKUP($I7&amp;$J7&amp;U$1,Pesos!$A:$I,9,FALSE)))</f>
        <v>1.6500000000000001</v>
      </c>
      <c r="AT7" s="132">
        <f>IF(V7="","",IF(V7="SIM",VLOOKUP($I7&amp;$J7&amp;V$1,Pesos!$A:$I,7,FALSE),VLOOKUP($I7&amp;$J7&amp;V$1,Pesos!$A:$I,9,FALSE)))</f>
        <v>0.3</v>
      </c>
      <c r="AU7" s="132">
        <f>IF(W7="","",IF(W7="SIM",VLOOKUP($I7&amp;$J7&amp;W$1,Pesos!$A:$I,7,FALSE),VLOOKUP($I7&amp;$J7&amp;W$1,Pesos!$A:$I,9,FALSE)))</f>
        <v>0.3</v>
      </c>
      <c r="AV7" s="132">
        <f>IF(X7="","",IF(X7="SIM",VLOOKUP($I7&amp;$J7&amp;X$1,Pesos!$A:$I,7,FALSE),VLOOKUP($I7&amp;$J7&amp;X$1,Pesos!$A:$I,9,FALSE)))</f>
        <v>0.15</v>
      </c>
      <c r="AW7" s="132">
        <f>IF(Y7="","",IF(Y7="SIM",VLOOKUP($I7&amp;$J7&amp;Y$1,Pesos!$A:$I,7,FALSE),VLOOKUP($I7&amp;$J7&amp;Y$1,Pesos!$A:$I,9,FALSE)))</f>
        <v>0.2</v>
      </c>
      <c r="AX7" s="132">
        <f>IF(Z7="","",IF(Z7="SIM",VLOOKUP($I7&amp;$J7&amp;Z$1,Pesos!$A:$I,7,FALSE),VLOOKUP($I7&amp;$J7&amp;Z$1,Pesos!$A:$I,9,FALSE)))</f>
        <v>0.3</v>
      </c>
      <c r="AY7" s="132">
        <f>IF(AA7="","",IF(AA7="SIM",VLOOKUP($I7&amp;$J7&amp;AA$1,Pesos!$A:$I,7,FALSE),VLOOKUP($I7&amp;$J7&amp;AA$1,Pesos!$A:$I,9,FALSE)))</f>
        <v>0.1</v>
      </c>
      <c r="AZ7" s="132" t="str">
        <f>IF(AB7="","",IF(AB7="SIM",VLOOKUP($I7&amp;$J7&amp;AB$1,Pesos!$A:$I,7,FALSE),VLOOKUP($I7&amp;$J7&amp;AB$1,Pesos!$A:$I,9,FALSE)))</f>
        <v/>
      </c>
      <c r="BA7" s="132" t="str">
        <f>IF(AC7="","",IF(AC7="SIM",VLOOKUP($I7&amp;$J7&amp;AC$1,Pesos!$A:$I,7,FALSE),VLOOKUP($I7&amp;$J7&amp;AC$1,Pesos!$A:$I,9,FALSE)))</f>
        <v/>
      </c>
      <c r="BB7" s="132" t="str">
        <f>IF(AD7="","",IF(AD7="SIM",VLOOKUP($I7&amp;$J7&amp;AD$1,Pesos!$A:$I,7,FALSE),VLOOKUP($I7&amp;$J7&amp;AD$1,Pesos!$A:$I,9,FALSE)))</f>
        <v/>
      </c>
      <c r="BC7" s="132" t="str">
        <f>IF(AE7="","",IF(AE7="SIM",VLOOKUP($I7&amp;$J7&amp;AE$1,Pesos!$A:$I,7,FALSE),VLOOKUP($I7&amp;$J7&amp;AE$1,Pesos!$A:$I,9,FALSE)))</f>
        <v/>
      </c>
      <c r="BD7" s="158">
        <f>IFERROR(AF7*VLOOKUP(J7,'BD Campos'!$X$1:$Y$14,2,FALSE),"0")</f>
        <v>9.8950000000000014</v>
      </c>
    </row>
    <row r="8" spans="1:56">
      <c r="A8" s="151" t="str">
        <f t="shared" si="3"/>
        <v>Jan11415ReceptivaCADASTRO</v>
      </c>
      <c r="B8" s="149" t="str">
        <f t="shared" si="4"/>
        <v>Jan114155CADASTROPADRÃO</v>
      </c>
      <c r="C8" s="152">
        <v>1</v>
      </c>
      <c r="D8" s="153">
        <v>46037.589364930558</v>
      </c>
      <c r="E8" s="154" t="s">
        <v>12</v>
      </c>
      <c r="F8" s="155">
        <v>11415</v>
      </c>
      <c r="G8" s="149" t="s">
        <v>88</v>
      </c>
      <c r="H8" s="154">
        <v>5</v>
      </c>
      <c r="I8" s="149" t="s">
        <v>80</v>
      </c>
      <c r="J8" s="149" t="s">
        <v>81</v>
      </c>
      <c r="K8" s="149" t="s">
        <v>82</v>
      </c>
      <c r="L8" s="156"/>
      <c r="M8" s="157">
        <v>7.7546296296296287E-3</v>
      </c>
      <c r="N8" s="131" t="s">
        <v>17</v>
      </c>
      <c r="O8" s="131" t="s">
        <v>17</v>
      </c>
      <c r="P8" s="131" t="s">
        <v>17</v>
      </c>
      <c r="Q8" s="131" t="s">
        <v>17</v>
      </c>
      <c r="R8" s="131" t="s">
        <v>17</v>
      </c>
      <c r="S8" s="131" t="s">
        <v>17</v>
      </c>
      <c r="T8" s="131" t="s">
        <v>17</v>
      </c>
      <c r="U8" s="131" t="s">
        <v>17</v>
      </c>
      <c r="V8" s="131" t="s">
        <v>17</v>
      </c>
      <c r="W8" s="131" t="s">
        <v>17</v>
      </c>
      <c r="X8" s="131" t="s">
        <v>17</v>
      </c>
      <c r="Y8" s="131" t="s">
        <v>17</v>
      </c>
      <c r="Z8" s="131" t="s">
        <v>17</v>
      </c>
      <c r="AA8" s="131" t="s">
        <v>17</v>
      </c>
      <c r="AB8" s="131"/>
      <c r="AC8" s="131"/>
      <c r="AD8" s="131"/>
      <c r="AE8" s="131"/>
      <c r="AF8" s="158">
        <f t="shared" si="6"/>
        <v>10.000000000000002</v>
      </c>
      <c r="AG8" s="159"/>
      <c r="AH8" s="155"/>
      <c r="AI8" s="155" t="s">
        <v>83</v>
      </c>
      <c r="AJ8" s="131" t="str">
        <f>IFERROR(VLOOKUP(E8&amp;F8,'Listagem dos op'!A:S,19,0),"")</f>
        <v/>
      </c>
      <c r="AK8" s="131" t="str">
        <f t="shared" si="5"/>
        <v>Jan11415</v>
      </c>
      <c r="AL8" s="154">
        <f>IF(N8="","",IF(N8="SIM",VLOOKUP($I8&amp;$J8&amp;N$1,Pesos!$A:$I,7,FALSE),VLOOKUP($I8&amp;$J8&amp;N$1,Pesos!$A:$I,9,FALSE)))</f>
        <v>0.1</v>
      </c>
      <c r="AM8" s="154">
        <f>IF(O8="","",IF(O8="SIM",VLOOKUP($I8&amp;$J8&amp;O$1,Pesos!$A:$I,7,FALSE),VLOOKUP($I8&amp;$J8&amp;O$1,Pesos!$A:$I,9,FALSE)))</f>
        <v>0.1</v>
      </c>
      <c r="AN8" s="154">
        <f>IF(P8="","",IF(P8="SIM",VLOOKUP($I8&amp;$J8&amp;P$1,Pesos!$A:$I,7,FALSE),VLOOKUP($I8&amp;$J8&amp;P$1,Pesos!$A:$I,9,FALSE)))</f>
        <v>0.1</v>
      </c>
      <c r="AO8" s="154">
        <f>IF(Q8="","",IF(Q8="SIM",VLOOKUP($I8&amp;$J8&amp;Q$1,Pesos!$A:$I,7,FALSE),VLOOKUP($I8&amp;$J8&amp;Q$1,Pesos!$A:$I,9,FALSE)))</f>
        <v>1.6</v>
      </c>
      <c r="AP8" s="154">
        <f>IF(R8="","",IF(R8="SIM",VLOOKUP($I8&amp;$J8&amp;R$1,Pesos!$A:$I,7,FALSE),VLOOKUP($I8&amp;$J8&amp;R$1,Pesos!$A:$I,9,FALSE)))</f>
        <v>1.7000000000000002</v>
      </c>
      <c r="AQ8" s="154">
        <f>IF(S8="","",IF(S8="SIM",VLOOKUP($I8&amp;$J8&amp;S$1,Pesos!$A:$I,7,FALSE),VLOOKUP($I8&amp;$J8&amp;S$1,Pesos!$A:$I,9,FALSE)))</f>
        <v>1.7000000000000002</v>
      </c>
      <c r="AR8" s="156">
        <f>IF(T8="","",IF(T8="SIM",VLOOKUP($I8&amp;$J8&amp;T$1,Pesos!$A:$I,7,FALSE),VLOOKUP($I8&amp;$J8&amp;T$1,Pesos!$A:$I,9,FALSE)))</f>
        <v>1.7000000000000002</v>
      </c>
      <c r="AS8" s="132">
        <f>IF(U8="","",IF(U8="SIM",VLOOKUP($I8&amp;$J8&amp;U$1,Pesos!$A:$I,7,FALSE),VLOOKUP($I8&amp;$J8&amp;U$1,Pesos!$A:$I,9,FALSE)))</f>
        <v>1.6500000000000001</v>
      </c>
      <c r="AT8" s="132">
        <f>IF(V8="","",IF(V8="SIM",VLOOKUP($I8&amp;$J8&amp;V$1,Pesos!$A:$I,7,FALSE),VLOOKUP($I8&amp;$J8&amp;V$1,Pesos!$A:$I,9,FALSE)))</f>
        <v>0.3</v>
      </c>
      <c r="AU8" s="132">
        <f>IF(W8="","",IF(W8="SIM",VLOOKUP($I8&amp;$J8&amp;W$1,Pesos!$A:$I,7,FALSE),VLOOKUP($I8&amp;$J8&amp;W$1,Pesos!$A:$I,9,FALSE)))</f>
        <v>0.3</v>
      </c>
      <c r="AV8" s="132">
        <f>IF(X8="","",IF(X8="SIM",VLOOKUP($I8&amp;$J8&amp;X$1,Pesos!$A:$I,7,FALSE),VLOOKUP($I8&amp;$J8&amp;X$1,Pesos!$A:$I,9,FALSE)))</f>
        <v>0.15</v>
      </c>
      <c r="AW8" s="132">
        <f>IF(Y8="","",IF(Y8="SIM",VLOOKUP($I8&amp;$J8&amp;Y$1,Pesos!$A:$I,7,FALSE),VLOOKUP($I8&amp;$J8&amp;Y$1,Pesos!$A:$I,9,FALSE)))</f>
        <v>0.2</v>
      </c>
      <c r="AX8" s="132">
        <f>IF(Z8="","",IF(Z8="SIM",VLOOKUP($I8&amp;$J8&amp;Z$1,Pesos!$A:$I,7,FALSE),VLOOKUP($I8&amp;$J8&amp;Z$1,Pesos!$A:$I,9,FALSE)))</f>
        <v>0.3</v>
      </c>
      <c r="AY8" s="132">
        <f>IF(AA8="","",IF(AA8="SIM",VLOOKUP($I8&amp;$J8&amp;AA$1,Pesos!$A:$I,7,FALSE),VLOOKUP($I8&amp;$J8&amp;AA$1,Pesos!$A:$I,9,FALSE)))</f>
        <v>0.1</v>
      </c>
      <c r="AZ8" s="132" t="str">
        <f>IF(AB8="","",IF(AB8="SIM",VLOOKUP($I8&amp;$J8&amp;AB$1,Pesos!$A:$I,7,FALSE),VLOOKUP($I8&amp;$J8&amp;AB$1,Pesos!$A:$I,9,FALSE)))</f>
        <v/>
      </c>
      <c r="BA8" s="132" t="str">
        <f>IF(AC8="","",IF(AC8="SIM",VLOOKUP($I8&amp;$J8&amp;AC$1,Pesos!$A:$I,7,FALSE),VLOOKUP($I8&amp;$J8&amp;AC$1,Pesos!$A:$I,9,FALSE)))</f>
        <v/>
      </c>
      <c r="BB8" s="132" t="str">
        <f>IF(AD8="","",IF(AD8="SIM",VLOOKUP($I8&amp;$J8&amp;AD$1,Pesos!$A:$I,7,FALSE),VLOOKUP($I8&amp;$J8&amp;AD$1,Pesos!$A:$I,9,FALSE)))</f>
        <v/>
      </c>
      <c r="BC8" s="132" t="str">
        <f>IF(AE8="","",IF(AE8="SIM",VLOOKUP($I8&amp;$J8&amp;AE$1,Pesos!$A:$I,7,FALSE),VLOOKUP($I8&amp;$J8&amp;AE$1,Pesos!$A:$I,9,FALSE)))</f>
        <v/>
      </c>
      <c r="BD8" s="158">
        <f>IFERROR(AF8*VLOOKUP(J8,'BD Campos'!$X$1:$Y$14,2,FALSE),"0")</f>
        <v>10.000000000000002</v>
      </c>
    </row>
    <row r="9" spans="1:56">
      <c r="A9" s="151" t="str">
        <f t="shared" si="3"/>
        <v>Jan11415Receptiva 2CADASTRO</v>
      </c>
      <c r="B9" s="149" t="str">
        <f t="shared" si="4"/>
        <v>Jan114156CADASTROPADRÃO</v>
      </c>
      <c r="C9" s="152">
        <v>1</v>
      </c>
      <c r="D9" s="153">
        <v>46037.594372685184</v>
      </c>
      <c r="E9" s="154" t="s">
        <v>12</v>
      </c>
      <c r="F9" s="155">
        <v>11415</v>
      </c>
      <c r="G9" s="149" t="s">
        <v>88</v>
      </c>
      <c r="H9" s="154">
        <v>6</v>
      </c>
      <c r="I9" s="149" t="s">
        <v>80</v>
      </c>
      <c r="J9" s="149" t="s">
        <v>86</v>
      </c>
      <c r="K9" s="149" t="s">
        <v>82</v>
      </c>
      <c r="L9" s="156"/>
      <c r="M9" s="157">
        <v>4.6064814814814814E-3</v>
      </c>
      <c r="N9" s="131" t="s">
        <v>17</v>
      </c>
      <c r="O9" s="131" t="s">
        <v>17</v>
      </c>
      <c r="P9" s="131" t="s">
        <v>17</v>
      </c>
      <c r="Q9" s="131" t="s">
        <v>17</v>
      </c>
      <c r="R9" s="131" t="s">
        <v>17</v>
      </c>
      <c r="S9" s="131" t="s">
        <v>17</v>
      </c>
      <c r="T9" s="131" t="s">
        <v>17</v>
      </c>
      <c r="U9" s="131" t="s">
        <v>17</v>
      </c>
      <c r="V9" s="131" t="s">
        <v>17</v>
      </c>
      <c r="W9" s="131" t="s">
        <v>17</v>
      </c>
      <c r="X9" s="131" t="s">
        <v>17</v>
      </c>
      <c r="Y9" s="131" t="s">
        <v>17</v>
      </c>
      <c r="Z9" s="131" t="s">
        <v>17</v>
      </c>
      <c r="AA9" s="131" t="s">
        <v>17</v>
      </c>
      <c r="AB9" s="131"/>
      <c r="AC9" s="131"/>
      <c r="AD9" s="131"/>
      <c r="AE9" s="131"/>
      <c r="AF9" s="158">
        <f t="shared" si="6"/>
        <v>10.000000000000002</v>
      </c>
      <c r="AG9" s="159"/>
      <c r="AH9" s="155"/>
      <c r="AI9" s="155" t="s">
        <v>83</v>
      </c>
      <c r="AJ9" s="131" t="str">
        <f>IFERROR(VLOOKUP(E9&amp;F9,'Listagem dos op'!A:S,19,0),"")</f>
        <v/>
      </c>
      <c r="AK9" s="131" t="str">
        <f t="shared" si="5"/>
        <v>Jan11415</v>
      </c>
      <c r="AL9" s="154">
        <f>IF(N9="","",IF(N9="SIM",VLOOKUP($I9&amp;$J9&amp;N$1,Pesos!$A:$I,7,FALSE),VLOOKUP($I9&amp;$J9&amp;N$1,Pesos!$A:$I,9,FALSE)))</f>
        <v>0.1</v>
      </c>
      <c r="AM9" s="154">
        <f>IF(O9="","",IF(O9="SIM",VLOOKUP($I9&amp;$J9&amp;O$1,Pesos!$A:$I,7,FALSE),VLOOKUP($I9&amp;$J9&amp;O$1,Pesos!$A:$I,9,FALSE)))</f>
        <v>0.1</v>
      </c>
      <c r="AN9" s="154">
        <f>IF(P9="","",IF(P9="SIM",VLOOKUP($I9&amp;$J9&amp;P$1,Pesos!$A:$I,7,FALSE),VLOOKUP($I9&amp;$J9&amp;P$1,Pesos!$A:$I,9,FALSE)))</f>
        <v>0.1</v>
      </c>
      <c r="AO9" s="154">
        <f>IF(Q9="","",IF(Q9="SIM",VLOOKUP($I9&amp;$J9&amp;Q$1,Pesos!$A:$I,7,FALSE),VLOOKUP($I9&amp;$J9&amp;Q$1,Pesos!$A:$I,9,FALSE)))</f>
        <v>1.6</v>
      </c>
      <c r="AP9" s="154">
        <f>IF(R9="","",IF(R9="SIM",VLOOKUP($I9&amp;$J9&amp;R$1,Pesos!$A:$I,7,FALSE),VLOOKUP($I9&amp;$J9&amp;R$1,Pesos!$A:$I,9,FALSE)))</f>
        <v>1.7000000000000002</v>
      </c>
      <c r="AQ9" s="154">
        <f>IF(S9="","",IF(S9="SIM",VLOOKUP($I9&amp;$J9&amp;S$1,Pesos!$A:$I,7,FALSE),VLOOKUP($I9&amp;$J9&amp;S$1,Pesos!$A:$I,9,FALSE)))</f>
        <v>1.7000000000000002</v>
      </c>
      <c r="AR9" s="156">
        <f>IF(T9="","",IF(T9="SIM",VLOOKUP($I9&amp;$J9&amp;T$1,Pesos!$A:$I,7,FALSE),VLOOKUP($I9&amp;$J9&amp;T$1,Pesos!$A:$I,9,FALSE)))</f>
        <v>1.7000000000000002</v>
      </c>
      <c r="AS9" s="132">
        <f>IF(U9="","",IF(U9="SIM",VLOOKUP($I9&amp;$J9&amp;U$1,Pesos!$A:$I,7,FALSE),VLOOKUP($I9&amp;$J9&amp;U$1,Pesos!$A:$I,9,FALSE)))</f>
        <v>1.6500000000000001</v>
      </c>
      <c r="AT9" s="132">
        <f>IF(V9="","",IF(V9="SIM",VLOOKUP($I9&amp;$J9&amp;V$1,Pesos!$A:$I,7,FALSE),VLOOKUP($I9&amp;$J9&amp;V$1,Pesos!$A:$I,9,FALSE)))</f>
        <v>0.3</v>
      </c>
      <c r="AU9" s="132">
        <f>IF(W9="","",IF(W9="SIM",VLOOKUP($I9&amp;$J9&amp;W$1,Pesos!$A:$I,7,FALSE),VLOOKUP($I9&amp;$J9&amp;W$1,Pesos!$A:$I,9,FALSE)))</f>
        <v>0.3</v>
      </c>
      <c r="AV9" s="132">
        <f>IF(X9="","",IF(X9="SIM",VLOOKUP($I9&amp;$J9&amp;X$1,Pesos!$A:$I,7,FALSE),VLOOKUP($I9&amp;$J9&amp;X$1,Pesos!$A:$I,9,FALSE)))</f>
        <v>0.15</v>
      </c>
      <c r="AW9" s="132">
        <f>IF(Y9="","",IF(Y9="SIM",VLOOKUP($I9&amp;$J9&amp;Y$1,Pesos!$A:$I,7,FALSE),VLOOKUP($I9&amp;$J9&amp;Y$1,Pesos!$A:$I,9,FALSE)))</f>
        <v>0.2</v>
      </c>
      <c r="AX9" s="132">
        <f>IF(Z9="","",IF(Z9="SIM",VLOOKUP($I9&amp;$J9&amp;Z$1,Pesos!$A:$I,7,FALSE),VLOOKUP($I9&amp;$J9&amp;Z$1,Pesos!$A:$I,9,FALSE)))</f>
        <v>0.3</v>
      </c>
      <c r="AY9" s="132">
        <f>IF(AA9="","",IF(AA9="SIM",VLOOKUP($I9&amp;$J9&amp;AA$1,Pesos!$A:$I,7,FALSE),VLOOKUP($I9&amp;$J9&amp;AA$1,Pesos!$A:$I,9,FALSE)))</f>
        <v>0.1</v>
      </c>
      <c r="AZ9" s="132" t="str">
        <f>IF(AB9="","",IF(AB9="SIM",VLOOKUP($I9&amp;$J9&amp;AB$1,Pesos!$A:$I,7,FALSE),VLOOKUP($I9&amp;$J9&amp;AB$1,Pesos!$A:$I,9,FALSE)))</f>
        <v/>
      </c>
      <c r="BA9" s="132" t="str">
        <f>IF(AC9="","",IF(AC9="SIM",VLOOKUP($I9&amp;$J9&amp;AC$1,Pesos!$A:$I,7,FALSE),VLOOKUP($I9&amp;$J9&amp;AC$1,Pesos!$A:$I,9,FALSE)))</f>
        <v/>
      </c>
      <c r="BB9" s="132" t="str">
        <f>IF(AD9="","",IF(AD9="SIM",VLOOKUP($I9&amp;$J9&amp;AD$1,Pesos!$A:$I,7,FALSE),VLOOKUP($I9&amp;$J9&amp;AD$1,Pesos!$A:$I,9,FALSE)))</f>
        <v/>
      </c>
      <c r="BC9" s="132" t="str">
        <f>IF(AE9="","",IF(AE9="SIM",VLOOKUP($I9&amp;$J9&amp;AE$1,Pesos!$A:$I,7,FALSE),VLOOKUP($I9&amp;$J9&amp;AE$1,Pesos!$A:$I,9,FALSE)))</f>
        <v/>
      </c>
      <c r="BD9" s="158">
        <f>IFERROR(AF9*VLOOKUP(J9,'BD Campos'!$X$1:$Y$14,2,FALSE),"0")</f>
        <v>10.000000000000002</v>
      </c>
    </row>
    <row r="10" spans="1:56">
      <c r="A10" s="151" t="str">
        <f t="shared" si="3"/>
        <v>Jan11430ReceptivaCADASTRO</v>
      </c>
      <c r="B10" s="149" t="str">
        <f t="shared" si="4"/>
        <v>Jan114305CADASTROPADRÃO</v>
      </c>
      <c r="C10" s="152">
        <v>1</v>
      </c>
      <c r="D10" s="153">
        <v>46037.627748726853</v>
      </c>
      <c r="E10" s="154" t="s">
        <v>12</v>
      </c>
      <c r="F10" s="155">
        <v>11430</v>
      </c>
      <c r="G10" s="149" t="s">
        <v>89</v>
      </c>
      <c r="H10" s="154">
        <v>5</v>
      </c>
      <c r="I10" s="149" t="s">
        <v>80</v>
      </c>
      <c r="J10" s="149" t="s">
        <v>81</v>
      </c>
      <c r="K10" s="149" t="s">
        <v>82</v>
      </c>
      <c r="L10" s="156"/>
      <c r="M10" s="157">
        <v>2.1412037037037038E-3</v>
      </c>
      <c r="N10" s="131" t="s">
        <v>17</v>
      </c>
      <c r="O10" s="131" t="s">
        <v>17</v>
      </c>
      <c r="P10" s="131" t="s">
        <v>17</v>
      </c>
      <c r="Q10" s="131" t="s">
        <v>17</v>
      </c>
      <c r="R10" s="131" t="s">
        <v>17</v>
      </c>
      <c r="S10" s="131" t="s">
        <v>17</v>
      </c>
      <c r="T10" s="131" t="s">
        <v>18</v>
      </c>
      <c r="U10" s="131" t="s">
        <v>17</v>
      </c>
      <c r="V10" s="131" t="s">
        <v>18</v>
      </c>
      <c r="W10" s="131" t="s">
        <v>17</v>
      </c>
      <c r="X10" s="131" t="s">
        <v>17</v>
      </c>
      <c r="Y10" s="131" t="s">
        <v>17</v>
      </c>
      <c r="Z10" s="131" t="s">
        <v>17</v>
      </c>
      <c r="AA10" s="131" t="s">
        <v>17</v>
      </c>
      <c r="AB10" s="131"/>
      <c r="AC10" s="131"/>
      <c r="AD10" s="131"/>
      <c r="AE10" s="131"/>
      <c r="AF10" s="158">
        <f t="shared" si="6"/>
        <v>7.9000000000000012</v>
      </c>
      <c r="AG10" s="159"/>
      <c r="AH10" s="155"/>
      <c r="AI10" s="155" t="s">
        <v>83</v>
      </c>
      <c r="AJ10" s="131" t="str">
        <f>IFERROR(VLOOKUP(E10&amp;F10,'Listagem dos op'!A:S,19,0),"")</f>
        <v/>
      </c>
      <c r="AK10" s="131" t="str">
        <f t="shared" si="5"/>
        <v>Jan11430</v>
      </c>
      <c r="AL10" s="154">
        <f>IF(N10="","",IF(N10="SIM",VLOOKUP($I10&amp;$J10&amp;N$1,Pesos!$A:$I,7,FALSE),VLOOKUP($I10&amp;$J10&amp;N$1,Pesos!$A:$I,9,FALSE)))</f>
        <v>0.1</v>
      </c>
      <c r="AM10" s="154">
        <f>IF(O10="","",IF(O10="SIM",VLOOKUP($I10&amp;$J10&amp;O$1,Pesos!$A:$I,7,FALSE),VLOOKUP($I10&amp;$J10&amp;O$1,Pesos!$A:$I,9,FALSE)))</f>
        <v>0.1</v>
      </c>
      <c r="AN10" s="154">
        <f>IF(P10="","",IF(P10="SIM",VLOOKUP($I10&amp;$J10&amp;P$1,Pesos!$A:$I,7,FALSE),VLOOKUP($I10&amp;$J10&amp;P$1,Pesos!$A:$I,9,FALSE)))</f>
        <v>0.1</v>
      </c>
      <c r="AO10" s="154">
        <f>IF(Q10="","",IF(Q10="SIM",VLOOKUP($I10&amp;$J10&amp;Q$1,Pesos!$A:$I,7,FALSE),VLOOKUP($I10&amp;$J10&amp;Q$1,Pesos!$A:$I,9,FALSE)))</f>
        <v>1.6</v>
      </c>
      <c r="AP10" s="154">
        <f>IF(R10="","",IF(R10="SIM",VLOOKUP($I10&amp;$J10&amp;R$1,Pesos!$A:$I,7,FALSE),VLOOKUP($I10&amp;$J10&amp;R$1,Pesos!$A:$I,9,FALSE)))</f>
        <v>1.7000000000000002</v>
      </c>
      <c r="AQ10" s="154">
        <f>IF(S10="","",IF(S10="SIM",VLOOKUP($I10&amp;$J10&amp;S$1,Pesos!$A:$I,7,FALSE),VLOOKUP($I10&amp;$J10&amp;S$1,Pesos!$A:$I,9,FALSE)))</f>
        <v>1.7000000000000002</v>
      </c>
      <c r="AR10" s="156">
        <f>IF(T10="","",IF(T10="SIM",VLOOKUP($I10&amp;$J10&amp;T$1,Pesos!$A:$I,7,FALSE),VLOOKUP($I10&amp;$J10&amp;T$1,Pesos!$A:$I,9,FALSE)))</f>
        <v>-8.500000000000002E-2</v>
      </c>
      <c r="AS10" s="132">
        <f>IF(U10="","",IF(U10="SIM",VLOOKUP($I10&amp;$J10&amp;U$1,Pesos!$A:$I,7,FALSE),VLOOKUP($I10&amp;$J10&amp;U$1,Pesos!$A:$I,9,FALSE)))</f>
        <v>1.6500000000000001</v>
      </c>
      <c r="AT10" s="132">
        <f>IF(V10="","",IF(V10="SIM",VLOOKUP($I10&amp;$J10&amp;V$1,Pesos!$A:$I,7,FALSE),VLOOKUP($I10&amp;$J10&amp;V$1,Pesos!$A:$I,9,FALSE)))</f>
        <v>-1.4999999999999999E-2</v>
      </c>
      <c r="AU10" s="132">
        <f>IF(W10="","",IF(W10="SIM",VLOOKUP($I10&amp;$J10&amp;W$1,Pesos!$A:$I,7,FALSE),VLOOKUP($I10&amp;$J10&amp;W$1,Pesos!$A:$I,9,FALSE)))</f>
        <v>0.3</v>
      </c>
      <c r="AV10" s="132">
        <f>IF(X10="","",IF(X10="SIM",VLOOKUP($I10&amp;$J10&amp;X$1,Pesos!$A:$I,7,FALSE),VLOOKUP($I10&amp;$J10&amp;X$1,Pesos!$A:$I,9,FALSE)))</f>
        <v>0.15</v>
      </c>
      <c r="AW10" s="132">
        <f>IF(Y10="","",IF(Y10="SIM",VLOOKUP($I10&amp;$J10&amp;Y$1,Pesos!$A:$I,7,FALSE),VLOOKUP($I10&amp;$J10&amp;Y$1,Pesos!$A:$I,9,FALSE)))</f>
        <v>0.2</v>
      </c>
      <c r="AX10" s="132">
        <f>IF(Z10="","",IF(Z10="SIM",VLOOKUP($I10&amp;$J10&amp;Z$1,Pesos!$A:$I,7,FALSE),VLOOKUP($I10&amp;$J10&amp;Z$1,Pesos!$A:$I,9,FALSE)))</f>
        <v>0.3</v>
      </c>
      <c r="AY10" s="132">
        <f>IF(AA10="","",IF(AA10="SIM",VLOOKUP($I10&amp;$J10&amp;AA$1,Pesos!$A:$I,7,FALSE),VLOOKUP($I10&amp;$J10&amp;AA$1,Pesos!$A:$I,9,FALSE)))</f>
        <v>0.1</v>
      </c>
      <c r="AZ10" s="132" t="str">
        <f>IF(AB10="","",IF(AB10="SIM",VLOOKUP($I10&amp;$J10&amp;AB$1,Pesos!$A:$I,7,FALSE),VLOOKUP($I10&amp;$J10&amp;AB$1,Pesos!$A:$I,9,FALSE)))</f>
        <v/>
      </c>
      <c r="BA10" s="132" t="str">
        <f>IF(AC10="","",IF(AC10="SIM",VLOOKUP($I10&amp;$J10&amp;AC$1,Pesos!$A:$I,7,FALSE),VLOOKUP($I10&amp;$J10&amp;AC$1,Pesos!$A:$I,9,FALSE)))</f>
        <v/>
      </c>
      <c r="BB10" s="132" t="str">
        <f>IF(AD10="","",IF(AD10="SIM",VLOOKUP($I10&amp;$J10&amp;AD$1,Pesos!$A:$I,7,FALSE),VLOOKUP($I10&amp;$J10&amp;AD$1,Pesos!$A:$I,9,FALSE)))</f>
        <v/>
      </c>
      <c r="BC10" s="132" t="str">
        <f>IF(AE10="","",IF(AE10="SIM",VLOOKUP($I10&amp;$J10&amp;AE$1,Pesos!$A:$I,7,FALSE),VLOOKUP($I10&amp;$J10&amp;AE$1,Pesos!$A:$I,9,FALSE)))</f>
        <v/>
      </c>
      <c r="BD10" s="158">
        <f>IFERROR(AF10*VLOOKUP(J10,'BD Campos'!$X$1:$Y$14,2,FALSE),"0")</f>
        <v>7.9000000000000012</v>
      </c>
    </row>
    <row r="11" spans="1:56">
      <c r="A11" s="151" t="str">
        <f t="shared" si="3"/>
        <v>Jan11430Receptiva 2CADASTRO</v>
      </c>
      <c r="B11" s="149" t="str">
        <f t="shared" si="4"/>
        <v>Jan114306CADASTROPADRÃO</v>
      </c>
      <c r="C11" s="152">
        <v>1</v>
      </c>
      <c r="D11" s="153">
        <v>46037.63402164352</v>
      </c>
      <c r="E11" s="154" t="s">
        <v>12</v>
      </c>
      <c r="F11" s="155">
        <v>11430</v>
      </c>
      <c r="G11" s="149" t="s">
        <v>89</v>
      </c>
      <c r="H11" s="154">
        <v>6</v>
      </c>
      <c r="I11" s="149" t="s">
        <v>80</v>
      </c>
      <c r="J11" s="149" t="s">
        <v>86</v>
      </c>
      <c r="K11" s="149" t="s">
        <v>82</v>
      </c>
      <c r="L11" s="156"/>
      <c r="M11" s="157">
        <v>1.2152777777777778E-3</v>
      </c>
      <c r="N11" s="131" t="s">
        <v>17</v>
      </c>
      <c r="O11" s="131" t="s">
        <v>17</v>
      </c>
      <c r="P11" s="131" t="s">
        <v>17</v>
      </c>
      <c r="Q11" s="131" t="s">
        <v>17</v>
      </c>
      <c r="R11" s="131" t="s">
        <v>17</v>
      </c>
      <c r="S11" s="131" t="s">
        <v>17</v>
      </c>
      <c r="T11" s="131" t="s">
        <v>18</v>
      </c>
      <c r="U11" s="131" t="s">
        <v>17</v>
      </c>
      <c r="V11" s="131" t="s">
        <v>18</v>
      </c>
      <c r="W11" s="131" t="s">
        <v>17</v>
      </c>
      <c r="X11" s="131" t="s">
        <v>17</v>
      </c>
      <c r="Y11" s="131" t="s">
        <v>17</v>
      </c>
      <c r="Z11" s="131" t="s">
        <v>17</v>
      </c>
      <c r="AA11" s="131" t="s">
        <v>17</v>
      </c>
      <c r="AB11" s="131"/>
      <c r="AC11" s="131"/>
      <c r="AD11" s="131"/>
      <c r="AE11" s="131"/>
      <c r="AF11" s="158">
        <f t="shared" si="6"/>
        <v>7.9000000000000012</v>
      </c>
      <c r="AG11" s="159"/>
      <c r="AH11" s="155"/>
      <c r="AI11" s="155" t="s">
        <v>83</v>
      </c>
      <c r="AJ11" s="131" t="str">
        <f>IFERROR(VLOOKUP(E11&amp;F11,'Listagem dos op'!A:S,19,0),"")</f>
        <v/>
      </c>
      <c r="AK11" s="131" t="str">
        <f t="shared" si="5"/>
        <v>Jan11430</v>
      </c>
      <c r="AL11" s="154">
        <f>IF(N11="","",IF(N11="SIM",VLOOKUP($I11&amp;$J11&amp;N$1,Pesos!$A:$I,7,FALSE),VLOOKUP($I11&amp;$J11&amp;N$1,Pesos!$A:$I,9,FALSE)))</f>
        <v>0.1</v>
      </c>
      <c r="AM11" s="154">
        <f>IF(O11="","",IF(O11="SIM",VLOOKUP($I11&amp;$J11&amp;O$1,Pesos!$A:$I,7,FALSE),VLOOKUP($I11&amp;$J11&amp;O$1,Pesos!$A:$I,9,FALSE)))</f>
        <v>0.1</v>
      </c>
      <c r="AN11" s="154">
        <f>IF(P11="","",IF(P11="SIM",VLOOKUP($I11&amp;$J11&amp;P$1,Pesos!$A:$I,7,FALSE),VLOOKUP($I11&amp;$J11&amp;P$1,Pesos!$A:$I,9,FALSE)))</f>
        <v>0.1</v>
      </c>
      <c r="AO11" s="154">
        <f>IF(Q11="","",IF(Q11="SIM",VLOOKUP($I11&amp;$J11&amp;Q$1,Pesos!$A:$I,7,FALSE),VLOOKUP($I11&amp;$J11&amp;Q$1,Pesos!$A:$I,9,FALSE)))</f>
        <v>1.6</v>
      </c>
      <c r="AP11" s="154">
        <f>IF(R11="","",IF(R11="SIM",VLOOKUP($I11&amp;$J11&amp;R$1,Pesos!$A:$I,7,FALSE),VLOOKUP($I11&amp;$J11&amp;R$1,Pesos!$A:$I,9,FALSE)))</f>
        <v>1.7000000000000002</v>
      </c>
      <c r="AQ11" s="154">
        <f>IF(S11="","",IF(S11="SIM",VLOOKUP($I11&amp;$J11&amp;S$1,Pesos!$A:$I,7,FALSE),VLOOKUP($I11&amp;$J11&amp;S$1,Pesos!$A:$I,9,FALSE)))</f>
        <v>1.7000000000000002</v>
      </c>
      <c r="AR11" s="156">
        <f>IF(T11="","",IF(T11="SIM",VLOOKUP($I11&amp;$J11&amp;T$1,Pesos!$A:$I,7,FALSE),VLOOKUP($I11&amp;$J11&amp;T$1,Pesos!$A:$I,9,FALSE)))</f>
        <v>-8.500000000000002E-2</v>
      </c>
      <c r="AS11" s="132">
        <f>IF(U11="","",IF(U11="SIM",VLOOKUP($I11&amp;$J11&amp;U$1,Pesos!$A:$I,7,FALSE),VLOOKUP($I11&amp;$J11&amp;U$1,Pesos!$A:$I,9,FALSE)))</f>
        <v>1.6500000000000001</v>
      </c>
      <c r="AT11" s="132">
        <f>IF(V11="","",IF(V11="SIM",VLOOKUP($I11&amp;$J11&amp;V$1,Pesos!$A:$I,7,FALSE),VLOOKUP($I11&amp;$J11&amp;V$1,Pesos!$A:$I,9,FALSE)))</f>
        <v>-1.4999999999999999E-2</v>
      </c>
      <c r="AU11" s="132">
        <f>IF(W11="","",IF(W11="SIM",VLOOKUP($I11&amp;$J11&amp;W$1,Pesos!$A:$I,7,FALSE),VLOOKUP($I11&amp;$J11&amp;W$1,Pesos!$A:$I,9,FALSE)))</f>
        <v>0.3</v>
      </c>
      <c r="AV11" s="132">
        <f>IF(X11="","",IF(X11="SIM",VLOOKUP($I11&amp;$J11&amp;X$1,Pesos!$A:$I,7,FALSE),VLOOKUP($I11&amp;$J11&amp;X$1,Pesos!$A:$I,9,FALSE)))</f>
        <v>0.15</v>
      </c>
      <c r="AW11" s="132">
        <f>IF(Y11="","",IF(Y11="SIM",VLOOKUP($I11&amp;$J11&amp;Y$1,Pesos!$A:$I,7,FALSE),VLOOKUP($I11&amp;$J11&amp;Y$1,Pesos!$A:$I,9,FALSE)))</f>
        <v>0.2</v>
      </c>
      <c r="AX11" s="132">
        <f>IF(Z11="","",IF(Z11="SIM",VLOOKUP($I11&amp;$J11&amp;Z$1,Pesos!$A:$I,7,FALSE),VLOOKUP($I11&amp;$J11&amp;Z$1,Pesos!$A:$I,9,FALSE)))</f>
        <v>0.3</v>
      </c>
      <c r="AY11" s="132">
        <f>IF(AA11="","",IF(AA11="SIM",VLOOKUP($I11&amp;$J11&amp;AA$1,Pesos!$A:$I,7,FALSE),VLOOKUP($I11&amp;$J11&amp;AA$1,Pesos!$A:$I,9,FALSE)))</f>
        <v>0.1</v>
      </c>
      <c r="AZ11" s="132" t="str">
        <f>IF(AB11="","",IF(AB11="SIM",VLOOKUP($I11&amp;$J11&amp;AB$1,Pesos!$A:$I,7,FALSE),VLOOKUP($I11&amp;$J11&amp;AB$1,Pesos!$A:$I,9,FALSE)))</f>
        <v/>
      </c>
      <c r="BA11" s="132" t="str">
        <f>IF(AC11="","",IF(AC11="SIM",VLOOKUP($I11&amp;$J11&amp;AC$1,Pesos!$A:$I,7,FALSE),VLOOKUP($I11&amp;$J11&amp;AC$1,Pesos!$A:$I,9,FALSE)))</f>
        <v/>
      </c>
      <c r="BB11" s="132" t="str">
        <f>IF(AD11="","",IF(AD11="SIM",VLOOKUP($I11&amp;$J11&amp;AD$1,Pesos!$A:$I,7,FALSE),VLOOKUP($I11&amp;$J11&amp;AD$1,Pesos!$A:$I,9,FALSE)))</f>
        <v/>
      </c>
      <c r="BC11" s="132" t="str">
        <f>IF(AE11="","",IF(AE11="SIM",VLOOKUP($I11&amp;$J11&amp;AE$1,Pesos!$A:$I,7,FALSE),VLOOKUP($I11&amp;$J11&amp;AE$1,Pesos!$A:$I,9,FALSE)))</f>
        <v/>
      </c>
      <c r="BD11" s="158">
        <f>IFERROR(AF11*VLOOKUP(J11,'BD Campos'!$X$1:$Y$14,2,FALSE),"0")</f>
        <v>7.9000000000000012</v>
      </c>
    </row>
    <row r="12" spans="1:56">
      <c r="A12" s="151" t="str">
        <f t="shared" si="3"/>
        <v>Jan11457ReceptivaCADASTRO</v>
      </c>
      <c r="B12" s="149" t="str">
        <f t="shared" si="4"/>
        <v>Jan114575CADASTROPADRÃO</v>
      </c>
      <c r="C12" s="152">
        <v>1</v>
      </c>
      <c r="D12" s="153">
        <v>46037.654994907411</v>
      </c>
      <c r="E12" s="154" t="s">
        <v>12</v>
      </c>
      <c r="F12" s="155">
        <v>11457</v>
      </c>
      <c r="G12" s="149" t="s">
        <v>90</v>
      </c>
      <c r="H12" s="154">
        <v>5</v>
      </c>
      <c r="I12" s="149" t="s">
        <v>80</v>
      </c>
      <c r="J12" s="149" t="s">
        <v>81</v>
      </c>
      <c r="K12" s="149" t="s">
        <v>82</v>
      </c>
      <c r="L12" s="156"/>
      <c r="M12" s="157">
        <v>1.8402777777777777E-3</v>
      </c>
      <c r="N12" s="131" t="s">
        <v>17</v>
      </c>
      <c r="O12" s="131" t="s">
        <v>17</v>
      </c>
      <c r="P12" s="131" t="s">
        <v>17</v>
      </c>
      <c r="Q12" s="131" t="s">
        <v>17</v>
      </c>
      <c r="R12" s="131" t="s">
        <v>17</v>
      </c>
      <c r="S12" s="131" t="s">
        <v>17</v>
      </c>
      <c r="T12" s="131" t="s">
        <v>17</v>
      </c>
      <c r="U12" s="131" t="s">
        <v>17</v>
      </c>
      <c r="V12" s="131" t="s">
        <v>17</v>
      </c>
      <c r="W12" s="131" t="s">
        <v>17</v>
      </c>
      <c r="X12" s="131" t="s">
        <v>17</v>
      </c>
      <c r="Y12" s="131" t="s">
        <v>17</v>
      </c>
      <c r="Z12" s="131" t="s">
        <v>17</v>
      </c>
      <c r="AA12" s="131" t="s">
        <v>17</v>
      </c>
      <c r="AB12" s="131"/>
      <c r="AC12" s="131"/>
      <c r="AD12" s="131"/>
      <c r="AE12" s="131"/>
      <c r="AF12" s="158">
        <f t="shared" si="6"/>
        <v>10.000000000000002</v>
      </c>
      <c r="AG12" s="159"/>
      <c r="AH12" s="155"/>
      <c r="AI12" s="155" t="s">
        <v>83</v>
      </c>
      <c r="AJ12" s="131" t="str">
        <f>IFERROR(VLOOKUP(E12&amp;F12,'Listagem dos op'!A:S,19,0),"")</f>
        <v/>
      </c>
      <c r="AK12" s="131" t="str">
        <f t="shared" si="5"/>
        <v>Jan11457</v>
      </c>
      <c r="AL12" s="154">
        <f>IF(N12="","",IF(N12="SIM",VLOOKUP($I12&amp;$J12&amp;N$1,Pesos!$A:$I,7,FALSE),VLOOKUP($I12&amp;$J12&amp;N$1,Pesos!$A:$I,9,FALSE)))</f>
        <v>0.1</v>
      </c>
      <c r="AM12" s="154">
        <f>IF(O12="","",IF(O12="SIM",VLOOKUP($I12&amp;$J12&amp;O$1,Pesos!$A:$I,7,FALSE),VLOOKUP($I12&amp;$J12&amp;O$1,Pesos!$A:$I,9,FALSE)))</f>
        <v>0.1</v>
      </c>
      <c r="AN12" s="154">
        <f>IF(P12="","",IF(P12="SIM",VLOOKUP($I12&amp;$J12&amp;P$1,Pesos!$A:$I,7,FALSE),VLOOKUP($I12&amp;$J12&amp;P$1,Pesos!$A:$I,9,FALSE)))</f>
        <v>0.1</v>
      </c>
      <c r="AO12" s="154">
        <f>IF(Q12="","",IF(Q12="SIM",VLOOKUP($I12&amp;$J12&amp;Q$1,Pesos!$A:$I,7,FALSE),VLOOKUP($I12&amp;$J12&amp;Q$1,Pesos!$A:$I,9,FALSE)))</f>
        <v>1.6</v>
      </c>
      <c r="AP12" s="154">
        <f>IF(R12="","",IF(R12="SIM",VLOOKUP($I12&amp;$J12&amp;R$1,Pesos!$A:$I,7,FALSE),VLOOKUP($I12&amp;$J12&amp;R$1,Pesos!$A:$I,9,FALSE)))</f>
        <v>1.7000000000000002</v>
      </c>
      <c r="AQ12" s="154">
        <f>IF(S12="","",IF(S12="SIM",VLOOKUP($I12&amp;$J12&amp;S$1,Pesos!$A:$I,7,FALSE),VLOOKUP($I12&amp;$J12&amp;S$1,Pesos!$A:$I,9,FALSE)))</f>
        <v>1.7000000000000002</v>
      </c>
      <c r="AR12" s="156">
        <f>IF(T12="","",IF(T12="SIM",VLOOKUP($I12&amp;$J12&amp;T$1,Pesos!$A:$I,7,FALSE),VLOOKUP($I12&amp;$J12&amp;T$1,Pesos!$A:$I,9,FALSE)))</f>
        <v>1.7000000000000002</v>
      </c>
      <c r="AS12" s="132">
        <f>IF(U12="","",IF(U12="SIM",VLOOKUP($I12&amp;$J12&amp;U$1,Pesos!$A:$I,7,FALSE),VLOOKUP($I12&amp;$J12&amp;U$1,Pesos!$A:$I,9,FALSE)))</f>
        <v>1.6500000000000001</v>
      </c>
      <c r="AT12" s="132">
        <f>IF(V12="","",IF(V12="SIM",VLOOKUP($I12&amp;$J12&amp;V$1,Pesos!$A:$I,7,FALSE),VLOOKUP($I12&amp;$J12&amp;V$1,Pesos!$A:$I,9,FALSE)))</f>
        <v>0.3</v>
      </c>
      <c r="AU12" s="132">
        <f>IF(W12="","",IF(W12="SIM",VLOOKUP($I12&amp;$J12&amp;W$1,Pesos!$A:$I,7,FALSE),VLOOKUP($I12&amp;$J12&amp;W$1,Pesos!$A:$I,9,FALSE)))</f>
        <v>0.3</v>
      </c>
      <c r="AV12" s="132">
        <f>IF(X12="","",IF(X12="SIM",VLOOKUP($I12&amp;$J12&amp;X$1,Pesos!$A:$I,7,FALSE),VLOOKUP($I12&amp;$J12&amp;X$1,Pesos!$A:$I,9,FALSE)))</f>
        <v>0.15</v>
      </c>
      <c r="AW12" s="132">
        <f>IF(Y12="","",IF(Y12="SIM",VLOOKUP($I12&amp;$J12&amp;Y$1,Pesos!$A:$I,7,FALSE),VLOOKUP($I12&amp;$J12&amp;Y$1,Pesos!$A:$I,9,FALSE)))</f>
        <v>0.2</v>
      </c>
      <c r="AX12" s="132">
        <f>IF(Z12="","",IF(Z12="SIM",VLOOKUP($I12&amp;$J12&amp;Z$1,Pesos!$A:$I,7,FALSE),VLOOKUP($I12&amp;$J12&amp;Z$1,Pesos!$A:$I,9,FALSE)))</f>
        <v>0.3</v>
      </c>
      <c r="AY12" s="132">
        <f>IF(AA12="","",IF(AA12="SIM",VLOOKUP($I12&amp;$J12&amp;AA$1,Pesos!$A:$I,7,FALSE),VLOOKUP($I12&amp;$J12&amp;AA$1,Pesos!$A:$I,9,FALSE)))</f>
        <v>0.1</v>
      </c>
      <c r="AZ12" s="132" t="str">
        <f>IF(AB12="","",IF(AB12="SIM",VLOOKUP($I12&amp;$J12&amp;AB$1,Pesos!$A:$I,7,FALSE),VLOOKUP($I12&amp;$J12&amp;AB$1,Pesos!$A:$I,9,FALSE)))</f>
        <v/>
      </c>
      <c r="BA12" s="132" t="str">
        <f>IF(AC12="","",IF(AC12="SIM",VLOOKUP($I12&amp;$J12&amp;AC$1,Pesos!$A:$I,7,FALSE),VLOOKUP($I12&amp;$J12&amp;AC$1,Pesos!$A:$I,9,FALSE)))</f>
        <v/>
      </c>
      <c r="BB12" s="132" t="str">
        <f>IF(AD12="","",IF(AD12="SIM",VLOOKUP($I12&amp;$J12&amp;AD$1,Pesos!$A:$I,7,FALSE),VLOOKUP($I12&amp;$J12&amp;AD$1,Pesos!$A:$I,9,FALSE)))</f>
        <v/>
      </c>
      <c r="BC12" s="132" t="str">
        <f>IF(AE12="","",IF(AE12="SIM",VLOOKUP($I12&amp;$J12&amp;AE$1,Pesos!$A:$I,7,FALSE),VLOOKUP($I12&amp;$J12&amp;AE$1,Pesos!$A:$I,9,FALSE)))</f>
        <v/>
      </c>
      <c r="BD12" s="158">
        <f>IFERROR(AF12*VLOOKUP(J12,'BD Campos'!$X$1:$Y$14,2,FALSE),"0")</f>
        <v>10.000000000000002</v>
      </c>
    </row>
    <row r="13" spans="1:56">
      <c r="A13" s="151" t="str">
        <f t="shared" si="3"/>
        <v>Jan10914MotoristaDISTRIBUIÇÃO</v>
      </c>
      <c r="B13" s="149" t="str">
        <f t="shared" si="4"/>
        <v>Jan109141DISTRIBUIÇÃOPADRÃO</v>
      </c>
      <c r="C13" s="152">
        <v>1</v>
      </c>
      <c r="D13" s="153">
        <v>46037.697557523148</v>
      </c>
      <c r="E13" s="154" t="s">
        <v>12</v>
      </c>
      <c r="F13" s="155">
        <v>10914</v>
      </c>
      <c r="G13" s="149" t="s">
        <v>91</v>
      </c>
      <c r="H13" s="154">
        <v>1</v>
      </c>
      <c r="I13" s="149" t="s">
        <v>92</v>
      </c>
      <c r="J13" s="149" t="s">
        <v>93</v>
      </c>
      <c r="K13" s="149" t="s">
        <v>94</v>
      </c>
      <c r="L13" s="156">
        <v>34614055</v>
      </c>
      <c r="M13" s="157">
        <v>1.0069444444444444E-3</v>
      </c>
      <c r="N13" s="131" t="s">
        <v>17</v>
      </c>
      <c r="O13" s="131" t="s">
        <v>17</v>
      </c>
      <c r="P13" s="131" t="s">
        <v>17</v>
      </c>
      <c r="Q13" s="131" t="s">
        <v>17</v>
      </c>
      <c r="R13" s="131" t="s">
        <v>17</v>
      </c>
      <c r="S13" s="131" t="s">
        <v>17</v>
      </c>
      <c r="T13" s="131" t="s">
        <v>18</v>
      </c>
      <c r="U13" s="131" t="s">
        <v>18</v>
      </c>
      <c r="V13" s="131" t="s">
        <v>17</v>
      </c>
      <c r="W13" s="131" t="s">
        <v>17</v>
      </c>
      <c r="X13" s="131" t="s">
        <v>17</v>
      </c>
      <c r="Y13" s="131" t="s">
        <v>18</v>
      </c>
      <c r="Z13" s="131" t="s">
        <v>17</v>
      </c>
      <c r="AA13" s="131" t="s">
        <v>17</v>
      </c>
      <c r="AB13" s="131"/>
      <c r="AC13" s="131"/>
      <c r="AD13" s="131"/>
      <c r="AE13" s="131"/>
      <c r="AF13" s="158">
        <f t="shared" si="6"/>
        <v>5.9889999999999999</v>
      </c>
      <c r="AG13" s="159"/>
      <c r="AH13" s="155" t="s">
        <v>95</v>
      </c>
      <c r="AI13" s="155" t="s">
        <v>83</v>
      </c>
      <c r="AJ13" s="131" t="str">
        <f>IFERROR(VLOOKUP(E13&amp;F13,'Listagem dos op'!A:S,19,0),"")</f>
        <v/>
      </c>
      <c r="AK13" s="131" t="str">
        <f t="shared" si="5"/>
        <v>Jan10914</v>
      </c>
      <c r="AL13" s="154">
        <f>IF(N13="","",IF(N13="SIM",VLOOKUP($I13&amp;$J13&amp;N$1,Pesos!$A:$I,7,FALSE),VLOOKUP($I13&amp;$J13&amp;N$1,Pesos!$A:$I,9,FALSE)))</f>
        <v>0.1</v>
      </c>
      <c r="AM13" s="154">
        <f>IF(O13="","",IF(O13="SIM",VLOOKUP($I13&amp;$J13&amp;O$1,Pesos!$A:$I,7,FALSE),VLOOKUP($I13&amp;$J13&amp;O$1,Pesos!$A:$I,9,FALSE)))</f>
        <v>0.1</v>
      </c>
      <c r="AN13" s="154">
        <f>IF(P13="","",IF(P13="SIM",VLOOKUP($I13&amp;$J13&amp;P$1,Pesos!$A:$I,7,FALSE),VLOOKUP($I13&amp;$J13&amp;P$1,Pesos!$A:$I,9,FALSE)))</f>
        <v>0.1</v>
      </c>
      <c r="AO13" s="154">
        <f>IF(Q13="","",IF(Q13="SIM",VLOOKUP($I13&amp;$J13&amp;Q$1,Pesos!$A:$I,7,FALSE),VLOOKUP($I13&amp;$J13&amp;Q$1,Pesos!$A:$I,9,FALSE)))</f>
        <v>2</v>
      </c>
      <c r="AP13" s="154">
        <f>IF(R13="","",IF(R13="SIM",VLOOKUP($I13&amp;$J13&amp;R$1,Pesos!$A:$I,7,FALSE),VLOOKUP($I13&amp;$J13&amp;R$1,Pesos!$A:$I,9,FALSE)))</f>
        <v>1.03</v>
      </c>
      <c r="AQ13" s="154">
        <f>IF(S13="","",IF(S13="SIM",VLOOKUP($I13&amp;$J13&amp;S$1,Pesos!$A:$I,7,FALSE),VLOOKUP($I13&amp;$J13&amp;S$1,Pesos!$A:$I,9,FALSE)))</f>
        <v>1.7000000000000002</v>
      </c>
      <c r="AR13" s="156">
        <f>IF(T13="","",IF(T13="SIM",VLOOKUP($I13&amp;$J13&amp;T$1,Pesos!$A:$I,7,FALSE),VLOOKUP($I13&amp;$J13&amp;T$1,Pesos!$A:$I,9,FALSE)))</f>
        <v>-9.6000000000000002E-2</v>
      </c>
      <c r="AS13" s="132">
        <f>IF(U13="","",IF(U13="SIM",VLOOKUP($I13&amp;$J13&amp;U$1,Pesos!$A:$I,7,FALSE),VLOOKUP($I13&amp;$J13&amp;U$1,Pesos!$A:$I,9,FALSE)))</f>
        <v>-8.500000000000002E-2</v>
      </c>
      <c r="AT13" s="132">
        <f>IF(V13="","",IF(V13="SIM",VLOOKUP($I13&amp;$J13&amp;V$1,Pesos!$A:$I,7,FALSE),VLOOKUP($I13&amp;$J13&amp;V$1,Pesos!$A:$I,9,FALSE)))</f>
        <v>0.3</v>
      </c>
      <c r="AU13" s="132">
        <f>IF(W13="","",IF(W13="SIM",VLOOKUP($I13&amp;$J13&amp;W$1,Pesos!$A:$I,7,FALSE),VLOOKUP($I13&amp;$J13&amp;W$1,Pesos!$A:$I,9,FALSE)))</f>
        <v>0.3</v>
      </c>
      <c r="AV13" s="132">
        <f>IF(X13="","",IF(X13="SIM",VLOOKUP($I13&amp;$J13&amp;X$1,Pesos!$A:$I,7,FALSE),VLOOKUP($I13&amp;$J13&amp;X$1,Pesos!$A:$I,9,FALSE)))</f>
        <v>0.15</v>
      </c>
      <c r="AW13" s="132">
        <f>IF(Y13="","",IF(Y13="SIM",VLOOKUP($I13&amp;$J13&amp;Y$1,Pesos!$A:$I,7,FALSE),VLOOKUP($I13&amp;$J13&amp;Y$1,Pesos!$A:$I,9,FALSE)))</f>
        <v>-1.0000000000000002E-2</v>
      </c>
      <c r="AX13" s="132">
        <f>IF(Z13="","",IF(Z13="SIM",VLOOKUP($I13&amp;$J13&amp;Z$1,Pesos!$A:$I,7,FALSE),VLOOKUP($I13&amp;$J13&amp;Z$1,Pesos!$A:$I,9,FALSE)))</f>
        <v>0.3</v>
      </c>
      <c r="AY13" s="132">
        <f>IF(AA13="","",IF(AA13="SIM",VLOOKUP($I13&amp;$J13&amp;AA$1,Pesos!$A:$I,7,FALSE),VLOOKUP($I13&amp;$J13&amp;AA$1,Pesos!$A:$I,9,FALSE)))</f>
        <v>0.1</v>
      </c>
      <c r="AZ13" s="132" t="str">
        <f>IF(AB13="","",IF(AB13="SIM",VLOOKUP($I13&amp;$J13&amp;AB$1,Pesos!$A:$I,7,FALSE),VLOOKUP($I13&amp;$J13&amp;AB$1,Pesos!$A:$I,9,FALSE)))</f>
        <v/>
      </c>
      <c r="BA13" s="132" t="str">
        <f>IF(AC13="","",IF(AC13="SIM",VLOOKUP($I13&amp;$J13&amp;AC$1,Pesos!$A:$I,7,FALSE),VLOOKUP($I13&amp;$J13&amp;AC$1,Pesos!$A:$I,9,FALSE)))</f>
        <v/>
      </c>
      <c r="BB13" s="132" t="str">
        <f>IF(AD13="","",IF(AD13="SIM",VLOOKUP($I13&amp;$J13&amp;AD$1,Pesos!$A:$I,7,FALSE),VLOOKUP($I13&amp;$J13&amp;AD$1,Pesos!$A:$I,9,FALSE)))</f>
        <v/>
      </c>
      <c r="BC13" s="132" t="str">
        <f>IF(AE13="","",IF(AE13="SIM",VLOOKUP($I13&amp;$J13&amp;AE$1,Pesos!$A:$I,7,FALSE),VLOOKUP($I13&amp;$J13&amp;AE$1,Pesos!$A:$I,9,FALSE)))</f>
        <v/>
      </c>
      <c r="BD13" s="158">
        <f>IFERROR(AF13*VLOOKUP(J13,'BD Campos'!$X$1:$Y$14,2,FALSE),"0")</f>
        <v>5.9889999999999999</v>
      </c>
    </row>
    <row r="14" spans="1:56">
      <c r="A14" s="151" t="str">
        <f t="shared" si="3"/>
        <v>Jan10914Motorista 2DISTRIBUIÇÃO</v>
      </c>
      <c r="B14" s="149" t="str">
        <f t="shared" si="4"/>
        <v>Jan109142DISTRIBUIÇÃOPADRÃO</v>
      </c>
      <c r="C14" s="152">
        <v>1</v>
      </c>
      <c r="D14" s="153">
        <v>46037.720712152775</v>
      </c>
      <c r="E14" s="154" t="s">
        <v>12</v>
      </c>
      <c r="F14" s="155">
        <v>10914</v>
      </c>
      <c r="G14" s="149" t="s">
        <v>91</v>
      </c>
      <c r="H14" s="154">
        <v>2</v>
      </c>
      <c r="I14" s="149" t="s">
        <v>96</v>
      </c>
      <c r="J14" s="149" t="s">
        <v>97</v>
      </c>
      <c r="K14" s="149" t="s">
        <v>94</v>
      </c>
      <c r="L14" s="156">
        <v>34600219</v>
      </c>
      <c r="M14" s="157">
        <v>7.6388888888888893E-4</v>
      </c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58">
        <f t="shared" si="6"/>
        <v>0</v>
      </c>
      <c r="AG14" s="159" t="s">
        <v>98</v>
      </c>
      <c r="AH14" s="155" t="s">
        <v>99</v>
      </c>
      <c r="AI14" s="155" t="s">
        <v>83</v>
      </c>
      <c r="AJ14" s="131" t="str">
        <f>IFERROR(VLOOKUP(E14&amp;F14,'Listagem dos op'!A:S,19,0),"")</f>
        <v/>
      </c>
      <c r="AK14" s="131" t="str">
        <f t="shared" si="5"/>
        <v>Jan10914</v>
      </c>
      <c r="AL14" s="154" t="str">
        <f>IF(N14="","",IF(N14="SIM",VLOOKUP($I14&amp;$J14&amp;N$1,Pesos!$A:$I,7,FALSE),VLOOKUP($I14&amp;$J14&amp;N$1,Pesos!$A:$I,9,FALSE)))</f>
        <v/>
      </c>
      <c r="AM14" s="154" t="str">
        <f>IF(O14="","",IF(O14="SIM",VLOOKUP($I14&amp;$J14&amp;O$1,Pesos!$A:$I,7,FALSE),VLOOKUP($I14&amp;$J14&amp;O$1,Pesos!$A:$I,9,FALSE)))</f>
        <v/>
      </c>
      <c r="AN14" s="154" t="str">
        <f>IF(P14="","",IF(P14="SIM",VLOOKUP($I14&amp;$J14&amp;P$1,Pesos!$A:$I,7,FALSE),VLOOKUP($I14&amp;$J14&amp;P$1,Pesos!$A:$I,9,FALSE)))</f>
        <v/>
      </c>
      <c r="AO14" s="154" t="str">
        <f>IF(Q14="","",IF(Q14="SIM",VLOOKUP($I14&amp;$J14&amp;Q$1,Pesos!$A:$I,7,FALSE),VLOOKUP($I14&amp;$J14&amp;Q$1,Pesos!$A:$I,9,FALSE)))</f>
        <v/>
      </c>
      <c r="AP14" s="154" t="str">
        <f>IF(R14="","",IF(R14="SIM",VLOOKUP($I14&amp;$J14&amp;R$1,Pesos!$A:$I,7,FALSE),VLOOKUP($I14&amp;$J14&amp;R$1,Pesos!$A:$I,9,FALSE)))</f>
        <v/>
      </c>
      <c r="AQ14" s="154" t="str">
        <f>IF(S14="","",IF(S14="SIM",VLOOKUP($I14&amp;$J14&amp;S$1,Pesos!$A:$I,7,FALSE),VLOOKUP($I14&amp;$J14&amp;S$1,Pesos!$A:$I,9,FALSE)))</f>
        <v/>
      </c>
      <c r="AR14" s="156" t="str">
        <f>IF(T14="","",IF(T14="SIM",VLOOKUP($I14&amp;$J14&amp;T$1,Pesos!$A:$I,7,FALSE),VLOOKUP($I14&amp;$J14&amp;T$1,Pesos!$A:$I,9,FALSE)))</f>
        <v/>
      </c>
      <c r="AS14" s="132" t="str">
        <f>IF(U14="","",IF(U14="SIM",VLOOKUP($I14&amp;$J14&amp;U$1,Pesos!$A:$I,7,FALSE),VLOOKUP($I14&amp;$J14&amp;U$1,Pesos!$A:$I,9,FALSE)))</f>
        <v/>
      </c>
      <c r="AT14" s="132" t="str">
        <f>IF(V14="","",IF(V14="SIM",VLOOKUP($I14&amp;$J14&amp;V$1,Pesos!$A:$I,7,FALSE),VLOOKUP($I14&amp;$J14&amp;V$1,Pesos!$A:$I,9,FALSE)))</f>
        <v/>
      </c>
      <c r="AU14" s="132" t="str">
        <f>IF(W14="","",IF(W14="SIM",VLOOKUP($I14&amp;$J14&amp;W$1,Pesos!$A:$I,7,FALSE),VLOOKUP($I14&amp;$J14&amp;W$1,Pesos!$A:$I,9,FALSE)))</f>
        <v/>
      </c>
      <c r="AV14" s="132" t="str">
        <f>IF(X14="","",IF(X14="SIM",VLOOKUP($I14&amp;$J14&amp;X$1,Pesos!$A:$I,7,FALSE),VLOOKUP($I14&amp;$J14&amp;X$1,Pesos!$A:$I,9,FALSE)))</f>
        <v/>
      </c>
      <c r="AW14" s="132" t="str">
        <f>IF(Y14="","",IF(Y14="SIM",VLOOKUP($I14&amp;$J14&amp;Y$1,Pesos!$A:$I,7,FALSE),VLOOKUP($I14&amp;$J14&amp;Y$1,Pesos!$A:$I,9,FALSE)))</f>
        <v/>
      </c>
      <c r="AX14" s="132" t="str">
        <f>IF(Z14="","",IF(Z14="SIM",VLOOKUP($I14&amp;$J14&amp;Z$1,Pesos!$A:$I,7,FALSE),VLOOKUP($I14&amp;$J14&amp;Z$1,Pesos!$A:$I,9,FALSE)))</f>
        <v/>
      </c>
      <c r="AY14" s="132" t="str">
        <f>IF(AA14="","",IF(AA14="SIM",VLOOKUP($I14&amp;$J14&amp;AA$1,Pesos!$A:$I,7,FALSE),VLOOKUP($I14&amp;$J14&amp;AA$1,Pesos!$A:$I,9,FALSE)))</f>
        <v/>
      </c>
      <c r="AZ14" s="132" t="str">
        <f>IF(AB14="","",IF(AB14="SIM",VLOOKUP($I14&amp;$J14&amp;AB$1,Pesos!$A:$I,7,FALSE),VLOOKUP($I14&amp;$J14&amp;AB$1,Pesos!$A:$I,9,FALSE)))</f>
        <v/>
      </c>
      <c r="BA14" s="132" t="str">
        <f>IF(AC14="","",IF(AC14="SIM",VLOOKUP($I14&amp;$J14&amp;AC$1,Pesos!$A:$I,7,FALSE),VLOOKUP($I14&amp;$J14&amp;AC$1,Pesos!$A:$I,9,FALSE)))</f>
        <v/>
      </c>
      <c r="BB14" s="132" t="str">
        <f>IF(AD14="","",IF(AD14="SIM",VLOOKUP($I14&amp;$J14&amp;AD$1,Pesos!$A:$I,7,FALSE),VLOOKUP($I14&amp;$J14&amp;AD$1,Pesos!$A:$I,9,FALSE)))</f>
        <v/>
      </c>
      <c r="BC14" s="132" t="str">
        <f>IF(AE14="","",IF(AE14="SIM",VLOOKUP($I14&amp;$J14&amp;AE$1,Pesos!$A:$I,7,FALSE),VLOOKUP($I14&amp;$J14&amp;AE$1,Pesos!$A:$I,9,FALSE)))</f>
        <v/>
      </c>
      <c r="BD14" s="158">
        <f>IFERROR(AF14*VLOOKUP(J14,'BD Campos'!$X$1:$Y$14,2,FALSE),"0")</f>
        <v>0</v>
      </c>
    </row>
    <row r="15" spans="1:56">
      <c r="A15" s="151" t="str">
        <f t="shared" si="3"/>
        <v>Jan11228MotoristaDISTRIBUIÇÃO</v>
      </c>
      <c r="B15" s="149" t="str">
        <f t="shared" si="4"/>
        <v>Jan112281DISTRIBUIÇÃOPADRÃO</v>
      </c>
      <c r="C15" s="152">
        <v>1</v>
      </c>
      <c r="D15" s="153">
        <v>46037.725023611114</v>
      </c>
      <c r="E15" s="154" t="s">
        <v>12</v>
      </c>
      <c r="F15" s="155">
        <v>11228</v>
      </c>
      <c r="G15" s="149" t="s">
        <v>100</v>
      </c>
      <c r="H15" s="154">
        <v>1</v>
      </c>
      <c r="I15" s="149" t="s">
        <v>92</v>
      </c>
      <c r="J15" s="149" t="s">
        <v>93</v>
      </c>
      <c r="K15" s="149" t="s">
        <v>94</v>
      </c>
      <c r="L15" s="156">
        <v>34456037</v>
      </c>
      <c r="M15" s="157">
        <v>1.1111111111111111E-3</v>
      </c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58">
        <f t="shared" si="6"/>
        <v>0</v>
      </c>
      <c r="AG15" s="159" t="s">
        <v>101</v>
      </c>
      <c r="AH15" s="155" t="s">
        <v>102</v>
      </c>
      <c r="AI15" s="155" t="s">
        <v>83</v>
      </c>
      <c r="AJ15" s="131" t="str">
        <f>IFERROR(VLOOKUP(E15&amp;F15,'Listagem dos op'!A:S,19,0),"")</f>
        <v/>
      </c>
      <c r="AK15" s="131" t="str">
        <f t="shared" si="5"/>
        <v>Jan11228</v>
      </c>
      <c r="AL15" s="154" t="str">
        <f>IF(N15="","",IF(N15="SIM",VLOOKUP($I15&amp;$J15&amp;N$1,Pesos!$A:$I,7,FALSE),VLOOKUP($I15&amp;$J15&amp;N$1,Pesos!$A:$I,9,FALSE)))</f>
        <v/>
      </c>
      <c r="AM15" s="154" t="str">
        <f>IF(O15="","",IF(O15="SIM",VLOOKUP($I15&amp;$J15&amp;O$1,Pesos!$A:$I,7,FALSE),VLOOKUP($I15&amp;$J15&amp;O$1,Pesos!$A:$I,9,FALSE)))</f>
        <v/>
      </c>
      <c r="AN15" s="154" t="str">
        <f>IF(P15="","",IF(P15="SIM",VLOOKUP($I15&amp;$J15&amp;P$1,Pesos!$A:$I,7,FALSE),VLOOKUP($I15&amp;$J15&amp;P$1,Pesos!$A:$I,9,FALSE)))</f>
        <v/>
      </c>
      <c r="AO15" s="154" t="str">
        <f>IF(Q15="","",IF(Q15="SIM",VLOOKUP($I15&amp;$J15&amp;Q$1,Pesos!$A:$I,7,FALSE),VLOOKUP($I15&amp;$J15&amp;Q$1,Pesos!$A:$I,9,FALSE)))</f>
        <v/>
      </c>
      <c r="AP15" s="154" t="str">
        <f>IF(R15="","",IF(R15="SIM",VLOOKUP($I15&amp;$J15&amp;R$1,Pesos!$A:$I,7,FALSE),VLOOKUP($I15&amp;$J15&amp;R$1,Pesos!$A:$I,9,FALSE)))</f>
        <v/>
      </c>
      <c r="AQ15" s="154" t="str">
        <f>IF(S15="","",IF(S15="SIM",VLOOKUP($I15&amp;$J15&amp;S$1,Pesos!$A:$I,7,FALSE),VLOOKUP($I15&amp;$J15&amp;S$1,Pesos!$A:$I,9,FALSE)))</f>
        <v/>
      </c>
      <c r="AR15" s="156" t="str">
        <f>IF(T15="","",IF(T15="SIM",VLOOKUP($I15&amp;$J15&amp;T$1,Pesos!$A:$I,7,FALSE),VLOOKUP($I15&amp;$J15&amp;T$1,Pesos!$A:$I,9,FALSE)))</f>
        <v/>
      </c>
      <c r="AS15" s="132" t="str">
        <f>IF(U15="","",IF(U15="SIM",VLOOKUP($I15&amp;$J15&amp;U$1,Pesos!$A:$I,7,FALSE),VLOOKUP($I15&amp;$J15&amp;U$1,Pesos!$A:$I,9,FALSE)))</f>
        <v/>
      </c>
      <c r="AT15" s="132" t="str">
        <f>IF(V15="","",IF(V15="SIM",VLOOKUP($I15&amp;$J15&amp;V$1,Pesos!$A:$I,7,FALSE),VLOOKUP($I15&amp;$J15&amp;V$1,Pesos!$A:$I,9,FALSE)))</f>
        <v/>
      </c>
      <c r="AU15" s="132" t="str">
        <f>IF(W15="","",IF(W15="SIM",VLOOKUP($I15&amp;$J15&amp;W$1,Pesos!$A:$I,7,FALSE),VLOOKUP($I15&amp;$J15&amp;W$1,Pesos!$A:$I,9,FALSE)))</f>
        <v/>
      </c>
      <c r="AV15" s="132" t="str">
        <f>IF(X15="","",IF(X15="SIM",VLOOKUP($I15&amp;$J15&amp;X$1,Pesos!$A:$I,7,FALSE),VLOOKUP($I15&amp;$J15&amp;X$1,Pesos!$A:$I,9,FALSE)))</f>
        <v/>
      </c>
      <c r="AW15" s="132" t="str">
        <f>IF(Y15="","",IF(Y15="SIM",VLOOKUP($I15&amp;$J15&amp;Y$1,Pesos!$A:$I,7,FALSE),VLOOKUP($I15&amp;$J15&amp;Y$1,Pesos!$A:$I,9,FALSE)))</f>
        <v/>
      </c>
      <c r="AX15" s="132" t="str">
        <f>IF(Z15="","",IF(Z15="SIM",VLOOKUP($I15&amp;$J15&amp;Z$1,Pesos!$A:$I,7,FALSE),VLOOKUP($I15&amp;$J15&amp;Z$1,Pesos!$A:$I,9,FALSE)))</f>
        <v/>
      </c>
      <c r="AY15" s="132" t="str">
        <f>IF(AA15="","",IF(AA15="SIM",VLOOKUP($I15&amp;$J15&amp;AA$1,Pesos!$A:$I,7,FALSE),VLOOKUP($I15&amp;$J15&amp;AA$1,Pesos!$A:$I,9,FALSE)))</f>
        <v/>
      </c>
      <c r="AZ15" s="132" t="str">
        <f>IF(AB15="","",IF(AB15="SIM",VLOOKUP($I15&amp;$J15&amp;AB$1,Pesos!$A:$I,7,FALSE),VLOOKUP($I15&amp;$J15&amp;AB$1,Pesos!$A:$I,9,FALSE)))</f>
        <v/>
      </c>
      <c r="BA15" s="132" t="str">
        <f>IF(AC15="","",IF(AC15="SIM",VLOOKUP($I15&amp;$J15&amp;AC$1,Pesos!$A:$I,7,FALSE),VLOOKUP($I15&amp;$J15&amp;AC$1,Pesos!$A:$I,9,FALSE)))</f>
        <v/>
      </c>
      <c r="BB15" s="132" t="str">
        <f>IF(AD15="","",IF(AD15="SIM",VLOOKUP($I15&amp;$J15&amp;AD$1,Pesos!$A:$I,7,FALSE),VLOOKUP($I15&amp;$J15&amp;AD$1,Pesos!$A:$I,9,FALSE)))</f>
        <v/>
      </c>
      <c r="BC15" s="132" t="str">
        <f>IF(AE15="","",IF(AE15="SIM",VLOOKUP($I15&amp;$J15&amp;AE$1,Pesos!$A:$I,7,FALSE),VLOOKUP($I15&amp;$J15&amp;AE$1,Pesos!$A:$I,9,FALSE)))</f>
        <v/>
      </c>
      <c r="BD15" s="158">
        <f>IFERROR(AF15*VLOOKUP(J15,'BD Campos'!$X$1:$Y$14,2,FALSE),"0")</f>
        <v>0</v>
      </c>
    </row>
    <row r="16" spans="1:56">
      <c r="A16" s="151" t="str">
        <f t="shared" si="3"/>
        <v>Jan11228Motorista 2DISTRIBUIÇÃO</v>
      </c>
      <c r="B16" s="149" t="str">
        <f t="shared" si="4"/>
        <v>Jan112282DISTRIBUIÇÃOPADRÃO</v>
      </c>
      <c r="C16" s="152">
        <v>1</v>
      </c>
      <c r="D16" s="153">
        <v>46037.727390740743</v>
      </c>
      <c r="E16" s="154" t="s">
        <v>12</v>
      </c>
      <c r="F16" s="155">
        <v>11228</v>
      </c>
      <c r="G16" s="149" t="s">
        <v>100</v>
      </c>
      <c r="H16" s="154">
        <v>2</v>
      </c>
      <c r="I16" s="149" t="s">
        <v>96</v>
      </c>
      <c r="J16" s="149" t="s">
        <v>97</v>
      </c>
      <c r="K16" s="149" t="s">
        <v>94</v>
      </c>
      <c r="L16" s="156">
        <v>34581409</v>
      </c>
      <c r="M16" s="157">
        <v>1.0185185185185186E-3</v>
      </c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58">
        <f t="shared" si="6"/>
        <v>0</v>
      </c>
      <c r="AG16" s="159" t="s">
        <v>98</v>
      </c>
      <c r="AH16" s="155" t="s">
        <v>103</v>
      </c>
      <c r="AI16" s="155" t="s">
        <v>83</v>
      </c>
      <c r="AJ16" s="131" t="str">
        <f>IFERROR(VLOOKUP(E16&amp;F16,'Listagem dos op'!A:S,19,0),"")</f>
        <v/>
      </c>
      <c r="AK16" s="131" t="str">
        <f t="shared" si="5"/>
        <v>Jan11228</v>
      </c>
      <c r="AL16" s="154" t="str">
        <f>IF(N16="","",IF(N16="SIM",VLOOKUP($I16&amp;$J16&amp;N$1,Pesos!$A:$I,7,FALSE),VLOOKUP($I16&amp;$J16&amp;N$1,Pesos!$A:$I,9,FALSE)))</f>
        <v/>
      </c>
      <c r="AM16" s="154" t="str">
        <f>IF(O16="","",IF(O16="SIM",VLOOKUP($I16&amp;$J16&amp;O$1,Pesos!$A:$I,7,FALSE),VLOOKUP($I16&amp;$J16&amp;O$1,Pesos!$A:$I,9,FALSE)))</f>
        <v/>
      </c>
      <c r="AN16" s="154" t="str">
        <f>IF(P16="","",IF(P16="SIM",VLOOKUP($I16&amp;$J16&amp;P$1,Pesos!$A:$I,7,FALSE),VLOOKUP($I16&amp;$J16&amp;P$1,Pesos!$A:$I,9,FALSE)))</f>
        <v/>
      </c>
      <c r="AO16" s="154" t="str">
        <f>IF(Q16="","",IF(Q16="SIM",VLOOKUP($I16&amp;$J16&amp;Q$1,Pesos!$A:$I,7,FALSE),VLOOKUP($I16&amp;$J16&amp;Q$1,Pesos!$A:$I,9,FALSE)))</f>
        <v/>
      </c>
      <c r="AP16" s="154" t="str">
        <f>IF(R16="","",IF(R16="SIM",VLOOKUP($I16&amp;$J16&amp;R$1,Pesos!$A:$I,7,FALSE),VLOOKUP($I16&amp;$J16&amp;R$1,Pesos!$A:$I,9,FALSE)))</f>
        <v/>
      </c>
      <c r="AQ16" s="154" t="str">
        <f>IF(S16="","",IF(S16="SIM",VLOOKUP($I16&amp;$J16&amp;S$1,Pesos!$A:$I,7,FALSE),VLOOKUP($I16&amp;$J16&amp;S$1,Pesos!$A:$I,9,FALSE)))</f>
        <v/>
      </c>
      <c r="AR16" s="156" t="str">
        <f>IF(T16="","",IF(T16="SIM",VLOOKUP($I16&amp;$J16&amp;T$1,Pesos!$A:$I,7,FALSE),VLOOKUP($I16&amp;$J16&amp;T$1,Pesos!$A:$I,9,FALSE)))</f>
        <v/>
      </c>
      <c r="AS16" s="132" t="str">
        <f>IF(U16="","",IF(U16="SIM",VLOOKUP($I16&amp;$J16&amp;U$1,Pesos!$A:$I,7,FALSE),VLOOKUP($I16&amp;$J16&amp;U$1,Pesos!$A:$I,9,FALSE)))</f>
        <v/>
      </c>
      <c r="AT16" s="132" t="str">
        <f>IF(V16="","",IF(V16="SIM",VLOOKUP($I16&amp;$J16&amp;V$1,Pesos!$A:$I,7,FALSE),VLOOKUP($I16&amp;$J16&amp;V$1,Pesos!$A:$I,9,FALSE)))</f>
        <v/>
      </c>
      <c r="AU16" s="132" t="str">
        <f>IF(W16="","",IF(W16="SIM",VLOOKUP($I16&amp;$J16&amp;W$1,Pesos!$A:$I,7,FALSE),VLOOKUP($I16&amp;$J16&amp;W$1,Pesos!$A:$I,9,FALSE)))</f>
        <v/>
      </c>
      <c r="AV16" s="132" t="str">
        <f>IF(X16="","",IF(X16="SIM",VLOOKUP($I16&amp;$J16&amp;X$1,Pesos!$A:$I,7,FALSE),VLOOKUP($I16&amp;$J16&amp;X$1,Pesos!$A:$I,9,FALSE)))</f>
        <v/>
      </c>
      <c r="AW16" s="132" t="str">
        <f>IF(Y16="","",IF(Y16="SIM",VLOOKUP($I16&amp;$J16&amp;Y$1,Pesos!$A:$I,7,FALSE),VLOOKUP($I16&amp;$J16&amp;Y$1,Pesos!$A:$I,9,FALSE)))</f>
        <v/>
      </c>
      <c r="AX16" s="132" t="str">
        <f>IF(Z16="","",IF(Z16="SIM",VLOOKUP($I16&amp;$J16&amp;Z$1,Pesos!$A:$I,7,FALSE),VLOOKUP($I16&amp;$J16&amp;Z$1,Pesos!$A:$I,9,FALSE)))</f>
        <v/>
      </c>
      <c r="AY16" s="132" t="str">
        <f>IF(AA16="","",IF(AA16="SIM",VLOOKUP($I16&amp;$J16&amp;AA$1,Pesos!$A:$I,7,FALSE),VLOOKUP($I16&amp;$J16&amp;AA$1,Pesos!$A:$I,9,FALSE)))</f>
        <v/>
      </c>
      <c r="AZ16" s="132" t="str">
        <f>IF(AB16="","",IF(AB16="SIM",VLOOKUP($I16&amp;$J16&amp;AB$1,Pesos!$A:$I,7,FALSE),VLOOKUP($I16&amp;$J16&amp;AB$1,Pesos!$A:$I,9,FALSE)))</f>
        <v/>
      </c>
      <c r="BA16" s="132" t="str">
        <f>IF(AC16="","",IF(AC16="SIM",VLOOKUP($I16&amp;$J16&amp;AC$1,Pesos!$A:$I,7,FALSE),VLOOKUP($I16&amp;$J16&amp;AC$1,Pesos!$A:$I,9,FALSE)))</f>
        <v/>
      </c>
      <c r="BB16" s="132" t="str">
        <f>IF(AD16="","",IF(AD16="SIM",VLOOKUP($I16&amp;$J16&amp;AD$1,Pesos!$A:$I,7,FALSE),VLOOKUP($I16&amp;$J16&amp;AD$1,Pesos!$A:$I,9,FALSE)))</f>
        <v/>
      </c>
      <c r="BC16" s="132" t="str">
        <f>IF(AE16="","",IF(AE16="SIM",VLOOKUP($I16&amp;$J16&amp;AE$1,Pesos!$A:$I,7,FALSE),VLOOKUP($I16&amp;$J16&amp;AE$1,Pesos!$A:$I,9,FALSE)))</f>
        <v/>
      </c>
      <c r="BD16" s="158">
        <f>IFERROR(AF16*VLOOKUP(J16,'BD Campos'!$X$1:$Y$14,2,FALSE),"0")</f>
        <v>0</v>
      </c>
    </row>
    <row r="17" spans="1:56">
      <c r="A17" s="151" t="str">
        <f t="shared" si="3"/>
        <v>Jan11414MotoristaDISTRIBUIÇÃO</v>
      </c>
      <c r="B17" s="149" t="str">
        <f t="shared" si="4"/>
        <v>Jan114141DISTRIBUIÇÃOPADRÃO</v>
      </c>
      <c r="C17" s="152">
        <v>1</v>
      </c>
      <c r="D17" s="153">
        <v>46037.730666435185</v>
      </c>
      <c r="E17" s="154" t="s">
        <v>12</v>
      </c>
      <c r="F17" s="155">
        <v>11414</v>
      </c>
      <c r="G17" s="149" t="s">
        <v>104</v>
      </c>
      <c r="H17" s="154">
        <v>1</v>
      </c>
      <c r="I17" s="149" t="s">
        <v>96</v>
      </c>
      <c r="J17" s="149" t="s">
        <v>93</v>
      </c>
      <c r="K17" s="149" t="s">
        <v>94</v>
      </c>
      <c r="L17" s="156">
        <v>34519886</v>
      </c>
      <c r="M17" s="157">
        <v>1.2731481481481483E-3</v>
      </c>
      <c r="N17" s="131" t="s">
        <v>17</v>
      </c>
      <c r="O17" s="131" t="s">
        <v>17</v>
      </c>
      <c r="P17" s="131" t="s">
        <v>17</v>
      </c>
      <c r="Q17" s="131" t="s">
        <v>17</v>
      </c>
      <c r="R17" s="131" t="s">
        <v>17</v>
      </c>
      <c r="S17" s="131" t="s">
        <v>17</v>
      </c>
      <c r="T17" s="131" t="s">
        <v>17</v>
      </c>
      <c r="U17" s="131" t="s">
        <v>17</v>
      </c>
      <c r="V17" s="131" t="s">
        <v>18</v>
      </c>
      <c r="W17" s="131" t="s">
        <v>17</v>
      </c>
      <c r="X17" s="131" t="s">
        <v>17</v>
      </c>
      <c r="Y17" s="131" t="s">
        <v>17</v>
      </c>
      <c r="Z17" s="131" t="s">
        <v>17</v>
      </c>
      <c r="AA17" s="131" t="s">
        <v>17</v>
      </c>
      <c r="AB17" s="131" t="s">
        <v>17</v>
      </c>
      <c r="AC17" s="131"/>
      <c r="AD17" s="131"/>
      <c r="AE17" s="131"/>
      <c r="AF17" s="158">
        <f t="shared" si="6"/>
        <v>8.8974999999999991</v>
      </c>
      <c r="AG17" s="159"/>
      <c r="AH17" s="155" t="s">
        <v>105</v>
      </c>
      <c r="AI17" s="155" t="s">
        <v>83</v>
      </c>
      <c r="AJ17" s="131" t="str">
        <f>IFERROR(VLOOKUP(E17&amp;F17,'Listagem dos op'!A:S,19,0),"")</f>
        <v/>
      </c>
      <c r="AK17" s="131" t="str">
        <f t="shared" si="5"/>
        <v>Jan11414</v>
      </c>
      <c r="AL17" s="154">
        <f>IF(N17="","",IF(N17="SIM",VLOOKUP($I17&amp;$J17&amp;N$1,Pesos!$A:$I,7,FALSE),VLOOKUP($I17&amp;$J17&amp;N$1,Pesos!$A:$I,9,FALSE)))</f>
        <v>0.1</v>
      </c>
      <c r="AM17" s="154">
        <f>IF(O17="","",IF(O17="SIM",VLOOKUP($I17&amp;$J17&amp;O$1,Pesos!$A:$I,7,FALSE),VLOOKUP($I17&amp;$J17&amp;O$1,Pesos!$A:$I,9,FALSE)))</f>
        <v>0.1</v>
      </c>
      <c r="AN17" s="154">
        <f>IF(P17="","",IF(P17="SIM",VLOOKUP($I17&amp;$J17&amp;P$1,Pesos!$A:$I,7,FALSE),VLOOKUP($I17&amp;$J17&amp;P$1,Pesos!$A:$I,9,FALSE)))</f>
        <v>0.1</v>
      </c>
      <c r="AO17" s="154">
        <f>IF(Q17="","",IF(Q17="SIM",VLOOKUP($I17&amp;$J17&amp;Q$1,Pesos!$A:$I,7,FALSE),VLOOKUP($I17&amp;$J17&amp;Q$1,Pesos!$A:$I,9,FALSE)))</f>
        <v>2</v>
      </c>
      <c r="AP17" s="154">
        <f>IF(R17="","",IF(R17="SIM",VLOOKUP($I17&amp;$J17&amp;R$1,Pesos!$A:$I,7,FALSE),VLOOKUP($I17&amp;$J17&amp;R$1,Pesos!$A:$I,9,FALSE)))</f>
        <v>1.03</v>
      </c>
      <c r="AQ17" s="154">
        <f>IF(S17="","",IF(S17="SIM",VLOOKUP($I17&amp;$J17&amp;S$1,Pesos!$A:$I,7,FALSE),VLOOKUP($I17&amp;$J17&amp;S$1,Pesos!$A:$I,9,FALSE)))</f>
        <v>1.22</v>
      </c>
      <c r="AR17" s="156">
        <f>IF(T17="","",IF(T17="SIM",VLOOKUP($I17&amp;$J17&amp;T$1,Pesos!$A:$I,7,FALSE),VLOOKUP($I17&amp;$J17&amp;T$1,Pesos!$A:$I,9,FALSE)))</f>
        <v>2</v>
      </c>
      <c r="AS17" s="132">
        <f>IF(U17="","",IF(U17="SIM",VLOOKUP($I17&amp;$J17&amp;U$1,Pesos!$A:$I,7,FALSE),VLOOKUP($I17&amp;$J17&amp;U$1,Pesos!$A:$I,9,FALSE)))</f>
        <v>1.05</v>
      </c>
      <c r="AT17" s="132">
        <f>IF(V17="","",IF(V17="SIM",VLOOKUP($I17&amp;$J17&amp;V$1,Pesos!$A:$I,7,FALSE),VLOOKUP($I17&amp;$J17&amp;V$1,Pesos!$A:$I,9,FALSE)))</f>
        <v>-5.2500000000000005E-2</v>
      </c>
      <c r="AU17" s="132">
        <f>IF(W17="","",IF(W17="SIM",VLOOKUP($I17&amp;$J17&amp;W$1,Pesos!$A:$I,7,FALSE),VLOOKUP($I17&amp;$J17&amp;W$1,Pesos!$A:$I,9,FALSE)))</f>
        <v>0.3</v>
      </c>
      <c r="AV17" s="132">
        <f>IF(X17="","",IF(X17="SIM",VLOOKUP($I17&amp;$J17&amp;X$1,Pesos!$A:$I,7,FALSE),VLOOKUP($I17&amp;$J17&amp;X$1,Pesos!$A:$I,9,FALSE)))</f>
        <v>0.3</v>
      </c>
      <c r="AW17" s="132">
        <f>IF(Y17="","",IF(Y17="SIM",VLOOKUP($I17&amp;$J17&amp;Y$1,Pesos!$A:$I,7,FALSE),VLOOKUP($I17&amp;$J17&amp;Y$1,Pesos!$A:$I,9,FALSE)))</f>
        <v>0.15</v>
      </c>
      <c r="AX17" s="132">
        <f>IF(Z17="","",IF(Z17="SIM",VLOOKUP($I17&amp;$J17&amp;Z$1,Pesos!$A:$I,7,FALSE),VLOOKUP($I17&amp;$J17&amp;Z$1,Pesos!$A:$I,9,FALSE)))</f>
        <v>0.2</v>
      </c>
      <c r="AY17" s="132">
        <f>IF(AA17="","",IF(AA17="SIM",VLOOKUP($I17&amp;$J17&amp;AA$1,Pesos!$A:$I,7,FALSE),VLOOKUP($I17&amp;$J17&amp;AA$1,Pesos!$A:$I,9,FALSE)))</f>
        <v>0.3</v>
      </c>
      <c r="AZ17" s="132">
        <f>IF(AB17="","",IF(AB17="SIM",VLOOKUP($I17&amp;$J17&amp;AB$1,Pesos!$A:$I,7,FALSE),VLOOKUP($I17&amp;$J17&amp;AB$1,Pesos!$A:$I,9,FALSE)))</f>
        <v>0.1</v>
      </c>
      <c r="BA17" s="132" t="str">
        <f>IF(AC17="","",IF(AC17="SIM",VLOOKUP($I17&amp;$J17&amp;AC$1,Pesos!$A:$I,7,FALSE),VLOOKUP($I17&amp;$J17&amp;AC$1,Pesos!$A:$I,9,FALSE)))</f>
        <v/>
      </c>
      <c r="BB17" s="132" t="str">
        <f>IF(AD17="","",IF(AD17="SIM",VLOOKUP($I17&amp;$J17&amp;AD$1,Pesos!$A:$I,7,FALSE),VLOOKUP($I17&amp;$J17&amp;AD$1,Pesos!$A:$I,9,FALSE)))</f>
        <v/>
      </c>
      <c r="BC17" s="132" t="str">
        <f>IF(AE17="","",IF(AE17="SIM",VLOOKUP($I17&amp;$J17&amp;AE$1,Pesos!$A:$I,7,FALSE),VLOOKUP($I17&amp;$J17&amp;AE$1,Pesos!$A:$I,9,FALSE)))</f>
        <v/>
      </c>
      <c r="BD17" s="158">
        <f>IFERROR(AF17*VLOOKUP(J17,'BD Campos'!$X$1:$Y$14,2,FALSE),"0")</f>
        <v>8.8974999999999991</v>
      </c>
    </row>
    <row r="18" spans="1:56">
      <c r="A18" s="151" t="str">
        <f t="shared" si="3"/>
        <v>Jan11414Motorista 2DISTRIBUIÇÃO</v>
      </c>
      <c r="B18" s="149" t="str">
        <f t="shared" si="4"/>
        <v>Jan114142DISTRIBUIÇÃOPADRÃO</v>
      </c>
      <c r="C18" s="152">
        <v>1</v>
      </c>
      <c r="D18" s="153">
        <v>46037.732915972221</v>
      </c>
      <c r="E18" s="154" t="s">
        <v>12</v>
      </c>
      <c r="F18" s="155">
        <v>11414</v>
      </c>
      <c r="G18" s="149" t="s">
        <v>104</v>
      </c>
      <c r="H18" s="154">
        <v>2</v>
      </c>
      <c r="I18" s="149" t="s">
        <v>92</v>
      </c>
      <c r="J18" s="149" t="s">
        <v>97</v>
      </c>
      <c r="K18" s="149" t="s">
        <v>94</v>
      </c>
      <c r="L18" s="156">
        <v>34530314</v>
      </c>
      <c r="M18" s="157">
        <v>1.1342592592592591E-3</v>
      </c>
      <c r="N18" s="131" t="s">
        <v>18</v>
      </c>
      <c r="O18" s="131" t="s">
        <v>17</v>
      </c>
      <c r="P18" s="131" t="s">
        <v>17</v>
      </c>
      <c r="Q18" s="131" t="s">
        <v>17</v>
      </c>
      <c r="R18" s="131" t="s">
        <v>17</v>
      </c>
      <c r="S18" s="131" t="s">
        <v>17</v>
      </c>
      <c r="T18" s="131" t="s">
        <v>17</v>
      </c>
      <c r="U18" s="131" t="s">
        <v>17</v>
      </c>
      <c r="V18" s="131" t="s">
        <v>18</v>
      </c>
      <c r="W18" s="131" t="s">
        <v>17</v>
      </c>
      <c r="X18" s="131" t="s">
        <v>17</v>
      </c>
      <c r="Y18" s="131" t="s">
        <v>17</v>
      </c>
      <c r="Z18" s="131" t="s">
        <v>17</v>
      </c>
      <c r="AA18" s="131" t="s">
        <v>17</v>
      </c>
      <c r="AB18" s="131"/>
      <c r="AC18" s="131"/>
      <c r="AD18" s="131"/>
      <c r="AE18" s="131"/>
      <c r="AF18" s="158">
        <f t="shared" si="6"/>
        <v>9.58</v>
      </c>
      <c r="AG18" s="159"/>
      <c r="AH18" s="155" t="s">
        <v>106</v>
      </c>
      <c r="AI18" s="155" t="s">
        <v>83</v>
      </c>
      <c r="AJ18" s="131" t="str">
        <f>IFERROR(VLOOKUP(E18&amp;F18,'Listagem dos op'!A:S,19,0),"")</f>
        <v/>
      </c>
      <c r="AK18" s="131" t="str">
        <f t="shared" si="5"/>
        <v>Jan11414</v>
      </c>
      <c r="AL18" s="154">
        <f>IF(N18="","",IF(N18="SIM",VLOOKUP($I18&amp;$J18&amp;N$1,Pesos!$A:$I,7,FALSE),VLOOKUP($I18&amp;$J18&amp;N$1,Pesos!$A:$I,9,FALSE)))</f>
        <v>-5.000000000000001E-3</v>
      </c>
      <c r="AM18" s="154">
        <f>IF(O18="","",IF(O18="SIM",VLOOKUP($I18&amp;$J18&amp;O$1,Pesos!$A:$I,7,FALSE),VLOOKUP($I18&amp;$J18&amp;O$1,Pesos!$A:$I,9,FALSE)))</f>
        <v>0.1</v>
      </c>
      <c r="AN18" s="154">
        <f>IF(P18="","",IF(P18="SIM",VLOOKUP($I18&amp;$J18&amp;P$1,Pesos!$A:$I,7,FALSE),VLOOKUP($I18&amp;$J18&amp;P$1,Pesos!$A:$I,9,FALSE)))</f>
        <v>0.1</v>
      </c>
      <c r="AO18" s="154">
        <f>IF(Q18="","",IF(Q18="SIM",VLOOKUP($I18&amp;$J18&amp;Q$1,Pesos!$A:$I,7,FALSE),VLOOKUP($I18&amp;$J18&amp;Q$1,Pesos!$A:$I,9,FALSE)))</f>
        <v>2</v>
      </c>
      <c r="AP18" s="154">
        <f>IF(R18="","",IF(R18="SIM",VLOOKUP($I18&amp;$J18&amp;R$1,Pesos!$A:$I,7,FALSE),VLOOKUP($I18&amp;$J18&amp;R$1,Pesos!$A:$I,9,FALSE)))</f>
        <v>1.03</v>
      </c>
      <c r="AQ18" s="154">
        <f>IF(S18="","",IF(S18="SIM",VLOOKUP($I18&amp;$J18&amp;S$1,Pesos!$A:$I,7,FALSE),VLOOKUP($I18&amp;$J18&amp;S$1,Pesos!$A:$I,9,FALSE)))</f>
        <v>1.7000000000000002</v>
      </c>
      <c r="AR18" s="156">
        <f>IF(T18="","",IF(T18="SIM",VLOOKUP($I18&amp;$J18&amp;T$1,Pesos!$A:$I,7,FALSE),VLOOKUP($I18&amp;$J18&amp;T$1,Pesos!$A:$I,9,FALSE)))</f>
        <v>1.92</v>
      </c>
      <c r="AS18" s="132">
        <f>IF(U18="","",IF(U18="SIM",VLOOKUP($I18&amp;$J18&amp;U$1,Pesos!$A:$I,7,FALSE),VLOOKUP($I18&amp;$J18&amp;U$1,Pesos!$A:$I,9,FALSE)))</f>
        <v>1.7000000000000002</v>
      </c>
      <c r="AT18" s="132">
        <f>IF(V18="","",IF(V18="SIM",VLOOKUP($I18&amp;$J18&amp;V$1,Pesos!$A:$I,7,FALSE),VLOOKUP($I18&amp;$J18&amp;V$1,Pesos!$A:$I,9,FALSE)))</f>
        <v>-1.4999999999999999E-2</v>
      </c>
      <c r="AU18" s="132">
        <f>IF(W18="","",IF(W18="SIM",VLOOKUP($I18&amp;$J18&amp;W$1,Pesos!$A:$I,7,FALSE),VLOOKUP($I18&amp;$J18&amp;W$1,Pesos!$A:$I,9,FALSE)))</f>
        <v>0.3</v>
      </c>
      <c r="AV18" s="132">
        <f>IF(X18="","",IF(X18="SIM",VLOOKUP($I18&amp;$J18&amp;X$1,Pesos!$A:$I,7,FALSE),VLOOKUP($I18&amp;$J18&amp;X$1,Pesos!$A:$I,9,FALSE)))</f>
        <v>0.15</v>
      </c>
      <c r="AW18" s="132">
        <f>IF(Y18="","",IF(Y18="SIM",VLOOKUP($I18&amp;$J18&amp;Y$1,Pesos!$A:$I,7,FALSE),VLOOKUP($I18&amp;$J18&amp;Y$1,Pesos!$A:$I,9,FALSE)))</f>
        <v>0.2</v>
      </c>
      <c r="AX18" s="132">
        <f>IF(Z18="","",IF(Z18="SIM",VLOOKUP($I18&amp;$J18&amp;Z$1,Pesos!$A:$I,7,FALSE),VLOOKUP($I18&amp;$J18&amp;Z$1,Pesos!$A:$I,9,FALSE)))</f>
        <v>0.3</v>
      </c>
      <c r="AY18" s="132">
        <f>IF(AA18="","",IF(AA18="SIM",VLOOKUP($I18&amp;$J18&amp;AA$1,Pesos!$A:$I,7,FALSE),VLOOKUP($I18&amp;$J18&amp;AA$1,Pesos!$A:$I,9,FALSE)))</f>
        <v>0.1</v>
      </c>
      <c r="AZ18" s="132" t="str">
        <f>IF(AB18="","",IF(AB18="SIM",VLOOKUP($I18&amp;$J18&amp;AB$1,Pesos!$A:$I,7,FALSE),VLOOKUP($I18&amp;$J18&amp;AB$1,Pesos!$A:$I,9,FALSE)))</f>
        <v/>
      </c>
      <c r="BA18" s="132" t="str">
        <f>IF(AC18="","",IF(AC18="SIM",VLOOKUP($I18&amp;$J18&amp;AC$1,Pesos!$A:$I,7,FALSE),VLOOKUP($I18&amp;$J18&amp;AC$1,Pesos!$A:$I,9,FALSE)))</f>
        <v/>
      </c>
      <c r="BB18" s="132" t="str">
        <f>IF(AD18="","",IF(AD18="SIM",VLOOKUP($I18&amp;$J18&amp;AD$1,Pesos!$A:$I,7,FALSE),VLOOKUP($I18&amp;$J18&amp;AD$1,Pesos!$A:$I,9,FALSE)))</f>
        <v/>
      </c>
      <c r="BC18" s="132" t="str">
        <f>IF(AE18="","",IF(AE18="SIM",VLOOKUP($I18&amp;$J18&amp;AE$1,Pesos!$A:$I,7,FALSE),VLOOKUP($I18&amp;$J18&amp;AE$1,Pesos!$A:$I,9,FALSE)))</f>
        <v/>
      </c>
      <c r="BD18" s="158">
        <f>IFERROR(AF18*VLOOKUP(J18,'BD Campos'!$X$1:$Y$14,2,FALSE),"0")</f>
        <v>9.58</v>
      </c>
    </row>
    <row r="19" spans="1:56">
      <c r="A19" s="151" t="str">
        <f t="shared" si="3"/>
        <v>Jan11436MotoristaDISTRIBUIÇÃO</v>
      </c>
      <c r="B19" s="149" t="str">
        <f t="shared" si="4"/>
        <v>Jan114361DISTRIBUIÇÃOPADRÃO</v>
      </c>
      <c r="C19" s="152">
        <v>1</v>
      </c>
      <c r="D19" s="153">
        <v>46037.737686458335</v>
      </c>
      <c r="E19" s="154" t="s">
        <v>12</v>
      </c>
      <c r="F19" s="155">
        <v>11436</v>
      </c>
      <c r="G19" s="149" t="s">
        <v>107</v>
      </c>
      <c r="H19" s="154">
        <v>1</v>
      </c>
      <c r="I19" s="149" t="s">
        <v>96</v>
      </c>
      <c r="J19" s="149" t="s">
        <v>93</v>
      </c>
      <c r="K19" s="149" t="s">
        <v>94</v>
      </c>
      <c r="L19" s="156">
        <v>34568272</v>
      </c>
      <c r="M19" s="157">
        <v>1.1342592592592591E-3</v>
      </c>
      <c r="N19" s="131" t="s">
        <v>17</v>
      </c>
      <c r="O19" s="131" t="s">
        <v>18</v>
      </c>
      <c r="P19" s="131" t="s">
        <v>17</v>
      </c>
      <c r="Q19" s="131" t="s">
        <v>17</v>
      </c>
      <c r="R19" s="131" t="s">
        <v>17</v>
      </c>
      <c r="S19" s="131" t="s">
        <v>17</v>
      </c>
      <c r="T19" s="131" t="s">
        <v>17</v>
      </c>
      <c r="U19" s="131" t="s">
        <v>17</v>
      </c>
      <c r="V19" s="131" t="s">
        <v>18</v>
      </c>
      <c r="W19" s="131" t="s">
        <v>18</v>
      </c>
      <c r="X19" s="131" t="s">
        <v>17</v>
      </c>
      <c r="Y19" s="131" t="s">
        <v>17</v>
      </c>
      <c r="Z19" s="131" t="s">
        <v>17</v>
      </c>
      <c r="AA19" s="131" t="s">
        <v>17</v>
      </c>
      <c r="AB19" s="131" t="s">
        <v>17</v>
      </c>
      <c r="AC19" s="131"/>
      <c r="AD19" s="131"/>
      <c r="AE19" s="131"/>
      <c r="AF19" s="158">
        <f t="shared" si="6"/>
        <v>8.4774999999999991</v>
      </c>
      <c r="AG19" s="159"/>
      <c r="AH19" s="155" t="s">
        <v>108</v>
      </c>
      <c r="AI19" s="155" t="s">
        <v>83</v>
      </c>
      <c r="AJ19" s="131" t="str">
        <f>IFERROR(VLOOKUP(E19&amp;F19,'Listagem dos op'!A:S,19,0),"")</f>
        <v/>
      </c>
      <c r="AK19" s="131" t="str">
        <f t="shared" si="5"/>
        <v>Jan11436</v>
      </c>
      <c r="AL19" s="154">
        <f>IF(N19="","",IF(N19="SIM",VLOOKUP($I19&amp;$J19&amp;N$1,Pesos!$A:$I,7,FALSE),VLOOKUP($I19&amp;$J19&amp;N$1,Pesos!$A:$I,9,FALSE)))</f>
        <v>0.1</v>
      </c>
      <c r="AM19" s="154">
        <f>IF(O19="","",IF(O19="SIM",VLOOKUP($I19&amp;$J19&amp;O$1,Pesos!$A:$I,7,FALSE),VLOOKUP($I19&amp;$J19&amp;O$1,Pesos!$A:$I,9,FALSE)))</f>
        <v>-5.000000000000001E-3</v>
      </c>
      <c r="AN19" s="154">
        <f>IF(P19="","",IF(P19="SIM",VLOOKUP($I19&amp;$J19&amp;P$1,Pesos!$A:$I,7,FALSE),VLOOKUP($I19&amp;$J19&amp;P$1,Pesos!$A:$I,9,FALSE)))</f>
        <v>0.1</v>
      </c>
      <c r="AO19" s="154">
        <f>IF(Q19="","",IF(Q19="SIM",VLOOKUP($I19&amp;$J19&amp;Q$1,Pesos!$A:$I,7,FALSE),VLOOKUP($I19&amp;$J19&amp;Q$1,Pesos!$A:$I,9,FALSE)))</f>
        <v>2</v>
      </c>
      <c r="AP19" s="154">
        <f>IF(R19="","",IF(R19="SIM",VLOOKUP($I19&amp;$J19&amp;R$1,Pesos!$A:$I,7,FALSE),VLOOKUP($I19&amp;$J19&amp;R$1,Pesos!$A:$I,9,FALSE)))</f>
        <v>1.03</v>
      </c>
      <c r="AQ19" s="154">
        <f>IF(S19="","",IF(S19="SIM",VLOOKUP($I19&amp;$J19&amp;S$1,Pesos!$A:$I,7,FALSE),VLOOKUP($I19&amp;$J19&amp;S$1,Pesos!$A:$I,9,FALSE)))</f>
        <v>1.22</v>
      </c>
      <c r="AR19" s="156">
        <f>IF(T19="","",IF(T19="SIM",VLOOKUP($I19&amp;$J19&amp;T$1,Pesos!$A:$I,7,FALSE),VLOOKUP($I19&amp;$J19&amp;T$1,Pesos!$A:$I,9,FALSE)))</f>
        <v>2</v>
      </c>
      <c r="AS19" s="132">
        <f>IF(U19="","",IF(U19="SIM",VLOOKUP($I19&amp;$J19&amp;U$1,Pesos!$A:$I,7,FALSE),VLOOKUP($I19&amp;$J19&amp;U$1,Pesos!$A:$I,9,FALSE)))</f>
        <v>1.05</v>
      </c>
      <c r="AT19" s="132">
        <f>IF(V19="","",IF(V19="SIM",VLOOKUP($I19&amp;$J19&amp;V$1,Pesos!$A:$I,7,FALSE),VLOOKUP($I19&amp;$J19&amp;V$1,Pesos!$A:$I,9,FALSE)))</f>
        <v>-5.2500000000000005E-2</v>
      </c>
      <c r="AU19" s="132">
        <f>IF(W19="","",IF(W19="SIM",VLOOKUP($I19&amp;$J19&amp;W$1,Pesos!$A:$I,7,FALSE),VLOOKUP($I19&amp;$J19&amp;W$1,Pesos!$A:$I,9,FALSE)))</f>
        <v>-1.4999999999999999E-2</v>
      </c>
      <c r="AV19" s="132">
        <f>IF(X19="","",IF(X19="SIM",VLOOKUP($I19&amp;$J19&amp;X$1,Pesos!$A:$I,7,FALSE),VLOOKUP($I19&amp;$J19&amp;X$1,Pesos!$A:$I,9,FALSE)))</f>
        <v>0.3</v>
      </c>
      <c r="AW19" s="132">
        <f>IF(Y19="","",IF(Y19="SIM",VLOOKUP($I19&amp;$J19&amp;Y$1,Pesos!$A:$I,7,FALSE),VLOOKUP($I19&amp;$J19&amp;Y$1,Pesos!$A:$I,9,FALSE)))</f>
        <v>0.15</v>
      </c>
      <c r="AX19" s="132">
        <f>IF(Z19="","",IF(Z19="SIM",VLOOKUP($I19&amp;$J19&amp;Z$1,Pesos!$A:$I,7,FALSE),VLOOKUP($I19&amp;$J19&amp;Z$1,Pesos!$A:$I,9,FALSE)))</f>
        <v>0.2</v>
      </c>
      <c r="AY19" s="132">
        <f>IF(AA19="","",IF(AA19="SIM",VLOOKUP($I19&amp;$J19&amp;AA$1,Pesos!$A:$I,7,FALSE),VLOOKUP($I19&amp;$J19&amp;AA$1,Pesos!$A:$I,9,FALSE)))</f>
        <v>0.3</v>
      </c>
      <c r="AZ19" s="132">
        <f>IF(AB19="","",IF(AB19="SIM",VLOOKUP($I19&amp;$J19&amp;AB$1,Pesos!$A:$I,7,FALSE),VLOOKUP($I19&amp;$J19&amp;AB$1,Pesos!$A:$I,9,FALSE)))</f>
        <v>0.1</v>
      </c>
      <c r="BA19" s="132" t="str">
        <f>IF(AC19="","",IF(AC19="SIM",VLOOKUP($I19&amp;$J19&amp;AC$1,Pesos!$A:$I,7,FALSE),VLOOKUP($I19&amp;$J19&amp;AC$1,Pesos!$A:$I,9,FALSE)))</f>
        <v/>
      </c>
      <c r="BB19" s="132" t="str">
        <f>IF(AD19="","",IF(AD19="SIM",VLOOKUP($I19&amp;$J19&amp;AD$1,Pesos!$A:$I,7,FALSE),VLOOKUP($I19&amp;$J19&amp;AD$1,Pesos!$A:$I,9,FALSE)))</f>
        <v/>
      </c>
      <c r="BC19" s="132" t="str">
        <f>IF(AE19="","",IF(AE19="SIM",VLOOKUP($I19&amp;$J19&amp;AE$1,Pesos!$A:$I,7,FALSE),VLOOKUP($I19&amp;$J19&amp;AE$1,Pesos!$A:$I,9,FALSE)))</f>
        <v/>
      </c>
      <c r="BD19" s="158">
        <f>IFERROR(AF19*VLOOKUP(J19,'BD Campos'!$X$1:$Y$14,2,FALSE),"0")</f>
        <v>8.4774999999999991</v>
      </c>
    </row>
    <row r="20" spans="1:56">
      <c r="A20" s="151" t="str">
        <f t="shared" si="3"/>
        <v>Jan11438MotoristaDISTRIBUIÇÃO</v>
      </c>
      <c r="B20" s="149" t="str">
        <f t="shared" si="4"/>
        <v>Jan114381DISTRIBUIÇÃOPADRÃO</v>
      </c>
      <c r="C20" s="152">
        <v>1</v>
      </c>
      <c r="D20" s="153">
        <v>46037.740815509256</v>
      </c>
      <c r="E20" s="154" t="s">
        <v>12</v>
      </c>
      <c r="F20" s="155">
        <v>11438</v>
      </c>
      <c r="G20" s="149" t="s">
        <v>109</v>
      </c>
      <c r="H20" s="154">
        <v>1</v>
      </c>
      <c r="I20" s="149" t="s">
        <v>92</v>
      </c>
      <c r="J20" s="149" t="s">
        <v>93</v>
      </c>
      <c r="K20" s="149" t="s">
        <v>94</v>
      </c>
      <c r="L20" s="156">
        <v>34562245</v>
      </c>
      <c r="M20" s="157">
        <v>3.0208333333333333E-3</v>
      </c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58">
        <f t="shared" si="6"/>
        <v>0</v>
      </c>
      <c r="AG20" s="159" t="s">
        <v>98</v>
      </c>
      <c r="AH20" s="155" t="s">
        <v>110</v>
      </c>
      <c r="AI20" s="155" t="s">
        <v>83</v>
      </c>
      <c r="AJ20" s="131" t="str">
        <f>IFERROR(VLOOKUP(E20&amp;F20,'Listagem dos op'!A:S,19,0),"")</f>
        <v/>
      </c>
      <c r="AK20" s="131" t="str">
        <f t="shared" si="5"/>
        <v>Jan11438</v>
      </c>
      <c r="AL20" s="154" t="str">
        <f>IF(N20="","",IF(N20="SIM",VLOOKUP($I20&amp;$J20&amp;N$1,Pesos!$A:$I,7,FALSE),VLOOKUP($I20&amp;$J20&amp;N$1,Pesos!$A:$I,9,FALSE)))</f>
        <v/>
      </c>
      <c r="AM20" s="154" t="str">
        <f>IF(O20="","",IF(O20="SIM",VLOOKUP($I20&amp;$J20&amp;O$1,Pesos!$A:$I,7,FALSE),VLOOKUP($I20&amp;$J20&amp;O$1,Pesos!$A:$I,9,FALSE)))</f>
        <v/>
      </c>
      <c r="AN20" s="154" t="str">
        <f>IF(P20="","",IF(P20="SIM",VLOOKUP($I20&amp;$J20&amp;P$1,Pesos!$A:$I,7,FALSE),VLOOKUP($I20&amp;$J20&amp;P$1,Pesos!$A:$I,9,FALSE)))</f>
        <v/>
      </c>
      <c r="AO20" s="154" t="str">
        <f>IF(Q20="","",IF(Q20="SIM",VLOOKUP($I20&amp;$J20&amp;Q$1,Pesos!$A:$I,7,FALSE),VLOOKUP($I20&amp;$J20&amp;Q$1,Pesos!$A:$I,9,FALSE)))</f>
        <v/>
      </c>
      <c r="AP20" s="154" t="str">
        <f>IF(R20="","",IF(R20="SIM",VLOOKUP($I20&amp;$J20&amp;R$1,Pesos!$A:$I,7,FALSE),VLOOKUP($I20&amp;$J20&amp;R$1,Pesos!$A:$I,9,FALSE)))</f>
        <v/>
      </c>
      <c r="AQ20" s="154" t="str">
        <f>IF(S20="","",IF(S20="SIM",VLOOKUP($I20&amp;$J20&amp;S$1,Pesos!$A:$I,7,FALSE),VLOOKUP($I20&amp;$J20&amp;S$1,Pesos!$A:$I,9,FALSE)))</f>
        <v/>
      </c>
      <c r="AR20" s="156" t="str">
        <f>IF(T20="","",IF(T20="SIM",VLOOKUP($I20&amp;$J20&amp;T$1,Pesos!$A:$I,7,FALSE),VLOOKUP($I20&amp;$J20&amp;T$1,Pesos!$A:$I,9,FALSE)))</f>
        <v/>
      </c>
      <c r="AS20" s="132" t="str">
        <f>IF(U20="","",IF(U20="SIM",VLOOKUP($I20&amp;$J20&amp;U$1,Pesos!$A:$I,7,FALSE),VLOOKUP($I20&amp;$J20&amp;U$1,Pesos!$A:$I,9,FALSE)))</f>
        <v/>
      </c>
      <c r="AT20" s="132" t="str">
        <f>IF(V20="","",IF(V20="SIM",VLOOKUP($I20&amp;$J20&amp;V$1,Pesos!$A:$I,7,FALSE),VLOOKUP($I20&amp;$J20&amp;V$1,Pesos!$A:$I,9,FALSE)))</f>
        <v/>
      </c>
      <c r="AU20" s="132" t="str">
        <f>IF(W20="","",IF(W20="SIM",VLOOKUP($I20&amp;$J20&amp;W$1,Pesos!$A:$I,7,FALSE),VLOOKUP($I20&amp;$J20&amp;W$1,Pesos!$A:$I,9,FALSE)))</f>
        <v/>
      </c>
      <c r="AV20" s="132" t="str">
        <f>IF(X20="","",IF(X20="SIM",VLOOKUP($I20&amp;$J20&amp;X$1,Pesos!$A:$I,7,FALSE),VLOOKUP($I20&amp;$J20&amp;X$1,Pesos!$A:$I,9,FALSE)))</f>
        <v/>
      </c>
      <c r="AW20" s="132" t="str">
        <f>IF(Y20="","",IF(Y20="SIM",VLOOKUP($I20&amp;$J20&amp;Y$1,Pesos!$A:$I,7,FALSE),VLOOKUP($I20&amp;$J20&amp;Y$1,Pesos!$A:$I,9,FALSE)))</f>
        <v/>
      </c>
      <c r="AX20" s="132" t="str">
        <f>IF(Z20="","",IF(Z20="SIM",VLOOKUP($I20&amp;$J20&amp;Z$1,Pesos!$A:$I,7,FALSE),VLOOKUP($I20&amp;$J20&amp;Z$1,Pesos!$A:$I,9,FALSE)))</f>
        <v/>
      </c>
      <c r="AY20" s="132" t="str">
        <f>IF(AA20="","",IF(AA20="SIM",VLOOKUP($I20&amp;$J20&amp;AA$1,Pesos!$A:$I,7,FALSE),VLOOKUP($I20&amp;$J20&amp;AA$1,Pesos!$A:$I,9,FALSE)))</f>
        <v/>
      </c>
      <c r="AZ20" s="132" t="str">
        <f>IF(AB20="","",IF(AB20="SIM",VLOOKUP($I20&amp;$J20&amp;AB$1,Pesos!$A:$I,7,FALSE),VLOOKUP($I20&amp;$J20&amp;AB$1,Pesos!$A:$I,9,FALSE)))</f>
        <v/>
      </c>
      <c r="BA20" s="132" t="str">
        <f>IF(AC20="","",IF(AC20="SIM",VLOOKUP($I20&amp;$J20&amp;AC$1,Pesos!$A:$I,7,FALSE),VLOOKUP($I20&amp;$J20&amp;AC$1,Pesos!$A:$I,9,FALSE)))</f>
        <v/>
      </c>
      <c r="BB20" s="132" t="str">
        <f>IF(AD20="","",IF(AD20="SIM",VLOOKUP($I20&amp;$J20&amp;AD$1,Pesos!$A:$I,7,FALSE),VLOOKUP($I20&amp;$J20&amp;AD$1,Pesos!$A:$I,9,FALSE)))</f>
        <v/>
      </c>
      <c r="BC20" s="132" t="str">
        <f>IF(AE20="","",IF(AE20="SIM",VLOOKUP($I20&amp;$J20&amp;AE$1,Pesos!$A:$I,7,FALSE),VLOOKUP($I20&amp;$J20&amp;AE$1,Pesos!$A:$I,9,FALSE)))</f>
        <v/>
      </c>
      <c r="BD20" s="158">
        <f>IFERROR(AF20*VLOOKUP(J20,'BD Campos'!$X$1:$Y$14,2,FALSE),"0")</f>
        <v>0</v>
      </c>
    </row>
    <row r="21" spans="1:56">
      <c r="A21" s="151" t="str">
        <f t="shared" si="3"/>
        <v>Jan11438Motorista 2DISTRIBUIÇÃO</v>
      </c>
      <c r="B21" s="149" t="str">
        <f t="shared" si="4"/>
        <v>Jan114382DISTRIBUIÇÃOPADRÃO</v>
      </c>
      <c r="C21" s="152">
        <v>1</v>
      </c>
      <c r="D21" s="153">
        <v>46037.747199421297</v>
      </c>
      <c r="E21" s="154" t="s">
        <v>12</v>
      </c>
      <c r="F21" s="155">
        <v>11438</v>
      </c>
      <c r="G21" s="149" t="s">
        <v>109</v>
      </c>
      <c r="H21" s="154">
        <v>2</v>
      </c>
      <c r="I21" s="149" t="s">
        <v>96</v>
      </c>
      <c r="J21" s="149" t="s">
        <v>97</v>
      </c>
      <c r="K21" s="149" t="s">
        <v>94</v>
      </c>
      <c r="L21" s="156">
        <v>34594855</v>
      </c>
      <c r="M21" s="157">
        <v>1.6203703703703703E-3</v>
      </c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58">
        <f t="shared" si="6"/>
        <v>0</v>
      </c>
      <c r="AG21" s="159" t="s">
        <v>111</v>
      </c>
      <c r="AH21" s="155" t="s">
        <v>112</v>
      </c>
      <c r="AI21" s="155" t="s">
        <v>83</v>
      </c>
      <c r="AJ21" s="131" t="str">
        <f>IFERROR(VLOOKUP(E21&amp;F21,'Listagem dos op'!A:S,19,0),"")</f>
        <v/>
      </c>
      <c r="AK21" s="131" t="str">
        <f t="shared" si="5"/>
        <v>Jan11438</v>
      </c>
      <c r="AL21" s="154" t="str">
        <f>IF(N21="","",IF(N21="SIM",VLOOKUP($I21&amp;$J21&amp;N$1,Pesos!$A:$I,7,FALSE),VLOOKUP($I21&amp;$J21&amp;N$1,Pesos!$A:$I,9,FALSE)))</f>
        <v/>
      </c>
      <c r="AM21" s="154" t="str">
        <f>IF(O21="","",IF(O21="SIM",VLOOKUP($I21&amp;$J21&amp;O$1,Pesos!$A:$I,7,FALSE),VLOOKUP($I21&amp;$J21&amp;O$1,Pesos!$A:$I,9,FALSE)))</f>
        <v/>
      </c>
      <c r="AN21" s="154" t="str">
        <f>IF(P21="","",IF(P21="SIM",VLOOKUP($I21&amp;$J21&amp;P$1,Pesos!$A:$I,7,FALSE),VLOOKUP($I21&amp;$J21&amp;P$1,Pesos!$A:$I,9,FALSE)))</f>
        <v/>
      </c>
      <c r="AO21" s="154" t="str">
        <f>IF(Q21="","",IF(Q21="SIM",VLOOKUP($I21&amp;$J21&amp;Q$1,Pesos!$A:$I,7,FALSE),VLOOKUP($I21&amp;$J21&amp;Q$1,Pesos!$A:$I,9,FALSE)))</f>
        <v/>
      </c>
      <c r="AP21" s="154" t="str">
        <f>IF(R21="","",IF(R21="SIM",VLOOKUP($I21&amp;$J21&amp;R$1,Pesos!$A:$I,7,FALSE),VLOOKUP($I21&amp;$J21&amp;R$1,Pesos!$A:$I,9,FALSE)))</f>
        <v/>
      </c>
      <c r="AQ21" s="154" t="str">
        <f>IF(S21="","",IF(S21="SIM",VLOOKUP($I21&amp;$J21&amp;S$1,Pesos!$A:$I,7,FALSE),VLOOKUP($I21&amp;$J21&amp;S$1,Pesos!$A:$I,9,FALSE)))</f>
        <v/>
      </c>
      <c r="AR21" s="156" t="str">
        <f>IF(T21="","",IF(T21="SIM",VLOOKUP($I21&amp;$J21&amp;T$1,Pesos!$A:$I,7,FALSE),VLOOKUP($I21&amp;$J21&amp;T$1,Pesos!$A:$I,9,FALSE)))</f>
        <v/>
      </c>
      <c r="AS21" s="132" t="str">
        <f>IF(U21="","",IF(U21="SIM",VLOOKUP($I21&amp;$J21&amp;U$1,Pesos!$A:$I,7,FALSE),VLOOKUP($I21&amp;$J21&amp;U$1,Pesos!$A:$I,9,FALSE)))</f>
        <v/>
      </c>
      <c r="AT21" s="132" t="str">
        <f>IF(V21="","",IF(V21="SIM",VLOOKUP($I21&amp;$J21&amp;V$1,Pesos!$A:$I,7,FALSE),VLOOKUP($I21&amp;$J21&amp;V$1,Pesos!$A:$I,9,FALSE)))</f>
        <v/>
      </c>
      <c r="AU21" s="132" t="str">
        <f>IF(W21="","",IF(W21="SIM",VLOOKUP($I21&amp;$J21&amp;W$1,Pesos!$A:$I,7,FALSE),VLOOKUP($I21&amp;$J21&amp;W$1,Pesos!$A:$I,9,FALSE)))</f>
        <v/>
      </c>
      <c r="AV21" s="132" t="str">
        <f>IF(X21="","",IF(X21="SIM",VLOOKUP($I21&amp;$J21&amp;X$1,Pesos!$A:$I,7,FALSE),VLOOKUP($I21&amp;$J21&amp;X$1,Pesos!$A:$I,9,FALSE)))</f>
        <v/>
      </c>
      <c r="AW21" s="132" t="str">
        <f>IF(Y21="","",IF(Y21="SIM",VLOOKUP($I21&amp;$J21&amp;Y$1,Pesos!$A:$I,7,FALSE),VLOOKUP($I21&amp;$J21&amp;Y$1,Pesos!$A:$I,9,FALSE)))</f>
        <v/>
      </c>
      <c r="AX21" s="132" t="str">
        <f>IF(Z21="","",IF(Z21="SIM",VLOOKUP($I21&amp;$J21&amp;Z$1,Pesos!$A:$I,7,FALSE),VLOOKUP($I21&amp;$J21&amp;Z$1,Pesos!$A:$I,9,FALSE)))</f>
        <v/>
      </c>
      <c r="AY21" s="132" t="str">
        <f>IF(AA21="","",IF(AA21="SIM",VLOOKUP($I21&amp;$J21&amp;AA$1,Pesos!$A:$I,7,FALSE),VLOOKUP($I21&amp;$J21&amp;AA$1,Pesos!$A:$I,9,FALSE)))</f>
        <v/>
      </c>
      <c r="AZ21" s="132" t="str">
        <f>IF(AB21="","",IF(AB21="SIM",VLOOKUP($I21&amp;$J21&amp;AB$1,Pesos!$A:$I,7,FALSE),VLOOKUP($I21&amp;$J21&amp;AB$1,Pesos!$A:$I,9,FALSE)))</f>
        <v/>
      </c>
      <c r="BA21" s="132" t="str">
        <f>IF(AC21="","",IF(AC21="SIM",VLOOKUP($I21&amp;$J21&amp;AC$1,Pesos!$A:$I,7,FALSE),VLOOKUP($I21&amp;$J21&amp;AC$1,Pesos!$A:$I,9,FALSE)))</f>
        <v/>
      </c>
      <c r="BB21" s="132" t="str">
        <f>IF(AD21="","",IF(AD21="SIM",VLOOKUP($I21&amp;$J21&amp;AD$1,Pesos!$A:$I,7,FALSE),VLOOKUP($I21&amp;$J21&amp;AD$1,Pesos!$A:$I,9,FALSE)))</f>
        <v/>
      </c>
      <c r="BC21" s="132" t="str">
        <f>IF(AE21="","",IF(AE21="SIM",VLOOKUP($I21&amp;$J21&amp;AE$1,Pesos!$A:$I,7,FALSE),VLOOKUP($I21&amp;$J21&amp;AE$1,Pesos!$A:$I,9,FALSE)))</f>
        <v/>
      </c>
      <c r="BD21" s="158">
        <f>IFERROR(AF21*VLOOKUP(J21,'BD Campos'!$X$1:$Y$14,2,FALSE),"0")</f>
        <v>0</v>
      </c>
    </row>
    <row r="22" spans="1:56">
      <c r="A22" s="151" t="str">
        <f t="shared" si="3"/>
        <v>Jan10353ReceptivaCHECKLIST</v>
      </c>
      <c r="B22" s="149" t="str">
        <f t="shared" si="4"/>
        <v>Jan103535CHECKLISTPADRÃO</v>
      </c>
      <c r="C22" s="152">
        <v>1</v>
      </c>
      <c r="D22" s="153">
        <v>46042.739609606484</v>
      </c>
      <c r="E22" s="154" t="s">
        <v>12</v>
      </c>
      <c r="F22" s="155">
        <v>10353</v>
      </c>
      <c r="G22" s="149" t="s">
        <v>113</v>
      </c>
      <c r="H22" s="154">
        <v>5</v>
      </c>
      <c r="I22" s="149" t="s">
        <v>114</v>
      </c>
      <c r="J22" s="149" t="s">
        <v>81</v>
      </c>
      <c r="K22" s="149" t="s">
        <v>115</v>
      </c>
      <c r="L22" s="156" t="s">
        <v>116</v>
      </c>
      <c r="M22" s="157"/>
      <c r="N22" s="131" t="s">
        <v>17</v>
      </c>
      <c r="O22" s="131" t="s">
        <v>17</v>
      </c>
      <c r="P22" s="131" t="s">
        <v>17</v>
      </c>
      <c r="Q22" s="131" t="s">
        <v>17</v>
      </c>
      <c r="R22" s="131" t="s">
        <v>17</v>
      </c>
      <c r="S22" s="131" t="s">
        <v>17</v>
      </c>
      <c r="T22" s="131" t="s">
        <v>17</v>
      </c>
      <c r="U22" s="131" t="s">
        <v>17</v>
      </c>
      <c r="V22" s="131" t="s">
        <v>17</v>
      </c>
      <c r="W22" s="131" t="s">
        <v>17</v>
      </c>
      <c r="X22" s="131" t="s">
        <v>17</v>
      </c>
      <c r="Y22" s="131" t="s">
        <v>17</v>
      </c>
      <c r="Z22" s="131"/>
      <c r="AA22" s="131"/>
      <c r="AB22" s="131"/>
      <c r="AC22" s="131"/>
      <c r="AD22" s="131"/>
      <c r="AE22" s="131"/>
      <c r="AF22" s="158">
        <f t="shared" si="6"/>
        <v>10.000000000000004</v>
      </c>
      <c r="AG22" s="159"/>
      <c r="AH22" s="155"/>
      <c r="AI22" s="155" t="s">
        <v>83</v>
      </c>
      <c r="AJ22" s="131" t="str">
        <f>IFERROR(VLOOKUP(E22&amp;F22,'Listagem dos op'!A:S,19,0),"")</f>
        <v/>
      </c>
      <c r="AK22" s="131" t="str">
        <f t="shared" si="5"/>
        <v>Jan10353</v>
      </c>
      <c r="AL22" s="154">
        <f>IF(N22="","",IF(N22="SIM",VLOOKUP($I22&amp;$J22&amp;N$1,Pesos!$A:$I,7,FALSE),VLOOKUP($I22&amp;$J22&amp;N$1,Pesos!$A:$I,9,FALSE)))</f>
        <v>0.3</v>
      </c>
      <c r="AM22" s="154">
        <f>IF(O22="","",IF(O22="SIM",VLOOKUP($I22&amp;$J22&amp;O$1,Pesos!$A:$I,7,FALSE),VLOOKUP($I22&amp;$J22&amp;O$1,Pesos!$A:$I,9,FALSE)))</f>
        <v>0.5</v>
      </c>
      <c r="AN22" s="154">
        <f>IF(P22="","",IF(P22="SIM",VLOOKUP($I22&amp;$J22&amp;P$1,Pesos!$A:$I,7,FALSE),VLOOKUP($I22&amp;$J22&amp;P$1,Pesos!$A:$I,9,FALSE)))</f>
        <v>1</v>
      </c>
      <c r="AO22" s="154">
        <f>IF(Q22="","",IF(Q22="SIM",VLOOKUP($I22&amp;$J22&amp;Q$1,Pesos!$A:$I,7,FALSE),VLOOKUP($I22&amp;$J22&amp;Q$1,Pesos!$A:$I,9,FALSE)))</f>
        <v>0.4</v>
      </c>
      <c r="AP22" s="154">
        <f>IF(R22="","",IF(R22="SIM",VLOOKUP($I22&amp;$J22&amp;R$1,Pesos!$A:$I,7,FALSE),VLOOKUP($I22&amp;$J22&amp;R$1,Pesos!$A:$I,9,FALSE)))</f>
        <v>1.3</v>
      </c>
      <c r="AQ22" s="154">
        <f>IF(S22="","",IF(S22="SIM",VLOOKUP($I22&amp;$J22&amp;S$1,Pesos!$A:$I,7,FALSE),VLOOKUP($I22&amp;$J22&amp;S$1,Pesos!$A:$I,9,FALSE)))</f>
        <v>1.3</v>
      </c>
      <c r="AR22" s="156">
        <f>IF(T22="","",IF(T22="SIM",VLOOKUP($I22&amp;$J22&amp;T$1,Pesos!$A:$I,7,FALSE),VLOOKUP($I22&amp;$J22&amp;T$1,Pesos!$A:$I,9,FALSE)))</f>
        <v>2</v>
      </c>
      <c r="AS22" s="132">
        <f>IF(U22="","",IF(U22="SIM",VLOOKUP($I22&amp;$J22&amp;U$1,Pesos!$A:$I,7,FALSE),VLOOKUP($I22&amp;$J22&amp;U$1,Pesos!$A:$I,9,FALSE)))</f>
        <v>2</v>
      </c>
      <c r="AT22" s="132">
        <f>IF(V22="","",IF(V22="SIM",VLOOKUP($I22&amp;$J22&amp;V$1,Pesos!$A:$I,7,FALSE),VLOOKUP($I22&amp;$J22&amp;V$1,Pesos!$A:$I,9,FALSE)))</f>
        <v>0.3</v>
      </c>
      <c r="AU22" s="132">
        <f>IF(W22="","",IF(W22="SIM",VLOOKUP($I22&amp;$J22&amp;W$1,Pesos!$A:$I,7,FALSE),VLOOKUP($I22&amp;$J22&amp;W$1,Pesos!$A:$I,9,FALSE)))</f>
        <v>0.3</v>
      </c>
      <c r="AV22" s="132">
        <f>IF(X22="","",IF(X22="SIM",VLOOKUP($I22&amp;$J22&amp;X$1,Pesos!$A:$I,7,FALSE),VLOOKUP($I22&amp;$J22&amp;X$1,Pesos!$A:$I,9,FALSE)))</f>
        <v>0.3</v>
      </c>
      <c r="AW22" s="132">
        <f>IF(Y22="","",IF(Y22="SIM",VLOOKUP($I22&amp;$J22&amp;Y$1,Pesos!$A:$I,7,FALSE),VLOOKUP($I22&amp;$J22&amp;Y$1,Pesos!$A:$I,9,FALSE)))</f>
        <v>0.3</v>
      </c>
      <c r="AX22" s="132" t="str">
        <f>IF(Z22="","",IF(Z22="SIM",VLOOKUP($I22&amp;$J22&amp;Z$1,Pesos!$A:$I,7,FALSE),VLOOKUP($I22&amp;$J22&amp;Z$1,Pesos!$A:$I,9,FALSE)))</f>
        <v/>
      </c>
      <c r="AY22" s="132" t="str">
        <f>IF(AA22="","",IF(AA22="SIM",VLOOKUP($I22&amp;$J22&amp;AA$1,Pesos!$A:$I,7,FALSE),VLOOKUP($I22&amp;$J22&amp;AA$1,Pesos!$A:$I,9,FALSE)))</f>
        <v/>
      </c>
      <c r="AZ22" s="132" t="str">
        <f>IF(AB22="","",IF(AB22="SIM",VLOOKUP($I22&amp;$J22&amp;AB$1,Pesos!$A:$I,7,FALSE),VLOOKUP($I22&amp;$J22&amp;AB$1,Pesos!$A:$I,9,FALSE)))</f>
        <v/>
      </c>
      <c r="BA22" s="132" t="str">
        <f>IF(AC22="","",IF(AC22="SIM",VLOOKUP($I22&amp;$J22&amp;AC$1,Pesos!$A:$I,7,FALSE),VLOOKUP($I22&amp;$J22&amp;AC$1,Pesos!$A:$I,9,FALSE)))</f>
        <v/>
      </c>
      <c r="BB22" s="132" t="str">
        <f>IF(AD22="","",IF(AD22="SIM",VLOOKUP($I22&amp;$J22&amp;AD$1,Pesos!$A:$I,7,FALSE),VLOOKUP($I22&amp;$J22&amp;AD$1,Pesos!$A:$I,9,FALSE)))</f>
        <v/>
      </c>
      <c r="BC22" s="132" t="str">
        <f>IF(AE22="","",IF(AE22="SIM",VLOOKUP($I22&amp;$J22&amp;AE$1,Pesos!$A:$I,7,FALSE),VLOOKUP($I22&amp;$J22&amp;AE$1,Pesos!$A:$I,9,FALSE)))</f>
        <v/>
      </c>
      <c r="BD22" s="158">
        <f>IFERROR(AF22*VLOOKUP(J22,'BD Campos'!$X$1:$Y$14,2,FALSE),"0")</f>
        <v>10.000000000000004</v>
      </c>
    </row>
    <row r="23" spans="1:56">
      <c r="A23" s="151" t="str">
        <f t="shared" si="3"/>
        <v>Jan10353Receptiva 2CHECKLIST</v>
      </c>
      <c r="B23" s="149" t="str">
        <f t="shared" si="4"/>
        <v>Jan103536CHECKLISTPADRÃO</v>
      </c>
      <c r="C23" s="152">
        <v>1</v>
      </c>
      <c r="D23" s="153">
        <v>46042.906804513892</v>
      </c>
      <c r="E23" s="154" t="s">
        <v>12</v>
      </c>
      <c r="F23" s="155">
        <v>10353</v>
      </c>
      <c r="G23" s="149" t="s">
        <v>113</v>
      </c>
      <c r="H23" s="154">
        <v>6</v>
      </c>
      <c r="I23" s="149" t="s">
        <v>114</v>
      </c>
      <c r="J23" s="149" t="s">
        <v>86</v>
      </c>
      <c r="K23" s="149" t="s">
        <v>115</v>
      </c>
      <c r="L23" s="156" t="s">
        <v>117</v>
      </c>
      <c r="M23" s="157"/>
      <c r="N23" s="131" t="s">
        <v>17</v>
      </c>
      <c r="O23" s="131" t="s">
        <v>17</v>
      </c>
      <c r="P23" s="131" t="s">
        <v>17</v>
      </c>
      <c r="Q23" s="131" t="s">
        <v>17</v>
      </c>
      <c r="R23" s="131" t="s">
        <v>17</v>
      </c>
      <c r="S23" s="131" t="s">
        <v>17</v>
      </c>
      <c r="T23" s="131" t="s">
        <v>17</v>
      </c>
      <c r="U23" s="131" t="s">
        <v>17</v>
      </c>
      <c r="V23" s="131" t="s">
        <v>17</v>
      </c>
      <c r="W23" s="131" t="s">
        <v>17</v>
      </c>
      <c r="X23" s="131" t="s">
        <v>17</v>
      </c>
      <c r="Y23" s="131" t="s">
        <v>17</v>
      </c>
      <c r="Z23" s="131"/>
      <c r="AA23" s="131"/>
      <c r="AB23" s="131"/>
      <c r="AC23" s="131"/>
      <c r="AD23" s="131"/>
      <c r="AE23" s="131"/>
      <c r="AF23" s="158">
        <f t="shared" si="6"/>
        <v>10.000000000000004</v>
      </c>
      <c r="AG23" s="159"/>
      <c r="AH23" s="155"/>
      <c r="AI23" s="155" t="s">
        <v>83</v>
      </c>
      <c r="AJ23" s="131" t="str">
        <f>IFERROR(VLOOKUP(E23&amp;F23,'Listagem dos op'!A:S,19,0),"")</f>
        <v/>
      </c>
      <c r="AK23" s="131" t="str">
        <f t="shared" si="5"/>
        <v>Jan10353</v>
      </c>
      <c r="AL23" s="154">
        <f>IF(N23="","",IF(N23="SIM",VLOOKUP($I23&amp;$J23&amp;N$1,Pesos!$A:$I,7,FALSE),VLOOKUP($I23&amp;$J23&amp;N$1,Pesos!$A:$I,9,FALSE)))</f>
        <v>0.3</v>
      </c>
      <c r="AM23" s="154">
        <f>IF(O23="","",IF(O23="SIM",VLOOKUP($I23&amp;$J23&amp;O$1,Pesos!$A:$I,7,FALSE),VLOOKUP($I23&amp;$J23&amp;O$1,Pesos!$A:$I,9,FALSE)))</f>
        <v>0.5</v>
      </c>
      <c r="AN23" s="154">
        <f>IF(P23="","",IF(P23="SIM",VLOOKUP($I23&amp;$J23&amp;P$1,Pesos!$A:$I,7,FALSE),VLOOKUP($I23&amp;$J23&amp;P$1,Pesos!$A:$I,9,FALSE)))</f>
        <v>1</v>
      </c>
      <c r="AO23" s="154">
        <f>IF(Q23="","",IF(Q23="SIM",VLOOKUP($I23&amp;$J23&amp;Q$1,Pesos!$A:$I,7,FALSE),VLOOKUP($I23&amp;$J23&amp;Q$1,Pesos!$A:$I,9,FALSE)))</f>
        <v>0.4</v>
      </c>
      <c r="AP23" s="154">
        <f>IF(R23="","",IF(R23="SIM",VLOOKUP($I23&amp;$J23&amp;R$1,Pesos!$A:$I,7,FALSE),VLOOKUP($I23&amp;$J23&amp;R$1,Pesos!$A:$I,9,FALSE)))</f>
        <v>1.3</v>
      </c>
      <c r="AQ23" s="154">
        <f>IF(S23="","",IF(S23="SIM",VLOOKUP($I23&amp;$J23&amp;S$1,Pesos!$A:$I,7,FALSE),VLOOKUP($I23&amp;$J23&amp;S$1,Pesos!$A:$I,9,FALSE)))</f>
        <v>1.3</v>
      </c>
      <c r="AR23" s="156">
        <f>IF(T23="","",IF(T23="SIM",VLOOKUP($I23&amp;$J23&amp;T$1,Pesos!$A:$I,7,FALSE),VLOOKUP($I23&amp;$J23&amp;T$1,Pesos!$A:$I,9,FALSE)))</f>
        <v>2</v>
      </c>
      <c r="AS23" s="132">
        <f>IF(U23="","",IF(U23="SIM",VLOOKUP($I23&amp;$J23&amp;U$1,Pesos!$A:$I,7,FALSE),VLOOKUP($I23&amp;$J23&amp;U$1,Pesos!$A:$I,9,FALSE)))</f>
        <v>2</v>
      </c>
      <c r="AT23" s="132">
        <f>IF(V23="","",IF(V23="SIM",VLOOKUP($I23&amp;$J23&amp;V$1,Pesos!$A:$I,7,FALSE),VLOOKUP($I23&amp;$J23&amp;V$1,Pesos!$A:$I,9,FALSE)))</f>
        <v>0.3</v>
      </c>
      <c r="AU23" s="132">
        <f>IF(W23="","",IF(W23="SIM",VLOOKUP($I23&amp;$J23&amp;W$1,Pesos!$A:$I,7,FALSE),VLOOKUP($I23&amp;$J23&amp;W$1,Pesos!$A:$I,9,FALSE)))</f>
        <v>0.3</v>
      </c>
      <c r="AV23" s="132">
        <f>IF(X23="","",IF(X23="SIM",VLOOKUP($I23&amp;$J23&amp;X$1,Pesos!$A:$I,7,FALSE),VLOOKUP($I23&amp;$J23&amp;X$1,Pesos!$A:$I,9,FALSE)))</f>
        <v>0.3</v>
      </c>
      <c r="AW23" s="132">
        <f>IF(Y23="","",IF(Y23="SIM",VLOOKUP($I23&amp;$J23&amp;Y$1,Pesos!$A:$I,7,FALSE),VLOOKUP($I23&amp;$J23&amp;Y$1,Pesos!$A:$I,9,FALSE)))</f>
        <v>0.3</v>
      </c>
      <c r="AX23" s="132" t="str">
        <f>IF(Z23="","",IF(Z23="SIM",VLOOKUP($I23&amp;$J23&amp;Z$1,Pesos!$A:$I,7,FALSE),VLOOKUP($I23&amp;$J23&amp;Z$1,Pesos!$A:$I,9,FALSE)))</f>
        <v/>
      </c>
      <c r="AY23" s="132" t="str">
        <f>IF(AA23="","",IF(AA23="SIM",VLOOKUP($I23&amp;$J23&amp;AA$1,Pesos!$A:$I,7,FALSE),VLOOKUP($I23&amp;$J23&amp;AA$1,Pesos!$A:$I,9,FALSE)))</f>
        <v/>
      </c>
      <c r="AZ23" s="132" t="str">
        <f>IF(AB23="","",IF(AB23="SIM",VLOOKUP($I23&amp;$J23&amp;AB$1,Pesos!$A:$I,7,FALSE),VLOOKUP($I23&amp;$J23&amp;AB$1,Pesos!$A:$I,9,FALSE)))</f>
        <v/>
      </c>
      <c r="BA23" s="132" t="str">
        <f>IF(AC23="","",IF(AC23="SIM",VLOOKUP($I23&amp;$J23&amp;AC$1,Pesos!$A:$I,7,FALSE),VLOOKUP($I23&amp;$J23&amp;AC$1,Pesos!$A:$I,9,FALSE)))</f>
        <v/>
      </c>
      <c r="BB23" s="132" t="str">
        <f>IF(AD23="","",IF(AD23="SIM",VLOOKUP($I23&amp;$J23&amp;AD$1,Pesos!$A:$I,7,FALSE),VLOOKUP($I23&amp;$J23&amp;AD$1,Pesos!$A:$I,9,FALSE)))</f>
        <v/>
      </c>
      <c r="BC23" s="132" t="str">
        <f>IF(AE23="","",IF(AE23="SIM",VLOOKUP($I23&amp;$J23&amp;AE$1,Pesos!$A:$I,7,FALSE),VLOOKUP($I23&amp;$J23&amp;AE$1,Pesos!$A:$I,9,FALSE)))</f>
        <v/>
      </c>
      <c r="BD23" s="158">
        <f>IFERROR(AF23*VLOOKUP(J23,'BD Campos'!$X$1:$Y$14,2,FALSE),"0")</f>
        <v>10.000000000000004</v>
      </c>
    </row>
    <row r="24" spans="1:56">
      <c r="A24" s="151" t="str">
        <f t="shared" si="3"/>
        <v>Jan11160ReceptivaCHECKLIST</v>
      </c>
      <c r="B24" s="149" t="str">
        <f t="shared" si="4"/>
        <v>Jan111605CHECKLISTPADRÃO</v>
      </c>
      <c r="C24" s="152">
        <v>1</v>
      </c>
      <c r="D24" s="153">
        <v>46043.845961458333</v>
      </c>
      <c r="E24" s="154" t="s">
        <v>12</v>
      </c>
      <c r="F24" s="155">
        <v>11160</v>
      </c>
      <c r="G24" s="149" t="s">
        <v>118</v>
      </c>
      <c r="H24" s="154">
        <v>5</v>
      </c>
      <c r="I24" s="149" t="s">
        <v>114</v>
      </c>
      <c r="J24" s="149" t="s">
        <v>81</v>
      </c>
      <c r="K24" s="149" t="s">
        <v>115</v>
      </c>
      <c r="L24" s="156" t="s">
        <v>119</v>
      </c>
      <c r="M24" s="157"/>
      <c r="N24" s="131" t="s">
        <v>17</v>
      </c>
      <c r="O24" s="131" t="s">
        <v>17</v>
      </c>
      <c r="P24" s="131" t="s">
        <v>17</v>
      </c>
      <c r="Q24" s="131" t="s">
        <v>17</v>
      </c>
      <c r="R24" s="131" t="s">
        <v>17</v>
      </c>
      <c r="S24" s="131" t="s">
        <v>17</v>
      </c>
      <c r="T24" s="131" t="s">
        <v>17</v>
      </c>
      <c r="U24" s="131" t="s">
        <v>17</v>
      </c>
      <c r="V24" s="131" t="s">
        <v>17</v>
      </c>
      <c r="W24" s="131" t="s">
        <v>17</v>
      </c>
      <c r="X24" s="131" t="s">
        <v>17</v>
      </c>
      <c r="Y24" s="131" t="s">
        <v>17</v>
      </c>
      <c r="Z24" s="131"/>
      <c r="AA24" s="131"/>
      <c r="AB24" s="131"/>
      <c r="AC24" s="131"/>
      <c r="AD24" s="131"/>
      <c r="AE24" s="131"/>
      <c r="AF24" s="158">
        <f t="shared" si="6"/>
        <v>10.000000000000004</v>
      </c>
      <c r="AG24" s="159"/>
      <c r="AH24" s="155"/>
      <c r="AI24" s="155" t="s">
        <v>83</v>
      </c>
      <c r="AJ24" s="131" t="str">
        <f>IFERROR(VLOOKUP(E24&amp;F24,'Listagem dos op'!A:S,19,0),"")</f>
        <v/>
      </c>
      <c r="AK24" s="131" t="str">
        <f t="shared" si="5"/>
        <v>Jan11160</v>
      </c>
      <c r="AL24" s="154">
        <f>IF(N24="","",IF(N24="SIM",VLOOKUP($I24&amp;$J24&amp;N$1,Pesos!$A:$I,7,FALSE),VLOOKUP($I24&amp;$J24&amp;N$1,Pesos!$A:$I,9,FALSE)))</f>
        <v>0.3</v>
      </c>
      <c r="AM24" s="154">
        <f>IF(O24="","",IF(O24="SIM",VLOOKUP($I24&amp;$J24&amp;O$1,Pesos!$A:$I,7,FALSE),VLOOKUP($I24&amp;$J24&amp;O$1,Pesos!$A:$I,9,FALSE)))</f>
        <v>0.5</v>
      </c>
      <c r="AN24" s="154">
        <f>IF(P24="","",IF(P24="SIM",VLOOKUP($I24&amp;$J24&amp;P$1,Pesos!$A:$I,7,FALSE),VLOOKUP($I24&amp;$J24&amp;P$1,Pesos!$A:$I,9,FALSE)))</f>
        <v>1</v>
      </c>
      <c r="AO24" s="154">
        <f>IF(Q24="","",IF(Q24="SIM",VLOOKUP($I24&amp;$J24&amp;Q$1,Pesos!$A:$I,7,FALSE),VLOOKUP($I24&amp;$J24&amp;Q$1,Pesos!$A:$I,9,FALSE)))</f>
        <v>0.4</v>
      </c>
      <c r="AP24" s="154">
        <f>IF(R24="","",IF(R24="SIM",VLOOKUP($I24&amp;$J24&amp;R$1,Pesos!$A:$I,7,FALSE),VLOOKUP($I24&amp;$J24&amp;R$1,Pesos!$A:$I,9,FALSE)))</f>
        <v>1.3</v>
      </c>
      <c r="AQ24" s="154">
        <f>IF(S24="","",IF(S24="SIM",VLOOKUP($I24&amp;$J24&amp;S$1,Pesos!$A:$I,7,FALSE),VLOOKUP($I24&amp;$J24&amp;S$1,Pesos!$A:$I,9,FALSE)))</f>
        <v>1.3</v>
      </c>
      <c r="AR24" s="156">
        <f>IF(T24="","",IF(T24="SIM",VLOOKUP($I24&amp;$J24&amp;T$1,Pesos!$A:$I,7,FALSE),VLOOKUP($I24&amp;$J24&amp;T$1,Pesos!$A:$I,9,FALSE)))</f>
        <v>2</v>
      </c>
      <c r="AS24" s="132">
        <f>IF(U24="","",IF(U24="SIM",VLOOKUP($I24&amp;$J24&amp;U$1,Pesos!$A:$I,7,FALSE),VLOOKUP($I24&amp;$J24&amp;U$1,Pesos!$A:$I,9,FALSE)))</f>
        <v>2</v>
      </c>
      <c r="AT24" s="132">
        <f>IF(V24="","",IF(V24="SIM",VLOOKUP($I24&amp;$J24&amp;V$1,Pesos!$A:$I,7,FALSE),VLOOKUP($I24&amp;$J24&amp;V$1,Pesos!$A:$I,9,FALSE)))</f>
        <v>0.3</v>
      </c>
      <c r="AU24" s="132">
        <f>IF(W24="","",IF(W24="SIM",VLOOKUP($I24&amp;$J24&amp;W$1,Pesos!$A:$I,7,FALSE),VLOOKUP($I24&amp;$J24&amp;W$1,Pesos!$A:$I,9,FALSE)))</f>
        <v>0.3</v>
      </c>
      <c r="AV24" s="132">
        <f>IF(X24="","",IF(X24="SIM",VLOOKUP($I24&amp;$J24&amp;X$1,Pesos!$A:$I,7,FALSE),VLOOKUP($I24&amp;$J24&amp;X$1,Pesos!$A:$I,9,FALSE)))</f>
        <v>0.3</v>
      </c>
      <c r="AW24" s="132">
        <f>IF(Y24="","",IF(Y24="SIM",VLOOKUP($I24&amp;$J24&amp;Y$1,Pesos!$A:$I,7,FALSE),VLOOKUP($I24&amp;$J24&amp;Y$1,Pesos!$A:$I,9,FALSE)))</f>
        <v>0.3</v>
      </c>
      <c r="AX24" s="132" t="str">
        <f>IF(Z24="","",IF(Z24="SIM",VLOOKUP($I24&amp;$J24&amp;Z$1,Pesos!$A:$I,7,FALSE),VLOOKUP($I24&amp;$J24&amp;Z$1,Pesos!$A:$I,9,FALSE)))</f>
        <v/>
      </c>
      <c r="AY24" s="132" t="str">
        <f>IF(AA24="","",IF(AA24="SIM",VLOOKUP($I24&amp;$J24&amp;AA$1,Pesos!$A:$I,7,FALSE),VLOOKUP($I24&amp;$J24&amp;AA$1,Pesos!$A:$I,9,FALSE)))</f>
        <v/>
      </c>
      <c r="AZ24" s="132" t="str">
        <f>IF(AB24="","",IF(AB24="SIM",VLOOKUP($I24&amp;$J24&amp;AB$1,Pesos!$A:$I,7,FALSE),VLOOKUP($I24&amp;$J24&amp;AB$1,Pesos!$A:$I,9,FALSE)))</f>
        <v/>
      </c>
      <c r="BA24" s="132" t="str">
        <f>IF(AC24="","",IF(AC24="SIM",VLOOKUP($I24&amp;$J24&amp;AC$1,Pesos!$A:$I,7,FALSE),VLOOKUP($I24&amp;$J24&amp;AC$1,Pesos!$A:$I,9,FALSE)))</f>
        <v/>
      </c>
      <c r="BB24" s="132" t="str">
        <f>IF(AD24="","",IF(AD24="SIM",VLOOKUP($I24&amp;$J24&amp;AD$1,Pesos!$A:$I,7,FALSE),VLOOKUP($I24&amp;$J24&amp;AD$1,Pesos!$A:$I,9,FALSE)))</f>
        <v/>
      </c>
      <c r="BC24" s="132" t="str">
        <f>IF(AE24="","",IF(AE24="SIM",VLOOKUP($I24&amp;$J24&amp;AE$1,Pesos!$A:$I,7,FALSE),VLOOKUP($I24&amp;$J24&amp;AE$1,Pesos!$A:$I,9,FALSE)))</f>
        <v/>
      </c>
      <c r="BD24" s="158">
        <f>IFERROR(AF24*VLOOKUP(J24,'BD Campos'!$X$1:$Y$14,2,FALSE),"0")</f>
        <v>10.000000000000004</v>
      </c>
    </row>
    <row r="25" spans="1:56">
      <c r="A25" s="151" t="str">
        <f t="shared" si="3"/>
        <v>Jan11160Receptiva 2CHECKLIST</v>
      </c>
      <c r="B25" s="149" t="str">
        <f t="shared" si="4"/>
        <v>Jan111606CHECKLISTPADRÃO</v>
      </c>
      <c r="C25" s="152">
        <v>1</v>
      </c>
      <c r="D25" s="153">
        <v>46043.849118055557</v>
      </c>
      <c r="E25" s="154" t="s">
        <v>12</v>
      </c>
      <c r="F25" s="155">
        <v>11160</v>
      </c>
      <c r="G25" s="149" t="s">
        <v>118</v>
      </c>
      <c r="H25" s="154">
        <v>6</v>
      </c>
      <c r="I25" s="149" t="s">
        <v>114</v>
      </c>
      <c r="J25" s="149" t="s">
        <v>86</v>
      </c>
      <c r="K25" s="149" t="s">
        <v>115</v>
      </c>
      <c r="L25" s="156" t="s">
        <v>120</v>
      </c>
      <c r="M25" s="157"/>
      <c r="N25" s="131" t="s">
        <v>17</v>
      </c>
      <c r="O25" s="131" t="s">
        <v>17</v>
      </c>
      <c r="P25" s="131" t="s">
        <v>17</v>
      </c>
      <c r="Q25" s="131" t="s">
        <v>17</v>
      </c>
      <c r="R25" s="131" t="s">
        <v>17</v>
      </c>
      <c r="S25" s="131" t="s">
        <v>17</v>
      </c>
      <c r="T25" s="131" t="s">
        <v>17</v>
      </c>
      <c r="U25" s="131" t="s">
        <v>17</v>
      </c>
      <c r="V25" s="131" t="s">
        <v>17</v>
      </c>
      <c r="W25" s="131" t="s">
        <v>17</v>
      </c>
      <c r="X25" s="131" t="s">
        <v>17</v>
      </c>
      <c r="Y25" s="131" t="s">
        <v>17</v>
      </c>
      <c r="Z25" s="131"/>
      <c r="AA25" s="131"/>
      <c r="AB25" s="131"/>
      <c r="AC25" s="131"/>
      <c r="AD25" s="131"/>
      <c r="AE25" s="131"/>
      <c r="AF25" s="158">
        <f t="shared" si="6"/>
        <v>10.000000000000004</v>
      </c>
      <c r="AG25" s="159"/>
      <c r="AH25" s="155"/>
      <c r="AI25" s="155" t="s">
        <v>83</v>
      </c>
      <c r="AJ25" s="131" t="str">
        <f>IFERROR(VLOOKUP(E25&amp;F25,'Listagem dos op'!A:S,19,0),"")</f>
        <v/>
      </c>
      <c r="AK25" s="131" t="str">
        <f t="shared" si="5"/>
        <v>Jan11160</v>
      </c>
      <c r="AL25" s="154">
        <f>IF(N25="","",IF(N25="SIM",VLOOKUP($I25&amp;$J25&amp;N$1,Pesos!$A:$I,7,FALSE),VLOOKUP($I25&amp;$J25&amp;N$1,Pesos!$A:$I,9,FALSE)))</f>
        <v>0.3</v>
      </c>
      <c r="AM25" s="154">
        <f>IF(O25="","",IF(O25="SIM",VLOOKUP($I25&amp;$J25&amp;O$1,Pesos!$A:$I,7,FALSE),VLOOKUP($I25&amp;$J25&amp;O$1,Pesos!$A:$I,9,FALSE)))</f>
        <v>0.5</v>
      </c>
      <c r="AN25" s="154">
        <f>IF(P25="","",IF(P25="SIM",VLOOKUP($I25&amp;$J25&amp;P$1,Pesos!$A:$I,7,FALSE),VLOOKUP($I25&amp;$J25&amp;P$1,Pesos!$A:$I,9,FALSE)))</f>
        <v>1</v>
      </c>
      <c r="AO25" s="154">
        <f>IF(Q25="","",IF(Q25="SIM",VLOOKUP($I25&amp;$J25&amp;Q$1,Pesos!$A:$I,7,FALSE),VLOOKUP($I25&amp;$J25&amp;Q$1,Pesos!$A:$I,9,FALSE)))</f>
        <v>0.4</v>
      </c>
      <c r="AP25" s="154">
        <f>IF(R25="","",IF(R25="SIM",VLOOKUP($I25&amp;$J25&amp;R$1,Pesos!$A:$I,7,FALSE),VLOOKUP($I25&amp;$J25&amp;R$1,Pesos!$A:$I,9,FALSE)))</f>
        <v>1.3</v>
      </c>
      <c r="AQ25" s="154">
        <f>IF(S25="","",IF(S25="SIM",VLOOKUP($I25&amp;$J25&amp;S$1,Pesos!$A:$I,7,FALSE),VLOOKUP($I25&amp;$J25&amp;S$1,Pesos!$A:$I,9,FALSE)))</f>
        <v>1.3</v>
      </c>
      <c r="AR25" s="156">
        <f>IF(T25="","",IF(T25="SIM",VLOOKUP($I25&amp;$J25&amp;T$1,Pesos!$A:$I,7,FALSE),VLOOKUP($I25&amp;$J25&amp;T$1,Pesos!$A:$I,9,FALSE)))</f>
        <v>2</v>
      </c>
      <c r="AS25" s="132">
        <f>IF(U25="","",IF(U25="SIM",VLOOKUP($I25&amp;$J25&amp;U$1,Pesos!$A:$I,7,FALSE),VLOOKUP($I25&amp;$J25&amp;U$1,Pesos!$A:$I,9,FALSE)))</f>
        <v>2</v>
      </c>
      <c r="AT25" s="132">
        <f>IF(V25="","",IF(V25="SIM",VLOOKUP($I25&amp;$J25&amp;V$1,Pesos!$A:$I,7,FALSE),VLOOKUP($I25&amp;$J25&amp;V$1,Pesos!$A:$I,9,FALSE)))</f>
        <v>0.3</v>
      </c>
      <c r="AU25" s="132">
        <f>IF(W25="","",IF(W25="SIM",VLOOKUP($I25&amp;$J25&amp;W$1,Pesos!$A:$I,7,FALSE),VLOOKUP($I25&amp;$J25&amp;W$1,Pesos!$A:$I,9,FALSE)))</f>
        <v>0.3</v>
      </c>
      <c r="AV25" s="132">
        <f>IF(X25="","",IF(X25="SIM",VLOOKUP($I25&amp;$J25&amp;X$1,Pesos!$A:$I,7,FALSE),VLOOKUP($I25&amp;$J25&amp;X$1,Pesos!$A:$I,9,FALSE)))</f>
        <v>0.3</v>
      </c>
      <c r="AW25" s="132">
        <f>IF(Y25="","",IF(Y25="SIM",VLOOKUP($I25&amp;$J25&amp;Y$1,Pesos!$A:$I,7,FALSE),VLOOKUP($I25&amp;$J25&amp;Y$1,Pesos!$A:$I,9,FALSE)))</f>
        <v>0.3</v>
      </c>
      <c r="AX25" s="132" t="str">
        <f>IF(Z25="","",IF(Z25="SIM",VLOOKUP($I25&amp;$J25&amp;Z$1,Pesos!$A:$I,7,FALSE),VLOOKUP($I25&amp;$J25&amp;Z$1,Pesos!$A:$I,9,FALSE)))</f>
        <v/>
      </c>
      <c r="AY25" s="132" t="str">
        <f>IF(AA25="","",IF(AA25="SIM",VLOOKUP($I25&amp;$J25&amp;AA$1,Pesos!$A:$I,7,FALSE),VLOOKUP($I25&amp;$J25&amp;AA$1,Pesos!$A:$I,9,FALSE)))</f>
        <v/>
      </c>
      <c r="AZ25" s="132" t="str">
        <f>IF(AB25="","",IF(AB25="SIM",VLOOKUP($I25&amp;$J25&amp;AB$1,Pesos!$A:$I,7,FALSE),VLOOKUP($I25&amp;$J25&amp;AB$1,Pesos!$A:$I,9,FALSE)))</f>
        <v/>
      </c>
      <c r="BA25" s="132" t="str">
        <f>IF(AC25="","",IF(AC25="SIM",VLOOKUP($I25&amp;$J25&amp;AC$1,Pesos!$A:$I,7,FALSE),VLOOKUP($I25&amp;$J25&amp;AC$1,Pesos!$A:$I,9,FALSE)))</f>
        <v/>
      </c>
      <c r="BB25" s="132" t="str">
        <f>IF(AD25="","",IF(AD25="SIM",VLOOKUP($I25&amp;$J25&amp;AD$1,Pesos!$A:$I,7,FALSE),VLOOKUP($I25&amp;$J25&amp;AD$1,Pesos!$A:$I,9,FALSE)))</f>
        <v/>
      </c>
      <c r="BC25" s="132" t="str">
        <f>IF(AE25="","",IF(AE25="SIM",VLOOKUP($I25&amp;$J25&amp;AE$1,Pesos!$A:$I,7,FALSE),VLOOKUP($I25&amp;$J25&amp;AE$1,Pesos!$A:$I,9,FALSE)))</f>
        <v/>
      </c>
      <c r="BD25" s="158">
        <f>IFERROR(AF25*VLOOKUP(J25,'BD Campos'!$X$1:$Y$14,2,FALSE),"0")</f>
        <v>10.000000000000004</v>
      </c>
    </row>
    <row r="26" spans="1:56">
      <c r="A26" s="151" t="str">
        <f t="shared" si="3"/>
        <v>Jan11365ReceptivaCHECKLIST</v>
      </c>
      <c r="B26" s="149" t="str">
        <f t="shared" si="4"/>
        <v>Jan113655CHECKLISTPADRÃO</v>
      </c>
      <c r="C26" s="152">
        <v>1</v>
      </c>
      <c r="D26" s="153">
        <v>46043.851758217592</v>
      </c>
      <c r="E26" s="154" t="s">
        <v>12</v>
      </c>
      <c r="F26" s="155">
        <v>11365</v>
      </c>
      <c r="G26" s="149" t="s">
        <v>121</v>
      </c>
      <c r="H26" s="154">
        <v>5</v>
      </c>
      <c r="I26" s="149" t="s">
        <v>114</v>
      </c>
      <c r="J26" s="149" t="s">
        <v>81</v>
      </c>
      <c r="K26" s="149" t="s">
        <v>115</v>
      </c>
      <c r="L26" s="156" t="s">
        <v>122</v>
      </c>
      <c r="M26" s="157"/>
      <c r="N26" s="131" t="s">
        <v>17</v>
      </c>
      <c r="O26" s="131" t="s">
        <v>17</v>
      </c>
      <c r="P26" s="131" t="s">
        <v>17</v>
      </c>
      <c r="Q26" s="131" t="s">
        <v>17</v>
      </c>
      <c r="R26" s="131" t="s">
        <v>17</v>
      </c>
      <c r="S26" s="131" t="s">
        <v>17</v>
      </c>
      <c r="T26" s="131" t="s">
        <v>17</v>
      </c>
      <c r="U26" s="131" t="s">
        <v>17</v>
      </c>
      <c r="V26" s="131" t="s">
        <v>17</v>
      </c>
      <c r="W26" s="131" t="s">
        <v>17</v>
      </c>
      <c r="X26" s="131" t="s">
        <v>17</v>
      </c>
      <c r="Y26" s="131" t="s">
        <v>17</v>
      </c>
      <c r="Z26" s="131"/>
      <c r="AA26" s="131"/>
      <c r="AB26" s="131"/>
      <c r="AC26" s="131"/>
      <c r="AD26" s="131"/>
      <c r="AE26" s="131"/>
      <c r="AF26" s="158">
        <f t="shared" si="6"/>
        <v>10.000000000000004</v>
      </c>
      <c r="AG26" s="159"/>
      <c r="AH26" s="155"/>
      <c r="AI26" s="155" t="s">
        <v>83</v>
      </c>
      <c r="AJ26" s="131" t="str">
        <f>IFERROR(VLOOKUP(E26&amp;F26,'Listagem dos op'!A:S,19,0),"")</f>
        <v/>
      </c>
      <c r="AK26" s="131" t="str">
        <f t="shared" si="5"/>
        <v>Jan11365</v>
      </c>
      <c r="AL26" s="154">
        <f>IF(N26="","",IF(N26="SIM",VLOOKUP($I26&amp;$J26&amp;N$1,Pesos!$A:$I,7,FALSE),VLOOKUP($I26&amp;$J26&amp;N$1,Pesos!$A:$I,9,FALSE)))</f>
        <v>0.3</v>
      </c>
      <c r="AM26" s="154">
        <f>IF(O26="","",IF(O26="SIM",VLOOKUP($I26&amp;$J26&amp;O$1,Pesos!$A:$I,7,FALSE),VLOOKUP($I26&amp;$J26&amp;O$1,Pesos!$A:$I,9,FALSE)))</f>
        <v>0.5</v>
      </c>
      <c r="AN26" s="154">
        <f>IF(P26="","",IF(P26="SIM",VLOOKUP($I26&amp;$J26&amp;P$1,Pesos!$A:$I,7,FALSE),VLOOKUP($I26&amp;$J26&amp;P$1,Pesos!$A:$I,9,FALSE)))</f>
        <v>1</v>
      </c>
      <c r="AO26" s="154">
        <f>IF(Q26="","",IF(Q26="SIM",VLOOKUP($I26&amp;$J26&amp;Q$1,Pesos!$A:$I,7,FALSE),VLOOKUP($I26&amp;$J26&amp;Q$1,Pesos!$A:$I,9,FALSE)))</f>
        <v>0.4</v>
      </c>
      <c r="AP26" s="154">
        <f>IF(R26="","",IF(R26="SIM",VLOOKUP($I26&amp;$J26&amp;R$1,Pesos!$A:$I,7,FALSE),VLOOKUP($I26&amp;$J26&amp;R$1,Pesos!$A:$I,9,FALSE)))</f>
        <v>1.3</v>
      </c>
      <c r="AQ26" s="154">
        <f>IF(S26="","",IF(S26="SIM",VLOOKUP($I26&amp;$J26&amp;S$1,Pesos!$A:$I,7,FALSE),VLOOKUP($I26&amp;$J26&amp;S$1,Pesos!$A:$I,9,FALSE)))</f>
        <v>1.3</v>
      </c>
      <c r="AR26" s="156">
        <f>IF(T26="","",IF(T26="SIM",VLOOKUP($I26&amp;$J26&amp;T$1,Pesos!$A:$I,7,FALSE),VLOOKUP($I26&amp;$J26&amp;T$1,Pesos!$A:$I,9,FALSE)))</f>
        <v>2</v>
      </c>
      <c r="AS26" s="132">
        <f>IF(U26="","",IF(U26="SIM",VLOOKUP($I26&amp;$J26&amp;U$1,Pesos!$A:$I,7,FALSE),VLOOKUP($I26&amp;$J26&amp;U$1,Pesos!$A:$I,9,FALSE)))</f>
        <v>2</v>
      </c>
      <c r="AT26" s="132">
        <f>IF(V26="","",IF(V26="SIM",VLOOKUP($I26&amp;$J26&amp;V$1,Pesos!$A:$I,7,FALSE),VLOOKUP($I26&amp;$J26&amp;V$1,Pesos!$A:$I,9,FALSE)))</f>
        <v>0.3</v>
      </c>
      <c r="AU26" s="132">
        <f>IF(W26="","",IF(W26="SIM",VLOOKUP($I26&amp;$J26&amp;W$1,Pesos!$A:$I,7,FALSE),VLOOKUP($I26&amp;$J26&amp;W$1,Pesos!$A:$I,9,FALSE)))</f>
        <v>0.3</v>
      </c>
      <c r="AV26" s="132">
        <f>IF(X26="","",IF(X26="SIM",VLOOKUP($I26&amp;$J26&amp;X$1,Pesos!$A:$I,7,FALSE),VLOOKUP($I26&amp;$J26&amp;X$1,Pesos!$A:$I,9,FALSE)))</f>
        <v>0.3</v>
      </c>
      <c r="AW26" s="132">
        <f>IF(Y26="","",IF(Y26="SIM",VLOOKUP($I26&amp;$J26&amp;Y$1,Pesos!$A:$I,7,FALSE),VLOOKUP($I26&amp;$J26&amp;Y$1,Pesos!$A:$I,9,FALSE)))</f>
        <v>0.3</v>
      </c>
      <c r="AX26" s="132" t="str">
        <f>IF(Z26="","",IF(Z26="SIM",VLOOKUP($I26&amp;$J26&amp;Z$1,Pesos!$A:$I,7,FALSE),VLOOKUP($I26&amp;$J26&amp;Z$1,Pesos!$A:$I,9,FALSE)))</f>
        <v/>
      </c>
      <c r="AY26" s="132" t="str">
        <f>IF(AA26="","",IF(AA26="SIM",VLOOKUP($I26&amp;$J26&amp;AA$1,Pesos!$A:$I,7,FALSE),VLOOKUP($I26&amp;$J26&amp;AA$1,Pesos!$A:$I,9,FALSE)))</f>
        <v/>
      </c>
      <c r="AZ26" s="132" t="str">
        <f>IF(AB26="","",IF(AB26="SIM",VLOOKUP($I26&amp;$J26&amp;AB$1,Pesos!$A:$I,7,FALSE),VLOOKUP($I26&amp;$J26&amp;AB$1,Pesos!$A:$I,9,FALSE)))</f>
        <v/>
      </c>
      <c r="BA26" s="132" t="str">
        <f>IF(AC26="","",IF(AC26="SIM",VLOOKUP($I26&amp;$J26&amp;AC$1,Pesos!$A:$I,7,FALSE),VLOOKUP($I26&amp;$J26&amp;AC$1,Pesos!$A:$I,9,FALSE)))</f>
        <v/>
      </c>
      <c r="BB26" s="132" t="str">
        <f>IF(AD26="","",IF(AD26="SIM",VLOOKUP($I26&amp;$J26&amp;AD$1,Pesos!$A:$I,7,FALSE),VLOOKUP($I26&amp;$J26&amp;AD$1,Pesos!$A:$I,9,FALSE)))</f>
        <v/>
      </c>
      <c r="BC26" s="132" t="str">
        <f>IF(AE26="","",IF(AE26="SIM",VLOOKUP($I26&amp;$J26&amp;AE$1,Pesos!$A:$I,7,FALSE),VLOOKUP($I26&amp;$J26&amp;AE$1,Pesos!$A:$I,9,FALSE)))</f>
        <v/>
      </c>
      <c r="BD26" s="158">
        <f>IFERROR(AF26*VLOOKUP(J26,'BD Campos'!$X$1:$Y$14,2,FALSE),"0")</f>
        <v>10.000000000000004</v>
      </c>
    </row>
    <row r="27" spans="1:56">
      <c r="A27" s="151" t="str">
        <f t="shared" si="3"/>
        <v>Jan11365Receptiva 2CHECKLIST</v>
      </c>
      <c r="B27" s="149" t="str">
        <f t="shared" si="4"/>
        <v>Jan113656CHECKLISTPADRÃO</v>
      </c>
      <c r="C27" s="152">
        <v>1</v>
      </c>
      <c r="D27" s="153">
        <v>46043.888961574077</v>
      </c>
      <c r="E27" s="154" t="s">
        <v>12</v>
      </c>
      <c r="F27" s="155">
        <v>11365</v>
      </c>
      <c r="G27" s="149" t="s">
        <v>121</v>
      </c>
      <c r="H27" s="154">
        <v>6</v>
      </c>
      <c r="I27" s="149" t="s">
        <v>114</v>
      </c>
      <c r="J27" s="149" t="s">
        <v>86</v>
      </c>
      <c r="K27" s="149" t="s">
        <v>115</v>
      </c>
      <c r="L27" s="156" t="s">
        <v>123</v>
      </c>
      <c r="M27" s="157"/>
      <c r="N27" s="131" t="s">
        <v>17</v>
      </c>
      <c r="O27" s="131" t="s">
        <v>17</v>
      </c>
      <c r="P27" s="131" t="s">
        <v>17</v>
      </c>
      <c r="Q27" s="131" t="s">
        <v>17</v>
      </c>
      <c r="R27" s="131" t="s">
        <v>17</v>
      </c>
      <c r="S27" s="131" t="s">
        <v>17</v>
      </c>
      <c r="T27" s="131" t="s">
        <v>17</v>
      </c>
      <c r="U27" s="131" t="s">
        <v>17</v>
      </c>
      <c r="V27" s="131" t="s">
        <v>17</v>
      </c>
      <c r="W27" s="131" t="s">
        <v>17</v>
      </c>
      <c r="X27" s="131" t="s">
        <v>17</v>
      </c>
      <c r="Y27" s="131" t="s">
        <v>17</v>
      </c>
      <c r="Z27" s="131"/>
      <c r="AA27" s="131"/>
      <c r="AB27" s="131"/>
      <c r="AC27" s="131"/>
      <c r="AD27" s="131"/>
      <c r="AE27" s="131"/>
      <c r="AF27" s="158">
        <f t="shared" si="6"/>
        <v>10.000000000000004</v>
      </c>
      <c r="AG27" s="159"/>
      <c r="AH27" s="155"/>
      <c r="AI27" s="155" t="s">
        <v>83</v>
      </c>
      <c r="AJ27" s="131" t="str">
        <f>IFERROR(VLOOKUP(E27&amp;F27,'Listagem dos op'!A:S,19,0),"")</f>
        <v/>
      </c>
      <c r="AK27" s="131" t="str">
        <f t="shared" si="5"/>
        <v>Jan11365</v>
      </c>
      <c r="AL27" s="154">
        <f>IF(N27="","",IF(N27="SIM",VLOOKUP($I27&amp;$J27&amp;N$1,Pesos!$A:$I,7,FALSE),VLOOKUP($I27&amp;$J27&amp;N$1,Pesos!$A:$I,9,FALSE)))</f>
        <v>0.3</v>
      </c>
      <c r="AM27" s="154">
        <f>IF(O27="","",IF(O27="SIM",VLOOKUP($I27&amp;$J27&amp;O$1,Pesos!$A:$I,7,FALSE),VLOOKUP($I27&amp;$J27&amp;O$1,Pesos!$A:$I,9,FALSE)))</f>
        <v>0.5</v>
      </c>
      <c r="AN27" s="154">
        <f>IF(P27="","",IF(P27="SIM",VLOOKUP($I27&amp;$J27&amp;P$1,Pesos!$A:$I,7,FALSE),VLOOKUP($I27&amp;$J27&amp;P$1,Pesos!$A:$I,9,FALSE)))</f>
        <v>1</v>
      </c>
      <c r="AO27" s="154">
        <f>IF(Q27="","",IF(Q27="SIM",VLOOKUP($I27&amp;$J27&amp;Q$1,Pesos!$A:$I,7,FALSE),VLOOKUP($I27&amp;$J27&amp;Q$1,Pesos!$A:$I,9,FALSE)))</f>
        <v>0.4</v>
      </c>
      <c r="AP27" s="154">
        <f>IF(R27="","",IF(R27="SIM",VLOOKUP($I27&amp;$J27&amp;R$1,Pesos!$A:$I,7,FALSE),VLOOKUP($I27&amp;$J27&amp;R$1,Pesos!$A:$I,9,FALSE)))</f>
        <v>1.3</v>
      </c>
      <c r="AQ27" s="154">
        <f>IF(S27="","",IF(S27="SIM",VLOOKUP($I27&amp;$J27&amp;S$1,Pesos!$A:$I,7,FALSE),VLOOKUP($I27&amp;$J27&amp;S$1,Pesos!$A:$I,9,FALSE)))</f>
        <v>1.3</v>
      </c>
      <c r="AR27" s="156">
        <f>IF(T27="","",IF(T27="SIM",VLOOKUP($I27&amp;$J27&amp;T$1,Pesos!$A:$I,7,FALSE),VLOOKUP($I27&amp;$J27&amp;T$1,Pesos!$A:$I,9,FALSE)))</f>
        <v>2</v>
      </c>
      <c r="AS27" s="132">
        <f>IF(U27="","",IF(U27="SIM",VLOOKUP($I27&amp;$J27&amp;U$1,Pesos!$A:$I,7,FALSE),VLOOKUP($I27&amp;$J27&amp;U$1,Pesos!$A:$I,9,FALSE)))</f>
        <v>2</v>
      </c>
      <c r="AT27" s="132">
        <f>IF(V27="","",IF(V27="SIM",VLOOKUP($I27&amp;$J27&amp;V$1,Pesos!$A:$I,7,FALSE),VLOOKUP($I27&amp;$J27&amp;V$1,Pesos!$A:$I,9,FALSE)))</f>
        <v>0.3</v>
      </c>
      <c r="AU27" s="132">
        <f>IF(W27="","",IF(W27="SIM",VLOOKUP($I27&amp;$J27&amp;W$1,Pesos!$A:$I,7,FALSE),VLOOKUP($I27&amp;$J27&amp;W$1,Pesos!$A:$I,9,FALSE)))</f>
        <v>0.3</v>
      </c>
      <c r="AV27" s="132">
        <f>IF(X27="","",IF(X27="SIM",VLOOKUP($I27&amp;$J27&amp;X$1,Pesos!$A:$I,7,FALSE),VLOOKUP($I27&amp;$J27&amp;X$1,Pesos!$A:$I,9,FALSE)))</f>
        <v>0.3</v>
      </c>
      <c r="AW27" s="132">
        <f>IF(Y27="","",IF(Y27="SIM",VLOOKUP($I27&amp;$J27&amp;Y$1,Pesos!$A:$I,7,FALSE),VLOOKUP($I27&amp;$J27&amp;Y$1,Pesos!$A:$I,9,FALSE)))</f>
        <v>0.3</v>
      </c>
      <c r="AX27" s="132" t="str">
        <f>IF(Z27="","",IF(Z27="SIM",VLOOKUP($I27&amp;$J27&amp;Z$1,Pesos!$A:$I,7,FALSE),VLOOKUP($I27&amp;$J27&amp;Z$1,Pesos!$A:$I,9,FALSE)))</f>
        <v/>
      </c>
      <c r="AY27" s="132" t="str">
        <f>IF(AA27="","",IF(AA27="SIM",VLOOKUP($I27&amp;$J27&amp;AA$1,Pesos!$A:$I,7,FALSE),VLOOKUP($I27&amp;$J27&amp;AA$1,Pesos!$A:$I,9,FALSE)))</f>
        <v/>
      </c>
      <c r="AZ27" s="132" t="str">
        <f>IF(AB27="","",IF(AB27="SIM",VLOOKUP($I27&amp;$J27&amp;AB$1,Pesos!$A:$I,7,FALSE),VLOOKUP($I27&amp;$J27&amp;AB$1,Pesos!$A:$I,9,FALSE)))</f>
        <v/>
      </c>
      <c r="BA27" s="132" t="str">
        <f>IF(AC27="","",IF(AC27="SIM",VLOOKUP($I27&amp;$J27&amp;AC$1,Pesos!$A:$I,7,FALSE),VLOOKUP($I27&amp;$J27&amp;AC$1,Pesos!$A:$I,9,FALSE)))</f>
        <v/>
      </c>
      <c r="BB27" s="132" t="str">
        <f>IF(AD27="","",IF(AD27="SIM",VLOOKUP($I27&amp;$J27&amp;AD$1,Pesos!$A:$I,7,FALSE),VLOOKUP($I27&amp;$J27&amp;AD$1,Pesos!$A:$I,9,FALSE)))</f>
        <v/>
      </c>
      <c r="BC27" s="132" t="str">
        <f>IF(AE27="","",IF(AE27="SIM",VLOOKUP($I27&amp;$J27&amp;AE$1,Pesos!$A:$I,7,FALSE),VLOOKUP($I27&amp;$J27&amp;AE$1,Pesos!$A:$I,9,FALSE)))</f>
        <v/>
      </c>
      <c r="BD27" s="158">
        <f>IFERROR(AF27*VLOOKUP(J27,'BD Campos'!$X$1:$Y$14,2,FALSE),"0")</f>
        <v>10.000000000000004</v>
      </c>
    </row>
    <row r="28" spans="1:56">
      <c r="A28" s="151" t="str">
        <f t="shared" si="3"/>
        <v>Jan4225ReceptivaCHECKLIST</v>
      </c>
      <c r="B28" s="149" t="str">
        <f t="shared" si="4"/>
        <v>Jan42255CHECKLISTPADRÃO</v>
      </c>
      <c r="C28" s="152">
        <v>1</v>
      </c>
      <c r="D28" s="153">
        <v>46043.89719560185</v>
      </c>
      <c r="E28" s="154" t="s">
        <v>12</v>
      </c>
      <c r="F28" s="155">
        <v>4225</v>
      </c>
      <c r="G28" s="149" t="s">
        <v>124</v>
      </c>
      <c r="H28" s="154">
        <v>5</v>
      </c>
      <c r="I28" s="149" t="s">
        <v>114</v>
      </c>
      <c r="J28" s="149" t="s">
        <v>81</v>
      </c>
      <c r="K28" s="149" t="s">
        <v>115</v>
      </c>
      <c r="L28" s="156" t="s">
        <v>125</v>
      </c>
      <c r="M28" s="157"/>
      <c r="N28" s="131" t="s">
        <v>17</v>
      </c>
      <c r="O28" s="131" t="s">
        <v>17</v>
      </c>
      <c r="P28" s="131" t="s">
        <v>17</v>
      </c>
      <c r="Q28" s="131" t="s">
        <v>17</v>
      </c>
      <c r="R28" s="131" t="s">
        <v>17</v>
      </c>
      <c r="S28" s="131" t="s">
        <v>17</v>
      </c>
      <c r="T28" s="131" t="s">
        <v>17</v>
      </c>
      <c r="U28" s="131" t="s">
        <v>17</v>
      </c>
      <c r="V28" s="131" t="s">
        <v>17</v>
      </c>
      <c r="W28" s="131" t="s">
        <v>17</v>
      </c>
      <c r="X28" s="131" t="s">
        <v>17</v>
      </c>
      <c r="Y28" s="131" t="s">
        <v>17</v>
      </c>
      <c r="Z28" s="131"/>
      <c r="AA28" s="131"/>
      <c r="AB28" s="131"/>
      <c r="AC28" s="131"/>
      <c r="AD28" s="131"/>
      <c r="AE28" s="131"/>
      <c r="AF28" s="158">
        <f t="shared" si="6"/>
        <v>10.000000000000004</v>
      </c>
      <c r="AG28" s="159"/>
      <c r="AH28" s="155"/>
      <c r="AI28" s="155" t="s">
        <v>83</v>
      </c>
      <c r="AJ28" s="131" t="str">
        <f>IFERROR(VLOOKUP(E28&amp;F28,'Listagem dos op'!A:S,19,0),"")</f>
        <v/>
      </c>
      <c r="AK28" s="131" t="str">
        <f t="shared" si="5"/>
        <v>Jan4225</v>
      </c>
      <c r="AL28" s="154">
        <f>IF(N28="","",IF(N28="SIM",VLOOKUP($I28&amp;$J28&amp;N$1,Pesos!$A:$I,7,FALSE),VLOOKUP($I28&amp;$J28&amp;N$1,Pesos!$A:$I,9,FALSE)))</f>
        <v>0.3</v>
      </c>
      <c r="AM28" s="154">
        <f>IF(O28="","",IF(O28="SIM",VLOOKUP($I28&amp;$J28&amp;O$1,Pesos!$A:$I,7,FALSE),VLOOKUP($I28&amp;$J28&amp;O$1,Pesos!$A:$I,9,FALSE)))</f>
        <v>0.5</v>
      </c>
      <c r="AN28" s="154">
        <f>IF(P28="","",IF(P28="SIM",VLOOKUP($I28&amp;$J28&amp;P$1,Pesos!$A:$I,7,FALSE),VLOOKUP($I28&amp;$J28&amp;P$1,Pesos!$A:$I,9,FALSE)))</f>
        <v>1</v>
      </c>
      <c r="AO28" s="154">
        <f>IF(Q28="","",IF(Q28="SIM",VLOOKUP($I28&amp;$J28&amp;Q$1,Pesos!$A:$I,7,FALSE),VLOOKUP($I28&amp;$J28&amp;Q$1,Pesos!$A:$I,9,FALSE)))</f>
        <v>0.4</v>
      </c>
      <c r="AP28" s="154">
        <f>IF(R28="","",IF(R28="SIM",VLOOKUP($I28&amp;$J28&amp;R$1,Pesos!$A:$I,7,FALSE),VLOOKUP($I28&amp;$J28&amp;R$1,Pesos!$A:$I,9,FALSE)))</f>
        <v>1.3</v>
      </c>
      <c r="AQ28" s="154">
        <f>IF(S28="","",IF(S28="SIM",VLOOKUP($I28&amp;$J28&amp;S$1,Pesos!$A:$I,7,FALSE),VLOOKUP($I28&amp;$J28&amp;S$1,Pesos!$A:$I,9,FALSE)))</f>
        <v>1.3</v>
      </c>
      <c r="AR28" s="156">
        <f>IF(T28="","",IF(T28="SIM",VLOOKUP($I28&amp;$J28&amp;T$1,Pesos!$A:$I,7,FALSE),VLOOKUP($I28&amp;$J28&amp;T$1,Pesos!$A:$I,9,FALSE)))</f>
        <v>2</v>
      </c>
      <c r="AS28" s="132">
        <f>IF(U28="","",IF(U28="SIM",VLOOKUP($I28&amp;$J28&amp;U$1,Pesos!$A:$I,7,FALSE),VLOOKUP($I28&amp;$J28&amp;U$1,Pesos!$A:$I,9,FALSE)))</f>
        <v>2</v>
      </c>
      <c r="AT28" s="132">
        <f>IF(V28="","",IF(V28="SIM",VLOOKUP($I28&amp;$J28&amp;V$1,Pesos!$A:$I,7,FALSE),VLOOKUP($I28&amp;$J28&amp;V$1,Pesos!$A:$I,9,FALSE)))</f>
        <v>0.3</v>
      </c>
      <c r="AU28" s="132">
        <f>IF(W28="","",IF(W28="SIM",VLOOKUP($I28&amp;$J28&amp;W$1,Pesos!$A:$I,7,FALSE),VLOOKUP($I28&amp;$J28&amp;W$1,Pesos!$A:$I,9,FALSE)))</f>
        <v>0.3</v>
      </c>
      <c r="AV28" s="132">
        <f>IF(X28="","",IF(X28="SIM",VLOOKUP($I28&amp;$J28&amp;X$1,Pesos!$A:$I,7,FALSE),VLOOKUP($I28&amp;$J28&amp;X$1,Pesos!$A:$I,9,FALSE)))</f>
        <v>0.3</v>
      </c>
      <c r="AW28" s="132">
        <f>IF(Y28="","",IF(Y28="SIM",VLOOKUP($I28&amp;$J28&amp;Y$1,Pesos!$A:$I,7,FALSE),VLOOKUP($I28&amp;$J28&amp;Y$1,Pesos!$A:$I,9,FALSE)))</f>
        <v>0.3</v>
      </c>
      <c r="AX28" s="132" t="str">
        <f>IF(Z28="","",IF(Z28="SIM",VLOOKUP($I28&amp;$J28&amp;Z$1,Pesos!$A:$I,7,FALSE),VLOOKUP($I28&amp;$J28&amp;Z$1,Pesos!$A:$I,9,FALSE)))</f>
        <v/>
      </c>
      <c r="AY28" s="132" t="str">
        <f>IF(AA28="","",IF(AA28="SIM",VLOOKUP($I28&amp;$J28&amp;AA$1,Pesos!$A:$I,7,FALSE),VLOOKUP($I28&amp;$J28&amp;AA$1,Pesos!$A:$I,9,FALSE)))</f>
        <v/>
      </c>
      <c r="AZ28" s="132" t="str">
        <f>IF(AB28="","",IF(AB28="SIM",VLOOKUP($I28&amp;$J28&amp;AB$1,Pesos!$A:$I,7,FALSE),VLOOKUP($I28&amp;$J28&amp;AB$1,Pesos!$A:$I,9,FALSE)))</f>
        <v/>
      </c>
      <c r="BA28" s="132" t="str">
        <f>IF(AC28="","",IF(AC28="SIM",VLOOKUP($I28&amp;$J28&amp;AC$1,Pesos!$A:$I,7,FALSE),VLOOKUP($I28&amp;$J28&amp;AC$1,Pesos!$A:$I,9,FALSE)))</f>
        <v/>
      </c>
      <c r="BB28" s="132" t="str">
        <f>IF(AD28="","",IF(AD28="SIM",VLOOKUP($I28&amp;$J28&amp;AD$1,Pesos!$A:$I,7,FALSE),VLOOKUP($I28&amp;$J28&amp;AD$1,Pesos!$A:$I,9,FALSE)))</f>
        <v/>
      </c>
      <c r="BC28" s="132" t="str">
        <f>IF(AE28="","",IF(AE28="SIM",VLOOKUP($I28&amp;$J28&amp;AE$1,Pesos!$A:$I,7,FALSE),VLOOKUP($I28&amp;$J28&amp;AE$1,Pesos!$A:$I,9,FALSE)))</f>
        <v/>
      </c>
      <c r="BD28" s="158">
        <f>IFERROR(AF28*VLOOKUP(J28,'BD Campos'!$X$1:$Y$14,2,FALSE),"0")</f>
        <v>10.000000000000004</v>
      </c>
    </row>
    <row r="29" spans="1:56">
      <c r="A29" s="151" t="str">
        <f t="shared" si="3"/>
        <v>Jan4225Receptiva 2CHECKLIST</v>
      </c>
      <c r="B29" s="149" t="str">
        <f t="shared" si="4"/>
        <v>Jan42256CHECKLISTPADRÃO</v>
      </c>
      <c r="C29" s="152">
        <v>1</v>
      </c>
      <c r="D29" s="153">
        <v>46043.902399074075</v>
      </c>
      <c r="E29" s="154" t="s">
        <v>12</v>
      </c>
      <c r="F29" s="155">
        <v>4225</v>
      </c>
      <c r="G29" s="149" t="s">
        <v>124</v>
      </c>
      <c r="H29" s="154">
        <v>6</v>
      </c>
      <c r="I29" s="149" t="s">
        <v>114</v>
      </c>
      <c r="J29" s="149" t="s">
        <v>86</v>
      </c>
      <c r="K29" s="149" t="s">
        <v>115</v>
      </c>
      <c r="L29" s="156" t="s">
        <v>126</v>
      </c>
      <c r="M29" s="157"/>
      <c r="N29" s="131" t="s">
        <v>17</v>
      </c>
      <c r="O29" s="131" t="s">
        <v>17</v>
      </c>
      <c r="P29" s="131" t="s">
        <v>17</v>
      </c>
      <c r="Q29" s="131" t="s">
        <v>17</v>
      </c>
      <c r="R29" s="131" t="s">
        <v>17</v>
      </c>
      <c r="S29" s="131" t="s">
        <v>17</v>
      </c>
      <c r="T29" s="131" t="s">
        <v>17</v>
      </c>
      <c r="U29" s="131" t="s">
        <v>17</v>
      </c>
      <c r="V29" s="131" t="s">
        <v>17</v>
      </c>
      <c r="W29" s="131" t="s">
        <v>17</v>
      </c>
      <c r="X29" s="131" t="s">
        <v>17</v>
      </c>
      <c r="Y29" s="131" t="s">
        <v>17</v>
      </c>
      <c r="Z29" s="131"/>
      <c r="AA29" s="131"/>
      <c r="AB29" s="131"/>
      <c r="AC29" s="131"/>
      <c r="AD29" s="131"/>
      <c r="AE29" s="131"/>
      <c r="AF29" s="158">
        <f t="shared" si="6"/>
        <v>10.000000000000004</v>
      </c>
      <c r="AG29" s="159"/>
      <c r="AH29" s="155"/>
      <c r="AI29" s="155" t="s">
        <v>83</v>
      </c>
      <c r="AJ29" s="131" t="str">
        <f>IFERROR(VLOOKUP(E29&amp;F29,'Listagem dos op'!A:S,19,0),"")</f>
        <v/>
      </c>
      <c r="AK29" s="131" t="str">
        <f t="shared" si="5"/>
        <v>Jan4225</v>
      </c>
      <c r="AL29" s="154">
        <f>IF(N29="","",IF(N29="SIM",VLOOKUP($I29&amp;$J29&amp;N$1,Pesos!$A:$I,7,FALSE),VLOOKUP($I29&amp;$J29&amp;N$1,Pesos!$A:$I,9,FALSE)))</f>
        <v>0.3</v>
      </c>
      <c r="AM29" s="154">
        <f>IF(O29="","",IF(O29="SIM",VLOOKUP($I29&amp;$J29&amp;O$1,Pesos!$A:$I,7,FALSE),VLOOKUP($I29&amp;$J29&amp;O$1,Pesos!$A:$I,9,FALSE)))</f>
        <v>0.5</v>
      </c>
      <c r="AN29" s="154">
        <f>IF(P29="","",IF(P29="SIM",VLOOKUP($I29&amp;$J29&amp;P$1,Pesos!$A:$I,7,FALSE),VLOOKUP($I29&amp;$J29&amp;P$1,Pesos!$A:$I,9,FALSE)))</f>
        <v>1</v>
      </c>
      <c r="AO29" s="154">
        <f>IF(Q29="","",IF(Q29="SIM",VLOOKUP($I29&amp;$J29&amp;Q$1,Pesos!$A:$I,7,FALSE),VLOOKUP($I29&amp;$J29&amp;Q$1,Pesos!$A:$I,9,FALSE)))</f>
        <v>0.4</v>
      </c>
      <c r="AP29" s="154">
        <f>IF(R29="","",IF(R29="SIM",VLOOKUP($I29&amp;$J29&amp;R$1,Pesos!$A:$I,7,FALSE),VLOOKUP($I29&amp;$J29&amp;R$1,Pesos!$A:$I,9,FALSE)))</f>
        <v>1.3</v>
      </c>
      <c r="AQ29" s="154">
        <f>IF(S29="","",IF(S29="SIM",VLOOKUP($I29&amp;$J29&amp;S$1,Pesos!$A:$I,7,FALSE),VLOOKUP($I29&amp;$J29&amp;S$1,Pesos!$A:$I,9,FALSE)))</f>
        <v>1.3</v>
      </c>
      <c r="AR29" s="156">
        <f>IF(T29="","",IF(T29="SIM",VLOOKUP($I29&amp;$J29&amp;T$1,Pesos!$A:$I,7,FALSE),VLOOKUP($I29&amp;$J29&amp;T$1,Pesos!$A:$I,9,FALSE)))</f>
        <v>2</v>
      </c>
      <c r="AS29" s="132">
        <f>IF(U29="","",IF(U29="SIM",VLOOKUP($I29&amp;$J29&amp;U$1,Pesos!$A:$I,7,FALSE),VLOOKUP($I29&amp;$J29&amp;U$1,Pesos!$A:$I,9,FALSE)))</f>
        <v>2</v>
      </c>
      <c r="AT29" s="132">
        <f>IF(V29="","",IF(V29="SIM",VLOOKUP($I29&amp;$J29&amp;V$1,Pesos!$A:$I,7,FALSE),VLOOKUP($I29&amp;$J29&amp;V$1,Pesos!$A:$I,9,FALSE)))</f>
        <v>0.3</v>
      </c>
      <c r="AU29" s="132">
        <f>IF(W29="","",IF(W29="SIM",VLOOKUP($I29&amp;$J29&amp;W$1,Pesos!$A:$I,7,FALSE),VLOOKUP($I29&amp;$J29&amp;W$1,Pesos!$A:$I,9,FALSE)))</f>
        <v>0.3</v>
      </c>
      <c r="AV29" s="132">
        <f>IF(X29="","",IF(X29="SIM",VLOOKUP($I29&amp;$J29&amp;X$1,Pesos!$A:$I,7,FALSE),VLOOKUP($I29&amp;$J29&amp;X$1,Pesos!$A:$I,9,FALSE)))</f>
        <v>0.3</v>
      </c>
      <c r="AW29" s="132">
        <f>IF(Y29="","",IF(Y29="SIM",VLOOKUP($I29&amp;$J29&amp;Y$1,Pesos!$A:$I,7,FALSE),VLOOKUP($I29&amp;$J29&amp;Y$1,Pesos!$A:$I,9,FALSE)))</f>
        <v>0.3</v>
      </c>
      <c r="AX29" s="132" t="str">
        <f>IF(Z29="","",IF(Z29="SIM",VLOOKUP($I29&amp;$J29&amp;Z$1,Pesos!$A:$I,7,FALSE),VLOOKUP($I29&amp;$J29&amp;Z$1,Pesos!$A:$I,9,FALSE)))</f>
        <v/>
      </c>
      <c r="AY29" s="132" t="str">
        <f>IF(AA29="","",IF(AA29="SIM",VLOOKUP($I29&amp;$J29&amp;AA$1,Pesos!$A:$I,7,FALSE),VLOOKUP($I29&amp;$J29&amp;AA$1,Pesos!$A:$I,9,FALSE)))</f>
        <v/>
      </c>
      <c r="AZ29" s="132" t="str">
        <f>IF(AB29="","",IF(AB29="SIM",VLOOKUP($I29&amp;$J29&amp;AB$1,Pesos!$A:$I,7,FALSE),VLOOKUP($I29&amp;$J29&amp;AB$1,Pesos!$A:$I,9,FALSE)))</f>
        <v/>
      </c>
      <c r="BA29" s="132" t="str">
        <f>IF(AC29="","",IF(AC29="SIM",VLOOKUP($I29&amp;$J29&amp;AC$1,Pesos!$A:$I,7,FALSE),VLOOKUP($I29&amp;$J29&amp;AC$1,Pesos!$A:$I,9,FALSE)))</f>
        <v/>
      </c>
      <c r="BB29" s="132" t="str">
        <f>IF(AD29="","",IF(AD29="SIM",VLOOKUP($I29&amp;$J29&amp;AD$1,Pesos!$A:$I,7,FALSE),VLOOKUP($I29&amp;$J29&amp;AD$1,Pesos!$A:$I,9,FALSE)))</f>
        <v/>
      </c>
      <c r="BC29" s="132" t="str">
        <f>IF(AE29="","",IF(AE29="SIM",VLOOKUP($I29&amp;$J29&amp;AE$1,Pesos!$A:$I,7,FALSE),VLOOKUP($I29&amp;$J29&amp;AE$1,Pesos!$A:$I,9,FALSE)))</f>
        <v/>
      </c>
      <c r="BD29" s="158">
        <f>IFERROR(AF29*VLOOKUP(J29,'BD Campos'!$X$1:$Y$14,2,FALSE),"0")</f>
        <v>10.000000000000004</v>
      </c>
    </row>
    <row r="30" spans="1:56">
      <c r="A30" s="151" t="str">
        <f t="shared" si="3"/>
        <v>Jan11300MotoristaUTI</v>
      </c>
      <c r="B30" s="149" t="str">
        <f t="shared" si="4"/>
        <v>Jan113001UTIPADRÃO</v>
      </c>
      <c r="C30" s="152">
        <v>1</v>
      </c>
      <c r="D30" s="153">
        <v>46044.467225231485</v>
      </c>
      <c r="E30" s="154" t="s">
        <v>12</v>
      </c>
      <c r="F30" s="155">
        <v>11300</v>
      </c>
      <c r="G30" s="149" t="s">
        <v>127</v>
      </c>
      <c r="H30" s="154">
        <v>1</v>
      </c>
      <c r="I30" s="149" t="s">
        <v>92</v>
      </c>
      <c r="J30" s="149" t="s">
        <v>93</v>
      </c>
      <c r="K30" s="149" t="s">
        <v>128</v>
      </c>
      <c r="L30" s="156">
        <v>34544204</v>
      </c>
      <c r="M30" s="157">
        <v>1.6550925925925926E-3</v>
      </c>
      <c r="N30" s="131" t="s">
        <v>17</v>
      </c>
      <c r="O30" s="131" t="s">
        <v>17</v>
      </c>
      <c r="P30" s="131" t="s">
        <v>17</v>
      </c>
      <c r="Q30" s="131" t="s">
        <v>17</v>
      </c>
      <c r="R30" s="131" t="s">
        <v>17</v>
      </c>
      <c r="S30" s="131" t="s">
        <v>17</v>
      </c>
      <c r="T30" s="131" t="s">
        <v>17</v>
      </c>
      <c r="U30" s="131" t="s">
        <v>17</v>
      </c>
      <c r="V30" s="131" t="s">
        <v>17</v>
      </c>
      <c r="W30" s="131" t="s">
        <v>17</v>
      </c>
      <c r="X30" s="131" t="s">
        <v>17</v>
      </c>
      <c r="Y30" s="131" t="s">
        <v>18</v>
      </c>
      <c r="Z30" s="131" t="s">
        <v>17</v>
      </c>
      <c r="AA30" s="131" t="s">
        <v>17</v>
      </c>
      <c r="AB30" s="131"/>
      <c r="AC30" s="131"/>
      <c r="AD30" s="131"/>
      <c r="AE30" s="131"/>
      <c r="AF30" s="158">
        <f t="shared" si="6"/>
        <v>9.7900000000000027</v>
      </c>
      <c r="AG30" s="159"/>
      <c r="AH30" s="155" t="s">
        <v>129</v>
      </c>
      <c r="AI30" s="155" t="s">
        <v>83</v>
      </c>
      <c r="AJ30" s="131" t="str">
        <f>IFERROR(VLOOKUP(E30&amp;F30,'Listagem dos op'!A:S,19,0),"")</f>
        <v/>
      </c>
      <c r="AK30" s="131" t="str">
        <f t="shared" si="5"/>
        <v>Jan11300</v>
      </c>
      <c r="AL30" s="154">
        <f>IF(N30="","",IF(N30="SIM",VLOOKUP($I30&amp;$J30&amp;N$1,Pesos!$A:$I,7,FALSE),VLOOKUP($I30&amp;$J30&amp;N$1,Pesos!$A:$I,9,FALSE)))</f>
        <v>0.1</v>
      </c>
      <c r="AM30" s="154">
        <f>IF(O30="","",IF(O30="SIM",VLOOKUP($I30&amp;$J30&amp;O$1,Pesos!$A:$I,7,FALSE),VLOOKUP($I30&amp;$J30&amp;O$1,Pesos!$A:$I,9,FALSE)))</f>
        <v>0.1</v>
      </c>
      <c r="AN30" s="154">
        <f>IF(P30="","",IF(P30="SIM",VLOOKUP($I30&amp;$J30&amp;P$1,Pesos!$A:$I,7,FALSE),VLOOKUP($I30&amp;$J30&amp;P$1,Pesos!$A:$I,9,FALSE)))</f>
        <v>0.1</v>
      </c>
      <c r="AO30" s="154">
        <f>IF(Q30="","",IF(Q30="SIM",VLOOKUP($I30&amp;$J30&amp;Q$1,Pesos!$A:$I,7,FALSE),VLOOKUP($I30&amp;$J30&amp;Q$1,Pesos!$A:$I,9,FALSE)))</f>
        <v>2</v>
      </c>
      <c r="AP30" s="154">
        <f>IF(R30="","",IF(R30="SIM",VLOOKUP($I30&amp;$J30&amp;R$1,Pesos!$A:$I,7,FALSE),VLOOKUP($I30&amp;$J30&amp;R$1,Pesos!$A:$I,9,FALSE)))</f>
        <v>1.03</v>
      </c>
      <c r="AQ30" s="154">
        <f>IF(S30="","",IF(S30="SIM",VLOOKUP($I30&amp;$J30&amp;S$1,Pesos!$A:$I,7,FALSE),VLOOKUP($I30&amp;$J30&amp;S$1,Pesos!$A:$I,9,FALSE)))</f>
        <v>1.7000000000000002</v>
      </c>
      <c r="AR30" s="156">
        <f>IF(T30="","",IF(T30="SIM",VLOOKUP($I30&amp;$J30&amp;T$1,Pesos!$A:$I,7,FALSE),VLOOKUP($I30&amp;$J30&amp;T$1,Pesos!$A:$I,9,FALSE)))</f>
        <v>1.92</v>
      </c>
      <c r="AS30" s="132">
        <f>IF(U30="","",IF(U30="SIM",VLOOKUP($I30&amp;$J30&amp;U$1,Pesos!$A:$I,7,FALSE),VLOOKUP($I30&amp;$J30&amp;U$1,Pesos!$A:$I,9,FALSE)))</f>
        <v>1.7000000000000002</v>
      </c>
      <c r="AT30" s="132">
        <f>IF(V30="","",IF(V30="SIM",VLOOKUP($I30&amp;$J30&amp;V$1,Pesos!$A:$I,7,FALSE),VLOOKUP($I30&amp;$J30&amp;V$1,Pesos!$A:$I,9,FALSE)))</f>
        <v>0.3</v>
      </c>
      <c r="AU30" s="132">
        <f>IF(W30="","",IF(W30="SIM",VLOOKUP($I30&amp;$J30&amp;W$1,Pesos!$A:$I,7,FALSE),VLOOKUP($I30&amp;$J30&amp;W$1,Pesos!$A:$I,9,FALSE)))</f>
        <v>0.3</v>
      </c>
      <c r="AV30" s="132">
        <f>IF(X30="","",IF(X30="SIM",VLOOKUP($I30&amp;$J30&amp;X$1,Pesos!$A:$I,7,FALSE),VLOOKUP($I30&amp;$J30&amp;X$1,Pesos!$A:$I,9,FALSE)))</f>
        <v>0.15</v>
      </c>
      <c r="AW30" s="132">
        <f>IF(Y30="","",IF(Y30="SIM",VLOOKUP($I30&amp;$J30&amp;Y$1,Pesos!$A:$I,7,FALSE),VLOOKUP($I30&amp;$J30&amp;Y$1,Pesos!$A:$I,9,FALSE)))</f>
        <v>-1.0000000000000002E-2</v>
      </c>
      <c r="AX30" s="132">
        <f>IF(Z30="","",IF(Z30="SIM",VLOOKUP($I30&amp;$J30&amp;Z$1,Pesos!$A:$I,7,FALSE),VLOOKUP($I30&amp;$J30&amp;Z$1,Pesos!$A:$I,9,FALSE)))</f>
        <v>0.3</v>
      </c>
      <c r="AY30" s="132">
        <f>IF(AA30="","",IF(AA30="SIM",VLOOKUP($I30&amp;$J30&amp;AA$1,Pesos!$A:$I,7,FALSE),VLOOKUP($I30&amp;$J30&amp;AA$1,Pesos!$A:$I,9,FALSE)))</f>
        <v>0.1</v>
      </c>
      <c r="AZ30" s="132" t="str">
        <f>IF(AB30="","",IF(AB30="SIM",VLOOKUP($I30&amp;$J30&amp;AB$1,Pesos!$A:$I,7,FALSE),VLOOKUP($I30&amp;$J30&amp;AB$1,Pesos!$A:$I,9,FALSE)))</f>
        <v/>
      </c>
      <c r="BA30" s="132" t="str">
        <f>IF(AC30="","",IF(AC30="SIM",VLOOKUP($I30&amp;$J30&amp;AC$1,Pesos!$A:$I,7,FALSE),VLOOKUP($I30&amp;$J30&amp;AC$1,Pesos!$A:$I,9,FALSE)))</f>
        <v/>
      </c>
      <c r="BB30" s="132" t="str">
        <f>IF(AD30="","",IF(AD30="SIM",VLOOKUP($I30&amp;$J30&amp;AD$1,Pesos!$A:$I,7,FALSE),VLOOKUP($I30&amp;$J30&amp;AD$1,Pesos!$A:$I,9,FALSE)))</f>
        <v/>
      </c>
      <c r="BC30" s="132" t="str">
        <f>IF(AE30="","",IF(AE30="SIM",VLOOKUP($I30&amp;$J30&amp;AE$1,Pesos!$A:$I,7,FALSE),VLOOKUP($I30&amp;$J30&amp;AE$1,Pesos!$A:$I,9,FALSE)))</f>
        <v/>
      </c>
      <c r="BD30" s="158">
        <f>IFERROR(AF30*VLOOKUP(J30,'BD Campos'!$X$1:$Y$14,2,FALSE),"0")</f>
        <v>9.7900000000000027</v>
      </c>
    </row>
    <row r="31" spans="1:56">
      <c r="A31" s="151" t="str">
        <f t="shared" si="3"/>
        <v>Jan11300Motorista 2UTI</v>
      </c>
      <c r="B31" s="149" t="str">
        <f t="shared" si="4"/>
        <v>Jan113002UTIPADRÃO</v>
      </c>
      <c r="C31" s="152">
        <v>1</v>
      </c>
      <c r="D31" s="153">
        <v>46044.469669212966</v>
      </c>
      <c r="E31" s="154" t="s">
        <v>12</v>
      </c>
      <c r="F31" s="155">
        <v>11300</v>
      </c>
      <c r="G31" s="149" t="s">
        <v>127</v>
      </c>
      <c r="H31" s="154">
        <v>2</v>
      </c>
      <c r="I31" s="149" t="s">
        <v>130</v>
      </c>
      <c r="J31" s="149" t="s">
        <v>97</v>
      </c>
      <c r="K31" s="149" t="s">
        <v>128</v>
      </c>
      <c r="L31" s="156">
        <v>34685471</v>
      </c>
      <c r="M31" s="157">
        <v>1.0763888888888889E-3</v>
      </c>
      <c r="N31" s="131" t="s">
        <v>17</v>
      </c>
      <c r="O31" s="131" t="s">
        <v>17</v>
      </c>
      <c r="P31" s="131" t="s">
        <v>17</v>
      </c>
      <c r="Q31" s="131" t="s">
        <v>17</v>
      </c>
      <c r="R31" s="131" t="s">
        <v>17</v>
      </c>
      <c r="S31" s="131" t="s">
        <v>17</v>
      </c>
      <c r="T31" s="131" t="s">
        <v>17</v>
      </c>
      <c r="U31" s="131" t="s">
        <v>18</v>
      </c>
      <c r="V31" s="131" t="s">
        <v>18</v>
      </c>
      <c r="W31" s="131" t="s">
        <v>17</v>
      </c>
      <c r="X31" s="131" t="s">
        <v>17</v>
      </c>
      <c r="Y31" s="131" t="s">
        <v>17</v>
      </c>
      <c r="Z31" s="131" t="s">
        <v>18</v>
      </c>
      <c r="AA31" s="131" t="s">
        <v>17</v>
      </c>
      <c r="AB31" s="131" t="s">
        <v>17</v>
      </c>
      <c r="AC31" s="131"/>
      <c r="AD31" s="131"/>
      <c r="AE31" s="131"/>
      <c r="AF31" s="158">
        <f t="shared" si="6"/>
        <v>6.9337999999999997</v>
      </c>
      <c r="AG31" s="159"/>
      <c r="AH31" s="155" t="s">
        <v>131</v>
      </c>
      <c r="AI31" s="155" t="s">
        <v>83</v>
      </c>
      <c r="AJ31" s="131" t="str">
        <f>IFERROR(VLOOKUP(E31&amp;F31,'Listagem dos op'!A:S,19,0),"")</f>
        <v/>
      </c>
      <c r="AK31" s="131" t="str">
        <f t="shared" si="5"/>
        <v>Jan11300</v>
      </c>
      <c r="AL31" s="154">
        <f>IF(N31="","",IF(N31="SIM",VLOOKUP($I31&amp;$J31&amp;N$1,Pesos!$A:$I,7,FALSE),VLOOKUP($I31&amp;$J31&amp;N$1,Pesos!$A:$I,9,FALSE)))</f>
        <v>0.1</v>
      </c>
      <c r="AM31" s="154">
        <f>IF(O31="","",IF(O31="SIM",VLOOKUP($I31&amp;$J31&amp;O$1,Pesos!$A:$I,7,FALSE),VLOOKUP($I31&amp;$J31&amp;O$1,Pesos!$A:$I,9,FALSE)))</f>
        <v>0.1</v>
      </c>
      <c r="AN31" s="154">
        <f>IF(P31="","",IF(P31="SIM",VLOOKUP($I31&amp;$J31&amp;P$1,Pesos!$A:$I,7,FALSE),VLOOKUP($I31&amp;$J31&amp;P$1,Pesos!$A:$I,9,FALSE)))</f>
        <v>0.1</v>
      </c>
      <c r="AO31" s="154">
        <f>IF(Q31="","",IF(Q31="SIM",VLOOKUP($I31&amp;$J31&amp;Q$1,Pesos!$A:$I,7,FALSE),VLOOKUP($I31&amp;$J31&amp;Q$1,Pesos!$A:$I,9,FALSE)))</f>
        <v>2</v>
      </c>
      <c r="AP31" s="154">
        <f>IF(R31="","",IF(R31="SIM",VLOOKUP($I31&amp;$J31&amp;R$1,Pesos!$A:$I,7,FALSE),VLOOKUP($I31&amp;$J31&amp;R$1,Pesos!$A:$I,9,FALSE)))</f>
        <v>1.03</v>
      </c>
      <c r="AQ31" s="154">
        <f>IF(S31="","",IF(S31="SIM",VLOOKUP($I31&amp;$J31&amp;S$1,Pesos!$A:$I,7,FALSE),VLOOKUP($I31&amp;$J31&amp;S$1,Pesos!$A:$I,9,FALSE)))</f>
        <v>1.3</v>
      </c>
      <c r="AR31" s="156">
        <f>IF(T31="","",IF(T31="SIM",VLOOKUP($I31&amp;$J31&amp;T$1,Pesos!$A:$I,7,FALSE),VLOOKUP($I31&amp;$J31&amp;T$1,Pesos!$A:$I,9,FALSE)))</f>
        <v>1.3</v>
      </c>
      <c r="AS31" s="132">
        <f>IF(U31="","",IF(U31="SIM",VLOOKUP($I31&amp;$J31&amp;U$1,Pesos!$A:$I,7,FALSE),VLOOKUP($I31&amp;$J31&amp;U$1,Pesos!$A:$I,9,FALSE)))</f>
        <v>-6.6000000000000003E-2</v>
      </c>
      <c r="AT31" s="132">
        <f>IF(V31="","",IF(V31="SIM",VLOOKUP($I31&amp;$J31&amp;V$1,Pesos!$A:$I,7,FALSE),VLOOKUP($I31&amp;$J31&amp;V$1,Pesos!$A:$I,9,FALSE)))</f>
        <v>-7.0199999999999999E-2</v>
      </c>
      <c r="AU31" s="132">
        <f>IF(W31="","",IF(W31="SIM",VLOOKUP($I31&amp;$J31&amp;W$1,Pesos!$A:$I,7,FALSE),VLOOKUP($I31&amp;$J31&amp;W$1,Pesos!$A:$I,9,FALSE)))</f>
        <v>0.3</v>
      </c>
      <c r="AV31" s="132">
        <f>IF(X31="","",IF(X31="SIM",VLOOKUP($I31&amp;$J31&amp;X$1,Pesos!$A:$I,7,FALSE),VLOOKUP($I31&amp;$J31&amp;X$1,Pesos!$A:$I,9,FALSE)))</f>
        <v>0.3</v>
      </c>
      <c r="AW31" s="132">
        <f>IF(Y31="","",IF(Y31="SIM",VLOOKUP($I31&amp;$J31&amp;Y$1,Pesos!$A:$I,7,FALSE),VLOOKUP($I31&amp;$J31&amp;Y$1,Pesos!$A:$I,9,FALSE)))</f>
        <v>0.15</v>
      </c>
      <c r="AX31" s="132">
        <f>IF(Z31="","",IF(Z31="SIM",VLOOKUP($I31&amp;$J31&amp;Z$1,Pesos!$A:$I,7,FALSE),VLOOKUP($I31&amp;$J31&amp;Z$1,Pesos!$A:$I,9,FALSE)))</f>
        <v>-1.0000000000000002E-2</v>
      </c>
      <c r="AY31" s="132">
        <f>IF(AA31="","",IF(AA31="SIM",VLOOKUP($I31&amp;$J31&amp;AA$1,Pesos!$A:$I,7,FALSE),VLOOKUP($I31&amp;$J31&amp;AA$1,Pesos!$A:$I,9,FALSE)))</f>
        <v>0.3</v>
      </c>
      <c r="AZ31" s="132">
        <f>IF(AB31="","",IF(AB31="SIM",VLOOKUP($I31&amp;$J31&amp;AB$1,Pesos!$A:$I,7,FALSE),VLOOKUP($I31&amp;$J31&amp;AB$1,Pesos!$A:$I,9,FALSE)))</f>
        <v>0.1</v>
      </c>
      <c r="BA31" s="132" t="str">
        <f>IF(AC31="","",IF(AC31="SIM",VLOOKUP($I31&amp;$J31&amp;AC$1,Pesos!$A:$I,7,FALSE),VLOOKUP($I31&amp;$J31&amp;AC$1,Pesos!$A:$I,9,FALSE)))</f>
        <v/>
      </c>
      <c r="BB31" s="132" t="str">
        <f>IF(AD31="","",IF(AD31="SIM",VLOOKUP($I31&amp;$J31&amp;AD$1,Pesos!$A:$I,7,FALSE),VLOOKUP($I31&amp;$J31&amp;AD$1,Pesos!$A:$I,9,FALSE)))</f>
        <v/>
      </c>
      <c r="BC31" s="132" t="str">
        <f>IF(AE31="","",IF(AE31="SIM",VLOOKUP($I31&amp;$J31&amp;AE$1,Pesos!$A:$I,7,FALSE),VLOOKUP($I31&amp;$J31&amp;AE$1,Pesos!$A:$I,9,FALSE)))</f>
        <v/>
      </c>
      <c r="BD31" s="158">
        <f>IFERROR(AF31*VLOOKUP(J31,'BD Campos'!$X$1:$Y$14,2,FALSE),"0")</f>
        <v>6.9337999999999997</v>
      </c>
    </row>
    <row r="32" spans="1:56">
      <c r="A32" s="151" t="str">
        <f t="shared" si="3"/>
        <v>Jan11373MotoristaDISTRIBUIÇÃO</v>
      </c>
      <c r="B32" s="149" t="str">
        <f t="shared" si="4"/>
        <v>Jan113731DISTRIBUIÇÃOPADRÃO</v>
      </c>
      <c r="C32" s="152">
        <v>1</v>
      </c>
      <c r="D32" s="153">
        <v>46044.484021064818</v>
      </c>
      <c r="E32" s="154" t="s">
        <v>12</v>
      </c>
      <c r="F32" s="155">
        <v>11373</v>
      </c>
      <c r="G32" s="149" t="s">
        <v>132</v>
      </c>
      <c r="H32" s="154">
        <v>1</v>
      </c>
      <c r="I32" s="149" t="s">
        <v>133</v>
      </c>
      <c r="J32" s="149" t="s">
        <v>93</v>
      </c>
      <c r="K32" s="149" t="s">
        <v>94</v>
      </c>
      <c r="L32" s="156">
        <v>34525577</v>
      </c>
      <c r="M32" s="157">
        <v>2.4652777777777776E-3</v>
      </c>
      <c r="N32" s="131" t="s">
        <v>17</v>
      </c>
      <c r="O32" s="131" t="s">
        <v>18</v>
      </c>
      <c r="P32" s="131" t="s">
        <v>17</v>
      </c>
      <c r="Q32" s="131" t="s">
        <v>17</v>
      </c>
      <c r="R32" s="131" t="s">
        <v>17</v>
      </c>
      <c r="S32" s="131" t="s">
        <v>17</v>
      </c>
      <c r="T32" s="131" t="s">
        <v>17</v>
      </c>
      <c r="U32" s="131" t="s">
        <v>17</v>
      </c>
      <c r="V32" s="131" t="s">
        <v>17</v>
      </c>
      <c r="W32" s="131" t="s">
        <v>17</v>
      </c>
      <c r="X32" s="131" t="s">
        <v>17</v>
      </c>
      <c r="Y32" s="131" t="s">
        <v>17</v>
      </c>
      <c r="Z32" s="131" t="s">
        <v>17</v>
      </c>
      <c r="AA32" s="131" t="s">
        <v>17</v>
      </c>
      <c r="AB32" s="131" t="s">
        <v>17</v>
      </c>
      <c r="AC32" s="131" t="s">
        <v>17</v>
      </c>
      <c r="AD32" s="131"/>
      <c r="AE32" s="131"/>
      <c r="AF32" s="158">
        <f t="shared" si="6"/>
        <v>9.8949999999999996</v>
      </c>
      <c r="AG32" s="159" t="s">
        <v>134</v>
      </c>
      <c r="AH32" s="155" t="s">
        <v>135</v>
      </c>
      <c r="AI32" s="155" t="s">
        <v>83</v>
      </c>
      <c r="AJ32" s="131" t="str">
        <f>IFERROR(VLOOKUP(E32&amp;F32,'Listagem dos op'!A:S,19,0),"")</f>
        <v/>
      </c>
      <c r="AK32" s="131" t="str">
        <f t="shared" si="5"/>
        <v>Jan11373</v>
      </c>
      <c r="AL32" s="154">
        <f>IF(N32="","",IF(N32="SIM",VLOOKUP($I32&amp;$J32&amp;N$1,Pesos!$A:$I,7,FALSE),VLOOKUP($I32&amp;$J32&amp;N$1,Pesos!$A:$I,9,FALSE)))</f>
        <v>0.1</v>
      </c>
      <c r="AM32" s="154">
        <f>IF(O32="","",IF(O32="SIM",VLOOKUP($I32&amp;$J32&amp;O$1,Pesos!$A:$I,7,FALSE),VLOOKUP($I32&amp;$J32&amp;O$1,Pesos!$A:$I,9,FALSE)))</f>
        <v>-5.000000000000001E-3</v>
      </c>
      <c r="AN32" s="154">
        <f>IF(P32="","",IF(P32="SIM",VLOOKUP($I32&amp;$J32&amp;P$1,Pesos!$A:$I,7,FALSE),VLOOKUP($I32&amp;$J32&amp;P$1,Pesos!$A:$I,9,FALSE)))</f>
        <v>0.1</v>
      </c>
      <c r="AO32" s="154">
        <f>IF(Q32="","",IF(Q32="SIM",VLOOKUP($I32&amp;$J32&amp;Q$1,Pesos!$A:$I,7,FALSE),VLOOKUP($I32&amp;$J32&amp;Q$1,Pesos!$A:$I,9,FALSE)))</f>
        <v>2</v>
      </c>
      <c r="AP32" s="154">
        <f>IF(R32="","",IF(R32="SIM",VLOOKUP($I32&amp;$J32&amp;R$1,Pesos!$A:$I,7,FALSE),VLOOKUP($I32&amp;$J32&amp;R$1,Pesos!$A:$I,9,FALSE)))</f>
        <v>1.03</v>
      </c>
      <c r="AQ32" s="154">
        <f>IF(S32="","",IF(S32="SIM",VLOOKUP($I32&amp;$J32&amp;S$1,Pesos!$A:$I,7,FALSE),VLOOKUP($I32&amp;$J32&amp;S$1,Pesos!$A:$I,9,FALSE)))</f>
        <v>1.05</v>
      </c>
      <c r="AR32" s="156">
        <f>IF(T32="","",IF(T32="SIM",VLOOKUP($I32&amp;$J32&amp;T$1,Pesos!$A:$I,7,FALSE),VLOOKUP($I32&amp;$J32&amp;T$1,Pesos!$A:$I,9,FALSE)))</f>
        <v>1.05</v>
      </c>
      <c r="AS32" s="132">
        <f>IF(U32="","",IF(U32="SIM",VLOOKUP($I32&amp;$J32&amp;U$1,Pesos!$A:$I,7,FALSE),VLOOKUP($I32&amp;$J32&amp;U$1,Pesos!$A:$I,9,FALSE)))</f>
        <v>1.05</v>
      </c>
      <c r="AT32" s="132">
        <f>IF(V32="","",IF(V32="SIM",VLOOKUP($I32&amp;$J32&amp;V$1,Pesos!$A:$I,7,FALSE),VLOOKUP($I32&amp;$J32&amp;V$1,Pesos!$A:$I,9,FALSE)))</f>
        <v>1.05</v>
      </c>
      <c r="AU32" s="132">
        <f>IF(W32="","",IF(W32="SIM",VLOOKUP($I32&amp;$J32&amp;W$1,Pesos!$A:$I,7,FALSE),VLOOKUP($I32&amp;$J32&amp;W$1,Pesos!$A:$I,9,FALSE)))</f>
        <v>1.1200000000000001</v>
      </c>
      <c r="AV32" s="132">
        <f>IF(X32="","",IF(X32="SIM",VLOOKUP($I32&amp;$J32&amp;X$1,Pesos!$A:$I,7,FALSE),VLOOKUP($I32&amp;$J32&amp;X$1,Pesos!$A:$I,9,FALSE)))</f>
        <v>0.3</v>
      </c>
      <c r="AW32" s="132">
        <f>IF(Y32="","",IF(Y32="SIM",VLOOKUP($I32&amp;$J32&amp;Y$1,Pesos!$A:$I,7,FALSE),VLOOKUP($I32&amp;$J32&amp;Y$1,Pesos!$A:$I,9,FALSE)))</f>
        <v>0.3</v>
      </c>
      <c r="AX32" s="132">
        <f>IF(Z32="","",IF(Z32="SIM",VLOOKUP($I32&amp;$J32&amp;Z$1,Pesos!$A:$I,7,FALSE),VLOOKUP($I32&amp;$J32&amp;Z$1,Pesos!$A:$I,9,FALSE)))</f>
        <v>0.15</v>
      </c>
      <c r="AY32" s="132">
        <f>IF(AA32="","",IF(AA32="SIM",VLOOKUP($I32&amp;$J32&amp;AA$1,Pesos!$A:$I,7,FALSE),VLOOKUP($I32&amp;$J32&amp;AA$1,Pesos!$A:$I,9,FALSE)))</f>
        <v>0.2</v>
      </c>
      <c r="AZ32" s="132">
        <f>IF(AB32="","",IF(AB32="SIM",VLOOKUP($I32&amp;$J32&amp;AB$1,Pesos!$A:$I,7,FALSE),VLOOKUP($I32&amp;$J32&amp;AB$1,Pesos!$A:$I,9,FALSE)))</f>
        <v>0.3</v>
      </c>
      <c r="BA32" s="132">
        <f>IF(AC32="","",IF(AC32="SIM",VLOOKUP($I32&amp;$J32&amp;AC$1,Pesos!$A:$I,7,FALSE),VLOOKUP($I32&amp;$J32&amp;AC$1,Pesos!$A:$I,9,FALSE)))</f>
        <v>0.1</v>
      </c>
      <c r="BB32" s="132" t="str">
        <f>IF(AD32="","",IF(AD32="SIM",VLOOKUP($I32&amp;$J32&amp;AD$1,Pesos!$A:$I,7,FALSE),VLOOKUP($I32&amp;$J32&amp;AD$1,Pesos!$A:$I,9,FALSE)))</f>
        <v/>
      </c>
      <c r="BC32" s="132" t="str">
        <f>IF(AE32="","",IF(AE32="SIM",VLOOKUP($I32&amp;$J32&amp;AE$1,Pesos!$A:$I,7,FALSE),VLOOKUP($I32&amp;$J32&amp;AE$1,Pesos!$A:$I,9,FALSE)))</f>
        <v/>
      </c>
      <c r="BD32" s="158">
        <f>IFERROR(AF32*VLOOKUP(J32,'BD Campos'!$X$1:$Y$14,2,FALSE),"0")</f>
        <v>9.8949999999999996</v>
      </c>
    </row>
    <row r="33" spans="1:56">
      <c r="A33" s="151" t="str">
        <f t="shared" si="3"/>
        <v>Jan11373Motorista 2DISTRIBUIÇÃO</v>
      </c>
      <c r="B33" s="149" t="str">
        <f t="shared" si="4"/>
        <v>Jan113732DISTRIBUIÇÃOPADRÃO</v>
      </c>
      <c r="C33" s="152">
        <v>1</v>
      </c>
      <c r="D33" s="153">
        <v>46044.488984837961</v>
      </c>
      <c r="E33" s="154" t="s">
        <v>12</v>
      </c>
      <c r="F33" s="155">
        <v>11373</v>
      </c>
      <c r="G33" s="149" t="s">
        <v>132</v>
      </c>
      <c r="H33" s="154">
        <v>2</v>
      </c>
      <c r="I33" s="149" t="s">
        <v>96</v>
      </c>
      <c r="J33" s="149" t="s">
        <v>97</v>
      </c>
      <c r="K33" s="149" t="s">
        <v>94</v>
      </c>
      <c r="L33" s="156">
        <v>34632603</v>
      </c>
      <c r="M33" s="157">
        <v>2.488425925925926E-3</v>
      </c>
      <c r="N33" s="131" t="s">
        <v>17</v>
      </c>
      <c r="O33" s="131" t="s">
        <v>18</v>
      </c>
      <c r="P33" s="131" t="s">
        <v>17</v>
      </c>
      <c r="Q33" s="131" t="s">
        <v>17</v>
      </c>
      <c r="R33" s="131" t="s">
        <v>17</v>
      </c>
      <c r="S33" s="131" t="s">
        <v>17</v>
      </c>
      <c r="T33" s="131" t="s">
        <v>18</v>
      </c>
      <c r="U33" s="131" t="s">
        <v>17</v>
      </c>
      <c r="V33" s="131" t="s">
        <v>18</v>
      </c>
      <c r="W33" s="131" t="s">
        <v>18</v>
      </c>
      <c r="X33" s="131" t="s">
        <v>17</v>
      </c>
      <c r="Y33" s="131" t="s">
        <v>17</v>
      </c>
      <c r="Z33" s="131" t="s">
        <v>17</v>
      </c>
      <c r="AA33" s="131" t="s">
        <v>17</v>
      </c>
      <c r="AB33" s="131" t="s">
        <v>17</v>
      </c>
      <c r="AC33" s="131"/>
      <c r="AD33" s="131"/>
      <c r="AE33" s="131"/>
      <c r="AF33" s="158">
        <f t="shared" si="6"/>
        <v>6.3774999999999995</v>
      </c>
      <c r="AG33" s="159"/>
      <c r="AH33" s="155" t="s">
        <v>136</v>
      </c>
      <c r="AI33" s="155" t="s">
        <v>83</v>
      </c>
      <c r="AJ33" s="131" t="str">
        <f>IFERROR(VLOOKUP(E33&amp;F33,'Listagem dos op'!A:S,19,0),"")</f>
        <v/>
      </c>
      <c r="AK33" s="131" t="str">
        <f t="shared" si="5"/>
        <v>Jan11373</v>
      </c>
      <c r="AL33" s="154">
        <f>IF(N33="","",IF(N33="SIM",VLOOKUP($I33&amp;$J33&amp;N$1,Pesos!$A:$I,7,FALSE),VLOOKUP($I33&amp;$J33&amp;N$1,Pesos!$A:$I,9,FALSE)))</f>
        <v>0.1</v>
      </c>
      <c r="AM33" s="154">
        <f>IF(O33="","",IF(O33="SIM",VLOOKUP($I33&amp;$J33&amp;O$1,Pesos!$A:$I,7,FALSE),VLOOKUP($I33&amp;$J33&amp;O$1,Pesos!$A:$I,9,FALSE)))</f>
        <v>-5.000000000000001E-3</v>
      </c>
      <c r="AN33" s="154">
        <f>IF(P33="","",IF(P33="SIM",VLOOKUP($I33&amp;$J33&amp;P$1,Pesos!$A:$I,7,FALSE),VLOOKUP($I33&amp;$J33&amp;P$1,Pesos!$A:$I,9,FALSE)))</f>
        <v>0.1</v>
      </c>
      <c r="AO33" s="154">
        <f>IF(Q33="","",IF(Q33="SIM",VLOOKUP($I33&amp;$J33&amp;Q$1,Pesos!$A:$I,7,FALSE),VLOOKUP($I33&amp;$J33&amp;Q$1,Pesos!$A:$I,9,FALSE)))</f>
        <v>2</v>
      </c>
      <c r="AP33" s="154">
        <f>IF(R33="","",IF(R33="SIM",VLOOKUP($I33&amp;$J33&amp;R$1,Pesos!$A:$I,7,FALSE),VLOOKUP($I33&amp;$J33&amp;R$1,Pesos!$A:$I,9,FALSE)))</f>
        <v>1.03</v>
      </c>
      <c r="AQ33" s="154">
        <f>IF(S33="","",IF(S33="SIM",VLOOKUP($I33&amp;$J33&amp;S$1,Pesos!$A:$I,7,FALSE),VLOOKUP($I33&amp;$J33&amp;S$1,Pesos!$A:$I,9,FALSE)))</f>
        <v>1.22</v>
      </c>
      <c r="AR33" s="156">
        <f>IF(T33="","",IF(T33="SIM",VLOOKUP($I33&amp;$J33&amp;T$1,Pesos!$A:$I,7,FALSE),VLOOKUP($I33&amp;$J33&amp;T$1,Pesos!$A:$I,9,FALSE)))</f>
        <v>-0.1</v>
      </c>
      <c r="AS33" s="132">
        <f>IF(U33="","",IF(U33="SIM",VLOOKUP($I33&amp;$J33&amp;U$1,Pesos!$A:$I,7,FALSE),VLOOKUP($I33&amp;$J33&amp;U$1,Pesos!$A:$I,9,FALSE)))</f>
        <v>1.05</v>
      </c>
      <c r="AT33" s="132">
        <f>IF(V33="","",IF(V33="SIM",VLOOKUP($I33&amp;$J33&amp;V$1,Pesos!$A:$I,7,FALSE),VLOOKUP($I33&amp;$J33&amp;V$1,Pesos!$A:$I,9,FALSE)))</f>
        <v>-5.2500000000000005E-2</v>
      </c>
      <c r="AU33" s="132">
        <f>IF(W33="","",IF(W33="SIM",VLOOKUP($I33&amp;$J33&amp;W$1,Pesos!$A:$I,7,FALSE),VLOOKUP($I33&amp;$J33&amp;W$1,Pesos!$A:$I,9,FALSE)))</f>
        <v>-1.4999999999999999E-2</v>
      </c>
      <c r="AV33" s="132">
        <f>IF(X33="","",IF(X33="SIM",VLOOKUP($I33&amp;$J33&amp;X$1,Pesos!$A:$I,7,FALSE),VLOOKUP($I33&amp;$J33&amp;X$1,Pesos!$A:$I,9,FALSE)))</f>
        <v>0.3</v>
      </c>
      <c r="AW33" s="132">
        <f>IF(Y33="","",IF(Y33="SIM",VLOOKUP($I33&amp;$J33&amp;Y$1,Pesos!$A:$I,7,FALSE),VLOOKUP($I33&amp;$J33&amp;Y$1,Pesos!$A:$I,9,FALSE)))</f>
        <v>0.15</v>
      </c>
      <c r="AX33" s="132">
        <f>IF(Z33="","",IF(Z33="SIM",VLOOKUP($I33&amp;$J33&amp;Z$1,Pesos!$A:$I,7,FALSE),VLOOKUP($I33&amp;$J33&amp;Z$1,Pesos!$A:$I,9,FALSE)))</f>
        <v>0.2</v>
      </c>
      <c r="AY33" s="132">
        <f>IF(AA33="","",IF(AA33="SIM",VLOOKUP($I33&amp;$J33&amp;AA$1,Pesos!$A:$I,7,FALSE),VLOOKUP($I33&amp;$J33&amp;AA$1,Pesos!$A:$I,9,FALSE)))</f>
        <v>0.3</v>
      </c>
      <c r="AZ33" s="132">
        <f>IF(AB33="","",IF(AB33="SIM",VLOOKUP($I33&amp;$J33&amp;AB$1,Pesos!$A:$I,7,FALSE),VLOOKUP($I33&amp;$J33&amp;AB$1,Pesos!$A:$I,9,FALSE)))</f>
        <v>0.1</v>
      </c>
      <c r="BA33" s="132" t="str">
        <f>IF(AC33="","",IF(AC33="SIM",VLOOKUP($I33&amp;$J33&amp;AC$1,Pesos!$A:$I,7,FALSE),VLOOKUP($I33&amp;$J33&amp;AC$1,Pesos!$A:$I,9,FALSE)))</f>
        <v/>
      </c>
      <c r="BB33" s="132" t="str">
        <f>IF(AD33="","",IF(AD33="SIM",VLOOKUP($I33&amp;$J33&amp;AD$1,Pesos!$A:$I,7,FALSE),VLOOKUP($I33&amp;$J33&amp;AD$1,Pesos!$A:$I,9,FALSE)))</f>
        <v/>
      </c>
      <c r="BC33" s="132" t="str">
        <f>IF(AE33="","",IF(AE33="SIM",VLOOKUP($I33&amp;$J33&amp;AE$1,Pesos!$A:$I,7,FALSE),VLOOKUP($I33&amp;$J33&amp;AE$1,Pesos!$A:$I,9,FALSE)))</f>
        <v/>
      </c>
      <c r="BD33" s="158">
        <f>IFERROR(AF33*VLOOKUP(J33,'BD Campos'!$X$1:$Y$14,2,FALSE),"0")</f>
        <v>6.3774999999999995</v>
      </c>
    </row>
    <row r="34" spans="1:56">
      <c r="A34" s="151" t="str">
        <f t="shared" si="3"/>
        <v>Jan11112MotoristaDISTRIBUIÇÃO</v>
      </c>
      <c r="B34" s="149" t="str">
        <f t="shared" si="4"/>
        <v>Jan111121DISTRIBUIÇÃOPADRÃO</v>
      </c>
      <c r="C34" s="152">
        <v>1</v>
      </c>
      <c r="D34" s="153">
        <v>46044.511887384258</v>
      </c>
      <c r="E34" s="154" t="s">
        <v>12</v>
      </c>
      <c r="F34" s="155">
        <v>11112</v>
      </c>
      <c r="G34" s="149" t="s">
        <v>137</v>
      </c>
      <c r="H34" s="154">
        <v>1</v>
      </c>
      <c r="I34" s="149" t="s">
        <v>96</v>
      </c>
      <c r="J34" s="149" t="s">
        <v>93</v>
      </c>
      <c r="K34" s="149" t="s">
        <v>94</v>
      </c>
      <c r="L34" s="156">
        <v>34544048</v>
      </c>
      <c r="M34" s="157">
        <v>7.9861111111111105E-4</v>
      </c>
      <c r="N34" s="131" t="s">
        <v>17</v>
      </c>
      <c r="O34" s="131" t="s">
        <v>17</v>
      </c>
      <c r="P34" s="131" t="s">
        <v>17</v>
      </c>
      <c r="Q34" s="131" t="s">
        <v>17</v>
      </c>
      <c r="R34" s="131" t="s">
        <v>17</v>
      </c>
      <c r="S34" s="131" t="s">
        <v>17</v>
      </c>
      <c r="T34" s="131" t="s">
        <v>17</v>
      </c>
      <c r="U34" s="131" t="s">
        <v>18</v>
      </c>
      <c r="V34" s="131" t="s">
        <v>18</v>
      </c>
      <c r="W34" s="131" t="s">
        <v>17</v>
      </c>
      <c r="X34" s="131" t="s">
        <v>17</v>
      </c>
      <c r="Y34" s="131" t="s">
        <v>17</v>
      </c>
      <c r="Z34" s="131" t="s">
        <v>18</v>
      </c>
      <c r="AA34" s="131" t="s">
        <v>17</v>
      </c>
      <c r="AB34" s="131" t="s">
        <v>17</v>
      </c>
      <c r="AC34" s="131"/>
      <c r="AD34" s="131"/>
      <c r="AE34" s="131"/>
      <c r="AF34" s="158">
        <f t="shared" si="6"/>
        <v>7.5849999999999991</v>
      </c>
      <c r="AG34" s="159"/>
      <c r="AH34" s="155" t="s">
        <v>138</v>
      </c>
      <c r="AI34" s="155" t="s">
        <v>83</v>
      </c>
      <c r="AJ34" s="131" t="str">
        <f>IFERROR(VLOOKUP(E34&amp;F34,'Listagem dos op'!A:S,19,0),"")</f>
        <v/>
      </c>
      <c r="AK34" s="131" t="str">
        <f t="shared" si="5"/>
        <v>Jan11112</v>
      </c>
      <c r="AL34" s="154">
        <f>IF(N34="","",IF(N34="SIM",VLOOKUP($I34&amp;$J34&amp;N$1,Pesos!$A:$I,7,FALSE),VLOOKUP($I34&amp;$J34&amp;N$1,Pesos!$A:$I,9,FALSE)))</f>
        <v>0.1</v>
      </c>
      <c r="AM34" s="154">
        <f>IF(O34="","",IF(O34="SIM",VLOOKUP($I34&amp;$J34&amp;O$1,Pesos!$A:$I,7,FALSE),VLOOKUP($I34&amp;$J34&amp;O$1,Pesos!$A:$I,9,FALSE)))</f>
        <v>0.1</v>
      </c>
      <c r="AN34" s="154">
        <f>IF(P34="","",IF(P34="SIM",VLOOKUP($I34&amp;$J34&amp;P$1,Pesos!$A:$I,7,FALSE),VLOOKUP($I34&amp;$J34&amp;P$1,Pesos!$A:$I,9,FALSE)))</f>
        <v>0.1</v>
      </c>
      <c r="AO34" s="154">
        <f>IF(Q34="","",IF(Q34="SIM",VLOOKUP($I34&amp;$J34&amp;Q$1,Pesos!$A:$I,7,FALSE),VLOOKUP($I34&amp;$J34&amp;Q$1,Pesos!$A:$I,9,FALSE)))</f>
        <v>2</v>
      </c>
      <c r="AP34" s="154">
        <f>IF(R34="","",IF(R34="SIM",VLOOKUP($I34&amp;$J34&amp;R$1,Pesos!$A:$I,7,FALSE),VLOOKUP($I34&amp;$J34&amp;R$1,Pesos!$A:$I,9,FALSE)))</f>
        <v>1.03</v>
      </c>
      <c r="AQ34" s="154">
        <f>IF(S34="","",IF(S34="SIM",VLOOKUP($I34&amp;$J34&amp;S$1,Pesos!$A:$I,7,FALSE),VLOOKUP($I34&amp;$J34&amp;S$1,Pesos!$A:$I,9,FALSE)))</f>
        <v>1.22</v>
      </c>
      <c r="AR34" s="156">
        <f>IF(T34="","",IF(T34="SIM",VLOOKUP($I34&amp;$J34&amp;T$1,Pesos!$A:$I,7,FALSE),VLOOKUP($I34&amp;$J34&amp;T$1,Pesos!$A:$I,9,FALSE)))</f>
        <v>2</v>
      </c>
      <c r="AS34" s="132">
        <f>IF(U34="","",IF(U34="SIM",VLOOKUP($I34&amp;$J34&amp;U$1,Pesos!$A:$I,7,FALSE),VLOOKUP($I34&amp;$J34&amp;U$1,Pesos!$A:$I,9,FALSE)))</f>
        <v>-5.2500000000000005E-2</v>
      </c>
      <c r="AT34" s="132">
        <f>IF(V34="","",IF(V34="SIM",VLOOKUP($I34&amp;$J34&amp;V$1,Pesos!$A:$I,7,FALSE),VLOOKUP($I34&amp;$J34&amp;V$1,Pesos!$A:$I,9,FALSE)))</f>
        <v>-5.2500000000000005E-2</v>
      </c>
      <c r="AU34" s="132">
        <f>IF(W34="","",IF(W34="SIM",VLOOKUP($I34&amp;$J34&amp;W$1,Pesos!$A:$I,7,FALSE),VLOOKUP($I34&amp;$J34&amp;W$1,Pesos!$A:$I,9,FALSE)))</f>
        <v>0.3</v>
      </c>
      <c r="AV34" s="132">
        <f>IF(X34="","",IF(X34="SIM",VLOOKUP($I34&amp;$J34&amp;X$1,Pesos!$A:$I,7,FALSE),VLOOKUP($I34&amp;$J34&amp;X$1,Pesos!$A:$I,9,FALSE)))</f>
        <v>0.3</v>
      </c>
      <c r="AW34" s="132">
        <f>IF(Y34="","",IF(Y34="SIM",VLOOKUP($I34&amp;$J34&amp;Y$1,Pesos!$A:$I,7,FALSE),VLOOKUP($I34&amp;$J34&amp;Y$1,Pesos!$A:$I,9,FALSE)))</f>
        <v>0.15</v>
      </c>
      <c r="AX34" s="132">
        <f>IF(Z34="","",IF(Z34="SIM",VLOOKUP($I34&amp;$J34&amp;Z$1,Pesos!$A:$I,7,FALSE),VLOOKUP($I34&amp;$J34&amp;Z$1,Pesos!$A:$I,9,FALSE)))</f>
        <v>-1.0000000000000002E-2</v>
      </c>
      <c r="AY34" s="132">
        <f>IF(AA34="","",IF(AA34="SIM",VLOOKUP($I34&amp;$J34&amp;AA$1,Pesos!$A:$I,7,FALSE),VLOOKUP($I34&amp;$J34&amp;AA$1,Pesos!$A:$I,9,FALSE)))</f>
        <v>0.3</v>
      </c>
      <c r="AZ34" s="132">
        <f>IF(AB34="","",IF(AB34="SIM",VLOOKUP($I34&amp;$J34&amp;AB$1,Pesos!$A:$I,7,FALSE),VLOOKUP($I34&amp;$J34&amp;AB$1,Pesos!$A:$I,9,FALSE)))</f>
        <v>0.1</v>
      </c>
      <c r="BA34" s="132" t="str">
        <f>IF(AC34="","",IF(AC34="SIM",VLOOKUP($I34&amp;$J34&amp;AC$1,Pesos!$A:$I,7,FALSE),VLOOKUP($I34&amp;$J34&amp;AC$1,Pesos!$A:$I,9,FALSE)))</f>
        <v/>
      </c>
      <c r="BB34" s="132" t="str">
        <f>IF(AD34="","",IF(AD34="SIM",VLOOKUP($I34&amp;$J34&amp;AD$1,Pesos!$A:$I,7,FALSE),VLOOKUP($I34&amp;$J34&amp;AD$1,Pesos!$A:$I,9,FALSE)))</f>
        <v/>
      </c>
      <c r="BC34" s="132" t="str">
        <f>IF(AE34="","",IF(AE34="SIM",VLOOKUP($I34&amp;$J34&amp;AE$1,Pesos!$A:$I,7,FALSE),VLOOKUP($I34&amp;$J34&amp;AE$1,Pesos!$A:$I,9,FALSE)))</f>
        <v/>
      </c>
      <c r="BD34" s="158">
        <f>IFERROR(AF34*VLOOKUP(J34,'BD Campos'!$X$1:$Y$14,2,FALSE),"0")</f>
        <v>7.5849999999999991</v>
      </c>
    </row>
    <row r="35" spans="1:56">
      <c r="A35" s="151" t="str">
        <f t="shared" si="3"/>
        <v>Jan11112Motorista 2DISTRIBUIÇÃO</v>
      </c>
      <c r="B35" s="149" t="str">
        <f t="shared" si="4"/>
        <v>Jan111122DISTRIBUIÇÃOPADRÃO</v>
      </c>
      <c r="C35" s="152">
        <v>1</v>
      </c>
      <c r="D35" s="153">
        <v>46044.559421412036</v>
      </c>
      <c r="E35" s="154" t="s">
        <v>12</v>
      </c>
      <c r="F35" s="155">
        <v>11112</v>
      </c>
      <c r="G35" s="149" t="s">
        <v>137</v>
      </c>
      <c r="H35" s="154">
        <v>2</v>
      </c>
      <c r="I35" s="149" t="s">
        <v>96</v>
      </c>
      <c r="J35" s="149" t="s">
        <v>97</v>
      </c>
      <c r="K35" s="149" t="s">
        <v>94</v>
      </c>
      <c r="L35" s="156">
        <v>34628149</v>
      </c>
      <c r="M35" s="157">
        <v>6.018518518518519E-4</v>
      </c>
      <c r="N35" s="131" t="s">
        <v>17</v>
      </c>
      <c r="O35" s="131" t="s">
        <v>17</v>
      </c>
      <c r="P35" s="131" t="s">
        <v>17</v>
      </c>
      <c r="Q35" s="131" t="s">
        <v>17</v>
      </c>
      <c r="R35" s="131" t="s">
        <v>17</v>
      </c>
      <c r="S35" s="131" t="s">
        <v>17</v>
      </c>
      <c r="T35" s="131" t="s">
        <v>17</v>
      </c>
      <c r="U35" s="131" t="s">
        <v>18</v>
      </c>
      <c r="V35" s="131" t="s">
        <v>18</v>
      </c>
      <c r="W35" s="131" t="s">
        <v>17</v>
      </c>
      <c r="X35" s="131" t="s">
        <v>17</v>
      </c>
      <c r="Y35" s="131" t="s">
        <v>17</v>
      </c>
      <c r="Z35" s="131" t="s">
        <v>17</v>
      </c>
      <c r="AA35" s="131" t="s">
        <v>17</v>
      </c>
      <c r="AB35" s="131" t="s">
        <v>17</v>
      </c>
      <c r="AC35" s="131"/>
      <c r="AD35" s="131"/>
      <c r="AE35" s="131"/>
      <c r="AF35" s="158">
        <f t="shared" si="6"/>
        <v>7.794999999999999</v>
      </c>
      <c r="AG35" s="159"/>
      <c r="AH35" s="155" t="s">
        <v>139</v>
      </c>
      <c r="AI35" s="155" t="s">
        <v>83</v>
      </c>
      <c r="AJ35" s="131" t="str">
        <f>IFERROR(VLOOKUP(E35&amp;F35,'Listagem dos op'!A:S,19,0),"")</f>
        <v/>
      </c>
      <c r="AK35" s="131" t="str">
        <f t="shared" si="5"/>
        <v>Jan11112</v>
      </c>
      <c r="AL35" s="154">
        <f>IF(N35="","",IF(N35="SIM",VLOOKUP($I35&amp;$J35&amp;N$1,Pesos!$A:$I,7,FALSE),VLOOKUP($I35&amp;$J35&amp;N$1,Pesos!$A:$I,9,FALSE)))</f>
        <v>0.1</v>
      </c>
      <c r="AM35" s="154">
        <f>IF(O35="","",IF(O35="SIM",VLOOKUP($I35&amp;$J35&amp;O$1,Pesos!$A:$I,7,FALSE),VLOOKUP($I35&amp;$J35&amp;O$1,Pesos!$A:$I,9,FALSE)))</f>
        <v>0.1</v>
      </c>
      <c r="AN35" s="154">
        <f>IF(P35="","",IF(P35="SIM",VLOOKUP($I35&amp;$J35&amp;P$1,Pesos!$A:$I,7,FALSE),VLOOKUP($I35&amp;$J35&amp;P$1,Pesos!$A:$I,9,FALSE)))</f>
        <v>0.1</v>
      </c>
      <c r="AO35" s="154">
        <f>IF(Q35="","",IF(Q35="SIM",VLOOKUP($I35&amp;$J35&amp;Q$1,Pesos!$A:$I,7,FALSE),VLOOKUP($I35&amp;$J35&amp;Q$1,Pesos!$A:$I,9,FALSE)))</f>
        <v>2</v>
      </c>
      <c r="AP35" s="154">
        <f>IF(R35="","",IF(R35="SIM",VLOOKUP($I35&amp;$J35&amp;R$1,Pesos!$A:$I,7,FALSE),VLOOKUP($I35&amp;$J35&amp;R$1,Pesos!$A:$I,9,FALSE)))</f>
        <v>1.03</v>
      </c>
      <c r="AQ35" s="154">
        <f>IF(S35="","",IF(S35="SIM",VLOOKUP($I35&amp;$J35&amp;S$1,Pesos!$A:$I,7,FALSE),VLOOKUP($I35&amp;$J35&amp;S$1,Pesos!$A:$I,9,FALSE)))</f>
        <v>1.22</v>
      </c>
      <c r="AR35" s="156">
        <f>IF(T35="","",IF(T35="SIM",VLOOKUP($I35&amp;$J35&amp;T$1,Pesos!$A:$I,7,FALSE),VLOOKUP($I35&amp;$J35&amp;T$1,Pesos!$A:$I,9,FALSE)))</f>
        <v>2</v>
      </c>
      <c r="AS35" s="132">
        <f>IF(U35="","",IF(U35="SIM",VLOOKUP($I35&amp;$J35&amp;U$1,Pesos!$A:$I,7,FALSE),VLOOKUP($I35&amp;$J35&amp;U$1,Pesos!$A:$I,9,FALSE)))</f>
        <v>-5.2500000000000005E-2</v>
      </c>
      <c r="AT35" s="132">
        <f>IF(V35="","",IF(V35="SIM",VLOOKUP($I35&amp;$J35&amp;V$1,Pesos!$A:$I,7,FALSE),VLOOKUP($I35&amp;$J35&amp;V$1,Pesos!$A:$I,9,FALSE)))</f>
        <v>-5.2500000000000005E-2</v>
      </c>
      <c r="AU35" s="132">
        <f>IF(W35="","",IF(W35="SIM",VLOOKUP($I35&amp;$J35&amp;W$1,Pesos!$A:$I,7,FALSE),VLOOKUP($I35&amp;$J35&amp;W$1,Pesos!$A:$I,9,FALSE)))</f>
        <v>0.3</v>
      </c>
      <c r="AV35" s="132">
        <f>IF(X35="","",IF(X35="SIM",VLOOKUP($I35&amp;$J35&amp;X$1,Pesos!$A:$I,7,FALSE),VLOOKUP($I35&amp;$J35&amp;X$1,Pesos!$A:$I,9,FALSE)))</f>
        <v>0.3</v>
      </c>
      <c r="AW35" s="132">
        <f>IF(Y35="","",IF(Y35="SIM",VLOOKUP($I35&amp;$J35&amp;Y$1,Pesos!$A:$I,7,FALSE),VLOOKUP($I35&amp;$J35&amp;Y$1,Pesos!$A:$I,9,FALSE)))</f>
        <v>0.15</v>
      </c>
      <c r="AX35" s="132">
        <f>IF(Z35="","",IF(Z35="SIM",VLOOKUP($I35&amp;$J35&amp;Z$1,Pesos!$A:$I,7,FALSE),VLOOKUP($I35&amp;$J35&amp;Z$1,Pesos!$A:$I,9,FALSE)))</f>
        <v>0.2</v>
      </c>
      <c r="AY35" s="132">
        <f>IF(AA35="","",IF(AA35="SIM",VLOOKUP($I35&amp;$J35&amp;AA$1,Pesos!$A:$I,7,FALSE),VLOOKUP($I35&amp;$J35&amp;AA$1,Pesos!$A:$I,9,FALSE)))</f>
        <v>0.3</v>
      </c>
      <c r="AZ35" s="132">
        <f>IF(AB35="","",IF(AB35="SIM",VLOOKUP($I35&amp;$J35&amp;AB$1,Pesos!$A:$I,7,FALSE),VLOOKUP($I35&amp;$J35&amp;AB$1,Pesos!$A:$I,9,FALSE)))</f>
        <v>0.1</v>
      </c>
      <c r="BA35" s="132" t="str">
        <f>IF(AC35="","",IF(AC35="SIM",VLOOKUP($I35&amp;$J35&amp;AC$1,Pesos!$A:$I,7,FALSE),VLOOKUP($I35&amp;$J35&amp;AC$1,Pesos!$A:$I,9,FALSE)))</f>
        <v/>
      </c>
      <c r="BB35" s="132" t="str">
        <f>IF(AD35="","",IF(AD35="SIM",VLOOKUP($I35&amp;$J35&amp;AD$1,Pesos!$A:$I,7,FALSE),VLOOKUP($I35&amp;$J35&amp;AD$1,Pesos!$A:$I,9,FALSE)))</f>
        <v/>
      </c>
      <c r="BC35" s="132" t="str">
        <f>IF(AE35="","",IF(AE35="SIM",VLOOKUP($I35&amp;$J35&amp;AE$1,Pesos!$A:$I,7,FALSE),VLOOKUP($I35&amp;$J35&amp;AE$1,Pesos!$A:$I,9,FALSE)))</f>
        <v/>
      </c>
      <c r="BD35" s="158">
        <f>IFERROR(AF35*VLOOKUP(J35,'BD Campos'!$X$1:$Y$14,2,FALSE),"0")</f>
        <v>7.794999999999999</v>
      </c>
    </row>
    <row r="36" spans="1:56">
      <c r="A36" s="151" t="str">
        <f t="shared" si="3"/>
        <v>Jan11070MotoristaDISTRIBUIÇÃO</v>
      </c>
      <c r="B36" s="149" t="str">
        <f t="shared" si="4"/>
        <v>Jan110701DISTRIBUIÇÃOPADRÃO</v>
      </c>
      <c r="C36" s="152">
        <v>1</v>
      </c>
      <c r="D36" s="153">
        <v>46044.561221296295</v>
      </c>
      <c r="E36" s="154" t="s">
        <v>12</v>
      </c>
      <c r="F36" s="155">
        <v>11070</v>
      </c>
      <c r="G36" s="149" t="s">
        <v>140</v>
      </c>
      <c r="H36" s="154">
        <v>1</v>
      </c>
      <c r="I36" s="149" t="s">
        <v>92</v>
      </c>
      <c r="J36" s="149" t="s">
        <v>93</v>
      </c>
      <c r="K36" s="149" t="s">
        <v>94</v>
      </c>
      <c r="L36" s="156">
        <v>34582427</v>
      </c>
      <c r="M36" s="157">
        <v>8.2175925925925917E-4</v>
      </c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58">
        <f t="shared" si="6"/>
        <v>0</v>
      </c>
      <c r="AG36" s="159" t="s">
        <v>141</v>
      </c>
      <c r="AH36" s="155" t="s">
        <v>142</v>
      </c>
      <c r="AI36" s="155" t="s">
        <v>83</v>
      </c>
      <c r="AJ36" s="131" t="str">
        <f>IFERROR(VLOOKUP(E36&amp;F36,'Listagem dos op'!A:S,19,0),"")</f>
        <v/>
      </c>
      <c r="AK36" s="131" t="str">
        <f t="shared" si="5"/>
        <v>Jan11070</v>
      </c>
      <c r="AL36" s="154" t="str">
        <f>IF(N36="","",IF(N36="SIM",VLOOKUP($I36&amp;$J36&amp;N$1,Pesos!$A:$I,7,FALSE),VLOOKUP($I36&amp;$J36&amp;N$1,Pesos!$A:$I,9,FALSE)))</f>
        <v/>
      </c>
      <c r="AM36" s="154" t="str">
        <f>IF(O36="","",IF(O36="SIM",VLOOKUP($I36&amp;$J36&amp;O$1,Pesos!$A:$I,7,FALSE),VLOOKUP($I36&amp;$J36&amp;O$1,Pesos!$A:$I,9,FALSE)))</f>
        <v/>
      </c>
      <c r="AN36" s="154" t="str">
        <f>IF(P36="","",IF(P36="SIM",VLOOKUP($I36&amp;$J36&amp;P$1,Pesos!$A:$I,7,FALSE),VLOOKUP($I36&amp;$J36&amp;P$1,Pesos!$A:$I,9,FALSE)))</f>
        <v/>
      </c>
      <c r="AO36" s="154" t="str">
        <f>IF(Q36="","",IF(Q36="SIM",VLOOKUP($I36&amp;$J36&amp;Q$1,Pesos!$A:$I,7,FALSE),VLOOKUP($I36&amp;$J36&amp;Q$1,Pesos!$A:$I,9,FALSE)))</f>
        <v/>
      </c>
      <c r="AP36" s="154" t="str">
        <f>IF(R36="","",IF(R36="SIM",VLOOKUP($I36&amp;$J36&amp;R$1,Pesos!$A:$I,7,FALSE),VLOOKUP($I36&amp;$J36&amp;R$1,Pesos!$A:$I,9,FALSE)))</f>
        <v/>
      </c>
      <c r="AQ36" s="154" t="str">
        <f>IF(S36="","",IF(S36="SIM",VLOOKUP($I36&amp;$J36&amp;S$1,Pesos!$A:$I,7,FALSE),VLOOKUP($I36&amp;$J36&amp;S$1,Pesos!$A:$I,9,FALSE)))</f>
        <v/>
      </c>
      <c r="AR36" s="156" t="str">
        <f>IF(T36="","",IF(T36="SIM",VLOOKUP($I36&amp;$J36&amp;T$1,Pesos!$A:$I,7,FALSE),VLOOKUP($I36&amp;$J36&amp;T$1,Pesos!$A:$I,9,FALSE)))</f>
        <v/>
      </c>
      <c r="AS36" s="132" t="str">
        <f>IF(U36="","",IF(U36="SIM",VLOOKUP($I36&amp;$J36&amp;U$1,Pesos!$A:$I,7,FALSE),VLOOKUP($I36&amp;$J36&amp;U$1,Pesos!$A:$I,9,FALSE)))</f>
        <v/>
      </c>
      <c r="AT36" s="132" t="str">
        <f>IF(V36="","",IF(V36="SIM",VLOOKUP($I36&amp;$J36&amp;V$1,Pesos!$A:$I,7,FALSE),VLOOKUP($I36&amp;$J36&amp;V$1,Pesos!$A:$I,9,FALSE)))</f>
        <v/>
      </c>
      <c r="AU36" s="132" t="str">
        <f>IF(W36="","",IF(W36="SIM",VLOOKUP($I36&amp;$J36&amp;W$1,Pesos!$A:$I,7,FALSE),VLOOKUP($I36&amp;$J36&amp;W$1,Pesos!$A:$I,9,FALSE)))</f>
        <v/>
      </c>
      <c r="AV36" s="132" t="str">
        <f>IF(X36="","",IF(X36="SIM",VLOOKUP($I36&amp;$J36&amp;X$1,Pesos!$A:$I,7,FALSE),VLOOKUP($I36&amp;$J36&amp;X$1,Pesos!$A:$I,9,FALSE)))</f>
        <v/>
      </c>
      <c r="AW36" s="132" t="str">
        <f>IF(Y36="","",IF(Y36="SIM",VLOOKUP($I36&amp;$J36&amp;Y$1,Pesos!$A:$I,7,FALSE),VLOOKUP($I36&amp;$J36&amp;Y$1,Pesos!$A:$I,9,FALSE)))</f>
        <v/>
      </c>
      <c r="AX36" s="132" t="str">
        <f>IF(Z36="","",IF(Z36="SIM",VLOOKUP($I36&amp;$J36&amp;Z$1,Pesos!$A:$I,7,FALSE),VLOOKUP($I36&amp;$J36&amp;Z$1,Pesos!$A:$I,9,FALSE)))</f>
        <v/>
      </c>
      <c r="AY36" s="132" t="str">
        <f>IF(AA36="","",IF(AA36="SIM",VLOOKUP($I36&amp;$J36&amp;AA$1,Pesos!$A:$I,7,FALSE),VLOOKUP($I36&amp;$J36&amp;AA$1,Pesos!$A:$I,9,FALSE)))</f>
        <v/>
      </c>
      <c r="AZ36" s="132" t="str">
        <f>IF(AB36="","",IF(AB36="SIM",VLOOKUP($I36&amp;$J36&amp;AB$1,Pesos!$A:$I,7,FALSE),VLOOKUP($I36&amp;$J36&amp;AB$1,Pesos!$A:$I,9,FALSE)))</f>
        <v/>
      </c>
      <c r="BA36" s="132" t="str">
        <f>IF(AC36="","",IF(AC36="SIM",VLOOKUP($I36&amp;$J36&amp;AC$1,Pesos!$A:$I,7,FALSE),VLOOKUP($I36&amp;$J36&amp;AC$1,Pesos!$A:$I,9,FALSE)))</f>
        <v/>
      </c>
      <c r="BB36" s="132" t="str">
        <f>IF(AD36="","",IF(AD36="SIM",VLOOKUP($I36&amp;$J36&amp;AD$1,Pesos!$A:$I,7,FALSE),VLOOKUP($I36&amp;$J36&amp;AD$1,Pesos!$A:$I,9,FALSE)))</f>
        <v/>
      </c>
      <c r="BC36" s="132" t="str">
        <f>IF(AE36="","",IF(AE36="SIM",VLOOKUP($I36&amp;$J36&amp;AE$1,Pesos!$A:$I,7,FALSE),VLOOKUP($I36&amp;$J36&amp;AE$1,Pesos!$A:$I,9,FALSE)))</f>
        <v/>
      </c>
      <c r="BD36" s="158">
        <f>IFERROR(AF36*VLOOKUP(J36,'BD Campos'!$X$1:$Y$14,2,FALSE),"0")</f>
        <v>0</v>
      </c>
    </row>
    <row r="37" spans="1:56">
      <c r="A37" s="151" t="str">
        <f t="shared" si="3"/>
        <v>Jan11070Motorista 2DISTRIBUIÇÃO</v>
      </c>
      <c r="B37" s="149" t="str">
        <f t="shared" si="4"/>
        <v>Jan110702DISTRIBUIÇÃOPADRÃO</v>
      </c>
      <c r="C37" s="152">
        <v>1</v>
      </c>
      <c r="D37" s="153">
        <v>46044.56359513889</v>
      </c>
      <c r="E37" s="154" t="s">
        <v>12</v>
      </c>
      <c r="F37" s="155">
        <v>11070</v>
      </c>
      <c r="G37" s="149" t="s">
        <v>140</v>
      </c>
      <c r="H37" s="154">
        <v>2</v>
      </c>
      <c r="I37" s="149" t="s">
        <v>96</v>
      </c>
      <c r="J37" s="149" t="s">
        <v>97</v>
      </c>
      <c r="K37" s="149" t="s">
        <v>94</v>
      </c>
      <c r="L37" s="156">
        <v>34668117</v>
      </c>
      <c r="M37" s="157">
        <v>1.6666666666666668E-3</v>
      </c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58">
        <f t="shared" si="6"/>
        <v>0</v>
      </c>
      <c r="AG37" s="159" t="s">
        <v>141</v>
      </c>
      <c r="AH37" s="155" t="s">
        <v>143</v>
      </c>
      <c r="AI37" s="155" t="s">
        <v>83</v>
      </c>
      <c r="AJ37" s="131" t="str">
        <f>IFERROR(VLOOKUP(E37&amp;F37,'Listagem dos op'!A:S,19,0),"")</f>
        <v/>
      </c>
      <c r="AK37" s="131" t="str">
        <f t="shared" si="5"/>
        <v>Jan11070</v>
      </c>
      <c r="AL37" s="154" t="str">
        <f>IF(N37="","",IF(N37="SIM",VLOOKUP($I37&amp;$J37&amp;N$1,Pesos!$A:$I,7,FALSE),VLOOKUP($I37&amp;$J37&amp;N$1,Pesos!$A:$I,9,FALSE)))</f>
        <v/>
      </c>
      <c r="AM37" s="154" t="str">
        <f>IF(O37="","",IF(O37="SIM",VLOOKUP($I37&amp;$J37&amp;O$1,Pesos!$A:$I,7,FALSE),VLOOKUP($I37&amp;$J37&amp;O$1,Pesos!$A:$I,9,FALSE)))</f>
        <v/>
      </c>
      <c r="AN37" s="154" t="str">
        <f>IF(P37="","",IF(P37="SIM",VLOOKUP($I37&amp;$J37&amp;P$1,Pesos!$A:$I,7,FALSE),VLOOKUP($I37&amp;$J37&amp;P$1,Pesos!$A:$I,9,FALSE)))</f>
        <v/>
      </c>
      <c r="AO37" s="154" t="str">
        <f>IF(Q37="","",IF(Q37="SIM",VLOOKUP($I37&amp;$J37&amp;Q$1,Pesos!$A:$I,7,FALSE),VLOOKUP($I37&amp;$J37&amp;Q$1,Pesos!$A:$I,9,FALSE)))</f>
        <v/>
      </c>
      <c r="AP37" s="154" t="str">
        <f>IF(R37="","",IF(R37="SIM",VLOOKUP($I37&amp;$J37&amp;R$1,Pesos!$A:$I,7,FALSE),VLOOKUP($I37&amp;$J37&amp;R$1,Pesos!$A:$I,9,FALSE)))</f>
        <v/>
      </c>
      <c r="AQ37" s="154" t="str">
        <f>IF(S37="","",IF(S37="SIM",VLOOKUP($I37&amp;$J37&amp;S$1,Pesos!$A:$I,7,FALSE),VLOOKUP($I37&amp;$J37&amp;S$1,Pesos!$A:$I,9,FALSE)))</f>
        <v/>
      </c>
      <c r="AR37" s="156" t="str">
        <f>IF(T37="","",IF(T37="SIM",VLOOKUP($I37&amp;$J37&amp;T$1,Pesos!$A:$I,7,FALSE),VLOOKUP($I37&amp;$J37&amp;T$1,Pesos!$A:$I,9,FALSE)))</f>
        <v/>
      </c>
      <c r="AS37" s="132" t="str">
        <f>IF(U37="","",IF(U37="SIM",VLOOKUP($I37&amp;$J37&amp;U$1,Pesos!$A:$I,7,FALSE),VLOOKUP($I37&amp;$J37&amp;U$1,Pesos!$A:$I,9,FALSE)))</f>
        <v/>
      </c>
      <c r="AT37" s="132" t="str">
        <f>IF(V37="","",IF(V37="SIM",VLOOKUP($I37&amp;$J37&amp;V$1,Pesos!$A:$I,7,FALSE),VLOOKUP($I37&amp;$J37&amp;V$1,Pesos!$A:$I,9,FALSE)))</f>
        <v/>
      </c>
      <c r="AU37" s="132" t="str">
        <f>IF(W37="","",IF(W37="SIM",VLOOKUP($I37&amp;$J37&amp;W$1,Pesos!$A:$I,7,FALSE),VLOOKUP($I37&amp;$J37&amp;W$1,Pesos!$A:$I,9,FALSE)))</f>
        <v/>
      </c>
      <c r="AV37" s="132" t="str">
        <f>IF(X37="","",IF(X37="SIM",VLOOKUP($I37&amp;$J37&amp;X$1,Pesos!$A:$I,7,FALSE),VLOOKUP($I37&amp;$J37&amp;X$1,Pesos!$A:$I,9,FALSE)))</f>
        <v/>
      </c>
      <c r="AW37" s="132" t="str">
        <f>IF(Y37="","",IF(Y37="SIM",VLOOKUP($I37&amp;$J37&amp;Y$1,Pesos!$A:$I,7,FALSE),VLOOKUP($I37&amp;$J37&amp;Y$1,Pesos!$A:$I,9,FALSE)))</f>
        <v/>
      </c>
      <c r="AX37" s="132" t="str">
        <f>IF(Z37="","",IF(Z37="SIM",VLOOKUP($I37&amp;$J37&amp;Z$1,Pesos!$A:$I,7,FALSE),VLOOKUP($I37&amp;$J37&amp;Z$1,Pesos!$A:$I,9,FALSE)))</f>
        <v/>
      </c>
      <c r="AY37" s="132" t="str">
        <f>IF(AA37="","",IF(AA37="SIM",VLOOKUP($I37&amp;$J37&amp;AA$1,Pesos!$A:$I,7,FALSE),VLOOKUP($I37&amp;$J37&amp;AA$1,Pesos!$A:$I,9,FALSE)))</f>
        <v/>
      </c>
      <c r="AZ37" s="132" t="str">
        <f>IF(AB37="","",IF(AB37="SIM",VLOOKUP($I37&amp;$J37&amp;AB$1,Pesos!$A:$I,7,FALSE),VLOOKUP($I37&amp;$J37&amp;AB$1,Pesos!$A:$I,9,FALSE)))</f>
        <v/>
      </c>
      <c r="BA37" s="132" t="str">
        <f>IF(AC37="","",IF(AC37="SIM",VLOOKUP($I37&amp;$J37&amp;AC$1,Pesos!$A:$I,7,FALSE),VLOOKUP($I37&amp;$J37&amp;AC$1,Pesos!$A:$I,9,FALSE)))</f>
        <v/>
      </c>
      <c r="BB37" s="132" t="str">
        <f>IF(AD37="","",IF(AD37="SIM",VLOOKUP($I37&amp;$J37&amp;AD$1,Pesos!$A:$I,7,FALSE),VLOOKUP($I37&amp;$J37&amp;AD$1,Pesos!$A:$I,9,FALSE)))</f>
        <v/>
      </c>
      <c r="BC37" s="132" t="str">
        <f>IF(AE37="","",IF(AE37="SIM",VLOOKUP($I37&amp;$J37&amp;AE$1,Pesos!$A:$I,7,FALSE),VLOOKUP($I37&amp;$J37&amp;AE$1,Pesos!$A:$I,9,FALSE)))</f>
        <v/>
      </c>
      <c r="BD37" s="158">
        <f>IFERROR(AF37*VLOOKUP(J37,'BD Campos'!$X$1:$Y$14,2,FALSE),"0")</f>
        <v>0</v>
      </c>
    </row>
    <row r="38" spans="1:56">
      <c r="A38" s="151" t="str">
        <f t="shared" si="3"/>
        <v>Jan11233MotoristaDISTRIBUIÇÃO</v>
      </c>
      <c r="B38" s="149" t="str">
        <f t="shared" si="4"/>
        <v>Jan112331DISTRIBUIÇÃOPADRÃO</v>
      </c>
      <c r="C38" s="152">
        <v>1</v>
      </c>
      <c r="D38" s="153">
        <v>46044.652757407406</v>
      </c>
      <c r="E38" s="154" t="s">
        <v>12</v>
      </c>
      <c r="F38" s="155">
        <v>11233</v>
      </c>
      <c r="G38" s="149" t="s">
        <v>144</v>
      </c>
      <c r="H38" s="154">
        <v>1</v>
      </c>
      <c r="I38" s="149" t="s">
        <v>96</v>
      </c>
      <c r="J38" s="149" t="s">
        <v>93</v>
      </c>
      <c r="K38" s="149" t="s">
        <v>94</v>
      </c>
      <c r="L38" s="156">
        <v>34545756</v>
      </c>
      <c r="M38" s="157">
        <v>1.6550925925925926E-3</v>
      </c>
      <c r="N38" s="131" t="s">
        <v>17</v>
      </c>
      <c r="O38" s="131" t="s">
        <v>17</v>
      </c>
      <c r="P38" s="131" t="s">
        <v>17</v>
      </c>
      <c r="Q38" s="131" t="s">
        <v>17</v>
      </c>
      <c r="R38" s="131" t="s">
        <v>17</v>
      </c>
      <c r="S38" s="131" t="s">
        <v>17</v>
      </c>
      <c r="T38" s="131" t="s">
        <v>17</v>
      </c>
      <c r="U38" s="131" t="s">
        <v>17</v>
      </c>
      <c r="V38" s="131" t="s">
        <v>18</v>
      </c>
      <c r="W38" s="131" t="s">
        <v>18</v>
      </c>
      <c r="X38" s="131" t="s">
        <v>17</v>
      </c>
      <c r="Y38" s="131" t="s">
        <v>17</v>
      </c>
      <c r="Z38" s="131" t="s">
        <v>17</v>
      </c>
      <c r="AA38" s="131" t="s">
        <v>17</v>
      </c>
      <c r="AB38" s="131" t="s">
        <v>17</v>
      </c>
      <c r="AC38" s="131"/>
      <c r="AD38" s="131"/>
      <c r="AE38" s="131"/>
      <c r="AF38" s="158">
        <f t="shared" si="6"/>
        <v>8.5824999999999996</v>
      </c>
      <c r="AG38" s="159"/>
      <c r="AH38" s="155" t="s">
        <v>145</v>
      </c>
      <c r="AI38" s="155" t="s">
        <v>83</v>
      </c>
      <c r="AJ38" s="131" t="str">
        <f>IFERROR(VLOOKUP(E38&amp;F38,'Listagem dos op'!A:S,19,0),"")</f>
        <v/>
      </c>
      <c r="AK38" s="131" t="str">
        <f t="shared" si="5"/>
        <v>Jan11233</v>
      </c>
      <c r="AL38" s="154">
        <f>IF(N38="","",IF(N38="SIM",VLOOKUP($I38&amp;$J38&amp;N$1,Pesos!$A:$I,7,FALSE),VLOOKUP($I38&amp;$J38&amp;N$1,Pesos!$A:$I,9,FALSE)))</f>
        <v>0.1</v>
      </c>
      <c r="AM38" s="154">
        <f>IF(O38="","",IF(O38="SIM",VLOOKUP($I38&amp;$J38&amp;O$1,Pesos!$A:$I,7,FALSE),VLOOKUP($I38&amp;$J38&amp;O$1,Pesos!$A:$I,9,FALSE)))</f>
        <v>0.1</v>
      </c>
      <c r="AN38" s="154">
        <f>IF(P38="","",IF(P38="SIM",VLOOKUP($I38&amp;$J38&amp;P$1,Pesos!$A:$I,7,FALSE),VLOOKUP($I38&amp;$J38&amp;P$1,Pesos!$A:$I,9,FALSE)))</f>
        <v>0.1</v>
      </c>
      <c r="AO38" s="154">
        <f>IF(Q38="","",IF(Q38="SIM",VLOOKUP($I38&amp;$J38&amp;Q$1,Pesos!$A:$I,7,FALSE),VLOOKUP($I38&amp;$J38&amp;Q$1,Pesos!$A:$I,9,FALSE)))</f>
        <v>2</v>
      </c>
      <c r="AP38" s="154">
        <f>IF(R38="","",IF(R38="SIM",VLOOKUP($I38&amp;$J38&amp;R$1,Pesos!$A:$I,7,FALSE),VLOOKUP($I38&amp;$J38&amp;R$1,Pesos!$A:$I,9,FALSE)))</f>
        <v>1.03</v>
      </c>
      <c r="AQ38" s="154">
        <f>IF(S38="","",IF(S38="SIM",VLOOKUP($I38&amp;$J38&amp;S$1,Pesos!$A:$I,7,FALSE),VLOOKUP($I38&amp;$J38&amp;S$1,Pesos!$A:$I,9,FALSE)))</f>
        <v>1.22</v>
      </c>
      <c r="AR38" s="156">
        <f>IF(T38="","",IF(T38="SIM",VLOOKUP($I38&amp;$J38&amp;T$1,Pesos!$A:$I,7,FALSE),VLOOKUP($I38&amp;$J38&amp;T$1,Pesos!$A:$I,9,FALSE)))</f>
        <v>2</v>
      </c>
      <c r="AS38" s="132">
        <f>IF(U38="","",IF(U38="SIM",VLOOKUP($I38&amp;$J38&amp;U$1,Pesos!$A:$I,7,FALSE),VLOOKUP($I38&amp;$J38&amp;U$1,Pesos!$A:$I,9,FALSE)))</f>
        <v>1.05</v>
      </c>
      <c r="AT38" s="132">
        <f>IF(V38="","",IF(V38="SIM",VLOOKUP($I38&amp;$J38&amp;V$1,Pesos!$A:$I,7,FALSE),VLOOKUP($I38&amp;$J38&amp;V$1,Pesos!$A:$I,9,FALSE)))</f>
        <v>-5.2500000000000005E-2</v>
      </c>
      <c r="AU38" s="132">
        <f>IF(W38="","",IF(W38="SIM",VLOOKUP($I38&amp;$J38&amp;W$1,Pesos!$A:$I,7,FALSE),VLOOKUP($I38&amp;$J38&amp;W$1,Pesos!$A:$I,9,FALSE)))</f>
        <v>-1.4999999999999999E-2</v>
      </c>
      <c r="AV38" s="132">
        <f>IF(X38="","",IF(X38="SIM",VLOOKUP($I38&amp;$J38&amp;X$1,Pesos!$A:$I,7,FALSE),VLOOKUP($I38&amp;$J38&amp;X$1,Pesos!$A:$I,9,FALSE)))</f>
        <v>0.3</v>
      </c>
      <c r="AW38" s="132">
        <f>IF(Y38="","",IF(Y38="SIM",VLOOKUP($I38&amp;$J38&amp;Y$1,Pesos!$A:$I,7,FALSE),VLOOKUP($I38&amp;$J38&amp;Y$1,Pesos!$A:$I,9,FALSE)))</f>
        <v>0.15</v>
      </c>
      <c r="AX38" s="132">
        <f>IF(Z38="","",IF(Z38="SIM",VLOOKUP($I38&amp;$J38&amp;Z$1,Pesos!$A:$I,7,FALSE),VLOOKUP($I38&amp;$J38&amp;Z$1,Pesos!$A:$I,9,FALSE)))</f>
        <v>0.2</v>
      </c>
      <c r="AY38" s="132">
        <f>IF(AA38="","",IF(AA38="SIM",VLOOKUP($I38&amp;$J38&amp;AA$1,Pesos!$A:$I,7,FALSE),VLOOKUP($I38&amp;$J38&amp;AA$1,Pesos!$A:$I,9,FALSE)))</f>
        <v>0.3</v>
      </c>
      <c r="AZ38" s="132">
        <f>IF(AB38="","",IF(AB38="SIM",VLOOKUP($I38&amp;$J38&amp;AB$1,Pesos!$A:$I,7,FALSE),VLOOKUP($I38&amp;$J38&amp;AB$1,Pesos!$A:$I,9,FALSE)))</f>
        <v>0.1</v>
      </c>
      <c r="BA38" s="132" t="str">
        <f>IF(AC38="","",IF(AC38="SIM",VLOOKUP($I38&amp;$J38&amp;AC$1,Pesos!$A:$I,7,FALSE),VLOOKUP($I38&amp;$J38&amp;AC$1,Pesos!$A:$I,9,FALSE)))</f>
        <v/>
      </c>
      <c r="BB38" s="132" t="str">
        <f>IF(AD38="","",IF(AD38="SIM",VLOOKUP($I38&amp;$J38&amp;AD$1,Pesos!$A:$I,7,FALSE),VLOOKUP($I38&amp;$J38&amp;AD$1,Pesos!$A:$I,9,FALSE)))</f>
        <v/>
      </c>
      <c r="BC38" s="132" t="str">
        <f>IF(AE38="","",IF(AE38="SIM",VLOOKUP($I38&amp;$J38&amp;AE$1,Pesos!$A:$I,7,FALSE),VLOOKUP($I38&amp;$J38&amp;AE$1,Pesos!$A:$I,9,FALSE)))</f>
        <v/>
      </c>
      <c r="BD38" s="158">
        <f>IFERROR(AF38*VLOOKUP(J38,'BD Campos'!$X$1:$Y$14,2,FALSE),"0")</f>
        <v>8.5824999999999996</v>
      </c>
    </row>
    <row r="39" spans="1:56">
      <c r="A39" s="151" t="str">
        <f t="shared" si="3"/>
        <v>Jan11233Motorista 2DISTRIBUIÇÃO</v>
      </c>
      <c r="B39" s="149" t="str">
        <f t="shared" si="4"/>
        <v>Jan112332DISTRIBUIÇÃOPADRÃO</v>
      </c>
      <c r="C39" s="152">
        <v>1</v>
      </c>
      <c r="D39" s="153">
        <v>46044.718928935188</v>
      </c>
      <c r="E39" s="154" t="s">
        <v>12</v>
      </c>
      <c r="F39" s="155">
        <v>11233</v>
      </c>
      <c r="G39" s="149" t="s">
        <v>144</v>
      </c>
      <c r="H39" s="154">
        <v>2</v>
      </c>
      <c r="I39" s="149" t="s">
        <v>96</v>
      </c>
      <c r="J39" s="149" t="s">
        <v>97</v>
      </c>
      <c r="K39" s="149" t="s">
        <v>94</v>
      </c>
      <c r="L39" s="156">
        <v>34689182</v>
      </c>
      <c r="M39" s="157">
        <v>8.1018518518518516E-4</v>
      </c>
      <c r="N39" s="131" t="s">
        <v>17</v>
      </c>
      <c r="O39" s="131" t="s">
        <v>17</v>
      </c>
      <c r="P39" s="131" t="s">
        <v>17</v>
      </c>
      <c r="Q39" s="131" t="s">
        <v>17</v>
      </c>
      <c r="R39" s="131" t="s">
        <v>17</v>
      </c>
      <c r="S39" s="131" t="s">
        <v>18</v>
      </c>
      <c r="T39" s="131" t="s">
        <v>17</v>
      </c>
      <c r="U39" s="131" t="s">
        <v>18</v>
      </c>
      <c r="V39" s="131" t="s">
        <v>18</v>
      </c>
      <c r="W39" s="131" t="s">
        <v>18</v>
      </c>
      <c r="X39" s="131" t="s">
        <v>17</v>
      </c>
      <c r="Y39" s="131" t="s">
        <v>17</v>
      </c>
      <c r="Z39" s="131" t="s">
        <v>17</v>
      </c>
      <c r="AA39" s="131" t="s">
        <v>17</v>
      </c>
      <c r="AB39" s="131" t="s">
        <v>17</v>
      </c>
      <c r="AC39" s="131"/>
      <c r="AD39" s="131"/>
      <c r="AE39" s="131"/>
      <c r="AF39" s="158">
        <f t="shared" si="6"/>
        <v>6.1989999999999998</v>
      </c>
      <c r="AG39" s="159"/>
      <c r="AH39" s="155" t="s">
        <v>146</v>
      </c>
      <c r="AI39" s="155" t="s">
        <v>83</v>
      </c>
      <c r="AJ39" s="131" t="str">
        <f>IFERROR(VLOOKUP(E39&amp;F39,'Listagem dos op'!A:S,19,0),"")</f>
        <v/>
      </c>
      <c r="AK39" s="131" t="str">
        <f t="shared" si="5"/>
        <v>Jan11233</v>
      </c>
      <c r="AL39" s="154">
        <f>IF(N39="","",IF(N39="SIM",VLOOKUP($I39&amp;$J39&amp;N$1,Pesos!$A:$I,7,FALSE),VLOOKUP($I39&amp;$J39&amp;N$1,Pesos!$A:$I,9,FALSE)))</f>
        <v>0.1</v>
      </c>
      <c r="AM39" s="154">
        <f>IF(O39="","",IF(O39="SIM",VLOOKUP($I39&amp;$J39&amp;O$1,Pesos!$A:$I,7,FALSE),VLOOKUP($I39&amp;$J39&amp;O$1,Pesos!$A:$I,9,FALSE)))</f>
        <v>0.1</v>
      </c>
      <c r="AN39" s="154">
        <f>IF(P39="","",IF(P39="SIM",VLOOKUP($I39&amp;$J39&amp;P$1,Pesos!$A:$I,7,FALSE),VLOOKUP($I39&amp;$J39&amp;P$1,Pesos!$A:$I,9,FALSE)))</f>
        <v>0.1</v>
      </c>
      <c r="AO39" s="154">
        <f>IF(Q39="","",IF(Q39="SIM",VLOOKUP($I39&amp;$J39&amp;Q$1,Pesos!$A:$I,7,FALSE),VLOOKUP($I39&amp;$J39&amp;Q$1,Pesos!$A:$I,9,FALSE)))</f>
        <v>2</v>
      </c>
      <c r="AP39" s="154">
        <f>IF(R39="","",IF(R39="SIM",VLOOKUP($I39&amp;$J39&amp;R$1,Pesos!$A:$I,7,FALSE),VLOOKUP($I39&amp;$J39&amp;R$1,Pesos!$A:$I,9,FALSE)))</f>
        <v>1.03</v>
      </c>
      <c r="AQ39" s="154">
        <f>IF(S39="","",IF(S39="SIM",VLOOKUP($I39&amp;$J39&amp;S$1,Pesos!$A:$I,7,FALSE),VLOOKUP($I39&amp;$J39&amp;S$1,Pesos!$A:$I,9,FALSE)))</f>
        <v>-6.0999999999999999E-2</v>
      </c>
      <c r="AR39" s="156">
        <f>IF(T39="","",IF(T39="SIM",VLOOKUP($I39&amp;$J39&amp;T$1,Pesos!$A:$I,7,FALSE),VLOOKUP($I39&amp;$J39&amp;T$1,Pesos!$A:$I,9,FALSE)))</f>
        <v>2</v>
      </c>
      <c r="AS39" s="132">
        <f>IF(U39="","",IF(U39="SIM",VLOOKUP($I39&amp;$J39&amp;U$1,Pesos!$A:$I,7,FALSE),VLOOKUP($I39&amp;$J39&amp;U$1,Pesos!$A:$I,9,FALSE)))</f>
        <v>-5.2500000000000005E-2</v>
      </c>
      <c r="AT39" s="132">
        <f>IF(V39="","",IF(V39="SIM",VLOOKUP($I39&amp;$J39&amp;V$1,Pesos!$A:$I,7,FALSE),VLOOKUP($I39&amp;$J39&amp;V$1,Pesos!$A:$I,9,FALSE)))</f>
        <v>-5.2500000000000005E-2</v>
      </c>
      <c r="AU39" s="132">
        <f>IF(W39="","",IF(W39="SIM",VLOOKUP($I39&amp;$J39&amp;W$1,Pesos!$A:$I,7,FALSE),VLOOKUP($I39&amp;$J39&amp;W$1,Pesos!$A:$I,9,FALSE)))</f>
        <v>-1.4999999999999999E-2</v>
      </c>
      <c r="AV39" s="132">
        <f>IF(X39="","",IF(X39="SIM",VLOOKUP($I39&amp;$J39&amp;X$1,Pesos!$A:$I,7,FALSE),VLOOKUP($I39&amp;$J39&amp;X$1,Pesos!$A:$I,9,FALSE)))</f>
        <v>0.3</v>
      </c>
      <c r="AW39" s="132">
        <f>IF(Y39="","",IF(Y39="SIM",VLOOKUP($I39&amp;$J39&amp;Y$1,Pesos!$A:$I,7,FALSE),VLOOKUP($I39&amp;$J39&amp;Y$1,Pesos!$A:$I,9,FALSE)))</f>
        <v>0.15</v>
      </c>
      <c r="AX39" s="132">
        <f>IF(Z39="","",IF(Z39="SIM",VLOOKUP($I39&amp;$J39&amp;Z$1,Pesos!$A:$I,7,FALSE),VLOOKUP($I39&amp;$J39&amp;Z$1,Pesos!$A:$I,9,FALSE)))</f>
        <v>0.2</v>
      </c>
      <c r="AY39" s="132">
        <f>IF(AA39="","",IF(AA39="SIM",VLOOKUP($I39&amp;$J39&amp;AA$1,Pesos!$A:$I,7,FALSE),VLOOKUP($I39&amp;$J39&amp;AA$1,Pesos!$A:$I,9,FALSE)))</f>
        <v>0.3</v>
      </c>
      <c r="AZ39" s="132">
        <f>IF(AB39="","",IF(AB39="SIM",VLOOKUP($I39&amp;$J39&amp;AB$1,Pesos!$A:$I,7,FALSE),VLOOKUP($I39&amp;$J39&amp;AB$1,Pesos!$A:$I,9,FALSE)))</f>
        <v>0.1</v>
      </c>
      <c r="BA39" s="132" t="str">
        <f>IF(AC39="","",IF(AC39="SIM",VLOOKUP($I39&amp;$J39&amp;AC$1,Pesos!$A:$I,7,FALSE),VLOOKUP($I39&amp;$J39&amp;AC$1,Pesos!$A:$I,9,FALSE)))</f>
        <v/>
      </c>
      <c r="BB39" s="132" t="str">
        <f>IF(AD39="","",IF(AD39="SIM",VLOOKUP($I39&amp;$J39&amp;AD$1,Pesos!$A:$I,7,FALSE),VLOOKUP($I39&amp;$J39&amp;AD$1,Pesos!$A:$I,9,FALSE)))</f>
        <v/>
      </c>
      <c r="BC39" s="132" t="str">
        <f>IF(AE39="","",IF(AE39="SIM",VLOOKUP($I39&amp;$J39&amp;AE$1,Pesos!$A:$I,7,FALSE),VLOOKUP($I39&amp;$J39&amp;AE$1,Pesos!$A:$I,9,FALSE)))</f>
        <v/>
      </c>
      <c r="BD39" s="158">
        <f>IFERROR(AF39*VLOOKUP(J39,'BD Campos'!$X$1:$Y$14,2,FALSE),"0")</f>
        <v>6.1989999999999998</v>
      </c>
    </row>
    <row r="40" spans="1:56">
      <c r="A40" s="151" t="str">
        <f t="shared" si="3"/>
        <v>Jan11440MotoristaDISTRIBUIÇÃO</v>
      </c>
      <c r="B40" s="149" t="str">
        <f t="shared" si="4"/>
        <v>Jan114401DISTRIBUIÇÃOPADRÃO</v>
      </c>
      <c r="C40" s="152">
        <v>1</v>
      </c>
      <c r="D40" s="153">
        <v>46044.721059027775</v>
      </c>
      <c r="E40" s="154" t="s">
        <v>12</v>
      </c>
      <c r="F40" s="155">
        <v>11440</v>
      </c>
      <c r="G40" s="149" t="s">
        <v>147</v>
      </c>
      <c r="H40" s="154">
        <v>1</v>
      </c>
      <c r="I40" s="149" t="s">
        <v>96</v>
      </c>
      <c r="J40" s="149" t="s">
        <v>93</v>
      </c>
      <c r="K40" s="149" t="s">
        <v>94</v>
      </c>
      <c r="L40" s="156">
        <v>34559433</v>
      </c>
      <c r="M40" s="157">
        <v>1.4351851851851854E-3</v>
      </c>
      <c r="N40" s="131" t="s">
        <v>17</v>
      </c>
      <c r="O40" s="131" t="s">
        <v>17</v>
      </c>
      <c r="P40" s="131" t="s">
        <v>17</v>
      </c>
      <c r="Q40" s="131" t="s">
        <v>17</v>
      </c>
      <c r="R40" s="131" t="s">
        <v>17</v>
      </c>
      <c r="S40" s="131" t="s">
        <v>18</v>
      </c>
      <c r="T40" s="131" t="s">
        <v>17</v>
      </c>
      <c r="U40" s="131" t="s">
        <v>17</v>
      </c>
      <c r="V40" s="131" t="s">
        <v>18</v>
      </c>
      <c r="W40" s="131" t="s">
        <v>17</v>
      </c>
      <c r="X40" s="131" t="s">
        <v>17</v>
      </c>
      <c r="Y40" s="131" t="s">
        <v>17</v>
      </c>
      <c r="Z40" s="131" t="s">
        <v>17</v>
      </c>
      <c r="AA40" s="131" t="s">
        <v>17</v>
      </c>
      <c r="AB40" s="131" t="s">
        <v>17</v>
      </c>
      <c r="AC40" s="131"/>
      <c r="AD40" s="131"/>
      <c r="AE40" s="131"/>
      <c r="AF40" s="158">
        <f t="shared" si="6"/>
        <v>7.6164999999999994</v>
      </c>
      <c r="AG40" s="159"/>
      <c r="AH40" s="155" t="s">
        <v>148</v>
      </c>
      <c r="AI40" s="155" t="s">
        <v>83</v>
      </c>
      <c r="AJ40" s="131" t="str">
        <f>IFERROR(VLOOKUP(E40&amp;F40,'Listagem dos op'!A:S,19,0),"")</f>
        <v/>
      </c>
      <c r="AK40" s="131" t="str">
        <f t="shared" si="5"/>
        <v>Jan11440</v>
      </c>
      <c r="AL40" s="154">
        <f>IF(N40="","",IF(N40="SIM",VLOOKUP($I40&amp;$J40&amp;N$1,Pesos!$A:$I,7,FALSE),VLOOKUP($I40&amp;$J40&amp;N$1,Pesos!$A:$I,9,FALSE)))</f>
        <v>0.1</v>
      </c>
      <c r="AM40" s="154">
        <f>IF(O40="","",IF(O40="SIM",VLOOKUP($I40&amp;$J40&amp;O$1,Pesos!$A:$I,7,FALSE),VLOOKUP($I40&amp;$J40&amp;O$1,Pesos!$A:$I,9,FALSE)))</f>
        <v>0.1</v>
      </c>
      <c r="AN40" s="154">
        <f>IF(P40="","",IF(P40="SIM",VLOOKUP($I40&amp;$J40&amp;P$1,Pesos!$A:$I,7,FALSE),VLOOKUP($I40&amp;$J40&amp;P$1,Pesos!$A:$I,9,FALSE)))</f>
        <v>0.1</v>
      </c>
      <c r="AO40" s="154">
        <f>IF(Q40="","",IF(Q40="SIM",VLOOKUP($I40&amp;$J40&amp;Q$1,Pesos!$A:$I,7,FALSE),VLOOKUP($I40&amp;$J40&amp;Q$1,Pesos!$A:$I,9,FALSE)))</f>
        <v>2</v>
      </c>
      <c r="AP40" s="154">
        <f>IF(R40="","",IF(R40="SIM",VLOOKUP($I40&amp;$J40&amp;R$1,Pesos!$A:$I,7,FALSE),VLOOKUP($I40&amp;$J40&amp;R$1,Pesos!$A:$I,9,FALSE)))</f>
        <v>1.03</v>
      </c>
      <c r="AQ40" s="154">
        <f>IF(S40="","",IF(S40="SIM",VLOOKUP($I40&amp;$J40&amp;S$1,Pesos!$A:$I,7,FALSE),VLOOKUP($I40&amp;$J40&amp;S$1,Pesos!$A:$I,9,FALSE)))</f>
        <v>-6.0999999999999999E-2</v>
      </c>
      <c r="AR40" s="156">
        <f>IF(T40="","",IF(T40="SIM",VLOOKUP($I40&amp;$J40&amp;T$1,Pesos!$A:$I,7,FALSE),VLOOKUP($I40&amp;$J40&amp;T$1,Pesos!$A:$I,9,FALSE)))</f>
        <v>2</v>
      </c>
      <c r="AS40" s="132">
        <f>IF(U40="","",IF(U40="SIM",VLOOKUP($I40&amp;$J40&amp;U$1,Pesos!$A:$I,7,FALSE),VLOOKUP($I40&amp;$J40&amp;U$1,Pesos!$A:$I,9,FALSE)))</f>
        <v>1.05</v>
      </c>
      <c r="AT40" s="132">
        <f>IF(V40="","",IF(V40="SIM",VLOOKUP($I40&amp;$J40&amp;V$1,Pesos!$A:$I,7,FALSE),VLOOKUP($I40&amp;$J40&amp;V$1,Pesos!$A:$I,9,FALSE)))</f>
        <v>-5.2500000000000005E-2</v>
      </c>
      <c r="AU40" s="132">
        <f>IF(W40="","",IF(W40="SIM",VLOOKUP($I40&amp;$J40&amp;W$1,Pesos!$A:$I,7,FALSE),VLOOKUP($I40&amp;$J40&amp;W$1,Pesos!$A:$I,9,FALSE)))</f>
        <v>0.3</v>
      </c>
      <c r="AV40" s="132">
        <f>IF(X40="","",IF(X40="SIM",VLOOKUP($I40&amp;$J40&amp;X$1,Pesos!$A:$I,7,FALSE),VLOOKUP($I40&amp;$J40&amp;X$1,Pesos!$A:$I,9,FALSE)))</f>
        <v>0.3</v>
      </c>
      <c r="AW40" s="132">
        <f>IF(Y40="","",IF(Y40="SIM",VLOOKUP($I40&amp;$J40&amp;Y$1,Pesos!$A:$I,7,FALSE),VLOOKUP($I40&amp;$J40&amp;Y$1,Pesos!$A:$I,9,FALSE)))</f>
        <v>0.15</v>
      </c>
      <c r="AX40" s="132">
        <f>IF(Z40="","",IF(Z40="SIM",VLOOKUP($I40&amp;$J40&amp;Z$1,Pesos!$A:$I,7,FALSE),VLOOKUP($I40&amp;$J40&amp;Z$1,Pesos!$A:$I,9,FALSE)))</f>
        <v>0.2</v>
      </c>
      <c r="AY40" s="132">
        <f>IF(AA40="","",IF(AA40="SIM",VLOOKUP($I40&amp;$J40&amp;AA$1,Pesos!$A:$I,7,FALSE),VLOOKUP($I40&amp;$J40&amp;AA$1,Pesos!$A:$I,9,FALSE)))</f>
        <v>0.3</v>
      </c>
      <c r="AZ40" s="132">
        <f>IF(AB40="","",IF(AB40="SIM",VLOOKUP($I40&amp;$J40&amp;AB$1,Pesos!$A:$I,7,FALSE),VLOOKUP($I40&amp;$J40&amp;AB$1,Pesos!$A:$I,9,FALSE)))</f>
        <v>0.1</v>
      </c>
      <c r="BA40" s="132" t="str">
        <f>IF(AC40="","",IF(AC40="SIM",VLOOKUP($I40&amp;$J40&amp;AC$1,Pesos!$A:$I,7,FALSE),VLOOKUP($I40&amp;$J40&amp;AC$1,Pesos!$A:$I,9,FALSE)))</f>
        <v/>
      </c>
      <c r="BB40" s="132" t="str">
        <f>IF(AD40="","",IF(AD40="SIM",VLOOKUP($I40&amp;$J40&amp;AD$1,Pesos!$A:$I,7,FALSE),VLOOKUP($I40&amp;$J40&amp;AD$1,Pesos!$A:$I,9,FALSE)))</f>
        <v/>
      </c>
      <c r="BC40" s="132" t="str">
        <f>IF(AE40="","",IF(AE40="SIM",VLOOKUP($I40&amp;$J40&amp;AE$1,Pesos!$A:$I,7,FALSE),VLOOKUP($I40&amp;$J40&amp;AE$1,Pesos!$A:$I,9,FALSE)))</f>
        <v/>
      </c>
      <c r="BD40" s="158">
        <f>IFERROR(AF40*VLOOKUP(J40,'BD Campos'!$X$1:$Y$14,2,FALSE),"0")</f>
        <v>7.6164999999999994</v>
      </c>
    </row>
    <row r="41" spans="1:56">
      <c r="A41" s="151" t="str">
        <f t="shared" si="3"/>
        <v>Jan11440ClienteDISTRIBUIÇÃO</v>
      </c>
      <c r="B41" s="149" t="str">
        <f t="shared" si="4"/>
        <v>Jan114402DISTRIBUIÇÃOPADRÃO</v>
      </c>
      <c r="C41" s="152">
        <v>1</v>
      </c>
      <c r="D41" s="153">
        <v>46044.722538773145</v>
      </c>
      <c r="E41" s="154" t="s">
        <v>12</v>
      </c>
      <c r="F41" s="155">
        <v>11440</v>
      </c>
      <c r="G41" s="149" t="s">
        <v>147</v>
      </c>
      <c r="H41" s="154">
        <v>2</v>
      </c>
      <c r="I41" s="149" t="s">
        <v>92</v>
      </c>
      <c r="J41" s="149" t="s">
        <v>149</v>
      </c>
      <c r="K41" s="149" t="s">
        <v>94</v>
      </c>
      <c r="L41" s="156">
        <v>34641141</v>
      </c>
      <c r="M41" s="157">
        <v>7.6388888888888893E-4</v>
      </c>
      <c r="N41" s="131" t="s">
        <v>17</v>
      </c>
      <c r="O41" s="131" t="s">
        <v>17</v>
      </c>
      <c r="P41" s="131" t="s">
        <v>17</v>
      </c>
      <c r="Q41" s="131" t="s">
        <v>18</v>
      </c>
      <c r="R41" s="131" t="s">
        <v>17</v>
      </c>
      <c r="S41" s="131" t="s">
        <v>17</v>
      </c>
      <c r="T41" s="131" t="s">
        <v>18</v>
      </c>
      <c r="U41" s="131" t="s">
        <v>18</v>
      </c>
      <c r="V41" s="131" t="s">
        <v>18</v>
      </c>
      <c r="W41" s="131" t="s">
        <v>18</v>
      </c>
      <c r="X41" s="131" t="s">
        <v>17</v>
      </c>
      <c r="Y41" s="131" t="s">
        <v>17</v>
      </c>
      <c r="Z41" s="131" t="s">
        <v>17</v>
      </c>
      <c r="AA41" s="131" t="s">
        <v>17</v>
      </c>
      <c r="AB41" s="131" t="s">
        <v>17</v>
      </c>
      <c r="AC41" s="131"/>
      <c r="AD41" s="131"/>
      <c r="AE41" s="131"/>
      <c r="AF41" s="158">
        <f t="shared" si="6"/>
        <v>3.3849999999999998</v>
      </c>
      <c r="AG41" s="159"/>
      <c r="AH41" s="155" t="s">
        <v>150</v>
      </c>
      <c r="AI41" s="155" t="s">
        <v>83</v>
      </c>
      <c r="AJ41" s="131" t="str">
        <f>IFERROR(VLOOKUP(E41&amp;F41,'Listagem dos op'!A:S,19,0),"")</f>
        <v/>
      </c>
      <c r="AK41" s="131" t="str">
        <f t="shared" si="5"/>
        <v>Jan11440</v>
      </c>
      <c r="AL41" s="154">
        <f>IF(N41="","",IF(N41="SIM",VLOOKUP($I41&amp;$J41&amp;N$1,Pesos!$A:$I,7,FALSE),VLOOKUP($I41&amp;$J41&amp;N$1,Pesos!$A:$I,9,FALSE)))</f>
        <v>0.1</v>
      </c>
      <c r="AM41" s="154">
        <f>IF(O41="","",IF(O41="SIM",VLOOKUP($I41&amp;$J41&amp;O$1,Pesos!$A:$I,7,FALSE),VLOOKUP($I41&amp;$J41&amp;O$1,Pesos!$A:$I,9,FALSE)))</f>
        <v>0.1</v>
      </c>
      <c r="AN41" s="154">
        <f>IF(P41="","",IF(P41="SIM",VLOOKUP($I41&amp;$J41&amp;P$1,Pesos!$A:$I,7,FALSE),VLOOKUP($I41&amp;$J41&amp;P$1,Pesos!$A:$I,9,FALSE)))</f>
        <v>0.1</v>
      </c>
      <c r="AO41" s="154">
        <f>IF(Q41="","",IF(Q41="SIM",VLOOKUP($I41&amp;$J41&amp;Q$1,Pesos!$A:$I,7,FALSE),VLOOKUP($I41&amp;$J41&amp;Q$1,Pesos!$A:$I,9,FALSE)))</f>
        <v>-2.0000000000000004E-2</v>
      </c>
      <c r="AP41" s="154">
        <f>IF(R41="","",IF(R41="SIM",VLOOKUP($I41&amp;$J41&amp;R$1,Pesos!$A:$I,7,FALSE),VLOOKUP($I41&amp;$J41&amp;R$1,Pesos!$A:$I,9,FALSE)))</f>
        <v>1.2</v>
      </c>
      <c r="AQ41" s="154">
        <f>IF(S41="","",IF(S41="SIM",VLOOKUP($I41&amp;$J41&amp;S$1,Pesos!$A:$I,7,FALSE),VLOOKUP($I41&amp;$J41&amp;S$1,Pesos!$A:$I,9,FALSE)))</f>
        <v>1.1500000000000001</v>
      </c>
      <c r="AR41" s="156">
        <f>IF(T41="","",IF(T41="SIM",VLOOKUP($I41&amp;$J41&amp;T$1,Pesos!$A:$I,7,FALSE),VLOOKUP($I41&amp;$J41&amp;T$1,Pesos!$A:$I,9,FALSE)))</f>
        <v>-0.09</v>
      </c>
      <c r="AS41" s="132">
        <f>IF(U41="","",IF(U41="SIM",VLOOKUP($I41&amp;$J41&amp;U$1,Pesos!$A:$I,7,FALSE),VLOOKUP($I41&amp;$J41&amp;U$1,Pesos!$A:$I,9,FALSE)))</f>
        <v>-0.09</v>
      </c>
      <c r="AT41" s="132">
        <f>IF(V41="","",IF(V41="SIM",VLOOKUP($I41&amp;$J41&amp;V$1,Pesos!$A:$I,7,FALSE),VLOOKUP($I41&amp;$J41&amp;V$1,Pesos!$A:$I,9,FALSE)))</f>
        <v>-0.1</v>
      </c>
      <c r="AU41" s="132">
        <f>IF(W41="","",IF(W41="SIM",VLOOKUP($I41&amp;$J41&amp;W$1,Pesos!$A:$I,7,FALSE),VLOOKUP($I41&amp;$J41&amp;W$1,Pesos!$A:$I,9,FALSE)))</f>
        <v>-1.4999999999999999E-2</v>
      </c>
      <c r="AV41" s="132">
        <f>IF(X41="","",IF(X41="SIM",VLOOKUP($I41&amp;$J41&amp;X$1,Pesos!$A:$I,7,FALSE),VLOOKUP($I41&amp;$J41&amp;X$1,Pesos!$A:$I,9,FALSE)))</f>
        <v>0.3</v>
      </c>
      <c r="AW41" s="132">
        <f>IF(Y41="","",IF(Y41="SIM",VLOOKUP($I41&amp;$J41&amp;Y$1,Pesos!$A:$I,7,FALSE),VLOOKUP($I41&amp;$J41&amp;Y$1,Pesos!$A:$I,9,FALSE)))</f>
        <v>0.15</v>
      </c>
      <c r="AX41" s="132">
        <f>IF(Z41="","",IF(Z41="SIM",VLOOKUP($I41&amp;$J41&amp;Z$1,Pesos!$A:$I,7,FALSE),VLOOKUP($I41&amp;$J41&amp;Z$1,Pesos!$A:$I,9,FALSE)))</f>
        <v>0.2</v>
      </c>
      <c r="AY41" s="132">
        <f>IF(AA41="","",IF(AA41="SIM",VLOOKUP($I41&amp;$J41&amp;AA$1,Pesos!$A:$I,7,FALSE),VLOOKUP($I41&amp;$J41&amp;AA$1,Pesos!$A:$I,9,FALSE)))</f>
        <v>0.3</v>
      </c>
      <c r="AZ41" s="132">
        <f>IF(AB41="","",IF(AB41="SIM",VLOOKUP($I41&amp;$J41&amp;AB$1,Pesos!$A:$I,7,FALSE),VLOOKUP($I41&amp;$J41&amp;AB$1,Pesos!$A:$I,9,FALSE)))</f>
        <v>0.1</v>
      </c>
      <c r="BA41" s="132" t="str">
        <f>IF(AC41="","",IF(AC41="SIM",VLOOKUP($I41&amp;$J41&amp;AC$1,Pesos!$A:$I,7,FALSE),VLOOKUP($I41&amp;$J41&amp;AC$1,Pesos!$A:$I,9,FALSE)))</f>
        <v/>
      </c>
      <c r="BB41" s="132" t="str">
        <f>IF(AD41="","",IF(AD41="SIM",VLOOKUP($I41&amp;$J41&amp;AD$1,Pesos!$A:$I,7,FALSE),VLOOKUP($I41&amp;$J41&amp;AD$1,Pesos!$A:$I,9,FALSE)))</f>
        <v/>
      </c>
      <c r="BC41" s="132" t="str">
        <f>IF(AE41="","",IF(AE41="SIM",VLOOKUP($I41&amp;$J41&amp;AE$1,Pesos!$A:$I,7,FALSE),VLOOKUP($I41&amp;$J41&amp;AE$1,Pesos!$A:$I,9,FALSE)))</f>
        <v/>
      </c>
      <c r="BD41" s="158">
        <f>IFERROR(AF41*VLOOKUP(J41,'BD Campos'!$X$1:$Y$14,2,FALSE),"0")</f>
        <v>3.3849999999999998</v>
      </c>
    </row>
    <row r="42" spans="1:56">
      <c r="A42" s="151" t="str">
        <f t="shared" si="3"/>
        <v>Jan11038MotoristaDISTRIBUIÇÃO</v>
      </c>
      <c r="B42" s="149" t="str">
        <f t="shared" si="4"/>
        <v>Jan110381DISTRIBUIÇÃOPADRÃO</v>
      </c>
      <c r="C42" s="152">
        <v>1</v>
      </c>
      <c r="D42" s="153">
        <v>46044.725281828702</v>
      </c>
      <c r="E42" s="154" t="s">
        <v>12</v>
      </c>
      <c r="F42" s="155">
        <v>11038</v>
      </c>
      <c r="G42" s="149" t="s">
        <v>151</v>
      </c>
      <c r="H42" s="154">
        <v>1</v>
      </c>
      <c r="I42" s="149" t="s">
        <v>96</v>
      </c>
      <c r="J42" s="149" t="s">
        <v>93</v>
      </c>
      <c r="K42" s="149" t="s">
        <v>94</v>
      </c>
      <c r="L42" s="156">
        <v>34557774</v>
      </c>
      <c r="M42" s="157">
        <v>1.0995370370370371E-3</v>
      </c>
      <c r="N42" s="131" t="s">
        <v>17</v>
      </c>
      <c r="O42" s="131" t="s">
        <v>17</v>
      </c>
      <c r="P42" s="131" t="s">
        <v>17</v>
      </c>
      <c r="Q42" s="131" t="s">
        <v>17</v>
      </c>
      <c r="R42" s="131" t="s">
        <v>17</v>
      </c>
      <c r="S42" s="131" t="s">
        <v>17</v>
      </c>
      <c r="T42" s="131" t="s">
        <v>17</v>
      </c>
      <c r="U42" s="131" t="s">
        <v>17</v>
      </c>
      <c r="V42" s="131" t="s">
        <v>18</v>
      </c>
      <c r="W42" s="131" t="s">
        <v>17</v>
      </c>
      <c r="X42" s="131" t="s">
        <v>17</v>
      </c>
      <c r="Y42" s="131" t="s">
        <v>17</v>
      </c>
      <c r="Z42" s="131" t="s">
        <v>17</v>
      </c>
      <c r="AA42" s="131" t="s">
        <v>17</v>
      </c>
      <c r="AB42" s="131" t="s">
        <v>17</v>
      </c>
      <c r="AC42" s="131"/>
      <c r="AD42" s="131"/>
      <c r="AE42" s="131"/>
      <c r="AF42" s="158">
        <f t="shared" si="6"/>
        <v>8.8974999999999991</v>
      </c>
      <c r="AG42" s="159"/>
      <c r="AH42" s="155" t="s">
        <v>152</v>
      </c>
      <c r="AI42" s="155" t="s">
        <v>83</v>
      </c>
      <c r="AJ42" s="131" t="str">
        <f>IFERROR(VLOOKUP(E42&amp;F42,'Listagem dos op'!A:S,19,0),"")</f>
        <v/>
      </c>
      <c r="AK42" s="131" t="str">
        <f t="shared" si="5"/>
        <v>Jan11038</v>
      </c>
      <c r="AL42" s="154">
        <f>IF(N42="","",IF(N42="SIM",VLOOKUP($I42&amp;$J42&amp;N$1,Pesos!$A:$I,7,FALSE),VLOOKUP($I42&amp;$J42&amp;N$1,Pesos!$A:$I,9,FALSE)))</f>
        <v>0.1</v>
      </c>
      <c r="AM42" s="154">
        <f>IF(O42="","",IF(O42="SIM",VLOOKUP($I42&amp;$J42&amp;O$1,Pesos!$A:$I,7,FALSE),VLOOKUP($I42&amp;$J42&amp;O$1,Pesos!$A:$I,9,FALSE)))</f>
        <v>0.1</v>
      </c>
      <c r="AN42" s="154">
        <f>IF(P42="","",IF(P42="SIM",VLOOKUP($I42&amp;$J42&amp;P$1,Pesos!$A:$I,7,FALSE),VLOOKUP($I42&amp;$J42&amp;P$1,Pesos!$A:$I,9,FALSE)))</f>
        <v>0.1</v>
      </c>
      <c r="AO42" s="154">
        <f>IF(Q42="","",IF(Q42="SIM",VLOOKUP($I42&amp;$J42&amp;Q$1,Pesos!$A:$I,7,FALSE),VLOOKUP($I42&amp;$J42&amp;Q$1,Pesos!$A:$I,9,FALSE)))</f>
        <v>2</v>
      </c>
      <c r="AP42" s="154">
        <f>IF(R42="","",IF(R42="SIM",VLOOKUP($I42&amp;$J42&amp;R$1,Pesos!$A:$I,7,FALSE),VLOOKUP($I42&amp;$J42&amp;R$1,Pesos!$A:$I,9,FALSE)))</f>
        <v>1.03</v>
      </c>
      <c r="AQ42" s="154">
        <f>IF(S42="","",IF(S42="SIM",VLOOKUP($I42&amp;$J42&amp;S$1,Pesos!$A:$I,7,FALSE),VLOOKUP($I42&amp;$J42&amp;S$1,Pesos!$A:$I,9,FALSE)))</f>
        <v>1.22</v>
      </c>
      <c r="AR42" s="156">
        <f>IF(T42="","",IF(T42="SIM",VLOOKUP($I42&amp;$J42&amp;T$1,Pesos!$A:$I,7,FALSE),VLOOKUP($I42&amp;$J42&amp;T$1,Pesos!$A:$I,9,FALSE)))</f>
        <v>2</v>
      </c>
      <c r="AS42" s="132">
        <f>IF(U42="","",IF(U42="SIM",VLOOKUP($I42&amp;$J42&amp;U$1,Pesos!$A:$I,7,FALSE),VLOOKUP($I42&amp;$J42&amp;U$1,Pesos!$A:$I,9,FALSE)))</f>
        <v>1.05</v>
      </c>
      <c r="AT42" s="132">
        <f>IF(V42="","",IF(V42="SIM",VLOOKUP($I42&amp;$J42&amp;V$1,Pesos!$A:$I,7,FALSE),VLOOKUP($I42&amp;$J42&amp;V$1,Pesos!$A:$I,9,FALSE)))</f>
        <v>-5.2500000000000005E-2</v>
      </c>
      <c r="AU42" s="132">
        <f>IF(W42="","",IF(W42="SIM",VLOOKUP($I42&amp;$J42&amp;W$1,Pesos!$A:$I,7,FALSE),VLOOKUP($I42&amp;$J42&amp;W$1,Pesos!$A:$I,9,FALSE)))</f>
        <v>0.3</v>
      </c>
      <c r="AV42" s="132">
        <f>IF(X42="","",IF(X42="SIM",VLOOKUP($I42&amp;$J42&amp;X$1,Pesos!$A:$I,7,FALSE),VLOOKUP($I42&amp;$J42&amp;X$1,Pesos!$A:$I,9,FALSE)))</f>
        <v>0.3</v>
      </c>
      <c r="AW42" s="132">
        <f>IF(Y42="","",IF(Y42="SIM",VLOOKUP($I42&amp;$J42&amp;Y$1,Pesos!$A:$I,7,FALSE),VLOOKUP($I42&amp;$J42&amp;Y$1,Pesos!$A:$I,9,FALSE)))</f>
        <v>0.15</v>
      </c>
      <c r="AX42" s="132">
        <f>IF(Z42="","",IF(Z42="SIM",VLOOKUP($I42&amp;$J42&amp;Z$1,Pesos!$A:$I,7,FALSE),VLOOKUP($I42&amp;$J42&amp;Z$1,Pesos!$A:$I,9,FALSE)))</f>
        <v>0.2</v>
      </c>
      <c r="AY42" s="132">
        <f>IF(AA42="","",IF(AA42="SIM",VLOOKUP($I42&amp;$J42&amp;AA$1,Pesos!$A:$I,7,FALSE),VLOOKUP($I42&amp;$J42&amp;AA$1,Pesos!$A:$I,9,FALSE)))</f>
        <v>0.3</v>
      </c>
      <c r="AZ42" s="132">
        <f>IF(AB42="","",IF(AB42="SIM",VLOOKUP($I42&amp;$J42&amp;AB$1,Pesos!$A:$I,7,FALSE),VLOOKUP($I42&amp;$J42&amp;AB$1,Pesos!$A:$I,9,FALSE)))</f>
        <v>0.1</v>
      </c>
      <c r="BA42" s="132" t="str">
        <f>IF(AC42="","",IF(AC42="SIM",VLOOKUP($I42&amp;$J42&amp;AC$1,Pesos!$A:$I,7,FALSE),VLOOKUP($I42&amp;$J42&amp;AC$1,Pesos!$A:$I,9,FALSE)))</f>
        <v/>
      </c>
      <c r="BB42" s="132" t="str">
        <f>IF(AD42="","",IF(AD42="SIM",VLOOKUP($I42&amp;$J42&amp;AD$1,Pesos!$A:$I,7,FALSE),VLOOKUP($I42&amp;$J42&amp;AD$1,Pesos!$A:$I,9,FALSE)))</f>
        <v/>
      </c>
      <c r="BC42" s="132" t="str">
        <f>IF(AE42="","",IF(AE42="SIM",VLOOKUP($I42&amp;$J42&amp;AE$1,Pesos!$A:$I,7,FALSE),VLOOKUP($I42&amp;$J42&amp;AE$1,Pesos!$A:$I,9,FALSE)))</f>
        <v/>
      </c>
      <c r="BD42" s="158">
        <f>IFERROR(AF42*VLOOKUP(J42,'BD Campos'!$X$1:$Y$14,2,FALSE),"0")</f>
        <v>8.8974999999999991</v>
      </c>
    </row>
    <row r="43" spans="1:56">
      <c r="A43" s="151" t="str">
        <f t="shared" si="3"/>
        <v>Jan11038Motorista 2DISTRIBUIÇÃO</v>
      </c>
      <c r="B43" s="149" t="str">
        <f t="shared" si="4"/>
        <v>Jan110382DISTRIBUIÇÃOPADRÃO</v>
      </c>
      <c r="C43" s="152">
        <v>1</v>
      </c>
      <c r="D43" s="153">
        <v>46044.726468634261</v>
      </c>
      <c r="E43" s="154" t="s">
        <v>12</v>
      </c>
      <c r="F43" s="155">
        <v>11038</v>
      </c>
      <c r="G43" s="149" t="s">
        <v>151</v>
      </c>
      <c r="H43" s="154">
        <v>2</v>
      </c>
      <c r="I43" s="149" t="s">
        <v>96</v>
      </c>
      <c r="J43" s="149" t="s">
        <v>97</v>
      </c>
      <c r="K43" s="149" t="s">
        <v>94</v>
      </c>
      <c r="L43" s="156">
        <v>34627616</v>
      </c>
      <c r="M43" s="157">
        <v>8.7962962962962962E-4</v>
      </c>
      <c r="N43" s="131" t="s">
        <v>17</v>
      </c>
      <c r="O43" s="131" t="s">
        <v>17</v>
      </c>
      <c r="P43" s="131" t="s">
        <v>17</v>
      </c>
      <c r="Q43" s="131" t="s">
        <v>17</v>
      </c>
      <c r="R43" s="131" t="s">
        <v>17</v>
      </c>
      <c r="S43" s="131" t="s">
        <v>17</v>
      </c>
      <c r="T43" s="131" t="s">
        <v>17</v>
      </c>
      <c r="U43" s="131" t="s">
        <v>17</v>
      </c>
      <c r="V43" s="131" t="s">
        <v>18</v>
      </c>
      <c r="W43" s="131" t="s">
        <v>17</v>
      </c>
      <c r="X43" s="131" t="s">
        <v>17</v>
      </c>
      <c r="Y43" s="131" t="s">
        <v>17</v>
      </c>
      <c r="Z43" s="131" t="s">
        <v>18</v>
      </c>
      <c r="AA43" s="131" t="s">
        <v>17</v>
      </c>
      <c r="AB43" s="131" t="s">
        <v>17</v>
      </c>
      <c r="AC43" s="131"/>
      <c r="AD43" s="131"/>
      <c r="AE43" s="131"/>
      <c r="AF43" s="158">
        <f t="shared" si="6"/>
        <v>8.6875</v>
      </c>
      <c r="AG43" s="159"/>
      <c r="AH43" s="155" t="s">
        <v>153</v>
      </c>
      <c r="AI43" s="155" t="s">
        <v>83</v>
      </c>
      <c r="AJ43" s="131" t="str">
        <f>IFERROR(VLOOKUP(E43&amp;F43,'Listagem dos op'!A:S,19,0),"")</f>
        <v/>
      </c>
      <c r="AK43" s="131" t="str">
        <f t="shared" si="5"/>
        <v>Jan11038</v>
      </c>
      <c r="AL43" s="154">
        <f>IF(N43="","",IF(N43="SIM",VLOOKUP($I43&amp;$J43&amp;N$1,Pesos!$A:$I,7,FALSE),VLOOKUP($I43&amp;$J43&amp;N$1,Pesos!$A:$I,9,FALSE)))</f>
        <v>0.1</v>
      </c>
      <c r="AM43" s="154">
        <f>IF(O43="","",IF(O43="SIM",VLOOKUP($I43&amp;$J43&amp;O$1,Pesos!$A:$I,7,FALSE),VLOOKUP($I43&amp;$J43&amp;O$1,Pesos!$A:$I,9,FALSE)))</f>
        <v>0.1</v>
      </c>
      <c r="AN43" s="154">
        <f>IF(P43="","",IF(P43="SIM",VLOOKUP($I43&amp;$J43&amp;P$1,Pesos!$A:$I,7,FALSE),VLOOKUP($I43&amp;$J43&amp;P$1,Pesos!$A:$I,9,FALSE)))</f>
        <v>0.1</v>
      </c>
      <c r="AO43" s="154">
        <f>IF(Q43="","",IF(Q43="SIM",VLOOKUP($I43&amp;$J43&amp;Q$1,Pesos!$A:$I,7,FALSE),VLOOKUP($I43&amp;$J43&amp;Q$1,Pesos!$A:$I,9,FALSE)))</f>
        <v>2</v>
      </c>
      <c r="AP43" s="154">
        <f>IF(R43="","",IF(R43="SIM",VLOOKUP($I43&amp;$J43&amp;R$1,Pesos!$A:$I,7,FALSE),VLOOKUP($I43&amp;$J43&amp;R$1,Pesos!$A:$I,9,FALSE)))</f>
        <v>1.03</v>
      </c>
      <c r="AQ43" s="154">
        <f>IF(S43="","",IF(S43="SIM",VLOOKUP($I43&amp;$J43&amp;S$1,Pesos!$A:$I,7,FALSE),VLOOKUP($I43&amp;$J43&amp;S$1,Pesos!$A:$I,9,FALSE)))</f>
        <v>1.22</v>
      </c>
      <c r="AR43" s="156">
        <f>IF(T43="","",IF(T43="SIM",VLOOKUP($I43&amp;$J43&amp;T$1,Pesos!$A:$I,7,FALSE),VLOOKUP($I43&amp;$J43&amp;T$1,Pesos!$A:$I,9,FALSE)))</f>
        <v>2</v>
      </c>
      <c r="AS43" s="132">
        <f>IF(U43="","",IF(U43="SIM",VLOOKUP($I43&amp;$J43&amp;U$1,Pesos!$A:$I,7,FALSE),VLOOKUP($I43&amp;$J43&amp;U$1,Pesos!$A:$I,9,FALSE)))</f>
        <v>1.05</v>
      </c>
      <c r="AT43" s="132">
        <f>IF(V43="","",IF(V43="SIM",VLOOKUP($I43&amp;$J43&amp;V$1,Pesos!$A:$I,7,FALSE),VLOOKUP($I43&amp;$J43&amp;V$1,Pesos!$A:$I,9,FALSE)))</f>
        <v>-5.2500000000000005E-2</v>
      </c>
      <c r="AU43" s="132">
        <f>IF(W43="","",IF(W43="SIM",VLOOKUP($I43&amp;$J43&amp;W$1,Pesos!$A:$I,7,FALSE),VLOOKUP($I43&amp;$J43&amp;W$1,Pesos!$A:$I,9,FALSE)))</f>
        <v>0.3</v>
      </c>
      <c r="AV43" s="132">
        <f>IF(X43="","",IF(X43="SIM",VLOOKUP($I43&amp;$J43&amp;X$1,Pesos!$A:$I,7,FALSE),VLOOKUP($I43&amp;$J43&amp;X$1,Pesos!$A:$I,9,FALSE)))</f>
        <v>0.3</v>
      </c>
      <c r="AW43" s="132">
        <f>IF(Y43="","",IF(Y43="SIM",VLOOKUP($I43&amp;$J43&amp;Y$1,Pesos!$A:$I,7,FALSE),VLOOKUP($I43&amp;$J43&amp;Y$1,Pesos!$A:$I,9,FALSE)))</f>
        <v>0.15</v>
      </c>
      <c r="AX43" s="132">
        <f>IF(Z43="","",IF(Z43="SIM",VLOOKUP($I43&amp;$J43&amp;Z$1,Pesos!$A:$I,7,FALSE),VLOOKUP($I43&amp;$J43&amp;Z$1,Pesos!$A:$I,9,FALSE)))</f>
        <v>-1.0000000000000002E-2</v>
      </c>
      <c r="AY43" s="132">
        <f>IF(AA43="","",IF(AA43="SIM",VLOOKUP($I43&amp;$J43&amp;AA$1,Pesos!$A:$I,7,FALSE),VLOOKUP($I43&amp;$J43&amp;AA$1,Pesos!$A:$I,9,FALSE)))</f>
        <v>0.3</v>
      </c>
      <c r="AZ43" s="132">
        <f>IF(AB43="","",IF(AB43="SIM",VLOOKUP($I43&amp;$J43&amp;AB$1,Pesos!$A:$I,7,FALSE),VLOOKUP($I43&amp;$J43&amp;AB$1,Pesos!$A:$I,9,FALSE)))</f>
        <v>0.1</v>
      </c>
      <c r="BA43" s="132" t="str">
        <f>IF(AC43="","",IF(AC43="SIM",VLOOKUP($I43&amp;$J43&amp;AC$1,Pesos!$A:$I,7,FALSE),VLOOKUP($I43&amp;$J43&amp;AC$1,Pesos!$A:$I,9,FALSE)))</f>
        <v/>
      </c>
      <c r="BB43" s="132" t="str">
        <f>IF(AD43="","",IF(AD43="SIM",VLOOKUP($I43&amp;$J43&amp;AD$1,Pesos!$A:$I,7,FALSE),VLOOKUP($I43&amp;$J43&amp;AD$1,Pesos!$A:$I,9,FALSE)))</f>
        <v/>
      </c>
      <c r="BC43" s="132" t="str">
        <f>IF(AE43="","",IF(AE43="SIM",VLOOKUP($I43&amp;$J43&amp;AE$1,Pesos!$A:$I,7,FALSE),VLOOKUP($I43&amp;$J43&amp;AE$1,Pesos!$A:$I,9,FALSE)))</f>
        <v/>
      </c>
      <c r="BD43" s="158">
        <f>IFERROR(AF43*VLOOKUP(J43,'BD Campos'!$X$1:$Y$14,2,FALSE),"0")</f>
        <v>8.6875</v>
      </c>
    </row>
    <row r="44" spans="1:56">
      <c r="A44" s="151" t="str">
        <f t="shared" si="3"/>
        <v>Jan11434ReceptivaRECEPTIVO</v>
      </c>
      <c r="B44" s="149" t="str">
        <f t="shared" si="4"/>
        <v>Jan114341RECEPTIVOPADRÃO</v>
      </c>
      <c r="C44" s="152">
        <v>1</v>
      </c>
      <c r="D44" s="153">
        <v>46044.728469212961</v>
      </c>
      <c r="E44" s="154" t="s">
        <v>12</v>
      </c>
      <c r="F44" s="155">
        <v>11434</v>
      </c>
      <c r="G44" s="149" t="s">
        <v>154</v>
      </c>
      <c r="H44" s="154">
        <v>1</v>
      </c>
      <c r="I44" s="149" t="s">
        <v>155</v>
      </c>
      <c r="J44" s="149" t="s">
        <v>81</v>
      </c>
      <c r="K44" s="149" t="s">
        <v>156</v>
      </c>
      <c r="L44" s="156" t="s">
        <v>157</v>
      </c>
      <c r="M44" s="157"/>
      <c r="N44" s="131" t="s">
        <v>18</v>
      </c>
      <c r="O44" s="131" t="s">
        <v>17</v>
      </c>
      <c r="P44" s="131" t="s">
        <v>17</v>
      </c>
      <c r="Q44" s="131" t="s">
        <v>18</v>
      </c>
      <c r="R44" s="131" t="s">
        <v>18</v>
      </c>
      <c r="S44" s="131" t="s">
        <v>17</v>
      </c>
      <c r="T44" s="131" t="s">
        <v>17</v>
      </c>
      <c r="U44" s="131" t="s">
        <v>18</v>
      </c>
      <c r="V44" s="131" t="s">
        <v>17</v>
      </c>
      <c r="W44" s="131"/>
      <c r="X44" s="131"/>
      <c r="Y44" s="131"/>
      <c r="Z44" s="131"/>
      <c r="AA44" s="131"/>
      <c r="AB44" s="131"/>
      <c r="AC44" s="131"/>
      <c r="AD44" s="131"/>
      <c r="AE44" s="131"/>
      <c r="AF44" s="158">
        <f t="shared" si="6"/>
        <v>5.4850000000000003</v>
      </c>
      <c r="AG44" s="159"/>
      <c r="AH44" s="155"/>
      <c r="AI44" s="155" t="s">
        <v>83</v>
      </c>
      <c r="AJ44" s="131" t="str">
        <f>IFERROR(VLOOKUP(E44&amp;F44,'Listagem dos op'!A:S,19,0),"")</f>
        <v/>
      </c>
      <c r="AK44" s="131" t="str">
        <f t="shared" si="5"/>
        <v>Jan11434</v>
      </c>
      <c r="AL44" s="154">
        <f>IF(N44="","",IF(N44="SIM",VLOOKUP($I44&amp;$J44&amp;N$1,Pesos!$A:$I,7,FALSE),VLOOKUP($I44&amp;$J44&amp;N$1,Pesos!$A:$I,9,FALSE)))</f>
        <v>-1.4999999999999999E-2</v>
      </c>
      <c r="AM44" s="154">
        <f>IF(O44="","",IF(O44="SIM",VLOOKUP($I44&amp;$J44&amp;O$1,Pesos!$A:$I,7,FALSE),VLOOKUP($I44&amp;$J44&amp;O$1,Pesos!$A:$I,9,FALSE)))</f>
        <v>1.3</v>
      </c>
      <c r="AN44" s="154">
        <f>IF(P44="","",IF(P44="SIM",VLOOKUP($I44&amp;$J44&amp;P$1,Pesos!$A:$I,7,FALSE),VLOOKUP($I44&amp;$J44&amp;P$1,Pesos!$A:$I,9,FALSE)))</f>
        <v>1.3</v>
      </c>
      <c r="AO44" s="154">
        <f>IF(Q44="","",IF(Q44="SIM",VLOOKUP($I44&amp;$J44&amp;Q$1,Pesos!$A:$I,7,FALSE),VLOOKUP($I44&amp;$J44&amp;Q$1,Pesos!$A:$I,9,FALSE)))</f>
        <v>-7.0000000000000007E-2</v>
      </c>
      <c r="AP44" s="154">
        <f>IF(R44="","",IF(R44="SIM",VLOOKUP($I44&amp;$J44&amp;R$1,Pesos!$A:$I,7,FALSE),VLOOKUP($I44&amp;$J44&amp;R$1,Pesos!$A:$I,9,FALSE)))</f>
        <v>-6.5000000000000002E-2</v>
      </c>
      <c r="AQ44" s="154">
        <f>IF(S44="","",IF(S44="SIM",VLOOKUP($I44&amp;$J44&amp;S$1,Pesos!$A:$I,7,FALSE),VLOOKUP($I44&amp;$J44&amp;S$1,Pesos!$A:$I,9,FALSE)))</f>
        <v>1.4000000000000001</v>
      </c>
      <c r="AR44" s="156">
        <f>IF(T44="","",IF(T44="SIM",VLOOKUP($I44&amp;$J44&amp;T$1,Pesos!$A:$I,7,FALSE),VLOOKUP($I44&amp;$J44&amp;T$1,Pesos!$A:$I,9,FALSE)))</f>
        <v>1.4000000000000001</v>
      </c>
      <c r="AS44" s="132">
        <f>IF(U44="","",IF(U44="SIM",VLOOKUP($I44&amp;$J44&amp;U$1,Pesos!$A:$I,7,FALSE),VLOOKUP($I44&amp;$J44&amp;U$1,Pesos!$A:$I,9,FALSE)))</f>
        <v>-6.5000000000000002E-2</v>
      </c>
      <c r="AT44" s="132">
        <f>IF(V44="","",IF(V44="SIM",VLOOKUP($I44&amp;$J44&amp;V$1,Pesos!$A:$I,7,FALSE),VLOOKUP($I44&amp;$J44&amp;V$1,Pesos!$A:$I,9,FALSE)))</f>
        <v>0.3</v>
      </c>
      <c r="AU44" s="132" t="str">
        <f>IF(W44="","",IF(W44="SIM",VLOOKUP($I44&amp;$J44&amp;W$1,Pesos!$A:$I,7,FALSE),VLOOKUP($I44&amp;$J44&amp;W$1,Pesos!$A:$I,9,FALSE)))</f>
        <v/>
      </c>
      <c r="AV44" s="132" t="str">
        <f>IF(X44="","",IF(X44="SIM",VLOOKUP($I44&amp;$J44&amp;X$1,Pesos!$A:$I,7,FALSE),VLOOKUP($I44&amp;$J44&amp;X$1,Pesos!$A:$I,9,FALSE)))</f>
        <v/>
      </c>
      <c r="AW44" s="132" t="str">
        <f>IF(Y44="","",IF(Y44="SIM",VLOOKUP($I44&amp;$J44&amp;Y$1,Pesos!$A:$I,7,FALSE),VLOOKUP($I44&amp;$J44&amp;Y$1,Pesos!$A:$I,9,FALSE)))</f>
        <v/>
      </c>
      <c r="AX44" s="132" t="str">
        <f>IF(Z44="","",IF(Z44="SIM",VLOOKUP($I44&amp;$J44&amp;Z$1,Pesos!$A:$I,7,FALSE),VLOOKUP($I44&amp;$J44&amp;Z$1,Pesos!$A:$I,9,FALSE)))</f>
        <v/>
      </c>
      <c r="AY44" s="132" t="str">
        <f>IF(AA44="","",IF(AA44="SIM",VLOOKUP($I44&amp;$J44&amp;AA$1,Pesos!$A:$I,7,FALSE),VLOOKUP($I44&amp;$J44&amp;AA$1,Pesos!$A:$I,9,FALSE)))</f>
        <v/>
      </c>
      <c r="AZ44" s="132" t="str">
        <f>IF(AB44="","",IF(AB44="SIM",VLOOKUP($I44&amp;$J44&amp;AB$1,Pesos!$A:$I,7,FALSE),VLOOKUP($I44&amp;$J44&amp;AB$1,Pesos!$A:$I,9,FALSE)))</f>
        <v/>
      </c>
      <c r="BA44" s="132" t="str">
        <f>IF(AC44="","",IF(AC44="SIM",VLOOKUP($I44&amp;$J44&amp;AC$1,Pesos!$A:$I,7,FALSE),VLOOKUP($I44&amp;$J44&amp;AC$1,Pesos!$A:$I,9,FALSE)))</f>
        <v/>
      </c>
      <c r="BB44" s="132" t="str">
        <f>IF(AD44="","",IF(AD44="SIM",VLOOKUP($I44&amp;$J44&amp;AD$1,Pesos!$A:$I,7,FALSE),VLOOKUP($I44&amp;$J44&amp;AD$1,Pesos!$A:$I,9,FALSE)))</f>
        <v/>
      </c>
      <c r="BC44" s="132" t="str">
        <f>IF(AE44="","",IF(AE44="SIM",VLOOKUP($I44&amp;$J44&amp;AE$1,Pesos!$A:$I,7,FALSE),VLOOKUP($I44&amp;$J44&amp;AE$1,Pesos!$A:$I,9,FALSE)))</f>
        <v/>
      </c>
      <c r="BD44" s="158">
        <f>IFERROR(AF44*VLOOKUP(J44,'BD Campos'!$X$1:$Y$14,2,FALSE),"0")</f>
        <v>5.4850000000000003</v>
      </c>
    </row>
    <row r="45" spans="1:56">
      <c r="A45" s="151" t="str">
        <f t="shared" si="3"/>
        <v>Jan11434Receptiva 2RECEPTIVO</v>
      </c>
      <c r="B45" s="149" t="str">
        <f t="shared" si="4"/>
        <v>Jan114342RECEPTIVOPADRÃO</v>
      </c>
      <c r="C45" s="152">
        <v>1</v>
      </c>
      <c r="D45" s="153">
        <v>46044.729961226854</v>
      </c>
      <c r="E45" s="154" t="s">
        <v>12</v>
      </c>
      <c r="F45" s="155">
        <v>11434</v>
      </c>
      <c r="G45" s="149" t="s">
        <v>154</v>
      </c>
      <c r="H45" s="154">
        <v>2</v>
      </c>
      <c r="I45" s="149" t="s">
        <v>155</v>
      </c>
      <c r="J45" s="149" t="s">
        <v>86</v>
      </c>
      <c r="K45" s="149" t="s">
        <v>156</v>
      </c>
      <c r="L45" s="156" t="s">
        <v>158</v>
      </c>
      <c r="M45" s="157"/>
      <c r="N45" s="131" t="s">
        <v>17</v>
      </c>
      <c r="O45" s="131" t="s">
        <v>17</v>
      </c>
      <c r="P45" s="131" t="s">
        <v>17</v>
      </c>
      <c r="Q45" s="131" t="s">
        <v>17</v>
      </c>
      <c r="R45" s="131" t="s">
        <v>18</v>
      </c>
      <c r="S45" s="131" t="s">
        <v>17</v>
      </c>
      <c r="T45" s="131" t="s">
        <v>17</v>
      </c>
      <c r="U45" s="131" t="s">
        <v>17</v>
      </c>
      <c r="V45" s="131" t="s">
        <v>17</v>
      </c>
      <c r="W45" s="131"/>
      <c r="X45" s="131"/>
      <c r="Y45" s="131"/>
      <c r="Z45" s="131"/>
      <c r="AA45" s="131"/>
      <c r="AB45" s="131"/>
      <c r="AC45" s="131"/>
      <c r="AD45" s="131"/>
      <c r="AE45" s="131"/>
      <c r="AF45" s="158">
        <f t="shared" si="6"/>
        <v>8.6350000000000016</v>
      </c>
      <c r="AG45" s="159"/>
      <c r="AH45" s="155"/>
      <c r="AI45" s="155" t="s">
        <v>83</v>
      </c>
      <c r="AJ45" s="131" t="str">
        <f>IFERROR(VLOOKUP(E45&amp;F45,'Listagem dos op'!A:S,19,0),"")</f>
        <v/>
      </c>
      <c r="AK45" s="131" t="str">
        <f t="shared" si="5"/>
        <v>Jan11434</v>
      </c>
      <c r="AL45" s="154">
        <f>IF(N45="","",IF(N45="SIM",VLOOKUP($I45&amp;$J45&amp;N$1,Pesos!$A:$I,7,FALSE),VLOOKUP($I45&amp;$J45&amp;N$1,Pesos!$A:$I,9,FALSE)))</f>
        <v>0.3</v>
      </c>
      <c r="AM45" s="154">
        <f>IF(O45="","",IF(O45="SIM",VLOOKUP($I45&amp;$J45&amp;O$1,Pesos!$A:$I,7,FALSE),VLOOKUP($I45&amp;$J45&amp;O$1,Pesos!$A:$I,9,FALSE)))</f>
        <v>1.3</v>
      </c>
      <c r="AN45" s="154">
        <f>IF(P45="","",IF(P45="SIM",VLOOKUP($I45&amp;$J45&amp;P$1,Pesos!$A:$I,7,FALSE),VLOOKUP($I45&amp;$J45&amp;P$1,Pesos!$A:$I,9,FALSE)))</f>
        <v>1.3</v>
      </c>
      <c r="AO45" s="154">
        <f>IF(Q45="","",IF(Q45="SIM",VLOOKUP($I45&amp;$J45&amp;Q$1,Pesos!$A:$I,7,FALSE),VLOOKUP($I45&amp;$J45&amp;Q$1,Pesos!$A:$I,9,FALSE)))</f>
        <v>1.4000000000000001</v>
      </c>
      <c r="AP45" s="154">
        <f>IF(R45="","",IF(R45="SIM",VLOOKUP($I45&amp;$J45&amp;R$1,Pesos!$A:$I,7,FALSE),VLOOKUP($I45&amp;$J45&amp;R$1,Pesos!$A:$I,9,FALSE)))</f>
        <v>-6.5000000000000002E-2</v>
      </c>
      <c r="AQ45" s="154">
        <f>IF(S45="","",IF(S45="SIM",VLOOKUP($I45&amp;$J45&amp;S$1,Pesos!$A:$I,7,FALSE),VLOOKUP($I45&amp;$J45&amp;S$1,Pesos!$A:$I,9,FALSE)))</f>
        <v>1.4000000000000001</v>
      </c>
      <c r="AR45" s="156">
        <f>IF(T45="","",IF(T45="SIM",VLOOKUP($I45&amp;$J45&amp;T$1,Pesos!$A:$I,7,FALSE),VLOOKUP($I45&amp;$J45&amp;T$1,Pesos!$A:$I,9,FALSE)))</f>
        <v>1.4000000000000001</v>
      </c>
      <c r="AS45" s="132">
        <f>IF(U45="","",IF(U45="SIM",VLOOKUP($I45&amp;$J45&amp;U$1,Pesos!$A:$I,7,FALSE),VLOOKUP($I45&amp;$J45&amp;U$1,Pesos!$A:$I,9,FALSE)))</f>
        <v>1.3</v>
      </c>
      <c r="AT45" s="132">
        <f>IF(V45="","",IF(V45="SIM",VLOOKUP($I45&amp;$J45&amp;V$1,Pesos!$A:$I,7,FALSE),VLOOKUP($I45&amp;$J45&amp;V$1,Pesos!$A:$I,9,FALSE)))</f>
        <v>0.3</v>
      </c>
      <c r="AU45" s="132" t="str">
        <f>IF(W45="","",IF(W45="SIM",VLOOKUP($I45&amp;$J45&amp;W$1,Pesos!$A:$I,7,FALSE),VLOOKUP($I45&amp;$J45&amp;W$1,Pesos!$A:$I,9,FALSE)))</f>
        <v/>
      </c>
      <c r="AV45" s="132" t="str">
        <f>IF(X45="","",IF(X45="SIM",VLOOKUP($I45&amp;$J45&amp;X$1,Pesos!$A:$I,7,FALSE),VLOOKUP($I45&amp;$J45&amp;X$1,Pesos!$A:$I,9,FALSE)))</f>
        <v/>
      </c>
      <c r="AW45" s="132" t="str">
        <f>IF(Y45="","",IF(Y45="SIM",VLOOKUP($I45&amp;$J45&amp;Y$1,Pesos!$A:$I,7,FALSE),VLOOKUP($I45&amp;$J45&amp;Y$1,Pesos!$A:$I,9,FALSE)))</f>
        <v/>
      </c>
      <c r="AX45" s="132" t="str">
        <f>IF(Z45="","",IF(Z45="SIM",VLOOKUP($I45&amp;$J45&amp;Z$1,Pesos!$A:$I,7,FALSE),VLOOKUP($I45&amp;$J45&amp;Z$1,Pesos!$A:$I,9,FALSE)))</f>
        <v/>
      </c>
      <c r="AY45" s="132" t="str">
        <f>IF(AA45="","",IF(AA45="SIM",VLOOKUP($I45&amp;$J45&amp;AA$1,Pesos!$A:$I,7,FALSE),VLOOKUP($I45&amp;$J45&amp;AA$1,Pesos!$A:$I,9,FALSE)))</f>
        <v/>
      </c>
      <c r="AZ45" s="132" t="str">
        <f>IF(AB45="","",IF(AB45="SIM",VLOOKUP($I45&amp;$J45&amp;AB$1,Pesos!$A:$I,7,FALSE),VLOOKUP($I45&amp;$J45&amp;AB$1,Pesos!$A:$I,9,FALSE)))</f>
        <v/>
      </c>
      <c r="BA45" s="132" t="str">
        <f>IF(AC45="","",IF(AC45="SIM",VLOOKUP($I45&amp;$J45&amp;AC$1,Pesos!$A:$I,7,FALSE),VLOOKUP($I45&amp;$J45&amp;AC$1,Pesos!$A:$I,9,FALSE)))</f>
        <v/>
      </c>
      <c r="BB45" s="132" t="str">
        <f>IF(AD45="","",IF(AD45="SIM",VLOOKUP($I45&amp;$J45&amp;AD$1,Pesos!$A:$I,7,FALSE),VLOOKUP($I45&amp;$J45&amp;AD$1,Pesos!$A:$I,9,FALSE)))</f>
        <v/>
      </c>
      <c r="BC45" s="132" t="str">
        <f>IF(AE45="","",IF(AE45="SIM",VLOOKUP($I45&amp;$J45&amp;AE$1,Pesos!$A:$I,7,FALSE),VLOOKUP($I45&amp;$J45&amp;AE$1,Pesos!$A:$I,9,FALSE)))</f>
        <v/>
      </c>
      <c r="BD45" s="158">
        <f>IFERROR(AF45*VLOOKUP(J45,'BD Campos'!$X$1:$Y$14,2,FALSE),"0")</f>
        <v>8.6350000000000016</v>
      </c>
    </row>
    <row r="46" spans="1:56">
      <c r="A46" s="151" t="str">
        <f t="shared" si="3"/>
        <v>Jan11403MotoristaDISTRIBUIÇÃO</v>
      </c>
      <c r="B46" s="149" t="str">
        <f t="shared" si="4"/>
        <v>Jan114031DISTRIBUIÇÃOPADRÃO</v>
      </c>
      <c r="C46" s="152">
        <v>1</v>
      </c>
      <c r="D46" s="153">
        <v>46044.803742476855</v>
      </c>
      <c r="E46" s="154" t="s">
        <v>12</v>
      </c>
      <c r="F46" s="155">
        <v>11403</v>
      </c>
      <c r="G46" s="149" t="s">
        <v>159</v>
      </c>
      <c r="H46" s="154">
        <v>1</v>
      </c>
      <c r="I46" s="149" t="s">
        <v>96</v>
      </c>
      <c r="J46" s="149" t="s">
        <v>93</v>
      </c>
      <c r="K46" s="149" t="s">
        <v>94</v>
      </c>
      <c r="L46" s="156">
        <v>34514446</v>
      </c>
      <c r="M46" s="157">
        <v>1.1111111111111111E-3</v>
      </c>
      <c r="N46" s="131" t="s">
        <v>17</v>
      </c>
      <c r="O46" s="131" t="s">
        <v>17</v>
      </c>
      <c r="P46" s="131" t="s">
        <v>17</v>
      </c>
      <c r="Q46" s="131" t="s">
        <v>17</v>
      </c>
      <c r="R46" s="131" t="s">
        <v>17</v>
      </c>
      <c r="S46" s="131" t="s">
        <v>17</v>
      </c>
      <c r="T46" s="131" t="s">
        <v>18</v>
      </c>
      <c r="U46" s="131" t="s">
        <v>17</v>
      </c>
      <c r="V46" s="131" t="s">
        <v>18</v>
      </c>
      <c r="W46" s="131" t="s">
        <v>17</v>
      </c>
      <c r="X46" s="131" t="s">
        <v>17</v>
      </c>
      <c r="Y46" s="131" t="s">
        <v>17</v>
      </c>
      <c r="Z46" s="131" t="s">
        <v>17</v>
      </c>
      <c r="AA46" s="131" t="s">
        <v>17</v>
      </c>
      <c r="AB46" s="131" t="s">
        <v>17</v>
      </c>
      <c r="AC46" s="131"/>
      <c r="AD46" s="131"/>
      <c r="AE46" s="131"/>
      <c r="AF46" s="158">
        <f t="shared" si="6"/>
        <v>6.7974999999999994</v>
      </c>
      <c r="AG46" s="159"/>
      <c r="AH46" s="155" t="s">
        <v>160</v>
      </c>
      <c r="AI46" s="155" t="s">
        <v>83</v>
      </c>
      <c r="AJ46" s="131" t="str">
        <f>IFERROR(VLOOKUP(E46&amp;F46,'Listagem dos op'!A:S,19,0),"")</f>
        <v/>
      </c>
      <c r="AK46" s="131" t="str">
        <f t="shared" si="5"/>
        <v>Jan11403</v>
      </c>
      <c r="AL46" s="154">
        <f>IF(N46="","",IF(N46="SIM",VLOOKUP($I46&amp;$J46&amp;N$1,Pesos!$A:$I,7,FALSE),VLOOKUP($I46&amp;$J46&amp;N$1,Pesos!$A:$I,9,FALSE)))</f>
        <v>0.1</v>
      </c>
      <c r="AM46" s="154">
        <f>IF(O46="","",IF(O46="SIM",VLOOKUP($I46&amp;$J46&amp;O$1,Pesos!$A:$I,7,FALSE),VLOOKUP($I46&amp;$J46&amp;O$1,Pesos!$A:$I,9,FALSE)))</f>
        <v>0.1</v>
      </c>
      <c r="AN46" s="154">
        <f>IF(P46="","",IF(P46="SIM",VLOOKUP($I46&amp;$J46&amp;P$1,Pesos!$A:$I,7,FALSE),VLOOKUP($I46&amp;$J46&amp;P$1,Pesos!$A:$I,9,FALSE)))</f>
        <v>0.1</v>
      </c>
      <c r="AO46" s="154">
        <f>IF(Q46="","",IF(Q46="SIM",VLOOKUP($I46&amp;$J46&amp;Q$1,Pesos!$A:$I,7,FALSE),VLOOKUP($I46&amp;$J46&amp;Q$1,Pesos!$A:$I,9,FALSE)))</f>
        <v>2</v>
      </c>
      <c r="AP46" s="154">
        <f>IF(R46="","",IF(R46="SIM",VLOOKUP($I46&amp;$J46&amp;R$1,Pesos!$A:$I,7,FALSE),VLOOKUP($I46&amp;$J46&amp;R$1,Pesos!$A:$I,9,FALSE)))</f>
        <v>1.03</v>
      </c>
      <c r="AQ46" s="154">
        <f>IF(S46="","",IF(S46="SIM",VLOOKUP($I46&amp;$J46&amp;S$1,Pesos!$A:$I,7,FALSE),VLOOKUP($I46&amp;$J46&amp;S$1,Pesos!$A:$I,9,FALSE)))</f>
        <v>1.22</v>
      </c>
      <c r="AR46" s="156">
        <f>IF(T46="","",IF(T46="SIM",VLOOKUP($I46&amp;$J46&amp;T$1,Pesos!$A:$I,7,FALSE),VLOOKUP($I46&amp;$J46&amp;T$1,Pesos!$A:$I,9,FALSE)))</f>
        <v>-0.1</v>
      </c>
      <c r="AS46" s="132">
        <f>IF(U46="","",IF(U46="SIM",VLOOKUP($I46&amp;$J46&amp;U$1,Pesos!$A:$I,7,FALSE),VLOOKUP($I46&amp;$J46&amp;U$1,Pesos!$A:$I,9,FALSE)))</f>
        <v>1.05</v>
      </c>
      <c r="AT46" s="132">
        <f>IF(V46="","",IF(V46="SIM",VLOOKUP($I46&amp;$J46&amp;V$1,Pesos!$A:$I,7,FALSE),VLOOKUP($I46&amp;$J46&amp;V$1,Pesos!$A:$I,9,FALSE)))</f>
        <v>-5.2500000000000005E-2</v>
      </c>
      <c r="AU46" s="132">
        <f>IF(W46="","",IF(W46="SIM",VLOOKUP($I46&amp;$J46&amp;W$1,Pesos!$A:$I,7,FALSE),VLOOKUP($I46&amp;$J46&amp;W$1,Pesos!$A:$I,9,FALSE)))</f>
        <v>0.3</v>
      </c>
      <c r="AV46" s="132">
        <f>IF(X46="","",IF(X46="SIM",VLOOKUP($I46&amp;$J46&amp;X$1,Pesos!$A:$I,7,FALSE),VLOOKUP($I46&amp;$J46&amp;X$1,Pesos!$A:$I,9,FALSE)))</f>
        <v>0.3</v>
      </c>
      <c r="AW46" s="132">
        <f>IF(Y46="","",IF(Y46="SIM",VLOOKUP($I46&amp;$J46&amp;Y$1,Pesos!$A:$I,7,FALSE),VLOOKUP($I46&amp;$J46&amp;Y$1,Pesos!$A:$I,9,FALSE)))</f>
        <v>0.15</v>
      </c>
      <c r="AX46" s="132">
        <f>IF(Z46="","",IF(Z46="SIM",VLOOKUP($I46&amp;$J46&amp;Z$1,Pesos!$A:$I,7,FALSE),VLOOKUP($I46&amp;$J46&amp;Z$1,Pesos!$A:$I,9,FALSE)))</f>
        <v>0.2</v>
      </c>
      <c r="AY46" s="132">
        <f>IF(AA46="","",IF(AA46="SIM",VLOOKUP($I46&amp;$J46&amp;AA$1,Pesos!$A:$I,7,FALSE),VLOOKUP($I46&amp;$J46&amp;AA$1,Pesos!$A:$I,9,FALSE)))</f>
        <v>0.3</v>
      </c>
      <c r="AZ46" s="132">
        <f>IF(AB46="","",IF(AB46="SIM",VLOOKUP($I46&amp;$J46&amp;AB$1,Pesos!$A:$I,7,FALSE),VLOOKUP($I46&amp;$J46&amp;AB$1,Pesos!$A:$I,9,FALSE)))</f>
        <v>0.1</v>
      </c>
      <c r="BA46" s="132" t="str">
        <f>IF(AC46="","",IF(AC46="SIM",VLOOKUP($I46&amp;$J46&amp;AC$1,Pesos!$A:$I,7,FALSE),VLOOKUP($I46&amp;$J46&amp;AC$1,Pesos!$A:$I,9,FALSE)))</f>
        <v/>
      </c>
      <c r="BB46" s="132" t="str">
        <f>IF(AD46="","",IF(AD46="SIM",VLOOKUP($I46&amp;$J46&amp;AD$1,Pesos!$A:$I,7,FALSE),VLOOKUP($I46&amp;$J46&amp;AD$1,Pesos!$A:$I,9,FALSE)))</f>
        <v/>
      </c>
      <c r="BC46" s="132" t="str">
        <f>IF(AE46="","",IF(AE46="SIM",VLOOKUP($I46&amp;$J46&amp;AE$1,Pesos!$A:$I,7,FALSE),VLOOKUP($I46&amp;$J46&amp;AE$1,Pesos!$A:$I,9,FALSE)))</f>
        <v/>
      </c>
      <c r="BD46" s="158">
        <f>IFERROR(AF46*VLOOKUP(J46,'BD Campos'!$X$1:$Y$14,2,FALSE),"0")</f>
        <v>6.7974999999999994</v>
      </c>
    </row>
    <row r="47" spans="1:56">
      <c r="A47" s="151" t="str">
        <f t="shared" si="3"/>
        <v>Jan11459MotoristaDISTRIBUIÇÃO</v>
      </c>
      <c r="B47" s="149" t="str">
        <f t="shared" si="4"/>
        <v>Jan114591DISTRIBUIÇÃOPADRÃO</v>
      </c>
      <c r="C47" s="152">
        <v>1</v>
      </c>
      <c r="D47" s="153">
        <v>46045.383290740741</v>
      </c>
      <c r="E47" s="154" t="s">
        <v>12</v>
      </c>
      <c r="F47" s="155">
        <v>11459</v>
      </c>
      <c r="G47" s="149" t="s">
        <v>161</v>
      </c>
      <c r="H47" s="154">
        <v>1</v>
      </c>
      <c r="I47" s="149" t="s">
        <v>96</v>
      </c>
      <c r="J47" s="149" t="s">
        <v>93</v>
      </c>
      <c r="K47" s="149" t="s">
        <v>94</v>
      </c>
      <c r="L47" s="156">
        <v>34508122</v>
      </c>
      <c r="M47" s="157">
        <v>9.7222222222222209E-4</v>
      </c>
      <c r="N47" s="131" t="s">
        <v>17</v>
      </c>
      <c r="O47" s="131" t="s">
        <v>17</v>
      </c>
      <c r="P47" s="131" t="s">
        <v>17</v>
      </c>
      <c r="Q47" s="131" t="s">
        <v>17</v>
      </c>
      <c r="R47" s="131" t="s">
        <v>17</v>
      </c>
      <c r="S47" s="131" t="s">
        <v>18</v>
      </c>
      <c r="T47" s="131" t="s">
        <v>18</v>
      </c>
      <c r="U47" s="131" t="s">
        <v>18</v>
      </c>
      <c r="V47" s="131" t="s">
        <v>18</v>
      </c>
      <c r="W47" s="131" t="s">
        <v>17</v>
      </c>
      <c r="X47" s="131" t="s">
        <v>17</v>
      </c>
      <c r="Y47" s="131" t="s">
        <v>17</v>
      </c>
      <c r="Z47" s="131" t="s">
        <v>18</v>
      </c>
      <c r="AA47" s="131" t="s">
        <v>17</v>
      </c>
      <c r="AB47" s="131" t="s">
        <v>17</v>
      </c>
      <c r="AC47" s="131"/>
      <c r="AD47" s="131"/>
      <c r="AE47" s="131"/>
      <c r="AF47" s="158">
        <f t="shared" si="6"/>
        <v>4.2039999999999988</v>
      </c>
      <c r="AG47" s="159"/>
      <c r="AH47" s="155" t="s">
        <v>162</v>
      </c>
      <c r="AI47" s="155" t="s">
        <v>83</v>
      </c>
      <c r="AJ47" s="131" t="str">
        <f>IFERROR(VLOOKUP(E47&amp;F47,'Listagem dos op'!A:S,19,0),"")</f>
        <v/>
      </c>
      <c r="AK47" s="131" t="str">
        <f t="shared" si="5"/>
        <v>Jan11459</v>
      </c>
      <c r="AL47" s="154">
        <f>IF(N47="","",IF(N47="SIM",VLOOKUP($I47&amp;$J47&amp;N$1,Pesos!$A:$I,7,FALSE),VLOOKUP($I47&amp;$J47&amp;N$1,Pesos!$A:$I,9,FALSE)))</f>
        <v>0.1</v>
      </c>
      <c r="AM47" s="154">
        <f>IF(O47="","",IF(O47="SIM",VLOOKUP($I47&amp;$J47&amp;O$1,Pesos!$A:$I,7,FALSE),VLOOKUP($I47&amp;$J47&amp;O$1,Pesos!$A:$I,9,FALSE)))</f>
        <v>0.1</v>
      </c>
      <c r="AN47" s="154">
        <f>IF(P47="","",IF(P47="SIM",VLOOKUP($I47&amp;$J47&amp;P$1,Pesos!$A:$I,7,FALSE),VLOOKUP($I47&amp;$J47&amp;P$1,Pesos!$A:$I,9,FALSE)))</f>
        <v>0.1</v>
      </c>
      <c r="AO47" s="154">
        <f>IF(Q47="","",IF(Q47="SIM",VLOOKUP($I47&amp;$J47&amp;Q$1,Pesos!$A:$I,7,FALSE),VLOOKUP($I47&amp;$J47&amp;Q$1,Pesos!$A:$I,9,FALSE)))</f>
        <v>2</v>
      </c>
      <c r="AP47" s="154">
        <f>IF(R47="","",IF(R47="SIM",VLOOKUP($I47&amp;$J47&amp;R$1,Pesos!$A:$I,7,FALSE),VLOOKUP($I47&amp;$J47&amp;R$1,Pesos!$A:$I,9,FALSE)))</f>
        <v>1.03</v>
      </c>
      <c r="AQ47" s="154">
        <f>IF(S47="","",IF(S47="SIM",VLOOKUP($I47&amp;$J47&amp;S$1,Pesos!$A:$I,7,FALSE),VLOOKUP($I47&amp;$J47&amp;S$1,Pesos!$A:$I,9,FALSE)))</f>
        <v>-6.0999999999999999E-2</v>
      </c>
      <c r="AR47" s="156">
        <f>IF(T47="","",IF(T47="SIM",VLOOKUP($I47&amp;$J47&amp;T$1,Pesos!$A:$I,7,FALSE),VLOOKUP($I47&amp;$J47&amp;T$1,Pesos!$A:$I,9,FALSE)))</f>
        <v>-0.1</v>
      </c>
      <c r="AS47" s="132">
        <f>IF(U47="","",IF(U47="SIM",VLOOKUP($I47&amp;$J47&amp;U$1,Pesos!$A:$I,7,FALSE),VLOOKUP($I47&amp;$J47&amp;U$1,Pesos!$A:$I,9,FALSE)))</f>
        <v>-5.2500000000000005E-2</v>
      </c>
      <c r="AT47" s="132">
        <f>IF(V47="","",IF(V47="SIM",VLOOKUP($I47&amp;$J47&amp;V$1,Pesos!$A:$I,7,FALSE),VLOOKUP($I47&amp;$J47&amp;V$1,Pesos!$A:$I,9,FALSE)))</f>
        <v>-5.2500000000000005E-2</v>
      </c>
      <c r="AU47" s="132">
        <f>IF(W47="","",IF(W47="SIM",VLOOKUP($I47&amp;$J47&amp;W$1,Pesos!$A:$I,7,FALSE),VLOOKUP($I47&amp;$J47&amp;W$1,Pesos!$A:$I,9,FALSE)))</f>
        <v>0.3</v>
      </c>
      <c r="AV47" s="132">
        <f>IF(X47="","",IF(X47="SIM",VLOOKUP($I47&amp;$J47&amp;X$1,Pesos!$A:$I,7,FALSE),VLOOKUP($I47&amp;$J47&amp;X$1,Pesos!$A:$I,9,FALSE)))</f>
        <v>0.3</v>
      </c>
      <c r="AW47" s="132">
        <f>IF(Y47="","",IF(Y47="SIM",VLOOKUP($I47&amp;$J47&amp;Y$1,Pesos!$A:$I,7,FALSE),VLOOKUP($I47&amp;$J47&amp;Y$1,Pesos!$A:$I,9,FALSE)))</f>
        <v>0.15</v>
      </c>
      <c r="AX47" s="132">
        <f>IF(Z47="","",IF(Z47="SIM",VLOOKUP($I47&amp;$J47&amp;Z$1,Pesos!$A:$I,7,FALSE),VLOOKUP($I47&amp;$J47&amp;Z$1,Pesos!$A:$I,9,FALSE)))</f>
        <v>-1.0000000000000002E-2</v>
      </c>
      <c r="AY47" s="132">
        <f>IF(AA47="","",IF(AA47="SIM",VLOOKUP($I47&amp;$J47&amp;AA$1,Pesos!$A:$I,7,FALSE),VLOOKUP($I47&amp;$J47&amp;AA$1,Pesos!$A:$I,9,FALSE)))</f>
        <v>0.3</v>
      </c>
      <c r="AZ47" s="132">
        <f>IF(AB47="","",IF(AB47="SIM",VLOOKUP($I47&amp;$J47&amp;AB$1,Pesos!$A:$I,7,FALSE),VLOOKUP($I47&amp;$J47&amp;AB$1,Pesos!$A:$I,9,FALSE)))</f>
        <v>0.1</v>
      </c>
      <c r="BA47" s="132" t="str">
        <f>IF(AC47="","",IF(AC47="SIM",VLOOKUP($I47&amp;$J47&amp;AC$1,Pesos!$A:$I,7,FALSE),VLOOKUP($I47&amp;$J47&amp;AC$1,Pesos!$A:$I,9,FALSE)))</f>
        <v/>
      </c>
      <c r="BB47" s="132" t="str">
        <f>IF(AD47="","",IF(AD47="SIM",VLOOKUP($I47&amp;$J47&amp;AD$1,Pesos!$A:$I,7,FALSE),VLOOKUP($I47&amp;$J47&amp;AD$1,Pesos!$A:$I,9,FALSE)))</f>
        <v/>
      </c>
      <c r="BC47" s="132" t="str">
        <f>IF(AE47="","",IF(AE47="SIM",VLOOKUP($I47&amp;$J47&amp;AE$1,Pesos!$A:$I,7,FALSE),VLOOKUP($I47&amp;$J47&amp;AE$1,Pesos!$A:$I,9,FALSE)))</f>
        <v/>
      </c>
      <c r="BD47" s="158">
        <f>IFERROR(AF47*VLOOKUP(J47,'BD Campos'!$X$1:$Y$14,2,FALSE),"0")</f>
        <v>4.2039999999999988</v>
      </c>
    </row>
    <row r="48" spans="1:56">
      <c r="A48" s="151" t="str">
        <f t="shared" si="3"/>
        <v>Jan11459Motorista 2DISTRIBUIÇÃO</v>
      </c>
      <c r="B48" s="149" t="str">
        <f t="shared" si="4"/>
        <v>Jan114592DISTRIBUIÇÃOPADRÃO</v>
      </c>
      <c r="C48" s="152">
        <v>1</v>
      </c>
      <c r="D48" s="153">
        <v>46045.387485069441</v>
      </c>
      <c r="E48" s="154" t="s">
        <v>12</v>
      </c>
      <c r="F48" s="155">
        <v>11459</v>
      </c>
      <c r="G48" s="149" t="s">
        <v>161</v>
      </c>
      <c r="H48" s="154">
        <v>2</v>
      </c>
      <c r="I48" s="149" t="s">
        <v>130</v>
      </c>
      <c r="J48" s="149" t="s">
        <v>97</v>
      </c>
      <c r="K48" s="149" t="s">
        <v>94</v>
      </c>
      <c r="L48" s="156">
        <v>34681104</v>
      </c>
      <c r="M48" s="157">
        <v>1.2384259259259258E-3</v>
      </c>
      <c r="N48" s="131" t="s">
        <v>17</v>
      </c>
      <c r="O48" s="131" t="s">
        <v>17</v>
      </c>
      <c r="P48" s="131" t="s">
        <v>17</v>
      </c>
      <c r="Q48" s="131" t="s">
        <v>17</v>
      </c>
      <c r="R48" s="131" t="s">
        <v>17</v>
      </c>
      <c r="S48" s="131" t="s">
        <v>17</v>
      </c>
      <c r="T48" s="131" t="s">
        <v>18</v>
      </c>
      <c r="U48" s="131" t="s">
        <v>18</v>
      </c>
      <c r="V48" s="131" t="s">
        <v>18</v>
      </c>
      <c r="W48" s="131" t="s">
        <v>17</v>
      </c>
      <c r="X48" s="131" t="s">
        <v>17</v>
      </c>
      <c r="Y48" s="131" t="s">
        <v>17</v>
      </c>
      <c r="Z48" s="131" t="s">
        <v>17</v>
      </c>
      <c r="AA48" s="131" t="s">
        <v>17</v>
      </c>
      <c r="AB48" s="131" t="s">
        <v>17</v>
      </c>
      <c r="AC48" s="131"/>
      <c r="AD48" s="131"/>
      <c r="AE48" s="131"/>
      <c r="AF48" s="158">
        <f t="shared" si="6"/>
        <v>5.7787999999999995</v>
      </c>
      <c r="AG48" s="159"/>
      <c r="AH48" s="155" t="s">
        <v>163</v>
      </c>
      <c r="AI48" s="155" t="s">
        <v>83</v>
      </c>
      <c r="AJ48" s="131" t="str">
        <f>IFERROR(VLOOKUP(E48&amp;F48,'Listagem dos op'!A:S,19,0),"")</f>
        <v/>
      </c>
      <c r="AK48" s="131" t="str">
        <f t="shared" si="5"/>
        <v>Jan11459</v>
      </c>
      <c r="AL48" s="154">
        <f>IF(N48="","",IF(N48="SIM",VLOOKUP($I48&amp;$J48&amp;N$1,Pesos!$A:$I,7,FALSE),VLOOKUP($I48&amp;$J48&amp;N$1,Pesos!$A:$I,9,FALSE)))</f>
        <v>0.1</v>
      </c>
      <c r="AM48" s="154">
        <f>IF(O48="","",IF(O48="SIM",VLOOKUP($I48&amp;$J48&amp;O$1,Pesos!$A:$I,7,FALSE),VLOOKUP($I48&amp;$J48&amp;O$1,Pesos!$A:$I,9,FALSE)))</f>
        <v>0.1</v>
      </c>
      <c r="AN48" s="154">
        <f>IF(P48="","",IF(P48="SIM",VLOOKUP($I48&amp;$J48&amp;P$1,Pesos!$A:$I,7,FALSE),VLOOKUP($I48&amp;$J48&amp;P$1,Pesos!$A:$I,9,FALSE)))</f>
        <v>0.1</v>
      </c>
      <c r="AO48" s="154">
        <f>IF(Q48="","",IF(Q48="SIM",VLOOKUP($I48&amp;$J48&amp;Q$1,Pesos!$A:$I,7,FALSE),VLOOKUP($I48&amp;$J48&amp;Q$1,Pesos!$A:$I,9,FALSE)))</f>
        <v>2</v>
      </c>
      <c r="AP48" s="154">
        <f>IF(R48="","",IF(R48="SIM",VLOOKUP($I48&amp;$J48&amp;R$1,Pesos!$A:$I,7,FALSE),VLOOKUP($I48&amp;$J48&amp;R$1,Pesos!$A:$I,9,FALSE)))</f>
        <v>1.03</v>
      </c>
      <c r="AQ48" s="154">
        <f>IF(S48="","",IF(S48="SIM",VLOOKUP($I48&amp;$J48&amp;S$1,Pesos!$A:$I,7,FALSE),VLOOKUP($I48&amp;$J48&amp;S$1,Pesos!$A:$I,9,FALSE)))</f>
        <v>1.3</v>
      </c>
      <c r="AR48" s="156">
        <f>IF(T48="","",IF(T48="SIM",VLOOKUP($I48&amp;$J48&amp;T$1,Pesos!$A:$I,7,FALSE),VLOOKUP($I48&amp;$J48&amp;T$1,Pesos!$A:$I,9,FALSE)))</f>
        <v>-6.5000000000000002E-2</v>
      </c>
      <c r="AS48" s="132">
        <f>IF(U48="","",IF(U48="SIM",VLOOKUP($I48&amp;$J48&amp;U$1,Pesos!$A:$I,7,FALSE),VLOOKUP($I48&amp;$J48&amp;U$1,Pesos!$A:$I,9,FALSE)))</f>
        <v>-6.6000000000000003E-2</v>
      </c>
      <c r="AT48" s="132">
        <f>IF(V48="","",IF(V48="SIM",VLOOKUP($I48&amp;$J48&amp;V$1,Pesos!$A:$I,7,FALSE),VLOOKUP($I48&amp;$J48&amp;V$1,Pesos!$A:$I,9,FALSE)))</f>
        <v>-7.0199999999999999E-2</v>
      </c>
      <c r="AU48" s="132">
        <f>IF(W48="","",IF(W48="SIM",VLOOKUP($I48&amp;$J48&amp;W$1,Pesos!$A:$I,7,FALSE),VLOOKUP($I48&amp;$J48&amp;W$1,Pesos!$A:$I,9,FALSE)))</f>
        <v>0.3</v>
      </c>
      <c r="AV48" s="132">
        <f>IF(X48="","",IF(X48="SIM",VLOOKUP($I48&amp;$J48&amp;X$1,Pesos!$A:$I,7,FALSE),VLOOKUP($I48&amp;$J48&amp;X$1,Pesos!$A:$I,9,FALSE)))</f>
        <v>0.3</v>
      </c>
      <c r="AW48" s="132">
        <f>IF(Y48="","",IF(Y48="SIM",VLOOKUP($I48&amp;$J48&amp;Y$1,Pesos!$A:$I,7,FALSE),VLOOKUP($I48&amp;$J48&amp;Y$1,Pesos!$A:$I,9,FALSE)))</f>
        <v>0.15</v>
      </c>
      <c r="AX48" s="132">
        <f>IF(Z48="","",IF(Z48="SIM",VLOOKUP($I48&amp;$J48&amp;Z$1,Pesos!$A:$I,7,FALSE),VLOOKUP($I48&amp;$J48&amp;Z$1,Pesos!$A:$I,9,FALSE)))</f>
        <v>0.2</v>
      </c>
      <c r="AY48" s="132">
        <f>IF(AA48="","",IF(AA48="SIM",VLOOKUP($I48&amp;$J48&amp;AA$1,Pesos!$A:$I,7,FALSE),VLOOKUP($I48&amp;$J48&amp;AA$1,Pesos!$A:$I,9,FALSE)))</f>
        <v>0.3</v>
      </c>
      <c r="AZ48" s="132">
        <f>IF(AB48="","",IF(AB48="SIM",VLOOKUP($I48&amp;$J48&amp;AB$1,Pesos!$A:$I,7,FALSE),VLOOKUP($I48&amp;$J48&amp;AB$1,Pesos!$A:$I,9,FALSE)))</f>
        <v>0.1</v>
      </c>
      <c r="BA48" s="132" t="str">
        <f>IF(AC48="","",IF(AC48="SIM",VLOOKUP($I48&amp;$J48&amp;AC$1,Pesos!$A:$I,7,FALSE),VLOOKUP($I48&amp;$J48&amp;AC$1,Pesos!$A:$I,9,FALSE)))</f>
        <v/>
      </c>
      <c r="BB48" s="132" t="str">
        <f>IF(AD48="","",IF(AD48="SIM",VLOOKUP($I48&amp;$J48&amp;AD$1,Pesos!$A:$I,7,FALSE),VLOOKUP($I48&amp;$J48&amp;AD$1,Pesos!$A:$I,9,FALSE)))</f>
        <v/>
      </c>
      <c r="BC48" s="132" t="str">
        <f>IF(AE48="","",IF(AE48="SIM",VLOOKUP($I48&amp;$J48&amp;AE$1,Pesos!$A:$I,7,FALSE),VLOOKUP($I48&amp;$J48&amp;AE$1,Pesos!$A:$I,9,FALSE)))</f>
        <v/>
      </c>
      <c r="BD48" s="158">
        <f>IFERROR(AF48*VLOOKUP(J48,'BD Campos'!$X$1:$Y$14,2,FALSE),"0")</f>
        <v>5.7787999999999995</v>
      </c>
    </row>
    <row r="49" spans="1:56">
      <c r="A49" s="151" t="str">
        <f t="shared" si="3"/>
        <v>Jan11449MotoristaDISTRIBUIÇÃO</v>
      </c>
      <c r="B49" s="149" t="str">
        <f t="shared" si="4"/>
        <v>Jan114491DISTRIBUIÇÃOPADRÃO</v>
      </c>
      <c r="C49" s="152">
        <v>1</v>
      </c>
      <c r="D49" s="153">
        <v>46045.391910300925</v>
      </c>
      <c r="E49" s="154" t="s">
        <v>12</v>
      </c>
      <c r="F49" s="155">
        <v>11449</v>
      </c>
      <c r="G49" s="149" t="s">
        <v>164</v>
      </c>
      <c r="H49" s="154">
        <v>1</v>
      </c>
      <c r="I49" s="149" t="s">
        <v>92</v>
      </c>
      <c r="J49" s="149" t="s">
        <v>93</v>
      </c>
      <c r="K49" s="149" t="s">
        <v>94</v>
      </c>
      <c r="L49" s="156">
        <v>34526476</v>
      </c>
      <c r="M49" s="157">
        <v>1.3888888888888889E-3</v>
      </c>
      <c r="N49" s="131" t="s">
        <v>17</v>
      </c>
      <c r="O49" s="131" t="s">
        <v>17</v>
      </c>
      <c r="P49" s="131" t="s">
        <v>17</v>
      </c>
      <c r="Q49" s="131" t="s">
        <v>17</v>
      </c>
      <c r="R49" s="131" t="s">
        <v>17</v>
      </c>
      <c r="S49" s="131" t="s">
        <v>18</v>
      </c>
      <c r="T49" s="131" t="s">
        <v>17</v>
      </c>
      <c r="U49" s="131" t="s">
        <v>17</v>
      </c>
      <c r="V49" s="131" t="s">
        <v>18</v>
      </c>
      <c r="W49" s="131" t="s">
        <v>17</v>
      </c>
      <c r="X49" s="131" t="s">
        <v>17</v>
      </c>
      <c r="Y49" s="131" t="s">
        <v>17</v>
      </c>
      <c r="Z49" s="131" t="s">
        <v>17</v>
      </c>
      <c r="AA49" s="131" t="s">
        <v>17</v>
      </c>
      <c r="AB49" s="131"/>
      <c r="AC49" s="131"/>
      <c r="AD49" s="131"/>
      <c r="AE49" s="131"/>
      <c r="AF49" s="158">
        <f t="shared" si="6"/>
        <v>7.9</v>
      </c>
      <c r="AG49" s="159"/>
      <c r="AH49" s="155" t="s">
        <v>165</v>
      </c>
      <c r="AI49" s="155" t="s">
        <v>83</v>
      </c>
      <c r="AJ49" s="131" t="str">
        <f>IFERROR(VLOOKUP(E49&amp;F49,'Listagem dos op'!A:S,19,0),"")</f>
        <v/>
      </c>
      <c r="AK49" s="131" t="str">
        <f t="shared" si="5"/>
        <v>Jan11449</v>
      </c>
      <c r="AL49" s="154">
        <f>IF(N49="","",IF(N49="SIM",VLOOKUP($I49&amp;$J49&amp;N$1,Pesos!$A:$I,7,FALSE),VLOOKUP($I49&amp;$J49&amp;N$1,Pesos!$A:$I,9,FALSE)))</f>
        <v>0.1</v>
      </c>
      <c r="AM49" s="154">
        <f>IF(O49="","",IF(O49="SIM",VLOOKUP($I49&amp;$J49&amp;O$1,Pesos!$A:$I,7,FALSE),VLOOKUP($I49&amp;$J49&amp;O$1,Pesos!$A:$I,9,FALSE)))</f>
        <v>0.1</v>
      </c>
      <c r="AN49" s="154">
        <f>IF(P49="","",IF(P49="SIM",VLOOKUP($I49&amp;$J49&amp;P$1,Pesos!$A:$I,7,FALSE),VLOOKUP($I49&amp;$J49&amp;P$1,Pesos!$A:$I,9,FALSE)))</f>
        <v>0.1</v>
      </c>
      <c r="AO49" s="154">
        <f>IF(Q49="","",IF(Q49="SIM",VLOOKUP($I49&amp;$J49&amp;Q$1,Pesos!$A:$I,7,FALSE),VLOOKUP($I49&amp;$J49&amp;Q$1,Pesos!$A:$I,9,FALSE)))</f>
        <v>2</v>
      </c>
      <c r="AP49" s="154">
        <f>IF(R49="","",IF(R49="SIM",VLOOKUP($I49&amp;$J49&amp;R$1,Pesos!$A:$I,7,FALSE),VLOOKUP($I49&amp;$J49&amp;R$1,Pesos!$A:$I,9,FALSE)))</f>
        <v>1.03</v>
      </c>
      <c r="AQ49" s="154">
        <f>IF(S49="","",IF(S49="SIM",VLOOKUP($I49&amp;$J49&amp;S$1,Pesos!$A:$I,7,FALSE),VLOOKUP($I49&amp;$J49&amp;S$1,Pesos!$A:$I,9,FALSE)))</f>
        <v>-8.500000000000002E-2</v>
      </c>
      <c r="AR49" s="156">
        <f>IF(T49="","",IF(T49="SIM",VLOOKUP($I49&amp;$J49&amp;T$1,Pesos!$A:$I,7,FALSE),VLOOKUP($I49&amp;$J49&amp;T$1,Pesos!$A:$I,9,FALSE)))</f>
        <v>1.92</v>
      </c>
      <c r="AS49" s="132">
        <f>IF(U49="","",IF(U49="SIM",VLOOKUP($I49&amp;$J49&amp;U$1,Pesos!$A:$I,7,FALSE),VLOOKUP($I49&amp;$J49&amp;U$1,Pesos!$A:$I,9,FALSE)))</f>
        <v>1.7000000000000002</v>
      </c>
      <c r="AT49" s="132">
        <f>IF(V49="","",IF(V49="SIM",VLOOKUP($I49&amp;$J49&amp;V$1,Pesos!$A:$I,7,FALSE),VLOOKUP($I49&amp;$J49&amp;V$1,Pesos!$A:$I,9,FALSE)))</f>
        <v>-1.4999999999999999E-2</v>
      </c>
      <c r="AU49" s="132">
        <f>IF(W49="","",IF(W49="SIM",VLOOKUP($I49&amp;$J49&amp;W$1,Pesos!$A:$I,7,FALSE),VLOOKUP($I49&amp;$J49&amp;W$1,Pesos!$A:$I,9,FALSE)))</f>
        <v>0.3</v>
      </c>
      <c r="AV49" s="132">
        <f>IF(X49="","",IF(X49="SIM",VLOOKUP($I49&amp;$J49&amp;X$1,Pesos!$A:$I,7,FALSE),VLOOKUP($I49&amp;$J49&amp;X$1,Pesos!$A:$I,9,FALSE)))</f>
        <v>0.15</v>
      </c>
      <c r="AW49" s="132">
        <f>IF(Y49="","",IF(Y49="SIM",VLOOKUP($I49&amp;$J49&amp;Y$1,Pesos!$A:$I,7,FALSE),VLOOKUP($I49&amp;$J49&amp;Y$1,Pesos!$A:$I,9,FALSE)))</f>
        <v>0.2</v>
      </c>
      <c r="AX49" s="132">
        <f>IF(Z49="","",IF(Z49="SIM",VLOOKUP($I49&amp;$J49&amp;Z$1,Pesos!$A:$I,7,FALSE),VLOOKUP($I49&amp;$J49&amp;Z$1,Pesos!$A:$I,9,FALSE)))</f>
        <v>0.3</v>
      </c>
      <c r="AY49" s="132">
        <f>IF(AA49="","",IF(AA49="SIM",VLOOKUP($I49&amp;$J49&amp;AA$1,Pesos!$A:$I,7,FALSE),VLOOKUP($I49&amp;$J49&amp;AA$1,Pesos!$A:$I,9,FALSE)))</f>
        <v>0.1</v>
      </c>
      <c r="AZ49" s="132" t="str">
        <f>IF(AB49="","",IF(AB49="SIM",VLOOKUP($I49&amp;$J49&amp;AB$1,Pesos!$A:$I,7,FALSE),VLOOKUP($I49&amp;$J49&amp;AB$1,Pesos!$A:$I,9,FALSE)))</f>
        <v/>
      </c>
      <c r="BA49" s="132" t="str">
        <f>IF(AC49="","",IF(AC49="SIM",VLOOKUP($I49&amp;$J49&amp;AC$1,Pesos!$A:$I,7,FALSE),VLOOKUP($I49&amp;$J49&amp;AC$1,Pesos!$A:$I,9,FALSE)))</f>
        <v/>
      </c>
      <c r="BB49" s="132" t="str">
        <f>IF(AD49="","",IF(AD49="SIM",VLOOKUP($I49&amp;$J49&amp;AD$1,Pesos!$A:$I,7,FALSE),VLOOKUP($I49&amp;$J49&amp;AD$1,Pesos!$A:$I,9,FALSE)))</f>
        <v/>
      </c>
      <c r="BC49" s="132" t="str">
        <f>IF(AE49="","",IF(AE49="SIM",VLOOKUP($I49&amp;$J49&amp;AE$1,Pesos!$A:$I,7,FALSE),VLOOKUP($I49&amp;$J49&amp;AE$1,Pesos!$A:$I,9,FALSE)))</f>
        <v/>
      </c>
      <c r="BD49" s="158">
        <f>IFERROR(AF49*VLOOKUP(J49,'BD Campos'!$X$1:$Y$14,2,FALSE),"0")</f>
        <v>7.9</v>
      </c>
    </row>
    <row r="50" spans="1:56">
      <c r="A50" s="151" t="str">
        <f t="shared" si="3"/>
        <v>Jan11449Motorista 2DISTRIBUIÇÃO</v>
      </c>
      <c r="B50" s="149" t="str">
        <f t="shared" si="4"/>
        <v>Jan114492DISTRIBUIÇÃOPADRÃO</v>
      </c>
      <c r="C50" s="152">
        <v>1</v>
      </c>
      <c r="D50" s="153">
        <v>46045.401503819441</v>
      </c>
      <c r="E50" s="154" t="s">
        <v>12</v>
      </c>
      <c r="F50" s="155">
        <v>11449</v>
      </c>
      <c r="G50" s="149" t="s">
        <v>164</v>
      </c>
      <c r="H50" s="154">
        <v>2</v>
      </c>
      <c r="I50" s="149" t="s">
        <v>92</v>
      </c>
      <c r="J50" s="149" t="s">
        <v>97</v>
      </c>
      <c r="K50" s="149" t="s">
        <v>94</v>
      </c>
      <c r="L50" s="156">
        <v>34566779</v>
      </c>
      <c r="M50" s="157">
        <v>1.3078703703703705E-3</v>
      </c>
      <c r="N50" s="131" t="s">
        <v>17</v>
      </c>
      <c r="O50" s="131" t="s">
        <v>17</v>
      </c>
      <c r="P50" s="131" t="s">
        <v>17</v>
      </c>
      <c r="Q50" s="131" t="s">
        <v>17</v>
      </c>
      <c r="R50" s="131" t="s">
        <v>17</v>
      </c>
      <c r="S50" s="131" t="s">
        <v>18</v>
      </c>
      <c r="T50" s="131" t="s">
        <v>17</v>
      </c>
      <c r="U50" s="131" t="s">
        <v>17</v>
      </c>
      <c r="V50" s="131" t="s">
        <v>17</v>
      </c>
      <c r="W50" s="131" t="s">
        <v>17</v>
      </c>
      <c r="X50" s="131" t="s">
        <v>17</v>
      </c>
      <c r="Y50" s="131" t="s">
        <v>17</v>
      </c>
      <c r="Z50" s="131" t="s">
        <v>17</v>
      </c>
      <c r="AA50" s="131" t="s">
        <v>17</v>
      </c>
      <c r="AB50" s="131"/>
      <c r="AC50" s="131"/>
      <c r="AD50" s="131"/>
      <c r="AE50" s="131"/>
      <c r="AF50" s="158">
        <f t="shared" si="6"/>
        <v>8.2149999999999999</v>
      </c>
      <c r="AG50" s="159"/>
      <c r="AH50" s="155" t="s">
        <v>166</v>
      </c>
      <c r="AI50" s="155" t="s">
        <v>83</v>
      </c>
      <c r="AJ50" s="131" t="str">
        <f>IFERROR(VLOOKUP(E50&amp;F50,'Listagem dos op'!A:S,19,0),"")</f>
        <v/>
      </c>
      <c r="AK50" s="131" t="str">
        <f t="shared" si="5"/>
        <v>Jan11449</v>
      </c>
      <c r="AL50" s="154">
        <f>IF(N50="","",IF(N50="SIM",VLOOKUP($I50&amp;$J50&amp;N$1,Pesos!$A:$I,7,FALSE),VLOOKUP($I50&amp;$J50&amp;N$1,Pesos!$A:$I,9,FALSE)))</f>
        <v>0.1</v>
      </c>
      <c r="AM50" s="154">
        <f>IF(O50="","",IF(O50="SIM",VLOOKUP($I50&amp;$J50&amp;O$1,Pesos!$A:$I,7,FALSE),VLOOKUP($I50&amp;$J50&amp;O$1,Pesos!$A:$I,9,FALSE)))</f>
        <v>0.1</v>
      </c>
      <c r="AN50" s="154">
        <f>IF(P50="","",IF(P50="SIM",VLOOKUP($I50&amp;$J50&amp;P$1,Pesos!$A:$I,7,FALSE),VLOOKUP($I50&amp;$J50&amp;P$1,Pesos!$A:$I,9,FALSE)))</f>
        <v>0.1</v>
      </c>
      <c r="AO50" s="154">
        <f>IF(Q50="","",IF(Q50="SIM",VLOOKUP($I50&amp;$J50&amp;Q$1,Pesos!$A:$I,7,FALSE),VLOOKUP($I50&amp;$J50&amp;Q$1,Pesos!$A:$I,9,FALSE)))</f>
        <v>2</v>
      </c>
      <c r="AP50" s="154">
        <f>IF(R50="","",IF(R50="SIM",VLOOKUP($I50&amp;$J50&amp;R$1,Pesos!$A:$I,7,FALSE),VLOOKUP($I50&amp;$J50&amp;R$1,Pesos!$A:$I,9,FALSE)))</f>
        <v>1.03</v>
      </c>
      <c r="AQ50" s="154">
        <f>IF(S50="","",IF(S50="SIM",VLOOKUP($I50&amp;$J50&amp;S$1,Pesos!$A:$I,7,FALSE),VLOOKUP($I50&amp;$J50&amp;S$1,Pesos!$A:$I,9,FALSE)))</f>
        <v>-8.500000000000002E-2</v>
      </c>
      <c r="AR50" s="156">
        <f>IF(T50="","",IF(T50="SIM",VLOOKUP($I50&amp;$J50&amp;T$1,Pesos!$A:$I,7,FALSE),VLOOKUP($I50&amp;$J50&amp;T$1,Pesos!$A:$I,9,FALSE)))</f>
        <v>1.92</v>
      </c>
      <c r="AS50" s="132">
        <f>IF(U50="","",IF(U50="SIM",VLOOKUP($I50&amp;$J50&amp;U$1,Pesos!$A:$I,7,FALSE),VLOOKUP($I50&amp;$J50&amp;U$1,Pesos!$A:$I,9,FALSE)))</f>
        <v>1.7000000000000002</v>
      </c>
      <c r="AT50" s="132">
        <f>IF(V50="","",IF(V50="SIM",VLOOKUP($I50&amp;$J50&amp;V$1,Pesos!$A:$I,7,FALSE),VLOOKUP($I50&amp;$J50&amp;V$1,Pesos!$A:$I,9,FALSE)))</f>
        <v>0.3</v>
      </c>
      <c r="AU50" s="132">
        <f>IF(W50="","",IF(W50="SIM",VLOOKUP($I50&amp;$J50&amp;W$1,Pesos!$A:$I,7,FALSE),VLOOKUP($I50&amp;$J50&amp;W$1,Pesos!$A:$I,9,FALSE)))</f>
        <v>0.3</v>
      </c>
      <c r="AV50" s="132">
        <f>IF(X50="","",IF(X50="SIM",VLOOKUP($I50&amp;$J50&amp;X$1,Pesos!$A:$I,7,FALSE),VLOOKUP($I50&amp;$J50&amp;X$1,Pesos!$A:$I,9,FALSE)))</f>
        <v>0.15</v>
      </c>
      <c r="AW50" s="132">
        <f>IF(Y50="","",IF(Y50="SIM",VLOOKUP($I50&amp;$J50&amp;Y$1,Pesos!$A:$I,7,FALSE),VLOOKUP($I50&amp;$J50&amp;Y$1,Pesos!$A:$I,9,FALSE)))</f>
        <v>0.2</v>
      </c>
      <c r="AX50" s="132">
        <f>IF(Z50="","",IF(Z50="SIM",VLOOKUP($I50&amp;$J50&amp;Z$1,Pesos!$A:$I,7,FALSE),VLOOKUP($I50&amp;$J50&amp;Z$1,Pesos!$A:$I,9,FALSE)))</f>
        <v>0.3</v>
      </c>
      <c r="AY50" s="132">
        <f>IF(AA50="","",IF(AA50="SIM",VLOOKUP($I50&amp;$J50&amp;AA$1,Pesos!$A:$I,7,FALSE),VLOOKUP($I50&amp;$J50&amp;AA$1,Pesos!$A:$I,9,FALSE)))</f>
        <v>0.1</v>
      </c>
      <c r="AZ50" s="132" t="str">
        <f>IF(AB50="","",IF(AB50="SIM",VLOOKUP($I50&amp;$J50&amp;AB$1,Pesos!$A:$I,7,FALSE),VLOOKUP($I50&amp;$J50&amp;AB$1,Pesos!$A:$I,9,FALSE)))</f>
        <v/>
      </c>
      <c r="BA50" s="132" t="str">
        <f>IF(AC50="","",IF(AC50="SIM",VLOOKUP($I50&amp;$J50&amp;AC$1,Pesos!$A:$I,7,FALSE),VLOOKUP($I50&amp;$J50&amp;AC$1,Pesos!$A:$I,9,FALSE)))</f>
        <v/>
      </c>
      <c r="BB50" s="132" t="str">
        <f>IF(AD50="","",IF(AD50="SIM",VLOOKUP($I50&amp;$J50&amp;AD$1,Pesos!$A:$I,7,FALSE),VLOOKUP($I50&amp;$J50&amp;AD$1,Pesos!$A:$I,9,FALSE)))</f>
        <v/>
      </c>
      <c r="BC50" s="132" t="str">
        <f>IF(AE50="","",IF(AE50="SIM",VLOOKUP($I50&amp;$J50&amp;AE$1,Pesos!$A:$I,7,FALSE),VLOOKUP($I50&amp;$J50&amp;AE$1,Pesos!$A:$I,9,FALSE)))</f>
        <v/>
      </c>
      <c r="BD50" s="158">
        <f>IFERROR(AF50*VLOOKUP(J50,'BD Campos'!$X$1:$Y$14,2,FALSE),"0")</f>
        <v>8.2149999999999999</v>
      </c>
    </row>
    <row r="51" spans="1:56">
      <c r="A51" s="151" t="str">
        <f t="shared" si="3"/>
        <v>Jan11050MotoristaDISTRIBUIÇÃO</v>
      </c>
      <c r="B51" s="149" t="str">
        <f t="shared" si="4"/>
        <v>Jan110501DISTRIBUIÇÃOPADRÃO</v>
      </c>
      <c r="C51" s="152">
        <v>1</v>
      </c>
      <c r="D51" s="153">
        <v>46045.417097569443</v>
      </c>
      <c r="E51" s="154" t="s">
        <v>12</v>
      </c>
      <c r="F51" s="155">
        <v>11050</v>
      </c>
      <c r="G51" s="149" t="s">
        <v>167</v>
      </c>
      <c r="H51" s="154">
        <v>1</v>
      </c>
      <c r="I51" s="149" t="s">
        <v>96</v>
      </c>
      <c r="J51" s="149" t="s">
        <v>93</v>
      </c>
      <c r="K51" s="149" t="s">
        <v>94</v>
      </c>
      <c r="L51" s="156">
        <v>34434114</v>
      </c>
      <c r="M51" s="157">
        <v>3.6226851851851854E-3</v>
      </c>
      <c r="N51" s="131" t="s">
        <v>17</v>
      </c>
      <c r="O51" s="131" t="s">
        <v>17</v>
      </c>
      <c r="P51" s="131" t="s">
        <v>17</v>
      </c>
      <c r="Q51" s="131" t="s">
        <v>17</v>
      </c>
      <c r="R51" s="131" t="s">
        <v>17</v>
      </c>
      <c r="S51" s="131" t="s">
        <v>17</v>
      </c>
      <c r="T51" s="131" t="s">
        <v>17</v>
      </c>
      <c r="U51" s="131" t="s">
        <v>17</v>
      </c>
      <c r="V51" s="131" t="s">
        <v>18</v>
      </c>
      <c r="W51" s="131" t="s">
        <v>17</v>
      </c>
      <c r="X51" s="131" t="s">
        <v>17</v>
      </c>
      <c r="Y51" s="131" t="s">
        <v>17</v>
      </c>
      <c r="Z51" s="131" t="s">
        <v>17</v>
      </c>
      <c r="AA51" s="131" t="s">
        <v>17</v>
      </c>
      <c r="AB51" s="131" t="s">
        <v>17</v>
      </c>
      <c r="AC51" s="131"/>
      <c r="AD51" s="131"/>
      <c r="AE51" s="131"/>
      <c r="AF51" s="158">
        <f t="shared" si="6"/>
        <v>8.8974999999999991</v>
      </c>
      <c r="AG51" s="159"/>
      <c r="AH51" s="155" t="s">
        <v>168</v>
      </c>
      <c r="AI51" s="155" t="s">
        <v>83</v>
      </c>
      <c r="AJ51" s="131" t="str">
        <f>IFERROR(VLOOKUP(E51&amp;F51,'Listagem dos op'!A:S,19,0),"")</f>
        <v/>
      </c>
      <c r="AK51" s="131" t="str">
        <f t="shared" si="5"/>
        <v>Jan11050</v>
      </c>
      <c r="AL51" s="154">
        <f>IF(N51="","",IF(N51="SIM",VLOOKUP($I51&amp;$J51&amp;N$1,Pesos!$A:$I,7,FALSE),VLOOKUP($I51&amp;$J51&amp;N$1,Pesos!$A:$I,9,FALSE)))</f>
        <v>0.1</v>
      </c>
      <c r="AM51" s="154">
        <f>IF(O51="","",IF(O51="SIM",VLOOKUP($I51&amp;$J51&amp;O$1,Pesos!$A:$I,7,FALSE),VLOOKUP($I51&amp;$J51&amp;O$1,Pesos!$A:$I,9,FALSE)))</f>
        <v>0.1</v>
      </c>
      <c r="AN51" s="154">
        <f>IF(P51="","",IF(P51="SIM",VLOOKUP($I51&amp;$J51&amp;P$1,Pesos!$A:$I,7,FALSE),VLOOKUP($I51&amp;$J51&amp;P$1,Pesos!$A:$I,9,FALSE)))</f>
        <v>0.1</v>
      </c>
      <c r="AO51" s="154">
        <f>IF(Q51="","",IF(Q51="SIM",VLOOKUP($I51&amp;$J51&amp;Q$1,Pesos!$A:$I,7,FALSE),VLOOKUP($I51&amp;$J51&amp;Q$1,Pesos!$A:$I,9,FALSE)))</f>
        <v>2</v>
      </c>
      <c r="AP51" s="154">
        <f>IF(R51="","",IF(R51="SIM",VLOOKUP($I51&amp;$J51&amp;R$1,Pesos!$A:$I,7,FALSE),VLOOKUP($I51&amp;$J51&amp;R$1,Pesos!$A:$I,9,FALSE)))</f>
        <v>1.03</v>
      </c>
      <c r="AQ51" s="154">
        <f>IF(S51="","",IF(S51="SIM",VLOOKUP($I51&amp;$J51&amp;S$1,Pesos!$A:$I,7,FALSE),VLOOKUP($I51&amp;$J51&amp;S$1,Pesos!$A:$I,9,FALSE)))</f>
        <v>1.22</v>
      </c>
      <c r="AR51" s="156">
        <f>IF(T51="","",IF(T51="SIM",VLOOKUP($I51&amp;$J51&amp;T$1,Pesos!$A:$I,7,FALSE),VLOOKUP($I51&amp;$J51&amp;T$1,Pesos!$A:$I,9,FALSE)))</f>
        <v>2</v>
      </c>
      <c r="AS51" s="132">
        <f>IF(U51="","",IF(U51="SIM",VLOOKUP($I51&amp;$J51&amp;U$1,Pesos!$A:$I,7,FALSE),VLOOKUP($I51&amp;$J51&amp;U$1,Pesos!$A:$I,9,FALSE)))</f>
        <v>1.05</v>
      </c>
      <c r="AT51" s="132">
        <f>IF(V51="","",IF(V51="SIM",VLOOKUP($I51&amp;$J51&amp;V$1,Pesos!$A:$I,7,FALSE),VLOOKUP($I51&amp;$J51&amp;V$1,Pesos!$A:$I,9,FALSE)))</f>
        <v>-5.2500000000000005E-2</v>
      </c>
      <c r="AU51" s="132">
        <f>IF(W51="","",IF(W51="SIM",VLOOKUP($I51&amp;$J51&amp;W$1,Pesos!$A:$I,7,FALSE),VLOOKUP($I51&amp;$J51&amp;W$1,Pesos!$A:$I,9,FALSE)))</f>
        <v>0.3</v>
      </c>
      <c r="AV51" s="132">
        <f>IF(X51="","",IF(X51="SIM",VLOOKUP($I51&amp;$J51&amp;X$1,Pesos!$A:$I,7,FALSE),VLOOKUP($I51&amp;$J51&amp;X$1,Pesos!$A:$I,9,FALSE)))</f>
        <v>0.3</v>
      </c>
      <c r="AW51" s="132">
        <f>IF(Y51="","",IF(Y51="SIM",VLOOKUP($I51&amp;$J51&amp;Y$1,Pesos!$A:$I,7,FALSE),VLOOKUP($I51&amp;$J51&amp;Y$1,Pesos!$A:$I,9,FALSE)))</f>
        <v>0.15</v>
      </c>
      <c r="AX51" s="132">
        <f>IF(Z51="","",IF(Z51="SIM",VLOOKUP($I51&amp;$J51&amp;Z$1,Pesos!$A:$I,7,FALSE),VLOOKUP($I51&amp;$J51&amp;Z$1,Pesos!$A:$I,9,FALSE)))</f>
        <v>0.2</v>
      </c>
      <c r="AY51" s="132">
        <f>IF(AA51="","",IF(AA51="SIM",VLOOKUP($I51&amp;$J51&amp;AA$1,Pesos!$A:$I,7,FALSE),VLOOKUP($I51&amp;$J51&amp;AA$1,Pesos!$A:$I,9,FALSE)))</f>
        <v>0.3</v>
      </c>
      <c r="AZ51" s="132">
        <f>IF(AB51="","",IF(AB51="SIM",VLOOKUP($I51&amp;$J51&amp;AB$1,Pesos!$A:$I,7,FALSE),VLOOKUP($I51&amp;$J51&amp;AB$1,Pesos!$A:$I,9,FALSE)))</f>
        <v>0.1</v>
      </c>
      <c r="BA51" s="132" t="str">
        <f>IF(AC51="","",IF(AC51="SIM",VLOOKUP($I51&amp;$J51&amp;AC$1,Pesos!$A:$I,7,FALSE),VLOOKUP($I51&amp;$J51&amp;AC$1,Pesos!$A:$I,9,FALSE)))</f>
        <v/>
      </c>
      <c r="BB51" s="132" t="str">
        <f>IF(AD51="","",IF(AD51="SIM",VLOOKUP($I51&amp;$J51&amp;AD$1,Pesos!$A:$I,7,FALSE),VLOOKUP($I51&amp;$J51&amp;AD$1,Pesos!$A:$I,9,FALSE)))</f>
        <v/>
      </c>
      <c r="BC51" s="132" t="str">
        <f>IF(AE51="","",IF(AE51="SIM",VLOOKUP($I51&amp;$J51&amp;AE$1,Pesos!$A:$I,7,FALSE),VLOOKUP($I51&amp;$J51&amp;AE$1,Pesos!$A:$I,9,FALSE)))</f>
        <v/>
      </c>
      <c r="BD51" s="158">
        <f>IFERROR(AF51*VLOOKUP(J51,'BD Campos'!$X$1:$Y$14,2,FALSE),"0")</f>
        <v>8.8974999999999991</v>
      </c>
    </row>
    <row r="52" spans="1:56">
      <c r="A52" s="151" t="str">
        <f t="shared" si="3"/>
        <v>Jan11050Motorista 2DISTRIBUIÇÃO</v>
      </c>
      <c r="B52" s="149" t="str">
        <f t="shared" si="4"/>
        <v>Jan110502DISTRIBUIÇÃOPADRÃO</v>
      </c>
      <c r="C52" s="152">
        <v>1</v>
      </c>
      <c r="D52" s="153">
        <v>46045.461010648149</v>
      </c>
      <c r="E52" s="154" t="s">
        <v>12</v>
      </c>
      <c r="F52" s="155">
        <v>11050</v>
      </c>
      <c r="G52" s="149" t="s">
        <v>167</v>
      </c>
      <c r="H52" s="154">
        <v>2</v>
      </c>
      <c r="I52" s="149" t="s">
        <v>130</v>
      </c>
      <c r="J52" s="149" t="s">
        <v>97</v>
      </c>
      <c r="K52" s="149" t="s">
        <v>94</v>
      </c>
      <c r="L52" s="156">
        <v>34567190</v>
      </c>
      <c r="M52" s="157">
        <v>5.162037037037037E-3</v>
      </c>
      <c r="N52" s="131" t="s">
        <v>17</v>
      </c>
      <c r="O52" s="131" t="s">
        <v>17</v>
      </c>
      <c r="P52" s="131" t="s">
        <v>17</v>
      </c>
      <c r="Q52" s="131" t="s">
        <v>17</v>
      </c>
      <c r="R52" s="131" t="s">
        <v>17</v>
      </c>
      <c r="S52" s="131" t="s">
        <v>17</v>
      </c>
      <c r="T52" s="131" t="s">
        <v>17</v>
      </c>
      <c r="U52" s="131" t="s">
        <v>18</v>
      </c>
      <c r="V52" s="131" t="s">
        <v>18</v>
      </c>
      <c r="W52" s="131" t="s">
        <v>17</v>
      </c>
      <c r="X52" s="131" t="s">
        <v>17</v>
      </c>
      <c r="Y52" s="131" t="s">
        <v>17</v>
      </c>
      <c r="Z52" s="131" t="s">
        <v>17</v>
      </c>
      <c r="AA52" s="131" t="s">
        <v>17</v>
      </c>
      <c r="AB52" s="131" t="s">
        <v>17</v>
      </c>
      <c r="AC52" s="131"/>
      <c r="AD52" s="131"/>
      <c r="AE52" s="131"/>
      <c r="AF52" s="158">
        <f t="shared" si="6"/>
        <v>7.1437999999999997</v>
      </c>
      <c r="AG52" s="159"/>
      <c r="AH52" s="155" t="s">
        <v>169</v>
      </c>
      <c r="AI52" s="155" t="s">
        <v>83</v>
      </c>
      <c r="AJ52" s="131" t="str">
        <f>IFERROR(VLOOKUP(E52&amp;F52,'Listagem dos op'!A:S,19,0),"")</f>
        <v/>
      </c>
      <c r="AK52" s="131" t="str">
        <f t="shared" si="5"/>
        <v>Jan11050</v>
      </c>
      <c r="AL52" s="154">
        <f>IF(N52="","",IF(N52="SIM",VLOOKUP($I52&amp;$J52&amp;N$1,Pesos!$A:$I,7,FALSE),VLOOKUP($I52&amp;$J52&amp;N$1,Pesos!$A:$I,9,FALSE)))</f>
        <v>0.1</v>
      </c>
      <c r="AM52" s="154">
        <f>IF(O52="","",IF(O52="SIM",VLOOKUP($I52&amp;$J52&amp;O$1,Pesos!$A:$I,7,FALSE),VLOOKUP($I52&amp;$J52&amp;O$1,Pesos!$A:$I,9,FALSE)))</f>
        <v>0.1</v>
      </c>
      <c r="AN52" s="154">
        <f>IF(P52="","",IF(P52="SIM",VLOOKUP($I52&amp;$J52&amp;P$1,Pesos!$A:$I,7,FALSE),VLOOKUP($I52&amp;$J52&amp;P$1,Pesos!$A:$I,9,FALSE)))</f>
        <v>0.1</v>
      </c>
      <c r="AO52" s="154">
        <f>IF(Q52="","",IF(Q52="SIM",VLOOKUP($I52&amp;$J52&amp;Q$1,Pesos!$A:$I,7,FALSE),VLOOKUP($I52&amp;$J52&amp;Q$1,Pesos!$A:$I,9,FALSE)))</f>
        <v>2</v>
      </c>
      <c r="AP52" s="154">
        <f>IF(R52="","",IF(R52="SIM",VLOOKUP($I52&amp;$J52&amp;R$1,Pesos!$A:$I,7,FALSE),VLOOKUP($I52&amp;$J52&amp;R$1,Pesos!$A:$I,9,FALSE)))</f>
        <v>1.03</v>
      </c>
      <c r="AQ52" s="154">
        <f>IF(S52="","",IF(S52="SIM",VLOOKUP($I52&amp;$J52&amp;S$1,Pesos!$A:$I,7,FALSE),VLOOKUP($I52&amp;$J52&amp;S$1,Pesos!$A:$I,9,FALSE)))</f>
        <v>1.3</v>
      </c>
      <c r="AR52" s="156">
        <f>IF(T52="","",IF(T52="SIM",VLOOKUP($I52&amp;$J52&amp;T$1,Pesos!$A:$I,7,FALSE),VLOOKUP($I52&amp;$J52&amp;T$1,Pesos!$A:$I,9,FALSE)))</f>
        <v>1.3</v>
      </c>
      <c r="AS52" s="132">
        <f>IF(U52="","",IF(U52="SIM",VLOOKUP($I52&amp;$J52&amp;U$1,Pesos!$A:$I,7,FALSE),VLOOKUP($I52&amp;$J52&amp;U$1,Pesos!$A:$I,9,FALSE)))</f>
        <v>-6.6000000000000003E-2</v>
      </c>
      <c r="AT52" s="132">
        <f>IF(V52="","",IF(V52="SIM",VLOOKUP($I52&amp;$J52&amp;V$1,Pesos!$A:$I,7,FALSE),VLOOKUP($I52&amp;$J52&amp;V$1,Pesos!$A:$I,9,FALSE)))</f>
        <v>-7.0199999999999999E-2</v>
      </c>
      <c r="AU52" s="132">
        <f>IF(W52="","",IF(W52="SIM",VLOOKUP($I52&amp;$J52&amp;W$1,Pesos!$A:$I,7,FALSE),VLOOKUP($I52&amp;$J52&amp;W$1,Pesos!$A:$I,9,FALSE)))</f>
        <v>0.3</v>
      </c>
      <c r="AV52" s="132">
        <f>IF(X52="","",IF(X52="SIM",VLOOKUP($I52&amp;$J52&amp;X$1,Pesos!$A:$I,7,FALSE),VLOOKUP($I52&amp;$J52&amp;X$1,Pesos!$A:$I,9,FALSE)))</f>
        <v>0.3</v>
      </c>
      <c r="AW52" s="132">
        <f>IF(Y52="","",IF(Y52="SIM",VLOOKUP($I52&amp;$J52&amp;Y$1,Pesos!$A:$I,7,FALSE),VLOOKUP($I52&amp;$J52&amp;Y$1,Pesos!$A:$I,9,FALSE)))</f>
        <v>0.15</v>
      </c>
      <c r="AX52" s="132">
        <f>IF(Z52="","",IF(Z52="SIM",VLOOKUP($I52&amp;$J52&amp;Z$1,Pesos!$A:$I,7,FALSE),VLOOKUP($I52&amp;$J52&amp;Z$1,Pesos!$A:$I,9,FALSE)))</f>
        <v>0.2</v>
      </c>
      <c r="AY52" s="132">
        <f>IF(AA52="","",IF(AA52="SIM",VLOOKUP($I52&amp;$J52&amp;AA$1,Pesos!$A:$I,7,FALSE),VLOOKUP($I52&amp;$J52&amp;AA$1,Pesos!$A:$I,9,FALSE)))</f>
        <v>0.3</v>
      </c>
      <c r="AZ52" s="132">
        <f>IF(AB52="","",IF(AB52="SIM",VLOOKUP($I52&amp;$J52&amp;AB$1,Pesos!$A:$I,7,FALSE),VLOOKUP($I52&amp;$J52&amp;AB$1,Pesos!$A:$I,9,FALSE)))</f>
        <v>0.1</v>
      </c>
      <c r="BA52" s="132" t="str">
        <f>IF(AC52="","",IF(AC52="SIM",VLOOKUP($I52&amp;$J52&amp;AC$1,Pesos!$A:$I,7,FALSE),VLOOKUP($I52&amp;$J52&amp;AC$1,Pesos!$A:$I,9,FALSE)))</f>
        <v/>
      </c>
      <c r="BB52" s="132" t="str">
        <f>IF(AD52="","",IF(AD52="SIM",VLOOKUP($I52&amp;$J52&amp;AD$1,Pesos!$A:$I,7,FALSE),VLOOKUP($I52&amp;$J52&amp;AD$1,Pesos!$A:$I,9,FALSE)))</f>
        <v/>
      </c>
      <c r="BC52" s="132" t="str">
        <f>IF(AE52="","",IF(AE52="SIM",VLOOKUP($I52&amp;$J52&amp;AE$1,Pesos!$A:$I,7,FALSE),VLOOKUP($I52&amp;$J52&amp;AE$1,Pesos!$A:$I,9,FALSE)))</f>
        <v/>
      </c>
      <c r="BD52" s="158">
        <f>IFERROR(AF52*VLOOKUP(J52,'BD Campos'!$X$1:$Y$14,2,FALSE),"0")</f>
        <v>7.1437999999999997</v>
      </c>
    </row>
    <row r="53" spans="1:56">
      <c r="A53" s="151" t="str">
        <f t="shared" si="3"/>
        <v>Jan11455ReceptivaRECEPTIVO</v>
      </c>
      <c r="B53" s="149" t="str">
        <f t="shared" si="4"/>
        <v>Jan114551RECEPTIVOPADRÃO</v>
      </c>
      <c r="C53" s="152">
        <v>1</v>
      </c>
      <c r="D53" s="153">
        <v>46045.632688773148</v>
      </c>
      <c r="E53" s="154" t="s">
        <v>12</v>
      </c>
      <c r="F53" s="155">
        <v>11455</v>
      </c>
      <c r="G53" s="149" t="s">
        <v>170</v>
      </c>
      <c r="H53" s="154">
        <v>1</v>
      </c>
      <c r="I53" s="149" t="s">
        <v>155</v>
      </c>
      <c r="J53" s="149" t="s">
        <v>81</v>
      </c>
      <c r="K53" s="149" t="s">
        <v>156</v>
      </c>
      <c r="L53" s="156" t="s">
        <v>171</v>
      </c>
      <c r="M53" s="157"/>
      <c r="N53" s="131" t="s">
        <v>17</v>
      </c>
      <c r="O53" s="131" t="s">
        <v>17</v>
      </c>
      <c r="P53" s="131" t="s">
        <v>18</v>
      </c>
      <c r="Q53" s="131" t="s">
        <v>17</v>
      </c>
      <c r="R53" s="131" t="s">
        <v>18</v>
      </c>
      <c r="S53" s="131" t="s">
        <v>18</v>
      </c>
      <c r="T53" s="131" t="s">
        <v>18</v>
      </c>
      <c r="U53" s="131" t="s">
        <v>17</v>
      </c>
      <c r="V53" s="131" t="s">
        <v>18</v>
      </c>
      <c r="W53" s="131"/>
      <c r="X53" s="131"/>
      <c r="Y53" s="131"/>
      <c r="Z53" s="131"/>
      <c r="AA53" s="131"/>
      <c r="AB53" s="131"/>
      <c r="AC53" s="131"/>
      <c r="AD53" s="131"/>
      <c r="AE53" s="131"/>
      <c r="AF53" s="158">
        <f t="shared" si="6"/>
        <v>4.0150000000000015</v>
      </c>
      <c r="AG53" s="159"/>
      <c r="AH53" s="155"/>
      <c r="AI53" s="155" t="s">
        <v>83</v>
      </c>
      <c r="AJ53" s="131" t="str">
        <f>IFERROR(VLOOKUP(E53&amp;F53,'Listagem dos op'!A:S,19,0),"")</f>
        <v/>
      </c>
      <c r="AK53" s="131" t="str">
        <f t="shared" si="5"/>
        <v>Jan11455</v>
      </c>
      <c r="AL53" s="154">
        <f>IF(N53="","",IF(N53="SIM",VLOOKUP($I53&amp;$J53&amp;N$1,Pesos!$A:$I,7,FALSE),VLOOKUP($I53&amp;$J53&amp;N$1,Pesos!$A:$I,9,FALSE)))</f>
        <v>0.3</v>
      </c>
      <c r="AM53" s="154">
        <f>IF(O53="","",IF(O53="SIM",VLOOKUP($I53&amp;$J53&amp;O$1,Pesos!$A:$I,7,FALSE),VLOOKUP($I53&amp;$J53&amp;O$1,Pesos!$A:$I,9,FALSE)))</f>
        <v>1.3</v>
      </c>
      <c r="AN53" s="154">
        <f>IF(P53="","",IF(P53="SIM",VLOOKUP($I53&amp;$J53&amp;P$1,Pesos!$A:$I,7,FALSE),VLOOKUP($I53&amp;$J53&amp;P$1,Pesos!$A:$I,9,FALSE)))</f>
        <v>-6.5000000000000002E-2</v>
      </c>
      <c r="AO53" s="154">
        <f>IF(Q53="","",IF(Q53="SIM",VLOOKUP($I53&amp;$J53&amp;Q$1,Pesos!$A:$I,7,FALSE),VLOOKUP($I53&amp;$J53&amp;Q$1,Pesos!$A:$I,9,FALSE)))</f>
        <v>1.4000000000000001</v>
      </c>
      <c r="AP53" s="154">
        <f>IF(R53="","",IF(R53="SIM",VLOOKUP($I53&amp;$J53&amp;R$1,Pesos!$A:$I,7,FALSE),VLOOKUP($I53&amp;$J53&amp;R$1,Pesos!$A:$I,9,FALSE)))</f>
        <v>-6.5000000000000002E-2</v>
      </c>
      <c r="AQ53" s="154">
        <f>IF(S53="","",IF(S53="SIM",VLOOKUP($I53&amp;$J53&amp;S$1,Pesos!$A:$I,7,FALSE),VLOOKUP($I53&amp;$J53&amp;S$1,Pesos!$A:$I,9,FALSE)))</f>
        <v>-7.0000000000000007E-2</v>
      </c>
      <c r="AR53" s="156">
        <f>IF(T53="","",IF(T53="SIM",VLOOKUP($I53&amp;$J53&amp;T$1,Pesos!$A:$I,7,FALSE),VLOOKUP($I53&amp;$J53&amp;T$1,Pesos!$A:$I,9,FALSE)))</f>
        <v>-7.0000000000000007E-2</v>
      </c>
      <c r="AS53" s="132">
        <f>IF(U53="","",IF(U53="SIM",VLOOKUP($I53&amp;$J53&amp;U$1,Pesos!$A:$I,7,FALSE),VLOOKUP($I53&amp;$J53&amp;U$1,Pesos!$A:$I,9,FALSE)))</f>
        <v>1.3</v>
      </c>
      <c r="AT53" s="132">
        <f>IF(V53="","",IF(V53="SIM",VLOOKUP($I53&amp;$J53&amp;V$1,Pesos!$A:$I,7,FALSE),VLOOKUP($I53&amp;$J53&amp;V$1,Pesos!$A:$I,9,FALSE)))</f>
        <v>-1.4999999999999999E-2</v>
      </c>
      <c r="AU53" s="132" t="str">
        <f>IF(W53="","",IF(W53="SIM",VLOOKUP($I53&amp;$J53&amp;W$1,Pesos!$A:$I,7,FALSE),VLOOKUP($I53&amp;$J53&amp;W$1,Pesos!$A:$I,9,FALSE)))</f>
        <v/>
      </c>
      <c r="AV53" s="132" t="str">
        <f>IF(X53="","",IF(X53="SIM",VLOOKUP($I53&amp;$J53&amp;X$1,Pesos!$A:$I,7,FALSE),VLOOKUP($I53&amp;$J53&amp;X$1,Pesos!$A:$I,9,FALSE)))</f>
        <v/>
      </c>
      <c r="AW53" s="132" t="str">
        <f>IF(Y53="","",IF(Y53="SIM",VLOOKUP($I53&amp;$J53&amp;Y$1,Pesos!$A:$I,7,FALSE),VLOOKUP($I53&amp;$J53&amp;Y$1,Pesos!$A:$I,9,FALSE)))</f>
        <v/>
      </c>
      <c r="AX53" s="132" t="str">
        <f>IF(Z53="","",IF(Z53="SIM",VLOOKUP($I53&amp;$J53&amp;Z$1,Pesos!$A:$I,7,FALSE),VLOOKUP($I53&amp;$J53&amp;Z$1,Pesos!$A:$I,9,FALSE)))</f>
        <v/>
      </c>
      <c r="AY53" s="132" t="str">
        <f>IF(AA53="","",IF(AA53="SIM",VLOOKUP($I53&amp;$J53&amp;AA$1,Pesos!$A:$I,7,FALSE),VLOOKUP($I53&amp;$J53&amp;AA$1,Pesos!$A:$I,9,FALSE)))</f>
        <v/>
      </c>
      <c r="AZ53" s="132" t="str">
        <f>IF(AB53="","",IF(AB53="SIM",VLOOKUP($I53&amp;$J53&amp;AB$1,Pesos!$A:$I,7,FALSE),VLOOKUP($I53&amp;$J53&amp;AB$1,Pesos!$A:$I,9,FALSE)))</f>
        <v/>
      </c>
      <c r="BA53" s="132" t="str">
        <f>IF(AC53="","",IF(AC53="SIM",VLOOKUP($I53&amp;$J53&amp;AC$1,Pesos!$A:$I,7,FALSE),VLOOKUP($I53&amp;$J53&amp;AC$1,Pesos!$A:$I,9,FALSE)))</f>
        <v/>
      </c>
      <c r="BB53" s="132" t="str">
        <f>IF(AD53="","",IF(AD53="SIM",VLOOKUP($I53&amp;$J53&amp;AD$1,Pesos!$A:$I,7,FALSE),VLOOKUP($I53&amp;$J53&amp;AD$1,Pesos!$A:$I,9,FALSE)))</f>
        <v/>
      </c>
      <c r="BC53" s="132" t="str">
        <f>IF(AE53="","",IF(AE53="SIM",VLOOKUP($I53&amp;$J53&amp;AE$1,Pesos!$A:$I,7,FALSE),VLOOKUP($I53&amp;$J53&amp;AE$1,Pesos!$A:$I,9,FALSE)))</f>
        <v/>
      </c>
      <c r="BD53" s="158">
        <f>IFERROR(AF53*VLOOKUP(J53,'BD Campos'!$X$1:$Y$14,2,FALSE),"0")</f>
        <v>4.0150000000000015</v>
      </c>
    </row>
    <row r="54" spans="1:56">
      <c r="A54" s="151" t="str">
        <f t="shared" si="3"/>
        <v>Jan11455Receptiva 2RECEPTIVO</v>
      </c>
      <c r="B54" s="149" t="str">
        <f t="shared" si="4"/>
        <v>Jan114552RECEPTIVOPADRÃO</v>
      </c>
      <c r="C54" s="152">
        <v>1</v>
      </c>
      <c r="D54" s="153">
        <v>46045.634531134259</v>
      </c>
      <c r="E54" s="154" t="s">
        <v>12</v>
      </c>
      <c r="F54" s="155">
        <v>11455</v>
      </c>
      <c r="G54" s="149" t="s">
        <v>170</v>
      </c>
      <c r="H54" s="154">
        <v>2</v>
      </c>
      <c r="I54" s="149" t="s">
        <v>155</v>
      </c>
      <c r="J54" s="149" t="s">
        <v>86</v>
      </c>
      <c r="K54" s="149" t="s">
        <v>156</v>
      </c>
      <c r="L54" s="156" t="s">
        <v>172</v>
      </c>
      <c r="M54" s="157"/>
      <c r="N54" s="131" t="s">
        <v>18</v>
      </c>
      <c r="O54" s="131" t="s">
        <v>17</v>
      </c>
      <c r="P54" s="131" t="s">
        <v>17</v>
      </c>
      <c r="Q54" s="131" t="s">
        <v>17</v>
      </c>
      <c r="R54" s="131" t="s">
        <v>17</v>
      </c>
      <c r="S54" s="131" t="s">
        <v>17</v>
      </c>
      <c r="T54" s="131" t="s">
        <v>17</v>
      </c>
      <c r="U54" s="131" t="s">
        <v>18</v>
      </c>
      <c r="V54" s="131" t="s">
        <v>18</v>
      </c>
      <c r="W54" s="131"/>
      <c r="X54" s="131"/>
      <c r="Y54" s="131"/>
      <c r="Z54" s="131"/>
      <c r="AA54" s="131"/>
      <c r="AB54" s="131"/>
      <c r="AC54" s="131"/>
      <c r="AD54" s="131"/>
      <c r="AE54" s="131"/>
      <c r="AF54" s="158">
        <f t="shared" si="6"/>
        <v>8.0050000000000008</v>
      </c>
      <c r="AG54" s="159"/>
      <c r="AH54" s="155"/>
      <c r="AI54" s="155" t="s">
        <v>83</v>
      </c>
      <c r="AJ54" s="131" t="str">
        <f>IFERROR(VLOOKUP(E54&amp;F54,'Listagem dos op'!A:S,19,0),"")</f>
        <v/>
      </c>
      <c r="AK54" s="131" t="str">
        <f t="shared" si="5"/>
        <v>Jan11455</v>
      </c>
      <c r="AL54" s="154">
        <f>IF(N54="","",IF(N54="SIM",VLOOKUP($I54&amp;$J54&amp;N$1,Pesos!$A:$I,7,FALSE),VLOOKUP($I54&amp;$J54&amp;N$1,Pesos!$A:$I,9,FALSE)))</f>
        <v>-1.4999999999999999E-2</v>
      </c>
      <c r="AM54" s="154">
        <f>IF(O54="","",IF(O54="SIM",VLOOKUP($I54&amp;$J54&amp;O$1,Pesos!$A:$I,7,FALSE),VLOOKUP($I54&amp;$J54&amp;O$1,Pesos!$A:$I,9,FALSE)))</f>
        <v>1.3</v>
      </c>
      <c r="AN54" s="154">
        <f>IF(P54="","",IF(P54="SIM",VLOOKUP($I54&amp;$J54&amp;P$1,Pesos!$A:$I,7,FALSE),VLOOKUP($I54&amp;$J54&amp;P$1,Pesos!$A:$I,9,FALSE)))</f>
        <v>1.3</v>
      </c>
      <c r="AO54" s="154">
        <f>IF(Q54="","",IF(Q54="SIM",VLOOKUP($I54&amp;$J54&amp;Q$1,Pesos!$A:$I,7,FALSE),VLOOKUP($I54&amp;$J54&amp;Q$1,Pesos!$A:$I,9,FALSE)))</f>
        <v>1.4000000000000001</v>
      </c>
      <c r="AP54" s="154">
        <f>IF(R54="","",IF(R54="SIM",VLOOKUP($I54&amp;$J54&amp;R$1,Pesos!$A:$I,7,FALSE),VLOOKUP($I54&amp;$J54&amp;R$1,Pesos!$A:$I,9,FALSE)))</f>
        <v>1.3</v>
      </c>
      <c r="AQ54" s="154">
        <f>IF(S54="","",IF(S54="SIM",VLOOKUP($I54&amp;$J54&amp;S$1,Pesos!$A:$I,7,FALSE),VLOOKUP($I54&amp;$J54&amp;S$1,Pesos!$A:$I,9,FALSE)))</f>
        <v>1.4000000000000001</v>
      </c>
      <c r="AR54" s="156">
        <f>IF(T54="","",IF(T54="SIM",VLOOKUP($I54&amp;$J54&amp;T$1,Pesos!$A:$I,7,FALSE),VLOOKUP($I54&amp;$J54&amp;T$1,Pesos!$A:$I,9,FALSE)))</f>
        <v>1.4000000000000001</v>
      </c>
      <c r="AS54" s="132">
        <f>IF(U54="","",IF(U54="SIM",VLOOKUP($I54&amp;$J54&amp;U$1,Pesos!$A:$I,7,FALSE),VLOOKUP($I54&amp;$J54&amp;U$1,Pesos!$A:$I,9,FALSE)))</f>
        <v>-6.5000000000000002E-2</v>
      </c>
      <c r="AT54" s="132">
        <f>IF(V54="","",IF(V54="SIM",VLOOKUP($I54&amp;$J54&amp;V$1,Pesos!$A:$I,7,FALSE),VLOOKUP($I54&amp;$J54&amp;V$1,Pesos!$A:$I,9,FALSE)))</f>
        <v>-1.4999999999999999E-2</v>
      </c>
      <c r="AU54" s="132" t="str">
        <f>IF(W54="","",IF(W54="SIM",VLOOKUP($I54&amp;$J54&amp;W$1,Pesos!$A:$I,7,FALSE),VLOOKUP($I54&amp;$J54&amp;W$1,Pesos!$A:$I,9,FALSE)))</f>
        <v/>
      </c>
      <c r="AV54" s="132" t="str">
        <f>IF(X54="","",IF(X54="SIM",VLOOKUP($I54&amp;$J54&amp;X$1,Pesos!$A:$I,7,FALSE),VLOOKUP($I54&amp;$J54&amp;X$1,Pesos!$A:$I,9,FALSE)))</f>
        <v/>
      </c>
      <c r="AW54" s="132" t="str">
        <f>IF(Y54="","",IF(Y54="SIM",VLOOKUP($I54&amp;$J54&amp;Y$1,Pesos!$A:$I,7,FALSE),VLOOKUP($I54&amp;$J54&amp;Y$1,Pesos!$A:$I,9,FALSE)))</f>
        <v/>
      </c>
      <c r="AX54" s="132" t="str">
        <f>IF(Z54="","",IF(Z54="SIM",VLOOKUP($I54&amp;$J54&amp;Z$1,Pesos!$A:$I,7,FALSE),VLOOKUP($I54&amp;$J54&amp;Z$1,Pesos!$A:$I,9,FALSE)))</f>
        <v/>
      </c>
      <c r="AY54" s="132" t="str">
        <f>IF(AA54="","",IF(AA54="SIM",VLOOKUP($I54&amp;$J54&amp;AA$1,Pesos!$A:$I,7,FALSE),VLOOKUP($I54&amp;$J54&amp;AA$1,Pesos!$A:$I,9,FALSE)))</f>
        <v/>
      </c>
      <c r="AZ54" s="132" t="str">
        <f>IF(AB54="","",IF(AB54="SIM",VLOOKUP($I54&amp;$J54&amp;AB$1,Pesos!$A:$I,7,FALSE),VLOOKUP($I54&amp;$J54&amp;AB$1,Pesos!$A:$I,9,FALSE)))</f>
        <v/>
      </c>
      <c r="BA54" s="132" t="str">
        <f>IF(AC54="","",IF(AC54="SIM",VLOOKUP($I54&amp;$J54&amp;AC$1,Pesos!$A:$I,7,FALSE),VLOOKUP($I54&amp;$J54&amp;AC$1,Pesos!$A:$I,9,FALSE)))</f>
        <v/>
      </c>
      <c r="BB54" s="132" t="str">
        <f>IF(AD54="","",IF(AD54="SIM",VLOOKUP($I54&amp;$J54&amp;AD$1,Pesos!$A:$I,7,FALSE),VLOOKUP($I54&amp;$J54&amp;AD$1,Pesos!$A:$I,9,FALSE)))</f>
        <v/>
      </c>
      <c r="BC54" s="132" t="str">
        <f>IF(AE54="","",IF(AE54="SIM",VLOOKUP($I54&amp;$J54&amp;AE$1,Pesos!$A:$I,7,FALSE),VLOOKUP($I54&amp;$J54&amp;AE$1,Pesos!$A:$I,9,FALSE)))</f>
        <v/>
      </c>
      <c r="BD54" s="158">
        <f>IFERROR(AF54*VLOOKUP(J54,'BD Campos'!$X$1:$Y$14,2,FALSE),"0")</f>
        <v>8.0050000000000008</v>
      </c>
    </row>
    <row r="55" spans="1:56">
      <c r="A55" s="151" t="str">
        <f t="shared" si="3"/>
        <v>Jan11369MotoristaDISTRIBUIÇÃO</v>
      </c>
      <c r="B55" s="149" t="str">
        <f t="shared" si="4"/>
        <v>Jan113691DISTRIBUIÇÃOPADRÃO</v>
      </c>
      <c r="C55" s="152">
        <v>1</v>
      </c>
      <c r="D55" s="153">
        <v>46045.681817824072</v>
      </c>
      <c r="E55" s="154" t="s">
        <v>12</v>
      </c>
      <c r="F55" s="155">
        <v>11369</v>
      </c>
      <c r="G55" s="149" t="s">
        <v>173</v>
      </c>
      <c r="H55" s="154">
        <v>1</v>
      </c>
      <c r="I55" s="149" t="s">
        <v>96</v>
      </c>
      <c r="J55" s="149" t="s">
        <v>93</v>
      </c>
      <c r="K55" s="149" t="s">
        <v>94</v>
      </c>
      <c r="L55" s="156">
        <v>34671879</v>
      </c>
      <c r="M55" s="157">
        <v>1.6087962962962963E-3</v>
      </c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58">
        <f t="shared" si="6"/>
        <v>0</v>
      </c>
      <c r="AG55" s="159" t="s">
        <v>111</v>
      </c>
      <c r="AH55" s="155" t="s">
        <v>174</v>
      </c>
      <c r="AI55" s="155" t="s">
        <v>83</v>
      </c>
      <c r="AJ55" s="131" t="str">
        <f>IFERROR(VLOOKUP(E55&amp;F55,'Listagem dos op'!A:S,19,0),"")</f>
        <v/>
      </c>
      <c r="AK55" s="131" t="str">
        <f t="shared" si="5"/>
        <v>Jan11369</v>
      </c>
      <c r="AL55" s="154" t="str">
        <f>IF(N55="","",IF(N55="SIM",VLOOKUP($I55&amp;$J55&amp;N$1,Pesos!$A:$I,7,FALSE),VLOOKUP($I55&amp;$J55&amp;N$1,Pesos!$A:$I,9,FALSE)))</f>
        <v/>
      </c>
      <c r="AM55" s="154" t="str">
        <f>IF(O55="","",IF(O55="SIM",VLOOKUP($I55&amp;$J55&amp;O$1,Pesos!$A:$I,7,FALSE),VLOOKUP($I55&amp;$J55&amp;O$1,Pesos!$A:$I,9,FALSE)))</f>
        <v/>
      </c>
      <c r="AN55" s="154" t="str">
        <f>IF(P55="","",IF(P55="SIM",VLOOKUP($I55&amp;$J55&amp;P$1,Pesos!$A:$I,7,FALSE),VLOOKUP($I55&amp;$J55&amp;P$1,Pesos!$A:$I,9,FALSE)))</f>
        <v/>
      </c>
      <c r="AO55" s="154" t="str">
        <f>IF(Q55="","",IF(Q55="SIM",VLOOKUP($I55&amp;$J55&amp;Q$1,Pesos!$A:$I,7,FALSE),VLOOKUP($I55&amp;$J55&amp;Q$1,Pesos!$A:$I,9,FALSE)))</f>
        <v/>
      </c>
      <c r="AP55" s="154" t="str">
        <f>IF(R55="","",IF(R55="SIM",VLOOKUP($I55&amp;$J55&amp;R$1,Pesos!$A:$I,7,FALSE),VLOOKUP($I55&amp;$J55&amp;R$1,Pesos!$A:$I,9,FALSE)))</f>
        <v/>
      </c>
      <c r="AQ55" s="154" t="str">
        <f>IF(S55="","",IF(S55="SIM",VLOOKUP($I55&amp;$J55&amp;S$1,Pesos!$A:$I,7,FALSE),VLOOKUP($I55&amp;$J55&amp;S$1,Pesos!$A:$I,9,FALSE)))</f>
        <v/>
      </c>
      <c r="AR55" s="156" t="str">
        <f>IF(T55="","",IF(T55="SIM",VLOOKUP($I55&amp;$J55&amp;T$1,Pesos!$A:$I,7,FALSE),VLOOKUP($I55&amp;$J55&amp;T$1,Pesos!$A:$I,9,FALSE)))</f>
        <v/>
      </c>
      <c r="AS55" s="132" t="str">
        <f>IF(U55="","",IF(U55="SIM",VLOOKUP($I55&amp;$J55&amp;U$1,Pesos!$A:$I,7,FALSE),VLOOKUP($I55&amp;$J55&amp;U$1,Pesos!$A:$I,9,FALSE)))</f>
        <v/>
      </c>
      <c r="AT55" s="132" t="str">
        <f>IF(V55="","",IF(V55="SIM",VLOOKUP($I55&amp;$J55&amp;V$1,Pesos!$A:$I,7,FALSE),VLOOKUP($I55&amp;$J55&amp;V$1,Pesos!$A:$I,9,FALSE)))</f>
        <v/>
      </c>
      <c r="AU55" s="132" t="str">
        <f>IF(W55="","",IF(W55="SIM",VLOOKUP($I55&amp;$J55&amp;W$1,Pesos!$A:$I,7,FALSE),VLOOKUP($I55&amp;$J55&amp;W$1,Pesos!$A:$I,9,FALSE)))</f>
        <v/>
      </c>
      <c r="AV55" s="132" t="str">
        <f>IF(X55="","",IF(X55="SIM",VLOOKUP($I55&amp;$J55&amp;X$1,Pesos!$A:$I,7,FALSE),VLOOKUP($I55&amp;$J55&amp;X$1,Pesos!$A:$I,9,FALSE)))</f>
        <v/>
      </c>
      <c r="AW55" s="132" t="str">
        <f>IF(Y55="","",IF(Y55="SIM",VLOOKUP($I55&amp;$J55&amp;Y$1,Pesos!$A:$I,7,FALSE),VLOOKUP($I55&amp;$J55&amp;Y$1,Pesos!$A:$I,9,FALSE)))</f>
        <v/>
      </c>
      <c r="AX55" s="132" t="str">
        <f>IF(Z55="","",IF(Z55="SIM",VLOOKUP($I55&amp;$J55&amp;Z$1,Pesos!$A:$I,7,FALSE),VLOOKUP($I55&amp;$J55&amp;Z$1,Pesos!$A:$I,9,FALSE)))</f>
        <v/>
      </c>
      <c r="AY55" s="132" t="str">
        <f>IF(AA55="","",IF(AA55="SIM",VLOOKUP($I55&amp;$J55&amp;AA$1,Pesos!$A:$I,7,FALSE),VLOOKUP($I55&amp;$J55&amp;AA$1,Pesos!$A:$I,9,FALSE)))</f>
        <v/>
      </c>
      <c r="AZ55" s="132" t="str">
        <f>IF(AB55="","",IF(AB55="SIM",VLOOKUP($I55&amp;$J55&amp;AB$1,Pesos!$A:$I,7,FALSE),VLOOKUP($I55&amp;$J55&amp;AB$1,Pesos!$A:$I,9,FALSE)))</f>
        <v/>
      </c>
      <c r="BA55" s="132" t="str">
        <f>IF(AC55="","",IF(AC55="SIM",VLOOKUP($I55&amp;$J55&amp;AC$1,Pesos!$A:$I,7,FALSE),VLOOKUP($I55&amp;$J55&amp;AC$1,Pesos!$A:$I,9,FALSE)))</f>
        <v/>
      </c>
      <c r="BB55" s="132" t="str">
        <f>IF(AD55="","",IF(AD55="SIM",VLOOKUP($I55&amp;$J55&amp;AD$1,Pesos!$A:$I,7,FALSE),VLOOKUP($I55&amp;$J55&amp;AD$1,Pesos!$A:$I,9,FALSE)))</f>
        <v/>
      </c>
      <c r="BC55" s="132" t="str">
        <f>IF(AE55="","",IF(AE55="SIM",VLOOKUP($I55&amp;$J55&amp;AE$1,Pesos!$A:$I,7,FALSE),VLOOKUP($I55&amp;$J55&amp;AE$1,Pesos!$A:$I,9,FALSE)))</f>
        <v/>
      </c>
      <c r="BD55" s="158">
        <f>IFERROR(AF55*VLOOKUP(J55,'BD Campos'!$X$1:$Y$14,2,FALSE),"0")</f>
        <v>0</v>
      </c>
    </row>
    <row r="56" spans="1:56">
      <c r="A56" s="151" t="str">
        <f t="shared" si="3"/>
        <v>Jan11369Motorista 2DISTRIBUIÇÃO</v>
      </c>
      <c r="B56" s="149" t="str">
        <f t="shared" si="4"/>
        <v>Jan113692DISTRIBUIÇÃOPADRÃO</v>
      </c>
      <c r="C56" s="152">
        <v>1</v>
      </c>
      <c r="D56" s="153">
        <v>46045.688260995368</v>
      </c>
      <c r="E56" s="154" t="s">
        <v>12</v>
      </c>
      <c r="F56" s="155">
        <v>11369</v>
      </c>
      <c r="G56" s="149" t="s">
        <v>173</v>
      </c>
      <c r="H56" s="154">
        <v>2</v>
      </c>
      <c r="I56" s="149" t="s">
        <v>96</v>
      </c>
      <c r="J56" s="149" t="s">
        <v>97</v>
      </c>
      <c r="K56" s="149" t="s">
        <v>94</v>
      </c>
      <c r="L56" s="156">
        <v>34718950</v>
      </c>
      <c r="M56" s="157" t="s">
        <v>175</v>
      </c>
      <c r="N56" s="131" t="s">
        <v>17</v>
      </c>
      <c r="O56" s="131" t="s">
        <v>17</v>
      </c>
      <c r="P56" s="131" t="s">
        <v>17</v>
      </c>
      <c r="Q56" s="131" t="s">
        <v>17</v>
      </c>
      <c r="R56" s="131" t="s">
        <v>17</v>
      </c>
      <c r="S56" s="131" t="s">
        <v>17</v>
      </c>
      <c r="T56" s="131" t="s">
        <v>17</v>
      </c>
      <c r="U56" s="131" t="s">
        <v>17</v>
      </c>
      <c r="V56" s="131" t="s">
        <v>17</v>
      </c>
      <c r="W56" s="131" t="s">
        <v>17</v>
      </c>
      <c r="X56" s="131" t="s">
        <v>17</v>
      </c>
      <c r="Y56" s="131" t="s">
        <v>17</v>
      </c>
      <c r="Z56" s="131" t="s">
        <v>17</v>
      </c>
      <c r="AA56" s="131" t="s">
        <v>17</v>
      </c>
      <c r="AB56" s="131" t="s">
        <v>17</v>
      </c>
      <c r="AC56" s="131"/>
      <c r="AD56" s="131"/>
      <c r="AE56" s="131"/>
      <c r="AF56" s="158">
        <f t="shared" si="6"/>
        <v>10.000000000000002</v>
      </c>
      <c r="AG56" s="159"/>
      <c r="AH56" s="155" t="s">
        <v>176</v>
      </c>
      <c r="AI56" s="155" t="s">
        <v>83</v>
      </c>
      <c r="AJ56" s="131" t="str">
        <f>IFERROR(VLOOKUP(E56&amp;F56,'Listagem dos op'!A:S,19,0),"")</f>
        <v/>
      </c>
      <c r="AK56" s="131" t="str">
        <f t="shared" si="5"/>
        <v>Jan11369</v>
      </c>
      <c r="AL56" s="154">
        <f>IF(N56="","",IF(N56="SIM",VLOOKUP($I56&amp;$J56&amp;N$1,Pesos!$A:$I,7,FALSE),VLOOKUP($I56&amp;$J56&amp;N$1,Pesos!$A:$I,9,FALSE)))</f>
        <v>0.1</v>
      </c>
      <c r="AM56" s="154">
        <f>IF(O56="","",IF(O56="SIM",VLOOKUP($I56&amp;$J56&amp;O$1,Pesos!$A:$I,7,FALSE),VLOOKUP($I56&amp;$J56&amp;O$1,Pesos!$A:$I,9,FALSE)))</f>
        <v>0.1</v>
      </c>
      <c r="AN56" s="154">
        <f>IF(P56="","",IF(P56="SIM",VLOOKUP($I56&amp;$J56&amp;P$1,Pesos!$A:$I,7,FALSE),VLOOKUP($I56&amp;$J56&amp;P$1,Pesos!$A:$I,9,FALSE)))</f>
        <v>0.1</v>
      </c>
      <c r="AO56" s="154">
        <f>IF(Q56="","",IF(Q56="SIM",VLOOKUP($I56&amp;$J56&amp;Q$1,Pesos!$A:$I,7,FALSE),VLOOKUP($I56&amp;$J56&amp;Q$1,Pesos!$A:$I,9,FALSE)))</f>
        <v>2</v>
      </c>
      <c r="AP56" s="154">
        <f>IF(R56="","",IF(R56="SIM",VLOOKUP($I56&amp;$J56&amp;R$1,Pesos!$A:$I,7,FALSE),VLOOKUP($I56&amp;$J56&amp;R$1,Pesos!$A:$I,9,FALSE)))</f>
        <v>1.03</v>
      </c>
      <c r="AQ56" s="154">
        <f>IF(S56="","",IF(S56="SIM",VLOOKUP($I56&amp;$J56&amp;S$1,Pesos!$A:$I,7,FALSE),VLOOKUP($I56&amp;$J56&amp;S$1,Pesos!$A:$I,9,FALSE)))</f>
        <v>1.22</v>
      </c>
      <c r="AR56" s="156">
        <f>IF(T56="","",IF(T56="SIM",VLOOKUP($I56&amp;$J56&amp;T$1,Pesos!$A:$I,7,FALSE),VLOOKUP($I56&amp;$J56&amp;T$1,Pesos!$A:$I,9,FALSE)))</f>
        <v>2</v>
      </c>
      <c r="AS56" s="132">
        <f>IF(U56="","",IF(U56="SIM",VLOOKUP($I56&amp;$J56&amp;U$1,Pesos!$A:$I,7,FALSE),VLOOKUP($I56&amp;$J56&amp;U$1,Pesos!$A:$I,9,FALSE)))</f>
        <v>1.05</v>
      </c>
      <c r="AT56" s="132">
        <f>IF(V56="","",IF(V56="SIM",VLOOKUP($I56&amp;$J56&amp;V$1,Pesos!$A:$I,7,FALSE),VLOOKUP($I56&amp;$J56&amp;V$1,Pesos!$A:$I,9,FALSE)))</f>
        <v>1.05</v>
      </c>
      <c r="AU56" s="132">
        <f>IF(W56="","",IF(W56="SIM",VLOOKUP($I56&amp;$J56&amp;W$1,Pesos!$A:$I,7,FALSE),VLOOKUP($I56&amp;$J56&amp;W$1,Pesos!$A:$I,9,FALSE)))</f>
        <v>0.3</v>
      </c>
      <c r="AV56" s="132">
        <f>IF(X56="","",IF(X56="SIM",VLOOKUP($I56&amp;$J56&amp;X$1,Pesos!$A:$I,7,FALSE),VLOOKUP($I56&amp;$J56&amp;X$1,Pesos!$A:$I,9,FALSE)))</f>
        <v>0.3</v>
      </c>
      <c r="AW56" s="132">
        <f>IF(Y56="","",IF(Y56="SIM",VLOOKUP($I56&amp;$J56&amp;Y$1,Pesos!$A:$I,7,FALSE),VLOOKUP($I56&amp;$J56&amp;Y$1,Pesos!$A:$I,9,FALSE)))</f>
        <v>0.15</v>
      </c>
      <c r="AX56" s="132">
        <f>IF(Z56="","",IF(Z56="SIM",VLOOKUP($I56&amp;$J56&amp;Z$1,Pesos!$A:$I,7,FALSE),VLOOKUP($I56&amp;$J56&amp;Z$1,Pesos!$A:$I,9,FALSE)))</f>
        <v>0.2</v>
      </c>
      <c r="AY56" s="132">
        <f>IF(AA56="","",IF(AA56="SIM",VLOOKUP($I56&amp;$J56&amp;AA$1,Pesos!$A:$I,7,FALSE),VLOOKUP($I56&amp;$J56&amp;AA$1,Pesos!$A:$I,9,FALSE)))</f>
        <v>0.3</v>
      </c>
      <c r="AZ56" s="132">
        <f>IF(AB56="","",IF(AB56="SIM",VLOOKUP($I56&amp;$J56&amp;AB$1,Pesos!$A:$I,7,FALSE),VLOOKUP($I56&amp;$J56&amp;AB$1,Pesos!$A:$I,9,FALSE)))</f>
        <v>0.1</v>
      </c>
      <c r="BA56" s="132" t="str">
        <f>IF(AC56="","",IF(AC56="SIM",VLOOKUP($I56&amp;$J56&amp;AC$1,Pesos!$A:$I,7,FALSE),VLOOKUP($I56&amp;$J56&amp;AC$1,Pesos!$A:$I,9,FALSE)))</f>
        <v/>
      </c>
      <c r="BB56" s="132" t="str">
        <f>IF(AD56="","",IF(AD56="SIM",VLOOKUP($I56&amp;$J56&amp;AD$1,Pesos!$A:$I,7,FALSE),VLOOKUP($I56&amp;$J56&amp;AD$1,Pesos!$A:$I,9,FALSE)))</f>
        <v/>
      </c>
      <c r="BC56" s="132" t="str">
        <f>IF(AE56="","",IF(AE56="SIM",VLOOKUP($I56&amp;$J56&amp;AE$1,Pesos!$A:$I,7,FALSE),VLOOKUP($I56&amp;$J56&amp;AE$1,Pesos!$A:$I,9,FALSE)))</f>
        <v/>
      </c>
      <c r="BD56" s="158">
        <f>IFERROR(AF56*VLOOKUP(J56,'BD Campos'!$X$1:$Y$14,2,FALSE),"0")</f>
        <v>10.000000000000002</v>
      </c>
    </row>
    <row r="57" spans="1:56">
      <c r="A57" s="151" t="str">
        <f t="shared" si="3"/>
        <v>Jan11296MotoristaDISTRIBUIÇÃO</v>
      </c>
      <c r="B57" s="149" t="str">
        <f t="shared" si="4"/>
        <v>Jan112961DISTRIBUIÇÃOPADRÃO</v>
      </c>
      <c r="C57" s="152">
        <v>1</v>
      </c>
      <c r="D57" s="153">
        <v>46045.690868171296</v>
      </c>
      <c r="E57" s="154" t="s">
        <v>12</v>
      </c>
      <c r="F57" s="155">
        <v>11296</v>
      </c>
      <c r="G57" s="149" t="s">
        <v>177</v>
      </c>
      <c r="H57" s="154">
        <v>1</v>
      </c>
      <c r="I57" s="149" t="s">
        <v>130</v>
      </c>
      <c r="J57" s="149" t="s">
        <v>93</v>
      </c>
      <c r="K57" s="149" t="s">
        <v>94</v>
      </c>
      <c r="L57" s="156">
        <v>34517046</v>
      </c>
      <c r="M57" s="157">
        <v>1.5856481481481479E-3</v>
      </c>
      <c r="N57" s="131" t="s">
        <v>17</v>
      </c>
      <c r="O57" s="131" t="s">
        <v>17</v>
      </c>
      <c r="P57" s="131" t="s">
        <v>17</v>
      </c>
      <c r="Q57" s="131" t="s">
        <v>17</v>
      </c>
      <c r="R57" s="131" t="s">
        <v>17</v>
      </c>
      <c r="S57" s="131" t="s">
        <v>17</v>
      </c>
      <c r="T57" s="131" t="s">
        <v>17</v>
      </c>
      <c r="U57" s="131" t="s">
        <v>17</v>
      </c>
      <c r="V57" s="131" t="s">
        <v>18</v>
      </c>
      <c r="W57" s="131" t="s">
        <v>17</v>
      </c>
      <c r="X57" s="131" t="s">
        <v>17</v>
      </c>
      <c r="Y57" s="131" t="s">
        <v>17</v>
      </c>
      <c r="Z57" s="131" t="s">
        <v>18</v>
      </c>
      <c r="AA57" s="131" t="s">
        <v>17</v>
      </c>
      <c r="AB57" s="131" t="s">
        <v>17</v>
      </c>
      <c r="AC57" s="131"/>
      <c r="AD57" s="131"/>
      <c r="AE57" s="131"/>
      <c r="AF57" s="158">
        <f t="shared" si="6"/>
        <v>8.3198000000000008</v>
      </c>
      <c r="AG57" s="159"/>
      <c r="AH57" s="155" t="s">
        <v>178</v>
      </c>
      <c r="AI57" s="155" t="s">
        <v>83</v>
      </c>
      <c r="AJ57" s="131" t="str">
        <f>IFERROR(VLOOKUP(E57&amp;F57,'Listagem dos op'!A:S,19,0),"")</f>
        <v/>
      </c>
      <c r="AK57" s="131" t="str">
        <f t="shared" si="5"/>
        <v>Jan11296</v>
      </c>
      <c r="AL57" s="154">
        <f>IF(N57="","",IF(N57="SIM",VLOOKUP($I57&amp;$J57&amp;N$1,Pesos!$A:$I,7,FALSE),VLOOKUP($I57&amp;$J57&amp;N$1,Pesos!$A:$I,9,FALSE)))</f>
        <v>0.1</v>
      </c>
      <c r="AM57" s="154">
        <f>IF(O57="","",IF(O57="SIM",VLOOKUP($I57&amp;$J57&amp;O$1,Pesos!$A:$I,7,FALSE),VLOOKUP($I57&amp;$J57&amp;O$1,Pesos!$A:$I,9,FALSE)))</f>
        <v>0.1</v>
      </c>
      <c r="AN57" s="154">
        <f>IF(P57="","",IF(P57="SIM",VLOOKUP($I57&amp;$J57&amp;P$1,Pesos!$A:$I,7,FALSE),VLOOKUP($I57&amp;$J57&amp;P$1,Pesos!$A:$I,9,FALSE)))</f>
        <v>0.1</v>
      </c>
      <c r="AO57" s="154">
        <f>IF(Q57="","",IF(Q57="SIM",VLOOKUP($I57&amp;$J57&amp;Q$1,Pesos!$A:$I,7,FALSE),VLOOKUP($I57&amp;$J57&amp;Q$1,Pesos!$A:$I,9,FALSE)))</f>
        <v>2</v>
      </c>
      <c r="AP57" s="154">
        <f>IF(R57="","",IF(R57="SIM",VLOOKUP($I57&amp;$J57&amp;R$1,Pesos!$A:$I,7,FALSE),VLOOKUP($I57&amp;$J57&amp;R$1,Pesos!$A:$I,9,FALSE)))</f>
        <v>1.03</v>
      </c>
      <c r="AQ57" s="154">
        <f>IF(S57="","",IF(S57="SIM",VLOOKUP($I57&amp;$J57&amp;S$1,Pesos!$A:$I,7,FALSE),VLOOKUP($I57&amp;$J57&amp;S$1,Pesos!$A:$I,9,FALSE)))</f>
        <v>1.3</v>
      </c>
      <c r="AR57" s="156">
        <f>IF(T57="","",IF(T57="SIM",VLOOKUP($I57&amp;$J57&amp;T$1,Pesos!$A:$I,7,FALSE),VLOOKUP($I57&amp;$J57&amp;T$1,Pesos!$A:$I,9,FALSE)))</f>
        <v>1.3</v>
      </c>
      <c r="AS57" s="132">
        <f>IF(U57="","",IF(U57="SIM",VLOOKUP($I57&amp;$J57&amp;U$1,Pesos!$A:$I,7,FALSE),VLOOKUP($I57&amp;$J57&amp;U$1,Pesos!$A:$I,9,FALSE)))</f>
        <v>1.32</v>
      </c>
      <c r="AT57" s="132">
        <f>IF(V57="","",IF(V57="SIM",VLOOKUP($I57&amp;$J57&amp;V$1,Pesos!$A:$I,7,FALSE),VLOOKUP($I57&amp;$J57&amp;V$1,Pesos!$A:$I,9,FALSE)))</f>
        <v>-7.0199999999999999E-2</v>
      </c>
      <c r="AU57" s="132">
        <f>IF(W57="","",IF(W57="SIM",VLOOKUP($I57&amp;$J57&amp;W$1,Pesos!$A:$I,7,FALSE),VLOOKUP($I57&amp;$J57&amp;W$1,Pesos!$A:$I,9,FALSE)))</f>
        <v>0.3</v>
      </c>
      <c r="AV57" s="132">
        <f>IF(X57="","",IF(X57="SIM",VLOOKUP($I57&amp;$J57&amp;X$1,Pesos!$A:$I,7,FALSE),VLOOKUP($I57&amp;$J57&amp;X$1,Pesos!$A:$I,9,FALSE)))</f>
        <v>0.3</v>
      </c>
      <c r="AW57" s="132">
        <f>IF(Y57="","",IF(Y57="SIM",VLOOKUP($I57&amp;$J57&amp;Y$1,Pesos!$A:$I,7,FALSE),VLOOKUP($I57&amp;$J57&amp;Y$1,Pesos!$A:$I,9,FALSE)))</f>
        <v>0.15</v>
      </c>
      <c r="AX57" s="132">
        <f>IF(Z57="","",IF(Z57="SIM",VLOOKUP($I57&amp;$J57&amp;Z$1,Pesos!$A:$I,7,FALSE),VLOOKUP($I57&amp;$J57&amp;Z$1,Pesos!$A:$I,9,FALSE)))</f>
        <v>-1.0000000000000002E-2</v>
      </c>
      <c r="AY57" s="132">
        <f>IF(AA57="","",IF(AA57="SIM",VLOOKUP($I57&amp;$J57&amp;AA$1,Pesos!$A:$I,7,FALSE),VLOOKUP($I57&amp;$J57&amp;AA$1,Pesos!$A:$I,9,FALSE)))</f>
        <v>0.3</v>
      </c>
      <c r="AZ57" s="132">
        <f>IF(AB57="","",IF(AB57="SIM",VLOOKUP($I57&amp;$J57&amp;AB$1,Pesos!$A:$I,7,FALSE),VLOOKUP($I57&amp;$J57&amp;AB$1,Pesos!$A:$I,9,FALSE)))</f>
        <v>0.1</v>
      </c>
      <c r="BA57" s="132" t="str">
        <f>IF(AC57="","",IF(AC57="SIM",VLOOKUP($I57&amp;$J57&amp;AC$1,Pesos!$A:$I,7,FALSE),VLOOKUP($I57&amp;$J57&amp;AC$1,Pesos!$A:$I,9,FALSE)))</f>
        <v/>
      </c>
      <c r="BB57" s="132" t="str">
        <f>IF(AD57="","",IF(AD57="SIM",VLOOKUP($I57&amp;$J57&amp;AD$1,Pesos!$A:$I,7,FALSE),VLOOKUP($I57&amp;$J57&amp;AD$1,Pesos!$A:$I,9,FALSE)))</f>
        <v/>
      </c>
      <c r="BC57" s="132" t="str">
        <f>IF(AE57="","",IF(AE57="SIM",VLOOKUP($I57&amp;$J57&amp;AE$1,Pesos!$A:$I,7,FALSE),VLOOKUP($I57&amp;$J57&amp;AE$1,Pesos!$A:$I,9,FALSE)))</f>
        <v/>
      </c>
      <c r="BD57" s="158">
        <f>IFERROR(AF57*VLOOKUP(J57,'BD Campos'!$X$1:$Y$14,2,FALSE),"0")</f>
        <v>8.3198000000000008</v>
      </c>
    </row>
    <row r="58" spans="1:56">
      <c r="A58" s="151" t="str">
        <f t="shared" si="3"/>
        <v>Jan11296Motorista 2DISTRIBUIÇÃO</v>
      </c>
      <c r="B58" s="149" t="str">
        <f t="shared" si="4"/>
        <v>Jan112962DISTRIBUIÇÃOPADRÃO</v>
      </c>
      <c r="C58" s="152">
        <v>1</v>
      </c>
      <c r="D58" s="153">
        <v>46045.698241550926</v>
      </c>
      <c r="E58" s="154" t="s">
        <v>12</v>
      </c>
      <c r="F58" s="155">
        <v>11296</v>
      </c>
      <c r="G58" s="149" t="s">
        <v>177</v>
      </c>
      <c r="H58" s="154">
        <v>2</v>
      </c>
      <c r="I58" s="149" t="s">
        <v>133</v>
      </c>
      <c r="J58" s="149" t="s">
        <v>97</v>
      </c>
      <c r="K58" s="149" t="s">
        <v>94</v>
      </c>
      <c r="L58" s="156">
        <v>34575987</v>
      </c>
      <c r="M58" s="157">
        <v>5.1504629629629635E-3</v>
      </c>
      <c r="N58" s="131" t="s">
        <v>17</v>
      </c>
      <c r="O58" s="131" t="s">
        <v>17</v>
      </c>
      <c r="P58" s="131" t="s">
        <v>17</v>
      </c>
      <c r="Q58" s="131" t="s">
        <v>17</v>
      </c>
      <c r="R58" s="131" t="s">
        <v>17</v>
      </c>
      <c r="S58" s="131" t="s">
        <v>17</v>
      </c>
      <c r="T58" s="131" t="s">
        <v>18</v>
      </c>
      <c r="U58" s="131" t="s">
        <v>17</v>
      </c>
      <c r="V58" s="131" t="s">
        <v>17</v>
      </c>
      <c r="W58" s="131" t="s">
        <v>18</v>
      </c>
      <c r="X58" s="131" t="s">
        <v>17</v>
      </c>
      <c r="Y58" s="131" t="s">
        <v>17</v>
      </c>
      <c r="Z58" s="131" t="s">
        <v>17</v>
      </c>
      <c r="AA58" s="131" t="s">
        <v>17</v>
      </c>
      <c r="AB58" s="131" t="s">
        <v>17</v>
      </c>
      <c r="AC58" s="131" t="s">
        <v>17</v>
      </c>
      <c r="AD58" s="131"/>
      <c r="AE58" s="131"/>
      <c r="AF58" s="158">
        <f t="shared" si="6"/>
        <v>7.7214999999999989</v>
      </c>
      <c r="AG58" s="159"/>
      <c r="AH58" s="155" t="s">
        <v>179</v>
      </c>
      <c r="AI58" s="155" t="s">
        <v>83</v>
      </c>
      <c r="AJ58" s="131" t="str">
        <f>IFERROR(VLOOKUP(E58&amp;F58,'Listagem dos op'!A:S,19,0),"")</f>
        <v/>
      </c>
      <c r="AK58" s="131" t="str">
        <f t="shared" si="5"/>
        <v>Jan11296</v>
      </c>
      <c r="AL58" s="154">
        <f>IF(N58="","",IF(N58="SIM",VLOOKUP($I58&amp;$J58&amp;N$1,Pesos!$A:$I,7,FALSE),VLOOKUP($I58&amp;$J58&amp;N$1,Pesos!$A:$I,9,FALSE)))</f>
        <v>0.1</v>
      </c>
      <c r="AM58" s="154">
        <f>IF(O58="","",IF(O58="SIM",VLOOKUP($I58&amp;$J58&amp;O$1,Pesos!$A:$I,7,FALSE),VLOOKUP($I58&amp;$J58&amp;O$1,Pesos!$A:$I,9,FALSE)))</f>
        <v>0.1</v>
      </c>
      <c r="AN58" s="154">
        <f>IF(P58="","",IF(P58="SIM",VLOOKUP($I58&amp;$J58&amp;P$1,Pesos!$A:$I,7,FALSE),VLOOKUP($I58&amp;$J58&amp;P$1,Pesos!$A:$I,9,FALSE)))</f>
        <v>0.1</v>
      </c>
      <c r="AO58" s="154">
        <f>IF(Q58="","",IF(Q58="SIM",VLOOKUP($I58&amp;$J58&amp;Q$1,Pesos!$A:$I,7,FALSE),VLOOKUP($I58&amp;$J58&amp;Q$1,Pesos!$A:$I,9,FALSE)))</f>
        <v>2</v>
      </c>
      <c r="AP58" s="154">
        <f>IF(R58="","",IF(R58="SIM",VLOOKUP($I58&amp;$J58&amp;R$1,Pesos!$A:$I,7,FALSE),VLOOKUP($I58&amp;$J58&amp;R$1,Pesos!$A:$I,9,FALSE)))</f>
        <v>1.03</v>
      </c>
      <c r="AQ58" s="154">
        <f>IF(S58="","",IF(S58="SIM",VLOOKUP($I58&amp;$J58&amp;S$1,Pesos!$A:$I,7,FALSE),VLOOKUP($I58&amp;$J58&amp;S$1,Pesos!$A:$I,9,FALSE)))</f>
        <v>1.05</v>
      </c>
      <c r="AR58" s="156">
        <f>IF(T58="","",IF(T58="SIM",VLOOKUP($I58&amp;$J58&amp;T$1,Pesos!$A:$I,7,FALSE),VLOOKUP($I58&amp;$J58&amp;T$1,Pesos!$A:$I,9,FALSE)))</f>
        <v>-5.2500000000000005E-2</v>
      </c>
      <c r="AS58" s="132">
        <f>IF(U58="","",IF(U58="SIM",VLOOKUP($I58&amp;$J58&amp;U$1,Pesos!$A:$I,7,FALSE),VLOOKUP($I58&amp;$J58&amp;U$1,Pesos!$A:$I,9,FALSE)))</f>
        <v>1.05</v>
      </c>
      <c r="AT58" s="132">
        <f>IF(V58="","",IF(V58="SIM",VLOOKUP($I58&amp;$J58&amp;V$1,Pesos!$A:$I,7,FALSE),VLOOKUP($I58&amp;$J58&amp;V$1,Pesos!$A:$I,9,FALSE)))</f>
        <v>1.05</v>
      </c>
      <c r="AU58" s="132">
        <f>IF(W58="","",IF(W58="SIM",VLOOKUP($I58&amp;$J58&amp;W$1,Pesos!$A:$I,7,FALSE),VLOOKUP($I58&amp;$J58&amp;W$1,Pesos!$A:$I,9,FALSE)))</f>
        <v>-5.6000000000000008E-2</v>
      </c>
      <c r="AV58" s="132">
        <f>IF(X58="","",IF(X58="SIM",VLOOKUP($I58&amp;$J58&amp;X$1,Pesos!$A:$I,7,FALSE),VLOOKUP($I58&amp;$J58&amp;X$1,Pesos!$A:$I,9,FALSE)))</f>
        <v>0.3</v>
      </c>
      <c r="AW58" s="132">
        <f>IF(Y58="","",IF(Y58="SIM",VLOOKUP($I58&amp;$J58&amp;Y$1,Pesos!$A:$I,7,FALSE),VLOOKUP($I58&amp;$J58&amp;Y$1,Pesos!$A:$I,9,FALSE)))</f>
        <v>0.3</v>
      </c>
      <c r="AX58" s="132">
        <f>IF(Z58="","",IF(Z58="SIM",VLOOKUP($I58&amp;$J58&amp;Z$1,Pesos!$A:$I,7,FALSE),VLOOKUP($I58&amp;$J58&amp;Z$1,Pesos!$A:$I,9,FALSE)))</f>
        <v>0.15</v>
      </c>
      <c r="AY58" s="132">
        <f>IF(AA58="","",IF(AA58="SIM",VLOOKUP($I58&amp;$J58&amp;AA$1,Pesos!$A:$I,7,FALSE),VLOOKUP($I58&amp;$J58&amp;AA$1,Pesos!$A:$I,9,FALSE)))</f>
        <v>0.2</v>
      </c>
      <c r="AZ58" s="132">
        <f>IF(AB58="","",IF(AB58="SIM",VLOOKUP($I58&amp;$J58&amp;AB$1,Pesos!$A:$I,7,FALSE),VLOOKUP($I58&amp;$J58&amp;AB$1,Pesos!$A:$I,9,FALSE)))</f>
        <v>0.3</v>
      </c>
      <c r="BA58" s="132">
        <f>IF(AC58="","",IF(AC58="SIM",VLOOKUP($I58&amp;$J58&amp;AC$1,Pesos!$A:$I,7,FALSE),VLOOKUP($I58&amp;$J58&amp;AC$1,Pesos!$A:$I,9,FALSE)))</f>
        <v>0.1</v>
      </c>
      <c r="BB58" s="132" t="str">
        <f>IF(AD58="","",IF(AD58="SIM",VLOOKUP($I58&amp;$J58&amp;AD$1,Pesos!$A:$I,7,FALSE),VLOOKUP($I58&amp;$J58&amp;AD$1,Pesos!$A:$I,9,FALSE)))</f>
        <v/>
      </c>
      <c r="BC58" s="132" t="str">
        <f>IF(AE58="","",IF(AE58="SIM",VLOOKUP($I58&amp;$J58&amp;AE$1,Pesos!$A:$I,7,FALSE),VLOOKUP($I58&amp;$J58&amp;AE$1,Pesos!$A:$I,9,FALSE)))</f>
        <v/>
      </c>
      <c r="BD58" s="158">
        <f>IFERROR(AF58*VLOOKUP(J58,'BD Campos'!$X$1:$Y$14,2,FALSE),"0")</f>
        <v>7.7214999999999989</v>
      </c>
    </row>
    <row r="59" spans="1:56">
      <c r="A59" s="151" t="str">
        <f t="shared" si="3"/>
        <v>Jan10862MotoristaDISTRIBUIÇÃO</v>
      </c>
      <c r="B59" s="149" t="str">
        <f t="shared" si="4"/>
        <v>Jan108621DISTRIBUIÇÃOPADRÃO</v>
      </c>
      <c r="C59" s="152">
        <v>1</v>
      </c>
      <c r="D59" s="153">
        <v>46045.704004629632</v>
      </c>
      <c r="E59" s="154" t="s">
        <v>12</v>
      </c>
      <c r="F59" s="155">
        <v>10862</v>
      </c>
      <c r="G59" s="149" t="s">
        <v>180</v>
      </c>
      <c r="H59" s="154">
        <v>1</v>
      </c>
      <c r="I59" s="149" t="s">
        <v>130</v>
      </c>
      <c r="J59" s="149" t="s">
        <v>93</v>
      </c>
      <c r="K59" s="149" t="s">
        <v>94</v>
      </c>
      <c r="L59" s="156">
        <v>34567278</v>
      </c>
      <c r="M59" s="157">
        <v>9.3750000000000007E-4</v>
      </c>
      <c r="N59" s="131" t="s">
        <v>17</v>
      </c>
      <c r="O59" s="131" t="s">
        <v>17</v>
      </c>
      <c r="P59" s="131" t="s">
        <v>17</v>
      </c>
      <c r="Q59" s="131" t="s">
        <v>17</v>
      </c>
      <c r="R59" s="131" t="s">
        <v>17</v>
      </c>
      <c r="S59" s="131" t="s">
        <v>17</v>
      </c>
      <c r="T59" s="131" t="s">
        <v>18</v>
      </c>
      <c r="U59" s="131" t="s">
        <v>18</v>
      </c>
      <c r="V59" s="131" t="s">
        <v>18</v>
      </c>
      <c r="W59" s="131" t="s">
        <v>17</v>
      </c>
      <c r="X59" s="131" t="s">
        <v>17</v>
      </c>
      <c r="Y59" s="131" t="s">
        <v>17</v>
      </c>
      <c r="Z59" s="131" t="s">
        <v>17</v>
      </c>
      <c r="AA59" s="131" t="s">
        <v>18</v>
      </c>
      <c r="AB59" s="131" t="s">
        <v>17</v>
      </c>
      <c r="AC59" s="131"/>
      <c r="AD59" s="131"/>
      <c r="AE59" s="131"/>
      <c r="AF59" s="158">
        <f t="shared" si="6"/>
        <v>5.4638</v>
      </c>
      <c r="AG59" s="159"/>
      <c r="AH59" s="155" t="s">
        <v>181</v>
      </c>
      <c r="AI59" s="155" t="s">
        <v>83</v>
      </c>
      <c r="AJ59" s="131" t="str">
        <f>IFERROR(VLOOKUP(E59&amp;F59,'Listagem dos op'!A:S,19,0),"")</f>
        <v/>
      </c>
      <c r="AK59" s="131" t="str">
        <f t="shared" si="5"/>
        <v>Jan10862</v>
      </c>
      <c r="AL59" s="154">
        <f>IF(N59="","",IF(N59="SIM",VLOOKUP($I59&amp;$J59&amp;N$1,Pesos!$A:$I,7,FALSE),VLOOKUP($I59&amp;$J59&amp;N$1,Pesos!$A:$I,9,FALSE)))</f>
        <v>0.1</v>
      </c>
      <c r="AM59" s="154">
        <f>IF(O59="","",IF(O59="SIM",VLOOKUP($I59&amp;$J59&amp;O$1,Pesos!$A:$I,7,FALSE),VLOOKUP($I59&amp;$J59&amp;O$1,Pesos!$A:$I,9,FALSE)))</f>
        <v>0.1</v>
      </c>
      <c r="AN59" s="154">
        <f>IF(P59="","",IF(P59="SIM",VLOOKUP($I59&amp;$J59&amp;P$1,Pesos!$A:$I,7,FALSE),VLOOKUP($I59&amp;$J59&amp;P$1,Pesos!$A:$I,9,FALSE)))</f>
        <v>0.1</v>
      </c>
      <c r="AO59" s="154">
        <f>IF(Q59="","",IF(Q59="SIM",VLOOKUP($I59&amp;$J59&amp;Q$1,Pesos!$A:$I,7,FALSE),VLOOKUP($I59&amp;$J59&amp;Q$1,Pesos!$A:$I,9,FALSE)))</f>
        <v>2</v>
      </c>
      <c r="AP59" s="154">
        <f>IF(R59="","",IF(R59="SIM",VLOOKUP($I59&amp;$J59&amp;R$1,Pesos!$A:$I,7,FALSE),VLOOKUP($I59&amp;$J59&amp;R$1,Pesos!$A:$I,9,FALSE)))</f>
        <v>1.03</v>
      </c>
      <c r="AQ59" s="154">
        <f>IF(S59="","",IF(S59="SIM",VLOOKUP($I59&amp;$J59&amp;S$1,Pesos!$A:$I,7,FALSE),VLOOKUP($I59&amp;$J59&amp;S$1,Pesos!$A:$I,9,FALSE)))</f>
        <v>1.3</v>
      </c>
      <c r="AR59" s="156">
        <f>IF(T59="","",IF(T59="SIM",VLOOKUP($I59&amp;$J59&amp;T$1,Pesos!$A:$I,7,FALSE),VLOOKUP($I59&amp;$J59&amp;T$1,Pesos!$A:$I,9,FALSE)))</f>
        <v>-6.5000000000000002E-2</v>
      </c>
      <c r="AS59" s="132">
        <f>IF(U59="","",IF(U59="SIM",VLOOKUP($I59&amp;$J59&amp;U$1,Pesos!$A:$I,7,FALSE),VLOOKUP($I59&amp;$J59&amp;U$1,Pesos!$A:$I,9,FALSE)))</f>
        <v>-6.6000000000000003E-2</v>
      </c>
      <c r="AT59" s="132">
        <f>IF(V59="","",IF(V59="SIM",VLOOKUP($I59&amp;$J59&amp;V$1,Pesos!$A:$I,7,FALSE),VLOOKUP($I59&amp;$J59&amp;V$1,Pesos!$A:$I,9,FALSE)))</f>
        <v>-7.0199999999999999E-2</v>
      </c>
      <c r="AU59" s="132">
        <f>IF(W59="","",IF(W59="SIM",VLOOKUP($I59&amp;$J59&amp;W$1,Pesos!$A:$I,7,FALSE),VLOOKUP($I59&amp;$J59&amp;W$1,Pesos!$A:$I,9,FALSE)))</f>
        <v>0.3</v>
      </c>
      <c r="AV59" s="132">
        <f>IF(X59="","",IF(X59="SIM",VLOOKUP($I59&amp;$J59&amp;X$1,Pesos!$A:$I,7,FALSE),VLOOKUP($I59&amp;$J59&amp;X$1,Pesos!$A:$I,9,FALSE)))</f>
        <v>0.3</v>
      </c>
      <c r="AW59" s="132">
        <f>IF(Y59="","",IF(Y59="SIM",VLOOKUP($I59&amp;$J59&amp;Y$1,Pesos!$A:$I,7,FALSE),VLOOKUP($I59&amp;$J59&amp;Y$1,Pesos!$A:$I,9,FALSE)))</f>
        <v>0.15</v>
      </c>
      <c r="AX59" s="132">
        <f>IF(Z59="","",IF(Z59="SIM",VLOOKUP($I59&amp;$J59&amp;Z$1,Pesos!$A:$I,7,FALSE),VLOOKUP($I59&amp;$J59&amp;Z$1,Pesos!$A:$I,9,FALSE)))</f>
        <v>0.2</v>
      </c>
      <c r="AY59" s="132">
        <f>IF(AA59="","",IF(AA59="SIM",VLOOKUP($I59&amp;$J59&amp;AA$1,Pesos!$A:$I,7,FALSE),VLOOKUP($I59&amp;$J59&amp;AA$1,Pesos!$A:$I,9,FALSE)))</f>
        <v>-1.4999999999999999E-2</v>
      </c>
      <c r="AZ59" s="132">
        <f>IF(AB59="","",IF(AB59="SIM",VLOOKUP($I59&amp;$J59&amp;AB$1,Pesos!$A:$I,7,FALSE),VLOOKUP($I59&amp;$J59&amp;AB$1,Pesos!$A:$I,9,FALSE)))</f>
        <v>0.1</v>
      </c>
      <c r="BA59" s="132" t="str">
        <f>IF(AC59="","",IF(AC59="SIM",VLOOKUP($I59&amp;$J59&amp;AC$1,Pesos!$A:$I,7,FALSE),VLOOKUP($I59&amp;$J59&amp;AC$1,Pesos!$A:$I,9,FALSE)))</f>
        <v/>
      </c>
      <c r="BB59" s="132" t="str">
        <f>IF(AD59="","",IF(AD59="SIM",VLOOKUP($I59&amp;$J59&amp;AD$1,Pesos!$A:$I,7,FALSE),VLOOKUP($I59&amp;$J59&amp;AD$1,Pesos!$A:$I,9,FALSE)))</f>
        <v/>
      </c>
      <c r="BC59" s="132" t="str">
        <f>IF(AE59="","",IF(AE59="SIM",VLOOKUP($I59&amp;$J59&amp;AE$1,Pesos!$A:$I,7,FALSE),VLOOKUP($I59&amp;$J59&amp;AE$1,Pesos!$A:$I,9,FALSE)))</f>
        <v/>
      </c>
      <c r="BD59" s="158">
        <f>IFERROR(AF59*VLOOKUP(J59,'BD Campos'!$X$1:$Y$14,2,FALSE),"0")</f>
        <v>5.4638</v>
      </c>
    </row>
    <row r="60" spans="1:56">
      <c r="A60" s="151" t="str">
        <f t="shared" si="3"/>
        <v>Jan10862Motorista 2DISTRIBUIÇÃO</v>
      </c>
      <c r="B60" s="149" t="str">
        <f t="shared" si="4"/>
        <v>Jan108622DISTRIBUIÇÃOPADRÃO</v>
      </c>
      <c r="C60" s="152">
        <v>1</v>
      </c>
      <c r="D60" s="153">
        <v>46045.706193518519</v>
      </c>
      <c r="E60" s="154" t="s">
        <v>12</v>
      </c>
      <c r="F60" s="155">
        <v>10862</v>
      </c>
      <c r="G60" s="149" t="s">
        <v>180</v>
      </c>
      <c r="H60" s="154">
        <v>2</v>
      </c>
      <c r="I60" s="149" t="s">
        <v>130</v>
      </c>
      <c r="J60" s="149" t="s">
        <v>97</v>
      </c>
      <c r="K60" s="149" t="s">
        <v>94</v>
      </c>
      <c r="L60" s="156">
        <v>34682915</v>
      </c>
      <c r="M60" s="157">
        <v>1.4930555555555556E-3</v>
      </c>
      <c r="N60" s="131" t="s">
        <v>17</v>
      </c>
      <c r="O60" s="131" t="s">
        <v>17</v>
      </c>
      <c r="P60" s="131" t="s">
        <v>17</v>
      </c>
      <c r="Q60" s="131" t="s">
        <v>17</v>
      </c>
      <c r="R60" s="131" t="s">
        <v>17</v>
      </c>
      <c r="S60" s="131" t="s">
        <v>17</v>
      </c>
      <c r="T60" s="131" t="s">
        <v>18</v>
      </c>
      <c r="U60" s="131" t="s">
        <v>17</v>
      </c>
      <c r="V60" s="131" t="s">
        <v>17</v>
      </c>
      <c r="W60" s="131" t="s">
        <v>17</v>
      </c>
      <c r="X60" s="131" t="s">
        <v>17</v>
      </c>
      <c r="Y60" s="131" t="s">
        <v>17</v>
      </c>
      <c r="Z60" s="131" t="s">
        <v>17</v>
      </c>
      <c r="AA60" s="131" t="s">
        <v>17</v>
      </c>
      <c r="AB60" s="131" t="s">
        <v>17</v>
      </c>
      <c r="AC60" s="131"/>
      <c r="AD60" s="131"/>
      <c r="AE60" s="131"/>
      <c r="AF60" s="158">
        <f t="shared" si="6"/>
        <v>8.6389999999999993</v>
      </c>
      <c r="AG60" s="159"/>
      <c r="AH60" s="155" t="s">
        <v>182</v>
      </c>
      <c r="AI60" s="155" t="s">
        <v>83</v>
      </c>
      <c r="AJ60" s="131" t="str">
        <f>IFERROR(VLOOKUP(E60&amp;F60,'Listagem dos op'!A:S,19,0),"")</f>
        <v/>
      </c>
      <c r="AK60" s="131" t="str">
        <f t="shared" si="5"/>
        <v>Jan10862</v>
      </c>
      <c r="AL60" s="154">
        <f>IF(N60="","",IF(N60="SIM",VLOOKUP($I60&amp;$J60&amp;N$1,Pesos!$A:$I,7,FALSE),VLOOKUP($I60&amp;$J60&amp;N$1,Pesos!$A:$I,9,FALSE)))</f>
        <v>0.1</v>
      </c>
      <c r="AM60" s="154">
        <f>IF(O60="","",IF(O60="SIM",VLOOKUP($I60&amp;$J60&amp;O$1,Pesos!$A:$I,7,FALSE),VLOOKUP($I60&amp;$J60&amp;O$1,Pesos!$A:$I,9,FALSE)))</f>
        <v>0.1</v>
      </c>
      <c r="AN60" s="154">
        <f>IF(P60="","",IF(P60="SIM",VLOOKUP($I60&amp;$J60&amp;P$1,Pesos!$A:$I,7,FALSE),VLOOKUP($I60&amp;$J60&amp;P$1,Pesos!$A:$I,9,FALSE)))</f>
        <v>0.1</v>
      </c>
      <c r="AO60" s="154">
        <f>IF(Q60="","",IF(Q60="SIM",VLOOKUP($I60&amp;$J60&amp;Q$1,Pesos!$A:$I,7,FALSE),VLOOKUP($I60&amp;$J60&amp;Q$1,Pesos!$A:$I,9,FALSE)))</f>
        <v>2</v>
      </c>
      <c r="AP60" s="154">
        <f>IF(R60="","",IF(R60="SIM",VLOOKUP($I60&amp;$J60&amp;R$1,Pesos!$A:$I,7,FALSE),VLOOKUP($I60&amp;$J60&amp;R$1,Pesos!$A:$I,9,FALSE)))</f>
        <v>1.03</v>
      </c>
      <c r="AQ60" s="154">
        <f>IF(S60="","",IF(S60="SIM",VLOOKUP($I60&amp;$J60&amp;S$1,Pesos!$A:$I,7,FALSE),VLOOKUP($I60&amp;$J60&amp;S$1,Pesos!$A:$I,9,FALSE)))</f>
        <v>1.3</v>
      </c>
      <c r="AR60" s="156">
        <f>IF(T60="","",IF(T60="SIM",VLOOKUP($I60&amp;$J60&amp;T$1,Pesos!$A:$I,7,FALSE),VLOOKUP($I60&amp;$J60&amp;T$1,Pesos!$A:$I,9,FALSE)))</f>
        <v>-6.5000000000000002E-2</v>
      </c>
      <c r="AS60" s="132">
        <f>IF(U60="","",IF(U60="SIM",VLOOKUP($I60&amp;$J60&amp;U$1,Pesos!$A:$I,7,FALSE),VLOOKUP($I60&amp;$J60&amp;U$1,Pesos!$A:$I,9,FALSE)))</f>
        <v>1.32</v>
      </c>
      <c r="AT60" s="132">
        <f>IF(V60="","",IF(V60="SIM",VLOOKUP($I60&amp;$J60&amp;V$1,Pesos!$A:$I,7,FALSE),VLOOKUP($I60&amp;$J60&amp;V$1,Pesos!$A:$I,9,FALSE)))</f>
        <v>1.4039999999999999</v>
      </c>
      <c r="AU60" s="132">
        <f>IF(W60="","",IF(W60="SIM",VLOOKUP($I60&amp;$J60&amp;W$1,Pesos!$A:$I,7,FALSE),VLOOKUP($I60&amp;$J60&amp;W$1,Pesos!$A:$I,9,FALSE)))</f>
        <v>0.3</v>
      </c>
      <c r="AV60" s="132">
        <f>IF(X60="","",IF(X60="SIM",VLOOKUP($I60&amp;$J60&amp;X$1,Pesos!$A:$I,7,FALSE),VLOOKUP($I60&amp;$J60&amp;X$1,Pesos!$A:$I,9,FALSE)))</f>
        <v>0.3</v>
      </c>
      <c r="AW60" s="132">
        <f>IF(Y60="","",IF(Y60="SIM",VLOOKUP($I60&amp;$J60&amp;Y$1,Pesos!$A:$I,7,FALSE),VLOOKUP($I60&amp;$J60&amp;Y$1,Pesos!$A:$I,9,FALSE)))</f>
        <v>0.15</v>
      </c>
      <c r="AX60" s="132">
        <f>IF(Z60="","",IF(Z60="SIM",VLOOKUP($I60&amp;$J60&amp;Z$1,Pesos!$A:$I,7,FALSE),VLOOKUP($I60&amp;$J60&amp;Z$1,Pesos!$A:$I,9,FALSE)))</f>
        <v>0.2</v>
      </c>
      <c r="AY60" s="132">
        <f>IF(AA60="","",IF(AA60="SIM",VLOOKUP($I60&amp;$J60&amp;AA$1,Pesos!$A:$I,7,FALSE),VLOOKUP($I60&amp;$J60&amp;AA$1,Pesos!$A:$I,9,FALSE)))</f>
        <v>0.3</v>
      </c>
      <c r="AZ60" s="132">
        <f>IF(AB60="","",IF(AB60="SIM",VLOOKUP($I60&amp;$J60&amp;AB$1,Pesos!$A:$I,7,FALSE),VLOOKUP($I60&amp;$J60&amp;AB$1,Pesos!$A:$I,9,FALSE)))</f>
        <v>0.1</v>
      </c>
      <c r="BA60" s="132" t="str">
        <f>IF(AC60="","",IF(AC60="SIM",VLOOKUP($I60&amp;$J60&amp;AC$1,Pesos!$A:$I,7,FALSE),VLOOKUP($I60&amp;$J60&amp;AC$1,Pesos!$A:$I,9,FALSE)))</f>
        <v/>
      </c>
      <c r="BB60" s="132" t="str">
        <f>IF(AD60="","",IF(AD60="SIM",VLOOKUP($I60&amp;$J60&amp;AD$1,Pesos!$A:$I,7,FALSE),VLOOKUP($I60&amp;$J60&amp;AD$1,Pesos!$A:$I,9,FALSE)))</f>
        <v/>
      </c>
      <c r="BC60" s="132" t="str">
        <f>IF(AE60="","",IF(AE60="SIM",VLOOKUP($I60&amp;$J60&amp;AE$1,Pesos!$A:$I,7,FALSE),VLOOKUP($I60&amp;$J60&amp;AE$1,Pesos!$A:$I,9,FALSE)))</f>
        <v/>
      </c>
      <c r="BD60" s="158">
        <f>IFERROR(AF60*VLOOKUP(J60,'BD Campos'!$X$1:$Y$14,2,FALSE),"0")</f>
        <v>8.6389999999999993</v>
      </c>
    </row>
    <row r="61" spans="1:56">
      <c r="A61" s="151" t="str">
        <f t="shared" si="3"/>
        <v>Jan11381MotoristaDISTRIBUIÇÃO</v>
      </c>
      <c r="B61" s="149" t="str">
        <f t="shared" si="4"/>
        <v>Jan113811DISTRIBUIÇÃOPADRÃO</v>
      </c>
      <c r="C61" s="152">
        <v>1</v>
      </c>
      <c r="D61" s="153">
        <v>46045.770779513892</v>
      </c>
      <c r="E61" s="154" t="s">
        <v>12</v>
      </c>
      <c r="F61" s="155">
        <v>11381</v>
      </c>
      <c r="G61" s="149" t="s">
        <v>183</v>
      </c>
      <c r="H61" s="154">
        <v>1</v>
      </c>
      <c r="I61" s="149" t="s">
        <v>92</v>
      </c>
      <c r="J61" s="149" t="s">
        <v>93</v>
      </c>
      <c r="K61" s="149" t="s">
        <v>94</v>
      </c>
      <c r="L61" s="156">
        <v>34560533</v>
      </c>
      <c r="M61" s="157">
        <v>2.9745370370370373E-3</v>
      </c>
      <c r="N61" s="131" t="s">
        <v>17</v>
      </c>
      <c r="O61" s="131" t="s">
        <v>18</v>
      </c>
      <c r="P61" s="131" t="s">
        <v>18</v>
      </c>
      <c r="Q61" s="131" t="s">
        <v>17</v>
      </c>
      <c r="R61" s="131" t="s">
        <v>17</v>
      </c>
      <c r="S61" s="131" t="s">
        <v>18</v>
      </c>
      <c r="T61" s="131" t="s">
        <v>17</v>
      </c>
      <c r="U61" s="131" t="s">
        <v>18</v>
      </c>
      <c r="V61" s="131" t="s">
        <v>17</v>
      </c>
      <c r="W61" s="131" t="s">
        <v>17</v>
      </c>
      <c r="X61" s="131" t="s">
        <v>17</v>
      </c>
      <c r="Y61" s="131" t="s">
        <v>17</v>
      </c>
      <c r="Z61" s="131" t="s">
        <v>17</v>
      </c>
      <c r="AA61" s="131" t="s">
        <v>17</v>
      </c>
      <c r="AB61" s="131"/>
      <c r="AC61" s="131"/>
      <c r="AD61" s="131"/>
      <c r="AE61" s="131"/>
      <c r="AF61" s="158">
        <f t="shared" si="6"/>
        <v>6.22</v>
      </c>
      <c r="AG61" s="159"/>
      <c r="AH61" s="155" t="s">
        <v>184</v>
      </c>
      <c r="AI61" s="155" t="s">
        <v>83</v>
      </c>
      <c r="AJ61" s="131" t="str">
        <f>IFERROR(VLOOKUP(E61&amp;F61,'Listagem dos op'!A:S,19,0),"")</f>
        <v/>
      </c>
      <c r="AK61" s="131" t="str">
        <f t="shared" si="5"/>
        <v>Jan11381</v>
      </c>
      <c r="AL61" s="154">
        <f>IF(N61="","",IF(N61="SIM",VLOOKUP($I61&amp;$J61&amp;N$1,Pesos!$A:$I,7,FALSE),VLOOKUP($I61&amp;$J61&amp;N$1,Pesos!$A:$I,9,FALSE)))</f>
        <v>0.1</v>
      </c>
      <c r="AM61" s="154">
        <f>IF(O61="","",IF(O61="SIM",VLOOKUP($I61&amp;$J61&amp;O$1,Pesos!$A:$I,7,FALSE),VLOOKUP($I61&amp;$J61&amp;O$1,Pesos!$A:$I,9,FALSE)))</f>
        <v>-5.000000000000001E-3</v>
      </c>
      <c r="AN61" s="154">
        <f>IF(P61="","",IF(P61="SIM",VLOOKUP($I61&amp;$J61&amp;P$1,Pesos!$A:$I,7,FALSE),VLOOKUP($I61&amp;$J61&amp;P$1,Pesos!$A:$I,9,FALSE)))</f>
        <v>-5.000000000000001E-3</v>
      </c>
      <c r="AO61" s="154">
        <f>IF(Q61="","",IF(Q61="SIM",VLOOKUP($I61&amp;$J61&amp;Q$1,Pesos!$A:$I,7,FALSE),VLOOKUP($I61&amp;$J61&amp;Q$1,Pesos!$A:$I,9,FALSE)))</f>
        <v>2</v>
      </c>
      <c r="AP61" s="154">
        <f>IF(R61="","",IF(R61="SIM",VLOOKUP($I61&amp;$J61&amp;R$1,Pesos!$A:$I,7,FALSE),VLOOKUP($I61&amp;$J61&amp;R$1,Pesos!$A:$I,9,FALSE)))</f>
        <v>1.03</v>
      </c>
      <c r="AQ61" s="154">
        <f>IF(S61="","",IF(S61="SIM",VLOOKUP($I61&amp;$J61&amp;S$1,Pesos!$A:$I,7,FALSE),VLOOKUP($I61&amp;$J61&amp;S$1,Pesos!$A:$I,9,FALSE)))</f>
        <v>-8.500000000000002E-2</v>
      </c>
      <c r="AR61" s="156">
        <f>IF(T61="","",IF(T61="SIM",VLOOKUP($I61&amp;$J61&amp;T$1,Pesos!$A:$I,7,FALSE),VLOOKUP($I61&amp;$J61&amp;T$1,Pesos!$A:$I,9,FALSE)))</f>
        <v>1.92</v>
      </c>
      <c r="AS61" s="132">
        <f>IF(U61="","",IF(U61="SIM",VLOOKUP($I61&amp;$J61&amp;U$1,Pesos!$A:$I,7,FALSE),VLOOKUP($I61&amp;$J61&amp;U$1,Pesos!$A:$I,9,FALSE)))</f>
        <v>-8.500000000000002E-2</v>
      </c>
      <c r="AT61" s="132">
        <f>IF(V61="","",IF(V61="SIM",VLOOKUP($I61&amp;$J61&amp;V$1,Pesos!$A:$I,7,FALSE),VLOOKUP($I61&amp;$J61&amp;V$1,Pesos!$A:$I,9,FALSE)))</f>
        <v>0.3</v>
      </c>
      <c r="AU61" s="132">
        <f>IF(W61="","",IF(W61="SIM",VLOOKUP($I61&amp;$J61&amp;W$1,Pesos!$A:$I,7,FALSE),VLOOKUP($I61&amp;$J61&amp;W$1,Pesos!$A:$I,9,FALSE)))</f>
        <v>0.3</v>
      </c>
      <c r="AV61" s="132">
        <f>IF(X61="","",IF(X61="SIM",VLOOKUP($I61&amp;$J61&amp;X$1,Pesos!$A:$I,7,FALSE),VLOOKUP($I61&amp;$J61&amp;X$1,Pesos!$A:$I,9,FALSE)))</f>
        <v>0.15</v>
      </c>
      <c r="AW61" s="132">
        <f>IF(Y61="","",IF(Y61="SIM",VLOOKUP($I61&amp;$J61&amp;Y$1,Pesos!$A:$I,7,FALSE),VLOOKUP($I61&amp;$J61&amp;Y$1,Pesos!$A:$I,9,FALSE)))</f>
        <v>0.2</v>
      </c>
      <c r="AX61" s="132">
        <f>IF(Z61="","",IF(Z61="SIM",VLOOKUP($I61&amp;$J61&amp;Z$1,Pesos!$A:$I,7,FALSE),VLOOKUP($I61&amp;$J61&amp;Z$1,Pesos!$A:$I,9,FALSE)))</f>
        <v>0.3</v>
      </c>
      <c r="AY61" s="132">
        <f>IF(AA61="","",IF(AA61="SIM",VLOOKUP($I61&amp;$J61&amp;AA$1,Pesos!$A:$I,7,FALSE),VLOOKUP($I61&amp;$J61&amp;AA$1,Pesos!$A:$I,9,FALSE)))</f>
        <v>0.1</v>
      </c>
      <c r="AZ61" s="132" t="str">
        <f>IF(AB61="","",IF(AB61="SIM",VLOOKUP($I61&amp;$J61&amp;AB$1,Pesos!$A:$I,7,FALSE),VLOOKUP($I61&amp;$J61&amp;AB$1,Pesos!$A:$I,9,FALSE)))</f>
        <v/>
      </c>
      <c r="BA61" s="132" t="str">
        <f>IF(AC61="","",IF(AC61="SIM",VLOOKUP($I61&amp;$J61&amp;AC$1,Pesos!$A:$I,7,FALSE),VLOOKUP($I61&amp;$J61&amp;AC$1,Pesos!$A:$I,9,FALSE)))</f>
        <v/>
      </c>
      <c r="BB61" s="132" t="str">
        <f>IF(AD61="","",IF(AD61="SIM",VLOOKUP($I61&amp;$J61&amp;AD$1,Pesos!$A:$I,7,FALSE),VLOOKUP($I61&amp;$J61&amp;AD$1,Pesos!$A:$I,9,FALSE)))</f>
        <v/>
      </c>
      <c r="BC61" s="132" t="str">
        <f>IF(AE61="","",IF(AE61="SIM",VLOOKUP($I61&amp;$J61&amp;AE$1,Pesos!$A:$I,7,FALSE),VLOOKUP($I61&amp;$J61&amp;AE$1,Pesos!$A:$I,9,FALSE)))</f>
        <v/>
      </c>
      <c r="BD61" s="158">
        <f>IFERROR(AF61*VLOOKUP(J61,'BD Campos'!$X$1:$Y$14,2,FALSE),"0")</f>
        <v>6.22</v>
      </c>
    </row>
    <row r="62" spans="1:56">
      <c r="A62" s="151" t="str">
        <f t="shared" si="3"/>
        <v>Jan11381Motorista 2DISTRIBUIÇÃO</v>
      </c>
      <c r="B62" s="149" t="str">
        <f t="shared" si="4"/>
        <v>Jan113812DISTRIBUIÇÃOPADRÃO</v>
      </c>
      <c r="C62" s="152">
        <v>1</v>
      </c>
      <c r="D62" s="153">
        <v>46048.642945370368</v>
      </c>
      <c r="E62" s="154" t="s">
        <v>12</v>
      </c>
      <c r="F62" s="155">
        <v>11381</v>
      </c>
      <c r="G62" s="149" t="s">
        <v>183</v>
      </c>
      <c r="H62" s="154">
        <v>2</v>
      </c>
      <c r="I62" s="149" t="s">
        <v>92</v>
      </c>
      <c r="J62" s="149" t="s">
        <v>97</v>
      </c>
      <c r="K62" s="149" t="s">
        <v>94</v>
      </c>
      <c r="L62" s="156">
        <v>34733769</v>
      </c>
      <c r="M62" s="157">
        <v>2.1412037037037038E-3</v>
      </c>
      <c r="N62" s="131" t="s">
        <v>17</v>
      </c>
      <c r="O62" s="131" t="s">
        <v>17</v>
      </c>
      <c r="P62" s="131" t="s">
        <v>17</v>
      </c>
      <c r="Q62" s="131" t="s">
        <v>17</v>
      </c>
      <c r="R62" s="131" t="s">
        <v>17</v>
      </c>
      <c r="S62" s="131" t="s">
        <v>17</v>
      </c>
      <c r="T62" s="131" t="s">
        <v>17</v>
      </c>
      <c r="U62" s="131" t="s">
        <v>17</v>
      </c>
      <c r="V62" s="131" t="s">
        <v>17</v>
      </c>
      <c r="W62" s="131" t="s">
        <v>17</v>
      </c>
      <c r="X62" s="131" t="s">
        <v>17</v>
      </c>
      <c r="Y62" s="131" t="s">
        <v>17</v>
      </c>
      <c r="Z62" s="131" t="s">
        <v>17</v>
      </c>
      <c r="AA62" s="131" t="s">
        <v>17</v>
      </c>
      <c r="AB62" s="131"/>
      <c r="AC62" s="131"/>
      <c r="AD62" s="131"/>
      <c r="AE62" s="131"/>
      <c r="AF62" s="158">
        <f t="shared" si="6"/>
        <v>10.000000000000002</v>
      </c>
      <c r="AG62" s="159"/>
      <c r="AH62" s="155" t="s">
        <v>185</v>
      </c>
      <c r="AI62" s="155" t="s">
        <v>83</v>
      </c>
      <c r="AJ62" s="131" t="str">
        <f>IFERROR(VLOOKUP(E62&amp;F62,'Listagem dos op'!A:S,19,0),"")</f>
        <v/>
      </c>
      <c r="AK62" s="131" t="str">
        <f t="shared" si="5"/>
        <v>Jan11381</v>
      </c>
      <c r="AL62" s="154">
        <f>IF(N62="","",IF(N62="SIM",VLOOKUP($I62&amp;$J62&amp;N$1,Pesos!$A:$I,7,FALSE),VLOOKUP($I62&amp;$J62&amp;N$1,Pesos!$A:$I,9,FALSE)))</f>
        <v>0.1</v>
      </c>
      <c r="AM62" s="154">
        <f>IF(O62="","",IF(O62="SIM",VLOOKUP($I62&amp;$J62&amp;O$1,Pesos!$A:$I,7,FALSE),VLOOKUP($I62&amp;$J62&amp;O$1,Pesos!$A:$I,9,FALSE)))</f>
        <v>0.1</v>
      </c>
      <c r="AN62" s="154">
        <f>IF(P62="","",IF(P62="SIM",VLOOKUP($I62&amp;$J62&amp;P$1,Pesos!$A:$I,7,FALSE),VLOOKUP($I62&amp;$J62&amp;P$1,Pesos!$A:$I,9,FALSE)))</f>
        <v>0.1</v>
      </c>
      <c r="AO62" s="154">
        <f>IF(Q62="","",IF(Q62="SIM",VLOOKUP($I62&amp;$J62&amp;Q$1,Pesos!$A:$I,7,FALSE),VLOOKUP($I62&amp;$J62&amp;Q$1,Pesos!$A:$I,9,FALSE)))</f>
        <v>2</v>
      </c>
      <c r="AP62" s="154">
        <f>IF(R62="","",IF(R62="SIM",VLOOKUP($I62&amp;$J62&amp;R$1,Pesos!$A:$I,7,FALSE),VLOOKUP($I62&amp;$J62&amp;R$1,Pesos!$A:$I,9,FALSE)))</f>
        <v>1.03</v>
      </c>
      <c r="AQ62" s="154">
        <f>IF(S62="","",IF(S62="SIM",VLOOKUP($I62&amp;$J62&amp;S$1,Pesos!$A:$I,7,FALSE),VLOOKUP($I62&amp;$J62&amp;S$1,Pesos!$A:$I,9,FALSE)))</f>
        <v>1.7000000000000002</v>
      </c>
      <c r="AR62" s="156">
        <f>IF(T62="","",IF(T62="SIM",VLOOKUP($I62&amp;$J62&amp;T$1,Pesos!$A:$I,7,FALSE),VLOOKUP($I62&amp;$J62&amp;T$1,Pesos!$A:$I,9,FALSE)))</f>
        <v>1.92</v>
      </c>
      <c r="AS62" s="132">
        <f>IF(U62="","",IF(U62="SIM",VLOOKUP($I62&amp;$J62&amp;U$1,Pesos!$A:$I,7,FALSE),VLOOKUP($I62&amp;$J62&amp;U$1,Pesos!$A:$I,9,FALSE)))</f>
        <v>1.7000000000000002</v>
      </c>
      <c r="AT62" s="132">
        <f>IF(V62="","",IF(V62="SIM",VLOOKUP($I62&amp;$J62&amp;V$1,Pesos!$A:$I,7,FALSE),VLOOKUP($I62&amp;$J62&amp;V$1,Pesos!$A:$I,9,FALSE)))</f>
        <v>0.3</v>
      </c>
      <c r="AU62" s="132">
        <f>IF(W62="","",IF(W62="SIM",VLOOKUP($I62&amp;$J62&amp;W$1,Pesos!$A:$I,7,FALSE),VLOOKUP($I62&amp;$J62&amp;W$1,Pesos!$A:$I,9,FALSE)))</f>
        <v>0.3</v>
      </c>
      <c r="AV62" s="132">
        <f>IF(X62="","",IF(X62="SIM",VLOOKUP($I62&amp;$J62&amp;X$1,Pesos!$A:$I,7,FALSE),VLOOKUP($I62&amp;$J62&amp;X$1,Pesos!$A:$I,9,FALSE)))</f>
        <v>0.15</v>
      </c>
      <c r="AW62" s="132">
        <f>IF(Y62="","",IF(Y62="SIM",VLOOKUP($I62&amp;$J62&amp;Y$1,Pesos!$A:$I,7,FALSE),VLOOKUP($I62&amp;$J62&amp;Y$1,Pesos!$A:$I,9,FALSE)))</f>
        <v>0.2</v>
      </c>
      <c r="AX62" s="132">
        <f>IF(Z62="","",IF(Z62="SIM",VLOOKUP($I62&amp;$J62&amp;Z$1,Pesos!$A:$I,7,FALSE),VLOOKUP($I62&amp;$J62&amp;Z$1,Pesos!$A:$I,9,FALSE)))</f>
        <v>0.3</v>
      </c>
      <c r="AY62" s="132">
        <f>IF(AA62="","",IF(AA62="SIM",VLOOKUP($I62&amp;$J62&amp;AA$1,Pesos!$A:$I,7,FALSE),VLOOKUP($I62&amp;$J62&amp;AA$1,Pesos!$A:$I,9,FALSE)))</f>
        <v>0.1</v>
      </c>
      <c r="AZ62" s="132" t="str">
        <f>IF(AB62="","",IF(AB62="SIM",VLOOKUP($I62&amp;$J62&amp;AB$1,Pesos!$A:$I,7,FALSE),VLOOKUP($I62&amp;$J62&amp;AB$1,Pesos!$A:$I,9,FALSE)))</f>
        <v/>
      </c>
      <c r="BA62" s="132" t="str">
        <f>IF(AC62="","",IF(AC62="SIM",VLOOKUP($I62&amp;$J62&amp;AC$1,Pesos!$A:$I,7,FALSE),VLOOKUP($I62&amp;$J62&amp;AC$1,Pesos!$A:$I,9,FALSE)))</f>
        <v/>
      </c>
      <c r="BB62" s="132" t="str">
        <f>IF(AD62="","",IF(AD62="SIM",VLOOKUP($I62&amp;$J62&amp;AD$1,Pesos!$A:$I,7,FALSE),VLOOKUP($I62&amp;$J62&amp;AD$1,Pesos!$A:$I,9,FALSE)))</f>
        <v/>
      </c>
      <c r="BC62" s="132" t="str">
        <f>IF(AE62="","",IF(AE62="SIM",VLOOKUP($I62&amp;$J62&amp;AE$1,Pesos!$A:$I,7,FALSE),VLOOKUP($I62&amp;$J62&amp;AE$1,Pesos!$A:$I,9,FALSE)))</f>
        <v/>
      </c>
      <c r="BD62" s="158">
        <f>IFERROR(AF62*VLOOKUP(J62,'BD Campos'!$X$1:$Y$14,2,FALSE),"0")</f>
        <v>10.000000000000002</v>
      </c>
    </row>
    <row r="63" spans="1:56">
      <c r="A63" s="151" t="str">
        <f t="shared" si="3"/>
        <v>Jan11491MotoristaDISTRIBUIÇÃO</v>
      </c>
      <c r="B63" s="149" t="str">
        <f t="shared" si="4"/>
        <v>Jan114911DISTRIBUIÇÃOPADRÃO</v>
      </c>
      <c r="C63" s="152">
        <v>1</v>
      </c>
      <c r="D63" s="153">
        <v>46048.649887384257</v>
      </c>
      <c r="E63" s="154" t="s">
        <v>12</v>
      </c>
      <c r="F63" s="155">
        <v>11491</v>
      </c>
      <c r="G63" s="149" t="s">
        <v>186</v>
      </c>
      <c r="H63" s="154">
        <v>1</v>
      </c>
      <c r="I63" s="149" t="s">
        <v>96</v>
      </c>
      <c r="J63" s="149" t="s">
        <v>93</v>
      </c>
      <c r="K63" s="149" t="s">
        <v>94</v>
      </c>
      <c r="L63" s="156">
        <v>34545636</v>
      </c>
      <c r="M63" s="157">
        <v>3.7500000000000003E-3</v>
      </c>
      <c r="N63" s="131" t="s">
        <v>18</v>
      </c>
      <c r="O63" s="131" t="s">
        <v>17</v>
      </c>
      <c r="P63" s="131" t="s">
        <v>17</v>
      </c>
      <c r="Q63" s="131" t="s">
        <v>17</v>
      </c>
      <c r="R63" s="131" t="s">
        <v>17</v>
      </c>
      <c r="S63" s="131" t="s">
        <v>17</v>
      </c>
      <c r="T63" s="131" t="s">
        <v>17</v>
      </c>
      <c r="U63" s="131" t="s">
        <v>18</v>
      </c>
      <c r="V63" s="131" t="s">
        <v>17</v>
      </c>
      <c r="W63" s="131" t="s">
        <v>17</v>
      </c>
      <c r="X63" s="131" t="s">
        <v>17</v>
      </c>
      <c r="Y63" s="131" t="s">
        <v>17</v>
      </c>
      <c r="Z63" s="131" t="s">
        <v>17</v>
      </c>
      <c r="AA63" s="131" t="s">
        <v>17</v>
      </c>
      <c r="AB63" s="131" t="s">
        <v>17</v>
      </c>
      <c r="AC63" s="131"/>
      <c r="AD63" s="131"/>
      <c r="AE63" s="131"/>
      <c r="AF63" s="158">
        <f t="shared" si="6"/>
        <v>8.7924999999999986</v>
      </c>
      <c r="AG63" s="159"/>
      <c r="AH63" s="155" t="s">
        <v>187</v>
      </c>
      <c r="AI63" s="155" t="s">
        <v>83</v>
      </c>
      <c r="AJ63" s="131" t="str">
        <f>IFERROR(VLOOKUP(E63&amp;F63,'Listagem dos op'!A:S,19,0),"")</f>
        <v/>
      </c>
      <c r="AK63" s="131" t="str">
        <f t="shared" si="5"/>
        <v>Jan11491</v>
      </c>
      <c r="AL63" s="154">
        <f>IF(N63="","",IF(N63="SIM",VLOOKUP($I63&amp;$J63&amp;N$1,Pesos!$A:$I,7,FALSE),VLOOKUP($I63&amp;$J63&amp;N$1,Pesos!$A:$I,9,FALSE)))</f>
        <v>-5.000000000000001E-3</v>
      </c>
      <c r="AM63" s="154">
        <f>IF(O63="","",IF(O63="SIM",VLOOKUP($I63&amp;$J63&amp;O$1,Pesos!$A:$I,7,FALSE),VLOOKUP($I63&amp;$J63&amp;O$1,Pesos!$A:$I,9,FALSE)))</f>
        <v>0.1</v>
      </c>
      <c r="AN63" s="154">
        <f>IF(P63="","",IF(P63="SIM",VLOOKUP($I63&amp;$J63&amp;P$1,Pesos!$A:$I,7,FALSE),VLOOKUP($I63&amp;$J63&amp;P$1,Pesos!$A:$I,9,FALSE)))</f>
        <v>0.1</v>
      </c>
      <c r="AO63" s="154">
        <f>IF(Q63="","",IF(Q63="SIM",VLOOKUP($I63&amp;$J63&amp;Q$1,Pesos!$A:$I,7,FALSE),VLOOKUP($I63&amp;$J63&amp;Q$1,Pesos!$A:$I,9,FALSE)))</f>
        <v>2</v>
      </c>
      <c r="AP63" s="154">
        <f>IF(R63="","",IF(R63="SIM",VLOOKUP($I63&amp;$J63&amp;R$1,Pesos!$A:$I,7,FALSE),VLOOKUP($I63&amp;$J63&amp;R$1,Pesos!$A:$I,9,FALSE)))</f>
        <v>1.03</v>
      </c>
      <c r="AQ63" s="154">
        <f>IF(S63="","",IF(S63="SIM",VLOOKUP($I63&amp;$J63&amp;S$1,Pesos!$A:$I,7,FALSE),VLOOKUP($I63&amp;$J63&amp;S$1,Pesos!$A:$I,9,FALSE)))</f>
        <v>1.22</v>
      </c>
      <c r="AR63" s="156">
        <f>IF(T63="","",IF(T63="SIM",VLOOKUP($I63&amp;$J63&amp;T$1,Pesos!$A:$I,7,FALSE),VLOOKUP($I63&amp;$J63&amp;T$1,Pesos!$A:$I,9,FALSE)))</f>
        <v>2</v>
      </c>
      <c r="AS63" s="132">
        <f>IF(U63="","",IF(U63="SIM",VLOOKUP($I63&amp;$J63&amp;U$1,Pesos!$A:$I,7,FALSE),VLOOKUP($I63&amp;$J63&amp;U$1,Pesos!$A:$I,9,FALSE)))</f>
        <v>-5.2500000000000005E-2</v>
      </c>
      <c r="AT63" s="132">
        <f>IF(V63="","",IF(V63="SIM",VLOOKUP($I63&amp;$J63&amp;V$1,Pesos!$A:$I,7,FALSE),VLOOKUP($I63&amp;$J63&amp;V$1,Pesos!$A:$I,9,FALSE)))</f>
        <v>1.05</v>
      </c>
      <c r="AU63" s="132">
        <f>IF(W63="","",IF(W63="SIM",VLOOKUP($I63&amp;$J63&amp;W$1,Pesos!$A:$I,7,FALSE),VLOOKUP($I63&amp;$J63&amp;W$1,Pesos!$A:$I,9,FALSE)))</f>
        <v>0.3</v>
      </c>
      <c r="AV63" s="132">
        <f>IF(X63="","",IF(X63="SIM",VLOOKUP($I63&amp;$J63&amp;X$1,Pesos!$A:$I,7,FALSE),VLOOKUP($I63&amp;$J63&amp;X$1,Pesos!$A:$I,9,FALSE)))</f>
        <v>0.3</v>
      </c>
      <c r="AW63" s="132">
        <f>IF(Y63="","",IF(Y63="SIM",VLOOKUP($I63&amp;$J63&amp;Y$1,Pesos!$A:$I,7,FALSE),VLOOKUP($I63&amp;$J63&amp;Y$1,Pesos!$A:$I,9,FALSE)))</f>
        <v>0.15</v>
      </c>
      <c r="AX63" s="132">
        <f>IF(Z63="","",IF(Z63="SIM",VLOOKUP($I63&amp;$J63&amp;Z$1,Pesos!$A:$I,7,FALSE),VLOOKUP($I63&amp;$J63&amp;Z$1,Pesos!$A:$I,9,FALSE)))</f>
        <v>0.2</v>
      </c>
      <c r="AY63" s="132">
        <f>IF(AA63="","",IF(AA63="SIM",VLOOKUP($I63&amp;$J63&amp;AA$1,Pesos!$A:$I,7,FALSE),VLOOKUP($I63&amp;$J63&amp;AA$1,Pesos!$A:$I,9,FALSE)))</f>
        <v>0.3</v>
      </c>
      <c r="AZ63" s="132">
        <f>IF(AB63="","",IF(AB63="SIM",VLOOKUP($I63&amp;$J63&amp;AB$1,Pesos!$A:$I,7,FALSE),VLOOKUP($I63&amp;$J63&amp;AB$1,Pesos!$A:$I,9,FALSE)))</f>
        <v>0.1</v>
      </c>
      <c r="BA63" s="132" t="str">
        <f>IF(AC63="","",IF(AC63="SIM",VLOOKUP($I63&amp;$J63&amp;AC$1,Pesos!$A:$I,7,FALSE),VLOOKUP($I63&amp;$J63&amp;AC$1,Pesos!$A:$I,9,FALSE)))</f>
        <v/>
      </c>
      <c r="BB63" s="132" t="str">
        <f>IF(AD63="","",IF(AD63="SIM",VLOOKUP($I63&amp;$J63&amp;AD$1,Pesos!$A:$I,7,FALSE),VLOOKUP($I63&amp;$J63&amp;AD$1,Pesos!$A:$I,9,FALSE)))</f>
        <v/>
      </c>
      <c r="BC63" s="132" t="str">
        <f>IF(AE63="","",IF(AE63="SIM",VLOOKUP($I63&amp;$J63&amp;AE$1,Pesos!$A:$I,7,FALSE),VLOOKUP($I63&amp;$J63&amp;AE$1,Pesos!$A:$I,9,FALSE)))</f>
        <v/>
      </c>
      <c r="BD63" s="158">
        <f>IFERROR(AF63*VLOOKUP(J63,'BD Campos'!$X$1:$Y$14,2,FALSE),"0")</f>
        <v>8.7924999999999986</v>
      </c>
    </row>
    <row r="64" spans="1:56">
      <c r="A64" s="151" t="str">
        <f t="shared" si="3"/>
        <v>Jan11491Motorista 2DISTRIBUIÇÃO</v>
      </c>
      <c r="B64" s="149" t="str">
        <f t="shared" si="4"/>
        <v>Jan114912DISTRIBUIÇÃOPADRÃO</v>
      </c>
      <c r="C64" s="152">
        <v>1</v>
      </c>
      <c r="D64" s="153">
        <v>46048.689130092593</v>
      </c>
      <c r="E64" s="154" t="s">
        <v>12</v>
      </c>
      <c r="F64" s="155">
        <v>11491</v>
      </c>
      <c r="G64" s="149" t="s">
        <v>186</v>
      </c>
      <c r="H64" s="154">
        <v>2</v>
      </c>
      <c r="I64" s="149" t="s">
        <v>96</v>
      </c>
      <c r="J64" s="149" t="s">
        <v>97</v>
      </c>
      <c r="K64" s="149" t="s">
        <v>94</v>
      </c>
      <c r="L64" s="156">
        <v>34672200</v>
      </c>
      <c r="M64" s="157">
        <v>3.3333333333333335E-3</v>
      </c>
      <c r="N64" s="131" t="s">
        <v>17</v>
      </c>
      <c r="O64" s="131" t="s">
        <v>17</v>
      </c>
      <c r="P64" s="131" t="s">
        <v>17</v>
      </c>
      <c r="Q64" s="131" t="s">
        <v>17</v>
      </c>
      <c r="R64" s="131" t="s">
        <v>17</v>
      </c>
      <c r="S64" s="131" t="s">
        <v>17</v>
      </c>
      <c r="T64" s="131" t="s">
        <v>17</v>
      </c>
      <c r="U64" s="131" t="s">
        <v>17</v>
      </c>
      <c r="V64" s="131" t="s">
        <v>18</v>
      </c>
      <c r="W64" s="131" t="s">
        <v>17</v>
      </c>
      <c r="X64" s="131" t="s">
        <v>17</v>
      </c>
      <c r="Y64" s="131" t="s">
        <v>17</v>
      </c>
      <c r="Z64" s="131" t="s">
        <v>17</v>
      </c>
      <c r="AA64" s="131" t="s">
        <v>17</v>
      </c>
      <c r="AB64" s="131" t="s">
        <v>17</v>
      </c>
      <c r="AC64" s="131"/>
      <c r="AD64" s="131"/>
      <c r="AE64" s="131"/>
      <c r="AF64" s="158">
        <f t="shared" si="6"/>
        <v>8.8974999999999991</v>
      </c>
      <c r="AG64" s="159"/>
      <c r="AH64" s="155" t="s">
        <v>188</v>
      </c>
      <c r="AI64" s="155" t="s">
        <v>83</v>
      </c>
      <c r="AJ64" s="131" t="str">
        <f>IFERROR(VLOOKUP(E64&amp;F64,'Listagem dos op'!A:S,19,0),"")</f>
        <v/>
      </c>
      <c r="AK64" s="131" t="str">
        <f t="shared" si="5"/>
        <v>Jan11491</v>
      </c>
      <c r="AL64" s="154">
        <f>IF(N64="","",IF(N64="SIM",VLOOKUP($I64&amp;$J64&amp;N$1,Pesos!$A:$I,7,FALSE),VLOOKUP($I64&amp;$J64&amp;N$1,Pesos!$A:$I,9,FALSE)))</f>
        <v>0.1</v>
      </c>
      <c r="AM64" s="154">
        <f>IF(O64="","",IF(O64="SIM",VLOOKUP($I64&amp;$J64&amp;O$1,Pesos!$A:$I,7,FALSE),VLOOKUP($I64&amp;$J64&amp;O$1,Pesos!$A:$I,9,FALSE)))</f>
        <v>0.1</v>
      </c>
      <c r="AN64" s="154">
        <f>IF(P64="","",IF(P64="SIM",VLOOKUP($I64&amp;$J64&amp;P$1,Pesos!$A:$I,7,FALSE),VLOOKUP($I64&amp;$J64&amp;P$1,Pesos!$A:$I,9,FALSE)))</f>
        <v>0.1</v>
      </c>
      <c r="AO64" s="154">
        <f>IF(Q64="","",IF(Q64="SIM",VLOOKUP($I64&amp;$J64&amp;Q$1,Pesos!$A:$I,7,FALSE),VLOOKUP($I64&amp;$J64&amp;Q$1,Pesos!$A:$I,9,FALSE)))</f>
        <v>2</v>
      </c>
      <c r="AP64" s="154">
        <f>IF(R64="","",IF(R64="SIM",VLOOKUP($I64&amp;$J64&amp;R$1,Pesos!$A:$I,7,FALSE),VLOOKUP($I64&amp;$J64&amp;R$1,Pesos!$A:$I,9,FALSE)))</f>
        <v>1.03</v>
      </c>
      <c r="AQ64" s="154">
        <f>IF(S64="","",IF(S64="SIM",VLOOKUP($I64&amp;$J64&amp;S$1,Pesos!$A:$I,7,FALSE),VLOOKUP($I64&amp;$J64&amp;S$1,Pesos!$A:$I,9,FALSE)))</f>
        <v>1.22</v>
      </c>
      <c r="AR64" s="156">
        <f>IF(T64="","",IF(T64="SIM",VLOOKUP($I64&amp;$J64&amp;T$1,Pesos!$A:$I,7,FALSE),VLOOKUP($I64&amp;$J64&amp;T$1,Pesos!$A:$I,9,FALSE)))</f>
        <v>2</v>
      </c>
      <c r="AS64" s="132">
        <f>IF(U64="","",IF(U64="SIM",VLOOKUP($I64&amp;$J64&amp;U$1,Pesos!$A:$I,7,FALSE),VLOOKUP($I64&amp;$J64&amp;U$1,Pesos!$A:$I,9,FALSE)))</f>
        <v>1.05</v>
      </c>
      <c r="AT64" s="132">
        <f>IF(V64="","",IF(V64="SIM",VLOOKUP($I64&amp;$J64&amp;V$1,Pesos!$A:$I,7,FALSE),VLOOKUP($I64&amp;$J64&amp;V$1,Pesos!$A:$I,9,FALSE)))</f>
        <v>-5.2500000000000005E-2</v>
      </c>
      <c r="AU64" s="132">
        <f>IF(W64="","",IF(W64="SIM",VLOOKUP($I64&amp;$J64&amp;W$1,Pesos!$A:$I,7,FALSE),VLOOKUP($I64&amp;$J64&amp;W$1,Pesos!$A:$I,9,FALSE)))</f>
        <v>0.3</v>
      </c>
      <c r="AV64" s="132">
        <f>IF(X64="","",IF(X64="SIM",VLOOKUP($I64&amp;$J64&amp;X$1,Pesos!$A:$I,7,FALSE),VLOOKUP($I64&amp;$J64&amp;X$1,Pesos!$A:$I,9,FALSE)))</f>
        <v>0.3</v>
      </c>
      <c r="AW64" s="132">
        <f>IF(Y64="","",IF(Y64="SIM",VLOOKUP($I64&amp;$J64&amp;Y$1,Pesos!$A:$I,7,FALSE),VLOOKUP($I64&amp;$J64&amp;Y$1,Pesos!$A:$I,9,FALSE)))</f>
        <v>0.15</v>
      </c>
      <c r="AX64" s="132">
        <f>IF(Z64="","",IF(Z64="SIM",VLOOKUP($I64&amp;$J64&amp;Z$1,Pesos!$A:$I,7,FALSE),VLOOKUP($I64&amp;$J64&amp;Z$1,Pesos!$A:$I,9,FALSE)))</f>
        <v>0.2</v>
      </c>
      <c r="AY64" s="132">
        <f>IF(AA64="","",IF(AA64="SIM",VLOOKUP($I64&amp;$J64&amp;AA$1,Pesos!$A:$I,7,FALSE),VLOOKUP($I64&amp;$J64&amp;AA$1,Pesos!$A:$I,9,FALSE)))</f>
        <v>0.3</v>
      </c>
      <c r="AZ64" s="132">
        <f>IF(AB64="","",IF(AB64="SIM",VLOOKUP($I64&amp;$J64&amp;AB$1,Pesos!$A:$I,7,FALSE),VLOOKUP($I64&amp;$J64&amp;AB$1,Pesos!$A:$I,9,FALSE)))</f>
        <v>0.1</v>
      </c>
      <c r="BA64" s="132" t="str">
        <f>IF(AC64="","",IF(AC64="SIM",VLOOKUP($I64&amp;$J64&amp;AC$1,Pesos!$A:$I,7,FALSE),VLOOKUP($I64&amp;$J64&amp;AC$1,Pesos!$A:$I,9,FALSE)))</f>
        <v/>
      </c>
      <c r="BB64" s="132" t="str">
        <f>IF(AD64="","",IF(AD64="SIM",VLOOKUP($I64&amp;$J64&amp;AD$1,Pesos!$A:$I,7,FALSE),VLOOKUP($I64&amp;$J64&amp;AD$1,Pesos!$A:$I,9,FALSE)))</f>
        <v/>
      </c>
      <c r="BC64" s="132" t="str">
        <f>IF(AE64="","",IF(AE64="SIM",VLOOKUP($I64&amp;$J64&amp;AE$1,Pesos!$A:$I,7,FALSE),VLOOKUP($I64&amp;$J64&amp;AE$1,Pesos!$A:$I,9,FALSE)))</f>
        <v/>
      </c>
      <c r="BD64" s="158">
        <f>IFERROR(AF64*VLOOKUP(J64,'BD Campos'!$X$1:$Y$14,2,FALSE),"0")</f>
        <v>8.8974999999999991</v>
      </c>
    </row>
    <row r="65" spans="1:56">
      <c r="A65" s="151" t="str">
        <f t="shared" si="3"/>
        <v>Jan11454ReceptivaRECEPTIVO</v>
      </c>
      <c r="B65" s="149" t="str">
        <f t="shared" si="4"/>
        <v>Jan114541RECEPTIVOPADRÃO</v>
      </c>
      <c r="C65" s="152">
        <v>1</v>
      </c>
      <c r="D65" s="153">
        <v>46048.691604629632</v>
      </c>
      <c r="E65" s="154" t="s">
        <v>12</v>
      </c>
      <c r="F65" s="155">
        <v>11454</v>
      </c>
      <c r="G65" s="149" t="s">
        <v>189</v>
      </c>
      <c r="H65" s="154">
        <v>1</v>
      </c>
      <c r="I65" s="149" t="s">
        <v>155</v>
      </c>
      <c r="J65" s="149" t="s">
        <v>81</v>
      </c>
      <c r="K65" s="149" t="s">
        <v>156</v>
      </c>
      <c r="L65" s="156" t="s">
        <v>190</v>
      </c>
      <c r="M65" s="157"/>
      <c r="N65" s="131" t="s">
        <v>17</v>
      </c>
      <c r="O65" s="131" t="s">
        <v>17</v>
      </c>
      <c r="P65" s="131" t="s">
        <v>17</v>
      </c>
      <c r="Q65" s="131" t="s">
        <v>17</v>
      </c>
      <c r="R65" s="131" t="s">
        <v>17</v>
      </c>
      <c r="S65" s="131" t="s">
        <v>17</v>
      </c>
      <c r="T65" s="131" t="s">
        <v>17</v>
      </c>
      <c r="U65" s="131" t="s">
        <v>17</v>
      </c>
      <c r="V65" s="131" t="s">
        <v>17</v>
      </c>
      <c r="W65" s="131"/>
      <c r="X65" s="131"/>
      <c r="Y65" s="131"/>
      <c r="Z65" s="131"/>
      <c r="AA65" s="131"/>
      <c r="AB65" s="131"/>
      <c r="AC65" s="131"/>
      <c r="AD65" s="131"/>
      <c r="AE65" s="131"/>
      <c r="AF65" s="158">
        <f t="shared" si="6"/>
        <v>10.000000000000002</v>
      </c>
      <c r="AG65" s="159"/>
      <c r="AH65" s="155"/>
      <c r="AI65" s="155" t="s">
        <v>83</v>
      </c>
      <c r="AJ65" s="131" t="str">
        <f>IFERROR(VLOOKUP(E65&amp;F65,'Listagem dos op'!A:S,19,0),"")</f>
        <v/>
      </c>
      <c r="AK65" s="131" t="str">
        <f t="shared" si="5"/>
        <v>Jan11454</v>
      </c>
      <c r="AL65" s="154">
        <f>IF(N65="","",IF(N65="SIM",VLOOKUP($I65&amp;$J65&amp;N$1,Pesos!$A:$I,7,FALSE),VLOOKUP($I65&amp;$J65&amp;N$1,Pesos!$A:$I,9,FALSE)))</f>
        <v>0.3</v>
      </c>
      <c r="AM65" s="154">
        <f>IF(O65="","",IF(O65="SIM",VLOOKUP($I65&amp;$J65&amp;O$1,Pesos!$A:$I,7,FALSE),VLOOKUP($I65&amp;$J65&amp;O$1,Pesos!$A:$I,9,FALSE)))</f>
        <v>1.3</v>
      </c>
      <c r="AN65" s="154">
        <f>IF(P65="","",IF(P65="SIM",VLOOKUP($I65&amp;$J65&amp;P$1,Pesos!$A:$I,7,FALSE),VLOOKUP($I65&amp;$J65&amp;P$1,Pesos!$A:$I,9,FALSE)))</f>
        <v>1.3</v>
      </c>
      <c r="AO65" s="154">
        <f>IF(Q65="","",IF(Q65="SIM",VLOOKUP($I65&amp;$J65&amp;Q$1,Pesos!$A:$I,7,FALSE),VLOOKUP($I65&amp;$J65&amp;Q$1,Pesos!$A:$I,9,FALSE)))</f>
        <v>1.4000000000000001</v>
      </c>
      <c r="AP65" s="154">
        <f>IF(R65="","",IF(R65="SIM",VLOOKUP($I65&amp;$J65&amp;R$1,Pesos!$A:$I,7,FALSE),VLOOKUP($I65&amp;$J65&amp;R$1,Pesos!$A:$I,9,FALSE)))</f>
        <v>1.3</v>
      </c>
      <c r="AQ65" s="154">
        <f>IF(S65="","",IF(S65="SIM",VLOOKUP($I65&amp;$J65&amp;S$1,Pesos!$A:$I,7,FALSE),VLOOKUP($I65&amp;$J65&amp;S$1,Pesos!$A:$I,9,FALSE)))</f>
        <v>1.4000000000000001</v>
      </c>
      <c r="AR65" s="156">
        <f>IF(T65="","",IF(T65="SIM",VLOOKUP($I65&amp;$J65&amp;T$1,Pesos!$A:$I,7,FALSE),VLOOKUP($I65&amp;$J65&amp;T$1,Pesos!$A:$I,9,FALSE)))</f>
        <v>1.4000000000000001</v>
      </c>
      <c r="AS65" s="132">
        <f>IF(U65="","",IF(U65="SIM",VLOOKUP($I65&amp;$J65&amp;U$1,Pesos!$A:$I,7,FALSE),VLOOKUP($I65&amp;$J65&amp;U$1,Pesos!$A:$I,9,FALSE)))</f>
        <v>1.3</v>
      </c>
      <c r="AT65" s="132">
        <f>IF(V65="","",IF(V65="SIM",VLOOKUP($I65&amp;$J65&amp;V$1,Pesos!$A:$I,7,FALSE),VLOOKUP($I65&amp;$J65&amp;V$1,Pesos!$A:$I,9,FALSE)))</f>
        <v>0.3</v>
      </c>
      <c r="AU65" s="132" t="str">
        <f>IF(W65="","",IF(W65="SIM",VLOOKUP($I65&amp;$J65&amp;W$1,Pesos!$A:$I,7,FALSE),VLOOKUP($I65&amp;$J65&amp;W$1,Pesos!$A:$I,9,FALSE)))</f>
        <v/>
      </c>
      <c r="AV65" s="132" t="str">
        <f>IF(X65="","",IF(X65="SIM",VLOOKUP($I65&amp;$J65&amp;X$1,Pesos!$A:$I,7,FALSE),VLOOKUP($I65&amp;$J65&amp;X$1,Pesos!$A:$I,9,FALSE)))</f>
        <v/>
      </c>
      <c r="AW65" s="132" t="str">
        <f>IF(Y65="","",IF(Y65="SIM",VLOOKUP($I65&amp;$J65&amp;Y$1,Pesos!$A:$I,7,FALSE),VLOOKUP($I65&amp;$J65&amp;Y$1,Pesos!$A:$I,9,FALSE)))</f>
        <v/>
      </c>
      <c r="AX65" s="132" t="str">
        <f>IF(Z65="","",IF(Z65="SIM",VLOOKUP($I65&amp;$J65&amp;Z$1,Pesos!$A:$I,7,FALSE),VLOOKUP($I65&amp;$J65&amp;Z$1,Pesos!$A:$I,9,FALSE)))</f>
        <v/>
      </c>
      <c r="AY65" s="132" t="str">
        <f>IF(AA65="","",IF(AA65="SIM",VLOOKUP($I65&amp;$J65&amp;AA$1,Pesos!$A:$I,7,FALSE),VLOOKUP($I65&amp;$J65&amp;AA$1,Pesos!$A:$I,9,FALSE)))</f>
        <v/>
      </c>
      <c r="AZ65" s="132" t="str">
        <f>IF(AB65="","",IF(AB65="SIM",VLOOKUP($I65&amp;$J65&amp;AB$1,Pesos!$A:$I,7,FALSE),VLOOKUP($I65&amp;$J65&amp;AB$1,Pesos!$A:$I,9,FALSE)))</f>
        <v/>
      </c>
      <c r="BA65" s="132" t="str">
        <f>IF(AC65="","",IF(AC65="SIM",VLOOKUP($I65&amp;$J65&amp;AC$1,Pesos!$A:$I,7,FALSE),VLOOKUP($I65&amp;$J65&amp;AC$1,Pesos!$A:$I,9,FALSE)))</f>
        <v/>
      </c>
      <c r="BB65" s="132" t="str">
        <f>IF(AD65="","",IF(AD65="SIM",VLOOKUP($I65&amp;$J65&amp;AD$1,Pesos!$A:$I,7,FALSE),VLOOKUP($I65&amp;$J65&amp;AD$1,Pesos!$A:$I,9,FALSE)))</f>
        <v/>
      </c>
      <c r="BC65" s="132" t="str">
        <f>IF(AE65="","",IF(AE65="SIM",VLOOKUP($I65&amp;$J65&amp;AE$1,Pesos!$A:$I,7,FALSE),VLOOKUP($I65&amp;$J65&amp;AE$1,Pesos!$A:$I,9,FALSE)))</f>
        <v/>
      </c>
      <c r="BD65" s="158">
        <f>IFERROR(AF65*VLOOKUP(J65,'BD Campos'!$X$1:$Y$14,2,FALSE),"0")</f>
        <v>10.000000000000002</v>
      </c>
    </row>
    <row r="66" spans="1:56">
      <c r="A66" s="151" t="str">
        <f t="shared" ref="A66:A129" si="7">E66&amp;F66&amp;J66&amp;K66&amp;""</f>
        <v>Jan4210MotoristaTRANSFERÊNCIA</v>
      </c>
      <c r="B66" s="149" t="str">
        <f t="shared" ref="B66:B129" si="8">E66&amp;F66&amp;H66&amp;K66&amp;AI66</f>
        <v>Jan42101TRANSFERÊNCIAPADRÃO</v>
      </c>
      <c r="C66" s="152">
        <v>1</v>
      </c>
      <c r="D66" s="153">
        <v>46048.725601388891</v>
      </c>
      <c r="E66" s="154" t="s">
        <v>12</v>
      </c>
      <c r="F66" s="155">
        <v>4210</v>
      </c>
      <c r="G66" s="149" t="s">
        <v>191</v>
      </c>
      <c r="H66" s="154">
        <v>1</v>
      </c>
      <c r="I66" s="149" t="s">
        <v>92</v>
      </c>
      <c r="J66" s="149" t="s">
        <v>93</v>
      </c>
      <c r="K66" s="149" t="s">
        <v>192</v>
      </c>
      <c r="L66" s="156">
        <v>34457577</v>
      </c>
      <c r="M66" s="157">
        <v>1.2268518518518518E-3</v>
      </c>
      <c r="N66" s="131" t="s">
        <v>17</v>
      </c>
      <c r="O66" s="131" t="s">
        <v>17</v>
      </c>
      <c r="P66" s="131" t="s">
        <v>17</v>
      </c>
      <c r="Q66" s="131" t="s">
        <v>17</v>
      </c>
      <c r="R66" s="131" t="s">
        <v>17</v>
      </c>
      <c r="S66" s="131" t="s">
        <v>17</v>
      </c>
      <c r="T66" s="131" t="s">
        <v>17</v>
      </c>
      <c r="U66" s="131" t="s">
        <v>17</v>
      </c>
      <c r="V66" s="131" t="s">
        <v>17</v>
      </c>
      <c r="W66" s="131" t="s">
        <v>17</v>
      </c>
      <c r="X66" s="131" t="s">
        <v>17</v>
      </c>
      <c r="Y66" s="131" t="s">
        <v>17</v>
      </c>
      <c r="Z66" s="131" t="s">
        <v>17</v>
      </c>
      <c r="AA66" s="131" t="s">
        <v>17</v>
      </c>
      <c r="AB66" s="131"/>
      <c r="AC66" s="131"/>
      <c r="AD66" s="131"/>
      <c r="AE66" s="131"/>
      <c r="AF66" s="158">
        <f t="shared" si="6"/>
        <v>10.000000000000002</v>
      </c>
      <c r="AG66" s="159"/>
      <c r="AH66" s="155" t="s">
        <v>193</v>
      </c>
      <c r="AI66" s="155" t="s">
        <v>83</v>
      </c>
      <c r="AJ66" s="131" t="str">
        <f>IFERROR(VLOOKUP(E66&amp;F66,'Listagem dos op'!A:S,19,0),"")</f>
        <v/>
      </c>
      <c r="AK66" s="131" t="str">
        <f t="shared" ref="AK66:AK129" si="9">E66&amp;F66</f>
        <v>Jan4210</v>
      </c>
      <c r="AL66" s="154">
        <f>IF(N66="","",IF(N66="SIM",VLOOKUP($I66&amp;$J66&amp;N$1,Pesos!$A:$I,7,FALSE),VLOOKUP($I66&amp;$J66&amp;N$1,Pesos!$A:$I,9,FALSE)))</f>
        <v>0.1</v>
      </c>
      <c r="AM66" s="154">
        <f>IF(O66="","",IF(O66="SIM",VLOOKUP($I66&amp;$J66&amp;O$1,Pesos!$A:$I,7,FALSE),VLOOKUP($I66&amp;$J66&amp;O$1,Pesos!$A:$I,9,FALSE)))</f>
        <v>0.1</v>
      </c>
      <c r="AN66" s="154">
        <f>IF(P66="","",IF(P66="SIM",VLOOKUP($I66&amp;$J66&amp;P$1,Pesos!$A:$I,7,FALSE),VLOOKUP($I66&amp;$J66&amp;P$1,Pesos!$A:$I,9,FALSE)))</f>
        <v>0.1</v>
      </c>
      <c r="AO66" s="154">
        <f>IF(Q66="","",IF(Q66="SIM",VLOOKUP($I66&amp;$J66&amp;Q$1,Pesos!$A:$I,7,FALSE),VLOOKUP($I66&amp;$J66&amp;Q$1,Pesos!$A:$I,9,FALSE)))</f>
        <v>2</v>
      </c>
      <c r="AP66" s="154">
        <f>IF(R66="","",IF(R66="SIM",VLOOKUP($I66&amp;$J66&amp;R$1,Pesos!$A:$I,7,FALSE),VLOOKUP($I66&amp;$J66&amp;R$1,Pesos!$A:$I,9,FALSE)))</f>
        <v>1.03</v>
      </c>
      <c r="AQ66" s="154">
        <f>IF(S66="","",IF(S66="SIM",VLOOKUP($I66&amp;$J66&amp;S$1,Pesos!$A:$I,7,FALSE),VLOOKUP($I66&amp;$J66&amp;S$1,Pesos!$A:$I,9,FALSE)))</f>
        <v>1.7000000000000002</v>
      </c>
      <c r="AR66" s="156">
        <f>IF(T66="","",IF(T66="SIM",VLOOKUP($I66&amp;$J66&amp;T$1,Pesos!$A:$I,7,FALSE),VLOOKUP($I66&amp;$J66&amp;T$1,Pesos!$A:$I,9,FALSE)))</f>
        <v>1.92</v>
      </c>
      <c r="AS66" s="132">
        <f>IF(U66="","",IF(U66="SIM",VLOOKUP($I66&amp;$J66&amp;U$1,Pesos!$A:$I,7,FALSE),VLOOKUP($I66&amp;$J66&amp;U$1,Pesos!$A:$I,9,FALSE)))</f>
        <v>1.7000000000000002</v>
      </c>
      <c r="AT66" s="132">
        <f>IF(V66="","",IF(V66="SIM",VLOOKUP($I66&amp;$J66&amp;V$1,Pesos!$A:$I,7,FALSE),VLOOKUP($I66&amp;$J66&amp;V$1,Pesos!$A:$I,9,FALSE)))</f>
        <v>0.3</v>
      </c>
      <c r="AU66" s="132">
        <f>IF(W66="","",IF(W66="SIM",VLOOKUP($I66&amp;$J66&amp;W$1,Pesos!$A:$I,7,FALSE),VLOOKUP($I66&amp;$J66&amp;W$1,Pesos!$A:$I,9,FALSE)))</f>
        <v>0.3</v>
      </c>
      <c r="AV66" s="132">
        <f>IF(X66="","",IF(X66="SIM",VLOOKUP($I66&amp;$J66&amp;X$1,Pesos!$A:$I,7,FALSE),VLOOKUP($I66&amp;$J66&amp;X$1,Pesos!$A:$I,9,FALSE)))</f>
        <v>0.15</v>
      </c>
      <c r="AW66" s="132">
        <f>IF(Y66="","",IF(Y66="SIM",VLOOKUP($I66&amp;$J66&amp;Y$1,Pesos!$A:$I,7,FALSE),VLOOKUP($I66&amp;$J66&amp;Y$1,Pesos!$A:$I,9,FALSE)))</f>
        <v>0.2</v>
      </c>
      <c r="AX66" s="132">
        <f>IF(Z66="","",IF(Z66="SIM",VLOOKUP($I66&amp;$J66&amp;Z$1,Pesos!$A:$I,7,FALSE),VLOOKUP($I66&amp;$J66&amp;Z$1,Pesos!$A:$I,9,FALSE)))</f>
        <v>0.3</v>
      </c>
      <c r="AY66" s="132">
        <f>IF(AA66="","",IF(AA66="SIM",VLOOKUP($I66&amp;$J66&amp;AA$1,Pesos!$A:$I,7,FALSE),VLOOKUP($I66&amp;$J66&amp;AA$1,Pesos!$A:$I,9,FALSE)))</f>
        <v>0.1</v>
      </c>
      <c r="AZ66" s="132" t="str">
        <f>IF(AB66="","",IF(AB66="SIM",VLOOKUP($I66&amp;$J66&amp;AB$1,Pesos!$A:$I,7,FALSE),VLOOKUP($I66&amp;$J66&amp;AB$1,Pesos!$A:$I,9,FALSE)))</f>
        <v/>
      </c>
      <c r="BA66" s="132" t="str">
        <f>IF(AC66="","",IF(AC66="SIM",VLOOKUP($I66&amp;$J66&amp;AC$1,Pesos!$A:$I,7,FALSE),VLOOKUP($I66&amp;$J66&amp;AC$1,Pesos!$A:$I,9,FALSE)))</f>
        <v/>
      </c>
      <c r="BB66" s="132" t="str">
        <f>IF(AD66="","",IF(AD66="SIM",VLOOKUP($I66&amp;$J66&amp;AD$1,Pesos!$A:$I,7,FALSE),VLOOKUP($I66&amp;$J66&amp;AD$1,Pesos!$A:$I,9,FALSE)))</f>
        <v/>
      </c>
      <c r="BC66" s="132" t="str">
        <f>IF(AE66="","",IF(AE66="SIM",VLOOKUP($I66&amp;$J66&amp;AE$1,Pesos!$A:$I,7,FALSE),VLOOKUP($I66&amp;$J66&amp;AE$1,Pesos!$A:$I,9,FALSE)))</f>
        <v/>
      </c>
      <c r="BD66" s="158">
        <f>IFERROR(AF66*VLOOKUP(J66,'BD Campos'!$X$1:$Y$14,2,FALSE),"0")</f>
        <v>10.000000000000002</v>
      </c>
    </row>
    <row r="67" spans="1:56">
      <c r="A67" s="151" t="str">
        <f t="shared" si="7"/>
        <v>Jan4210Motorista 2TRANSFERÊNCIA</v>
      </c>
      <c r="B67" s="149" t="str">
        <f t="shared" si="8"/>
        <v>Jan42102TRANSFERÊNCIAPADRÃO</v>
      </c>
      <c r="C67" s="152">
        <v>1</v>
      </c>
      <c r="D67" s="153">
        <v>46048.736008564818</v>
      </c>
      <c r="E67" s="154" t="s">
        <v>12</v>
      </c>
      <c r="F67" s="155">
        <v>4210</v>
      </c>
      <c r="G67" s="149" t="s">
        <v>191</v>
      </c>
      <c r="H67" s="154">
        <v>2</v>
      </c>
      <c r="I67" s="149" t="s">
        <v>96</v>
      </c>
      <c r="J67" s="149" t="s">
        <v>97</v>
      </c>
      <c r="K67" s="149" t="s">
        <v>192</v>
      </c>
      <c r="L67" s="156">
        <v>34680559</v>
      </c>
      <c r="M67" s="157">
        <v>1.1574074074074073E-3</v>
      </c>
      <c r="N67" s="131" t="s">
        <v>17</v>
      </c>
      <c r="O67" s="131" t="s">
        <v>17</v>
      </c>
      <c r="P67" s="131" t="s">
        <v>17</v>
      </c>
      <c r="Q67" s="131" t="s">
        <v>17</v>
      </c>
      <c r="R67" s="131" t="s">
        <v>17</v>
      </c>
      <c r="S67" s="131" t="s">
        <v>17</v>
      </c>
      <c r="T67" s="131" t="s">
        <v>17</v>
      </c>
      <c r="U67" s="131" t="s">
        <v>17</v>
      </c>
      <c r="V67" s="131" t="s">
        <v>18</v>
      </c>
      <c r="W67" s="131" t="s">
        <v>17</v>
      </c>
      <c r="X67" s="131" t="s">
        <v>17</v>
      </c>
      <c r="Y67" s="131" t="s">
        <v>17</v>
      </c>
      <c r="Z67" s="131" t="s">
        <v>17</v>
      </c>
      <c r="AA67" s="131" t="s">
        <v>17</v>
      </c>
      <c r="AB67" s="131" t="s">
        <v>17</v>
      </c>
      <c r="AC67" s="131"/>
      <c r="AD67" s="131"/>
      <c r="AE67" s="131"/>
      <c r="AF67" s="158">
        <f t="shared" ref="AF67:AF130" si="10">SUM(AL67:BC67)</f>
        <v>8.8974999999999991</v>
      </c>
      <c r="AG67" s="159"/>
      <c r="AH67" s="155" t="s">
        <v>194</v>
      </c>
      <c r="AI67" s="155" t="s">
        <v>83</v>
      </c>
      <c r="AJ67" s="131" t="str">
        <f>IFERROR(VLOOKUP(E67&amp;F67,'Listagem dos op'!A:S,19,0),"")</f>
        <v/>
      </c>
      <c r="AK67" s="131" t="str">
        <f t="shared" si="9"/>
        <v>Jan4210</v>
      </c>
      <c r="AL67" s="154">
        <f>IF(N67="","",IF(N67="SIM",VLOOKUP($I67&amp;$J67&amp;N$1,Pesos!$A:$I,7,FALSE),VLOOKUP($I67&amp;$J67&amp;N$1,Pesos!$A:$I,9,FALSE)))</f>
        <v>0.1</v>
      </c>
      <c r="AM67" s="154">
        <f>IF(O67="","",IF(O67="SIM",VLOOKUP($I67&amp;$J67&amp;O$1,Pesos!$A:$I,7,FALSE),VLOOKUP($I67&amp;$J67&amp;O$1,Pesos!$A:$I,9,FALSE)))</f>
        <v>0.1</v>
      </c>
      <c r="AN67" s="154">
        <f>IF(P67="","",IF(P67="SIM",VLOOKUP($I67&amp;$J67&amp;P$1,Pesos!$A:$I,7,FALSE),VLOOKUP($I67&amp;$J67&amp;P$1,Pesos!$A:$I,9,FALSE)))</f>
        <v>0.1</v>
      </c>
      <c r="AO67" s="154">
        <f>IF(Q67="","",IF(Q67="SIM",VLOOKUP($I67&amp;$J67&amp;Q$1,Pesos!$A:$I,7,FALSE),VLOOKUP($I67&amp;$J67&amp;Q$1,Pesos!$A:$I,9,FALSE)))</f>
        <v>2</v>
      </c>
      <c r="AP67" s="154">
        <f>IF(R67="","",IF(R67="SIM",VLOOKUP($I67&amp;$J67&amp;R$1,Pesos!$A:$I,7,FALSE),VLOOKUP($I67&amp;$J67&amp;R$1,Pesos!$A:$I,9,FALSE)))</f>
        <v>1.03</v>
      </c>
      <c r="AQ67" s="154">
        <f>IF(S67="","",IF(S67="SIM",VLOOKUP($I67&amp;$J67&amp;S$1,Pesos!$A:$I,7,FALSE),VLOOKUP($I67&amp;$J67&amp;S$1,Pesos!$A:$I,9,FALSE)))</f>
        <v>1.22</v>
      </c>
      <c r="AR67" s="156">
        <f>IF(T67="","",IF(T67="SIM",VLOOKUP($I67&amp;$J67&amp;T$1,Pesos!$A:$I,7,FALSE),VLOOKUP($I67&amp;$J67&amp;T$1,Pesos!$A:$I,9,FALSE)))</f>
        <v>2</v>
      </c>
      <c r="AS67" s="132">
        <f>IF(U67="","",IF(U67="SIM",VLOOKUP($I67&amp;$J67&amp;U$1,Pesos!$A:$I,7,FALSE),VLOOKUP($I67&amp;$J67&amp;U$1,Pesos!$A:$I,9,FALSE)))</f>
        <v>1.05</v>
      </c>
      <c r="AT67" s="132">
        <f>IF(V67="","",IF(V67="SIM",VLOOKUP($I67&amp;$J67&amp;V$1,Pesos!$A:$I,7,FALSE),VLOOKUP($I67&amp;$J67&amp;V$1,Pesos!$A:$I,9,FALSE)))</f>
        <v>-5.2500000000000005E-2</v>
      </c>
      <c r="AU67" s="132">
        <f>IF(W67="","",IF(W67="SIM",VLOOKUP($I67&amp;$J67&amp;W$1,Pesos!$A:$I,7,FALSE),VLOOKUP($I67&amp;$J67&amp;W$1,Pesos!$A:$I,9,FALSE)))</f>
        <v>0.3</v>
      </c>
      <c r="AV67" s="132">
        <f>IF(X67="","",IF(X67="SIM",VLOOKUP($I67&amp;$J67&amp;X$1,Pesos!$A:$I,7,FALSE),VLOOKUP($I67&amp;$J67&amp;X$1,Pesos!$A:$I,9,FALSE)))</f>
        <v>0.3</v>
      </c>
      <c r="AW67" s="132">
        <f>IF(Y67="","",IF(Y67="SIM",VLOOKUP($I67&amp;$J67&amp;Y$1,Pesos!$A:$I,7,FALSE),VLOOKUP($I67&amp;$J67&amp;Y$1,Pesos!$A:$I,9,FALSE)))</f>
        <v>0.15</v>
      </c>
      <c r="AX67" s="132">
        <f>IF(Z67="","",IF(Z67="SIM",VLOOKUP($I67&amp;$J67&amp;Z$1,Pesos!$A:$I,7,FALSE),VLOOKUP($I67&amp;$J67&amp;Z$1,Pesos!$A:$I,9,FALSE)))</f>
        <v>0.2</v>
      </c>
      <c r="AY67" s="132">
        <f>IF(AA67="","",IF(AA67="SIM",VLOOKUP($I67&amp;$J67&amp;AA$1,Pesos!$A:$I,7,FALSE),VLOOKUP($I67&amp;$J67&amp;AA$1,Pesos!$A:$I,9,FALSE)))</f>
        <v>0.3</v>
      </c>
      <c r="AZ67" s="132">
        <f>IF(AB67="","",IF(AB67="SIM",VLOOKUP($I67&amp;$J67&amp;AB$1,Pesos!$A:$I,7,FALSE),VLOOKUP($I67&amp;$J67&amp;AB$1,Pesos!$A:$I,9,FALSE)))</f>
        <v>0.1</v>
      </c>
      <c r="BA67" s="132" t="str">
        <f>IF(AC67="","",IF(AC67="SIM",VLOOKUP($I67&amp;$J67&amp;AC$1,Pesos!$A:$I,7,FALSE),VLOOKUP($I67&amp;$J67&amp;AC$1,Pesos!$A:$I,9,FALSE)))</f>
        <v/>
      </c>
      <c r="BB67" s="132" t="str">
        <f>IF(AD67="","",IF(AD67="SIM",VLOOKUP($I67&amp;$J67&amp;AD$1,Pesos!$A:$I,7,FALSE),VLOOKUP($I67&amp;$J67&amp;AD$1,Pesos!$A:$I,9,FALSE)))</f>
        <v/>
      </c>
      <c r="BC67" s="132" t="str">
        <f>IF(AE67="","",IF(AE67="SIM",VLOOKUP($I67&amp;$J67&amp;AE$1,Pesos!$A:$I,7,FALSE),VLOOKUP($I67&amp;$J67&amp;AE$1,Pesos!$A:$I,9,FALSE)))</f>
        <v/>
      </c>
      <c r="BD67" s="158">
        <f>IFERROR(AF67*VLOOKUP(J67,'BD Campos'!$X$1:$Y$14,2,FALSE),"0")</f>
        <v>8.8974999999999991</v>
      </c>
    </row>
    <row r="68" spans="1:56">
      <c r="A68" s="151" t="str">
        <f t="shared" si="7"/>
        <v>Jan4199MotoristaTRANSFERÊNCIA</v>
      </c>
      <c r="B68" s="149" t="str">
        <f t="shared" si="8"/>
        <v>Jan41991TRANSFERÊNCIAPADRÃO</v>
      </c>
      <c r="C68" s="152">
        <v>1</v>
      </c>
      <c r="D68" s="153">
        <v>46048.741701736108</v>
      </c>
      <c r="E68" s="154" t="s">
        <v>12</v>
      </c>
      <c r="F68" s="155">
        <v>4199</v>
      </c>
      <c r="G68" s="149" t="s">
        <v>195</v>
      </c>
      <c r="H68" s="154">
        <v>1</v>
      </c>
      <c r="I68" s="149" t="s">
        <v>96</v>
      </c>
      <c r="J68" s="149" t="s">
        <v>93</v>
      </c>
      <c r="K68" s="149" t="s">
        <v>192</v>
      </c>
      <c r="L68" s="156">
        <v>13763514</v>
      </c>
      <c r="M68" s="157">
        <v>1.7476851851851852E-3</v>
      </c>
      <c r="N68" s="131" t="s">
        <v>17</v>
      </c>
      <c r="O68" s="131" t="s">
        <v>17</v>
      </c>
      <c r="P68" s="131" t="s">
        <v>17</v>
      </c>
      <c r="Q68" s="131" t="s">
        <v>17</v>
      </c>
      <c r="R68" s="131" t="s">
        <v>17</v>
      </c>
      <c r="S68" s="131" t="s">
        <v>17</v>
      </c>
      <c r="T68" s="131" t="s">
        <v>17</v>
      </c>
      <c r="U68" s="131" t="s">
        <v>17</v>
      </c>
      <c r="V68" s="131" t="s">
        <v>18</v>
      </c>
      <c r="W68" s="131" t="s">
        <v>17</v>
      </c>
      <c r="X68" s="131" t="s">
        <v>17</v>
      </c>
      <c r="Y68" s="131" t="s">
        <v>17</v>
      </c>
      <c r="Z68" s="131" t="s">
        <v>17</v>
      </c>
      <c r="AA68" s="131" t="s">
        <v>17</v>
      </c>
      <c r="AB68" s="131" t="s">
        <v>17</v>
      </c>
      <c r="AC68" s="131"/>
      <c r="AD68" s="131"/>
      <c r="AE68" s="131"/>
      <c r="AF68" s="158">
        <f t="shared" si="10"/>
        <v>8.8974999999999991</v>
      </c>
      <c r="AG68" s="159"/>
      <c r="AH68" s="155" t="s">
        <v>196</v>
      </c>
      <c r="AI68" s="155" t="s">
        <v>83</v>
      </c>
      <c r="AJ68" s="131" t="str">
        <f>IFERROR(VLOOKUP(E68&amp;F68,'Listagem dos op'!A:S,19,0),"")</f>
        <v/>
      </c>
      <c r="AK68" s="131" t="str">
        <f t="shared" si="9"/>
        <v>Jan4199</v>
      </c>
      <c r="AL68" s="154">
        <f>IF(N68="","",IF(N68="SIM",VLOOKUP($I68&amp;$J68&amp;N$1,Pesos!$A:$I,7,FALSE),VLOOKUP($I68&amp;$J68&amp;N$1,Pesos!$A:$I,9,FALSE)))</f>
        <v>0.1</v>
      </c>
      <c r="AM68" s="154">
        <f>IF(O68="","",IF(O68="SIM",VLOOKUP($I68&amp;$J68&amp;O$1,Pesos!$A:$I,7,FALSE),VLOOKUP($I68&amp;$J68&amp;O$1,Pesos!$A:$I,9,FALSE)))</f>
        <v>0.1</v>
      </c>
      <c r="AN68" s="154">
        <f>IF(P68="","",IF(P68="SIM",VLOOKUP($I68&amp;$J68&amp;P$1,Pesos!$A:$I,7,FALSE),VLOOKUP($I68&amp;$J68&amp;P$1,Pesos!$A:$I,9,FALSE)))</f>
        <v>0.1</v>
      </c>
      <c r="AO68" s="154">
        <f>IF(Q68="","",IF(Q68="SIM",VLOOKUP($I68&amp;$J68&amp;Q$1,Pesos!$A:$I,7,FALSE),VLOOKUP($I68&amp;$J68&amp;Q$1,Pesos!$A:$I,9,FALSE)))</f>
        <v>2</v>
      </c>
      <c r="AP68" s="154">
        <f>IF(R68="","",IF(R68="SIM",VLOOKUP($I68&amp;$J68&amp;R$1,Pesos!$A:$I,7,FALSE),VLOOKUP($I68&amp;$J68&amp;R$1,Pesos!$A:$I,9,FALSE)))</f>
        <v>1.03</v>
      </c>
      <c r="AQ68" s="154">
        <f>IF(S68="","",IF(S68="SIM",VLOOKUP($I68&amp;$J68&amp;S$1,Pesos!$A:$I,7,FALSE),VLOOKUP($I68&amp;$J68&amp;S$1,Pesos!$A:$I,9,FALSE)))</f>
        <v>1.22</v>
      </c>
      <c r="AR68" s="156">
        <f>IF(T68="","",IF(T68="SIM",VLOOKUP($I68&amp;$J68&amp;T$1,Pesos!$A:$I,7,FALSE),VLOOKUP($I68&amp;$J68&amp;T$1,Pesos!$A:$I,9,FALSE)))</f>
        <v>2</v>
      </c>
      <c r="AS68" s="132">
        <f>IF(U68="","",IF(U68="SIM",VLOOKUP($I68&amp;$J68&amp;U$1,Pesos!$A:$I,7,FALSE),VLOOKUP($I68&amp;$J68&amp;U$1,Pesos!$A:$I,9,FALSE)))</f>
        <v>1.05</v>
      </c>
      <c r="AT68" s="132">
        <f>IF(V68="","",IF(V68="SIM",VLOOKUP($I68&amp;$J68&amp;V$1,Pesos!$A:$I,7,FALSE),VLOOKUP($I68&amp;$J68&amp;V$1,Pesos!$A:$I,9,FALSE)))</f>
        <v>-5.2500000000000005E-2</v>
      </c>
      <c r="AU68" s="132">
        <f>IF(W68="","",IF(W68="SIM",VLOOKUP($I68&amp;$J68&amp;W$1,Pesos!$A:$I,7,FALSE),VLOOKUP($I68&amp;$J68&amp;W$1,Pesos!$A:$I,9,FALSE)))</f>
        <v>0.3</v>
      </c>
      <c r="AV68" s="132">
        <f>IF(X68="","",IF(X68="SIM",VLOOKUP($I68&amp;$J68&amp;X$1,Pesos!$A:$I,7,FALSE),VLOOKUP($I68&amp;$J68&amp;X$1,Pesos!$A:$I,9,FALSE)))</f>
        <v>0.3</v>
      </c>
      <c r="AW68" s="132">
        <f>IF(Y68="","",IF(Y68="SIM",VLOOKUP($I68&amp;$J68&amp;Y$1,Pesos!$A:$I,7,FALSE),VLOOKUP($I68&amp;$J68&amp;Y$1,Pesos!$A:$I,9,FALSE)))</f>
        <v>0.15</v>
      </c>
      <c r="AX68" s="132">
        <f>IF(Z68="","",IF(Z68="SIM",VLOOKUP($I68&amp;$J68&amp;Z$1,Pesos!$A:$I,7,FALSE),VLOOKUP($I68&amp;$J68&amp;Z$1,Pesos!$A:$I,9,FALSE)))</f>
        <v>0.2</v>
      </c>
      <c r="AY68" s="132">
        <f>IF(AA68="","",IF(AA68="SIM",VLOOKUP($I68&amp;$J68&amp;AA$1,Pesos!$A:$I,7,FALSE),VLOOKUP($I68&amp;$J68&amp;AA$1,Pesos!$A:$I,9,FALSE)))</f>
        <v>0.3</v>
      </c>
      <c r="AZ68" s="132">
        <f>IF(AB68="","",IF(AB68="SIM",VLOOKUP($I68&amp;$J68&amp;AB$1,Pesos!$A:$I,7,FALSE),VLOOKUP($I68&amp;$J68&amp;AB$1,Pesos!$A:$I,9,FALSE)))</f>
        <v>0.1</v>
      </c>
      <c r="BA68" s="132" t="str">
        <f>IF(AC68="","",IF(AC68="SIM",VLOOKUP($I68&amp;$J68&amp;AC$1,Pesos!$A:$I,7,FALSE),VLOOKUP($I68&amp;$J68&amp;AC$1,Pesos!$A:$I,9,FALSE)))</f>
        <v/>
      </c>
      <c r="BB68" s="132" t="str">
        <f>IF(AD68="","",IF(AD68="SIM",VLOOKUP($I68&amp;$J68&amp;AD$1,Pesos!$A:$I,7,FALSE),VLOOKUP($I68&amp;$J68&amp;AD$1,Pesos!$A:$I,9,FALSE)))</f>
        <v/>
      </c>
      <c r="BC68" s="132" t="str">
        <f>IF(AE68="","",IF(AE68="SIM",VLOOKUP($I68&amp;$J68&amp;AE$1,Pesos!$A:$I,7,FALSE),VLOOKUP($I68&amp;$J68&amp;AE$1,Pesos!$A:$I,9,FALSE)))</f>
        <v/>
      </c>
      <c r="BD68" s="158">
        <f>IFERROR(AF68*VLOOKUP(J68,'BD Campos'!$X$1:$Y$14,2,FALSE),"0")</f>
        <v>8.8974999999999991</v>
      </c>
    </row>
    <row r="69" spans="1:56">
      <c r="A69" s="151" t="str">
        <f t="shared" si="7"/>
        <v>Jan4199Motorista 2TRANSFERÊNCIA</v>
      </c>
      <c r="B69" s="149" t="str">
        <f t="shared" si="8"/>
        <v>Jan41992TRANSFERÊNCIAPADRÃO</v>
      </c>
      <c r="C69" s="152">
        <v>1</v>
      </c>
      <c r="D69" s="153">
        <v>46048.744331365742</v>
      </c>
      <c r="E69" s="154" t="s">
        <v>12</v>
      </c>
      <c r="F69" s="155">
        <v>4199</v>
      </c>
      <c r="G69" s="149" t="s">
        <v>195</v>
      </c>
      <c r="H69" s="154">
        <v>2</v>
      </c>
      <c r="I69" s="149" t="s">
        <v>130</v>
      </c>
      <c r="J69" s="149" t="s">
        <v>97</v>
      </c>
      <c r="K69" s="149" t="s">
        <v>192</v>
      </c>
      <c r="L69" s="156">
        <v>13763648</v>
      </c>
      <c r="M69" s="157">
        <v>9.1435185185185185E-4</v>
      </c>
      <c r="N69" s="131" t="s">
        <v>17</v>
      </c>
      <c r="O69" s="131" t="s">
        <v>17</v>
      </c>
      <c r="P69" s="131" t="s">
        <v>17</v>
      </c>
      <c r="Q69" s="131" t="s">
        <v>17</v>
      </c>
      <c r="R69" s="131" t="s">
        <v>17</v>
      </c>
      <c r="S69" s="131" t="s">
        <v>18</v>
      </c>
      <c r="T69" s="131" t="s">
        <v>17</v>
      </c>
      <c r="U69" s="131" t="s">
        <v>17</v>
      </c>
      <c r="V69" s="131" t="s">
        <v>18</v>
      </c>
      <c r="W69" s="131" t="s">
        <v>18</v>
      </c>
      <c r="X69" s="131" t="s">
        <v>17</v>
      </c>
      <c r="Y69" s="131" t="s">
        <v>17</v>
      </c>
      <c r="Z69" s="131" t="s">
        <v>17</v>
      </c>
      <c r="AA69" s="131" t="s">
        <v>17</v>
      </c>
      <c r="AB69" s="131" t="s">
        <v>17</v>
      </c>
      <c r="AC69" s="131"/>
      <c r="AD69" s="131"/>
      <c r="AE69" s="131"/>
      <c r="AF69" s="158">
        <f t="shared" si="10"/>
        <v>6.849800000000001</v>
      </c>
      <c r="AG69" s="159"/>
      <c r="AH69" s="155" t="s">
        <v>197</v>
      </c>
      <c r="AI69" s="155" t="s">
        <v>83</v>
      </c>
      <c r="AJ69" s="131" t="str">
        <f>IFERROR(VLOOKUP(E69&amp;F69,'Listagem dos op'!A:S,19,0),"")</f>
        <v/>
      </c>
      <c r="AK69" s="131" t="str">
        <f t="shared" si="9"/>
        <v>Jan4199</v>
      </c>
      <c r="AL69" s="154">
        <f>IF(N69="","",IF(N69="SIM",VLOOKUP($I69&amp;$J69&amp;N$1,Pesos!$A:$I,7,FALSE),VLOOKUP($I69&amp;$J69&amp;N$1,Pesos!$A:$I,9,FALSE)))</f>
        <v>0.1</v>
      </c>
      <c r="AM69" s="154">
        <f>IF(O69="","",IF(O69="SIM",VLOOKUP($I69&amp;$J69&amp;O$1,Pesos!$A:$I,7,FALSE),VLOOKUP($I69&amp;$J69&amp;O$1,Pesos!$A:$I,9,FALSE)))</f>
        <v>0.1</v>
      </c>
      <c r="AN69" s="154">
        <f>IF(P69="","",IF(P69="SIM",VLOOKUP($I69&amp;$J69&amp;P$1,Pesos!$A:$I,7,FALSE),VLOOKUP($I69&amp;$J69&amp;P$1,Pesos!$A:$I,9,FALSE)))</f>
        <v>0.1</v>
      </c>
      <c r="AO69" s="154">
        <f>IF(Q69="","",IF(Q69="SIM",VLOOKUP($I69&amp;$J69&amp;Q$1,Pesos!$A:$I,7,FALSE),VLOOKUP($I69&amp;$J69&amp;Q$1,Pesos!$A:$I,9,FALSE)))</f>
        <v>2</v>
      </c>
      <c r="AP69" s="154">
        <f>IF(R69="","",IF(R69="SIM",VLOOKUP($I69&amp;$J69&amp;R$1,Pesos!$A:$I,7,FALSE),VLOOKUP($I69&amp;$J69&amp;R$1,Pesos!$A:$I,9,FALSE)))</f>
        <v>1.03</v>
      </c>
      <c r="AQ69" s="154">
        <f>IF(S69="","",IF(S69="SIM",VLOOKUP($I69&amp;$J69&amp;S$1,Pesos!$A:$I,7,FALSE),VLOOKUP($I69&amp;$J69&amp;S$1,Pesos!$A:$I,9,FALSE)))</f>
        <v>-6.5000000000000002E-2</v>
      </c>
      <c r="AR69" s="156">
        <f>IF(T69="","",IF(T69="SIM",VLOOKUP($I69&amp;$J69&amp;T$1,Pesos!$A:$I,7,FALSE),VLOOKUP($I69&amp;$J69&amp;T$1,Pesos!$A:$I,9,FALSE)))</f>
        <v>1.3</v>
      </c>
      <c r="AS69" s="132">
        <f>IF(U69="","",IF(U69="SIM",VLOOKUP($I69&amp;$J69&amp;U$1,Pesos!$A:$I,7,FALSE),VLOOKUP($I69&amp;$J69&amp;U$1,Pesos!$A:$I,9,FALSE)))</f>
        <v>1.32</v>
      </c>
      <c r="AT69" s="132">
        <f>IF(V69="","",IF(V69="SIM",VLOOKUP($I69&amp;$J69&amp;V$1,Pesos!$A:$I,7,FALSE),VLOOKUP($I69&amp;$J69&amp;V$1,Pesos!$A:$I,9,FALSE)))</f>
        <v>-7.0199999999999999E-2</v>
      </c>
      <c r="AU69" s="132">
        <f>IF(W69="","",IF(W69="SIM",VLOOKUP($I69&amp;$J69&amp;W$1,Pesos!$A:$I,7,FALSE),VLOOKUP($I69&amp;$J69&amp;W$1,Pesos!$A:$I,9,FALSE)))</f>
        <v>-1.4999999999999999E-2</v>
      </c>
      <c r="AV69" s="132">
        <f>IF(X69="","",IF(X69="SIM",VLOOKUP($I69&amp;$J69&amp;X$1,Pesos!$A:$I,7,FALSE),VLOOKUP($I69&amp;$J69&amp;X$1,Pesos!$A:$I,9,FALSE)))</f>
        <v>0.3</v>
      </c>
      <c r="AW69" s="132">
        <f>IF(Y69="","",IF(Y69="SIM",VLOOKUP($I69&amp;$J69&amp;Y$1,Pesos!$A:$I,7,FALSE),VLOOKUP($I69&amp;$J69&amp;Y$1,Pesos!$A:$I,9,FALSE)))</f>
        <v>0.15</v>
      </c>
      <c r="AX69" s="132">
        <f>IF(Z69="","",IF(Z69="SIM",VLOOKUP($I69&amp;$J69&amp;Z$1,Pesos!$A:$I,7,FALSE),VLOOKUP($I69&amp;$J69&amp;Z$1,Pesos!$A:$I,9,FALSE)))</f>
        <v>0.2</v>
      </c>
      <c r="AY69" s="132">
        <f>IF(AA69="","",IF(AA69="SIM",VLOOKUP($I69&amp;$J69&amp;AA$1,Pesos!$A:$I,7,FALSE),VLOOKUP($I69&amp;$J69&amp;AA$1,Pesos!$A:$I,9,FALSE)))</f>
        <v>0.3</v>
      </c>
      <c r="AZ69" s="132">
        <f>IF(AB69="","",IF(AB69="SIM",VLOOKUP($I69&amp;$J69&amp;AB$1,Pesos!$A:$I,7,FALSE),VLOOKUP($I69&amp;$J69&amp;AB$1,Pesos!$A:$I,9,FALSE)))</f>
        <v>0.1</v>
      </c>
      <c r="BA69" s="132" t="str">
        <f>IF(AC69="","",IF(AC69="SIM",VLOOKUP($I69&amp;$J69&amp;AC$1,Pesos!$A:$I,7,FALSE),VLOOKUP($I69&amp;$J69&amp;AC$1,Pesos!$A:$I,9,FALSE)))</f>
        <v/>
      </c>
      <c r="BB69" s="132" t="str">
        <f>IF(AD69="","",IF(AD69="SIM",VLOOKUP($I69&amp;$J69&amp;AD$1,Pesos!$A:$I,7,FALSE),VLOOKUP($I69&amp;$J69&amp;AD$1,Pesos!$A:$I,9,FALSE)))</f>
        <v/>
      </c>
      <c r="BC69" s="132" t="str">
        <f>IF(AE69="","",IF(AE69="SIM",VLOOKUP($I69&amp;$J69&amp;AE$1,Pesos!$A:$I,7,FALSE),VLOOKUP($I69&amp;$J69&amp;AE$1,Pesos!$A:$I,9,FALSE)))</f>
        <v/>
      </c>
      <c r="BD69" s="158">
        <f>IFERROR(AF69*VLOOKUP(J69,'BD Campos'!$X$1:$Y$14,2,FALSE),"0")</f>
        <v>6.849800000000001</v>
      </c>
    </row>
    <row r="70" spans="1:56">
      <c r="A70" s="151" t="str">
        <f t="shared" si="7"/>
        <v>Jan4206MotoristaTRANSFERÊNCIA</v>
      </c>
      <c r="B70" s="149" t="str">
        <f t="shared" si="8"/>
        <v>Jan42061TRANSFERÊNCIAPADRÃO</v>
      </c>
      <c r="C70" s="152">
        <v>1</v>
      </c>
      <c r="D70" s="153">
        <v>46048.753271527778</v>
      </c>
      <c r="E70" s="154" t="s">
        <v>12</v>
      </c>
      <c r="F70" s="155">
        <v>4206</v>
      </c>
      <c r="G70" s="149" t="s">
        <v>198</v>
      </c>
      <c r="H70" s="154">
        <v>1</v>
      </c>
      <c r="I70" s="149" t="s">
        <v>96</v>
      </c>
      <c r="J70" s="149" t="s">
        <v>93</v>
      </c>
      <c r="K70" s="149" t="s">
        <v>192</v>
      </c>
      <c r="L70" s="156">
        <v>34509772</v>
      </c>
      <c r="M70" s="157">
        <v>1.5162037037037036E-3</v>
      </c>
      <c r="N70" s="131" t="s">
        <v>17</v>
      </c>
      <c r="O70" s="131" t="s">
        <v>17</v>
      </c>
      <c r="P70" s="131" t="s">
        <v>17</v>
      </c>
      <c r="Q70" s="131" t="s">
        <v>17</v>
      </c>
      <c r="R70" s="131" t="s">
        <v>17</v>
      </c>
      <c r="S70" s="131" t="s">
        <v>18</v>
      </c>
      <c r="T70" s="131" t="s">
        <v>17</v>
      </c>
      <c r="U70" s="131" t="s">
        <v>17</v>
      </c>
      <c r="V70" s="131" t="s">
        <v>18</v>
      </c>
      <c r="W70" s="131" t="s">
        <v>18</v>
      </c>
      <c r="X70" s="131" t="s">
        <v>17</v>
      </c>
      <c r="Y70" s="131" t="s">
        <v>17</v>
      </c>
      <c r="Z70" s="131" t="s">
        <v>17</v>
      </c>
      <c r="AA70" s="131" t="s">
        <v>17</v>
      </c>
      <c r="AB70" s="131" t="s">
        <v>17</v>
      </c>
      <c r="AC70" s="131"/>
      <c r="AD70" s="131"/>
      <c r="AE70" s="131"/>
      <c r="AF70" s="158">
        <f t="shared" si="10"/>
        <v>7.3014999999999999</v>
      </c>
      <c r="AG70" s="159"/>
      <c r="AH70" s="155" t="s">
        <v>199</v>
      </c>
      <c r="AI70" s="155" t="s">
        <v>83</v>
      </c>
      <c r="AJ70" s="131" t="str">
        <f>IFERROR(VLOOKUP(E70&amp;F70,'Listagem dos op'!A:S,19,0),"")</f>
        <v/>
      </c>
      <c r="AK70" s="131" t="str">
        <f t="shared" si="9"/>
        <v>Jan4206</v>
      </c>
      <c r="AL70" s="154">
        <f>IF(N70="","",IF(N70="SIM",VLOOKUP($I70&amp;$J70&amp;N$1,Pesos!$A:$I,7,FALSE),VLOOKUP($I70&amp;$J70&amp;N$1,Pesos!$A:$I,9,FALSE)))</f>
        <v>0.1</v>
      </c>
      <c r="AM70" s="154">
        <f>IF(O70="","",IF(O70="SIM",VLOOKUP($I70&amp;$J70&amp;O$1,Pesos!$A:$I,7,FALSE),VLOOKUP($I70&amp;$J70&amp;O$1,Pesos!$A:$I,9,FALSE)))</f>
        <v>0.1</v>
      </c>
      <c r="AN70" s="154">
        <f>IF(P70="","",IF(P70="SIM",VLOOKUP($I70&amp;$J70&amp;P$1,Pesos!$A:$I,7,FALSE),VLOOKUP($I70&amp;$J70&amp;P$1,Pesos!$A:$I,9,FALSE)))</f>
        <v>0.1</v>
      </c>
      <c r="AO70" s="154">
        <f>IF(Q70="","",IF(Q70="SIM",VLOOKUP($I70&amp;$J70&amp;Q$1,Pesos!$A:$I,7,FALSE),VLOOKUP($I70&amp;$J70&amp;Q$1,Pesos!$A:$I,9,FALSE)))</f>
        <v>2</v>
      </c>
      <c r="AP70" s="154">
        <f>IF(R70="","",IF(R70="SIM",VLOOKUP($I70&amp;$J70&amp;R$1,Pesos!$A:$I,7,FALSE),VLOOKUP($I70&amp;$J70&amp;R$1,Pesos!$A:$I,9,FALSE)))</f>
        <v>1.03</v>
      </c>
      <c r="AQ70" s="154">
        <f>IF(S70="","",IF(S70="SIM",VLOOKUP($I70&amp;$J70&amp;S$1,Pesos!$A:$I,7,FALSE),VLOOKUP($I70&amp;$J70&amp;S$1,Pesos!$A:$I,9,FALSE)))</f>
        <v>-6.0999999999999999E-2</v>
      </c>
      <c r="AR70" s="156">
        <f>IF(T70="","",IF(T70="SIM",VLOOKUP($I70&amp;$J70&amp;T$1,Pesos!$A:$I,7,FALSE),VLOOKUP($I70&amp;$J70&amp;T$1,Pesos!$A:$I,9,FALSE)))</f>
        <v>2</v>
      </c>
      <c r="AS70" s="132">
        <f>IF(U70="","",IF(U70="SIM",VLOOKUP($I70&amp;$J70&amp;U$1,Pesos!$A:$I,7,FALSE),VLOOKUP($I70&amp;$J70&amp;U$1,Pesos!$A:$I,9,FALSE)))</f>
        <v>1.05</v>
      </c>
      <c r="AT70" s="132">
        <f>IF(V70="","",IF(V70="SIM",VLOOKUP($I70&amp;$J70&amp;V$1,Pesos!$A:$I,7,FALSE),VLOOKUP($I70&amp;$J70&amp;V$1,Pesos!$A:$I,9,FALSE)))</f>
        <v>-5.2500000000000005E-2</v>
      </c>
      <c r="AU70" s="132">
        <f>IF(W70="","",IF(W70="SIM",VLOOKUP($I70&amp;$J70&amp;W$1,Pesos!$A:$I,7,FALSE),VLOOKUP($I70&amp;$J70&amp;W$1,Pesos!$A:$I,9,FALSE)))</f>
        <v>-1.4999999999999999E-2</v>
      </c>
      <c r="AV70" s="132">
        <f>IF(X70="","",IF(X70="SIM",VLOOKUP($I70&amp;$J70&amp;X$1,Pesos!$A:$I,7,FALSE),VLOOKUP($I70&amp;$J70&amp;X$1,Pesos!$A:$I,9,FALSE)))</f>
        <v>0.3</v>
      </c>
      <c r="AW70" s="132">
        <f>IF(Y70="","",IF(Y70="SIM",VLOOKUP($I70&amp;$J70&amp;Y$1,Pesos!$A:$I,7,FALSE),VLOOKUP($I70&amp;$J70&amp;Y$1,Pesos!$A:$I,9,FALSE)))</f>
        <v>0.15</v>
      </c>
      <c r="AX70" s="132">
        <f>IF(Z70="","",IF(Z70="SIM",VLOOKUP($I70&amp;$J70&amp;Z$1,Pesos!$A:$I,7,FALSE),VLOOKUP($I70&amp;$J70&amp;Z$1,Pesos!$A:$I,9,FALSE)))</f>
        <v>0.2</v>
      </c>
      <c r="AY70" s="132">
        <f>IF(AA70="","",IF(AA70="SIM",VLOOKUP($I70&amp;$J70&amp;AA$1,Pesos!$A:$I,7,FALSE),VLOOKUP($I70&amp;$J70&amp;AA$1,Pesos!$A:$I,9,FALSE)))</f>
        <v>0.3</v>
      </c>
      <c r="AZ70" s="132">
        <f>IF(AB70="","",IF(AB70="SIM",VLOOKUP($I70&amp;$J70&amp;AB$1,Pesos!$A:$I,7,FALSE),VLOOKUP($I70&amp;$J70&amp;AB$1,Pesos!$A:$I,9,FALSE)))</f>
        <v>0.1</v>
      </c>
      <c r="BA70" s="132" t="str">
        <f>IF(AC70="","",IF(AC70="SIM",VLOOKUP($I70&amp;$J70&amp;AC$1,Pesos!$A:$I,7,FALSE),VLOOKUP($I70&amp;$J70&amp;AC$1,Pesos!$A:$I,9,FALSE)))</f>
        <v/>
      </c>
      <c r="BB70" s="132" t="str">
        <f>IF(AD70="","",IF(AD70="SIM",VLOOKUP($I70&amp;$J70&amp;AD$1,Pesos!$A:$I,7,FALSE),VLOOKUP($I70&amp;$J70&amp;AD$1,Pesos!$A:$I,9,FALSE)))</f>
        <v/>
      </c>
      <c r="BC70" s="132" t="str">
        <f>IF(AE70="","",IF(AE70="SIM",VLOOKUP($I70&amp;$J70&amp;AE$1,Pesos!$A:$I,7,FALSE),VLOOKUP($I70&amp;$J70&amp;AE$1,Pesos!$A:$I,9,FALSE)))</f>
        <v/>
      </c>
      <c r="BD70" s="158">
        <f>IFERROR(AF70*VLOOKUP(J70,'BD Campos'!$X$1:$Y$14,2,FALSE),"0")</f>
        <v>7.3014999999999999</v>
      </c>
    </row>
    <row r="71" spans="1:56">
      <c r="A71" s="151" t="str">
        <f t="shared" si="7"/>
        <v>Jan4206Motorista 2TRANSFERÊNCIA</v>
      </c>
      <c r="B71" s="149" t="str">
        <f t="shared" si="8"/>
        <v>Jan42062TRANSFERÊNCIAPADRÃO</v>
      </c>
      <c r="C71" s="152">
        <v>1</v>
      </c>
      <c r="D71" s="153">
        <v>46048.756503472221</v>
      </c>
      <c r="E71" s="154" t="s">
        <v>12</v>
      </c>
      <c r="F71" s="155">
        <v>4206</v>
      </c>
      <c r="G71" s="149" t="s">
        <v>198</v>
      </c>
      <c r="H71" s="154">
        <v>2</v>
      </c>
      <c r="I71" s="149" t="s">
        <v>96</v>
      </c>
      <c r="J71" s="149" t="s">
        <v>97</v>
      </c>
      <c r="K71" s="149" t="s">
        <v>192</v>
      </c>
      <c r="L71" s="156">
        <v>34726326</v>
      </c>
      <c r="M71" s="157">
        <v>2.7314814814814819E-3</v>
      </c>
      <c r="N71" s="131" t="s">
        <v>17</v>
      </c>
      <c r="O71" s="131" t="s">
        <v>17</v>
      </c>
      <c r="P71" s="131" t="s">
        <v>17</v>
      </c>
      <c r="Q71" s="131" t="s">
        <v>17</v>
      </c>
      <c r="R71" s="131" t="s">
        <v>17</v>
      </c>
      <c r="S71" s="131" t="s">
        <v>17</v>
      </c>
      <c r="T71" s="131" t="s">
        <v>17</v>
      </c>
      <c r="U71" s="131" t="s">
        <v>17</v>
      </c>
      <c r="V71" s="131" t="s">
        <v>17</v>
      </c>
      <c r="W71" s="131" t="s">
        <v>17</v>
      </c>
      <c r="X71" s="131" t="s">
        <v>17</v>
      </c>
      <c r="Y71" s="131" t="s">
        <v>17</v>
      </c>
      <c r="Z71" s="131" t="s">
        <v>17</v>
      </c>
      <c r="AA71" s="131" t="s">
        <v>17</v>
      </c>
      <c r="AB71" s="131" t="s">
        <v>17</v>
      </c>
      <c r="AC71" s="131"/>
      <c r="AD71" s="131"/>
      <c r="AE71" s="131"/>
      <c r="AF71" s="158">
        <f t="shared" si="10"/>
        <v>10.000000000000002</v>
      </c>
      <c r="AG71" s="159"/>
      <c r="AH71" s="155" t="s">
        <v>200</v>
      </c>
      <c r="AI71" s="155" t="s">
        <v>83</v>
      </c>
      <c r="AJ71" s="131" t="str">
        <f>IFERROR(VLOOKUP(E71&amp;F71,'Listagem dos op'!A:S,19,0),"")</f>
        <v/>
      </c>
      <c r="AK71" s="131" t="str">
        <f t="shared" si="9"/>
        <v>Jan4206</v>
      </c>
      <c r="AL71" s="154">
        <f>IF(N71="","",IF(N71="SIM",VLOOKUP($I71&amp;$J71&amp;N$1,Pesos!$A:$I,7,FALSE),VLOOKUP($I71&amp;$J71&amp;N$1,Pesos!$A:$I,9,FALSE)))</f>
        <v>0.1</v>
      </c>
      <c r="AM71" s="154">
        <f>IF(O71="","",IF(O71="SIM",VLOOKUP($I71&amp;$J71&amp;O$1,Pesos!$A:$I,7,FALSE),VLOOKUP($I71&amp;$J71&amp;O$1,Pesos!$A:$I,9,FALSE)))</f>
        <v>0.1</v>
      </c>
      <c r="AN71" s="154">
        <f>IF(P71="","",IF(P71="SIM",VLOOKUP($I71&amp;$J71&amp;P$1,Pesos!$A:$I,7,FALSE),VLOOKUP($I71&amp;$J71&amp;P$1,Pesos!$A:$I,9,FALSE)))</f>
        <v>0.1</v>
      </c>
      <c r="AO71" s="154">
        <f>IF(Q71="","",IF(Q71="SIM",VLOOKUP($I71&amp;$J71&amp;Q$1,Pesos!$A:$I,7,FALSE),VLOOKUP($I71&amp;$J71&amp;Q$1,Pesos!$A:$I,9,FALSE)))</f>
        <v>2</v>
      </c>
      <c r="AP71" s="154">
        <f>IF(R71="","",IF(R71="SIM",VLOOKUP($I71&amp;$J71&amp;R$1,Pesos!$A:$I,7,FALSE),VLOOKUP($I71&amp;$J71&amp;R$1,Pesos!$A:$I,9,FALSE)))</f>
        <v>1.03</v>
      </c>
      <c r="AQ71" s="154">
        <f>IF(S71="","",IF(S71="SIM",VLOOKUP($I71&amp;$J71&amp;S$1,Pesos!$A:$I,7,FALSE),VLOOKUP($I71&amp;$J71&amp;S$1,Pesos!$A:$I,9,FALSE)))</f>
        <v>1.22</v>
      </c>
      <c r="AR71" s="156">
        <f>IF(T71="","",IF(T71="SIM",VLOOKUP($I71&amp;$J71&amp;T$1,Pesos!$A:$I,7,FALSE),VLOOKUP($I71&amp;$J71&amp;T$1,Pesos!$A:$I,9,FALSE)))</f>
        <v>2</v>
      </c>
      <c r="AS71" s="132">
        <f>IF(U71="","",IF(U71="SIM",VLOOKUP($I71&amp;$J71&amp;U$1,Pesos!$A:$I,7,FALSE),VLOOKUP($I71&amp;$J71&amp;U$1,Pesos!$A:$I,9,FALSE)))</f>
        <v>1.05</v>
      </c>
      <c r="AT71" s="132">
        <f>IF(V71="","",IF(V71="SIM",VLOOKUP($I71&amp;$J71&amp;V$1,Pesos!$A:$I,7,FALSE),VLOOKUP($I71&amp;$J71&amp;V$1,Pesos!$A:$I,9,FALSE)))</f>
        <v>1.05</v>
      </c>
      <c r="AU71" s="132">
        <f>IF(W71="","",IF(W71="SIM",VLOOKUP($I71&amp;$J71&amp;W$1,Pesos!$A:$I,7,FALSE),VLOOKUP($I71&amp;$J71&amp;W$1,Pesos!$A:$I,9,FALSE)))</f>
        <v>0.3</v>
      </c>
      <c r="AV71" s="132">
        <f>IF(X71="","",IF(X71="SIM",VLOOKUP($I71&amp;$J71&amp;X$1,Pesos!$A:$I,7,FALSE),VLOOKUP($I71&amp;$J71&amp;X$1,Pesos!$A:$I,9,FALSE)))</f>
        <v>0.3</v>
      </c>
      <c r="AW71" s="132">
        <f>IF(Y71="","",IF(Y71="SIM",VLOOKUP($I71&amp;$J71&amp;Y$1,Pesos!$A:$I,7,FALSE),VLOOKUP($I71&amp;$J71&amp;Y$1,Pesos!$A:$I,9,FALSE)))</f>
        <v>0.15</v>
      </c>
      <c r="AX71" s="132">
        <f>IF(Z71="","",IF(Z71="SIM",VLOOKUP($I71&amp;$J71&amp;Z$1,Pesos!$A:$I,7,FALSE),VLOOKUP($I71&amp;$J71&amp;Z$1,Pesos!$A:$I,9,FALSE)))</f>
        <v>0.2</v>
      </c>
      <c r="AY71" s="132">
        <f>IF(AA71="","",IF(AA71="SIM",VLOOKUP($I71&amp;$J71&amp;AA$1,Pesos!$A:$I,7,FALSE),VLOOKUP($I71&amp;$J71&amp;AA$1,Pesos!$A:$I,9,FALSE)))</f>
        <v>0.3</v>
      </c>
      <c r="AZ71" s="132">
        <f>IF(AB71="","",IF(AB71="SIM",VLOOKUP($I71&amp;$J71&amp;AB$1,Pesos!$A:$I,7,FALSE),VLOOKUP($I71&amp;$J71&amp;AB$1,Pesos!$A:$I,9,FALSE)))</f>
        <v>0.1</v>
      </c>
      <c r="BA71" s="132" t="str">
        <f>IF(AC71="","",IF(AC71="SIM",VLOOKUP($I71&amp;$J71&amp;AC$1,Pesos!$A:$I,7,FALSE),VLOOKUP($I71&amp;$J71&amp;AC$1,Pesos!$A:$I,9,FALSE)))</f>
        <v/>
      </c>
      <c r="BB71" s="132" t="str">
        <f>IF(AD71="","",IF(AD71="SIM",VLOOKUP($I71&amp;$J71&amp;AD$1,Pesos!$A:$I,7,FALSE),VLOOKUP($I71&amp;$J71&amp;AD$1,Pesos!$A:$I,9,FALSE)))</f>
        <v/>
      </c>
      <c r="BC71" s="132" t="str">
        <f>IF(AE71="","",IF(AE71="SIM",VLOOKUP($I71&amp;$J71&amp;AE$1,Pesos!$A:$I,7,FALSE),VLOOKUP($I71&amp;$J71&amp;AE$1,Pesos!$A:$I,9,FALSE)))</f>
        <v/>
      </c>
      <c r="BD71" s="158">
        <f>IFERROR(AF71*VLOOKUP(J71,'BD Campos'!$X$1:$Y$14,2,FALSE),"0")</f>
        <v>10.000000000000002</v>
      </c>
    </row>
    <row r="72" spans="1:56">
      <c r="A72" s="151" t="str">
        <f t="shared" si="7"/>
        <v>Jan4155MotoristaTRANSFERÊNCIA</v>
      </c>
      <c r="B72" s="149" t="str">
        <f t="shared" si="8"/>
        <v>Jan41551TRANSFERÊNCIAPADRÃO</v>
      </c>
      <c r="C72" s="152">
        <v>1</v>
      </c>
      <c r="D72" s="153">
        <v>46049.41379027778</v>
      </c>
      <c r="E72" s="154" t="s">
        <v>12</v>
      </c>
      <c r="F72" s="155">
        <v>4155</v>
      </c>
      <c r="G72" s="149" t="s">
        <v>201</v>
      </c>
      <c r="H72" s="154">
        <v>1</v>
      </c>
      <c r="I72" s="149" t="s">
        <v>133</v>
      </c>
      <c r="J72" s="149" t="s">
        <v>93</v>
      </c>
      <c r="K72" s="149" t="s">
        <v>192</v>
      </c>
      <c r="L72" s="156">
        <v>13763216</v>
      </c>
      <c r="M72" s="157">
        <v>6.5972222222222213E-4</v>
      </c>
      <c r="N72" s="131" t="s">
        <v>17</v>
      </c>
      <c r="O72" s="131" t="s">
        <v>18</v>
      </c>
      <c r="P72" s="131" t="s">
        <v>18</v>
      </c>
      <c r="Q72" s="131" t="s">
        <v>17</v>
      </c>
      <c r="R72" s="131" t="s">
        <v>17</v>
      </c>
      <c r="S72" s="131" t="s">
        <v>17</v>
      </c>
      <c r="T72" s="131" t="s">
        <v>18</v>
      </c>
      <c r="U72" s="131" t="s">
        <v>17</v>
      </c>
      <c r="V72" s="131" t="s">
        <v>17</v>
      </c>
      <c r="W72" s="131" t="s">
        <v>18</v>
      </c>
      <c r="X72" s="131" t="s">
        <v>18</v>
      </c>
      <c r="Y72" s="131" t="s">
        <v>17</v>
      </c>
      <c r="Z72" s="131" t="s">
        <v>17</v>
      </c>
      <c r="AA72" s="131" t="s">
        <v>17</v>
      </c>
      <c r="AB72" s="131" t="s">
        <v>17</v>
      </c>
      <c r="AC72" s="131" t="s">
        <v>17</v>
      </c>
      <c r="AD72" s="131"/>
      <c r="AE72" s="131"/>
      <c r="AF72" s="158">
        <f t="shared" si="10"/>
        <v>7.1964999999999995</v>
      </c>
      <c r="AG72" s="159"/>
      <c r="AH72" s="155" t="s">
        <v>202</v>
      </c>
      <c r="AI72" s="155" t="s">
        <v>83</v>
      </c>
      <c r="AJ72" s="131" t="str">
        <f>IFERROR(VLOOKUP(E72&amp;F72,'Listagem dos op'!A:S,19,0),"")</f>
        <v/>
      </c>
      <c r="AK72" s="131" t="str">
        <f t="shared" si="9"/>
        <v>Jan4155</v>
      </c>
      <c r="AL72" s="154">
        <f>IF(N72="","",IF(N72="SIM",VLOOKUP($I72&amp;$J72&amp;N$1,Pesos!$A:$I,7,FALSE),VLOOKUP($I72&amp;$J72&amp;N$1,Pesos!$A:$I,9,FALSE)))</f>
        <v>0.1</v>
      </c>
      <c r="AM72" s="154">
        <f>IF(O72="","",IF(O72="SIM",VLOOKUP($I72&amp;$J72&amp;O$1,Pesos!$A:$I,7,FALSE),VLOOKUP($I72&amp;$J72&amp;O$1,Pesos!$A:$I,9,FALSE)))</f>
        <v>-5.000000000000001E-3</v>
      </c>
      <c r="AN72" s="154">
        <f>IF(P72="","",IF(P72="SIM",VLOOKUP($I72&amp;$J72&amp;P$1,Pesos!$A:$I,7,FALSE),VLOOKUP($I72&amp;$J72&amp;P$1,Pesos!$A:$I,9,FALSE)))</f>
        <v>-5.000000000000001E-3</v>
      </c>
      <c r="AO72" s="154">
        <f>IF(Q72="","",IF(Q72="SIM",VLOOKUP($I72&amp;$J72&amp;Q$1,Pesos!$A:$I,7,FALSE),VLOOKUP($I72&amp;$J72&amp;Q$1,Pesos!$A:$I,9,FALSE)))</f>
        <v>2</v>
      </c>
      <c r="AP72" s="154">
        <f>IF(R72="","",IF(R72="SIM",VLOOKUP($I72&amp;$J72&amp;R$1,Pesos!$A:$I,7,FALSE),VLOOKUP($I72&amp;$J72&amp;R$1,Pesos!$A:$I,9,FALSE)))</f>
        <v>1.03</v>
      </c>
      <c r="AQ72" s="154">
        <f>IF(S72="","",IF(S72="SIM",VLOOKUP($I72&amp;$J72&amp;S$1,Pesos!$A:$I,7,FALSE),VLOOKUP($I72&amp;$J72&amp;S$1,Pesos!$A:$I,9,FALSE)))</f>
        <v>1.05</v>
      </c>
      <c r="AR72" s="156">
        <f>IF(T72="","",IF(T72="SIM",VLOOKUP($I72&amp;$J72&amp;T$1,Pesos!$A:$I,7,FALSE),VLOOKUP($I72&amp;$J72&amp;T$1,Pesos!$A:$I,9,FALSE)))</f>
        <v>-5.2500000000000005E-2</v>
      </c>
      <c r="AS72" s="132">
        <f>IF(U72="","",IF(U72="SIM",VLOOKUP($I72&amp;$J72&amp;U$1,Pesos!$A:$I,7,FALSE),VLOOKUP($I72&amp;$J72&amp;U$1,Pesos!$A:$I,9,FALSE)))</f>
        <v>1.05</v>
      </c>
      <c r="AT72" s="132">
        <f>IF(V72="","",IF(V72="SIM",VLOOKUP($I72&amp;$J72&amp;V$1,Pesos!$A:$I,7,FALSE),VLOOKUP($I72&amp;$J72&amp;V$1,Pesos!$A:$I,9,FALSE)))</f>
        <v>1.05</v>
      </c>
      <c r="AU72" s="132">
        <f>IF(W72="","",IF(W72="SIM",VLOOKUP($I72&amp;$J72&amp;W$1,Pesos!$A:$I,7,FALSE),VLOOKUP($I72&amp;$J72&amp;W$1,Pesos!$A:$I,9,FALSE)))</f>
        <v>-5.6000000000000008E-2</v>
      </c>
      <c r="AV72" s="132">
        <f>IF(X72="","",IF(X72="SIM",VLOOKUP($I72&amp;$J72&amp;X$1,Pesos!$A:$I,7,FALSE),VLOOKUP($I72&amp;$J72&amp;X$1,Pesos!$A:$I,9,FALSE)))</f>
        <v>-1.4999999999999999E-2</v>
      </c>
      <c r="AW72" s="132">
        <f>IF(Y72="","",IF(Y72="SIM",VLOOKUP($I72&amp;$J72&amp;Y$1,Pesos!$A:$I,7,FALSE),VLOOKUP($I72&amp;$J72&amp;Y$1,Pesos!$A:$I,9,FALSE)))</f>
        <v>0.3</v>
      </c>
      <c r="AX72" s="132">
        <f>IF(Z72="","",IF(Z72="SIM",VLOOKUP($I72&amp;$J72&amp;Z$1,Pesos!$A:$I,7,FALSE),VLOOKUP($I72&amp;$J72&amp;Z$1,Pesos!$A:$I,9,FALSE)))</f>
        <v>0.15</v>
      </c>
      <c r="AY72" s="132">
        <f>IF(AA72="","",IF(AA72="SIM",VLOOKUP($I72&amp;$J72&amp;AA$1,Pesos!$A:$I,7,FALSE),VLOOKUP($I72&amp;$J72&amp;AA$1,Pesos!$A:$I,9,FALSE)))</f>
        <v>0.2</v>
      </c>
      <c r="AZ72" s="132">
        <f>IF(AB72="","",IF(AB72="SIM",VLOOKUP($I72&amp;$J72&amp;AB$1,Pesos!$A:$I,7,FALSE),VLOOKUP($I72&amp;$J72&amp;AB$1,Pesos!$A:$I,9,FALSE)))</f>
        <v>0.3</v>
      </c>
      <c r="BA72" s="132">
        <f>IF(AC72="","",IF(AC72="SIM",VLOOKUP($I72&amp;$J72&amp;AC$1,Pesos!$A:$I,7,FALSE),VLOOKUP($I72&amp;$J72&amp;AC$1,Pesos!$A:$I,9,FALSE)))</f>
        <v>0.1</v>
      </c>
      <c r="BB72" s="132" t="str">
        <f>IF(AD72="","",IF(AD72="SIM",VLOOKUP($I72&amp;$J72&amp;AD$1,Pesos!$A:$I,7,FALSE),VLOOKUP($I72&amp;$J72&amp;AD$1,Pesos!$A:$I,9,FALSE)))</f>
        <v/>
      </c>
      <c r="BC72" s="132" t="str">
        <f>IF(AE72="","",IF(AE72="SIM",VLOOKUP($I72&amp;$J72&amp;AE$1,Pesos!$A:$I,7,FALSE),VLOOKUP($I72&amp;$J72&amp;AE$1,Pesos!$A:$I,9,FALSE)))</f>
        <v/>
      </c>
      <c r="BD72" s="158">
        <f>IFERROR(AF72*VLOOKUP(J72,'BD Campos'!$X$1:$Y$14,2,FALSE),"0")</f>
        <v>7.1964999999999995</v>
      </c>
    </row>
    <row r="73" spans="1:56">
      <c r="A73" s="151" t="str">
        <f t="shared" si="7"/>
        <v>Jan4155Motorista 2TRANSFERÊNCIA</v>
      </c>
      <c r="B73" s="149" t="str">
        <f t="shared" si="8"/>
        <v>Jan41552TRANSFERÊNCIAPADRÃO</v>
      </c>
      <c r="C73" s="152">
        <v>1</v>
      </c>
      <c r="D73" s="153">
        <v>46049.415831828701</v>
      </c>
      <c r="E73" s="154" t="s">
        <v>12</v>
      </c>
      <c r="F73" s="155">
        <v>4155</v>
      </c>
      <c r="G73" s="149" t="s">
        <v>201</v>
      </c>
      <c r="H73" s="154">
        <v>2</v>
      </c>
      <c r="I73" s="149" t="s">
        <v>96</v>
      </c>
      <c r="J73" s="149" t="s">
        <v>97</v>
      </c>
      <c r="K73" s="149" t="s">
        <v>192</v>
      </c>
      <c r="L73" s="156">
        <v>34451704</v>
      </c>
      <c r="M73" s="157">
        <v>1.0185185185185186E-3</v>
      </c>
      <c r="N73" s="131" t="s">
        <v>17</v>
      </c>
      <c r="O73" s="131" t="s">
        <v>17</v>
      </c>
      <c r="P73" s="131" t="s">
        <v>17</v>
      </c>
      <c r="Q73" s="131" t="s">
        <v>17</v>
      </c>
      <c r="R73" s="131" t="s">
        <v>17</v>
      </c>
      <c r="S73" s="131" t="s">
        <v>17</v>
      </c>
      <c r="T73" s="131" t="s">
        <v>17</v>
      </c>
      <c r="U73" s="131" t="s">
        <v>17</v>
      </c>
      <c r="V73" s="131" t="s">
        <v>18</v>
      </c>
      <c r="W73" s="131" t="s">
        <v>17</v>
      </c>
      <c r="X73" s="131" t="s">
        <v>17</v>
      </c>
      <c r="Y73" s="131" t="s">
        <v>17</v>
      </c>
      <c r="Z73" s="131" t="s">
        <v>17</v>
      </c>
      <c r="AA73" s="131" t="s">
        <v>17</v>
      </c>
      <c r="AB73" s="131" t="s">
        <v>17</v>
      </c>
      <c r="AC73" s="131"/>
      <c r="AD73" s="131"/>
      <c r="AE73" s="131"/>
      <c r="AF73" s="158">
        <f t="shared" si="10"/>
        <v>8.8974999999999991</v>
      </c>
      <c r="AG73" s="159"/>
      <c r="AH73" s="155" t="s">
        <v>203</v>
      </c>
      <c r="AI73" s="155" t="s">
        <v>83</v>
      </c>
      <c r="AJ73" s="131" t="str">
        <f>IFERROR(VLOOKUP(E73&amp;F73,'Listagem dos op'!A:S,19,0),"")</f>
        <v/>
      </c>
      <c r="AK73" s="131" t="str">
        <f t="shared" si="9"/>
        <v>Jan4155</v>
      </c>
      <c r="AL73" s="154">
        <f>IF(N73="","",IF(N73="SIM",VLOOKUP($I73&amp;$J73&amp;N$1,Pesos!$A:$I,7,FALSE),VLOOKUP($I73&amp;$J73&amp;N$1,Pesos!$A:$I,9,FALSE)))</f>
        <v>0.1</v>
      </c>
      <c r="AM73" s="154">
        <f>IF(O73="","",IF(O73="SIM",VLOOKUP($I73&amp;$J73&amp;O$1,Pesos!$A:$I,7,FALSE),VLOOKUP($I73&amp;$J73&amp;O$1,Pesos!$A:$I,9,FALSE)))</f>
        <v>0.1</v>
      </c>
      <c r="AN73" s="154">
        <f>IF(P73="","",IF(P73="SIM",VLOOKUP($I73&amp;$J73&amp;P$1,Pesos!$A:$I,7,FALSE),VLOOKUP($I73&amp;$J73&amp;P$1,Pesos!$A:$I,9,FALSE)))</f>
        <v>0.1</v>
      </c>
      <c r="AO73" s="154">
        <f>IF(Q73="","",IF(Q73="SIM",VLOOKUP($I73&amp;$J73&amp;Q$1,Pesos!$A:$I,7,FALSE),VLOOKUP($I73&amp;$J73&amp;Q$1,Pesos!$A:$I,9,FALSE)))</f>
        <v>2</v>
      </c>
      <c r="AP73" s="154">
        <f>IF(R73="","",IF(R73="SIM",VLOOKUP($I73&amp;$J73&amp;R$1,Pesos!$A:$I,7,FALSE),VLOOKUP($I73&amp;$J73&amp;R$1,Pesos!$A:$I,9,FALSE)))</f>
        <v>1.03</v>
      </c>
      <c r="AQ73" s="154">
        <f>IF(S73="","",IF(S73="SIM",VLOOKUP($I73&amp;$J73&amp;S$1,Pesos!$A:$I,7,FALSE),VLOOKUP($I73&amp;$J73&amp;S$1,Pesos!$A:$I,9,FALSE)))</f>
        <v>1.22</v>
      </c>
      <c r="AR73" s="156">
        <f>IF(T73="","",IF(T73="SIM",VLOOKUP($I73&amp;$J73&amp;T$1,Pesos!$A:$I,7,FALSE),VLOOKUP($I73&amp;$J73&amp;T$1,Pesos!$A:$I,9,FALSE)))</f>
        <v>2</v>
      </c>
      <c r="AS73" s="132">
        <f>IF(U73="","",IF(U73="SIM",VLOOKUP($I73&amp;$J73&amp;U$1,Pesos!$A:$I,7,FALSE),VLOOKUP($I73&amp;$J73&amp;U$1,Pesos!$A:$I,9,FALSE)))</f>
        <v>1.05</v>
      </c>
      <c r="AT73" s="132">
        <f>IF(V73="","",IF(V73="SIM",VLOOKUP($I73&amp;$J73&amp;V$1,Pesos!$A:$I,7,FALSE),VLOOKUP($I73&amp;$J73&amp;V$1,Pesos!$A:$I,9,FALSE)))</f>
        <v>-5.2500000000000005E-2</v>
      </c>
      <c r="AU73" s="132">
        <f>IF(W73="","",IF(W73="SIM",VLOOKUP($I73&amp;$J73&amp;W$1,Pesos!$A:$I,7,FALSE),VLOOKUP($I73&amp;$J73&amp;W$1,Pesos!$A:$I,9,FALSE)))</f>
        <v>0.3</v>
      </c>
      <c r="AV73" s="132">
        <f>IF(X73="","",IF(X73="SIM",VLOOKUP($I73&amp;$J73&amp;X$1,Pesos!$A:$I,7,FALSE),VLOOKUP($I73&amp;$J73&amp;X$1,Pesos!$A:$I,9,FALSE)))</f>
        <v>0.3</v>
      </c>
      <c r="AW73" s="132">
        <f>IF(Y73="","",IF(Y73="SIM",VLOOKUP($I73&amp;$J73&amp;Y$1,Pesos!$A:$I,7,FALSE),VLOOKUP($I73&amp;$J73&amp;Y$1,Pesos!$A:$I,9,FALSE)))</f>
        <v>0.15</v>
      </c>
      <c r="AX73" s="132">
        <f>IF(Z73="","",IF(Z73="SIM",VLOOKUP($I73&amp;$J73&amp;Z$1,Pesos!$A:$I,7,FALSE),VLOOKUP($I73&amp;$J73&amp;Z$1,Pesos!$A:$I,9,FALSE)))</f>
        <v>0.2</v>
      </c>
      <c r="AY73" s="132">
        <f>IF(AA73="","",IF(AA73="SIM",VLOOKUP($I73&amp;$J73&amp;AA$1,Pesos!$A:$I,7,FALSE),VLOOKUP($I73&amp;$J73&amp;AA$1,Pesos!$A:$I,9,FALSE)))</f>
        <v>0.3</v>
      </c>
      <c r="AZ73" s="132">
        <f>IF(AB73="","",IF(AB73="SIM",VLOOKUP($I73&amp;$J73&amp;AB$1,Pesos!$A:$I,7,FALSE),VLOOKUP($I73&amp;$J73&amp;AB$1,Pesos!$A:$I,9,FALSE)))</f>
        <v>0.1</v>
      </c>
      <c r="BA73" s="132" t="str">
        <f>IF(AC73="","",IF(AC73="SIM",VLOOKUP($I73&amp;$J73&amp;AC$1,Pesos!$A:$I,7,FALSE),VLOOKUP($I73&amp;$J73&amp;AC$1,Pesos!$A:$I,9,FALSE)))</f>
        <v/>
      </c>
      <c r="BB73" s="132" t="str">
        <f>IF(AD73="","",IF(AD73="SIM",VLOOKUP($I73&amp;$J73&amp;AD$1,Pesos!$A:$I,7,FALSE),VLOOKUP($I73&amp;$J73&amp;AD$1,Pesos!$A:$I,9,FALSE)))</f>
        <v/>
      </c>
      <c r="BC73" s="132" t="str">
        <f>IF(AE73="","",IF(AE73="SIM",VLOOKUP($I73&amp;$J73&amp;AE$1,Pesos!$A:$I,7,FALSE),VLOOKUP($I73&amp;$J73&amp;AE$1,Pesos!$A:$I,9,FALSE)))</f>
        <v/>
      </c>
      <c r="BD73" s="158">
        <f>IFERROR(AF73*VLOOKUP(J73,'BD Campos'!$X$1:$Y$14,2,FALSE),"0")</f>
        <v>8.8974999999999991</v>
      </c>
    </row>
    <row r="74" spans="1:56">
      <c r="A74" s="151" t="str">
        <f t="shared" si="7"/>
        <v>Jan4218MotoristaTRANSFERÊNCIA</v>
      </c>
      <c r="B74" s="149" t="str">
        <f t="shared" si="8"/>
        <v>Jan42181TRANSFERÊNCIAPADRÃO</v>
      </c>
      <c r="C74" s="152">
        <v>1</v>
      </c>
      <c r="D74" s="153">
        <v>46049.433607175924</v>
      </c>
      <c r="E74" s="154" t="s">
        <v>12</v>
      </c>
      <c r="F74" s="155">
        <v>4218</v>
      </c>
      <c r="G74" s="149" t="s">
        <v>204</v>
      </c>
      <c r="H74" s="154">
        <v>1</v>
      </c>
      <c r="I74" s="149" t="s">
        <v>96</v>
      </c>
      <c r="J74" s="149" t="s">
        <v>93</v>
      </c>
      <c r="K74" s="149" t="s">
        <v>192</v>
      </c>
      <c r="L74" s="156">
        <v>34510985</v>
      </c>
      <c r="M74" s="157">
        <v>1.1226851851851851E-3</v>
      </c>
      <c r="N74" s="131" t="s">
        <v>17</v>
      </c>
      <c r="O74" s="131" t="s">
        <v>17</v>
      </c>
      <c r="P74" s="131" t="s">
        <v>17</v>
      </c>
      <c r="Q74" s="131" t="s">
        <v>17</v>
      </c>
      <c r="R74" s="131" t="s">
        <v>17</v>
      </c>
      <c r="S74" s="131" t="s">
        <v>17</v>
      </c>
      <c r="T74" s="131" t="s">
        <v>17</v>
      </c>
      <c r="U74" s="131" t="s">
        <v>17</v>
      </c>
      <c r="V74" s="131" t="s">
        <v>18</v>
      </c>
      <c r="W74" s="131" t="s">
        <v>17</v>
      </c>
      <c r="X74" s="131" t="s">
        <v>17</v>
      </c>
      <c r="Y74" s="131" t="s">
        <v>17</v>
      </c>
      <c r="Z74" s="131" t="s">
        <v>17</v>
      </c>
      <c r="AA74" s="131" t="s">
        <v>17</v>
      </c>
      <c r="AB74" s="131" t="s">
        <v>17</v>
      </c>
      <c r="AC74" s="131"/>
      <c r="AD74" s="131"/>
      <c r="AE74" s="131"/>
      <c r="AF74" s="158">
        <f t="shared" si="10"/>
        <v>8.8974999999999991</v>
      </c>
      <c r="AG74" s="159"/>
      <c r="AH74" s="155" t="s">
        <v>205</v>
      </c>
      <c r="AI74" s="155" t="s">
        <v>83</v>
      </c>
      <c r="AJ74" s="131" t="str">
        <f>IFERROR(VLOOKUP(E74&amp;F74,'Listagem dos op'!A:S,19,0),"")</f>
        <v/>
      </c>
      <c r="AK74" s="131" t="str">
        <f t="shared" si="9"/>
        <v>Jan4218</v>
      </c>
      <c r="AL74" s="154">
        <f>IF(N74="","",IF(N74="SIM",VLOOKUP($I74&amp;$J74&amp;N$1,Pesos!$A:$I,7,FALSE),VLOOKUP($I74&amp;$J74&amp;N$1,Pesos!$A:$I,9,FALSE)))</f>
        <v>0.1</v>
      </c>
      <c r="AM74" s="154">
        <f>IF(O74="","",IF(O74="SIM",VLOOKUP($I74&amp;$J74&amp;O$1,Pesos!$A:$I,7,FALSE),VLOOKUP($I74&amp;$J74&amp;O$1,Pesos!$A:$I,9,FALSE)))</f>
        <v>0.1</v>
      </c>
      <c r="AN74" s="154">
        <f>IF(P74="","",IF(P74="SIM",VLOOKUP($I74&amp;$J74&amp;P$1,Pesos!$A:$I,7,FALSE),VLOOKUP($I74&amp;$J74&amp;P$1,Pesos!$A:$I,9,FALSE)))</f>
        <v>0.1</v>
      </c>
      <c r="AO74" s="154">
        <f>IF(Q74="","",IF(Q74="SIM",VLOOKUP($I74&amp;$J74&amp;Q$1,Pesos!$A:$I,7,FALSE),VLOOKUP($I74&amp;$J74&amp;Q$1,Pesos!$A:$I,9,FALSE)))</f>
        <v>2</v>
      </c>
      <c r="AP74" s="154">
        <f>IF(R74="","",IF(R74="SIM",VLOOKUP($I74&amp;$J74&amp;R$1,Pesos!$A:$I,7,FALSE),VLOOKUP($I74&amp;$J74&amp;R$1,Pesos!$A:$I,9,FALSE)))</f>
        <v>1.03</v>
      </c>
      <c r="AQ74" s="154">
        <f>IF(S74="","",IF(S74="SIM",VLOOKUP($I74&amp;$J74&amp;S$1,Pesos!$A:$I,7,FALSE),VLOOKUP($I74&amp;$J74&amp;S$1,Pesos!$A:$I,9,FALSE)))</f>
        <v>1.22</v>
      </c>
      <c r="AR74" s="156">
        <f>IF(T74="","",IF(T74="SIM",VLOOKUP($I74&amp;$J74&amp;T$1,Pesos!$A:$I,7,FALSE),VLOOKUP($I74&amp;$J74&amp;T$1,Pesos!$A:$I,9,FALSE)))</f>
        <v>2</v>
      </c>
      <c r="AS74" s="132">
        <f>IF(U74="","",IF(U74="SIM",VLOOKUP($I74&amp;$J74&amp;U$1,Pesos!$A:$I,7,FALSE),VLOOKUP($I74&amp;$J74&amp;U$1,Pesos!$A:$I,9,FALSE)))</f>
        <v>1.05</v>
      </c>
      <c r="AT74" s="132">
        <f>IF(V74="","",IF(V74="SIM",VLOOKUP($I74&amp;$J74&amp;V$1,Pesos!$A:$I,7,FALSE),VLOOKUP($I74&amp;$J74&amp;V$1,Pesos!$A:$I,9,FALSE)))</f>
        <v>-5.2500000000000005E-2</v>
      </c>
      <c r="AU74" s="132">
        <f>IF(W74="","",IF(W74="SIM",VLOOKUP($I74&amp;$J74&amp;W$1,Pesos!$A:$I,7,FALSE),VLOOKUP($I74&amp;$J74&amp;W$1,Pesos!$A:$I,9,FALSE)))</f>
        <v>0.3</v>
      </c>
      <c r="AV74" s="132">
        <f>IF(X74="","",IF(X74="SIM",VLOOKUP($I74&amp;$J74&amp;X$1,Pesos!$A:$I,7,FALSE),VLOOKUP($I74&amp;$J74&amp;X$1,Pesos!$A:$I,9,FALSE)))</f>
        <v>0.3</v>
      </c>
      <c r="AW74" s="132">
        <f>IF(Y74="","",IF(Y74="SIM",VLOOKUP($I74&amp;$J74&amp;Y$1,Pesos!$A:$I,7,FALSE),VLOOKUP($I74&amp;$J74&amp;Y$1,Pesos!$A:$I,9,FALSE)))</f>
        <v>0.15</v>
      </c>
      <c r="AX74" s="132">
        <f>IF(Z74="","",IF(Z74="SIM",VLOOKUP($I74&amp;$J74&amp;Z$1,Pesos!$A:$I,7,FALSE),VLOOKUP($I74&amp;$J74&amp;Z$1,Pesos!$A:$I,9,FALSE)))</f>
        <v>0.2</v>
      </c>
      <c r="AY74" s="132">
        <f>IF(AA74="","",IF(AA74="SIM",VLOOKUP($I74&amp;$J74&amp;AA$1,Pesos!$A:$I,7,FALSE),VLOOKUP($I74&amp;$J74&amp;AA$1,Pesos!$A:$I,9,FALSE)))</f>
        <v>0.3</v>
      </c>
      <c r="AZ74" s="132">
        <f>IF(AB74="","",IF(AB74="SIM",VLOOKUP($I74&amp;$J74&amp;AB$1,Pesos!$A:$I,7,FALSE),VLOOKUP($I74&amp;$J74&amp;AB$1,Pesos!$A:$I,9,FALSE)))</f>
        <v>0.1</v>
      </c>
      <c r="BA74" s="132" t="str">
        <f>IF(AC74="","",IF(AC74="SIM",VLOOKUP($I74&amp;$J74&amp;AC$1,Pesos!$A:$I,7,FALSE),VLOOKUP($I74&amp;$J74&amp;AC$1,Pesos!$A:$I,9,FALSE)))</f>
        <v/>
      </c>
      <c r="BB74" s="132" t="str">
        <f>IF(AD74="","",IF(AD74="SIM",VLOOKUP($I74&amp;$J74&amp;AD$1,Pesos!$A:$I,7,FALSE),VLOOKUP($I74&amp;$J74&amp;AD$1,Pesos!$A:$I,9,FALSE)))</f>
        <v/>
      </c>
      <c r="BC74" s="132" t="str">
        <f>IF(AE74="","",IF(AE74="SIM",VLOOKUP($I74&amp;$J74&amp;AE$1,Pesos!$A:$I,7,FALSE),VLOOKUP($I74&amp;$J74&amp;AE$1,Pesos!$A:$I,9,FALSE)))</f>
        <v/>
      </c>
      <c r="BD74" s="158">
        <f>IFERROR(AF74*VLOOKUP(J74,'BD Campos'!$X$1:$Y$14,2,FALSE),"0")</f>
        <v>8.8974999999999991</v>
      </c>
    </row>
    <row r="75" spans="1:56">
      <c r="A75" s="151" t="str">
        <f t="shared" si="7"/>
        <v>Jan4218Motorista 2TRANSFERÊNCIA</v>
      </c>
      <c r="B75" s="149" t="str">
        <f t="shared" si="8"/>
        <v>Jan42182TRANSFERÊNCIAPADRÃO</v>
      </c>
      <c r="C75" s="152">
        <v>1</v>
      </c>
      <c r="D75" s="153">
        <v>46049.435616319446</v>
      </c>
      <c r="E75" s="154" t="s">
        <v>12</v>
      </c>
      <c r="F75" s="155">
        <v>4218</v>
      </c>
      <c r="G75" s="149" t="s">
        <v>204</v>
      </c>
      <c r="H75" s="154">
        <v>2</v>
      </c>
      <c r="I75" s="149" t="s">
        <v>130</v>
      </c>
      <c r="J75" s="149" t="s">
        <v>97</v>
      </c>
      <c r="K75" s="149" t="s">
        <v>192</v>
      </c>
      <c r="L75" s="156">
        <v>34671231</v>
      </c>
      <c r="M75" s="157">
        <v>8.3333333333333339E-4</v>
      </c>
      <c r="N75" s="131" t="s">
        <v>17</v>
      </c>
      <c r="O75" s="131" t="s">
        <v>17</v>
      </c>
      <c r="P75" s="131" t="s">
        <v>17</v>
      </c>
      <c r="Q75" s="131" t="s">
        <v>17</v>
      </c>
      <c r="R75" s="131" t="s">
        <v>17</v>
      </c>
      <c r="S75" s="131" t="s">
        <v>17</v>
      </c>
      <c r="T75" s="131" t="s">
        <v>18</v>
      </c>
      <c r="U75" s="131" t="s">
        <v>17</v>
      </c>
      <c r="V75" s="131" t="s">
        <v>18</v>
      </c>
      <c r="W75" s="131" t="s">
        <v>17</v>
      </c>
      <c r="X75" s="131" t="s">
        <v>17</v>
      </c>
      <c r="Y75" s="131" t="s">
        <v>17</v>
      </c>
      <c r="Z75" s="131" t="s">
        <v>17</v>
      </c>
      <c r="AA75" s="131" t="s">
        <v>17</v>
      </c>
      <c r="AB75" s="131" t="s">
        <v>17</v>
      </c>
      <c r="AC75" s="131"/>
      <c r="AD75" s="131"/>
      <c r="AE75" s="131"/>
      <c r="AF75" s="158">
        <f t="shared" si="10"/>
        <v>7.1647999999999996</v>
      </c>
      <c r="AG75" s="159"/>
      <c r="AH75" s="155" t="s">
        <v>206</v>
      </c>
      <c r="AI75" s="155" t="s">
        <v>83</v>
      </c>
      <c r="AJ75" s="131" t="str">
        <f>IFERROR(VLOOKUP(E75&amp;F75,'Listagem dos op'!A:S,19,0),"")</f>
        <v/>
      </c>
      <c r="AK75" s="131" t="str">
        <f t="shared" si="9"/>
        <v>Jan4218</v>
      </c>
      <c r="AL75" s="154">
        <f>IF(N75="","",IF(N75="SIM",VLOOKUP($I75&amp;$J75&amp;N$1,Pesos!$A:$I,7,FALSE),VLOOKUP($I75&amp;$J75&amp;N$1,Pesos!$A:$I,9,FALSE)))</f>
        <v>0.1</v>
      </c>
      <c r="AM75" s="154">
        <f>IF(O75="","",IF(O75="SIM",VLOOKUP($I75&amp;$J75&amp;O$1,Pesos!$A:$I,7,FALSE),VLOOKUP($I75&amp;$J75&amp;O$1,Pesos!$A:$I,9,FALSE)))</f>
        <v>0.1</v>
      </c>
      <c r="AN75" s="154">
        <f>IF(P75="","",IF(P75="SIM",VLOOKUP($I75&amp;$J75&amp;P$1,Pesos!$A:$I,7,FALSE),VLOOKUP($I75&amp;$J75&amp;P$1,Pesos!$A:$I,9,FALSE)))</f>
        <v>0.1</v>
      </c>
      <c r="AO75" s="154">
        <f>IF(Q75="","",IF(Q75="SIM",VLOOKUP($I75&amp;$J75&amp;Q$1,Pesos!$A:$I,7,FALSE),VLOOKUP($I75&amp;$J75&amp;Q$1,Pesos!$A:$I,9,FALSE)))</f>
        <v>2</v>
      </c>
      <c r="AP75" s="154">
        <f>IF(R75="","",IF(R75="SIM",VLOOKUP($I75&amp;$J75&amp;R$1,Pesos!$A:$I,7,FALSE),VLOOKUP($I75&amp;$J75&amp;R$1,Pesos!$A:$I,9,FALSE)))</f>
        <v>1.03</v>
      </c>
      <c r="AQ75" s="154">
        <f>IF(S75="","",IF(S75="SIM",VLOOKUP($I75&amp;$J75&amp;S$1,Pesos!$A:$I,7,FALSE),VLOOKUP($I75&amp;$J75&amp;S$1,Pesos!$A:$I,9,FALSE)))</f>
        <v>1.3</v>
      </c>
      <c r="AR75" s="156">
        <f>IF(T75="","",IF(T75="SIM",VLOOKUP($I75&amp;$J75&amp;T$1,Pesos!$A:$I,7,FALSE),VLOOKUP($I75&amp;$J75&amp;T$1,Pesos!$A:$I,9,FALSE)))</f>
        <v>-6.5000000000000002E-2</v>
      </c>
      <c r="AS75" s="132">
        <f>IF(U75="","",IF(U75="SIM",VLOOKUP($I75&amp;$J75&amp;U$1,Pesos!$A:$I,7,FALSE),VLOOKUP($I75&amp;$J75&amp;U$1,Pesos!$A:$I,9,FALSE)))</f>
        <v>1.32</v>
      </c>
      <c r="AT75" s="132">
        <f>IF(V75="","",IF(V75="SIM",VLOOKUP($I75&amp;$J75&amp;V$1,Pesos!$A:$I,7,FALSE),VLOOKUP($I75&amp;$J75&amp;V$1,Pesos!$A:$I,9,FALSE)))</f>
        <v>-7.0199999999999999E-2</v>
      </c>
      <c r="AU75" s="132">
        <f>IF(W75="","",IF(W75="SIM",VLOOKUP($I75&amp;$J75&amp;W$1,Pesos!$A:$I,7,FALSE),VLOOKUP($I75&amp;$J75&amp;W$1,Pesos!$A:$I,9,FALSE)))</f>
        <v>0.3</v>
      </c>
      <c r="AV75" s="132">
        <f>IF(X75="","",IF(X75="SIM",VLOOKUP($I75&amp;$J75&amp;X$1,Pesos!$A:$I,7,FALSE),VLOOKUP($I75&amp;$J75&amp;X$1,Pesos!$A:$I,9,FALSE)))</f>
        <v>0.3</v>
      </c>
      <c r="AW75" s="132">
        <f>IF(Y75="","",IF(Y75="SIM",VLOOKUP($I75&amp;$J75&amp;Y$1,Pesos!$A:$I,7,FALSE),VLOOKUP($I75&amp;$J75&amp;Y$1,Pesos!$A:$I,9,FALSE)))</f>
        <v>0.15</v>
      </c>
      <c r="AX75" s="132">
        <f>IF(Z75="","",IF(Z75="SIM",VLOOKUP($I75&amp;$J75&amp;Z$1,Pesos!$A:$I,7,FALSE),VLOOKUP($I75&amp;$J75&amp;Z$1,Pesos!$A:$I,9,FALSE)))</f>
        <v>0.2</v>
      </c>
      <c r="AY75" s="132">
        <f>IF(AA75="","",IF(AA75="SIM",VLOOKUP($I75&amp;$J75&amp;AA$1,Pesos!$A:$I,7,FALSE),VLOOKUP($I75&amp;$J75&amp;AA$1,Pesos!$A:$I,9,FALSE)))</f>
        <v>0.3</v>
      </c>
      <c r="AZ75" s="132">
        <f>IF(AB75="","",IF(AB75="SIM",VLOOKUP($I75&amp;$J75&amp;AB$1,Pesos!$A:$I,7,FALSE),VLOOKUP($I75&amp;$J75&amp;AB$1,Pesos!$A:$I,9,FALSE)))</f>
        <v>0.1</v>
      </c>
      <c r="BA75" s="132" t="str">
        <f>IF(AC75="","",IF(AC75="SIM",VLOOKUP($I75&amp;$J75&amp;AC$1,Pesos!$A:$I,7,FALSE),VLOOKUP($I75&amp;$J75&amp;AC$1,Pesos!$A:$I,9,FALSE)))</f>
        <v/>
      </c>
      <c r="BB75" s="132" t="str">
        <f>IF(AD75="","",IF(AD75="SIM",VLOOKUP($I75&amp;$J75&amp;AD$1,Pesos!$A:$I,7,FALSE),VLOOKUP($I75&amp;$J75&amp;AD$1,Pesos!$A:$I,9,FALSE)))</f>
        <v/>
      </c>
      <c r="BC75" s="132" t="str">
        <f>IF(AE75="","",IF(AE75="SIM",VLOOKUP($I75&amp;$J75&amp;AE$1,Pesos!$A:$I,7,FALSE),VLOOKUP($I75&amp;$J75&amp;AE$1,Pesos!$A:$I,9,FALSE)))</f>
        <v/>
      </c>
      <c r="BD75" s="158">
        <f>IFERROR(AF75*VLOOKUP(J75,'BD Campos'!$X$1:$Y$14,2,FALSE),"0")</f>
        <v>7.1647999999999996</v>
      </c>
    </row>
    <row r="76" spans="1:56">
      <c r="A76" s="151" t="str">
        <f t="shared" si="7"/>
        <v>Jan4203MotoristaTRANSFERÊNCIA</v>
      </c>
      <c r="B76" s="149" t="str">
        <f t="shared" si="8"/>
        <v>Jan42031TRANSFERÊNCIAPADRÃO</v>
      </c>
      <c r="C76" s="152">
        <v>1</v>
      </c>
      <c r="D76" s="153">
        <v>46049.446496064818</v>
      </c>
      <c r="E76" s="154" t="s">
        <v>12</v>
      </c>
      <c r="F76" s="155">
        <v>4203</v>
      </c>
      <c r="G76" s="149" t="s">
        <v>207</v>
      </c>
      <c r="H76" s="154">
        <v>1</v>
      </c>
      <c r="I76" s="149" t="s">
        <v>92</v>
      </c>
      <c r="J76" s="149" t="s">
        <v>93</v>
      </c>
      <c r="K76" s="149" t="s">
        <v>192</v>
      </c>
      <c r="L76" s="156">
        <v>34563469</v>
      </c>
      <c r="M76" s="157">
        <v>6.9444444444444447E-4</v>
      </c>
      <c r="N76" s="131" t="s">
        <v>17</v>
      </c>
      <c r="O76" s="131" t="s">
        <v>17</v>
      </c>
      <c r="P76" s="131" t="s">
        <v>17</v>
      </c>
      <c r="Q76" s="131" t="s">
        <v>17</v>
      </c>
      <c r="R76" s="131" t="s">
        <v>17</v>
      </c>
      <c r="S76" s="131" t="s">
        <v>17</v>
      </c>
      <c r="T76" s="131" t="s">
        <v>17</v>
      </c>
      <c r="U76" s="131" t="s">
        <v>17</v>
      </c>
      <c r="V76" s="131" t="s">
        <v>18</v>
      </c>
      <c r="W76" s="131" t="s">
        <v>17</v>
      </c>
      <c r="X76" s="131" t="s">
        <v>17</v>
      </c>
      <c r="Y76" s="131" t="s">
        <v>17</v>
      </c>
      <c r="Z76" s="131" t="s">
        <v>17</v>
      </c>
      <c r="AA76" s="131" t="s">
        <v>17</v>
      </c>
      <c r="AB76" s="131"/>
      <c r="AC76" s="131"/>
      <c r="AD76" s="131"/>
      <c r="AE76" s="131"/>
      <c r="AF76" s="158">
        <f t="shared" si="10"/>
        <v>9.6850000000000005</v>
      </c>
      <c r="AG76" s="159"/>
      <c r="AH76" s="155" t="s">
        <v>208</v>
      </c>
      <c r="AI76" s="155" t="s">
        <v>83</v>
      </c>
      <c r="AJ76" s="131" t="str">
        <f>IFERROR(VLOOKUP(E76&amp;F76,'Listagem dos op'!A:S,19,0),"")</f>
        <v/>
      </c>
      <c r="AK76" s="131" t="str">
        <f t="shared" si="9"/>
        <v>Jan4203</v>
      </c>
      <c r="AL76" s="154">
        <f>IF(N76="","",IF(N76="SIM",VLOOKUP($I76&amp;$J76&amp;N$1,Pesos!$A:$I,7,FALSE),VLOOKUP($I76&amp;$J76&amp;N$1,Pesos!$A:$I,9,FALSE)))</f>
        <v>0.1</v>
      </c>
      <c r="AM76" s="154">
        <f>IF(O76="","",IF(O76="SIM",VLOOKUP($I76&amp;$J76&amp;O$1,Pesos!$A:$I,7,FALSE),VLOOKUP($I76&amp;$J76&amp;O$1,Pesos!$A:$I,9,FALSE)))</f>
        <v>0.1</v>
      </c>
      <c r="AN76" s="154">
        <f>IF(P76="","",IF(P76="SIM",VLOOKUP($I76&amp;$J76&amp;P$1,Pesos!$A:$I,7,FALSE),VLOOKUP($I76&amp;$J76&amp;P$1,Pesos!$A:$I,9,FALSE)))</f>
        <v>0.1</v>
      </c>
      <c r="AO76" s="154">
        <f>IF(Q76="","",IF(Q76="SIM",VLOOKUP($I76&amp;$J76&amp;Q$1,Pesos!$A:$I,7,FALSE),VLOOKUP($I76&amp;$J76&amp;Q$1,Pesos!$A:$I,9,FALSE)))</f>
        <v>2</v>
      </c>
      <c r="AP76" s="154">
        <f>IF(R76="","",IF(R76="SIM",VLOOKUP($I76&amp;$J76&amp;R$1,Pesos!$A:$I,7,FALSE),VLOOKUP($I76&amp;$J76&amp;R$1,Pesos!$A:$I,9,FALSE)))</f>
        <v>1.03</v>
      </c>
      <c r="AQ76" s="154">
        <f>IF(S76="","",IF(S76="SIM",VLOOKUP($I76&amp;$J76&amp;S$1,Pesos!$A:$I,7,FALSE),VLOOKUP($I76&amp;$J76&amp;S$1,Pesos!$A:$I,9,FALSE)))</f>
        <v>1.7000000000000002</v>
      </c>
      <c r="AR76" s="156">
        <f>IF(T76="","",IF(T76="SIM",VLOOKUP($I76&amp;$J76&amp;T$1,Pesos!$A:$I,7,FALSE),VLOOKUP($I76&amp;$J76&amp;T$1,Pesos!$A:$I,9,FALSE)))</f>
        <v>1.92</v>
      </c>
      <c r="AS76" s="132">
        <f>IF(U76="","",IF(U76="SIM",VLOOKUP($I76&amp;$J76&amp;U$1,Pesos!$A:$I,7,FALSE),VLOOKUP($I76&amp;$J76&amp;U$1,Pesos!$A:$I,9,FALSE)))</f>
        <v>1.7000000000000002</v>
      </c>
      <c r="AT76" s="132">
        <f>IF(V76="","",IF(V76="SIM",VLOOKUP($I76&amp;$J76&amp;V$1,Pesos!$A:$I,7,FALSE),VLOOKUP($I76&amp;$J76&amp;V$1,Pesos!$A:$I,9,FALSE)))</f>
        <v>-1.4999999999999999E-2</v>
      </c>
      <c r="AU76" s="132">
        <f>IF(W76="","",IF(W76="SIM",VLOOKUP($I76&amp;$J76&amp;W$1,Pesos!$A:$I,7,FALSE),VLOOKUP($I76&amp;$J76&amp;W$1,Pesos!$A:$I,9,FALSE)))</f>
        <v>0.3</v>
      </c>
      <c r="AV76" s="132">
        <f>IF(X76="","",IF(X76="SIM",VLOOKUP($I76&amp;$J76&amp;X$1,Pesos!$A:$I,7,FALSE),VLOOKUP($I76&amp;$J76&amp;X$1,Pesos!$A:$I,9,FALSE)))</f>
        <v>0.15</v>
      </c>
      <c r="AW76" s="132">
        <f>IF(Y76="","",IF(Y76="SIM",VLOOKUP($I76&amp;$J76&amp;Y$1,Pesos!$A:$I,7,FALSE),VLOOKUP($I76&amp;$J76&amp;Y$1,Pesos!$A:$I,9,FALSE)))</f>
        <v>0.2</v>
      </c>
      <c r="AX76" s="132">
        <f>IF(Z76="","",IF(Z76="SIM",VLOOKUP($I76&amp;$J76&amp;Z$1,Pesos!$A:$I,7,FALSE),VLOOKUP($I76&amp;$J76&amp;Z$1,Pesos!$A:$I,9,FALSE)))</f>
        <v>0.3</v>
      </c>
      <c r="AY76" s="132">
        <f>IF(AA76="","",IF(AA76="SIM",VLOOKUP($I76&amp;$J76&amp;AA$1,Pesos!$A:$I,7,FALSE),VLOOKUP($I76&amp;$J76&amp;AA$1,Pesos!$A:$I,9,FALSE)))</f>
        <v>0.1</v>
      </c>
      <c r="AZ76" s="132" t="str">
        <f>IF(AB76="","",IF(AB76="SIM",VLOOKUP($I76&amp;$J76&amp;AB$1,Pesos!$A:$I,7,FALSE),VLOOKUP($I76&amp;$J76&amp;AB$1,Pesos!$A:$I,9,FALSE)))</f>
        <v/>
      </c>
      <c r="BA76" s="132" t="str">
        <f>IF(AC76="","",IF(AC76="SIM",VLOOKUP($I76&amp;$J76&amp;AC$1,Pesos!$A:$I,7,FALSE),VLOOKUP($I76&amp;$J76&amp;AC$1,Pesos!$A:$I,9,FALSE)))</f>
        <v/>
      </c>
      <c r="BB76" s="132" t="str">
        <f>IF(AD76="","",IF(AD76="SIM",VLOOKUP($I76&amp;$J76&amp;AD$1,Pesos!$A:$I,7,FALSE),VLOOKUP($I76&amp;$J76&amp;AD$1,Pesos!$A:$I,9,FALSE)))</f>
        <v/>
      </c>
      <c r="BC76" s="132" t="str">
        <f>IF(AE76="","",IF(AE76="SIM",VLOOKUP($I76&amp;$J76&amp;AE$1,Pesos!$A:$I,7,FALSE),VLOOKUP($I76&amp;$J76&amp;AE$1,Pesos!$A:$I,9,FALSE)))</f>
        <v/>
      </c>
      <c r="BD76" s="158">
        <f>IFERROR(AF76*VLOOKUP(J76,'BD Campos'!$X$1:$Y$14,2,FALSE),"0")</f>
        <v>9.6850000000000005</v>
      </c>
    </row>
    <row r="77" spans="1:56">
      <c r="A77" s="151" t="str">
        <f t="shared" si="7"/>
        <v>Jan4203ClienteTRANSFERÊNCIA</v>
      </c>
      <c r="B77" s="149" t="str">
        <f t="shared" si="8"/>
        <v>Jan42032TRANSFERÊNCIAPADRÃO</v>
      </c>
      <c r="C77" s="152">
        <v>1</v>
      </c>
      <c r="D77" s="153">
        <v>46049.448565625004</v>
      </c>
      <c r="E77" s="154" t="s">
        <v>12</v>
      </c>
      <c r="F77" s="155">
        <v>4203</v>
      </c>
      <c r="G77" s="149" t="s">
        <v>207</v>
      </c>
      <c r="H77" s="154">
        <v>2</v>
      </c>
      <c r="I77" s="149" t="s">
        <v>96</v>
      </c>
      <c r="J77" s="149" t="s">
        <v>149</v>
      </c>
      <c r="K77" s="149" t="s">
        <v>192</v>
      </c>
      <c r="L77" s="156">
        <v>34591277</v>
      </c>
      <c r="M77" s="157">
        <v>7.7546296296296304E-4</v>
      </c>
      <c r="N77" s="131" t="s">
        <v>17</v>
      </c>
      <c r="O77" s="131" t="s">
        <v>17</v>
      </c>
      <c r="P77" s="131" t="s">
        <v>17</v>
      </c>
      <c r="Q77" s="131" t="s">
        <v>17</v>
      </c>
      <c r="R77" s="131" t="s">
        <v>17</v>
      </c>
      <c r="S77" s="131" t="s">
        <v>17</v>
      </c>
      <c r="T77" s="131" t="s">
        <v>18</v>
      </c>
      <c r="U77" s="131" t="s">
        <v>18</v>
      </c>
      <c r="V77" s="131" t="s">
        <v>17</v>
      </c>
      <c r="W77" s="131" t="s">
        <v>17</v>
      </c>
      <c r="X77" s="131" t="s">
        <v>18</v>
      </c>
      <c r="Y77" s="131" t="s">
        <v>18</v>
      </c>
      <c r="Z77" s="131" t="s">
        <v>17</v>
      </c>
      <c r="AA77" s="131" t="s">
        <v>17</v>
      </c>
      <c r="AB77" s="131" t="s">
        <v>17</v>
      </c>
      <c r="AC77" s="131" t="s">
        <v>17</v>
      </c>
      <c r="AD77" s="131" t="s">
        <v>17</v>
      </c>
      <c r="AE77" s="131"/>
      <c r="AF77" s="158">
        <f t="shared" si="10"/>
        <v>6.1149999999999993</v>
      </c>
      <c r="AG77" s="159"/>
      <c r="AH77" s="155" t="s">
        <v>209</v>
      </c>
      <c r="AI77" s="155" t="s">
        <v>83</v>
      </c>
      <c r="AJ77" s="131" t="str">
        <f>IFERROR(VLOOKUP(E77&amp;F77,'Listagem dos op'!A:S,19,0),"")</f>
        <v/>
      </c>
      <c r="AK77" s="131" t="str">
        <f t="shared" si="9"/>
        <v>Jan4203</v>
      </c>
      <c r="AL77" s="154">
        <f>IF(N77="","",IF(N77="SIM",VLOOKUP($I77&amp;$J77&amp;N$1,Pesos!$A:$I,7,FALSE),VLOOKUP($I77&amp;$J77&amp;N$1,Pesos!$A:$I,9,FALSE)))</f>
        <v>0.1</v>
      </c>
      <c r="AM77" s="154">
        <f>IF(O77="","",IF(O77="SIM",VLOOKUP($I77&amp;$J77&amp;O$1,Pesos!$A:$I,7,FALSE),VLOOKUP($I77&amp;$J77&amp;O$1,Pesos!$A:$I,9,FALSE)))</f>
        <v>0.1</v>
      </c>
      <c r="AN77" s="154">
        <f>IF(P77="","",IF(P77="SIM",VLOOKUP($I77&amp;$J77&amp;P$1,Pesos!$A:$I,7,FALSE),VLOOKUP($I77&amp;$J77&amp;P$1,Pesos!$A:$I,9,FALSE)))</f>
        <v>0.1</v>
      </c>
      <c r="AO77" s="154">
        <f>IF(Q77="","",IF(Q77="SIM",VLOOKUP($I77&amp;$J77&amp;Q$1,Pesos!$A:$I,7,FALSE),VLOOKUP($I77&amp;$J77&amp;Q$1,Pesos!$A:$I,9,FALSE)))</f>
        <v>0.4</v>
      </c>
      <c r="AP77" s="154">
        <f>IF(R77="","",IF(R77="SIM",VLOOKUP($I77&amp;$J77&amp;R$1,Pesos!$A:$I,7,FALSE),VLOOKUP($I77&amp;$J77&amp;R$1,Pesos!$A:$I,9,FALSE)))</f>
        <v>1.2</v>
      </c>
      <c r="AQ77" s="154">
        <f>IF(S77="","",IF(S77="SIM",VLOOKUP($I77&amp;$J77&amp;S$1,Pesos!$A:$I,7,FALSE),VLOOKUP($I77&amp;$J77&amp;S$1,Pesos!$A:$I,9,FALSE)))</f>
        <v>1.1500000000000001</v>
      </c>
      <c r="AR77" s="156">
        <f>IF(T77="","",IF(T77="SIM",VLOOKUP($I77&amp;$J77&amp;T$1,Pesos!$A:$I,7,FALSE),VLOOKUP($I77&amp;$J77&amp;T$1,Pesos!$A:$I,9,FALSE)))</f>
        <v>-5.5000000000000007E-2</v>
      </c>
      <c r="AS77" s="132">
        <f>IF(U77="","",IF(U77="SIM",VLOOKUP($I77&amp;$J77&amp;U$1,Pesos!$A:$I,7,FALSE),VLOOKUP($I77&amp;$J77&amp;U$1,Pesos!$A:$I,9,FALSE)))</f>
        <v>-5.5000000000000007E-2</v>
      </c>
      <c r="AT77" s="132">
        <f>IF(V77="","",IF(V77="SIM",VLOOKUP($I77&amp;$J77&amp;V$1,Pesos!$A:$I,7,FALSE),VLOOKUP($I77&amp;$J77&amp;V$1,Pesos!$A:$I,9,FALSE)))</f>
        <v>1.1000000000000001</v>
      </c>
      <c r="AU77" s="132">
        <f>IF(W77="","",IF(W77="SIM",VLOOKUP($I77&amp;$J77&amp;W$1,Pesos!$A:$I,7,FALSE),VLOOKUP($I77&amp;$J77&amp;W$1,Pesos!$A:$I,9,FALSE)))</f>
        <v>1.1000000000000001</v>
      </c>
      <c r="AV77" s="132">
        <f>IF(X77="","",IF(X77="SIM",VLOOKUP($I77&amp;$J77&amp;X$1,Pesos!$A:$I,7,FALSE),VLOOKUP($I77&amp;$J77&amp;X$1,Pesos!$A:$I,9,FALSE)))</f>
        <v>-0.06</v>
      </c>
      <c r="AW77" s="132">
        <f>IF(Y77="","",IF(Y77="SIM",VLOOKUP($I77&amp;$J77&amp;Y$1,Pesos!$A:$I,7,FALSE),VLOOKUP($I77&amp;$J77&amp;Y$1,Pesos!$A:$I,9,FALSE)))</f>
        <v>-1.4999999999999999E-2</v>
      </c>
      <c r="AX77" s="132">
        <f>IF(Z77="","",IF(Z77="SIM",VLOOKUP($I77&amp;$J77&amp;Z$1,Pesos!$A:$I,7,FALSE),VLOOKUP($I77&amp;$J77&amp;Z$1,Pesos!$A:$I,9,FALSE)))</f>
        <v>0.3</v>
      </c>
      <c r="AY77" s="132">
        <f>IF(AA77="","",IF(AA77="SIM",VLOOKUP($I77&amp;$J77&amp;AA$1,Pesos!$A:$I,7,FALSE),VLOOKUP($I77&amp;$J77&amp;AA$1,Pesos!$A:$I,9,FALSE)))</f>
        <v>0.15</v>
      </c>
      <c r="AZ77" s="132">
        <f>IF(AB77="","",IF(AB77="SIM",VLOOKUP($I77&amp;$J77&amp;AB$1,Pesos!$A:$I,7,FALSE),VLOOKUP($I77&amp;$J77&amp;AB$1,Pesos!$A:$I,9,FALSE)))</f>
        <v>0.2</v>
      </c>
      <c r="BA77" s="132">
        <f>IF(AC77="","",IF(AC77="SIM",VLOOKUP($I77&amp;$J77&amp;AC$1,Pesos!$A:$I,7,FALSE),VLOOKUP($I77&amp;$J77&amp;AC$1,Pesos!$A:$I,9,FALSE)))</f>
        <v>0.3</v>
      </c>
      <c r="BB77" s="132">
        <f>IF(AD77="","",IF(AD77="SIM",VLOOKUP($I77&amp;$J77&amp;AD$1,Pesos!$A:$I,7,FALSE),VLOOKUP($I77&amp;$J77&amp;AD$1,Pesos!$A:$I,9,FALSE)))</f>
        <v>0.1</v>
      </c>
      <c r="BC77" s="132" t="str">
        <f>IF(AE77="","",IF(AE77="SIM",VLOOKUP($I77&amp;$J77&amp;AE$1,Pesos!$A:$I,7,FALSE),VLOOKUP($I77&amp;$J77&amp;AE$1,Pesos!$A:$I,9,FALSE)))</f>
        <v/>
      </c>
      <c r="BD77" s="158">
        <f>IFERROR(AF77*VLOOKUP(J77,'BD Campos'!$X$1:$Y$14,2,FALSE),"0")</f>
        <v>6.1149999999999993</v>
      </c>
    </row>
    <row r="78" spans="1:56">
      <c r="A78" s="151" t="str">
        <f t="shared" si="7"/>
        <v>Jan10849MotoristaUTI</v>
      </c>
      <c r="B78" s="149" t="str">
        <f t="shared" si="8"/>
        <v>Jan108491UTIPADRÃO</v>
      </c>
      <c r="C78" s="152">
        <v>1</v>
      </c>
      <c r="D78" s="153">
        <v>46049.484682291666</v>
      </c>
      <c r="E78" s="154" t="s">
        <v>12</v>
      </c>
      <c r="F78" s="155">
        <v>10849</v>
      </c>
      <c r="G78" s="149" t="s">
        <v>210</v>
      </c>
      <c r="H78" s="154">
        <v>1</v>
      </c>
      <c r="I78" s="149" t="s">
        <v>92</v>
      </c>
      <c r="J78" s="149" t="s">
        <v>93</v>
      </c>
      <c r="K78" s="149" t="s">
        <v>128</v>
      </c>
      <c r="L78" s="156">
        <v>34708563</v>
      </c>
      <c r="M78" s="157">
        <v>1.6319444444444445E-3</v>
      </c>
      <c r="N78" s="131" t="s">
        <v>17</v>
      </c>
      <c r="O78" s="131" t="s">
        <v>17</v>
      </c>
      <c r="P78" s="131" t="s">
        <v>17</v>
      </c>
      <c r="Q78" s="131" t="s">
        <v>17</v>
      </c>
      <c r="R78" s="131" t="s">
        <v>17</v>
      </c>
      <c r="S78" s="131" t="s">
        <v>17</v>
      </c>
      <c r="T78" s="131" t="s">
        <v>17</v>
      </c>
      <c r="U78" s="131" t="s">
        <v>17</v>
      </c>
      <c r="V78" s="131" t="s">
        <v>17</v>
      </c>
      <c r="W78" s="131" t="s">
        <v>17</v>
      </c>
      <c r="X78" s="131" t="s">
        <v>17</v>
      </c>
      <c r="Y78" s="131" t="s">
        <v>17</v>
      </c>
      <c r="Z78" s="131" t="s">
        <v>17</v>
      </c>
      <c r="AA78" s="131" t="s">
        <v>17</v>
      </c>
      <c r="AB78" s="131"/>
      <c r="AC78" s="131"/>
      <c r="AD78" s="131"/>
      <c r="AE78" s="131"/>
      <c r="AF78" s="158">
        <f t="shared" si="10"/>
        <v>10.000000000000002</v>
      </c>
      <c r="AG78" s="159"/>
      <c r="AH78" s="155" t="s">
        <v>211</v>
      </c>
      <c r="AI78" s="155" t="s">
        <v>83</v>
      </c>
      <c r="AJ78" s="131" t="str">
        <f>IFERROR(VLOOKUP(E78&amp;F78,'Listagem dos op'!A:S,19,0),"")</f>
        <v/>
      </c>
      <c r="AK78" s="131" t="str">
        <f t="shared" si="9"/>
        <v>Jan10849</v>
      </c>
      <c r="AL78" s="154">
        <f>IF(N78="","",IF(N78="SIM",VLOOKUP($I78&amp;$J78&amp;N$1,Pesos!$A:$I,7,FALSE),VLOOKUP($I78&amp;$J78&amp;N$1,Pesos!$A:$I,9,FALSE)))</f>
        <v>0.1</v>
      </c>
      <c r="AM78" s="154">
        <f>IF(O78="","",IF(O78="SIM",VLOOKUP($I78&amp;$J78&amp;O$1,Pesos!$A:$I,7,FALSE),VLOOKUP($I78&amp;$J78&amp;O$1,Pesos!$A:$I,9,FALSE)))</f>
        <v>0.1</v>
      </c>
      <c r="AN78" s="154">
        <f>IF(P78="","",IF(P78="SIM",VLOOKUP($I78&amp;$J78&amp;P$1,Pesos!$A:$I,7,FALSE),VLOOKUP($I78&amp;$J78&amp;P$1,Pesos!$A:$I,9,FALSE)))</f>
        <v>0.1</v>
      </c>
      <c r="AO78" s="154">
        <f>IF(Q78="","",IF(Q78="SIM",VLOOKUP($I78&amp;$J78&amp;Q$1,Pesos!$A:$I,7,FALSE),VLOOKUP($I78&amp;$J78&amp;Q$1,Pesos!$A:$I,9,FALSE)))</f>
        <v>2</v>
      </c>
      <c r="AP78" s="154">
        <f>IF(R78="","",IF(R78="SIM",VLOOKUP($I78&amp;$J78&amp;R$1,Pesos!$A:$I,7,FALSE),VLOOKUP($I78&amp;$J78&amp;R$1,Pesos!$A:$I,9,FALSE)))</f>
        <v>1.03</v>
      </c>
      <c r="AQ78" s="154">
        <f>IF(S78="","",IF(S78="SIM",VLOOKUP($I78&amp;$J78&amp;S$1,Pesos!$A:$I,7,FALSE),VLOOKUP($I78&amp;$J78&amp;S$1,Pesos!$A:$I,9,FALSE)))</f>
        <v>1.7000000000000002</v>
      </c>
      <c r="AR78" s="156">
        <f>IF(T78="","",IF(T78="SIM",VLOOKUP($I78&amp;$J78&amp;T$1,Pesos!$A:$I,7,FALSE),VLOOKUP($I78&amp;$J78&amp;T$1,Pesos!$A:$I,9,FALSE)))</f>
        <v>1.92</v>
      </c>
      <c r="AS78" s="132">
        <f>IF(U78="","",IF(U78="SIM",VLOOKUP($I78&amp;$J78&amp;U$1,Pesos!$A:$I,7,FALSE),VLOOKUP($I78&amp;$J78&amp;U$1,Pesos!$A:$I,9,FALSE)))</f>
        <v>1.7000000000000002</v>
      </c>
      <c r="AT78" s="132">
        <f>IF(V78="","",IF(V78="SIM",VLOOKUP($I78&amp;$J78&amp;V$1,Pesos!$A:$I,7,FALSE),VLOOKUP($I78&amp;$J78&amp;V$1,Pesos!$A:$I,9,FALSE)))</f>
        <v>0.3</v>
      </c>
      <c r="AU78" s="132">
        <f>IF(W78="","",IF(W78="SIM",VLOOKUP($I78&amp;$J78&amp;W$1,Pesos!$A:$I,7,FALSE),VLOOKUP($I78&amp;$J78&amp;W$1,Pesos!$A:$I,9,FALSE)))</f>
        <v>0.3</v>
      </c>
      <c r="AV78" s="132">
        <f>IF(X78="","",IF(X78="SIM",VLOOKUP($I78&amp;$J78&amp;X$1,Pesos!$A:$I,7,FALSE),VLOOKUP($I78&amp;$J78&amp;X$1,Pesos!$A:$I,9,FALSE)))</f>
        <v>0.15</v>
      </c>
      <c r="AW78" s="132">
        <f>IF(Y78="","",IF(Y78="SIM",VLOOKUP($I78&amp;$J78&amp;Y$1,Pesos!$A:$I,7,FALSE),VLOOKUP($I78&amp;$J78&amp;Y$1,Pesos!$A:$I,9,FALSE)))</f>
        <v>0.2</v>
      </c>
      <c r="AX78" s="132">
        <f>IF(Z78="","",IF(Z78="SIM",VLOOKUP($I78&amp;$J78&amp;Z$1,Pesos!$A:$I,7,FALSE),VLOOKUP($I78&amp;$J78&amp;Z$1,Pesos!$A:$I,9,FALSE)))</f>
        <v>0.3</v>
      </c>
      <c r="AY78" s="132">
        <f>IF(AA78="","",IF(AA78="SIM",VLOOKUP($I78&amp;$J78&amp;AA$1,Pesos!$A:$I,7,FALSE),VLOOKUP($I78&amp;$J78&amp;AA$1,Pesos!$A:$I,9,FALSE)))</f>
        <v>0.1</v>
      </c>
      <c r="AZ78" s="132" t="str">
        <f>IF(AB78="","",IF(AB78="SIM",VLOOKUP($I78&amp;$J78&amp;AB$1,Pesos!$A:$I,7,FALSE),VLOOKUP($I78&amp;$J78&amp;AB$1,Pesos!$A:$I,9,FALSE)))</f>
        <v/>
      </c>
      <c r="BA78" s="132" t="str">
        <f>IF(AC78="","",IF(AC78="SIM",VLOOKUP($I78&amp;$J78&amp;AC$1,Pesos!$A:$I,7,FALSE),VLOOKUP($I78&amp;$J78&amp;AC$1,Pesos!$A:$I,9,FALSE)))</f>
        <v/>
      </c>
      <c r="BB78" s="132" t="str">
        <f>IF(AD78="","",IF(AD78="SIM",VLOOKUP($I78&amp;$J78&amp;AD$1,Pesos!$A:$I,7,FALSE),VLOOKUP($I78&amp;$J78&amp;AD$1,Pesos!$A:$I,9,FALSE)))</f>
        <v/>
      </c>
      <c r="BC78" s="132" t="str">
        <f>IF(AE78="","",IF(AE78="SIM",VLOOKUP($I78&amp;$J78&amp;AE$1,Pesos!$A:$I,7,FALSE),VLOOKUP($I78&amp;$J78&amp;AE$1,Pesos!$A:$I,9,FALSE)))</f>
        <v/>
      </c>
      <c r="BD78" s="158">
        <f>IFERROR(AF78*VLOOKUP(J78,'BD Campos'!$X$1:$Y$14,2,FALSE),"0")</f>
        <v>10.000000000000002</v>
      </c>
    </row>
    <row r="79" spans="1:56">
      <c r="A79" s="151" t="str">
        <f t="shared" si="7"/>
        <v>Jan10849Motorista 2UTI</v>
      </c>
      <c r="B79" s="149" t="str">
        <f t="shared" si="8"/>
        <v>Jan108492UTIPADRÃO</v>
      </c>
      <c r="C79" s="152">
        <v>1</v>
      </c>
      <c r="D79" s="153">
        <v>46049.485780671297</v>
      </c>
      <c r="E79" s="154" t="s">
        <v>12</v>
      </c>
      <c r="F79" s="155">
        <v>10849</v>
      </c>
      <c r="G79" s="149" t="s">
        <v>210</v>
      </c>
      <c r="H79" s="154">
        <v>2</v>
      </c>
      <c r="I79" s="149" t="s">
        <v>92</v>
      </c>
      <c r="J79" s="149" t="s">
        <v>97</v>
      </c>
      <c r="K79" s="149" t="s">
        <v>128</v>
      </c>
      <c r="L79" s="156">
        <v>34693165</v>
      </c>
      <c r="M79" s="157">
        <v>1.6319444444444445E-3</v>
      </c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58">
        <f t="shared" si="10"/>
        <v>0</v>
      </c>
      <c r="AG79" s="159" t="s">
        <v>212</v>
      </c>
      <c r="AH79" s="155" t="s">
        <v>213</v>
      </c>
      <c r="AI79" s="155" t="s">
        <v>83</v>
      </c>
      <c r="AJ79" s="131" t="str">
        <f>IFERROR(VLOOKUP(E79&amp;F79,'Listagem dos op'!A:S,19,0),"")</f>
        <v/>
      </c>
      <c r="AK79" s="131" t="str">
        <f t="shared" si="9"/>
        <v>Jan10849</v>
      </c>
      <c r="AL79" s="154" t="str">
        <f>IF(N79="","",IF(N79="SIM",VLOOKUP($I79&amp;$J79&amp;N$1,Pesos!$A:$I,7,FALSE),VLOOKUP($I79&amp;$J79&amp;N$1,Pesos!$A:$I,9,FALSE)))</f>
        <v/>
      </c>
      <c r="AM79" s="154" t="str">
        <f>IF(O79="","",IF(O79="SIM",VLOOKUP($I79&amp;$J79&amp;O$1,Pesos!$A:$I,7,FALSE),VLOOKUP($I79&amp;$J79&amp;O$1,Pesos!$A:$I,9,FALSE)))</f>
        <v/>
      </c>
      <c r="AN79" s="154" t="str">
        <f>IF(P79="","",IF(P79="SIM",VLOOKUP($I79&amp;$J79&amp;P$1,Pesos!$A:$I,7,FALSE),VLOOKUP($I79&amp;$J79&amp;P$1,Pesos!$A:$I,9,FALSE)))</f>
        <v/>
      </c>
      <c r="AO79" s="154" t="str">
        <f>IF(Q79="","",IF(Q79="SIM",VLOOKUP($I79&amp;$J79&amp;Q$1,Pesos!$A:$I,7,FALSE),VLOOKUP($I79&amp;$J79&amp;Q$1,Pesos!$A:$I,9,FALSE)))</f>
        <v/>
      </c>
      <c r="AP79" s="154" t="str">
        <f>IF(R79="","",IF(R79="SIM",VLOOKUP($I79&amp;$J79&amp;R$1,Pesos!$A:$I,7,FALSE),VLOOKUP($I79&amp;$J79&amp;R$1,Pesos!$A:$I,9,FALSE)))</f>
        <v/>
      </c>
      <c r="AQ79" s="154" t="str">
        <f>IF(S79="","",IF(S79="SIM",VLOOKUP($I79&amp;$J79&amp;S$1,Pesos!$A:$I,7,FALSE),VLOOKUP($I79&amp;$J79&amp;S$1,Pesos!$A:$I,9,FALSE)))</f>
        <v/>
      </c>
      <c r="AR79" s="156" t="str">
        <f>IF(T79="","",IF(T79="SIM",VLOOKUP($I79&amp;$J79&amp;T$1,Pesos!$A:$I,7,FALSE),VLOOKUP($I79&amp;$J79&amp;T$1,Pesos!$A:$I,9,FALSE)))</f>
        <v/>
      </c>
      <c r="AS79" s="132" t="str">
        <f>IF(U79="","",IF(U79="SIM",VLOOKUP($I79&amp;$J79&amp;U$1,Pesos!$A:$I,7,FALSE),VLOOKUP($I79&amp;$J79&amp;U$1,Pesos!$A:$I,9,FALSE)))</f>
        <v/>
      </c>
      <c r="AT79" s="132" t="str">
        <f>IF(V79="","",IF(V79="SIM",VLOOKUP($I79&amp;$J79&amp;V$1,Pesos!$A:$I,7,FALSE),VLOOKUP($I79&amp;$J79&amp;V$1,Pesos!$A:$I,9,FALSE)))</f>
        <v/>
      </c>
      <c r="AU79" s="132" t="str">
        <f>IF(W79="","",IF(W79="SIM",VLOOKUP($I79&amp;$J79&amp;W$1,Pesos!$A:$I,7,FALSE),VLOOKUP($I79&amp;$J79&amp;W$1,Pesos!$A:$I,9,FALSE)))</f>
        <v/>
      </c>
      <c r="AV79" s="132" t="str">
        <f>IF(X79="","",IF(X79="SIM",VLOOKUP($I79&amp;$J79&amp;X$1,Pesos!$A:$I,7,FALSE),VLOOKUP($I79&amp;$J79&amp;X$1,Pesos!$A:$I,9,FALSE)))</f>
        <v/>
      </c>
      <c r="AW79" s="132" t="str">
        <f>IF(Y79="","",IF(Y79="SIM",VLOOKUP($I79&amp;$J79&amp;Y$1,Pesos!$A:$I,7,FALSE),VLOOKUP($I79&amp;$J79&amp;Y$1,Pesos!$A:$I,9,FALSE)))</f>
        <v/>
      </c>
      <c r="AX79" s="132" t="str">
        <f>IF(Z79="","",IF(Z79="SIM",VLOOKUP($I79&amp;$J79&amp;Z$1,Pesos!$A:$I,7,FALSE),VLOOKUP($I79&amp;$J79&amp;Z$1,Pesos!$A:$I,9,FALSE)))</f>
        <v/>
      </c>
      <c r="AY79" s="132" t="str">
        <f>IF(AA79="","",IF(AA79="SIM",VLOOKUP($I79&amp;$J79&amp;AA$1,Pesos!$A:$I,7,FALSE),VLOOKUP($I79&amp;$J79&amp;AA$1,Pesos!$A:$I,9,FALSE)))</f>
        <v/>
      </c>
      <c r="AZ79" s="132" t="str">
        <f>IF(AB79="","",IF(AB79="SIM",VLOOKUP($I79&amp;$J79&amp;AB$1,Pesos!$A:$I,7,FALSE),VLOOKUP($I79&amp;$J79&amp;AB$1,Pesos!$A:$I,9,FALSE)))</f>
        <v/>
      </c>
      <c r="BA79" s="132" t="str">
        <f>IF(AC79="","",IF(AC79="SIM",VLOOKUP($I79&amp;$J79&amp;AC$1,Pesos!$A:$I,7,FALSE),VLOOKUP($I79&amp;$J79&amp;AC$1,Pesos!$A:$I,9,FALSE)))</f>
        <v/>
      </c>
      <c r="BB79" s="132" t="str">
        <f>IF(AD79="","",IF(AD79="SIM",VLOOKUP($I79&amp;$J79&amp;AD$1,Pesos!$A:$I,7,FALSE),VLOOKUP($I79&amp;$J79&amp;AD$1,Pesos!$A:$I,9,FALSE)))</f>
        <v/>
      </c>
      <c r="BC79" s="132" t="str">
        <f>IF(AE79="","",IF(AE79="SIM",VLOOKUP($I79&amp;$J79&amp;AE$1,Pesos!$A:$I,7,FALSE),VLOOKUP($I79&amp;$J79&amp;AE$1,Pesos!$A:$I,9,FALSE)))</f>
        <v/>
      </c>
      <c r="BD79" s="158">
        <f>IFERROR(AF79*VLOOKUP(J79,'BD Campos'!$X$1:$Y$14,2,FALSE),"0")</f>
        <v>0</v>
      </c>
    </row>
    <row r="80" spans="1:56">
      <c r="A80" s="151" t="str">
        <f t="shared" si="7"/>
        <v>Jan1697MotoristaUTI (RJ)</v>
      </c>
      <c r="B80" s="149" t="str">
        <f t="shared" si="8"/>
        <v>Jan16971UTI (RJ)PADRÃO</v>
      </c>
      <c r="C80" s="152">
        <v>1</v>
      </c>
      <c r="D80" s="153">
        <v>46049.60743935185</v>
      </c>
      <c r="E80" s="154" t="s">
        <v>12</v>
      </c>
      <c r="F80" s="155">
        <v>1697</v>
      </c>
      <c r="G80" s="149" t="s">
        <v>214</v>
      </c>
      <c r="H80" s="154">
        <v>1</v>
      </c>
      <c r="I80" s="149" t="s">
        <v>96</v>
      </c>
      <c r="J80" s="149" t="s">
        <v>93</v>
      </c>
      <c r="K80" s="149" t="s">
        <v>215</v>
      </c>
      <c r="L80" s="156">
        <v>34487110</v>
      </c>
      <c r="M80" s="157">
        <v>1.8171296296296297E-3</v>
      </c>
      <c r="N80" s="131" t="s">
        <v>17</v>
      </c>
      <c r="O80" s="131" t="s">
        <v>17</v>
      </c>
      <c r="P80" s="131" t="s">
        <v>17</v>
      </c>
      <c r="Q80" s="131" t="s">
        <v>17</v>
      </c>
      <c r="R80" s="131" t="s">
        <v>17</v>
      </c>
      <c r="S80" s="131" t="s">
        <v>17</v>
      </c>
      <c r="T80" s="131" t="s">
        <v>17</v>
      </c>
      <c r="U80" s="131" t="s">
        <v>17</v>
      </c>
      <c r="V80" s="131" t="s">
        <v>17</v>
      </c>
      <c r="W80" s="131" t="s">
        <v>17</v>
      </c>
      <c r="X80" s="131" t="s">
        <v>17</v>
      </c>
      <c r="Y80" s="131" t="s">
        <v>17</v>
      </c>
      <c r="Z80" s="131" t="s">
        <v>17</v>
      </c>
      <c r="AA80" s="131" t="s">
        <v>17</v>
      </c>
      <c r="AB80" s="131" t="s">
        <v>17</v>
      </c>
      <c r="AC80" s="131"/>
      <c r="AD80" s="131"/>
      <c r="AE80" s="131"/>
      <c r="AF80" s="158">
        <f t="shared" si="10"/>
        <v>10.000000000000002</v>
      </c>
      <c r="AG80" s="159"/>
      <c r="AH80" s="155" t="s">
        <v>216</v>
      </c>
      <c r="AI80" s="155" t="s">
        <v>83</v>
      </c>
      <c r="AJ80" s="131" t="str">
        <f>IFERROR(VLOOKUP(E80&amp;F80,'Listagem dos op'!A:S,19,0),"")</f>
        <v/>
      </c>
      <c r="AK80" s="131" t="str">
        <f t="shared" si="9"/>
        <v>Jan1697</v>
      </c>
      <c r="AL80" s="154">
        <f>IF(N80="","",IF(N80="SIM",VLOOKUP($I80&amp;$J80&amp;N$1,Pesos!$A:$I,7,FALSE),VLOOKUP($I80&amp;$J80&amp;N$1,Pesos!$A:$I,9,FALSE)))</f>
        <v>0.1</v>
      </c>
      <c r="AM80" s="154">
        <f>IF(O80="","",IF(O80="SIM",VLOOKUP($I80&amp;$J80&amp;O$1,Pesos!$A:$I,7,FALSE),VLOOKUP($I80&amp;$J80&amp;O$1,Pesos!$A:$I,9,FALSE)))</f>
        <v>0.1</v>
      </c>
      <c r="AN80" s="154">
        <f>IF(P80="","",IF(P80="SIM",VLOOKUP($I80&amp;$J80&amp;P$1,Pesos!$A:$I,7,FALSE),VLOOKUP($I80&amp;$J80&amp;P$1,Pesos!$A:$I,9,FALSE)))</f>
        <v>0.1</v>
      </c>
      <c r="AO80" s="154">
        <f>IF(Q80="","",IF(Q80="SIM",VLOOKUP($I80&amp;$J80&amp;Q$1,Pesos!$A:$I,7,FALSE),VLOOKUP($I80&amp;$J80&amp;Q$1,Pesos!$A:$I,9,FALSE)))</f>
        <v>2</v>
      </c>
      <c r="AP80" s="154">
        <f>IF(R80="","",IF(R80="SIM",VLOOKUP($I80&amp;$J80&amp;R$1,Pesos!$A:$I,7,FALSE),VLOOKUP($I80&amp;$J80&amp;R$1,Pesos!$A:$I,9,FALSE)))</f>
        <v>1.03</v>
      </c>
      <c r="AQ80" s="154">
        <f>IF(S80="","",IF(S80="SIM",VLOOKUP($I80&amp;$J80&amp;S$1,Pesos!$A:$I,7,FALSE),VLOOKUP($I80&amp;$J80&amp;S$1,Pesos!$A:$I,9,FALSE)))</f>
        <v>1.22</v>
      </c>
      <c r="AR80" s="156">
        <f>IF(T80="","",IF(T80="SIM",VLOOKUP($I80&amp;$J80&amp;T$1,Pesos!$A:$I,7,FALSE),VLOOKUP($I80&amp;$J80&amp;T$1,Pesos!$A:$I,9,FALSE)))</f>
        <v>2</v>
      </c>
      <c r="AS80" s="132">
        <f>IF(U80="","",IF(U80="SIM",VLOOKUP($I80&amp;$J80&amp;U$1,Pesos!$A:$I,7,FALSE),VLOOKUP($I80&amp;$J80&amp;U$1,Pesos!$A:$I,9,FALSE)))</f>
        <v>1.05</v>
      </c>
      <c r="AT80" s="132">
        <f>IF(V80="","",IF(V80="SIM",VLOOKUP($I80&amp;$J80&amp;V$1,Pesos!$A:$I,7,FALSE),VLOOKUP($I80&amp;$J80&amp;V$1,Pesos!$A:$I,9,FALSE)))</f>
        <v>1.05</v>
      </c>
      <c r="AU80" s="132">
        <f>IF(W80="","",IF(W80="SIM",VLOOKUP($I80&amp;$J80&amp;W$1,Pesos!$A:$I,7,FALSE),VLOOKUP($I80&amp;$J80&amp;W$1,Pesos!$A:$I,9,FALSE)))</f>
        <v>0.3</v>
      </c>
      <c r="AV80" s="132">
        <f>IF(X80="","",IF(X80="SIM",VLOOKUP($I80&amp;$J80&amp;X$1,Pesos!$A:$I,7,FALSE),VLOOKUP($I80&amp;$J80&amp;X$1,Pesos!$A:$I,9,FALSE)))</f>
        <v>0.3</v>
      </c>
      <c r="AW80" s="132">
        <f>IF(Y80="","",IF(Y80="SIM",VLOOKUP($I80&amp;$J80&amp;Y$1,Pesos!$A:$I,7,FALSE),VLOOKUP($I80&amp;$J80&amp;Y$1,Pesos!$A:$I,9,FALSE)))</f>
        <v>0.15</v>
      </c>
      <c r="AX80" s="132">
        <f>IF(Z80="","",IF(Z80="SIM",VLOOKUP($I80&amp;$J80&amp;Z$1,Pesos!$A:$I,7,FALSE),VLOOKUP($I80&amp;$J80&amp;Z$1,Pesos!$A:$I,9,FALSE)))</f>
        <v>0.2</v>
      </c>
      <c r="AY80" s="132">
        <f>IF(AA80="","",IF(AA80="SIM",VLOOKUP($I80&amp;$J80&amp;AA$1,Pesos!$A:$I,7,FALSE),VLOOKUP($I80&amp;$J80&amp;AA$1,Pesos!$A:$I,9,FALSE)))</f>
        <v>0.3</v>
      </c>
      <c r="AZ80" s="132">
        <f>IF(AB80="","",IF(AB80="SIM",VLOOKUP($I80&amp;$J80&amp;AB$1,Pesos!$A:$I,7,FALSE),VLOOKUP($I80&amp;$J80&amp;AB$1,Pesos!$A:$I,9,FALSE)))</f>
        <v>0.1</v>
      </c>
      <c r="BA80" s="132" t="str">
        <f>IF(AC80="","",IF(AC80="SIM",VLOOKUP($I80&amp;$J80&amp;AC$1,Pesos!$A:$I,7,FALSE),VLOOKUP($I80&amp;$J80&amp;AC$1,Pesos!$A:$I,9,FALSE)))</f>
        <v/>
      </c>
      <c r="BB80" s="132" t="str">
        <f>IF(AD80="","",IF(AD80="SIM",VLOOKUP($I80&amp;$J80&amp;AD$1,Pesos!$A:$I,7,FALSE),VLOOKUP($I80&amp;$J80&amp;AD$1,Pesos!$A:$I,9,FALSE)))</f>
        <v/>
      </c>
      <c r="BC80" s="132" t="str">
        <f>IF(AE80="","",IF(AE80="SIM",VLOOKUP($I80&amp;$J80&amp;AE$1,Pesos!$A:$I,7,FALSE),VLOOKUP($I80&amp;$J80&amp;AE$1,Pesos!$A:$I,9,FALSE)))</f>
        <v/>
      </c>
      <c r="BD80" s="158">
        <f>IFERROR(AF80*VLOOKUP(J80,'BD Campos'!$X$1:$Y$14,2,FALSE),"0")</f>
        <v>10.000000000000002</v>
      </c>
    </row>
    <row r="81" spans="1:56">
      <c r="A81" s="151" t="str">
        <f t="shared" si="7"/>
        <v>Jan1697Motorista 2UTI (RJ)</v>
      </c>
      <c r="B81" s="149" t="str">
        <f t="shared" si="8"/>
        <v>Jan16972UTI (RJ)PADRÃO</v>
      </c>
      <c r="C81" s="152">
        <v>1</v>
      </c>
      <c r="D81" s="153">
        <v>46049.631111458337</v>
      </c>
      <c r="E81" s="154" t="s">
        <v>12</v>
      </c>
      <c r="F81" s="155">
        <v>1697</v>
      </c>
      <c r="G81" s="149" t="s">
        <v>214</v>
      </c>
      <c r="H81" s="154">
        <v>2</v>
      </c>
      <c r="I81" s="149" t="s">
        <v>130</v>
      </c>
      <c r="J81" s="149" t="s">
        <v>97</v>
      </c>
      <c r="K81" s="149" t="s">
        <v>215</v>
      </c>
      <c r="L81" s="156">
        <v>34733116</v>
      </c>
      <c r="M81" s="157">
        <v>1.5277777777777779E-3</v>
      </c>
      <c r="N81" s="131" t="s">
        <v>17</v>
      </c>
      <c r="O81" s="131" t="s">
        <v>17</v>
      </c>
      <c r="P81" s="131" t="s">
        <v>17</v>
      </c>
      <c r="Q81" s="131" t="s">
        <v>17</v>
      </c>
      <c r="R81" s="131" t="s">
        <v>17</v>
      </c>
      <c r="S81" s="131" t="s">
        <v>17</v>
      </c>
      <c r="T81" s="131" t="s">
        <v>17</v>
      </c>
      <c r="U81" s="131" t="s">
        <v>17</v>
      </c>
      <c r="V81" s="131" t="s">
        <v>17</v>
      </c>
      <c r="W81" s="131" t="s">
        <v>17</v>
      </c>
      <c r="X81" s="131" t="s">
        <v>17</v>
      </c>
      <c r="Y81" s="131" t="s">
        <v>17</v>
      </c>
      <c r="Z81" s="131" t="s">
        <v>17</v>
      </c>
      <c r="AA81" s="131" t="s">
        <v>17</v>
      </c>
      <c r="AB81" s="131" t="s">
        <v>17</v>
      </c>
      <c r="AC81" s="131"/>
      <c r="AD81" s="131"/>
      <c r="AE81" s="131"/>
      <c r="AF81" s="158">
        <f t="shared" si="10"/>
        <v>10.004000000000001</v>
      </c>
      <c r="AG81" s="159"/>
      <c r="AH81" s="155" t="s">
        <v>217</v>
      </c>
      <c r="AI81" s="155" t="s">
        <v>83</v>
      </c>
      <c r="AJ81" s="131" t="str">
        <f>IFERROR(VLOOKUP(E81&amp;F81,'Listagem dos op'!A:S,19,0),"")</f>
        <v/>
      </c>
      <c r="AK81" s="131" t="str">
        <f t="shared" si="9"/>
        <v>Jan1697</v>
      </c>
      <c r="AL81" s="154">
        <f>IF(N81="","",IF(N81="SIM",VLOOKUP($I81&amp;$J81&amp;N$1,Pesos!$A:$I,7,FALSE),VLOOKUP($I81&amp;$J81&amp;N$1,Pesos!$A:$I,9,FALSE)))</f>
        <v>0.1</v>
      </c>
      <c r="AM81" s="154">
        <f>IF(O81="","",IF(O81="SIM",VLOOKUP($I81&amp;$J81&amp;O$1,Pesos!$A:$I,7,FALSE),VLOOKUP($I81&amp;$J81&amp;O$1,Pesos!$A:$I,9,FALSE)))</f>
        <v>0.1</v>
      </c>
      <c r="AN81" s="154">
        <f>IF(P81="","",IF(P81="SIM",VLOOKUP($I81&amp;$J81&amp;P$1,Pesos!$A:$I,7,FALSE),VLOOKUP($I81&amp;$J81&amp;P$1,Pesos!$A:$I,9,FALSE)))</f>
        <v>0.1</v>
      </c>
      <c r="AO81" s="154">
        <f>IF(Q81="","",IF(Q81="SIM",VLOOKUP($I81&amp;$J81&amp;Q$1,Pesos!$A:$I,7,FALSE),VLOOKUP($I81&amp;$J81&amp;Q$1,Pesos!$A:$I,9,FALSE)))</f>
        <v>2</v>
      </c>
      <c r="AP81" s="154">
        <f>IF(R81="","",IF(R81="SIM",VLOOKUP($I81&amp;$J81&amp;R$1,Pesos!$A:$I,7,FALSE),VLOOKUP($I81&amp;$J81&amp;R$1,Pesos!$A:$I,9,FALSE)))</f>
        <v>1.03</v>
      </c>
      <c r="AQ81" s="154">
        <f>IF(S81="","",IF(S81="SIM",VLOOKUP($I81&amp;$J81&amp;S$1,Pesos!$A:$I,7,FALSE),VLOOKUP($I81&amp;$J81&amp;S$1,Pesos!$A:$I,9,FALSE)))</f>
        <v>1.3</v>
      </c>
      <c r="AR81" s="156">
        <f>IF(T81="","",IF(T81="SIM",VLOOKUP($I81&amp;$J81&amp;T$1,Pesos!$A:$I,7,FALSE),VLOOKUP($I81&amp;$J81&amp;T$1,Pesos!$A:$I,9,FALSE)))</f>
        <v>1.3</v>
      </c>
      <c r="AS81" s="132">
        <f>IF(U81="","",IF(U81="SIM",VLOOKUP($I81&amp;$J81&amp;U$1,Pesos!$A:$I,7,FALSE),VLOOKUP($I81&amp;$J81&amp;U$1,Pesos!$A:$I,9,FALSE)))</f>
        <v>1.32</v>
      </c>
      <c r="AT81" s="132">
        <f>IF(V81="","",IF(V81="SIM",VLOOKUP($I81&amp;$J81&amp;V$1,Pesos!$A:$I,7,FALSE),VLOOKUP($I81&amp;$J81&amp;V$1,Pesos!$A:$I,9,FALSE)))</f>
        <v>1.4039999999999999</v>
      </c>
      <c r="AU81" s="132">
        <f>IF(W81="","",IF(W81="SIM",VLOOKUP($I81&amp;$J81&amp;W$1,Pesos!$A:$I,7,FALSE),VLOOKUP($I81&amp;$J81&amp;W$1,Pesos!$A:$I,9,FALSE)))</f>
        <v>0.3</v>
      </c>
      <c r="AV81" s="132">
        <f>IF(X81="","",IF(X81="SIM",VLOOKUP($I81&amp;$J81&amp;X$1,Pesos!$A:$I,7,FALSE),VLOOKUP($I81&amp;$J81&amp;X$1,Pesos!$A:$I,9,FALSE)))</f>
        <v>0.3</v>
      </c>
      <c r="AW81" s="132">
        <f>IF(Y81="","",IF(Y81="SIM",VLOOKUP($I81&amp;$J81&amp;Y$1,Pesos!$A:$I,7,FALSE),VLOOKUP($I81&amp;$J81&amp;Y$1,Pesos!$A:$I,9,FALSE)))</f>
        <v>0.15</v>
      </c>
      <c r="AX81" s="132">
        <f>IF(Z81="","",IF(Z81="SIM",VLOOKUP($I81&amp;$J81&amp;Z$1,Pesos!$A:$I,7,FALSE),VLOOKUP($I81&amp;$J81&amp;Z$1,Pesos!$A:$I,9,FALSE)))</f>
        <v>0.2</v>
      </c>
      <c r="AY81" s="132">
        <f>IF(AA81="","",IF(AA81="SIM",VLOOKUP($I81&amp;$J81&amp;AA$1,Pesos!$A:$I,7,FALSE),VLOOKUP($I81&amp;$J81&amp;AA$1,Pesos!$A:$I,9,FALSE)))</f>
        <v>0.3</v>
      </c>
      <c r="AZ81" s="132">
        <f>IF(AB81="","",IF(AB81="SIM",VLOOKUP($I81&amp;$J81&amp;AB$1,Pesos!$A:$I,7,FALSE),VLOOKUP($I81&amp;$J81&amp;AB$1,Pesos!$A:$I,9,FALSE)))</f>
        <v>0.1</v>
      </c>
      <c r="BA81" s="132" t="str">
        <f>IF(AC81="","",IF(AC81="SIM",VLOOKUP($I81&amp;$J81&amp;AC$1,Pesos!$A:$I,7,FALSE),VLOOKUP($I81&amp;$J81&amp;AC$1,Pesos!$A:$I,9,FALSE)))</f>
        <v/>
      </c>
      <c r="BB81" s="132" t="str">
        <f>IF(AD81="","",IF(AD81="SIM",VLOOKUP($I81&amp;$J81&amp;AD$1,Pesos!$A:$I,7,FALSE),VLOOKUP($I81&amp;$J81&amp;AD$1,Pesos!$A:$I,9,FALSE)))</f>
        <v/>
      </c>
      <c r="BC81" s="132" t="str">
        <f>IF(AE81="","",IF(AE81="SIM",VLOOKUP($I81&amp;$J81&amp;AE$1,Pesos!$A:$I,7,FALSE),VLOOKUP($I81&amp;$J81&amp;AE$1,Pesos!$A:$I,9,FALSE)))</f>
        <v/>
      </c>
      <c r="BD81" s="158">
        <f>IFERROR(AF81*VLOOKUP(J81,'BD Campos'!$X$1:$Y$14,2,FALSE),"0")</f>
        <v>10.004000000000001</v>
      </c>
    </row>
    <row r="82" spans="1:56">
      <c r="A82" s="151" t="str">
        <f t="shared" si="7"/>
        <v>Jan10826MotoristaUTI</v>
      </c>
      <c r="B82" s="149" t="str">
        <f t="shared" si="8"/>
        <v>Jan108261UTIPADRÃO</v>
      </c>
      <c r="C82" s="152">
        <v>1</v>
      </c>
      <c r="D82" s="153">
        <v>46049.636230671298</v>
      </c>
      <c r="E82" s="154" t="s">
        <v>12</v>
      </c>
      <c r="F82" s="155">
        <v>10826</v>
      </c>
      <c r="G82" s="149" t="s">
        <v>218</v>
      </c>
      <c r="H82" s="154">
        <v>1</v>
      </c>
      <c r="I82" s="149" t="s">
        <v>130</v>
      </c>
      <c r="J82" s="149" t="s">
        <v>93</v>
      </c>
      <c r="K82" s="149" t="s">
        <v>128</v>
      </c>
      <c r="L82" s="156">
        <v>34554079</v>
      </c>
      <c r="M82" s="157">
        <v>3.3333333333333335E-3</v>
      </c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58">
        <f t="shared" si="10"/>
        <v>0</v>
      </c>
      <c r="AG82" s="159" t="s">
        <v>212</v>
      </c>
      <c r="AH82" s="155" t="s">
        <v>219</v>
      </c>
      <c r="AI82" s="155" t="s">
        <v>83</v>
      </c>
      <c r="AJ82" s="131" t="str">
        <f>IFERROR(VLOOKUP(E82&amp;F82,'Listagem dos op'!A:S,19,0),"")</f>
        <v/>
      </c>
      <c r="AK82" s="131" t="str">
        <f t="shared" si="9"/>
        <v>Jan10826</v>
      </c>
      <c r="AL82" s="154" t="str">
        <f>IF(N82="","",IF(N82="SIM",VLOOKUP($I82&amp;$J82&amp;N$1,Pesos!$A:$I,7,FALSE),VLOOKUP($I82&amp;$J82&amp;N$1,Pesos!$A:$I,9,FALSE)))</f>
        <v/>
      </c>
      <c r="AM82" s="154" t="str">
        <f>IF(O82="","",IF(O82="SIM",VLOOKUP($I82&amp;$J82&amp;O$1,Pesos!$A:$I,7,FALSE),VLOOKUP($I82&amp;$J82&amp;O$1,Pesos!$A:$I,9,FALSE)))</f>
        <v/>
      </c>
      <c r="AN82" s="154" t="str">
        <f>IF(P82="","",IF(P82="SIM",VLOOKUP($I82&amp;$J82&amp;P$1,Pesos!$A:$I,7,FALSE),VLOOKUP($I82&amp;$J82&amp;P$1,Pesos!$A:$I,9,FALSE)))</f>
        <v/>
      </c>
      <c r="AO82" s="154" t="str">
        <f>IF(Q82="","",IF(Q82="SIM",VLOOKUP($I82&amp;$J82&amp;Q$1,Pesos!$A:$I,7,FALSE),VLOOKUP($I82&amp;$J82&amp;Q$1,Pesos!$A:$I,9,FALSE)))</f>
        <v/>
      </c>
      <c r="AP82" s="154" t="str">
        <f>IF(R82="","",IF(R82="SIM",VLOOKUP($I82&amp;$J82&amp;R$1,Pesos!$A:$I,7,FALSE),VLOOKUP($I82&amp;$J82&amp;R$1,Pesos!$A:$I,9,FALSE)))</f>
        <v/>
      </c>
      <c r="AQ82" s="154" t="str">
        <f>IF(S82="","",IF(S82="SIM",VLOOKUP($I82&amp;$J82&amp;S$1,Pesos!$A:$I,7,FALSE),VLOOKUP($I82&amp;$J82&amp;S$1,Pesos!$A:$I,9,FALSE)))</f>
        <v/>
      </c>
      <c r="AR82" s="156" t="str">
        <f>IF(T82="","",IF(T82="SIM",VLOOKUP($I82&amp;$J82&amp;T$1,Pesos!$A:$I,7,FALSE),VLOOKUP($I82&amp;$J82&amp;T$1,Pesos!$A:$I,9,FALSE)))</f>
        <v/>
      </c>
      <c r="AS82" s="132" t="str">
        <f>IF(U82="","",IF(U82="SIM",VLOOKUP($I82&amp;$J82&amp;U$1,Pesos!$A:$I,7,FALSE),VLOOKUP($I82&amp;$J82&amp;U$1,Pesos!$A:$I,9,FALSE)))</f>
        <v/>
      </c>
      <c r="AT82" s="132" t="str">
        <f>IF(V82="","",IF(V82="SIM",VLOOKUP($I82&amp;$J82&amp;V$1,Pesos!$A:$I,7,FALSE),VLOOKUP($I82&amp;$J82&amp;V$1,Pesos!$A:$I,9,FALSE)))</f>
        <v/>
      </c>
      <c r="AU82" s="132" t="str">
        <f>IF(W82="","",IF(W82="SIM",VLOOKUP($I82&amp;$J82&amp;W$1,Pesos!$A:$I,7,FALSE),VLOOKUP($I82&amp;$J82&amp;W$1,Pesos!$A:$I,9,FALSE)))</f>
        <v/>
      </c>
      <c r="AV82" s="132" t="str">
        <f>IF(X82="","",IF(X82="SIM",VLOOKUP($I82&amp;$J82&amp;X$1,Pesos!$A:$I,7,FALSE),VLOOKUP($I82&amp;$J82&amp;X$1,Pesos!$A:$I,9,FALSE)))</f>
        <v/>
      </c>
      <c r="AW82" s="132" t="str">
        <f>IF(Y82="","",IF(Y82="SIM",VLOOKUP($I82&amp;$J82&amp;Y$1,Pesos!$A:$I,7,FALSE),VLOOKUP($I82&amp;$J82&amp;Y$1,Pesos!$A:$I,9,FALSE)))</f>
        <v/>
      </c>
      <c r="AX82" s="132" t="str">
        <f>IF(Z82="","",IF(Z82="SIM",VLOOKUP($I82&amp;$J82&amp;Z$1,Pesos!$A:$I,7,FALSE),VLOOKUP($I82&amp;$J82&amp;Z$1,Pesos!$A:$I,9,FALSE)))</f>
        <v/>
      </c>
      <c r="AY82" s="132" t="str">
        <f>IF(AA82="","",IF(AA82="SIM",VLOOKUP($I82&amp;$J82&amp;AA$1,Pesos!$A:$I,7,FALSE),VLOOKUP($I82&amp;$J82&amp;AA$1,Pesos!$A:$I,9,FALSE)))</f>
        <v/>
      </c>
      <c r="AZ82" s="132" t="str">
        <f>IF(AB82="","",IF(AB82="SIM",VLOOKUP($I82&amp;$J82&amp;AB$1,Pesos!$A:$I,7,FALSE),VLOOKUP($I82&amp;$J82&amp;AB$1,Pesos!$A:$I,9,FALSE)))</f>
        <v/>
      </c>
      <c r="BA82" s="132" t="str">
        <f>IF(AC82="","",IF(AC82="SIM",VLOOKUP($I82&amp;$J82&amp;AC$1,Pesos!$A:$I,7,FALSE),VLOOKUP($I82&amp;$J82&amp;AC$1,Pesos!$A:$I,9,FALSE)))</f>
        <v/>
      </c>
      <c r="BB82" s="132" t="str">
        <f>IF(AD82="","",IF(AD82="SIM",VLOOKUP($I82&amp;$J82&amp;AD$1,Pesos!$A:$I,7,FALSE),VLOOKUP($I82&amp;$J82&amp;AD$1,Pesos!$A:$I,9,FALSE)))</f>
        <v/>
      </c>
      <c r="BC82" s="132" t="str">
        <f>IF(AE82="","",IF(AE82="SIM",VLOOKUP($I82&amp;$J82&amp;AE$1,Pesos!$A:$I,7,FALSE),VLOOKUP($I82&amp;$J82&amp;AE$1,Pesos!$A:$I,9,FALSE)))</f>
        <v/>
      </c>
      <c r="BD82" s="158">
        <f>IFERROR(AF82*VLOOKUP(J82,'BD Campos'!$X$1:$Y$14,2,FALSE),"0")</f>
        <v>0</v>
      </c>
    </row>
    <row r="83" spans="1:56">
      <c r="A83" s="151" t="str">
        <f t="shared" si="7"/>
        <v>Jan10826Motorista 2UTI</v>
      </c>
      <c r="B83" s="149" t="str">
        <f t="shared" si="8"/>
        <v>Jan108262UTIPADRÃO</v>
      </c>
      <c r="C83" s="152">
        <v>1</v>
      </c>
      <c r="D83" s="153">
        <v>46049.670838078702</v>
      </c>
      <c r="E83" s="154" t="s">
        <v>12</v>
      </c>
      <c r="F83" s="155">
        <v>10826</v>
      </c>
      <c r="G83" s="149" t="s">
        <v>218</v>
      </c>
      <c r="H83" s="154">
        <v>2</v>
      </c>
      <c r="I83" s="149" t="s">
        <v>130</v>
      </c>
      <c r="J83" s="149" t="s">
        <v>97</v>
      </c>
      <c r="K83" s="149" t="s">
        <v>128</v>
      </c>
      <c r="L83" s="156">
        <v>34720642</v>
      </c>
      <c r="M83" s="157">
        <v>1.3888888888888889E-3</v>
      </c>
      <c r="N83" s="131" t="s">
        <v>17</v>
      </c>
      <c r="O83" s="131" t="s">
        <v>17</v>
      </c>
      <c r="P83" s="131" t="s">
        <v>17</v>
      </c>
      <c r="Q83" s="131" t="s">
        <v>17</v>
      </c>
      <c r="R83" s="131" t="s">
        <v>17</v>
      </c>
      <c r="S83" s="131" t="s">
        <v>17</v>
      </c>
      <c r="T83" s="131" t="s">
        <v>17</v>
      </c>
      <c r="U83" s="131" t="s">
        <v>18</v>
      </c>
      <c r="V83" s="131" t="s">
        <v>18</v>
      </c>
      <c r="W83" s="131" t="s">
        <v>17</v>
      </c>
      <c r="X83" s="131" t="s">
        <v>17</v>
      </c>
      <c r="Y83" s="131" t="s">
        <v>17</v>
      </c>
      <c r="Z83" s="131" t="s">
        <v>17</v>
      </c>
      <c r="AA83" s="131" t="s">
        <v>17</v>
      </c>
      <c r="AB83" s="131" t="s">
        <v>17</v>
      </c>
      <c r="AC83" s="131"/>
      <c r="AD83" s="131"/>
      <c r="AE83" s="131"/>
      <c r="AF83" s="158">
        <f t="shared" si="10"/>
        <v>7.1437999999999997</v>
      </c>
      <c r="AG83" s="159"/>
      <c r="AH83" s="155" t="s">
        <v>220</v>
      </c>
      <c r="AI83" s="155" t="s">
        <v>83</v>
      </c>
      <c r="AJ83" s="131" t="str">
        <f>IFERROR(VLOOKUP(E83&amp;F83,'Listagem dos op'!A:S,19,0),"")</f>
        <v/>
      </c>
      <c r="AK83" s="131" t="str">
        <f t="shared" si="9"/>
        <v>Jan10826</v>
      </c>
      <c r="AL83" s="154">
        <f>IF(N83="","",IF(N83="SIM",VLOOKUP($I83&amp;$J83&amp;N$1,Pesos!$A:$I,7,FALSE),VLOOKUP($I83&amp;$J83&amp;N$1,Pesos!$A:$I,9,FALSE)))</f>
        <v>0.1</v>
      </c>
      <c r="AM83" s="154">
        <f>IF(O83="","",IF(O83="SIM",VLOOKUP($I83&amp;$J83&amp;O$1,Pesos!$A:$I,7,FALSE),VLOOKUP($I83&amp;$J83&amp;O$1,Pesos!$A:$I,9,FALSE)))</f>
        <v>0.1</v>
      </c>
      <c r="AN83" s="154">
        <f>IF(P83="","",IF(P83="SIM",VLOOKUP($I83&amp;$J83&amp;P$1,Pesos!$A:$I,7,FALSE),VLOOKUP($I83&amp;$J83&amp;P$1,Pesos!$A:$I,9,FALSE)))</f>
        <v>0.1</v>
      </c>
      <c r="AO83" s="154">
        <f>IF(Q83="","",IF(Q83="SIM",VLOOKUP($I83&amp;$J83&amp;Q$1,Pesos!$A:$I,7,FALSE),VLOOKUP($I83&amp;$J83&amp;Q$1,Pesos!$A:$I,9,FALSE)))</f>
        <v>2</v>
      </c>
      <c r="AP83" s="154">
        <f>IF(R83="","",IF(R83="SIM",VLOOKUP($I83&amp;$J83&amp;R$1,Pesos!$A:$I,7,FALSE),VLOOKUP($I83&amp;$J83&amp;R$1,Pesos!$A:$I,9,FALSE)))</f>
        <v>1.03</v>
      </c>
      <c r="AQ83" s="154">
        <f>IF(S83="","",IF(S83="SIM",VLOOKUP($I83&amp;$J83&amp;S$1,Pesos!$A:$I,7,FALSE),VLOOKUP($I83&amp;$J83&amp;S$1,Pesos!$A:$I,9,FALSE)))</f>
        <v>1.3</v>
      </c>
      <c r="AR83" s="156">
        <f>IF(T83="","",IF(T83="SIM",VLOOKUP($I83&amp;$J83&amp;T$1,Pesos!$A:$I,7,FALSE),VLOOKUP($I83&amp;$J83&amp;T$1,Pesos!$A:$I,9,FALSE)))</f>
        <v>1.3</v>
      </c>
      <c r="AS83" s="132">
        <f>IF(U83="","",IF(U83="SIM",VLOOKUP($I83&amp;$J83&amp;U$1,Pesos!$A:$I,7,FALSE),VLOOKUP($I83&amp;$J83&amp;U$1,Pesos!$A:$I,9,FALSE)))</f>
        <v>-6.6000000000000003E-2</v>
      </c>
      <c r="AT83" s="132">
        <f>IF(V83="","",IF(V83="SIM",VLOOKUP($I83&amp;$J83&amp;V$1,Pesos!$A:$I,7,FALSE),VLOOKUP($I83&amp;$J83&amp;V$1,Pesos!$A:$I,9,FALSE)))</f>
        <v>-7.0199999999999999E-2</v>
      </c>
      <c r="AU83" s="132">
        <f>IF(W83="","",IF(W83="SIM",VLOOKUP($I83&amp;$J83&amp;W$1,Pesos!$A:$I,7,FALSE),VLOOKUP($I83&amp;$J83&amp;W$1,Pesos!$A:$I,9,FALSE)))</f>
        <v>0.3</v>
      </c>
      <c r="AV83" s="132">
        <f>IF(X83="","",IF(X83="SIM",VLOOKUP($I83&amp;$J83&amp;X$1,Pesos!$A:$I,7,FALSE),VLOOKUP($I83&amp;$J83&amp;X$1,Pesos!$A:$I,9,FALSE)))</f>
        <v>0.3</v>
      </c>
      <c r="AW83" s="132">
        <f>IF(Y83="","",IF(Y83="SIM",VLOOKUP($I83&amp;$J83&amp;Y$1,Pesos!$A:$I,7,FALSE),VLOOKUP($I83&amp;$J83&amp;Y$1,Pesos!$A:$I,9,FALSE)))</f>
        <v>0.15</v>
      </c>
      <c r="AX83" s="132">
        <f>IF(Z83="","",IF(Z83="SIM",VLOOKUP($I83&amp;$J83&amp;Z$1,Pesos!$A:$I,7,FALSE),VLOOKUP($I83&amp;$J83&amp;Z$1,Pesos!$A:$I,9,FALSE)))</f>
        <v>0.2</v>
      </c>
      <c r="AY83" s="132">
        <f>IF(AA83="","",IF(AA83="SIM",VLOOKUP($I83&amp;$J83&amp;AA$1,Pesos!$A:$I,7,FALSE),VLOOKUP($I83&amp;$J83&amp;AA$1,Pesos!$A:$I,9,FALSE)))</f>
        <v>0.3</v>
      </c>
      <c r="AZ83" s="132">
        <f>IF(AB83="","",IF(AB83="SIM",VLOOKUP($I83&amp;$J83&amp;AB$1,Pesos!$A:$I,7,FALSE),VLOOKUP($I83&amp;$J83&amp;AB$1,Pesos!$A:$I,9,FALSE)))</f>
        <v>0.1</v>
      </c>
      <c r="BA83" s="132" t="str">
        <f>IF(AC83="","",IF(AC83="SIM",VLOOKUP($I83&amp;$J83&amp;AC$1,Pesos!$A:$I,7,FALSE),VLOOKUP($I83&amp;$J83&amp;AC$1,Pesos!$A:$I,9,FALSE)))</f>
        <v/>
      </c>
      <c r="BB83" s="132" t="str">
        <f>IF(AD83="","",IF(AD83="SIM",VLOOKUP($I83&amp;$J83&amp;AD$1,Pesos!$A:$I,7,FALSE),VLOOKUP($I83&amp;$J83&amp;AD$1,Pesos!$A:$I,9,FALSE)))</f>
        <v/>
      </c>
      <c r="BC83" s="132" t="str">
        <f>IF(AE83="","",IF(AE83="SIM",VLOOKUP($I83&amp;$J83&amp;AE$1,Pesos!$A:$I,7,FALSE),VLOOKUP($I83&amp;$J83&amp;AE$1,Pesos!$A:$I,9,FALSE)))</f>
        <v/>
      </c>
      <c r="BD83" s="158">
        <f>IFERROR(AF83*VLOOKUP(J83,'BD Campos'!$X$1:$Y$14,2,FALSE),"0")</f>
        <v>7.1437999999999997</v>
      </c>
    </row>
    <row r="84" spans="1:56">
      <c r="A84" s="151" t="str">
        <f t="shared" si="7"/>
        <v>Jan10894PolíciaBAS</v>
      </c>
      <c r="B84" s="149" t="str">
        <f t="shared" si="8"/>
        <v>Jan108941BASPADRÃO</v>
      </c>
      <c r="C84" s="152">
        <v>1</v>
      </c>
      <c r="D84" s="153">
        <v>46049.689603587962</v>
      </c>
      <c r="E84" s="154" t="s">
        <v>12</v>
      </c>
      <c r="F84" s="155">
        <v>10894</v>
      </c>
      <c r="G84" s="149" t="s">
        <v>221</v>
      </c>
      <c r="H84" s="154">
        <v>1</v>
      </c>
      <c r="I84" s="149" t="s">
        <v>92</v>
      </c>
      <c r="J84" s="149" t="s">
        <v>222</v>
      </c>
      <c r="K84" s="149" t="s">
        <v>223</v>
      </c>
      <c r="L84" s="156">
        <v>34524060</v>
      </c>
      <c r="M84" s="157">
        <v>2.8240740740740739E-3</v>
      </c>
      <c r="N84" s="131" t="s">
        <v>17</v>
      </c>
      <c r="O84" s="131" t="s">
        <v>17</v>
      </c>
      <c r="P84" s="131" t="s">
        <v>17</v>
      </c>
      <c r="Q84" s="131" t="s">
        <v>18</v>
      </c>
      <c r="R84" s="131" t="s">
        <v>17</v>
      </c>
      <c r="S84" s="131" t="s">
        <v>17</v>
      </c>
      <c r="T84" s="131" t="s">
        <v>17</v>
      </c>
      <c r="U84" s="131" t="s">
        <v>17</v>
      </c>
      <c r="V84" s="131" t="s">
        <v>17</v>
      </c>
      <c r="W84" s="131" t="s">
        <v>17</v>
      </c>
      <c r="X84" s="131" t="s">
        <v>17</v>
      </c>
      <c r="Y84" s="131" t="s">
        <v>17</v>
      </c>
      <c r="Z84" s="131" t="s">
        <v>17</v>
      </c>
      <c r="AA84" s="131" t="s">
        <v>18</v>
      </c>
      <c r="AB84" s="131" t="s">
        <v>17</v>
      </c>
      <c r="AC84" s="131" t="s">
        <v>17</v>
      </c>
      <c r="AD84" s="131"/>
      <c r="AE84" s="131"/>
      <c r="AF84" s="158">
        <f t="shared" si="10"/>
        <v>9.3700000000000028</v>
      </c>
      <c r="AG84" s="159"/>
      <c r="AH84" s="155" t="s">
        <v>224</v>
      </c>
      <c r="AI84" s="155" t="s">
        <v>83</v>
      </c>
      <c r="AJ84" s="131" t="str">
        <f>IFERROR(VLOOKUP(E84&amp;F84,'Listagem dos op'!A:S,19,0),"")</f>
        <v/>
      </c>
      <c r="AK84" s="131" t="str">
        <f t="shared" si="9"/>
        <v>Jan10894</v>
      </c>
      <c r="AL84" s="154">
        <f>IF(N84="","",IF(N84="SIM",VLOOKUP($I84&amp;$J84&amp;N$1,Pesos!$A:$I,7,FALSE),VLOOKUP($I84&amp;$J84&amp;N$1,Pesos!$A:$I,9,FALSE)))</f>
        <v>0.1</v>
      </c>
      <c r="AM84" s="154">
        <f>IF(O84="","",IF(O84="SIM",VLOOKUP($I84&amp;$J84&amp;O$1,Pesos!$A:$I,7,FALSE),VLOOKUP($I84&amp;$J84&amp;O$1,Pesos!$A:$I,9,FALSE)))</f>
        <v>0.1</v>
      </c>
      <c r="AN84" s="154">
        <f>IF(P84="","",IF(P84="SIM",VLOOKUP($I84&amp;$J84&amp;P$1,Pesos!$A:$I,7,FALSE),VLOOKUP($I84&amp;$J84&amp;P$1,Pesos!$A:$I,9,FALSE)))</f>
        <v>0.1</v>
      </c>
      <c r="AO84" s="154">
        <f>IF(Q84="","",IF(Q84="SIM",VLOOKUP($I84&amp;$J84&amp;Q$1,Pesos!$A:$I,7,FALSE),VLOOKUP($I84&amp;$J84&amp;Q$1,Pesos!$A:$I,9,FALSE)))</f>
        <v>-2.0000000000000004E-2</v>
      </c>
      <c r="AP84" s="154">
        <f>IF(R84="","",IF(R84="SIM",VLOOKUP($I84&amp;$J84&amp;R$1,Pesos!$A:$I,7,FALSE),VLOOKUP($I84&amp;$J84&amp;R$1,Pesos!$A:$I,9,FALSE)))</f>
        <v>1.3</v>
      </c>
      <c r="AQ84" s="154">
        <f>IF(S84="","",IF(S84="SIM",VLOOKUP($I84&amp;$J84&amp;S$1,Pesos!$A:$I,7,FALSE),VLOOKUP($I84&amp;$J84&amp;S$1,Pesos!$A:$I,9,FALSE)))</f>
        <v>1.35</v>
      </c>
      <c r="AR84" s="156">
        <f>IF(T84="","",IF(T84="SIM",VLOOKUP($I84&amp;$J84&amp;T$1,Pesos!$A:$I,7,FALSE),VLOOKUP($I84&amp;$J84&amp;T$1,Pesos!$A:$I,9,FALSE)))</f>
        <v>1.3</v>
      </c>
      <c r="AS84" s="132">
        <f>IF(U84="","",IF(U84="SIM",VLOOKUP($I84&amp;$J84&amp;U$1,Pesos!$A:$I,7,FALSE),VLOOKUP($I84&amp;$J84&amp;U$1,Pesos!$A:$I,9,FALSE)))</f>
        <v>1.5</v>
      </c>
      <c r="AT84" s="132">
        <f>IF(V84="","",IF(V84="SIM",VLOOKUP($I84&amp;$J84&amp;V$1,Pesos!$A:$I,7,FALSE),VLOOKUP($I84&amp;$J84&amp;V$1,Pesos!$A:$I,9,FALSE)))</f>
        <v>1.3</v>
      </c>
      <c r="AU84" s="132">
        <f>IF(W84="","",IF(W84="SIM",VLOOKUP($I84&amp;$J84&amp;W$1,Pesos!$A:$I,7,FALSE),VLOOKUP($I84&amp;$J84&amp;W$1,Pesos!$A:$I,9,FALSE)))</f>
        <v>1.2</v>
      </c>
      <c r="AV84" s="132">
        <f>IF(X84="","",IF(X84="SIM",VLOOKUP($I84&amp;$J84&amp;X$1,Pesos!$A:$I,7,FALSE),VLOOKUP($I84&amp;$J84&amp;X$1,Pesos!$A:$I,9,FALSE)))</f>
        <v>0.3</v>
      </c>
      <c r="AW84" s="132">
        <f>IF(Y84="","",IF(Y84="SIM",VLOOKUP($I84&amp;$J84&amp;Y$1,Pesos!$A:$I,7,FALSE),VLOOKUP($I84&amp;$J84&amp;Y$1,Pesos!$A:$I,9,FALSE)))</f>
        <v>0.3</v>
      </c>
      <c r="AX84" s="132">
        <f>IF(Z84="","",IF(Z84="SIM",VLOOKUP($I84&amp;$J84&amp;Z$1,Pesos!$A:$I,7,FALSE),VLOOKUP($I84&amp;$J84&amp;Z$1,Pesos!$A:$I,9,FALSE)))</f>
        <v>0.15</v>
      </c>
      <c r="AY84" s="132">
        <f>IF(AA84="","",IF(AA84="SIM",VLOOKUP($I84&amp;$J84&amp;AA$1,Pesos!$A:$I,7,FALSE),VLOOKUP($I84&amp;$J84&amp;AA$1,Pesos!$A:$I,9,FALSE)))</f>
        <v>-1.0000000000000002E-2</v>
      </c>
      <c r="AZ84" s="132">
        <f>IF(AB84="","",IF(AB84="SIM",VLOOKUP($I84&amp;$J84&amp;AB$1,Pesos!$A:$I,7,FALSE),VLOOKUP($I84&amp;$J84&amp;AB$1,Pesos!$A:$I,9,FALSE)))</f>
        <v>0.3</v>
      </c>
      <c r="BA84" s="132">
        <f>IF(AC84="","",IF(AC84="SIM",VLOOKUP($I84&amp;$J84&amp;AC$1,Pesos!$A:$I,7,FALSE),VLOOKUP($I84&amp;$J84&amp;AC$1,Pesos!$A:$I,9,FALSE)))</f>
        <v>0.1</v>
      </c>
      <c r="BB84" s="132" t="str">
        <f>IF(AD84="","",IF(AD84="SIM",VLOOKUP($I84&amp;$J84&amp;AD$1,Pesos!$A:$I,7,FALSE),VLOOKUP($I84&amp;$J84&amp;AD$1,Pesos!$A:$I,9,FALSE)))</f>
        <v/>
      </c>
      <c r="BC84" s="132" t="str">
        <f>IF(AE84="","",IF(AE84="SIM",VLOOKUP($I84&amp;$J84&amp;AE$1,Pesos!$A:$I,7,FALSE),VLOOKUP($I84&amp;$J84&amp;AE$1,Pesos!$A:$I,9,FALSE)))</f>
        <v/>
      </c>
      <c r="BD84" s="158" t="str">
        <f>IFERROR(AF84*VLOOKUP(J84,'BD Campos'!$X$1:$Y$14,2,FALSE),"0")</f>
        <v>0</v>
      </c>
    </row>
    <row r="85" spans="1:56">
      <c r="A85" s="151" t="str">
        <f t="shared" si="7"/>
        <v>Jan10894Polícia 2BAS</v>
      </c>
      <c r="B85" s="149" t="str">
        <f t="shared" si="8"/>
        <v>Jan108942BASPADRÃO</v>
      </c>
      <c r="C85" s="152">
        <v>1</v>
      </c>
      <c r="D85" s="153">
        <v>46049.702124537034</v>
      </c>
      <c r="E85" s="154" t="s">
        <v>12</v>
      </c>
      <c r="F85" s="155">
        <v>10894</v>
      </c>
      <c r="G85" s="149" t="s">
        <v>221</v>
      </c>
      <c r="H85" s="154">
        <v>2</v>
      </c>
      <c r="I85" s="149" t="s">
        <v>92</v>
      </c>
      <c r="J85" s="149" t="s">
        <v>225</v>
      </c>
      <c r="K85" s="149" t="s">
        <v>223</v>
      </c>
      <c r="L85" s="156">
        <v>34740294</v>
      </c>
      <c r="M85" s="157">
        <v>4.9421296296296288E-3</v>
      </c>
      <c r="N85" s="131" t="s">
        <v>17</v>
      </c>
      <c r="O85" s="131" t="s">
        <v>17</v>
      </c>
      <c r="P85" s="131" t="s">
        <v>17</v>
      </c>
      <c r="Q85" s="131" t="s">
        <v>17</v>
      </c>
      <c r="R85" s="131" t="s">
        <v>17</v>
      </c>
      <c r="S85" s="131" t="s">
        <v>17</v>
      </c>
      <c r="T85" s="131" t="s">
        <v>17</v>
      </c>
      <c r="U85" s="131" t="s">
        <v>17</v>
      </c>
      <c r="V85" s="131" t="s">
        <v>17</v>
      </c>
      <c r="W85" s="131" t="s">
        <v>17</v>
      </c>
      <c r="X85" s="131" t="s">
        <v>17</v>
      </c>
      <c r="Y85" s="131" t="s">
        <v>17</v>
      </c>
      <c r="Z85" s="131" t="s">
        <v>17</v>
      </c>
      <c r="AA85" s="131" t="s">
        <v>17</v>
      </c>
      <c r="AB85" s="131" t="s">
        <v>17</v>
      </c>
      <c r="AC85" s="131" t="s">
        <v>17</v>
      </c>
      <c r="AD85" s="131"/>
      <c r="AE85" s="131"/>
      <c r="AF85" s="158">
        <f t="shared" si="10"/>
        <v>10.000000000000002</v>
      </c>
      <c r="AG85" s="159"/>
      <c r="AH85" s="155" t="s">
        <v>226</v>
      </c>
      <c r="AI85" s="155" t="s">
        <v>83</v>
      </c>
      <c r="AJ85" s="131" t="str">
        <f>IFERROR(VLOOKUP(E85&amp;F85,'Listagem dos op'!A:S,19,0),"")</f>
        <v/>
      </c>
      <c r="AK85" s="131" t="str">
        <f t="shared" si="9"/>
        <v>Jan10894</v>
      </c>
      <c r="AL85" s="154">
        <f>IF(N85="","",IF(N85="SIM",VLOOKUP($I85&amp;$J85&amp;N$1,Pesos!$A:$I,7,FALSE),VLOOKUP($I85&amp;$J85&amp;N$1,Pesos!$A:$I,9,FALSE)))</f>
        <v>0.1</v>
      </c>
      <c r="AM85" s="154">
        <f>IF(O85="","",IF(O85="SIM",VLOOKUP($I85&amp;$J85&amp;O$1,Pesos!$A:$I,7,FALSE),VLOOKUP($I85&amp;$J85&amp;O$1,Pesos!$A:$I,9,FALSE)))</f>
        <v>0.1</v>
      </c>
      <c r="AN85" s="154">
        <f>IF(P85="","",IF(P85="SIM",VLOOKUP($I85&amp;$J85&amp;P$1,Pesos!$A:$I,7,FALSE),VLOOKUP($I85&amp;$J85&amp;P$1,Pesos!$A:$I,9,FALSE)))</f>
        <v>0.1</v>
      </c>
      <c r="AO85" s="154">
        <f>IF(Q85="","",IF(Q85="SIM",VLOOKUP($I85&amp;$J85&amp;Q$1,Pesos!$A:$I,7,FALSE),VLOOKUP($I85&amp;$J85&amp;Q$1,Pesos!$A:$I,9,FALSE)))</f>
        <v>0.4</v>
      </c>
      <c r="AP85" s="154">
        <f>IF(R85="","",IF(R85="SIM",VLOOKUP($I85&amp;$J85&amp;R$1,Pesos!$A:$I,7,FALSE),VLOOKUP($I85&amp;$J85&amp;R$1,Pesos!$A:$I,9,FALSE)))</f>
        <v>1.3</v>
      </c>
      <c r="AQ85" s="154">
        <f>IF(S85="","",IF(S85="SIM",VLOOKUP($I85&amp;$J85&amp;S$1,Pesos!$A:$I,7,FALSE),VLOOKUP($I85&amp;$J85&amp;S$1,Pesos!$A:$I,9,FALSE)))</f>
        <v>1.35</v>
      </c>
      <c r="AR85" s="156">
        <f>IF(T85="","",IF(T85="SIM",VLOOKUP($I85&amp;$J85&amp;T$1,Pesos!$A:$I,7,FALSE),VLOOKUP($I85&amp;$J85&amp;T$1,Pesos!$A:$I,9,FALSE)))</f>
        <v>1.3</v>
      </c>
      <c r="AS85" s="132">
        <f>IF(U85="","",IF(U85="SIM",VLOOKUP($I85&amp;$J85&amp;U$1,Pesos!$A:$I,7,FALSE),VLOOKUP($I85&amp;$J85&amp;U$1,Pesos!$A:$I,9,FALSE)))</f>
        <v>1.5</v>
      </c>
      <c r="AT85" s="132">
        <f>IF(V85="","",IF(V85="SIM",VLOOKUP($I85&amp;$J85&amp;V$1,Pesos!$A:$I,7,FALSE),VLOOKUP($I85&amp;$J85&amp;V$1,Pesos!$A:$I,9,FALSE)))</f>
        <v>1.3</v>
      </c>
      <c r="AU85" s="132">
        <f>IF(W85="","",IF(W85="SIM",VLOOKUP($I85&amp;$J85&amp;W$1,Pesos!$A:$I,7,FALSE),VLOOKUP($I85&amp;$J85&amp;W$1,Pesos!$A:$I,9,FALSE)))</f>
        <v>1.2</v>
      </c>
      <c r="AV85" s="132">
        <f>IF(X85="","",IF(X85="SIM",VLOOKUP($I85&amp;$J85&amp;X$1,Pesos!$A:$I,7,FALSE),VLOOKUP($I85&amp;$J85&amp;X$1,Pesos!$A:$I,9,FALSE)))</f>
        <v>0.3</v>
      </c>
      <c r="AW85" s="132">
        <f>IF(Y85="","",IF(Y85="SIM",VLOOKUP($I85&amp;$J85&amp;Y$1,Pesos!$A:$I,7,FALSE),VLOOKUP($I85&amp;$J85&amp;Y$1,Pesos!$A:$I,9,FALSE)))</f>
        <v>0.3</v>
      </c>
      <c r="AX85" s="132">
        <f>IF(Z85="","",IF(Z85="SIM",VLOOKUP($I85&amp;$J85&amp;Z$1,Pesos!$A:$I,7,FALSE),VLOOKUP($I85&amp;$J85&amp;Z$1,Pesos!$A:$I,9,FALSE)))</f>
        <v>0.15</v>
      </c>
      <c r="AY85" s="132">
        <f>IF(AA85="","",IF(AA85="SIM",VLOOKUP($I85&amp;$J85&amp;AA$1,Pesos!$A:$I,7,FALSE),VLOOKUP($I85&amp;$J85&amp;AA$1,Pesos!$A:$I,9,FALSE)))</f>
        <v>0.2</v>
      </c>
      <c r="AZ85" s="132">
        <f>IF(AB85="","",IF(AB85="SIM",VLOOKUP($I85&amp;$J85&amp;AB$1,Pesos!$A:$I,7,FALSE),VLOOKUP($I85&amp;$J85&amp;AB$1,Pesos!$A:$I,9,FALSE)))</f>
        <v>0.3</v>
      </c>
      <c r="BA85" s="132">
        <f>IF(AC85="","",IF(AC85="SIM",VLOOKUP($I85&amp;$J85&amp;AC$1,Pesos!$A:$I,7,FALSE),VLOOKUP($I85&amp;$J85&amp;AC$1,Pesos!$A:$I,9,FALSE)))</f>
        <v>0.1</v>
      </c>
      <c r="BB85" s="132" t="str">
        <f>IF(AD85="","",IF(AD85="SIM",VLOOKUP($I85&amp;$J85&amp;AD$1,Pesos!$A:$I,7,FALSE),VLOOKUP($I85&amp;$J85&amp;AD$1,Pesos!$A:$I,9,FALSE)))</f>
        <v/>
      </c>
      <c r="BC85" s="132" t="str">
        <f>IF(AE85="","",IF(AE85="SIM",VLOOKUP($I85&amp;$J85&amp;AE$1,Pesos!$A:$I,7,FALSE),VLOOKUP($I85&amp;$J85&amp;AE$1,Pesos!$A:$I,9,FALSE)))</f>
        <v/>
      </c>
      <c r="BD85" s="158" t="str">
        <f>IFERROR(AF85*VLOOKUP(J85,'BD Campos'!$X$1:$Y$14,2,FALSE),"0")</f>
        <v>0</v>
      </c>
    </row>
    <row r="86" spans="1:56">
      <c r="A86" s="151" t="str">
        <f t="shared" si="7"/>
        <v>Jan10500PolíciaBAS</v>
      </c>
      <c r="B86" s="149" t="str">
        <f t="shared" si="8"/>
        <v>Jan105001BASPADRÃO</v>
      </c>
      <c r="C86" s="152">
        <v>1</v>
      </c>
      <c r="D86" s="153">
        <v>46049.710820486114</v>
      </c>
      <c r="E86" s="154" t="s">
        <v>12</v>
      </c>
      <c r="F86" s="155">
        <v>10500</v>
      </c>
      <c r="G86" s="149" t="s">
        <v>227</v>
      </c>
      <c r="H86" s="154">
        <v>1</v>
      </c>
      <c r="I86" s="149" t="s">
        <v>92</v>
      </c>
      <c r="J86" s="149" t="s">
        <v>222</v>
      </c>
      <c r="K86" s="149" t="s">
        <v>223</v>
      </c>
      <c r="L86" s="156">
        <v>34519927</v>
      </c>
      <c r="M86" s="157">
        <v>3.3101851851851851E-3</v>
      </c>
      <c r="N86" s="131" t="s">
        <v>17</v>
      </c>
      <c r="O86" s="131" t="s">
        <v>17</v>
      </c>
      <c r="P86" s="131" t="s">
        <v>17</v>
      </c>
      <c r="Q86" s="131" t="s">
        <v>17</v>
      </c>
      <c r="R86" s="131" t="s">
        <v>17</v>
      </c>
      <c r="S86" s="131" t="s">
        <v>17</v>
      </c>
      <c r="T86" s="131" t="s">
        <v>17</v>
      </c>
      <c r="U86" s="131" t="s">
        <v>17</v>
      </c>
      <c r="V86" s="131" t="s">
        <v>17</v>
      </c>
      <c r="W86" s="131" t="s">
        <v>17</v>
      </c>
      <c r="X86" s="131" t="s">
        <v>17</v>
      </c>
      <c r="Y86" s="131" t="s">
        <v>17</v>
      </c>
      <c r="Z86" s="131" t="s">
        <v>17</v>
      </c>
      <c r="AA86" s="131" t="s">
        <v>18</v>
      </c>
      <c r="AB86" s="131" t="s">
        <v>17</v>
      </c>
      <c r="AC86" s="131" t="s">
        <v>17</v>
      </c>
      <c r="AD86" s="131"/>
      <c r="AE86" s="131"/>
      <c r="AF86" s="158">
        <f t="shared" si="10"/>
        <v>9.7900000000000027</v>
      </c>
      <c r="AG86" s="159"/>
      <c r="AH86" s="155" t="s">
        <v>228</v>
      </c>
      <c r="AI86" s="155" t="s">
        <v>83</v>
      </c>
      <c r="AJ86" s="131" t="str">
        <f>IFERROR(VLOOKUP(E86&amp;F86,'Listagem dos op'!A:S,19,0),"")</f>
        <v/>
      </c>
      <c r="AK86" s="131" t="str">
        <f t="shared" si="9"/>
        <v>Jan10500</v>
      </c>
      <c r="AL86" s="154">
        <f>IF(N86="","",IF(N86="SIM",VLOOKUP($I86&amp;$J86&amp;N$1,Pesos!$A:$I,7,FALSE),VLOOKUP($I86&amp;$J86&amp;N$1,Pesos!$A:$I,9,FALSE)))</f>
        <v>0.1</v>
      </c>
      <c r="AM86" s="154">
        <f>IF(O86="","",IF(O86="SIM",VLOOKUP($I86&amp;$J86&amp;O$1,Pesos!$A:$I,7,FALSE),VLOOKUP($I86&amp;$J86&amp;O$1,Pesos!$A:$I,9,FALSE)))</f>
        <v>0.1</v>
      </c>
      <c r="AN86" s="154">
        <f>IF(P86="","",IF(P86="SIM",VLOOKUP($I86&amp;$J86&amp;P$1,Pesos!$A:$I,7,FALSE),VLOOKUP($I86&amp;$J86&amp;P$1,Pesos!$A:$I,9,FALSE)))</f>
        <v>0.1</v>
      </c>
      <c r="AO86" s="154">
        <f>IF(Q86="","",IF(Q86="SIM",VLOOKUP($I86&amp;$J86&amp;Q$1,Pesos!$A:$I,7,FALSE),VLOOKUP($I86&amp;$J86&amp;Q$1,Pesos!$A:$I,9,FALSE)))</f>
        <v>0.4</v>
      </c>
      <c r="AP86" s="154">
        <f>IF(R86="","",IF(R86="SIM",VLOOKUP($I86&amp;$J86&amp;R$1,Pesos!$A:$I,7,FALSE),VLOOKUP($I86&amp;$J86&amp;R$1,Pesos!$A:$I,9,FALSE)))</f>
        <v>1.3</v>
      </c>
      <c r="AQ86" s="154">
        <f>IF(S86="","",IF(S86="SIM",VLOOKUP($I86&amp;$J86&amp;S$1,Pesos!$A:$I,7,FALSE),VLOOKUP($I86&amp;$J86&amp;S$1,Pesos!$A:$I,9,FALSE)))</f>
        <v>1.35</v>
      </c>
      <c r="AR86" s="156">
        <f>IF(T86="","",IF(T86="SIM",VLOOKUP($I86&amp;$J86&amp;T$1,Pesos!$A:$I,7,FALSE),VLOOKUP($I86&amp;$J86&amp;T$1,Pesos!$A:$I,9,FALSE)))</f>
        <v>1.3</v>
      </c>
      <c r="AS86" s="132">
        <f>IF(U86="","",IF(U86="SIM",VLOOKUP($I86&amp;$J86&amp;U$1,Pesos!$A:$I,7,FALSE),VLOOKUP($I86&amp;$J86&amp;U$1,Pesos!$A:$I,9,FALSE)))</f>
        <v>1.5</v>
      </c>
      <c r="AT86" s="132">
        <f>IF(V86="","",IF(V86="SIM",VLOOKUP($I86&amp;$J86&amp;V$1,Pesos!$A:$I,7,FALSE),VLOOKUP($I86&amp;$J86&amp;V$1,Pesos!$A:$I,9,FALSE)))</f>
        <v>1.3</v>
      </c>
      <c r="AU86" s="132">
        <f>IF(W86="","",IF(W86="SIM",VLOOKUP($I86&amp;$J86&amp;W$1,Pesos!$A:$I,7,FALSE),VLOOKUP($I86&amp;$J86&amp;W$1,Pesos!$A:$I,9,FALSE)))</f>
        <v>1.2</v>
      </c>
      <c r="AV86" s="132">
        <f>IF(X86="","",IF(X86="SIM",VLOOKUP($I86&amp;$J86&amp;X$1,Pesos!$A:$I,7,FALSE),VLOOKUP($I86&amp;$J86&amp;X$1,Pesos!$A:$I,9,FALSE)))</f>
        <v>0.3</v>
      </c>
      <c r="AW86" s="132">
        <f>IF(Y86="","",IF(Y86="SIM",VLOOKUP($I86&amp;$J86&amp;Y$1,Pesos!$A:$I,7,FALSE),VLOOKUP($I86&amp;$J86&amp;Y$1,Pesos!$A:$I,9,FALSE)))</f>
        <v>0.3</v>
      </c>
      <c r="AX86" s="132">
        <f>IF(Z86="","",IF(Z86="SIM",VLOOKUP($I86&amp;$J86&amp;Z$1,Pesos!$A:$I,7,FALSE),VLOOKUP($I86&amp;$J86&amp;Z$1,Pesos!$A:$I,9,FALSE)))</f>
        <v>0.15</v>
      </c>
      <c r="AY86" s="132">
        <f>IF(AA86="","",IF(AA86="SIM",VLOOKUP($I86&amp;$J86&amp;AA$1,Pesos!$A:$I,7,FALSE),VLOOKUP($I86&amp;$J86&amp;AA$1,Pesos!$A:$I,9,FALSE)))</f>
        <v>-1.0000000000000002E-2</v>
      </c>
      <c r="AZ86" s="132">
        <f>IF(AB86="","",IF(AB86="SIM",VLOOKUP($I86&amp;$J86&amp;AB$1,Pesos!$A:$I,7,FALSE),VLOOKUP($I86&amp;$J86&amp;AB$1,Pesos!$A:$I,9,FALSE)))</f>
        <v>0.3</v>
      </c>
      <c r="BA86" s="132">
        <f>IF(AC86="","",IF(AC86="SIM",VLOOKUP($I86&amp;$J86&amp;AC$1,Pesos!$A:$I,7,FALSE),VLOOKUP($I86&amp;$J86&amp;AC$1,Pesos!$A:$I,9,FALSE)))</f>
        <v>0.1</v>
      </c>
      <c r="BB86" s="132" t="str">
        <f>IF(AD86="","",IF(AD86="SIM",VLOOKUP($I86&amp;$J86&amp;AD$1,Pesos!$A:$I,7,FALSE),VLOOKUP($I86&amp;$J86&amp;AD$1,Pesos!$A:$I,9,FALSE)))</f>
        <v/>
      </c>
      <c r="BC86" s="132" t="str">
        <f>IF(AE86="","",IF(AE86="SIM",VLOOKUP($I86&amp;$J86&amp;AE$1,Pesos!$A:$I,7,FALSE),VLOOKUP($I86&amp;$J86&amp;AE$1,Pesos!$A:$I,9,FALSE)))</f>
        <v/>
      </c>
      <c r="BD86" s="158" t="str">
        <f>IFERROR(AF86*VLOOKUP(J86,'BD Campos'!$X$1:$Y$14,2,FALSE),"0")</f>
        <v>0</v>
      </c>
    </row>
    <row r="87" spans="1:56">
      <c r="A87" s="151" t="str">
        <f t="shared" si="7"/>
        <v>Jan10500Polícia 2BAS</v>
      </c>
      <c r="B87" s="149" t="str">
        <f t="shared" si="8"/>
        <v>Jan105002BASPADRÃO</v>
      </c>
      <c r="C87" s="152">
        <v>1</v>
      </c>
      <c r="D87" s="153">
        <v>46049.715478472222</v>
      </c>
      <c r="E87" s="154" t="s">
        <v>12</v>
      </c>
      <c r="F87" s="155">
        <v>10500</v>
      </c>
      <c r="G87" s="149" t="s">
        <v>227</v>
      </c>
      <c r="H87" s="154">
        <v>2</v>
      </c>
      <c r="I87" s="149" t="s">
        <v>92</v>
      </c>
      <c r="J87" s="149" t="s">
        <v>225</v>
      </c>
      <c r="K87" s="149" t="s">
        <v>223</v>
      </c>
      <c r="L87" s="156">
        <v>34738576</v>
      </c>
      <c r="M87" s="157">
        <v>2.615740740740741E-3</v>
      </c>
      <c r="N87" s="131" t="s">
        <v>17</v>
      </c>
      <c r="O87" s="131" t="s">
        <v>17</v>
      </c>
      <c r="P87" s="131" t="s">
        <v>17</v>
      </c>
      <c r="Q87" s="131" t="s">
        <v>17</v>
      </c>
      <c r="R87" s="131" t="s">
        <v>17</v>
      </c>
      <c r="S87" s="131" t="s">
        <v>17</v>
      </c>
      <c r="T87" s="131" t="s">
        <v>17</v>
      </c>
      <c r="U87" s="131" t="s">
        <v>17</v>
      </c>
      <c r="V87" s="131" t="s">
        <v>17</v>
      </c>
      <c r="W87" s="131" t="s">
        <v>17</v>
      </c>
      <c r="X87" s="131" t="s">
        <v>17</v>
      </c>
      <c r="Y87" s="131" t="s">
        <v>17</v>
      </c>
      <c r="Z87" s="131" t="s">
        <v>17</v>
      </c>
      <c r="AA87" s="131" t="s">
        <v>17</v>
      </c>
      <c r="AB87" s="131" t="s">
        <v>17</v>
      </c>
      <c r="AC87" s="131" t="s">
        <v>17</v>
      </c>
      <c r="AD87" s="131"/>
      <c r="AE87" s="131"/>
      <c r="AF87" s="158">
        <f t="shared" si="10"/>
        <v>10.000000000000002</v>
      </c>
      <c r="AG87" s="159"/>
      <c r="AH87" s="155" t="s">
        <v>229</v>
      </c>
      <c r="AI87" s="155" t="s">
        <v>83</v>
      </c>
      <c r="AJ87" s="131" t="str">
        <f>IFERROR(VLOOKUP(E87&amp;F87,'Listagem dos op'!A:S,19,0),"")</f>
        <v/>
      </c>
      <c r="AK87" s="131" t="str">
        <f t="shared" si="9"/>
        <v>Jan10500</v>
      </c>
      <c r="AL87" s="154">
        <f>IF(N87="","",IF(N87="SIM",VLOOKUP($I87&amp;$J87&amp;N$1,Pesos!$A:$I,7,FALSE),VLOOKUP($I87&amp;$J87&amp;N$1,Pesos!$A:$I,9,FALSE)))</f>
        <v>0.1</v>
      </c>
      <c r="AM87" s="154">
        <f>IF(O87="","",IF(O87="SIM",VLOOKUP($I87&amp;$J87&amp;O$1,Pesos!$A:$I,7,FALSE),VLOOKUP($I87&amp;$J87&amp;O$1,Pesos!$A:$I,9,FALSE)))</f>
        <v>0.1</v>
      </c>
      <c r="AN87" s="154">
        <f>IF(P87="","",IF(P87="SIM",VLOOKUP($I87&amp;$J87&amp;P$1,Pesos!$A:$I,7,FALSE),VLOOKUP($I87&amp;$J87&amp;P$1,Pesos!$A:$I,9,FALSE)))</f>
        <v>0.1</v>
      </c>
      <c r="AO87" s="154">
        <f>IF(Q87="","",IF(Q87="SIM",VLOOKUP($I87&amp;$J87&amp;Q$1,Pesos!$A:$I,7,FALSE),VLOOKUP($I87&amp;$J87&amp;Q$1,Pesos!$A:$I,9,FALSE)))</f>
        <v>0.4</v>
      </c>
      <c r="AP87" s="154">
        <f>IF(R87="","",IF(R87="SIM",VLOOKUP($I87&amp;$J87&amp;R$1,Pesos!$A:$I,7,FALSE),VLOOKUP($I87&amp;$J87&amp;R$1,Pesos!$A:$I,9,FALSE)))</f>
        <v>1.3</v>
      </c>
      <c r="AQ87" s="154">
        <f>IF(S87="","",IF(S87="SIM",VLOOKUP($I87&amp;$J87&amp;S$1,Pesos!$A:$I,7,FALSE),VLOOKUP($I87&amp;$J87&amp;S$1,Pesos!$A:$I,9,FALSE)))</f>
        <v>1.35</v>
      </c>
      <c r="AR87" s="156">
        <f>IF(T87="","",IF(T87="SIM",VLOOKUP($I87&amp;$J87&amp;T$1,Pesos!$A:$I,7,FALSE),VLOOKUP($I87&amp;$J87&amp;T$1,Pesos!$A:$I,9,FALSE)))</f>
        <v>1.3</v>
      </c>
      <c r="AS87" s="132">
        <f>IF(U87="","",IF(U87="SIM",VLOOKUP($I87&amp;$J87&amp;U$1,Pesos!$A:$I,7,FALSE),VLOOKUP($I87&amp;$J87&amp;U$1,Pesos!$A:$I,9,FALSE)))</f>
        <v>1.5</v>
      </c>
      <c r="AT87" s="132">
        <f>IF(V87="","",IF(V87="SIM",VLOOKUP($I87&amp;$J87&amp;V$1,Pesos!$A:$I,7,FALSE),VLOOKUP($I87&amp;$J87&amp;V$1,Pesos!$A:$I,9,FALSE)))</f>
        <v>1.3</v>
      </c>
      <c r="AU87" s="132">
        <f>IF(W87="","",IF(W87="SIM",VLOOKUP($I87&amp;$J87&amp;W$1,Pesos!$A:$I,7,FALSE),VLOOKUP($I87&amp;$J87&amp;W$1,Pesos!$A:$I,9,FALSE)))</f>
        <v>1.2</v>
      </c>
      <c r="AV87" s="132">
        <f>IF(X87="","",IF(X87="SIM",VLOOKUP($I87&amp;$J87&amp;X$1,Pesos!$A:$I,7,FALSE),VLOOKUP($I87&amp;$J87&amp;X$1,Pesos!$A:$I,9,FALSE)))</f>
        <v>0.3</v>
      </c>
      <c r="AW87" s="132">
        <f>IF(Y87="","",IF(Y87="SIM",VLOOKUP($I87&amp;$J87&amp;Y$1,Pesos!$A:$I,7,FALSE),VLOOKUP($I87&amp;$J87&amp;Y$1,Pesos!$A:$I,9,FALSE)))</f>
        <v>0.3</v>
      </c>
      <c r="AX87" s="132">
        <f>IF(Z87="","",IF(Z87="SIM",VLOOKUP($I87&amp;$J87&amp;Z$1,Pesos!$A:$I,7,FALSE),VLOOKUP($I87&amp;$J87&amp;Z$1,Pesos!$A:$I,9,FALSE)))</f>
        <v>0.15</v>
      </c>
      <c r="AY87" s="132">
        <f>IF(AA87="","",IF(AA87="SIM",VLOOKUP($I87&amp;$J87&amp;AA$1,Pesos!$A:$I,7,FALSE),VLOOKUP($I87&amp;$J87&amp;AA$1,Pesos!$A:$I,9,FALSE)))</f>
        <v>0.2</v>
      </c>
      <c r="AZ87" s="132">
        <f>IF(AB87="","",IF(AB87="SIM",VLOOKUP($I87&amp;$J87&amp;AB$1,Pesos!$A:$I,7,FALSE),VLOOKUP($I87&amp;$J87&amp;AB$1,Pesos!$A:$I,9,FALSE)))</f>
        <v>0.3</v>
      </c>
      <c r="BA87" s="132">
        <f>IF(AC87="","",IF(AC87="SIM",VLOOKUP($I87&amp;$J87&amp;AC$1,Pesos!$A:$I,7,FALSE),VLOOKUP($I87&amp;$J87&amp;AC$1,Pesos!$A:$I,9,FALSE)))</f>
        <v>0.1</v>
      </c>
      <c r="BB87" s="132" t="str">
        <f>IF(AD87="","",IF(AD87="SIM",VLOOKUP($I87&amp;$J87&amp;AD$1,Pesos!$A:$I,7,FALSE),VLOOKUP($I87&amp;$J87&amp;AD$1,Pesos!$A:$I,9,FALSE)))</f>
        <v/>
      </c>
      <c r="BC87" s="132" t="str">
        <f>IF(AE87="","",IF(AE87="SIM",VLOOKUP($I87&amp;$J87&amp;AE$1,Pesos!$A:$I,7,FALSE),VLOOKUP($I87&amp;$J87&amp;AE$1,Pesos!$A:$I,9,FALSE)))</f>
        <v/>
      </c>
      <c r="BD87" s="158" t="str">
        <f>IFERROR(AF87*VLOOKUP(J87,'BD Campos'!$X$1:$Y$14,2,FALSE),"0")</f>
        <v>0</v>
      </c>
    </row>
    <row r="88" spans="1:56">
      <c r="A88" s="151" t="str">
        <f t="shared" si="7"/>
        <v>Jan10920MotoristaUTI (RJ)</v>
      </c>
      <c r="B88" s="149" t="str">
        <f t="shared" si="8"/>
        <v>Jan109201UTI (RJ)PADRÃO</v>
      </c>
      <c r="C88" s="152">
        <v>1</v>
      </c>
      <c r="D88" s="153">
        <v>46049.722794212961</v>
      </c>
      <c r="E88" s="154" t="s">
        <v>12</v>
      </c>
      <c r="F88" s="155">
        <v>10920</v>
      </c>
      <c r="G88" s="149" t="s">
        <v>230</v>
      </c>
      <c r="H88" s="154">
        <v>1</v>
      </c>
      <c r="I88" s="149" t="s">
        <v>96</v>
      </c>
      <c r="J88" s="149" t="s">
        <v>93</v>
      </c>
      <c r="K88" s="149" t="s">
        <v>215</v>
      </c>
      <c r="L88" s="156">
        <v>34520546</v>
      </c>
      <c r="M88" s="157">
        <v>1.2847222222222223E-3</v>
      </c>
      <c r="N88" s="131" t="s">
        <v>17</v>
      </c>
      <c r="O88" s="131" t="s">
        <v>17</v>
      </c>
      <c r="P88" s="131" t="s">
        <v>17</v>
      </c>
      <c r="Q88" s="131" t="s">
        <v>17</v>
      </c>
      <c r="R88" s="131" t="s">
        <v>17</v>
      </c>
      <c r="S88" s="131" t="s">
        <v>17</v>
      </c>
      <c r="T88" s="131" t="s">
        <v>17</v>
      </c>
      <c r="U88" s="131" t="s">
        <v>17</v>
      </c>
      <c r="V88" s="131" t="s">
        <v>18</v>
      </c>
      <c r="W88" s="131" t="s">
        <v>17</v>
      </c>
      <c r="X88" s="131" t="s">
        <v>17</v>
      </c>
      <c r="Y88" s="131" t="s">
        <v>17</v>
      </c>
      <c r="Z88" s="131" t="s">
        <v>17</v>
      </c>
      <c r="AA88" s="131" t="s">
        <v>17</v>
      </c>
      <c r="AB88" s="131" t="s">
        <v>17</v>
      </c>
      <c r="AC88" s="131"/>
      <c r="AD88" s="131"/>
      <c r="AE88" s="131"/>
      <c r="AF88" s="158">
        <f t="shared" si="10"/>
        <v>8.8974999999999991</v>
      </c>
      <c r="AG88" s="159"/>
      <c r="AH88" s="155" t="s">
        <v>231</v>
      </c>
      <c r="AI88" s="155" t="s">
        <v>83</v>
      </c>
      <c r="AJ88" s="131" t="str">
        <f>IFERROR(VLOOKUP(E88&amp;F88,'Listagem dos op'!A:S,19,0),"")</f>
        <v/>
      </c>
      <c r="AK88" s="131" t="str">
        <f t="shared" si="9"/>
        <v>Jan10920</v>
      </c>
      <c r="AL88" s="154">
        <f>IF(N88="","",IF(N88="SIM",VLOOKUP($I88&amp;$J88&amp;N$1,Pesos!$A:$I,7,FALSE),VLOOKUP($I88&amp;$J88&amp;N$1,Pesos!$A:$I,9,FALSE)))</f>
        <v>0.1</v>
      </c>
      <c r="AM88" s="154">
        <f>IF(O88="","",IF(O88="SIM",VLOOKUP($I88&amp;$J88&amp;O$1,Pesos!$A:$I,7,FALSE),VLOOKUP($I88&amp;$J88&amp;O$1,Pesos!$A:$I,9,FALSE)))</f>
        <v>0.1</v>
      </c>
      <c r="AN88" s="154">
        <f>IF(P88="","",IF(P88="SIM",VLOOKUP($I88&amp;$J88&amp;P$1,Pesos!$A:$I,7,FALSE),VLOOKUP($I88&amp;$J88&amp;P$1,Pesos!$A:$I,9,FALSE)))</f>
        <v>0.1</v>
      </c>
      <c r="AO88" s="154">
        <f>IF(Q88="","",IF(Q88="SIM",VLOOKUP($I88&amp;$J88&amp;Q$1,Pesos!$A:$I,7,FALSE),VLOOKUP($I88&amp;$J88&amp;Q$1,Pesos!$A:$I,9,FALSE)))</f>
        <v>2</v>
      </c>
      <c r="AP88" s="154">
        <f>IF(R88="","",IF(R88="SIM",VLOOKUP($I88&amp;$J88&amp;R$1,Pesos!$A:$I,7,FALSE),VLOOKUP($I88&amp;$J88&amp;R$1,Pesos!$A:$I,9,FALSE)))</f>
        <v>1.03</v>
      </c>
      <c r="AQ88" s="154">
        <f>IF(S88="","",IF(S88="SIM",VLOOKUP($I88&amp;$J88&amp;S$1,Pesos!$A:$I,7,FALSE),VLOOKUP($I88&amp;$J88&amp;S$1,Pesos!$A:$I,9,FALSE)))</f>
        <v>1.22</v>
      </c>
      <c r="AR88" s="156">
        <f>IF(T88="","",IF(T88="SIM",VLOOKUP($I88&amp;$J88&amp;T$1,Pesos!$A:$I,7,FALSE),VLOOKUP($I88&amp;$J88&amp;T$1,Pesos!$A:$I,9,FALSE)))</f>
        <v>2</v>
      </c>
      <c r="AS88" s="132">
        <f>IF(U88="","",IF(U88="SIM",VLOOKUP($I88&amp;$J88&amp;U$1,Pesos!$A:$I,7,FALSE),VLOOKUP($I88&amp;$J88&amp;U$1,Pesos!$A:$I,9,FALSE)))</f>
        <v>1.05</v>
      </c>
      <c r="AT88" s="132">
        <f>IF(V88="","",IF(V88="SIM",VLOOKUP($I88&amp;$J88&amp;V$1,Pesos!$A:$I,7,FALSE),VLOOKUP($I88&amp;$J88&amp;V$1,Pesos!$A:$I,9,FALSE)))</f>
        <v>-5.2500000000000005E-2</v>
      </c>
      <c r="AU88" s="132">
        <f>IF(W88="","",IF(W88="SIM",VLOOKUP($I88&amp;$J88&amp;W$1,Pesos!$A:$I,7,FALSE),VLOOKUP($I88&amp;$J88&amp;W$1,Pesos!$A:$I,9,FALSE)))</f>
        <v>0.3</v>
      </c>
      <c r="AV88" s="132">
        <f>IF(X88="","",IF(X88="SIM",VLOOKUP($I88&amp;$J88&amp;X$1,Pesos!$A:$I,7,FALSE),VLOOKUP($I88&amp;$J88&amp;X$1,Pesos!$A:$I,9,FALSE)))</f>
        <v>0.3</v>
      </c>
      <c r="AW88" s="132">
        <f>IF(Y88="","",IF(Y88="SIM",VLOOKUP($I88&amp;$J88&amp;Y$1,Pesos!$A:$I,7,FALSE),VLOOKUP($I88&amp;$J88&amp;Y$1,Pesos!$A:$I,9,FALSE)))</f>
        <v>0.15</v>
      </c>
      <c r="AX88" s="132">
        <f>IF(Z88="","",IF(Z88="SIM",VLOOKUP($I88&amp;$J88&amp;Z$1,Pesos!$A:$I,7,FALSE),VLOOKUP($I88&amp;$J88&amp;Z$1,Pesos!$A:$I,9,FALSE)))</f>
        <v>0.2</v>
      </c>
      <c r="AY88" s="132">
        <f>IF(AA88="","",IF(AA88="SIM",VLOOKUP($I88&amp;$J88&amp;AA$1,Pesos!$A:$I,7,FALSE),VLOOKUP($I88&amp;$J88&amp;AA$1,Pesos!$A:$I,9,FALSE)))</f>
        <v>0.3</v>
      </c>
      <c r="AZ88" s="132">
        <f>IF(AB88="","",IF(AB88="SIM",VLOOKUP($I88&amp;$J88&amp;AB$1,Pesos!$A:$I,7,FALSE),VLOOKUP($I88&amp;$J88&amp;AB$1,Pesos!$A:$I,9,FALSE)))</f>
        <v>0.1</v>
      </c>
      <c r="BA88" s="132" t="str">
        <f>IF(AC88="","",IF(AC88="SIM",VLOOKUP($I88&amp;$J88&amp;AC$1,Pesos!$A:$I,7,FALSE),VLOOKUP($I88&amp;$J88&amp;AC$1,Pesos!$A:$I,9,FALSE)))</f>
        <v/>
      </c>
      <c r="BB88" s="132" t="str">
        <f>IF(AD88="","",IF(AD88="SIM",VLOOKUP($I88&amp;$J88&amp;AD$1,Pesos!$A:$I,7,FALSE),VLOOKUP($I88&amp;$J88&amp;AD$1,Pesos!$A:$I,9,FALSE)))</f>
        <v/>
      </c>
      <c r="BC88" s="132" t="str">
        <f>IF(AE88="","",IF(AE88="SIM",VLOOKUP($I88&amp;$J88&amp;AE$1,Pesos!$A:$I,7,FALSE),VLOOKUP($I88&amp;$J88&amp;AE$1,Pesos!$A:$I,9,FALSE)))</f>
        <v/>
      </c>
      <c r="BD88" s="158">
        <f>IFERROR(AF88*VLOOKUP(J88,'BD Campos'!$X$1:$Y$14,2,FALSE),"0")</f>
        <v>8.8974999999999991</v>
      </c>
    </row>
    <row r="89" spans="1:56">
      <c r="A89" s="151" t="str">
        <f t="shared" si="7"/>
        <v>Jan10920Motorista 2UTI (RJ)</v>
      </c>
      <c r="B89" s="149" t="str">
        <f t="shared" si="8"/>
        <v>Jan109202UTI (RJ)PADRÃO</v>
      </c>
      <c r="C89" s="152">
        <v>1</v>
      </c>
      <c r="D89" s="153">
        <v>46049.724673611112</v>
      </c>
      <c r="E89" s="154" t="s">
        <v>12</v>
      </c>
      <c r="F89" s="155">
        <v>10920</v>
      </c>
      <c r="G89" s="149" t="s">
        <v>230</v>
      </c>
      <c r="H89" s="154">
        <v>2</v>
      </c>
      <c r="I89" s="149" t="s">
        <v>92</v>
      </c>
      <c r="J89" s="149" t="s">
        <v>97</v>
      </c>
      <c r="K89" s="149" t="s">
        <v>215</v>
      </c>
      <c r="L89" s="156">
        <v>34644764</v>
      </c>
      <c r="M89" s="157">
        <v>1.3310185185185185E-3</v>
      </c>
      <c r="N89" s="131" t="s">
        <v>17</v>
      </c>
      <c r="O89" s="131" t="s">
        <v>17</v>
      </c>
      <c r="P89" s="131" t="s">
        <v>17</v>
      </c>
      <c r="Q89" s="131" t="s">
        <v>17</v>
      </c>
      <c r="R89" s="131" t="s">
        <v>17</v>
      </c>
      <c r="S89" s="131" t="s">
        <v>17</v>
      </c>
      <c r="T89" s="131" t="s">
        <v>17</v>
      </c>
      <c r="U89" s="131" t="s">
        <v>17</v>
      </c>
      <c r="V89" s="131" t="s">
        <v>18</v>
      </c>
      <c r="W89" s="131" t="s">
        <v>17</v>
      </c>
      <c r="X89" s="131" t="s">
        <v>17</v>
      </c>
      <c r="Y89" s="131" t="s">
        <v>17</v>
      </c>
      <c r="Z89" s="131" t="s">
        <v>17</v>
      </c>
      <c r="AA89" s="131" t="s">
        <v>17</v>
      </c>
      <c r="AB89" s="131"/>
      <c r="AC89" s="131"/>
      <c r="AD89" s="131"/>
      <c r="AE89" s="131"/>
      <c r="AF89" s="158">
        <f t="shared" si="10"/>
        <v>9.6850000000000005</v>
      </c>
      <c r="AG89" s="159"/>
      <c r="AH89" s="155" t="s">
        <v>232</v>
      </c>
      <c r="AI89" s="155" t="s">
        <v>83</v>
      </c>
      <c r="AJ89" s="131" t="str">
        <f>IFERROR(VLOOKUP(E89&amp;F89,'Listagem dos op'!A:S,19,0),"")</f>
        <v/>
      </c>
      <c r="AK89" s="131" t="str">
        <f t="shared" si="9"/>
        <v>Jan10920</v>
      </c>
      <c r="AL89" s="154">
        <f>IF(N89="","",IF(N89="SIM",VLOOKUP($I89&amp;$J89&amp;N$1,Pesos!$A:$I,7,FALSE),VLOOKUP($I89&amp;$J89&amp;N$1,Pesos!$A:$I,9,FALSE)))</f>
        <v>0.1</v>
      </c>
      <c r="AM89" s="154">
        <f>IF(O89="","",IF(O89="SIM",VLOOKUP($I89&amp;$J89&amp;O$1,Pesos!$A:$I,7,FALSE),VLOOKUP($I89&amp;$J89&amp;O$1,Pesos!$A:$I,9,FALSE)))</f>
        <v>0.1</v>
      </c>
      <c r="AN89" s="154">
        <f>IF(P89="","",IF(P89="SIM",VLOOKUP($I89&amp;$J89&amp;P$1,Pesos!$A:$I,7,FALSE),VLOOKUP($I89&amp;$J89&amp;P$1,Pesos!$A:$I,9,FALSE)))</f>
        <v>0.1</v>
      </c>
      <c r="AO89" s="154">
        <f>IF(Q89="","",IF(Q89="SIM",VLOOKUP($I89&amp;$J89&amp;Q$1,Pesos!$A:$I,7,FALSE),VLOOKUP($I89&amp;$J89&amp;Q$1,Pesos!$A:$I,9,FALSE)))</f>
        <v>2</v>
      </c>
      <c r="AP89" s="154">
        <f>IF(R89="","",IF(R89="SIM",VLOOKUP($I89&amp;$J89&amp;R$1,Pesos!$A:$I,7,FALSE),VLOOKUP($I89&amp;$J89&amp;R$1,Pesos!$A:$I,9,FALSE)))</f>
        <v>1.03</v>
      </c>
      <c r="AQ89" s="154">
        <f>IF(S89="","",IF(S89="SIM",VLOOKUP($I89&amp;$J89&amp;S$1,Pesos!$A:$I,7,FALSE),VLOOKUP($I89&amp;$J89&amp;S$1,Pesos!$A:$I,9,FALSE)))</f>
        <v>1.7000000000000002</v>
      </c>
      <c r="AR89" s="156">
        <f>IF(T89="","",IF(T89="SIM",VLOOKUP($I89&amp;$J89&amp;T$1,Pesos!$A:$I,7,FALSE),VLOOKUP($I89&amp;$J89&amp;T$1,Pesos!$A:$I,9,FALSE)))</f>
        <v>1.92</v>
      </c>
      <c r="AS89" s="132">
        <f>IF(U89="","",IF(U89="SIM",VLOOKUP($I89&amp;$J89&amp;U$1,Pesos!$A:$I,7,FALSE),VLOOKUP($I89&amp;$J89&amp;U$1,Pesos!$A:$I,9,FALSE)))</f>
        <v>1.7000000000000002</v>
      </c>
      <c r="AT89" s="132">
        <f>IF(V89="","",IF(V89="SIM",VLOOKUP($I89&amp;$J89&amp;V$1,Pesos!$A:$I,7,FALSE),VLOOKUP($I89&amp;$J89&amp;V$1,Pesos!$A:$I,9,FALSE)))</f>
        <v>-1.4999999999999999E-2</v>
      </c>
      <c r="AU89" s="132">
        <f>IF(W89="","",IF(W89="SIM",VLOOKUP($I89&amp;$J89&amp;W$1,Pesos!$A:$I,7,FALSE),VLOOKUP($I89&amp;$J89&amp;W$1,Pesos!$A:$I,9,FALSE)))</f>
        <v>0.3</v>
      </c>
      <c r="AV89" s="132">
        <f>IF(X89="","",IF(X89="SIM",VLOOKUP($I89&amp;$J89&amp;X$1,Pesos!$A:$I,7,FALSE),VLOOKUP($I89&amp;$J89&amp;X$1,Pesos!$A:$I,9,FALSE)))</f>
        <v>0.15</v>
      </c>
      <c r="AW89" s="132">
        <f>IF(Y89="","",IF(Y89="SIM",VLOOKUP($I89&amp;$J89&amp;Y$1,Pesos!$A:$I,7,FALSE),VLOOKUP($I89&amp;$J89&amp;Y$1,Pesos!$A:$I,9,FALSE)))</f>
        <v>0.2</v>
      </c>
      <c r="AX89" s="132">
        <f>IF(Z89="","",IF(Z89="SIM",VLOOKUP($I89&amp;$J89&amp;Z$1,Pesos!$A:$I,7,FALSE),VLOOKUP($I89&amp;$J89&amp;Z$1,Pesos!$A:$I,9,FALSE)))</f>
        <v>0.3</v>
      </c>
      <c r="AY89" s="132">
        <f>IF(AA89="","",IF(AA89="SIM",VLOOKUP($I89&amp;$J89&amp;AA$1,Pesos!$A:$I,7,FALSE),VLOOKUP($I89&amp;$J89&amp;AA$1,Pesos!$A:$I,9,FALSE)))</f>
        <v>0.1</v>
      </c>
      <c r="AZ89" s="132" t="str">
        <f>IF(AB89="","",IF(AB89="SIM",VLOOKUP($I89&amp;$J89&amp;AB$1,Pesos!$A:$I,7,FALSE),VLOOKUP($I89&amp;$J89&amp;AB$1,Pesos!$A:$I,9,FALSE)))</f>
        <v/>
      </c>
      <c r="BA89" s="132" t="str">
        <f>IF(AC89="","",IF(AC89="SIM",VLOOKUP($I89&amp;$J89&amp;AC$1,Pesos!$A:$I,7,FALSE),VLOOKUP($I89&amp;$J89&amp;AC$1,Pesos!$A:$I,9,FALSE)))</f>
        <v/>
      </c>
      <c r="BB89" s="132" t="str">
        <f>IF(AD89="","",IF(AD89="SIM",VLOOKUP($I89&amp;$J89&amp;AD$1,Pesos!$A:$I,7,FALSE),VLOOKUP($I89&amp;$J89&amp;AD$1,Pesos!$A:$I,9,FALSE)))</f>
        <v/>
      </c>
      <c r="BC89" s="132" t="str">
        <f>IF(AE89="","",IF(AE89="SIM",VLOOKUP($I89&amp;$J89&amp;AE$1,Pesos!$A:$I,7,FALSE),VLOOKUP($I89&amp;$J89&amp;AE$1,Pesos!$A:$I,9,FALSE)))</f>
        <v/>
      </c>
      <c r="BD89" s="158">
        <f>IFERROR(AF89*VLOOKUP(J89,'BD Campos'!$X$1:$Y$14,2,FALSE),"0")</f>
        <v>9.6850000000000005</v>
      </c>
    </row>
    <row r="90" spans="1:56">
      <c r="A90" s="151" t="str">
        <f t="shared" si="7"/>
        <v>Jan10919MotoristaUTI</v>
      </c>
      <c r="B90" s="149" t="str">
        <f t="shared" si="8"/>
        <v>Jan109191UTIPADRÃO</v>
      </c>
      <c r="C90" s="152">
        <v>1</v>
      </c>
      <c r="D90" s="153">
        <v>46049.726635185187</v>
      </c>
      <c r="E90" s="154" t="s">
        <v>12</v>
      </c>
      <c r="F90" s="155">
        <v>10919</v>
      </c>
      <c r="G90" s="149" t="s">
        <v>233</v>
      </c>
      <c r="H90" s="154">
        <v>1</v>
      </c>
      <c r="I90" s="149" t="s">
        <v>96</v>
      </c>
      <c r="J90" s="149" t="s">
        <v>93</v>
      </c>
      <c r="K90" s="149" t="s">
        <v>128</v>
      </c>
      <c r="L90" s="156">
        <v>34520727</v>
      </c>
      <c r="M90" s="157">
        <v>1.4699074074074074E-3</v>
      </c>
      <c r="N90" s="131" t="s">
        <v>17</v>
      </c>
      <c r="O90" s="131" t="s">
        <v>17</v>
      </c>
      <c r="P90" s="131" t="s">
        <v>17</v>
      </c>
      <c r="Q90" s="131" t="s">
        <v>17</v>
      </c>
      <c r="R90" s="131" t="s">
        <v>17</v>
      </c>
      <c r="S90" s="131" t="s">
        <v>17</v>
      </c>
      <c r="T90" s="131" t="s">
        <v>17</v>
      </c>
      <c r="U90" s="131" t="s">
        <v>17</v>
      </c>
      <c r="V90" s="131" t="s">
        <v>17</v>
      </c>
      <c r="W90" s="131" t="s">
        <v>17</v>
      </c>
      <c r="X90" s="131" t="s">
        <v>17</v>
      </c>
      <c r="Y90" s="131" t="s">
        <v>17</v>
      </c>
      <c r="Z90" s="131" t="s">
        <v>17</v>
      </c>
      <c r="AA90" s="131" t="s">
        <v>17</v>
      </c>
      <c r="AB90" s="131" t="s">
        <v>17</v>
      </c>
      <c r="AC90" s="131"/>
      <c r="AD90" s="131"/>
      <c r="AE90" s="131"/>
      <c r="AF90" s="158">
        <f t="shared" si="10"/>
        <v>10.000000000000002</v>
      </c>
      <c r="AG90" s="159"/>
      <c r="AH90" s="155" t="s">
        <v>234</v>
      </c>
      <c r="AI90" s="155" t="s">
        <v>83</v>
      </c>
      <c r="AJ90" s="131" t="str">
        <f>IFERROR(VLOOKUP(E90&amp;F90,'Listagem dos op'!A:S,19,0),"")</f>
        <v/>
      </c>
      <c r="AK90" s="131" t="str">
        <f t="shared" si="9"/>
        <v>Jan10919</v>
      </c>
      <c r="AL90" s="154">
        <f>IF(N90="","",IF(N90="SIM",VLOOKUP($I90&amp;$J90&amp;N$1,Pesos!$A:$I,7,FALSE),VLOOKUP($I90&amp;$J90&amp;N$1,Pesos!$A:$I,9,FALSE)))</f>
        <v>0.1</v>
      </c>
      <c r="AM90" s="154">
        <f>IF(O90="","",IF(O90="SIM",VLOOKUP($I90&amp;$J90&amp;O$1,Pesos!$A:$I,7,FALSE),VLOOKUP($I90&amp;$J90&amp;O$1,Pesos!$A:$I,9,FALSE)))</f>
        <v>0.1</v>
      </c>
      <c r="AN90" s="154">
        <f>IF(P90="","",IF(P90="SIM",VLOOKUP($I90&amp;$J90&amp;P$1,Pesos!$A:$I,7,FALSE),VLOOKUP($I90&amp;$J90&amp;P$1,Pesos!$A:$I,9,FALSE)))</f>
        <v>0.1</v>
      </c>
      <c r="AO90" s="154">
        <f>IF(Q90="","",IF(Q90="SIM",VLOOKUP($I90&amp;$J90&amp;Q$1,Pesos!$A:$I,7,FALSE),VLOOKUP($I90&amp;$J90&amp;Q$1,Pesos!$A:$I,9,FALSE)))</f>
        <v>2</v>
      </c>
      <c r="AP90" s="154">
        <f>IF(R90="","",IF(R90="SIM",VLOOKUP($I90&amp;$J90&amp;R$1,Pesos!$A:$I,7,FALSE),VLOOKUP($I90&amp;$J90&amp;R$1,Pesos!$A:$I,9,FALSE)))</f>
        <v>1.03</v>
      </c>
      <c r="AQ90" s="154">
        <f>IF(S90="","",IF(S90="SIM",VLOOKUP($I90&amp;$J90&amp;S$1,Pesos!$A:$I,7,FALSE),VLOOKUP($I90&amp;$J90&amp;S$1,Pesos!$A:$I,9,FALSE)))</f>
        <v>1.22</v>
      </c>
      <c r="AR90" s="156">
        <f>IF(T90="","",IF(T90="SIM",VLOOKUP($I90&amp;$J90&amp;T$1,Pesos!$A:$I,7,FALSE),VLOOKUP($I90&amp;$J90&amp;T$1,Pesos!$A:$I,9,FALSE)))</f>
        <v>2</v>
      </c>
      <c r="AS90" s="132">
        <f>IF(U90="","",IF(U90="SIM",VLOOKUP($I90&amp;$J90&amp;U$1,Pesos!$A:$I,7,FALSE),VLOOKUP($I90&amp;$J90&amp;U$1,Pesos!$A:$I,9,FALSE)))</f>
        <v>1.05</v>
      </c>
      <c r="AT90" s="132">
        <f>IF(V90="","",IF(V90="SIM",VLOOKUP($I90&amp;$J90&amp;V$1,Pesos!$A:$I,7,FALSE),VLOOKUP($I90&amp;$J90&amp;V$1,Pesos!$A:$I,9,FALSE)))</f>
        <v>1.05</v>
      </c>
      <c r="AU90" s="132">
        <f>IF(W90="","",IF(W90="SIM",VLOOKUP($I90&amp;$J90&amp;W$1,Pesos!$A:$I,7,FALSE),VLOOKUP($I90&amp;$J90&amp;W$1,Pesos!$A:$I,9,FALSE)))</f>
        <v>0.3</v>
      </c>
      <c r="AV90" s="132">
        <f>IF(X90="","",IF(X90="SIM",VLOOKUP($I90&amp;$J90&amp;X$1,Pesos!$A:$I,7,FALSE),VLOOKUP($I90&amp;$J90&amp;X$1,Pesos!$A:$I,9,FALSE)))</f>
        <v>0.3</v>
      </c>
      <c r="AW90" s="132">
        <f>IF(Y90="","",IF(Y90="SIM",VLOOKUP($I90&amp;$J90&amp;Y$1,Pesos!$A:$I,7,FALSE),VLOOKUP($I90&amp;$J90&amp;Y$1,Pesos!$A:$I,9,FALSE)))</f>
        <v>0.15</v>
      </c>
      <c r="AX90" s="132">
        <f>IF(Z90="","",IF(Z90="SIM",VLOOKUP($I90&amp;$J90&amp;Z$1,Pesos!$A:$I,7,FALSE),VLOOKUP($I90&amp;$J90&amp;Z$1,Pesos!$A:$I,9,FALSE)))</f>
        <v>0.2</v>
      </c>
      <c r="AY90" s="132">
        <f>IF(AA90="","",IF(AA90="SIM",VLOOKUP($I90&amp;$J90&amp;AA$1,Pesos!$A:$I,7,FALSE),VLOOKUP($I90&amp;$J90&amp;AA$1,Pesos!$A:$I,9,FALSE)))</f>
        <v>0.3</v>
      </c>
      <c r="AZ90" s="132">
        <f>IF(AB90="","",IF(AB90="SIM",VLOOKUP($I90&amp;$J90&amp;AB$1,Pesos!$A:$I,7,FALSE),VLOOKUP($I90&amp;$J90&amp;AB$1,Pesos!$A:$I,9,FALSE)))</f>
        <v>0.1</v>
      </c>
      <c r="BA90" s="132" t="str">
        <f>IF(AC90="","",IF(AC90="SIM",VLOOKUP($I90&amp;$J90&amp;AC$1,Pesos!$A:$I,7,FALSE),VLOOKUP($I90&amp;$J90&amp;AC$1,Pesos!$A:$I,9,FALSE)))</f>
        <v/>
      </c>
      <c r="BB90" s="132" t="str">
        <f>IF(AD90="","",IF(AD90="SIM",VLOOKUP($I90&amp;$J90&amp;AD$1,Pesos!$A:$I,7,FALSE),VLOOKUP($I90&amp;$J90&amp;AD$1,Pesos!$A:$I,9,FALSE)))</f>
        <v/>
      </c>
      <c r="BC90" s="132" t="str">
        <f>IF(AE90="","",IF(AE90="SIM",VLOOKUP($I90&amp;$J90&amp;AE$1,Pesos!$A:$I,7,FALSE),VLOOKUP($I90&amp;$J90&amp;AE$1,Pesos!$A:$I,9,FALSE)))</f>
        <v/>
      </c>
      <c r="BD90" s="158">
        <f>IFERROR(AF90*VLOOKUP(J90,'BD Campos'!$X$1:$Y$14,2,FALSE),"0")</f>
        <v>10.000000000000002</v>
      </c>
    </row>
    <row r="91" spans="1:56">
      <c r="A91" s="151" t="str">
        <f t="shared" si="7"/>
        <v>Jan10919Motorista 2UTI</v>
      </c>
      <c r="B91" s="149" t="str">
        <f t="shared" si="8"/>
        <v>Jan109192UTIPADRÃO</v>
      </c>
      <c r="C91" s="152">
        <v>1</v>
      </c>
      <c r="D91" s="153">
        <v>46049.729419675925</v>
      </c>
      <c r="E91" s="154" t="s">
        <v>12</v>
      </c>
      <c r="F91" s="155">
        <v>10919</v>
      </c>
      <c r="G91" s="149" t="s">
        <v>233</v>
      </c>
      <c r="H91" s="154">
        <v>2</v>
      </c>
      <c r="I91" s="149" t="s">
        <v>92</v>
      </c>
      <c r="J91" s="149" t="s">
        <v>97</v>
      </c>
      <c r="K91" s="149" t="s">
        <v>128</v>
      </c>
      <c r="L91" s="156">
        <v>34750515</v>
      </c>
      <c r="M91" s="157">
        <v>1.5624999999999999E-3</v>
      </c>
      <c r="N91" s="131" t="s">
        <v>17</v>
      </c>
      <c r="O91" s="131" t="s">
        <v>17</v>
      </c>
      <c r="P91" s="131" t="s">
        <v>17</v>
      </c>
      <c r="Q91" s="131" t="s">
        <v>17</v>
      </c>
      <c r="R91" s="131" t="s">
        <v>17</v>
      </c>
      <c r="S91" s="131" t="s">
        <v>17</v>
      </c>
      <c r="T91" s="131" t="s">
        <v>17</v>
      </c>
      <c r="U91" s="131" t="s">
        <v>17</v>
      </c>
      <c r="V91" s="131" t="s">
        <v>17</v>
      </c>
      <c r="W91" s="131" t="s">
        <v>17</v>
      </c>
      <c r="X91" s="131" t="s">
        <v>17</v>
      </c>
      <c r="Y91" s="131" t="s">
        <v>17</v>
      </c>
      <c r="Z91" s="131" t="s">
        <v>17</v>
      </c>
      <c r="AA91" s="131" t="s">
        <v>17</v>
      </c>
      <c r="AB91" s="131"/>
      <c r="AC91" s="131"/>
      <c r="AD91" s="131"/>
      <c r="AE91" s="131"/>
      <c r="AF91" s="158">
        <f t="shared" si="10"/>
        <v>10.000000000000002</v>
      </c>
      <c r="AG91" s="159"/>
      <c r="AH91" s="155" t="s">
        <v>235</v>
      </c>
      <c r="AI91" s="155" t="s">
        <v>83</v>
      </c>
      <c r="AJ91" s="131" t="str">
        <f>IFERROR(VLOOKUP(E91&amp;F91,'Listagem dos op'!A:S,19,0),"")</f>
        <v/>
      </c>
      <c r="AK91" s="131" t="str">
        <f t="shared" si="9"/>
        <v>Jan10919</v>
      </c>
      <c r="AL91" s="154">
        <f>IF(N91="","",IF(N91="SIM",VLOOKUP($I91&amp;$J91&amp;N$1,Pesos!$A:$I,7,FALSE),VLOOKUP($I91&amp;$J91&amp;N$1,Pesos!$A:$I,9,FALSE)))</f>
        <v>0.1</v>
      </c>
      <c r="AM91" s="154">
        <f>IF(O91="","",IF(O91="SIM",VLOOKUP($I91&amp;$J91&amp;O$1,Pesos!$A:$I,7,FALSE),VLOOKUP($I91&amp;$J91&amp;O$1,Pesos!$A:$I,9,FALSE)))</f>
        <v>0.1</v>
      </c>
      <c r="AN91" s="154">
        <f>IF(P91="","",IF(P91="SIM",VLOOKUP($I91&amp;$J91&amp;P$1,Pesos!$A:$I,7,FALSE),VLOOKUP($I91&amp;$J91&amp;P$1,Pesos!$A:$I,9,FALSE)))</f>
        <v>0.1</v>
      </c>
      <c r="AO91" s="154">
        <f>IF(Q91="","",IF(Q91="SIM",VLOOKUP($I91&amp;$J91&amp;Q$1,Pesos!$A:$I,7,FALSE),VLOOKUP($I91&amp;$J91&amp;Q$1,Pesos!$A:$I,9,FALSE)))</f>
        <v>2</v>
      </c>
      <c r="AP91" s="154">
        <f>IF(R91="","",IF(R91="SIM",VLOOKUP($I91&amp;$J91&amp;R$1,Pesos!$A:$I,7,FALSE),VLOOKUP($I91&amp;$J91&amp;R$1,Pesos!$A:$I,9,FALSE)))</f>
        <v>1.03</v>
      </c>
      <c r="AQ91" s="154">
        <f>IF(S91="","",IF(S91="SIM",VLOOKUP($I91&amp;$J91&amp;S$1,Pesos!$A:$I,7,FALSE),VLOOKUP($I91&amp;$J91&amp;S$1,Pesos!$A:$I,9,FALSE)))</f>
        <v>1.7000000000000002</v>
      </c>
      <c r="AR91" s="156">
        <f>IF(T91="","",IF(T91="SIM",VLOOKUP($I91&amp;$J91&amp;T$1,Pesos!$A:$I,7,FALSE),VLOOKUP($I91&amp;$J91&amp;T$1,Pesos!$A:$I,9,FALSE)))</f>
        <v>1.92</v>
      </c>
      <c r="AS91" s="132">
        <f>IF(U91="","",IF(U91="SIM",VLOOKUP($I91&amp;$J91&amp;U$1,Pesos!$A:$I,7,FALSE),VLOOKUP($I91&amp;$J91&amp;U$1,Pesos!$A:$I,9,FALSE)))</f>
        <v>1.7000000000000002</v>
      </c>
      <c r="AT91" s="132">
        <f>IF(V91="","",IF(V91="SIM",VLOOKUP($I91&amp;$J91&amp;V$1,Pesos!$A:$I,7,FALSE),VLOOKUP($I91&amp;$J91&amp;V$1,Pesos!$A:$I,9,FALSE)))</f>
        <v>0.3</v>
      </c>
      <c r="AU91" s="132">
        <f>IF(W91="","",IF(W91="SIM",VLOOKUP($I91&amp;$J91&amp;W$1,Pesos!$A:$I,7,FALSE),VLOOKUP($I91&amp;$J91&amp;W$1,Pesos!$A:$I,9,FALSE)))</f>
        <v>0.3</v>
      </c>
      <c r="AV91" s="132">
        <f>IF(X91="","",IF(X91="SIM",VLOOKUP($I91&amp;$J91&amp;X$1,Pesos!$A:$I,7,FALSE),VLOOKUP($I91&amp;$J91&amp;X$1,Pesos!$A:$I,9,FALSE)))</f>
        <v>0.15</v>
      </c>
      <c r="AW91" s="132">
        <f>IF(Y91="","",IF(Y91="SIM",VLOOKUP($I91&amp;$J91&amp;Y$1,Pesos!$A:$I,7,FALSE),VLOOKUP($I91&amp;$J91&amp;Y$1,Pesos!$A:$I,9,FALSE)))</f>
        <v>0.2</v>
      </c>
      <c r="AX91" s="132">
        <f>IF(Z91="","",IF(Z91="SIM",VLOOKUP($I91&amp;$J91&amp;Z$1,Pesos!$A:$I,7,FALSE),VLOOKUP($I91&amp;$J91&amp;Z$1,Pesos!$A:$I,9,FALSE)))</f>
        <v>0.3</v>
      </c>
      <c r="AY91" s="132">
        <f>IF(AA91="","",IF(AA91="SIM",VLOOKUP($I91&amp;$J91&amp;AA$1,Pesos!$A:$I,7,FALSE),VLOOKUP($I91&amp;$J91&amp;AA$1,Pesos!$A:$I,9,FALSE)))</f>
        <v>0.1</v>
      </c>
      <c r="AZ91" s="132" t="str">
        <f>IF(AB91="","",IF(AB91="SIM",VLOOKUP($I91&amp;$J91&amp;AB$1,Pesos!$A:$I,7,FALSE),VLOOKUP($I91&amp;$J91&amp;AB$1,Pesos!$A:$I,9,FALSE)))</f>
        <v/>
      </c>
      <c r="BA91" s="132" t="str">
        <f>IF(AC91="","",IF(AC91="SIM",VLOOKUP($I91&amp;$J91&amp;AC$1,Pesos!$A:$I,7,FALSE),VLOOKUP($I91&amp;$J91&amp;AC$1,Pesos!$A:$I,9,FALSE)))</f>
        <v/>
      </c>
      <c r="BB91" s="132" t="str">
        <f>IF(AD91="","",IF(AD91="SIM",VLOOKUP($I91&amp;$J91&amp;AD$1,Pesos!$A:$I,7,FALSE),VLOOKUP($I91&amp;$J91&amp;AD$1,Pesos!$A:$I,9,FALSE)))</f>
        <v/>
      </c>
      <c r="BC91" s="132" t="str">
        <f>IF(AE91="","",IF(AE91="SIM",VLOOKUP($I91&amp;$J91&amp;AE$1,Pesos!$A:$I,7,FALSE),VLOOKUP($I91&amp;$J91&amp;AE$1,Pesos!$A:$I,9,FALSE)))</f>
        <v/>
      </c>
      <c r="BD91" s="158">
        <f>IFERROR(AF91*VLOOKUP(J91,'BD Campos'!$X$1:$Y$14,2,FALSE),"0")</f>
        <v>10.000000000000002</v>
      </c>
    </row>
    <row r="92" spans="1:56">
      <c r="A92" s="151" t="str">
        <f t="shared" si="7"/>
        <v>Jan11171MotoristaUTI</v>
      </c>
      <c r="B92" s="149" t="str">
        <f t="shared" si="8"/>
        <v>Jan111711UTIPADRÃO</v>
      </c>
      <c r="C92" s="152">
        <v>1</v>
      </c>
      <c r="D92" s="153">
        <v>46050.453085648151</v>
      </c>
      <c r="E92" s="154" t="s">
        <v>12</v>
      </c>
      <c r="F92" s="155">
        <v>11171</v>
      </c>
      <c r="G92" s="149" t="s">
        <v>236</v>
      </c>
      <c r="H92" s="154">
        <v>1</v>
      </c>
      <c r="I92" s="149" t="s">
        <v>96</v>
      </c>
      <c r="J92" s="149" t="s">
        <v>93</v>
      </c>
      <c r="K92" s="149" t="s">
        <v>128</v>
      </c>
      <c r="L92" s="156">
        <v>34569402</v>
      </c>
      <c r="M92" s="157">
        <v>1.0069444444444444E-3</v>
      </c>
      <c r="N92" s="131" t="s">
        <v>17</v>
      </c>
      <c r="O92" s="131" t="s">
        <v>17</v>
      </c>
      <c r="P92" s="131" t="s">
        <v>17</v>
      </c>
      <c r="Q92" s="131" t="s">
        <v>17</v>
      </c>
      <c r="R92" s="131" t="s">
        <v>17</v>
      </c>
      <c r="S92" s="131" t="s">
        <v>17</v>
      </c>
      <c r="T92" s="131" t="s">
        <v>17</v>
      </c>
      <c r="U92" s="131" t="s">
        <v>18</v>
      </c>
      <c r="V92" s="131" t="s">
        <v>18</v>
      </c>
      <c r="W92" s="131" t="s">
        <v>17</v>
      </c>
      <c r="X92" s="131" t="s">
        <v>17</v>
      </c>
      <c r="Y92" s="131" t="s">
        <v>17</v>
      </c>
      <c r="Z92" s="131" t="s">
        <v>17</v>
      </c>
      <c r="AA92" s="131" t="s">
        <v>17</v>
      </c>
      <c r="AB92" s="131" t="s">
        <v>17</v>
      </c>
      <c r="AC92" s="131"/>
      <c r="AD92" s="131"/>
      <c r="AE92" s="131"/>
      <c r="AF92" s="158">
        <f t="shared" si="10"/>
        <v>7.794999999999999</v>
      </c>
      <c r="AG92" s="159"/>
      <c r="AH92" s="155" t="s">
        <v>237</v>
      </c>
      <c r="AI92" s="155" t="s">
        <v>83</v>
      </c>
      <c r="AJ92" s="131" t="str">
        <f>IFERROR(VLOOKUP(E92&amp;F92,'Listagem dos op'!A:S,19,0),"")</f>
        <v/>
      </c>
      <c r="AK92" s="131" t="str">
        <f t="shared" si="9"/>
        <v>Jan11171</v>
      </c>
      <c r="AL92" s="154">
        <f>IF(N92="","",IF(N92="SIM",VLOOKUP($I92&amp;$J92&amp;N$1,Pesos!$A:$I,7,FALSE),VLOOKUP($I92&amp;$J92&amp;N$1,Pesos!$A:$I,9,FALSE)))</f>
        <v>0.1</v>
      </c>
      <c r="AM92" s="154">
        <f>IF(O92="","",IF(O92="SIM",VLOOKUP($I92&amp;$J92&amp;O$1,Pesos!$A:$I,7,FALSE),VLOOKUP($I92&amp;$J92&amp;O$1,Pesos!$A:$I,9,FALSE)))</f>
        <v>0.1</v>
      </c>
      <c r="AN92" s="154">
        <f>IF(P92="","",IF(P92="SIM",VLOOKUP($I92&amp;$J92&amp;P$1,Pesos!$A:$I,7,FALSE),VLOOKUP($I92&amp;$J92&amp;P$1,Pesos!$A:$I,9,FALSE)))</f>
        <v>0.1</v>
      </c>
      <c r="AO92" s="154">
        <f>IF(Q92="","",IF(Q92="SIM",VLOOKUP($I92&amp;$J92&amp;Q$1,Pesos!$A:$I,7,FALSE),VLOOKUP($I92&amp;$J92&amp;Q$1,Pesos!$A:$I,9,FALSE)))</f>
        <v>2</v>
      </c>
      <c r="AP92" s="154">
        <f>IF(R92="","",IF(R92="SIM",VLOOKUP($I92&amp;$J92&amp;R$1,Pesos!$A:$I,7,FALSE),VLOOKUP($I92&amp;$J92&amp;R$1,Pesos!$A:$I,9,FALSE)))</f>
        <v>1.03</v>
      </c>
      <c r="AQ92" s="154">
        <f>IF(S92="","",IF(S92="SIM",VLOOKUP($I92&amp;$J92&amp;S$1,Pesos!$A:$I,7,FALSE),VLOOKUP($I92&amp;$J92&amp;S$1,Pesos!$A:$I,9,FALSE)))</f>
        <v>1.22</v>
      </c>
      <c r="AR92" s="156">
        <f>IF(T92="","",IF(T92="SIM",VLOOKUP($I92&amp;$J92&amp;T$1,Pesos!$A:$I,7,FALSE),VLOOKUP($I92&amp;$J92&amp;T$1,Pesos!$A:$I,9,FALSE)))</f>
        <v>2</v>
      </c>
      <c r="AS92" s="132">
        <f>IF(U92="","",IF(U92="SIM",VLOOKUP($I92&amp;$J92&amp;U$1,Pesos!$A:$I,7,FALSE),VLOOKUP($I92&amp;$J92&amp;U$1,Pesos!$A:$I,9,FALSE)))</f>
        <v>-5.2500000000000005E-2</v>
      </c>
      <c r="AT92" s="132">
        <f>IF(V92="","",IF(V92="SIM",VLOOKUP($I92&amp;$J92&amp;V$1,Pesos!$A:$I,7,FALSE),VLOOKUP($I92&amp;$J92&amp;V$1,Pesos!$A:$I,9,FALSE)))</f>
        <v>-5.2500000000000005E-2</v>
      </c>
      <c r="AU92" s="132">
        <f>IF(W92="","",IF(W92="SIM",VLOOKUP($I92&amp;$J92&amp;W$1,Pesos!$A:$I,7,FALSE),VLOOKUP($I92&amp;$J92&amp;W$1,Pesos!$A:$I,9,FALSE)))</f>
        <v>0.3</v>
      </c>
      <c r="AV92" s="132">
        <f>IF(X92="","",IF(X92="SIM",VLOOKUP($I92&amp;$J92&amp;X$1,Pesos!$A:$I,7,FALSE),VLOOKUP($I92&amp;$J92&amp;X$1,Pesos!$A:$I,9,FALSE)))</f>
        <v>0.3</v>
      </c>
      <c r="AW92" s="132">
        <f>IF(Y92="","",IF(Y92="SIM",VLOOKUP($I92&amp;$J92&amp;Y$1,Pesos!$A:$I,7,FALSE),VLOOKUP($I92&amp;$J92&amp;Y$1,Pesos!$A:$I,9,FALSE)))</f>
        <v>0.15</v>
      </c>
      <c r="AX92" s="132">
        <f>IF(Z92="","",IF(Z92="SIM",VLOOKUP($I92&amp;$J92&amp;Z$1,Pesos!$A:$I,7,FALSE),VLOOKUP($I92&amp;$J92&amp;Z$1,Pesos!$A:$I,9,FALSE)))</f>
        <v>0.2</v>
      </c>
      <c r="AY92" s="132">
        <f>IF(AA92="","",IF(AA92="SIM",VLOOKUP($I92&amp;$J92&amp;AA$1,Pesos!$A:$I,7,FALSE),VLOOKUP($I92&amp;$J92&amp;AA$1,Pesos!$A:$I,9,FALSE)))</f>
        <v>0.3</v>
      </c>
      <c r="AZ92" s="132">
        <f>IF(AB92="","",IF(AB92="SIM",VLOOKUP($I92&amp;$J92&amp;AB$1,Pesos!$A:$I,7,FALSE),VLOOKUP($I92&amp;$J92&amp;AB$1,Pesos!$A:$I,9,FALSE)))</f>
        <v>0.1</v>
      </c>
      <c r="BA92" s="132" t="str">
        <f>IF(AC92="","",IF(AC92="SIM",VLOOKUP($I92&amp;$J92&amp;AC$1,Pesos!$A:$I,7,FALSE),VLOOKUP($I92&amp;$J92&amp;AC$1,Pesos!$A:$I,9,FALSE)))</f>
        <v/>
      </c>
      <c r="BB92" s="132" t="str">
        <f>IF(AD92="","",IF(AD92="SIM",VLOOKUP($I92&amp;$J92&amp;AD$1,Pesos!$A:$I,7,FALSE),VLOOKUP($I92&amp;$J92&amp;AD$1,Pesos!$A:$I,9,FALSE)))</f>
        <v/>
      </c>
      <c r="BC92" s="132" t="str">
        <f>IF(AE92="","",IF(AE92="SIM",VLOOKUP($I92&amp;$J92&amp;AE$1,Pesos!$A:$I,7,FALSE),VLOOKUP($I92&amp;$J92&amp;AE$1,Pesos!$A:$I,9,FALSE)))</f>
        <v/>
      </c>
      <c r="BD92" s="158">
        <f>IFERROR(AF92*VLOOKUP(J92,'BD Campos'!$X$1:$Y$14,2,FALSE),"0")</f>
        <v>7.794999999999999</v>
      </c>
    </row>
    <row r="93" spans="1:56">
      <c r="A93" s="151" t="str">
        <f t="shared" si="7"/>
        <v>Jan11171Motorista 2UTI</v>
      </c>
      <c r="B93" s="149" t="str">
        <f t="shared" si="8"/>
        <v>Jan111712UTIPADRÃO</v>
      </c>
      <c r="C93" s="152">
        <v>1</v>
      </c>
      <c r="D93" s="153">
        <v>46050.580999305559</v>
      </c>
      <c r="E93" s="154" t="s">
        <v>12</v>
      </c>
      <c r="F93" s="155">
        <v>11171</v>
      </c>
      <c r="G93" s="149" t="s">
        <v>236</v>
      </c>
      <c r="H93" s="154">
        <v>2</v>
      </c>
      <c r="I93" s="149" t="s">
        <v>96</v>
      </c>
      <c r="J93" s="149" t="s">
        <v>97</v>
      </c>
      <c r="K93" s="149" t="s">
        <v>128</v>
      </c>
      <c r="L93" s="156">
        <v>34685601</v>
      </c>
      <c r="M93" s="157">
        <v>1.2037037037037038E-3</v>
      </c>
      <c r="N93" s="131" t="s">
        <v>17</v>
      </c>
      <c r="O93" s="131" t="s">
        <v>17</v>
      </c>
      <c r="P93" s="131" t="s">
        <v>17</v>
      </c>
      <c r="Q93" s="131" t="s">
        <v>17</v>
      </c>
      <c r="R93" s="131" t="s">
        <v>17</v>
      </c>
      <c r="S93" s="131" t="s">
        <v>17</v>
      </c>
      <c r="T93" s="131" t="s">
        <v>17</v>
      </c>
      <c r="U93" s="131" t="s">
        <v>18</v>
      </c>
      <c r="V93" s="131" t="s">
        <v>18</v>
      </c>
      <c r="W93" s="131" t="s">
        <v>18</v>
      </c>
      <c r="X93" s="131" t="s">
        <v>17</v>
      </c>
      <c r="Y93" s="131" t="s">
        <v>17</v>
      </c>
      <c r="Z93" s="131" t="s">
        <v>17</v>
      </c>
      <c r="AA93" s="131" t="s">
        <v>17</v>
      </c>
      <c r="AB93" s="131" t="s">
        <v>17</v>
      </c>
      <c r="AC93" s="131"/>
      <c r="AD93" s="131"/>
      <c r="AE93" s="131"/>
      <c r="AF93" s="158">
        <f t="shared" si="10"/>
        <v>7.4799999999999995</v>
      </c>
      <c r="AG93" s="159"/>
      <c r="AH93" s="155" t="s">
        <v>238</v>
      </c>
      <c r="AI93" s="155" t="s">
        <v>83</v>
      </c>
      <c r="AJ93" s="131" t="str">
        <f>IFERROR(VLOOKUP(E93&amp;F93,'Listagem dos op'!A:S,19,0),"")</f>
        <v/>
      </c>
      <c r="AK93" s="131" t="str">
        <f t="shared" si="9"/>
        <v>Jan11171</v>
      </c>
      <c r="AL93" s="154">
        <f>IF(N93="","",IF(N93="SIM",VLOOKUP($I93&amp;$J93&amp;N$1,Pesos!$A:$I,7,FALSE),VLOOKUP($I93&amp;$J93&amp;N$1,Pesos!$A:$I,9,FALSE)))</f>
        <v>0.1</v>
      </c>
      <c r="AM93" s="154">
        <f>IF(O93="","",IF(O93="SIM",VLOOKUP($I93&amp;$J93&amp;O$1,Pesos!$A:$I,7,FALSE),VLOOKUP($I93&amp;$J93&amp;O$1,Pesos!$A:$I,9,FALSE)))</f>
        <v>0.1</v>
      </c>
      <c r="AN93" s="154">
        <f>IF(P93="","",IF(P93="SIM",VLOOKUP($I93&amp;$J93&amp;P$1,Pesos!$A:$I,7,FALSE),VLOOKUP($I93&amp;$J93&amp;P$1,Pesos!$A:$I,9,FALSE)))</f>
        <v>0.1</v>
      </c>
      <c r="AO93" s="154">
        <f>IF(Q93="","",IF(Q93="SIM",VLOOKUP($I93&amp;$J93&amp;Q$1,Pesos!$A:$I,7,FALSE),VLOOKUP($I93&amp;$J93&amp;Q$1,Pesos!$A:$I,9,FALSE)))</f>
        <v>2</v>
      </c>
      <c r="AP93" s="154">
        <f>IF(R93="","",IF(R93="SIM",VLOOKUP($I93&amp;$J93&amp;R$1,Pesos!$A:$I,7,FALSE),VLOOKUP($I93&amp;$J93&amp;R$1,Pesos!$A:$I,9,FALSE)))</f>
        <v>1.03</v>
      </c>
      <c r="AQ93" s="154">
        <f>IF(S93="","",IF(S93="SIM",VLOOKUP($I93&amp;$J93&amp;S$1,Pesos!$A:$I,7,FALSE),VLOOKUP($I93&amp;$J93&amp;S$1,Pesos!$A:$I,9,FALSE)))</f>
        <v>1.22</v>
      </c>
      <c r="AR93" s="156">
        <f>IF(T93="","",IF(T93="SIM",VLOOKUP($I93&amp;$J93&amp;T$1,Pesos!$A:$I,7,FALSE),VLOOKUP($I93&amp;$J93&amp;T$1,Pesos!$A:$I,9,FALSE)))</f>
        <v>2</v>
      </c>
      <c r="AS93" s="132">
        <f>IF(U93="","",IF(U93="SIM",VLOOKUP($I93&amp;$J93&amp;U$1,Pesos!$A:$I,7,FALSE),VLOOKUP($I93&amp;$J93&amp;U$1,Pesos!$A:$I,9,FALSE)))</f>
        <v>-5.2500000000000005E-2</v>
      </c>
      <c r="AT93" s="132">
        <f>IF(V93="","",IF(V93="SIM",VLOOKUP($I93&amp;$J93&amp;V$1,Pesos!$A:$I,7,FALSE),VLOOKUP($I93&amp;$J93&amp;V$1,Pesos!$A:$I,9,FALSE)))</f>
        <v>-5.2500000000000005E-2</v>
      </c>
      <c r="AU93" s="132">
        <f>IF(W93="","",IF(W93="SIM",VLOOKUP($I93&amp;$J93&amp;W$1,Pesos!$A:$I,7,FALSE),VLOOKUP($I93&amp;$J93&amp;W$1,Pesos!$A:$I,9,FALSE)))</f>
        <v>-1.4999999999999999E-2</v>
      </c>
      <c r="AV93" s="132">
        <f>IF(X93="","",IF(X93="SIM",VLOOKUP($I93&amp;$J93&amp;X$1,Pesos!$A:$I,7,FALSE),VLOOKUP($I93&amp;$J93&amp;X$1,Pesos!$A:$I,9,FALSE)))</f>
        <v>0.3</v>
      </c>
      <c r="AW93" s="132">
        <f>IF(Y93="","",IF(Y93="SIM",VLOOKUP($I93&amp;$J93&amp;Y$1,Pesos!$A:$I,7,FALSE),VLOOKUP($I93&amp;$J93&amp;Y$1,Pesos!$A:$I,9,FALSE)))</f>
        <v>0.15</v>
      </c>
      <c r="AX93" s="132">
        <f>IF(Z93="","",IF(Z93="SIM",VLOOKUP($I93&amp;$J93&amp;Z$1,Pesos!$A:$I,7,FALSE),VLOOKUP($I93&amp;$J93&amp;Z$1,Pesos!$A:$I,9,FALSE)))</f>
        <v>0.2</v>
      </c>
      <c r="AY93" s="132">
        <f>IF(AA93="","",IF(AA93="SIM",VLOOKUP($I93&amp;$J93&amp;AA$1,Pesos!$A:$I,7,FALSE),VLOOKUP($I93&amp;$J93&amp;AA$1,Pesos!$A:$I,9,FALSE)))</f>
        <v>0.3</v>
      </c>
      <c r="AZ93" s="132">
        <f>IF(AB93="","",IF(AB93="SIM",VLOOKUP($I93&amp;$J93&amp;AB$1,Pesos!$A:$I,7,FALSE),VLOOKUP($I93&amp;$J93&amp;AB$1,Pesos!$A:$I,9,FALSE)))</f>
        <v>0.1</v>
      </c>
      <c r="BA93" s="132" t="str">
        <f>IF(AC93="","",IF(AC93="SIM",VLOOKUP($I93&amp;$J93&amp;AC$1,Pesos!$A:$I,7,FALSE),VLOOKUP($I93&amp;$J93&amp;AC$1,Pesos!$A:$I,9,FALSE)))</f>
        <v/>
      </c>
      <c r="BB93" s="132" t="str">
        <f>IF(AD93="","",IF(AD93="SIM",VLOOKUP($I93&amp;$J93&amp;AD$1,Pesos!$A:$I,7,FALSE),VLOOKUP($I93&amp;$J93&amp;AD$1,Pesos!$A:$I,9,FALSE)))</f>
        <v/>
      </c>
      <c r="BC93" s="132" t="str">
        <f>IF(AE93="","",IF(AE93="SIM",VLOOKUP($I93&amp;$J93&amp;AE$1,Pesos!$A:$I,7,FALSE),VLOOKUP($I93&amp;$J93&amp;AE$1,Pesos!$A:$I,9,FALSE)))</f>
        <v/>
      </c>
      <c r="BD93" s="158">
        <f>IFERROR(AF93*VLOOKUP(J93,'BD Campos'!$X$1:$Y$14,2,FALSE),"0")</f>
        <v>7.4799999999999995</v>
      </c>
    </row>
    <row r="94" spans="1:56">
      <c r="A94" s="151" t="str">
        <f t="shared" si="7"/>
        <v>Jan11209MotoristaUTI</v>
      </c>
      <c r="B94" s="149" t="str">
        <f t="shared" si="8"/>
        <v>Jan112091UTIPADRÃO</v>
      </c>
      <c r="C94" s="152">
        <v>1</v>
      </c>
      <c r="D94" s="153">
        <v>46050.584020601855</v>
      </c>
      <c r="E94" s="154" t="s">
        <v>12</v>
      </c>
      <c r="F94" s="155">
        <v>11209</v>
      </c>
      <c r="G94" s="149" t="s">
        <v>239</v>
      </c>
      <c r="H94" s="154">
        <v>1</v>
      </c>
      <c r="I94" s="149" t="s">
        <v>96</v>
      </c>
      <c r="J94" s="149" t="s">
        <v>93</v>
      </c>
      <c r="K94" s="149" t="s">
        <v>128</v>
      </c>
      <c r="L94" s="156">
        <v>34485027</v>
      </c>
      <c r="M94" s="157">
        <v>1.1458333333333333E-3</v>
      </c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58">
        <f t="shared" si="10"/>
        <v>0</v>
      </c>
      <c r="AG94" s="159" t="s">
        <v>212</v>
      </c>
      <c r="AH94" s="155" t="s">
        <v>240</v>
      </c>
      <c r="AI94" s="155" t="s">
        <v>83</v>
      </c>
      <c r="AJ94" s="131" t="str">
        <f>IFERROR(VLOOKUP(E94&amp;F94,'Listagem dos op'!A:S,19,0),"")</f>
        <v/>
      </c>
      <c r="AK94" s="131" t="str">
        <f t="shared" si="9"/>
        <v>Jan11209</v>
      </c>
      <c r="AL94" s="154" t="str">
        <f>IF(N94="","",IF(N94="SIM",VLOOKUP($I94&amp;$J94&amp;N$1,Pesos!$A:$I,7,FALSE),VLOOKUP($I94&amp;$J94&amp;N$1,Pesos!$A:$I,9,FALSE)))</f>
        <v/>
      </c>
      <c r="AM94" s="154" t="str">
        <f>IF(O94="","",IF(O94="SIM",VLOOKUP($I94&amp;$J94&amp;O$1,Pesos!$A:$I,7,FALSE),VLOOKUP($I94&amp;$J94&amp;O$1,Pesos!$A:$I,9,FALSE)))</f>
        <v/>
      </c>
      <c r="AN94" s="154" t="str">
        <f>IF(P94="","",IF(P94="SIM",VLOOKUP($I94&amp;$J94&amp;P$1,Pesos!$A:$I,7,FALSE),VLOOKUP($I94&amp;$J94&amp;P$1,Pesos!$A:$I,9,FALSE)))</f>
        <v/>
      </c>
      <c r="AO94" s="154" t="str">
        <f>IF(Q94="","",IF(Q94="SIM",VLOOKUP($I94&amp;$J94&amp;Q$1,Pesos!$A:$I,7,FALSE),VLOOKUP($I94&amp;$J94&amp;Q$1,Pesos!$A:$I,9,FALSE)))</f>
        <v/>
      </c>
      <c r="AP94" s="154" t="str">
        <f>IF(R94="","",IF(R94="SIM",VLOOKUP($I94&amp;$J94&amp;R$1,Pesos!$A:$I,7,FALSE),VLOOKUP($I94&amp;$J94&amp;R$1,Pesos!$A:$I,9,FALSE)))</f>
        <v/>
      </c>
      <c r="AQ94" s="154" t="str">
        <f>IF(S94="","",IF(S94="SIM",VLOOKUP($I94&amp;$J94&amp;S$1,Pesos!$A:$I,7,FALSE),VLOOKUP($I94&amp;$J94&amp;S$1,Pesos!$A:$I,9,FALSE)))</f>
        <v/>
      </c>
      <c r="AR94" s="156" t="str">
        <f>IF(T94="","",IF(T94="SIM",VLOOKUP($I94&amp;$J94&amp;T$1,Pesos!$A:$I,7,FALSE),VLOOKUP($I94&amp;$J94&amp;T$1,Pesos!$A:$I,9,FALSE)))</f>
        <v/>
      </c>
      <c r="AS94" s="132" t="str">
        <f>IF(U94="","",IF(U94="SIM",VLOOKUP($I94&amp;$J94&amp;U$1,Pesos!$A:$I,7,FALSE),VLOOKUP($I94&amp;$J94&amp;U$1,Pesos!$A:$I,9,FALSE)))</f>
        <v/>
      </c>
      <c r="AT94" s="132" t="str">
        <f>IF(V94="","",IF(V94="SIM",VLOOKUP($I94&amp;$J94&amp;V$1,Pesos!$A:$I,7,FALSE),VLOOKUP($I94&amp;$J94&amp;V$1,Pesos!$A:$I,9,FALSE)))</f>
        <v/>
      </c>
      <c r="AU94" s="132" t="str">
        <f>IF(W94="","",IF(W94="SIM",VLOOKUP($I94&amp;$J94&amp;W$1,Pesos!$A:$I,7,FALSE),VLOOKUP($I94&amp;$J94&amp;W$1,Pesos!$A:$I,9,FALSE)))</f>
        <v/>
      </c>
      <c r="AV94" s="132" t="str">
        <f>IF(X94="","",IF(X94="SIM",VLOOKUP($I94&amp;$J94&amp;X$1,Pesos!$A:$I,7,FALSE),VLOOKUP($I94&amp;$J94&amp;X$1,Pesos!$A:$I,9,FALSE)))</f>
        <v/>
      </c>
      <c r="AW94" s="132" t="str">
        <f>IF(Y94="","",IF(Y94="SIM",VLOOKUP($I94&amp;$J94&amp;Y$1,Pesos!$A:$I,7,FALSE),VLOOKUP($I94&amp;$J94&amp;Y$1,Pesos!$A:$I,9,FALSE)))</f>
        <v/>
      </c>
      <c r="AX94" s="132" t="str">
        <f>IF(Z94="","",IF(Z94="SIM",VLOOKUP($I94&amp;$J94&amp;Z$1,Pesos!$A:$I,7,FALSE),VLOOKUP($I94&amp;$J94&amp;Z$1,Pesos!$A:$I,9,FALSE)))</f>
        <v/>
      </c>
      <c r="AY94" s="132" t="str">
        <f>IF(AA94="","",IF(AA94="SIM",VLOOKUP($I94&amp;$J94&amp;AA$1,Pesos!$A:$I,7,FALSE),VLOOKUP($I94&amp;$J94&amp;AA$1,Pesos!$A:$I,9,FALSE)))</f>
        <v/>
      </c>
      <c r="AZ94" s="132" t="str">
        <f>IF(AB94="","",IF(AB94="SIM",VLOOKUP($I94&amp;$J94&amp;AB$1,Pesos!$A:$I,7,FALSE),VLOOKUP($I94&amp;$J94&amp;AB$1,Pesos!$A:$I,9,FALSE)))</f>
        <v/>
      </c>
      <c r="BA94" s="132" t="str">
        <f>IF(AC94="","",IF(AC94="SIM",VLOOKUP($I94&amp;$J94&amp;AC$1,Pesos!$A:$I,7,FALSE),VLOOKUP($I94&amp;$J94&amp;AC$1,Pesos!$A:$I,9,FALSE)))</f>
        <v/>
      </c>
      <c r="BB94" s="132" t="str">
        <f>IF(AD94="","",IF(AD94="SIM",VLOOKUP($I94&amp;$J94&amp;AD$1,Pesos!$A:$I,7,FALSE),VLOOKUP($I94&amp;$J94&amp;AD$1,Pesos!$A:$I,9,FALSE)))</f>
        <v/>
      </c>
      <c r="BC94" s="132" t="str">
        <f>IF(AE94="","",IF(AE94="SIM",VLOOKUP($I94&amp;$J94&amp;AE$1,Pesos!$A:$I,7,FALSE),VLOOKUP($I94&amp;$J94&amp;AE$1,Pesos!$A:$I,9,FALSE)))</f>
        <v/>
      </c>
      <c r="BD94" s="158">
        <f>IFERROR(AF94*VLOOKUP(J94,'BD Campos'!$X$1:$Y$14,2,FALSE),"0")</f>
        <v>0</v>
      </c>
    </row>
    <row r="95" spans="1:56">
      <c r="A95" s="151" t="str">
        <f t="shared" si="7"/>
        <v>Jan11209Motorista 2UTI</v>
      </c>
      <c r="B95" s="149" t="str">
        <f t="shared" si="8"/>
        <v>Jan112092UTIPADRÃO</v>
      </c>
      <c r="C95" s="152">
        <v>1</v>
      </c>
      <c r="D95" s="153">
        <v>46050.587318634258</v>
      </c>
      <c r="E95" s="154" t="s">
        <v>12</v>
      </c>
      <c r="F95" s="155">
        <v>11209</v>
      </c>
      <c r="G95" s="149" t="s">
        <v>239</v>
      </c>
      <c r="H95" s="154">
        <v>2</v>
      </c>
      <c r="I95" s="149" t="s">
        <v>130</v>
      </c>
      <c r="J95" s="149" t="s">
        <v>97</v>
      </c>
      <c r="K95" s="149" t="s">
        <v>128</v>
      </c>
      <c r="L95" s="156">
        <v>34739537</v>
      </c>
      <c r="M95" s="157"/>
      <c r="N95" s="131" t="s">
        <v>17</v>
      </c>
      <c r="O95" s="131" t="s">
        <v>17</v>
      </c>
      <c r="P95" s="131" t="s">
        <v>17</v>
      </c>
      <c r="Q95" s="131" t="s">
        <v>17</v>
      </c>
      <c r="R95" s="131" t="s">
        <v>17</v>
      </c>
      <c r="S95" s="131" t="s">
        <v>17</v>
      </c>
      <c r="T95" s="131" t="s">
        <v>18</v>
      </c>
      <c r="U95" s="131" t="s">
        <v>17</v>
      </c>
      <c r="V95" s="131" t="s">
        <v>18</v>
      </c>
      <c r="W95" s="131" t="s">
        <v>17</v>
      </c>
      <c r="X95" s="131" t="s">
        <v>17</v>
      </c>
      <c r="Y95" s="131" t="s">
        <v>17</v>
      </c>
      <c r="Z95" s="131" t="s">
        <v>18</v>
      </c>
      <c r="AA95" s="131" t="s">
        <v>17</v>
      </c>
      <c r="AB95" s="131" t="s">
        <v>17</v>
      </c>
      <c r="AC95" s="131"/>
      <c r="AD95" s="131"/>
      <c r="AE95" s="131"/>
      <c r="AF95" s="158">
        <f t="shared" si="10"/>
        <v>6.9547999999999996</v>
      </c>
      <c r="AG95" s="159"/>
      <c r="AH95" s="155" t="s">
        <v>241</v>
      </c>
      <c r="AI95" s="155" t="s">
        <v>83</v>
      </c>
      <c r="AJ95" s="131" t="str">
        <f>IFERROR(VLOOKUP(E95&amp;F95,'Listagem dos op'!A:S,19,0),"")</f>
        <v/>
      </c>
      <c r="AK95" s="131" t="str">
        <f t="shared" si="9"/>
        <v>Jan11209</v>
      </c>
      <c r="AL95" s="154">
        <f>IF(N95="","",IF(N95="SIM",VLOOKUP($I95&amp;$J95&amp;N$1,Pesos!$A:$I,7,FALSE),VLOOKUP($I95&amp;$J95&amp;N$1,Pesos!$A:$I,9,FALSE)))</f>
        <v>0.1</v>
      </c>
      <c r="AM95" s="154">
        <f>IF(O95="","",IF(O95="SIM",VLOOKUP($I95&amp;$J95&amp;O$1,Pesos!$A:$I,7,FALSE),VLOOKUP($I95&amp;$J95&amp;O$1,Pesos!$A:$I,9,FALSE)))</f>
        <v>0.1</v>
      </c>
      <c r="AN95" s="154">
        <f>IF(P95="","",IF(P95="SIM",VLOOKUP($I95&amp;$J95&amp;P$1,Pesos!$A:$I,7,FALSE),VLOOKUP($I95&amp;$J95&amp;P$1,Pesos!$A:$I,9,FALSE)))</f>
        <v>0.1</v>
      </c>
      <c r="AO95" s="154">
        <f>IF(Q95="","",IF(Q95="SIM",VLOOKUP($I95&amp;$J95&amp;Q$1,Pesos!$A:$I,7,FALSE),VLOOKUP($I95&amp;$J95&amp;Q$1,Pesos!$A:$I,9,FALSE)))</f>
        <v>2</v>
      </c>
      <c r="AP95" s="154">
        <f>IF(R95="","",IF(R95="SIM",VLOOKUP($I95&amp;$J95&amp;R$1,Pesos!$A:$I,7,FALSE),VLOOKUP($I95&amp;$J95&amp;R$1,Pesos!$A:$I,9,FALSE)))</f>
        <v>1.03</v>
      </c>
      <c r="AQ95" s="154">
        <f>IF(S95="","",IF(S95="SIM",VLOOKUP($I95&amp;$J95&amp;S$1,Pesos!$A:$I,7,FALSE),VLOOKUP($I95&amp;$J95&amp;S$1,Pesos!$A:$I,9,FALSE)))</f>
        <v>1.3</v>
      </c>
      <c r="AR95" s="156">
        <f>IF(T95="","",IF(T95="SIM",VLOOKUP($I95&amp;$J95&amp;T$1,Pesos!$A:$I,7,FALSE),VLOOKUP($I95&amp;$J95&amp;T$1,Pesos!$A:$I,9,FALSE)))</f>
        <v>-6.5000000000000002E-2</v>
      </c>
      <c r="AS95" s="132">
        <f>IF(U95="","",IF(U95="SIM",VLOOKUP($I95&amp;$J95&amp;U$1,Pesos!$A:$I,7,FALSE),VLOOKUP($I95&amp;$J95&amp;U$1,Pesos!$A:$I,9,FALSE)))</f>
        <v>1.32</v>
      </c>
      <c r="AT95" s="132">
        <f>IF(V95="","",IF(V95="SIM",VLOOKUP($I95&amp;$J95&amp;V$1,Pesos!$A:$I,7,FALSE),VLOOKUP($I95&amp;$J95&amp;V$1,Pesos!$A:$I,9,FALSE)))</f>
        <v>-7.0199999999999999E-2</v>
      </c>
      <c r="AU95" s="132">
        <f>IF(W95="","",IF(W95="SIM",VLOOKUP($I95&amp;$J95&amp;W$1,Pesos!$A:$I,7,FALSE),VLOOKUP($I95&amp;$J95&amp;W$1,Pesos!$A:$I,9,FALSE)))</f>
        <v>0.3</v>
      </c>
      <c r="AV95" s="132">
        <f>IF(X95="","",IF(X95="SIM",VLOOKUP($I95&amp;$J95&amp;X$1,Pesos!$A:$I,7,FALSE),VLOOKUP($I95&amp;$J95&amp;X$1,Pesos!$A:$I,9,FALSE)))</f>
        <v>0.3</v>
      </c>
      <c r="AW95" s="132">
        <f>IF(Y95="","",IF(Y95="SIM",VLOOKUP($I95&amp;$J95&amp;Y$1,Pesos!$A:$I,7,FALSE),VLOOKUP($I95&amp;$J95&amp;Y$1,Pesos!$A:$I,9,FALSE)))</f>
        <v>0.15</v>
      </c>
      <c r="AX95" s="132">
        <f>IF(Z95="","",IF(Z95="SIM",VLOOKUP($I95&amp;$J95&amp;Z$1,Pesos!$A:$I,7,FALSE),VLOOKUP($I95&amp;$J95&amp;Z$1,Pesos!$A:$I,9,FALSE)))</f>
        <v>-1.0000000000000002E-2</v>
      </c>
      <c r="AY95" s="132">
        <f>IF(AA95="","",IF(AA95="SIM",VLOOKUP($I95&amp;$J95&amp;AA$1,Pesos!$A:$I,7,FALSE),VLOOKUP($I95&amp;$J95&amp;AA$1,Pesos!$A:$I,9,FALSE)))</f>
        <v>0.3</v>
      </c>
      <c r="AZ95" s="132">
        <f>IF(AB95="","",IF(AB95="SIM",VLOOKUP($I95&amp;$J95&amp;AB$1,Pesos!$A:$I,7,FALSE),VLOOKUP($I95&amp;$J95&amp;AB$1,Pesos!$A:$I,9,FALSE)))</f>
        <v>0.1</v>
      </c>
      <c r="BA95" s="132" t="str">
        <f>IF(AC95="","",IF(AC95="SIM",VLOOKUP($I95&amp;$J95&amp;AC$1,Pesos!$A:$I,7,FALSE),VLOOKUP($I95&amp;$J95&amp;AC$1,Pesos!$A:$I,9,FALSE)))</f>
        <v/>
      </c>
      <c r="BB95" s="132" t="str">
        <f>IF(AD95="","",IF(AD95="SIM",VLOOKUP($I95&amp;$J95&amp;AD$1,Pesos!$A:$I,7,FALSE),VLOOKUP($I95&amp;$J95&amp;AD$1,Pesos!$A:$I,9,FALSE)))</f>
        <v/>
      </c>
      <c r="BC95" s="132" t="str">
        <f>IF(AE95="","",IF(AE95="SIM",VLOOKUP($I95&amp;$J95&amp;AE$1,Pesos!$A:$I,7,FALSE),VLOOKUP($I95&amp;$J95&amp;AE$1,Pesos!$A:$I,9,FALSE)))</f>
        <v/>
      </c>
      <c r="BD95" s="158">
        <f>IFERROR(AF95*VLOOKUP(J95,'BD Campos'!$X$1:$Y$14,2,FALSE),"0")</f>
        <v>6.9547999999999996</v>
      </c>
    </row>
    <row r="96" spans="1:56">
      <c r="A96" s="151" t="str">
        <f t="shared" si="7"/>
        <v>Jan10758PolíciaBAS</v>
      </c>
      <c r="B96" s="149" t="str">
        <f t="shared" si="8"/>
        <v>Jan107581BASPADRÃO</v>
      </c>
      <c r="C96" s="152">
        <v>1</v>
      </c>
      <c r="D96" s="153">
        <v>46050.626427777781</v>
      </c>
      <c r="E96" s="154" t="s">
        <v>12</v>
      </c>
      <c r="F96" s="155">
        <v>10758</v>
      </c>
      <c r="G96" s="149" t="s">
        <v>242</v>
      </c>
      <c r="H96" s="154">
        <v>1</v>
      </c>
      <c r="I96" s="149" t="s">
        <v>92</v>
      </c>
      <c r="J96" s="149" t="s">
        <v>222</v>
      </c>
      <c r="K96" s="149" t="s">
        <v>223</v>
      </c>
      <c r="L96" s="156">
        <v>34557347</v>
      </c>
      <c r="M96" s="157">
        <v>4.0856481481481481E-3</v>
      </c>
      <c r="N96" s="131" t="s">
        <v>17</v>
      </c>
      <c r="O96" s="131" t="s">
        <v>17</v>
      </c>
      <c r="P96" s="131" t="s">
        <v>17</v>
      </c>
      <c r="Q96" s="131" t="s">
        <v>17</v>
      </c>
      <c r="R96" s="131" t="s">
        <v>17</v>
      </c>
      <c r="S96" s="131" t="s">
        <v>17</v>
      </c>
      <c r="T96" s="131" t="s">
        <v>17</v>
      </c>
      <c r="U96" s="131" t="s">
        <v>17</v>
      </c>
      <c r="V96" s="131" t="s">
        <v>17</v>
      </c>
      <c r="W96" s="131" t="s">
        <v>17</v>
      </c>
      <c r="X96" s="131" t="s">
        <v>18</v>
      </c>
      <c r="Y96" s="131" t="s">
        <v>18</v>
      </c>
      <c r="Z96" s="131" t="s">
        <v>17</v>
      </c>
      <c r="AA96" s="131" t="s">
        <v>18</v>
      </c>
      <c r="AB96" s="131" t="s">
        <v>17</v>
      </c>
      <c r="AC96" s="131" t="s">
        <v>17</v>
      </c>
      <c r="AD96" s="131"/>
      <c r="AE96" s="131"/>
      <c r="AF96" s="158">
        <f t="shared" si="10"/>
        <v>9.16</v>
      </c>
      <c r="AG96" s="159"/>
      <c r="AH96" s="155" t="s">
        <v>243</v>
      </c>
      <c r="AI96" s="155" t="s">
        <v>83</v>
      </c>
      <c r="AJ96" s="131" t="str">
        <f>IFERROR(VLOOKUP(E96&amp;F96,'Listagem dos op'!A:S,19,0),"")</f>
        <v/>
      </c>
      <c r="AK96" s="131" t="str">
        <f t="shared" si="9"/>
        <v>Jan10758</v>
      </c>
      <c r="AL96" s="154">
        <f>IF(N96="","",IF(N96="SIM",VLOOKUP($I96&amp;$J96&amp;N$1,Pesos!$A:$I,7,FALSE),VLOOKUP($I96&amp;$J96&amp;N$1,Pesos!$A:$I,9,FALSE)))</f>
        <v>0.1</v>
      </c>
      <c r="AM96" s="154">
        <f>IF(O96="","",IF(O96="SIM",VLOOKUP($I96&amp;$J96&amp;O$1,Pesos!$A:$I,7,FALSE),VLOOKUP($I96&amp;$J96&amp;O$1,Pesos!$A:$I,9,FALSE)))</f>
        <v>0.1</v>
      </c>
      <c r="AN96" s="154">
        <f>IF(P96="","",IF(P96="SIM",VLOOKUP($I96&amp;$J96&amp;P$1,Pesos!$A:$I,7,FALSE),VLOOKUP($I96&amp;$J96&amp;P$1,Pesos!$A:$I,9,FALSE)))</f>
        <v>0.1</v>
      </c>
      <c r="AO96" s="154">
        <f>IF(Q96="","",IF(Q96="SIM",VLOOKUP($I96&amp;$J96&amp;Q$1,Pesos!$A:$I,7,FALSE),VLOOKUP($I96&amp;$J96&amp;Q$1,Pesos!$A:$I,9,FALSE)))</f>
        <v>0.4</v>
      </c>
      <c r="AP96" s="154">
        <f>IF(R96="","",IF(R96="SIM",VLOOKUP($I96&amp;$J96&amp;R$1,Pesos!$A:$I,7,FALSE),VLOOKUP($I96&amp;$J96&amp;R$1,Pesos!$A:$I,9,FALSE)))</f>
        <v>1.3</v>
      </c>
      <c r="AQ96" s="154">
        <f>IF(S96="","",IF(S96="SIM",VLOOKUP($I96&amp;$J96&amp;S$1,Pesos!$A:$I,7,FALSE),VLOOKUP($I96&amp;$J96&amp;S$1,Pesos!$A:$I,9,FALSE)))</f>
        <v>1.35</v>
      </c>
      <c r="AR96" s="156">
        <f>IF(T96="","",IF(T96="SIM",VLOOKUP($I96&amp;$J96&amp;T$1,Pesos!$A:$I,7,FALSE),VLOOKUP($I96&amp;$J96&amp;T$1,Pesos!$A:$I,9,FALSE)))</f>
        <v>1.3</v>
      </c>
      <c r="AS96" s="132">
        <f>IF(U96="","",IF(U96="SIM",VLOOKUP($I96&amp;$J96&amp;U$1,Pesos!$A:$I,7,FALSE),VLOOKUP($I96&amp;$J96&amp;U$1,Pesos!$A:$I,9,FALSE)))</f>
        <v>1.5</v>
      </c>
      <c r="AT96" s="132">
        <f>IF(V96="","",IF(V96="SIM",VLOOKUP($I96&amp;$J96&amp;V$1,Pesos!$A:$I,7,FALSE),VLOOKUP($I96&amp;$J96&amp;V$1,Pesos!$A:$I,9,FALSE)))</f>
        <v>1.3</v>
      </c>
      <c r="AU96" s="132">
        <f>IF(W96="","",IF(W96="SIM",VLOOKUP($I96&amp;$J96&amp;W$1,Pesos!$A:$I,7,FALSE),VLOOKUP($I96&amp;$J96&amp;W$1,Pesos!$A:$I,9,FALSE)))</f>
        <v>1.2</v>
      </c>
      <c r="AV96" s="132">
        <f>IF(X96="","",IF(X96="SIM",VLOOKUP($I96&amp;$J96&amp;X$1,Pesos!$A:$I,7,FALSE),VLOOKUP($I96&amp;$J96&amp;X$1,Pesos!$A:$I,9,FALSE)))</f>
        <v>-1.4999999999999999E-2</v>
      </c>
      <c r="AW96" s="132">
        <f>IF(Y96="","",IF(Y96="SIM",VLOOKUP($I96&amp;$J96&amp;Y$1,Pesos!$A:$I,7,FALSE),VLOOKUP($I96&amp;$J96&amp;Y$1,Pesos!$A:$I,9,FALSE)))</f>
        <v>-1.4999999999999999E-2</v>
      </c>
      <c r="AX96" s="132">
        <f>IF(Z96="","",IF(Z96="SIM",VLOOKUP($I96&amp;$J96&amp;Z$1,Pesos!$A:$I,7,FALSE),VLOOKUP($I96&amp;$J96&amp;Z$1,Pesos!$A:$I,9,FALSE)))</f>
        <v>0.15</v>
      </c>
      <c r="AY96" s="132">
        <f>IF(AA96="","",IF(AA96="SIM",VLOOKUP($I96&amp;$J96&amp;AA$1,Pesos!$A:$I,7,FALSE),VLOOKUP($I96&amp;$J96&amp;AA$1,Pesos!$A:$I,9,FALSE)))</f>
        <v>-1.0000000000000002E-2</v>
      </c>
      <c r="AZ96" s="132">
        <f>IF(AB96="","",IF(AB96="SIM",VLOOKUP($I96&amp;$J96&amp;AB$1,Pesos!$A:$I,7,FALSE),VLOOKUP($I96&amp;$J96&amp;AB$1,Pesos!$A:$I,9,FALSE)))</f>
        <v>0.3</v>
      </c>
      <c r="BA96" s="132">
        <f>IF(AC96="","",IF(AC96="SIM",VLOOKUP($I96&amp;$J96&amp;AC$1,Pesos!$A:$I,7,FALSE),VLOOKUP($I96&amp;$J96&amp;AC$1,Pesos!$A:$I,9,FALSE)))</f>
        <v>0.1</v>
      </c>
      <c r="BB96" s="132" t="str">
        <f>IF(AD96="","",IF(AD96="SIM",VLOOKUP($I96&amp;$J96&amp;AD$1,Pesos!$A:$I,7,FALSE),VLOOKUP($I96&amp;$J96&amp;AD$1,Pesos!$A:$I,9,FALSE)))</f>
        <v/>
      </c>
      <c r="BC96" s="132" t="str">
        <f>IF(AE96="","",IF(AE96="SIM",VLOOKUP($I96&amp;$J96&amp;AE$1,Pesos!$A:$I,7,FALSE),VLOOKUP($I96&amp;$J96&amp;AE$1,Pesos!$A:$I,9,FALSE)))</f>
        <v/>
      </c>
      <c r="BD96" s="158" t="str">
        <f>IFERROR(AF96*VLOOKUP(J96,'BD Campos'!$X$1:$Y$14,2,FALSE),"0")</f>
        <v>0</v>
      </c>
    </row>
    <row r="97" spans="1:56">
      <c r="A97" s="151" t="str">
        <f t="shared" si="7"/>
        <v>Jan10758Polícia 2BAS</v>
      </c>
      <c r="B97" s="149" t="str">
        <f t="shared" si="8"/>
        <v>Jan107582BASPADRÃO</v>
      </c>
      <c r="C97" s="152">
        <v>1</v>
      </c>
      <c r="D97" s="153">
        <v>46050.668802083332</v>
      </c>
      <c r="E97" s="154" t="s">
        <v>12</v>
      </c>
      <c r="F97" s="155">
        <v>10758</v>
      </c>
      <c r="G97" s="149" t="s">
        <v>242</v>
      </c>
      <c r="H97" s="154">
        <v>2</v>
      </c>
      <c r="I97" s="149" t="s">
        <v>92</v>
      </c>
      <c r="J97" s="149" t="s">
        <v>225</v>
      </c>
      <c r="K97" s="149" t="s">
        <v>223</v>
      </c>
      <c r="L97" s="156">
        <v>34684538</v>
      </c>
      <c r="M97" s="157">
        <v>5.0462962962962961E-3</v>
      </c>
      <c r="N97" s="131" t="s">
        <v>17</v>
      </c>
      <c r="O97" s="131" t="s">
        <v>17</v>
      </c>
      <c r="P97" s="131" t="s">
        <v>17</v>
      </c>
      <c r="Q97" s="131" t="s">
        <v>17</v>
      </c>
      <c r="R97" s="131" t="s">
        <v>17</v>
      </c>
      <c r="S97" s="131" t="s">
        <v>17</v>
      </c>
      <c r="T97" s="131" t="s">
        <v>17</v>
      </c>
      <c r="U97" s="131" t="s">
        <v>17</v>
      </c>
      <c r="V97" s="131" t="s">
        <v>17</v>
      </c>
      <c r="W97" s="131" t="s">
        <v>17</v>
      </c>
      <c r="X97" s="131" t="s">
        <v>17</v>
      </c>
      <c r="Y97" s="131" t="s">
        <v>17</v>
      </c>
      <c r="Z97" s="131" t="s">
        <v>17</v>
      </c>
      <c r="AA97" s="131" t="s">
        <v>18</v>
      </c>
      <c r="AB97" s="131" t="s">
        <v>17</v>
      </c>
      <c r="AC97" s="131" t="s">
        <v>17</v>
      </c>
      <c r="AD97" s="131"/>
      <c r="AE97" s="131"/>
      <c r="AF97" s="158">
        <f t="shared" si="10"/>
        <v>9.7900000000000027</v>
      </c>
      <c r="AG97" s="159"/>
      <c r="AH97" s="155" t="s">
        <v>244</v>
      </c>
      <c r="AI97" s="155" t="s">
        <v>83</v>
      </c>
      <c r="AJ97" s="131" t="str">
        <f>IFERROR(VLOOKUP(E97&amp;F97,'Listagem dos op'!A:S,19,0),"")</f>
        <v/>
      </c>
      <c r="AK97" s="131" t="str">
        <f t="shared" si="9"/>
        <v>Jan10758</v>
      </c>
      <c r="AL97" s="154">
        <f>IF(N97="","",IF(N97="SIM",VLOOKUP($I97&amp;$J97&amp;N$1,Pesos!$A:$I,7,FALSE),VLOOKUP($I97&amp;$J97&amp;N$1,Pesos!$A:$I,9,FALSE)))</f>
        <v>0.1</v>
      </c>
      <c r="AM97" s="154">
        <f>IF(O97="","",IF(O97="SIM",VLOOKUP($I97&amp;$J97&amp;O$1,Pesos!$A:$I,7,FALSE),VLOOKUP($I97&amp;$J97&amp;O$1,Pesos!$A:$I,9,FALSE)))</f>
        <v>0.1</v>
      </c>
      <c r="AN97" s="154">
        <f>IF(P97="","",IF(P97="SIM",VLOOKUP($I97&amp;$J97&amp;P$1,Pesos!$A:$I,7,FALSE),VLOOKUP($I97&amp;$J97&amp;P$1,Pesos!$A:$I,9,FALSE)))</f>
        <v>0.1</v>
      </c>
      <c r="AO97" s="154">
        <f>IF(Q97="","",IF(Q97="SIM",VLOOKUP($I97&amp;$J97&amp;Q$1,Pesos!$A:$I,7,FALSE),VLOOKUP($I97&amp;$J97&amp;Q$1,Pesos!$A:$I,9,FALSE)))</f>
        <v>0.4</v>
      </c>
      <c r="AP97" s="154">
        <f>IF(R97="","",IF(R97="SIM",VLOOKUP($I97&amp;$J97&amp;R$1,Pesos!$A:$I,7,FALSE),VLOOKUP($I97&amp;$J97&amp;R$1,Pesos!$A:$I,9,FALSE)))</f>
        <v>1.3</v>
      </c>
      <c r="AQ97" s="154">
        <f>IF(S97="","",IF(S97="SIM",VLOOKUP($I97&amp;$J97&amp;S$1,Pesos!$A:$I,7,FALSE),VLOOKUP($I97&amp;$J97&amp;S$1,Pesos!$A:$I,9,FALSE)))</f>
        <v>1.35</v>
      </c>
      <c r="AR97" s="156">
        <f>IF(T97="","",IF(T97="SIM",VLOOKUP($I97&amp;$J97&amp;T$1,Pesos!$A:$I,7,FALSE),VLOOKUP($I97&amp;$J97&amp;T$1,Pesos!$A:$I,9,FALSE)))</f>
        <v>1.3</v>
      </c>
      <c r="AS97" s="132">
        <f>IF(U97="","",IF(U97="SIM",VLOOKUP($I97&amp;$J97&amp;U$1,Pesos!$A:$I,7,FALSE),VLOOKUP($I97&amp;$J97&amp;U$1,Pesos!$A:$I,9,FALSE)))</f>
        <v>1.5</v>
      </c>
      <c r="AT97" s="132">
        <f>IF(V97="","",IF(V97="SIM",VLOOKUP($I97&amp;$J97&amp;V$1,Pesos!$A:$I,7,FALSE),VLOOKUP($I97&amp;$J97&amp;V$1,Pesos!$A:$I,9,FALSE)))</f>
        <v>1.3</v>
      </c>
      <c r="AU97" s="132">
        <f>IF(W97="","",IF(W97="SIM",VLOOKUP($I97&amp;$J97&amp;W$1,Pesos!$A:$I,7,FALSE),VLOOKUP($I97&amp;$J97&amp;W$1,Pesos!$A:$I,9,FALSE)))</f>
        <v>1.2</v>
      </c>
      <c r="AV97" s="132">
        <f>IF(X97="","",IF(X97="SIM",VLOOKUP($I97&amp;$J97&amp;X$1,Pesos!$A:$I,7,FALSE),VLOOKUP($I97&amp;$J97&amp;X$1,Pesos!$A:$I,9,FALSE)))</f>
        <v>0.3</v>
      </c>
      <c r="AW97" s="132">
        <f>IF(Y97="","",IF(Y97="SIM",VLOOKUP($I97&amp;$J97&amp;Y$1,Pesos!$A:$I,7,FALSE),VLOOKUP($I97&amp;$J97&amp;Y$1,Pesos!$A:$I,9,FALSE)))</f>
        <v>0.3</v>
      </c>
      <c r="AX97" s="132">
        <f>IF(Z97="","",IF(Z97="SIM",VLOOKUP($I97&amp;$J97&amp;Z$1,Pesos!$A:$I,7,FALSE),VLOOKUP($I97&amp;$J97&amp;Z$1,Pesos!$A:$I,9,FALSE)))</f>
        <v>0.15</v>
      </c>
      <c r="AY97" s="132">
        <f>IF(AA97="","",IF(AA97="SIM",VLOOKUP($I97&amp;$J97&amp;AA$1,Pesos!$A:$I,7,FALSE),VLOOKUP($I97&amp;$J97&amp;AA$1,Pesos!$A:$I,9,FALSE)))</f>
        <v>-1.0000000000000002E-2</v>
      </c>
      <c r="AZ97" s="132">
        <f>IF(AB97="","",IF(AB97="SIM",VLOOKUP($I97&amp;$J97&amp;AB$1,Pesos!$A:$I,7,FALSE),VLOOKUP($I97&amp;$J97&amp;AB$1,Pesos!$A:$I,9,FALSE)))</f>
        <v>0.3</v>
      </c>
      <c r="BA97" s="132">
        <f>IF(AC97="","",IF(AC97="SIM",VLOOKUP($I97&amp;$J97&amp;AC$1,Pesos!$A:$I,7,FALSE),VLOOKUP($I97&amp;$J97&amp;AC$1,Pesos!$A:$I,9,FALSE)))</f>
        <v>0.1</v>
      </c>
      <c r="BB97" s="132" t="str">
        <f>IF(AD97="","",IF(AD97="SIM",VLOOKUP($I97&amp;$J97&amp;AD$1,Pesos!$A:$I,7,FALSE),VLOOKUP($I97&amp;$J97&amp;AD$1,Pesos!$A:$I,9,FALSE)))</f>
        <v/>
      </c>
      <c r="BC97" s="132" t="str">
        <f>IF(AE97="","",IF(AE97="SIM",VLOOKUP($I97&amp;$J97&amp;AE$1,Pesos!$A:$I,7,FALSE),VLOOKUP($I97&amp;$J97&amp;AE$1,Pesos!$A:$I,9,FALSE)))</f>
        <v/>
      </c>
      <c r="BD97" s="158" t="str">
        <f>IFERROR(AF97*VLOOKUP(J97,'BD Campos'!$X$1:$Y$14,2,FALSE),"0")</f>
        <v>0</v>
      </c>
    </row>
    <row r="98" spans="1:56">
      <c r="A98" s="151" t="str">
        <f t="shared" si="7"/>
        <v>Jan1622MotoristaUTI</v>
      </c>
      <c r="B98" s="149" t="str">
        <f t="shared" si="8"/>
        <v>Jan16221UTIPADRÃO</v>
      </c>
      <c r="C98" s="152">
        <v>1</v>
      </c>
      <c r="D98" s="153">
        <v>46050.72859421296</v>
      </c>
      <c r="E98" s="154" t="s">
        <v>12</v>
      </c>
      <c r="F98" s="155">
        <v>1622</v>
      </c>
      <c r="G98" s="149" t="s">
        <v>245</v>
      </c>
      <c r="H98" s="154">
        <v>1</v>
      </c>
      <c r="I98" s="149" t="s">
        <v>96</v>
      </c>
      <c r="J98" s="149" t="s">
        <v>93</v>
      </c>
      <c r="K98" s="149" t="s">
        <v>128</v>
      </c>
      <c r="L98" s="156">
        <v>34658654</v>
      </c>
      <c r="M98" s="157">
        <v>1.4004629629629629E-3</v>
      </c>
      <c r="N98" s="131" t="s">
        <v>17</v>
      </c>
      <c r="O98" s="131" t="s">
        <v>17</v>
      </c>
      <c r="P98" s="131" t="s">
        <v>17</v>
      </c>
      <c r="Q98" s="131" t="s">
        <v>17</v>
      </c>
      <c r="R98" s="131" t="s">
        <v>17</v>
      </c>
      <c r="S98" s="131" t="s">
        <v>17</v>
      </c>
      <c r="T98" s="131" t="s">
        <v>17</v>
      </c>
      <c r="U98" s="131" t="s">
        <v>17</v>
      </c>
      <c r="V98" s="131" t="s">
        <v>18</v>
      </c>
      <c r="W98" s="131" t="s">
        <v>17</v>
      </c>
      <c r="X98" s="131" t="s">
        <v>17</v>
      </c>
      <c r="Y98" s="131" t="s">
        <v>17</v>
      </c>
      <c r="Z98" s="131" t="s">
        <v>17</v>
      </c>
      <c r="AA98" s="131" t="s">
        <v>17</v>
      </c>
      <c r="AB98" s="131" t="s">
        <v>17</v>
      </c>
      <c r="AC98" s="131"/>
      <c r="AD98" s="131"/>
      <c r="AE98" s="131"/>
      <c r="AF98" s="158">
        <f t="shared" si="10"/>
        <v>8.8974999999999991</v>
      </c>
      <c r="AG98" s="159"/>
      <c r="AH98" s="155" t="s">
        <v>246</v>
      </c>
      <c r="AI98" s="155" t="s">
        <v>83</v>
      </c>
      <c r="AJ98" s="131" t="str">
        <f>IFERROR(VLOOKUP(E98&amp;F98,'Listagem dos op'!A:S,19,0),"")</f>
        <v/>
      </c>
      <c r="AK98" s="131" t="str">
        <f t="shared" si="9"/>
        <v>Jan1622</v>
      </c>
      <c r="AL98" s="154">
        <f>IF(N98="","",IF(N98="SIM",VLOOKUP($I98&amp;$J98&amp;N$1,Pesos!$A:$I,7,FALSE),VLOOKUP($I98&amp;$J98&amp;N$1,Pesos!$A:$I,9,FALSE)))</f>
        <v>0.1</v>
      </c>
      <c r="AM98" s="154">
        <f>IF(O98="","",IF(O98="SIM",VLOOKUP($I98&amp;$J98&amp;O$1,Pesos!$A:$I,7,FALSE),VLOOKUP($I98&amp;$J98&amp;O$1,Pesos!$A:$I,9,FALSE)))</f>
        <v>0.1</v>
      </c>
      <c r="AN98" s="154">
        <f>IF(P98="","",IF(P98="SIM",VLOOKUP($I98&amp;$J98&amp;P$1,Pesos!$A:$I,7,FALSE),VLOOKUP($I98&amp;$J98&amp;P$1,Pesos!$A:$I,9,FALSE)))</f>
        <v>0.1</v>
      </c>
      <c r="AO98" s="154">
        <f>IF(Q98="","",IF(Q98="SIM",VLOOKUP($I98&amp;$J98&amp;Q$1,Pesos!$A:$I,7,FALSE),VLOOKUP($I98&amp;$J98&amp;Q$1,Pesos!$A:$I,9,FALSE)))</f>
        <v>2</v>
      </c>
      <c r="AP98" s="154">
        <f>IF(R98="","",IF(R98="SIM",VLOOKUP($I98&amp;$J98&amp;R$1,Pesos!$A:$I,7,FALSE),VLOOKUP($I98&amp;$J98&amp;R$1,Pesos!$A:$I,9,FALSE)))</f>
        <v>1.03</v>
      </c>
      <c r="AQ98" s="154">
        <f>IF(S98="","",IF(S98="SIM",VLOOKUP($I98&amp;$J98&amp;S$1,Pesos!$A:$I,7,FALSE),VLOOKUP($I98&amp;$J98&amp;S$1,Pesos!$A:$I,9,FALSE)))</f>
        <v>1.22</v>
      </c>
      <c r="AR98" s="156">
        <f>IF(T98="","",IF(T98="SIM",VLOOKUP($I98&amp;$J98&amp;T$1,Pesos!$A:$I,7,FALSE),VLOOKUP($I98&amp;$J98&amp;T$1,Pesos!$A:$I,9,FALSE)))</f>
        <v>2</v>
      </c>
      <c r="AS98" s="132">
        <f>IF(U98="","",IF(U98="SIM",VLOOKUP($I98&amp;$J98&amp;U$1,Pesos!$A:$I,7,FALSE),VLOOKUP($I98&amp;$J98&amp;U$1,Pesos!$A:$I,9,FALSE)))</f>
        <v>1.05</v>
      </c>
      <c r="AT98" s="132">
        <f>IF(V98="","",IF(V98="SIM",VLOOKUP($I98&amp;$J98&amp;V$1,Pesos!$A:$I,7,FALSE),VLOOKUP($I98&amp;$J98&amp;V$1,Pesos!$A:$I,9,FALSE)))</f>
        <v>-5.2500000000000005E-2</v>
      </c>
      <c r="AU98" s="132">
        <f>IF(W98="","",IF(W98="SIM",VLOOKUP($I98&amp;$J98&amp;W$1,Pesos!$A:$I,7,FALSE),VLOOKUP($I98&amp;$J98&amp;W$1,Pesos!$A:$I,9,FALSE)))</f>
        <v>0.3</v>
      </c>
      <c r="AV98" s="132">
        <f>IF(X98="","",IF(X98="SIM",VLOOKUP($I98&amp;$J98&amp;X$1,Pesos!$A:$I,7,FALSE),VLOOKUP($I98&amp;$J98&amp;X$1,Pesos!$A:$I,9,FALSE)))</f>
        <v>0.3</v>
      </c>
      <c r="AW98" s="132">
        <f>IF(Y98="","",IF(Y98="SIM",VLOOKUP($I98&amp;$J98&amp;Y$1,Pesos!$A:$I,7,FALSE),VLOOKUP($I98&amp;$J98&amp;Y$1,Pesos!$A:$I,9,FALSE)))</f>
        <v>0.15</v>
      </c>
      <c r="AX98" s="132">
        <f>IF(Z98="","",IF(Z98="SIM",VLOOKUP($I98&amp;$J98&amp;Z$1,Pesos!$A:$I,7,FALSE),VLOOKUP($I98&amp;$J98&amp;Z$1,Pesos!$A:$I,9,FALSE)))</f>
        <v>0.2</v>
      </c>
      <c r="AY98" s="132">
        <f>IF(AA98="","",IF(AA98="SIM",VLOOKUP($I98&amp;$J98&amp;AA$1,Pesos!$A:$I,7,FALSE),VLOOKUP($I98&amp;$J98&amp;AA$1,Pesos!$A:$I,9,FALSE)))</f>
        <v>0.3</v>
      </c>
      <c r="AZ98" s="132">
        <f>IF(AB98="","",IF(AB98="SIM",VLOOKUP($I98&amp;$J98&amp;AB$1,Pesos!$A:$I,7,FALSE),VLOOKUP($I98&amp;$J98&amp;AB$1,Pesos!$A:$I,9,FALSE)))</f>
        <v>0.1</v>
      </c>
      <c r="BA98" s="132" t="str">
        <f>IF(AC98="","",IF(AC98="SIM",VLOOKUP($I98&amp;$J98&amp;AC$1,Pesos!$A:$I,7,FALSE),VLOOKUP($I98&amp;$J98&amp;AC$1,Pesos!$A:$I,9,FALSE)))</f>
        <v/>
      </c>
      <c r="BB98" s="132" t="str">
        <f>IF(AD98="","",IF(AD98="SIM",VLOOKUP($I98&amp;$J98&amp;AD$1,Pesos!$A:$I,7,FALSE),VLOOKUP($I98&amp;$J98&amp;AD$1,Pesos!$A:$I,9,FALSE)))</f>
        <v/>
      </c>
      <c r="BC98" s="132" t="str">
        <f>IF(AE98="","",IF(AE98="SIM",VLOOKUP($I98&amp;$J98&amp;AE$1,Pesos!$A:$I,7,FALSE),VLOOKUP($I98&amp;$J98&amp;AE$1,Pesos!$A:$I,9,FALSE)))</f>
        <v/>
      </c>
      <c r="BD98" s="158">
        <f>IFERROR(AF98*VLOOKUP(J98,'BD Campos'!$X$1:$Y$14,2,FALSE),"0")</f>
        <v>8.8974999999999991</v>
      </c>
    </row>
    <row r="99" spans="1:56">
      <c r="A99" s="151" t="str">
        <f t="shared" si="7"/>
        <v>Jan1622Motorista 2UTI</v>
      </c>
      <c r="B99" s="149" t="str">
        <f t="shared" si="8"/>
        <v>Jan16222UTIPADRÃO</v>
      </c>
      <c r="C99" s="152">
        <v>1</v>
      </c>
      <c r="D99" s="153">
        <v>46050.735482986114</v>
      </c>
      <c r="E99" s="154" t="s">
        <v>12</v>
      </c>
      <c r="F99" s="155">
        <v>1622</v>
      </c>
      <c r="G99" s="149" t="s">
        <v>245</v>
      </c>
      <c r="H99" s="154">
        <v>2</v>
      </c>
      <c r="I99" s="149" t="s">
        <v>92</v>
      </c>
      <c r="J99" s="149" t="s">
        <v>97</v>
      </c>
      <c r="K99" s="149" t="s">
        <v>128</v>
      </c>
      <c r="L99" s="156">
        <v>34604566</v>
      </c>
      <c r="M99" s="157">
        <v>2.0023148148148148E-3</v>
      </c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  <c r="AE99" s="131"/>
      <c r="AF99" s="158">
        <f t="shared" si="10"/>
        <v>0</v>
      </c>
      <c r="AG99" s="159" t="s">
        <v>247</v>
      </c>
      <c r="AH99" s="155" t="s">
        <v>248</v>
      </c>
      <c r="AI99" s="155" t="s">
        <v>83</v>
      </c>
      <c r="AJ99" s="131" t="str">
        <f>IFERROR(VLOOKUP(E99&amp;F99,'Listagem dos op'!A:S,19,0),"")</f>
        <v/>
      </c>
      <c r="AK99" s="131" t="str">
        <f t="shared" si="9"/>
        <v>Jan1622</v>
      </c>
      <c r="AL99" s="154" t="str">
        <f>IF(N99="","",IF(N99="SIM",VLOOKUP($I99&amp;$J99&amp;N$1,Pesos!$A:$I,7,FALSE),VLOOKUP($I99&amp;$J99&amp;N$1,Pesos!$A:$I,9,FALSE)))</f>
        <v/>
      </c>
      <c r="AM99" s="154" t="str">
        <f>IF(O99="","",IF(O99="SIM",VLOOKUP($I99&amp;$J99&amp;O$1,Pesos!$A:$I,7,FALSE),VLOOKUP($I99&amp;$J99&amp;O$1,Pesos!$A:$I,9,FALSE)))</f>
        <v/>
      </c>
      <c r="AN99" s="154" t="str">
        <f>IF(P99="","",IF(P99="SIM",VLOOKUP($I99&amp;$J99&amp;P$1,Pesos!$A:$I,7,FALSE),VLOOKUP($I99&amp;$J99&amp;P$1,Pesos!$A:$I,9,FALSE)))</f>
        <v/>
      </c>
      <c r="AO99" s="154" t="str">
        <f>IF(Q99="","",IF(Q99="SIM",VLOOKUP($I99&amp;$J99&amp;Q$1,Pesos!$A:$I,7,FALSE),VLOOKUP($I99&amp;$J99&amp;Q$1,Pesos!$A:$I,9,FALSE)))</f>
        <v/>
      </c>
      <c r="AP99" s="154" t="str">
        <f>IF(R99="","",IF(R99="SIM",VLOOKUP($I99&amp;$J99&amp;R$1,Pesos!$A:$I,7,FALSE),VLOOKUP($I99&amp;$J99&amp;R$1,Pesos!$A:$I,9,FALSE)))</f>
        <v/>
      </c>
      <c r="AQ99" s="154" t="str">
        <f>IF(S99="","",IF(S99="SIM",VLOOKUP($I99&amp;$J99&amp;S$1,Pesos!$A:$I,7,FALSE),VLOOKUP($I99&amp;$J99&amp;S$1,Pesos!$A:$I,9,FALSE)))</f>
        <v/>
      </c>
      <c r="AR99" s="156" t="str">
        <f>IF(T99="","",IF(T99="SIM",VLOOKUP($I99&amp;$J99&amp;T$1,Pesos!$A:$I,7,FALSE),VLOOKUP($I99&amp;$J99&amp;T$1,Pesos!$A:$I,9,FALSE)))</f>
        <v/>
      </c>
      <c r="AS99" s="132" t="str">
        <f>IF(U99="","",IF(U99="SIM",VLOOKUP($I99&amp;$J99&amp;U$1,Pesos!$A:$I,7,FALSE),VLOOKUP($I99&amp;$J99&amp;U$1,Pesos!$A:$I,9,FALSE)))</f>
        <v/>
      </c>
      <c r="AT99" s="132" t="str">
        <f>IF(V99="","",IF(V99="SIM",VLOOKUP($I99&amp;$J99&amp;V$1,Pesos!$A:$I,7,FALSE),VLOOKUP($I99&amp;$J99&amp;V$1,Pesos!$A:$I,9,FALSE)))</f>
        <v/>
      </c>
      <c r="AU99" s="132" t="str">
        <f>IF(W99="","",IF(W99="SIM",VLOOKUP($I99&amp;$J99&amp;W$1,Pesos!$A:$I,7,FALSE),VLOOKUP($I99&amp;$J99&amp;W$1,Pesos!$A:$I,9,FALSE)))</f>
        <v/>
      </c>
      <c r="AV99" s="132" t="str">
        <f>IF(X99="","",IF(X99="SIM",VLOOKUP($I99&amp;$J99&amp;X$1,Pesos!$A:$I,7,FALSE),VLOOKUP($I99&amp;$J99&amp;X$1,Pesos!$A:$I,9,FALSE)))</f>
        <v/>
      </c>
      <c r="AW99" s="132" t="str">
        <f>IF(Y99="","",IF(Y99="SIM",VLOOKUP($I99&amp;$J99&amp;Y$1,Pesos!$A:$I,7,FALSE),VLOOKUP($I99&amp;$J99&amp;Y$1,Pesos!$A:$I,9,FALSE)))</f>
        <v/>
      </c>
      <c r="AX99" s="132" t="str">
        <f>IF(Z99="","",IF(Z99="SIM",VLOOKUP($I99&amp;$J99&amp;Z$1,Pesos!$A:$I,7,FALSE),VLOOKUP($I99&amp;$J99&amp;Z$1,Pesos!$A:$I,9,FALSE)))</f>
        <v/>
      </c>
      <c r="AY99" s="132" t="str">
        <f>IF(AA99="","",IF(AA99="SIM",VLOOKUP($I99&amp;$J99&amp;AA$1,Pesos!$A:$I,7,FALSE),VLOOKUP($I99&amp;$J99&amp;AA$1,Pesos!$A:$I,9,FALSE)))</f>
        <v/>
      </c>
      <c r="AZ99" s="132" t="str">
        <f>IF(AB99="","",IF(AB99="SIM",VLOOKUP($I99&amp;$J99&amp;AB$1,Pesos!$A:$I,7,FALSE),VLOOKUP($I99&amp;$J99&amp;AB$1,Pesos!$A:$I,9,FALSE)))</f>
        <v/>
      </c>
      <c r="BA99" s="132" t="str">
        <f>IF(AC99="","",IF(AC99="SIM",VLOOKUP($I99&amp;$J99&amp;AC$1,Pesos!$A:$I,7,FALSE),VLOOKUP($I99&amp;$J99&amp;AC$1,Pesos!$A:$I,9,FALSE)))</f>
        <v/>
      </c>
      <c r="BB99" s="132" t="str">
        <f>IF(AD99="","",IF(AD99="SIM",VLOOKUP($I99&amp;$J99&amp;AD$1,Pesos!$A:$I,7,FALSE),VLOOKUP($I99&amp;$J99&amp;AD$1,Pesos!$A:$I,9,FALSE)))</f>
        <v/>
      </c>
      <c r="BC99" s="132" t="str">
        <f>IF(AE99="","",IF(AE99="SIM",VLOOKUP($I99&amp;$J99&amp;AE$1,Pesos!$A:$I,7,FALSE),VLOOKUP($I99&amp;$J99&amp;AE$1,Pesos!$A:$I,9,FALSE)))</f>
        <v/>
      </c>
      <c r="BD99" s="158">
        <f>IFERROR(AF99*VLOOKUP(J99,'BD Campos'!$X$1:$Y$14,2,FALSE),"0")</f>
        <v>0</v>
      </c>
    </row>
    <row r="100" spans="1:56">
      <c r="A100" s="151" t="str">
        <f t="shared" si="7"/>
        <v>Jan635MotoristaUTI</v>
      </c>
      <c r="B100" s="149" t="str">
        <f t="shared" si="8"/>
        <v>Jan6351UTIPADRÃO</v>
      </c>
      <c r="C100" s="152">
        <v>1</v>
      </c>
      <c r="D100" s="153">
        <v>46051.439465625001</v>
      </c>
      <c r="E100" s="154" t="s">
        <v>12</v>
      </c>
      <c r="F100" s="155">
        <v>635</v>
      </c>
      <c r="G100" s="149" t="s">
        <v>249</v>
      </c>
      <c r="H100" s="154">
        <v>1</v>
      </c>
      <c r="I100" s="149" t="s">
        <v>96</v>
      </c>
      <c r="J100" s="149" t="s">
        <v>93</v>
      </c>
      <c r="K100" s="149" t="s">
        <v>128</v>
      </c>
      <c r="L100" s="156">
        <v>34545131</v>
      </c>
      <c r="M100" s="157">
        <v>1.2384259259259258E-3</v>
      </c>
      <c r="N100" s="131" t="s">
        <v>17</v>
      </c>
      <c r="O100" s="131" t="s">
        <v>17</v>
      </c>
      <c r="P100" s="131" t="s">
        <v>17</v>
      </c>
      <c r="Q100" s="131" t="s">
        <v>17</v>
      </c>
      <c r="R100" s="131" t="s">
        <v>17</v>
      </c>
      <c r="S100" s="131" t="s">
        <v>17</v>
      </c>
      <c r="T100" s="131" t="s">
        <v>17</v>
      </c>
      <c r="U100" s="131" t="s">
        <v>17</v>
      </c>
      <c r="V100" s="131" t="s">
        <v>18</v>
      </c>
      <c r="W100" s="131" t="s">
        <v>17</v>
      </c>
      <c r="X100" s="131" t="s">
        <v>17</v>
      </c>
      <c r="Y100" s="131" t="s">
        <v>17</v>
      </c>
      <c r="Z100" s="131" t="s">
        <v>17</v>
      </c>
      <c r="AA100" s="131" t="s">
        <v>17</v>
      </c>
      <c r="AB100" s="131" t="s">
        <v>17</v>
      </c>
      <c r="AC100" s="131"/>
      <c r="AD100" s="131"/>
      <c r="AE100" s="131"/>
      <c r="AF100" s="158">
        <f t="shared" si="10"/>
        <v>8.8974999999999991</v>
      </c>
      <c r="AG100" s="159"/>
      <c r="AH100" s="155" t="s">
        <v>250</v>
      </c>
      <c r="AI100" s="155" t="s">
        <v>83</v>
      </c>
      <c r="AJ100" s="131" t="str">
        <f>IFERROR(VLOOKUP(E100&amp;F100,'Listagem dos op'!A:S,19,0),"")</f>
        <v/>
      </c>
      <c r="AK100" s="131" t="str">
        <f t="shared" si="9"/>
        <v>Jan635</v>
      </c>
      <c r="AL100" s="154">
        <f>IF(N100="","",IF(N100="SIM",VLOOKUP($I100&amp;$J100&amp;N$1,Pesos!$A:$I,7,FALSE),VLOOKUP($I100&amp;$J100&amp;N$1,Pesos!$A:$I,9,FALSE)))</f>
        <v>0.1</v>
      </c>
      <c r="AM100" s="154">
        <f>IF(O100="","",IF(O100="SIM",VLOOKUP($I100&amp;$J100&amp;O$1,Pesos!$A:$I,7,FALSE),VLOOKUP($I100&amp;$J100&amp;O$1,Pesos!$A:$I,9,FALSE)))</f>
        <v>0.1</v>
      </c>
      <c r="AN100" s="154">
        <f>IF(P100="","",IF(P100="SIM",VLOOKUP($I100&amp;$J100&amp;P$1,Pesos!$A:$I,7,FALSE),VLOOKUP($I100&amp;$J100&amp;P$1,Pesos!$A:$I,9,FALSE)))</f>
        <v>0.1</v>
      </c>
      <c r="AO100" s="154">
        <f>IF(Q100="","",IF(Q100="SIM",VLOOKUP($I100&amp;$J100&amp;Q$1,Pesos!$A:$I,7,FALSE),VLOOKUP($I100&amp;$J100&amp;Q$1,Pesos!$A:$I,9,FALSE)))</f>
        <v>2</v>
      </c>
      <c r="AP100" s="154">
        <f>IF(R100="","",IF(R100="SIM",VLOOKUP($I100&amp;$J100&amp;R$1,Pesos!$A:$I,7,FALSE),VLOOKUP($I100&amp;$J100&amp;R$1,Pesos!$A:$I,9,FALSE)))</f>
        <v>1.03</v>
      </c>
      <c r="AQ100" s="154">
        <f>IF(S100="","",IF(S100="SIM",VLOOKUP($I100&amp;$J100&amp;S$1,Pesos!$A:$I,7,FALSE),VLOOKUP($I100&amp;$J100&amp;S$1,Pesos!$A:$I,9,FALSE)))</f>
        <v>1.22</v>
      </c>
      <c r="AR100" s="156">
        <f>IF(T100="","",IF(T100="SIM",VLOOKUP($I100&amp;$J100&amp;T$1,Pesos!$A:$I,7,FALSE),VLOOKUP($I100&amp;$J100&amp;T$1,Pesos!$A:$I,9,FALSE)))</f>
        <v>2</v>
      </c>
      <c r="AS100" s="132">
        <f>IF(U100="","",IF(U100="SIM",VLOOKUP($I100&amp;$J100&amp;U$1,Pesos!$A:$I,7,FALSE),VLOOKUP($I100&amp;$J100&amp;U$1,Pesos!$A:$I,9,FALSE)))</f>
        <v>1.05</v>
      </c>
      <c r="AT100" s="132">
        <f>IF(V100="","",IF(V100="SIM",VLOOKUP($I100&amp;$J100&amp;V$1,Pesos!$A:$I,7,FALSE),VLOOKUP($I100&amp;$J100&amp;V$1,Pesos!$A:$I,9,FALSE)))</f>
        <v>-5.2500000000000005E-2</v>
      </c>
      <c r="AU100" s="132">
        <f>IF(W100="","",IF(W100="SIM",VLOOKUP($I100&amp;$J100&amp;W$1,Pesos!$A:$I,7,FALSE),VLOOKUP($I100&amp;$J100&amp;W$1,Pesos!$A:$I,9,FALSE)))</f>
        <v>0.3</v>
      </c>
      <c r="AV100" s="132">
        <f>IF(X100="","",IF(X100="SIM",VLOOKUP($I100&amp;$J100&amp;X$1,Pesos!$A:$I,7,FALSE),VLOOKUP($I100&amp;$J100&amp;X$1,Pesos!$A:$I,9,FALSE)))</f>
        <v>0.3</v>
      </c>
      <c r="AW100" s="132">
        <f>IF(Y100="","",IF(Y100="SIM",VLOOKUP($I100&amp;$J100&amp;Y$1,Pesos!$A:$I,7,FALSE),VLOOKUP($I100&amp;$J100&amp;Y$1,Pesos!$A:$I,9,FALSE)))</f>
        <v>0.15</v>
      </c>
      <c r="AX100" s="132">
        <f>IF(Z100="","",IF(Z100="SIM",VLOOKUP($I100&amp;$J100&amp;Z$1,Pesos!$A:$I,7,FALSE),VLOOKUP($I100&amp;$J100&amp;Z$1,Pesos!$A:$I,9,FALSE)))</f>
        <v>0.2</v>
      </c>
      <c r="AY100" s="132">
        <f>IF(AA100="","",IF(AA100="SIM",VLOOKUP($I100&amp;$J100&amp;AA$1,Pesos!$A:$I,7,FALSE),VLOOKUP($I100&amp;$J100&amp;AA$1,Pesos!$A:$I,9,FALSE)))</f>
        <v>0.3</v>
      </c>
      <c r="AZ100" s="132">
        <f>IF(AB100="","",IF(AB100="SIM",VLOOKUP($I100&amp;$J100&amp;AB$1,Pesos!$A:$I,7,FALSE),VLOOKUP($I100&amp;$J100&amp;AB$1,Pesos!$A:$I,9,FALSE)))</f>
        <v>0.1</v>
      </c>
      <c r="BA100" s="132" t="str">
        <f>IF(AC100="","",IF(AC100="SIM",VLOOKUP($I100&amp;$J100&amp;AC$1,Pesos!$A:$I,7,FALSE),VLOOKUP($I100&amp;$J100&amp;AC$1,Pesos!$A:$I,9,FALSE)))</f>
        <v/>
      </c>
      <c r="BB100" s="132" t="str">
        <f>IF(AD100="","",IF(AD100="SIM",VLOOKUP($I100&amp;$J100&amp;AD$1,Pesos!$A:$I,7,FALSE),VLOOKUP($I100&amp;$J100&amp;AD$1,Pesos!$A:$I,9,FALSE)))</f>
        <v/>
      </c>
      <c r="BC100" s="132" t="str">
        <f>IF(AE100="","",IF(AE100="SIM",VLOOKUP($I100&amp;$J100&amp;AE$1,Pesos!$A:$I,7,FALSE),VLOOKUP($I100&amp;$J100&amp;AE$1,Pesos!$A:$I,9,FALSE)))</f>
        <v/>
      </c>
      <c r="BD100" s="158">
        <f>IFERROR(AF100*VLOOKUP(J100,'BD Campos'!$X$1:$Y$14,2,FALSE),"0")</f>
        <v>8.8974999999999991</v>
      </c>
    </row>
    <row r="101" spans="1:56">
      <c r="A101" s="151" t="str">
        <f t="shared" si="7"/>
        <v>Jan635Motorista 2UTI</v>
      </c>
      <c r="B101" s="149" t="str">
        <f t="shared" si="8"/>
        <v>Jan6352UTIPADRÃO</v>
      </c>
      <c r="C101" s="152">
        <v>1</v>
      </c>
      <c r="D101" s="153">
        <v>46051.456464583331</v>
      </c>
      <c r="E101" s="154" t="s">
        <v>12</v>
      </c>
      <c r="F101" s="155">
        <v>635</v>
      </c>
      <c r="G101" s="149" t="s">
        <v>249</v>
      </c>
      <c r="H101" s="154">
        <v>2</v>
      </c>
      <c r="I101" s="149" t="s">
        <v>92</v>
      </c>
      <c r="J101" s="149" t="s">
        <v>97</v>
      </c>
      <c r="K101" s="149" t="s">
        <v>128</v>
      </c>
      <c r="L101" s="156">
        <v>2432213</v>
      </c>
      <c r="M101" s="157">
        <v>2.0833333333333333E-3</v>
      </c>
      <c r="N101" s="131" t="s">
        <v>17</v>
      </c>
      <c r="O101" s="131" t="s">
        <v>17</v>
      </c>
      <c r="P101" s="131" t="s">
        <v>17</v>
      </c>
      <c r="Q101" s="131" t="s">
        <v>17</v>
      </c>
      <c r="R101" s="131" t="s">
        <v>17</v>
      </c>
      <c r="S101" s="131" t="s">
        <v>18</v>
      </c>
      <c r="T101" s="131" t="s">
        <v>17</v>
      </c>
      <c r="U101" s="131" t="s">
        <v>18</v>
      </c>
      <c r="V101" s="131" t="s">
        <v>17</v>
      </c>
      <c r="W101" s="131" t="s">
        <v>17</v>
      </c>
      <c r="X101" s="131" t="s">
        <v>17</v>
      </c>
      <c r="Y101" s="131" t="s">
        <v>17</v>
      </c>
      <c r="Z101" s="131" t="s">
        <v>17</v>
      </c>
      <c r="AA101" s="131" t="s">
        <v>17</v>
      </c>
      <c r="AB101" s="131"/>
      <c r="AC101" s="131"/>
      <c r="AD101" s="131"/>
      <c r="AE101" s="131"/>
      <c r="AF101" s="158">
        <f t="shared" si="10"/>
        <v>6.43</v>
      </c>
      <c r="AG101" s="159"/>
      <c r="AH101" s="155" t="s">
        <v>251</v>
      </c>
      <c r="AI101" s="155" t="s">
        <v>83</v>
      </c>
      <c r="AJ101" s="131" t="str">
        <f>IFERROR(VLOOKUP(E101&amp;F101,'Listagem dos op'!A:S,19,0),"")</f>
        <v/>
      </c>
      <c r="AK101" s="131" t="str">
        <f t="shared" si="9"/>
        <v>Jan635</v>
      </c>
      <c r="AL101" s="154">
        <f>IF(N101="","",IF(N101="SIM",VLOOKUP($I101&amp;$J101&amp;N$1,Pesos!$A:$I,7,FALSE),VLOOKUP($I101&amp;$J101&amp;N$1,Pesos!$A:$I,9,FALSE)))</f>
        <v>0.1</v>
      </c>
      <c r="AM101" s="154">
        <f>IF(O101="","",IF(O101="SIM",VLOOKUP($I101&amp;$J101&amp;O$1,Pesos!$A:$I,7,FALSE),VLOOKUP($I101&amp;$J101&amp;O$1,Pesos!$A:$I,9,FALSE)))</f>
        <v>0.1</v>
      </c>
      <c r="AN101" s="154">
        <f>IF(P101="","",IF(P101="SIM",VLOOKUP($I101&amp;$J101&amp;P$1,Pesos!$A:$I,7,FALSE),VLOOKUP($I101&amp;$J101&amp;P$1,Pesos!$A:$I,9,FALSE)))</f>
        <v>0.1</v>
      </c>
      <c r="AO101" s="154">
        <f>IF(Q101="","",IF(Q101="SIM",VLOOKUP($I101&amp;$J101&amp;Q$1,Pesos!$A:$I,7,FALSE),VLOOKUP($I101&amp;$J101&amp;Q$1,Pesos!$A:$I,9,FALSE)))</f>
        <v>2</v>
      </c>
      <c r="AP101" s="154">
        <f>IF(R101="","",IF(R101="SIM",VLOOKUP($I101&amp;$J101&amp;R$1,Pesos!$A:$I,7,FALSE),VLOOKUP($I101&amp;$J101&amp;R$1,Pesos!$A:$I,9,FALSE)))</f>
        <v>1.03</v>
      </c>
      <c r="AQ101" s="154">
        <f>IF(S101="","",IF(S101="SIM",VLOOKUP($I101&amp;$J101&amp;S$1,Pesos!$A:$I,7,FALSE),VLOOKUP($I101&amp;$J101&amp;S$1,Pesos!$A:$I,9,FALSE)))</f>
        <v>-8.500000000000002E-2</v>
      </c>
      <c r="AR101" s="156">
        <f>IF(T101="","",IF(T101="SIM",VLOOKUP($I101&amp;$J101&amp;T$1,Pesos!$A:$I,7,FALSE),VLOOKUP($I101&amp;$J101&amp;T$1,Pesos!$A:$I,9,FALSE)))</f>
        <v>1.92</v>
      </c>
      <c r="AS101" s="132">
        <f>IF(U101="","",IF(U101="SIM",VLOOKUP($I101&amp;$J101&amp;U$1,Pesos!$A:$I,7,FALSE),VLOOKUP($I101&amp;$J101&amp;U$1,Pesos!$A:$I,9,FALSE)))</f>
        <v>-8.500000000000002E-2</v>
      </c>
      <c r="AT101" s="132">
        <f>IF(V101="","",IF(V101="SIM",VLOOKUP($I101&amp;$J101&amp;V$1,Pesos!$A:$I,7,FALSE),VLOOKUP($I101&amp;$J101&amp;V$1,Pesos!$A:$I,9,FALSE)))</f>
        <v>0.3</v>
      </c>
      <c r="AU101" s="132">
        <f>IF(W101="","",IF(W101="SIM",VLOOKUP($I101&amp;$J101&amp;W$1,Pesos!$A:$I,7,FALSE),VLOOKUP($I101&amp;$J101&amp;W$1,Pesos!$A:$I,9,FALSE)))</f>
        <v>0.3</v>
      </c>
      <c r="AV101" s="132">
        <f>IF(X101="","",IF(X101="SIM",VLOOKUP($I101&amp;$J101&amp;X$1,Pesos!$A:$I,7,FALSE),VLOOKUP($I101&amp;$J101&amp;X$1,Pesos!$A:$I,9,FALSE)))</f>
        <v>0.15</v>
      </c>
      <c r="AW101" s="132">
        <f>IF(Y101="","",IF(Y101="SIM",VLOOKUP($I101&amp;$J101&amp;Y$1,Pesos!$A:$I,7,FALSE),VLOOKUP($I101&amp;$J101&amp;Y$1,Pesos!$A:$I,9,FALSE)))</f>
        <v>0.2</v>
      </c>
      <c r="AX101" s="132">
        <f>IF(Z101="","",IF(Z101="SIM",VLOOKUP($I101&amp;$J101&amp;Z$1,Pesos!$A:$I,7,FALSE),VLOOKUP($I101&amp;$J101&amp;Z$1,Pesos!$A:$I,9,FALSE)))</f>
        <v>0.3</v>
      </c>
      <c r="AY101" s="132">
        <f>IF(AA101="","",IF(AA101="SIM",VLOOKUP($I101&amp;$J101&amp;AA$1,Pesos!$A:$I,7,FALSE),VLOOKUP($I101&amp;$J101&amp;AA$1,Pesos!$A:$I,9,FALSE)))</f>
        <v>0.1</v>
      </c>
      <c r="AZ101" s="132" t="str">
        <f>IF(AB101="","",IF(AB101="SIM",VLOOKUP($I101&amp;$J101&amp;AB$1,Pesos!$A:$I,7,FALSE),VLOOKUP($I101&amp;$J101&amp;AB$1,Pesos!$A:$I,9,FALSE)))</f>
        <v/>
      </c>
      <c r="BA101" s="132" t="str">
        <f>IF(AC101="","",IF(AC101="SIM",VLOOKUP($I101&amp;$J101&amp;AC$1,Pesos!$A:$I,7,FALSE),VLOOKUP($I101&amp;$J101&amp;AC$1,Pesos!$A:$I,9,FALSE)))</f>
        <v/>
      </c>
      <c r="BB101" s="132" t="str">
        <f>IF(AD101="","",IF(AD101="SIM",VLOOKUP($I101&amp;$J101&amp;AD$1,Pesos!$A:$I,7,FALSE),VLOOKUP($I101&amp;$J101&amp;AD$1,Pesos!$A:$I,9,FALSE)))</f>
        <v/>
      </c>
      <c r="BC101" s="132" t="str">
        <f>IF(AE101="","",IF(AE101="SIM",VLOOKUP($I101&amp;$J101&amp;AE$1,Pesos!$A:$I,7,FALSE),VLOOKUP($I101&amp;$J101&amp;AE$1,Pesos!$A:$I,9,FALSE)))</f>
        <v/>
      </c>
      <c r="BD101" s="158">
        <f>IFERROR(AF101*VLOOKUP(J101,'BD Campos'!$X$1:$Y$14,2,FALSE),"0")</f>
        <v>6.43</v>
      </c>
    </row>
    <row r="102" spans="1:56">
      <c r="A102" s="151" t="str">
        <f t="shared" si="7"/>
        <v>Jan10858MotoristaUTI</v>
      </c>
      <c r="B102" s="149" t="str">
        <f t="shared" si="8"/>
        <v>Jan108581UTIPADRÃO</v>
      </c>
      <c r="C102" s="152">
        <v>1</v>
      </c>
      <c r="D102" s="153">
        <v>46051.583370717592</v>
      </c>
      <c r="E102" s="154" t="s">
        <v>12</v>
      </c>
      <c r="F102" s="155">
        <v>10858</v>
      </c>
      <c r="G102" s="149" t="s">
        <v>252</v>
      </c>
      <c r="H102" s="154">
        <v>1</v>
      </c>
      <c r="I102" s="149" t="s">
        <v>96</v>
      </c>
      <c r="J102" s="149" t="s">
        <v>93</v>
      </c>
      <c r="K102" s="149" t="s">
        <v>128</v>
      </c>
      <c r="L102" s="156">
        <v>34682543</v>
      </c>
      <c r="M102" s="157">
        <v>8.9120370370370362E-4</v>
      </c>
      <c r="N102" s="131" t="s">
        <v>17</v>
      </c>
      <c r="O102" s="131" t="s">
        <v>17</v>
      </c>
      <c r="P102" s="131" t="s">
        <v>17</v>
      </c>
      <c r="Q102" s="131" t="s">
        <v>17</v>
      </c>
      <c r="R102" s="131" t="s">
        <v>17</v>
      </c>
      <c r="S102" s="131" t="s">
        <v>17</v>
      </c>
      <c r="T102" s="131" t="s">
        <v>17</v>
      </c>
      <c r="U102" s="131" t="s">
        <v>18</v>
      </c>
      <c r="V102" s="131" t="s">
        <v>18</v>
      </c>
      <c r="W102" s="131" t="s">
        <v>17</v>
      </c>
      <c r="X102" s="131" t="s">
        <v>17</v>
      </c>
      <c r="Y102" s="131" t="s">
        <v>17</v>
      </c>
      <c r="Z102" s="131" t="s">
        <v>17</v>
      </c>
      <c r="AA102" s="131" t="s">
        <v>17</v>
      </c>
      <c r="AB102" s="131" t="s">
        <v>17</v>
      </c>
      <c r="AC102" s="131"/>
      <c r="AD102" s="131"/>
      <c r="AE102" s="131"/>
      <c r="AF102" s="158">
        <f t="shared" si="10"/>
        <v>7.794999999999999</v>
      </c>
      <c r="AG102" s="159"/>
      <c r="AH102" s="155" t="s">
        <v>253</v>
      </c>
      <c r="AI102" s="155" t="s">
        <v>83</v>
      </c>
      <c r="AJ102" s="131" t="str">
        <f>IFERROR(VLOOKUP(E102&amp;F102,'Listagem dos op'!A:S,19,0),"")</f>
        <v/>
      </c>
      <c r="AK102" s="131" t="str">
        <f t="shared" si="9"/>
        <v>Jan10858</v>
      </c>
      <c r="AL102" s="154">
        <f>IF(N102="","",IF(N102="SIM",VLOOKUP($I102&amp;$J102&amp;N$1,Pesos!$A:$I,7,FALSE),VLOOKUP($I102&amp;$J102&amp;N$1,Pesos!$A:$I,9,FALSE)))</f>
        <v>0.1</v>
      </c>
      <c r="AM102" s="154">
        <f>IF(O102="","",IF(O102="SIM",VLOOKUP($I102&amp;$J102&amp;O$1,Pesos!$A:$I,7,FALSE),VLOOKUP($I102&amp;$J102&amp;O$1,Pesos!$A:$I,9,FALSE)))</f>
        <v>0.1</v>
      </c>
      <c r="AN102" s="154">
        <f>IF(P102="","",IF(P102="SIM",VLOOKUP($I102&amp;$J102&amp;P$1,Pesos!$A:$I,7,FALSE),VLOOKUP($I102&amp;$J102&amp;P$1,Pesos!$A:$I,9,FALSE)))</f>
        <v>0.1</v>
      </c>
      <c r="AO102" s="154">
        <f>IF(Q102="","",IF(Q102="SIM",VLOOKUP($I102&amp;$J102&amp;Q$1,Pesos!$A:$I,7,FALSE),VLOOKUP($I102&amp;$J102&amp;Q$1,Pesos!$A:$I,9,FALSE)))</f>
        <v>2</v>
      </c>
      <c r="AP102" s="154">
        <f>IF(R102="","",IF(R102="SIM",VLOOKUP($I102&amp;$J102&amp;R$1,Pesos!$A:$I,7,FALSE),VLOOKUP($I102&amp;$J102&amp;R$1,Pesos!$A:$I,9,FALSE)))</f>
        <v>1.03</v>
      </c>
      <c r="AQ102" s="154">
        <f>IF(S102="","",IF(S102="SIM",VLOOKUP($I102&amp;$J102&amp;S$1,Pesos!$A:$I,7,FALSE),VLOOKUP($I102&amp;$J102&amp;S$1,Pesos!$A:$I,9,FALSE)))</f>
        <v>1.22</v>
      </c>
      <c r="AR102" s="156">
        <f>IF(T102="","",IF(T102="SIM",VLOOKUP($I102&amp;$J102&amp;T$1,Pesos!$A:$I,7,FALSE),VLOOKUP($I102&amp;$J102&amp;T$1,Pesos!$A:$I,9,FALSE)))</f>
        <v>2</v>
      </c>
      <c r="AS102" s="132">
        <f>IF(U102="","",IF(U102="SIM",VLOOKUP($I102&amp;$J102&amp;U$1,Pesos!$A:$I,7,FALSE),VLOOKUP($I102&amp;$J102&amp;U$1,Pesos!$A:$I,9,FALSE)))</f>
        <v>-5.2500000000000005E-2</v>
      </c>
      <c r="AT102" s="132">
        <f>IF(V102="","",IF(V102="SIM",VLOOKUP($I102&amp;$J102&amp;V$1,Pesos!$A:$I,7,FALSE),VLOOKUP($I102&amp;$J102&amp;V$1,Pesos!$A:$I,9,FALSE)))</f>
        <v>-5.2500000000000005E-2</v>
      </c>
      <c r="AU102" s="132">
        <f>IF(W102="","",IF(W102="SIM",VLOOKUP($I102&amp;$J102&amp;W$1,Pesos!$A:$I,7,FALSE),VLOOKUP($I102&amp;$J102&amp;W$1,Pesos!$A:$I,9,FALSE)))</f>
        <v>0.3</v>
      </c>
      <c r="AV102" s="132">
        <f>IF(X102="","",IF(X102="SIM",VLOOKUP($I102&amp;$J102&amp;X$1,Pesos!$A:$I,7,FALSE),VLOOKUP($I102&amp;$J102&amp;X$1,Pesos!$A:$I,9,FALSE)))</f>
        <v>0.3</v>
      </c>
      <c r="AW102" s="132">
        <f>IF(Y102="","",IF(Y102="SIM",VLOOKUP($I102&amp;$J102&amp;Y$1,Pesos!$A:$I,7,FALSE),VLOOKUP($I102&amp;$J102&amp;Y$1,Pesos!$A:$I,9,FALSE)))</f>
        <v>0.15</v>
      </c>
      <c r="AX102" s="132">
        <f>IF(Z102="","",IF(Z102="SIM",VLOOKUP($I102&amp;$J102&amp;Z$1,Pesos!$A:$I,7,FALSE),VLOOKUP($I102&amp;$J102&amp;Z$1,Pesos!$A:$I,9,FALSE)))</f>
        <v>0.2</v>
      </c>
      <c r="AY102" s="132">
        <f>IF(AA102="","",IF(AA102="SIM",VLOOKUP($I102&amp;$J102&amp;AA$1,Pesos!$A:$I,7,FALSE),VLOOKUP($I102&amp;$J102&amp;AA$1,Pesos!$A:$I,9,FALSE)))</f>
        <v>0.3</v>
      </c>
      <c r="AZ102" s="132">
        <f>IF(AB102="","",IF(AB102="SIM",VLOOKUP($I102&amp;$J102&amp;AB$1,Pesos!$A:$I,7,FALSE),VLOOKUP($I102&amp;$J102&amp;AB$1,Pesos!$A:$I,9,FALSE)))</f>
        <v>0.1</v>
      </c>
      <c r="BA102" s="132" t="str">
        <f>IF(AC102="","",IF(AC102="SIM",VLOOKUP($I102&amp;$J102&amp;AC$1,Pesos!$A:$I,7,FALSE),VLOOKUP($I102&amp;$J102&amp;AC$1,Pesos!$A:$I,9,FALSE)))</f>
        <v/>
      </c>
      <c r="BB102" s="132" t="str">
        <f>IF(AD102="","",IF(AD102="SIM",VLOOKUP($I102&amp;$J102&amp;AD$1,Pesos!$A:$I,7,FALSE),VLOOKUP($I102&amp;$J102&amp;AD$1,Pesos!$A:$I,9,FALSE)))</f>
        <v/>
      </c>
      <c r="BC102" s="132" t="str">
        <f>IF(AE102="","",IF(AE102="SIM",VLOOKUP($I102&amp;$J102&amp;AE$1,Pesos!$A:$I,7,FALSE),VLOOKUP($I102&amp;$J102&amp;AE$1,Pesos!$A:$I,9,FALSE)))</f>
        <v/>
      </c>
      <c r="BD102" s="158">
        <f>IFERROR(AF102*VLOOKUP(J102,'BD Campos'!$X$1:$Y$14,2,FALSE),"0")</f>
        <v>7.794999999999999</v>
      </c>
    </row>
    <row r="103" spans="1:56">
      <c r="A103" s="151" t="str">
        <f t="shared" si="7"/>
        <v>Jan10858Motorista 2UTI</v>
      </c>
      <c r="B103" s="149" t="str">
        <f t="shared" si="8"/>
        <v>Jan108582UTIPADRÃO</v>
      </c>
      <c r="C103" s="152">
        <v>1</v>
      </c>
      <c r="D103" s="153">
        <v>46051.584972916666</v>
      </c>
      <c r="E103" s="154" t="s">
        <v>12</v>
      </c>
      <c r="F103" s="155">
        <v>10858</v>
      </c>
      <c r="G103" s="149" t="s">
        <v>252</v>
      </c>
      <c r="H103" s="154">
        <v>2</v>
      </c>
      <c r="I103" s="149" t="s">
        <v>96</v>
      </c>
      <c r="J103" s="149" t="s">
        <v>97</v>
      </c>
      <c r="K103" s="149" t="s">
        <v>128</v>
      </c>
      <c r="L103" s="156">
        <v>34691751</v>
      </c>
      <c r="M103" s="157">
        <v>1.0648148148148147E-3</v>
      </c>
      <c r="N103" s="131" t="s">
        <v>17</v>
      </c>
      <c r="O103" s="131" t="s">
        <v>17</v>
      </c>
      <c r="P103" s="131" t="s">
        <v>17</v>
      </c>
      <c r="Q103" s="131" t="s">
        <v>17</v>
      </c>
      <c r="R103" s="131" t="s">
        <v>17</v>
      </c>
      <c r="S103" s="131" t="s">
        <v>17</v>
      </c>
      <c r="T103" s="131" t="s">
        <v>17</v>
      </c>
      <c r="U103" s="131" t="s">
        <v>18</v>
      </c>
      <c r="V103" s="131" t="s">
        <v>18</v>
      </c>
      <c r="W103" s="131" t="s">
        <v>17</v>
      </c>
      <c r="X103" s="131" t="s">
        <v>17</v>
      </c>
      <c r="Y103" s="131" t="s">
        <v>17</v>
      </c>
      <c r="Z103" s="131" t="s">
        <v>18</v>
      </c>
      <c r="AA103" s="131" t="s">
        <v>17</v>
      </c>
      <c r="AB103" s="131" t="s">
        <v>17</v>
      </c>
      <c r="AC103" s="131"/>
      <c r="AD103" s="131"/>
      <c r="AE103" s="131"/>
      <c r="AF103" s="158">
        <f t="shared" si="10"/>
        <v>7.5849999999999991</v>
      </c>
      <c r="AG103" s="159"/>
      <c r="AH103" s="155" t="s">
        <v>254</v>
      </c>
      <c r="AI103" s="155" t="s">
        <v>83</v>
      </c>
      <c r="AJ103" s="131" t="str">
        <f>IFERROR(VLOOKUP(E103&amp;F103,'Listagem dos op'!A:S,19,0),"")</f>
        <v/>
      </c>
      <c r="AK103" s="131" t="str">
        <f t="shared" si="9"/>
        <v>Jan10858</v>
      </c>
      <c r="AL103" s="154">
        <f>IF(N103="","",IF(N103="SIM",VLOOKUP($I103&amp;$J103&amp;N$1,Pesos!$A:$I,7,FALSE),VLOOKUP($I103&amp;$J103&amp;N$1,Pesos!$A:$I,9,FALSE)))</f>
        <v>0.1</v>
      </c>
      <c r="AM103" s="154">
        <f>IF(O103="","",IF(O103="SIM",VLOOKUP($I103&amp;$J103&amp;O$1,Pesos!$A:$I,7,FALSE),VLOOKUP($I103&amp;$J103&amp;O$1,Pesos!$A:$I,9,FALSE)))</f>
        <v>0.1</v>
      </c>
      <c r="AN103" s="154">
        <f>IF(P103="","",IF(P103="SIM",VLOOKUP($I103&amp;$J103&amp;P$1,Pesos!$A:$I,7,FALSE),VLOOKUP($I103&amp;$J103&amp;P$1,Pesos!$A:$I,9,FALSE)))</f>
        <v>0.1</v>
      </c>
      <c r="AO103" s="154">
        <f>IF(Q103="","",IF(Q103="SIM",VLOOKUP($I103&amp;$J103&amp;Q$1,Pesos!$A:$I,7,FALSE),VLOOKUP($I103&amp;$J103&amp;Q$1,Pesos!$A:$I,9,FALSE)))</f>
        <v>2</v>
      </c>
      <c r="AP103" s="154">
        <f>IF(R103="","",IF(R103="SIM",VLOOKUP($I103&amp;$J103&amp;R$1,Pesos!$A:$I,7,FALSE),VLOOKUP($I103&amp;$J103&amp;R$1,Pesos!$A:$I,9,FALSE)))</f>
        <v>1.03</v>
      </c>
      <c r="AQ103" s="154">
        <f>IF(S103="","",IF(S103="SIM",VLOOKUP($I103&amp;$J103&amp;S$1,Pesos!$A:$I,7,FALSE),VLOOKUP($I103&amp;$J103&amp;S$1,Pesos!$A:$I,9,FALSE)))</f>
        <v>1.22</v>
      </c>
      <c r="AR103" s="156">
        <f>IF(T103="","",IF(T103="SIM",VLOOKUP($I103&amp;$J103&amp;T$1,Pesos!$A:$I,7,FALSE),VLOOKUP($I103&amp;$J103&amp;T$1,Pesos!$A:$I,9,FALSE)))</f>
        <v>2</v>
      </c>
      <c r="AS103" s="132">
        <f>IF(U103="","",IF(U103="SIM",VLOOKUP($I103&amp;$J103&amp;U$1,Pesos!$A:$I,7,FALSE),VLOOKUP($I103&amp;$J103&amp;U$1,Pesos!$A:$I,9,FALSE)))</f>
        <v>-5.2500000000000005E-2</v>
      </c>
      <c r="AT103" s="132">
        <f>IF(V103="","",IF(V103="SIM",VLOOKUP($I103&amp;$J103&amp;V$1,Pesos!$A:$I,7,FALSE),VLOOKUP($I103&amp;$J103&amp;V$1,Pesos!$A:$I,9,FALSE)))</f>
        <v>-5.2500000000000005E-2</v>
      </c>
      <c r="AU103" s="132">
        <f>IF(W103="","",IF(W103="SIM",VLOOKUP($I103&amp;$J103&amp;W$1,Pesos!$A:$I,7,FALSE),VLOOKUP($I103&amp;$J103&amp;W$1,Pesos!$A:$I,9,FALSE)))</f>
        <v>0.3</v>
      </c>
      <c r="AV103" s="132">
        <f>IF(X103="","",IF(X103="SIM",VLOOKUP($I103&amp;$J103&amp;X$1,Pesos!$A:$I,7,FALSE),VLOOKUP($I103&amp;$J103&amp;X$1,Pesos!$A:$I,9,FALSE)))</f>
        <v>0.3</v>
      </c>
      <c r="AW103" s="132">
        <f>IF(Y103="","",IF(Y103="SIM",VLOOKUP($I103&amp;$J103&amp;Y$1,Pesos!$A:$I,7,FALSE),VLOOKUP($I103&amp;$J103&amp;Y$1,Pesos!$A:$I,9,FALSE)))</f>
        <v>0.15</v>
      </c>
      <c r="AX103" s="132">
        <f>IF(Z103="","",IF(Z103="SIM",VLOOKUP($I103&amp;$J103&amp;Z$1,Pesos!$A:$I,7,FALSE),VLOOKUP($I103&amp;$J103&amp;Z$1,Pesos!$A:$I,9,FALSE)))</f>
        <v>-1.0000000000000002E-2</v>
      </c>
      <c r="AY103" s="132">
        <f>IF(AA103="","",IF(AA103="SIM",VLOOKUP($I103&amp;$J103&amp;AA$1,Pesos!$A:$I,7,FALSE),VLOOKUP($I103&amp;$J103&amp;AA$1,Pesos!$A:$I,9,FALSE)))</f>
        <v>0.3</v>
      </c>
      <c r="AZ103" s="132">
        <f>IF(AB103="","",IF(AB103="SIM",VLOOKUP($I103&amp;$J103&amp;AB$1,Pesos!$A:$I,7,FALSE),VLOOKUP($I103&amp;$J103&amp;AB$1,Pesos!$A:$I,9,FALSE)))</f>
        <v>0.1</v>
      </c>
      <c r="BA103" s="132" t="str">
        <f>IF(AC103="","",IF(AC103="SIM",VLOOKUP($I103&amp;$J103&amp;AC$1,Pesos!$A:$I,7,FALSE),VLOOKUP($I103&amp;$J103&amp;AC$1,Pesos!$A:$I,9,FALSE)))</f>
        <v/>
      </c>
      <c r="BB103" s="132" t="str">
        <f>IF(AD103="","",IF(AD103="SIM",VLOOKUP($I103&amp;$J103&amp;AD$1,Pesos!$A:$I,7,FALSE),VLOOKUP($I103&amp;$J103&amp;AD$1,Pesos!$A:$I,9,FALSE)))</f>
        <v/>
      </c>
      <c r="BC103" s="132" t="str">
        <f>IF(AE103="","",IF(AE103="SIM",VLOOKUP($I103&amp;$J103&amp;AE$1,Pesos!$A:$I,7,FALSE),VLOOKUP($I103&amp;$J103&amp;AE$1,Pesos!$A:$I,9,FALSE)))</f>
        <v/>
      </c>
      <c r="BD103" s="158">
        <f>IFERROR(AF103*VLOOKUP(J103,'BD Campos'!$X$1:$Y$14,2,FALSE),"0")</f>
        <v>7.5849999999999991</v>
      </c>
    </row>
    <row r="104" spans="1:56">
      <c r="A104" s="151" t="str">
        <f t="shared" si="7"/>
        <v>Jan10947PolíciaBAS</v>
      </c>
      <c r="B104" s="149" t="str">
        <f t="shared" si="8"/>
        <v>Jan109471BASPADRÃO</v>
      </c>
      <c r="C104" s="152">
        <v>1</v>
      </c>
      <c r="D104" s="153">
        <v>46051.594726967596</v>
      </c>
      <c r="E104" s="154" t="s">
        <v>12</v>
      </c>
      <c r="F104" s="155">
        <v>10947</v>
      </c>
      <c r="G104" s="149" t="s">
        <v>255</v>
      </c>
      <c r="H104" s="154">
        <v>1</v>
      </c>
      <c r="I104" s="149" t="s">
        <v>92</v>
      </c>
      <c r="J104" s="149" t="s">
        <v>222</v>
      </c>
      <c r="K104" s="149" t="s">
        <v>223</v>
      </c>
      <c r="L104" s="156">
        <v>34512847</v>
      </c>
      <c r="M104" s="157">
        <v>3.5532407407407405E-3</v>
      </c>
      <c r="N104" s="131" t="s">
        <v>17</v>
      </c>
      <c r="O104" s="131" t="s">
        <v>17</v>
      </c>
      <c r="P104" s="131" t="s">
        <v>17</v>
      </c>
      <c r="Q104" s="131" t="s">
        <v>18</v>
      </c>
      <c r="R104" s="131" t="s">
        <v>17</v>
      </c>
      <c r="S104" s="131" t="s">
        <v>17</v>
      </c>
      <c r="T104" s="131" t="s">
        <v>17</v>
      </c>
      <c r="U104" s="131" t="s">
        <v>17</v>
      </c>
      <c r="V104" s="131" t="s">
        <v>17</v>
      </c>
      <c r="W104" s="131" t="s">
        <v>17</v>
      </c>
      <c r="X104" s="131" t="s">
        <v>18</v>
      </c>
      <c r="Y104" s="131" t="s">
        <v>17</v>
      </c>
      <c r="Z104" s="131" t="s">
        <v>17</v>
      </c>
      <c r="AA104" s="131" t="s">
        <v>18</v>
      </c>
      <c r="AB104" s="131" t="s">
        <v>17</v>
      </c>
      <c r="AC104" s="131" t="s">
        <v>17</v>
      </c>
      <c r="AD104" s="131"/>
      <c r="AE104" s="131"/>
      <c r="AF104" s="158">
        <f t="shared" si="10"/>
        <v>9.0550000000000015</v>
      </c>
      <c r="AG104" s="159"/>
      <c r="AH104" s="155" t="s">
        <v>256</v>
      </c>
      <c r="AI104" s="155" t="s">
        <v>83</v>
      </c>
      <c r="AJ104" s="131" t="str">
        <f>IFERROR(VLOOKUP(E104&amp;F104,'Listagem dos op'!A:S,19,0),"")</f>
        <v/>
      </c>
      <c r="AK104" s="131" t="str">
        <f t="shared" si="9"/>
        <v>Jan10947</v>
      </c>
      <c r="AL104" s="154">
        <f>IF(N104="","",IF(N104="SIM",VLOOKUP($I104&amp;$J104&amp;N$1,Pesos!$A:$I,7,FALSE),VLOOKUP($I104&amp;$J104&amp;N$1,Pesos!$A:$I,9,FALSE)))</f>
        <v>0.1</v>
      </c>
      <c r="AM104" s="154">
        <f>IF(O104="","",IF(O104="SIM",VLOOKUP($I104&amp;$J104&amp;O$1,Pesos!$A:$I,7,FALSE),VLOOKUP($I104&amp;$J104&amp;O$1,Pesos!$A:$I,9,FALSE)))</f>
        <v>0.1</v>
      </c>
      <c r="AN104" s="154">
        <f>IF(P104="","",IF(P104="SIM",VLOOKUP($I104&amp;$J104&amp;P$1,Pesos!$A:$I,7,FALSE),VLOOKUP($I104&amp;$J104&amp;P$1,Pesos!$A:$I,9,FALSE)))</f>
        <v>0.1</v>
      </c>
      <c r="AO104" s="154">
        <f>IF(Q104="","",IF(Q104="SIM",VLOOKUP($I104&amp;$J104&amp;Q$1,Pesos!$A:$I,7,FALSE),VLOOKUP($I104&amp;$J104&amp;Q$1,Pesos!$A:$I,9,FALSE)))</f>
        <v>-2.0000000000000004E-2</v>
      </c>
      <c r="AP104" s="154">
        <f>IF(R104="","",IF(R104="SIM",VLOOKUP($I104&amp;$J104&amp;R$1,Pesos!$A:$I,7,FALSE),VLOOKUP($I104&amp;$J104&amp;R$1,Pesos!$A:$I,9,FALSE)))</f>
        <v>1.3</v>
      </c>
      <c r="AQ104" s="154">
        <f>IF(S104="","",IF(S104="SIM",VLOOKUP($I104&amp;$J104&amp;S$1,Pesos!$A:$I,7,FALSE),VLOOKUP($I104&amp;$J104&amp;S$1,Pesos!$A:$I,9,FALSE)))</f>
        <v>1.35</v>
      </c>
      <c r="AR104" s="156">
        <f>IF(T104="","",IF(T104="SIM",VLOOKUP($I104&amp;$J104&amp;T$1,Pesos!$A:$I,7,FALSE),VLOOKUP($I104&amp;$J104&amp;T$1,Pesos!$A:$I,9,FALSE)))</f>
        <v>1.3</v>
      </c>
      <c r="AS104" s="132">
        <f>IF(U104="","",IF(U104="SIM",VLOOKUP($I104&amp;$J104&amp;U$1,Pesos!$A:$I,7,FALSE),VLOOKUP($I104&amp;$J104&amp;U$1,Pesos!$A:$I,9,FALSE)))</f>
        <v>1.5</v>
      </c>
      <c r="AT104" s="132">
        <f>IF(V104="","",IF(V104="SIM",VLOOKUP($I104&amp;$J104&amp;V$1,Pesos!$A:$I,7,FALSE),VLOOKUP($I104&amp;$J104&amp;V$1,Pesos!$A:$I,9,FALSE)))</f>
        <v>1.3</v>
      </c>
      <c r="AU104" s="132">
        <f>IF(W104="","",IF(W104="SIM",VLOOKUP($I104&amp;$J104&amp;W$1,Pesos!$A:$I,7,FALSE),VLOOKUP($I104&amp;$J104&amp;W$1,Pesos!$A:$I,9,FALSE)))</f>
        <v>1.2</v>
      </c>
      <c r="AV104" s="132">
        <f>IF(X104="","",IF(X104="SIM",VLOOKUP($I104&amp;$J104&amp;X$1,Pesos!$A:$I,7,FALSE),VLOOKUP($I104&amp;$J104&amp;X$1,Pesos!$A:$I,9,FALSE)))</f>
        <v>-1.4999999999999999E-2</v>
      </c>
      <c r="AW104" s="132">
        <f>IF(Y104="","",IF(Y104="SIM",VLOOKUP($I104&amp;$J104&amp;Y$1,Pesos!$A:$I,7,FALSE),VLOOKUP($I104&amp;$J104&amp;Y$1,Pesos!$A:$I,9,FALSE)))</f>
        <v>0.3</v>
      </c>
      <c r="AX104" s="132">
        <f>IF(Z104="","",IF(Z104="SIM",VLOOKUP($I104&amp;$J104&amp;Z$1,Pesos!$A:$I,7,FALSE),VLOOKUP($I104&amp;$J104&amp;Z$1,Pesos!$A:$I,9,FALSE)))</f>
        <v>0.15</v>
      </c>
      <c r="AY104" s="132">
        <f>IF(AA104="","",IF(AA104="SIM",VLOOKUP($I104&amp;$J104&amp;AA$1,Pesos!$A:$I,7,FALSE),VLOOKUP($I104&amp;$J104&amp;AA$1,Pesos!$A:$I,9,FALSE)))</f>
        <v>-1.0000000000000002E-2</v>
      </c>
      <c r="AZ104" s="132">
        <f>IF(AB104="","",IF(AB104="SIM",VLOOKUP($I104&amp;$J104&amp;AB$1,Pesos!$A:$I,7,FALSE),VLOOKUP($I104&amp;$J104&amp;AB$1,Pesos!$A:$I,9,FALSE)))</f>
        <v>0.3</v>
      </c>
      <c r="BA104" s="132">
        <f>IF(AC104="","",IF(AC104="SIM",VLOOKUP($I104&amp;$J104&amp;AC$1,Pesos!$A:$I,7,FALSE),VLOOKUP($I104&amp;$J104&amp;AC$1,Pesos!$A:$I,9,FALSE)))</f>
        <v>0.1</v>
      </c>
      <c r="BB104" s="132" t="str">
        <f>IF(AD104="","",IF(AD104="SIM",VLOOKUP($I104&amp;$J104&amp;AD$1,Pesos!$A:$I,7,FALSE),VLOOKUP($I104&amp;$J104&amp;AD$1,Pesos!$A:$I,9,FALSE)))</f>
        <v/>
      </c>
      <c r="BC104" s="132" t="str">
        <f>IF(AE104="","",IF(AE104="SIM",VLOOKUP($I104&amp;$J104&amp;AE$1,Pesos!$A:$I,7,FALSE),VLOOKUP($I104&amp;$J104&amp;AE$1,Pesos!$A:$I,9,FALSE)))</f>
        <v/>
      </c>
      <c r="BD104" s="158" t="str">
        <f>IFERROR(AF104*VLOOKUP(J104,'BD Campos'!$X$1:$Y$14,2,FALSE),"0")</f>
        <v>0</v>
      </c>
    </row>
    <row r="105" spans="1:56">
      <c r="A105" s="151" t="str">
        <f t="shared" si="7"/>
        <v>Jan10947Polícia 2BAS</v>
      </c>
      <c r="B105" s="149" t="str">
        <f t="shared" si="8"/>
        <v>Jan109472BASPADRÃO</v>
      </c>
      <c r="C105" s="152">
        <v>1</v>
      </c>
      <c r="D105" s="153">
        <v>46051.605615972221</v>
      </c>
      <c r="E105" s="154" t="s">
        <v>12</v>
      </c>
      <c r="F105" s="155">
        <v>10947</v>
      </c>
      <c r="G105" s="149" t="s">
        <v>255</v>
      </c>
      <c r="H105" s="154">
        <v>2</v>
      </c>
      <c r="I105" s="149" t="s">
        <v>92</v>
      </c>
      <c r="J105" s="149" t="s">
        <v>225</v>
      </c>
      <c r="K105" s="149" t="s">
        <v>223</v>
      </c>
      <c r="L105" s="156">
        <v>34782378</v>
      </c>
      <c r="M105" s="157">
        <v>4.4675925925925933E-3</v>
      </c>
      <c r="N105" s="131" t="s">
        <v>17</v>
      </c>
      <c r="O105" s="131" t="s">
        <v>17</v>
      </c>
      <c r="P105" s="131" t="s">
        <v>17</v>
      </c>
      <c r="Q105" s="131" t="s">
        <v>18</v>
      </c>
      <c r="R105" s="131" t="s">
        <v>17</v>
      </c>
      <c r="S105" s="131" t="s">
        <v>17</v>
      </c>
      <c r="T105" s="131" t="s">
        <v>17</v>
      </c>
      <c r="U105" s="131" t="s">
        <v>17</v>
      </c>
      <c r="V105" s="131" t="s">
        <v>17</v>
      </c>
      <c r="W105" s="131" t="s">
        <v>17</v>
      </c>
      <c r="X105" s="131" t="s">
        <v>18</v>
      </c>
      <c r="Y105" s="131" t="s">
        <v>17</v>
      </c>
      <c r="Z105" s="131" t="s">
        <v>17</v>
      </c>
      <c r="AA105" s="131" t="s">
        <v>18</v>
      </c>
      <c r="AB105" s="131" t="s">
        <v>17</v>
      </c>
      <c r="AC105" s="131" t="s">
        <v>17</v>
      </c>
      <c r="AD105" s="131"/>
      <c r="AE105" s="131"/>
      <c r="AF105" s="158">
        <f t="shared" si="10"/>
        <v>9.0550000000000015</v>
      </c>
      <c r="AG105" s="159"/>
      <c r="AH105" s="155" t="s">
        <v>257</v>
      </c>
      <c r="AI105" s="155" t="s">
        <v>83</v>
      </c>
      <c r="AJ105" s="131" t="str">
        <f>IFERROR(VLOOKUP(E105&amp;F105,'Listagem dos op'!A:S,19,0),"")</f>
        <v/>
      </c>
      <c r="AK105" s="131" t="str">
        <f t="shared" si="9"/>
        <v>Jan10947</v>
      </c>
      <c r="AL105" s="154">
        <f>IF(N105="","",IF(N105="SIM",VLOOKUP($I105&amp;$J105&amp;N$1,Pesos!$A:$I,7,FALSE),VLOOKUP($I105&amp;$J105&amp;N$1,Pesos!$A:$I,9,FALSE)))</f>
        <v>0.1</v>
      </c>
      <c r="AM105" s="154">
        <f>IF(O105="","",IF(O105="SIM",VLOOKUP($I105&amp;$J105&amp;O$1,Pesos!$A:$I,7,FALSE),VLOOKUP($I105&amp;$J105&amp;O$1,Pesos!$A:$I,9,FALSE)))</f>
        <v>0.1</v>
      </c>
      <c r="AN105" s="154">
        <f>IF(P105="","",IF(P105="SIM",VLOOKUP($I105&amp;$J105&amp;P$1,Pesos!$A:$I,7,FALSE),VLOOKUP($I105&amp;$J105&amp;P$1,Pesos!$A:$I,9,FALSE)))</f>
        <v>0.1</v>
      </c>
      <c r="AO105" s="154">
        <f>IF(Q105="","",IF(Q105="SIM",VLOOKUP($I105&amp;$J105&amp;Q$1,Pesos!$A:$I,7,FALSE),VLOOKUP($I105&amp;$J105&amp;Q$1,Pesos!$A:$I,9,FALSE)))</f>
        <v>-2.0000000000000004E-2</v>
      </c>
      <c r="AP105" s="154">
        <f>IF(R105="","",IF(R105="SIM",VLOOKUP($I105&amp;$J105&amp;R$1,Pesos!$A:$I,7,FALSE),VLOOKUP($I105&amp;$J105&amp;R$1,Pesos!$A:$I,9,FALSE)))</f>
        <v>1.3</v>
      </c>
      <c r="AQ105" s="154">
        <f>IF(S105="","",IF(S105="SIM",VLOOKUP($I105&amp;$J105&amp;S$1,Pesos!$A:$I,7,FALSE),VLOOKUP($I105&amp;$J105&amp;S$1,Pesos!$A:$I,9,FALSE)))</f>
        <v>1.35</v>
      </c>
      <c r="AR105" s="156">
        <f>IF(T105="","",IF(T105="SIM",VLOOKUP($I105&amp;$J105&amp;T$1,Pesos!$A:$I,7,FALSE),VLOOKUP($I105&amp;$J105&amp;T$1,Pesos!$A:$I,9,FALSE)))</f>
        <v>1.3</v>
      </c>
      <c r="AS105" s="132">
        <f>IF(U105="","",IF(U105="SIM",VLOOKUP($I105&amp;$J105&amp;U$1,Pesos!$A:$I,7,FALSE),VLOOKUP($I105&amp;$J105&amp;U$1,Pesos!$A:$I,9,FALSE)))</f>
        <v>1.5</v>
      </c>
      <c r="AT105" s="132">
        <f>IF(V105="","",IF(V105="SIM",VLOOKUP($I105&amp;$J105&amp;V$1,Pesos!$A:$I,7,FALSE),VLOOKUP($I105&amp;$J105&amp;V$1,Pesos!$A:$I,9,FALSE)))</f>
        <v>1.3</v>
      </c>
      <c r="AU105" s="132">
        <f>IF(W105="","",IF(W105="SIM",VLOOKUP($I105&amp;$J105&amp;W$1,Pesos!$A:$I,7,FALSE),VLOOKUP($I105&amp;$J105&amp;W$1,Pesos!$A:$I,9,FALSE)))</f>
        <v>1.2</v>
      </c>
      <c r="AV105" s="132">
        <f>IF(X105="","",IF(X105="SIM",VLOOKUP($I105&amp;$J105&amp;X$1,Pesos!$A:$I,7,FALSE),VLOOKUP($I105&amp;$J105&amp;X$1,Pesos!$A:$I,9,FALSE)))</f>
        <v>-1.4999999999999999E-2</v>
      </c>
      <c r="AW105" s="132">
        <f>IF(Y105="","",IF(Y105="SIM",VLOOKUP($I105&amp;$J105&amp;Y$1,Pesos!$A:$I,7,FALSE),VLOOKUP($I105&amp;$J105&amp;Y$1,Pesos!$A:$I,9,FALSE)))</f>
        <v>0.3</v>
      </c>
      <c r="AX105" s="132">
        <f>IF(Z105="","",IF(Z105="SIM",VLOOKUP($I105&amp;$J105&amp;Z$1,Pesos!$A:$I,7,FALSE),VLOOKUP($I105&amp;$J105&amp;Z$1,Pesos!$A:$I,9,FALSE)))</f>
        <v>0.15</v>
      </c>
      <c r="AY105" s="132">
        <f>IF(AA105="","",IF(AA105="SIM",VLOOKUP($I105&amp;$J105&amp;AA$1,Pesos!$A:$I,7,FALSE),VLOOKUP($I105&amp;$J105&amp;AA$1,Pesos!$A:$I,9,FALSE)))</f>
        <v>-1.0000000000000002E-2</v>
      </c>
      <c r="AZ105" s="132">
        <f>IF(AB105="","",IF(AB105="SIM",VLOOKUP($I105&amp;$J105&amp;AB$1,Pesos!$A:$I,7,FALSE),VLOOKUP($I105&amp;$J105&amp;AB$1,Pesos!$A:$I,9,FALSE)))</f>
        <v>0.3</v>
      </c>
      <c r="BA105" s="132">
        <f>IF(AC105="","",IF(AC105="SIM",VLOOKUP($I105&amp;$J105&amp;AC$1,Pesos!$A:$I,7,FALSE),VLOOKUP($I105&amp;$J105&amp;AC$1,Pesos!$A:$I,9,FALSE)))</f>
        <v>0.1</v>
      </c>
      <c r="BB105" s="132" t="str">
        <f>IF(AD105="","",IF(AD105="SIM",VLOOKUP($I105&amp;$J105&amp;AD$1,Pesos!$A:$I,7,FALSE),VLOOKUP($I105&amp;$J105&amp;AD$1,Pesos!$A:$I,9,FALSE)))</f>
        <v/>
      </c>
      <c r="BC105" s="132" t="str">
        <f>IF(AE105="","",IF(AE105="SIM",VLOOKUP($I105&amp;$J105&amp;AE$1,Pesos!$A:$I,7,FALSE),VLOOKUP($I105&amp;$J105&amp;AE$1,Pesos!$A:$I,9,FALSE)))</f>
        <v/>
      </c>
      <c r="BD105" s="158" t="str">
        <f>IFERROR(AF105*VLOOKUP(J105,'BD Campos'!$X$1:$Y$14,2,FALSE),"0")</f>
        <v>0</v>
      </c>
    </row>
    <row r="106" spans="1:56">
      <c r="A106" s="151" t="str">
        <f t="shared" si="7"/>
        <v>Jan11259MotoristaUTI</v>
      </c>
      <c r="B106" s="149" t="str">
        <f t="shared" si="8"/>
        <v>Jan112591UTIPADRÃO</v>
      </c>
      <c r="C106" s="152">
        <v>1</v>
      </c>
      <c r="D106" s="153">
        <v>46051.624083912036</v>
      </c>
      <c r="E106" s="154" t="s">
        <v>12</v>
      </c>
      <c r="F106" s="155">
        <v>11259</v>
      </c>
      <c r="G106" s="149" t="s">
        <v>258</v>
      </c>
      <c r="H106" s="154">
        <v>1</v>
      </c>
      <c r="I106" s="149" t="s">
        <v>130</v>
      </c>
      <c r="J106" s="149" t="s">
        <v>93</v>
      </c>
      <c r="K106" s="149" t="s">
        <v>128</v>
      </c>
      <c r="L106" s="156">
        <v>34503991</v>
      </c>
      <c r="M106" s="157">
        <v>1.2384259259259258E-3</v>
      </c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58">
        <f t="shared" si="10"/>
        <v>0</v>
      </c>
      <c r="AG106" s="159" t="s">
        <v>212</v>
      </c>
      <c r="AH106" s="155" t="s">
        <v>259</v>
      </c>
      <c r="AI106" s="155" t="s">
        <v>83</v>
      </c>
      <c r="AJ106" s="131" t="str">
        <f>IFERROR(VLOOKUP(E106&amp;F106,'Listagem dos op'!A:S,19,0),"")</f>
        <v/>
      </c>
      <c r="AK106" s="131" t="str">
        <f t="shared" si="9"/>
        <v>Jan11259</v>
      </c>
      <c r="AL106" s="154" t="str">
        <f>IF(N106="","",IF(N106="SIM",VLOOKUP($I106&amp;$J106&amp;N$1,Pesos!$A:$I,7,FALSE),VLOOKUP($I106&amp;$J106&amp;N$1,Pesos!$A:$I,9,FALSE)))</f>
        <v/>
      </c>
      <c r="AM106" s="154" t="str">
        <f>IF(O106="","",IF(O106="SIM",VLOOKUP($I106&amp;$J106&amp;O$1,Pesos!$A:$I,7,FALSE),VLOOKUP($I106&amp;$J106&amp;O$1,Pesos!$A:$I,9,FALSE)))</f>
        <v/>
      </c>
      <c r="AN106" s="154" t="str">
        <f>IF(P106="","",IF(P106="SIM",VLOOKUP($I106&amp;$J106&amp;P$1,Pesos!$A:$I,7,FALSE),VLOOKUP($I106&amp;$J106&amp;P$1,Pesos!$A:$I,9,FALSE)))</f>
        <v/>
      </c>
      <c r="AO106" s="154" t="str">
        <f>IF(Q106="","",IF(Q106="SIM",VLOOKUP($I106&amp;$J106&amp;Q$1,Pesos!$A:$I,7,FALSE),VLOOKUP($I106&amp;$J106&amp;Q$1,Pesos!$A:$I,9,FALSE)))</f>
        <v/>
      </c>
      <c r="AP106" s="154" t="str">
        <f>IF(R106="","",IF(R106="SIM",VLOOKUP($I106&amp;$J106&amp;R$1,Pesos!$A:$I,7,FALSE),VLOOKUP($I106&amp;$J106&amp;R$1,Pesos!$A:$I,9,FALSE)))</f>
        <v/>
      </c>
      <c r="AQ106" s="154" t="str">
        <f>IF(S106="","",IF(S106="SIM",VLOOKUP($I106&amp;$J106&amp;S$1,Pesos!$A:$I,7,FALSE),VLOOKUP($I106&amp;$J106&amp;S$1,Pesos!$A:$I,9,FALSE)))</f>
        <v/>
      </c>
      <c r="AR106" s="156" t="str">
        <f>IF(T106="","",IF(T106="SIM",VLOOKUP($I106&amp;$J106&amp;T$1,Pesos!$A:$I,7,FALSE),VLOOKUP($I106&amp;$J106&amp;T$1,Pesos!$A:$I,9,FALSE)))</f>
        <v/>
      </c>
      <c r="AS106" s="132" t="str">
        <f>IF(U106="","",IF(U106="SIM",VLOOKUP($I106&amp;$J106&amp;U$1,Pesos!$A:$I,7,FALSE),VLOOKUP($I106&amp;$J106&amp;U$1,Pesos!$A:$I,9,FALSE)))</f>
        <v/>
      </c>
      <c r="AT106" s="132" t="str">
        <f>IF(V106="","",IF(V106="SIM",VLOOKUP($I106&amp;$J106&amp;V$1,Pesos!$A:$I,7,FALSE),VLOOKUP($I106&amp;$J106&amp;V$1,Pesos!$A:$I,9,FALSE)))</f>
        <v/>
      </c>
      <c r="AU106" s="132" t="str">
        <f>IF(W106="","",IF(W106="SIM",VLOOKUP($I106&amp;$J106&amp;W$1,Pesos!$A:$I,7,FALSE),VLOOKUP($I106&amp;$J106&amp;W$1,Pesos!$A:$I,9,FALSE)))</f>
        <v/>
      </c>
      <c r="AV106" s="132" t="str">
        <f>IF(X106="","",IF(X106="SIM",VLOOKUP($I106&amp;$J106&amp;X$1,Pesos!$A:$I,7,FALSE),VLOOKUP($I106&amp;$J106&amp;X$1,Pesos!$A:$I,9,FALSE)))</f>
        <v/>
      </c>
      <c r="AW106" s="132" t="str">
        <f>IF(Y106="","",IF(Y106="SIM",VLOOKUP($I106&amp;$J106&amp;Y$1,Pesos!$A:$I,7,FALSE),VLOOKUP($I106&amp;$J106&amp;Y$1,Pesos!$A:$I,9,FALSE)))</f>
        <v/>
      </c>
      <c r="AX106" s="132" t="str">
        <f>IF(Z106="","",IF(Z106="SIM",VLOOKUP($I106&amp;$J106&amp;Z$1,Pesos!$A:$I,7,FALSE),VLOOKUP($I106&amp;$J106&amp;Z$1,Pesos!$A:$I,9,FALSE)))</f>
        <v/>
      </c>
      <c r="AY106" s="132" t="str">
        <f>IF(AA106="","",IF(AA106="SIM",VLOOKUP($I106&amp;$J106&amp;AA$1,Pesos!$A:$I,7,FALSE),VLOOKUP($I106&amp;$J106&amp;AA$1,Pesos!$A:$I,9,FALSE)))</f>
        <v/>
      </c>
      <c r="AZ106" s="132" t="str">
        <f>IF(AB106="","",IF(AB106="SIM",VLOOKUP($I106&amp;$J106&amp;AB$1,Pesos!$A:$I,7,FALSE),VLOOKUP($I106&amp;$J106&amp;AB$1,Pesos!$A:$I,9,FALSE)))</f>
        <v/>
      </c>
      <c r="BA106" s="132" t="str">
        <f>IF(AC106="","",IF(AC106="SIM",VLOOKUP($I106&amp;$J106&amp;AC$1,Pesos!$A:$I,7,FALSE),VLOOKUP($I106&amp;$J106&amp;AC$1,Pesos!$A:$I,9,FALSE)))</f>
        <v/>
      </c>
      <c r="BB106" s="132" t="str">
        <f>IF(AD106="","",IF(AD106="SIM",VLOOKUP($I106&amp;$J106&amp;AD$1,Pesos!$A:$I,7,FALSE),VLOOKUP($I106&amp;$J106&amp;AD$1,Pesos!$A:$I,9,FALSE)))</f>
        <v/>
      </c>
      <c r="BC106" s="132" t="str">
        <f>IF(AE106="","",IF(AE106="SIM",VLOOKUP($I106&amp;$J106&amp;AE$1,Pesos!$A:$I,7,FALSE),VLOOKUP($I106&amp;$J106&amp;AE$1,Pesos!$A:$I,9,FALSE)))</f>
        <v/>
      </c>
      <c r="BD106" s="158">
        <f>IFERROR(AF106*VLOOKUP(J106,'BD Campos'!$X$1:$Y$14,2,FALSE),"0")</f>
        <v>0</v>
      </c>
    </row>
    <row r="107" spans="1:56">
      <c r="A107" s="151" t="str">
        <f t="shared" si="7"/>
        <v>Jan11259Motorista 2UTI</v>
      </c>
      <c r="B107" s="149" t="str">
        <f t="shared" si="8"/>
        <v>Jan112592UTIPADRÃO</v>
      </c>
      <c r="C107" s="152">
        <v>1</v>
      </c>
      <c r="D107" s="153">
        <v>46056.42439039352</v>
      </c>
      <c r="E107" s="154" t="s">
        <v>12</v>
      </c>
      <c r="F107" s="155">
        <v>11259</v>
      </c>
      <c r="G107" s="149" t="s">
        <v>258</v>
      </c>
      <c r="H107" s="154">
        <v>2</v>
      </c>
      <c r="I107" s="149" t="s">
        <v>96</v>
      </c>
      <c r="J107" s="149" t="s">
        <v>97</v>
      </c>
      <c r="K107" s="149" t="s">
        <v>128</v>
      </c>
      <c r="L107" s="156">
        <v>34669683</v>
      </c>
      <c r="M107" s="157">
        <v>2.5462962962962961E-3</v>
      </c>
      <c r="N107" s="131" t="s">
        <v>17</v>
      </c>
      <c r="O107" s="131" t="s">
        <v>17</v>
      </c>
      <c r="P107" s="131" t="s">
        <v>17</v>
      </c>
      <c r="Q107" s="131" t="s">
        <v>17</v>
      </c>
      <c r="R107" s="131" t="s">
        <v>17</v>
      </c>
      <c r="S107" s="131" t="s">
        <v>17</v>
      </c>
      <c r="T107" s="131" t="s">
        <v>17</v>
      </c>
      <c r="U107" s="131" t="s">
        <v>17</v>
      </c>
      <c r="V107" s="131" t="s">
        <v>18</v>
      </c>
      <c r="W107" s="131" t="s">
        <v>17</v>
      </c>
      <c r="X107" s="131" t="s">
        <v>17</v>
      </c>
      <c r="Y107" s="131" t="s">
        <v>17</v>
      </c>
      <c r="Z107" s="131" t="s">
        <v>17</v>
      </c>
      <c r="AA107" s="131" t="s">
        <v>17</v>
      </c>
      <c r="AB107" s="131" t="s">
        <v>17</v>
      </c>
      <c r="AC107" s="131"/>
      <c r="AD107" s="131"/>
      <c r="AE107" s="131"/>
      <c r="AF107" s="158">
        <f t="shared" si="10"/>
        <v>8.8974999999999991</v>
      </c>
      <c r="AG107" s="159"/>
      <c r="AH107" s="155" t="s">
        <v>260</v>
      </c>
      <c r="AI107" s="155" t="s">
        <v>83</v>
      </c>
      <c r="AJ107" s="131" t="str">
        <f>IFERROR(VLOOKUP(E107&amp;F107,'Listagem dos op'!A:S,19,0),"")</f>
        <v/>
      </c>
      <c r="AK107" s="131" t="str">
        <f t="shared" si="9"/>
        <v>Jan11259</v>
      </c>
      <c r="AL107" s="154">
        <f>IF(N107="","",IF(N107="SIM",VLOOKUP($I107&amp;$J107&amp;N$1,Pesos!$A:$I,7,FALSE),VLOOKUP($I107&amp;$J107&amp;N$1,Pesos!$A:$I,9,FALSE)))</f>
        <v>0.1</v>
      </c>
      <c r="AM107" s="154">
        <f>IF(O107="","",IF(O107="SIM",VLOOKUP($I107&amp;$J107&amp;O$1,Pesos!$A:$I,7,FALSE),VLOOKUP($I107&amp;$J107&amp;O$1,Pesos!$A:$I,9,FALSE)))</f>
        <v>0.1</v>
      </c>
      <c r="AN107" s="154">
        <f>IF(P107="","",IF(P107="SIM",VLOOKUP($I107&amp;$J107&amp;P$1,Pesos!$A:$I,7,FALSE),VLOOKUP($I107&amp;$J107&amp;P$1,Pesos!$A:$I,9,FALSE)))</f>
        <v>0.1</v>
      </c>
      <c r="AO107" s="154">
        <f>IF(Q107="","",IF(Q107="SIM",VLOOKUP($I107&amp;$J107&amp;Q$1,Pesos!$A:$I,7,FALSE),VLOOKUP($I107&amp;$J107&amp;Q$1,Pesos!$A:$I,9,FALSE)))</f>
        <v>2</v>
      </c>
      <c r="AP107" s="154">
        <f>IF(R107="","",IF(R107="SIM",VLOOKUP($I107&amp;$J107&amp;R$1,Pesos!$A:$I,7,FALSE),VLOOKUP($I107&amp;$J107&amp;R$1,Pesos!$A:$I,9,FALSE)))</f>
        <v>1.03</v>
      </c>
      <c r="AQ107" s="154">
        <f>IF(S107="","",IF(S107="SIM",VLOOKUP($I107&amp;$J107&amp;S$1,Pesos!$A:$I,7,FALSE),VLOOKUP($I107&amp;$J107&amp;S$1,Pesos!$A:$I,9,FALSE)))</f>
        <v>1.22</v>
      </c>
      <c r="AR107" s="156">
        <f>IF(T107="","",IF(T107="SIM",VLOOKUP($I107&amp;$J107&amp;T$1,Pesos!$A:$I,7,FALSE),VLOOKUP($I107&amp;$J107&amp;T$1,Pesos!$A:$I,9,FALSE)))</f>
        <v>2</v>
      </c>
      <c r="AS107" s="132">
        <f>IF(U107="","",IF(U107="SIM",VLOOKUP($I107&amp;$J107&amp;U$1,Pesos!$A:$I,7,FALSE),VLOOKUP($I107&amp;$J107&amp;U$1,Pesos!$A:$I,9,FALSE)))</f>
        <v>1.05</v>
      </c>
      <c r="AT107" s="132">
        <f>IF(V107="","",IF(V107="SIM",VLOOKUP($I107&amp;$J107&amp;V$1,Pesos!$A:$I,7,FALSE),VLOOKUP($I107&amp;$J107&amp;V$1,Pesos!$A:$I,9,FALSE)))</f>
        <v>-5.2500000000000005E-2</v>
      </c>
      <c r="AU107" s="132">
        <f>IF(W107="","",IF(W107="SIM",VLOOKUP($I107&amp;$J107&amp;W$1,Pesos!$A:$I,7,FALSE),VLOOKUP($I107&amp;$J107&amp;W$1,Pesos!$A:$I,9,FALSE)))</f>
        <v>0.3</v>
      </c>
      <c r="AV107" s="132">
        <f>IF(X107="","",IF(X107="SIM",VLOOKUP($I107&amp;$J107&amp;X$1,Pesos!$A:$I,7,FALSE),VLOOKUP($I107&amp;$J107&amp;X$1,Pesos!$A:$I,9,FALSE)))</f>
        <v>0.3</v>
      </c>
      <c r="AW107" s="132">
        <f>IF(Y107="","",IF(Y107="SIM",VLOOKUP($I107&amp;$J107&amp;Y$1,Pesos!$A:$I,7,FALSE),VLOOKUP($I107&amp;$J107&amp;Y$1,Pesos!$A:$I,9,FALSE)))</f>
        <v>0.15</v>
      </c>
      <c r="AX107" s="132">
        <f>IF(Z107="","",IF(Z107="SIM",VLOOKUP($I107&amp;$J107&amp;Z$1,Pesos!$A:$I,7,FALSE),VLOOKUP($I107&amp;$J107&amp;Z$1,Pesos!$A:$I,9,FALSE)))</f>
        <v>0.2</v>
      </c>
      <c r="AY107" s="132">
        <f>IF(AA107="","",IF(AA107="SIM",VLOOKUP($I107&amp;$J107&amp;AA$1,Pesos!$A:$I,7,FALSE),VLOOKUP($I107&amp;$J107&amp;AA$1,Pesos!$A:$I,9,FALSE)))</f>
        <v>0.3</v>
      </c>
      <c r="AZ107" s="132">
        <f>IF(AB107="","",IF(AB107="SIM",VLOOKUP($I107&amp;$J107&amp;AB$1,Pesos!$A:$I,7,FALSE),VLOOKUP($I107&amp;$J107&amp;AB$1,Pesos!$A:$I,9,FALSE)))</f>
        <v>0.1</v>
      </c>
      <c r="BA107" s="132" t="str">
        <f>IF(AC107="","",IF(AC107="SIM",VLOOKUP($I107&amp;$J107&amp;AC$1,Pesos!$A:$I,7,FALSE),VLOOKUP($I107&amp;$J107&amp;AC$1,Pesos!$A:$I,9,FALSE)))</f>
        <v/>
      </c>
      <c r="BB107" s="132" t="str">
        <f>IF(AD107="","",IF(AD107="SIM",VLOOKUP($I107&amp;$J107&amp;AD$1,Pesos!$A:$I,7,FALSE),VLOOKUP($I107&amp;$J107&amp;AD$1,Pesos!$A:$I,9,FALSE)))</f>
        <v/>
      </c>
      <c r="BC107" s="132" t="str">
        <f>IF(AE107="","",IF(AE107="SIM",VLOOKUP($I107&amp;$J107&amp;AE$1,Pesos!$A:$I,7,FALSE),VLOOKUP($I107&amp;$J107&amp;AE$1,Pesos!$A:$I,9,FALSE)))</f>
        <v/>
      </c>
      <c r="BD107" s="158">
        <f>IFERROR(AF107*VLOOKUP(J107,'BD Campos'!$X$1:$Y$14,2,FALSE),"0")</f>
        <v>8.8974999999999991</v>
      </c>
    </row>
    <row r="108" spans="1:56">
      <c r="A108" s="151" t="str">
        <f t="shared" si="7"/>
        <v>Jan11154MotoristaUTI</v>
      </c>
      <c r="B108" s="149" t="str">
        <f t="shared" si="8"/>
        <v>Jan111541UTIPADRÃO</v>
      </c>
      <c r="C108" s="152">
        <v>1</v>
      </c>
      <c r="D108" s="153">
        <v>46056.425499652774</v>
      </c>
      <c r="E108" s="154" t="s">
        <v>12</v>
      </c>
      <c r="F108" s="155">
        <v>11154</v>
      </c>
      <c r="G108" s="149" t="s">
        <v>261</v>
      </c>
      <c r="H108" s="154">
        <v>1</v>
      </c>
      <c r="I108" s="149" t="s">
        <v>96</v>
      </c>
      <c r="J108" s="149" t="s">
        <v>93</v>
      </c>
      <c r="K108" s="149" t="s">
        <v>128</v>
      </c>
      <c r="L108" s="156">
        <v>34529001</v>
      </c>
      <c r="M108" s="157">
        <v>7.9861111111111105E-4</v>
      </c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58">
        <f t="shared" si="10"/>
        <v>0</v>
      </c>
      <c r="AG108" s="159" t="s">
        <v>262</v>
      </c>
      <c r="AH108" s="155" t="s">
        <v>263</v>
      </c>
      <c r="AI108" s="155" t="s">
        <v>83</v>
      </c>
      <c r="AJ108" s="131" t="str">
        <f>IFERROR(VLOOKUP(E108&amp;F108,'Listagem dos op'!A:S,19,0),"")</f>
        <v/>
      </c>
      <c r="AK108" s="131" t="str">
        <f t="shared" si="9"/>
        <v>Jan11154</v>
      </c>
      <c r="AL108" s="154" t="str">
        <f>IF(N108="","",IF(N108="SIM",VLOOKUP($I108&amp;$J108&amp;N$1,Pesos!$A:$I,7,FALSE),VLOOKUP($I108&amp;$J108&amp;N$1,Pesos!$A:$I,9,FALSE)))</f>
        <v/>
      </c>
      <c r="AM108" s="154" t="str">
        <f>IF(O108="","",IF(O108="SIM",VLOOKUP($I108&amp;$J108&amp;O$1,Pesos!$A:$I,7,FALSE),VLOOKUP($I108&amp;$J108&amp;O$1,Pesos!$A:$I,9,FALSE)))</f>
        <v/>
      </c>
      <c r="AN108" s="154" t="str">
        <f>IF(P108="","",IF(P108="SIM",VLOOKUP($I108&amp;$J108&amp;P$1,Pesos!$A:$I,7,FALSE),VLOOKUP($I108&amp;$J108&amp;P$1,Pesos!$A:$I,9,FALSE)))</f>
        <v/>
      </c>
      <c r="AO108" s="154" t="str">
        <f>IF(Q108="","",IF(Q108="SIM",VLOOKUP($I108&amp;$J108&amp;Q$1,Pesos!$A:$I,7,FALSE),VLOOKUP($I108&amp;$J108&amp;Q$1,Pesos!$A:$I,9,FALSE)))</f>
        <v/>
      </c>
      <c r="AP108" s="154" t="str">
        <f>IF(R108="","",IF(R108="SIM",VLOOKUP($I108&amp;$J108&amp;R$1,Pesos!$A:$I,7,FALSE),VLOOKUP($I108&amp;$J108&amp;R$1,Pesos!$A:$I,9,FALSE)))</f>
        <v/>
      </c>
      <c r="AQ108" s="154" t="str">
        <f>IF(S108="","",IF(S108="SIM",VLOOKUP($I108&amp;$J108&amp;S$1,Pesos!$A:$I,7,FALSE),VLOOKUP($I108&amp;$J108&amp;S$1,Pesos!$A:$I,9,FALSE)))</f>
        <v/>
      </c>
      <c r="AR108" s="156" t="str">
        <f>IF(T108="","",IF(T108="SIM",VLOOKUP($I108&amp;$J108&amp;T$1,Pesos!$A:$I,7,FALSE),VLOOKUP($I108&amp;$J108&amp;T$1,Pesos!$A:$I,9,FALSE)))</f>
        <v/>
      </c>
      <c r="AS108" s="132" t="str">
        <f>IF(U108="","",IF(U108="SIM",VLOOKUP($I108&amp;$J108&amp;U$1,Pesos!$A:$I,7,FALSE),VLOOKUP($I108&amp;$J108&amp;U$1,Pesos!$A:$I,9,FALSE)))</f>
        <v/>
      </c>
      <c r="AT108" s="132" t="str">
        <f>IF(V108="","",IF(V108="SIM",VLOOKUP($I108&amp;$J108&amp;V$1,Pesos!$A:$I,7,FALSE),VLOOKUP($I108&amp;$J108&amp;V$1,Pesos!$A:$I,9,FALSE)))</f>
        <v/>
      </c>
      <c r="AU108" s="132" t="str">
        <f>IF(W108="","",IF(W108="SIM",VLOOKUP($I108&amp;$J108&amp;W$1,Pesos!$A:$I,7,FALSE),VLOOKUP($I108&amp;$J108&amp;W$1,Pesos!$A:$I,9,FALSE)))</f>
        <v/>
      </c>
      <c r="AV108" s="132" t="str">
        <f>IF(X108="","",IF(X108="SIM",VLOOKUP($I108&amp;$J108&amp;X$1,Pesos!$A:$I,7,FALSE),VLOOKUP($I108&amp;$J108&amp;X$1,Pesos!$A:$I,9,FALSE)))</f>
        <v/>
      </c>
      <c r="AW108" s="132" t="str">
        <f>IF(Y108="","",IF(Y108="SIM",VLOOKUP($I108&amp;$J108&amp;Y$1,Pesos!$A:$I,7,FALSE),VLOOKUP($I108&amp;$J108&amp;Y$1,Pesos!$A:$I,9,FALSE)))</f>
        <v/>
      </c>
      <c r="AX108" s="132" t="str">
        <f>IF(Z108="","",IF(Z108="SIM",VLOOKUP($I108&amp;$J108&amp;Z$1,Pesos!$A:$I,7,FALSE),VLOOKUP($I108&amp;$J108&amp;Z$1,Pesos!$A:$I,9,FALSE)))</f>
        <v/>
      </c>
      <c r="AY108" s="132" t="str">
        <f>IF(AA108="","",IF(AA108="SIM",VLOOKUP($I108&amp;$J108&amp;AA$1,Pesos!$A:$I,7,FALSE),VLOOKUP($I108&amp;$J108&amp;AA$1,Pesos!$A:$I,9,FALSE)))</f>
        <v/>
      </c>
      <c r="AZ108" s="132" t="str">
        <f>IF(AB108="","",IF(AB108="SIM",VLOOKUP($I108&amp;$J108&amp;AB$1,Pesos!$A:$I,7,FALSE),VLOOKUP($I108&amp;$J108&amp;AB$1,Pesos!$A:$I,9,FALSE)))</f>
        <v/>
      </c>
      <c r="BA108" s="132" t="str">
        <f>IF(AC108="","",IF(AC108="SIM",VLOOKUP($I108&amp;$J108&amp;AC$1,Pesos!$A:$I,7,FALSE),VLOOKUP($I108&amp;$J108&amp;AC$1,Pesos!$A:$I,9,FALSE)))</f>
        <v/>
      </c>
      <c r="BB108" s="132" t="str">
        <f>IF(AD108="","",IF(AD108="SIM",VLOOKUP($I108&amp;$J108&amp;AD$1,Pesos!$A:$I,7,FALSE),VLOOKUP($I108&amp;$J108&amp;AD$1,Pesos!$A:$I,9,FALSE)))</f>
        <v/>
      </c>
      <c r="BC108" s="132" t="str">
        <f>IF(AE108="","",IF(AE108="SIM",VLOOKUP($I108&amp;$J108&amp;AE$1,Pesos!$A:$I,7,FALSE),VLOOKUP($I108&amp;$J108&amp;AE$1,Pesos!$A:$I,9,FALSE)))</f>
        <v/>
      </c>
      <c r="BD108" s="158">
        <f>IFERROR(AF108*VLOOKUP(J108,'BD Campos'!$X$1:$Y$14,2,FALSE),"0")</f>
        <v>0</v>
      </c>
    </row>
    <row r="109" spans="1:56">
      <c r="A109" s="151" t="str">
        <f t="shared" si="7"/>
        <v>Jan11154Motorista 2UTI</v>
      </c>
      <c r="B109" s="149" t="str">
        <f t="shared" si="8"/>
        <v>Jan111542UTIPADRÃO</v>
      </c>
      <c r="C109" s="152">
        <v>1</v>
      </c>
      <c r="D109" s="153">
        <v>46056.42809212963</v>
      </c>
      <c r="E109" s="154" t="s">
        <v>12</v>
      </c>
      <c r="F109" s="155">
        <v>11154</v>
      </c>
      <c r="G109" s="149" t="s">
        <v>261</v>
      </c>
      <c r="H109" s="154">
        <v>2</v>
      </c>
      <c r="I109" s="149" t="s">
        <v>130</v>
      </c>
      <c r="J109" s="149" t="s">
        <v>97</v>
      </c>
      <c r="K109" s="149" t="s">
        <v>128</v>
      </c>
      <c r="L109" s="156">
        <v>34753497</v>
      </c>
      <c r="M109" s="157">
        <v>1.0416666666666667E-3</v>
      </c>
      <c r="N109" s="131" t="s">
        <v>17</v>
      </c>
      <c r="O109" s="131" t="s">
        <v>17</v>
      </c>
      <c r="P109" s="131" t="s">
        <v>17</v>
      </c>
      <c r="Q109" s="131" t="s">
        <v>17</v>
      </c>
      <c r="R109" s="131" t="s">
        <v>17</v>
      </c>
      <c r="S109" s="131" t="s">
        <v>17</v>
      </c>
      <c r="T109" s="131" t="s">
        <v>17</v>
      </c>
      <c r="U109" s="131" t="s">
        <v>17</v>
      </c>
      <c r="V109" s="131" t="s">
        <v>17</v>
      </c>
      <c r="W109" s="131" t="s">
        <v>17</v>
      </c>
      <c r="X109" s="131" t="s">
        <v>17</v>
      </c>
      <c r="Y109" s="131" t="s">
        <v>17</v>
      </c>
      <c r="Z109" s="131" t="s">
        <v>18</v>
      </c>
      <c r="AA109" s="131" t="s">
        <v>17</v>
      </c>
      <c r="AB109" s="131" t="s">
        <v>17</v>
      </c>
      <c r="AC109" s="131"/>
      <c r="AD109" s="131"/>
      <c r="AE109" s="131"/>
      <c r="AF109" s="158">
        <f t="shared" si="10"/>
        <v>9.7940000000000023</v>
      </c>
      <c r="AG109" s="159"/>
      <c r="AH109" s="155" t="s">
        <v>264</v>
      </c>
      <c r="AI109" s="155" t="s">
        <v>83</v>
      </c>
      <c r="AJ109" s="131" t="str">
        <f>IFERROR(VLOOKUP(E109&amp;F109,'Listagem dos op'!A:S,19,0),"")</f>
        <v/>
      </c>
      <c r="AK109" s="131" t="str">
        <f t="shared" si="9"/>
        <v>Jan11154</v>
      </c>
      <c r="AL109" s="154">
        <f>IF(N109="","",IF(N109="SIM",VLOOKUP($I109&amp;$J109&amp;N$1,Pesos!$A:$I,7,FALSE),VLOOKUP($I109&amp;$J109&amp;N$1,Pesos!$A:$I,9,FALSE)))</f>
        <v>0.1</v>
      </c>
      <c r="AM109" s="154">
        <f>IF(O109="","",IF(O109="SIM",VLOOKUP($I109&amp;$J109&amp;O$1,Pesos!$A:$I,7,FALSE),VLOOKUP($I109&amp;$J109&amp;O$1,Pesos!$A:$I,9,FALSE)))</f>
        <v>0.1</v>
      </c>
      <c r="AN109" s="154">
        <f>IF(P109="","",IF(P109="SIM",VLOOKUP($I109&amp;$J109&amp;P$1,Pesos!$A:$I,7,FALSE),VLOOKUP($I109&amp;$J109&amp;P$1,Pesos!$A:$I,9,FALSE)))</f>
        <v>0.1</v>
      </c>
      <c r="AO109" s="154">
        <f>IF(Q109="","",IF(Q109="SIM",VLOOKUP($I109&amp;$J109&amp;Q$1,Pesos!$A:$I,7,FALSE),VLOOKUP($I109&amp;$J109&amp;Q$1,Pesos!$A:$I,9,FALSE)))</f>
        <v>2</v>
      </c>
      <c r="AP109" s="154">
        <f>IF(R109="","",IF(R109="SIM",VLOOKUP($I109&amp;$J109&amp;R$1,Pesos!$A:$I,7,FALSE),VLOOKUP($I109&amp;$J109&amp;R$1,Pesos!$A:$I,9,FALSE)))</f>
        <v>1.03</v>
      </c>
      <c r="AQ109" s="154">
        <f>IF(S109="","",IF(S109="SIM",VLOOKUP($I109&amp;$J109&amp;S$1,Pesos!$A:$I,7,FALSE),VLOOKUP($I109&amp;$J109&amp;S$1,Pesos!$A:$I,9,FALSE)))</f>
        <v>1.3</v>
      </c>
      <c r="AR109" s="156">
        <f>IF(T109="","",IF(T109="SIM",VLOOKUP($I109&amp;$J109&amp;T$1,Pesos!$A:$I,7,FALSE),VLOOKUP($I109&amp;$J109&amp;T$1,Pesos!$A:$I,9,FALSE)))</f>
        <v>1.3</v>
      </c>
      <c r="AS109" s="132">
        <f>IF(U109="","",IF(U109="SIM",VLOOKUP($I109&amp;$J109&amp;U$1,Pesos!$A:$I,7,FALSE),VLOOKUP($I109&amp;$J109&amp;U$1,Pesos!$A:$I,9,FALSE)))</f>
        <v>1.32</v>
      </c>
      <c r="AT109" s="132">
        <f>IF(V109="","",IF(V109="SIM",VLOOKUP($I109&amp;$J109&amp;V$1,Pesos!$A:$I,7,FALSE),VLOOKUP($I109&amp;$J109&amp;V$1,Pesos!$A:$I,9,FALSE)))</f>
        <v>1.4039999999999999</v>
      </c>
      <c r="AU109" s="132">
        <f>IF(W109="","",IF(W109="SIM",VLOOKUP($I109&amp;$J109&amp;W$1,Pesos!$A:$I,7,FALSE),VLOOKUP($I109&amp;$J109&amp;W$1,Pesos!$A:$I,9,FALSE)))</f>
        <v>0.3</v>
      </c>
      <c r="AV109" s="132">
        <f>IF(X109="","",IF(X109="SIM",VLOOKUP($I109&amp;$J109&amp;X$1,Pesos!$A:$I,7,FALSE),VLOOKUP($I109&amp;$J109&amp;X$1,Pesos!$A:$I,9,FALSE)))</f>
        <v>0.3</v>
      </c>
      <c r="AW109" s="132">
        <f>IF(Y109="","",IF(Y109="SIM",VLOOKUP($I109&amp;$J109&amp;Y$1,Pesos!$A:$I,7,FALSE),VLOOKUP($I109&amp;$J109&amp;Y$1,Pesos!$A:$I,9,FALSE)))</f>
        <v>0.15</v>
      </c>
      <c r="AX109" s="132">
        <f>IF(Z109="","",IF(Z109="SIM",VLOOKUP($I109&amp;$J109&amp;Z$1,Pesos!$A:$I,7,FALSE),VLOOKUP($I109&amp;$J109&amp;Z$1,Pesos!$A:$I,9,FALSE)))</f>
        <v>-1.0000000000000002E-2</v>
      </c>
      <c r="AY109" s="132">
        <f>IF(AA109="","",IF(AA109="SIM",VLOOKUP($I109&amp;$J109&amp;AA$1,Pesos!$A:$I,7,FALSE),VLOOKUP($I109&amp;$J109&amp;AA$1,Pesos!$A:$I,9,FALSE)))</f>
        <v>0.3</v>
      </c>
      <c r="AZ109" s="132">
        <f>IF(AB109="","",IF(AB109="SIM",VLOOKUP($I109&amp;$J109&amp;AB$1,Pesos!$A:$I,7,FALSE),VLOOKUP($I109&amp;$J109&amp;AB$1,Pesos!$A:$I,9,FALSE)))</f>
        <v>0.1</v>
      </c>
      <c r="BA109" s="132" t="str">
        <f>IF(AC109="","",IF(AC109="SIM",VLOOKUP($I109&amp;$J109&amp;AC$1,Pesos!$A:$I,7,FALSE),VLOOKUP($I109&amp;$J109&amp;AC$1,Pesos!$A:$I,9,FALSE)))</f>
        <v/>
      </c>
      <c r="BB109" s="132" t="str">
        <f>IF(AD109="","",IF(AD109="SIM",VLOOKUP($I109&amp;$J109&amp;AD$1,Pesos!$A:$I,7,FALSE),VLOOKUP($I109&amp;$J109&amp;AD$1,Pesos!$A:$I,9,FALSE)))</f>
        <v/>
      </c>
      <c r="BC109" s="132" t="str">
        <f>IF(AE109="","",IF(AE109="SIM",VLOOKUP($I109&amp;$J109&amp;AE$1,Pesos!$A:$I,7,FALSE),VLOOKUP($I109&amp;$J109&amp;AE$1,Pesos!$A:$I,9,FALSE)))</f>
        <v/>
      </c>
      <c r="BD109" s="158">
        <f>IFERROR(AF109*VLOOKUP(J109,'BD Campos'!$X$1:$Y$14,2,FALSE),"0")</f>
        <v>9.7940000000000023</v>
      </c>
    </row>
    <row r="110" spans="1:56">
      <c r="A110" s="151" t="str">
        <f t="shared" si="7"/>
        <v>Jan11318MotoristaUTI</v>
      </c>
      <c r="B110" s="149" t="str">
        <f t="shared" si="8"/>
        <v>Jan113181UTIPADRÃO</v>
      </c>
      <c r="C110" s="152">
        <v>1</v>
      </c>
      <c r="D110" s="153">
        <v>46056.432733449074</v>
      </c>
      <c r="E110" s="154" t="s">
        <v>12</v>
      </c>
      <c r="F110" s="155">
        <v>11318</v>
      </c>
      <c r="G110" s="149" t="s">
        <v>265</v>
      </c>
      <c r="H110" s="154">
        <v>1</v>
      </c>
      <c r="I110" s="149" t="s">
        <v>130</v>
      </c>
      <c r="J110" s="149" t="s">
        <v>93</v>
      </c>
      <c r="K110" s="149" t="s">
        <v>128</v>
      </c>
      <c r="L110" s="156">
        <v>34522297</v>
      </c>
      <c r="M110" s="157">
        <v>1.7245370370370372E-3</v>
      </c>
      <c r="N110" s="131" t="s">
        <v>17</v>
      </c>
      <c r="O110" s="131" t="s">
        <v>17</v>
      </c>
      <c r="P110" s="131" t="s">
        <v>17</v>
      </c>
      <c r="Q110" s="131" t="s">
        <v>17</v>
      </c>
      <c r="R110" s="131" t="s">
        <v>17</v>
      </c>
      <c r="S110" s="131" t="s">
        <v>17</v>
      </c>
      <c r="T110" s="131" t="s">
        <v>17</v>
      </c>
      <c r="U110" s="131" t="s">
        <v>17</v>
      </c>
      <c r="V110" s="131" t="s">
        <v>17</v>
      </c>
      <c r="W110" s="131" t="s">
        <v>17</v>
      </c>
      <c r="X110" s="131" t="s">
        <v>17</v>
      </c>
      <c r="Y110" s="131" t="s">
        <v>17</v>
      </c>
      <c r="Z110" s="131" t="s">
        <v>17</v>
      </c>
      <c r="AA110" s="131" t="s">
        <v>17</v>
      </c>
      <c r="AB110" s="131" t="s">
        <v>17</v>
      </c>
      <c r="AC110" s="131"/>
      <c r="AD110" s="131"/>
      <c r="AE110" s="131"/>
      <c r="AF110" s="158">
        <f t="shared" si="10"/>
        <v>10.004000000000001</v>
      </c>
      <c r="AG110" s="159"/>
      <c r="AH110" s="155" t="s">
        <v>266</v>
      </c>
      <c r="AI110" s="155" t="s">
        <v>83</v>
      </c>
      <c r="AJ110" s="131" t="str">
        <f>IFERROR(VLOOKUP(E110&amp;F110,'Listagem dos op'!A:S,19,0),"")</f>
        <v/>
      </c>
      <c r="AK110" s="131" t="str">
        <f t="shared" si="9"/>
        <v>Jan11318</v>
      </c>
      <c r="AL110" s="154">
        <f>IF(N110="","",IF(N110="SIM",VLOOKUP($I110&amp;$J110&amp;N$1,Pesos!$A:$I,7,FALSE),VLOOKUP($I110&amp;$J110&amp;N$1,Pesos!$A:$I,9,FALSE)))</f>
        <v>0.1</v>
      </c>
      <c r="AM110" s="154">
        <f>IF(O110="","",IF(O110="SIM",VLOOKUP($I110&amp;$J110&amp;O$1,Pesos!$A:$I,7,FALSE),VLOOKUP($I110&amp;$J110&amp;O$1,Pesos!$A:$I,9,FALSE)))</f>
        <v>0.1</v>
      </c>
      <c r="AN110" s="154">
        <f>IF(P110="","",IF(P110="SIM",VLOOKUP($I110&amp;$J110&amp;P$1,Pesos!$A:$I,7,FALSE),VLOOKUP($I110&amp;$J110&amp;P$1,Pesos!$A:$I,9,FALSE)))</f>
        <v>0.1</v>
      </c>
      <c r="AO110" s="154">
        <f>IF(Q110="","",IF(Q110="SIM",VLOOKUP($I110&amp;$J110&amp;Q$1,Pesos!$A:$I,7,FALSE),VLOOKUP($I110&amp;$J110&amp;Q$1,Pesos!$A:$I,9,FALSE)))</f>
        <v>2</v>
      </c>
      <c r="AP110" s="154">
        <f>IF(R110="","",IF(R110="SIM",VLOOKUP($I110&amp;$J110&amp;R$1,Pesos!$A:$I,7,FALSE),VLOOKUP($I110&amp;$J110&amp;R$1,Pesos!$A:$I,9,FALSE)))</f>
        <v>1.03</v>
      </c>
      <c r="AQ110" s="154">
        <f>IF(S110="","",IF(S110="SIM",VLOOKUP($I110&amp;$J110&amp;S$1,Pesos!$A:$I,7,FALSE),VLOOKUP($I110&amp;$J110&amp;S$1,Pesos!$A:$I,9,FALSE)))</f>
        <v>1.3</v>
      </c>
      <c r="AR110" s="156">
        <f>IF(T110="","",IF(T110="SIM",VLOOKUP($I110&amp;$J110&amp;T$1,Pesos!$A:$I,7,FALSE),VLOOKUP($I110&amp;$J110&amp;T$1,Pesos!$A:$I,9,FALSE)))</f>
        <v>1.3</v>
      </c>
      <c r="AS110" s="132">
        <f>IF(U110="","",IF(U110="SIM",VLOOKUP($I110&amp;$J110&amp;U$1,Pesos!$A:$I,7,FALSE),VLOOKUP($I110&amp;$J110&amp;U$1,Pesos!$A:$I,9,FALSE)))</f>
        <v>1.32</v>
      </c>
      <c r="AT110" s="132">
        <f>IF(V110="","",IF(V110="SIM",VLOOKUP($I110&amp;$J110&amp;V$1,Pesos!$A:$I,7,FALSE),VLOOKUP($I110&amp;$J110&amp;V$1,Pesos!$A:$I,9,FALSE)))</f>
        <v>1.4039999999999999</v>
      </c>
      <c r="AU110" s="132">
        <f>IF(W110="","",IF(W110="SIM",VLOOKUP($I110&amp;$J110&amp;W$1,Pesos!$A:$I,7,FALSE),VLOOKUP($I110&amp;$J110&amp;W$1,Pesos!$A:$I,9,FALSE)))</f>
        <v>0.3</v>
      </c>
      <c r="AV110" s="132">
        <f>IF(X110="","",IF(X110="SIM",VLOOKUP($I110&amp;$J110&amp;X$1,Pesos!$A:$I,7,FALSE),VLOOKUP($I110&amp;$J110&amp;X$1,Pesos!$A:$I,9,FALSE)))</f>
        <v>0.3</v>
      </c>
      <c r="AW110" s="132">
        <f>IF(Y110="","",IF(Y110="SIM",VLOOKUP($I110&amp;$J110&amp;Y$1,Pesos!$A:$I,7,FALSE),VLOOKUP($I110&amp;$J110&amp;Y$1,Pesos!$A:$I,9,FALSE)))</f>
        <v>0.15</v>
      </c>
      <c r="AX110" s="132">
        <f>IF(Z110="","",IF(Z110="SIM",VLOOKUP($I110&amp;$J110&amp;Z$1,Pesos!$A:$I,7,FALSE),VLOOKUP($I110&amp;$J110&amp;Z$1,Pesos!$A:$I,9,FALSE)))</f>
        <v>0.2</v>
      </c>
      <c r="AY110" s="132">
        <f>IF(AA110="","",IF(AA110="SIM",VLOOKUP($I110&amp;$J110&amp;AA$1,Pesos!$A:$I,7,FALSE),VLOOKUP($I110&amp;$J110&amp;AA$1,Pesos!$A:$I,9,FALSE)))</f>
        <v>0.3</v>
      </c>
      <c r="AZ110" s="132">
        <f>IF(AB110="","",IF(AB110="SIM",VLOOKUP($I110&amp;$J110&amp;AB$1,Pesos!$A:$I,7,FALSE),VLOOKUP($I110&amp;$J110&amp;AB$1,Pesos!$A:$I,9,FALSE)))</f>
        <v>0.1</v>
      </c>
      <c r="BA110" s="132" t="str">
        <f>IF(AC110="","",IF(AC110="SIM",VLOOKUP($I110&amp;$J110&amp;AC$1,Pesos!$A:$I,7,FALSE),VLOOKUP($I110&amp;$J110&amp;AC$1,Pesos!$A:$I,9,FALSE)))</f>
        <v/>
      </c>
      <c r="BB110" s="132" t="str">
        <f>IF(AD110="","",IF(AD110="SIM",VLOOKUP($I110&amp;$J110&amp;AD$1,Pesos!$A:$I,7,FALSE),VLOOKUP($I110&amp;$J110&amp;AD$1,Pesos!$A:$I,9,FALSE)))</f>
        <v/>
      </c>
      <c r="BC110" s="132" t="str">
        <f>IF(AE110="","",IF(AE110="SIM",VLOOKUP($I110&amp;$J110&amp;AE$1,Pesos!$A:$I,7,FALSE),VLOOKUP($I110&amp;$J110&amp;AE$1,Pesos!$A:$I,9,FALSE)))</f>
        <v/>
      </c>
      <c r="BD110" s="158">
        <f>IFERROR(AF110*VLOOKUP(J110,'BD Campos'!$X$1:$Y$14,2,FALSE),"0")</f>
        <v>10.004000000000001</v>
      </c>
    </row>
    <row r="111" spans="1:56">
      <c r="A111" s="151" t="str">
        <f t="shared" si="7"/>
        <v>Jan11318Motorista 2UTI</v>
      </c>
      <c r="B111" s="149" t="str">
        <f t="shared" si="8"/>
        <v>Jan113182UTIPADRÃO</v>
      </c>
      <c r="C111" s="152">
        <v>1</v>
      </c>
      <c r="D111" s="153">
        <v>46056.435920023148</v>
      </c>
      <c r="E111" s="154" t="s">
        <v>12</v>
      </c>
      <c r="F111" s="155">
        <v>11318</v>
      </c>
      <c r="G111" s="149" t="s">
        <v>265</v>
      </c>
      <c r="H111" s="154">
        <v>2</v>
      </c>
      <c r="I111" s="149" t="s">
        <v>96</v>
      </c>
      <c r="J111" s="149" t="s">
        <v>97</v>
      </c>
      <c r="K111" s="149" t="s">
        <v>128</v>
      </c>
      <c r="L111" s="156">
        <v>34760360</v>
      </c>
      <c r="M111" s="157">
        <v>1.5972222222222221E-3</v>
      </c>
      <c r="N111" s="131" t="s">
        <v>18</v>
      </c>
      <c r="O111" s="131" t="s">
        <v>17</v>
      </c>
      <c r="P111" s="131" t="s">
        <v>17</v>
      </c>
      <c r="Q111" s="131" t="s">
        <v>17</v>
      </c>
      <c r="R111" s="131" t="s">
        <v>17</v>
      </c>
      <c r="S111" s="131" t="s">
        <v>17</v>
      </c>
      <c r="T111" s="131" t="s">
        <v>17</v>
      </c>
      <c r="U111" s="131" t="s">
        <v>18</v>
      </c>
      <c r="V111" s="131" t="s">
        <v>18</v>
      </c>
      <c r="W111" s="131" t="s">
        <v>18</v>
      </c>
      <c r="X111" s="131" t="s">
        <v>17</v>
      </c>
      <c r="Y111" s="131" t="s">
        <v>17</v>
      </c>
      <c r="Z111" s="131" t="s">
        <v>17</v>
      </c>
      <c r="AA111" s="131" t="s">
        <v>18</v>
      </c>
      <c r="AB111" s="131" t="s">
        <v>17</v>
      </c>
      <c r="AC111" s="131"/>
      <c r="AD111" s="131"/>
      <c r="AE111" s="131"/>
      <c r="AF111" s="158">
        <f t="shared" si="10"/>
        <v>7.06</v>
      </c>
      <c r="AG111" s="159"/>
      <c r="AH111" s="155" t="s">
        <v>267</v>
      </c>
      <c r="AI111" s="155" t="s">
        <v>83</v>
      </c>
      <c r="AJ111" s="131" t="str">
        <f>IFERROR(VLOOKUP(E111&amp;F111,'Listagem dos op'!A:S,19,0),"")</f>
        <v/>
      </c>
      <c r="AK111" s="131" t="str">
        <f t="shared" si="9"/>
        <v>Jan11318</v>
      </c>
      <c r="AL111" s="154">
        <f>IF(N111="","",IF(N111="SIM",VLOOKUP($I111&amp;$J111&amp;N$1,Pesos!$A:$I,7,FALSE),VLOOKUP($I111&amp;$J111&amp;N$1,Pesos!$A:$I,9,FALSE)))</f>
        <v>-5.000000000000001E-3</v>
      </c>
      <c r="AM111" s="154">
        <f>IF(O111="","",IF(O111="SIM",VLOOKUP($I111&amp;$J111&amp;O$1,Pesos!$A:$I,7,FALSE),VLOOKUP($I111&amp;$J111&amp;O$1,Pesos!$A:$I,9,FALSE)))</f>
        <v>0.1</v>
      </c>
      <c r="AN111" s="154">
        <f>IF(P111="","",IF(P111="SIM",VLOOKUP($I111&amp;$J111&amp;P$1,Pesos!$A:$I,7,FALSE),VLOOKUP($I111&amp;$J111&amp;P$1,Pesos!$A:$I,9,FALSE)))</f>
        <v>0.1</v>
      </c>
      <c r="AO111" s="154">
        <f>IF(Q111="","",IF(Q111="SIM",VLOOKUP($I111&amp;$J111&amp;Q$1,Pesos!$A:$I,7,FALSE),VLOOKUP($I111&amp;$J111&amp;Q$1,Pesos!$A:$I,9,FALSE)))</f>
        <v>2</v>
      </c>
      <c r="AP111" s="154">
        <f>IF(R111="","",IF(R111="SIM",VLOOKUP($I111&amp;$J111&amp;R$1,Pesos!$A:$I,7,FALSE),VLOOKUP($I111&amp;$J111&amp;R$1,Pesos!$A:$I,9,FALSE)))</f>
        <v>1.03</v>
      </c>
      <c r="AQ111" s="154">
        <f>IF(S111="","",IF(S111="SIM",VLOOKUP($I111&amp;$J111&amp;S$1,Pesos!$A:$I,7,FALSE),VLOOKUP($I111&amp;$J111&amp;S$1,Pesos!$A:$I,9,FALSE)))</f>
        <v>1.22</v>
      </c>
      <c r="AR111" s="156">
        <f>IF(T111="","",IF(T111="SIM",VLOOKUP($I111&amp;$J111&amp;T$1,Pesos!$A:$I,7,FALSE),VLOOKUP($I111&amp;$J111&amp;T$1,Pesos!$A:$I,9,FALSE)))</f>
        <v>2</v>
      </c>
      <c r="AS111" s="132">
        <f>IF(U111="","",IF(U111="SIM",VLOOKUP($I111&amp;$J111&amp;U$1,Pesos!$A:$I,7,FALSE),VLOOKUP($I111&amp;$J111&amp;U$1,Pesos!$A:$I,9,FALSE)))</f>
        <v>-5.2500000000000005E-2</v>
      </c>
      <c r="AT111" s="132">
        <f>IF(V111="","",IF(V111="SIM",VLOOKUP($I111&amp;$J111&amp;V$1,Pesos!$A:$I,7,FALSE),VLOOKUP($I111&amp;$J111&amp;V$1,Pesos!$A:$I,9,FALSE)))</f>
        <v>-5.2500000000000005E-2</v>
      </c>
      <c r="AU111" s="132">
        <f>IF(W111="","",IF(W111="SIM",VLOOKUP($I111&amp;$J111&amp;W$1,Pesos!$A:$I,7,FALSE),VLOOKUP($I111&amp;$J111&amp;W$1,Pesos!$A:$I,9,FALSE)))</f>
        <v>-1.4999999999999999E-2</v>
      </c>
      <c r="AV111" s="132">
        <f>IF(X111="","",IF(X111="SIM",VLOOKUP($I111&amp;$J111&amp;X$1,Pesos!$A:$I,7,FALSE),VLOOKUP($I111&amp;$J111&amp;X$1,Pesos!$A:$I,9,FALSE)))</f>
        <v>0.3</v>
      </c>
      <c r="AW111" s="132">
        <f>IF(Y111="","",IF(Y111="SIM",VLOOKUP($I111&amp;$J111&amp;Y$1,Pesos!$A:$I,7,FALSE),VLOOKUP($I111&amp;$J111&amp;Y$1,Pesos!$A:$I,9,FALSE)))</f>
        <v>0.15</v>
      </c>
      <c r="AX111" s="132">
        <f>IF(Z111="","",IF(Z111="SIM",VLOOKUP($I111&amp;$J111&amp;Z$1,Pesos!$A:$I,7,FALSE),VLOOKUP($I111&amp;$J111&amp;Z$1,Pesos!$A:$I,9,FALSE)))</f>
        <v>0.2</v>
      </c>
      <c r="AY111" s="132">
        <f>IF(AA111="","",IF(AA111="SIM",VLOOKUP($I111&amp;$J111&amp;AA$1,Pesos!$A:$I,7,FALSE),VLOOKUP($I111&amp;$J111&amp;AA$1,Pesos!$A:$I,9,FALSE)))</f>
        <v>-1.4999999999999999E-2</v>
      </c>
      <c r="AZ111" s="132">
        <f>IF(AB111="","",IF(AB111="SIM",VLOOKUP($I111&amp;$J111&amp;AB$1,Pesos!$A:$I,7,FALSE),VLOOKUP($I111&amp;$J111&amp;AB$1,Pesos!$A:$I,9,FALSE)))</f>
        <v>0.1</v>
      </c>
      <c r="BA111" s="132" t="str">
        <f>IF(AC111="","",IF(AC111="SIM",VLOOKUP($I111&amp;$J111&amp;AC$1,Pesos!$A:$I,7,FALSE),VLOOKUP($I111&amp;$J111&amp;AC$1,Pesos!$A:$I,9,FALSE)))</f>
        <v/>
      </c>
      <c r="BB111" s="132" t="str">
        <f>IF(AD111="","",IF(AD111="SIM",VLOOKUP($I111&amp;$J111&amp;AD$1,Pesos!$A:$I,7,FALSE),VLOOKUP($I111&amp;$J111&amp;AD$1,Pesos!$A:$I,9,FALSE)))</f>
        <v/>
      </c>
      <c r="BC111" s="132" t="str">
        <f>IF(AE111="","",IF(AE111="SIM",VLOOKUP($I111&amp;$J111&amp;AE$1,Pesos!$A:$I,7,FALSE),VLOOKUP($I111&amp;$J111&amp;AE$1,Pesos!$A:$I,9,FALSE)))</f>
        <v/>
      </c>
      <c r="BD111" s="158">
        <f>IFERROR(AF111*VLOOKUP(J111,'BD Campos'!$X$1:$Y$14,2,FALSE),"0")</f>
        <v>7.06</v>
      </c>
    </row>
    <row r="112" spans="1:56">
      <c r="A112" s="151" t="str">
        <f t="shared" si="7"/>
        <v>Jan10187MotoristaUTI</v>
      </c>
      <c r="B112" s="149" t="str">
        <f t="shared" si="8"/>
        <v>Jan101871UTIPADRÃO</v>
      </c>
      <c r="C112" s="152">
        <v>1</v>
      </c>
      <c r="D112" s="153">
        <v>46056.441081597222</v>
      </c>
      <c r="E112" s="154" t="s">
        <v>12</v>
      </c>
      <c r="F112" s="155">
        <v>10187</v>
      </c>
      <c r="G112" s="149" t="s">
        <v>268</v>
      </c>
      <c r="H112" s="154">
        <v>1</v>
      </c>
      <c r="I112" s="149" t="s">
        <v>133</v>
      </c>
      <c r="J112" s="149" t="s">
        <v>93</v>
      </c>
      <c r="K112" s="149" t="s">
        <v>128</v>
      </c>
      <c r="L112" s="156">
        <v>34590452</v>
      </c>
      <c r="M112" s="157">
        <v>2.6041666666666665E-3</v>
      </c>
      <c r="N112" s="131" t="s">
        <v>17</v>
      </c>
      <c r="O112" s="131" t="s">
        <v>17</v>
      </c>
      <c r="P112" s="131" t="s">
        <v>17</v>
      </c>
      <c r="Q112" s="131" t="s">
        <v>17</v>
      </c>
      <c r="R112" s="131" t="s">
        <v>17</v>
      </c>
      <c r="S112" s="131" t="s">
        <v>17</v>
      </c>
      <c r="T112" s="131" t="s">
        <v>17</v>
      </c>
      <c r="U112" s="131" t="s">
        <v>18</v>
      </c>
      <c r="V112" s="131" t="s">
        <v>17</v>
      </c>
      <c r="W112" s="131" t="s">
        <v>17</v>
      </c>
      <c r="X112" s="131" t="s">
        <v>17</v>
      </c>
      <c r="Y112" s="131" t="s">
        <v>17</v>
      </c>
      <c r="Z112" s="131" t="s">
        <v>17</v>
      </c>
      <c r="AA112" s="131" t="s">
        <v>17</v>
      </c>
      <c r="AB112" s="131" t="s">
        <v>17</v>
      </c>
      <c r="AC112" s="131" t="s">
        <v>17</v>
      </c>
      <c r="AD112" s="131"/>
      <c r="AE112" s="131"/>
      <c r="AF112" s="158">
        <f t="shared" si="10"/>
        <v>8.8974999999999991</v>
      </c>
      <c r="AG112" s="159"/>
      <c r="AH112" s="155" t="s">
        <v>269</v>
      </c>
      <c r="AI112" s="155" t="s">
        <v>83</v>
      </c>
      <c r="AJ112" s="131" t="str">
        <f>IFERROR(VLOOKUP(E112&amp;F112,'Listagem dos op'!A:S,19,0),"")</f>
        <v/>
      </c>
      <c r="AK112" s="131" t="str">
        <f t="shared" si="9"/>
        <v>Jan10187</v>
      </c>
      <c r="AL112" s="154">
        <f>IF(N112="","",IF(N112="SIM",VLOOKUP($I112&amp;$J112&amp;N$1,Pesos!$A:$I,7,FALSE),VLOOKUP($I112&amp;$J112&amp;N$1,Pesos!$A:$I,9,FALSE)))</f>
        <v>0.1</v>
      </c>
      <c r="AM112" s="154">
        <f>IF(O112="","",IF(O112="SIM",VLOOKUP($I112&amp;$J112&amp;O$1,Pesos!$A:$I,7,FALSE),VLOOKUP($I112&amp;$J112&amp;O$1,Pesos!$A:$I,9,FALSE)))</f>
        <v>0.1</v>
      </c>
      <c r="AN112" s="154">
        <f>IF(P112="","",IF(P112="SIM",VLOOKUP($I112&amp;$J112&amp;P$1,Pesos!$A:$I,7,FALSE),VLOOKUP($I112&amp;$J112&amp;P$1,Pesos!$A:$I,9,FALSE)))</f>
        <v>0.1</v>
      </c>
      <c r="AO112" s="154">
        <f>IF(Q112="","",IF(Q112="SIM",VLOOKUP($I112&amp;$J112&amp;Q$1,Pesos!$A:$I,7,FALSE),VLOOKUP($I112&amp;$J112&amp;Q$1,Pesos!$A:$I,9,FALSE)))</f>
        <v>2</v>
      </c>
      <c r="AP112" s="154">
        <f>IF(R112="","",IF(R112="SIM",VLOOKUP($I112&amp;$J112&amp;R$1,Pesos!$A:$I,7,FALSE),VLOOKUP($I112&amp;$J112&amp;R$1,Pesos!$A:$I,9,FALSE)))</f>
        <v>1.03</v>
      </c>
      <c r="AQ112" s="154">
        <f>IF(S112="","",IF(S112="SIM",VLOOKUP($I112&amp;$J112&amp;S$1,Pesos!$A:$I,7,FALSE),VLOOKUP($I112&amp;$J112&amp;S$1,Pesos!$A:$I,9,FALSE)))</f>
        <v>1.05</v>
      </c>
      <c r="AR112" s="156">
        <f>IF(T112="","",IF(T112="SIM",VLOOKUP($I112&amp;$J112&amp;T$1,Pesos!$A:$I,7,FALSE),VLOOKUP($I112&amp;$J112&amp;T$1,Pesos!$A:$I,9,FALSE)))</f>
        <v>1.05</v>
      </c>
      <c r="AS112" s="132">
        <f>IF(U112="","",IF(U112="SIM",VLOOKUP($I112&amp;$J112&amp;U$1,Pesos!$A:$I,7,FALSE),VLOOKUP($I112&amp;$J112&amp;U$1,Pesos!$A:$I,9,FALSE)))</f>
        <v>-5.2500000000000005E-2</v>
      </c>
      <c r="AT112" s="132">
        <f>IF(V112="","",IF(V112="SIM",VLOOKUP($I112&amp;$J112&amp;V$1,Pesos!$A:$I,7,FALSE),VLOOKUP($I112&amp;$J112&amp;V$1,Pesos!$A:$I,9,FALSE)))</f>
        <v>1.05</v>
      </c>
      <c r="AU112" s="132">
        <f>IF(W112="","",IF(W112="SIM",VLOOKUP($I112&amp;$J112&amp;W$1,Pesos!$A:$I,7,FALSE),VLOOKUP($I112&amp;$J112&amp;W$1,Pesos!$A:$I,9,FALSE)))</f>
        <v>1.1200000000000001</v>
      </c>
      <c r="AV112" s="132">
        <f>IF(X112="","",IF(X112="SIM",VLOOKUP($I112&amp;$J112&amp;X$1,Pesos!$A:$I,7,FALSE),VLOOKUP($I112&amp;$J112&amp;X$1,Pesos!$A:$I,9,FALSE)))</f>
        <v>0.3</v>
      </c>
      <c r="AW112" s="132">
        <f>IF(Y112="","",IF(Y112="SIM",VLOOKUP($I112&amp;$J112&amp;Y$1,Pesos!$A:$I,7,FALSE),VLOOKUP($I112&amp;$J112&amp;Y$1,Pesos!$A:$I,9,FALSE)))</f>
        <v>0.3</v>
      </c>
      <c r="AX112" s="132">
        <f>IF(Z112="","",IF(Z112="SIM",VLOOKUP($I112&amp;$J112&amp;Z$1,Pesos!$A:$I,7,FALSE),VLOOKUP($I112&amp;$J112&amp;Z$1,Pesos!$A:$I,9,FALSE)))</f>
        <v>0.15</v>
      </c>
      <c r="AY112" s="132">
        <f>IF(AA112="","",IF(AA112="SIM",VLOOKUP($I112&amp;$J112&amp;AA$1,Pesos!$A:$I,7,FALSE),VLOOKUP($I112&amp;$J112&amp;AA$1,Pesos!$A:$I,9,FALSE)))</f>
        <v>0.2</v>
      </c>
      <c r="AZ112" s="132">
        <f>IF(AB112="","",IF(AB112="SIM",VLOOKUP($I112&amp;$J112&amp;AB$1,Pesos!$A:$I,7,FALSE),VLOOKUP($I112&amp;$J112&amp;AB$1,Pesos!$A:$I,9,FALSE)))</f>
        <v>0.3</v>
      </c>
      <c r="BA112" s="132">
        <f>IF(AC112="","",IF(AC112="SIM",VLOOKUP($I112&amp;$J112&amp;AC$1,Pesos!$A:$I,7,FALSE),VLOOKUP($I112&amp;$J112&amp;AC$1,Pesos!$A:$I,9,FALSE)))</f>
        <v>0.1</v>
      </c>
      <c r="BB112" s="132" t="str">
        <f>IF(AD112="","",IF(AD112="SIM",VLOOKUP($I112&amp;$J112&amp;AD$1,Pesos!$A:$I,7,FALSE),VLOOKUP($I112&amp;$J112&amp;AD$1,Pesos!$A:$I,9,FALSE)))</f>
        <v/>
      </c>
      <c r="BC112" s="132" t="str">
        <f>IF(AE112="","",IF(AE112="SIM",VLOOKUP($I112&amp;$J112&amp;AE$1,Pesos!$A:$I,7,FALSE),VLOOKUP($I112&amp;$J112&amp;AE$1,Pesos!$A:$I,9,FALSE)))</f>
        <v/>
      </c>
      <c r="BD112" s="158">
        <f>IFERROR(AF112*VLOOKUP(J112,'BD Campos'!$X$1:$Y$14,2,FALSE),"0")</f>
        <v>8.8974999999999991</v>
      </c>
    </row>
    <row r="113" spans="1:56">
      <c r="A113" s="151" t="str">
        <f t="shared" si="7"/>
        <v>Jan10187Motorista 2UTI</v>
      </c>
      <c r="B113" s="149" t="str">
        <f t="shared" si="8"/>
        <v>Jan101872UTIPADRÃO</v>
      </c>
      <c r="C113" s="152">
        <v>1</v>
      </c>
      <c r="D113" s="153">
        <v>46056.466873726851</v>
      </c>
      <c r="E113" s="154" t="s">
        <v>12</v>
      </c>
      <c r="F113" s="155">
        <v>10187</v>
      </c>
      <c r="G113" s="149" t="s">
        <v>268</v>
      </c>
      <c r="H113" s="154">
        <v>2</v>
      </c>
      <c r="I113" s="149" t="s">
        <v>133</v>
      </c>
      <c r="J113" s="149" t="s">
        <v>97</v>
      </c>
      <c r="K113" s="149" t="s">
        <v>128</v>
      </c>
      <c r="L113" s="156">
        <v>34744917</v>
      </c>
      <c r="M113" s="157">
        <v>2.5000000000000001E-3</v>
      </c>
      <c r="N113" s="131" t="s">
        <v>17</v>
      </c>
      <c r="O113" s="131" t="s">
        <v>17</v>
      </c>
      <c r="P113" s="131" t="s">
        <v>17</v>
      </c>
      <c r="Q113" s="131" t="s">
        <v>17</v>
      </c>
      <c r="R113" s="131" t="s">
        <v>17</v>
      </c>
      <c r="S113" s="131" t="s">
        <v>17</v>
      </c>
      <c r="T113" s="131" t="s">
        <v>17</v>
      </c>
      <c r="U113" s="131" t="s">
        <v>18</v>
      </c>
      <c r="V113" s="131" t="s">
        <v>17</v>
      </c>
      <c r="W113" s="131" t="s">
        <v>17</v>
      </c>
      <c r="X113" s="131" t="s">
        <v>17</v>
      </c>
      <c r="Y113" s="131" t="s">
        <v>17</v>
      </c>
      <c r="Z113" s="131" t="s">
        <v>17</v>
      </c>
      <c r="AA113" s="131" t="s">
        <v>17</v>
      </c>
      <c r="AB113" s="131" t="s">
        <v>17</v>
      </c>
      <c r="AC113" s="131" t="s">
        <v>17</v>
      </c>
      <c r="AD113" s="131"/>
      <c r="AE113" s="131"/>
      <c r="AF113" s="158">
        <f t="shared" si="10"/>
        <v>8.8974999999999991</v>
      </c>
      <c r="AG113" s="159"/>
      <c r="AH113" s="155" t="s">
        <v>270</v>
      </c>
      <c r="AI113" s="155" t="s">
        <v>83</v>
      </c>
      <c r="AJ113" s="131" t="str">
        <f>IFERROR(VLOOKUP(E113&amp;F113,'Listagem dos op'!A:S,19,0),"")</f>
        <v/>
      </c>
      <c r="AK113" s="131" t="str">
        <f t="shared" si="9"/>
        <v>Jan10187</v>
      </c>
      <c r="AL113" s="154">
        <f>IF(N113="","",IF(N113="SIM",VLOOKUP($I113&amp;$J113&amp;N$1,Pesos!$A:$I,7,FALSE),VLOOKUP($I113&amp;$J113&amp;N$1,Pesos!$A:$I,9,FALSE)))</f>
        <v>0.1</v>
      </c>
      <c r="AM113" s="154">
        <f>IF(O113="","",IF(O113="SIM",VLOOKUP($I113&amp;$J113&amp;O$1,Pesos!$A:$I,7,FALSE),VLOOKUP($I113&amp;$J113&amp;O$1,Pesos!$A:$I,9,FALSE)))</f>
        <v>0.1</v>
      </c>
      <c r="AN113" s="154">
        <f>IF(P113="","",IF(P113="SIM",VLOOKUP($I113&amp;$J113&amp;P$1,Pesos!$A:$I,7,FALSE),VLOOKUP($I113&amp;$J113&amp;P$1,Pesos!$A:$I,9,FALSE)))</f>
        <v>0.1</v>
      </c>
      <c r="AO113" s="154">
        <f>IF(Q113="","",IF(Q113="SIM",VLOOKUP($I113&amp;$J113&amp;Q$1,Pesos!$A:$I,7,FALSE),VLOOKUP($I113&amp;$J113&amp;Q$1,Pesos!$A:$I,9,FALSE)))</f>
        <v>2</v>
      </c>
      <c r="AP113" s="154">
        <f>IF(R113="","",IF(R113="SIM",VLOOKUP($I113&amp;$J113&amp;R$1,Pesos!$A:$I,7,FALSE),VLOOKUP($I113&amp;$J113&amp;R$1,Pesos!$A:$I,9,FALSE)))</f>
        <v>1.03</v>
      </c>
      <c r="AQ113" s="154">
        <f>IF(S113="","",IF(S113="SIM",VLOOKUP($I113&amp;$J113&amp;S$1,Pesos!$A:$I,7,FALSE),VLOOKUP($I113&amp;$J113&amp;S$1,Pesos!$A:$I,9,FALSE)))</f>
        <v>1.05</v>
      </c>
      <c r="AR113" s="156">
        <f>IF(T113="","",IF(T113="SIM",VLOOKUP($I113&amp;$J113&amp;T$1,Pesos!$A:$I,7,FALSE),VLOOKUP($I113&amp;$J113&amp;T$1,Pesos!$A:$I,9,FALSE)))</f>
        <v>1.05</v>
      </c>
      <c r="AS113" s="132">
        <f>IF(U113="","",IF(U113="SIM",VLOOKUP($I113&amp;$J113&amp;U$1,Pesos!$A:$I,7,FALSE),VLOOKUP($I113&amp;$J113&amp;U$1,Pesos!$A:$I,9,FALSE)))</f>
        <v>-5.2500000000000005E-2</v>
      </c>
      <c r="AT113" s="132">
        <f>IF(V113="","",IF(V113="SIM",VLOOKUP($I113&amp;$J113&amp;V$1,Pesos!$A:$I,7,FALSE),VLOOKUP($I113&amp;$J113&amp;V$1,Pesos!$A:$I,9,FALSE)))</f>
        <v>1.05</v>
      </c>
      <c r="AU113" s="132">
        <f>IF(W113="","",IF(W113="SIM",VLOOKUP($I113&amp;$J113&amp;W$1,Pesos!$A:$I,7,FALSE),VLOOKUP($I113&amp;$J113&amp;W$1,Pesos!$A:$I,9,FALSE)))</f>
        <v>1.1200000000000001</v>
      </c>
      <c r="AV113" s="132">
        <f>IF(X113="","",IF(X113="SIM",VLOOKUP($I113&amp;$J113&amp;X$1,Pesos!$A:$I,7,FALSE),VLOOKUP($I113&amp;$J113&amp;X$1,Pesos!$A:$I,9,FALSE)))</f>
        <v>0.3</v>
      </c>
      <c r="AW113" s="132">
        <f>IF(Y113="","",IF(Y113="SIM",VLOOKUP($I113&amp;$J113&amp;Y$1,Pesos!$A:$I,7,FALSE),VLOOKUP($I113&amp;$J113&amp;Y$1,Pesos!$A:$I,9,FALSE)))</f>
        <v>0.3</v>
      </c>
      <c r="AX113" s="132">
        <f>IF(Z113="","",IF(Z113="SIM",VLOOKUP($I113&amp;$J113&amp;Z$1,Pesos!$A:$I,7,FALSE),VLOOKUP($I113&amp;$J113&amp;Z$1,Pesos!$A:$I,9,FALSE)))</f>
        <v>0.15</v>
      </c>
      <c r="AY113" s="132">
        <f>IF(AA113="","",IF(AA113="SIM",VLOOKUP($I113&amp;$J113&amp;AA$1,Pesos!$A:$I,7,FALSE),VLOOKUP($I113&amp;$J113&amp;AA$1,Pesos!$A:$I,9,FALSE)))</f>
        <v>0.2</v>
      </c>
      <c r="AZ113" s="132">
        <f>IF(AB113="","",IF(AB113="SIM",VLOOKUP($I113&amp;$J113&amp;AB$1,Pesos!$A:$I,7,FALSE),VLOOKUP($I113&amp;$J113&amp;AB$1,Pesos!$A:$I,9,FALSE)))</f>
        <v>0.3</v>
      </c>
      <c r="BA113" s="132">
        <f>IF(AC113="","",IF(AC113="SIM",VLOOKUP($I113&amp;$J113&amp;AC$1,Pesos!$A:$I,7,FALSE),VLOOKUP($I113&amp;$J113&amp;AC$1,Pesos!$A:$I,9,FALSE)))</f>
        <v>0.1</v>
      </c>
      <c r="BB113" s="132" t="str">
        <f>IF(AD113="","",IF(AD113="SIM",VLOOKUP($I113&amp;$J113&amp;AD$1,Pesos!$A:$I,7,FALSE),VLOOKUP($I113&amp;$J113&amp;AD$1,Pesos!$A:$I,9,FALSE)))</f>
        <v/>
      </c>
      <c r="BC113" s="132" t="str">
        <f>IF(AE113="","",IF(AE113="SIM",VLOOKUP($I113&amp;$J113&amp;AE$1,Pesos!$A:$I,7,FALSE),VLOOKUP($I113&amp;$J113&amp;AE$1,Pesos!$A:$I,9,FALSE)))</f>
        <v/>
      </c>
      <c r="BD113" s="158">
        <f>IFERROR(AF113*VLOOKUP(J113,'BD Campos'!$X$1:$Y$14,2,FALSE),"0")</f>
        <v>8.8974999999999991</v>
      </c>
    </row>
    <row r="114" spans="1:56">
      <c r="A114" s="151" t="str">
        <f t="shared" si="7"/>
        <v>Jan10765MotoristaUTI (RJ)</v>
      </c>
      <c r="B114" s="149" t="str">
        <f t="shared" si="8"/>
        <v>Jan107651UTI (RJ)PADRÃO</v>
      </c>
      <c r="C114" s="152">
        <v>1</v>
      </c>
      <c r="D114" s="153">
        <v>46056.46841134259</v>
      </c>
      <c r="E114" s="154" t="s">
        <v>12</v>
      </c>
      <c r="F114" s="155">
        <v>10765</v>
      </c>
      <c r="G114" s="149" t="s">
        <v>271</v>
      </c>
      <c r="H114" s="154">
        <v>1</v>
      </c>
      <c r="I114" s="149" t="s">
        <v>92</v>
      </c>
      <c r="J114" s="149" t="s">
        <v>93</v>
      </c>
      <c r="K114" s="149" t="s">
        <v>215</v>
      </c>
      <c r="L114" s="156">
        <v>34665843</v>
      </c>
      <c r="M114" s="157">
        <v>9.8379629629629642E-4</v>
      </c>
      <c r="N114" s="131" t="s">
        <v>17</v>
      </c>
      <c r="O114" s="131" t="s">
        <v>17</v>
      </c>
      <c r="P114" s="131" t="s">
        <v>17</v>
      </c>
      <c r="Q114" s="131" t="s">
        <v>17</v>
      </c>
      <c r="R114" s="131" t="s">
        <v>17</v>
      </c>
      <c r="S114" s="131" t="s">
        <v>18</v>
      </c>
      <c r="T114" s="131" t="s">
        <v>17</v>
      </c>
      <c r="U114" s="131" t="s">
        <v>17</v>
      </c>
      <c r="V114" s="131" t="s">
        <v>17</v>
      </c>
      <c r="W114" s="131" t="s">
        <v>17</v>
      </c>
      <c r="X114" s="131" t="s">
        <v>17</v>
      </c>
      <c r="Y114" s="131" t="s">
        <v>17</v>
      </c>
      <c r="Z114" s="131" t="s">
        <v>17</v>
      </c>
      <c r="AA114" s="131" t="s">
        <v>17</v>
      </c>
      <c r="AB114" s="131"/>
      <c r="AC114" s="131"/>
      <c r="AD114" s="131"/>
      <c r="AE114" s="131"/>
      <c r="AF114" s="158">
        <f t="shared" si="10"/>
        <v>8.2149999999999999</v>
      </c>
      <c r="AG114" s="159"/>
      <c r="AH114" s="155" t="s">
        <v>272</v>
      </c>
      <c r="AI114" s="155" t="s">
        <v>83</v>
      </c>
      <c r="AJ114" s="131" t="str">
        <f>IFERROR(VLOOKUP(E114&amp;F114,'Listagem dos op'!A:S,19,0),"")</f>
        <v/>
      </c>
      <c r="AK114" s="131" t="str">
        <f t="shared" si="9"/>
        <v>Jan10765</v>
      </c>
      <c r="AL114" s="154">
        <f>IF(N114="","",IF(N114="SIM",VLOOKUP($I114&amp;$J114&amp;N$1,Pesos!$A:$I,7,FALSE),VLOOKUP($I114&amp;$J114&amp;N$1,Pesos!$A:$I,9,FALSE)))</f>
        <v>0.1</v>
      </c>
      <c r="AM114" s="154">
        <f>IF(O114="","",IF(O114="SIM",VLOOKUP($I114&amp;$J114&amp;O$1,Pesos!$A:$I,7,FALSE),VLOOKUP($I114&amp;$J114&amp;O$1,Pesos!$A:$I,9,FALSE)))</f>
        <v>0.1</v>
      </c>
      <c r="AN114" s="154">
        <f>IF(P114="","",IF(P114="SIM",VLOOKUP($I114&amp;$J114&amp;P$1,Pesos!$A:$I,7,FALSE),VLOOKUP($I114&amp;$J114&amp;P$1,Pesos!$A:$I,9,FALSE)))</f>
        <v>0.1</v>
      </c>
      <c r="AO114" s="154">
        <f>IF(Q114="","",IF(Q114="SIM",VLOOKUP($I114&amp;$J114&amp;Q$1,Pesos!$A:$I,7,FALSE),VLOOKUP($I114&amp;$J114&amp;Q$1,Pesos!$A:$I,9,FALSE)))</f>
        <v>2</v>
      </c>
      <c r="AP114" s="154">
        <f>IF(R114="","",IF(R114="SIM",VLOOKUP($I114&amp;$J114&amp;R$1,Pesos!$A:$I,7,FALSE),VLOOKUP($I114&amp;$J114&amp;R$1,Pesos!$A:$I,9,FALSE)))</f>
        <v>1.03</v>
      </c>
      <c r="AQ114" s="154">
        <f>IF(S114="","",IF(S114="SIM",VLOOKUP($I114&amp;$J114&amp;S$1,Pesos!$A:$I,7,FALSE),VLOOKUP($I114&amp;$J114&amp;S$1,Pesos!$A:$I,9,FALSE)))</f>
        <v>-8.500000000000002E-2</v>
      </c>
      <c r="AR114" s="156">
        <f>IF(T114="","",IF(T114="SIM",VLOOKUP($I114&amp;$J114&amp;T$1,Pesos!$A:$I,7,FALSE),VLOOKUP($I114&amp;$J114&amp;T$1,Pesos!$A:$I,9,FALSE)))</f>
        <v>1.92</v>
      </c>
      <c r="AS114" s="132">
        <f>IF(U114="","",IF(U114="SIM",VLOOKUP($I114&amp;$J114&amp;U$1,Pesos!$A:$I,7,FALSE),VLOOKUP($I114&amp;$J114&amp;U$1,Pesos!$A:$I,9,FALSE)))</f>
        <v>1.7000000000000002</v>
      </c>
      <c r="AT114" s="132">
        <f>IF(V114="","",IF(V114="SIM",VLOOKUP($I114&amp;$J114&amp;V$1,Pesos!$A:$I,7,FALSE),VLOOKUP($I114&amp;$J114&amp;V$1,Pesos!$A:$I,9,FALSE)))</f>
        <v>0.3</v>
      </c>
      <c r="AU114" s="132">
        <f>IF(W114="","",IF(W114="SIM",VLOOKUP($I114&amp;$J114&amp;W$1,Pesos!$A:$I,7,FALSE),VLOOKUP($I114&amp;$J114&amp;W$1,Pesos!$A:$I,9,FALSE)))</f>
        <v>0.3</v>
      </c>
      <c r="AV114" s="132">
        <f>IF(X114="","",IF(X114="SIM",VLOOKUP($I114&amp;$J114&amp;X$1,Pesos!$A:$I,7,FALSE),VLOOKUP($I114&amp;$J114&amp;X$1,Pesos!$A:$I,9,FALSE)))</f>
        <v>0.15</v>
      </c>
      <c r="AW114" s="132">
        <f>IF(Y114="","",IF(Y114="SIM",VLOOKUP($I114&amp;$J114&amp;Y$1,Pesos!$A:$I,7,FALSE),VLOOKUP($I114&amp;$J114&amp;Y$1,Pesos!$A:$I,9,FALSE)))</f>
        <v>0.2</v>
      </c>
      <c r="AX114" s="132">
        <f>IF(Z114="","",IF(Z114="SIM",VLOOKUP($I114&amp;$J114&amp;Z$1,Pesos!$A:$I,7,FALSE),VLOOKUP($I114&amp;$J114&amp;Z$1,Pesos!$A:$I,9,FALSE)))</f>
        <v>0.3</v>
      </c>
      <c r="AY114" s="132">
        <f>IF(AA114="","",IF(AA114="SIM",VLOOKUP($I114&amp;$J114&amp;AA$1,Pesos!$A:$I,7,FALSE),VLOOKUP($I114&amp;$J114&amp;AA$1,Pesos!$A:$I,9,FALSE)))</f>
        <v>0.1</v>
      </c>
      <c r="AZ114" s="132" t="str">
        <f>IF(AB114="","",IF(AB114="SIM",VLOOKUP($I114&amp;$J114&amp;AB$1,Pesos!$A:$I,7,FALSE),VLOOKUP($I114&amp;$J114&amp;AB$1,Pesos!$A:$I,9,FALSE)))</f>
        <v/>
      </c>
      <c r="BA114" s="132" t="str">
        <f>IF(AC114="","",IF(AC114="SIM",VLOOKUP($I114&amp;$J114&amp;AC$1,Pesos!$A:$I,7,FALSE),VLOOKUP($I114&amp;$J114&amp;AC$1,Pesos!$A:$I,9,FALSE)))</f>
        <v/>
      </c>
      <c r="BB114" s="132" t="str">
        <f>IF(AD114="","",IF(AD114="SIM",VLOOKUP($I114&amp;$J114&amp;AD$1,Pesos!$A:$I,7,FALSE),VLOOKUP($I114&amp;$J114&amp;AD$1,Pesos!$A:$I,9,FALSE)))</f>
        <v/>
      </c>
      <c r="BC114" s="132" t="str">
        <f>IF(AE114="","",IF(AE114="SIM",VLOOKUP($I114&amp;$J114&amp;AE$1,Pesos!$A:$I,7,FALSE),VLOOKUP($I114&amp;$J114&amp;AE$1,Pesos!$A:$I,9,FALSE)))</f>
        <v/>
      </c>
      <c r="BD114" s="158">
        <f>IFERROR(AF114*VLOOKUP(J114,'BD Campos'!$X$1:$Y$14,2,FALSE),"0")</f>
        <v>8.2149999999999999</v>
      </c>
    </row>
    <row r="115" spans="1:56">
      <c r="A115" s="151" t="str">
        <f t="shared" si="7"/>
        <v>Jan10765Motorista 2UTI (RJ)</v>
      </c>
      <c r="B115" s="149" t="str">
        <f t="shared" si="8"/>
        <v>Jan107652UTI (RJ)PADRÃO</v>
      </c>
      <c r="C115" s="152">
        <v>1</v>
      </c>
      <c r="D115" s="153">
        <v>46056.476351620367</v>
      </c>
      <c r="E115" s="154" t="s">
        <v>12</v>
      </c>
      <c r="F115" s="155">
        <v>10765</v>
      </c>
      <c r="G115" s="149" t="s">
        <v>271</v>
      </c>
      <c r="H115" s="154">
        <v>2</v>
      </c>
      <c r="I115" s="149" t="s">
        <v>130</v>
      </c>
      <c r="J115" s="149" t="s">
        <v>97</v>
      </c>
      <c r="K115" s="149" t="s">
        <v>215</v>
      </c>
      <c r="L115" s="156">
        <v>34778891</v>
      </c>
      <c r="M115" s="157">
        <v>1.9212962962962962E-3</v>
      </c>
      <c r="N115" s="131" t="s">
        <v>17</v>
      </c>
      <c r="O115" s="131" t="s">
        <v>17</v>
      </c>
      <c r="P115" s="131" t="s">
        <v>17</v>
      </c>
      <c r="Q115" s="131" t="s">
        <v>17</v>
      </c>
      <c r="R115" s="131" t="s">
        <v>17</v>
      </c>
      <c r="S115" s="131" t="s">
        <v>17</v>
      </c>
      <c r="T115" s="131" t="s">
        <v>17</v>
      </c>
      <c r="U115" s="131" t="s">
        <v>18</v>
      </c>
      <c r="V115" s="131" t="s">
        <v>17</v>
      </c>
      <c r="W115" s="131" t="s">
        <v>17</v>
      </c>
      <c r="X115" s="131" t="s">
        <v>17</v>
      </c>
      <c r="Y115" s="131" t="s">
        <v>17</v>
      </c>
      <c r="Z115" s="131" t="s">
        <v>17</v>
      </c>
      <c r="AA115" s="131" t="s">
        <v>17</v>
      </c>
      <c r="AB115" s="131" t="s">
        <v>17</v>
      </c>
      <c r="AC115" s="131"/>
      <c r="AD115" s="131"/>
      <c r="AE115" s="131"/>
      <c r="AF115" s="158">
        <f t="shared" si="10"/>
        <v>8.6179999999999986</v>
      </c>
      <c r="AG115" s="159"/>
      <c r="AH115" s="155" t="s">
        <v>273</v>
      </c>
      <c r="AI115" s="155" t="s">
        <v>83</v>
      </c>
      <c r="AJ115" s="131" t="str">
        <f>IFERROR(VLOOKUP(E115&amp;F115,'Listagem dos op'!A:S,19,0),"")</f>
        <v/>
      </c>
      <c r="AK115" s="131" t="str">
        <f t="shared" si="9"/>
        <v>Jan10765</v>
      </c>
      <c r="AL115" s="154">
        <f>IF(N115="","",IF(N115="SIM",VLOOKUP($I115&amp;$J115&amp;N$1,Pesos!$A:$I,7,FALSE),VLOOKUP($I115&amp;$J115&amp;N$1,Pesos!$A:$I,9,FALSE)))</f>
        <v>0.1</v>
      </c>
      <c r="AM115" s="154">
        <f>IF(O115="","",IF(O115="SIM",VLOOKUP($I115&amp;$J115&amp;O$1,Pesos!$A:$I,7,FALSE),VLOOKUP($I115&amp;$J115&amp;O$1,Pesos!$A:$I,9,FALSE)))</f>
        <v>0.1</v>
      </c>
      <c r="AN115" s="154">
        <f>IF(P115="","",IF(P115="SIM",VLOOKUP($I115&amp;$J115&amp;P$1,Pesos!$A:$I,7,FALSE),VLOOKUP($I115&amp;$J115&amp;P$1,Pesos!$A:$I,9,FALSE)))</f>
        <v>0.1</v>
      </c>
      <c r="AO115" s="154">
        <f>IF(Q115="","",IF(Q115="SIM",VLOOKUP($I115&amp;$J115&amp;Q$1,Pesos!$A:$I,7,FALSE),VLOOKUP($I115&amp;$J115&amp;Q$1,Pesos!$A:$I,9,FALSE)))</f>
        <v>2</v>
      </c>
      <c r="AP115" s="154">
        <f>IF(R115="","",IF(R115="SIM",VLOOKUP($I115&amp;$J115&amp;R$1,Pesos!$A:$I,7,FALSE),VLOOKUP($I115&amp;$J115&amp;R$1,Pesos!$A:$I,9,FALSE)))</f>
        <v>1.03</v>
      </c>
      <c r="AQ115" s="154">
        <f>IF(S115="","",IF(S115="SIM",VLOOKUP($I115&amp;$J115&amp;S$1,Pesos!$A:$I,7,FALSE),VLOOKUP($I115&amp;$J115&amp;S$1,Pesos!$A:$I,9,FALSE)))</f>
        <v>1.3</v>
      </c>
      <c r="AR115" s="156">
        <f>IF(T115="","",IF(T115="SIM",VLOOKUP($I115&amp;$J115&amp;T$1,Pesos!$A:$I,7,FALSE),VLOOKUP($I115&amp;$J115&amp;T$1,Pesos!$A:$I,9,FALSE)))</f>
        <v>1.3</v>
      </c>
      <c r="AS115" s="132">
        <f>IF(U115="","",IF(U115="SIM",VLOOKUP($I115&amp;$J115&amp;U$1,Pesos!$A:$I,7,FALSE),VLOOKUP($I115&amp;$J115&amp;U$1,Pesos!$A:$I,9,FALSE)))</f>
        <v>-6.6000000000000003E-2</v>
      </c>
      <c r="AT115" s="132">
        <f>IF(V115="","",IF(V115="SIM",VLOOKUP($I115&amp;$J115&amp;V$1,Pesos!$A:$I,7,FALSE),VLOOKUP($I115&amp;$J115&amp;V$1,Pesos!$A:$I,9,FALSE)))</f>
        <v>1.4039999999999999</v>
      </c>
      <c r="AU115" s="132">
        <f>IF(W115="","",IF(W115="SIM",VLOOKUP($I115&amp;$J115&amp;W$1,Pesos!$A:$I,7,FALSE),VLOOKUP($I115&amp;$J115&amp;W$1,Pesos!$A:$I,9,FALSE)))</f>
        <v>0.3</v>
      </c>
      <c r="AV115" s="132">
        <f>IF(X115="","",IF(X115="SIM",VLOOKUP($I115&amp;$J115&amp;X$1,Pesos!$A:$I,7,FALSE),VLOOKUP($I115&amp;$J115&amp;X$1,Pesos!$A:$I,9,FALSE)))</f>
        <v>0.3</v>
      </c>
      <c r="AW115" s="132">
        <f>IF(Y115="","",IF(Y115="SIM",VLOOKUP($I115&amp;$J115&amp;Y$1,Pesos!$A:$I,7,FALSE),VLOOKUP($I115&amp;$J115&amp;Y$1,Pesos!$A:$I,9,FALSE)))</f>
        <v>0.15</v>
      </c>
      <c r="AX115" s="132">
        <f>IF(Z115="","",IF(Z115="SIM",VLOOKUP($I115&amp;$J115&amp;Z$1,Pesos!$A:$I,7,FALSE),VLOOKUP($I115&amp;$J115&amp;Z$1,Pesos!$A:$I,9,FALSE)))</f>
        <v>0.2</v>
      </c>
      <c r="AY115" s="132">
        <f>IF(AA115="","",IF(AA115="SIM",VLOOKUP($I115&amp;$J115&amp;AA$1,Pesos!$A:$I,7,FALSE),VLOOKUP($I115&amp;$J115&amp;AA$1,Pesos!$A:$I,9,FALSE)))</f>
        <v>0.3</v>
      </c>
      <c r="AZ115" s="132">
        <f>IF(AB115="","",IF(AB115="SIM",VLOOKUP($I115&amp;$J115&amp;AB$1,Pesos!$A:$I,7,FALSE),VLOOKUP($I115&amp;$J115&amp;AB$1,Pesos!$A:$I,9,FALSE)))</f>
        <v>0.1</v>
      </c>
      <c r="BA115" s="132" t="str">
        <f>IF(AC115="","",IF(AC115="SIM",VLOOKUP($I115&amp;$J115&amp;AC$1,Pesos!$A:$I,7,FALSE),VLOOKUP($I115&amp;$J115&amp;AC$1,Pesos!$A:$I,9,FALSE)))</f>
        <v/>
      </c>
      <c r="BB115" s="132" t="str">
        <f>IF(AD115="","",IF(AD115="SIM",VLOOKUP($I115&amp;$J115&amp;AD$1,Pesos!$A:$I,7,FALSE),VLOOKUP($I115&amp;$J115&amp;AD$1,Pesos!$A:$I,9,FALSE)))</f>
        <v/>
      </c>
      <c r="BC115" s="132" t="str">
        <f>IF(AE115="","",IF(AE115="SIM",VLOOKUP($I115&amp;$J115&amp;AE$1,Pesos!$A:$I,7,FALSE),VLOOKUP($I115&amp;$J115&amp;AE$1,Pesos!$A:$I,9,FALSE)))</f>
        <v/>
      </c>
      <c r="BD115" s="158">
        <f>IFERROR(AF115*VLOOKUP(J115,'BD Campos'!$X$1:$Y$14,2,FALSE),"0")</f>
        <v>8.6179999999999986</v>
      </c>
    </row>
    <row r="116" spans="1:56">
      <c r="A116" s="151" t="str">
        <f t="shared" si="7"/>
        <v>Jan11236MotoristaUTI</v>
      </c>
      <c r="B116" s="149" t="str">
        <f t="shared" si="8"/>
        <v>Jan112361UTIPADRÃO</v>
      </c>
      <c r="C116" s="152">
        <v>1</v>
      </c>
      <c r="D116" s="153">
        <v>46056.489150810186</v>
      </c>
      <c r="E116" s="154" t="s">
        <v>12</v>
      </c>
      <c r="F116" s="155">
        <v>11236</v>
      </c>
      <c r="G116" s="149" t="s">
        <v>274</v>
      </c>
      <c r="H116" s="154">
        <v>1</v>
      </c>
      <c r="I116" s="149" t="s">
        <v>133</v>
      </c>
      <c r="J116" s="149" t="s">
        <v>93</v>
      </c>
      <c r="K116" s="149" t="s">
        <v>128</v>
      </c>
      <c r="L116" s="156">
        <v>34486148</v>
      </c>
      <c r="M116" s="157">
        <v>2.0138888888888888E-3</v>
      </c>
      <c r="N116" s="131" t="s">
        <v>17</v>
      </c>
      <c r="O116" s="131" t="s">
        <v>17</v>
      </c>
      <c r="P116" s="131" t="s">
        <v>17</v>
      </c>
      <c r="Q116" s="131" t="s">
        <v>17</v>
      </c>
      <c r="R116" s="131" t="s">
        <v>17</v>
      </c>
      <c r="S116" s="131" t="s">
        <v>17</v>
      </c>
      <c r="T116" s="131" t="s">
        <v>17</v>
      </c>
      <c r="U116" s="131" t="s">
        <v>18</v>
      </c>
      <c r="V116" s="131" t="s">
        <v>17</v>
      </c>
      <c r="W116" s="131" t="s">
        <v>17</v>
      </c>
      <c r="X116" s="131" t="s">
        <v>17</v>
      </c>
      <c r="Y116" s="131" t="s">
        <v>18</v>
      </c>
      <c r="Z116" s="131" t="s">
        <v>17</v>
      </c>
      <c r="AA116" s="131" t="s">
        <v>17</v>
      </c>
      <c r="AB116" s="131" t="s">
        <v>17</v>
      </c>
      <c r="AC116" s="131" t="s">
        <v>17</v>
      </c>
      <c r="AD116" s="131"/>
      <c r="AE116" s="131"/>
      <c r="AF116" s="158">
        <f t="shared" si="10"/>
        <v>8.5824999999999996</v>
      </c>
      <c r="AG116" s="159"/>
      <c r="AH116" s="155" t="s">
        <v>275</v>
      </c>
      <c r="AI116" s="155" t="s">
        <v>83</v>
      </c>
      <c r="AJ116" s="131" t="str">
        <f>IFERROR(VLOOKUP(E116&amp;F116,'Listagem dos op'!A:S,19,0),"")</f>
        <v/>
      </c>
      <c r="AK116" s="131" t="str">
        <f t="shared" si="9"/>
        <v>Jan11236</v>
      </c>
      <c r="AL116" s="154">
        <f>IF(N116="","",IF(N116="SIM",VLOOKUP($I116&amp;$J116&amp;N$1,Pesos!$A:$I,7,FALSE),VLOOKUP($I116&amp;$J116&amp;N$1,Pesos!$A:$I,9,FALSE)))</f>
        <v>0.1</v>
      </c>
      <c r="AM116" s="154">
        <f>IF(O116="","",IF(O116="SIM",VLOOKUP($I116&amp;$J116&amp;O$1,Pesos!$A:$I,7,FALSE),VLOOKUP($I116&amp;$J116&amp;O$1,Pesos!$A:$I,9,FALSE)))</f>
        <v>0.1</v>
      </c>
      <c r="AN116" s="154">
        <f>IF(P116="","",IF(P116="SIM",VLOOKUP($I116&amp;$J116&amp;P$1,Pesos!$A:$I,7,FALSE),VLOOKUP($I116&amp;$J116&amp;P$1,Pesos!$A:$I,9,FALSE)))</f>
        <v>0.1</v>
      </c>
      <c r="AO116" s="154">
        <f>IF(Q116="","",IF(Q116="SIM",VLOOKUP($I116&amp;$J116&amp;Q$1,Pesos!$A:$I,7,FALSE),VLOOKUP($I116&amp;$J116&amp;Q$1,Pesos!$A:$I,9,FALSE)))</f>
        <v>2</v>
      </c>
      <c r="AP116" s="154">
        <f>IF(R116="","",IF(R116="SIM",VLOOKUP($I116&amp;$J116&amp;R$1,Pesos!$A:$I,7,FALSE),VLOOKUP($I116&amp;$J116&amp;R$1,Pesos!$A:$I,9,FALSE)))</f>
        <v>1.03</v>
      </c>
      <c r="AQ116" s="154">
        <f>IF(S116="","",IF(S116="SIM",VLOOKUP($I116&amp;$J116&amp;S$1,Pesos!$A:$I,7,FALSE),VLOOKUP($I116&amp;$J116&amp;S$1,Pesos!$A:$I,9,FALSE)))</f>
        <v>1.05</v>
      </c>
      <c r="AR116" s="156">
        <f>IF(T116="","",IF(T116="SIM",VLOOKUP($I116&amp;$J116&amp;T$1,Pesos!$A:$I,7,FALSE),VLOOKUP($I116&amp;$J116&amp;T$1,Pesos!$A:$I,9,FALSE)))</f>
        <v>1.05</v>
      </c>
      <c r="AS116" s="132">
        <f>IF(U116="","",IF(U116="SIM",VLOOKUP($I116&amp;$J116&amp;U$1,Pesos!$A:$I,7,FALSE),VLOOKUP($I116&amp;$J116&amp;U$1,Pesos!$A:$I,9,FALSE)))</f>
        <v>-5.2500000000000005E-2</v>
      </c>
      <c r="AT116" s="132">
        <f>IF(V116="","",IF(V116="SIM",VLOOKUP($I116&amp;$J116&amp;V$1,Pesos!$A:$I,7,FALSE),VLOOKUP($I116&amp;$J116&amp;V$1,Pesos!$A:$I,9,FALSE)))</f>
        <v>1.05</v>
      </c>
      <c r="AU116" s="132">
        <f>IF(W116="","",IF(W116="SIM",VLOOKUP($I116&amp;$J116&amp;W$1,Pesos!$A:$I,7,FALSE),VLOOKUP($I116&amp;$J116&amp;W$1,Pesos!$A:$I,9,FALSE)))</f>
        <v>1.1200000000000001</v>
      </c>
      <c r="AV116" s="132">
        <f>IF(X116="","",IF(X116="SIM",VLOOKUP($I116&amp;$J116&amp;X$1,Pesos!$A:$I,7,FALSE),VLOOKUP($I116&amp;$J116&amp;X$1,Pesos!$A:$I,9,FALSE)))</f>
        <v>0.3</v>
      </c>
      <c r="AW116" s="132">
        <f>IF(Y116="","",IF(Y116="SIM",VLOOKUP($I116&amp;$J116&amp;Y$1,Pesos!$A:$I,7,FALSE),VLOOKUP($I116&amp;$J116&amp;Y$1,Pesos!$A:$I,9,FALSE)))</f>
        <v>-1.4999999999999999E-2</v>
      </c>
      <c r="AX116" s="132">
        <f>IF(Z116="","",IF(Z116="SIM",VLOOKUP($I116&amp;$J116&amp;Z$1,Pesos!$A:$I,7,FALSE),VLOOKUP($I116&amp;$J116&amp;Z$1,Pesos!$A:$I,9,FALSE)))</f>
        <v>0.15</v>
      </c>
      <c r="AY116" s="132">
        <f>IF(AA116="","",IF(AA116="SIM",VLOOKUP($I116&amp;$J116&amp;AA$1,Pesos!$A:$I,7,FALSE),VLOOKUP($I116&amp;$J116&amp;AA$1,Pesos!$A:$I,9,FALSE)))</f>
        <v>0.2</v>
      </c>
      <c r="AZ116" s="132">
        <f>IF(AB116="","",IF(AB116="SIM",VLOOKUP($I116&amp;$J116&amp;AB$1,Pesos!$A:$I,7,FALSE),VLOOKUP($I116&amp;$J116&amp;AB$1,Pesos!$A:$I,9,FALSE)))</f>
        <v>0.3</v>
      </c>
      <c r="BA116" s="132">
        <f>IF(AC116="","",IF(AC116="SIM",VLOOKUP($I116&amp;$J116&amp;AC$1,Pesos!$A:$I,7,FALSE),VLOOKUP($I116&amp;$J116&amp;AC$1,Pesos!$A:$I,9,FALSE)))</f>
        <v>0.1</v>
      </c>
      <c r="BB116" s="132" t="str">
        <f>IF(AD116="","",IF(AD116="SIM",VLOOKUP($I116&amp;$J116&amp;AD$1,Pesos!$A:$I,7,FALSE),VLOOKUP($I116&amp;$J116&amp;AD$1,Pesos!$A:$I,9,FALSE)))</f>
        <v/>
      </c>
      <c r="BC116" s="132" t="str">
        <f>IF(AE116="","",IF(AE116="SIM",VLOOKUP($I116&amp;$J116&amp;AE$1,Pesos!$A:$I,7,FALSE),VLOOKUP($I116&amp;$J116&amp;AE$1,Pesos!$A:$I,9,FALSE)))</f>
        <v/>
      </c>
      <c r="BD116" s="158">
        <f>IFERROR(AF116*VLOOKUP(J116,'BD Campos'!$X$1:$Y$14,2,FALSE),"0")</f>
        <v>8.5824999999999996</v>
      </c>
    </row>
    <row r="117" spans="1:56">
      <c r="A117" s="151" t="str">
        <f t="shared" si="7"/>
        <v>Jan11236Motorista 2UTI</v>
      </c>
      <c r="B117" s="149" t="str">
        <f t="shared" si="8"/>
        <v>Jan112362UTIPADRÃO</v>
      </c>
      <c r="C117" s="152">
        <v>1</v>
      </c>
      <c r="D117" s="153">
        <v>46056.506718634257</v>
      </c>
      <c r="E117" s="154" t="s">
        <v>12</v>
      </c>
      <c r="F117" s="155">
        <v>11236</v>
      </c>
      <c r="G117" s="149" t="s">
        <v>274</v>
      </c>
      <c r="H117" s="154">
        <v>2</v>
      </c>
      <c r="I117" s="149" t="s">
        <v>133</v>
      </c>
      <c r="J117" s="149" t="s">
        <v>97</v>
      </c>
      <c r="K117" s="149" t="s">
        <v>128</v>
      </c>
      <c r="L117" s="156">
        <v>34749030</v>
      </c>
      <c r="M117" s="157">
        <v>2.8587962962962963E-3</v>
      </c>
      <c r="N117" s="131" t="s">
        <v>17</v>
      </c>
      <c r="O117" s="131" t="s">
        <v>17</v>
      </c>
      <c r="P117" s="131" t="s">
        <v>17</v>
      </c>
      <c r="Q117" s="131" t="s">
        <v>17</v>
      </c>
      <c r="R117" s="131" t="s">
        <v>17</v>
      </c>
      <c r="S117" s="131" t="s">
        <v>17</v>
      </c>
      <c r="T117" s="131" t="s">
        <v>17</v>
      </c>
      <c r="U117" s="131" t="s">
        <v>18</v>
      </c>
      <c r="V117" s="131" t="s">
        <v>17</v>
      </c>
      <c r="W117" s="131" t="s">
        <v>17</v>
      </c>
      <c r="X117" s="131" t="s">
        <v>17</v>
      </c>
      <c r="Y117" s="131" t="s">
        <v>17</v>
      </c>
      <c r="Z117" s="131" t="s">
        <v>17</v>
      </c>
      <c r="AA117" s="131" t="s">
        <v>17</v>
      </c>
      <c r="AB117" s="131" t="s">
        <v>17</v>
      </c>
      <c r="AC117" s="131" t="s">
        <v>17</v>
      </c>
      <c r="AD117" s="131"/>
      <c r="AE117" s="131"/>
      <c r="AF117" s="158">
        <f t="shared" si="10"/>
        <v>8.8974999999999991</v>
      </c>
      <c r="AG117" s="159"/>
      <c r="AH117" s="155" t="s">
        <v>276</v>
      </c>
      <c r="AI117" s="155" t="s">
        <v>83</v>
      </c>
      <c r="AJ117" s="131" t="str">
        <f>IFERROR(VLOOKUP(E117&amp;F117,'Listagem dos op'!A:S,19,0),"")</f>
        <v/>
      </c>
      <c r="AK117" s="131" t="str">
        <f t="shared" si="9"/>
        <v>Jan11236</v>
      </c>
      <c r="AL117" s="154">
        <f>IF(N117="","",IF(N117="SIM",VLOOKUP($I117&amp;$J117&amp;N$1,Pesos!$A:$I,7,FALSE),VLOOKUP($I117&amp;$J117&amp;N$1,Pesos!$A:$I,9,FALSE)))</f>
        <v>0.1</v>
      </c>
      <c r="AM117" s="154">
        <f>IF(O117="","",IF(O117="SIM",VLOOKUP($I117&amp;$J117&amp;O$1,Pesos!$A:$I,7,FALSE),VLOOKUP($I117&amp;$J117&amp;O$1,Pesos!$A:$I,9,FALSE)))</f>
        <v>0.1</v>
      </c>
      <c r="AN117" s="154">
        <f>IF(P117="","",IF(P117="SIM",VLOOKUP($I117&amp;$J117&amp;P$1,Pesos!$A:$I,7,FALSE),VLOOKUP($I117&amp;$J117&amp;P$1,Pesos!$A:$I,9,FALSE)))</f>
        <v>0.1</v>
      </c>
      <c r="AO117" s="154">
        <f>IF(Q117="","",IF(Q117="SIM",VLOOKUP($I117&amp;$J117&amp;Q$1,Pesos!$A:$I,7,FALSE),VLOOKUP($I117&amp;$J117&amp;Q$1,Pesos!$A:$I,9,FALSE)))</f>
        <v>2</v>
      </c>
      <c r="AP117" s="154">
        <f>IF(R117="","",IF(R117="SIM",VLOOKUP($I117&amp;$J117&amp;R$1,Pesos!$A:$I,7,FALSE),VLOOKUP($I117&amp;$J117&amp;R$1,Pesos!$A:$I,9,FALSE)))</f>
        <v>1.03</v>
      </c>
      <c r="AQ117" s="154">
        <f>IF(S117="","",IF(S117="SIM",VLOOKUP($I117&amp;$J117&amp;S$1,Pesos!$A:$I,7,FALSE),VLOOKUP($I117&amp;$J117&amp;S$1,Pesos!$A:$I,9,FALSE)))</f>
        <v>1.05</v>
      </c>
      <c r="AR117" s="156">
        <f>IF(T117="","",IF(T117="SIM",VLOOKUP($I117&amp;$J117&amp;T$1,Pesos!$A:$I,7,FALSE),VLOOKUP($I117&amp;$J117&amp;T$1,Pesos!$A:$I,9,FALSE)))</f>
        <v>1.05</v>
      </c>
      <c r="AS117" s="132">
        <f>IF(U117="","",IF(U117="SIM",VLOOKUP($I117&amp;$J117&amp;U$1,Pesos!$A:$I,7,FALSE),VLOOKUP($I117&amp;$J117&amp;U$1,Pesos!$A:$I,9,FALSE)))</f>
        <v>-5.2500000000000005E-2</v>
      </c>
      <c r="AT117" s="132">
        <f>IF(V117="","",IF(V117="SIM",VLOOKUP($I117&amp;$J117&amp;V$1,Pesos!$A:$I,7,FALSE),VLOOKUP($I117&amp;$J117&amp;V$1,Pesos!$A:$I,9,FALSE)))</f>
        <v>1.05</v>
      </c>
      <c r="AU117" s="132">
        <f>IF(W117="","",IF(W117="SIM",VLOOKUP($I117&amp;$J117&amp;W$1,Pesos!$A:$I,7,FALSE),VLOOKUP($I117&amp;$J117&amp;W$1,Pesos!$A:$I,9,FALSE)))</f>
        <v>1.1200000000000001</v>
      </c>
      <c r="AV117" s="132">
        <f>IF(X117="","",IF(X117="SIM",VLOOKUP($I117&amp;$J117&amp;X$1,Pesos!$A:$I,7,FALSE),VLOOKUP($I117&amp;$J117&amp;X$1,Pesos!$A:$I,9,FALSE)))</f>
        <v>0.3</v>
      </c>
      <c r="AW117" s="132">
        <f>IF(Y117="","",IF(Y117="SIM",VLOOKUP($I117&amp;$J117&amp;Y$1,Pesos!$A:$I,7,FALSE),VLOOKUP($I117&amp;$J117&amp;Y$1,Pesos!$A:$I,9,FALSE)))</f>
        <v>0.3</v>
      </c>
      <c r="AX117" s="132">
        <f>IF(Z117="","",IF(Z117="SIM",VLOOKUP($I117&amp;$J117&amp;Z$1,Pesos!$A:$I,7,FALSE),VLOOKUP($I117&amp;$J117&amp;Z$1,Pesos!$A:$I,9,FALSE)))</f>
        <v>0.15</v>
      </c>
      <c r="AY117" s="132">
        <f>IF(AA117="","",IF(AA117="SIM",VLOOKUP($I117&amp;$J117&amp;AA$1,Pesos!$A:$I,7,FALSE),VLOOKUP($I117&amp;$J117&amp;AA$1,Pesos!$A:$I,9,FALSE)))</f>
        <v>0.2</v>
      </c>
      <c r="AZ117" s="132">
        <f>IF(AB117="","",IF(AB117="SIM",VLOOKUP($I117&amp;$J117&amp;AB$1,Pesos!$A:$I,7,FALSE),VLOOKUP($I117&amp;$J117&amp;AB$1,Pesos!$A:$I,9,FALSE)))</f>
        <v>0.3</v>
      </c>
      <c r="BA117" s="132">
        <f>IF(AC117="","",IF(AC117="SIM",VLOOKUP($I117&amp;$J117&amp;AC$1,Pesos!$A:$I,7,FALSE),VLOOKUP($I117&amp;$J117&amp;AC$1,Pesos!$A:$I,9,FALSE)))</f>
        <v>0.1</v>
      </c>
      <c r="BB117" s="132" t="str">
        <f>IF(AD117="","",IF(AD117="SIM",VLOOKUP($I117&amp;$J117&amp;AD$1,Pesos!$A:$I,7,FALSE),VLOOKUP($I117&amp;$J117&amp;AD$1,Pesos!$A:$I,9,FALSE)))</f>
        <v/>
      </c>
      <c r="BC117" s="132" t="str">
        <f>IF(AE117="","",IF(AE117="SIM",VLOOKUP($I117&amp;$J117&amp;AE$1,Pesos!$A:$I,7,FALSE),VLOOKUP($I117&amp;$J117&amp;AE$1,Pesos!$A:$I,9,FALSE)))</f>
        <v/>
      </c>
      <c r="BD117" s="158">
        <f>IFERROR(AF117*VLOOKUP(J117,'BD Campos'!$X$1:$Y$14,2,FALSE),"0")</f>
        <v>8.8974999999999991</v>
      </c>
    </row>
    <row r="118" spans="1:56">
      <c r="A118" s="151" t="str">
        <f t="shared" si="7"/>
        <v>Jan11151MotoristaUTI</v>
      </c>
      <c r="B118" s="149" t="str">
        <f t="shared" si="8"/>
        <v>Jan111511UTIPADRÃO</v>
      </c>
      <c r="C118" s="152">
        <v>1</v>
      </c>
      <c r="D118" s="153">
        <v>46056.588324884258</v>
      </c>
      <c r="E118" s="154" t="s">
        <v>12</v>
      </c>
      <c r="F118" s="155">
        <v>11151</v>
      </c>
      <c r="G118" s="149" t="s">
        <v>277</v>
      </c>
      <c r="H118" s="154">
        <v>1</v>
      </c>
      <c r="I118" s="149" t="s">
        <v>92</v>
      </c>
      <c r="J118" s="149" t="s">
        <v>93</v>
      </c>
      <c r="K118" s="149" t="s">
        <v>128</v>
      </c>
      <c r="L118" s="156">
        <v>34424253</v>
      </c>
      <c r="M118" s="157">
        <v>1.6550925925925926E-3</v>
      </c>
      <c r="N118" s="131" t="s">
        <v>17</v>
      </c>
      <c r="O118" s="131" t="s">
        <v>17</v>
      </c>
      <c r="P118" s="131" t="s">
        <v>17</v>
      </c>
      <c r="Q118" s="131" t="s">
        <v>17</v>
      </c>
      <c r="R118" s="131" t="s">
        <v>17</v>
      </c>
      <c r="S118" s="131" t="s">
        <v>17</v>
      </c>
      <c r="T118" s="131" t="s">
        <v>17</v>
      </c>
      <c r="U118" s="131" t="s">
        <v>17</v>
      </c>
      <c r="V118" s="131" t="s">
        <v>17</v>
      </c>
      <c r="W118" s="131" t="s">
        <v>17</v>
      </c>
      <c r="X118" s="131" t="s">
        <v>17</v>
      </c>
      <c r="Y118" s="131" t="s">
        <v>17</v>
      </c>
      <c r="Z118" s="131" t="s">
        <v>17</v>
      </c>
      <c r="AA118" s="131" t="s">
        <v>17</v>
      </c>
      <c r="AB118" s="131"/>
      <c r="AC118" s="131"/>
      <c r="AD118" s="131"/>
      <c r="AE118" s="131"/>
      <c r="AF118" s="158">
        <f t="shared" si="10"/>
        <v>10.000000000000002</v>
      </c>
      <c r="AG118" s="159"/>
      <c r="AH118" s="155" t="s">
        <v>278</v>
      </c>
      <c r="AI118" s="155" t="s">
        <v>83</v>
      </c>
      <c r="AJ118" s="131" t="str">
        <f>IFERROR(VLOOKUP(E118&amp;F118,'Listagem dos op'!A:S,19,0),"")</f>
        <v/>
      </c>
      <c r="AK118" s="131" t="str">
        <f t="shared" si="9"/>
        <v>Jan11151</v>
      </c>
      <c r="AL118" s="154">
        <f>IF(N118="","",IF(N118="SIM",VLOOKUP($I118&amp;$J118&amp;N$1,Pesos!$A:$I,7,FALSE),VLOOKUP($I118&amp;$J118&amp;N$1,Pesos!$A:$I,9,FALSE)))</f>
        <v>0.1</v>
      </c>
      <c r="AM118" s="154">
        <f>IF(O118="","",IF(O118="SIM",VLOOKUP($I118&amp;$J118&amp;O$1,Pesos!$A:$I,7,FALSE),VLOOKUP($I118&amp;$J118&amp;O$1,Pesos!$A:$I,9,FALSE)))</f>
        <v>0.1</v>
      </c>
      <c r="AN118" s="154">
        <f>IF(P118="","",IF(P118="SIM",VLOOKUP($I118&amp;$J118&amp;P$1,Pesos!$A:$I,7,FALSE),VLOOKUP($I118&amp;$J118&amp;P$1,Pesos!$A:$I,9,FALSE)))</f>
        <v>0.1</v>
      </c>
      <c r="AO118" s="154">
        <f>IF(Q118="","",IF(Q118="SIM",VLOOKUP($I118&amp;$J118&amp;Q$1,Pesos!$A:$I,7,FALSE),VLOOKUP($I118&amp;$J118&amp;Q$1,Pesos!$A:$I,9,FALSE)))</f>
        <v>2</v>
      </c>
      <c r="AP118" s="154">
        <f>IF(R118="","",IF(R118="SIM",VLOOKUP($I118&amp;$J118&amp;R$1,Pesos!$A:$I,7,FALSE),VLOOKUP($I118&amp;$J118&amp;R$1,Pesos!$A:$I,9,FALSE)))</f>
        <v>1.03</v>
      </c>
      <c r="AQ118" s="154">
        <f>IF(S118="","",IF(S118="SIM",VLOOKUP($I118&amp;$J118&amp;S$1,Pesos!$A:$I,7,FALSE),VLOOKUP($I118&amp;$J118&amp;S$1,Pesos!$A:$I,9,FALSE)))</f>
        <v>1.7000000000000002</v>
      </c>
      <c r="AR118" s="156">
        <f>IF(T118="","",IF(T118="SIM",VLOOKUP($I118&amp;$J118&amp;T$1,Pesos!$A:$I,7,FALSE),VLOOKUP($I118&amp;$J118&amp;T$1,Pesos!$A:$I,9,FALSE)))</f>
        <v>1.92</v>
      </c>
      <c r="AS118" s="132">
        <f>IF(U118="","",IF(U118="SIM",VLOOKUP($I118&amp;$J118&amp;U$1,Pesos!$A:$I,7,FALSE),VLOOKUP($I118&amp;$J118&amp;U$1,Pesos!$A:$I,9,FALSE)))</f>
        <v>1.7000000000000002</v>
      </c>
      <c r="AT118" s="132">
        <f>IF(V118="","",IF(V118="SIM",VLOOKUP($I118&amp;$J118&amp;V$1,Pesos!$A:$I,7,FALSE),VLOOKUP($I118&amp;$J118&amp;V$1,Pesos!$A:$I,9,FALSE)))</f>
        <v>0.3</v>
      </c>
      <c r="AU118" s="132">
        <f>IF(W118="","",IF(W118="SIM",VLOOKUP($I118&amp;$J118&amp;W$1,Pesos!$A:$I,7,FALSE),VLOOKUP($I118&amp;$J118&amp;W$1,Pesos!$A:$I,9,FALSE)))</f>
        <v>0.3</v>
      </c>
      <c r="AV118" s="132">
        <f>IF(X118="","",IF(X118="SIM",VLOOKUP($I118&amp;$J118&amp;X$1,Pesos!$A:$I,7,FALSE),VLOOKUP($I118&amp;$J118&amp;X$1,Pesos!$A:$I,9,FALSE)))</f>
        <v>0.15</v>
      </c>
      <c r="AW118" s="132">
        <f>IF(Y118="","",IF(Y118="SIM",VLOOKUP($I118&amp;$J118&amp;Y$1,Pesos!$A:$I,7,FALSE),VLOOKUP($I118&amp;$J118&amp;Y$1,Pesos!$A:$I,9,FALSE)))</f>
        <v>0.2</v>
      </c>
      <c r="AX118" s="132">
        <f>IF(Z118="","",IF(Z118="SIM",VLOOKUP($I118&amp;$J118&amp;Z$1,Pesos!$A:$I,7,FALSE),VLOOKUP($I118&amp;$J118&amp;Z$1,Pesos!$A:$I,9,FALSE)))</f>
        <v>0.3</v>
      </c>
      <c r="AY118" s="132">
        <f>IF(AA118="","",IF(AA118="SIM",VLOOKUP($I118&amp;$J118&amp;AA$1,Pesos!$A:$I,7,FALSE),VLOOKUP($I118&amp;$J118&amp;AA$1,Pesos!$A:$I,9,FALSE)))</f>
        <v>0.1</v>
      </c>
      <c r="AZ118" s="132" t="str">
        <f>IF(AB118="","",IF(AB118="SIM",VLOOKUP($I118&amp;$J118&amp;AB$1,Pesos!$A:$I,7,FALSE),VLOOKUP($I118&amp;$J118&amp;AB$1,Pesos!$A:$I,9,FALSE)))</f>
        <v/>
      </c>
      <c r="BA118" s="132" t="str">
        <f>IF(AC118="","",IF(AC118="SIM",VLOOKUP($I118&amp;$J118&amp;AC$1,Pesos!$A:$I,7,FALSE),VLOOKUP($I118&amp;$J118&amp;AC$1,Pesos!$A:$I,9,FALSE)))</f>
        <v/>
      </c>
      <c r="BB118" s="132" t="str">
        <f>IF(AD118="","",IF(AD118="SIM",VLOOKUP($I118&amp;$J118&amp;AD$1,Pesos!$A:$I,7,FALSE),VLOOKUP($I118&amp;$J118&amp;AD$1,Pesos!$A:$I,9,FALSE)))</f>
        <v/>
      </c>
      <c r="BC118" s="132" t="str">
        <f>IF(AE118="","",IF(AE118="SIM",VLOOKUP($I118&amp;$J118&amp;AE$1,Pesos!$A:$I,7,FALSE),VLOOKUP($I118&amp;$J118&amp;AE$1,Pesos!$A:$I,9,FALSE)))</f>
        <v/>
      </c>
      <c r="BD118" s="158">
        <f>IFERROR(AF118*VLOOKUP(J118,'BD Campos'!$X$1:$Y$14,2,FALSE),"0")</f>
        <v>10.000000000000002</v>
      </c>
    </row>
    <row r="119" spans="1:56">
      <c r="A119" s="151" t="str">
        <f t="shared" si="7"/>
        <v>Jan11151Motorista 2UTI</v>
      </c>
      <c r="B119" s="149" t="str">
        <f t="shared" si="8"/>
        <v>Jan111512UTIPADRÃO</v>
      </c>
      <c r="C119" s="152">
        <v>1</v>
      </c>
      <c r="D119" s="153">
        <v>46056.591381944447</v>
      </c>
      <c r="E119" s="154" t="s">
        <v>12</v>
      </c>
      <c r="F119" s="155">
        <v>11151</v>
      </c>
      <c r="G119" s="149" t="s">
        <v>277</v>
      </c>
      <c r="H119" s="154">
        <v>2</v>
      </c>
      <c r="I119" s="149" t="s">
        <v>96</v>
      </c>
      <c r="J119" s="149" t="s">
        <v>97</v>
      </c>
      <c r="K119" s="149" t="s">
        <v>128</v>
      </c>
      <c r="L119" s="156">
        <v>34804717</v>
      </c>
      <c r="M119" s="157">
        <v>1.6435185185185183E-3</v>
      </c>
      <c r="N119" s="131" t="s">
        <v>18</v>
      </c>
      <c r="O119" s="131" t="s">
        <v>17</v>
      </c>
      <c r="P119" s="131" t="s">
        <v>17</v>
      </c>
      <c r="Q119" s="131" t="s">
        <v>17</v>
      </c>
      <c r="R119" s="131" t="s">
        <v>17</v>
      </c>
      <c r="S119" s="131" t="s">
        <v>17</v>
      </c>
      <c r="T119" s="131" t="s">
        <v>17</v>
      </c>
      <c r="U119" s="131" t="s">
        <v>17</v>
      </c>
      <c r="V119" s="131" t="s">
        <v>18</v>
      </c>
      <c r="W119" s="131" t="s">
        <v>17</v>
      </c>
      <c r="X119" s="131" t="s">
        <v>17</v>
      </c>
      <c r="Y119" s="131" t="s">
        <v>17</v>
      </c>
      <c r="Z119" s="131" t="s">
        <v>17</v>
      </c>
      <c r="AA119" s="131" t="s">
        <v>17</v>
      </c>
      <c r="AB119" s="131" t="s">
        <v>17</v>
      </c>
      <c r="AC119" s="131"/>
      <c r="AD119" s="131"/>
      <c r="AE119" s="131"/>
      <c r="AF119" s="158">
        <f t="shared" si="10"/>
        <v>8.7924999999999986</v>
      </c>
      <c r="AG119" s="159"/>
      <c r="AH119" s="155" t="s">
        <v>279</v>
      </c>
      <c r="AI119" s="155" t="s">
        <v>83</v>
      </c>
      <c r="AJ119" s="131" t="str">
        <f>IFERROR(VLOOKUP(E119&amp;F119,'Listagem dos op'!A:S,19,0),"")</f>
        <v/>
      </c>
      <c r="AK119" s="131" t="str">
        <f t="shared" si="9"/>
        <v>Jan11151</v>
      </c>
      <c r="AL119" s="154">
        <f>IF(N119="","",IF(N119="SIM",VLOOKUP($I119&amp;$J119&amp;N$1,Pesos!$A:$I,7,FALSE),VLOOKUP($I119&amp;$J119&amp;N$1,Pesos!$A:$I,9,FALSE)))</f>
        <v>-5.000000000000001E-3</v>
      </c>
      <c r="AM119" s="154">
        <f>IF(O119="","",IF(O119="SIM",VLOOKUP($I119&amp;$J119&amp;O$1,Pesos!$A:$I,7,FALSE),VLOOKUP($I119&amp;$J119&amp;O$1,Pesos!$A:$I,9,FALSE)))</f>
        <v>0.1</v>
      </c>
      <c r="AN119" s="154">
        <f>IF(P119="","",IF(P119="SIM",VLOOKUP($I119&amp;$J119&amp;P$1,Pesos!$A:$I,7,FALSE),VLOOKUP($I119&amp;$J119&amp;P$1,Pesos!$A:$I,9,FALSE)))</f>
        <v>0.1</v>
      </c>
      <c r="AO119" s="154">
        <f>IF(Q119="","",IF(Q119="SIM",VLOOKUP($I119&amp;$J119&amp;Q$1,Pesos!$A:$I,7,FALSE),VLOOKUP($I119&amp;$J119&amp;Q$1,Pesos!$A:$I,9,FALSE)))</f>
        <v>2</v>
      </c>
      <c r="AP119" s="154">
        <f>IF(R119="","",IF(R119="SIM",VLOOKUP($I119&amp;$J119&amp;R$1,Pesos!$A:$I,7,FALSE),VLOOKUP($I119&amp;$J119&amp;R$1,Pesos!$A:$I,9,FALSE)))</f>
        <v>1.03</v>
      </c>
      <c r="AQ119" s="154">
        <f>IF(S119="","",IF(S119="SIM",VLOOKUP($I119&amp;$J119&amp;S$1,Pesos!$A:$I,7,FALSE),VLOOKUP($I119&amp;$J119&amp;S$1,Pesos!$A:$I,9,FALSE)))</f>
        <v>1.22</v>
      </c>
      <c r="AR119" s="156">
        <f>IF(T119="","",IF(T119="SIM",VLOOKUP($I119&amp;$J119&amp;T$1,Pesos!$A:$I,7,FALSE),VLOOKUP($I119&amp;$J119&amp;T$1,Pesos!$A:$I,9,FALSE)))</f>
        <v>2</v>
      </c>
      <c r="AS119" s="132">
        <f>IF(U119="","",IF(U119="SIM",VLOOKUP($I119&amp;$J119&amp;U$1,Pesos!$A:$I,7,FALSE),VLOOKUP($I119&amp;$J119&amp;U$1,Pesos!$A:$I,9,FALSE)))</f>
        <v>1.05</v>
      </c>
      <c r="AT119" s="132">
        <f>IF(V119="","",IF(V119="SIM",VLOOKUP($I119&amp;$J119&amp;V$1,Pesos!$A:$I,7,FALSE),VLOOKUP($I119&amp;$J119&amp;V$1,Pesos!$A:$I,9,FALSE)))</f>
        <v>-5.2500000000000005E-2</v>
      </c>
      <c r="AU119" s="132">
        <f>IF(W119="","",IF(W119="SIM",VLOOKUP($I119&amp;$J119&amp;W$1,Pesos!$A:$I,7,FALSE),VLOOKUP($I119&amp;$J119&amp;W$1,Pesos!$A:$I,9,FALSE)))</f>
        <v>0.3</v>
      </c>
      <c r="AV119" s="132">
        <f>IF(X119="","",IF(X119="SIM",VLOOKUP($I119&amp;$J119&amp;X$1,Pesos!$A:$I,7,FALSE),VLOOKUP($I119&amp;$J119&amp;X$1,Pesos!$A:$I,9,FALSE)))</f>
        <v>0.3</v>
      </c>
      <c r="AW119" s="132">
        <f>IF(Y119="","",IF(Y119="SIM",VLOOKUP($I119&amp;$J119&amp;Y$1,Pesos!$A:$I,7,FALSE),VLOOKUP($I119&amp;$J119&amp;Y$1,Pesos!$A:$I,9,FALSE)))</f>
        <v>0.15</v>
      </c>
      <c r="AX119" s="132">
        <f>IF(Z119="","",IF(Z119="SIM",VLOOKUP($I119&amp;$J119&amp;Z$1,Pesos!$A:$I,7,FALSE),VLOOKUP($I119&amp;$J119&amp;Z$1,Pesos!$A:$I,9,FALSE)))</f>
        <v>0.2</v>
      </c>
      <c r="AY119" s="132">
        <f>IF(AA119="","",IF(AA119="SIM",VLOOKUP($I119&amp;$J119&amp;AA$1,Pesos!$A:$I,7,FALSE),VLOOKUP($I119&amp;$J119&amp;AA$1,Pesos!$A:$I,9,FALSE)))</f>
        <v>0.3</v>
      </c>
      <c r="AZ119" s="132">
        <f>IF(AB119="","",IF(AB119="SIM",VLOOKUP($I119&amp;$J119&amp;AB$1,Pesos!$A:$I,7,FALSE),VLOOKUP($I119&amp;$J119&amp;AB$1,Pesos!$A:$I,9,FALSE)))</f>
        <v>0.1</v>
      </c>
      <c r="BA119" s="132" t="str">
        <f>IF(AC119="","",IF(AC119="SIM",VLOOKUP($I119&amp;$J119&amp;AC$1,Pesos!$A:$I,7,FALSE),VLOOKUP($I119&amp;$J119&amp;AC$1,Pesos!$A:$I,9,FALSE)))</f>
        <v/>
      </c>
      <c r="BB119" s="132" t="str">
        <f>IF(AD119="","",IF(AD119="SIM",VLOOKUP($I119&amp;$J119&amp;AD$1,Pesos!$A:$I,7,FALSE),VLOOKUP($I119&amp;$J119&amp;AD$1,Pesos!$A:$I,9,FALSE)))</f>
        <v/>
      </c>
      <c r="BC119" s="132" t="str">
        <f>IF(AE119="","",IF(AE119="SIM",VLOOKUP($I119&amp;$J119&amp;AE$1,Pesos!$A:$I,7,FALSE),VLOOKUP($I119&amp;$J119&amp;AE$1,Pesos!$A:$I,9,FALSE)))</f>
        <v/>
      </c>
      <c r="BD119" s="158">
        <f>IFERROR(AF119*VLOOKUP(J119,'BD Campos'!$X$1:$Y$14,2,FALSE),"0")</f>
        <v>8.7924999999999986</v>
      </c>
    </row>
    <row r="120" spans="1:56">
      <c r="A120" s="151" t="str">
        <f t="shared" si="7"/>
        <v>Jan11094MotoristaUTI</v>
      </c>
      <c r="B120" s="149" t="str">
        <f t="shared" si="8"/>
        <v>Jan110941UTIPADRÃO</v>
      </c>
      <c r="C120" s="152">
        <v>1</v>
      </c>
      <c r="D120" s="153">
        <v>46056.594096643516</v>
      </c>
      <c r="E120" s="154" t="s">
        <v>12</v>
      </c>
      <c r="F120" s="155">
        <v>11094</v>
      </c>
      <c r="G120" s="149" t="s">
        <v>280</v>
      </c>
      <c r="H120" s="154">
        <v>1</v>
      </c>
      <c r="I120" s="149" t="s">
        <v>96</v>
      </c>
      <c r="J120" s="149" t="s">
        <v>93</v>
      </c>
      <c r="K120" s="149" t="s">
        <v>128</v>
      </c>
      <c r="L120" s="156">
        <v>2395819</v>
      </c>
      <c r="M120" s="157">
        <v>2.1759259259259258E-3</v>
      </c>
      <c r="N120" s="131" t="s">
        <v>17</v>
      </c>
      <c r="O120" s="131" t="s">
        <v>17</v>
      </c>
      <c r="P120" s="131" t="s">
        <v>17</v>
      </c>
      <c r="Q120" s="131" t="s">
        <v>17</v>
      </c>
      <c r="R120" s="131" t="s">
        <v>17</v>
      </c>
      <c r="S120" s="131" t="s">
        <v>17</v>
      </c>
      <c r="T120" s="131" t="s">
        <v>17</v>
      </c>
      <c r="U120" s="131" t="s">
        <v>17</v>
      </c>
      <c r="V120" s="131" t="s">
        <v>17</v>
      </c>
      <c r="W120" s="131" t="s">
        <v>17</v>
      </c>
      <c r="X120" s="131" t="s">
        <v>17</v>
      </c>
      <c r="Y120" s="131" t="s">
        <v>17</v>
      </c>
      <c r="Z120" s="131" t="s">
        <v>17</v>
      </c>
      <c r="AA120" s="131" t="s">
        <v>17</v>
      </c>
      <c r="AB120" s="131" t="s">
        <v>17</v>
      </c>
      <c r="AC120" s="131"/>
      <c r="AD120" s="131"/>
      <c r="AE120" s="131"/>
      <c r="AF120" s="158">
        <f t="shared" si="10"/>
        <v>10.000000000000002</v>
      </c>
      <c r="AG120" s="159"/>
      <c r="AH120" s="155" t="s">
        <v>281</v>
      </c>
      <c r="AI120" s="155" t="s">
        <v>83</v>
      </c>
      <c r="AJ120" s="131" t="str">
        <f>IFERROR(VLOOKUP(E120&amp;F120,'Listagem dos op'!A:S,19,0),"")</f>
        <v/>
      </c>
      <c r="AK120" s="131" t="str">
        <f t="shared" si="9"/>
        <v>Jan11094</v>
      </c>
      <c r="AL120" s="154">
        <f>IF(N120="","",IF(N120="SIM",VLOOKUP($I120&amp;$J120&amp;N$1,Pesos!$A:$I,7,FALSE),VLOOKUP($I120&amp;$J120&amp;N$1,Pesos!$A:$I,9,FALSE)))</f>
        <v>0.1</v>
      </c>
      <c r="AM120" s="154">
        <f>IF(O120="","",IF(O120="SIM",VLOOKUP($I120&amp;$J120&amp;O$1,Pesos!$A:$I,7,FALSE),VLOOKUP($I120&amp;$J120&amp;O$1,Pesos!$A:$I,9,FALSE)))</f>
        <v>0.1</v>
      </c>
      <c r="AN120" s="154">
        <f>IF(P120="","",IF(P120="SIM",VLOOKUP($I120&amp;$J120&amp;P$1,Pesos!$A:$I,7,FALSE),VLOOKUP($I120&amp;$J120&amp;P$1,Pesos!$A:$I,9,FALSE)))</f>
        <v>0.1</v>
      </c>
      <c r="AO120" s="154">
        <f>IF(Q120="","",IF(Q120="SIM",VLOOKUP($I120&amp;$J120&amp;Q$1,Pesos!$A:$I,7,FALSE),VLOOKUP($I120&amp;$J120&amp;Q$1,Pesos!$A:$I,9,FALSE)))</f>
        <v>2</v>
      </c>
      <c r="AP120" s="154">
        <f>IF(R120="","",IF(R120="SIM",VLOOKUP($I120&amp;$J120&amp;R$1,Pesos!$A:$I,7,FALSE),VLOOKUP($I120&amp;$J120&amp;R$1,Pesos!$A:$I,9,FALSE)))</f>
        <v>1.03</v>
      </c>
      <c r="AQ120" s="154">
        <f>IF(S120="","",IF(S120="SIM",VLOOKUP($I120&amp;$J120&amp;S$1,Pesos!$A:$I,7,FALSE),VLOOKUP($I120&amp;$J120&amp;S$1,Pesos!$A:$I,9,FALSE)))</f>
        <v>1.22</v>
      </c>
      <c r="AR120" s="156">
        <f>IF(T120="","",IF(T120="SIM",VLOOKUP($I120&amp;$J120&amp;T$1,Pesos!$A:$I,7,FALSE),VLOOKUP($I120&amp;$J120&amp;T$1,Pesos!$A:$I,9,FALSE)))</f>
        <v>2</v>
      </c>
      <c r="AS120" s="132">
        <f>IF(U120="","",IF(U120="SIM",VLOOKUP($I120&amp;$J120&amp;U$1,Pesos!$A:$I,7,FALSE),VLOOKUP($I120&amp;$J120&amp;U$1,Pesos!$A:$I,9,FALSE)))</f>
        <v>1.05</v>
      </c>
      <c r="AT120" s="132">
        <f>IF(V120="","",IF(V120="SIM",VLOOKUP($I120&amp;$J120&amp;V$1,Pesos!$A:$I,7,FALSE),VLOOKUP($I120&amp;$J120&amp;V$1,Pesos!$A:$I,9,FALSE)))</f>
        <v>1.05</v>
      </c>
      <c r="AU120" s="132">
        <f>IF(W120="","",IF(W120="SIM",VLOOKUP($I120&amp;$J120&amp;W$1,Pesos!$A:$I,7,FALSE),VLOOKUP($I120&amp;$J120&amp;W$1,Pesos!$A:$I,9,FALSE)))</f>
        <v>0.3</v>
      </c>
      <c r="AV120" s="132">
        <f>IF(X120="","",IF(X120="SIM",VLOOKUP($I120&amp;$J120&amp;X$1,Pesos!$A:$I,7,FALSE),VLOOKUP($I120&amp;$J120&amp;X$1,Pesos!$A:$I,9,FALSE)))</f>
        <v>0.3</v>
      </c>
      <c r="AW120" s="132">
        <f>IF(Y120="","",IF(Y120="SIM",VLOOKUP($I120&amp;$J120&amp;Y$1,Pesos!$A:$I,7,FALSE),VLOOKUP($I120&amp;$J120&amp;Y$1,Pesos!$A:$I,9,FALSE)))</f>
        <v>0.15</v>
      </c>
      <c r="AX120" s="132">
        <f>IF(Z120="","",IF(Z120="SIM",VLOOKUP($I120&amp;$J120&amp;Z$1,Pesos!$A:$I,7,FALSE),VLOOKUP($I120&amp;$J120&amp;Z$1,Pesos!$A:$I,9,FALSE)))</f>
        <v>0.2</v>
      </c>
      <c r="AY120" s="132">
        <f>IF(AA120="","",IF(AA120="SIM",VLOOKUP($I120&amp;$J120&amp;AA$1,Pesos!$A:$I,7,FALSE),VLOOKUP($I120&amp;$J120&amp;AA$1,Pesos!$A:$I,9,FALSE)))</f>
        <v>0.3</v>
      </c>
      <c r="AZ120" s="132">
        <f>IF(AB120="","",IF(AB120="SIM",VLOOKUP($I120&amp;$J120&amp;AB$1,Pesos!$A:$I,7,FALSE),VLOOKUP($I120&amp;$J120&amp;AB$1,Pesos!$A:$I,9,FALSE)))</f>
        <v>0.1</v>
      </c>
      <c r="BA120" s="132" t="str">
        <f>IF(AC120="","",IF(AC120="SIM",VLOOKUP($I120&amp;$J120&amp;AC$1,Pesos!$A:$I,7,FALSE),VLOOKUP($I120&amp;$J120&amp;AC$1,Pesos!$A:$I,9,FALSE)))</f>
        <v/>
      </c>
      <c r="BB120" s="132" t="str">
        <f>IF(AD120="","",IF(AD120="SIM",VLOOKUP($I120&amp;$J120&amp;AD$1,Pesos!$A:$I,7,FALSE),VLOOKUP($I120&amp;$J120&amp;AD$1,Pesos!$A:$I,9,FALSE)))</f>
        <v/>
      </c>
      <c r="BC120" s="132" t="str">
        <f>IF(AE120="","",IF(AE120="SIM",VLOOKUP($I120&amp;$J120&amp;AE$1,Pesos!$A:$I,7,FALSE),VLOOKUP($I120&amp;$J120&amp;AE$1,Pesos!$A:$I,9,FALSE)))</f>
        <v/>
      </c>
      <c r="BD120" s="158">
        <f>IFERROR(AF120*VLOOKUP(J120,'BD Campos'!$X$1:$Y$14,2,FALSE),"0")</f>
        <v>10.000000000000002</v>
      </c>
    </row>
    <row r="121" spans="1:56">
      <c r="A121" s="151" t="str">
        <f t="shared" si="7"/>
        <v>Jan11094Motorista 2UTI</v>
      </c>
      <c r="B121" s="149" t="str">
        <f t="shared" si="8"/>
        <v>Jan110942UTIPADRÃO</v>
      </c>
      <c r="C121" s="152">
        <v>1</v>
      </c>
      <c r="D121" s="153">
        <v>46056.595975810182</v>
      </c>
      <c r="E121" s="154" t="s">
        <v>12</v>
      </c>
      <c r="F121" s="155">
        <v>11094</v>
      </c>
      <c r="G121" s="149" t="s">
        <v>280</v>
      </c>
      <c r="H121" s="154">
        <v>2</v>
      </c>
      <c r="I121" s="149" t="s">
        <v>96</v>
      </c>
      <c r="J121" s="149" t="s">
        <v>97</v>
      </c>
      <c r="K121" s="149" t="s">
        <v>128</v>
      </c>
      <c r="L121" s="156">
        <v>34749069</v>
      </c>
      <c r="M121" s="157">
        <v>1.5740740740740741E-3</v>
      </c>
      <c r="N121" s="131" t="s">
        <v>17</v>
      </c>
      <c r="O121" s="131" t="s">
        <v>17</v>
      </c>
      <c r="P121" s="131" t="s">
        <v>17</v>
      </c>
      <c r="Q121" s="131" t="s">
        <v>17</v>
      </c>
      <c r="R121" s="131" t="s">
        <v>17</v>
      </c>
      <c r="S121" s="131" t="s">
        <v>17</v>
      </c>
      <c r="T121" s="131" t="s">
        <v>17</v>
      </c>
      <c r="U121" s="131" t="s">
        <v>17</v>
      </c>
      <c r="V121" s="131" t="s">
        <v>18</v>
      </c>
      <c r="W121" s="131" t="s">
        <v>17</v>
      </c>
      <c r="X121" s="131" t="s">
        <v>17</v>
      </c>
      <c r="Y121" s="131" t="s">
        <v>17</v>
      </c>
      <c r="Z121" s="131" t="s">
        <v>17</v>
      </c>
      <c r="AA121" s="131" t="s">
        <v>17</v>
      </c>
      <c r="AB121" s="131" t="s">
        <v>17</v>
      </c>
      <c r="AC121" s="131"/>
      <c r="AD121" s="131"/>
      <c r="AE121" s="131"/>
      <c r="AF121" s="158">
        <f t="shared" si="10"/>
        <v>8.8974999999999991</v>
      </c>
      <c r="AG121" s="159"/>
      <c r="AH121" s="155" t="s">
        <v>282</v>
      </c>
      <c r="AI121" s="155" t="s">
        <v>83</v>
      </c>
      <c r="AJ121" s="131" t="str">
        <f>IFERROR(VLOOKUP(E121&amp;F121,'Listagem dos op'!A:S,19,0),"")</f>
        <v/>
      </c>
      <c r="AK121" s="131" t="str">
        <f t="shared" si="9"/>
        <v>Jan11094</v>
      </c>
      <c r="AL121" s="154">
        <f>IF(N121="","",IF(N121="SIM",VLOOKUP($I121&amp;$J121&amp;N$1,Pesos!$A:$I,7,FALSE),VLOOKUP($I121&amp;$J121&amp;N$1,Pesos!$A:$I,9,FALSE)))</f>
        <v>0.1</v>
      </c>
      <c r="AM121" s="154">
        <f>IF(O121="","",IF(O121="SIM",VLOOKUP($I121&amp;$J121&amp;O$1,Pesos!$A:$I,7,FALSE),VLOOKUP($I121&amp;$J121&amp;O$1,Pesos!$A:$I,9,FALSE)))</f>
        <v>0.1</v>
      </c>
      <c r="AN121" s="154">
        <f>IF(P121="","",IF(P121="SIM",VLOOKUP($I121&amp;$J121&amp;P$1,Pesos!$A:$I,7,FALSE),VLOOKUP($I121&amp;$J121&amp;P$1,Pesos!$A:$I,9,FALSE)))</f>
        <v>0.1</v>
      </c>
      <c r="AO121" s="154">
        <f>IF(Q121="","",IF(Q121="SIM",VLOOKUP($I121&amp;$J121&amp;Q$1,Pesos!$A:$I,7,FALSE),VLOOKUP($I121&amp;$J121&amp;Q$1,Pesos!$A:$I,9,FALSE)))</f>
        <v>2</v>
      </c>
      <c r="AP121" s="154">
        <f>IF(R121="","",IF(R121="SIM",VLOOKUP($I121&amp;$J121&amp;R$1,Pesos!$A:$I,7,FALSE),VLOOKUP($I121&amp;$J121&amp;R$1,Pesos!$A:$I,9,FALSE)))</f>
        <v>1.03</v>
      </c>
      <c r="AQ121" s="154">
        <f>IF(S121="","",IF(S121="SIM",VLOOKUP($I121&amp;$J121&amp;S$1,Pesos!$A:$I,7,FALSE),VLOOKUP($I121&amp;$J121&amp;S$1,Pesos!$A:$I,9,FALSE)))</f>
        <v>1.22</v>
      </c>
      <c r="AR121" s="156">
        <f>IF(T121="","",IF(T121="SIM",VLOOKUP($I121&amp;$J121&amp;T$1,Pesos!$A:$I,7,FALSE),VLOOKUP($I121&amp;$J121&amp;T$1,Pesos!$A:$I,9,FALSE)))</f>
        <v>2</v>
      </c>
      <c r="AS121" s="132">
        <f>IF(U121="","",IF(U121="SIM",VLOOKUP($I121&amp;$J121&amp;U$1,Pesos!$A:$I,7,FALSE),VLOOKUP($I121&amp;$J121&amp;U$1,Pesos!$A:$I,9,FALSE)))</f>
        <v>1.05</v>
      </c>
      <c r="AT121" s="132">
        <f>IF(V121="","",IF(V121="SIM",VLOOKUP($I121&amp;$J121&amp;V$1,Pesos!$A:$I,7,FALSE),VLOOKUP($I121&amp;$J121&amp;V$1,Pesos!$A:$I,9,FALSE)))</f>
        <v>-5.2500000000000005E-2</v>
      </c>
      <c r="AU121" s="132">
        <f>IF(W121="","",IF(W121="SIM",VLOOKUP($I121&amp;$J121&amp;W$1,Pesos!$A:$I,7,FALSE),VLOOKUP($I121&amp;$J121&amp;W$1,Pesos!$A:$I,9,FALSE)))</f>
        <v>0.3</v>
      </c>
      <c r="AV121" s="132">
        <f>IF(X121="","",IF(X121="SIM",VLOOKUP($I121&amp;$J121&amp;X$1,Pesos!$A:$I,7,FALSE),VLOOKUP($I121&amp;$J121&amp;X$1,Pesos!$A:$I,9,FALSE)))</f>
        <v>0.3</v>
      </c>
      <c r="AW121" s="132">
        <f>IF(Y121="","",IF(Y121="SIM",VLOOKUP($I121&amp;$J121&amp;Y$1,Pesos!$A:$I,7,FALSE),VLOOKUP($I121&amp;$J121&amp;Y$1,Pesos!$A:$I,9,FALSE)))</f>
        <v>0.15</v>
      </c>
      <c r="AX121" s="132">
        <f>IF(Z121="","",IF(Z121="SIM",VLOOKUP($I121&amp;$J121&amp;Z$1,Pesos!$A:$I,7,FALSE),VLOOKUP($I121&amp;$J121&amp;Z$1,Pesos!$A:$I,9,FALSE)))</f>
        <v>0.2</v>
      </c>
      <c r="AY121" s="132">
        <f>IF(AA121="","",IF(AA121="SIM",VLOOKUP($I121&amp;$J121&amp;AA$1,Pesos!$A:$I,7,FALSE),VLOOKUP($I121&amp;$J121&amp;AA$1,Pesos!$A:$I,9,FALSE)))</f>
        <v>0.3</v>
      </c>
      <c r="AZ121" s="132">
        <f>IF(AB121="","",IF(AB121="SIM",VLOOKUP($I121&amp;$J121&amp;AB$1,Pesos!$A:$I,7,FALSE),VLOOKUP($I121&amp;$J121&amp;AB$1,Pesos!$A:$I,9,FALSE)))</f>
        <v>0.1</v>
      </c>
      <c r="BA121" s="132" t="str">
        <f>IF(AC121="","",IF(AC121="SIM",VLOOKUP($I121&amp;$J121&amp;AC$1,Pesos!$A:$I,7,FALSE),VLOOKUP($I121&amp;$J121&amp;AC$1,Pesos!$A:$I,9,FALSE)))</f>
        <v/>
      </c>
      <c r="BB121" s="132" t="str">
        <f>IF(AD121="","",IF(AD121="SIM",VLOOKUP($I121&amp;$J121&amp;AD$1,Pesos!$A:$I,7,FALSE),VLOOKUP($I121&amp;$J121&amp;AD$1,Pesos!$A:$I,9,FALSE)))</f>
        <v/>
      </c>
      <c r="BC121" s="132" t="str">
        <f>IF(AE121="","",IF(AE121="SIM",VLOOKUP($I121&amp;$J121&amp;AE$1,Pesos!$A:$I,7,FALSE),VLOOKUP($I121&amp;$J121&amp;AE$1,Pesos!$A:$I,9,FALSE)))</f>
        <v/>
      </c>
      <c r="BD121" s="158">
        <f>IFERROR(AF121*VLOOKUP(J121,'BD Campos'!$X$1:$Y$14,2,FALSE),"0")</f>
        <v>8.8974999999999991</v>
      </c>
    </row>
    <row r="122" spans="1:56">
      <c r="A122" s="151" t="str">
        <f t="shared" si="7"/>
        <v>Jan11051MotoristaUTI</v>
      </c>
      <c r="B122" s="149" t="str">
        <f t="shared" si="8"/>
        <v>Jan110511UTIPADRÃO</v>
      </c>
      <c r="C122" s="152">
        <v>1</v>
      </c>
      <c r="D122" s="153">
        <v>46056.59936388889</v>
      </c>
      <c r="E122" s="154" t="s">
        <v>12</v>
      </c>
      <c r="F122" s="155">
        <v>11051</v>
      </c>
      <c r="G122" s="149" t="s">
        <v>283</v>
      </c>
      <c r="H122" s="154">
        <v>1</v>
      </c>
      <c r="I122" s="149" t="s">
        <v>130</v>
      </c>
      <c r="J122" s="149" t="s">
        <v>93</v>
      </c>
      <c r="K122" s="149" t="s">
        <v>128</v>
      </c>
      <c r="L122" s="156">
        <v>34565498</v>
      </c>
      <c r="M122" s="157">
        <v>2.9398148148148148E-3</v>
      </c>
      <c r="N122" s="131" t="s">
        <v>17</v>
      </c>
      <c r="O122" s="131" t="s">
        <v>17</v>
      </c>
      <c r="P122" s="131" t="s">
        <v>17</v>
      </c>
      <c r="Q122" s="131" t="s">
        <v>17</v>
      </c>
      <c r="R122" s="131" t="s">
        <v>17</v>
      </c>
      <c r="S122" s="131" t="s">
        <v>17</v>
      </c>
      <c r="T122" s="131" t="s">
        <v>17</v>
      </c>
      <c r="U122" s="131" t="s">
        <v>17</v>
      </c>
      <c r="V122" s="131" t="s">
        <v>17</v>
      </c>
      <c r="W122" s="131" t="s">
        <v>17</v>
      </c>
      <c r="X122" s="131" t="s">
        <v>17</v>
      </c>
      <c r="Y122" s="131" t="s">
        <v>17</v>
      </c>
      <c r="Z122" s="131" t="s">
        <v>17</v>
      </c>
      <c r="AA122" s="131" t="s">
        <v>17</v>
      </c>
      <c r="AB122" s="131" t="s">
        <v>17</v>
      </c>
      <c r="AC122" s="131"/>
      <c r="AD122" s="131"/>
      <c r="AE122" s="131"/>
      <c r="AF122" s="158">
        <f t="shared" si="10"/>
        <v>10.004000000000001</v>
      </c>
      <c r="AG122" s="159"/>
      <c r="AH122" s="155" t="s">
        <v>284</v>
      </c>
      <c r="AI122" s="155" t="s">
        <v>83</v>
      </c>
      <c r="AJ122" s="131" t="str">
        <f>IFERROR(VLOOKUP(E122&amp;F122,'Listagem dos op'!A:S,19,0),"")</f>
        <v/>
      </c>
      <c r="AK122" s="131" t="str">
        <f t="shared" si="9"/>
        <v>Jan11051</v>
      </c>
      <c r="AL122" s="154">
        <f>IF(N122="","",IF(N122="SIM",VLOOKUP($I122&amp;$J122&amp;N$1,Pesos!$A:$I,7,FALSE),VLOOKUP($I122&amp;$J122&amp;N$1,Pesos!$A:$I,9,FALSE)))</f>
        <v>0.1</v>
      </c>
      <c r="AM122" s="154">
        <f>IF(O122="","",IF(O122="SIM",VLOOKUP($I122&amp;$J122&amp;O$1,Pesos!$A:$I,7,FALSE),VLOOKUP($I122&amp;$J122&amp;O$1,Pesos!$A:$I,9,FALSE)))</f>
        <v>0.1</v>
      </c>
      <c r="AN122" s="154">
        <f>IF(P122="","",IF(P122="SIM",VLOOKUP($I122&amp;$J122&amp;P$1,Pesos!$A:$I,7,FALSE),VLOOKUP($I122&amp;$J122&amp;P$1,Pesos!$A:$I,9,FALSE)))</f>
        <v>0.1</v>
      </c>
      <c r="AO122" s="154">
        <f>IF(Q122="","",IF(Q122="SIM",VLOOKUP($I122&amp;$J122&amp;Q$1,Pesos!$A:$I,7,FALSE),VLOOKUP($I122&amp;$J122&amp;Q$1,Pesos!$A:$I,9,FALSE)))</f>
        <v>2</v>
      </c>
      <c r="AP122" s="154">
        <f>IF(R122="","",IF(R122="SIM",VLOOKUP($I122&amp;$J122&amp;R$1,Pesos!$A:$I,7,FALSE),VLOOKUP($I122&amp;$J122&amp;R$1,Pesos!$A:$I,9,FALSE)))</f>
        <v>1.03</v>
      </c>
      <c r="AQ122" s="154">
        <f>IF(S122="","",IF(S122="SIM",VLOOKUP($I122&amp;$J122&amp;S$1,Pesos!$A:$I,7,FALSE),VLOOKUP($I122&amp;$J122&amp;S$1,Pesos!$A:$I,9,FALSE)))</f>
        <v>1.3</v>
      </c>
      <c r="AR122" s="156">
        <f>IF(T122="","",IF(T122="SIM",VLOOKUP($I122&amp;$J122&amp;T$1,Pesos!$A:$I,7,FALSE),VLOOKUP($I122&amp;$J122&amp;T$1,Pesos!$A:$I,9,FALSE)))</f>
        <v>1.3</v>
      </c>
      <c r="AS122" s="132">
        <f>IF(U122="","",IF(U122="SIM",VLOOKUP($I122&amp;$J122&amp;U$1,Pesos!$A:$I,7,FALSE),VLOOKUP($I122&amp;$J122&amp;U$1,Pesos!$A:$I,9,FALSE)))</f>
        <v>1.32</v>
      </c>
      <c r="AT122" s="132">
        <f>IF(V122="","",IF(V122="SIM",VLOOKUP($I122&amp;$J122&amp;V$1,Pesos!$A:$I,7,FALSE),VLOOKUP($I122&amp;$J122&amp;V$1,Pesos!$A:$I,9,FALSE)))</f>
        <v>1.4039999999999999</v>
      </c>
      <c r="AU122" s="132">
        <f>IF(W122="","",IF(W122="SIM",VLOOKUP($I122&amp;$J122&amp;W$1,Pesos!$A:$I,7,FALSE),VLOOKUP($I122&amp;$J122&amp;W$1,Pesos!$A:$I,9,FALSE)))</f>
        <v>0.3</v>
      </c>
      <c r="AV122" s="132">
        <f>IF(X122="","",IF(X122="SIM",VLOOKUP($I122&amp;$J122&amp;X$1,Pesos!$A:$I,7,FALSE),VLOOKUP($I122&amp;$J122&amp;X$1,Pesos!$A:$I,9,FALSE)))</f>
        <v>0.3</v>
      </c>
      <c r="AW122" s="132">
        <f>IF(Y122="","",IF(Y122="SIM",VLOOKUP($I122&amp;$J122&amp;Y$1,Pesos!$A:$I,7,FALSE),VLOOKUP($I122&amp;$J122&amp;Y$1,Pesos!$A:$I,9,FALSE)))</f>
        <v>0.15</v>
      </c>
      <c r="AX122" s="132">
        <f>IF(Z122="","",IF(Z122="SIM",VLOOKUP($I122&amp;$J122&amp;Z$1,Pesos!$A:$I,7,FALSE),VLOOKUP($I122&amp;$J122&amp;Z$1,Pesos!$A:$I,9,FALSE)))</f>
        <v>0.2</v>
      </c>
      <c r="AY122" s="132">
        <f>IF(AA122="","",IF(AA122="SIM",VLOOKUP($I122&amp;$J122&amp;AA$1,Pesos!$A:$I,7,FALSE),VLOOKUP($I122&amp;$J122&amp;AA$1,Pesos!$A:$I,9,FALSE)))</f>
        <v>0.3</v>
      </c>
      <c r="AZ122" s="132">
        <f>IF(AB122="","",IF(AB122="SIM",VLOOKUP($I122&amp;$J122&amp;AB$1,Pesos!$A:$I,7,FALSE),VLOOKUP($I122&amp;$J122&amp;AB$1,Pesos!$A:$I,9,FALSE)))</f>
        <v>0.1</v>
      </c>
      <c r="BA122" s="132" t="str">
        <f>IF(AC122="","",IF(AC122="SIM",VLOOKUP($I122&amp;$J122&amp;AC$1,Pesos!$A:$I,7,FALSE),VLOOKUP($I122&amp;$J122&amp;AC$1,Pesos!$A:$I,9,FALSE)))</f>
        <v/>
      </c>
      <c r="BB122" s="132" t="str">
        <f>IF(AD122="","",IF(AD122="SIM",VLOOKUP($I122&amp;$J122&amp;AD$1,Pesos!$A:$I,7,FALSE),VLOOKUP($I122&amp;$J122&amp;AD$1,Pesos!$A:$I,9,FALSE)))</f>
        <v/>
      </c>
      <c r="BC122" s="132" t="str">
        <f>IF(AE122="","",IF(AE122="SIM",VLOOKUP($I122&amp;$J122&amp;AE$1,Pesos!$A:$I,7,FALSE),VLOOKUP($I122&amp;$J122&amp;AE$1,Pesos!$A:$I,9,FALSE)))</f>
        <v/>
      </c>
      <c r="BD122" s="158">
        <f>IFERROR(AF122*VLOOKUP(J122,'BD Campos'!$X$1:$Y$14,2,FALSE),"0")</f>
        <v>10.004000000000001</v>
      </c>
    </row>
    <row r="123" spans="1:56">
      <c r="A123" s="151" t="str">
        <f t="shared" si="7"/>
        <v>Jan11051Motorista 2UTI</v>
      </c>
      <c r="B123" s="149" t="str">
        <f t="shared" si="8"/>
        <v>Jan110512UTIPADRÃO</v>
      </c>
      <c r="C123" s="152">
        <v>1</v>
      </c>
      <c r="D123" s="153">
        <v>46056.601326736112</v>
      </c>
      <c r="E123" s="154" t="s">
        <v>12</v>
      </c>
      <c r="F123" s="155">
        <v>11051</v>
      </c>
      <c r="G123" s="149" t="s">
        <v>283</v>
      </c>
      <c r="H123" s="154">
        <v>2</v>
      </c>
      <c r="I123" s="149" t="s">
        <v>130</v>
      </c>
      <c r="J123" s="149" t="s">
        <v>97</v>
      </c>
      <c r="K123" s="149" t="s">
        <v>128</v>
      </c>
      <c r="L123" s="156">
        <v>34707126</v>
      </c>
      <c r="M123" s="157">
        <v>1.8171296296296297E-3</v>
      </c>
      <c r="N123" s="131" t="s">
        <v>17</v>
      </c>
      <c r="O123" s="131" t="s">
        <v>17</v>
      </c>
      <c r="P123" s="131" t="s">
        <v>17</v>
      </c>
      <c r="Q123" s="131" t="s">
        <v>17</v>
      </c>
      <c r="R123" s="131" t="s">
        <v>17</v>
      </c>
      <c r="S123" s="131" t="s">
        <v>17</v>
      </c>
      <c r="T123" s="131" t="s">
        <v>17</v>
      </c>
      <c r="U123" s="131" t="s">
        <v>18</v>
      </c>
      <c r="V123" s="131" t="s">
        <v>17</v>
      </c>
      <c r="W123" s="131" t="s">
        <v>17</v>
      </c>
      <c r="X123" s="131" t="s">
        <v>17</v>
      </c>
      <c r="Y123" s="131" t="s">
        <v>17</v>
      </c>
      <c r="Z123" s="131" t="s">
        <v>17</v>
      </c>
      <c r="AA123" s="131" t="s">
        <v>17</v>
      </c>
      <c r="AB123" s="131" t="s">
        <v>17</v>
      </c>
      <c r="AC123" s="131"/>
      <c r="AD123" s="131"/>
      <c r="AE123" s="131"/>
      <c r="AF123" s="158">
        <f t="shared" si="10"/>
        <v>8.6179999999999986</v>
      </c>
      <c r="AG123" s="159"/>
      <c r="AH123" s="155" t="s">
        <v>285</v>
      </c>
      <c r="AI123" s="155" t="s">
        <v>83</v>
      </c>
      <c r="AJ123" s="131" t="str">
        <f>IFERROR(VLOOKUP(E123&amp;F123,'Listagem dos op'!A:S,19,0),"")</f>
        <v/>
      </c>
      <c r="AK123" s="131" t="str">
        <f t="shared" si="9"/>
        <v>Jan11051</v>
      </c>
      <c r="AL123" s="154">
        <f>IF(N123="","",IF(N123="SIM",VLOOKUP($I123&amp;$J123&amp;N$1,Pesos!$A:$I,7,FALSE),VLOOKUP($I123&amp;$J123&amp;N$1,Pesos!$A:$I,9,FALSE)))</f>
        <v>0.1</v>
      </c>
      <c r="AM123" s="154">
        <f>IF(O123="","",IF(O123="SIM",VLOOKUP($I123&amp;$J123&amp;O$1,Pesos!$A:$I,7,FALSE),VLOOKUP($I123&amp;$J123&amp;O$1,Pesos!$A:$I,9,FALSE)))</f>
        <v>0.1</v>
      </c>
      <c r="AN123" s="154">
        <f>IF(P123="","",IF(P123="SIM",VLOOKUP($I123&amp;$J123&amp;P$1,Pesos!$A:$I,7,FALSE),VLOOKUP($I123&amp;$J123&amp;P$1,Pesos!$A:$I,9,FALSE)))</f>
        <v>0.1</v>
      </c>
      <c r="AO123" s="154">
        <f>IF(Q123="","",IF(Q123="SIM",VLOOKUP($I123&amp;$J123&amp;Q$1,Pesos!$A:$I,7,FALSE),VLOOKUP($I123&amp;$J123&amp;Q$1,Pesos!$A:$I,9,FALSE)))</f>
        <v>2</v>
      </c>
      <c r="AP123" s="154">
        <f>IF(R123="","",IF(R123="SIM",VLOOKUP($I123&amp;$J123&amp;R$1,Pesos!$A:$I,7,FALSE),VLOOKUP($I123&amp;$J123&amp;R$1,Pesos!$A:$I,9,FALSE)))</f>
        <v>1.03</v>
      </c>
      <c r="AQ123" s="154">
        <f>IF(S123="","",IF(S123="SIM",VLOOKUP($I123&amp;$J123&amp;S$1,Pesos!$A:$I,7,FALSE),VLOOKUP($I123&amp;$J123&amp;S$1,Pesos!$A:$I,9,FALSE)))</f>
        <v>1.3</v>
      </c>
      <c r="AR123" s="156">
        <f>IF(T123="","",IF(T123="SIM",VLOOKUP($I123&amp;$J123&amp;T$1,Pesos!$A:$I,7,FALSE),VLOOKUP($I123&amp;$J123&amp;T$1,Pesos!$A:$I,9,FALSE)))</f>
        <v>1.3</v>
      </c>
      <c r="AS123" s="132">
        <f>IF(U123="","",IF(U123="SIM",VLOOKUP($I123&amp;$J123&amp;U$1,Pesos!$A:$I,7,FALSE),VLOOKUP($I123&amp;$J123&amp;U$1,Pesos!$A:$I,9,FALSE)))</f>
        <v>-6.6000000000000003E-2</v>
      </c>
      <c r="AT123" s="132">
        <f>IF(V123="","",IF(V123="SIM",VLOOKUP($I123&amp;$J123&amp;V$1,Pesos!$A:$I,7,FALSE),VLOOKUP($I123&amp;$J123&amp;V$1,Pesos!$A:$I,9,FALSE)))</f>
        <v>1.4039999999999999</v>
      </c>
      <c r="AU123" s="132">
        <f>IF(W123="","",IF(W123="SIM",VLOOKUP($I123&amp;$J123&amp;W$1,Pesos!$A:$I,7,FALSE),VLOOKUP($I123&amp;$J123&amp;W$1,Pesos!$A:$I,9,FALSE)))</f>
        <v>0.3</v>
      </c>
      <c r="AV123" s="132">
        <f>IF(X123="","",IF(X123="SIM",VLOOKUP($I123&amp;$J123&amp;X$1,Pesos!$A:$I,7,FALSE),VLOOKUP($I123&amp;$J123&amp;X$1,Pesos!$A:$I,9,FALSE)))</f>
        <v>0.3</v>
      </c>
      <c r="AW123" s="132">
        <f>IF(Y123="","",IF(Y123="SIM",VLOOKUP($I123&amp;$J123&amp;Y$1,Pesos!$A:$I,7,FALSE),VLOOKUP($I123&amp;$J123&amp;Y$1,Pesos!$A:$I,9,FALSE)))</f>
        <v>0.15</v>
      </c>
      <c r="AX123" s="132">
        <f>IF(Z123="","",IF(Z123="SIM",VLOOKUP($I123&amp;$J123&amp;Z$1,Pesos!$A:$I,7,FALSE),VLOOKUP($I123&amp;$J123&amp;Z$1,Pesos!$A:$I,9,FALSE)))</f>
        <v>0.2</v>
      </c>
      <c r="AY123" s="132">
        <f>IF(AA123="","",IF(AA123="SIM",VLOOKUP($I123&amp;$J123&amp;AA$1,Pesos!$A:$I,7,FALSE),VLOOKUP($I123&amp;$J123&amp;AA$1,Pesos!$A:$I,9,FALSE)))</f>
        <v>0.3</v>
      </c>
      <c r="AZ123" s="132">
        <f>IF(AB123="","",IF(AB123="SIM",VLOOKUP($I123&amp;$J123&amp;AB$1,Pesos!$A:$I,7,FALSE),VLOOKUP($I123&amp;$J123&amp;AB$1,Pesos!$A:$I,9,FALSE)))</f>
        <v>0.1</v>
      </c>
      <c r="BA123" s="132" t="str">
        <f>IF(AC123="","",IF(AC123="SIM",VLOOKUP($I123&amp;$J123&amp;AC$1,Pesos!$A:$I,7,FALSE),VLOOKUP($I123&amp;$J123&amp;AC$1,Pesos!$A:$I,9,FALSE)))</f>
        <v/>
      </c>
      <c r="BB123" s="132" t="str">
        <f>IF(AD123="","",IF(AD123="SIM",VLOOKUP($I123&amp;$J123&amp;AD$1,Pesos!$A:$I,7,FALSE),VLOOKUP($I123&amp;$J123&amp;AD$1,Pesos!$A:$I,9,FALSE)))</f>
        <v/>
      </c>
      <c r="BC123" s="132" t="str">
        <f>IF(AE123="","",IF(AE123="SIM",VLOOKUP($I123&amp;$J123&amp;AE$1,Pesos!$A:$I,7,FALSE),VLOOKUP($I123&amp;$J123&amp;AE$1,Pesos!$A:$I,9,FALSE)))</f>
        <v/>
      </c>
      <c r="BD123" s="158">
        <f>IFERROR(AF123*VLOOKUP(J123,'BD Campos'!$X$1:$Y$14,2,FALSE),"0")</f>
        <v>8.6179999999999986</v>
      </c>
    </row>
    <row r="124" spans="1:56">
      <c r="A124" s="151" t="str">
        <f t="shared" si="7"/>
        <v>Jan10921MotoristaUTI</v>
      </c>
      <c r="B124" s="149" t="str">
        <f t="shared" si="8"/>
        <v>Jan109211UTIPADRÃO</v>
      </c>
      <c r="C124" s="152">
        <v>1</v>
      </c>
      <c r="D124" s="153">
        <v>46056.606423495374</v>
      </c>
      <c r="E124" s="154" t="s">
        <v>12</v>
      </c>
      <c r="F124" s="155">
        <v>10921</v>
      </c>
      <c r="G124" s="149" t="s">
        <v>286</v>
      </c>
      <c r="H124" s="154">
        <v>1</v>
      </c>
      <c r="I124" s="149" t="s">
        <v>96</v>
      </c>
      <c r="J124" s="149" t="s">
        <v>93</v>
      </c>
      <c r="K124" s="149" t="s">
        <v>128</v>
      </c>
      <c r="L124" s="156">
        <v>34582682</v>
      </c>
      <c r="M124" s="157">
        <v>1.2037037037037038E-3</v>
      </c>
      <c r="N124" s="131" t="s">
        <v>18</v>
      </c>
      <c r="O124" s="131" t="s">
        <v>18</v>
      </c>
      <c r="P124" s="131" t="s">
        <v>17</v>
      </c>
      <c r="Q124" s="131" t="s">
        <v>17</v>
      </c>
      <c r="R124" s="131" t="s">
        <v>17</v>
      </c>
      <c r="S124" s="131" t="s">
        <v>17</v>
      </c>
      <c r="T124" s="131" t="s">
        <v>17</v>
      </c>
      <c r="U124" s="131" t="s">
        <v>17</v>
      </c>
      <c r="V124" s="131" t="s">
        <v>18</v>
      </c>
      <c r="W124" s="131" t="s">
        <v>17</v>
      </c>
      <c r="X124" s="131" t="s">
        <v>17</v>
      </c>
      <c r="Y124" s="131" t="s">
        <v>17</v>
      </c>
      <c r="Z124" s="131" t="s">
        <v>17</v>
      </c>
      <c r="AA124" s="131" t="s">
        <v>17</v>
      </c>
      <c r="AB124" s="131" t="s">
        <v>17</v>
      </c>
      <c r="AC124" s="131"/>
      <c r="AD124" s="131"/>
      <c r="AE124" s="131"/>
      <c r="AF124" s="158">
        <f t="shared" si="10"/>
        <v>8.6874999999999982</v>
      </c>
      <c r="AG124" s="159"/>
      <c r="AH124" s="155" t="s">
        <v>287</v>
      </c>
      <c r="AI124" s="155" t="s">
        <v>83</v>
      </c>
      <c r="AJ124" s="131" t="str">
        <f>IFERROR(VLOOKUP(E124&amp;F124,'Listagem dos op'!A:S,19,0),"")</f>
        <v/>
      </c>
      <c r="AK124" s="131" t="str">
        <f t="shared" si="9"/>
        <v>Jan10921</v>
      </c>
      <c r="AL124" s="154">
        <f>IF(N124="","",IF(N124="SIM",VLOOKUP($I124&amp;$J124&amp;N$1,Pesos!$A:$I,7,FALSE),VLOOKUP($I124&amp;$J124&amp;N$1,Pesos!$A:$I,9,FALSE)))</f>
        <v>-5.000000000000001E-3</v>
      </c>
      <c r="AM124" s="154">
        <f>IF(O124="","",IF(O124="SIM",VLOOKUP($I124&amp;$J124&amp;O$1,Pesos!$A:$I,7,FALSE),VLOOKUP($I124&amp;$J124&amp;O$1,Pesos!$A:$I,9,FALSE)))</f>
        <v>-5.000000000000001E-3</v>
      </c>
      <c r="AN124" s="154">
        <f>IF(P124="","",IF(P124="SIM",VLOOKUP($I124&amp;$J124&amp;P$1,Pesos!$A:$I,7,FALSE),VLOOKUP($I124&amp;$J124&amp;P$1,Pesos!$A:$I,9,FALSE)))</f>
        <v>0.1</v>
      </c>
      <c r="AO124" s="154">
        <f>IF(Q124="","",IF(Q124="SIM",VLOOKUP($I124&amp;$J124&amp;Q$1,Pesos!$A:$I,7,FALSE),VLOOKUP($I124&amp;$J124&amp;Q$1,Pesos!$A:$I,9,FALSE)))</f>
        <v>2</v>
      </c>
      <c r="AP124" s="154">
        <f>IF(R124="","",IF(R124="SIM",VLOOKUP($I124&amp;$J124&amp;R$1,Pesos!$A:$I,7,FALSE),VLOOKUP($I124&amp;$J124&amp;R$1,Pesos!$A:$I,9,FALSE)))</f>
        <v>1.03</v>
      </c>
      <c r="AQ124" s="154">
        <f>IF(S124="","",IF(S124="SIM",VLOOKUP($I124&amp;$J124&amp;S$1,Pesos!$A:$I,7,FALSE),VLOOKUP($I124&amp;$J124&amp;S$1,Pesos!$A:$I,9,FALSE)))</f>
        <v>1.22</v>
      </c>
      <c r="AR124" s="156">
        <f>IF(T124="","",IF(T124="SIM",VLOOKUP($I124&amp;$J124&amp;T$1,Pesos!$A:$I,7,FALSE),VLOOKUP($I124&amp;$J124&amp;T$1,Pesos!$A:$I,9,FALSE)))</f>
        <v>2</v>
      </c>
      <c r="AS124" s="132">
        <f>IF(U124="","",IF(U124="SIM",VLOOKUP($I124&amp;$J124&amp;U$1,Pesos!$A:$I,7,FALSE),VLOOKUP($I124&amp;$J124&amp;U$1,Pesos!$A:$I,9,FALSE)))</f>
        <v>1.05</v>
      </c>
      <c r="AT124" s="132">
        <f>IF(V124="","",IF(V124="SIM",VLOOKUP($I124&amp;$J124&amp;V$1,Pesos!$A:$I,7,FALSE),VLOOKUP($I124&amp;$J124&amp;V$1,Pesos!$A:$I,9,FALSE)))</f>
        <v>-5.2500000000000005E-2</v>
      </c>
      <c r="AU124" s="132">
        <f>IF(W124="","",IF(W124="SIM",VLOOKUP($I124&amp;$J124&amp;W$1,Pesos!$A:$I,7,FALSE),VLOOKUP($I124&amp;$J124&amp;W$1,Pesos!$A:$I,9,FALSE)))</f>
        <v>0.3</v>
      </c>
      <c r="AV124" s="132">
        <f>IF(X124="","",IF(X124="SIM",VLOOKUP($I124&amp;$J124&amp;X$1,Pesos!$A:$I,7,FALSE),VLOOKUP($I124&amp;$J124&amp;X$1,Pesos!$A:$I,9,FALSE)))</f>
        <v>0.3</v>
      </c>
      <c r="AW124" s="132">
        <f>IF(Y124="","",IF(Y124="SIM",VLOOKUP($I124&amp;$J124&amp;Y$1,Pesos!$A:$I,7,FALSE),VLOOKUP($I124&amp;$J124&amp;Y$1,Pesos!$A:$I,9,FALSE)))</f>
        <v>0.15</v>
      </c>
      <c r="AX124" s="132">
        <f>IF(Z124="","",IF(Z124="SIM",VLOOKUP($I124&amp;$J124&amp;Z$1,Pesos!$A:$I,7,FALSE),VLOOKUP($I124&amp;$J124&amp;Z$1,Pesos!$A:$I,9,FALSE)))</f>
        <v>0.2</v>
      </c>
      <c r="AY124" s="132">
        <f>IF(AA124="","",IF(AA124="SIM",VLOOKUP($I124&amp;$J124&amp;AA$1,Pesos!$A:$I,7,FALSE),VLOOKUP($I124&amp;$J124&amp;AA$1,Pesos!$A:$I,9,FALSE)))</f>
        <v>0.3</v>
      </c>
      <c r="AZ124" s="132">
        <f>IF(AB124="","",IF(AB124="SIM",VLOOKUP($I124&amp;$J124&amp;AB$1,Pesos!$A:$I,7,FALSE),VLOOKUP($I124&amp;$J124&amp;AB$1,Pesos!$A:$I,9,FALSE)))</f>
        <v>0.1</v>
      </c>
      <c r="BA124" s="132" t="str">
        <f>IF(AC124="","",IF(AC124="SIM",VLOOKUP($I124&amp;$J124&amp;AC$1,Pesos!$A:$I,7,FALSE),VLOOKUP($I124&amp;$J124&amp;AC$1,Pesos!$A:$I,9,FALSE)))</f>
        <v/>
      </c>
      <c r="BB124" s="132" t="str">
        <f>IF(AD124="","",IF(AD124="SIM",VLOOKUP($I124&amp;$J124&amp;AD$1,Pesos!$A:$I,7,FALSE),VLOOKUP($I124&amp;$J124&amp;AD$1,Pesos!$A:$I,9,FALSE)))</f>
        <v/>
      </c>
      <c r="BC124" s="132" t="str">
        <f>IF(AE124="","",IF(AE124="SIM",VLOOKUP($I124&amp;$J124&amp;AE$1,Pesos!$A:$I,7,FALSE),VLOOKUP($I124&amp;$J124&amp;AE$1,Pesos!$A:$I,9,FALSE)))</f>
        <v/>
      </c>
      <c r="BD124" s="158">
        <f>IFERROR(AF124*VLOOKUP(J124,'BD Campos'!$X$1:$Y$14,2,FALSE),"0")</f>
        <v>8.6874999999999982</v>
      </c>
    </row>
    <row r="125" spans="1:56">
      <c r="A125" s="151" t="str">
        <f t="shared" si="7"/>
        <v>Jan10921Motorista 2UTI</v>
      </c>
      <c r="B125" s="149" t="str">
        <f t="shared" si="8"/>
        <v>Jan109212UTIPADRÃO</v>
      </c>
      <c r="C125" s="152">
        <v>1</v>
      </c>
      <c r="D125" s="153">
        <v>46056.612084953704</v>
      </c>
      <c r="E125" s="154" t="s">
        <v>12</v>
      </c>
      <c r="F125" s="155">
        <v>10921</v>
      </c>
      <c r="G125" s="149" t="s">
        <v>286</v>
      </c>
      <c r="H125" s="154">
        <v>2</v>
      </c>
      <c r="I125" s="149" t="s">
        <v>96</v>
      </c>
      <c r="J125" s="149" t="s">
        <v>97</v>
      </c>
      <c r="K125" s="149" t="s">
        <v>128</v>
      </c>
      <c r="L125" s="156">
        <v>34820883</v>
      </c>
      <c r="M125" s="157">
        <v>2.7199074074074074E-3</v>
      </c>
      <c r="N125" s="131" t="s">
        <v>17</v>
      </c>
      <c r="O125" s="131" t="s">
        <v>17</v>
      </c>
      <c r="P125" s="131" t="s">
        <v>17</v>
      </c>
      <c r="Q125" s="131" t="s">
        <v>17</v>
      </c>
      <c r="R125" s="131" t="s">
        <v>17</v>
      </c>
      <c r="S125" s="131" t="s">
        <v>17</v>
      </c>
      <c r="T125" s="131" t="s">
        <v>17</v>
      </c>
      <c r="U125" s="131" t="s">
        <v>17</v>
      </c>
      <c r="V125" s="131" t="s">
        <v>17</v>
      </c>
      <c r="W125" s="131" t="s">
        <v>17</v>
      </c>
      <c r="X125" s="131" t="s">
        <v>17</v>
      </c>
      <c r="Y125" s="131" t="s">
        <v>17</v>
      </c>
      <c r="Z125" s="131" t="s">
        <v>17</v>
      </c>
      <c r="AA125" s="131" t="s">
        <v>17</v>
      </c>
      <c r="AB125" s="131" t="s">
        <v>17</v>
      </c>
      <c r="AC125" s="131"/>
      <c r="AD125" s="131"/>
      <c r="AE125" s="131"/>
      <c r="AF125" s="158">
        <f t="shared" si="10"/>
        <v>10.000000000000002</v>
      </c>
      <c r="AG125" s="159"/>
      <c r="AH125" s="155" t="s">
        <v>288</v>
      </c>
      <c r="AI125" s="155" t="s">
        <v>83</v>
      </c>
      <c r="AJ125" s="131" t="str">
        <f>IFERROR(VLOOKUP(E125&amp;F125,'Listagem dos op'!A:S,19,0),"")</f>
        <v/>
      </c>
      <c r="AK125" s="131" t="str">
        <f t="shared" si="9"/>
        <v>Jan10921</v>
      </c>
      <c r="AL125" s="154">
        <f>IF(N125="","",IF(N125="SIM",VLOOKUP($I125&amp;$J125&amp;N$1,Pesos!$A:$I,7,FALSE),VLOOKUP($I125&amp;$J125&amp;N$1,Pesos!$A:$I,9,FALSE)))</f>
        <v>0.1</v>
      </c>
      <c r="AM125" s="154">
        <f>IF(O125="","",IF(O125="SIM",VLOOKUP($I125&amp;$J125&amp;O$1,Pesos!$A:$I,7,FALSE),VLOOKUP($I125&amp;$J125&amp;O$1,Pesos!$A:$I,9,FALSE)))</f>
        <v>0.1</v>
      </c>
      <c r="AN125" s="154">
        <f>IF(P125="","",IF(P125="SIM",VLOOKUP($I125&amp;$J125&amp;P$1,Pesos!$A:$I,7,FALSE),VLOOKUP($I125&amp;$J125&amp;P$1,Pesos!$A:$I,9,FALSE)))</f>
        <v>0.1</v>
      </c>
      <c r="AO125" s="154">
        <f>IF(Q125="","",IF(Q125="SIM",VLOOKUP($I125&amp;$J125&amp;Q$1,Pesos!$A:$I,7,FALSE),VLOOKUP($I125&amp;$J125&amp;Q$1,Pesos!$A:$I,9,FALSE)))</f>
        <v>2</v>
      </c>
      <c r="AP125" s="154">
        <f>IF(R125="","",IF(R125="SIM",VLOOKUP($I125&amp;$J125&amp;R$1,Pesos!$A:$I,7,FALSE),VLOOKUP($I125&amp;$J125&amp;R$1,Pesos!$A:$I,9,FALSE)))</f>
        <v>1.03</v>
      </c>
      <c r="AQ125" s="154">
        <f>IF(S125="","",IF(S125="SIM",VLOOKUP($I125&amp;$J125&amp;S$1,Pesos!$A:$I,7,FALSE),VLOOKUP($I125&amp;$J125&amp;S$1,Pesos!$A:$I,9,FALSE)))</f>
        <v>1.22</v>
      </c>
      <c r="AR125" s="156">
        <f>IF(T125="","",IF(T125="SIM",VLOOKUP($I125&amp;$J125&amp;T$1,Pesos!$A:$I,7,FALSE),VLOOKUP($I125&amp;$J125&amp;T$1,Pesos!$A:$I,9,FALSE)))</f>
        <v>2</v>
      </c>
      <c r="AS125" s="132">
        <f>IF(U125="","",IF(U125="SIM",VLOOKUP($I125&amp;$J125&amp;U$1,Pesos!$A:$I,7,FALSE),VLOOKUP($I125&amp;$J125&amp;U$1,Pesos!$A:$I,9,FALSE)))</f>
        <v>1.05</v>
      </c>
      <c r="AT125" s="132">
        <f>IF(V125="","",IF(V125="SIM",VLOOKUP($I125&amp;$J125&amp;V$1,Pesos!$A:$I,7,FALSE),VLOOKUP($I125&amp;$J125&amp;V$1,Pesos!$A:$I,9,FALSE)))</f>
        <v>1.05</v>
      </c>
      <c r="AU125" s="132">
        <f>IF(W125="","",IF(W125="SIM",VLOOKUP($I125&amp;$J125&amp;W$1,Pesos!$A:$I,7,FALSE),VLOOKUP($I125&amp;$J125&amp;W$1,Pesos!$A:$I,9,FALSE)))</f>
        <v>0.3</v>
      </c>
      <c r="AV125" s="132">
        <f>IF(X125="","",IF(X125="SIM",VLOOKUP($I125&amp;$J125&amp;X$1,Pesos!$A:$I,7,FALSE),VLOOKUP($I125&amp;$J125&amp;X$1,Pesos!$A:$I,9,FALSE)))</f>
        <v>0.3</v>
      </c>
      <c r="AW125" s="132">
        <f>IF(Y125="","",IF(Y125="SIM",VLOOKUP($I125&amp;$J125&amp;Y$1,Pesos!$A:$I,7,FALSE),VLOOKUP($I125&amp;$J125&amp;Y$1,Pesos!$A:$I,9,FALSE)))</f>
        <v>0.15</v>
      </c>
      <c r="AX125" s="132">
        <f>IF(Z125="","",IF(Z125="SIM",VLOOKUP($I125&amp;$J125&amp;Z$1,Pesos!$A:$I,7,FALSE),VLOOKUP($I125&amp;$J125&amp;Z$1,Pesos!$A:$I,9,FALSE)))</f>
        <v>0.2</v>
      </c>
      <c r="AY125" s="132">
        <f>IF(AA125="","",IF(AA125="SIM",VLOOKUP($I125&amp;$J125&amp;AA$1,Pesos!$A:$I,7,FALSE),VLOOKUP($I125&amp;$J125&amp;AA$1,Pesos!$A:$I,9,FALSE)))</f>
        <v>0.3</v>
      </c>
      <c r="AZ125" s="132">
        <f>IF(AB125="","",IF(AB125="SIM",VLOOKUP($I125&amp;$J125&amp;AB$1,Pesos!$A:$I,7,FALSE),VLOOKUP($I125&amp;$J125&amp;AB$1,Pesos!$A:$I,9,FALSE)))</f>
        <v>0.1</v>
      </c>
      <c r="BA125" s="132" t="str">
        <f>IF(AC125="","",IF(AC125="SIM",VLOOKUP($I125&amp;$J125&amp;AC$1,Pesos!$A:$I,7,FALSE),VLOOKUP($I125&amp;$J125&amp;AC$1,Pesos!$A:$I,9,FALSE)))</f>
        <v/>
      </c>
      <c r="BB125" s="132" t="str">
        <f>IF(AD125="","",IF(AD125="SIM",VLOOKUP($I125&amp;$J125&amp;AD$1,Pesos!$A:$I,7,FALSE),VLOOKUP($I125&amp;$J125&amp;AD$1,Pesos!$A:$I,9,FALSE)))</f>
        <v/>
      </c>
      <c r="BC125" s="132" t="str">
        <f>IF(AE125="","",IF(AE125="SIM",VLOOKUP($I125&amp;$J125&amp;AE$1,Pesos!$A:$I,7,FALSE),VLOOKUP($I125&amp;$J125&amp;AE$1,Pesos!$A:$I,9,FALSE)))</f>
        <v/>
      </c>
      <c r="BD125" s="158">
        <f>IFERROR(AF125*VLOOKUP(J125,'BD Campos'!$X$1:$Y$14,2,FALSE),"0")</f>
        <v>10.000000000000002</v>
      </c>
    </row>
    <row r="126" spans="1:56">
      <c r="A126" s="151" t="str">
        <f t="shared" si="7"/>
        <v>Jan10892PolíciaBAS</v>
      </c>
      <c r="B126" s="149" t="str">
        <f t="shared" si="8"/>
        <v>Jan108921BASPADRÃO</v>
      </c>
      <c r="C126" s="152">
        <v>1</v>
      </c>
      <c r="D126" s="153">
        <v>46056.616985416666</v>
      </c>
      <c r="E126" s="154" t="s">
        <v>12</v>
      </c>
      <c r="F126" s="155">
        <v>10892</v>
      </c>
      <c r="G126" s="149" t="s">
        <v>289</v>
      </c>
      <c r="H126" s="154">
        <v>1</v>
      </c>
      <c r="I126" s="149" t="s">
        <v>96</v>
      </c>
      <c r="J126" s="149" t="s">
        <v>222</v>
      </c>
      <c r="K126" s="149" t="s">
        <v>223</v>
      </c>
      <c r="L126" s="156">
        <v>34729063</v>
      </c>
      <c r="M126" s="157">
        <v>3.483796296296296E-3</v>
      </c>
      <c r="N126" s="131" t="s">
        <v>17</v>
      </c>
      <c r="O126" s="131" t="s">
        <v>17</v>
      </c>
      <c r="P126" s="131" t="s">
        <v>17</v>
      </c>
      <c r="Q126" s="131" t="s">
        <v>18</v>
      </c>
      <c r="R126" s="131" t="s">
        <v>17</v>
      </c>
      <c r="S126" s="131" t="s">
        <v>17</v>
      </c>
      <c r="T126" s="131" t="s">
        <v>17</v>
      </c>
      <c r="U126" s="131" t="s">
        <v>17</v>
      </c>
      <c r="V126" s="131" t="s">
        <v>17</v>
      </c>
      <c r="W126" s="131" t="s">
        <v>17</v>
      </c>
      <c r="X126" s="131" t="s">
        <v>17</v>
      </c>
      <c r="Y126" s="131" t="s">
        <v>17</v>
      </c>
      <c r="Z126" s="131" t="s">
        <v>17</v>
      </c>
      <c r="AA126" s="131" t="s">
        <v>18</v>
      </c>
      <c r="AB126" s="131" t="s">
        <v>17</v>
      </c>
      <c r="AC126" s="131" t="s">
        <v>17</v>
      </c>
      <c r="AD126" s="131"/>
      <c r="AE126" s="131"/>
      <c r="AF126" s="158">
        <f t="shared" si="10"/>
        <v>9.3700000000000028</v>
      </c>
      <c r="AG126" s="159"/>
      <c r="AH126" s="155" t="s">
        <v>290</v>
      </c>
      <c r="AI126" s="155" t="s">
        <v>83</v>
      </c>
      <c r="AJ126" s="131" t="str">
        <f>IFERROR(VLOOKUP(E126&amp;F126,'Listagem dos op'!A:S,19,0),"")</f>
        <v/>
      </c>
      <c r="AK126" s="131" t="str">
        <f t="shared" si="9"/>
        <v>Jan10892</v>
      </c>
      <c r="AL126" s="154">
        <f>IF(N126="","",IF(N126="SIM",VLOOKUP($I126&amp;$J126&amp;N$1,Pesos!$A:$I,7,FALSE),VLOOKUP($I126&amp;$J126&amp;N$1,Pesos!$A:$I,9,FALSE)))</f>
        <v>0.1</v>
      </c>
      <c r="AM126" s="154">
        <f>IF(O126="","",IF(O126="SIM",VLOOKUP($I126&amp;$J126&amp;O$1,Pesos!$A:$I,7,FALSE),VLOOKUP($I126&amp;$J126&amp;O$1,Pesos!$A:$I,9,FALSE)))</f>
        <v>0.1</v>
      </c>
      <c r="AN126" s="154">
        <f>IF(P126="","",IF(P126="SIM",VLOOKUP($I126&amp;$J126&amp;P$1,Pesos!$A:$I,7,FALSE),VLOOKUP($I126&amp;$J126&amp;P$1,Pesos!$A:$I,9,FALSE)))</f>
        <v>0.1</v>
      </c>
      <c r="AO126" s="154">
        <f>IF(Q126="","",IF(Q126="SIM",VLOOKUP($I126&amp;$J126&amp;Q$1,Pesos!$A:$I,7,FALSE),VLOOKUP($I126&amp;$J126&amp;Q$1,Pesos!$A:$I,9,FALSE)))</f>
        <v>-2.0000000000000004E-2</v>
      </c>
      <c r="AP126" s="154">
        <f>IF(R126="","",IF(R126="SIM",VLOOKUP($I126&amp;$J126&amp;R$1,Pesos!$A:$I,7,FALSE),VLOOKUP($I126&amp;$J126&amp;R$1,Pesos!$A:$I,9,FALSE)))</f>
        <v>1.3</v>
      </c>
      <c r="AQ126" s="154">
        <f>IF(S126="","",IF(S126="SIM",VLOOKUP($I126&amp;$J126&amp;S$1,Pesos!$A:$I,7,FALSE),VLOOKUP($I126&amp;$J126&amp;S$1,Pesos!$A:$I,9,FALSE)))</f>
        <v>1.35</v>
      </c>
      <c r="AR126" s="156">
        <f>IF(T126="","",IF(T126="SIM",VLOOKUP($I126&amp;$J126&amp;T$1,Pesos!$A:$I,7,FALSE),VLOOKUP($I126&amp;$J126&amp;T$1,Pesos!$A:$I,9,FALSE)))</f>
        <v>1.3</v>
      </c>
      <c r="AS126" s="132">
        <f>IF(U126="","",IF(U126="SIM",VLOOKUP($I126&amp;$J126&amp;U$1,Pesos!$A:$I,7,FALSE),VLOOKUP($I126&amp;$J126&amp;U$1,Pesos!$A:$I,9,FALSE)))</f>
        <v>1.5</v>
      </c>
      <c r="AT126" s="132">
        <f>IF(V126="","",IF(V126="SIM",VLOOKUP($I126&amp;$J126&amp;V$1,Pesos!$A:$I,7,FALSE),VLOOKUP($I126&amp;$J126&amp;V$1,Pesos!$A:$I,9,FALSE)))</f>
        <v>1.3</v>
      </c>
      <c r="AU126" s="132">
        <f>IF(W126="","",IF(W126="SIM",VLOOKUP($I126&amp;$J126&amp;W$1,Pesos!$A:$I,7,FALSE),VLOOKUP($I126&amp;$J126&amp;W$1,Pesos!$A:$I,9,FALSE)))</f>
        <v>1.2</v>
      </c>
      <c r="AV126" s="132">
        <f>IF(X126="","",IF(X126="SIM",VLOOKUP($I126&amp;$J126&amp;X$1,Pesos!$A:$I,7,FALSE),VLOOKUP($I126&amp;$J126&amp;X$1,Pesos!$A:$I,9,FALSE)))</f>
        <v>0.3</v>
      </c>
      <c r="AW126" s="132">
        <f>IF(Y126="","",IF(Y126="SIM",VLOOKUP($I126&amp;$J126&amp;Y$1,Pesos!$A:$I,7,FALSE),VLOOKUP($I126&amp;$J126&amp;Y$1,Pesos!$A:$I,9,FALSE)))</f>
        <v>0.3</v>
      </c>
      <c r="AX126" s="132">
        <f>IF(Z126="","",IF(Z126="SIM",VLOOKUP($I126&amp;$J126&amp;Z$1,Pesos!$A:$I,7,FALSE),VLOOKUP($I126&amp;$J126&amp;Z$1,Pesos!$A:$I,9,FALSE)))</f>
        <v>0.15</v>
      </c>
      <c r="AY126" s="132">
        <f>IF(AA126="","",IF(AA126="SIM",VLOOKUP($I126&amp;$J126&amp;AA$1,Pesos!$A:$I,7,FALSE),VLOOKUP($I126&amp;$J126&amp;AA$1,Pesos!$A:$I,9,FALSE)))</f>
        <v>-1.0000000000000002E-2</v>
      </c>
      <c r="AZ126" s="132">
        <f>IF(AB126="","",IF(AB126="SIM",VLOOKUP($I126&amp;$J126&amp;AB$1,Pesos!$A:$I,7,FALSE),VLOOKUP($I126&amp;$J126&amp;AB$1,Pesos!$A:$I,9,FALSE)))</f>
        <v>0.3</v>
      </c>
      <c r="BA126" s="132">
        <f>IF(AC126="","",IF(AC126="SIM",VLOOKUP($I126&amp;$J126&amp;AC$1,Pesos!$A:$I,7,FALSE),VLOOKUP($I126&amp;$J126&amp;AC$1,Pesos!$A:$I,9,FALSE)))</f>
        <v>0.1</v>
      </c>
      <c r="BB126" s="132" t="str">
        <f>IF(AD126="","",IF(AD126="SIM",VLOOKUP($I126&amp;$J126&amp;AD$1,Pesos!$A:$I,7,FALSE),VLOOKUP($I126&amp;$J126&amp;AD$1,Pesos!$A:$I,9,FALSE)))</f>
        <v/>
      </c>
      <c r="BC126" s="132" t="str">
        <f>IF(AE126="","",IF(AE126="SIM",VLOOKUP($I126&amp;$J126&amp;AE$1,Pesos!$A:$I,7,FALSE),VLOOKUP($I126&amp;$J126&amp;AE$1,Pesos!$A:$I,9,FALSE)))</f>
        <v/>
      </c>
      <c r="BD126" s="158" t="str">
        <f>IFERROR(AF126*VLOOKUP(J126,'BD Campos'!$X$1:$Y$14,2,FALSE),"0")</f>
        <v>0</v>
      </c>
    </row>
    <row r="127" spans="1:56">
      <c r="A127" s="151" t="str">
        <f t="shared" si="7"/>
        <v>Jan10892Polícia 2BAS</v>
      </c>
      <c r="B127" s="149" t="str">
        <f t="shared" si="8"/>
        <v>Jan108922BASPADRÃO</v>
      </c>
      <c r="C127" s="152">
        <v>1</v>
      </c>
      <c r="D127" s="153">
        <v>46056.624293634261</v>
      </c>
      <c r="E127" s="154" t="s">
        <v>12</v>
      </c>
      <c r="F127" s="155">
        <v>10892</v>
      </c>
      <c r="G127" s="149" t="s">
        <v>289</v>
      </c>
      <c r="H127" s="154">
        <v>2</v>
      </c>
      <c r="I127" s="149" t="s">
        <v>96</v>
      </c>
      <c r="J127" s="149" t="s">
        <v>225</v>
      </c>
      <c r="K127" s="149" t="s">
        <v>223</v>
      </c>
      <c r="L127" s="156">
        <v>34789065</v>
      </c>
      <c r="M127" s="157">
        <v>8.4490740740740741E-3</v>
      </c>
      <c r="N127" s="131" t="s">
        <v>17</v>
      </c>
      <c r="O127" s="131" t="s">
        <v>17</v>
      </c>
      <c r="P127" s="131" t="s">
        <v>17</v>
      </c>
      <c r="Q127" s="131" t="s">
        <v>17</v>
      </c>
      <c r="R127" s="131" t="s">
        <v>17</v>
      </c>
      <c r="S127" s="131" t="s">
        <v>17</v>
      </c>
      <c r="T127" s="131" t="s">
        <v>17</v>
      </c>
      <c r="U127" s="131" t="s">
        <v>17</v>
      </c>
      <c r="V127" s="131" t="s">
        <v>17</v>
      </c>
      <c r="W127" s="131" t="s">
        <v>17</v>
      </c>
      <c r="X127" s="131" t="s">
        <v>17</v>
      </c>
      <c r="Y127" s="131" t="s">
        <v>17</v>
      </c>
      <c r="Z127" s="131" t="s">
        <v>17</v>
      </c>
      <c r="AA127" s="131" t="s">
        <v>18</v>
      </c>
      <c r="AB127" s="131" t="s">
        <v>17</v>
      </c>
      <c r="AC127" s="131" t="s">
        <v>17</v>
      </c>
      <c r="AD127" s="131"/>
      <c r="AE127" s="131"/>
      <c r="AF127" s="158">
        <f t="shared" si="10"/>
        <v>9.7900000000000027</v>
      </c>
      <c r="AG127" s="159"/>
      <c r="AH127" s="155" t="s">
        <v>291</v>
      </c>
      <c r="AI127" s="155" t="s">
        <v>83</v>
      </c>
      <c r="AJ127" s="131" t="str">
        <f>IFERROR(VLOOKUP(E127&amp;F127,'Listagem dos op'!A:S,19,0),"")</f>
        <v/>
      </c>
      <c r="AK127" s="131" t="str">
        <f t="shared" si="9"/>
        <v>Jan10892</v>
      </c>
      <c r="AL127" s="154">
        <f>IF(N127="","",IF(N127="SIM",VLOOKUP($I127&amp;$J127&amp;N$1,Pesos!$A:$I,7,FALSE),VLOOKUP($I127&amp;$J127&amp;N$1,Pesos!$A:$I,9,FALSE)))</f>
        <v>0.1</v>
      </c>
      <c r="AM127" s="154">
        <f>IF(O127="","",IF(O127="SIM",VLOOKUP($I127&amp;$J127&amp;O$1,Pesos!$A:$I,7,FALSE),VLOOKUP($I127&amp;$J127&amp;O$1,Pesos!$A:$I,9,FALSE)))</f>
        <v>0.1</v>
      </c>
      <c r="AN127" s="154">
        <f>IF(P127="","",IF(P127="SIM",VLOOKUP($I127&amp;$J127&amp;P$1,Pesos!$A:$I,7,FALSE),VLOOKUP($I127&amp;$J127&amp;P$1,Pesos!$A:$I,9,FALSE)))</f>
        <v>0.1</v>
      </c>
      <c r="AO127" s="154">
        <f>IF(Q127="","",IF(Q127="SIM",VLOOKUP($I127&amp;$J127&amp;Q$1,Pesos!$A:$I,7,FALSE),VLOOKUP($I127&amp;$J127&amp;Q$1,Pesos!$A:$I,9,FALSE)))</f>
        <v>0.4</v>
      </c>
      <c r="AP127" s="154">
        <f>IF(R127="","",IF(R127="SIM",VLOOKUP($I127&amp;$J127&amp;R$1,Pesos!$A:$I,7,FALSE),VLOOKUP($I127&amp;$J127&amp;R$1,Pesos!$A:$I,9,FALSE)))</f>
        <v>1.3</v>
      </c>
      <c r="AQ127" s="154">
        <f>IF(S127="","",IF(S127="SIM",VLOOKUP($I127&amp;$J127&amp;S$1,Pesos!$A:$I,7,FALSE),VLOOKUP($I127&amp;$J127&amp;S$1,Pesos!$A:$I,9,FALSE)))</f>
        <v>1.35</v>
      </c>
      <c r="AR127" s="156">
        <f>IF(T127="","",IF(T127="SIM",VLOOKUP($I127&amp;$J127&amp;T$1,Pesos!$A:$I,7,FALSE),VLOOKUP($I127&amp;$J127&amp;T$1,Pesos!$A:$I,9,FALSE)))</f>
        <v>1.3</v>
      </c>
      <c r="AS127" s="132">
        <f>IF(U127="","",IF(U127="SIM",VLOOKUP($I127&amp;$J127&amp;U$1,Pesos!$A:$I,7,FALSE),VLOOKUP($I127&amp;$J127&amp;U$1,Pesos!$A:$I,9,FALSE)))</f>
        <v>1.5</v>
      </c>
      <c r="AT127" s="132">
        <f>IF(V127="","",IF(V127="SIM",VLOOKUP($I127&amp;$J127&amp;V$1,Pesos!$A:$I,7,FALSE),VLOOKUP($I127&amp;$J127&amp;V$1,Pesos!$A:$I,9,FALSE)))</f>
        <v>1.3</v>
      </c>
      <c r="AU127" s="132">
        <f>IF(W127="","",IF(W127="SIM",VLOOKUP($I127&amp;$J127&amp;W$1,Pesos!$A:$I,7,FALSE),VLOOKUP($I127&amp;$J127&amp;W$1,Pesos!$A:$I,9,FALSE)))</f>
        <v>1.2</v>
      </c>
      <c r="AV127" s="132">
        <f>IF(X127="","",IF(X127="SIM",VLOOKUP($I127&amp;$J127&amp;X$1,Pesos!$A:$I,7,FALSE),VLOOKUP($I127&amp;$J127&amp;X$1,Pesos!$A:$I,9,FALSE)))</f>
        <v>0.3</v>
      </c>
      <c r="AW127" s="132">
        <f>IF(Y127="","",IF(Y127="SIM",VLOOKUP($I127&amp;$J127&amp;Y$1,Pesos!$A:$I,7,FALSE),VLOOKUP($I127&amp;$J127&amp;Y$1,Pesos!$A:$I,9,FALSE)))</f>
        <v>0.3</v>
      </c>
      <c r="AX127" s="132">
        <f>IF(Z127="","",IF(Z127="SIM",VLOOKUP($I127&amp;$J127&amp;Z$1,Pesos!$A:$I,7,FALSE),VLOOKUP($I127&amp;$J127&amp;Z$1,Pesos!$A:$I,9,FALSE)))</f>
        <v>0.15</v>
      </c>
      <c r="AY127" s="132">
        <f>IF(AA127="","",IF(AA127="SIM",VLOOKUP($I127&amp;$J127&amp;AA$1,Pesos!$A:$I,7,FALSE),VLOOKUP($I127&amp;$J127&amp;AA$1,Pesos!$A:$I,9,FALSE)))</f>
        <v>-1.0000000000000002E-2</v>
      </c>
      <c r="AZ127" s="132">
        <f>IF(AB127="","",IF(AB127="SIM",VLOOKUP($I127&amp;$J127&amp;AB$1,Pesos!$A:$I,7,FALSE),VLOOKUP($I127&amp;$J127&amp;AB$1,Pesos!$A:$I,9,FALSE)))</f>
        <v>0.3</v>
      </c>
      <c r="BA127" s="132">
        <f>IF(AC127="","",IF(AC127="SIM",VLOOKUP($I127&amp;$J127&amp;AC$1,Pesos!$A:$I,7,FALSE),VLOOKUP($I127&amp;$J127&amp;AC$1,Pesos!$A:$I,9,FALSE)))</f>
        <v>0.1</v>
      </c>
      <c r="BB127" s="132" t="str">
        <f>IF(AD127="","",IF(AD127="SIM",VLOOKUP($I127&amp;$J127&amp;AD$1,Pesos!$A:$I,7,FALSE),VLOOKUP($I127&amp;$J127&amp;AD$1,Pesos!$A:$I,9,FALSE)))</f>
        <v/>
      </c>
      <c r="BC127" s="132" t="str">
        <f>IF(AE127="","",IF(AE127="SIM",VLOOKUP($I127&amp;$J127&amp;AE$1,Pesos!$A:$I,7,FALSE),VLOOKUP($I127&amp;$J127&amp;AE$1,Pesos!$A:$I,9,FALSE)))</f>
        <v/>
      </c>
      <c r="BD127" s="158" t="str">
        <f>IFERROR(AF127*VLOOKUP(J127,'BD Campos'!$X$1:$Y$14,2,FALSE),"0")</f>
        <v>0</v>
      </c>
    </row>
    <row r="128" spans="1:56">
      <c r="A128" s="151" t="str">
        <f t="shared" si="7"/>
        <v>Jan10586MotoristaUTI</v>
      </c>
      <c r="B128" s="149" t="str">
        <f t="shared" si="8"/>
        <v>Jan105861UTIPADRÃO</v>
      </c>
      <c r="C128" s="152">
        <v>1</v>
      </c>
      <c r="D128" s="153">
        <v>46056.628088194448</v>
      </c>
      <c r="E128" s="154" t="s">
        <v>12</v>
      </c>
      <c r="F128" s="155">
        <v>10586</v>
      </c>
      <c r="G128" s="149" t="s">
        <v>292</v>
      </c>
      <c r="H128" s="154">
        <v>1</v>
      </c>
      <c r="I128" s="149" t="s">
        <v>130</v>
      </c>
      <c r="J128" s="149" t="s">
        <v>93</v>
      </c>
      <c r="K128" s="149" t="s">
        <v>128</v>
      </c>
      <c r="L128" s="156">
        <v>34530027</v>
      </c>
      <c r="M128" s="157">
        <v>2.8587962962962963E-3</v>
      </c>
      <c r="N128" s="131" t="s">
        <v>17</v>
      </c>
      <c r="O128" s="131" t="s">
        <v>17</v>
      </c>
      <c r="P128" s="131" t="s">
        <v>17</v>
      </c>
      <c r="Q128" s="131" t="s">
        <v>17</v>
      </c>
      <c r="R128" s="131" t="s">
        <v>17</v>
      </c>
      <c r="S128" s="131" t="s">
        <v>17</v>
      </c>
      <c r="T128" s="131" t="s">
        <v>17</v>
      </c>
      <c r="U128" s="131" t="s">
        <v>17</v>
      </c>
      <c r="V128" s="131" t="s">
        <v>17</v>
      </c>
      <c r="W128" s="131" t="s">
        <v>17</v>
      </c>
      <c r="X128" s="131" t="s">
        <v>17</v>
      </c>
      <c r="Y128" s="131" t="s">
        <v>17</v>
      </c>
      <c r="Z128" s="131" t="s">
        <v>17</v>
      </c>
      <c r="AA128" s="131" t="s">
        <v>17</v>
      </c>
      <c r="AB128" s="131" t="s">
        <v>17</v>
      </c>
      <c r="AC128" s="131"/>
      <c r="AD128" s="131"/>
      <c r="AE128" s="131"/>
      <c r="AF128" s="158">
        <f t="shared" si="10"/>
        <v>10.004000000000001</v>
      </c>
      <c r="AG128" s="159"/>
      <c r="AH128" s="155" t="s">
        <v>293</v>
      </c>
      <c r="AI128" s="155" t="s">
        <v>83</v>
      </c>
      <c r="AJ128" s="131" t="str">
        <f>IFERROR(VLOOKUP(E128&amp;F128,'Listagem dos op'!A:S,19,0),"")</f>
        <v/>
      </c>
      <c r="AK128" s="131" t="str">
        <f t="shared" si="9"/>
        <v>Jan10586</v>
      </c>
      <c r="AL128" s="154">
        <f>IF(N128="","",IF(N128="SIM",VLOOKUP($I128&amp;$J128&amp;N$1,Pesos!$A:$I,7,FALSE),VLOOKUP($I128&amp;$J128&amp;N$1,Pesos!$A:$I,9,FALSE)))</f>
        <v>0.1</v>
      </c>
      <c r="AM128" s="154">
        <f>IF(O128="","",IF(O128="SIM",VLOOKUP($I128&amp;$J128&amp;O$1,Pesos!$A:$I,7,FALSE),VLOOKUP($I128&amp;$J128&amp;O$1,Pesos!$A:$I,9,FALSE)))</f>
        <v>0.1</v>
      </c>
      <c r="AN128" s="154">
        <f>IF(P128="","",IF(P128="SIM",VLOOKUP($I128&amp;$J128&amp;P$1,Pesos!$A:$I,7,FALSE),VLOOKUP($I128&amp;$J128&amp;P$1,Pesos!$A:$I,9,FALSE)))</f>
        <v>0.1</v>
      </c>
      <c r="AO128" s="154">
        <f>IF(Q128="","",IF(Q128="SIM",VLOOKUP($I128&amp;$J128&amp;Q$1,Pesos!$A:$I,7,FALSE),VLOOKUP($I128&amp;$J128&amp;Q$1,Pesos!$A:$I,9,FALSE)))</f>
        <v>2</v>
      </c>
      <c r="AP128" s="154">
        <f>IF(R128="","",IF(R128="SIM",VLOOKUP($I128&amp;$J128&amp;R$1,Pesos!$A:$I,7,FALSE),VLOOKUP($I128&amp;$J128&amp;R$1,Pesos!$A:$I,9,FALSE)))</f>
        <v>1.03</v>
      </c>
      <c r="AQ128" s="154">
        <f>IF(S128="","",IF(S128="SIM",VLOOKUP($I128&amp;$J128&amp;S$1,Pesos!$A:$I,7,FALSE),VLOOKUP($I128&amp;$J128&amp;S$1,Pesos!$A:$I,9,FALSE)))</f>
        <v>1.3</v>
      </c>
      <c r="AR128" s="156">
        <f>IF(T128="","",IF(T128="SIM",VLOOKUP($I128&amp;$J128&amp;T$1,Pesos!$A:$I,7,FALSE),VLOOKUP($I128&amp;$J128&amp;T$1,Pesos!$A:$I,9,FALSE)))</f>
        <v>1.3</v>
      </c>
      <c r="AS128" s="132">
        <f>IF(U128="","",IF(U128="SIM",VLOOKUP($I128&amp;$J128&amp;U$1,Pesos!$A:$I,7,FALSE),VLOOKUP($I128&amp;$J128&amp;U$1,Pesos!$A:$I,9,FALSE)))</f>
        <v>1.32</v>
      </c>
      <c r="AT128" s="132">
        <f>IF(V128="","",IF(V128="SIM",VLOOKUP($I128&amp;$J128&amp;V$1,Pesos!$A:$I,7,FALSE),VLOOKUP($I128&amp;$J128&amp;V$1,Pesos!$A:$I,9,FALSE)))</f>
        <v>1.4039999999999999</v>
      </c>
      <c r="AU128" s="132">
        <f>IF(W128="","",IF(W128="SIM",VLOOKUP($I128&amp;$J128&amp;W$1,Pesos!$A:$I,7,FALSE),VLOOKUP($I128&amp;$J128&amp;W$1,Pesos!$A:$I,9,FALSE)))</f>
        <v>0.3</v>
      </c>
      <c r="AV128" s="132">
        <f>IF(X128="","",IF(X128="SIM",VLOOKUP($I128&amp;$J128&amp;X$1,Pesos!$A:$I,7,FALSE),VLOOKUP($I128&amp;$J128&amp;X$1,Pesos!$A:$I,9,FALSE)))</f>
        <v>0.3</v>
      </c>
      <c r="AW128" s="132">
        <f>IF(Y128="","",IF(Y128="SIM",VLOOKUP($I128&amp;$J128&amp;Y$1,Pesos!$A:$I,7,FALSE),VLOOKUP($I128&amp;$J128&amp;Y$1,Pesos!$A:$I,9,FALSE)))</f>
        <v>0.15</v>
      </c>
      <c r="AX128" s="132">
        <f>IF(Z128="","",IF(Z128="SIM",VLOOKUP($I128&amp;$J128&amp;Z$1,Pesos!$A:$I,7,FALSE),VLOOKUP($I128&amp;$J128&amp;Z$1,Pesos!$A:$I,9,FALSE)))</f>
        <v>0.2</v>
      </c>
      <c r="AY128" s="132">
        <f>IF(AA128="","",IF(AA128="SIM",VLOOKUP($I128&amp;$J128&amp;AA$1,Pesos!$A:$I,7,FALSE),VLOOKUP($I128&amp;$J128&amp;AA$1,Pesos!$A:$I,9,FALSE)))</f>
        <v>0.3</v>
      </c>
      <c r="AZ128" s="132">
        <f>IF(AB128="","",IF(AB128="SIM",VLOOKUP($I128&amp;$J128&amp;AB$1,Pesos!$A:$I,7,FALSE),VLOOKUP($I128&amp;$J128&amp;AB$1,Pesos!$A:$I,9,FALSE)))</f>
        <v>0.1</v>
      </c>
      <c r="BA128" s="132" t="str">
        <f>IF(AC128="","",IF(AC128="SIM",VLOOKUP($I128&amp;$J128&amp;AC$1,Pesos!$A:$I,7,FALSE),VLOOKUP($I128&amp;$J128&amp;AC$1,Pesos!$A:$I,9,FALSE)))</f>
        <v/>
      </c>
      <c r="BB128" s="132" t="str">
        <f>IF(AD128="","",IF(AD128="SIM",VLOOKUP($I128&amp;$J128&amp;AD$1,Pesos!$A:$I,7,FALSE),VLOOKUP($I128&amp;$J128&amp;AD$1,Pesos!$A:$I,9,FALSE)))</f>
        <v/>
      </c>
      <c r="BC128" s="132" t="str">
        <f>IF(AE128="","",IF(AE128="SIM",VLOOKUP($I128&amp;$J128&amp;AE$1,Pesos!$A:$I,7,FALSE),VLOOKUP($I128&amp;$J128&amp;AE$1,Pesos!$A:$I,9,FALSE)))</f>
        <v/>
      </c>
      <c r="BD128" s="158">
        <f>IFERROR(AF128*VLOOKUP(J128,'BD Campos'!$X$1:$Y$14,2,FALSE),"0")</f>
        <v>10.004000000000001</v>
      </c>
    </row>
    <row r="129" spans="1:56">
      <c r="A129" s="151" t="str">
        <f t="shared" si="7"/>
        <v>Jan10586Motorista 2UTI</v>
      </c>
      <c r="B129" s="149" t="str">
        <f t="shared" si="8"/>
        <v>Jan105862UTIPADRÃO</v>
      </c>
      <c r="C129" s="152">
        <v>1</v>
      </c>
      <c r="D129" s="153">
        <v>46056.6305130787</v>
      </c>
      <c r="E129" s="154" t="s">
        <v>12</v>
      </c>
      <c r="F129" s="155">
        <v>10586</v>
      </c>
      <c r="G129" s="149" t="s">
        <v>292</v>
      </c>
      <c r="H129" s="154">
        <v>2</v>
      </c>
      <c r="I129" s="149" t="s">
        <v>92</v>
      </c>
      <c r="J129" s="149" t="s">
        <v>97</v>
      </c>
      <c r="K129" s="149" t="s">
        <v>128</v>
      </c>
      <c r="L129" s="156">
        <v>34665396</v>
      </c>
      <c r="M129" s="157">
        <v>1.9791666666666668E-3</v>
      </c>
      <c r="N129" s="131" t="s">
        <v>17</v>
      </c>
      <c r="O129" s="131" t="s">
        <v>17</v>
      </c>
      <c r="P129" s="131" t="s">
        <v>17</v>
      </c>
      <c r="Q129" s="131" t="s">
        <v>17</v>
      </c>
      <c r="R129" s="131" t="s">
        <v>17</v>
      </c>
      <c r="S129" s="131" t="s">
        <v>18</v>
      </c>
      <c r="T129" s="131" t="s">
        <v>17</v>
      </c>
      <c r="U129" s="131" t="s">
        <v>17</v>
      </c>
      <c r="V129" s="131" t="s">
        <v>17</v>
      </c>
      <c r="W129" s="131" t="s">
        <v>17</v>
      </c>
      <c r="X129" s="131" t="s">
        <v>17</v>
      </c>
      <c r="Y129" s="131" t="s">
        <v>17</v>
      </c>
      <c r="Z129" s="131" t="s">
        <v>17</v>
      </c>
      <c r="AA129" s="131" t="s">
        <v>17</v>
      </c>
      <c r="AB129" s="131"/>
      <c r="AC129" s="131"/>
      <c r="AD129" s="131"/>
      <c r="AE129" s="131"/>
      <c r="AF129" s="158">
        <f t="shared" si="10"/>
        <v>8.2149999999999999</v>
      </c>
      <c r="AG129" s="159"/>
      <c r="AH129" s="155" t="s">
        <v>294</v>
      </c>
      <c r="AI129" s="155" t="s">
        <v>83</v>
      </c>
      <c r="AJ129" s="131" t="str">
        <f>IFERROR(VLOOKUP(E129&amp;F129,'Listagem dos op'!A:S,19,0),"")</f>
        <v/>
      </c>
      <c r="AK129" s="131" t="str">
        <f t="shared" si="9"/>
        <v>Jan10586</v>
      </c>
      <c r="AL129" s="154">
        <f>IF(N129="","",IF(N129="SIM",VLOOKUP($I129&amp;$J129&amp;N$1,Pesos!$A:$I,7,FALSE),VLOOKUP($I129&amp;$J129&amp;N$1,Pesos!$A:$I,9,FALSE)))</f>
        <v>0.1</v>
      </c>
      <c r="AM129" s="154">
        <f>IF(O129="","",IF(O129="SIM",VLOOKUP($I129&amp;$J129&amp;O$1,Pesos!$A:$I,7,FALSE),VLOOKUP($I129&amp;$J129&amp;O$1,Pesos!$A:$I,9,FALSE)))</f>
        <v>0.1</v>
      </c>
      <c r="AN129" s="154">
        <f>IF(P129="","",IF(P129="SIM",VLOOKUP($I129&amp;$J129&amp;P$1,Pesos!$A:$I,7,FALSE),VLOOKUP($I129&amp;$J129&amp;P$1,Pesos!$A:$I,9,FALSE)))</f>
        <v>0.1</v>
      </c>
      <c r="AO129" s="154">
        <f>IF(Q129="","",IF(Q129="SIM",VLOOKUP($I129&amp;$J129&amp;Q$1,Pesos!$A:$I,7,FALSE),VLOOKUP($I129&amp;$J129&amp;Q$1,Pesos!$A:$I,9,FALSE)))</f>
        <v>2</v>
      </c>
      <c r="AP129" s="154">
        <f>IF(R129="","",IF(R129="SIM",VLOOKUP($I129&amp;$J129&amp;R$1,Pesos!$A:$I,7,FALSE),VLOOKUP($I129&amp;$J129&amp;R$1,Pesos!$A:$I,9,FALSE)))</f>
        <v>1.03</v>
      </c>
      <c r="AQ129" s="154">
        <f>IF(S129="","",IF(S129="SIM",VLOOKUP($I129&amp;$J129&amp;S$1,Pesos!$A:$I,7,FALSE),VLOOKUP($I129&amp;$J129&amp;S$1,Pesos!$A:$I,9,FALSE)))</f>
        <v>-8.500000000000002E-2</v>
      </c>
      <c r="AR129" s="156">
        <f>IF(T129="","",IF(T129="SIM",VLOOKUP($I129&amp;$J129&amp;T$1,Pesos!$A:$I,7,FALSE),VLOOKUP($I129&amp;$J129&amp;T$1,Pesos!$A:$I,9,FALSE)))</f>
        <v>1.92</v>
      </c>
      <c r="AS129" s="132">
        <f>IF(U129="","",IF(U129="SIM",VLOOKUP($I129&amp;$J129&amp;U$1,Pesos!$A:$I,7,FALSE),VLOOKUP($I129&amp;$J129&amp;U$1,Pesos!$A:$I,9,FALSE)))</f>
        <v>1.7000000000000002</v>
      </c>
      <c r="AT129" s="132">
        <f>IF(V129="","",IF(V129="SIM",VLOOKUP($I129&amp;$J129&amp;V$1,Pesos!$A:$I,7,FALSE),VLOOKUP($I129&amp;$J129&amp;V$1,Pesos!$A:$I,9,FALSE)))</f>
        <v>0.3</v>
      </c>
      <c r="AU129" s="132">
        <f>IF(W129="","",IF(W129="SIM",VLOOKUP($I129&amp;$J129&amp;W$1,Pesos!$A:$I,7,FALSE),VLOOKUP($I129&amp;$J129&amp;W$1,Pesos!$A:$I,9,FALSE)))</f>
        <v>0.3</v>
      </c>
      <c r="AV129" s="132">
        <f>IF(X129="","",IF(X129="SIM",VLOOKUP($I129&amp;$J129&amp;X$1,Pesos!$A:$I,7,FALSE),VLOOKUP($I129&amp;$J129&amp;X$1,Pesos!$A:$I,9,FALSE)))</f>
        <v>0.15</v>
      </c>
      <c r="AW129" s="132">
        <f>IF(Y129="","",IF(Y129="SIM",VLOOKUP($I129&amp;$J129&amp;Y$1,Pesos!$A:$I,7,FALSE),VLOOKUP($I129&amp;$J129&amp;Y$1,Pesos!$A:$I,9,FALSE)))</f>
        <v>0.2</v>
      </c>
      <c r="AX129" s="132">
        <f>IF(Z129="","",IF(Z129="SIM",VLOOKUP($I129&amp;$J129&amp;Z$1,Pesos!$A:$I,7,FALSE),VLOOKUP($I129&amp;$J129&amp;Z$1,Pesos!$A:$I,9,FALSE)))</f>
        <v>0.3</v>
      </c>
      <c r="AY129" s="132">
        <f>IF(AA129="","",IF(AA129="SIM",VLOOKUP($I129&amp;$J129&amp;AA$1,Pesos!$A:$I,7,FALSE),VLOOKUP($I129&amp;$J129&amp;AA$1,Pesos!$A:$I,9,FALSE)))</f>
        <v>0.1</v>
      </c>
      <c r="AZ129" s="132" t="str">
        <f>IF(AB129="","",IF(AB129="SIM",VLOOKUP($I129&amp;$J129&amp;AB$1,Pesos!$A:$I,7,FALSE),VLOOKUP($I129&amp;$J129&amp;AB$1,Pesos!$A:$I,9,FALSE)))</f>
        <v/>
      </c>
      <c r="BA129" s="132" t="str">
        <f>IF(AC129="","",IF(AC129="SIM",VLOOKUP($I129&amp;$J129&amp;AC$1,Pesos!$A:$I,7,FALSE),VLOOKUP($I129&amp;$J129&amp;AC$1,Pesos!$A:$I,9,FALSE)))</f>
        <v/>
      </c>
      <c r="BB129" s="132" t="str">
        <f>IF(AD129="","",IF(AD129="SIM",VLOOKUP($I129&amp;$J129&amp;AD$1,Pesos!$A:$I,7,FALSE),VLOOKUP($I129&amp;$J129&amp;AD$1,Pesos!$A:$I,9,FALSE)))</f>
        <v/>
      </c>
      <c r="BC129" s="132" t="str">
        <f>IF(AE129="","",IF(AE129="SIM",VLOOKUP($I129&amp;$J129&amp;AE$1,Pesos!$A:$I,7,FALSE),VLOOKUP($I129&amp;$J129&amp;AE$1,Pesos!$A:$I,9,FALSE)))</f>
        <v/>
      </c>
      <c r="BD129" s="158">
        <f>IFERROR(AF129*VLOOKUP(J129,'BD Campos'!$X$1:$Y$14,2,FALSE),"0")</f>
        <v>8.2149999999999999</v>
      </c>
    </row>
    <row r="130" spans="1:56">
      <c r="A130" s="151" t="str">
        <f t="shared" ref="A130:A193" si="11">E130&amp;F130&amp;J130&amp;K130&amp;""</f>
        <v>Jan11082MotoristaUTI</v>
      </c>
      <c r="B130" s="149" t="str">
        <f t="shared" ref="B130:B193" si="12">E130&amp;F130&amp;H130&amp;K130&amp;AI130</f>
        <v>Jan110821UTIPADRÃO</v>
      </c>
      <c r="C130" s="152">
        <v>1</v>
      </c>
      <c r="D130" s="153">
        <v>46056.632443634262</v>
      </c>
      <c r="E130" s="154" t="s">
        <v>12</v>
      </c>
      <c r="F130" s="155">
        <v>11082</v>
      </c>
      <c r="G130" s="149" t="s">
        <v>295</v>
      </c>
      <c r="H130" s="154">
        <v>1</v>
      </c>
      <c r="I130" s="149" t="s">
        <v>130</v>
      </c>
      <c r="J130" s="149" t="s">
        <v>93</v>
      </c>
      <c r="K130" s="149" t="s">
        <v>128</v>
      </c>
      <c r="L130" s="156">
        <v>34502251</v>
      </c>
      <c r="M130" s="157">
        <v>1.5046296296296294E-3</v>
      </c>
      <c r="N130" s="131" t="s">
        <v>17</v>
      </c>
      <c r="O130" s="131" t="s">
        <v>17</v>
      </c>
      <c r="P130" s="131" t="s">
        <v>17</v>
      </c>
      <c r="Q130" s="131" t="s">
        <v>17</v>
      </c>
      <c r="R130" s="131" t="s">
        <v>17</v>
      </c>
      <c r="S130" s="131" t="s">
        <v>17</v>
      </c>
      <c r="T130" s="131" t="s">
        <v>17</v>
      </c>
      <c r="U130" s="131" t="s">
        <v>18</v>
      </c>
      <c r="V130" s="131" t="s">
        <v>17</v>
      </c>
      <c r="W130" s="131" t="s">
        <v>17</v>
      </c>
      <c r="X130" s="131" t="s">
        <v>17</v>
      </c>
      <c r="Y130" s="131" t="s">
        <v>17</v>
      </c>
      <c r="Z130" s="131" t="s">
        <v>17</v>
      </c>
      <c r="AA130" s="131" t="s">
        <v>17</v>
      </c>
      <c r="AB130" s="131" t="s">
        <v>17</v>
      </c>
      <c r="AC130" s="131"/>
      <c r="AD130" s="131"/>
      <c r="AE130" s="131"/>
      <c r="AF130" s="158">
        <f t="shared" si="10"/>
        <v>8.6179999999999986</v>
      </c>
      <c r="AG130" s="159"/>
      <c r="AH130" s="155" t="s">
        <v>296</v>
      </c>
      <c r="AI130" s="155" t="s">
        <v>83</v>
      </c>
      <c r="AJ130" s="131" t="str">
        <f>IFERROR(VLOOKUP(E130&amp;F130,'Listagem dos op'!A:S,19,0),"")</f>
        <v/>
      </c>
      <c r="AK130" s="131" t="str">
        <f t="shared" ref="AK130:AK193" si="13">E130&amp;F130</f>
        <v>Jan11082</v>
      </c>
      <c r="AL130" s="154">
        <f>IF(N130="","",IF(N130="SIM",VLOOKUP($I130&amp;$J130&amp;N$1,Pesos!$A:$I,7,FALSE),VLOOKUP($I130&amp;$J130&amp;N$1,Pesos!$A:$I,9,FALSE)))</f>
        <v>0.1</v>
      </c>
      <c r="AM130" s="154">
        <f>IF(O130="","",IF(O130="SIM",VLOOKUP($I130&amp;$J130&amp;O$1,Pesos!$A:$I,7,FALSE),VLOOKUP($I130&amp;$J130&amp;O$1,Pesos!$A:$I,9,FALSE)))</f>
        <v>0.1</v>
      </c>
      <c r="AN130" s="154">
        <f>IF(P130="","",IF(P130="SIM",VLOOKUP($I130&amp;$J130&amp;P$1,Pesos!$A:$I,7,FALSE),VLOOKUP($I130&amp;$J130&amp;P$1,Pesos!$A:$I,9,FALSE)))</f>
        <v>0.1</v>
      </c>
      <c r="AO130" s="154">
        <f>IF(Q130="","",IF(Q130="SIM",VLOOKUP($I130&amp;$J130&amp;Q$1,Pesos!$A:$I,7,FALSE),VLOOKUP($I130&amp;$J130&amp;Q$1,Pesos!$A:$I,9,FALSE)))</f>
        <v>2</v>
      </c>
      <c r="AP130" s="154">
        <f>IF(R130="","",IF(R130="SIM",VLOOKUP($I130&amp;$J130&amp;R$1,Pesos!$A:$I,7,FALSE),VLOOKUP($I130&amp;$J130&amp;R$1,Pesos!$A:$I,9,FALSE)))</f>
        <v>1.03</v>
      </c>
      <c r="AQ130" s="154">
        <f>IF(S130="","",IF(S130="SIM",VLOOKUP($I130&amp;$J130&amp;S$1,Pesos!$A:$I,7,FALSE),VLOOKUP($I130&amp;$J130&amp;S$1,Pesos!$A:$I,9,FALSE)))</f>
        <v>1.3</v>
      </c>
      <c r="AR130" s="156">
        <f>IF(T130="","",IF(T130="SIM",VLOOKUP($I130&amp;$J130&amp;T$1,Pesos!$A:$I,7,FALSE),VLOOKUP($I130&amp;$J130&amp;T$1,Pesos!$A:$I,9,FALSE)))</f>
        <v>1.3</v>
      </c>
      <c r="AS130" s="132">
        <f>IF(U130="","",IF(U130="SIM",VLOOKUP($I130&amp;$J130&amp;U$1,Pesos!$A:$I,7,FALSE),VLOOKUP($I130&amp;$J130&amp;U$1,Pesos!$A:$I,9,FALSE)))</f>
        <v>-6.6000000000000003E-2</v>
      </c>
      <c r="AT130" s="132">
        <f>IF(V130="","",IF(V130="SIM",VLOOKUP($I130&amp;$J130&amp;V$1,Pesos!$A:$I,7,FALSE),VLOOKUP($I130&amp;$J130&amp;V$1,Pesos!$A:$I,9,FALSE)))</f>
        <v>1.4039999999999999</v>
      </c>
      <c r="AU130" s="132">
        <f>IF(W130="","",IF(W130="SIM",VLOOKUP($I130&amp;$J130&amp;W$1,Pesos!$A:$I,7,FALSE),VLOOKUP($I130&amp;$J130&amp;W$1,Pesos!$A:$I,9,FALSE)))</f>
        <v>0.3</v>
      </c>
      <c r="AV130" s="132">
        <f>IF(X130="","",IF(X130="SIM",VLOOKUP($I130&amp;$J130&amp;X$1,Pesos!$A:$I,7,FALSE),VLOOKUP($I130&amp;$J130&amp;X$1,Pesos!$A:$I,9,FALSE)))</f>
        <v>0.3</v>
      </c>
      <c r="AW130" s="132">
        <f>IF(Y130="","",IF(Y130="SIM",VLOOKUP($I130&amp;$J130&amp;Y$1,Pesos!$A:$I,7,FALSE),VLOOKUP($I130&amp;$J130&amp;Y$1,Pesos!$A:$I,9,FALSE)))</f>
        <v>0.15</v>
      </c>
      <c r="AX130" s="132">
        <f>IF(Z130="","",IF(Z130="SIM",VLOOKUP($I130&amp;$J130&amp;Z$1,Pesos!$A:$I,7,FALSE),VLOOKUP($I130&amp;$J130&amp;Z$1,Pesos!$A:$I,9,FALSE)))</f>
        <v>0.2</v>
      </c>
      <c r="AY130" s="132">
        <f>IF(AA130="","",IF(AA130="SIM",VLOOKUP($I130&amp;$J130&amp;AA$1,Pesos!$A:$I,7,FALSE),VLOOKUP($I130&amp;$J130&amp;AA$1,Pesos!$A:$I,9,FALSE)))</f>
        <v>0.3</v>
      </c>
      <c r="AZ130" s="132">
        <f>IF(AB130="","",IF(AB130="SIM",VLOOKUP($I130&amp;$J130&amp;AB$1,Pesos!$A:$I,7,FALSE),VLOOKUP($I130&amp;$J130&amp;AB$1,Pesos!$A:$I,9,FALSE)))</f>
        <v>0.1</v>
      </c>
      <c r="BA130" s="132" t="str">
        <f>IF(AC130="","",IF(AC130="SIM",VLOOKUP($I130&amp;$J130&amp;AC$1,Pesos!$A:$I,7,FALSE),VLOOKUP($I130&amp;$J130&amp;AC$1,Pesos!$A:$I,9,FALSE)))</f>
        <v/>
      </c>
      <c r="BB130" s="132" t="str">
        <f>IF(AD130="","",IF(AD130="SIM",VLOOKUP($I130&amp;$J130&amp;AD$1,Pesos!$A:$I,7,FALSE),VLOOKUP($I130&amp;$J130&amp;AD$1,Pesos!$A:$I,9,FALSE)))</f>
        <v/>
      </c>
      <c r="BC130" s="132" t="str">
        <f>IF(AE130="","",IF(AE130="SIM",VLOOKUP($I130&amp;$J130&amp;AE$1,Pesos!$A:$I,7,FALSE),VLOOKUP($I130&amp;$J130&amp;AE$1,Pesos!$A:$I,9,FALSE)))</f>
        <v/>
      </c>
      <c r="BD130" s="158">
        <f>IFERROR(AF130*VLOOKUP(J130,'BD Campos'!$X$1:$Y$14,2,FALSE),"0")</f>
        <v>8.6179999999999986</v>
      </c>
    </row>
    <row r="131" spans="1:56">
      <c r="A131" s="151" t="str">
        <f t="shared" si="11"/>
        <v>Jan11082Motorista 2UTI</v>
      </c>
      <c r="B131" s="149" t="str">
        <f t="shared" si="12"/>
        <v>Jan110822UTIPADRÃO</v>
      </c>
      <c r="C131" s="152">
        <v>1</v>
      </c>
      <c r="D131" s="153">
        <v>46056.638016203702</v>
      </c>
      <c r="E131" s="154" t="s">
        <v>12</v>
      </c>
      <c r="F131" s="155">
        <v>11082</v>
      </c>
      <c r="G131" s="149" t="s">
        <v>295</v>
      </c>
      <c r="H131" s="154">
        <v>2</v>
      </c>
      <c r="I131" s="149" t="s">
        <v>130</v>
      </c>
      <c r="J131" s="149" t="s">
        <v>97</v>
      </c>
      <c r="K131" s="149" t="s">
        <v>128</v>
      </c>
      <c r="L131" s="156">
        <v>34580740</v>
      </c>
      <c r="M131" s="157">
        <v>1.5624999999999999E-3</v>
      </c>
      <c r="N131" s="131" t="s">
        <v>17</v>
      </c>
      <c r="O131" s="131" t="s">
        <v>17</v>
      </c>
      <c r="P131" s="131" t="s">
        <v>17</v>
      </c>
      <c r="Q131" s="131" t="s">
        <v>17</v>
      </c>
      <c r="R131" s="131" t="s">
        <v>17</v>
      </c>
      <c r="S131" s="131" t="s">
        <v>17</v>
      </c>
      <c r="T131" s="131" t="s">
        <v>17</v>
      </c>
      <c r="U131" s="131" t="s">
        <v>17</v>
      </c>
      <c r="V131" s="131" t="s">
        <v>17</v>
      </c>
      <c r="W131" s="131" t="s">
        <v>17</v>
      </c>
      <c r="X131" s="131" t="s">
        <v>17</v>
      </c>
      <c r="Y131" s="131" t="s">
        <v>17</v>
      </c>
      <c r="Z131" s="131" t="s">
        <v>18</v>
      </c>
      <c r="AA131" s="131" t="s">
        <v>17</v>
      </c>
      <c r="AB131" s="131" t="s">
        <v>17</v>
      </c>
      <c r="AC131" s="131"/>
      <c r="AD131" s="131"/>
      <c r="AE131" s="131"/>
      <c r="AF131" s="158">
        <f t="shared" ref="AF131:AF194" si="14">SUM(AL131:BC131)</f>
        <v>9.7940000000000023</v>
      </c>
      <c r="AG131" s="159"/>
      <c r="AH131" s="155" t="s">
        <v>297</v>
      </c>
      <c r="AI131" s="155" t="s">
        <v>83</v>
      </c>
      <c r="AJ131" s="131" t="str">
        <f>IFERROR(VLOOKUP(E131&amp;F131,'Listagem dos op'!A:S,19,0),"")</f>
        <v/>
      </c>
      <c r="AK131" s="131" t="str">
        <f t="shared" si="13"/>
        <v>Jan11082</v>
      </c>
      <c r="AL131" s="154">
        <f>IF(N131="","",IF(N131="SIM",VLOOKUP($I131&amp;$J131&amp;N$1,Pesos!$A:$I,7,FALSE),VLOOKUP($I131&amp;$J131&amp;N$1,Pesos!$A:$I,9,FALSE)))</f>
        <v>0.1</v>
      </c>
      <c r="AM131" s="154">
        <f>IF(O131="","",IF(O131="SIM",VLOOKUP($I131&amp;$J131&amp;O$1,Pesos!$A:$I,7,FALSE),VLOOKUP($I131&amp;$J131&amp;O$1,Pesos!$A:$I,9,FALSE)))</f>
        <v>0.1</v>
      </c>
      <c r="AN131" s="154">
        <f>IF(P131="","",IF(P131="SIM",VLOOKUP($I131&amp;$J131&amp;P$1,Pesos!$A:$I,7,FALSE),VLOOKUP($I131&amp;$J131&amp;P$1,Pesos!$A:$I,9,FALSE)))</f>
        <v>0.1</v>
      </c>
      <c r="AO131" s="154">
        <f>IF(Q131="","",IF(Q131="SIM",VLOOKUP($I131&amp;$J131&amp;Q$1,Pesos!$A:$I,7,FALSE),VLOOKUP($I131&amp;$J131&amp;Q$1,Pesos!$A:$I,9,FALSE)))</f>
        <v>2</v>
      </c>
      <c r="AP131" s="154">
        <f>IF(R131="","",IF(R131="SIM",VLOOKUP($I131&amp;$J131&amp;R$1,Pesos!$A:$I,7,FALSE),VLOOKUP($I131&amp;$J131&amp;R$1,Pesos!$A:$I,9,FALSE)))</f>
        <v>1.03</v>
      </c>
      <c r="AQ131" s="154">
        <f>IF(S131="","",IF(S131="SIM",VLOOKUP($I131&amp;$J131&amp;S$1,Pesos!$A:$I,7,FALSE),VLOOKUP($I131&amp;$J131&amp;S$1,Pesos!$A:$I,9,FALSE)))</f>
        <v>1.3</v>
      </c>
      <c r="AR131" s="156">
        <f>IF(T131="","",IF(T131="SIM",VLOOKUP($I131&amp;$J131&amp;T$1,Pesos!$A:$I,7,FALSE),VLOOKUP($I131&amp;$J131&amp;T$1,Pesos!$A:$I,9,FALSE)))</f>
        <v>1.3</v>
      </c>
      <c r="AS131" s="132">
        <f>IF(U131="","",IF(U131="SIM",VLOOKUP($I131&amp;$J131&amp;U$1,Pesos!$A:$I,7,FALSE),VLOOKUP($I131&amp;$J131&amp;U$1,Pesos!$A:$I,9,FALSE)))</f>
        <v>1.32</v>
      </c>
      <c r="AT131" s="132">
        <f>IF(V131="","",IF(V131="SIM",VLOOKUP($I131&amp;$J131&amp;V$1,Pesos!$A:$I,7,FALSE),VLOOKUP($I131&amp;$J131&amp;V$1,Pesos!$A:$I,9,FALSE)))</f>
        <v>1.4039999999999999</v>
      </c>
      <c r="AU131" s="132">
        <f>IF(W131="","",IF(W131="SIM",VLOOKUP($I131&amp;$J131&amp;W$1,Pesos!$A:$I,7,FALSE),VLOOKUP($I131&amp;$J131&amp;W$1,Pesos!$A:$I,9,FALSE)))</f>
        <v>0.3</v>
      </c>
      <c r="AV131" s="132">
        <f>IF(X131="","",IF(X131="SIM",VLOOKUP($I131&amp;$J131&amp;X$1,Pesos!$A:$I,7,FALSE),VLOOKUP($I131&amp;$J131&amp;X$1,Pesos!$A:$I,9,FALSE)))</f>
        <v>0.3</v>
      </c>
      <c r="AW131" s="132">
        <f>IF(Y131="","",IF(Y131="SIM",VLOOKUP($I131&amp;$J131&amp;Y$1,Pesos!$A:$I,7,FALSE),VLOOKUP($I131&amp;$J131&amp;Y$1,Pesos!$A:$I,9,FALSE)))</f>
        <v>0.15</v>
      </c>
      <c r="AX131" s="132">
        <f>IF(Z131="","",IF(Z131="SIM",VLOOKUP($I131&amp;$J131&amp;Z$1,Pesos!$A:$I,7,FALSE),VLOOKUP($I131&amp;$J131&amp;Z$1,Pesos!$A:$I,9,FALSE)))</f>
        <v>-1.0000000000000002E-2</v>
      </c>
      <c r="AY131" s="132">
        <f>IF(AA131="","",IF(AA131="SIM",VLOOKUP($I131&amp;$J131&amp;AA$1,Pesos!$A:$I,7,FALSE),VLOOKUP($I131&amp;$J131&amp;AA$1,Pesos!$A:$I,9,FALSE)))</f>
        <v>0.3</v>
      </c>
      <c r="AZ131" s="132">
        <f>IF(AB131="","",IF(AB131="SIM",VLOOKUP($I131&amp;$J131&amp;AB$1,Pesos!$A:$I,7,FALSE),VLOOKUP($I131&amp;$J131&amp;AB$1,Pesos!$A:$I,9,FALSE)))</f>
        <v>0.1</v>
      </c>
      <c r="BA131" s="132" t="str">
        <f>IF(AC131="","",IF(AC131="SIM",VLOOKUP($I131&amp;$J131&amp;AC$1,Pesos!$A:$I,7,FALSE),VLOOKUP($I131&amp;$J131&amp;AC$1,Pesos!$A:$I,9,FALSE)))</f>
        <v/>
      </c>
      <c r="BB131" s="132" t="str">
        <f>IF(AD131="","",IF(AD131="SIM",VLOOKUP($I131&amp;$J131&amp;AD$1,Pesos!$A:$I,7,FALSE),VLOOKUP($I131&amp;$J131&amp;AD$1,Pesos!$A:$I,9,FALSE)))</f>
        <v/>
      </c>
      <c r="BC131" s="132" t="str">
        <f>IF(AE131="","",IF(AE131="SIM",VLOOKUP($I131&amp;$J131&amp;AE$1,Pesos!$A:$I,7,FALSE),VLOOKUP($I131&amp;$J131&amp;AE$1,Pesos!$A:$I,9,FALSE)))</f>
        <v/>
      </c>
      <c r="BD131" s="158">
        <f>IFERROR(AF131*VLOOKUP(J131,'BD Campos'!$X$1:$Y$14,2,FALSE),"0")</f>
        <v>9.7940000000000023</v>
      </c>
    </row>
    <row r="132" spans="1:56">
      <c r="A132" s="151" t="str">
        <f t="shared" si="11"/>
        <v>Jan10713MotoristaUTI</v>
      </c>
      <c r="B132" s="149" t="str">
        <f t="shared" si="12"/>
        <v>Jan107131UTIPADRÃO</v>
      </c>
      <c r="C132" s="152">
        <v>1</v>
      </c>
      <c r="D132" s="153">
        <v>46056.642263194444</v>
      </c>
      <c r="E132" s="154" t="s">
        <v>12</v>
      </c>
      <c r="F132" s="155">
        <v>10713</v>
      </c>
      <c r="G132" s="149" t="s">
        <v>298</v>
      </c>
      <c r="H132" s="154">
        <v>1</v>
      </c>
      <c r="I132" s="149" t="s">
        <v>92</v>
      </c>
      <c r="J132" s="149" t="s">
        <v>93</v>
      </c>
      <c r="K132" s="149" t="s">
        <v>128</v>
      </c>
      <c r="L132" s="156">
        <v>34556229</v>
      </c>
      <c r="M132" s="157">
        <v>1.5856481481481479E-3</v>
      </c>
      <c r="N132" s="131" t="s">
        <v>17</v>
      </c>
      <c r="O132" s="131" t="s">
        <v>17</v>
      </c>
      <c r="P132" s="131" t="s">
        <v>17</v>
      </c>
      <c r="Q132" s="131" t="s">
        <v>17</v>
      </c>
      <c r="R132" s="131" t="s">
        <v>17</v>
      </c>
      <c r="S132" s="131" t="s">
        <v>17</v>
      </c>
      <c r="T132" s="131" t="s">
        <v>17</v>
      </c>
      <c r="U132" s="131" t="s">
        <v>17</v>
      </c>
      <c r="V132" s="131" t="s">
        <v>18</v>
      </c>
      <c r="W132" s="131" t="s">
        <v>17</v>
      </c>
      <c r="X132" s="131" t="s">
        <v>17</v>
      </c>
      <c r="Y132" s="131" t="s">
        <v>17</v>
      </c>
      <c r="Z132" s="131" t="s">
        <v>17</v>
      </c>
      <c r="AA132" s="131" t="s">
        <v>17</v>
      </c>
      <c r="AB132" s="131"/>
      <c r="AC132" s="131"/>
      <c r="AD132" s="131"/>
      <c r="AE132" s="131"/>
      <c r="AF132" s="158">
        <f t="shared" si="14"/>
        <v>9.6850000000000005</v>
      </c>
      <c r="AG132" s="159"/>
      <c r="AH132" s="155" t="s">
        <v>299</v>
      </c>
      <c r="AI132" s="155" t="s">
        <v>83</v>
      </c>
      <c r="AJ132" s="131" t="str">
        <f>IFERROR(VLOOKUP(E132&amp;F132,'Listagem dos op'!A:S,19,0),"")</f>
        <v/>
      </c>
      <c r="AK132" s="131" t="str">
        <f t="shared" si="13"/>
        <v>Jan10713</v>
      </c>
      <c r="AL132" s="154">
        <f>IF(N132="","",IF(N132="SIM",VLOOKUP($I132&amp;$J132&amp;N$1,Pesos!$A:$I,7,FALSE),VLOOKUP($I132&amp;$J132&amp;N$1,Pesos!$A:$I,9,FALSE)))</f>
        <v>0.1</v>
      </c>
      <c r="AM132" s="154">
        <f>IF(O132="","",IF(O132="SIM",VLOOKUP($I132&amp;$J132&amp;O$1,Pesos!$A:$I,7,FALSE),VLOOKUP($I132&amp;$J132&amp;O$1,Pesos!$A:$I,9,FALSE)))</f>
        <v>0.1</v>
      </c>
      <c r="AN132" s="154">
        <f>IF(P132="","",IF(P132="SIM",VLOOKUP($I132&amp;$J132&amp;P$1,Pesos!$A:$I,7,FALSE),VLOOKUP($I132&amp;$J132&amp;P$1,Pesos!$A:$I,9,FALSE)))</f>
        <v>0.1</v>
      </c>
      <c r="AO132" s="154">
        <f>IF(Q132="","",IF(Q132="SIM",VLOOKUP($I132&amp;$J132&amp;Q$1,Pesos!$A:$I,7,FALSE),VLOOKUP($I132&amp;$J132&amp;Q$1,Pesos!$A:$I,9,FALSE)))</f>
        <v>2</v>
      </c>
      <c r="AP132" s="154">
        <f>IF(R132="","",IF(R132="SIM",VLOOKUP($I132&amp;$J132&amp;R$1,Pesos!$A:$I,7,FALSE),VLOOKUP($I132&amp;$J132&amp;R$1,Pesos!$A:$I,9,FALSE)))</f>
        <v>1.03</v>
      </c>
      <c r="AQ132" s="154">
        <f>IF(S132="","",IF(S132="SIM",VLOOKUP($I132&amp;$J132&amp;S$1,Pesos!$A:$I,7,FALSE),VLOOKUP($I132&amp;$J132&amp;S$1,Pesos!$A:$I,9,FALSE)))</f>
        <v>1.7000000000000002</v>
      </c>
      <c r="AR132" s="156">
        <f>IF(T132="","",IF(T132="SIM",VLOOKUP($I132&amp;$J132&amp;T$1,Pesos!$A:$I,7,FALSE),VLOOKUP($I132&amp;$J132&amp;T$1,Pesos!$A:$I,9,FALSE)))</f>
        <v>1.92</v>
      </c>
      <c r="AS132" s="132">
        <f>IF(U132="","",IF(U132="SIM",VLOOKUP($I132&amp;$J132&amp;U$1,Pesos!$A:$I,7,FALSE),VLOOKUP($I132&amp;$J132&amp;U$1,Pesos!$A:$I,9,FALSE)))</f>
        <v>1.7000000000000002</v>
      </c>
      <c r="AT132" s="132">
        <f>IF(V132="","",IF(V132="SIM",VLOOKUP($I132&amp;$J132&amp;V$1,Pesos!$A:$I,7,FALSE),VLOOKUP($I132&amp;$J132&amp;V$1,Pesos!$A:$I,9,FALSE)))</f>
        <v>-1.4999999999999999E-2</v>
      </c>
      <c r="AU132" s="132">
        <f>IF(W132="","",IF(W132="SIM",VLOOKUP($I132&amp;$J132&amp;W$1,Pesos!$A:$I,7,FALSE),VLOOKUP($I132&amp;$J132&amp;W$1,Pesos!$A:$I,9,FALSE)))</f>
        <v>0.3</v>
      </c>
      <c r="AV132" s="132">
        <f>IF(X132="","",IF(X132="SIM",VLOOKUP($I132&amp;$J132&amp;X$1,Pesos!$A:$I,7,FALSE),VLOOKUP($I132&amp;$J132&amp;X$1,Pesos!$A:$I,9,FALSE)))</f>
        <v>0.15</v>
      </c>
      <c r="AW132" s="132">
        <f>IF(Y132="","",IF(Y132="SIM",VLOOKUP($I132&amp;$J132&amp;Y$1,Pesos!$A:$I,7,FALSE),VLOOKUP($I132&amp;$J132&amp;Y$1,Pesos!$A:$I,9,FALSE)))</f>
        <v>0.2</v>
      </c>
      <c r="AX132" s="132">
        <f>IF(Z132="","",IF(Z132="SIM",VLOOKUP($I132&amp;$J132&amp;Z$1,Pesos!$A:$I,7,FALSE),VLOOKUP($I132&amp;$J132&amp;Z$1,Pesos!$A:$I,9,FALSE)))</f>
        <v>0.3</v>
      </c>
      <c r="AY132" s="132">
        <f>IF(AA132="","",IF(AA132="SIM",VLOOKUP($I132&amp;$J132&amp;AA$1,Pesos!$A:$I,7,FALSE),VLOOKUP($I132&amp;$J132&amp;AA$1,Pesos!$A:$I,9,FALSE)))</f>
        <v>0.1</v>
      </c>
      <c r="AZ132" s="132" t="str">
        <f>IF(AB132="","",IF(AB132="SIM",VLOOKUP($I132&amp;$J132&amp;AB$1,Pesos!$A:$I,7,FALSE),VLOOKUP($I132&amp;$J132&amp;AB$1,Pesos!$A:$I,9,FALSE)))</f>
        <v/>
      </c>
      <c r="BA132" s="132" t="str">
        <f>IF(AC132="","",IF(AC132="SIM",VLOOKUP($I132&amp;$J132&amp;AC$1,Pesos!$A:$I,7,FALSE),VLOOKUP($I132&amp;$J132&amp;AC$1,Pesos!$A:$I,9,FALSE)))</f>
        <v/>
      </c>
      <c r="BB132" s="132" t="str">
        <f>IF(AD132="","",IF(AD132="SIM",VLOOKUP($I132&amp;$J132&amp;AD$1,Pesos!$A:$I,7,FALSE),VLOOKUP($I132&amp;$J132&amp;AD$1,Pesos!$A:$I,9,FALSE)))</f>
        <v/>
      </c>
      <c r="BC132" s="132" t="str">
        <f>IF(AE132="","",IF(AE132="SIM",VLOOKUP($I132&amp;$J132&amp;AE$1,Pesos!$A:$I,7,FALSE),VLOOKUP($I132&amp;$J132&amp;AE$1,Pesos!$A:$I,9,FALSE)))</f>
        <v/>
      </c>
      <c r="BD132" s="158">
        <f>IFERROR(AF132*VLOOKUP(J132,'BD Campos'!$X$1:$Y$14,2,FALSE),"0")</f>
        <v>9.6850000000000005</v>
      </c>
    </row>
    <row r="133" spans="1:56">
      <c r="A133" s="151" t="str">
        <f t="shared" si="11"/>
        <v>Jan10713Motorista 2UTI</v>
      </c>
      <c r="B133" s="149" t="str">
        <f t="shared" si="12"/>
        <v>Jan107132UTIPADRÃO</v>
      </c>
      <c r="C133" s="152">
        <v>1</v>
      </c>
      <c r="D133" s="153">
        <v>46056.644170601852</v>
      </c>
      <c r="E133" s="154" t="s">
        <v>12</v>
      </c>
      <c r="F133" s="155">
        <v>10713</v>
      </c>
      <c r="G133" s="149" t="s">
        <v>298</v>
      </c>
      <c r="H133" s="154">
        <v>2</v>
      </c>
      <c r="I133" s="149" t="s">
        <v>96</v>
      </c>
      <c r="J133" s="149" t="s">
        <v>97</v>
      </c>
      <c r="K133" s="149" t="s">
        <v>128</v>
      </c>
      <c r="L133" s="156">
        <v>34661347</v>
      </c>
      <c r="M133" s="157">
        <v>1.0995370370370371E-3</v>
      </c>
      <c r="N133" s="131" t="s">
        <v>17</v>
      </c>
      <c r="O133" s="131" t="s">
        <v>17</v>
      </c>
      <c r="P133" s="131" t="s">
        <v>17</v>
      </c>
      <c r="Q133" s="131" t="s">
        <v>17</v>
      </c>
      <c r="R133" s="131" t="s">
        <v>17</v>
      </c>
      <c r="S133" s="131" t="s">
        <v>17</v>
      </c>
      <c r="T133" s="131" t="s">
        <v>17</v>
      </c>
      <c r="U133" s="131" t="s">
        <v>17</v>
      </c>
      <c r="V133" s="131" t="s">
        <v>18</v>
      </c>
      <c r="W133" s="131" t="s">
        <v>17</v>
      </c>
      <c r="X133" s="131" t="s">
        <v>17</v>
      </c>
      <c r="Y133" s="131" t="s">
        <v>17</v>
      </c>
      <c r="Z133" s="131" t="s">
        <v>17</v>
      </c>
      <c r="AA133" s="131" t="s">
        <v>17</v>
      </c>
      <c r="AB133" s="131" t="s">
        <v>17</v>
      </c>
      <c r="AC133" s="131"/>
      <c r="AD133" s="131"/>
      <c r="AE133" s="131"/>
      <c r="AF133" s="158">
        <f t="shared" si="14"/>
        <v>8.8974999999999991</v>
      </c>
      <c r="AG133" s="159"/>
      <c r="AH133" s="155" t="s">
        <v>300</v>
      </c>
      <c r="AI133" s="155" t="s">
        <v>83</v>
      </c>
      <c r="AJ133" s="131" t="str">
        <f>IFERROR(VLOOKUP(E133&amp;F133,'Listagem dos op'!A:S,19,0),"")</f>
        <v/>
      </c>
      <c r="AK133" s="131" t="str">
        <f t="shared" si="13"/>
        <v>Jan10713</v>
      </c>
      <c r="AL133" s="154">
        <f>IF(N133="","",IF(N133="SIM",VLOOKUP($I133&amp;$J133&amp;N$1,Pesos!$A:$I,7,FALSE),VLOOKUP($I133&amp;$J133&amp;N$1,Pesos!$A:$I,9,FALSE)))</f>
        <v>0.1</v>
      </c>
      <c r="AM133" s="154">
        <f>IF(O133="","",IF(O133="SIM",VLOOKUP($I133&amp;$J133&amp;O$1,Pesos!$A:$I,7,FALSE),VLOOKUP($I133&amp;$J133&amp;O$1,Pesos!$A:$I,9,FALSE)))</f>
        <v>0.1</v>
      </c>
      <c r="AN133" s="154">
        <f>IF(P133="","",IF(P133="SIM",VLOOKUP($I133&amp;$J133&amp;P$1,Pesos!$A:$I,7,FALSE),VLOOKUP($I133&amp;$J133&amp;P$1,Pesos!$A:$I,9,FALSE)))</f>
        <v>0.1</v>
      </c>
      <c r="AO133" s="154">
        <f>IF(Q133="","",IF(Q133="SIM",VLOOKUP($I133&amp;$J133&amp;Q$1,Pesos!$A:$I,7,FALSE),VLOOKUP($I133&amp;$J133&amp;Q$1,Pesos!$A:$I,9,FALSE)))</f>
        <v>2</v>
      </c>
      <c r="AP133" s="154">
        <f>IF(R133="","",IF(R133="SIM",VLOOKUP($I133&amp;$J133&amp;R$1,Pesos!$A:$I,7,FALSE),VLOOKUP($I133&amp;$J133&amp;R$1,Pesos!$A:$I,9,FALSE)))</f>
        <v>1.03</v>
      </c>
      <c r="AQ133" s="154">
        <f>IF(S133="","",IF(S133="SIM",VLOOKUP($I133&amp;$J133&amp;S$1,Pesos!$A:$I,7,FALSE),VLOOKUP($I133&amp;$J133&amp;S$1,Pesos!$A:$I,9,FALSE)))</f>
        <v>1.22</v>
      </c>
      <c r="AR133" s="156">
        <f>IF(T133="","",IF(T133="SIM",VLOOKUP($I133&amp;$J133&amp;T$1,Pesos!$A:$I,7,FALSE),VLOOKUP($I133&amp;$J133&amp;T$1,Pesos!$A:$I,9,FALSE)))</f>
        <v>2</v>
      </c>
      <c r="AS133" s="132">
        <f>IF(U133="","",IF(U133="SIM",VLOOKUP($I133&amp;$J133&amp;U$1,Pesos!$A:$I,7,FALSE),VLOOKUP($I133&amp;$J133&amp;U$1,Pesos!$A:$I,9,FALSE)))</f>
        <v>1.05</v>
      </c>
      <c r="AT133" s="132">
        <f>IF(V133="","",IF(V133="SIM",VLOOKUP($I133&amp;$J133&amp;V$1,Pesos!$A:$I,7,FALSE),VLOOKUP($I133&amp;$J133&amp;V$1,Pesos!$A:$I,9,FALSE)))</f>
        <v>-5.2500000000000005E-2</v>
      </c>
      <c r="AU133" s="132">
        <f>IF(W133="","",IF(W133="SIM",VLOOKUP($I133&amp;$J133&amp;W$1,Pesos!$A:$I,7,FALSE),VLOOKUP($I133&amp;$J133&amp;W$1,Pesos!$A:$I,9,FALSE)))</f>
        <v>0.3</v>
      </c>
      <c r="AV133" s="132">
        <f>IF(X133="","",IF(X133="SIM",VLOOKUP($I133&amp;$J133&amp;X$1,Pesos!$A:$I,7,FALSE),VLOOKUP($I133&amp;$J133&amp;X$1,Pesos!$A:$I,9,FALSE)))</f>
        <v>0.3</v>
      </c>
      <c r="AW133" s="132">
        <f>IF(Y133="","",IF(Y133="SIM",VLOOKUP($I133&amp;$J133&amp;Y$1,Pesos!$A:$I,7,FALSE),VLOOKUP($I133&amp;$J133&amp;Y$1,Pesos!$A:$I,9,FALSE)))</f>
        <v>0.15</v>
      </c>
      <c r="AX133" s="132">
        <f>IF(Z133="","",IF(Z133="SIM",VLOOKUP($I133&amp;$J133&amp;Z$1,Pesos!$A:$I,7,FALSE),VLOOKUP($I133&amp;$J133&amp;Z$1,Pesos!$A:$I,9,FALSE)))</f>
        <v>0.2</v>
      </c>
      <c r="AY133" s="132">
        <f>IF(AA133="","",IF(AA133="SIM",VLOOKUP($I133&amp;$J133&amp;AA$1,Pesos!$A:$I,7,FALSE),VLOOKUP($I133&amp;$J133&amp;AA$1,Pesos!$A:$I,9,FALSE)))</f>
        <v>0.3</v>
      </c>
      <c r="AZ133" s="132">
        <f>IF(AB133="","",IF(AB133="SIM",VLOOKUP($I133&amp;$J133&amp;AB$1,Pesos!$A:$I,7,FALSE),VLOOKUP($I133&amp;$J133&amp;AB$1,Pesos!$A:$I,9,FALSE)))</f>
        <v>0.1</v>
      </c>
      <c r="BA133" s="132" t="str">
        <f>IF(AC133="","",IF(AC133="SIM",VLOOKUP($I133&amp;$J133&amp;AC$1,Pesos!$A:$I,7,FALSE),VLOOKUP($I133&amp;$J133&amp;AC$1,Pesos!$A:$I,9,FALSE)))</f>
        <v/>
      </c>
      <c r="BB133" s="132" t="str">
        <f>IF(AD133="","",IF(AD133="SIM",VLOOKUP($I133&amp;$J133&amp;AD$1,Pesos!$A:$I,7,FALSE),VLOOKUP($I133&amp;$J133&amp;AD$1,Pesos!$A:$I,9,FALSE)))</f>
        <v/>
      </c>
      <c r="BC133" s="132" t="str">
        <f>IF(AE133="","",IF(AE133="SIM",VLOOKUP($I133&amp;$J133&amp;AE$1,Pesos!$A:$I,7,FALSE),VLOOKUP($I133&amp;$J133&amp;AE$1,Pesos!$A:$I,9,FALSE)))</f>
        <v/>
      </c>
      <c r="BD133" s="158">
        <f>IFERROR(AF133*VLOOKUP(J133,'BD Campos'!$X$1:$Y$14,2,FALSE),"0")</f>
        <v>8.8974999999999991</v>
      </c>
    </row>
    <row r="134" spans="1:56">
      <c r="A134" s="151" t="str">
        <f t="shared" si="11"/>
        <v>Jan10628MotoristaUTI (RJ)</v>
      </c>
      <c r="B134" s="149" t="str">
        <f t="shared" si="12"/>
        <v>Jan106281UTI (RJ)PADRÃO</v>
      </c>
      <c r="C134" s="152">
        <v>1</v>
      </c>
      <c r="D134" s="153">
        <v>46056.646225231481</v>
      </c>
      <c r="E134" s="154" t="s">
        <v>12</v>
      </c>
      <c r="F134" s="155">
        <v>10628</v>
      </c>
      <c r="G134" s="149" t="s">
        <v>301</v>
      </c>
      <c r="H134" s="154">
        <v>1</v>
      </c>
      <c r="I134" s="149" t="s">
        <v>133</v>
      </c>
      <c r="J134" s="149" t="s">
        <v>93</v>
      </c>
      <c r="K134" s="149" t="s">
        <v>215</v>
      </c>
      <c r="L134" s="156">
        <v>34501728</v>
      </c>
      <c r="M134" s="157">
        <v>1.5046296296296294E-3</v>
      </c>
      <c r="N134" s="131" t="s">
        <v>17</v>
      </c>
      <c r="O134" s="131" t="s">
        <v>17</v>
      </c>
      <c r="P134" s="131" t="s">
        <v>17</v>
      </c>
      <c r="Q134" s="131" t="s">
        <v>17</v>
      </c>
      <c r="R134" s="131" t="s">
        <v>17</v>
      </c>
      <c r="S134" s="131" t="s">
        <v>17</v>
      </c>
      <c r="T134" s="131" t="s">
        <v>18</v>
      </c>
      <c r="U134" s="131" t="s">
        <v>18</v>
      </c>
      <c r="V134" s="131" t="s">
        <v>17</v>
      </c>
      <c r="W134" s="131" t="s">
        <v>18</v>
      </c>
      <c r="X134" s="131" t="s">
        <v>17</v>
      </c>
      <c r="Y134" s="131" t="s">
        <v>17</v>
      </c>
      <c r="Z134" s="131" t="s">
        <v>17</v>
      </c>
      <c r="AA134" s="131" t="s">
        <v>17</v>
      </c>
      <c r="AB134" s="131" t="s">
        <v>17</v>
      </c>
      <c r="AC134" s="131" t="s">
        <v>17</v>
      </c>
      <c r="AD134" s="131"/>
      <c r="AE134" s="131"/>
      <c r="AF134" s="158">
        <f t="shared" si="14"/>
        <v>6.6189999999999989</v>
      </c>
      <c r="AG134" s="159"/>
      <c r="AH134" s="155" t="s">
        <v>302</v>
      </c>
      <c r="AI134" s="155" t="s">
        <v>83</v>
      </c>
      <c r="AJ134" s="131" t="str">
        <f>IFERROR(VLOOKUP(E134&amp;F134,'Listagem dos op'!A:S,19,0),"")</f>
        <v/>
      </c>
      <c r="AK134" s="131" t="str">
        <f t="shared" si="13"/>
        <v>Jan10628</v>
      </c>
      <c r="AL134" s="154">
        <f>IF(N134="","",IF(N134="SIM",VLOOKUP($I134&amp;$J134&amp;N$1,Pesos!$A:$I,7,FALSE),VLOOKUP($I134&amp;$J134&amp;N$1,Pesos!$A:$I,9,FALSE)))</f>
        <v>0.1</v>
      </c>
      <c r="AM134" s="154">
        <f>IF(O134="","",IF(O134="SIM",VLOOKUP($I134&amp;$J134&amp;O$1,Pesos!$A:$I,7,FALSE),VLOOKUP($I134&amp;$J134&amp;O$1,Pesos!$A:$I,9,FALSE)))</f>
        <v>0.1</v>
      </c>
      <c r="AN134" s="154">
        <f>IF(P134="","",IF(P134="SIM",VLOOKUP($I134&amp;$J134&amp;P$1,Pesos!$A:$I,7,FALSE),VLOOKUP($I134&amp;$J134&amp;P$1,Pesos!$A:$I,9,FALSE)))</f>
        <v>0.1</v>
      </c>
      <c r="AO134" s="154">
        <f>IF(Q134="","",IF(Q134="SIM",VLOOKUP($I134&amp;$J134&amp;Q$1,Pesos!$A:$I,7,FALSE),VLOOKUP($I134&amp;$J134&amp;Q$1,Pesos!$A:$I,9,FALSE)))</f>
        <v>2</v>
      </c>
      <c r="AP134" s="154">
        <f>IF(R134="","",IF(R134="SIM",VLOOKUP($I134&amp;$J134&amp;R$1,Pesos!$A:$I,7,FALSE),VLOOKUP($I134&amp;$J134&amp;R$1,Pesos!$A:$I,9,FALSE)))</f>
        <v>1.03</v>
      </c>
      <c r="AQ134" s="154">
        <f>IF(S134="","",IF(S134="SIM",VLOOKUP($I134&amp;$J134&amp;S$1,Pesos!$A:$I,7,FALSE),VLOOKUP($I134&amp;$J134&amp;S$1,Pesos!$A:$I,9,FALSE)))</f>
        <v>1.05</v>
      </c>
      <c r="AR134" s="156">
        <f>IF(T134="","",IF(T134="SIM",VLOOKUP($I134&amp;$J134&amp;T$1,Pesos!$A:$I,7,FALSE),VLOOKUP($I134&amp;$J134&amp;T$1,Pesos!$A:$I,9,FALSE)))</f>
        <v>-5.2500000000000005E-2</v>
      </c>
      <c r="AS134" s="132">
        <f>IF(U134="","",IF(U134="SIM",VLOOKUP($I134&amp;$J134&amp;U$1,Pesos!$A:$I,7,FALSE),VLOOKUP($I134&amp;$J134&amp;U$1,Pesos!$A:$I,9,FALSE)))</f>
        <v>-5.2500000000000005E-2</v>
      </c>
      <c r="AT134" s="132">
        <f>IF(V134="","",IF(V134="SIM",VLOOKUP($I134&amp;$J134&amp;V$1,Pesos!$A:$I,7,FALSE),VLOOKUP($I134&amp;$J134&amp;V$1,Pesos!$A:$I,9,FALSE)))</f>
        <v>1.05</v>
      </c>
      <c r="AU134" s="132">
        <f>IF(W134="","",IF(W134="SIM",VLOOKUP($I134&amp;$J134&amp;W$1,Pesos!$A:$I,7,FALSE),VLOOKUP($I134&amp;$J134&amp;W$1,Pesos!$A:$I,9,FALSE)))</f>
        <v>-5.6000000000000008E-2</v>
      </c>
      <c r="AV134" s="132">
        <f>IF(X134="","",IF(X134="SIM",VLOOKUP($I134&amp;$J134&amp;X$1,Pesos!$A:$I,7,FALSE),VLOOKUP($I134&amp;$J134&amp;X$1,Pesos!$A:$I,9,FALSE)))</f>
        <v>0.3</v>
      </c>
      <c r="AW134" s="132">
        <f>IF(Y134="","",IF(Y134="SIM",VLOOKUP($I134&amp;$J134&amp;Y$1,Pesos!$A:$I,7,FALSE),VLOOKUP($I134&amp;$J134&amp;Y$1,Pesos!$A:$I,9,FALSE)))</f>
        <v>0.3</v>
      </c>
      <c r="AX134" s="132">
        <f>IF(Z134="","",IF(Z134="SIM",VLOOKUP($I134&amp;$J134&amp;Z$1,Pesos!$A:$I,7,FALSE),VLOOKUP($I134&amp;$J134&amp;Z$1,Pesos!$A:$I,9,FALSE)))</f>
        <v>0.15</v>
      </c>
      <c r="AY134" s="132">
        <f>IF(AA134="","",IF(AA134="SIM",VLOOKUP($I134&amp;$J134&amp;AA$1,Pesos!$A:$I,7,FALSE),VLOOKUP($I134&amp;$J134&amp;AA$1,Pesos!$A:$I,9,FALSE)))</f>
        <v>0.2</v>
      </c>
      <c r="AZ134" s="132">
        <f>IF(AB134="","",IF(AB134="SIM",VLOOKUP($I134&amp;$J134&amp;AB$1,Pesos!$A:$I,7,FALSE),VLOOKUP($I134&amp;$J134&amp;AB$1,Pesos!$A:$I,9,FALSE)))</f>
        <v>0.3</v>
      </c>
      <c r="BA134" s="132">
        <f>IF(AC134="","",IF(AC134="SIM",VLOOKUP($I134&amp;$J134&amp;AC$1,Pesos!$A:$I,7,FALSE),VLOOKUP($I134&amp;$J134&amp;AC$1,Pesos!$A:$I,9,FALSE)))</f>
        <v>0.1</v>
      </c>
      <c r="BB134" s="132" t="str">
        <f>IF(AD134="","",IF(AD134="SIM",VLOOKUP($I134&amp;$J134&amp;AD$1,Pesos!$A:$I,7,FALSE),VLOOKUP($I134&amp;$J134&amp;AD$1,Pesos!$A:$I,9,FALSE)))</f>
        <v/>
      </c>
      <c r="BC134" s="132" t="str">
        <f>IF(AE134="","",IF(AE134="SIM",VLOOKUP($I134&amp;$J134&amp;AE$1,Pesos!$A:$I,7,FALSE),VLOOKUP($I134&amp;$J134&amp;AE$1,Pesos!$A:$I,9,FALSE)))</f>
        <v/>
      </c>
      <c r="BD134" s="158">
        <f>IFERROR(AF134*VLOOKUP(J134,'BD Campos'!$X$1:$Y$14,2,FALSE),"0")</f>
        <v>6.6189999999999989</v>
      </c>
    </row>
    <row r="135" spans="1:56">
      <c r="A135" s="151" t="str">
        <f t="shared" si="11"/>
        <v>Jan10628Motorista 2UTI (RJ)</v>
      </c>
      <c r="B135" s="149" t="str">
        <f t="shared" si="12"/>
        <v>Jan106282UTI (RJ)PADRÃO</v>
      </c>
      <c r="C135" s="152">
        <v>1</v>
      </c>
      <c r="D135" s="153">
        <v>46056.647528587964</v>
      </c>
      <c r="E135" s="154" t="s">
        <v>12</v>
      </c>
      <c r="F135" s="155">
        <v>10628</v>
      </c>
      <c r="G135" s="149" t="s">
        <v>301</v>
      </c>
      <c r="H135" s="154">
        <v>2</v>
      </c>
      <c r="I135" s="149" t="s">
        <v>130</v>
      </c>
      <c r="J135" s="149" t="s">
        <v>97</v>
      </c>
      <c r="K135" s="149" t="s">
        <v>215</v>
      </c>
      <c r="L135" s="156">
        <v>34785367</v>
      </c>
      <c r="M135" s="157">
        <v>1.0763888888888889E-3</v>
      </c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58">
        <f t="shared" si="14"/>
        <v>0</v>
      </c>
      <c r="AG135" s="159" t="s">
        <v>262</v>
      </c>
      <c r="AH135" s="155" t="s">
        <v>303</v>
      </c>
      <c r="AI135" s="155" t="s">
        <v>83</v>
      </c>
      <c r="AJ135" s="131" t="str">
        <f>IFERROR(VLOOKUP(E135&amp;F135,'Listagem dos op'!A:S,19,0),"")</f>
        <v/>
      </c>
      <c r="AK135" s="131" t="str">
        <f t="shared" si="13"/>
        <v>Jan10628</v>
      </c>
      <c r="AL135" s="154" t="str">
        <f>IF(N135="","",IF(N135="SIM",VLOOKUP($I135&amp;$J135&amp;N$1,Pesos!$A:$I,7,FALSE),VLOOKUP($I135&amp;$J135&amp;N$1,Pesos!$A:$I,9,FALSE)))</f>
        <v/>
      </c>
      <c r="AM135" s="154" t="str">
        <f>IF(O135="","",IF(O135="SIM",VLOOKUP($I135&amp;$J135&amp;O$1,Pesos!$A:$I,7,FALSE),VLOOKUP($I135&amp;$J135&amp;O$1,Pesos!$A:$I,9,FALSE)))</f>
        <v/>
      </c>
      <c r="AN135" s="154" t="str">
        <f>IF(P135="","",IF(P135="SIM",VLOOKUP($I135&amp;$J135&amp;P$1,Pesos!$A:$I,7,FALSE),VLOOKUP($I135&amp;$J135&amp;P$1,Pesos!$A:$I,9,FALSE)))</f>
        <v/>
      </c>
      <c r="AO135" s="154" t="str">
        <f>IF(Q135="","",IF(Q135="SIM",VLOOKUP($I135&amp;$J135&amp;Q$1,Pesos!$A:$I,7,FALSE),VLOOKUP($I135&amp;$J135&amp;Q$1,Pesos!$A:$I,9,FALSE)))</f>
        <v/>
      </c>
      <c r="AP135" s="154" t="str">
        <f>IF(R135="","",IF(R135="SIM",VLOOKUP($I135&amp;$J135&amp;R$1,Pesos!$A:$I,7,FALSE),VLOOKUP($I135&amp;$J135&amp;R$1,Pesos!$A:$I,9,FALSE)))</f>
        <v/>
      </c>
      <c r="AQ135" s="154" t="str">
        <f>IF(S135="","",IF(S135="SIM",VLOOKUP($I135&amp;$J135&amp;S$1,Pesos!$A:$I,7,FALSE),VLOOKUP($I135&amp;$J135&amp;S$1,Pesos!$A:$I,9,FALSE)))</f>
        <v/>
      </c>
      <c r="AR135" s="156" t="str">
        <f>IF(T135="","",IF(T135="SIM",VLOOKUP($I135&amp;$J135&amp;T$1,Pesos!$A:$I,7,FALSE),VLOOKUP($I135&amp;$J135&amp;T$1,Pesos!$A:$I,9,FALSE)))</f>
        <v/>
      </c>
      <c r="AS135" s="132" t="str">
        <f>IF(U135="","",IF(U135="SIM",VLOOKUP($I135&amp;$J135&amp;U$1,Pesos!$A:$I,7,FALSE),VLOOKUP($I135&amp;$J135&amp;U$1,Pesos!$A:$I,9,FALSE)))</f>
        <v/>
      </c>
      <c r="AT135" s="132" t="str">
        <f>IF(V135="","",IF(V135="SIM",VLOOKUP($I135&amp;$J135&amp;V$1,Pesos!$A:$I,7,FALSE),VLOOKUP($I135&amp;$J135&amp;V$1,Pesos!$A:$I,9,FALSE)))</f>
        <v/>
      </c>
      <c r="AU135" s="132" t="str">
        <f>IF(W135="","",IF(W135="SIM",VLOOKUP($I135&amp;$J135&amp;W$1,Pesos!$A:$I,7,FALSE),VLOOKUP($I135&amp;$J135&amp;W$1,Pesos!$A:$I,9,FALSE)))</f>
        <v/>
      </c>
      <c r="AV135" s="132" t="str">
        <f>IF(X135="","",IF(X135="SIM",VLOOKUP($I135&amp;$J135&amp;X$1,Pesos!$A:$I,7,FALSE),VLOOKUP($I135&amp;$J135&amp;X$1,Pesos!$A:$I,9,FALSE)))</f>
        <v/>
      </c>
      <c r="AW135" s="132" t="str">
        <f>IF(Y135="","",IF(Y135="SIM",VLOOKUP($I135&amp;$J135&amp;Y$1,Pesos!$A:$I,7,FALSE),VLOOKUP($I135&amp;$J135&amp;Y$1,Pesos!$A:$I,9,FALSE)))</f>
        <v/>
      </c>
      <c r="AX135" s="132" t="str">
        <f>IF(Z135="","",IF(Z135="SIM",VLOOKUP($I135&amp;$J135&amp;Z$1,Pesos!$A:$I,7,FALSE),VLOOKUP($I135&amp;$J135&amp;Z$1,Pesos!$A:$I,9,FALSE)))</f>
        <v/>
      </c>
      <c r="AY135" s="132" t="str">
        <f>IF(AA135="","",IF(AA135="SIM",VLOOKUP($I135&amp;$J135&amp;AA$1,Pesos!$A:$I,7,FALSE),VLOOKUP($I135&amp;$J135&amp;AA$1,Pesos!$A:$I,9,FALSE)))</f>
        <v/>
      </c>
      <c r="AZ135" s="132" t="str">
        <f>IF(AB135="","",IF(AB135="SIM",VLOOKUP($I135&amp;$J135&amp;AB$1,Pesos!$A:$I,7,FALSE),VLOOKUP($I135&amp;$J135&amp;AB$1,Pesos!$A:$I,9,FALSE)))</f>
        <v/>
      </c>
      <c r="BA135" s="132" t="str">
        <f>IF(AC135="","",IF(AC135="SIM",VLOOKUP($I135&amp;$J135&amp;AC$1,Pesos!$A:$I,7,FALSE),VLOOKUP($I135&amp;$J135&amp;AC$1,Pesos!$A:$I,9,FALSE)))</f>
        <v/>
      </c>
      <c r="BB135" s="132" t="str">
        <f>IF(AD135="","",IF(AD135="SIM",VLOOKUP($I135&amp;$J135&amp;AD$1,Pesos!$A:$I,7,FALSE),VLOOKUP($I135&amp;$J135&amp;AD$1,Pesos!$A:$I,9,FALSE)))</f>
        <v/>
      </c>
      <c r="BC135" s="132" t="str">
        <f>IF(AE135="","",IF(AE135="SIM",VLOOKUP($I135&amp;$J135&amp;AE$1,Pesos!$A:$I,7,FALSE),VLOOKUP($I135&amp;$J135&amp;AE$1,Pesos!$A:$I,9,FALSE)))</f>
        <v/>
      </c>
      <c r="BD135" s="158">
        <f>IFERROR(AF135*VLOOKUP(J135,'BD Campos'!$X$1:$Y$14,2,FALSE),"0")</f>
        <v>0</v>
      </c>
    </row>
    <row r="136" spans="1:56">
      <c r="A136" s="151" t="str">
        <f t="shared" si="11"/>
        <v>Jan10610MotoristaUTI</v>
      </c>
      <c r="B136" s="149" t="str">
        <f t="shared" si="12"/>
        <v>Jan106101UTIPADRÃO</v>
      </c>
      <c r="C136" s="152">
        <v>1</v>
      </c>
      <c r="D136" s="153">
        <v>46056.650534606481</v>
      </c>
      <c r="E136" s="154" t="s">
        <v>12</v>
      </c>
      <c r="F136" s="155">
        <v>10610</v>
      </c>
      <c r="G136" s="149" t="s">
        <v>304</v>
      </c>
      <c r="H136" s="154">
        <v>1</v>
      </c>
      <c r="I136" s="149" t="s">
        <v>133</v>
      </c>
      <c r="J136" s="149" t="s">
        <v>93</v>
      </c>
      <c r="K136" s="149" t="s">
        <v>128</v>
      </c>
      <c r="L136" s="156">
        <v>34551571</v>
      </c>
      <c r="M136" s="157">
        <v>1.9097222222222222E-3</v>
      </c>
      <c r="N136" s="131" t="s">
        <v>17</v>
      </c>
      <c r="O136" s="131" t="s">
        <v>17</v>
      </c>
      <c r="P136" s="131" t="s">
        <v>17</v>
      </c>
      <c r="Q136" s="131" t="s">
        <v>17</v>
      </c>
      <c r="R136" s="131" t="s">
        <v>17</v>
      </c>
      <c r="S136" s="131" t="s">
        <v>17</v>
      </c>
      <c r="T136" s="131" t="s">
        <v>18</v>
      </c>
      <c r="U136" s="131" t="s">
        <v>18</v>
      </c>
      <c r="V136" s="131" t="s">
        <v>17</v>
      </c>
      <c r="W136" s="131" t="s">
        <v>17</v>
      </c>
      <c r="X136" s="131" t="s">
        <v>18</v>
      </c>
      <c r="Y136" s="131" t="s">
        <v>17</v>
      </c>
      <c r="Z136" s="131" t="s">
        <v>17</v>
      </c>
      <c r="AA136" s="131" t="s">
        <v>17</v>
      </c>
      <c r="AB136" s="131" t="s">
        <v>17</v>
      </c>
      <c r="AC136" s="131" t="s">
        <v>17</v>
      </c>
      <c r="AD136" s="131"/>
      <c r="AE136" s="131"/>
      <c r="AF136" s="158">
        <f t="shared" si="14"/>
        <v>7.4799999999999995</v>
      </c>
      <c r="AG136" s="159"/>
      <c r="AH136" s="155" t="s">
        <v>305</v>
      </c>
      <c r="AI136" s="155" t="s">
        <v>83</v>
      </c>
      <c r="AJ136" s="131" t="str">
        <f>IFERROR(VLOOKUP(E136&amp;F136,'Listagem dos op'!A:S,19,0),"")</f>
        <v/>
      </c>
      <c r="AK136" s="131" t="str">
        <f t="shared" si="13"/>
        <v>Jan10610</v>
      </c>
      <c r="AL136" s="154">
        <f>IF(N136="","",IF(N136="SIM",VLOOKUP($I136&amp;$J136&amp;N$1,Pesos!$A:$I,7,FALSE),VLOOKUP($I136&amp;$J136&amp;N$1,Pesos!$A:$I,9,FALSE)))</f>
        <v>0.1</v>
      </c>
      <c r="AM136" s="154">
        <f>IF(O136="","",IF(O136="SIM",VLOOKUP($I136&amp;$J136&amp;O$1,Pesos!$A:$I,7,FALSE),VLOOKUP($I136&amp;$J136&amp;O$1,Pesos!$A:$I,9,FALSE)))</f>
        <v>0.1</v>
      </c>
      <c r="AN136" s="154">
        <f>IF(P136="","",IF(P136="SIM",VLOOKUP($I136&amp;$J136&amp;P$1,Pesos!$A:$I,7,FALSE),VLOOKUP($I136&amp;$J136&amp;P$1,Pesos!$A:$I,9,FALSE)))</f>
        <v>0.1</v>
      </c>
      <c r="AO136" s="154">
        <f>IF(Q136="","",IF(Q136="SIM",VLOOKUP($I136&amp;$J136&amp;Q$1,Pesos!$A:$I,7,FALSE),VLOOKUP($I136&amp;$J136&amp;Q$1,Pesos!$A:$I,9,FALSE)))</f>
        <v>2</v>
      </c>
      <c r="AP136" s="154">
        <f>IF(R136="","",IF(R136="SIM",VLOOKUP($I136&amp;$J136&amp;R$1,Pesos!$A:$I,7,FALSE),VLOOKUP($I136&amp;$J136&amp;R$1,Pesos!$A:$I,9,FALSE)))</f>
        <v>1.03</v>
      </c>
      <c r="AQ136" s="154">
        <f>IF(S136="","",IF(S136="SIM",VLOOKUP($I136&amp;$J136&amp;S$1,Pesos!$A:$I,7,FALSE),VLOOKUP($I136&amp;$J136&amp;S$1,Pesos!$A:$I,9,FALSE)))</f>
        <v>1.05</v>
      </c>
      <c r="AR136" s="156">
        <f>IF(T136="","",IF(T136="SIM",VLOOKUP($I136&amp;$J136&amp;T$1,Pesos!$A:$I,7,FALSE),VLOOKUP($I136&amp;$J136&amp;T$1,Pesos!$A:$I,9,FALSE)))</f>
        <v>-5.2500000000000005E-2</v>
      </c>
      <c r="AS136" s="132">
        <f>IF(U136="","",IF(U136="SIM",VLOOKUP($I136&amp;$J136&amp;U$1,Pesos!$A:$I,7,FALSE),VLOOKUP($I136&amp;$J136&amp;U$1,Pesos!$A:$I,9,FALSE)))</f>
        <v>-5.2500000000000005E-2</v>
      </c>
      <c r="AT136" s="132">
        <f>IF(V136="","",IF(V136="SIM",VLOOKUP($I136&amp;$J136&amp;V$1,Pesos!$A:$I,7,FALSE),VLOOKUP($I136&amp;$J136&amp;V$1,Pesos!$A:$I,9,FALSE)))</f>
        <v>1.05</v>
      </c>
      <c r="AU136" s="132">
        <f>IF(W136="","",IF(W136="SIM",VLOOKUP($I136&amp;$J136&amp;W$1,Pesos!$A:$I,7,FALSE),VLOOKUP($I136&amp;$J136&amp;W$1,Pesos!$A:$I,9,FALSE)))</f>
        <v>1.1200000000000001</v>
      </c>
      <c r="AV136" s="132">
        <f>IF(X136="","",IF(X136="SIM",VLOOKUP($I136&amp;$J136&amp;X$1,Pesos!$A:$I,7,FALSE),VLOOKUP($I136&amp;$J136&amp;X$1,Pesos!$A:$I,9,FALSE)))</f>
        <v>-1.4999999999999999E-2</v>
      </c>
      <c r="AW136" s="132">
        <f>IF(Y136="","",IF(Y136="SIM",VLOOKUP($I136&amp;$J136&amp;Y$1,Pesos!$A:$I,7,FALSE),VLOOKUP($I136&amp;$J136&amp;Y$1,Pesos!$A:$I,9,FALSE)))</f>
        <v>0.3</v>
      </c>
      <c r="AX136" s="132">
        <f>IF(Z136="","",IF(Z136="SIM",VLOOKUP($I136&amp;$J136&amp;Z$1,Pesos!$A:$I,7,FALSE),VLOOKUP($I136&amp;$J136&amp;Z$1,Pesos!$A:$I,9,FALSE)))</f>
        <v>0.15</v>
      </c>
      <c r="AY136" s="132">
        <f>IF(AA136="","",IF(AA136="SIM",VLOOKUP($I136&amp;$J136&amp;AA$1,Pesos!$A:$I,7,FALSE),VLOOKUP($I136&amp;$J136&amp;AA$1,Pesos!$A:$I,9,FALSE)))</f>
        <v>0.2</v>
      </c>
      <c r="AZ136" s="132">
        <f>IF(AB136="","",IF(AB136="SIM",VLOOKUP($I136&amp;$J136&amp;AB$1,Pesos!$A:$I,7,FALSE),VLOOKUP($I136&amp;$J136&amp;AB$1,Pesos!$A:$I,9,FALSE)))</f>
        <v>0.3</v>
      </c>
      <c r="BA136" s="132">
        <f>IF(AC136="","",IF(AC136="SIM",VLOOKUP($I136&amp;$J136&amp;AC$1,Pesos!$A:$I,7,FALSE),VLOOKUP($I136&amp;$J136&amp;AC$1,Pesos!$A:$I,9,FALSE)))</f>
        <v>0.1</v>
      </c>
      <c r="BB136" s="132" t="str">
        <f>IF(AD136="","",IF(AD136="SIM",VLOOKUP($I136&amp;$J136&amp;AD$1,Pesos!$A:$I,7,FALSE),VLOOKUP($I136&amp;$J136&amp;AD$1,Pesos!$A:$I,9,FALSE)))</f>
        <v/>
      </c>
      <c r="BC136" s="132" t="str">
        <f>IF(AE136="","",IF(AE136="SIM",VLOOKUP($I136&amp;$J136&amp;AE$1,Pesos!$A:$I,7,FALSE),VLOOKUP($I136&amp;$J136&amp;AE$1,Pesos!$A:$I,9,FALSE)))</f>
        <v/>
      </c>
      <c r="BD136" s="158">
        <f>IFERROR(AF136*VLOOKUP(J136,'BD Campos'!$X$1:$Y$14,2,FALSE),"0")</f>
        <v>7.4799999999999995</v>
      </c>
    </row>
    <row r="137" spans="1:56">
      <c r="A137" s="151" t="str">
        <f t="shared" si="11"/>
        <v>Jan10610Motorista 2UTI</v>
      </c>
      <c r="B137" s="149" t="str">
        <f t="shared" si="12"/>
        <v>Jan106102UTIPADRÃO</v>
      </c>
      <c r="C137" s="152">
        <v>1</v>
      </c>
      <c r="D137" s="153">
        <v>46056.653734027779</v>
      </c>
      <c r="E137" s="154" t="s">
        <v>12</v>
      </c>
      <c r="F137" s="155">
        <v>10610</v>
      </c>
      <c r="G137" s="149" t="s">
        <v>304</v>
      </c>
      <c r="H137" s="154">
        <v>2</v>
      </c>
      <c r="I137" s="149" t="s">
        <v>130</v>
      </c>
      <c r="J137" s="149" t="s">
        <v>97</v>
      </c>
      <c r="K137" s="149" t="s">
        <v>128</v>
      </c>
      <c r="L137" s="156">
        <v>34760360</v>
      </c>
      <c r="M137" s="157">
        <v>1.4583333333333334E-3</v>
      </c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58">
        <f t="shared" si="14"/>
        <v>0</v>
      </c>
      <c r="AG137" s="159" t="s">
        <v>141</v>
      </c>
      <c r="AH137" s="155" t="s">
        <v>306</v>
      </c>
      <c r="AI137" s="155" t="s">
        <v>83</v>
      </c>
      <c r="AJ137" s="131" t="str">
        <f>IFERROR(VLOOKUP(E137&amp;F137,'Listagem dos op'!A:S,19,0),"")</f>
        <v/>
      </c>
      <c r="AK137" s="131" t="str">
        <f t="shared" si="13"/>
        <v>Jan10610</v>
      </c>
      <c r="AL137" s="154" t="str">
        <f>IF(N137="","",IF(N137="SIM",VLOOKUP($I137&amp;$J137&amp;N$1,Pesos!$A:$I,7,FALSE),VLOOKUP($I137&amp;$J137&amp;N$1,Pesos!$A:$I,9,FALSE)))</f>
        <v/>
      </c>
      <c r="AM137" s="154" t="str">
        <f>IF(O137="","",IF(O137="SIM",VLOOKUP($I137&amp;$J137&amp;O$1,Pesos!$A:$I,7,FALSE),VLOOKUP($I137&amp;$J137&amp;O$1,Pesos!$A:$I,9,FALSE)))</f>
        <v/>
      </c>
      <c r="AN137" s="154" t="str">
        <f>IF(P137="","",IF(P137="SIM",VLOOKUP($I137&amp;$J137&amp;P$1,Pesos!$A:$I,7,FALSE),VLOOKUP($I137&amp;$J137&amp;P$1,Pesos!$A:$I,9,FALSE)))</f>
        <v/>
      </c>
      <c r="AO137" s="154" t="str">
        <f>IF(Q137="","",IF(Q137="SIM",VLOOKUP($I137&amp;$J137&amp;Q$1,Pesos!$A:$I,7,FALSE),VLOOKUP($I137&amp;$J137&amp;Q$1,Pesos!$A:$I,9,FALSE)))</f>
        <v/>
      </c>
      <c r="AP137" s="154" t="str">
        <f>IF(R137="","",IF(R137="SIM",VLOOKUP($I137&amp;$J137&amp;R$1,Pesos!$A:$I,7,FALSE),VLOOKUP($I137&amp;$J137&amp;R$1,Pesos!$A:$I,9,FALSE)))</f>
        <v/>
      </c>
      <c r="AQ137" s="154" t="str">
        <f>IF(S137="","",IF(S137="SIM",VLOOKUP($I137&amp;$J137&amp;S$1,Pesos!$A:$I,7,FALSE),VLOOKUP($I137&amp;$J137&amp;S$1,Pesos!$A:$I,9,FALSE)))</f>
        <v/>
      </c>
      <c r="AR137" s="156" t="str">
        <f>IF(T137="","",IF(T137="SIM",VLOOKUP($I137&amp;$J137&amp;T$1,Pesos!$A:$I,7,FALSE),VLOOKUP($I137&amp;$J137&amp;T$1,Pesos!$A:$I,9,FALSE)))</f>
        <v/>
      </c>
      <c r="AS137" s="132" t="str">
        <f>IF(U137="","",IF(U137="SIM",VLOOKUP($I137&amp;$J137&amp;U$1,Pesos!$A:$I,7,FALSE),VLOOKUP($I137&amp;$J137&amp;U$1,Pesos!$A:$I,9,FALSE)))</f>
        <v/>
      </c>
      <c r="AT137" s="132" t="str">
        <f>IF(V137="","",IF(V137="SIM",VLOOKUP($I137&amp;$J137&amp;V$1,Pesos!$A:$I,7,FALSE),VLOOKUP($I137&amp;$J137&amp;V$1,Pesos!$A:$I,9,FALSE)))</f>
        <v/>
      </c>
      <c r="AU137" s="132" t="str">
        <f>IF(W137="","",IF(W137="SIM",VLOOKUP($I137&amp;$J137&amp;W$1,Pesos!$A:$I,7,FALSE),VLOOKUP($I137&amp;$J137&amp;W$1,Pesos!$A:$I,9,FALSE)))</f>
        <v/>
      </c>
      <c r="AV137" s="132" t="str">
        <f>IF(X137="","",IF(X137="SIM",VLOOKUP($I137&amp;$J137&amp;X$1,Pesos!$A:$I,7,FALSE),VLOOKUP($I137&amp;$J137&amp;X$1,Pesos!$A:$I,9,FALSE)))</f>
        <v/>
      </c>
      <c r="AW137" s="132" t="str">
        <f>IF(Y137="","",IF(Y137="SIM",VLOOKUP($I137&amp;$J137&amp;Y$1,Pesos!$A:$I,7,FALSE),VLOOKUP($I137&amp;$J137&amp;Y$1,Pesos!$A:$I,9,FALSE)))</f>
        <v/>
      </c>
      <c r="AX137" s="132" t="str">
        <f>IF(Z137="","",IF(Z137="SIM",VLOOKUP($I137&amp;$J137&amp;Z$1,Pesos!$A:$I,7,FALSE),VLOOKUP($I137&amp;$J137&amp;Z$1,Pesos!$A:$I,9,FALSE)))</f>
        <v/>
      </c>
      <c r="AY137" s="132" t="str">
        <f>IF(AA137="","",IF(AA137="SIM",VLOOKUP($I137&amp;$J137&amp;AA$1,Pesos!$A:$I,7,FALSE),VLOOKUP($I137&amp;$J137&amp;AA$1,Pesos!$A:$I,9,FALSE)))</f>
        <v/>
      </c>
      <c r="AZ137" s="132" t="str">
        <f>IF(AB137="","",IF(AB137="SIM",VLOOKUP($I137&amp;$J137&amp;AB$1,Pesos!$A:$I,7,FALSE),VLOOKUP($I137&amp;$J137&amp;AB$1,Pesos!$A:$I,9,FALSE)))</f>
        <v/>
      </c>
      <c r="BA137" s="132" t="str">
        <f>IF(AC137="","",IF(AC137="SIM",VLOOKUP($I137&amp;$J137&amp;AC$1,Pesos!$A:$I,7,FALSE),VLOOKUP($I137&amp;$J137&amp;AC$1,Pesos!$A:$I,9,FALSE)))</f>
        <v/>
      </c>
      <c r="BB137" s="132" t="str">
        <f>IF(AD137="","",IF(AD137="SIM",VLOOKUP($I137&amp;$J137&amp;AD$1,Pesos!$A:$I,7,FALSE),VLOOKUP($I137&amp;$J137&amp;AD$1,Pesos!$A:$I,9,FALSE)))</f>
        <v/>
      </c>
      <c r="BC137" s="132" t="str">
        <f>IF(AE137="","",IF(AE137="SIM",VLOOKUP($I137&amp;$J137&amp;AE$1,Pesos!$A:$I,7,FALSE),VLOOKUP($I137&amp;$J137&amp;AE$1,Pesos!$A:$I,9,FALSE)))</f>
        <v/>
      </c>
      <c r="BD137" s="158">
        <f>IFERROR(AF137*VLOOKUP(J137,'BD Campos'!$X$1:$Y$14,2,FALSE),"0")</f>
        <v>0</v>
      </c>
    </row>
    <row r="138" spans="1:56">
      <c r="A138" s="151" t="str">
        <f t="shared" si="11"/>
        <v>Jan11090ClienteUTI</v>
      </c>
      <c r="B138" s="149" t="str">
        <f t="shared" si="12"/>
        <v>Jan110901UTIPADRÃO</v>
      </c>
      <c r="C138" s="152">
        <v>1</v>
      </c>
      <c r="D138" s="153">
        <v>46056.670056365743</v>
      </c>
      <c r="E138" s="154" t="s">
        <v>12</v>
      </c>
      <c r="F138" s="155">
        <v>11090</v>
      </c>
      <c r="G138" s="149" t="s">
        <v>307</v>
      </c>
      <c r="H138" s="154">
        <v>1</v>
      </c>
      <c r="I138" s="149" t="s">
        <v>96</v>
      </c>
      <c r="J138" s="149" t="s">
        <v>149</v>
      </c>
      <c r="K138" s="149" t="s">
        <v>128</v>
      </c>
      <c r="L138" s="156">
        <v>34517265</v>
      </c>
      <c r="M138" s="157">
        <v>3.6111111111111114E-3</v>
      </c>
      <c r="N138" s="131" t="s">
        <v>17</v>
      </c>
      <c r="O138" s="131" t="s">
        <v>17</v>
      </c>
      <c r="P138" s="131" t="s">
        <v>17</v>
      </c>
      <c r="Q138" s="131" t="s">
        <v>17</v>
      </c>
      <c r="R138" s="131" t="s">
        <v>17</v>
      </c>
      <c r="S138" s="131" t="s">
        <v>17</v>
      </c>
      <c r="T138" s="131" t="s">
        <v>17</v>
      </c>
      <c r="U138" s="131" t="s">
        <v>18</v>
      </c>
      <c r="V138" s="131" t="s">
        <v>17</v>
      </c>
      <c r="W138" s="131" t="s">
        <v>17</v>
      </c>
      <c r="X138" s="131" t="s">
        <v>18</v>
      </c>
      <c r="Y138" s="131" t="s">
        <v>18</v>
      </c>
      <c r="Z138" s="131" t="s">
        <v>17</v>
      </c>
      <c r="AA138" s="131" t="s">
        <v>17</v>
      </c>
      <c r="AB138" s="131" t="s">
        <v>17</v>
      </c>
      <c r="AC138" s="131" t="s">
        <v>17</v>
      </c>
      <c r="AD138" s="131" t="s">
        <v>17</v>
      </c>
      <c r="AE138" s="131"/>
      <c r="AF138" s="158">
        <f t="shared" si="14"/>
        <v>7.2700000000000005</v>
      </c>
      <c r="AG138" s="159"/>
      <c r="AH138" s="155" t="s">
        <v>308</v>
      </c>
      <c r="AI138" s="155" t="s">
        <v>83</v>
      </c>
      <c r="AJ138" s="131" t="str">
        <f>IFERROR(VLOOKUP(E138&amp;F138,'Listagem dos op'!A:S,19,0),"")</f>
        <v/>
      </c>
      <c r="AK138" s="131" t="str">
        <f t="shared" si="13"/>
        <v>Jan11090</v>
      </c>
      <c r="AL138" s="154">
        <f>IF(N138="","",IF(N138="SIM",VLOOKUP($I138&amp;$J138&amp;N$1,Pesos!$A:$I,7,FALSE),VLOOKUP($I138&amp;$J138&amp;N$1,Pesos!$A:$I,9,FALSE)))</f>
        <v>0.1</v>
      </c>
      <c r="AM138" s="154">
        <f>IF(O138="","",IF(O138="SIM",VLOOKUP($I138&amp;$J138&amp;O$1,Pesos!$A:$I,7,FALSE),VLOOKUP($I138&amp;$J138&amp;O$1,Pesos!$A:$I,9,FALSE)))</f>
        <v>0.1</v>
      </c>
      <c r="AN138" s="154">
        <f>IF(P138="","",IF(P138="SIM",VLOOKUP($I138&amp;$J138&amp;P$1,Pesos!$A:$I,7,FALSE),VLOOKUP($I138&amp;$J138&amp;P$1,Pesos!$A:$I,9,FALSE)))</f>
        <v>0.1</v>
      </c>
      <c r="AO138" s="154">
        <f>IF(Q138="","",IF(Q138="SIM",VLOOKUP($I138&amp;$J138&amp;Q$1,Pesos!$A:$I,7,FALSE),VLOOKUP($I138&amp;$J138&amp;Q$1,Pesos!$A:$I,9,FALSE)))</f>
        <v>0.4</v>
      </c>
      <c r="AP138" s="154">
        <f>IF(R138="","",IF(R138="SIM",VLOOKUP($I138&amp;$J138&amp;R$1,Pesos!$A:$I,7,FALSE),VLOOKUP($I138&amp;$J138&amp;R$1,Pesos!$A:$I,9,FALSE)))</f>
        <v>1.2</v>
      </c>
      <c r="AQ138" s="154">
        <f>IF(S138="","",IF(S138="SIM",VLOOKUP($I138&amp;$J138&amp;S$1,Pesos!$A:$I,7,FALSE),VLOOKUP($I138&amp;$J138&amp;S$1,Pesos!$A:$I,9,FALSE)))</f>
        <v>1.1500000000000001</v>
      </c>
      <c r="AR138" s="156">
        <f>IF(T138="","",IF(T138="SIM",VLOOKUP($I138&amp;$J138&amp;T$1,Pesos!$A:$I,7,FALSE),VLOOKUP($I138&amp;$J138&amp;T$1,Pesos!$A:$I,9,FALSE)))</f>
        <v>1.1000000000000001</v>
      </c>
      <c r="AS138" s="132">
        <f>IF(U138="","",IF(U138="SIM",VLOOKUP($I138&amp;$J138&amp;U$1,Pesos!$A:$I,7,FALSE),VLOOKUP($I138&amp;$J138&amp;U$1,Pesos!$A:$I,9,FALSE)))</f>
        <v>-5.5000000000000007E-2</v>
      </c>
      <c r="AT138" s="132">
        <f>IF(V138="","",IF(V138="SIM",VLOOKUP($I138&amp;$J138&amp;V$1,Pesos!$A:$I,7,FALSE),VLOOKUP($I138&amp;$J138&amp;V$1,Pesos!$A:$I,9,FALSE)))</f>
        <v>1.1000000000000001</v>
      </c>
      <c r="AU138" s="132">
        <f>IF(W138="","",IF(W138="SIM",VLOOKUP($I138&amp;$J138&amp;W$1,Pesos!$A:$I,7,FALSE),VLOOKUP($I138&amp;$J138&amp;W$1,Pesos!$A:$I,9,FALSE)))</f>
        <v>1.1000000000000001</v>
      </c>
      <c r="AV138" s="132">
        <f>IF(X138="","",IF(X138="SIM",VLOOKUP($I138&amp;$J138&amp;X$1,Pesos!$A:$I,7,FALSE),VLOOKUP($I138&amp;$J138&amp;X$1,Pesos!$A:$I,9,FALSE)))</f>
        <v>-0.06</v>
      </c>
      <c r="AW138" s="132">
        <f>IF(Y138="","",IF(Y138="SIM",VLOOKUP($I138&amp;$J138&amp;Y$1,Pesos!$A:$I,7,FALSE),VLOOKUP($I138&amp;$J138&amp;Y$1,Pesos!$A:$I,9,FALSE)))</f>
        <v>-1.4999999999999999E-2</v>
      </c>
      <c r="AX138" s="132">
        <f>IF(Z138="","",IF(Z138="SIM",VLOOKUP($I138&amp;$J138&amp;Z$1,Pesos!$A:$I,7,FALSE),VLOOKUP($I138&amp;$J138&amp;Z$1,Pesos!$A:$I,9,FALSE)))</f>
        <v>0.3</v>
      </c>
      <c r="AY138" s="132">
        <f>IF(AA138="","",IF(AA138="SIM",VLOOKUP($I138&amp;$J138&amp;AA$1,Pesos!$A:$I,7,FALSE),VLOOKUP($I138&amp;$J138&amp;AA$1,Pesos!$A:$I,9,FALSE)))</f>
        <v>0.15</v>
      </c>
      <c r="AZ138" s="132">
        <f>IF(AB138="","",IF(AB138="SIM",VLOOKUP($I138&amp;$J138&amp;AB$1,Pesos!$A:$I,7,FALSE),VLOOKUP($I138&amp;$J138&amp;AB$1,Pesos!$A:$I,9,FALSE)))</f>
        <v>0.2</v>
      </c>
      <c r="BA138" s="132">
        <f>IF(AC138="","",IF(AC138="SIM",VLOOKUP($I138&amp;$J138&amp;AC$1,Pesos!$A:$I,7,FALSE),VLOOKUP($I138&amp;$J138&amp;AC$1,Pesos!$A:$I,9,FALSE)))</f>
        <v>0.3</v>
      </c>
      <c r="BB138" s="132">
        <f>IF(AD138="","",IF(AD138="SIM",VLOOKUP($I138&amp;$J138&amp;AD$1,Pesos!$A:$I,7,FALSE),VLOOKUP($I138&amp;$J138&amp;AD$1,Pesos!$A:$I,9,FALSE)))</f>
        <v>0.1</v>
      </c>
      <c r="BC138" s="132" t="str">
        <f>IF(AE138="","",IF(AE138="SIM",VLOOKUP($I138&amp;$J138&amp;AE$1,Pesos!$A:$I,7,FALSE),VLOOKUP($I138&amp;$J138&amp;AE$1,Pesos!$A:$I,9,FALSE)))</f>
        <v/>
      </c>
      <c r="BD138" s="158">
        <f>IFERROR(AF138*VLOOKUP(J138,'BD Campos'!$X$1:$Y$14,2,FALSE),"0")</f>
        <v>7.2700000000000005</v>
      </c>
    </row>
    <row r="139" spans="1:56">
      <c r="A139" s="151" t="str">
        <f t="shared" si="11"/>
        <v>Jan11090MotoristaUTI</v>
      </c>
      <c r="B139" s="149" t="str">
        <f t="shared" si="12"/>
        <v>Jan110902UTIPADRÃO</v>
      </c>
      <c r="C139" s="152">
        <v>1</v>
      </c>
      <c r="D139" s="153">
        <v>46056.677675925923</v>
      </c>
      <c r="E139" s="154" t="s">
        <v>12</v>
      </c>
      <c r="F139" s="155">
        <v>11090</v>
      </c>
      <c r="G139" s="149" t="s">
        <v>307</v>
      </c>
      <c r="H139" s="154">
        <v>2</v>
      </c>
      <c r="I139" s="149" t="s">
        <v>96</v>
      </c>
      <c r="J139" s="149" t="s">
        <v>93</v>
      </c>
      <c r="K139" s="149" t="s">
        <v>128</v>
      </c>
      <c r="L139" s="156">
        <v>34807851</v>
      </c>
      <c r="M139" s="157">
        <v>1.1226851851851851E-3</v>
      </c>
      <c r="N139" s="131" t="s">
        <v>17</v>
      </c>
      <c r="O139" s="131" t="s">
        <v>17</v>
      </c>
      <c r="P139" s="131" t="s">
        <v>17</v>
      </c>
      <c r="Q139" s="131" t="s">
        <v>17</v>
      </c>
      <c r="R139" s="131" t="s">
        <v>17</v>
      </c>
      <c r="S139" s="131" t="s">
        <v>18</v>
      </c>
      <c r="T139" s="131" t="s">
        <v>17</v>
      </c>
      <c r="U139" s="131" t="s">
        <v>17</v>
      </c>
      <c r="V139" s="131" t="s">
        <v>18</v>
      </c>
      <c r="W139" s="131" t="s">
        <v>17</v>
      </c>
      <c r="X139" s="131" t="s">
        <v>17</v>
      </c>
      <c r="Y139" s="131" t="s">
        <v>17</v>
      </c>
      <c r="Z139" s="131" t="s">
        <v>17</v>
      </c>
      <c r="AA139" s="131" t="s">
        <v>17</v>
      </c>
      <c r="AB139" s="131" t="s">
        <v>17</v>
      </c>
      <c r="AC139" s="131"/>
      <c r="AD139" s="131"/>
      <c r="AE139" s="131"/>
      <c r="AF139" s="158">
        <f t="shared" si="14"/>
        <v>7.6164999999999994</v>
      </c>
      <c r="AG139" s="159"/>
      <c r="AH139" s="155" t="s">
        <v>309</v>
      </c>
      <c r="AI139" s="155" t="s">
        <v>83</v>
      </c>
      <c r="AJ139" s="131" t="str">
        <f>IFERROR(VLOOKUP(E139&amp;F139,'Listagem dos op'!A:S,19,0),"")</f>
        <v/>
      </c>
      <c r="AK139" s="131" t="str">
        <f t="shared" si="13"/>
        <v>Jan11090</v>
      </c>
      <c r="AL139" s="154">
        <f>IF(N139="","",IF(N139="SIM",VLOOKUP($I139&amp;$J139&amp;N$1,Pesos!$A:$I,7,FALSE),VLOOKUP($I139&amp;$J139&amp;N$1,Pesos!$A:$I,9,FALSE)))</f>
        <v>0.1</v>
      </c>
      <c r="AM139" s="154">
        <f>IF(O139="","",IF(O139="SIM",VLOOKUP($I139&amp;$J139&amp;O$1,Pesos!$A:$I,7,FALSE),VLOOKUP($I139&amp;$J139&amp;O$1,Pesos!$A:$I,9,FALSE)))</f>
        <v>0.1</v>
      </c>
      <c r="AN139" s="154">
        <f>IF(P139="","",IF(P139="SIM",VLOOKUP($I139&amp;$J139&amp;P$1,Pesos!$A:$I,7,FALSE),VLOOKUP($I139&amp;$J139&amp;P$1,Pesos!$A:$I,9,FALSE)))</f>
        <v>0.1</v>
      </c>
      <c r="AO139" s="154">
        <f>IF(Q139="","",IF(Q139="SIM",VLOOKUP($I139&amp;$J139&amp;Q$1,Pesos!$A:$I,7,FALSE),VLOOKUP($I139&amp;$J139&amp;Q$1,Pesos!$A:$I,9,FALSE)))</f>
        <v>2</v>
      </c>
      <c r="AP139" s="154">
        <f>IF(R139="","",IF(R139="SIM",VLOOKUP($I139&amp;$J139&amp;R$1,Pesos!$A:$I,7,FALSE),VLOOKUP($I139&amp;$J139&amp;R$1,Pesos!$A:$I,9,FALSE)))</f>
        <v>1.03</v>
      </c>
      <c r="AQ139" s="154">
        <f>IF(S139="","",IF(S139="SIM",VLOOKUP($I139&amp;$J139&amp;S$1,Pesos!$A:$I,7,FALSE),VLOOKUP($I139&amp;$J139&amp;S$1,Pesos!$A:$I,9,FALSE)))</f>
        <v>-6.0999999999999999E-2</v>
      </c>
      <c r="AR139" s="156">
        <f>IF(T139="","",IF(T139="SIM",VLOOKUP($I139&amp;$J139&amp;T$1,Pesos!$A:$I,7,FALSE),VLOOKUP($I139&amp;$J139&amp;T$1,Pesos!$A:$I,9,FALSE)))</f>
        <v>2</v>
      </c>
      <c r="AS139" s="132">
        <f>IF(U139="","",IF(U139="SIM",VLOOKUP($I139&amp;$J139&amp;U$1,Pesos!$A:$I,7,FALSE),VLOOKUP($I139&amp;$J139&amp;U$1,Pesos!$A:$I,9,FALSE)))</f>
        <v>1.05</v>
      </c>
      <c r="AT139" s="132">
        <f>IF(V139="","",IF(V139="SIM",VLOOKUP($I139&amp;$J139&amp;V$1,Pesos!$A:$I,7,FALSE),VLOOKUP($I139&amp;$J139&amp;V$1,Pesos!$A:$I,9,FALSE)))</f>
        <v>-5.2500000000000005E-2</v>
      </c>
      <c r="AU139" s="132">
        <f>IF(W139="","",IF(W139="SIM",VLOOKUP($I139&amp;$J139&amp;W$1,Pesos!$A:$I,7,FALSE),VLOOKUP($I139&amp;$J139&amp;W$1,Pesos!$A:$I,9,FALSE)))</f>
        <v>0.3</v>
      </c>
      <c r="AV139" s="132">
        <f>IF(X139="","",IF(X139="SIM",VLOOKUP($I139&amp;$J139&amp;X$1,Pesos!$A:$I,7,FALSE),VLOOKUP($I139&amp;$J139&amp;X$1,Pesos!$A:$I,9,FALSE)))</f>
        <v>0.3</v>
      </c>
      <c r="AW139" s="132">
        <f>IF(Y139="","",IF(Y139="SIM",VLOOKUP($I139&amp;$J139&amp;Y$1,Pesos!$A:$I,7,FALSE),VLOOKUP($I139&amp;$J139&amp;Y$1,Pesos!$A:$I,9,FALSE)))</f>
        <v>0.15</v>
      </c>
      <c r="AX139" s="132">
        <f>IF(Z139="","",IF(Z139="SIM",VLOOKUP($I139&amp;$J139&amp;Z$1,Pesos!$A:$I,7,FALSE),VLOOKUP($I139&amp;$J139&amp;Z$1,Pesos!$A:$I,9,FALSE)))</f>
        <v>0.2</v>
      </c>
      <c r="AY139" s="132">
        <f>IF(AA139="","",IF(AA139="SIM",VLOOKUP($I139&amp;$J139&amp;AA$1,Pesos!$A:$I,7,FALSE),VLOOKUP($I139&amp;$J139&amp;AA$1,Pesos!$A:$I,9,FALSE)))</f>
        <v>0.3</v>
      </c>
      <c r="AZ139" s="132">
        <f>IF(AB139="","",IF(AB139="SIM",VLOOKUP($I139&amp;$J139&amp;AB$1,Pesos!$A:$I,7,FALSE),VLOOKUP($I139&amp;$J139&amp;AB$1,Pesos!$A:$I,9,FALSE)))</f>
        <v>0.1</v>
      </c>
      <c r="BA139" s="132" t="str">
        <f>IF(AC139="","",IF(AC139="SIM",VLOOKUP($I139&amp;$J139&amp;AC$1,Pesos!$A:$I,7,FALSE),VLOOKUP($I139&amp;$J139&amp;AC$1,Pesos!$A:$I,9,FALSE)))</f>
        <v/>
      </c>
      <c r="BB139" s="132" t="str">
        <f>IF(AD139="","",IF(AD139="SIM",VLOOKUP($I139&amp;$J139&amp;AD$1,Pesos!$A:$I,7,FALSE),VLOOKUP($I139&amp;$J139&amp;AD$1,Pesos!$A:$I,9,FALSE)))</f>
        <v/>
      </c>
      <c r="BC139" s="132" t="str">
        <f>IF(AE139="","",IF(AE139="SIM",VLOOKUP($I139&amp;$J139&amp;AE$1,Pesos!$A:$I,7,FALSE),VLOOKUP($I139&amp;$J139&amp;AE$1,Pesos!$A:$I,9,FALSE)))</f>
        <v/>
      </c>
      <c r="BD139" s="158">
        <f>IFERROR(AF139*VLOOKUP(J139,'BD Campos'!$X$1:$Y$14,2,FALSE),"0")</f>
        <v>7.6164999999999994</v>
      </c>
    </row>
    <row r="140" spans="1:56">
      <c r="A140" s="151" t="str">
        <f t="shared" si="11"/>
        <v>Jan10976PolíciaBAS</v>
      </c>
      <c r="B140" s="149" t="str">
        <f t="shared" si="12"/>
        <v>Jan109761BASPADRÃO</v>
      </c>
      <c r="C140" s="152">
        <v>1</v>
      </c>
      <c r="D140" s="153">
        <v>46056.683275462965</v>
      </c>
      <c r="E140" s="154" t="s">
        <v>12</v>
      </c>
      <c r="F140" s="155">
        <v>10976</v>
      </c>
      <c r="G140" s="149" t="s">
        <v>310</v>
      </c>
      <c r="H140" s="154">
        <v>1</v>
      </c>
      <c r="I140" s="149" t="s">
        <v>92</v>
      </c>
      <c r="J140" s="149" t="s">
        <v>222</v>
      </c>
      <c r="K140" s="149" t="s">
        <v>223</v>
      </c>
      <c r="L140" s="156">
        <v>34668328</v>
      </c>
      <c r="M140" s="157">
        <v>5.0231481481481481E-3</v>
      </c>
      <c r="N140" s="131" t="s">
        <v>17</v>
      </c>
      <c r="O140" s="131" t="s">
        <v>17</v>
      </c>
      <c r="P140" s="131" t="s">
        <v>17</v>
      </c>
      <c r="Q140" s="131" t="s">
        <v>17</v>
      </c>
      <c r="R140" s="131" t="s">
        <v>17</v>
      </c>
      <c r="S140" s="131" t="s">
        <v>17</v>
      </c>
      <c r="T140" s="131" t="s">
        <v>17</v>
      </c>
      <c r="U140" s="131" t="s">
        <v>17</v>
      </c>
      <c r="V140" s="131" t="s">
        <v>17</v>
      </c>
      <c r="W140" s="131" t="s">
        <v>17</v>
      </c>
      <c r="X140" s="131" t="s">
        <v>17</v>
      </c>
      <c r="Y140" s="131" t="s">
        <v>17</v>
      </c>
      <c r="Z140" s="131" t="s">
        <v>17</v>
      </c>
      <c r="AA140" s="131" t="s">
        <v>17</v>
      </c>
      <c r="AB140" s="131" t="s">
        <v>17</v>
      </c>
      <c r="AC140" s="131" t="s">
        <v>17</v>
      </c>
      <c r="AD140" s="131"/>
      <c r="AE140" s="131"/>
      <c r="AF140" s="158">
        <f t="shared" si="14"/>
        <v>10.000000000000002</v>
      </c>
      <c r="AG140" s="159"/>
      <c r="AH140" s="155" t="s">
        <v>311</v>
      </c>
      <c r="AI140" s="155" t="s">
        <v>83</v>
      </c>
      <c r="AJ140" s="131" t="str">
        <f>IFERROR(VLOOKUP(E140&amp;F140,'Listagem dos op'!A:S,19,0),"")</f>
        <v/>
      </c>
      <c r="AK140" s="131" t="str">
        <f t="shared" si="13"/>
        <v>Jan10976</v>
      </c>
      <c r="AL140" s="154">
        <f>IF(N140="","",IF(N140="SIM",VLOOKUP($I140&amp;$J140&amp;N$1,Pesos!$A:$I,7,FALSE),VLOOKUP($I140&amp;$J140&amp;N$1,Pesos!$A:$I,9,FALSE)))</f>
        <v>0.1</v>
      </c>
      <c r="AM140" s="154">
        <f>IF(O140="","",IF(O140="SIM",VLOOKUP($I140&amp;$J140&amp;O$1,Pesos!$A:$I,7,FALSE),VLOOKUP($I140&amp;$J140&amp;O$1,Pesos!$A:$I,9,FALSE)))</f>
        <v>0.1</v>
      </c>
      <c r="AN140" s="154">
        <f>IF(P140="","",IF(P140="SIM",VLOOKUP($I140&amp;$J140&amp;P$1,Pesos!$A:$I,7,FALSE),VLOOKUP($I140&amp;$J140&amp;P$1,Pesos!$A:$I,9,FALSE)))</f>
        <v>0.1</v>
      </c>
      <c r="AO140" s="154">
        <f>IF(Q140="","",IF(Q140="SIM",VLOOKUP($I140&amp;$J140&amp;Q$1,Pesos!$A:$I,7,FALSE),VLOOKUP($I140&amp;$J140&amp;Q$1,Pesos!$A:$I,9,FALSE)))</f>
        <v>0.4</v>
      </c>
      <c r="AP140" s="154">
        <f>IF(R140="","",IF(R140="SIM",VLOOKUP($I140&amp;$J140&amp;R$1,Pesos!$A:$I,7,FALSE),VLOOKUP($I140&amp;$J140&amp;R$1,Pesos!$A:$I,9,FALSE)))</f>
        <v>1.3</v>
      </c>
      <c r="AQ140" s="154">
        <f>IF(S140="","",IF(S140="SIM",VLOOKUP($I140&amp;$J140&amp;S$1,Pesos!$A:$I,7,FALSE),VLOOKUP($I140&amp;$J140&amp;S$1,Pesos!$A:$I,9,FALSE)))</f>
        <v>1.35</v>
      </c>
      <c r="AR140" s="156">
        <f>IF(T140="","",IF(T140="SIM",VLOOKUP($I140&amp;$J140&amp;T$1,Pesos!$A:$I,7,FALSE),VLOOKUP($I140&amp;$J140&amp;T$1,Pesos!$A:$I,9,FALSE)))</f>
        <v>1.3</v>
      </c>
      <c r="AS140" s="132">
        <f>IF(U140="","",IF(U140="SIM",VLOOKUP($I140&amp;$J140&amp;U$1,Pesos!$A:$I,7,FALSE),VLOOKUP($I140&amp;$J140&amp;U$1,Pesos!$A:$I,9,FALSE)))</f>
        <v>1.5</v>
      </c>
      <c r="AT140" s="132">
        <f>IF(V140="","",IF(V140="SIM",VLOOKUP($I140&amp;$J140&amp;V$1,Pesos!$A:$I,7,FALSE),VLOOKUP($I140&amp;$J140&amp;V$1,Pesos!$A:$I,9,FALSE)))</f>
        <v>1.3</v>
      </c>
      <c r="AU140" s="132">
        <f>IF(W140="","",IF(W140="SIM",VLOOKUP($I140&amp;$J140&amp;W$1,Pesos!$A:$I,7,FALSE),VLOOKUP($I140&amp;$J140&amp;W$1,Pesos!$A:$I,9,FALSE)))</f>
        <v>1.2</v>
      </c>
      <c r="AV140" s="132">
        <f>IF(X140="","",IF(X140="SIM",VLOOKUP($I140&amp;$J140&amp;X$1,Pesos!$A:$I,7,FALSE),VLOOKUP($I140&amp;$J140&amp;X$1,Pesos!$A:$I,9,FALSE)))</f>
        <v>0.3</v>
      </c>
      <c r="AW140" s="132">
        <f>IF(Y140="","",IF(Y140="SIM",VLOOKUP($I140&amp;$J140&amp;Y$1,Pesos!$A:$I,7,FALSE),VLOOKUP($I140&amp;$J140&amp;Y$1,Pesos!$A:$I,9,FALSE)))</f>
        <v>0.3</v>
      </c>
      <c r="AX140" s="132">
        <f>IF(Z140="","",IF(Z140="SIM",VLOOKUP($I140&amp;$J140&amp;Z$1,Pesos!$A:$I,7,FALSE),VLOOKUP($I140&amp;$J140&amp;Z$1,Pesos!$A:$I,9,FALSE)))</f>
        <v>0.15</v>
      </c>
      <c r="AY140" s="132">
        <f>IF(AA140="","",IF(AA140="SIM",VLOOKUP($I140&amp;$J140&amp;AA$1,Pesos!$A:$I,7,FALSE),VLOOKUP($I140&amp;$J140&amp;AA$1,Pesos!$A:$I,9,FALSE)))</f>
        <v>0.2</v>
      </c>
      <c r="AZ140" s="132">
        <f>IF(AB140="","",IF(AB140="SIM",VLOOKUP($I140&amp;$J140&amp;AB$1,Pesos!$A:$I,7,FALSE),VLOOKUP($I140&amp;$J140&amp;AB$1,Pesos!$A:$I,9,FALSE)))</f>
        <v>0.3</v>
      </c>
      <c r="BA140" s="132">
        <f>IF(AC140="","",IF(AC140="SIM",VLOOKUP($I140&amp;$J140&amp;AC$1,Pesos!$A:$I,7,FALSE),VLOOKUP($I140&amp;$J140&amp;AC$1,Pesos!$A:$I,9,FALSE)))</f>
        <v>0.1</v>
      </c>
      <c r="BB140" s="132" t="str">
        <f>IF(AD140="","",IF(AD140="SIM",VLOOKUP($I140&amp;$J140&amp;AD$1,Pesos!$A:$I,7,FALSE),VLOOKUP($I140&amp;$J140&amp;AD$1,Pesos!$A:$I,9,FALSE)))</f>
        <v/>
      </c>
      <c r="BC140" s="132" t="str">
        <f>IF(AE140="","",IF(AE140="SIM",VLOOKUP($I140&amp;$J140&amp;AE$1,Pesos!$A:$I,7,FALSE),VLOOKUP($I140&amp;$J140&amp;AE$1,Pesos!$A:$I,9,FALSE)))</f>
        <v/>
      </c>
      <c r="BD140" s="158" t="str">
        <f>IFERROR(AF140*VLOOKUP(J140,'BD Campos'!$X$1:$Y$14,2,FALSE),"0")</f>
        <v>0</v>
      </c>
    </row>
    <row r="141" spans="1:56">
      <c r="A141" s="151" t="str">
        <f t="shared" si="11"/>
        <v>Jan10976Polícia 2BAS</v>
      </c>
      <c r="B141" s="149" t="str">
        <f t="shared" si="12"/>
        <v>Jan109762BASPADRÃO</v>
      </c>
      <c r="C141" s="152">
        <v>1</v>
      </c>
      <c r="D141" s="153">
        <v>46056.687518981482</v>
      </c>
      <c r="E141" s="154" t="s">
        <v>12</v>
      </c>
      <c r="F141" s="155">
        <v>10976</v>
      </c>
      <c r="G141" s="149" t="s">
        <v>310</v>
      </c>
      <c r="H141" s="154">
        <v>2</v>
      </c>
      <c r="I141" s="149" t="s">
        <v>92</v>
      </c>
      <c r="J141" s="149" t="s">
        <v>225</v>
      </c>
      <c r="K141" s="149" t="s">
        <v>223</v>
      </c>
      <c r="L141" s="156">
        <v>34769871</v>
      </c>
      <c r="M141" s="157">
        <v>3.7268518518518514E-3</v>
      </c>
      <c r="N141" s="131" t="s">
        <v>17</v>
      </c>
      <c r="O141" s="131" t="s">
        <v>17</v>
      </c>
      <c r="P141" s="131" t="s">
        <v>17</v>
      </c>
      <c r="Q141" s="131" t="s">
        <v>17</v>
      </c>
      <c r="R141" s="131" t="s">
        <v>17</v>
      </c>
      <c r="S141" s="131" t="s">
        <v>17</v>
      </c>
      <c r="T141" s="131" t="s">
        <v>17</v>
      </c>
      <c r="U141" s="131" t="s">
        <v>17</v>
      </c>
      <c r="V141" s="131" t="s">
        <v>17</v>
      </c>
      <c r="W141" s="131" t="s">
        <v>17</v>
      </c>
      <c r="X141" s="131" t="s">
        <v>17</v>
      </c>
      <c r="Y141" s="131" t="s">
        <v>17</v>
      </c>
      <c r="Z141" s="131" t="s">
        <v>17</v>
      </c>
      <c r="AA141" s="131" t="s">
        <v>17</v>
      </c>
      <c r="AB141" s="131" t="s">
        <v>17</v>
      </c>
      <c r="AC141" s="131" t="s">
        <v>17</v>
      </c>
      <c r="AD141" s="131"/>
      <c r="AE141" s="131"/>
      <c r="AF141" s="158">
        <f t="shared" si="14"/>
        <v>10.000000000000002</v>
      </c>
      <c r="AG141" s="159"/>
      <c r="AH141" s="155" t="s">
        <v>312</v>
      </c>
      <c r="AI141" s="155" t="s">
        <v>83</v>
      </c>
      <c r="AJ141" s="131" t="str">
        <f>IFERROR(VLOOKUP(E141&amp;F141,'Listagem dos op'!A:S,19,0),"")</f>
        <v/>
      </c>
      <c r="AK141" s="131" t="str">
        <f t="shared" si="13"/>
        <v>Jan10976</v>
      </c>
      <c r="AL141" s="154">
        <f>IF(N141="","",IF(N141="SIM",VLOOKUP($I141&amp;$J141&amp;N$1,Pesos!$A:$I,7,FALSE),VLOOKUP($I141&amp;$J141&amp;N$1,Pesos!$A:$I,9,FALSE)))</f>
        <v>0.1</v>
      </c>
      <c r="AM141" s="154">
        <f>IF(O141="","",IF(O141="SIM",VLOOKUP($I141&amp;$J141&amp;O$1,Pesos!$A:$I,7,FALSE),VLOOKUP($I141&amp;$J141&amp;O$1,Pesos!$A:$I,9,FALSE)))</f>
        <v>0.1</v>
      </c>
      <c r="AN141" s="154">
        <f>IF(P141="","",IF(P141="SIM",VLOOKUP($I141&amp;$J141&amp;P$1,Pesos!$A:$I,7,FALSE),VLOOKUP($I141&amp;$J141&amp;P$1,Pesos!$A:$I,9,FALSE)))</f>
        <v>0.1</v>
      </c>
      <c r="AO141" s="154">
        <f>IF(Q141="","",IF(Q141="SIM",VLOOKUP($I141&amp;$J141&amp;Q$1,Pesos!$A:$I,7,FALSE),VLOOKUP($I141&amp;$J141&amp;Q$1,Pesos!$A:$I,9,FALSE)))</f>
        <v>0.4</v>
      </c>
      <c r="AP141" s="154">
        <f>IF(R141="","",IF(R141="SIM",VLOOKUP($I141&amp;$J141&amp;R$1,Pesos!$A:$I,7,FALSE),VLOOKUP($I141&amp;$J141&amp;R$1,Pesos!$A:$I,9,FALSE)))</f>
        <v>1.3</v>
      </c>
      <c r="AQ141" s="154">
        <f>IF(S141="","",IF(S141="SIM",VLOOKUP($I141&amp;$J141&amp;S$1,Pesos!$A:$I,7,FALSE),VLOOKUP($I141&amp;$J141&amp;S$1,Pesos!$A:$I,9,FALSE)))</f>
        <v>1.35</v>
      </c>
      <c r="AR141" s="156">
        <f>IF(T141="","",IF(T141="SIM",VLOOKUP($I141&amp;$J141&amp;T$1,Pesos!$A:$I,7,FALSE),VLOOKUP($I141&amp;$J141&amp;T$1,Pesos!$A:$I,9,FALSE)))</f>
        <v>1.3</v>
      </c>
      <c r="AS141" s="132">
        <f>IF(U141="","",IF(U141="SIM",VLOOKUP($I141&amp;$J141&amp;U$1,Pesos!$A:$I,7,FALSE),VLOOKUP($I141&amp;$J141&amp;U$1,Pesos!$A:$I,9,FALSE)))</f>
        <v>1.5</v>
      </c>
      <c r="AT141" s="132">
        <f>IF(V141="","",IF(V141="SIM",VLOOKUP($I141&amp;$J141&amp;V$1,Pesos!$A:$I,7,FALSE),VLOOKUP($I141&amp;$J141&amp;V$1,Pesos!$A:$I,9,FALSE)))</f>
        <v>1.3</v>
      </c>
      <c r="AU141" s="132">
        <f>IF(W141="","",IF(W141="SIM",VLOOKUP($I141&amp;$J141&amp;W$1,Pesos!$A:$I,7,FALSE),VLOOKUP($I141&amp;$J141&amp;W$1,Pesos!$A:$I,9,FALSE)))</f>
        <v>1.2</v>
      </c>
      <c r="AV141" s="132">
        <f>IF(X141="","",IF(X141="SIM",VLOOKUP($I141&amp;$J141&amp;X$1,Pesos!$A:$I,7,FALSE),VLOOKUP($I141&amp;$J141&amp;X$1,Pesos!$A:$I,9,FALSE)))</f>
        <v>0.3</v>
      </c>
      <c r="AW141" s="132">
        <f>IF(Y141="","",IF(Y141="SIM",VLOOKUP($I141&amp;$J141&amp;Y$1,Pesos!$A:$I,7,FALSE),VLOOKUP($I141&amp;$J141&amp;Y$1,Pesos!$A:$I,9,FALSE)))</f>
        <v>0.3</v>
      </c>
      <c r="AX141" s="132">
        <f>IF(Z141="","",IF(Z141="SIM",VLOOKUP($I141&amp;$J141&amp;Z$1,Pesos!$A:$I,7,FALSE),VLOOKUP($I141&amp;$J141&amp;Z$1,Pesos!$A:$I,9,FALSE)))</f>
        <v>0.15</v>
      </c>
      <c r="AY141" s="132">
        <f>IF(AA141="","",IF(AA141="SIM",VLOOKUP($I141&amp;$J141&amp;AA$1,Pesos!$A:$I,7,FALSE),VLOOKUP($I141&amp;$J141&amp;AA$1,Pesos!$A:$I,9,FALSE)))</f>
        <v>0.2</v>
      </c>
      <c r="AZ141" s="132">
        <f>IF(AB141="","",IF(AB141="SIM",VLOOKUP($I141&amp;$J141&amp;AB$1,Pesos!$A:$I,7,FALSE),VLOOKUP($I141&amp;$J141&amp;AB$1,Pesos!$A:$I,9,FALSE)))</f>
        <v>0.3</v>
      </c>
      <c r="BA141" s="132">
        <f>IF(AC141="","",IF(AC141="SIM",VLOOKUP($I141&amp;$J141&amp;AC$1,Pesos!$A:$I,7,FALSE),VLOOKUP($I141&amp;$J141&amp;AC$1,Pesos!$A:$I,9,FALSE)))</f>
        <v>0.1</v>
      </c>
      <c r="BB141" s="132" t="str">
        <f>IF(AD141="","",IF(AD141="SIM",VLOOKUP($I141&amp;$J141&amp;AD$1,Pesos!$A:$I,7,FALSE),VLOOKUP($I141&amp;$J141&amp;AD$1,Pesos!$A:$I,9,FALSE)))</f>
        <v/>
      </c>
      <c r="BC141" s="132" t="str">
        <f>IF(AE141="","",IF(AE141="SIM",VLOOKUP($I141&amp;$J141&amp;AE$1,Pesos!$A:$I,7,FALSE),VLOOKUP($I141&amp;$J141&amp;AE$1,Pesos!$A:$I,9,FALSE)))</f>
        <v/>
      </c>
      <c r="BD141" s="158" t="str">
        <f>IFERROR(AF141*VLOOKUP(J141,'BD Campos'!$X$1:$Y$14,2,FALSE),"0")</f>
        <v>0</v>
      </c>
    </row>
    <row r="142" spans="1:56">
      <c r="A142" s="151" t="str">
        <f t="shared" si="11"/>
        <v>Jan11301ReceptivaLOGÍSTICA</v>
      </c>
      <c r="B142" s="149" t="str">
        <f t="shared" si="12"/>
        <v>Jan113015LOGÍSTICAPADRÃO</v>
      </c>
      <c r="C142" s="152">
        <v>1</v>
      </c>
      <c r="D142" s="153">
        <v>46056.694884143515</v>
      </c>
      <c r="E142" s="154" t="s">
        <v>12</v>
      </c>
      <c r="F142" s="155">
        <v>11301</v>
      </c>
      <c r="G142" s="149" t="s">
        <v>313</v>
      </c>
      <c r="H142" s="154">
        <v>5</v>
      </c>
      <c r="I142" s="149" t="s">
        <v>314</v>
      </c>
      <c r="J142" s="149" t="s">
        <v>81</v>
      </c>
      <c r="K142" s="149" t="s">
        <v>315</v>
      </c>
      <c r="L142" s="156"/>
      <c r="M142" s="157">
        <v>2.8009259259259259E-3</v>
      </c>
      <c r="N142" s="131" t="s">
        <v>17</v>
      </c>
      <c r="O142" s="131" t="s">
        <v>17</v>
      </c>
      <c r="P142" s="131" t="s">
        <v>17</v>
      </c>
      <c r="Q142" s="131" t="s">
        <v>17</v>
      </c>
      <c r="R142" s="131" t="s">
        <v>18</v>
      </c>
      <c r="S142" s="131" t="s">
        <v>17</v>
      </c>
      <c r="T142" s="131" t="s">
        <v>17</v>
      </c>
      <c r="U142" s="131" t="s">
        <v>18</v>
      </c>
      <c r="V142" s="131" t="s">
        <v>17</v>
      </c>
      <c r="W142" s="131" t="s">
        <v>17</v>
      </c>
      <c r="X142" s="131" t="s">
        <v>18</v>
      </c>
      <c r="Y142" s="131" t="s">
        <v>17</v>
      </c>
      <c r="Z142" s="131" t="s">
        <v>18</v>
      </c>
      <c r="AA142" s="131" t="s">
        <v>17</v>
      </c>
      <c r="AB142" s="131" t="s">
        <v>17</v>
      </c>
      <c r="AC142" s="131" t="s">
        <v>18</v>
      </c>
      <c r="AD142" s="131" t="s">
        <v>17</v>
      </c>
      <c r="AE142" s="131" t="s">
        <v>17</v>
      </c>
      <c r="AF142" s="158">
        <f t="shared" si="14"/>
        <v>6.3774999999999986</v>
      </c>
      <c r="AG142" s="159"/>
      <c r="AH142" s="155"/>
      <c r="AI142" s="155" t="s">
        <v>83</v>
      </c>
      <c r="AJ142" s="131" t="str">
        <f>IFERROR(VLOOKUP(E142&amp;F142,'Listagem dos op'!A:S,19,0),"")</f>
        <v/>
      </c>
      <c r="AK142" s="131" t="str">
        <f t="shared" si="13"/>
        <v>Jan11301</v>
      </c>
      <c r="AL142" s="154">
        <f>IF(N142="","",IF(N142="SIM",VLOOKUP($I142&amp;$J142&amp;N$1,Pesos!$A:$I,7,FALSE),VLOOKUP($I142&amp;$J142&amp;N$1,Pesos!$A:$I,9,FALSE)))</f>
        <v>0.1</v>
      </c>
      <c r="AM142" s="154">
        <f>IF(O142="","",IF(O142="SIM",VLOOKUP($I142&amp;$J142&amp;O$1,Pesos!$A:$I,7,FALSE),VLOOKUP($I142&amp;$J142&amp;O$1,Pesos!$A:$I,9,FALSE)))</f>
        <v>0.1</v>
      </c>
      <c r="AN142" s="154">
        <f>IF(P142="","",IF(P142="SIM",VLOOKUP($I142&amp;$J142&amp;P$1,Pesos!$A:$I,7,FALSE),VLOOKUP($I142&amp;$J142&amp;P$1,Pesos!$A:$I,9,FALSE)))</f>
        <v>0.1</v>
      </c>
      <c r="AO142" s="154">
        <f>IF(Q142="","",IF(Q142="SIM",VLOOKUP($I142&amp;$J142&amp;Q$1,Pesos!$A:$I,7,FALSE),VLOOKUP($I142&amp;$J142&amp;Q$1,Pesos!$A:$I,9,FALSE)))</f>
        <v>0.4</v>
      </c>
      <c r="AP142" s="154">
        <f>IF(R142="","",IF(R142="SIM",VLOOKUP($I142&amp;$J142&amp;R$1,Pesos!$A:$I,7,FALSE),VLOOKUP($I142&amp;$J142&amp;R$1,Pesos!$A:$I,9,FALSE)))</f>
        <v>-2.0000000000000004E-2</v>
      </c>
      <c r="AQ142" s="154">
        <f>IF(S142="","",IF(S142="SIM",VLOOKUP($I142&amp;$J142&amp;S$1,Pesos!$A:$I,7,FALSE),VLOOKUP($I142&amp;$J142&amp;S$1,Pesos!$A:$I,9,FALSE)))</f>
        <v>1</v>
      </c>
      <c r="AR142" s="156">
        <f>IF(T142="","",IF(T142="SIM",VLOOKUP($I142&amp;$J142&amp;T$1,Pesos!$A:$I,7,FALSE),VLOOKUP($I142&amp;$J142&amp;T$1,Pesos!$A:$I,9,FALSE)))</f>
        <v>1</v>
      </c>
      <c r="AS142" s="132">
        <f>IF(U142="","",IF(U142="SIM",VLOOKUP($I142&amp;$J142&amp;U$1,Pesos!$A:$I,7,FALSE),VLOOKUP($I142&amp;$J142&amp;U$1,Pesos!$A:$I,9,FALSE)))</f>
        <v>-0.05</v>
      </c>
      <c r="AT142" s="132">
        <f>IF(V142="","",IF(V142="SIM",VLOOKUP($I142&amp;$J142&amp;V$1,Pesos!$A:$I,7,FALSE),VLOOKUP($I142&amp;$J142&amp;V$1,Pesos!$A:$I,9,FALSE)))</f>
        <v>1</v>
      </c>
      <c r="AU142" s="132">
        <f>IF(W142="","",IF(W142="SIM",VLOOKUP($I142&amp;$J142&amp;W$1,Pesos!$A:$I,7,FALSE),VLOOKUP($I142&amp;$J142&amp;W$1,Pesos!$A:$I,9,FALSE)))</f>
        <v>0.95</v>
      </c>
      <c r="AV142" s="132">
        <f>IF(X142="","",IF(X142="SIM",VLOOKUP($I142&amp;$J142&amp;X$1,Pesos!$A:$I,7,FALSE),VLOOKUP($I142&amp;$J142&amp;X$1,Pesos!$A:$I,9,FALSE)))</f>
        <v>-4.7500000000000001E-2</v>
      </c>
      <c r="AW142" s="132">
        <f>IF(Y142="","",IF(Y142="SIM",VLOOKUP($I142&amp;$J142&amp;Y$1,Pesos!$A:$I,7,FALSE),VLOOKUP($I142&amp;$J142&amp;Y$1,Pesos!$A:$I,9,FALSE)))</f>
        <v>1</v>
      </c>
      <c r="AX142" s="132">
        <f>IF(Z142="","",IF(Z142="SIM",VLOOKUP($I142&amp;$J142&amp;Z$1,Pesos!$A:$I,7,FALSE),VLOOKUP($I142&amp;$J142&amp;Z$1,Pesos!$A:$I,9,FALSE)))</f>
        <v>-4.7500000000000001E-2</v>
      </c>
      <c r="AY142" s="132">
        <f>IF(AA142="","",IF(AA142="SIM",VLOOKUP($I142&amp;$J142&amp;AA$1,Pesos!$A:$I,7,FALSE),VLOOKUP($I142&amp;$J142&amp;AA$1,Pesos!$A:$I,9,FALSE)))</f>
        <v>0.3</v>
      </c>
      <c r="AZ142" s="132">
        <f>IF(AB142="","",IF(AB142="SIM",VLOOKUP($I142&amp;$J142&amp;AB$1,Pesos!$A:$I,7,FALSE),VLOOKUP($I142&amp;$J142&amp;AB$1,Pesos!$A:$I,9,FALSE)))</f>
        <v>0.3</v>
      </c>
      <c r="BA142" s="132">
        <f>IF(AC142="","",IF(AC142="SIM",VLOOKUP($I142&amp;$J142&amp;AC$1,Pesos!$A:$I,7,FALSE),VLOOKUP($I142&amp;$J142&amp;AC$1,Pesos!$A:$I,9,FALSE)))</f>
        <v>-7.4999999999999997E-3</v>
      </c>
      <c r="BB142" s="132">
        <f>IF(AD142="","",IF(AD142="SIM",VLOOKUP($I142&amp;$J142&amp;AD$1,Pesos!$A:$I,7,FALSE),VLOOKUP($I142&amp;$J142&amp;AD$1,Pesos!$A:$I,9,FALSE)))</f>
        <v>0.2</v>
      </c>
      <c r="BC142" s="132">
        <f>IF(AE142="","",IF(AE142="SIM",VLOOKUP($I142&amp;$J142&amp;AE$1,Pesos!$A:$I,7,FALSE),VLOOKUP($I142&amp;$J142&amp;AE$1,Pesos!$A:$I,9,FALSE)))</f>
        <v>0.1</v>
      </c>
      <c r="BD142" s="158">
        <f>IFERROR(AF142*VLOOKUP(J142,'BD Campos'!$X$1:$Y$14,2,FALSE),"0")</f>
        <v>6.3774999999999986</v>
      </c>
    </row>
    <row r="143" spans="1:56">
      <c r="A143" s="151" t="str">
        <f t="shared" si="11"/>
        <v>Jan11301Receptiva 2LOGÍSTICA</v>
      </c>
      <c r="B143" s="149" t="str">
        <f t="shared" si="12"/>
        <v>Jan113016LOGÍSTICAPADRÃO</v>
      </c>
      <c r="C143" s="152">
        <v>1</v>
      </c>
      <c r="D143" s="153">
        <v>46056.702639583331</v>
      </c>
      <c r="E143" s="154" t="s">
        <v>12</v>
      </c>
      <c r="F143" s="155">
        <v>11301</v>
      </c>
      <c r="G143" s="149" t="s">
        <v>313</v>
      </c>
      <c r="H143" s="154">
        <v>6</v>
      </c>
      <c r="I143" s="149" t="s">
        <v>316</v>
      </c>
      <c r="J143" s="149" t="s">
        <v>86</v>
      </c>
      <c r="K143" s="149" t="s">
        <v>315</v>
      </c>
      <c r="L143" s="156"/>
      <c r="M143" s="157">
        <v>4.8842592592592592E-3</v>
      </c>
      <c r="N143" s="131" t="s">
        <v>17</v>
      </c>
      <c r="O143" s="131" t="s">
        <v>17</v>
      </c>
      <c r="P143" s="131" t="s">
        <v>17</v>
      </c>
      <c r="Q143" s="131" t="s">
        <v>17</v>
      </c>
      <c r="R143" s="131" t="s">
        <v>18</v>
      </c>
      <c r="S143" s="131" t="s">
        <v>17</v>
      </c>
      <c r="T143" s="131" t="s">
        <v>18</v>
      </c>
      <c r="U143" s="131" t="s">
        <v>18</v>
      </c>
      <c r="V143" s="131" t="s">
        <v>17</v>
      </c>
      <c r="W143" s="131" t="s">
        <v>17</v>
      </c>
      <c r="X143" s="131" t="s">
        <v>17</v>
      </c>
      <c r="Y143" s="131" t="s">
        <v>17</v>
      </c>
      <c r="Z143" s="131" t="s">
        <v>17</v>
      </c>
      <c r="AA143" s="131" t="s">
        <v>17</v>
      </c>
      <c r="AB143" s="131" t="s">
        <v>18</v>
      </c>
      <c r="AC143" s="131" t="s">
        <v>17</v>
      </c>
      <c r="AD143" s="131" t="s">
        <v>17</v>
      </c>
      <c r="AE143" s="131"/>
      <c r="AF143" s="158">
        <f>SUM(AL143:BC143)</f>
        <v>7.3224999999999998</v>
      </c>
      <c r="AG143" s="159"/>
      <c r="AH143" s="155"/>
      <c r="AI143" s="155" t="s">
        <v>83</v>
      </c>
      <c r="AJ143" s="131" t="str">
        <f>IFERROR(VLOOKUP(E143&amp;F143,'Listagem dos op'!A:S,19,0),"")</f>
        <v/>
      </c>
      <c r="AK143" s="131" t="str">
        <f t="shared" si="13"/>
        <v>Jan11301</v>
      </c>
      <c r="AL143" s="154">
        <f>IF(N143="","",IF(N143="SIM",VLOOKUP($I143&amp;$J143&amp;N$1,Pesos!$A:$I,7,FALSE),VLOOKUP($I143&amp;$J143&amp;N$1,Pesos!$A:$I,9,FALSE)))</f>
        <v>0.1</v>
      </c>
      <c r="AM143" s="154">
        <f>IF(O143="","",IF(O143="SIM",VLOOKUP($I143&amp;$J143&amp;O$1,Pesos!$A:$I,7,FALSE),VLOOKUP($I143&amp;$J143&amp;O$1,Pesos!$A:$I,9,FALSE)))</f>
        <v>0.1</v>
      </c>
      <c r="AN143" s="154">
        <f>IF(P143="","",IF(P143="SIM",VLOOKUP($I143&amp;$J143&amp;P$1,Pesos!$A:$I,7,FALSE),VLOOKUP($I143&amp;$J143&amp;P$1,Pesos!$A:$I,9,FALSE)))</f>
        <v>0.1</v>
      </c>
      <c r="AO143" s="154">
        <f>IF(Q143="","",IF(Q143="SIM",VLOOKUP($I143&amp;$J143&amp;Q$1,Pesos!$A:$I,7,FALSE),VLOOKUP($I143&amp;$J143&amp;Q$1,Pesos!$A:$I,9,FALSE)))</f>
        <v>0.4</v>
      </c>
      <c r="AP143" s="154">
        <f>IF(R143="","",IF(R143="SIM",VLOOKUP($I143&amp;$J143&amp;R$1,Pesos!$A:$I,7,FALSE),VLOOKUP($I143&amp;$J143&amp;R$1,Pesos!$A:$I,9,FALSE)))</f>
        <v>-2.0000000000000004E-2</v>
      </c>
      <c r="AQ143" s="154">
        <f>IF(S143="","",IF(S143="SIM",VLOOKUP($I143&amp;$J143&amp;S$1,Pesos!$A:$I,7,FALSE),VLOOKUP($I143&amp;$J143&amp;S$1,Pesos!$A:$I,9,FALSE)))</f>
        <v>1</v>
      </c>
      <c r="AR143" s="156">
        <f>IF(T143="","",IF(T143="SIM",VLOOKUP($I143&amp;$J143&amp;T$1,Pesos!$A:$I,7,FALSE),VLOOKUP($I143&amp;$J143&amp;T$1,Pesos!$A:$I,9,FALSE)))</f>
        <v>-0.05</v>
      </c>
      <c r="AS143" s="132">
        <f>IF(U143="","",IF(U143="SIM",VLOOKUP($I143&amp;$J143&amp;U$1,Pesos!$A:$I,7,FALSE),VLOOKUP($I143&amp;$J143&amp;U$1,Pesos!$A:$I,9,FALSE)))</f>
        <v>-0.05</v>
      </c>
      <c r="AT143" s="132">
        <f>IF(V143="","",IF(V143="SIM",VLOOKUP($I143&amp;$J143&amp;V$1,Pesos!$A:$I,7,FALSE),VLOOKUP($I143&amp;$J143&amp;V$1,Pesos!$A:$I,9,FALSE)))</f>
        <v>1.4000000000000001</v>
      </c>
      <c r="AU143" s="132">
        <f>IF(W143="","",IF(W143="SIM",VLOOKUP($I143&amp;$J143&amp;W$1,Pesos!$A:$I,7,FALSE),VLOOKUP($I143&amp;$J143&amp;W$1,Pesos!$A:$I,9,FALSE)))</f>
        <v>1.45</v>
      </c>
      <c r="AV143" s="132">
        <f>IF(X143="","",IF(X143="SIM",VLOOKUP($I143&amp;$J143&amp;X$1,Pesos!$A:$I,7,FALSE),VLOOKUP($I143&amp;$J143&amp;X$1,Pesos!$A:$I,9,FALSE)))</f>
        <v>1</v>
      </c>
      <c r="AW143" s="132">
        <f>IF(Y143="","",IF(Y143="SIM",VLOOKUP($I143&amp;$J143&amp;Y$1,Pesos!$A:$I,7,FALSE),VLOOKUP($I143&amp;$J143&amp;Y$1,Pesos!$A:$I,9,FALSE)))</f>
        <v>1</v>
      </c>
      <c r="AX143" s="132">
        <f>IF(Z143="","",IF(Z143="SIM",VLOOKUP($I143&amp;$J143&amp;Z$1,Pesos!$A:$I,7,FALSE),VLOOKUP($I143&amp;$J143&amp;Z$1,Pesos!$A:$I,9,FALSE)))</f>
        <v>0.3</v>
      </c>
      <c r="AY143" s="132">
        <f>IF(AA143="","",IF(AA143="SIM",VLOOKUP($I143&amp;$J143&amp;AA$1,Pesos!$A:$I,7,FALSE),VLOOKUP($I143&amp;$J143&amp;AA$1,Pesos!$A:$I,9,FALSE)))</f>
        <v>0.3</v>
      </c>
      <c r="AZ143" s="132">
        <f>IF(AB143="","",IF(AB143="SIM",VLOOKUP($I143&amp;$J143&amp;AB$1,Pesos!$A:$I,7,FALSE),VLOOKUP($I143&amp;$J143&amp;AB$1,Pesos!$A:$I,9,FALSE)))</f>
        <v>-7.4999999999999997E-3</v>
      </c>
      <c r="BA143" s="132">
        <f>IF(AC143="","",IF(AC143="SIM",VLOOKUP($I143&amp;$J143&amp;AC$1,Pesos!$A:$I,7,FALSE),VLOOKUP($I143&amp;$J143&amp;AC$1,Pesos!$A:$I,9,FALSE)))</f>
        <v>0.2</v>
      </c>
      <c r="BB143" s="132">
        <f>IF(AD143="","",IF(AD143="SIM",VLOOKUP($I143&amp;$J143&amp;AD$1,Pesos!$A:$I,7,FALSE),VLOOKUP($I143&amp;$J143&amp;AD$1,Pesos!$A:$I,9,FALSE)))</f>
        <v>0.1</v>
      </c>
      <c r="BC143" s="132" t="str">
        <f>IF(AE143="","",IF(AE143="SIM",VLOOKUP($I143&amp;$J143&amp;AE$1,Pesos!$A:$I,7,FALSE),VLOOKUP($I143&amp;$J143&amp;AE$1,Pesos!$A:$I,9,FALSE)))</f>
        <v/>
      </c>
      <c r="BD143" s="158">
        <f>IFERROR(AF143*VLOOKUP(J143,'BD Campos'!$X$1:$Y$14,2,FALSE),"0")</f>
        <v>7.3224999999999998</v>
      </c>
    </row>
    <row r="144" spans="1:56">
      <c r="A144" s="151" t="str">
        <f t="shared" si="11"/>
        <v>Jan11302ReceptivaLOGÍSTICA</v>
      </c>
      <c r="B144" s="149" t="str">
        <f t="shared" si="12"/>
        <v>Jan113025LOGÍSTICAPADRÃO</v>
      </c>
      <c r="C144" s="152">
        <v>1</v>
      </c>
      <c r="D144" s="153">
        <v>46056.70873564815</v>
      </c>
      <c r="E144" s="154" t="s">
        <v>12</v>
      </c>
      <c r="F144" s="155">
        <v>11302</v>
      </c>
      <c r="G144" s="149" t="s">
        <v>317</v>
      </c>
      <c r="H144" s="154">
        <v>5</v>
      </c>
      <c r="I144" s="149" t="s">
        <v>314</v>
      </c>
      <c r="J144" s="149" t="s">
        <v>81</v>
      </c>
      <c r="K144" s="149" t="s">
        <v>315</v>
      </c>
      <c r="L144" s="156"/>
      <c r="M144" s="157">
        <v>3.1018518518518522E-3</v>
      </c>
      <c r="N144" s="131" t="s">
        <v>17</v>
      </c>
      <c r="O144" s="131" t="s">
        <v>17</v>
      </c>
      <c r="P144" s="131" t="s">
        <v>17</v>
      </c>
      <c r="Q144" s="131" t="s">
        <v>17</v>
      </c>
      <c r="R144" s="131" t="s">
        <v>18</v>
      </c>
      <c r="S144" s="131" t="s">
        <v>17</v>
      </c>
      <c r="T144" s="131" t="s">
        <v>17</v>
      </c>
      <c r="U144" s="131" t="s">
        <v>17</v>
      </c>
      <c r="V144" s="131" t="s">
        <v>17</v>
      </c>
      <c r="W144" s="131" t="s">
        <v>17</v>
      </c>
      <c r="X144" s="131" t="s">
        <v>18</v>
      </c>
      <c r="Y144" s="131" t="s">
        <v>17</v>
      </c>
      <c r="Z144" s="131" t="s">
        <v>18</v>
      </c>
      <c r="AA144" s="131" t="s">
        <v>18</v>
      </c>
      <c r="AB144" s="131" t="s">
        <v>17</v>
      </c>
      <c r="AC144" s="131" t="s">
        <v>18</v>
      </c>
      <c r="AD144" s="131" t="s">
        <v>17</v>
      </c>
      <c r="AE144" s="131" t="s">
        <v>17</v>
      </c>
      <c r="AF144" s="158">
        <f t="shared" si="14"/>
        <v>7.1124999999999989</v>
      </c>
      <c r="AG144" s="159"/>
      <c r="AH144" s="155"/>
      <c r="AI144" s="155" t="s">
        <v>83</v>
      </c>
      <c r="AJ144" s="131" t="str">
        <f>IFERROR(VLOOKUP(E144&amp;F144,'Listagem dos op'!A:S,19,0),"")</f>
        <v/>
      </c>
      <c r="AK144" s="131" t="str">
        <f t="shared" si="13"/>
        <v>Jan11302</v>
      </c>
      <c r="AL144" s="154">
        <f>IF(N144="","",IF(N144="SIM",VLOOKUP($I144&amp;$J144&amp;N$1,Pesos!$A:$I,7,FALSE),VLOOKUP($I144&amp;$J144&amp;N$1,Pesos!$A:$I,9,FALSE)))</f>
        <v>0.1</v>
      </c>
      <c r="AM144" s="154">
        <f>IF(O144="","",IF(O144="SIM",VLOOKUP($I144&amp;$J144&amp;O$1,Pesos!$A:$I,7,FALSE),VLOOKUP($I144&amp;$J144&amp;O$1,Pesos!$A:$I,9,FALSE)))</f>
        <v>0.1</v>
      </c>
      <c r="AN144" s="154">
        <f>IF(P144="","",IF(P144="SIM",VLOOKUP($I144&amp;$J144&amp;P$1,Pesos!$A:$I,7,FALSE),VLOOKUP($I144&amp;$J144&amp;P$1,Pesos!$A:$I,9,FALSE)))</f>
        <v>0.1</v>
      </c>
      <c r="AO144" s="154">
        <f>IF(Q144="","",IF(Q144="SIM",VLOOKUP($I144&amp;$J144&amp;Q$1,Pesos!$A:$I,7,FALSE),VLOOKUP($I144&amp;$J144&amp;Q$1,Pesos!$A:$I,9,FALSE)))</f>
        <v>0.4</v>
      </c>
      <c r="AP144" s="154">
        <f>IF(R144="","",IF(R144="SIM",VLOOKUP($I144&amp;$J144&amp;R$1,Pesos!$A:$I,7,FALSE),VLOOKUP($I144&amp;$J144&amp;R$1,Pesos!$A:$I,9,FALSE)))</f>
        <v>-2.0000000000000004E-2</v>
      </c>
      <c r="AQ144" s="154">
        <f>IF(S144="","",IF(S144="SIM",VLOOKUP($I144&amp;$J144&amp;S$1,Pesos!$A:$I,7,FALSE),VLOOKUP($I144&amp;$J144&amp;S$1,Pesos!$A:$I,9,FALSE)))</f>
        <v>1</v>
      </c>
      <c r="AR144" s="156">
        <f>IF(T144="","",IF(T144="SIM",VLOOKUP($I144&amp;$J144&amp;T$1,Pesos!$A:$I,7,FALSE),VLOOKUP($I144&amp;$J144&amp;T$1,Pesos!$A:$I,9,FALSE)))</f>
        <v>1</v>
      </c>
      <c r="AS144" s="132">
        <f>IF(U144="","",IF(U144="SIM",VLOOKUP($I144&amp;$J144&amp;U$1,Pesos!$A:$I,7,FALSE),VLOOKUP($I144&amp;$J144&amp;U$1,Pesos!$A:$I,9,FALSE)))</f>
        <v>1</v>
      </c>
      <c r="AT144" s="132">
        <f>IF(V144="","",IF(V144="SIM",VLOOKUP($I144&amp;$J144&amp;V$1,Pesos!$A:$I,7,FALSE),VLOOKUP($I144&amp;$J144&amp;V$1,Pesos!$A:$I,9,FALSE)))</f>
        <v>1</v>
      </c>
      <c r="AU144" s="132">
        <f>IF(W144="","",IF(W144="SIM",VLOOKUP($I144&amp;$J144&amp;W$1,Pesos!$A:$I,7,FALSE),VLOOKUP($I144&amp;$J144&amp;W$1,Pesos!$A:$I,9,FALSE)))</f>
        <v>0.95</v>
      </c>
      <c r="AV144" s="132">
        <f>IF(X144="","",IF(X144="SIM",VLOOKUP($I144&amp;$J144&amp;X$1,Pesos!$A:$I,7,FALSE),VLOOKUP($I144&amp;$J144&amp;X$1,Pesos!$A:$I,9,FALSE)))</f>
        <v>-4.7500000000000001E-2</v>
      </c>
      <c r="AW144" s="132">
        <f>IF(Y144="","",IF(Y144="SIM",VLOOKUP($I144&amp;$J144&amp;Y$1,Pesos!$A:$I,7,FALSE),VLOOKUP($I144&amp;$J144&amp;Y$1,Pesos!$A:$I,9,FALSE)))</f>
        <v>1</v>
      </c>
      <c r="AX144" s="132">
        <f>IF(Z144="","",IF(Z144="SIM",VLOOKUP($I144&amp;$J144&amp;Z$1,Pesos!$A:$I,7,FALSE),VLOOKUP($I144&amp;$J144&amp;Z$1,Pesos!$A:$I,9,FALSE)))</f>
        <v>-4.7500000000000001E-2</v>
      </c>
      <c r="AY144" s="132">
        <f>IF(AA144="","",IF(AA144="SIM",VLOOKUP($I144&amp;$J144&amp;AA$1,Pesos!$A:$I,7,FALSE),VLOOKUP($I144&amp;$J144&amp;AA$1,Pesos!$A:$I,9,FALSE)))</f>
        <v>-1.4999999999999999E-2</v>
      </c>
      <c r="AZ144" s="132">
        <f>IF(AB144="","",IF(AB144="SIM",VLOOKUP($I144&amp;$J144&amp;AB$1,Pesos!$A:$I,7,FALSE),VLOOKUP($I144&amp;$J144&amp;AB$1,Pesos!$A:$I,9,FALSE)))</f>
        <v>0.3</v>
      </c>
      <c r="BA144" s="132">
        <f>IF(AC144="","",IF(AC144="SIM",VLOOKUP($I144&amp;$J144&amp;AC$1,Pesos!$A:$I,7,FALSE),VLOOKUP($I144&amp;$J144&amp;AC$1,Pesos!$A:$I,9,FALSE)))</f>
        <v>-7.4999999999999997E-3</v>
      </c>
      <c r="BB144" s="132">
        <f>IF(AD144="","",IF(AD144="SIM",VLOOKUP($I144&amp;$J144&amp;AD$1,Pesos!$A:$I,7,FALSE),VLOOKUP($I144&amp;$J144&amp;AD$1,Pesos!$A:$I,9,FALSE)))</f>
        <v>0.2</v>
      </c>
      <c r="BC144" s="132">
        <f>IF(AE144="","",IF(AE144="SIM",VLOOKUP($I144&amp;$J144&amp;AE$1,Pesos!$A:$I,7,FALSE),VLOOKUP($I144&amp;$J144&amp;AE$1,Pesos!$A:$I,9,FALSE)))</f>
        <v>0.1</v>
      </c>
      <c r="BD144" s="158">
        <f>IFERROR(AF144*VLOOKUP(J144,'BD Campos'!$X$1:$Y$14,2,FALSE),"0")</f>
        <v>7.1124999999999989</v>
      </c>
    </row>
    <row r="145" spans="1:56">
      <c r="A145" s="151" t="str">
        <f t="shared" si="11"/>
        <v>Jan11302Receptiva 2LOGÍSTICA</v>
      </c>
      <c r="B145" s="149" t="str">
        <f t="shared" si="12"/>
        <v>Jan113026LOGÍSTICAPADRÃO</v>
      </c>
      <c r="C145" s="152">
        <v>1</v>
      </c>
      <c r="D145" s="153">
        <v>46056.717107407407</v>
      </c>
      <c r="E145" s="154" t="s">
        <v>12</v>
      </c>
      <c r="F145" s="155">
        <v>11302</v>
      </c>
      <c r="G145" s="149" t="s">
        <v>317</v>
      </c>
      <c r="H145" s="154">
        <v>6</v>
      </c>
      <c r="I145" s="149" t="s">
        <v>316</v>
      </c>
      <c r="J145" s="149" t="s">
        <v>86</v>
      </c>
      <c r="K145" s="149" t="s">
        <v>315</v>
      </c>
      <c r="L145" s="156"/>
      <c r="M145" s="157">
        <v>4.6412037037037038E-3</v>
      </c>
      <c r="N145" s="131" t="s">
        <v>17</v>
      </c>
      <c r="O145" s="131" t="s">
        <v>17</v>
      </c>
      <c r="P145" s="131" t="s">
        <v>17</v>
      </c>
      <c r="Q145" s="131" t="s">
        <v>17</v>
      </c>
      <c r="R145" s="131" t="s">
        <v>18</v>
      </c>
      <c r="S145" s="131" t="s">
        <v>17</v>
      </c>
      <c r="T145" s="131" t="s">
        <v>17</v>
      </c>
      <c r="U145" s="131" t="s">
        <v>17</v>
      </c>
      <c r="V145" s="131" t="s">
        <v>17</v>
      </c>
      <c r="W145" s="131" t="s">
        <v>18</v>
      </c>
      <c r="X145" s="131" t="s">
        <v>18</v>
      </c>
      <c r="Y145" s="131" t="s">
        <v>17</v>
      </c>
      <c r="Z145" s="131" t="s">
        <v>17</v>
      </c>
      <c r="AA145" s="131" t="s">
        <v>17</v>
      </c>
      <c r="AB145" s="131" t="s">
        <v>18</v>
      </c>
      <c r="AC145" s="131" t="s">
        <v>17</v>
      </c>
      <c r="AD145" s="131" t="s">
        <v>17</v>
      </c>
      <c r="AE145" s="131"/>
      <c r="AF145" s="158">
        <f t="shared" si="14"/>
        <v>6.85</v>
      </c>
      <c r="AG145" s="159"/>
      <c r="AH145" s="155"/>
      <c r="AI145" s="155" t="s">
        <v>83</v>
      </c>
      <c r="AJ145" s="131" t="str">
        <f>IFERROR(VLOOKUP(E145&amp;F145,'Listagem dos op'!A:S,19,0),"")</f>
        <v/>
      </c>
      <c r="AK145" s="131" t="str">
        <f t="shared" si="13"/>
        <v>Jan11302</v>
      </c>
      <c r="AL145" s="154">
        <f>IF(N145="","",IF(N145="SIM",VLOOKUP($I145&amp;$J145&amp;N$1,Pesos!$A:$I,7,FALSE),VLOOKUP($I145&amp;$J145&amp;N$1,Pesos!$A:$I,9,FALSE)))</f>
        <v>0.1</v>
      </c>
      <c r="AM145" s="154">
        <f>IF(O145="","",IF(O145="SIM",VLOOKUP($I145&amp;$J145&amp;O$1,Pesos!$A:$I,7,FALSE),VLOOKUP($I145&amp;$J145&amp;O$1,Pesos!$A:$I,9,FALSE)))</f>
        <v>0.1</v>
      </c>
      <c r="AN145" s="154">
        <f>IF(P145="","",IF(P145="SIM",VLOOKUP($I145&amp;$J145&amp;P$1,Pesos!$A:$I,7,FALSE),VLOOKUP($I145&amp;$J145&amp;P$1,Pesos!$A:$I,9,FALSE)))</f>
        <v>0.1</v>
      </c>
      <c r="AO145" s="154">
        <f>IF(Q145="","",IF(Q145="SIM",VLOOKUP($I145&amp;$J145&amp;Q$1,Pesos!$A:$I,7,FALSE),VLOOKUP($I145&amp;$J145&amp;Q$1,Pesos!$A:$I,9,FALSE)))</f>
        <v>0.4</v>
      </c>
      <c r="AP145" s="154">
        <f>IF(R145="","",IF(R145="SIM",VLOOKUP($I145&amp;$J145&amp;R$1,Pesos!$A:$I,7,FALSE),VLOOKUP($I145&amp;$J145&amp;R$1,Pesos!$A:$I,9,FALSE)))</f>
        <v>-2.0000000000000004E-2</v>
      </c>
      <c r="AQ145" s="154">
        <f>IF(S145="","",IF(S145="SIM",VLOOKUP($I145&amp;$J145&amp;S$1,Pesos!$A:$I,7,FALSE),VLOOKUP($I145&amp;$J145&amp;S$1,Pesos!$A:$I,9,FALSE)))</f>
        <v>1</v>
      </c>
      <c r="AR145" s="156">
        <f>IF(T145="","",IF(T145="SIM",VLOOKUP($I145&amp;$J145&amp;T$1,Pesos!$A:$I,7,FALSE),VLOOKUP($I145&amp;$J145&amp;T$1,Pesos!$A:$I,9,FALSE)))</f>
        <v>1</v>
      </c>
      <c r="AS145" s="132">
        <f>IF(U145="","",IF(U145="SIM",VLOOKUP($I145&amp;$J145&amp;U$1,Pesos!$A:$I,7,FALSE),VLOOKUP($I145&amp;$J145&amp;U$1,Pesos!$A:$I,9,FALSE)))</f>
        <v>1</v>
      </c>
      <c r="AT145" s="132">
        <f>IF(V145="","",IF(V145="SIM",VLOOKUP($I145&amp;$J145&amp;V$1,Pesos!$A:$I,7,FALSE),VLOOKUP($I145&amp;$J145&amp;V$1,Pesos!$A:$I,9,FALSE)))</f>
        <v>1.4000000000000001</v>
      </c>
      <c r="AU145" s="132">
        <f>IF(W145="","",IF(W145="SIM",VLOOKUP($I145&amp;$J145&amp;W$1,Pesos!$A:$I,7,FALSE),VLOOKUP($I145&amp;$J145&amp;W$1,Pesos!$A:$I,9,FALSE)))</f>
        <v>-7.2499999999999995E-2</v>
      </c>
      <c r="AV145" s="132">
        <f>IF(X145="","",IF(X145="SIM",VLOOKUP($I145&amp;$J145&amp;X$1,Pesos!$A:$I,7,FALSE),VLOOKUP($I145&amp;$J145&amp;X$1,Pesos!$A:$I,9,FALSE)))</f>
        <v>-0.05</v>
      </c>
      <c r="AW145" s="132">
        <f>IF(Y145="","",IF(Y145="SIM",VLOOKUP($I145&amp;$J145&amp;Y$1,Pesos!$A:$I,7,FALSE),VLOOKUP($I145&amp;$J145&amp;Y$1,Pesos!$A:$I,9,FALSE)))</f>
        <v>1</v>
      </c>
      <c r="AX145" s="132">
        <f>IF(Z145="","",IF(Z145="SIM",VLOOKUP($I145&amp;$J145&amp;Z$1,Pesos!$A:$I,7,FALSE),VLOOKUP($I145&amp;$J145&amp;Z$1,Pesos!$A:$I,9,FALSE)))</f>
        <v>0.3</v>
      </c>
      <c r="AY145" s="132">
        <f>IF(AA145="","",IF(AA145="SIM",VLOOKUP($I145&amp;$J145&amp;AA$1,Pesos!$A:$I,7,FALSE),VLOOKUP($I145&amp;$J145&amp;AA$1,Pesos!$A:$I,9,FALSE)))</f>
        <v>0.3</v>
      </c>
      <c r="AZ145" s="132">
        <f>IF(AB145="","",IF(AB145="SIM",VLOOKUP($I145&amp;$J145&amp;AB$1,Pesos!$A:$I,7,FALSE),VLOOKUP($I145&amp;$J145&amp;AB$1,Pesos!$A:$I,9,FALSE)))</f>
        <v>-7.4999999999999997E-3</v>
      </c>
      <c r="BA145" s="132">
        <f>IF(AC145="","",IF(AC145="SIM",VLOOKUP($I145&amp;$J145&amp;AC$1,Pesos!$A:$I,7,FALSE),VLOOKUP($I145&amp;$J145&amp;AC$1,Pesos!$A:$I,9,FALSE)))</f>
        <v>0.2</v>
      </c>
      <c r="BB145" s="132">
        <f>IF(AD145="","",IF(AD145="SIM",VLOOKUP($I145&amp;$J145&amp;AD$1,Pesos!$A:$I,7,FALSE),VLOOKUP($I145&amp;$J145&amp;AD$1,Pesos!$A:$I,9,FALSE)))</f>
        <v>0.1</v>
      </c>
      <c r="BC145" s="132" t="str">
        <f>IF(AE145="","",IF(AE145="SIM",VLOOKUP($I145&amp;$J145&amp;AE$1,Pesos!$A:$I,7,FALSE),VLOOKUP($I145&amp;$J145&amp;AE$1,Pesos!$A:$I,9,FALSE)))</f>
        <v/>
      </c>
      <c r="BD145" s="158">
        <f>IFERROR(AF145*VLOOKUP(J145,'BD Campos'!$X$1:$Y$14,2,FALSE),"0")</f>
        <v>6.85</v>
      </c>
    </row>
    <row r="146" spans="1:56">
      <c r="A146" s="151" t="str">
        <f t="shared" si="11"/>
        <v>Jan11237ReceptivaLOGÍSTICA</v>
      </c>
      <c r="B146" s="149" t="str">
        <f t="shared" si="12"/>
        <v>Jan112375LOGÍSTICAPADRÃO</v>
      </c>
      <c r="C146" s="152">
        <v>1</v>
      </c>
      <c r="D146" s="153">
        <v>46056.724071296296</v>
      </c>
      <c r="E146" s="154" t="s">
        <v>12</v>
      </c>
      <c r="F146" s="155">
        <v>11237</v>
      </c>
      <c r="G146" s="149" t="s">
        <v>318</v>
      </c>
      <c r="H146" s="154">
        <v>5</v>
      </c>
      <c r="I146" s="149" t="s">
        <v>314</v>
      </c>
      <c r="J146" s="149" t="s">
        <v>81</v>
      </c>
      <c r="K146" s="149" t="s">
        <v>315</v>
      </c>
      <c r="L146" s="156"/>
      <c r="M146" s="157">
        <v>6.2499999999999995E-3</v>
      </c>
      <c r="N146" s="131" t="s">
        <v>17</v>
      </c>
      <c r="O146" s="131" t="s">
        <v>17</v>
      </c>
      <c r="P146" s="131" t="s">
        <v>17</v>
      </c>
      <c r="Q146" s="131" t="s">
        <v>18</v>
      </c>
      <c r="R146" s="131" t="s">
        <v>17</v>
      </c>
      <c r="S146" s="131" t="s">
        <v>17</v>
      </c>
      <c r="T146" s="131" t="s">
        <v>17</v>
      </c>
      <c r="U146" s="131" t="s">
        <v>17</v>
      </c>
      <c r="V146" s="131" t="s">
        <v>17</v>
      </c>
      <c r="W146" s="131" t="s">
        <v>17</v>
      </c>
      <c r="X146" s="131" t="s">
        <v>18</v>
      </c>
      <c r="Y146" s="131" t="s">
        <v>17</v>
      </c>
      <c r="Z146" s="131" t="s">
        <v>18</v>
      </c>
      <c r="AA146" s="131" t="s">
        <v>17</v>
      </c>
      <c r="AB146" s="131" t="s">
        <v>17</v>
      </c>
      <c r="AC146" s="131" t="s">
        <v>18</v>
      </c>
      <c r="AD146" s="131" t="s">
        <v>17</v>
      </c>
      <c r="AE146" s="131" t="s">
        <v>17</v>
      </c>
      <c r="AF146" s="158">
        <f t="shared" si="14"/>
        <v>7.4274999999999984</v>
      </c>
      <c r="AG146" s="159"/>
      <c r="AH146" s="155"/>
      <c r="AI146" s="155" t="s">
        <v>83</v>
      </c>
      <c r="AJ146" s="131" t="str">
        <f>IFERROR(VLOOKUP(E146&amp;F146,'Listagem dos op'!A:S,19,0),"")</f>
        <v/>
      </c>
      <c r="AK146" s="131" t="str">
        <f t="shared" si="13"/>
        <v>Jan11237</v>
      </c>
      <c r="AL146" s="154">
        <f>IF(N146="","",IF(N146="SIM",VLOOKUP($I146&amp;$J146&amp;N$1,Pesos!$A:$I,7,FALSE),VLOOKUP($I146&amp;$J146&amp;N$1,Pesos!$A:$I,9,FALSE)))</f>
        <v>0.1</v>
      </c>
      <c r="AM146" s="154">
        <f>IF(O146="","",IF(O146="SIM",VLOOKUP($I146&amp;$J146&amp;O$1,Pesos!$A:$I,7,FALSE),VLOOKUP($I146&amp;$J146&amp;O$1,Pesos!$A:$I,9,FALSE)))</f>
        <v>0.1</v>
      </c>
      <c r="AN146" s="154">
        <f>IF(P146="","",IF(P146="SIM",VLOOKUP($I146&amp;$J146&amp;P$1,Pesos!$A:$I,7,FALSE),VLOOKUP($I146&amp;$J146&amp;P$1,Pesos!$A:$I,9,FALSE)))</f>
        <v>0.1</v>
      </c>
      <c r="AO146" s="154">
        <f>IF(Q146="","",IF(Q146="SIM",VLOOKUP($I146&amp;$J146&amp;Q$1,Pesos!$A:$I,7,FALSE),VLOOKUP($I146&amp;$J146&amp;Q$1,Pesos!$A:$I,9,FALSE)))</f>
        <v>-2.0000000000000004E-2</v>
      </c>
      <c r="AP146" s="154">
        <f>IF(R146="","",IF(R146="SIM",VLOOKUP($I146&amp;$J146&amp;R$1,Pesos!$A:$I,7,FALSE),VLOOKUP($I146&amp;$J146&amp;R$1,Pesos!$A:$I,9,FALSE)))</f>
        <v>0.4</v>
      </c>
      <c r="AQ146" s="154">
        <f>IF(S146="","",IF(S146="SIM",VLOOKUP($I146&amp;$J146&amp;S$1,Pesos!$A:$I,7,FALSE),VLOOKUP($I146&amp;$J146&amp;S$1,Pesos!$A:$I,9,FALSE)))</f>
        <v>1</v>
      </c>
      <c r="AR146" s="156">
        <f>IF(T146="","",IF(T146="SIM",VLOOKUP($I146&amp;$J146&amp;T$1,Pesos!$A:$I,7,FALSE),VLOOKUP($I146&amp;$J146&amp;T$1,Pesos!$A:$I,9,FALSE)))</f>
        <v>1</v>
      </c>
      <c r="AS146" s="132">
        <f>IF(U146="","",IF(U146="SIM",VLOOKUP($I146&amp;$J146&amp;U$1,Pesos!$A:$I,7,FALSE),VLOOKUP($I146&amp;$J146&amp;U$1,Pesos!$A:$I,9,FALSE)))</f>
        <v>1</v>
      </c>
      <c r="AT146" s="132">
        <f>IF(V146="","",IF(V146="SIM",VLOOKUP($I146&amp;$J146&amp;V$1,Pesos!$A:$I,7,FALSE),VLOOKUP($I146&amp;$J146&amp;V$1,Pesos!$A:$I,9,FALSE)))</f>
        <v>1</v>
      </c>
      <c r="AU146" s="132">
        <f>IF(W146="","",IF(W146="SIM",VLOOKUP($I146&amp;$J146&amp;W$1,Pesos!$A:$I,7,FALSE),VLOOKUP($I146&amp;$J146&amp;W$1,Pesos!$A:$I,9,FALSE)))</f>
        <v>0.95</v>
      </c>
      <c r="AV146" s="132">
        <f>IF(X146="","",IF(X146="SIM",VLOOKUP($I146&amp;$J146&amp;X$1,Pesos!$A:$I,7,FALSE),VLOOKUP($I146&amp;$J146&amp;X$1,Pesos!$A:$I,9,FALSE)))</f>
        <v>-4.7500000000000001E-2</v>
      </c>
      <c r="AW146" s="132">
        <f>IF(Y146="","",IF(Y146="SIM",VLOOKUP($I146&amp;$J146&amp;Y$1,Pesos!$A:$I,7,FALSE),VLOOKUP($I146&amp;$J146&amp;Y$1,Pesos!$A:$I,9,FALSE)))</f>
        <v>1</v>
      </c>
      <c r="AX146" s="132">
        <f>IF(Z146="","",IF(Z146="SIM",VLOOKUP($I146&amp;$J146&amp;Z$1,Pesos!$A:$I,7,FALSE),VLOOKUP($I146&amp;$J146&amp;Z$1,Pesos!$A:$I,9,FALSE)))</f>
        <v>-4.7500000000000001E-2</v>
      </c>
      <c r="AY146" s="132">
        <f>IF(AA146="","",IF(AA146="SIM",VLOOKUP($I146&amp;$J146&amp;AA$1,Pesos!$A:$I,7,FALSE),VLOOKUP($I146&amp;$J146&amp;AA$1,Pesos!$A:$I,9,FALSE)))</f>
        <v>0.3</v>
      </c>
      <c r="AZ146" s="132">
        <f>IF(AB146="","",IF(AB146="SIM",VLOOKUP($I146&amp;$J146&amp;AB$1,Pesos!$A:$I,7,FALSE),VLOOKUP($I146&amp;$J146&amp;AB$1,Pesos!$A:$I,9,FALSE)))</f>
        <v>0.3</v>
      </c>
      <c r="BA146" s="132">
        <f>IF(AC146="","",IF(AC146="SIM",VLOOKUP($I146&amp;$J146&amp;AC$1,Pesos!$A:$I,7,FALSE),VLOOKUP($I146&amp;$J146&amp;AC$1,Pesos!$A:$I,9,FALSE)))</f>
        <v>-7.4999999999999997E-3</v>
      </c>
      <c r="BB146" s="132">
        <f>IF(AD146="","",IF(AD146="SIM",VLOOKUP($I146&amp;$J146&amp;AD$1,Pesos!$A:$I,7,FALSE),VLOOKUP($I146&amp;$J146&amp;AD$1,Pesos!$A:$I,9,FALSE)))</f>
        <v>0.2</v>
      </c>
      <c r="BC146" s="132">
        <f>IF(AE146="","",IF(AE146="SIM",VLOOKUP($I146&amp;$J146&amp;AE$1,Pesos!$A:$I,7,FALSE),VLOOKUP($I146&amp;$J146&amp;AE$1,Pesos!$A:$I,9,FALSE)))</f>
        <v>0.1</v>
      </c>
      <c r="BD146" s="158">
        <f>IFERROR(AF146*VLOOKUP(J146,'BD Campos'!$X$1:$Y$14,2,FALSE),"0")</f>
        <v>7.4274999999999984</v>
      </c>
    </row>
    <row r="147" spans="1:56">
      <c r="A147" s="151" t="str">
        <f t="shared" si="11"/>
        <v>Jan11237Receptiva 2LOGÍSTICA</v>
      </c>
      <c r="B147" s="149" t="str">
        <f t="shared" si="12"/>
        <v>Jan112376LOGÍSTICAPADRÃO</v>
      </c>
      <c r="C147" s="152">
        <v>1</v>
      </c>
      <c r="D147" s="153">
        <v>46056.731487152778</v>
      </c>
      <c r="E147" s="154" t="s">
        <v>12</v>
      </c>
      <c r="F147" s="155">
        <v>11237</v>
      </c>
      <c r="G147" s="149" t="s">
        <v>318</v>
      </c>
      <c r="H147" s="154">
        <v>6</v>
      </c>
      <c r="I147" s="149" t="s">
        <v>316</v>
      </c>
      <c r="J147" s="149" t="s">
        <v>86</v>
      </c>
      <c r="K147" s="149" t="s">
        <v>315</v>
      </c>
      <c r="L147" s="156"/>
      <c r="M147" s="157">
        <v>4.8379629629629632E-3</v>
      </c>
      <c r="N147" s="131" t="s">
        <v>18</v>
      </c>
      <c r="O147" s="131" t="s">
        <v>17</v>
      </c>
      <c r="P147" s="131" t="s">
        <v>17</v>
      </c>
      <c r="Q147" s="131" t="s">
        <v>18</v>
      </c>
      <c r="R147" s="131" t="s">
        <v>17</v>
      </c>
      <c r="S147" s="131" t="s">
        <v>17</v>
      </c>
      <c r="T147" s="131" t="s">
        <v>17</v>
      </c>
      <c r="U147" s="131" t="s">
        <v>17</v>
      </c>
      <c r="V147" s="131" t="s">
        <v>17</v>
      </c>
      <c r="W147" s="131" t="s">
        <v>17</v>
      </c>
      <c r="X147" s="131" t="s">
        <v>17</v>
      </c>
      <c r="Y147" s="131" t="s">
        <v>17</v>
      </c>
      <c r="Z147" s="131" t="s">
        <v>17</v>
      </c>
      <c r="AA147" s="131" t="s">
        <v>17</v>
      </c>
      <c r="AB147" s="131" t="s">
        <v>18</v>
      </c>
      <c r="AC147" s="131" t="s">
        <v>17</v>
      </c>
      <c r="AD147" s="131" t="s">
        <v>17</v>
      </c>
      <c r="AE147" s="131"/>
      <c r="AF147" s="158">
        <f t="shared" si="14"/>
        <v>9.3175000000000008</v>
      </c>
      <c r="AG147" s="159"/>
      <c r="AH147" s="155"/>
      <c r="AI147" s="155" t="s">
        <v>83</v>
      </c>
      <c r="AJ147" s="131" t="str">
        <f>IFERROR(VLOOKUP(E147&amp;F147,'Listagem dos op'!A:S,19,0),"")</f>
        <v/>
      </c>
      <c r="AK147" s="131" t="str">
        <f t="shared" si="13"/>
        <v>Jan11237</v>
      </c>
      <c r="AL147" s="154">
        <f>IF(N147="","",IF(N147="SIM",VLOOKUP($I147&amp;$J147&amp;N$1,Pesos!$A:$I,7,FALSE),VLOOKUP($I147&amp;$J147&amp;N$1,Pesos!$A:$I,9,FALSE)))</f>
        <v>-5.000000000000001E-3</v>
      </c>
      <c r="AM147" s="154">
        <f>IF(O147="","",IF(O147="SIM",VLOOKUP($I147&amp;$J147&amp;O$1,Pesos!$A:$I,7,FALSE),VLOOKUP($I147&amp;$J147&amp;O$1,Pesos!$A:$I,9,FALSE)))</f>
        <v>0.1</v>
      </c>
      <c r="AN147" s="154">
        <f>IF(P147="","",IF(P147="SIM",VLOOKUP($I147&amp;$J147&amp;P$1,Pesos!$A:$I,7,FALSE),VLOOKUP($I147&amp;$J147&amp;P$1,Pesos!$A:$I,9,FALSE)))</f>
        <v>0.1</v>
      </c>
      <c r="AO147" s="154">
        <f>IF(Q147="","",IF(Q147="SIM",VLOOKUP($I147&amp;$J147&amp;Q$1,Pesos!$A:$I,7,FALSE),VLOOKUP($I147&amp;$J147&amp;Q$1,Pesos!$A:$I,9,FALSE)))</f>
        <v>-2.0000000000000004E-2</v>
      </c>
      <c r="AP147" s="154">
        <f>IF(R147="","",IF(R147="SIM",VLOOKUP($I147&amp;$J147&amp;R$1,Pesos!$A:$I,7,FALSE),VLOOKUP($I147&amp;$J147&amp;R$1,Pesos!$A:$I,9,FALSE)))</f>
        <v>0.4</v>
      </c>
      <c r="AQ147" s="154">
        <f>IF(S147="","",IF(S147="SIM",VLOOKUP($I147&amp;$J147&amp;S$1,Pesos!$A:$I,7,FALSE),VLOOKUP($I147&amp;$J147&amp;S$1,Pesos!$A:$I,9,FALSE)))</f>
        <v>1</v>
      </c>
      <c r="AR147" s="156">
        <f>IF(T147="","",IF(T147="SIM",VLOOKUP($I147&amp;$J147&amp;T$1,Pesos!$A:$I,7,FALSE),VLOOKUP($I147&amp;$J147&amp;T$1,Pesos!$A:$I,9,FALSE)))</f>
        <v>1</v>
      </c>
      <c r="AS147" s="132">
        <f>IF(U147="","",IF(U147="SIM",VLOOKUP($I147&amp;$J147&amp;U$1,Pesos!$A:$I,7,FALSE),VLOOKUP($I147&amp;$J147&amp;U$1,Pesos!$A:$I,9,FALSE)))</f>
        <v>1</v>
      </c>
      <c r="AT147" s="132">
        <f>IF(V147="","",IF(V147="SIM",VLOOKUP($I147&amp;$J147&amp;V$1,Pesos!$A:$I,7,FALSE),VLOOKUP($I147&amp;$J147&amp;V$1,Pesos!$A:$I,9,FALSE)))</f>
        <v>1.4000000000000001</v>
      </c>
      <c r="AU147" s="132">
        <f>IF(W147="","",IF(W147="SIM",VLOOKUP($I147&amp;$J147&amp;W$1,Pesos!$A:$I,7,FALSE),VLOOKUP($I147&amp;$J147&amp;W$1,Pesos!$A:$I,9,FALSE)))</f>
        <v>1.45</v>
      </c>
      <c r="AV147" s="132">
        <f>IF(X147="","",IF(X147="SIM",VLOOKUP($I147&amp;$J147&amp;X$1,Pesos!$A:$I,7,FALSE),VLOOKUP($I147&amp;$J147&amp;X$1,Pesos!$A:$I,9,FALSE)))</f>
        <v>1</v>
      </c>
      <c r="AW147" s="132">
        <f>IF(Y147="","",IF(Y147="SIM",VLOOKUP($I147&amp;$J147&amp;Y$1,Pesos!$A:$I,7,FALSE),VLOOKUP($I147&amp;$J147&amp;Y$1,Pesos!$A:$I,9,FALSE)))</f>
        <v>1</v>
      </c>
      <c r="AX147" s="132">
        <f>IF(Z147="","",IF(Z147="SIM",VLOOKUP($I147&amp;$J147&amp;Z$1,Pesos!$A:$I,7,FALSE),VLOOKUP($I147&amp;$J147&amp;Z$1,Pesos!$A:$I,9,FALSE)))</f>
        <v>0.3</v>
      </c>
      <c r="AY147" s="132">
        <f>IF(AA147="","",IF(AA147="SIM",VLOOKUP($I147&amp;$J147&amp;AA$1,Pesos!$A:$I,7,FALSE),VLOOKUP($I147&amp;$J147&amp;AA$1,Pesos!$A:$I,9,FALSE)))</f>
        <v>0.3</v>
      </c>
      <c r="AZ147" s="132">
        <f>IF(AB147="","",IF(AB147="SIM",VLOOKUP($I147&amp;$J147&amp;AB$1,Pesos!$A:$I,7,FALSE),VLOOKUP($I147&amp;$J147&amp;AB$1,Pesos!$A:$I,9,FALSE)))</f>
        <v>-7.4999999999999997E-3</v>
      </c>
      <c r="BA147" s="132">
        <f>IF(AC147="","",IF(AC147="SIM",VLOOKUP($I147&amp;$J147&amp;AC$1,Pesos!$A:$I,7,FALSE),VLOOKUP($I147&amp;$J147&amp;AC$1,Pesos!$A:$I,9,FALSE)))</f>
        <v>0.2</v>
      </c>
      <c r="BB147" s="132">
        <f>IF(AD147="","",IF(AD147="SIM",VLOOKUP($I147&amp;$J147&amp;AD$1,Pesos!$A:$I,7,FALSE),VLOOKUP($I147&amp;$J147&amp;AD$1,Pesos!$A:$I,9,FALSE)))</f>
        <v>0.1</v>
      </c>
      <c r="BC147" s="132" t="str">
        <f>IF(AE147="","",IF(AE147="SIM",VLOOKUP($I147&amp;$J147&amp;AE$1,Pesos!$A:$I,7,FALSE),VLOOKUP($I147&amp;$J147&amp;AE$1,Pesos!$A:$I,9,FALSE)))</f>
        <v/>
      </c>
      <c r="BD147" s="158">
        <f>IFERROR(AF147*VLOOKUP(J147,'BD Campos'!$X$1:$Y$14,2,FALSE),"0")</f>
        <v>9.3175000000000008</v>
      </c>
    </row>
    <row r="148" spans="1:56">
      <c r="A148" s="151" t="str">
        <f t="shared" si="11"/>
        <v>Jan11486ClienteLOGÍSTICA</v>
      </c>
      <c r="B148" s="149" t="str">
        <f t="shared" si="12"/>
        <v>Jan114861LOGÍSTICAPADRÃO</v>
      </c>
      <c r="C148" s="152">
        <v>1</v>
      </c>
      <c r="D148" s="153">
        <v>46056.736921296295</v>
      </c>
      <c r="E148" s="154" t="s">
        <v>12</v>
      </c>
      <c r="F148" s="155">
        <v>11486</v>
      </c>
      <c r="G148" s="149" t="s">
        <v>319</v>
      </c>
      <c r="H148" s="154">
        <v>1</v>
      </c>
      <c r="I148" s="149" t="s">
        <v>320</v>
      </c>
      <c r="J148" s="149" t="s">
        <v>149</v>
      </c>
      <c r="K148" s="149" t="s">
        <v>315</v>
      </c>
      <c r="L148" s="156"/>
      <c r="M148" s="157">
        <v>1.0300925925925926E-3</v>
      </c>
      <c r="N148" s="131" t="s">
        <v>17</v>
      </c>
      <c r="O148" s="131" t="s">
        <v>17</v>
      </c>
      <c r="P148" s="131" t="s">
        <v>17</v>
      </c>
      <c r="Q148" s="131" t="s">
        <v>17</v>
      </c>
      <c r="R148" s="131" t="s">
        <v>17</v>
      </c>
      <c r="S148" s="131" t="s">
        <v>17</v>
      </c>
      <c r="T148" s="131" t="s">
        <v>17</v>
      </c>
      <c r="U148" s="131" t="s">
        <v>17</v>
      </c>
      <c r="V148" s="131" t="s">
        <v>17</v>
      </c>
      <c r="W148" s="131" t="s">
        <v>18</v>
      </c>
      <c r="X148" s="131" t="s">
        <v>17</v>
      </c>
      <c r="Y148" s="131" t="s">
        <v>17</v>
      </c>
      <c r="Z148" s="131" t="s">
        <v>17</v>
      </c>
      <c r="AA148" s="131" t="s">
        <v>17</v>
      </c>
      <c r="AB148" s="131" t="s">
        <v>17</v>
      </c>
      <c r="AC148" s="131" t="s">
        <v>17</v>
      </c>
      <c r="AD148" s="131"/>
      <c r="AE148" s="131"/>
      <c r="AF148" s="158">
        <f t="shared" si="14"/>
        <v>8.3410000000000011</v>
      </c>
      <c r="AG148" s="159"/>
      <c r="AH148" s="155"/>
      <c r="AI148" s="155" t="s">
        <v>83</v>
      </c>
      <c r="AJ148" s="131" t="str">
        <f>IFERROR(VLOOKUP(E148&amp;F148,'Listagem dos op'!A:S,19,0),"")</f>
        <v/>
      </c>
      <c r="AK148" s="131" t="str">
        <f t="shared" si="13"/>
        <v>Jan11486</v>
      </c>
      <c r="AL148" s="154">
        <f>IF(N148="","",IF(N148="SIM",VLOOKUP($I148&amp;$J148&amp;N$1,Pesos!$A:$I,7,FALSE),VLOOKUP($I148&amp;$J148&amp;N$1,Pesos!$A:$I,9,FALSE)))</f>
        <v>0.1</v>
      </c>
      <c r="AM148" s="154">
        <f>IF(O148="","",IF(O148="SIM",VLOOKUP($I148&amp;$J148&amp;O$1,Pesos!$A:$I,7,FALSE),VLOOKUP($I148&amp;$J148&amp;O$1,Pesos!$A:$I,9,FALSE)))</f>
        <v>0.1</v>
      </c>
      <c r="AN148" s="154">
        <f>IF(P148="","",IF(P148="SIM",VLOOKUP($I148&amp;$J148&amp;P$1,Pesos!$A:$I,7,FALSE),VLOOKUP($I148&amp;$J148&amp;P$1,Pesos!$A:$I,9,FALSE)))</f>
        <v>0.1</v>
      </c>
      <c r="AO148" s="154">
        <f>IF(Q148="","",IF(Q148="SIM",VLOOKUP($I148&amp;$J148&amp;Q$1,Pesos!$A:$I,7,FALSE),VLOOKUP($I148&amp;$J148&amp;Q$1,Pesos!$A:$I,9,FALSE)))</f>
        <v>0.4</v>
      </c>
      <c r="AP148" s="154">
        <f>IF(R148="","",IF(R148="SIM",VLOOKUP($I148&amp;$J148&amp;R$1,Pesos!$A:$I,7,FALSE),VLOOKUP($I148&amp;$J148&amp;R$1,Pesos!$A:$I,9,FALSE)))</f>
        <v>0.76</v>
      </c>
      <c r="AQ148" s="154">
        <f>IF(S148="","",IF(S148="SIM",VLOOKUP($I148&amp;$J148&amp;S$1,Pesos!$A:$I,7,FALSE),VLOOKUP($I148&amp;$J148&amp;S$1,Pesos!$A:$I,9,FALSE)))</f>
        <v>1.6</v>
      </c>
      <c r="AR148" s="156">
        <f>IF(T148="","",IF(T148="SIM",VLOOKUP($I148&amp;$J148&amp;T$1,Pesos!$A:$I,7,FALSE),VLOOKUP($I148&amp;$J148&amp;T$1,Pesos!$A:$I,9,FALSE)))</f>
        <v>1.6</v>
      </c>
      <c r="AS148" s="132">
        <f>IF(U148="","",IF(U148="SIM",VLOOKUP($I148&amp;$J148&amp;U$1,Pesos!$A:$I,7,FALSE),VLOOKUP($I148&amp;$J148&amp;U$1,Pesos!$A:$I,9,FALSE)))</f>
        <v>1.6</v>
      </c>
      <c r="AT148" s="132">
        <f>IF(V148="","",IF(V148="SIM",VLOOKUP($I148&amp;$J148&amp;V$1,Pesos!$A:$I,7,FALSE),VLOOKUP($I148&amp;$J148&amp;V$1,Pesos!$A:$I,9,FALSE)))</f>
        <v>0.81</v>
      </c>
      <c r="AU148" s="132">
        <f>IF(W148="","",IF(W148="SIM",VLOOKUP($I148&amp;$J148&amp;W$1,Pesos!$A:$I,7,FALSE),VLOOKUP($I148&amp;$J148&amp;W$1,Pesos!$A:$I,9,FALSE)))</f>
        <v>-7.9000000000000015E-2</v>
      </c>
      <c r="AV148" s="132">
        <f>IF(X148="","",IF(X148="SIM",VLOOKUP($I148&amp;$J148&amp;X$1,Pesos!$A:$I,7,FALSE),VLOOKUP($I148&amp;$J148&amp;X$1,Pesos!$A:$I,9,FALSE)))</f>
        <v>0.3</v>
      </c>
      <c r="AW148" s="132">
        <f>IF(Y148="","",IF(Y148="SIM",VLOOKUP($I148&amp;$J148&amp;Y$1,Pesos!$A:$I,7,FALSE),VLOOKUP($I148&amp;$J148&amp;Y$1,Pesos!$A:$I,9,FALSE)))</f>
        <v>0.3</v>
      </c>
      <c r="AX148" s="132">
        <f>IF(Z148="","",IF(Z148="SIM",VLOOKUP($I148&amp;$J148&amp;Z$1,Pesos!$A:$I,7,FALSE),VLOOKUP($I148&amp;$J148&amp;Z$1,Pesos!$A:$I,9,FALSE)))</f>
        <v>0.15</v>
      </c>
      <c r="AY148" s="132">
        <f>IF(AA148="","",IF(AA148="SIM",VLOOKUP($I148&amp;$J148&amp;AA$1,Pesos!$A:$I,7,FALSE),VLOOKUP($I148&amp;$J148&amp;AA$1,Pesos!$A:$I,9,FALSE)))</f>
        <v>0.2</v>
      </c>
      <c r="AZ148" s="132">
        <f>IF(AB148="","",IF(AB148="SIM",VLOOKUP($I148&amp;$J148&amp;AB$1,Pesos!$A:$I,7,FALSE),VLOOKUP($I148&amp;$J148&amp;AB$1,Pesos!$A:$I,9,FALSE)))</f>
        <v>0.3</v>
      </c>
      <c r="BA148" s="132">
        <f>IF(AC148="","",IF(AC148="SIM",VLOOKUP($I148&amp;$J148&amp;AC$1,Pesos!$A:$I,7,FALSE),VLOOKUP($I148&amp;$J148&amp;AC$1,Pesos!$A:$I,9,FALSE)))</f>
        <v>0.1</v>
      </c>
      <c r="BB148" s="132" t="str">
        <f>IF(AD148="","",IF(AD148="SIM",VLOOKUP($I148&amp;$J148&amp;AD$1,Pesos!$A:$I,7,FALSE),VLOOKUP($I148&amp;$J148&amp;AD$1,Pesos!$A:$I,9,FALSE)))</f>
        <v/>
      </c>
      <c r="BC148" s="132" t="str">
        <f>IF(AE148="","",IF(AE148="SIM",VLOOKUP($I148&amp;$J148&amp;AE$1,Pesos!$A:$I,7,FALSE),VLOOKUP($I148&amp;$J148&amp;AE$1,Pesos!$A:$I,9,FALSE)))</f>
        <v/>
      </c>
      <c r="BD148" s="158">
        <f>IFERROR(AF148*VLOOKUP(J148,'BD Campos'!$X$1:$Y$14,2,FALSE),"0")</f>
        <v>8.3410000000000011</v>
      </c>
    </row>
    <row r="149" spans="1:56">
      <c r="A149" s="151" t="str">
        <f t="shared" si="11"/>
        <v>Jan11486Cliente 2LOGÍSTICA</v>
      </c>
      <c r="B149" s="149" t="str">
        <f t="shared" si="12"/>
        <v>Jan114862LOGÍSTICAPADRÃO</v>
      </c>
      <c r="C149" s="152">
        <v>1</v>
      </c>
      <c r="D149" s="153">
        <v>46056.738231944444</v>
      </c>
      <c r="E149" s="154" t="s">
        <v>12</v>
      </c>
      <c r="F149" s="155">
        <v>11486</v>
      </c>
      <c r="G149" s="149" t="s">
        <v>319</v>
      </c>
      <c r="H149" s="154">
        <v>2</v>
      </c>
      <c r="I149" s="149" t="s">
        <v>321</v>
      </c>
      <c r="J149" s="149" t="s">
        <v>322</v>
      </c>
      <c r="K149" s="149" t="s">
        <v>315</v>
      </c>
      <c r="L149" s="156"/>
      <c r="M149" s="157">
        <v>9.1435185185185185E-4</v>
      </c>
      <c r="N149" s="131" t="s">
        <v>17</v>
      </c>
      <c r="O149" s="131" t="s">
        <v>17</v>
      </c>
      <c r="P149" s="131" t="s">
        <v>17</v>
      </c>
      <c r="Q149" s="131" t="s">
        <v>17</v>
      </c>
      <c r="R149" s="131" t="s">
        <v>17</v>
      </c>
      <c r="S149" s="131" t="s">
        <v>17</v>
      </c>
      <c r="T149" s="131" t="s">
        <v>17</v>
      </c>
      <c r="U149" s="131" t="s">
        <v>17</v>
      </c>
      <c r="V149" s="131" t="s">
        <v>17</v>
      </c>
      <c r="W149" s="131" t="s">
        <v>17</v>
      </c>
      <c r="X149" s="131" t="s">
        <v>17</v>
      </c>
      <c r="Y149" s="131" t="s">
        <v>18</v>
      </c>
      <c r="Z149" s="131" t="s">
        <v>17</v>
      </c>
      <c r="AA149" s="131" t="s">
        <v>17</v>
      </c>
      <c r="AB149" s="131" t="s">
        <v>17</v>
      </c>
      <c r="AC149" s="131" t="s">
        <v>17</v>
      </c>
      <c r="AD149" s="131" t="s">
        <v>17</v>
      </c>
      <c r="AE149" s="131" t="s">
        <v>17</v>
      </c>
      <c r="AF149" s="158">
        <f t="shared" si="14"/>
        <v>9.1810000000000009</v>
      </c>
      <c r="AG149" s="159"/>
      <c r="AH149" s="155"/>
      <c r="AI149" s="155" t="s">
        <v>83</v>
      </c>
      <c r="AJ149" s="131" t="str">
        <f>IFERROR(VLOOKUP(E149&amp;F149,'Listagem dos op'!A:S,19,0),"")</f>
        <v/>
      </c>
      <c r="AK149" s="131" t="str">
        <f t="shared" si="13"/>
        <v>Jan11486</v>
      </c>
      <c r="AL149" s="154">
        <f>IF(N149="","",IF(N149="SIM",VLOOKUP($I149&amp;$J149&amp;N$1,Pesos!$A:$I,7,FALSE),VLOOKUP($I149&amp;$J149&amp;N$1,Pesos!$A:$I,9,FALSE)))</f>
        <v>0.1</v>
      </c>
      <c r="AM149" s="154">
        <f>IF(O149="","",IF(O149="SIM",VLOOKUP($I149&amp;$J149&amp;O$1,Pesos!$A:$I,7,FALSE),VLOOKUP($I149&amp;$J149&amp;O$1,Pesos!$A:$I,9,FALSE)))</f>
        <v>0.1</v>
      </c>
      <c r="AN149" s="154">
        <f>IF(P149="","",IF(P149="SIM",VLOOKUP($I149&amp;$J149&amp;P$1,Pesos!$A:$I,7,FALSE),VLOOKUP($I149&amp;$J149&amp;P$1,Pesos!$A:$I,9,FALSE)))</f>
        <v>0.1</v>
      </c>
      <c r="AO149" s="154">
        <f>IF(Q149="","",IF(Q149="SIM",VLOOKUP($I149&amp;$J149&amp;Q$1,Pesos!$A:$I,7,FALSE),VLOOKUP($I149&amp;$J149&amp;Q$1,Pesos!$A:$I,9,FALSE)))</f>
        <v>0.4</v>
      </c>
      <c r="AP149" s="154">
        <f>IF(R149="","",IF(R149="SIM",VLOOKUP($I149&amp;$J149&amp;R$1,Pesos!$A:$I,7,FALSE),VLOOKUP($I149&amp;$J149&amp;R$1,Pesos!$A:$I,9,FALSE)))</f>
        <v>1.32</v>
      </c>
      <c r="AQ149" s="154">
        <f>IF(S149="","",IF(S149="SIM",VLOOKUP($I149&amp;$J149&amp;S$1,Pesos!$A:$I,7,FALSE),VLOOKUP($I149&amp;$J149&amp;S$1,Pesos!$A:$I,9,FALSE)))</f>
        <v>1</v>
      </c>
      <c r="AR149" s="156">
        <f>IF(T149="","",IF(T149="SIM",VLOOKUP($I149&amp;$J149&amp;T$1,Pesos!$A:$I,7,FALSE),VLOOKUP($I149&amp;$J149&amp;T$1,Pesos!$A:$I,9,FALSE)))</f>
        <v>1</v>
      </c>
      <c r="AS149" s="132">
        <f>IF(U149="","",IF(U149="SIM",VLOOKUP($I149&amp;$J149&amp;U$1,Pesos!$A:$I,7,FALSE),VLOOKUP($I149&amp;$J149&amp;U$1,Pesos!$A:$I,9,FALSE)))</f>
        <v>0.85000000000000009</v>
      </c>
      <c r="AT149" s="132">
        <f>IF(V149="","",IF(V149="SIM",VLOOKUP($I149&amp;$J149&amp;V$1,Pesos!$A:$I,7,FALSE),VLOOKUP($I149&amp;$J149&amp;V$1,Pesos!$A:$I,9,FALSE)))</f>
        <v>1</v>
      </c>
      <c r="AU149" s="132">
        <f>IF(W149="","",IF(W149="SIM",VLOOKUP($I149&amp;$J149&amp;W$1,Pesos!$A:$I,7,FALSE),VLOOKUP($I149&amp;$J149&amp;W$1,Pesos!$A:$I,9,FALSE)))</f>
        <v>1</v>
      </c>
      <c r="AV149" s="132">
        <f>IF(X149="","",IF(X149="SIM",VLOOKUP($I149&amp;$J149&amp;X$1,Pesos!$A:$I,7,FALSE),VLOOKUP($I149&amp;$J149&amp;X$1,Pesos!$A:$I,9,FALSE)))</f>
        <v>1</v>
      </c>
      <c r="AW149" s="132">
        <f>IF(Y149="","",IF(Y149="SIM",VLOOKUP($I149&amp;$J149&amp;Y$1,Pesos!$A:$I,7,FALSE),VLOOKUP($I149&amp;$J149&amp;Y$1,Pesos!$A:$I,9,FALSE)))</f>
        <v>-3.9000000000000007E-2</v>
      </c>
      <c r="AX149" s="132">
        <f>IF(Z149="","",IF(Z149="SIM",VLOOKUP($I149&amp;$J149&amp;Z$1,Pesos!$A:$I,7,FALSE),VLOOKUP($I149&amp;$J149&amp;Z$1,Pesos!$A:$I,9,FALSE)))</f>
        <v>0.3</v>
      </c>
      <c r="AY149" s="132">
        <f>IF(AA149="","",IF(AA149="SIM",VLOOKUP($I149&amp;$J149&amp;AA$1,Pesos!$A:$I,7,FALSE),VLOOKUP($I149&amp;$J149&amp;AA$1,Pesos!$A:$I,9,FALSE)))</f>
        <v>0.3</v>
      </c>
      <c r="AZ149" s="132">
        <f>IF(AB149="","",IF(AB149="SIM",VLOOKUP($I149&amp;$J149&amp;AB$1,Pesos!$A:$I,7,FALSE),VLOOKUP($I149&amp;$J149&amp;AB$1,Pesos!$A:$I,9,FALSE)))</f>
        <v>0.15</v>
      </c>
      <c r="BA149" s="132">
        <f>IF(AC149="","",IF(AC149="SIM",VLOOKUP($I149&amp;$J149&amp;AC$1,Pesos!$A:$I,7,FALSE),VLOOKUP($I149&amp;$J149&amp;AC$1,Pesos!$A:$I,9,FALSE)))</f>
        <v>0.2</v>
      </c>
      <c r="BB149" s="132">
        <f>IF(AD149="","",IF(AD149="SIM",VLOOKUP($I149&amp;$J149&amp;AD$1,Pesos!$A:$I,7,FALSE),VLOOKUP($I149&amp;$J149&amp;AD$1,Pesos!$A:$I,9,FALSE)))</f>
        <v>0.3</v>
      </c>
      <c r="BC149" s="132">
        <f>IF(AE149="","",IF(AE149="SIM",VLOOKUP($I149&amp;$J149&amp;AE$1,Pesos!$A:$I,7,FALSE),VLOOKUP($I149&amp;$J149&amp;AE$1,Pesos!$A:$I,9,FALSE)))</f>
        <v>0.1</v>
      </c>
      <c r="BD149" s="158">
        <f>IFERROR(AF149*VLOOKUP(J149,'BD Campos'!$X$1:$Y$14,2,FALSE),"0")</f>
        <v>9.1810000000000009</v>
      </c>
    </row>
    <row r="150" spans="1:56">
      <c r="A150" s="151" t="str">
        <f t="shared" si="11"/>
        <v>Jan11231ClienteLOGÍSTICA</v>
      </c>
      <c r="B150" s="149" t="str">
        <f t="shared" si="12"/>
        <v>Jan112311LOGÍSTICAPADRÃO</v>
      </c>
      <c r="C150" s="152">
        <v>1</v>
      </c>
      <c r="D150" s="153">
        <v>46056.739327314812</v>
      </c>
      <c r="E150" s="154" t="s">
        <v>12</v>
      </c>
      <c r="F150" s="155">
        <v>11231</v>
      </c>
      <c r="G150" s="149" t="s">
        <v>323</v>
      </c>
      <c r="H150" s="154">
        <v>1</v>
      </c>
      <c r="I150" s="149" t="s">
        <v>321</v>
      </c>
      <c r="J150" s="149" t="s">
        <v>149</v>
      </c>
      <c r="K150" s="149" t="s">
        <v>315</v>
      </c>
      <c r="L150" s="156"/>
      <c r="M150" s="157">
        <v>7.6388888888888893E-4</v>
      </c>
      <c r="N150" s="131" t="s">
        <v>17</v>
      </c>
      <c r="O150" s="131" t="s">
        <v>17</v>
      </c>
      <c r="P150" s="131" t="s">
        <v>17</v>
      </c>
      <c r="Q150" s="131" t="s">
        <v>17</v>
      </c>
      <c r="R150" s="131" t="s">
        <v>17</v>
      </c>
      <c r="S150" s="131" t="s">
        <v>17</v>
      </c>
      <c r="T150" s="131" t="s">
        <v>17</v>
      </c>
      <c r="U150" s="131" t="s">
        <v>17</v>
      </c>
      <c r="V150" s="131" t="s">
        <v>17</v>
      </c>
      <c r="W150" s="131" t="s">
        <v>17</v>
      </c>
      <c r="X150" s="131" t="s">
        <v>17</v>
      </c>
      <c r="Y150" s="131" t="s">
        <v>17</v>
      </c>
      <c r="Z150" s="131" t="s">
        <v>17</v>
      </c>
      <c r="AA150" s="131" t="s">
        <v>17</v>
      </c>
      <c r="AB150" s="131" t="s">
        <v>17</v>
      </c>
      <c r="AC150" s="131" t="s">
        <v>17</v>
      </c>
      <c r="AD150" s="131" t="s">
        <v>17</v>
      </c>
      <c r="AE150" s="131" t="s">
        <v>17</v>
      </c>
      <c r="AF150" s="158">
        <f t="shared" si="14"/>
        <v>10</v>
      </c>
      <c r="AG150" s="159"/>
      <c r="AH150" s="155"/>
      <c r="AI150" s="155" t="s">
        <v>83</v>
      </c>
      <c r="AJ150" s="131" t="str">
        <f>IFERROR(VLOOKUP(E150&amp;F150,'Listagem dos op'!A:S,19,0),"")</f>
        <v/>
      </c>
      <c r="AK150" s="131" t="str">
        <f t="shared" si="13"/>
        <v>Jan11231</v>
      </c>
      <c r="AL150" s="154">
        <f>IF(N150="","",IF(N150="SIM",VLOOKUP($I150&amp;$J150&amp;N$1,Pesos!$A:$I,7,FALSE),VLOOKUP($I150&amp;$J150&amp;N$1,Pesos!$A:$I,9,FALSE)))</f>
        <v>0.1</v>
      </c>
      <c r="AM150" s="154">
        <f>IF(O150="","",IF(O150="SIM",VLOOKUP($I150&amp;$J150&amp;O$1,Pesos!$A:$I,7,FALSE),VLOOKUP($I150&amp;$J150&amp;O$1,Pesos!$A:$I,9,FALSE)))</f>
        <v>0.1</v>
      </c>
      <c r="AN150" s="154">
        <f>IF(P150="","",IF(P150="SIM",VLOOKUP($I150&amp;$J150&amp;P$1,Pesos!$A:$I,7,FALSE),VLOOKUP($I150&amp;$J150&amp;P$1,Pesos!$A:$I,9,FALSE)))</f>
        <v>0.1</v>
      </c>
      <c r="AO150" s="154">
        <f>IF(Q150="","",IF(Q150="SIM",VLOOKUP($I150&amp;$J150&amp;Q$1,Pesos!$A:$I,7,FALSE),VLOOKUP($I150&amp;$J150&amp;Q$1,Pesos!$A:$I,9,FALSE)))</f>
        <v>0.4</v>
      </c>
      <c r="AP150" s="154">
        <f>IF(R150="","",IF(R150="SIM",VLOOKUP($I150&amp;$J150&amp;R$1,Pesos!$A:$I,7,FALSE),VLOOKUP($I150&amp;$J150&amp;R$1,Pesos!$A:$I,9,FALSE)))</f>
        <v>1.32</v>
      </c>
      <c r="AQ150" s="154">
        <f>IF(S150="","",IF(S150="SIM",VLOOKUP($I150&amp;$J150&amp;S$1,Pesos!$A:$I,7,FALSE),VLOOKUP($I150&amp;$J150&amp;S$1,Pesos!$A:$I,9,FALSE)))</f>
        <v>1</v>
      </c>
      <c r="AR150" s="156">
        <f>IF(T150="","",IF(T150="SIM",VLOOKUP($I150&amp;$J150&amp;T$1,Pesos!$A:$I,7,FALSE),VLOOKUP($I150&amp;$J150&amp;T$1,Pesos!$A:$I,9,FALSE)))</f>
        <v>1</v>
      </c>
      <c r="AS150" s="132">
        <f>IF(U150="","",IF(U150="SIM",VLOOKUP($I150&amp;$J150&amp;U$1,Pesos!$A:$I,7,FALSE),VLOOKUP($I150&amp;$J150&amp;U$1,Pesos!$A:$I,9,FALSE)))</f>
        <v>0.85000000000000009</v>
      </c>
      <c r="AT150" s="132">
        <f>IF(V150="","",IF(V150="SIM",VLOOKUP($I150&amp;$J150&amp;V$1,Pesos!$A:$I,7,FALSE),VLOOKUP($I150&amp;$J150&amp;V$1,Pesos!$A:$I,9,FALSE)))</f>
        <v>1</v>
      </c>
      <c r="AU150" s="132">
        <f>IF(W150="","",IF(W150="SIM",VLOOKUP($I150&amp;$J150&amp;W$1,Pesos!$A:$I,7,FALSE),VLOOKUP($I150&amp;$J150&amp;W$1,Pesos!$A:$I,9,FALSE)))</f>
        <v>1</v>
      </c>
      <c r="AV150" s="132">
        <f>IF(X150="","",IF(X150="SIM",VLOOKUP($I150&amp;$J150&amp;X$1,Pesos!$A:$I,7,FALSE),VLOOKUP($I150&amp;$J150&amp;X$1,Pesos!$A:$I,9,FALSE)))</f>
        <v>1</v>
      </c>
      <c r="AW150" s="132">
        <f>IF(Y150="","",IF(Y150="SIM",VLOOKUP($I150&amp;$J150&amp;Y$1,Pesos!$A:$I,7,FALSE),VLOOKUP($I150&amp;$J150&amp;Y$1,Pesos!$A:$I,9,FALSE)))</f>
        <v>0.78</v>
      </c>
      <c r="AX150" s="132">
        <f>IF(Z150="","",IF(Z150="SIM",VLOOKUP($I150&amp;$J150&amp;Z$1,Pesos!$A:$I,7,FALSE),VLOOKUP($I150&amp;$J150&amp;Z$1,Pesos!$A:$I,9,FALSE)))</f>
        <v>0.3</v>
      </c>
      <c r="AY150" s="132">
        <f>IF(AA150="","",IF(AA150="SIM",VLOOKUP($I150&amp;$J150&amp;AA$1,Pesos!$A:$I,7,FALSE),VLOOKUP($I150&amp;$J150&amp;AA$1,Pesos!$A:$I,9,FALSE)))</f>
        <v>0.3</v>
      </c>
      <c r="AZ150" s="132">
        <f>IF(AB150="","",IF(AB150="SIM",VLOOKUP($I150&amp;$J150&amp;AB$1,Pesos!$A:$I,7,FALSE),VLOOKUP($I150&amp;$J150&amp;AB$1,Pesos!$A:$I,9,FALSE)))</f>
        <v>0.15</v>
      </c>
      <c r="BA150" s="132">
        <f>IF(AC150="","",IF(AC150="SIM",VLOOKUP($I150&amp;$J150&amp;AC$1,Pesos!$A:$I,7,FALSE),VLOOKUP($I150&amp;$J150&amp;AC$1,Pesos!$A:$I,9,FALSE)))</f>
        <v>0.2</v>
      </c>
      <c r="BB150" s="132">
        <f>IF(AD150="","",IF(AD150="SIM",VLOOKUP($I150&amp;$J150&amp;AD$1,Pesos!$A:$I,7,FALSE),VLOOKUP($I150&amp;$J150&amp;AD$1,Pesos!$A:$I,9,FALSE)))</f>
        <v>0.3</v>
      </c>
      <c r="BC150" s="132">
        <f>IF(AE150="","",IF(AE150="SIM",VLOOKUP($I150&amp;$J150&amp;AE$1,Pesos!$A:$I,7,FALSE),VLOOKUP($I150&amp;$J150&amp;AE$1,Pesos!$A:$I,9,FALSE)))</f>
        <v>0.1</v>
      </c>
      <c r="BD150" s="158">
        <f>IFERROR(AF150*VLOOKUP(J150,'BD Campos'!$X$1:$Y$14,2,FALSE),"0")</f>
        <v>10</v>
      </c>
    </row>
    <row r="151" spans="1:56">
      <c r="A151" s="151" t="str">
        <f t="shared" si="11"/>
        <v>Jan11231Cliente 2LOGÍSTICA</v>
      </c>
      <c r="B151" s="149" t="str">
        <f t="shared" si="12"/>
        <v>Jan112312LOGÍSTICAPADRÃO</v>
      </c>
      <c r="C151" s="152">
        <v>1</v>
      </c>
      <c r="D151" s="153">
        <v>46056.740390277781</v>
      </c>
      <c r="E151" s="154" t="s">
        <v>12</v>
      </c>
      <c r="F151" s="155">
        <v>11231</v>
      </c>
      <c r="G151" s="149" t="s">
        <v>323</v>
      </c>
      <c r="H151" s="154">
        <v>2</v>
      </c>
      <c r="I151" s="149" t="s">
        <v>320</v>
      </c>
      <c r="J151" s="149" t="s">
        <v>322</v>
      </c>
      <c r="K151" s="149" t="s">
        <v>315</v>
      </c>
      <c r="L151" s="156"/>
      <c r="M151" s="157">
        <v>7.6388888888888893E-4</v>
      </c>
      <c r="N151" s="131" t="s">
        <v>17</v>
      </c>
      <c r="O151" s="131" t="s">
        <v>17</v>
      </c>
      <c r="P151" s="131" t="s">
        <v>17</v>
      </c>
      <c r="Q151" s="131" t="s">
        <v>17</v>
      </c>
      <c r="R151" s="131" t="s">
        <v>17</v>
      </c>
      <c r="S151" s="131" t="s">
        <v>17</v>
      </c>
      <c r="T151" s="131" t="s">
        <v>17</v>
      </c>
      <c r="U151" s="131" t="s">
        <v>17</v>
      </c>
      <c r="V151" s="131" t="s">
        <v>17</v>
      </c>
      <c r="W151" s="131" t="s">
        <v>17</v>
      </c>
      <c r="X151" s="131" t="s">
        <v>17</v>
      </c>
      <c r="Y151" s="131" t="s">
        <v>17</v>
      </c>
      <c r="Z151" s="131" t="s">
        <v>17</v>
      </c>
      <c r="AA151" s="131" t="s">
        <v>17</v>
      </c>
      <c r="AB151" s="131" t="s">
        <v>17</v>
      </c>
      <c r="AC151" s="131" t="s">
        <v>17</v>
      </c>
      <c r="AD151" s="131"/>
      <c r="AE151" s="131"/>
      <c r="AF151" s="158">
        <f t="shared" si="14"/>
        <v>10.000000000000002</v>
      </c>
      <c r="AG151" s="159"/>
      <c r="AH151" s="155"/>
      <c r="AI151" s="155" t="s">
        <v>83</v>
      </c>
      <c r="AJ151" s="131" t="str">
        <f>IFERROR(VLOOKUP(E151&amp;F151,'Listagem dos op'!A:S,19,0),"")</f>
        <v/>
      </c>
      <c r="AK151" s="131" t="str">
        <f t="shared" si="13"/>
        <v>Jan11231</v>
      </c>
      <c r="AL151" s="154">
        <f>IF(N151="","",IF(N151="SIM",VLOOKUP($I151&amp;$J151&amp;N$1,Pesos!$A:$I,7,FALSE),VLOOKUP($I151&amp;$J151&amp;N$1,Pesos!$A:$I,9,FALSE)))</f>
        <v>0.1</v>
      </c>
      <c r="AM151" s="154">
        <f>IF(O151="","",IF(O151="SIM",VLOOKUP($I151&amp;$J151&amp;O$1,Pesos!$A:$I,7,FALSE),VLOOKUP($I151&amp;$J151&amp;O$1,Pesos!$A:$I,9,FALSE)))</f>
        <v>0.1</v>
      </c>
      <c r="AN151" s="154">
        <f>IF(P151="","",IF(P151="SIM",VLOOKUP($I151&amp;$J151&amp;P$1,Pesos!$A:$I,7,FALSE),VLOOKUP($I151&amp;$J151&amp;P$1,Pesos!$A:$I,9,FALSE)))</f>
        <v>0.1</v>
      </c>
      <c r="AO151" s="154">
        <f>IF(Q151="","",IF(Q151="SIM",VLOOKUP($I151&amp;$J151&amp;Q$1,Pesos!$A:$I,7,FALSE),VLOOKUP($I151&amp;$J151&amp;Q$1,Pesos!$A:$I,9,FALSE)))</f>
        <v>0.4</v>
      </c>
      <c r="AP151" s="154">
        <f>IF(R151="","",IF(R151="SIM",VLOOKUP($I151&amp;$J151&amp;R$1,Pesos!$A:$I,7,FALSE),VLOOKUP($I151&amp;$J151&amp;R$1,Pesos!$A:$I,9,FALSE)))</f>
        <v>0.76</v>
      </c>
      <c r="AQ151" s="154">
        <f>IF(S151="","",IF(S151="SIM",VLOOKUP($I151&amp;$J151&amp;S$1,Pesos!$A:$I,7,FALSE),VLOOKUP($I151&amp;$J151&amp;S$1,Pesos!$A:$I,9,FALSE)))</f>
        <v>1.6</v>
      </c>
      <c r="AR151" s="156">
        <f>IF(T151="","",IF(T151="SIM",VLOOKUP($I151&amp;$J151&amp;T$1,Pesos!$A:$I,7,FALSE),VLOOKUP($I151&amp;$J151&amp;T$1,Pesos!$A:$I,9,FALSE)))</f>
        <v>1.6</v>
      </c>
      <c r="AS151" s="132">
        <f>IF(U151="","",IF(U151="SIM",VLOOKUP($I151&amp;$J151&amp;U$1,Pesos!$A:$I,7,FALSE),VLOOKUP($I151&amp;$J151&amp;U$1,Pesos!$A:$I,9,FALSE)))</f>
        <v>1.6</v>
      </c>
      <c r="AT151" s="132">
        <f>IF(V151="","",IF(V151="SIM",VLOOKUP($I151&amp;$J151&amp;V$1,Pesos!$A:$I,7,FALSE),VLOOKUP($I151&amp;$J151&amp;V$1,Pesos!$A:$I,9,FALSE)))</f>
        <v>0.81</v>
      </c>
      <c r="AU151" s="132">
        <f>IF(W151="","",IF(W151="SIM",VLOOKUP($I151&amp;$J151&amp;W$1,Pesos!$A:$I,7,FALSE),VLOOKUP($I151&amp;$J151&amp;W$1,Pesos!$A:$I,9,FALSE)))</f>
        <v>1.58</v>
      </c>
      <c r="AV151" s="132">
        <f>IF(X151="","",IF(X151="SIM",VLOOKUP($I151&amp;$J151&amp;X$1,Pesos!$A:$I,7,FALSE),VLOOKUP($I151&amp;$J151&amp;X$1,Pesos!$A:$I,9,FALSE)))</f>
        <v>0.3</v>
      </c>
      <c r="AW151" s="132">
        <f>IF(Y151="","",IF(Y151="SIM",VLOOKUP($I151&amp;$J151&amp;Y$1,Pesos!$A:$I,7,FALSE),VLOOKUP($I151&amp;$J151&amp;Y$1,Pesos!$A:$I,9,FALSE)))</f>
        <v>0.3</v>
      </c>
      <c r="AX151" s="132">
        <f>IF(Z151="","",IF(Z151="SIM",VLOOKUP($I151&amp;$J151&amp;Z$1,Pesos!$A:$I,7,FALSE),VLOOKUP($I151&amp;$J151&amp;Z$1,Pesos!$A:$I,9,FALSE)))</f>
        <v>0.15</v>
      </c>
      <c r="AY151" s="132">
        <f>IF(AA151="","",IF(AA151="SIM",VLOOKUP($I151&amp;$J151&amp;AA$1,Pesos!$A:$I,7,FALSE),VLOOKUP($I151&amp;$J151&amp;AA$1,Pesos!$A:$I,9,FALSE)))</f>
        <v>0.2</v>
      </c>
      <c r="AZ151" s="132">
        <f>IF(AB151="","",IF(AB151="SIM",VLOOKUP($I151&amp;$J151&amp;AB$1,Pesos!$A:$I,7,FALSE),VLOOKUP($I151&amp;$J151&amp;AB$1,Pesos!$A:$I,9,FALSE)))</f>
        <v>0.3</v>
      </c>
      <c r="BA151" s="132">
        <f>IF(AC151="","",IF(AC151="SIM",VLOOKUP($I151&amp;$J151&amp;AC$1,Pesos!$A:$I,7,FALSE),VLOOKUP($I151&amp;$J151&amp;AC$1,Pesos!$A:$I,9,FALSE)))</f>
        <v>0.1</v>
      </c>
      <c r="BB151" s="132" t="str">
        <f>IF(AD151="","",IF(AD151="SIM",VLOOKUP($I151&amp;$J151&amp;AD$1,Pesos!$A:$I,7,FALSE),VLOOKUP($I151&amp;$J151&amp;AD$1,Pesos!$A:$I,9,FALSE)))</f>
        <v/>
      </c>
      <c r="BC151" s="132" t="str">
        <f>IF(AE151="","",IF(AE151="SIM",VLOOKUP($I151&amp;$J151&amp;AE$1,Pesos!$A:$I,7,FALSE),VLOOKUP($I151&amp;$J151&amp;AE$1,Pesos!$A:$I,9,FALSE)))</f>
        <v/>
      </c>
      <c r="BD151" s="158">
        <f>IFERROR(AF151*VLOOKUP(J151,'BD Campos'!$X$1:$Y$14,2,FALSE),"0")</f>
        <v>10.000000000000002</v>
      </c>
    </row>
    <row r="152" spans="1:56">
      <c r="A152" s="151" t="str">
        <f t="shared" si="11"/>
        <v>Jan11444ClienteLOGÍSTICA</v>
      </c>
      <c r="B152" s="149" t="str">
        <f t="shared" si="12"/>
        <v>Jan114441LOGÍSTICAPADRÃO</v>
      </c>
      <c r="C152" s="152">
        <v>1</v>
      </c>
      <c r="D152" s="153">
        <v>46056.742485300929</v>
      </c>
      <c r="E152" s="154" t="s">
        <v>12</v>
      </c>
      <c r="F152" s="155">
        <v>11444</v>
      </c>
      <c r="G152" s="149" t="s">
        <v>324</v>
      </c>
      <c r="H152" s="154">
        <v>1</v>
      </c>
      <c r="I152" s="149" t="s">
        <v>320</v>
      </c>
      <c r="J152" s="149" t="s">
        <v>149</v>
      </c>
      <c r="K152" s="149" t="s">
        <v>315</v>
      </c>
      <c r="L152" s="156"/>
      <c r="M152" s="157">
        <v>2.7546296296296294E-3</v>
      </c>
      <c r="N152" s="131" t="s">
        <v>17</v>
      </c>
      <c r="O152" s="131" t="s">
        <v>17</v>
      </c>
      <c r="P152" s="131" t="s">
        <v>17</v>
      </c>
      <c r="Q152" s="131" t="s">
        <v>18</v>
      </c>
      <c r="R152" s="131" t="s">
        <v>17</v>
      </c>
      <c r="S152" s="131" t="s">
        <v>17</v>
      </c>
      <c r="T152" s="131" t="s">
        <v>17</v>
      </c>
      <c r="U152" s="131" t="s">
        <v>17</v>
      </c>
      <c r="V152" s="131" t="s">
        <v>17</v>
      </c>
      <c r="W152" s="131" t="s">
        <v>17</v>
      </c>
      <c r="X152" s="131" t="s">
        <v>17</v>
      </c>
      <c r="Y152" s="131" t="s">
        <v>17</v>
      </c>
      <c r="Z152" s="131" t="s">
        <v>17</v>
      </c>
      <c r="AA152" s="131" t="s">
        <v>18</v>
      </c>
      <c r="AB152" s="131" t="s">
        <v>17</v>
      </c>
      <c r="AC152" s="131" t="s">
        <v>17</v>
      </c>
      <c r="AD152" s="131"/>
      <c r="AE152" s="131"/>
      <c r="AF152" s="158">
        <f t="shared" si="14"/>
        <v>9.3700000000000028</v>
      </c>
      <c r="AG152" s="159"/>
      <c r="AH152" s="155"/>
      <c r="AI152" s="155" t="s">
        <v>83</v>
      </c>
      <c r="AJ152" s="131" t="str">
        <f>IFERROR(VLOOKUP(E152&amp;F152,'Listagem dos op'!A:S,19,0),"")</f>
        <v/>
      </c>
      <c r="AK152" s="131" t="str">
        <f t="shared" si="13"/>
        <v>Jan11444</v>
      </c>
      <c r="AL152" s="154">
        <f>IF(N152="","",IF(N152="SIM",VLOOKUP($I152&amp;$J152&amp;N$1,Pesos!$A:$I,7,FALSE),VLOOKUP($I152&amp;$J152&amp;N$1,Pesos!$A:$I,9,FALSE)))</f>
        <v>0.1</v>
      </c>
      <c r="AM152" s="154">
        <f>IF(O152="","",IF(O152="SIM",VLOOKUP($I152&amp;$J152&amp;O$1,Pesos!$A:$I,7,FALSE),VLOOKUP($I152&amp;$J152&amp;O$1,Pesos!$A:$I,9,FALSE)))</f>
        <v>0.1</v>
      </c>
      <c r="AN152" s="154">
        <f>IF(P152="","",IF(P152="SIM",VLOOKUP($I152&amp;$J152&amp;P$1,Pesos!$A:$I,7,FALSE),VLOOKUP($I152&amp;$J152&amp;P$1,Pesos!$A:$I,9,FALSE)))</f>
        <v>0.1</v>
      </c>
      <c r="AO152" s="154">
        <f>IF(Q152="","",IF(Q152="SIM",VLOOKUP($I152&amp;$J152&amp;Q$1,Pesos!$A:$I,7,FALSE),VLOOKUP($I152&amp;$J152&amp;Q$1,Pesos!$A:$I,9,FALSE)))</f>
        <v>-2.0000000000000004E-2</v>
      </c>
      <c r="AP152" s="154">
        <f>IF(R152="","",IF(R152="SIM",VLOOKUP($I152&amp;$J152&amp;R$1,Pesos!$A:$I,7,FALSE),VLOOKUP($I152&amp;$J152&amp;R$1,Pesos!$A:$I,9,FALSE)))</f>
        <v>0.76</v>
      </c>
      <c r="AQ152" s="154">
        <f>IF(S152="","",IF(S152="SIM",VLOOKUP($I152&amp;$J152&amp;S$1,Pesos!$A:$I,7,FALSE),VLOOKUP($I152&amp;$J152&amp;S$1,Pesos!$A:$I,9,FALSE)))</f>
        <v>1.6</v>
      </c>
      <c r="AR152" s="156">
        <f>IF(T152="","",IF(T152="SIM",VLOOKUP($I152&amp;$J152&amp;T$1,Pesos!$A:$I,7,FALSE),VLOOKUP($I152&amp;$J152&amp;T$1,Pesos!$A:$I,9,FALSE)))</f>
        <v>1.6</v>
      </c>
      <c r="AS152" s="132">
        <f>IF(U152="","",IF(U152="SIM",VLOOKUP($I152&amp;$J152&amp;U$1,Pesos!$A:$I,7,FALSE),VLOOKUP($I152&amp;$J152&amp;U$1,Pesos!$A:$I,9,FALSE)))</f>
        <v>1.6</v>
      </c>
      <c r="AT152" s="132">
        <f>IF(V152="","",IF(V152="SIM",VLOOKUP($I152&amp;$J152&amp;V$1,Pesos!$A:$I,7,FALSE),VLOOKUP($I152&amp;$J152&amp;V$1,Pesos!$A:$I,9,FALSE)))</f>
        <v>0.81</v>
      </c>
      <c r="AU152" s="132">
        <f>IF(W152="","",IF(W152="SIM",VLOOKUP($I152&amp;$J152&amp;W$1,Pesos!$A:$I,7,FALSE),VLOOKUP($I152&amp;$J152&amp;W$1,Pesos!$A:$I,9,FALSE)))</f>
        <v>1.58</v>
      </c>
      <c r="AV152" s="132">
        <f>IF(X152="","",IF(X152="SIM",VLOOKUP($I152&amp;$J152&amp;X$1,Pesos!$A:$I,7,FALSE),VLOOKUP($I152&amp;$J152&amp;X$1,Pesos!$A:$I,9,FALSE)))</f>
        <v>0.3</v>
      </c>
      <c r="AW152" s="132">
        <f>IF(Y152="","",IF(Y152="SIM",VLOOKUP($I152&amp;$J152&amp;Y$1,Pesos!$A:$I,7,FALSE),VLOOKUP($I152&amp;$J152&amp;Y$1,Pesos!$A:$I,9,FALSE)))</f>
        <v>0.3</v>
      </c>
      <c r="AX152" s="132">
        <f>IF(Z152="","",IF(Z152="SIM",VLOOKUP($I152&amp;$J152&amp;Z$1,Pesos!$A:$I,7,FALSE),VLOOKUP($I152&amp;$J152&amp;Z$1,Pesos!$A:$I,9,FALSE)))</f>
        <v>0.15</v>
      </c>
      <c r="AY152" s="132">
        <f>IF(AA152="","",IF(AA152="SIM",VLOOKUP($I152&amp;$J152&amp;AA$1,Pesos!$A:$I,7,FALSE),VLOOKUP($I152&amp;$J152&amp;AA$1,Pesos!$A:$I,9,FALSE)))</f>
        <v>-1.0000000000000002E-2</v>
      </c>
      <c r="AZ152" s="132">
        <f>IF(AB152="","",IF(AB152="SIM",VLOOKUP($I152&amp;$J152&amp;AB$1,Pesos!$A:$I,7,FALSE),VLOOKUP($I152&amp;$J152&amp;AB$1,Pesos!$A:$I,9,FALSE)))</f>
        <v>0.3</v>
      </c>
      <c r="BA152" s="132">
        <f>IF(AC152="","",IF(AC152="SIM",VLOOKUP($I152&amp;$J152&amp;AC$1,Pesos!$A:$I,7,FALSE),VLOOKUP($I152&amp;$J152&amp;AC$1,Pesos!$A:$I,9,FALSE)))</f>
        <v>0.1</v>
      </c>
      <c r="BB152" s="132" t="str">
        <f>IF(AD152="","",IF(AD152="SIM",VLOOKUP($I152&amp;$J152&amp;AD$1,Pesos!$A:$I,7,FALSE),VLOOKUP($I152&amp;$J152&amp;AD$1,Pesos!$A:$I,9,FALSE)))</f>
        <v/>
      </c>
      <c r="BC152" s="132" t="str">
        <f>IF(AE152="","",IF(AE152="SIM",VLOOKUP($I152&amp;$J152&amp;AE$1,Pesos!$A:$I,7,FALSE),VLOOKUP($I152&amp;$J152&amp;AE$1,Pesos!$A:$I,9,FALSE)))</f>
        <v/>
      </c>
      <c r="BD152" s="158">
        <f>IFERROR(AF152*VLOOKUP(J152,'BD Campos'!$X$1:$Y$14,2,FALSE),"0")</f>
        <v>9.3700000000000028</v>
      </c>
    </row>
    <row r="153" spans="1:56">
      <c r="A153" s="151" t="str">
        <f t="shared" si="11"/>
        <v>Jan11444Cliente 2LOGÍSTICA</v>
      </c>
      <c r="B153" s="149" t="str">
        <f t="shared" si="12"/>
        <v>Jan114442LOGÍSTICAPADRÃO</v>
      </c>
      <c r="C153" s="152">
        <v>1</v>
      </c>
      <c r="D153" s="153">
        <v>46056.744646064813</v>
      </c>
      <c r="E153" s="154" t="s">
        <v>12</v>
      </c>
      <c r="F153" s="155">
        <v>11444</v>
      </c>
      <c r="G153" s="149" t="s">
        <v>324</v>
      </c>
      <c r="H153" s="154">
        <v>2</v>
      </c>
      <c r="I153" s="149" t="s">
        <v>321</v>
      </c>
      <c r="J153" s="149" t="s">
        <v>322</v>
      </c>
      <c r="K153" s="149" t="s">
        <v>315</v>
      </c>
      <c r="L153" s="156"/>
      <c r="M153" s="157">
        <v>9.7222222222222209E-4</v>
      </c>
      <c r="N153" s="131" t="s">
        <v>17</v>
      </c>
      <c r="O153" s="131" t="s">
        <v>17</v>
      </c>
      <c r="P153" s="131" t="s">
        <v>17</v>
      </c>
      <c r="Q153" s="131" t="s">
        <v>18</v>
      </c>
      <c r="R153" s="131" t="s">
        <v>17</v>
      </c>
      <c r="S153" s="131" t="s">
        <v>17</v>
      </c>
      <c r="T153" s="131" t="s">
        <v>17</v>
      </c>
      <c r="U153" s="131" t="s">
        <v>17</v>
      </c>
      <c r="V153" s="131" t="s">
        <v>17</v>
      </c>
      <c r="W153" s="131" t="s">
        <v>17</v>
      </c>
      <c r="X153" s="131" t="s">
        <v>17</v>
      </c>
      <c r="Y153" s="131" t="s">
        <v>18</v>
      </c>
      <c r="Z153" s="131" t="s">
        <v>18</v>
      </c>
      <c r="AA153" s="131" t="s">
        <v>17</v>
      </c>
      <c r="AB153" s="131" t="s">
        <v>17</v>
      </c>
      <c r="AC153" s="131" t="s">
        <v>17</v>
      </c>
      <c r="AD153" s="131" t="s">
        <v>17</v>
      </c>
      <c r="AE153" s="131" t="s">
        <v>17</v>
      </c>
      <c r="AF153" s="158">
        <f t="shared" si="14"/>
        <v>8.4460000000000015</v>
      </c>
      <c r="AG153" s="159"/>
      <c r="AH153" s="155"/>
      <c r="AI153" s="155" t="s">
        <v>83</v>
      </c>
      <c r="AJ153" s="131" t="str">
        <f>IFERROR(VLOOKUP(E153&amp;F153,'Listagem dos op'!A:S,19,0),"")</f>
        <v/>
      </c>
      <c r="AK153" s="131" t="str">
        <f t="shared" si="13"/>
        <v>Jan11444</v>
      </c>
      <c r="AL153" s="154">
        <f>IF(N153="","",IF(N153="SIM",VLOOKUP($I153&amp;$J153&amp;N$1,Pesos!$A:$I,7,FALSE),VLOOKUP($I153&amp;$J153&amp;N$1,Pesos!$A:$I,9,FALSE)))</f>
        <v>0.1</v>
      </c>
      <c r="AM153" s="154">
        <f>IF(O153="","",IF(O153="SIM",VLOOKUP($I153&amp;$J153&amp;O$1,Pesos!$A:$I,7,FALSE),VLOOKUP($I153&amp;$J153&amp;O$1,Pesos!$A:$I,9,FALSE)))</f>
        <v>0.1</v>
      </c>
      <c r="AN153" s="154">
        <f>IF(P153="","",IF(P153="SIM",VLOOKUP($I153&amp;$J153&amp;P$1,Pesos!$A:$I,7,FALSE),VLOOKUP($I153&amp;$J153&amp;P$1,Pesos!$A:$I,9,FALSE)))</f>
        <v>0.1</v>
      </c>
      <c r="AO153" s="154">
        <f>IF(Q153="","",IF(Q153="SIM",VLOOKUP($I153&amp;$J153&amp;Q$1,Pesos!$A:$I,7,FALSE),VLOOKUP($I153&amp;$J153&amp;Q$1,Pesos!$A:$I,9,FALSE)))</f>
        <v>-2.0000000000000004E-2</v>
      </c>
      <c r="AP153" s="154">
        <f>IF(R153="","",IF(R153="SIM",VLOOKUP($I153&amp;$J153&amp;R$1,Pesos!$A:$I,7,FALSE),VLOOKUP($I153&amp;$J153&amp;R$1,Pesos!$A:$I,9,FALSE)))</f>
        <v>1.32</v>
      </c>
      <c r="AQ153" s="154">
        <f>IF(S153="","",IF(S153="SIM",VLOOKUP($I153&amp;$J153&amp;S$1,Pesos!$A:$I,7,FALSE),VLOOKUP($I153&amp;$J153&amp;S$1,Pesos!$A:$I,9,FALSE)))</f>
        <v>1</v>
      </c>
      <c r="AR153" s="156">
        <f>IF(T153="","",IF(T153="SIM",VLOOKUP($I153&amp;$J153&amp;T$1,Pesos!$A:$I,7,FALSE),VLOOKUP($I153&amp;$J153&amp;T$1,Pesos!$A:$I,9,FALSE)))</f>
        <v>1</v>
      </c>
      <c r="AS153" s="132">
        <f>IF(U153="","",IF(U153="SIM",VLOOKUP($I153&amp;$J153&amp;U$1,Pesos!$A:$I,7,FALSE),VLOOKUP($I153&amp;$J153&amp;U$1,Pesos!$A:$I,9,FALSE)))</f>
        <v>0.85000000000000009</v>
      </c>
      <c r="AT153" s="132">
        <f>IF(V153="","",IF(V153="SIM",VLOOKUP($I153&amp;$J153&amp;V$1,Pesos!$A:$I,7,FALSE),VLOOKUP($I153&amp;$J153&amp;V$1,Pesos!$A:$I,9,FALSE)))</f>
        <v>1</v>
      </c>
      <c r="AU153" s="132">
        <f>IF(W153="","",IF(W153="SIM",VLOOKUP($I153&amp;$J153&amp;W$1,Pesos!$A:$I,7,FALSE),VLOOKUP($I153&amp;$J153&amp;W$1,Pesos!$A:$I,9,FALSE)))</f>
        <v>1</v>
      </c>
      <c r="AV153" s="132">
        <f>IF(X153="","",IF(X153="SIM",VLOOKUP($I153&amp;$J153&amp;X$1,Pesos!$A:$I,7,FALSE),VLOOKUP($I153&amp;$J153&amp;X$1,Pesos!$A:$I,9,FALSE)))</f>
        <v>1</v>
      </c>
      <c r="AW153" s="132">
        <f>IF(Y153="","",IF(Y153="SIM",VLOOKUP($I153&amp;$J153&amp;Y$1,Pesos!$A:$I,7,FALSE),VLOOKUP($I153&amp;$J153&amp;Y$1,Pesos!$A:$I,9,FALSE)))</f>
        <v>-3.9000000000000007E-2</v>
      </c>
      <c r="AX153" s="132">
        <f>IF(Z153="","",IF(Z153="SIM",VLOOKUP($I153&amp;$J153&amp;Z$1,Pesos!$A:$I,7,FALSE),VLOOKUP($I153&amp;$J153&amp;Z$1,Pesos!$A:$I,9,FALSE)))</f>
        <v>-1.4999999999999999E-2</v>
      </c>
      <c r="AY153" s="132">
        <f>IF(AA153="","",IF(AA153="SIM",VLOOKUP($I153&amp;$J153&amp;AA$1,Pesos!$A:$I,7,FALSE),VLOOKUP($I153&amp;$J153&amp;AA$1,Pesos!$A:$I,9,FALSE)))</f>
        <v>0.3</v>
      </c>
      <c r="AZ153" s="132">
        <f>IF(AB153="","",IF(AB153="SIM",VLOOKUP($I153&amp;$J153&amp;AB$1,Pesos!$A:$I,7,FALSE),VLOOKUP($I153&amp;$J153&amp;AB$1,Pesos!$A:$I,9,FALSE)))</f>
        <v>0.15</v>
      </c>
      <c r="BA153" s="132">
        <f>IF(AC153="","",IF(AC153="SIM",VLOOKUP($I153&amp;$J153&amp;AC$1,Pesos!$A:$I,7,FALSE),VLOOKUP($I153&amp;$J153&amp;AC$1,Pesos!$A:$I,9,FALSE)))</f>
        <v>0.2</v>
      </c>
      <c r="BB153" s="132">
        <f>IF(AD153="","",IF(AD153="SIM",VLOOKUP($I153&amp;$J153&amp;AD$1,Pesos!$A:$I,7,FALSE),VLOOKUP($I153&amp;$J153&amp;AD$1,Pesos!$A:$I,9,FALSE)))</f>
        <v>0.3</v>
      </c>
      <c r="BC153" s="132">
        <f>IF(AE153="","",IF(AE153="SIM",VLOOKUP($I153&amp;$J153&amp;AE$1,Pesos!$A:$I,7,FALSE),VLOOKUP($I153&amp;$J153&amp;AE$1,Pesos!$A:$I,9,FALSE)))</f>
        <v>0.1</v>
      </c>
      <c r="BD153" s="158">
        <f>IFERROR(AF153*VLOOKUP(J153,'BD Campos'!$X$1:$Y$14,2,FALSE),"0")</f>
        <v>8.4460000000000015</v>
      </c>
    </row>
    <row r="154" spans="1:56">
      <c r="A154" s="151" t="str">
        <f t="shared" si="11"/>
        <v>Jan11488ClienteLOGÍSTICA</v>
      </c>
      <c r="B154" s="149" t="str">
        <f t="shared" si="12"/>
        <v>Jan114881LOGÍSTICAPADRÃO</v>
      </c>
      <c r="C154" s="152">
        <v>1</v>
      </c>
      <c r="D154" s="153">
        <v>46056.74762696759</v>
      </c>
      <c r="E154" s="154" t="s">
        <v>12</v>
      </c>
      <c r="F154" s="155">
        <v>11488</v>
      </c>
      <c r="G154" s="149" t="s">
        <v>325</v>
      </c>
      <c r="H154" s="154">
        <v>1</v>
      </c>
      <c r="I154" s="149" t="s">
        <v>321</v>
      </c>
      <c r="J154" s="149" t="s">
        <v>149</v>
      </c>
      <c r="K154" s="149" t="s">
        <v>315</v>
      </c>
      <c r="L154" s="156"/>
      <c r="M154" s="157">
        <v>1.2962962962962963E-3</v>
      </c>
      <c r="N154" s="131" t="s">
        <v>18</v>
      </c>
      <c r="O154" s="131" t="s">
        <v>17</v>
      </c>
      <c r="P154" s="131" t="s">
        <v>17</v>
      </c>
      <c r="Q154" s="131" t="s">
        <v>18</v>
      </c>
      <c r="R154" s="131" t="s">
        <v>17</v>
      </c>
      <c r="S154" s="131" t="s">
        <v>17</v>
      </c>
      <c r="T154" s="131" t="s">
        <v>17</v>
      </c>
      <c r="U154" s="131" t="s">
        <v>17</v>
      </c>
      <c r="V154" s="131" t="s">
        <v>17</v>
      </c>
      <c r="W154" s="131" t="s">
        <v>18</v>
      </c>
      <c r="X154" s="131" t="s">
        <v>17</v>
      </c>
      <c r="Y154" s="131" t="s">
        <v>18</v>
      </c>
      <c r="Z154" s="131" t="s">
        <v>17</v>
      </c>
      <c r="AA154" s="131" t="s">
        <v>17</v>
      </c>
      <c r="AB154" s="131" t="s">
        <v>17</v>
      </c>
      <c r="AC154" s="131" t="s">
        <v>17</v>
      </c>
      <c r="AD154" s="131" t="s">
        <v>17</v>
      </c>
      <c r="AE154" s="131" t="s">
        <v>17</v>
      </c>
      <c r="AF154" s="158">
        <f t="shared" si="14"/>
        <v>7.6060000000000008</v>
      </c>
      <c r="AG154" s="159"/>
      <c r="AH154" s="155"/>
      <c r="AI154" s="155" t="s">
        <v>83</v>
      </c>
      <c r="AJ154" s="131" t="str">
        <f>IFERROR(VLOOKUP(E154&amp;F154,'Listagem dos op'!A:S,19,0),"")</f>
        <v/>
      </c>
      <c r="AK154" s="131" t="str">
        <f t="shared" si="13"/>
        <v>Jan11488</v>
      </c>
      <c r="AL154" s="154">
        <f>IF(N154="","",IF(N154="SIM",VLOOKUP($I154&amp;$J154&amp;N$1,Pesos!$A:$I,7,FALSE),VLOOKUP($I154&amp;$J154&amp;N$1,Pesos!$A:$I,9,FALSE)))</f>
        <v>-5.000000000000001E-3</v>
      </c>
      <c r="AM154" s="154">
        <f>IF(O154="","",IF(O154="SIM",VLOOKUP($I154&amp;$J154&amp;O$1,Pesos!$A:$I,7,FALSE),VLOOKUP($I154&amp;$J154&amp;O$1,Pesos!$A:$I,9,FALSE)))</f>
        <v>0.1</v>
      </c>
      <c r="AN154" s="154">
        <f>IF(P154="","",IF(P154="SIM",VLOOKUP($I154&amp;$J154&amp;P$1,Pesos!$A:$I,7,FALSE),VLOOKUP($I154&amp;$J154&amp;P$1,Pesos!$A:$I,9,FALSE)))</f>
        <v>0.1</v>
      </c>
      <c r="AO154" s="154">
        <f>IF(Q154="","",IF(Q154="SIM",VLOOKUP($I154&amp;$J154&amp;Q$1,Pesos!$A:$I,7,FALSE),VLOOKUP($I154&amp;$J154&amp;Q$1,Pesos!$A:$I,9,FALSE)))</f>
        <v>-2.0000000000000004E-2</v>
      </c>
      <c r="AP154" s="154">
        <f>IF(R154="","",IF(R154="SIM",VLOOKUP($I154&amp;$J154&amp;R$1,Pesos!$A:$I,7,FALSE),VLOOKUP($I154&amp;$J154&amp;R$1,Pesos!$A:$I,9,FALSE)))</f>
        <v>1.32</v>
      </c>
      <c r="AQ154" s="154">
        <f>IF(S154="","",IF(S154="SIM",VLOOKUP($I154&amp;$J154&amp;S$1,Pesos!$A:$I,7,FALSE),VLOOKUP($I154&amp;$J154&amp;S$1,Pesos!$A:$I,9,FALSE)))</f>
        <v>1</v>
      </c>
      <c r="AR154" s="156">
        <f>IF(T154="","",IF(T154="SIM",VLOOKUP($I154&amp;$J154&amp;T$1,Pesos!$A:$I,7,FALSE),VLOOKUP($I154&amp;$J154&amp;T$1,Pesos!$A:$I,9,FALSE)))</f>
        <v>1</v>
      </c>
      <c r="AS154" s="132">
        <f>IF(U154="","",IF(U154="SIM",VLOOKUP($I154&amp;$J154&amp;U$1,Pesos!$A:$I,7,FALSE),VLOOKUP($I154&amp;$J154&amp;U$1,Pesos!$A:$I,9,FALSE)))</f>
        <v>0.85000000000000009</v>
      </c>
      <c r="AT154" s="132">
        <f>IF(V154="","",IF(V154="SIM",VLOOKUP($I154&amp;$J154&amp;V$1,Pesos!$A:$I,7,FALSE),VLOOKUP($I154&amp;$J154&amp;V$1,Pesos!$A:$I,9,FALSE)))</f>
        <v>1</v>
      </c>
      <c r="AU154" s="132">
        <f>IF(W154="","",IF(W154="SIM",VLOOKUP($I154&amp;$J154&amp;W$1,Pesos!$A:$I,7,FALSE),VLOOKUP($I154&amp;$J154&amp;W$1,Pesos!$A:$I,9,FALSE)))</f>
        <v>-0.05</v>
      </c>
      <c r="AV154" s="132">
        <f>IF(X154="","",IF(X154="SIM",VLOOKUP($I154&amp;$J154&amp;X$1,Pesos!$A:$I,7,FALSE),VLOOKUP($I154&amp;$J154&amp;X$1,Pesos!$A:$I,9,FALSE)))</f>
        <v>1</v>
      </c>
      <c r="AW154" s="132">
        <f>IF(Y154="","",IF(Y154="SIM",VLOOKUP($I154&amp;$J154&amp;Y$1,Pesos!$A:$I,7,FALSE),VLOOKUP($I154&amp;$J154&amp;Y$1,Pesos!$A:$I,9,FALSE)))</f>
        <v>-3.9000000000000007E-2</v>
      </c>
      <c r="AX154" s="132">
        <f>IF(Z154="","",IF(Z154="SIM",VLOOKUP($I154&amp;$J154&amp;Z$1,Pesos!$A:$I,7,FALSE),VLOOKUP($I154&amp;$J154&amp;Z$1,Pesos!$A:$I,9,FALSE)))</f>
        <v>0.3</v>
      </c>
      <c r="AY154" s="132">
        <f>IF(AA154="","",IF(AA154="SIM",VLOOKUP($I154&amp;$J154&amp;AA$1,Pesos!$A:$I,7,FALSE),VLOOKUP($I154&amp;$J154&amp;AA$1,Pesos!$A:$I,9,FALSE)))</f>
        <v>0.3</v>
      </c>
      <c r="AZ154" s="132">
        <f>IF(AB154="","",IF(AB154="SIM",VLOOKUP($I154&amp;$J154&amp;AB$1,Pesos!$A:$I,7,FALSE),VLOOKUP($I154&amp;$J154&amp;AB$1,Pesos!$A:$I,9,FALSE)))</f>
        <v>0.15</v>
      </c>
      <c r="BA154" s="132">
        <f>IF(AC154="","",IF(AC154="SIM",VLOOKUP($I154&amp;$J154&amp;AC$1,Pesos!$A:$I,7,FALSE),VLOOKUP($I154&amp;$J154&amp;AC$1,Pesos!$A:$I,9,FALSE)))</f>
        <v>0.2</v>
      </c>
      <c r="BB154" s="132">
        <f>IF(AD154="","",IF(AD154="SIM",VLOOKUP($I154&amp;$J154&amp;AD$1,Pesos!$A:$I,7,FALSE),VLOOKUP($I154&amp;$J154&amp;AD$1,Pesos!$A:$I,9,FALSE)))</f>
        <v>0.3</v>
      </c>
      <c r="BC154" s="132">
        <f>IF(AE154="","",IF(AE154="SIM",VLOOKUP($I154&amp;$J154&amp;AE$1,Pesos!$A:$I,7,FALSE),VLOOKUP($I154&amp;$J154&amp;AE$1,Pesos!$A:$I,9,FALSE)))</f>
        <v>0.1</v>
      </c>
      <c r="BD154" s="158">
        <f>IFERROR(AF154*VLOOKUP(J154,'BD Campos'!$X$1:$Y$14,2,FALSE),"0")</f>
        <v>7.6060000000000008</v>
      </c>
    </row>
    <row r="155" spans="1:56">
      <c r="A155" s="151" t="str">
        <f t="shared" si="11"/>
        <v>Jan11488Cliente 2LOGÍSTICA</v>
      </c>
      <c r="B155" s="149" t="str">
        <f t="shared" si="12"/>
        <v>Jan114882LOGÍSTICAPADRÃO</v>
      </c>
      <c r="C155" s="152">
        <v>1</v>
      </c>
      <c r="D155" s="153">
        <v>46056.749445023146</v>
      </c>
      <c r="E155" s="154" t="s">
        <v>12</v>
      </c>
      <c r="F155" s="155">
        <v>11488</v>
      </c>
      <c r="G155" s="149" t="s">
        <v>325</v>
      </c>
      <c r="H155" s="154">
        <v>2</v>
      </c>
      <c r="I155" s="149" t="s">
        <v>321</v>
      </c>
      <c r="J155" s="149" t="s">
        <v>322</v>
      </c>
      <c r="K155" s="149" t="s">
        <v>315</v>
      </c>
      <c r="L155" s="156"/>
      <c r="M155" s="157">
        <v>1.5162037037037036E-3</v>
      </c>
      <c r="N155" s="131" t="s">
        <v>18</v>
      </c>
      <c r="O155" s="131" t="s">
        <v>17</v>
      </c>
      <c r="P155" s="131" t="s">
        <v>17</v>
      </c>
      <c r="Q155" s="131" t="s">
        <v>18</v>
      </c>
      <c r="R155" s="131" t="s">
        <v>17</v>
      </c>
      <c r="S155" s="131" t="s">
        <v>17</v>
      </c>
      <c r="T155" s="131" t="s">
        <v>17</v>
      </c>
      <c r="U155" s="131" t="s">
        <v>17</v>
      </c>
      <c r="V155" s="131" t="s">
        <v>17</v>
      </c>
      <c r="W155" s="131" t="s">
        <v>18</v>
      </c>
      <c r="X155" s="131" t="s">
        <v>17</v>
      </c>
      <c r="Y155" s="131" t="s">
        <v>17</v>
      </c>
      <c r="Z155" s="131" t="s">
        <v>18</v>
      </c>
      <c r="AA155" s="131" t="s">
        <v>17</v>
      </c>
      <c r="AB155" s="131" t="s">
        <v>17</v>
      </c>
      <c r="AC155" s="131" t="s">
        <v>17</v>
      </c>
      <c r="AD155" s="131" t="s">
        <v>17</v>
      </c>
      <c r="AE155" s="131" t="s">
        <v>17</v>
      </c>
      <c r="AF155" s="158">
        <f t="shared" si="14"/>
        <v>8.1100000000000012</v>
      </c>
      <c r="AG155" s="159"/>
      <c r="AH155" s="155"/>
      <c r="AI155" s="155" t="s">
        <v>83</v>
      </c>
      <c r="AJ155" s="131" t="str">
        <f>IFERROR(VLOOKUP(E155&amp;F155,'Listagem dos op'!A:S,19,0),"")</f>
        <v/>
      </c>
      <c r="AK155" s="131" t="str">
        <f t="shared" si="13"/>
        <v>Jan11488</v>
      </c>
      <c r="AL155" s="154">
        <f>IF(N155="","",IF(N155="SIM",VLOOKUP($I155&amp;$J155&amp;N$1,Pesos!$A:$I,7,FALSE),VLOOKUP($I155&amp;$J155&amp;N$1,Pesos!$A:$I,9,FALSE)))</f>
        <v>-5.000000000000001E-3</v>
      </c>
      <c r="AM155" s="154">
        <f>IF(O155="","",IF(O155="SIM",VLOOKUP($I155&amp;$J155&amp;O$1,Pesos!$A:$I,7,FALSE),VLOOKUP($I155&amp;$J155&amp;O$1,Pesos!$A:$I,9,FALSE)))</f>
        <v>0.1</v>
      </c>
      <c r="AN155" s="154">
        <f>IF(P155="","",IF(P155="SIM",VLOOKUP($I155&amp;$J155&amp;P$1,Pesos!$A:$I,7,FALSE),VLOOKUP($I155&amp;$J155&amp;P$1,Pesos!$A:$I,9,FALSE)))</f>
        <v>0.1</v>
      </c>
      <c r="AO155" s="154">
        <f>IF(Q155="","",IF(Q155="SIM",VLOOKUP($I155&amp;$J155&amp;Q$1,Pesos!$A:$I,7,FALSE),VLOOKUP($I155&amp;$J155&amp;Q$1,Pesos!$A:$I,9,FALSE)))</f>
        <v>-2.0000000000000004E-2</v>
      </c>
      <c r="AP155" s="154">
        <f>IF(R155="","",IF(R155="SIM",VLOOKUP($I155&amp;$J155&amp;R$1,Pesos!$A:$I,7,FALSE),VLOOKUP($I155&amp;$J155&amp;R$1,Pesos!$A:$I,9,FALSE)))</f>
        <v>1.32</v>
      </c>
      <c r="AQ155" s="154">
        <f>IF(S155="","",IF(S155="SIM",VLOOKUP($I155&amp;$J155&amp;S$1,Pesos!$A:$I,7,FALSE),VLOOKUP($I155&amp;$J155&amp;S$1,Pesos!$A:$I,9,FALSE)))</f>
        <v>1</v>
      </c>
      <c r="AR155" s="156">
        <f>IF(T155="","",IF(T155="SIM",VLOOKUP($I155&amp;$J155&amp;T$1,Pesos!$A:$I,7,FALSE),VLOOKUP($I155&amp;$J155&amp;T$1,Pesos!$A:$I,9,FALSE)))</f>
        <v>1</v>
      </c>
      <c r="AS155" s="132">
        <f>IF(U155="","",IF(U155="SIM",VLOOKUP($I155&amp;$J155&amp;U$1,Pesos!$A:$I,7,FALSE),VLOOKUP($I155&amp;$J155&amp;U$1,Pesos!$A:$I,9,FALSE)))</f>
        <v>0.85000000000000009</v>
      </c>
      <c r="AT155" s="132">
        <f>IF(V155="","",IF(V155="SIM",VLOOKUP($I155&amp;$J155&amp;V$1,Pesos!$A:$I,7,FALSE),VLOOKUP($I155&amp;$J155&amp;V$1,Pesos!$A:$I,9,FALSE)))</f>
        <v>1</v>
      </c>
      <c r="AU155" s="132">
        <f>IF(W155="","",IF(W155="SIM",VLOOKUP($I155&amp;$J155&amp;W$1,Pesos!$A:$I,7,FALSE),VLOOKUP($I155&amp;$J155&amp;W$1,Pesos!$A:$I,9,FALSE)))</f>
        <v>-0.05</v>
      </c>
      <c r="AV155" s="132">
        <f>IF(X155="","",IF(X155="SIM",VLOOKUP($I155&amp;$J155&amp;X$1,Pesos!$A:$I,7,FALSE),VLOOKUP($I155&amp;$J155&amp;X$1,Pesos!$A:$I,9,FALSE)))</f>
        <v>1</v>
      </c>
      <c r="AW155" s="132">
        <f>IF(Y155="","",IF(Y155="SIM",VLOOKUP($I155&amp;$J155&amp;Y$1,Pesos!$A:$I,7,FALSE),VLOOKUP($I155&amp;$J155&amp;Y$1,Pesos!$A:$I,9,FALSE)))</f>
        <v>0.78</v>
      </c>
      <c r="AX155" s="132">
        <f>IF(Z155="","",IF(Z155="SIM",VLOOKUP($I155&amp;$J155&amp;Z$1,Pesos!$A:$I,7,FALSE),VLOOKUP($I155&amp;$J155&amp;Z$1,Pesos!$A:$I,9,FALSE)))</f>
        <v>-1.4999999999999999E-2</v>
      </c>
      <c r="AY155" s="132">
        <f>IF(AA155="","",IF(AA155="SIM",VLOOKUP($I155&amp;$J155&amp;AA$1,Pesos!$A:$I,7,FALSE),VLOOKUP($I155&amp;$J155&amp;AA$1,Pesos!$A:$I,9,FALSE)))</f>
        <v>0.3</v>
      </c>
      <c r="AZ155" s="132">
        <f>IF(AB155="","",IF(AB155="SIM",VLOOKUP($I155&amp;$J155&amp;AB$1,Pesos!$A:$I,7,FALSE),VLOOKUP($I155&amp;$J155&amp;AB$1,Pesos!$A:$I,9,FALSE)))</f>
        <v>0.15</v>
      </c>
      <c r="BA155" s="132">
        <f>IF(AC155="","",IF(AC155="SIM",VLOOKUP($I155&amp;$J155&amp;AC$1,Pesos!$A:$I,7,FALSE),VLOOKUP($I155&amp;$J155&amp;AC$1,Pesos!$A:$I,9,FALSE)))</f>
        <v>0.2</v>
      </c>
      <c r="BB155" s="132">
        <f>IF(AD155="","",IF(AD155="SIM",VLOOKUP($I155&amp;$J155&amp;AD$1,Pesos!$A:$I,7,FALSE),VLOOKUP($I155&amp;$J155&amp;AD$1,Pesos!$A:$I,9,FALSE)))</f>
        <v>0.3</v>
      </c>
      <c r="BC155" s="132">
        <f>IF(AE155="","",IF(AE155="SIM",VLOOKUP($I155&amp;$J155&amp;AE$1,Pesos!$A:$I,7,FALSE),VLOOKUP($I155&amp;$J155&amp;AE$1,Pesos!$A:$I,9,FALSE)))</f>
        <v>0.1</v>
      </c>
      <c r="BD155" s="158">
        <f>IFERROR(AF155*VLOOKUP(J155,'BD Campos'!$X$1:$Y$14,2,FALSE),"0")</f>
        <v>8.1100000000000012</v>
      </c>
    </row>
    <row r="156" spans="1:56">
      <c r="A156" s="151" t="str">
        <f t="shared" si="11"/>
        <v>Jan11495ClienteLOGÍSTICA</v>
      </c>
      <c r="B156" s="149" t="str">
        <f t="shared" si="12"/>
        <v>Jan114951LOGÍSTICAPADRÃO</v>
      </c>
      <c r="C156" s="152">
        <v>1</v>
      </c>
      <c r="D156" s="153">
        <v>46056.752831365739</v>
      </c>
      <c r="E156" s="154" t="s">
        <v>12</v>
      </c>
      <c r="F156" s="155">
        <v>11495</v>
      </c>
      <c r="G156" s="149" t="s">
        <v>326</v>
      </c>
      <c r="H156" s="154">
        <v>1</v>
      </c>
      <c r="I156" s="149" t="s">
        <v>321</v>
      </c>
      <c r="J156" s="149" t="s">
        <v>149</v>
      </c>
      <c r="K156" s="149" t="s">
        <v>315</v>
      </c>
      <c r="L156" s="156"/>
      <c r="M156" s="157">
        <v>9.1435185185185185E-4</v>
      </c>
      <c r="N156" s="131" t="s">
        <v>17</v>
      </c>
      <c r="O156" s="131" t="s">
        <v>17</v>
      </c>
      <c r="P156" s="131" t="s">
        <v>17</v>
      </c>
      <c r="Q156" s="131" t="s">
        <v>17</v>
      </c>
      <c r="R156" s="131" t="s">
        <v>17</v>
      </c>
      <c r="S156" s="131" t="s">
        <v>17</v>
      </c>
      <c r="T156" s="131" t="s">
        <v>17</v>
      </c>
      <c r="U156" s="131" t="s">
        <v>17</v>
      </c>
      <c r="V156" s="131" t="s">
        <v>17</v>
      </c>
      <c r="W156" s="131" t="s">
        <v>18</v>
      </c>
      <c r="X156" s="131" t="s">
        <v>18</v>
      </c>
      <c r="Y156" s="131" t="s">
        <v>17</v>
      </c>
      <c r="Z156" s="131" t="s">
        <v>17</v>
      </c>
      <c r="AA156" s="131" t="s">
        <v>17</v>
      </c>
      <c r="AB156" s="131" t="s">
        <v>17</v>
      </c>
      <c r="AC156" s="131" t="s">
        <v>17</v>
      </c>
      <c r="AD156" s="131" t="s">
        <v>17</v>
      </c>
      <c r="AE156" s="131" t="s">
        <v>17</v>
      </c>
      <c r="AF156" s="158">
        <f t="shared" si="14"/>
        <v>7.8999999999999995</v>
      </c>
      <c r="AG156" s="159"/>
      <c r="AH156" s="155"/>
      <c r="AI156" s="155" t="s">
        <v>83</v>
      </c>
      <c r="AJ156" s="131" t="str">
        <f>IFERROR(VLOOKUP(E156&amp;F156,'Listagem dos op'!A:S,19,0),"")</f>
        <v/>
      </c>
      <c r="AK156" s="131" t="str">
        <f t="shared" si="13"/>
        <v>Jan11495</v>
      </c>
      <c r="AL156" s="154">
        <f>IF(N156="","",IF(N156="SIM",VLOOKUP($I156&amp;$J156&amp;N$1,Pesos!$A:$I,7,FALSE),VLOOKUP($I156&amp;$J156&amp;N$1,Pesos!$A:$I,9,FALSE)))</f>
        <v>0.1</v>
      </c>
      <c r="AM156" s="154">
        <f>IF(O156="","",IF(O156="SIM",VLOOKUP($I156&amp;$J156&amp;O$1,Pesos!$A:$I,7,FALSE),VLOOKUP($I156&amp;$J156&amp;O$1,Pesos!$A:$I,9,FALSE)))</f>
        <v>0.1</v>
      </c>
      <c r="AN156" s="154">
        <f>IF(P156="","",IF(P156="SIM",VLOOKUP($I156&amp;$J156&amp;P$1,Pesos!$A:$I,7,FALSE),VLOOKUP($I156&amp;$J156&amp;P$1,Pesos!$A:$I,9,FALSE)))</f>
        <v>0.1</v>
      </c>
      <c r="AO156" s="154">
        <f>IF(Q156="","",IF(Q156="SIM",VLOOKUP($I156&amp;$J156&amp;Q$1,Pesos!$A:$I,7,FALSE),VLOOKUP($I156&amp;$J156&amp;Q$1,Pesos!$A:$I,9,FALSE)))</f>
        <v>0.4</v>
      </c>
      <c r="AP156" s="154">
        <f>IF(R156="","",IF(R156="SIM",VLOOKUP($I156&amp;$J156&amp;R$1,Pesos!$A:$I,7,FALSE),VLOOKUP($I156&amp;$J156&amp;R$1,Pesos!$A:$I,9,FALSE)))</f>
        <v>1.32</v>
      </c>
      <c r="AQ156" s="154">
        <f>IF(S156="","",IF(S156="SIM",VLOOKUP($I156&amp;$J156&amp;S$1,Pesos!$A:$I,7,FALSE),VLOOKUP($I156&amp;$J156&amp;S$1,Pesos!$A:$I,9,FALSE)))</f>
        <v>1</v>
      </c>
      <c r="AR156" s="156">
        <f>IF(T156="","",IF(T156="SIM",VLOOKUP($I156&amp;$J156&amp;T$1,Pesos!$A:$I,7,FALSE),VLOOKUP($I156&amp;$J156&amp;T$1,Pesos!$A:$I,9,FALSE)))</f>
        <v>1</v>
      </c>
      <c r="AS156" s="132">
        <f>IF(U156="","",IF(U156="SIM",VLOOKUP($I156&amp;$J156&amp;U$1,Pesos!$A:$I,7,FALSE),VLOOKUP($I156&amp;$J156&amp;U$1,Pesos!$A:$I,9,FALSE)))</f>
        <v>0.85000000000000009</v>
      </c>
      <c r="AT156" s="132">
        <f>IF(V156="","",IF(V156="SIM",VLOOKUP($I156&amp;$J156&amp;V$1,Pesos!$A:$I,7,FALSE),VLOOKUP($I156&amp;$J156&amp;V$1,Pesos!$A:$I,9,FALSE)))</f>
        <v>1</v>
      </c>
      <c r="AU156" s="132">
        <f>IF(W156="","",IF(W156="SIM",VLOOKUP($I156&amp;$J156&amp;W$1,Pesos!$A:$I,7,FALSE),VLOOKUP($I156&amp;$J156&amp;W$1,Pesos!$A:$I,9,FALSE)))</f>
        <v>-0.05</v>
      </c>
      <c r="AV156" s="132">
        <f>IF(X156="","",IF(X156="SIM",VLOOKUP($I156&amp;$J156&amp;X$1,Pesos!$A:$I,7,FALSE),VLOOKUP($I156&amp;$J156&amp;X$1,Pesos!$A:$I,9,FALSE)))</f>
        <v>-0.05</v>
      </c>
      <c r="AW156" s="132">
        <f>IF(Y156="","",IF(Y156="SIM",VLOOKUP($I156&amp;$J156&amp;Y$1,Pesos!$A:$I,7,FALSE),VLOOKUP($I156&amp;$J156&amp;Y$1,Pesos!$A:$I,9,FALSE)))</f>
        <v>0.78</v>
      </c>
      <c r="AX156" s="132">
        <f>IF(Z156="","",IF(Z156="SIM",VLOOKUP($I156&amp;$J156&amp;Z$1,Pesos!$A:$I,7,FALSE),VLOOKUP($I156&amp;$J156&amp;Z$1,Pesos!$A:$I,9,FALSE)))</f>
        <v>0.3</v>
      </c>
      <c r="AY156" s="132">
        <f>IF(AA156="","",IF(AA156="SIM",VLOOKUP($I156&amp;$J156&amp;AA$1,Pesos!$A:$I,7,FALSE),VLOOKUP($I156&amp;$J156&amp;AA$1,Pesos!$A:$I,9,FALSE)))</f>
        <v>0.3</v>
      </c>
      <c r="AZ156" s="132">
        <f>IF(AB156="","",IF(AB156="SIM",VLOOKUP($I156&amp;$J156&amp;AB$1,Pesos!$A:$I,7,FALSE),VLOOKUP($I156&amp;$J156&amp;AB$1,Pesos!$A:$I,9,FALSE)))</f>
        <v>0.15</v>
      </c>
      <c r="BA156" s="132">
        <f>IF(AC156="","",IF(AC156="SIM",VLOOKUP($I156&amp;$J156&amp;AC$1,Pesos!$A:$I,7,FALSE),VLOOKUP($I156&amp;$J156&amp;AC$1,Pesos!$A:$I,9,FALSE)))</f>
        <v>0.2</v>
      </c>
      <c r="BB156" s="132">
        <f>IF(AD156="","",IF(AD156="SIM",VLOOKUP($I156&amp;$J156&amp;AD$1,Pesos!$A:$I,7,FALSE),VLOOKUP($I156&amp;$J156&amp;AD$1,Pesos!$A:$I,9,FALSE)))</f>
        <v>0.3</v>
      </c>
      <c r="BC156" s="132">
        <f>IF(AE156="","",IF(AE156="SIM",VLOOKUP($I156&amp;$J156&amp;AE$1,Pesos!$A:$I,7,FALSE),VLOOKUP($I156&amp;$J156&amp;AE$1,Pesos!$A:$I,9,FALSE)))</f>
        <v>0.1</v>
      </c>
      <c r="BD156" s="158">
        <f>IFERROR(AF156*VLOOKUP(J156,'BD Campos'!$X$1:$Y$14,2,FALSE),"0")</f>
        <v>7.8999999999999995</v>
      </c>
    </row>
    <row r="157" spans="1:56">
      <c r="A157" s="151" t="str">
        <f t="shared" si="11"/>
        <v>Jan11495Cliente 2LOGÍSTICA</v>
      </c>
      <c r="B157" s="149" t="str">
        <f t="shared" si="12"/>
        <v>Jan114952LOGÍSTICAPADRÃO</v>
      </c>
      <c r="C157" s="152">
        <v>1</v>
      </c>
      <c r="D157" s="153">
        <v>46056.753927314814</v>
      </c>
      <c r="E157" s="154" t="s">
        <v>12</v>
      </c>
      <c r="F157" s="155">
        <v>11495</v>
      </c>
      <c r="G157" s="149" t="s">
        <v>326</v>
      </c>
      <c r="H157" s="154">
        <v>2</v>
      </c>
      <c r="I157" s="149" t="s">
        <v>321</v>
      </c>
      <c r="J157" s="149" t="s">
        <v>322</v>
      </c>
      <c r="K157" s="149" t="s">
        <v>315</v>
      </c>
      <c r="L157" s="156"/>
      <c r="M157" s="157">
        <v>8.1018518518518516E-4</v>
      </c>
      <c r="N157" s="131" t="s">
        <v>17</v>
      </c>
      <c r="O157" s="131" t="s">
        <v>17</v>
      </c>
      <c r="P157" s="131" t="s">
        <v>17</v>
      </c>
      <c r="Q157" s="131" t="s">
        <v>17</v>
      </c>
      <c r="R157" s="131" t="s">
        <v>17</v>
      </c>
      <c r="S157" s="131" t="s">
        <v>17</v>
      </c>
      <c r="T157" s="131" t="s">
        <v>17</v>
      </c>
      <c r="U157" s="131" t="s">
        <v>17</v>
      </c>
      <c r="V157" s="131" t="s">
        <v>17</v>
      </c>
      <c r="W157" s="131" t="s">
        <v>17</v>
      </c>
      <c r="X157" s="131" t="s">
        <v>18</v>
      </c>
      <c r="Y157" s="131" t="s">
        <v>18</v>
      </c>
      <c r="Z157" s="131" t="s">
        <v>17</v>
      </c>
      <c r="AA157" s="131" t="s">
        <v>17</v>
      </c>
      <c r="AB157" s="131" t="s">
        <v>17</v>
      </c>
      <c r="AC157" s="131" t="s">
        <v>17</v>
      </c>
      <c r="AD157" s="131" t="s">
        <v>17</v>
      </c>
      <c r="AE157" s="131" t="s">
        <v>17</v>
      </c>
      <c r="AF157" s="158">
        <f t="shared" si="14"/>
        <v>8.1310000000000002</v>
      </c>
      <c r="AG157" s="159"/>
      <c r="AH157" s="155"/>
      <c r="AI157" s="155" t="s">
        <v>83</v>
      </c>
      <c r="AJ157" s="131" t="str">
        <f>IFERROR(VLOOKUP(E157&amp;F157,'Listagem dos op'!A:S,19,0),"")</f>
        <v/>
      </c>
      <c r="AK157" s="131" t="str">
        <f t="shared" si="13"/>
        <v>Jan11495</v>
      </c>
      <c r="AL157" s="154">
        <f>IF(N157="","",IF(N157="SIM",VLOOKUP($I157&amp;$J157&amp;N$1,Pesos!$A:$I,7,FALSE),VLOOKUP($I157&amp;$J157&amp;N$1,Pesos!$A:$I,9,FALSE)))</f>
        <v>0.1</v>
      </c>
      <c r="AM157" s="154">
        <f>IF(O157="","",IF(O157="SIM",VLOOKUP($I157&amp;$J157&amp;O$1,Pesos!$A:$I,7,FALSE),VLOOKUP($I157&amp;$J157&amp;O$1,Pesos!$A:$I,9,FALSE)))</f>
        <v>0.1</v>
      </c>
      <c r="AN157" s="154">
        <f>IF(P157="","",IF(P157="SIM",VLOOKUP($I157&amp;$J157&amp;P$1,Pesos!$A:$I,7,FALSE),VLOOKUP($I157&amp;$J157&amp;P$1,Pesos!$A:$I,9,FALSE)))</f>
        <v>0.1</v>
      </c>
      <c r="AO157" s="154">
        <f>IF(Q157="","",IF(Q157="SIM",VLOOKUP($I157&amp;$J157&amp;Q$1,Pesos!$A:$I,7,FALSE),VLOOKUP($I157&amp;$J157&amp;Q$1,Pesos!$A:$I,9,FALSE)))</f>
        <v>0.4</v>
      </c>
      <c r="AP157" s="154">
        <f>IF(R157="","",IF(R157="SIM",VLOOKUP($I157&amp;$J157&amp;R$1,Pesos!$A:$I,7,FALSE),VLOOKUP($I157&amp;$J157&amp;R$1,Pesos!$A:$I,9,FALSE)))</f>
        <v>1.32</v>
      </c>
      <c r="AQ157" s="154">
        <f>IF(S157="","",IF(S157="SIM",VLOOKUP($I157&amp;$J157&amp;S$1,Pesos!$A:$I,7,FALSE),VLOOKUP($I157&amp;$J157&amp;S$1,Pesos!$A:$I,9,FALSE)))</f>
        <v>1</v>
      </c>
      <c r="AR157" s="156">
        <f>IF(T157="","",IF(T157="SIM",VLOOKUP($I157&amp;$J157&amp;T$1,Pesos!$A:$I,7,FALSE),VLOOKUP($I157&amp;$J157&amp;T$1,Pesos!$A:$I,9,FALSE)))</f>
        <v>1</v>
      </c>
      <c r="AS157" s="132">
        <f>IF(U157="","",IF(U157="SIM",VLOOKUP($I157&amp;$J157&amp;U$1,Pesos!$A:$I,7,FALSE),VLOOKUP($I157&amp;$J157&amp;U$1,Pesos!$A:$I,9,FALSE)))</f>
        <v>0.85000000000000009</v>
      </c>
      <c r="AT157" s="132">
        <f>IF(V157="","",IF(V157="SIM",VLOOKUP($I157&amp;$J157&amp;V$1,Pesos!$A:$I,7,FALSE),VLOOKUP($I157&amp;$J157&amp;V$1,Pesos!$A:$I,9,FALSE)))</f>
        <v>1</v>
      </c>
      <c r="AU157" s="132">
        <f>IF(W157="","",IF(W157="SIM",VLOOKUP($I157&amp;$J157&amp;W$1,Pesos!$A:$I,7,FALSE),VLOOKUP($I157&amp;$J157&amp;W$1,Pesos!$A:$I,9,FALSE)))</f>
        <v>1</v>
      </c>
      <c r="AV157" s="132">
        <f>IF(X157="","",IF(X157="SIM",VLOOKUP($I157&amp;$J157&amp;X$1,Pesos!$A:$I,7,FALSE),VLOOKUP($I157&amp;$J157&amp;X$1,Pesos!$A:$I,9,FALSE)))</f>
        <v>-0.05</v>
      </c>
      <c r="AW157" s="132">
        <f>IF(Y157="","",IF(Y157="SIM",VLOOKUP($I157&amp;$J157&amp;Y$1,Pesos!$A:$I,7,FALSE),VLOOKUP($I157&amp;$J157&amp;Y$1,Pesos!$A:$I,9,FALSE)))</f>
        <v>-3.9000000000000007E-2</v>
      </c>
      <c r="AX157" s="132">
        <f>IF(Z157="","",IF(Z157="SIM",VLOOKUP($I157&amp;$J157&amp;Z$1,Pesos!$A:$I,7,FALSE),VLOOKUP($I157&amp;$J157&amp;Z$1,Pesos!$A:$I,9,FALSE)))</f>
        <v>0.3</v>
      </c>
      <c r="AY157" s="132">
        <f>IF(AA157="","",IF(AA157="SIM",VLOOKUP($I157&amp;$J157&amp;AA$1,Pesos!$A:$I,7,FALSE),VLOOKUP($I157&amp;$J157&amp;AA$1,Pesos!$A:$I,9,FALSE)))</f>
        <v>0.3</v>
      </c>
      <c r="AZ157" s="132">
        <f>IF(AB157="","",IF(AB157="SIM",VLOOKUP($I157&amp;$J157&amp;AB$1,Pesos!$A:$I,7,FALSE),VLOOKUP($I157&amp;$J157&amp;AB$1,Pesos!$A:$I,9,FALSE)))</f>
        <v>0.15</v>
      </c>
      <c r="BA157" s="132">
        <f>IF(AC157="","",IF(AC157="SIM",VLOOKUP($I157&amp;$J157&amp;AC$1,Pesos!$A:$I,7,FALSE),VLOOKUP($I157&amp;$J157&amp;AC$1,Pesos!$A:$I,9,FALSE)))</f>
        <v>0.2</v>
      </c>
      <c r="BB157" s="132">
        <f>IF(AD157="","",IF(AD157="SIM",VLOOKUP($I157&amp;$J157&amp;AD$1,Pesos!$A:$I,7,FALSE),VLOOKUP($I157&amp;$J157&amp;AD$1,Pesos!$A:$I,9,FALSE)))</f>
        <v>0.3</v>
      </c>
      <c r="BC157" s="132">
        <f>IF(AE157="","",IF(AE157="SIM",VLOOKUP($I157&amp;$J157&amp;AE$1,Pesos!$A:$I,7,FALSE),VLOOKUP($I157&amp;$J157&amp;AE$1,Pesos!$A:$I,9,FALSE)))</f>
        <v>0.1</v>
      </c>
      <c r="BD157" s="158">
        <f>IFERROR(AF157*VLOOKUP(J157,'BD Campos'!$X$1:$Y$14,2,FALSE),"0")</f>
        <v>8.1310000000000002</v>
      </c>
    </row>
    <row r="158" spans="1:56">
      <c r="A158" s="151" t="str">
        <f t="shared" si="11"/>
        <v>Jan11409ClienteLOGÍSTICA</v>
      </c>
      <c r="B158" s="149" t="str">
        <f t="shared" si="12"/>
        <v>Jan114091LOGÍSTICAPADRÃO</v>
      </c>
      <c r="C158" s="152">
        <v>1</v>
      </c>
      <c r="D158" s="153">
        <v>46056.755944444441</v>
      </c>
      <c r="E158" s="154" t="s">
        <v>12</v>
      </c>
      <c r="F158" s="155">
        <v>11409</v>
      </c>
      <c r="G158" s="149" t="s">
        <v>327</v>
      </c>
      <c r="H158" s="154">
        <v>1</v>
      </c>
      <c r="I158" s="149" t="s">
        <v>321</v>
      </c>
      <c r="J158" s="149" t="s">
        <v>149</v>
      </c>
      <c r="K158" s="149" t="s">
        <v>315</v>
      </c>
      <c r="L158" s="156"/>
      <c r="M158" s="157">
        <v>8.6805555555555551E-4</v>
      </c>
      <c r="N158" s="131" t="s">
        <v>17</v>
      </c>
      <c r="O158" s="131" t="s">
        <v>17</v>
      </c>
      <c r="P158" s="131" t="s">
        <v>17</v>
      </c>
      <c r="Q158" s="131" t="s">
        <v>17</v>
      </c>
      <c r="R158" s="131" t="s">
        <v>17</v>
      </c>
      <c r="S158" s="131" t="s">
        <v>17</v>
      </c>
      <c r="T158" s="131" t="s">
        <v>17</v>
      </c>
      <c r="U158" s="131" t="s">
        <v>17</v>
      </c>
      <c r="V158" s="131" t="s">
        <v>17</v>
      </c>
      <c r="W158" s="131" t="s">
        <v>17</v>
      </c>
      <c r="X158" s="131" t="s">
        <v>17</v>
      </c>
      <c r="Y158" s="131" t="s">
        <v>17</v>
      </c>
      <c r="Z158" s="131" t="s">
        <v>17</v>
      </c>
      <c r="AA158" s="131" t="s">
        <v>17</v>
      </c>
      <c r="AB158" s="131" t="s">
        <v>17</v>
      </c>
      <c r="AC158" s="131" t="s">
        <v>17</v>
      </c>
      <c r="AD158" s="131" t="s">
        <v>17</v>
      </c>
      <c r="AE158" s="131" t="s">
        <v>17</v>
      </c>
      <c r="AF158" s="158">
        <f t="shared" si="14"/>
        <v>10</v>
      </c>
      <c r="AG158" s="159"/>
      <c r="AH158" s="155"/>
      <c r="AI158" s="155" t="s">
        <v>83</v>
      </c>
      <c r="AJ158" s="131" t="str">
        <f>IFERROR(VLOOKUP(E158&amp;F158,'Listagem dos op'!A:S,19,0),"")</f>
        <v/>
      </c>
      <c r="AK158" s="131" t="str">
        <f t="shared" si="13"/>
        <v>Jan11409</v>
      </c>
      <c r="AL158" s="154">
        <f>IF(N158="","",IF(N158="SIM",VLOOKUP($I158&amp;$J158&amp;N$1,Pesos!$A:$I,7,FALSE),VLOOKUP($I158&amp;$J158&amp;N$1,Pesos!$A:$I,9,FALSE)))</f>
        <v>0.1</v>
      </c>
      <c r="AM158" s="154">
        <f>IF(O158="","",IF(O158="SIM",VLOOKUP($I158&amp;$J158&amp;O$1,Pesos!$A:$I,7,FALSE),VLOOKUP($I158&amp;$J158&amp;O$1,Pesos!$A:$I,9,FALSE)))</f>
        <v>0.1</v>
      </c>
      <c r="AN158" s="154">
        <f>IF(P158="","",IF(P158="SIM",VLOOKUP($I158&amp;$J158&amp;P$1,Pesos!$A:$I,7,FALSE),VLOOKUP($I158&amp;$J158&amp;P$1,Pesos!$A:$I,9,FALSE)))</f>
        <v>0.1</v>
      </c>
      <c r="AO158" s="154">
        <f>IF(Q158="","",IF(Q158="SIM",VLOOKUP($I158&amp;$J158&amp;Q$1,Pesos!$A:$I,7,FALSE),VLOOKUP($I158&amp;$J158&amp;Q$1,Pesos!$A:$I,9,FALSE)))</f>
        <v>0.4</v>
      </c>
      <c r="AP158" s="154">
        <f>IF(R158="","",IF(R158="SIM",VLOOKUP($I158&amp;$J158&amp;R$1,Pesos!$A:$I,7,FALSE),VLOOKUP($I158&amp;$J158&amp;R$1,Pesos!$A:$I,9,FALSE)))</f>
        <v>1.32</v>
      </c>
      <c r="AQ158" s="154">
        <f>IF(S158="","",IF(S158="SIM",VLOOKUP($I158&amp;$J158&amp;S$1,Pesos!$A:$I,7,FALSE),VLOOKUP($I158&amp;$J158&amp;S$1,Pesos!$A:$I,9,FALSE)))</f>
        <v>1</v>
      </c>
      <c r="AR158" s="156">
        <f>IF(T158="","",IF(T158="SIM",VLOOKUP($I158&amp;$J158&amp;T$1,Pesos!$A:$I,7,FALSE),VLOOKUP($I158&amp;$J158&amp;T$1,Pesos!$A:$I,9,FALSE)))</f>
        <v>1</v>
      </c>
      <c r="AS158" s="132">
        <f>IF(U158="","",IF(U158="SIM",VLOOKUP($I158&amp;$J158&amp;U$1,Pesos!$A:$I,7,FALSE),VLOOKUP($I158&amp;$J158&amp;U$1,Pesos!$A:$I,9,FALSE)))</f>
        <v>0.85000000000000009</v>
      </c>
      <c r="AT158" s="132">
        <f>IF(V158="","",IF(V158="SIM",VLOOKUP($I158&amp;$J158&amp;V$1,Pesos!$A:$I,7,FALSE),VLOOKUP($I158&amp;$J158&amp;V$1,Pesos!$A:$I,9,FALSE)))</f>
        <v>1</v>
      </c>
      <c r="AU158" s="132">
        <f>IF(W158="","",IF(W158="SIM",VLOOKUP($I158&amp;$J158&amp;W$1,Pesos!$A:$I,7,FALSE),VLOOKUP($I158&amp;$J158&amp;W$1,Pesos!$A:$I,9,FALSE)))</f>
        <v>1</v>
      </c>
      <c r="AV158" s="132">
        <f>IF(X158="","",IF(X158="SIM",VLOOKUP($I158&amp;$J158&amp;X$1,Pesos!$A:$I,7,FALSE),VLOOKUP($I158&amp;$J158&amp;X$1,Pesos!$A:$I,9,FALSE)))</f>
        <v>1</v>
      </c>
      <c r="AW158" s="132">
        <f>IF(Y158="","",IF(Y158="SIM",VLOOKUP($I158&amp;$J158&amp;Y$1,Pesos!$A:$I,7,FALSE),VLOOKUP($I158&amp;$J158&amp;Y$1,Pesos!$A:$I,9,FALSE)))</f>
        <v>0.78</v>
      </c>
      <c r="AX158" s="132">
        <f>IF(Z158="","",IF(Z158="SIM",VLOOKUP($I158&amp;$J158&amp;Z$1,Pesos!$A:$I,7,FALSE),VLOOKUP($I158&amp;$J158&amp;Z$1,Pesos!$A:$I,9,FALSE)))</f>
        <v>0.3</v>
      </c>
      <c r="AY158" s="132">
        <f>IF(AA158="","",IF(AA158="SIM",VLOOKUP($I158&amp;$J158&amp;AA$1,Pesos!$A:$I,7,FALSE),VLOOKUP($I158&amp;$J158&amp;AA$1,Pesos!$A:$I,9,FALSE)))</f>
        <v>0.3</v>
      </c>
      <c r="AZ158" s="132">
        <f>IF(AB158="","",IF(AB158="SIM",VLOOKUP($I158&amp;$J158&amp;AB$1,Pesos!$A:$I,7,FALSE),VLOOKUP($I158&amp;$J158&amp;AB$1,Pesos!$A:$I,9,FALSE)))</f>
        <v>0.15</v>
      </c>
      <c r="BA158" s="132">
        <f>IF(AC158="","",IF(AC158="SIM",VLOOKUP($I158&amp;$J158&amp;AC$1,Pesos!$A:$I,7,FALSE),VLOOKUP($I158&amp;$J158&amp;AC$1,Pesos!$A:$I,9,FALSE)))</f>
        <v>0.2</v>
      </c>
      <c r="BB158" s="132">
        <f>IF(AD158="","",IF(AD158="SIM",VLOOKUP($I158&amp;$J158&amp;AD$1,Pesos!$A:$I,7,FALSE),VLOOKUP($I158&amp;$J158&amp;AD$1,Pesos!$A:$I,9,FALSE)))</f>
        <v>0.3</v>
      </c>
      <c r="BC158" s="132">
        <f>IF(AE158="","",IF(AE158="SIM",VLOOKUP($I158&amp;$J158&amp;AE$1,Pesos!$A:$I,7,FALSE),VLOOKUP($I158&amp;$J158&amp;AE$1,Pesos!$A:$I,9,FALSE)))</f>
        <v>0.1</v>
      </c>
      <c r="BD158" s="158">
        <f>IFERROR(AF158*VLOOKUP(J158,'BD Campos'!$X$1:$Y$14,2,FALSE),"0")</f>
        <v>10</v>
      </c>
    </row>
    <row r="159" spans="1:56">
      <c r="A159" s="151" t="str">
        <f t="shared" si="11"/>
        <v>Jan11409Cliente 2LOGÍSTICA</v>
      </c>
      <c r="B159" s="149" t="str">
        <f t="shared" si="12"/>
        <v>Jan114092LOGÍSTICAPADRÃO</v>
      </c>
      <c r="C159" s="152">
        <v>1</v>
      </c>
      <c r="D159" s="153">
        <v>46056.756985300926</v>
      </c>
      <c r="E159" s="154" t="s">
        <v>12</v>
      </c>
      <c r="F159" s="155">
        <v>11409</v>
      </c>
      <c r="G159" s="149" t="s">
        <v>327</v>
      </c>
      <c r="H159" s="154">
        <v>2</v>
      </c>
      <c r="I159" s="149" t="s">
        <v>321</v>
      </c>
      <c r="J159" s="149" t="s">
        <v>322</v>
      </c>
      <c r="K159" s="149" t="s">
        <v>315</v>
      </c>
      <c r="L159" s="156"/>
      <c r="M159" s="157">
        <v>8.9120370370370362E-4</v>
      </c>
      <c r="N159" s="131" t="s">
        <v>17</v>
      </c>
      <c r="O159" s="131" t="s">
        <v>17</v>
      </c>
      <c r="P159" s="131" t="s">
        <v>17</v>
      </c>
      <c r="Q159" s="131" t="s">
        <v>17</v>
      </c>
      <c r="R159" s="131" t="s">
        <v>17</v>
      </c>
      <c r="S159" s="131" t="s">
        <v>17</v>
      </c>
      <c r="T159" s="131" t="s">
        <v>17</v>
      </c>
      <c r="U159" s="131" t="s">
        <v>17</v>
      </c>
      <c r="V159" s="131" t="s">
        <v>17</v>
      </c>
      <c r="W159" s="131" t="s">
        <v>17</v>
      </c>
      <c r="X159" s="131" t="s">
        <v>17</v>
      </c>
      <c r="Y159" s="131" t="s">
        <v>17</v>
      </c>
      <c r="Z159" s="131" t="s">
        <v>17</v>
      </c>
      <c r="AA159" s="131" t="s">
        <v>17</v>
      </c>
      <c r="AB159" s="131" t="s">
        <v>17</v>
      </c>
      <c r="AC159" s="131" t="s">
        <v>17</v>
      </c>
      <c r="AD159" s="131" t="s">
        <v>17</v>
      </c>
      <c r="AE159" s="131" t="s">
        <v>17</v>
      </c>
      <c r="AF159" s="158">
        <f t="shared" si="14"/>
        <v>10</v>
      </c>
      <c r="AG159" s="159"/>
      <c r="AH159" s="155"/>
      <c r="AI159" s="155" t="s">
        <v>83</v>
      </c>
      <c r="AJ159" s="131" t="str">
        <f>IFERROR(VLOOKUP(E159&amp;F159,'Listagem dos op'!A:S,19,0),"")</f>
        <v/>
      </c>
      <c r="AK159" s="131" t="str">
        <f t="shared" si="13"/>
        <v>Jan11409</v>
      </c>
      <c r="AL159" s="154">
        <f>IF(N159="","",IF(N159="SIM",VLOOKUP($I159&amp;$J159&amp;N$1,Pesos!$A:$I,7,FALSE),VLOOKUP($I159&amp;$J159&amp;N$1,Pesos!$A:$I,9,FALSE)))</f>
        <v>0.1</v>
      </c>
      <c r="AM159" s="154">
        <f>IF(O159="","",IF(O159="SIM",VLOOKUP($I159&amp;$J159&amp;O$1,Pesos!$A:$I,7,FALSE),VLOOKUP($I159&amp;$J159&amp;O$1,Pesos!$A:$I,9,FALSE)))</f>
        <v>0.1</v>
      </c>
      <c r="AN159" s="154">
        <f>IF(P159="","",IF(P159="SIM",VLOOKUP($I159&amp;$J159&amp;P$1,Pesos!$A:$I,7,FALSE),VLOOKUP($I159&amp;$J159&amp;P$1,Pesos!$A:$I,9,FALSE)))</f>
        <v>0.1</v>
      </c>
      <c r="AO159" s="154">
        <f>IF(Q159="","",IF(Q159="SIM",VLOOKUP($I159&amp;$J159&amp;Q$1,Pesos!$A:$I,7,FALSE),VLOOKUP($I159&amp;$J159&amp;Q$1,Pesos!$A:$I,9,FALSE)))</f>
        <v>0.4</v>
      </c>
      <c r="AP159" s="154">
        <f>IF(R159="","",IF(R159="SIM",VLOOKUP($I159&amp;$J159&amp;R$1,Pesos!$A:$I,7,FALSE),VLOOKUP($I159&amp;$J159&amp;R$1,Pesos!$A:$I,9,FALSE)))</f>
        <v>1.32</v>
      </c>
      <c r="AQ159" s="154">
        <f>IF(S159="","",IF(S159="SIM",VLOOKUP($I159&amp;$J159&amp;S$1,Pesos!$A:$I,7,FALSE),VLOOKUP($I159&amp;$J159&amp;S$1,Pesos!$A:$I,9,FALSE)))</f>
        <v>1</v>
      </c>
      <c r="AR159" s="156">
        <f>IF(T159="","",IF(T159="SIM",VLOOKUP($I159&amp;$J159&amp;T$1,Pesos!$A:$I,7,FALSE),VLOOKUP($I159&amp;$J159&amp;T$1,Pesos!$A:$I,9,FALSE)))</f>
        <v>1</v>
      </c>
      <c r="AS159" s="132">
        <f>IF(U159="","",IF(U159="SIM",VLOOKUP($I159&amp;$J159&amp;U$1,Pesos!$A:$I,7,FALSE),VLOOKUP($I159&amp;$J159&amp;U$1,Pesos!$A:$I,9,FALSE)))</f>
        <v>0.85000000000000009</v>
      </c>
      <c r="AT159" s="132">
        <f>IF(V159="","",IF(V159="SIM",VLOOKUP($I159&amp;$J159&amp;V$1,Pesos!$A:$I,7,FALSE),VLOOKUP($I159&amp;$J159&amp;V$1,Pesos!$A:$I,9,FALSE)))</f>
        <v>1</v>
      </c>
      <c r="AU159" s="132">
        <f>IF(W159="","",IF(W159="SIM",VLOOKUP($I159&amp;$J159&amp;W$1,Pesos!$A:$I,7,FALSE),VLOOKUP($I159&amp;$J159&amp;W$1,Pesos!$A:$I,9,FALSE)))</f>
        <v>1</v>
      </c>
      <c r="AV159" s="132">
        <f>IF(X159="","",IF(X159="SIM",VLOOKUP($I159&amp;$J159&amp;X$1,Pesos!$A:$I,7,FALSE),VLOOKUP($I159&amp;$J159&amp;X$1,Pesos!$A:$I,9,FALSE)))</f>
        <v>1</v>
      </c>
      <c r="AW159" s="132">
        <f>IF(Y159="","",IF(Y159="SIM",VLOOKUP($I159&amp;$J159&amp;Y$1,Pesos!$A:$I,7,FALSE),VLOOKUP($I159&amp;$J159&amp;Y$1,Pesos!$A:$I,9,FALSE)))</f>
        <v>0.78</v>
      </c>
      <c r="AX159" s="132">
        <f>IF(Z159="","",IF(Z159="SIM",VLOOKUP($I159&amp;$J159&amp;Z$1,Pesos!$A:$I,7,FALSE),VLOOKUP($I159&amp;$J159&amp;Z$1,Pesos!$A:$I,9,FALSE)))</f>
        <v>0.3</v>
      </c>
      <c r="AY159" s="132">
        <f>IF(AA159="","",IF(AA159="SIM",VLOOKUP($I159&amp;$J159&amp;AA$1,Pesos!$A:$I,7,FALSE),VLOOKUP($I159&amp;$J159&amp;AA$1,Pesos!$A:$I,9,FALSE)))</f>
        <v>0.3</v>
      </c>
      <c r="AZ159" s="132">
        <f>IF(AB159="","",IF(AB159="SIM",VLOOKUP($I159&amp;$J159&amp;AB$1,Pesos!$A:$I,7,FALSE),VLOOKUP($I159&amp;$J159&amp;AB$1,Pesos!$A:$I,9,FALSE)))</f>
        <v>0.15</v>
      </c>
      <c r="BA159" s="132">
        <f>IF(AC159="","",IF(AC159="SIM",VLOOKUP($I159&amp;$J159&amp;AC$1,Pesos!$A:$I,7,FALSE),VLOOKUP($I159&amp;$J159&amp;AC$1,Pesos!$A:$I,9,FALSE)))</f>
        <v>0.2</v>
      </c>
      <c r="BB159" s="132">
        <f>IF(AD159="","",IF(AD159="SIM",VLOOKUP($I159&amp;$J159&amp;AD$1,Pesos!$A:$I,7,FALSE),VLOOKUP($I159&amp;$J159&amp;AD$1,Pesos!$A:$I,9,FALSE)))</f>
        <v>0.3</v>
      </c>
      <c r="BC159" s="132">
        <f>IF(AE159="","",IF(AE159="SIM",VLOOKUP($I159&amp;$J159&amp;AE$1,Pesos!$A:$I,7,FALSE),VLOOKUP($I159&amp;$J159&amp;AE$1,Pesos!$A:$I,9,FALSE)))</f>
        <v>0.1</v>
      </c>
      <c r="BD159" s="158">
        <f>IFERROR(AF159*VLOOKUP(J159,'BD Campos'!$X$1:$Y$14,2,FALSE),"0")</f>
        <v>10</v>
      </c>
    </row>
    <row r="160" spans="1:56">
      <c r="A160" s="151" t="str">
        <f t="shared" si="11"/>
        <v>Jan11353ClienteLOGÍSTICA</v>
      </c>
      <c r="B160" s="149" t="str">
        <f t="shared" si="12"/>
        <v>Jan113531LOGÍSTICAPADRÃO</v>
      </c>
      <c r="C160" s="152">
        <v>1</v>
      </c>
      <c r="D160" s="153">
        <v>46056.760891087964</v>
      </c>
      <c r="E160" s="154" t="s">
        <v>12</v>
      </c>
      <c r="F160" s="155">
        <v>11353</v>
      </c>
      <c r="G160" s="149" t="s">
        <v>328</v>
      </c>
      <c r="H160" s="154">
        <v>1</v>
      </c>
      <c r="I160" s="149" t="s">
        <v>321</v>
      </c>
      <c r="J160" s="149" t="s">
        <v>149</v>
      </c>
      <c r="K160" s="149" t="s">
        <v>315</v>
      </c>
      <c r="L160" s="156"/>
      <c r="M160" s="157">
        <v>1.25E-3</v>
      </c>
      <c r="N160" s="131" t="s">
        <v>17</v>
      </c>
      <c r="O160" s="131" t="s">
        <v>17</v>
      </c>
      <c r="P160" s="131" t="s">
        <v>17</v>
      </c>
      <c r="Q160" s="131" t="s">
        <v>17</v>
      </c>
      <c r="R160" s="131" t="s">
        <v>17</v>
      </c>
      <c r="S160" s="131" t="s">
        <v>17</v>
      </c>
      <c r="T160" s="131" t="s">
        <v>17</v>
      </c>
      <c r="U160" s="131" t="s">
        <v>17</v>
      </c>
      <c r="V160" s="131" t="s">
        <v>17</v>
      </c>
      <c r="W160" s="131" t="s">
        <v>17</v>
      </c>
      <c r="X160" s="131" t="s">
        <v>17</v>
      </c>
      <c r="Y160" s="131" t="s">
        <v>17</v>
      </c>
      <c r="Z160" s="131" t="s">
        <v>17</v>
      </c>
      <c r="AA160" s="131" t="s">
        <v>17</v>
      </c>
      <c r="AB160" s="131" t="s">
        <v>17</v>
      </c>
      <c r="AC160" s="131" t="s">
        <v>17</v>
      </c>
      <c r="AD160" s="131" t="s">
        <v>17</v>
      </c>
      <c r="AE160" s="131" t="s">
        <v>17</v>
      </c>
      <c r="AF160" s="158">
        <f t="shared" si="14"/>
        <v>10</v>
      </c>
      <c r="AG160" s="159"/>
      <c r="AH160" s="155"/>
      <c r="AI160" s="155" t="s">
        <v>83</v>
      </c>
      <c r="AJ160" s="131" t="str">
        <f>IFERROR(VLOOKUP(E160&amp;F160,'Listagem dos op'!A:S,19,0),"")</f>
        <v/>
      </c>
      <c r="AK160" s="131" t="str">
        <f t="shared" si="13"/>
        <v>Jan11353</v>
      </c>
      <c r="AL160" s="154">
        <f>IF(N160="","",IF(N160="SIM",VLOOKUP($I160&amp;$J160&amp;N$1,Pesos!$A:$I,7,FALSE),VLOOKUP($I160&amp;$J160&amp;N$1,Pesos!$A:$I,9,FALSE)))</f>
        <v>0.1</v>
      </c>
      <c r="AM160" s="154">
        <f>IF(O160="","",IF(O160="SIM",VLOOKUP($I160&amp;$J160&amp;O$1,Pesos!$A:$I,7,FALSE),VLOOKUP($I160&amp;$J160&amp;O$1,Pesos!$A:$I,9,FALSE)))</f>
        <v>0.1</v>
      </c>
      <c r="AN160" s="154">
        <f>IF(P160="","",IF(P160="SIM",VLOOKUP($I160&amp;$J160&amp;P$1,Pesos!$A:$I,7,FALSE),VLOOKUP($I160&amp;$J160&amp;P$1,Pesos!$A:$I,9,FALSE)))</f>
        <v>0.1</v>
      </c>
      <c r="AO160" s="154">
        <f>IF(Q160="","",IF(Q160="SIM",VLOOKUP($I160&amp;$J160&amp;Q$1,Pesos!$A:$I,7,FALSE),VLOOKUP($I160&amp;$J160&amp;Q$1,Pesos!$A:$I,9,FALSE)))</f>
        <v>0.4</v>
      </c>
      <c r="AP160" s="154">
        <f>IF(R160="","",IF(R160="SIM",VLOOKUP($I160&amp;$J160&amp;R$1,Pesos!$A:$I,7,FALSE),VLOOKUP($I160&amp;$J160&amp;R$1,Pesos!$A:$I,9,FALSE)))</f>
        <v>1.32</v>
      </c>
      <c r="AQ160" s="154">
        <f>IF(S160="","",IF(S160="SIM",VLOOKUP($I160&amp;$J160&amp;S$1,Pesos!$A:$I,7,FALSE),VLOOKUP($I160&amp;$J160&amp;S$1,Pesos!$A:$I,9,FALSE)))</f>
        <v>1</v>
      </c>
      <c r="AR160" s="156">
        <f>IF(T160="","",IF(T160="SIM",VLOOKUP($I160&amp;$J160&amp;T$1,Pesos!$A:$I,7,FALSE),VLOOKUP($I160&amp;$J160&amp;T$1,Pesos!$A:$I,9,FALSE)))</f>
        <v>1</v>
      </c>
      <c r="AS160" s="132">
        <f>IF(U160="","",IF(U160="SIM",VLOOKUP($I160&amp;$J160&amp;U$1,Pesos!$A:$I,7,FALSE),VLOOKUP($I160&amp;$J160&amp;U$1,Pesos!$A:$I,9,FALSE)))</f>
        <v>0.85000000000000009</v>
      </c>
      <c r="AT160" s="132">
        <f>IF(V160="","",IF(V160="SIM",VLOOKUP($I160&amp;$J160&amp;V$1,Pesos!$A:$I,7,FALSE),VLOOKUP($I160&amp;$J160&amp;V$1,Pesos!$A:$I,9,FALSE)))</f>
        <v>1</v>
      </c>
      <c r="AU160" s="132">
        <f>IF(W160="","",IF(W160="SIM",VLOOKUP($I160&amp;$J160&amp;W$1,Pesos!$A:$I,7,FALSE),VLOOKUP($I160&amp;$J160&amp;W$1,Pesos!$A:$I,9,FALSE)))</f>
        <v>1</v>
      </c>
      <c r="AV160" s="132">
        <f>IF(X160="","",IF(X160="SIM",VLOOKUP($I160&amp;$J160&amp;X$1,Pesos!$A:$I,7,FALSE),VLOOKUP($I160&amp;$J160&amp;X$1,Pesos!$A:$I,9,FALSE)))</f>
        <v>1</v>
      </c>
      <c r="AW160" s="132">
        <f>IF(Y160="","",IF(Y160="SIM",VLOOKUP($I160&amp;$J160&amp;Y$1,Pesos!$A:$I,7,FALSE),VLOOKUP($I160&amp;$J160&amp;Y$1,Pesos!$A:$I,9,FALSE)))</f>
        <v>0.78</v>
      </c>
      <c r="AX160" s="132">
        <f>IF(Z160="","",IF(Z160="SIM",VLOOKUP($I160&amp;$J160&amp;Z$1,Pesos!$A:$I,7,FALSE),VLOOKUP($I160&amp;$J160&amp;Z$1,Pesos!$A:$I,9,FALSE)))</f>
        <v>0.3</v>
      </c>
      <c r="AY160" s="132">
        <f>IF(AA160="","",IF(AA160="SIM",VLOOKUP($I160&amp;$J160&amp;AA$1,Pesos!$A:$I,7,FALSE),VLOOKUP($I160&amp;$J160&amp;AA$1,Pesos!$A:$I,9,FALSE)))</f>
        <v>0.3</v>
      </c>
      <c r="AZ160" s="132">
        <f>IF(AB160="","",IF(AB160="SIM",VLOOKUP($I160&amp;$J160&amp;AB$1,Pesos!$A:$I,7,FALSE),VLOOKUP($I160&amp;$J160&amp;AB$1,Pesos!$A:$I,9,FALSE)))</f>
        <v>0.15</v>
      </c>
      <c r="BA160" s="132">
        <f>IF(AC160="","",IF(AC160="SIM",VLOOKUP($I160&amp;$J160&amp;AC$1,Pesos!$A:$I,7,FALSE),VLOOKUP($I160&amp;$J160&amp;AC$1,Pesos!$A:$I,9,FALSE)))</f>
        <v>0.2</v>
      </c>
      <c r="BB160" s="132">
        <f>IF(AD160="","",IF(AD160="SIM",VLOOKUP($I160&amp;$J160&amp;AD$1,Pesos!$A:$I,7,FALSE),VLOOKUP($I160&amp;$J160&amp;AD$1,Pesos!$A:$I,9,FALSE)))</f>
        <v>0.3</v>
      </c>
      <c r="BC160" s="132">
        <f>IF(AE160="","",IF(AE160="SIM",VLOOKUP($I160&amp;$J160&amp;AE$1,Pesos!$A:$I,7,FALSE),VLOOKUP($I160&amp;$J160&amp;AE$1,Pesos!$A:$I,9,FALSE)))</f>
        <v>0.1</v>
      </c>
      <c r="BD160" s="158">
        <f>IFERROR(AF160*VLOOKUP(J160,'BD Campos'!$X$1:$Y$14,2,FALSE),"0")</f>
        <v>10</v>
      </c>
    </row>
    <row r="161" spans="1:56">
      <c r="A161" s="151" t="str">
        <f t="shared" si="11"/>
        <v>Jan11353Cliente 2LOGÍSTICA</v>
      </c>
      <c r="B161" s="149" t="str">
        <f t="shared" si="12"/>
        <v>Jan113532LOGÍSTICAPADRÃO</v>
      </c>
      <c r="C161" s="152">
        <v>1</v>
      </c>
      <c r="D161" s="153">
        <v>46056.762199652774</v>
      </c>
      <c r="E161" s="154" t="s">
        <v>12</v>
      </c>
      <c r="F161" s="155">
        <v>11353</v>
      </c>
      <c r="G161" s="149" t="s">
        <v>328</v>
      </c>
      <c r="H161" s="154">
        <v>2</v>
      </c>
      <c r="I161" s="149" t="s">
        <v>329</v>
      </c>
      <c r="J161" s="149" t="s">
        <v>322</v>
      </c>
      <c r="K161" s="149" t="s">
        <v>315</v>
      </c>
      <c r="L161" s="156"/>
      <c r="M161" s="157">
        <v>9.0277777777777784E-4</v>
      </c>
      <c r="N161" s="131" t="s">
        <v>17</v>
      </c>
      <c r="O161" s="131" t="s">
        <v>17</v>
      </c>
      <c r="P161" s="131" t="s">
        <v>17</v>
      </c>
      <c r="Q161" s="131" t="s">
        <v>17</v>
      </c>
      <c r="R161" s="131" t="s">
        <v>17</v>
      </c>
      <c r="S161" s="131" t="s">
        <v>17</v>
      </c>
      <c r="T161" s="131" t="s">
        <v>17</v>
      </c>
      <c r="U161" s="131" t="s">
        <v>17</v>
      </c>
      <c r="V161" s="131" t="s">
        <v>17</v>
      </c>
      <c r="W161" s="131" t="s">
        <v>17</v>
      </c>
      <c r="X161" s="131" t="s">
        <v>17</v>
      </c>
      <c r="Y161" s="131" t="s">
        <v>17</v>
      </c>
      <c r="Z161" s="131" t="s">
        <v>17</v>
      </c>
      <c r="AA161" s="131" t="s">
        <v>17</v>
      </c>
      <c r="AB161" s="131" t="s">
        <v>17</v>
      </c>
      <c r="AC161" s="131"/>
      <c r="AD161" s="131"/>
      <c r="AE161" s="131"/>
      <c r="AF161" s="158">
        <f t="shared" si="14"/>
        <v>10.000000000000002</v>
      </c>
      <c r="AG161" s="159"/>
      <c r="AH161" s="155"/>
      <c r="AI161" s="155" t="s">
        <v>83</v>
      </c>
      <c r="AJ161" s="131" t="str">
        <f>IFERROR(VLOOKUP(E161&amp;F161,'Listagem dos op'!A:S,19,0),"")</f>
        <v/>
      </c>
      <c r="AK161" s="131" t="str">
        <f t="shared" si="13"/>
        <v>Jan11353</v>
      </c>
      <c r="AL161" s="154">
        <f>IF(N161="","",IF(N161="SIM",VLOOKUP($I161&amp;$J161&amp;N$1,Pesos!$A:$I,7,FALSE),VLOOKUP($I161&amp;$J161&amp;N$1,Pesos!$A:$I,9,FALSE)))</f>
        <v>0.1</v>
      </c>
      <c r="AM161" s="154">
        <f>IF(O161="","",IF(O161="SIM",VLOOKUP($I161&amp;$J161&amp;O$1,Pesos!$A:$I,7,FALSE),VLOOKUP($I161&amp;$J161&amp;O$1,Pesos!$A:$I,9,FALSE)))</f>
        <v>0.1</v>
      </c>
      <c r="AN161" s="154">
        <f>IF(P161="","",IF(P161="SIM",VLOOKUP($I161&amp;$J161&amp;P$1,Pesos!$A:$I,7,FALSE),VLOOKUP($I161&amp;$J161&amp;P$1,Pesos!$A:$I,9,FALSE)))</f>
        <v>0.1</v>
      </c>
      <c r="AO161" s="154">
        <f>IF(Q161="","",IF(Q161="SIM",VLOOKUP($I161&amp;$J161&amp;Q$1,Pesos!$A:$I,7,FALSE),VLOOKUP($I161&amp;$J161&amp;Q$1,Pesos!$A:$I,9,FALSE)))</f>
        <v>0.4</v>
      </c>
      <c r="AP161" s="154">
        <f>IF(R161="","",IF(R161="SIM",VLOOKUP($I161&amp;$J161&amp;R$1,Pesos!$A:$I,7,FALSE),VLOOKUP($I161&amp;$J161&amp;R$1,Pesos!$A:$I,9,FALSE)))</f>
        <v>1.57</v>
      </c>
      <c r="AQ161" s="154">
        <f>IF(S161="","",IF(S161="SIM",VLOOKUP($I161&amp;$J161&amp;S$1,Pesos!$A:$I,7,FALSE),VLOOKUP($I161&amp;$J161&amp;S$1,Pesos!$A:$I,9,FALSE)))</f>
        <v>1.6</v>
      </c>
      <c r="AR161" s="156">
        <f>IF(T161="","",IF(T161="SIM",VLOOKUP($I161&amp;$J161&amp;T$1,Pesos!$A:$I,7,FALSE),VLOOKUP($I161&amp;$J161&amp;T$1,Pesos!$A:$I,9,FALSE)))</f>
        <v>1.6</v>
      </c>
      <c r="AS161" s="132">
        <f>IF(U161="","",IF(U161="SIM",VLOOKUP($I161&amp;$J161&amp;U$1,Pesos!$A:$I,7,FALSE),VLOOKUP($I161&amp;$J161&amp;U$1,Pesos!$A:$I,9,FALSE)))</f>
        <v>1.6</v>
      </c>
      <c r="AT161" s="132">
        <f>IF(V161="","",IF(V161="SIM",VLOOKUP($I161&amp;$J161&amp;V$1,Pesos!$A:$I,7,FALSE),VLOOKUP($I161&amp;$J161&amp;V$1,Pesos!$A:$I,9,FALSE)))</f>
        <v>1.58</v>
      </c>
      <c r="AU161" s="132">
        <f>IF(W161="","",IF(W161="SIM",VLOOKUP($I161&amp;$J161&amp;W$1,Pesos!$A:$I,7,FALSE),VLOOKUP($I161&amp;$J161&amp;W$1,Pesos!$A:$I,9,FALSE)))</f>
        <v>0.3</v>
      </c>
      <c r="AV161" s="132">
        <f>IF(X161="","",IF(X161="SIM",VLOOKUP($I161&amp;$J161&amp;X$1,Pesos!$A:$I,7,FALSE),VLOOKUP($I161&amp;$J161&amp;X$1,Pesos!$A:$I,9,FALSE)))</f>
        <v>0.3</v>
      </c>
      <c r="AW161" s="132">
        <f>IF(Y161="","",IF(Y161="SIM",VLOOKUP($I161&amp;$J161&amp;Y$1,Pesos!$A:$I,7,FALSE),VLOOKUP($I161&amp;$J161&amp;Y$1,Pesos!$A:$I,9,FALSE)))</f>
        <v>0.15</v>
      </c>
      <c r="AX161" s="132">
        <f>IF(Z161="","",IF(Z161="SIM",VLOOKUP($I161&amp;$J161&amp;Z$1,Pesos!$A:$I,7,FALSE),VLOOKUP($I161&amp;$J161&amp;Z$1,Pesos!$A:$I,9,FALSE)))</f>
        <v>0.2</v>
      </c>
      <c r="AY161" s="132">
        <f>IF(AA161="","",IF(AA161="SIM",VLOOKUP($I161&amp;$J161&amp;AA$1,Pesos!$A:$I,7,FALSE),VLOOKUP($I161&amp;$J161&amp;AA$1,Pesos!$A:$I,9,FALSE)))</f>
        <v>0.3</v>
      </c>
      <c r="AZ161" s="132">
        <f>IF(AB161="","",IF(AB161="SIM",VLOOKUP($I161&amp;$J161&amp;AB$1,Pesos!$A:$I,7,FALSE),VLOOKUP($I161&amp;$J161&amp;AB$1,Pesos!$A:$I,9,FALSE)))</f>
        <v>0.1</v>
      </c>
      <c r="BA161" s="132" t="str">
        <f>IF(AC161="","",IF(AC161="SIM",VLOOKUP($I161&amp;$J161&amp;AC$1,Pesos!$A:$I,7,FALSE),VLOOKUP($I161&amp;$J161&amp;AC$1,Pesos!$A:$I,9,FALSE)))</f>
        <v/>
      </c>
      <c r="BB161" s="132" t="str">
        <f>IF(AD161="","",IF(AD161="SIM",VLOOKUP($I161&amp;$J161&amp;AD$1,Pesos!$A:$I,7,FALSE),VLOOKUP($I161&amp;$J161&amp;AD$1,Pesos!$A:$I,9,FALSE)))</f>
        <v/>
      </c>
      <c r="BC161" s="132" t="str">
        <f>IF(AE161="","",IF(AE161="SIM",VLOOKUP($I161&amp;$J161&amp;AE$1,Pesos!$A:$I,7,FALSE),VLOOKUP($I161&amp;$J161&amp;AE$1,Pesos!$A:$I,9,FALSE)))</f>
        <v/>
      </c>
      <c r="BD161" s="158">
        <f>IFERROR(AF161*VLOOKUP(J161,'BD Campos'!$X$1:$Y$14,2,FALSE),"0")</f>
        <v>10.000000000000002</v>
      </c>
    </row>
    <row r="162" spans="1:56">
      <c r="A162" s="151" t="str">
        <f t="shared" si="11"/>
        <v>Jan11485ClienteLOGÍSTICA</v>
      </c>
      <c r="B162" s="149" t="str">
        <f t="shared" si="12"/>
        <v>Jan114851LOGÍSTICAPADRÃO</v>
      </c>
      <c r="C162" s="152">
        <v>1</v>
      </c>
      <c r="D162" s="153">
        <v>46056.766357291664</v>
      </c>
      <c r="E162" s="154" t="s">
        <v>12</v>
      </c>
      <c r="F162" s="155">
        <v>11485</v>
      </c>
      <c r="G162" s="149" t="s">
        <v>330</v>
      </c>
      <c r="H162" s="154">
        <v>1</v>
      </c>
      <c r="I162" s="149" t="s">
        <v>321</v>
      </c>
      <c r="J162" s="149" t="s">
        <v>149</v>
      </c>
      <c r="K162" s="149" t="s">
        <v>315</v>
      </c>
      <c r="L162" s="156"/>
      <c r="M162" s="157">
        <v>7.291666666666667E-4</v>
      </c>
      <c r="N162" s="131" t="s">
        <v>17</v>
      </c>
      <c r="O162" s="131" t="s">
        <v>17</v>
      </c>
      <c r="P162" s="131" t="s">
        <v>17</v>
      </c>
      <c r="Q162" s="131" t="s">
        <v>17</v>
      </c>
      <c r="R162" s="131" t="s">
        <v>17</v>
      </c>
      <c r="S162" s="131" t="s">
        <v>17</v>
      </c>
      <c r="T162" s="131" t="s">
        <v>17</v>
      </c>
      <c r="U162" s="131" t="s">
        <v>18</v>
      </c>
      <c r="V162" s="131" t="s">
        <v>17</v>
      </c>
      <c r="W162" s="131" t="s">
        <v>17</v>
      </c>
      <c r="X162" s="131" t="s">
        <v>17</v>
      </c>
      <c r="Y162" s="131" t="s">
        <v>18</v>
      </c>
      <c r="Z162" s="131" t="s">
        <v>17</v>
      </c>
      <c r="AA162" s="131" t="s">
        <v>17</v>
      </c>
      <c r="AB162" s="131" t="s">
        <v>17</v>
      </c>
      <c r="AC162" s="131" t="s">
        <v>17</v>
      </c>
      <c r="AD162" s="131" t="s">
        <v>17</v>
      </c>
      <c r="AE162" s="131" t="s">
        <v>17</v>
      </c>
      <c r="AF162" s="158">
        <f t="shared" si="14"/>
        <v>8.2884999999999991</v>
      </c>
      <c r="AG162" s="159"/>
      <c r="AH162" s="155"/>
      <c r="AI162" s="155" t="s">
        <v>83</v>
      </c>
      <c r="AJ162" s="131" t="str">
        <f>IFERROR(VLOOKUP(E162&amp;F162,'Listagem dos op'!A:S,19,0),"")</f>
        <v/>
      </c>
      <c r="AK162" s="131" t="str">
        <f t="shared" si="13"/>
        <v>Jan11485</v>
      </c>
      <c r="AL162" s="154">
        <f>IF(N162="","",IF(N162="SIM",VLOOKUP($I162&amp;$J162&amp;N$1,Pesos!$A:$I,7,FALSE),VLOOKUP($I162&amp;$J162&amp;N$1,Pesos!$A:$I,9,FALSE)))</f>
        <v>0.1</v>
      </c>
      <c r="AM162" s="154">
        <f>IF(O162="","",IF(O162="SIM",VLOOKUP($I162&amp;$J162&amp;O$1,Pesos!$A:$I,7,FALSE),VLOOKUP($I162&amp;$J162&amp;O$1,Pesos!$A:$I,9,FALSE)))</f>
        <v>0.1</v>
      </c>
      <c r="AN162" s="154">
        <f>IF(P162="","",IF(P162="SIM",VLOOKUP($I162&amp;$J162&amp;P$1,Pesos!$A:$I,7,FALSE),VLOOKUP($I162&amp;$J162&amp;P$1,Pesos!$A:$I,9,FALSE)))</f>
        <v>0.1</v>
      </c>
      <c r="AO162" s="154">
        <f>IF(Q162="","",IF(Q162="SIM",VLOOKUP($I162&amp;$J162&amp;Q$1,Pesos!$A:$I,7,FALSE),VLOOKUP($I162&amp;$J162&amp;Q$1,Pesos!$A:$I,9,FALSE)))</f>
        <v>0.4</v>
      </c>
      <c r="AP162" s="154">
        <f>IF(R162="","",IF(R162="SIM",VLOOKUP($I162&amp;$J162&amp;R$1,Pesos!$A:$I,7,FALSE),VLOOKUP($I162&amp;$J162&amp;R$1,Pesos!$A:$I,9,FALSE)))</f>
        <v>1.32</v>
      </c>
      <c r="AQ162" s="154">
        <f>IF(S162="","",IF(S162="SIM",VLOOKUP($I162&amp;$J162&amp;S$1,Pesos!$A:$I,7,FALSE),VLOOKUP($I162&amp;$J162&amp;S$1,Pesos!$A:$I,9,FALSE)))</f>
        <v>1</v>
      </c>
      <c r="AR162" s="156">
        <f>IF(T162="","",IF(T162="SIM",VLOOKUP($I162&amp;$J162&amp;T$1,Pesos!$A:$I,7,FALSE),VLOOKUP($I162&amp;$J162&amp;T$1,Pesos!$A:$I,9,FALSE)))</f>
        <v>1</v>
      </c>
      <c r="AS162" s="132">
        <f>IF(U162="","",IF(U162="SIM",VLOOKUP($I162&amp;$J162&amp;U$1,Pesos!$A:$I,7,FALSE),VLOOKUP($I162&amp;$J162&amp;U$1,Pesos!$A:$I,9,FALSE)))</f>
        <v>-4.250000000000001E-2</v>
      </c>
      <c r="AT162" s="132">
        <f>IF(V162="","",IF(V162="SIM",VLOOKUP($I162&amp;$J162&amp;V$1,Pesos!$A:$I,7,FALSE),VLOOKUP($I162&amp;$J162&amp;V$1,Pesos!$A:$I,9,FALSE)))</f>
        <v>1</v>
      </c>
      <c r="AU162" s="132">
        <f>IF(W162="","",IF(W162="SIM",VLOOKUP($I162&amp;$J162&amp;W$1,Pesos!$A:$I,7,FALSE),VLOOKUP($I162&amp;$J162&amp;W$1,Pesos!$A:$I,9,FALSE)))</f>
        <v>1</v>
      </c>
      <c r="AV162" s="132">
        <f>IF(X162="","",IF(X162="SIM",VLOOKUP($I162&amp;$J162&amp;X$1,Pesos!$A:$I,7,FALSE),VLOOKUP($I162&amp;$J162&amp;X$1,Pesos!$A:$I,9,FALSE)))</f>
        <v>1</v>
      </c>
      <c r="AW162" s="132">
        <f>IF(Y162="","",IF(Y162="SIM",VLOOKUP($I162&amp;$J162&amp;Y$1,Pesos!$A:$I,7,FALSE),VLOOKUP($I162&amp;$J162&amp;Y$1,Pesos!$A:$I,9,FALSE)))</f>
        <v>-3.9000000000000007E-2</v>
      </c>
      <c r="AX162" s="132">
        <f>IF(Z162="","",IF(Z162="SIM",VLOOKUP($I162&amp;$J162&amp;Z$1,Pesos!$A:$I,7,FALSE),VLOOKUP($I162&amp;$J162&amp;Z$1,Pesos!$A:$I,9,FALSE)))</f>
        <v>0.3</v>
      </c>
      <c r="AY162" s="132">
        <f>IF(AA162="","",IF(AA162="SIM",VLOOKUP($I162&amp;$J162&amp;AA$1,Pesos!$A:$I,7,FALSE),VLOOKUP($I162&amp;$J162&amp;AA$1,Pesos!$A:$I,9,FALSE)))</f>
        <v>0.3</v>
      </c>
      <c r="AZ162" s="132">
        <f>IF(AB162="","",IF(AB162="SIM",VLOOKUP($I162&amp;$J162&amp;AB$1,Pesos!$A:$I,7,FALSE),VLOOKUP($I162&amp;$J162&amp;AB$1,Pesos!$A:$I,9,FALSE)))</f>
        <v>0.15</v>
      </c>
      <c r="BA162" s="132">
        <f>IF(AC162="","",IF(AC162="SIM",VLOOKUP($I162&amp;$J162&amp;AC$1,Pesos!$A:$I,7,FALSE),VLOOKUP($I162&amp;$J162&amp;AC$1,Pesos!$A:$I,9,FALSE)))</f>
        <v>0.2</v>
      </c>
      <c r="BB162" s="132">
        <f>IF(AD162="","",IF(AD162="SIM",VLOOKUP($I162&amp;$J162&amp;AD$1,Pesos!$A:$I,7,FALSE),VLOOKUP($I162&amp;$J162&amp;AD$1,Pesos!$A:$I,9,FALSE)))</f>
        <v>0.3</v>
      </c>
      <c r="BC162" s="132">
        <f>IF(AE162="","",IF(AE162="SIM",VLOOKUP($I162&amp;$J162&amp;AE$1,Pesos!$A:$I,7,FALSE),VLOOKUP($I162&amp;$J162&amp;AE$1,Pesos!$A:$I,9,FALSE)))</f>
        <v>0.1</v>
      </c>
      <c r="BD162" s="158">
        <f>IFERROR(AF162*VLOOKUP(J162,'BD Campos'!$X$1:$Y$14,2,FALSE),"0")</f>
        <v>8.2884999999999991</v>
      </c>
    </row>
    <row r="163" spans="1:56">
      <c r="A163" s="151" t="str">
        <f t="shared" si="11"/>
        <v>Jan11485Cliente 2LOGÍSTICA</v>
      </c>
      <c r="B163" s="149" t="str">
        <f t="shared" si="12"/>
        <v>Jan114852LOGÍSTICAPADRÃO</v>
      </c>
      <c r="C163" s="152">
        <v>1</v>
      </c>
      <c r="D163" s="153">
        <v>46056.768600115742</v>
      </c>
      <c r="E163" s="154" t="s">
        <v>12</v>
      </c>
      <c r="F163" s="155">
        <v>11485</v>
      </c>
      <c r="G163" s="149" t="s">
        <v>330</v>
      </c>
      <c r="H163" s="154">
        <v>2</v>
      </c>
      <c r="I163" s="149" t="s">
        <v>321</v>
      </c>
      <c r="J163" s="149" t="s">
        <v>322</v>
      </c>
      <c r="K163" s="149" t="s">
        <v>315</v>
      </c>
      <c r="L163" s="156"/>
      <c r="M163" s="157">
        <v>9.8379629629629642E-4</v>
      </c>
      <c r="N163" s="131" t="s">
        <v>17</v>
      </c>
      <c r="O163" s="131" t="s">
        <v>17</v>
      </c>
      <c r="P163" s="131" t="s">
        <v>17</v>
      </c>
      <c r="Q163" s="131" t="s">
        <v>17</v>
      </c>
      <c r="R163" s="131" t="s">
        <v>17</v>
      </c>
      <c r="S163" s="131" t="s">
        <v>17</v>
      </c>
      <c r="T163" s="131" t="s">
        <v>18</v>
      </c>
      <c r="U163" s="131" t="s">
        <v>18</v>
      </c>
      <c r="V163" s="131" t="s">
        <v>17</v>
      </c>
      <c r="W163" s="131" t="s">
        <v>17</v>
      </c>
      <c r="X163" s="131" t="s">
        <v>17</v>
      </c>
      <c r="Y163" s="131" t="s">
        <v>18</v>
      </c>
      <c r="Z163" s="131" t="s">
        <v>17</v>
      </c>
      <c r="AA163" s="131" t="s">
        <v>17</v>
      </c>
      <c r="AB163" s="131" t="s">
        <v>17</v>
      </c>
      <c r="AC163" s="131" t="s">
        <v>17</v>
      </c>
      <c r="AD163" s="131" t="s">
        <v>17</v>
      </c>
      <c r="AE163" s="131" t="s">
        <v>17</v>
      </c>
      <c r="AF163" s="158">
        <f t="shared" si="14"/>
        <v>7.2385000000000002</v>
      </c>
      <c r="AG163" s="159"/>
      <c r="AH163" s="155"/>
      <c r="AI163" s="155" t="s">
        <v>83</v>
      </c>
      <c r="AJ163" s="131" t="str">
        <f>IFERROR(VLOOKUP(E163&amp;F163,'Listagem dos op'!A:S,19,0),"")</f>
        <v/>
      </c>
      <c r="AK163" s="131" t="str">
        <f t="shared" si="13"/>
        <v>Jan11485</v>
      </c>
      <c r="AL163" s="154">
        <f>IF(N163="","",IF(N163="SIM",VLOOKUP($I163&amp;$J163&amp;N$1,Pesos!$A:$I,7,FALSE),VLOOKUP($I163&amp;$J163&amp;N$1,Pesos!$A:$I,9,FALSE)))</f>
        <v>0.1</v>
      </c>
      <c r="AM163" s="154">
        <f>IF(O163="","",IF(O163="SIM",VLOOKUP($I163&amp;$J163&amp;O$1,Pesos!$A:$I,7,FALSE),VLOOKUP($I163&amp;$J163&amp;O$1,Pesos!$A:$I,9,FALSE)))</f>
        <v>0.1</v>
      </c>
      <c r="AN163" s="154">
        <f>IF(P163="","",IF(P163="SIM",VLOOKUP($I163&amp;$J163&amp;P$1,Pesos!$A:$I,7,FALSE),VLOOKUP($I163&amp;$J163&amp;P$1,Pesos!$A:$I,9,FALSE)))</f>
        <v>0.1</v>
      </c>
      <c r="AO163" s="154">
        <f>IF(Q163="","",IF(Q163="SIM",VLOOKUP($I163&amp;$J163&amp;Q$1,Pesos!$A:$I,7,FALSE),VLOOKUP($I163&amp;$J163&amp;Q$1,Pesos!$A:$I,9,FALSE)))</f>
        <v>0.4</v>
      </c>
      <c r="AP163" s="154">
        <f>IF(R163="","",IF(R163="SIM",VLOOKUP($I163&amp;$J163&amp;R$1,Pesos!$A:$I,7,FALSE),VLOOKUP($I163&amp;$J163&amp;R$1,Pesos!$A:$I,9,FALSE)))</f>
        <v>1.32</v>
      </c>
      <c r="AQ163" s="154">
        <f>IF(S163="","",IF(S163="SIM",VLOOKUP($I163&amp;$J163&amp;S$1,Pesos!$A:$I,7,FALSE),VLOOKUP($I163&amp;$J163&amp;S$1,Pesos!$A:$I,9,FALSE)))</f>
        <v>1</v>
      </c>
      <c r="AR163" s="156">
        <f>IF(T163="","",IF(T163="SIM",VLOOKUP($I163&amp;$J163&amp;T$1,Pesos!$A:$I,7,FALSE),VLOOKUP($I163&amp;$J163&amp;T$1,Pesos!$A:$I,9,FALSE)))</f>
        <v>-0.05</v>
      </c>
      <c r="AS163" s="132">
        <f>IF(U163="","",IF(U163="SIM",VLOOKUP($I163&amp;$J163&amp;U$1,Pesos!$A:$I,7,FALSE),VLOOKUP($I163&amp;$J163&amp;U$1,Pesos!$A:$I,9,FALSE)))</f>
        <v>-4.250000000000001E-2</v>
      </c>
      <c r="AT163" s="132">
        <f>IF(V163="","",IF(V163="SIM",VLOOKUP($I163&amp;$J163&amp;V$1,Pesos!$A:$I,7,FALSE),VLOOKUP($I163&amp;$J163&amp;V$1,Pesos!$A:$I,9,FALSE)))</f>
        <v>1</v>
      </c>
      <c r="AU163" s="132">
        <f>IF(W163="","",IF(W163="SIM",VLOOKUP($I163&amp;$J163&amp;W$1,Pesos!$A:$I,7,FALSE),VLOOKUP($I163&amp;$J163&amp;W$1,Pesos!$A:$I,9,FALSE)))</f>
        <v>1</v>
      </c>
      <c r="AV163" s="132">
        <f>IF(X163="","",IF(X163="SIM",VLOOKUP($I163&amp;$J163&amp;X$1,Pesos!$A:$I,7,FALSE),VLOOKUP($I163&amp;$J163&amp;X$1,Pesos!$A:$I,9,FALSE)))</f>
        <v>1</v>
      </c>
      <c r="AW163" s="132">
        <f>IF(Y163="","",IF(Y163="SIM",VLOOKUP($I163&amp;$J163&amp;Y$1,Pesos!$A:$I,7,FALSE),VLOOKUP($I163&amp;$J163&amp;Y$1,Pesos!$A:$I,9,FALSE)))</f>
        <v>-3.9000000000000007E-2</v>
      </c>
      <c r="AX163" s="132">
        <f>IF(Z163="","",IF(Z163="SIM",VLOOKUP($I163&amp;$J163&amp;Z$1,Pesos!$A:$I,7,FALSE),VLOOKUP($I163&amp;$J163&amp;Z$1,Pesos!$A:$I,9,FALSE)))</f>
        <v>0.3</v>
      </c>
      <c r="AY163" s="132">
        <f>IF(AA163="","",IF(AA163="SIM",VLOOKUP($I163&amp;$J163&amp;AA$1,Pesos!$A:$I,7,FALSE),VLOOKUP($I163&amp;$J163&amp;AA$1,Pesos!$A:$I,9,FALSE)))</f>
        <v>0.3</v>
      </c>
      <c r="AZ163" s="132">
        <f>IF(AB163="","",IF(AB163="SIM",VLOOKUP($I163&amp;$J163&amp;AB$1,Pesos!$A:$I,7,FALSE),VLOOKUP($I163&amp;$J163&amp;AB$1,Pesos!$A:$I,9,FALSE)))</f>
        <v>0.15</v>
      </c>
      <c r="BA163" s="132">
        <f>IF(AC163="","",IF(AC163="SIM",VLOOKUP($I163&amp;$J163&amp;AC$1,Pesos!$A:$I,7,FALSE),VLOOKUP($I163&amp;$J163&amp;AC$1,Pesos!$A:$I,9,FALSE)))</f>
        <v>0.2</v>
      </c>
      <c r="BB163" s="132">
        <f>IF(AD163="","",IF(AD163="SIM",VLOOKUP($I163&amp;$J163&amp;AD$1,Pesos!$A:$I,7,FALSE),VLOOKUP($I163&amp;$J163&amp;AD$1,Pesos!$A:$I,9,FALSE)))</f>
        <v>0.3</v>
      </c>
      <c r="BC163" s="132">
        <f>IF(AE163="","",IF(AE163="SIM",VLOOKUP($I163&amp;$J163&amp;AE$1,Pesos!$A:$I,7,FALSE),VLOOKUP($I163&amp;$J163&amp;AE$1,Pesos!$A:$I,9,FALSE)))</f>
        <v>0.1</v>
      </c>
      <c r="BD163" s="158">
        <f>IFERROR(AF163*VLOOKUP(J163,'BD Campos'!$X$1:$Y$14,2,FALSE),"0")</f>
        <v>7.2385000000000002</v>
      </c>
    </row>
    <row r="164" spans="1:56">
      <c r="A164" s="151" t="str">
        <f t="shared" si="11"/>
        <v>Jan11275MotoristaTRANSFERÊNCIA</v>
      </c>
      <c r="B164" s="149" t="str">
        <f t="shared" si="12"/>
        <v>Jan112751TRANSFERÊNCIAPADRÃO</v>
      </c>
      <c r="C164" s="152">
        <v>1</v>
      </c>
      <c r="D164" s="153">
        <v>46057.390317476849</v>
      </c>
      <c r="E164" s="154" t="s">
        <v>12</v>
      </c>
      <c r="F164" s="155">
        <v>11275</v>
      </c>
      <c r="G164" s="149" t="s">
        <v>331</v>
      </c>
      <c r="H164" s="154">
        <v>1</v>
      </c>
      <c r="I164" s="149" t="s">
        <v>130</v>
      </c>
      <c r="J164" s="149" t="s">
        <v>93</v>
      </c>
      <c r="K164" s="149" t="s">
        <v>192</v>
      </c>
      <c r="L164" s="156">
        <v>34503985</v>
      </c>
      <c r="M164" s="157">
        <v>2.7314814814814819E-3</v>
      </c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58">
        <f t="shared" si="14"/>
        <v>0</v>
      </c>
      <c r="AG164" s="159" t="s">
        <v>101</v>
      </c>
      <c r="AH164" s="155" t="s">
        <v>332</v>
      </c>
      <c r="AI164" s="155" t="s">
        <v>83</v>
      </c>
      <c r="AJ164" s="131" t="str">
        <f>IFERROR(VLOOKUP(E164&amp;F164,'Listagem dos op'!A:S,19,0),"")</f>
        <v/>
      </c>
      <c r="AK164" s="131" t="str">
        <f t="shared" si="13"/>
        <v>Jan11275</v>
      </c>
      <c r="AL164" s="154" t="str">
        <f>IF(N164="","",IF(N164="SIM",VLOOKUP($I164&amp;$J164&amp;N$1,Pesos!$A:$I,7,FALSE),VLOOKUP($I164&amp;$J164&amp;N$1,Pesos!$A:$I,9,FALSE)))</f>
        <v/>
      </c>
      <c r="AM164" s="154" t="str">
        <f>IF(O164="","",IF(O164="SIM",VLOOKUP($I164&amp;$J164&amp;O$1,Pesos!$A:$I,7,FALSE),VLOOKUP($I164&amp;$J164&amp;O$1,Pesos!$A:$I,9,FALSE)))</f>
        <v/>
      </c>
      <c r="AN164" s="154" t="str">
        <f>IF(P164="","",IF(P164="SIM",VLOOKUP($I164&amp;$J164&amp;P$1,Pesos!$A:$I,7,FALSE),VLOOKUP($I164&amp;$J164&amp;P$1,Pesos!$A:$I,9,FALSE)))</f>
        <v/>
      </c>
      <c r="AO164" s="154" t="str">
        <f>IF(Q164="","",IF(Q164="SIM",VLOOKUP($I164&amp;$J164&amp;Q$1,Pesos!$A:$I,7,FALSE),VLOOKUP($I164&amp;$J164&amp;Q$1,Pesos!$A:$I,9,FALSE)))</f>
        <v/>
      </c>
      <c r="AP164" s="154" t="str">
        <f>IF(R164="","",IF(R164="SIM",VLOOKUP($I164&amp;$J164&amp;R$1,Pesos!$A:$I,7,FALSE),VLOOKUP($I164&amp;$J164&amp;R$1,Pesos!$A:$I,9,FALSE)))</f>
        <v/>
      </c>
      <c r="AQ164" s="154" t="str">
        <f>IF(S164="","",IF(S164="SIM",VLOOKUP($I164&amp;$J164&amp;S$1,Pesos!$A:$I,7,FALSE),VLOOKUP($I164&amp;$J164&amp;S$1,Pesos!$A:$I,9,FALSE)))</f>
        <v/>
      </c>
      <c r="AR164" s="156" t="str">
        <f>IF(T164="","",IF(T164="SIM",VLOOKUP($I164&amp;$J164&amp;T$1,Pesos!$A:$I,7,FALSE),VLOOKUP($I164&amp;$J164&amp;T$1,Pesos!$A:$I,9,FALSE)))</f>
        <v/>
      </c>
      <c r="AS164" s="132" t="str">
        <f>IF(U164="","",IF(U164="SIM",VLOOKUP($I164&amp;$J164&amp;U$1,Pesos!$A:$I,7,FALSE),VLOOKUP($I164&amp;$J164&amp;U$1,Pesos!$A:$I,9,FALSE)))</f>
        <v/>
      </c>
      <c r="AT164" s="132" t="str">
        <f>IF(V164="","",IF(V164="SIM",VLOOKUP($I164&amp;$J164&amp;V$1,Pesos!$A:$I,7,FALSE),VLOOKUP($I164&amp;$J164&amp;V$1,Pesos!$A:$I,9,FALSE)))</f>
        <v/>
      </c>
      <c r="AU164" s="132" t="str">
        <f>IF(W164="","",IF(W164="SIM",VLOOKUP($I164&amp;$J164&amp;W$1,Pesos!$A:$I,7,FALSE),VLOOKUP($I164&amp;$J164&amp;W$1,Pesos!$A:$I,9,FALSE)))</f>
        <v/>
      </c>
      <c r="AV164" s="132" t="str">
        <f>IF(X164="","",IF(X164="SIM",VLOOKUP($I164&amp;$J164&amp;X$1,Pesos!$A:$I,7,FALSE),VLOOKUP($I164&amp;$J164&amp;X$1,Pesos!$A:$I,9,FALSE)))</f>
        <v/>
      </c>
      <c r="AW164" s="132" t="str">
        <f>IF(Y164="","",IF(Y164="SIM",VLOOKUP($I164&amp;$J164&amp;Y$1,Pesos!$A:$I,7,FALSE),VLOOKUP($I164&amp;$J164&amp;Y$1,Pesos!$A:$I,9,FALSE)))</f>
        <v/>
      </c>
      <c r="AX164" s="132" t="str">
        <f>IF(Z164="","",IF(Z164="SIM",VLOOKUP($I164&amp;$J164&amp;Z$1,Pesos!$A:$I,7,FALSE),VLOOKUP($I164&amp;$J164&amp;Z$1,Pesos!$A:$I,9,FALSE)))</f>
        <v/>
      </c>
      <c r="AY164" s="132" t="str">
        <f>IF(AA164="","",IF(AA164="SIM",VLOOKUP($I164&amp;$J164&amp;AA$1,Pesos!$A:$I,7,FALSE),VLOOKUP($I164&amp;$J164&amp;AA$1,Pesos!$A:$I,9,FALSE)))</f>
        <v/>
      </c>
      <c r="AZ164" s="132" t="str">
        <f>IF(AB164="","",IF(AB164="SIM",VLOOKUP($I164&amp;$J164&amp;AB$1,Pesos!$A:$I,7,FALSE),VLOOKUP($I164&amp;$J164&amp;AB$1,Pesos!$A:$I,9,FALSE)))</f>
        <v/>
      </c>
      <c r="BA164" s="132" t="str">
        <f>IF(AC164="","",IF(AC164="SIM",VLOOKUP($I164&amp;$J164&amp;AC$1,Pesos!$A:$I,7,FALSE),VLOOKUP($I164&amp;$J164&amp;AC$1,Pesos!$A:$I,9,FALSE)))</f>
        <v/>
      </c>
      <c r="BB164" s="132" t="str">
        <f>IF(AD164="","",IF(AD164="SIM",VLOOKUP($I164&amp;$J164&amp;AD$1,Pesos!$A:$I,7,FALSE),VLOOKUP($I164&amp;$J164&amp;AD$1,Pesos!$A:$I,9,FALSE)))</f>
        <v/>
      </c>
      <c r="BC164" s="132" t="str">
        <f>IF(AE164="","",IF(AE164="SIM",VLOOKUP($I164&amp;$J164&amp;AE$1,Pesos!$A:$I,7,FALSE),VLOOKUP($I164&amp;$J164&amp;AE$1,Pesos!$A:$I,9,FALSE)))</f>
        <v/>
      </c>
      <c r="BD164" s="158">
        <f>IFERROR(AF164*VLOOKUP(J164,'BD Campos'!$X$1:$Y$14,2,FALSE),"0")</f>
        <v>0</v>
      </c>
    </row>
    <row r="165" spans="1:56">
      <c r="A165" s="151" t="str">
        <f t="shared" si="11"/>
        <v>Jan11275Motorista 2TRANSFERÊNCIA</v>
      </c>
      <c r="B165" s="149" t="str">
        <f t="shared" si="12"/>
        <v>Jan112752TRANSFERÊNCIAPADRÃO</v>
      </c>
      <c r="C165" s="152">
        <v>1</v>
      </c>
      <c r="D165" s="153">
        <v>46057.404581481482</v>
      </c>
      <c r="E165" s="154" t="s">
        <v>12</v>
      </c>
      <c r="F165" s="155">
        <v>11275</v>
      </c>
      <c r="G165" s="149" t="s">
        <v>331</v>
      </c>
      <c r="H165" s="154">
        <v>2</v>
      </c>
      <c r="I165" s="149" t="s">
        <v>130</v>
      </c>
      <c r="J165" s="149" t="s">
        <v>97</v>
      </c>
      <c r="K165" s="149" t="s">
        <v>192</v>
      </c>
      <c r="L165" s="156">
        <v>34637817</v>
      </c>
      <c r="M165" s="157">
        <v>1.0995370370370371E-3</v>
      </c>
      <c r="N165" s="131" t="s">
        <v>17</v>
      </c>
      <c r="O165" s="131" t="s">
        <v>17</v>
      </c>
      <c r="P165" s="131" t="s">
        <v>17</v>
      </c>
      <c r="Q165" s="131" t="s">
        <v>17</v>
      </c>
      <c r="R165" s="131" t="s">
        <v>17</v>
      </c>
      <c r="S165" s="131" t="s">
        <v>17</v>
      </c>
      <c r="T165" s="131" t="s">
        <v>18</v>
      </c>
      <c r="U165" s="131" t="s">
        <v>17</v>
      </c>
      <c r="V165" s="131" t="s">
        <v>17</v>
      </c>
      <c r="W165" s="131" t="s">
        <v>17</v>
      </c>
      <c r="X165" s="131" t="s">
        <v>17</v>
      </c>
      <c r="Y165" s="131" t="s">
        <v>17</v>
      </c>
      <c r="Z165" s="131" t="s">
        <v>17</v>
      </c>
      <c r="AA165" s="131" t="s">
        <v>17</v>
      </c>
      <c r="AB165" s="131" t="s">
        <v>17</v>
      </c>
      <c r="AC165" s="131"/>
      <c r="AD165" s="131"/>
      <c r="AE165" s="131"/>
      <c r="AF165" s="158">
        <f t="shared" si="14"/>
        <v>8.6389999999999993</v>
      </c>
      <c r="AG165" s="159"/>
      <c r="AH165" s="155" t="s">
        <v>333</v>
      </c>
      <c r="AI165" s="155" t="s">
        <v>83</v>
      </c>
      <c r="AJ165" s="131" t="str">
        <f>IFERROR(VLOOKUP(E165&amp;F165,'Listagem dos op'!A:S,19,0),"")</f>
        <v/>
      </c>
      <c r="AK165" s="131" t="str">
        <f t="shared" si="13"/>
        <v>Jan11275</v>
      </c>
      <c r="AL165" s="154">
        <f>IF(N165="","",IF(N165="SIM",VLOOKUP($I165&amp;$J165&amp;N$1,Pesos!$A:$I,7,FALSE),VLOOKUP($I165&amp;$J165&amp;N$1,Pesos!$A:$I,9,FALSE)))</f>
        <v>0.1</v>
      </c>
      <c r="AM165" s="154">
        <f>IF(O165="","",IF(O165="SIM",VLOOKUP($I165&amp;$J165&amp;O$1,Pesos!$A:$I,7,FALSE),VLOOKUP($I165&amp;$J165&amp;O$1,Pesos!$A:$I,9,FALSE)))</f>
        <v>0.1</v>
      </c>
      <c r="AN165" s="154">
        <f>IF(P165="","",IF(P165="SIM",VLOOKUP($I165&amp;$J165&amp;P$1,Pesos!$A:$I,7,FALSE),VLOOKUP($I165&amp;$J165&amp;P$1,Pesos!$A:$I,9,FALSE)))</f>
        <v>0.1</v>
      </c>
      <c r="AO165" s="154">
        <f>IF(Q165="","",IF(Q165="SIM",VLOOKUP($I165&amp;$J165&amp;Q$1,Pesos!$A:$I,7,FALSE),VLOOKUP($I165&amp;$J165&amp;Q$1,Pesos!$A:$I,9,FALSE)))</f>
        <v>2</v>
      </c>
      <c r="AP165" s="154">
        <f>IF(R165="","",IF(R165="SIM",VLOOKUP($I165&amp;$J165&amp;R$1,Pesos!$A:$I,7,FALSE),VLOOKUP($I165&amp;$J165&amp;R$1,Pesos!$A:$I,9,FALSE)))</f>
        <v>1.03</v>
      </c>
      <c r="AQ165" s="154">
        <f>IF(S165="","",IF(S165="SIM",VLOOKUP($I165&amp;$J165&amp;S$1,Pesos!$A:$I,7,FALSE),VLOOKUP($I165&amp;$J165&amp;S$1,Pesos!$A:$I,9,FALSE)))</f>
        <v>1.3</v>
      </c>
      <c r="AR165" s="156">
        <f>IF(T165="","",IF(T165="SIM",VLOOKUP($I165&amp;$J165&amp;T$1,Pesos!$A:$I,7,FALSE),VLOOKUP($I165&amp;$J165&amp;T$1,Pesos!$A:$I,9,FALSE)))</f>
        <v>-6.5000000000000002E-2</v>
      </c>
      <c r="AS165" s="132">
        <f>IF(U165="","",IF(U165="SIM",VLOOKUP($I165&amp;$J165&amp;U$1,Pesos!$A:$I,7,FALSE),VLOOKUP($I165&amp;$J165&amp;U$1,Pesos!$A:$I,9,FALSE)))</f>
        <v>1.32</v>
      </c>
      <c r="AT165" s="132">
        <f>IF(V165="","",IF(V165="SIM",VLOOKUP($I165&amp;$J165&amp;V$1,Pesos!$A:$I,7,FALSE),VLOOKUP($I165&amp;$J165&amp;V$1,Pesos!$A:$I,9,FALSE)))</f>
        <v>1.4039999999999999</v>
      </c>
      <c r="AU165" s="132">
        <f>IF(W165="","",IF(W165="SIM",VLOOKUP($I165&amp;$J165&amp;W$1,Pesos!$A:$I,7,FALSE),VLOOKUP($I165&amp;$J165&amp;W$1,Pesos!$A:$I,9,FALSE)))</f>
        <v>0.3</v>
      </c>
      <c r="AV165" s="132">
        <f>IF(X165="","",IF(X165="SIM",VLOOKUP($I165&amp;$J165&amp;X$1,Pesos!$A:$I,7,FALSE),VLOOKUP($I165&amp;$J165&amp;X$1,Pesos!$A:$I,9,FALSE)))</f>
        <v>0.3</v>
      </c>
      <c r="AW165" s="132">
        <f>IF(Y165="","",IF(Y165="SIM",VLOOKUP($I165&amp;$J165&amp;Y$1,Pesos!$A:$I,7,FALSE),VLOOKUP($I165&amp;$J165&amp;Y$1,Pesos!$A:$I,9,FALSE)))</f>
        <v>0.15</v>
      </c>
      <c r="AX165" s="132">
        <f>IF(Z165="","",IF(Z165="SIM",VLOOKUP($I165&amp;$J165&amp;Z$1,Pesos!$A:$I,7,FALSE),VLOOKUP($I165&amp;$J165&amp;Z$1,Pesos!$A:$I,9,FALSE)))</f>
        <v>0.2</v>
      </c>
      <c r="AY165" s="132">
        <f>IF(AA165="","",IF(AA165="SIM",VLOOKUP($I165&amp;$J165&amp;AA$1,Pesos!$A:$I,7,FALSE),VLOOKUP($I165&amp;$J165&amp;AA$1,Pesos!$A:$I,9,FALSE)))</f>
        <v>0.3</v>
      </c>
      <c r="AZ165" s="132">
        <f>IF(AB165="","",IF(AB165="SIM",VLOOKUP($I165&amp;$J165&amp;AB$1,Pesos!$A:$I,7,FALSE),VLOOKUP($I165&amp;$J165&amp;AB$1,Pesos!$A:$I,9,FALSE)))</f>
        <v>0.1</v>
      </c>
      <c r="BA165" s="132" t="str">
        <f>IF(AC165="","",IF(AC165="SIM",VLOOKUP($I165&amp;$J165&amp;AC$1,Pesos!$A:$I,7,FALSE),VLOOKUP($I165&amp;$J165&amp;AC$1,Pesos!$A:$I,9,FALSE)))</f>
        <v/>
      </c>
      <c r="BB165" s="132" t="str">
        <f>IF(AD165="","",IF(AD165="SIM",VLOOKUP($I165&amp;$J165&amp;AD$1,Pesos!$A:$I,7,FALSE),VLOOKUP($I165&amp;$J165&amp;AD$1,Pesos!$A:$I,9,FALSE)))</f>
        <v/>
      </c>
      <c r="BC165" s="132" t="str">
        <f>IF(AE165="","",IF(AE165="SIM",VLOOKUP($I165&amp;$J165&amp;AE$1,Pesos!$A:$I,7,FALSE),VLOOKUP($I165&amp;$J165&amp;AE$1,Pesos!$A:$I,9,FALSE)))</f>
        <v/>
      </c>
      <c r="BD165" s="158">
        <f>IFERROR(AF165*VLOOKUP(J165,'BD Campos'!$X$1:$Y$14,2,FALSE),"0")</f>
        <v>8.6389999999999993</v>
      </c>
    </row>
    <row r="166" spans="1:56">
      <c r="A166" s="151" t="str">
        <f t="shared" si="11"/>
        <v>Jan11285MotoristaTRANSFERÊNCIA</v>
      </c>
      <c r="B166" s="149" t="str">
        <f t="shared" si="12"/>
        <v>Jan112851TRANSFERÊNCIAPADRÃO</v>
      </c>
      <c r="C166" s="152">
        <v>1</v>
      </c>
      <c r="D166" s="153">
        <v>46057.407627083332</v>
      </c>
      <c r="E166" s="154" t="s">
        <v>12</v>
      </c>
      <c r="F166" s="155">
        <v>11285</v>
      </c>
      <c r="G166" s="149" t="s">
        <v>334</v>
      </c>
      <c r="H166" s="154">
        <v>1</v>
      </c>
      <c r="I166" s="149" t="s">
        <v>130</v>
      </c>
      <c r="J166" s="149" t="s">
        <v>93</v>
      </c>
      <c r="K166" s="149" t="s">
        <v>192</v>
      </c>
      <c r="L166" s="156">
        <v>34496043</v>
      </c>
      <c r="M166" s="157">
        <v>1.4351851851851854E-3</v>
      </c>
      <c r="N166" s="131" t="s">
        <v>17</v>
      </c>
      <c r="O166" s="131" t="s">
        <v>17</v>
      </c>
      <c r="P166" s="131" t="s">
        <v>17</v>
      </c>
      <c r="Q166" s="131" t="s">
        <v>17</v>
      </c>
      <c r="R166" s="131" t="s">
        <v>17</v>
      </c>
      <c r="S166" s="131" t="s">
        <v>17</v>
      </c>
      <c r="T166" s="131" t="s">
        <v>18</v>
      </c>
      <c r="U166" s="131" t="s">
        <v>17</v>
      </c>
      <c r="V166" s="131" t="s">
        <v>18</v>
      </c>
      <c r="W166" s="131" t="s">
        <v>17</v>
      </c>
      <c r="X166" s="131" t="s">
        <v>17</v>
      </c>
      <c r="Y166" s="131" t="s">
        <v>17</v>
      </c>
      <c r="Z166" s="131" t="s">
        <v>17</v>
      </c>
      <c r="AA166" s="131" t="s">
        <v>17</v>
      </c>
      <c r="AB166" s="131" t="s">
        <v>17</v>
      </c>
      <c r="AC166" s="131"/>
      <c r="AD166" s="131"/>
      <c r="AE166" s="131"/>
      <c r="AF166" s="158">
        <f t="shared" si="14"/>
        <v>7.1647999999999996</v>
      </c>
      <c r="AG166" s="159"/>
      <c r="AH166" s="155" t="s">
        <v>335</v>
      </c>
      <c r="AI166" s="155" t="s">
        <v>83</v>
      </c>
      <c r="AJ166" s="131" t="str">
        <f>IFERROR(VLOOKUP(E166&amp;F166,'Listagem dos op'!A:S,19,0),"")</f>
        <v/>
      </c>
      <c r="AK166" s="131" t="str">
        <f t="shared" si="13"/>
        <v>Jan11285</v>
      </c>
      <c r="AL166" s="154">
        <f>IF(N166="","",IF(N166="SIM",VLOOKUP($I166&amp;$J166&amp;N$1,Pesos!$A:$I,7,FALSE),VLOOKUP($I166&amp;$J166&amp;N$1,Pesos!$A:$I,9,FALSE)))</f>
        <v>0.1</v>
      </c>
      <c r="AM166" s="154">
        <f>IF(O166="","",IF(O166="SIM",VLOOKUP($I166&amp;$J166&amp;O$1,Pesos!$A:$I,7,FALSE),VLOOKUP($I166&amp;$J166&amp;O$1,Pesos!$A:$I,9,FALSE)))</f>
        <v>0.1</v>
      </c>
      <c r="AN166" s="154">
        <f>IF(P166="","",IF(P166="SIM",VLOOKUP($I166&amp;$J166&amp;P$1,Pesos!$A:$I,7,FALSE),VLOOKUP($I166&amp;$J166&amp;P$1,Pesos!$A:$I,9,FALSE)))</f>
        <v>0.1</v>
      </c>
      <c r="AO166" s="154">
        <f>IF(Q166="","",IF(Q166="SIM",VLOOKUP($I166&amp;$J166&amp;Q$1,Pesos!$A:$I,7,FALSE),VLOOKUP($I166&amp;$J166&amp;Q$1,Pesos!$A:$I,9,FALSE)))</f>
        <v>2</v>
      </c>
      <c r="AP166" s="154">
        <f>IF(R166="","",IF(R166="SIM",VLOOKUP($I166&amp;$J166&amp;R$1,Pesos!$A:$I,7,FALSE),VLOOKUP($I166&amp;$J166&amp;R$1,Pesos!$A:$I,9,FALSE)))</f>
        <v>1.03</v>
      </c>
      <c r="AQ166" s="154">
        <f>IF(S166="","",IF(S166="SIM",VLOOKUP($I166&amp;$J166&amp;S$1,Pesos!$A:$I,7,FALSE),VLOOKUP($I166&amp;$J166&amp;S$1,Pesos!$A:$I,9,FALSE)))</f>
        <v>1.3</v>
      </c>
      <c r="AR166" s="156">
        <f>IF(T166="","",IF(T166="SIM",VLOOKUP($I166&amp;$J166&amp;T$1,Pesos!$A:$I,7,FALSE),VLOOKUP($I166&amp;$J166&amp;T$1,Pesos!$A:$I,9,FALSE)))</f>
        <v>-6.5000000000000002E-2</v>
      </c>
      <c r="AS166" s="132">
        <f>IF(U166="","",IF(U166="SIM",VLOOKUP($I166&amp;$J166&amp;U$1,Pesos!$A:$I,7,FALSE),VLOOKUP($I166&amp;$J166&amp;U$1,Pesos!$A:$I,9,FALSE)))</f>
        <v>1.32</v>
      </c>
      <c r="AT166" s="132">
        <f>IF(V166="","",IF(V166="SIM",VLOOKUP($I166&amp;$J166&amp;V$1,Pesos!$A:$I,7,FALSE),VLOOKUP($I166&amp;$J166&amp;V$1,Pesos!$A:$I,9,FALSE)))</f>
        <v>-7.0199999999999999E-2</v>
      </c>
      <c r="AU166" s="132">
        <f>IF(W166="","",IF(W166="SIM",VLOOKUP($I166&amp;$J166&amp;W$1,Pesos!$A:$I,7,FALSE),VLOOKUP($I166&amp;$J166&amp;W$1,Pesos!$A:$I,9,FALSE)))</f>
        <v>0.3</v>
      </c>
      <c r="AV166" s="132">
        <f>IF(X166="","",IF(X166="SIM",VLOOKUP($I166&amp;$J166&amp;X$1,Pesos!$A:$I,7,FALSE),VLOOKUP($I166&amp;$J166&amp;X$1,Pesos!$A:$I,9,FALSE)))</f>
        <v>0.3</v>
      </c>
      <c r="AW166" s="132">
        <f>IF(Y166="","",IF(Y166="SIM",VLOOKUP($I166&amp;$J166&amp;Y$1,Pesos!$A:$I,7,FALSE),VLOOKUP($I166&amp;$J166&amp;Y$1,Pesos!$A:$I,9,FALSE)))</f>
        <v>0.15</v>
      </c>
      <c r="AX166" s="132">
        <f>IF(Z166="","",IF(Z166="SIM",VLOOKUP($I166&amp;$J166&amp;Z$1,Pesos!$A:$I,7,FALSE),VLOOKUP($I166&amp;$J166&amp;Z$1,Pesos!$A:$I,9,FALSE)))</f>
        <v>0.2</v>
      </c>
      <c r="AY166" s="132">
        <f>IF(AA166="","",IF(AA166="SIM",VLOOKUP($I166&amp;$J166&amp;AA$1,Pesos!$A:$I,7,FALSE),VLOOKUP($I166&amp;$J166&amp;AA$1,Pesos!$A:$I,9,FALSE)))</f>
        <v>0.3</v>
      </c>
      <c r="AZ166" s="132">
        <f>IF(AB166="","",IF(AB166="SIM",VLOOKUP($I166&amp;$J166&amp;AB$1,Pesos!$A:$I,7,FALSE),VLOOKUP($I166&amp;$J166&amp;AB$1,Pesos!$A:$I,9,FALSE)))</f>
        <v>0.1</v>
      </c>
      <c r="BA166" s="132" t="str">
        <f>IF(AC166="","",IF(AC166="SIM",VLOOKUP($I166&amp;$J166&amp;AC$1,Pesos!$A:$I,7,FALSE),VLOOKUP($I166&amp;$J166&amp;AC$1,Pesos!$A:$I,9,FALSE)))</f>
        <v/>
      </c>
      <c r="BB166" s="132" t="str">
        <f>IF(AD166="","",IF(AD166="SIM",VLOOKUP($I166&amp;$J166&amp;AD$1,Pesos!$A:$I,7,FALSE),VLOOKUP($I166&amp;$J166&amp;AD$1,Pesos!$A:$I,9,FALSE)))</f>
        <v/>
      </c>
      <c r="BC166" s="132" t="str">
        <f>IF(AE166="","",IF(AE166="SIM",VLOOKUP($I166&amp;$J166&amp;AE$1,Pesos!$A:$I,7,FALSE),VLOOKUP($I166&amp;$J166&amp;AE$1,Pesos!$A:$I,9,FALSE)))</f>
        <v/>
      </c>
      <c r="BD166" s="158">
        <f>IFERROR(AF166*VLOOKUP(J166,'BD Campos'!$X$1:$Y$14,2,FALSE),"0")</f>
        <v>7.1647999999999996</v>
      </c>
    </row>
    <row r="167" spans="1:56">
      <c r="A167" s="151" t="str">
        <f t="shared" si="11"/>
        <v>Jan11285Motorista 2TRANSFERÊNCIA</v>
      </c>
      <c r="B167" s="149" t="str">
        <f t="shared" si="12"/>
        <v>Jan112852TRANSFERÊNCIAPADRÃO</v>
      </c>
      <c r="C167" s="152">
        <v>1</v>
      </c>
      <c r="D167" s="153">
        <v>46057.41001388889</v>
      </c>
      <c r="E167" s="154" t="s">
        <v>12</v>
      </c>
      <c r="F167" s="155">
        <v>11285</v>
      </c>
      <c r="G167" s="149" t="s">
        <v>334</v>
      </c>
      <c r="H167" s="154">
        <v>2</v>
      </c>
      <c r="I167" s="149" t="s">
        <v>96</v>
      </c>
      <c r="J167" s="149" t="s">
        <v>97</v>
      </c>
      <c r="K167" s="149" t="s">
        <v>192</v>
      </c>
      <c r="L167" s="156">
        <v>34738576</v>
      </c>
      <c r="M167" s="157">
        <v>1.3773148148148147E-3</v>
      </c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58">
        <f t="shared" si="14"/>
        <v>0</v>
      </c>
      <c r="AG167" s="159" t="s">
        <v>111</v>
      </c>
      <c r="AH167" s="155" t="s">
        <v>336</v>
      </c>
      <c r="AI167" s="155" t="s">
        <v>83</v>
      </c>
      <c r="AJ167" s="131" t="str">
        <f>IFERROR(VLOOKUP(E167&amp;F167,'Listagem dos op'!A:S,19,0),"")</f>
        <v/>
      </c>
      <c r="AK167" s="131" t="str">
        <f t="shared" si="13"/>
        <v>Jan11285</v>
      </c>
      <c r="AL167" s="154" t="str">
        <f>IF(N167="","",IF(N167="SIM",VLOOKUP($I167&amp;$J167&amp;N$1,Pesos!$A:$I,7,FALSE),VLOOKUP($I167&amp;$J167&amp;N$1,Pesos!$A:$I,9,FALSE)))</f>
        <v/>
      </c>
      <c r="AM167" s="154" t="str">
        <f>IF(O167="","",IF(O167="SIM",VLOOKUP($I167&amp;$J167&amp;O$1,Pesos!$A:$I,7,FALSE),VLOOKUP($I167&amp;$J167&amp;O$1,Pesos!$A:$I,9,FALSE)))</f>
        <v/>
      </c>
      <c r="AN167" s="154" t="str">
        <f>IF(P167="","",IF(P167="SIM",VLOOKUP($I167&amp;$J167&amp;P$1,Pesos!$A:$I,7,FALSE),VLOOKUP($I167&amp;$J167&amp;P$1,Pesos!$A:$I,9,FALSE)))</f>
        <v/>
      </c>
      <c r="AO167" s="154" t="str">
        <f>IF(Q167="","",IF(Q167="SIM",VLOOKUP($I167&amp;$J167&amp;Q$1,Pesos!$A:$I,7,FALSE),VLOOKUP($I167&amp;$J167&amp;Q$1,Pesos!$A:$I,9,FALSE)))</f>
        <v/>
      </c>
      <c r="AP167" s="154" t="str">
        <f>IF(R167="","",IF(R167="SIM",VLOOKUP($I167&amp;$J167&amp;R$1,Pesos!$A:$I,7,FALSE),VLOOKUP($I167&amp;$J167&amp;R$1,Pesos!$A:$I,9,FALSE)))</f>
        <v/>
      </c>
      <c r="AQ167" s="154" t="str">
        <f>IF(S167="","",IF(S167="SIM",VLOOKUP($I167&amp;$J167&amp;S$1,Pesos!$A:$I,7,FALSE),VLOOKUP($I167&amp;$J167&amp;S$1,Pesos!$A:$I,9,FALSE)))</f>
        <v/>
      </c>
      <c r="AR167" s="156" t="str">
        <f>IF(T167="","",IF(T167="SIM",VLOOKUP($I167&amp;$J167&amp;T$1,Pesos!$A:$I,7,FALSE),VLOOKUP($I167&amp;$J167&amp;T$1,Pesos!$A:$I,9,FALSE)))</f>
        <v/>
      </c>
      <c r="AS167" s="132" t="str">
        <f>IF(U167="","",IF(U167="SIM",VLOOKUP($I167&amp;$J167&amp;U$1,Pesos!$A:$I,7,FALSE),VLOOKUP($I167&amp;$J167&amp;U$1,Pesos!$A:$I,9,FALSE)))</f>
        <v/>
      </c>
      <c r="AT167" s="132" t="str">
        <f>IF(V167="","",IF(V167="SIM",VLOOKUP($I167&amp;$J167&amp;V$1,Pesos!$A:$I,7,FALSE),VLOOKUP($I167&amp;$J167&amp;V$1,Pesos!$A:$I,9,FALSE)))</f>
        <v/>
      </c>
      <c r="AU167" s="132" t="str">
        <f>IF(W167="","",IF(W167="SIM",VLOOKUP($I167&amp;$J167&amp;W$1,Pesos!$A:$I,7,FALSE),VLOOKUP($I167&amp;$J167&amp;W$1,Pesos!$A:$I,9,FALSE)))</f>
        <v/>
      </c>
      <c r="AV167" s="132" t="str">
        <f>IF(X167="","",IF(X167="SIM",VLOOKUP($I167&amp;$J167&amp;X$1,Pesos!$A:$I,7,FALSE),VLOOKUP($I167&amp;$J167&amp;X$1,Pesos!$A:$I,9,FALSE)))</f>
        <v/>
      </c>
      <c r="AW167" s="132" t="str">
        <f>IF(Y167="","",IF(Y167="SIM",VLOOKUP($I167&amp;$J167&amp;Y$1,Pesos!$A:$I,7,FALSE),VLOOKUP($I167&amp;$J167&amp;Y$1,Pesos!$A:$I,9,FALSE)))</f>
        <v/>
      </c>
      <c r="AX167" s="132" t="str">
        <f>IF(Z167="","",IF(Z167="SIM",VLOOKUP($I167&amp;$J167&amp;Z$1,Pesos!$A:$I,7,FALSE),VLOOKUP($I167&amp;$J167&amp;Z$1,Pesos!$A:$I,9,FALSE)))</f>
        <v/>
      </c>
      <c r="AY167" s="132" t="str">
        <f>IF(AA167="","",IF(AA167="SIM",VLOOKUP($I167&amp;$J167&amp;AA$1,Pesos!$A:$I,7,FALSE),VLOOKUP($I167&amp;$J167&amp;AA$1,Pesos!$A:$I,9,FALSE)))</f>
        <v/>
      </c>
      <c r="AZ167" s="132" t="str">
        <f>IF(AB167="","",IF(AB167="SIM",VLOOKUP($I167&amp;$J167&amp;AB$1,Pesos!$A:$I,7,FALSE),VLOOKUP($I167&amp;$J167&amp;AB$1,Pesos!$A:$I,9,FALSE)))</f>
        <v/>
      </c>
      <c r="BA167" s="132" t="str">
        <f>IF(AC167="","",IF(AC167="SIM",VLOOKUP($I167&amp;$J167&amp;AC$1,Pesos!$A:$I,7,FALSE),VLOOKUP($I167&amp;$J167&amp;AC$1,Pesos!$A:$I,9,FALSE)))</f>
        <v/>
      </c>
      <c r="BB167" s="132" t="str">
        <f>IF(AD167="","",IF(AD167="SIM",VLOOKUP($I167&amp;$J167&amp;AD$1,Pesos!$A:$I,7,FALSE),VLOOKUP($I167&amp;$J167&amp;AD$1,Pesos!$A:$I,9,FALSE)))</f>
        <v/>
      </c>
      <c r="BC167" s="132" t="str">
        <f>IF(AE167="","",IF(AE167="SIM",VLOOKUP($I167&amp;$J167&amp;AE$1,Pesos!$A:$I,7,FALSE),VLOOKUP($I167&amp;$J167&amp;AE$1,Pesos!$A:$I,9,FALSE)))</f>
        <v/>
      </c>
      <c r="BD167" s="158">
        <f>IFERROR(AF167*VLOOKUP(J167,'BD Campos'!$X$1:$Y$14,2,FALSE),"0")</f>
        <v>0</v>
      </c>
    </row>
    <row r="168" spans="1:56">
      <c r="A168" s="151" t="str">
        <f t="shared" si="11"/>
        <v>Jan11305MotoristaTRANSFERÊNCIA</v>
      </c>
      <c r="B168" s="149" t="str">
        <f t="shared" si="12"/>
        <v>Jan113051TRANSFERÊNCIAPADRÃO</v>
      </c>
      <c r="C168" s="152">
        <v>1</v>
      </c>
      <c r="D168" s="153">
        <v>46057.431021180557</v>
      </c>
      <c r="E168" s="154" t="s">
        <v>12</v>
      </c>
      <c r="F168" s="155">
        <v>11305</v>
      </c>
      <c r="G168" s="149" t="s">
        <v>337</v>
      </c>
      <c r="H168" s="154">
        <v>1</v>
      </c>
      <c r="I168" s="149" t="s">
        <v>92</v>
      </c>
      <c r="J168" s="149" t="s">
        <v>93</v>
      </c>
      <c r="K168" s="149" t="s">
        <v>192</v>
      </c>
      <c r="L168" s="156">
        <v>34663282</v>
      </c>
      <c r="M168" s="157">
        <v>2.5925925925925925E-3</v>
      </c>
      <c r="N168" s="131" t="s">
        <v>17</v>
      </c>
      <c r="O168" s="131" t="s">
        <v>17</v>
      </c>
      <c r="P168" s="131" t="s">
        <v>17</v>
      </c>
      <c r="Q168" s="131" t="s">
        <v>17</v>
      </c>
      <c r="R168" s="131" t="s">
        <v>17</v>
      </c>
      <c r="S168" s="131" t="s">
        <v>18</v>
      </c>
      <c r="T168" s="131" t="s">
        <v>17</v>
      </c>
      <c r="U168" s="131" t="s">
        <v>18</v>
      </c>
      <c r="V168" s="131" t="s">
        <v>18</v>
      </c>
      <c r="W168" s="131" t="s">
        <v>17</v>
      </c>
      <c r="X168" s="131" t="s">
        <v>17</v>
      </c>
      <c r="Y168" s="131" t="s">
        <v>17</v>
      </c>
      <c r="Z168" s="131" t="s">
        <v>17</v>
      </c>
      <c r="AA168" s="131" t="s">
        <v>17</v>
      </c>
      <c r="AB168" s="131"/>
      <c r="AC168" s="131"/>
      <c r="AD168" s="131"/>
      <c r="AE168" s="131"/>
      <c r="AF168" s="158">
        <f t="shared" si="14"/>
        <v>6.1150000000000002</v>
      </c>
      <c r="AG168" s="159"/>
      <c r="AH168" s="155" t="s">
        <v>338</v>
      </c>
      <c r="AI168" s="155" t="s">
        <v>83</v>
      </c>
      <c r="AJ168" s="131" t="str">
        <f>IFERROR(VLOOKUP(E168&amp;F168,'Listagem dos op'!A:S,19,0),"")</f>
        <v/>
      </c>
      <c r="AK168" s="131" t="str">
        <f t="shared" si="13"/>
        <v>Jan11305</v>
      </c>
      <c r="AL168" s="154">
        <f>IF(N168="","",IF(N168="SIM",VLOOKUP($I168&amp;$J168&amp;N$1,Pesos!$A:$I,7,FALSE),VLOOKUP($I168&amp;$J168&amp;N$1,Pesos!$A:$I,9,FALSE)))</f>
        <v>0.1</v>
      </c>
      <c r="AM168" s="154">
        <f>IF(O168="","",IF(O168="SIM",VLOOKUP($I168&amp;$J168&amp;O$1,Pesos!$A:$I,7,FALSE),VLOOKUP($I168&amp;$J168&amp;O$1,Pesos!$A:$I,9,FALSE)))</f>
        <v>0.1</v>
      </c>
      <c r="AN168" s="154">
        <f>IF(P168="","",IF(P168="SIM",VLOOKUP($I168&amp;$J168&amp;P$1,Pesos!$A:$I,7,FALSE),VLOOKUP($I168&amp;$J168&amp;P$1,Pesos!$A:$I,9,FALSE)))</f>
        <v>0.1</v>
      </c>
      <c r="AO168" s="154">
        <f>IF(Q168="","",IF(Q168="SIM",VLOOKUP($I168&amp;$J168&amp;Q$1,Pesos!$A:$I,7,FALSE),VLOOKUP($I168&amp;$J168&amp;Q$1,Pesos!$A:$I,9,FALSE)))</f>
        <v>2</v>
      </c>
      <c r="AP168" s="154">
        <f>IF(R168="","",IF(R168="SIM",VLOOKUP($I168&amp;$J168&amp;R$1,Pesos!$A:$I,7,FALSE),VLOOKUP($I168&amp;$J168&amp;R$1,Pesos!$A:$I,9,FALSE)))</f>
        <v>1.03</v>
      </c>
      <c r="AQ168" s="154">
        <f>IF(S168="","",IF(S168="SIM",VLOOKUP($I168&amp;$J168&amp;S$1,Pesos!$A:$I,7,FALSE),VLOOKUP($I168&amp;$J168&amp;S$1,Pesos!$A:$I,9,FALSE)))</f>
        <v>-8.500000000000002E-2</v>
      </c>
      <c r="AR168" s="156">
        <f>IF(T168="","",IF(T168="SIM",VLOOKUP($I168&amp;$J168&amp;T$1,Pesos!$A:$I,7,FALSE),VLOOKUP($I168&amp;$J168&amp;T$1,Pesos!$A:$I,9,FALSE)))</f>
        <v>1.92</v>
      </c>
      <c r="AS168" s="132">
        <f>IF(U168="","",IF(U168="SIM",VLOOKUP($I168&amp;$J168&amp;U$1,Pesos!$A:$I,7,FALSE),VLOOKUP($I168&amp;$J168&amp;U$1,Pesos!$A:$I,9,FALSE)))</f>
        <v>-8.500000000000002E-2</v>
      </c>
      <c r="AT168" s="132">
        <f>IF(V168="","",IF(V168="SIM",VLOOKUP($I168&amp;$J168&amp;V$1,Pesos!$A:$I,7,FALSE),VLOOKUP($I168&amp;$J168&amp;V$1,Pesos!$A:$I,9,FALSE)))</f>
        <v>-1.4999999999999999E-2</v>
      </c>
      <c r="AU168" s="132">
        <f>IF(W168="","",IF(W168="SIM",VLOOKUP($I168&amp;$J168&amp;W$1,Pesos!$A:$I,7,FALSE),VLOOKUP($I168&amp;$J168&amp;W$1,Pesos!$A:$I,9,FALSE)))</f>
        <v>0.3</v>
      </c>
      <c r="AV168" s="132">
        <f>IF(X168="","",IF(X168="SIM",VLOOKUP($I168&amp;$J168&amp;X$1,Pesos!$A:$I,7,FALSE),VLOOKUP($I168&amp;$J168&amp;X$1,Pesos!$A:$I,9,FALSE)))</f>
        <v>0.15</v>
      </c>
      <c r="AW168" s="132">
        <f>IF(Y168="","",IF(Y168="SIM",VLOOKUP($I168&amp;$J168&amp;Y$1,Pesos!$A:$I,7,FALSE),VLOOKUP($I168&amp;$J168&amp;Y$1,Pesos!$A:$I,9,FALSE)))</f>
        <v>0.2</v>
      </c>
      <c r="AX168" s="132">
        <f>IF(Z168="","",IF(Z168="SIM",VLOOKUP($I168&amp;$J168&amp;Z$1,Pesos!$A:$I,7,FALSE),VLOOKUP($I168&amp;$J168&amp;Z$1,Pesos!$A:$I,9,FALSE)))</f>
        <v>0.3</v>
      </c>
      <c r="AY168" s="132">
        <f>IF(AA168="","",IF(AA168="SIM",VLOOKUP($I168&amp;$J168&amp;AA$1,Pesos!$A:$I,7,FALSE),VLOOKUP($I168&amp;$J168&amp;AA$1,Pesos!$A:$I,9,FALSE)))</f>
        <v>0.1</v>
      </c>
      <c r="AZ168" s="132" t="str">
        <f>IF(AB168="","",IF(AB168="SIM",VLOOKUP($I168&amp;$J168&amp;AB$1,Pesos!$A:$I,7,FALSE),VLOOKUP($I168&amp;$J168&amp;AB$1,Pesos!$A:$I,9,FALSE)))</f>
        <v/>
      </c>
      <c r="BA168" s="132" t="str">
        <f>IF(AC168="","",IF(AC168="SIM",VLOOKUP($I168&amp;$J168&amp;AC$1,Pesos!$A:$I,7,FALSE),VLOOKUP($I168&amp;$J168&amp;AC$1,Pesos!$A:$I,9,FALSE)))</f>
        <v/>
      </c>
      <c r="BB168" s="132" t="str">
        <f>IF(AD168="","",IF(AD168="SIM",VLOOKUP($I168&amp;$J168&amp;AD$1,Pesos!$A:$I,7,FALSE),VLOOKUP($I168&amp;$J168&amp;AD$1,Pesos!$A:$I,9,FALSE)))</f>
        <v/>
      </c>
      <c r="BC168" s="132" t="str">
        <f>IF(AE168="","",IF(AE168="SIM",VLOOKUP($I168&amp;$J168&amp;AE$1,Pesos!$A:$I,7,FALSE),VLOOKUP($I168&amp;$J168&amp;AE$1,Pesos!$A:$I,9,FALSE)))</f>
        <v/>
      </c>
      <c r="BD168" s="158">
        <f>IFERROR(AF168*VLOOKUP(J168,'BD Campos'!$X$1:$Y$14,2,FALSE),"0")</f>
        <v>6.1150000000000002</v>
      </c>
    </row>
    <row r="169" spans="1:56">
      <c r="A169" s="151" t="str">
        <f t="shared" si="11"/>
        <v>Jan11305Motorista 2TRANSFERÊNCIA</v>
      </c>
      <c r="B169" s="149" t="str">
        <f t="shared" si="12"/>
        <v>Jan113052TRANSFERÊNCIAPADRÃO</v>
      </c>
      <c r="C169" s="152">
        <v>1</v>
      </c>
      <c r="D169" s="153">
        <v>46057.432627083334</v>
      </c>
      <c r="E169" s="154" t="s">
        <v>12</v>
      </c>
      <c r="F169" s="155">
        <v>11305</v>
      </c>
      <c r="G169" s="149" t="s">
        <v>337</v>
      </c>
      <c r="H169" s="154">
        <v>2</v>
      </c>
      <c r="I169" s="149" t="s">
        <v>92</v>
      </c>
      <c r="J169" s="149" t="s">
        <v>97</v>
      </c>
      <c r="K169" s="149" t="s">
        <v>192</v>
      </c>
      <c r="L169" s="156">
        <v>34814731</v>
      </c>
      <c r="M169" s="157">
        <v>1.1689814814814816E-3</v>
      </c>
      <c r="N169" s="131" t="s">
        <v>17</v>
      </c>
      <c r="O169" s="131" t="s">
        <v>17</v>
      </c>
      <c r="P169" s="131" t="s">
        <v>17</v>
      </c>
      <c r="Q169" s="131" t="s">
        <v>17</v>
      </c>
      <c r="R169" s="131" t="s">
        <v>17</v>
      </c>
      <c r="S169" s="131" t="s">
        <v>17</v>
      </c>
      <c r="T169" s="131" t="s">
        <v>17</v>
      </c>
      <c r="U169" s="131" t="s">
        <v>18</v>
      </c>
      <c r="V169" s="131" t="s">
        <v>17</v>
      </c>
      <c r="W169" s="131" t="s">
        <v>17</v>
      </c>
      <c r="X169" s="131" t="s">
        <v>17</v>
      </c>
      <c r="Y169" s="131" t="s">
        <v>17</v>
      </c>
      <c r="Z169" s="131" t="s">
        <v>17</v>
      </c>
      <c r="AA169" s="131" t="s">
        <v>17</v>
      </c>
      <c r="AB169" s="131"/>
      <c r="AC169" s="131"/>
      <c r="AD169" s="131"/>
      <c r="AE169" s="131"/>
      <c r="AF169" s="158">
        <f t="shared" si="14"/>
        <v>8.2149999999999999</v>
      </c>
      <c r="AG169" s="159"/>
      <c r="AH169" s="155" t="s">
        <v>339</v>
      </c>
      <c r="AI169" s="155" t="s">
        <v>83</v>
      </c>
      <c r="AJ169" s="131" t="str">
        <f>IFERROR(VLOOKUP(E169&amp;F169,'Listagem dos op'!A:S,19,0),"")</f>
        <v/>
      </c>
      <c r="AK169" s="131" t="str">
        <f t="shared" si="13"/>
        <v>Jan11305</v>
      </c>
      <c r="AL169" s="154">
        <f>IF(N169="","",IF(N169="SIM",VLOOKUP($I169&amp;$J169&amp;N$1,Pesos!$A:$I,7,FALSE),VLOOKUP($I169&amp;$J169&amp;N$1,Pesos!$A:$I,9,FALSE)))</f>
        <v>0.1</v>
      </c>
      <c r="AM169" s="154">
        <f>IF(O169="","",IF(O169="SIM",VLOOKUP($I169&amp;$J169&amp;O$1,Pesos!$A:$I,7,FALSE),VLOOKUP($I169&amp;$J169&amp;O$1,Pesos!$A:$I,9,FALSE)))</f>
        <v>0.1</v>
      </c>
      <c r="AN169" s="154">
        <f>IF(P169="","",IF(P169="SIM",VLOOKUP($I169&amp;$J169&amp;P$1,Pesos!$A:$I,7,FALSE),VLOOKUP($I169&amp;$J169&amp;P$1,Pesos!$A:$I,9,FALSE)))</f>
        <v>0.1</v>
      </c>
      <c r="AO169" s="154">
        <f>IF(Q169="","",IF(Q169="SIM",VLOOKUP($I169&amp;$J169&amp;Q$1,Pesos!$A:$I,7,FALSE),VLOOKUP($I169&amp;$J169&amp;Q$1,Pesos!$A:$I,9,FALSE)))</f>
        <v>2</v>
      </c>
      <c r="AP169" s="154">
        <f>IF(R169="","",IF(R169="SIM",VLOOKUP($I169&amp;$J169&amp;R$1,Pesos!$A:$I,7,FALSE),VLOOKUP($I169&amp;$J169&amp;R$1,Pesos!$A:$I,9,FALSE)))</f>
        <v>1.03</v>
      </c>
      <c r="AQ169" s="154">
        <f>IF(S169="","",IF(S169="SIM",VLOOKUP($I169&amp;$J169&amp;S$1,Pesos!$A:$I,7,FALSE),VLOOKUP($I169&amp;$J169&amp;S$1,Pesos!$A:$I,9,FALSE)))</f>
        <v>1.7000000000000002</v>
      </c>
      <c r="AR169" s="156">
        <f>IF(T169="","",IF(T169="SIM",VLOOKUP($I169&amp;$J169&amp;T$1,Pesos!$A:$I,7,FALSE),VLOOKUP($I169&amp;$J169&amp;T$1,Pesos!$A:$I,9,FALSE)))</f>
        <v>1.92</v>
      </c>
      <c r="AS169" s="132">
        <f>IF(U169="","",IF(U169="SIM",VLOOKUP($I169&amp;$J169&amp;U$1,Pesos!$A:$I,7,FALSE),VLOOKUP($I169&amp;$J169&amp;U$1,Pesos!$A:$I,9,FALSE)))</f>
        <v>-8.500000000000002E-2</v>
      </c>
      <c r="AT169" s="132">
        <f>IF(V169="","",IF(V169="SIM",VLOOKUP($I169&amp;$J169&amp;V$1,Pesos!$A:$I,7,FALSE),VLOOKUP($I169&amp;$J169&amp;V$1,Pesos!$A:$I,9,FALSE)))</f>
        <v>0.3</v>
      </c>
      <c r="AU169" s="132">
        <f>IF(W169="","",IF(W169="SIM",VLOOKUP($I169&amp;$J169&amp;W$1,Pesos!$A:$I,7,FALSE),VLOOKUP($I169&amp;$J169&amp;W$1,Pesos!$A:$I,9,FALSE)))</f>
        <v>0.3</v>
      </c>
      <c r="AV169" s="132">
        <f>IF(X169="","",IF(X169="SIM",VLOOKUP($I169&amp;$J169&amp;X$1,Pesos!$A:$I,7,FALSE),VLOOKUP($I169&amp;$J169&amp;X$1,Pesos!$A:$I,9,FALSE)))</f>
        <v>0.15</v>
      </c>
      <c r="AW169" s="132">
        <f>IF(Y169="","",IF(Y169="SIM",VLOOKUP($I169&amp;$J169&amp;Y$1,Pesos!$A:$I,7,FALSE),VLOOKUP($I169&amp;$J169&amp;Y$1,Pesos!$A:$I,9,FALSE)))</f>
        <v>0.2</v>
      </c>
      <c r="AX169" s="132">
        <f>IF(Z169="","",IF(Z169="SIM",VLOOKUP($I169&amp;$J169&amp;Z$1,Pesos!$A:$I,7,FALSE),VLOOKUP($I169&amp;$J169&amp;Z$1,Pesos!$A:$I,9,FALSE)))</f>
        <v>0.3</v>
      </c>
      <c r="AY169" s="132">
        <f>IF(AA169="","",IF(AA169="SIM",VLOOKUP($I169&amp;$J169&amp;AA$1,Pesos!$A:$I,7,FALSE),VLOOKUP($I169&amp;$J169&amp;AA$1,Pesos!$A:$I,9,FALSE)))</f>
        <v>0.1</v>
      </c>
      <c r="AZ169" s="132" t="str">
        <f>IF(AB169="","",IF(AB169="SIM",VLOOKUP($I169&amp;$J169&amp;AB$1,Pesos!$A:$I,7,FALSE),VLOOKUP($I169&amp;$J169&amp;AB$1,Pesos!$A:$I,9,FALSE)))</f>
        <v/>
      </c>
      <c r="BA169" s="132" t="str">
        <f>IF(AC169="","",IF(AC169="SIM",VLOOKUP($I169&amp;$J169&amp;AC$1,Pesos!$A:$I,7,FALSE),VLOOKUP($I169&amp;$J169&amp;AC$1,Pesos!$A:$I,9,FALSE)))</f>
        <v/>
      </c>
      <c r="BB169" s="132" t="str">
        <f>IF(AD169="","",IF(AD169="SIM",VLOOKUP($I169&amp;$J169&amp;AD$1,Pesos!$A:$I,7,FALSE),VLOOKUP($I169&amp;$J169&amp;AD$1,Pesos!$A:$I,9,FALSE)))</f>
        <v/>
      </c>
      <c r="BC169" s="132" t="str">
        <f>IF(AE169="","",IF(AE169="SIM",VLOOKUP($I169&amp;$J169&amp;AE$1,Pesos!$A:$I,7,FALSE),VLOOKUP($I169&amp;$J169&amp;AE$1,Pesos!$A:$I,9,FALSE)))</f>
        <v/>
      </c>
      <c r="BD169" s="158">
        <f>IFERROR(AF169*VLOOKUP(J169,'BD Campos'!$X$1:$Y$14,2,FALSE),"0")</f>
        <v>8.2149999999999999</v>
      </c>
    </row>
    <row r="170" spans="1:56">
      <c r="A170" s="151" t="str">
        <f t="shared" si="11"/>
        <v>Jan11349MotoristaTRANSFERÊNCIA</v>
      </c>
      <c r="B170" s="149" t="str">
        <f t="shared" si="12"/>
        <v>Jan113491TRANSFERÊNCIAPADRÃO</v>
      </c>
      <c r="C170" s="152">
        <v>1</v>
      </c>
      <c r="D170" s="153">
        <v>46057.43620034722</v>
      </c>
      <c r="E170" s="154" t="s">
        <v>12</v>
      </c>
      <c r="F170" s="155">
        <v>11349</v>
      </c>
      <c r="G170" s="149" t="s">
        <v>340</v>
      </c>
      <c r="H170" s="154">
        <v>1</v>
      </c>
      <c r="I170" s="149" t="s">
        <v>130</v>
      </c>
      <c r="J170" s="149" t="s">
        <v>93</v>
      </c>
      <c r="K170" s="149" t="s">
        <v>192</v>
      </c>
      <c r="L170" s="156">
        <v>34546998</v>
      </c>
      <c r="M170" s="157">
        <v>1.1226851851851851E-3</v>
      </c>
      <c r="N170" s="131" t="s">
        <v>17</v>
      </c>
      <c r="O170" s="131" t="s">
        <v>17</v>
      </c>
      <c r="P170" s="131" t="s">
        <v>17</v>
      </c>
      <c r="Q170" s="131" t="s">
        <v>17</v>
      </c>
      <c r="R170" s="131" t="s">
        <v>17</v>
      </c>
      <c r="S170" s="131" t="s">
        <v>17</v>
      </c>
      <c r="T170" s="131" t="s">
        <v>17</v>
      </c>
      <c r="U170" s="131" t="s">
        <v>18</v>
      </c>
      <c r="V170" s="131" t="s">
        <v>17</v>
      </c>
      <c r="W170" s="131" t="s">
        <v>17</v>
      </c>
      <c r="X170" s="131" t="s">
        <v>17</v>
      </c>
      <c r="Y170" s="131" t="s">
        <v>17</v>
      </c>
      <c r="Z170" s="131" t="s">
        <v>17</v>
      </c>
      <c r="AA170" s="131" t="s">
        <v>17</v>
      </c>
      <c r="AB170" s="131" t="s">
        <v>17</v>
      </c>
      <c r="AC170" s="131"/>
      <c r="AD170" s="131"/>
      <c r="AE170" s="131"/>
      <c r="AF170" s="158">
        <f t="shared" si="14"/>
        <v>8.6179999999999986</v>
      </c>
      <c r="AG170" s="159"/>
      <c r="AH170" s="155" t="s">
        <v>341</v>
      </c>
      <c r="AI170" s="155" t="s">
        <v>83</v>
      </c>
      <c r="AJ170" s="131" t="str">
        <f>IFERROR(VLOOKUP(E170&amp;F170,'Listagem dos op'!A:S,19,0),"")</f>
        <v/>
      </c>
      <c r="AK170" s="131" t="str">
        <f t="shared" si="13"/>
        <v>Jan11349</v>
      </c>
      <c r="AL170" s="154">
        <f>IF(N170="","",IF(N170="SIM",VLOOKUP($I170&amp;$J170&amp;N$1,Pesos!$A:$I,7,FALSE),VLOOKUP($I170&amp;$J170&amp;N$1,Pesos!$A:$I,9,FALSE)))</f>
        <v>0.1</v>
      </c>
      <c r="AM170" s="154">
        <f>IF(O170="","",IF(O170="SIM",VLOOKUP($I170&amp;$J170&amp;O$1,Pesos!$A:$I,7,FALSE),VLOOKUP($I170&amp;$J170&amp;O$1,Pesos!$A:$I,9,FALSE)))</f>
        <v>0.1</v>
      </c>
      <c r="AN170" s="154">
        <f>IF(P170="","",IF(P170="SIM",VLOOKUP($I170&amp;$J170&amp;P$1,Pesos!$A:$I,7,FALSE),VLOOKUP($I170&amp;$J170&amp;P$1,Pesos!$A:$I,9,FALSE)))</f>
        <v>0.1</v>
      </c>
      <c r="AO170" s="154">
        <f>IF(Q170="","",IF(Q170="SIM",VLOOKUP($I170&amp;$J170&amp;Q$1,Pesos!$A:$I,7,FALSE),VLOOKUP($I170&amp;$J170&amp;Q$1,Pesos!$A:$I,9,FALSE)))</f>
        <v>2</v>
      </c>
      <c r="AP170" s="154">
        <f>IF(R170="","",IF(R170="SIM",VLOOKUP($I170&amp;$J170&amp;R$1,Pesos!$A:$I,7,FALSE),VLOOKUP($I170&amp;$J170&amp;R$1,Pesos!$A:$I,9,FALSE)))</f>
        <v>1.03</v>
      </c>
      <c r="AQ170" s="154">
        <f>IF(S170="","",IF(S170="SIM",VLOOKUP($I170&amp;$J170&amp;S$1,Pesos!$A:$I,7,FALSE),VLOOKUP($I170&amp;$J170&amp;S$1,Pesos!$A:$I,9,FALSE)))</f>
        <v>1.3</v>
      </c>
      <c r="AR170" s="156">
        <f>IF(T170="","",IF(T170="SIM",VLOOKUP($I170&amp;$J170&amp;T$1,Pesos!$A:$I,7,FALSE),VLOOKUP($I170&amp;$J170&amp;T$1,Pesos!$A:$I,9,FALSE)))</f>
        <v>1.3</v>
      </c>
      <c r="AS170" s="132">
        <f>IF(U170="","",IF(U170="SIM",VLOOKUP($I170&amp;$J170&amp;U$1,Pesos!$A:$I,7,FALSE),VLOOKUP($I170&amp;$J170&amp;U$1,Pesos!$A:$I,9,FALSE)))</f>
        <v>-6.6000000000000003E-2</v>
      </c>
      <c r="AT170" s="132">
        <f>IF(V170="","",IF(V170="SIM",VLOOKUP($I170&amp;$J170&amp;V$1,Pesos!$A:$I,7,FALSE),VLOOKUP($I170&amp;$J170&amp;V$1,Pesos!$A:$I,9,FALSE)))</f>
        <v>1.4039999999999999</v>
      </c>
      <c r="AU170" s="132">
        <f>IF(W170="","",IF(W170="SIM",VLOOKUP($I170&amp;$J170&amp;W$1,Pesos!$A:$I,7,FALSE),VLOOKUP($I170&amp;$J170&amp;W$1,Pesos!$A:$I,9,FALSE)))</f>
        <v>0.3</v>
      </c>
      <c r="AV170" s="132">
        <f>IF(X170="","",IF(X170="SIM",VLOOKUP($I170&amp;$J170&amp;X$1,Pesos!$A:$I,7,FALSE),VLOOKUP($I170&amp;$J170&amp;X$1,Pesos!$A:$I,9,FALSE)))</f>
        <v>0.3</v>
      </c>
      <c r="AW170" s="132">
        <f>IF(Y170="","",IF(Y170="SIM",VLOOKUP($I170&amp;$J170&amp;Y$1,Pesos!$A:$I,7,FALSE),VLOOKUP($I170&amp;$J170&amp;Y$1,Pesos!$A:$I,9,FALSE)))</f>
        <v>0.15</v>
      </c>
      <c r="AX170" s="132">
        <f>IF(Z170="","",IF(Z170="SIM",VLOOKUP($I170&amp;$J170&amp;Z$1,Pesos!$A:$I,7,FALSE),VLOOKUP($I170&amp;$J170&amp;Z$1,Pesos!$A:$I,9,FALSE)))</f>
        <v>0.2</v>
      </c>
      <c r="AY170" s="132">
        <f>IF(AA170="","",IF(AA170="SIM",VLOOKUP($I170&amp;$J170&amp;AA$1,Pesos!$A:$I,7,FALSE),VLOOKUP($I170&amp;$J170&amp;AA$1,Pesos!$A:$I,9,FALSE)))</f>
        <v>0.3</v>
      </c>
      <c r="AZ170" s="132">
        <f>IF(AB170="","",IF(AB170="SIM",VLOOKUP($I170&amp;$J170&amp;AB$1,Pesos!$A:$I,7,FALSE),VLOOKUP($I170&amp;$J170&amp;AB$1,Pesos!$A:$I,9,FALSE)))</f>
        <v>0.1</v>
      </c>
      <c r="BA170" s="132" t="str">
        <f>IF(AC170="","",IF(AC170="SIM",VLOOKUP($I170&amp;$J170&amp;AC$1,Pesos!$A:$I,7,FALSE),VLOOKUP($I170&amp;$J170&amp;AC$1,Pesos!$A:$I,9,FALSE)))</f>
        <v/>
      </c>
      <c r="BB170" s="132" t="str">
        <f>IF(AD170="","",IF(AD170="SIM",VLOOKUP($I170&amp;$J170&amp;AD$1,Pesos!$A:$I,7,FALSE),VLOOKUP($I170&amp;$J170&amp;AD$1,Pesos!$A:$I,9,FALSE)))</f>
        <v/>
      </c>
      <c r="BC170" s="132" t="str">
        <f>IF(AE170="","",IF(AE170="SIM",VLOOKUP($I170&amp;$J170&amp;AE$1,Pesos!$A:$I,7,FALSE),VLOOKUP($I170&amp;$J170&amp;AE$1,Pesos!$A:$I,9,FALSE)))</f>
        <v/>
      </c>
      <c r="BD170" s="158">
        <f>IFERROR(AF170*VLOOKUP(J170,'BD Campos'!$X$1:$Y$14,2,FALSE),"0")</f>
        <v>8.6179999999999986</v>
      </c>
    </row>
    <row r="171" spans="1:56">
      <c r="A171" s="151" t="str">
        <f t="shared" si="11"/>
        <v>Jan11349Motorista 2TRANSFERÊNCIA</v>
      </c>
      <c r="B171" s="149" t="str">
        <f t="shared" si="12"/>
        <v>Jan113492TRANSFERÊNCIAPADRÃO</v>
      </c>
      <c r="C171" s="152">
        <v>1</v>
      </c>
      <c r="D171" s="153">
        <v>46057.441751157407</v>
      </c>
      <c r="E171" s="154" t="s">
        <v>12</v>
      </c>
      <c r="F171" s="155">
        <v>11349</v>
      </c>
      <c r="G171" s="149" t="s">
        <v>340</v>
      </c>
      <c r="H171" s="154">
        <v>2</v>
      </c>
      <c r="I171" s="149" t="s">
        <v>130</v>
      </c>
      <c r="J171" s="149" t="s">
        <v>97</v>
      </c>
      <c r="K171" s="149" t="s">
        <v>192</v>
      </c>
      <c r="L171" s="156">
        <v>34741596</v>
      </c>
      <c r="M171" s="157">
        <v>1.5277777777777779E-3</v>
      </c>
      <c r="N171" s="131" t="s">
        <v>17</v>
      </c>
      <c r="O171" s="131" t="s">
        <v>17</v>
      </c>
      <c r="P171" s="131" t="s">
        <v>17</v>
      </c>
      <c r="Q171" s="131" t="s">
        <v>17</v>
      </c>
      <c r="R171" s="131" t="s">
        <v>17</v>
      </c>
      <c r="S171" s="131" t="s">
        <v>17</v>
      </c>
      <c r="T171" s="131" t="s">
        <v>17</v>
      </c>
      <c r="U171" s="131" t="s">
        <v>17</v>
      </c>
      <c r="V171" s="131" t="s">
        <v>17</v>
      </c>
      <c r="W171" s="131" t="s">
        <v>17</v>
      </c>
      <c r="X171" s="131" t="s">
        <v>17</v>
      </c>
      <c r="Y171" s="131" t="s">
        <v>17</v>
      </c>
      <c r="Z171" s="131" t="s">
        <v>17</v>
      </c>
      <c r="AA171" s="131" t="s">
        <v>17</v>
      </c>
      <c r="AB171" s="131" t="s">
        <v>17</v>
      </c>
      <c r="AC171" s="131"/>
      <c r="AD171" s="131"/>
      <c r="AE171" s="131"/>
      <c r="AF171" s="158">
        <f t="shared" si="14"/>
        <v>10.004000000000001</v>
      </c>
      <c r="AG171" s="159"/>
      <c r="AH171" s="155" t="s">
        <v>342</v>
      </c>
      <c r="AI171" s="155" t="s">
        <v>83</v>
      </c>
      <c r="AJ171" s="131" t="str">
        <f>IFERROR(VLOOKUP(E171&amp;F171,'Listagem dos op'!A:S,19,0),"")</f>
        <v/>
      </c>
      <c r="AK171" s="131" t="str">
        <f t="shared" si="13"/>
        <v>Jan11349</v>
      </c>
      <c r="AL171" s="154">
        <f>IF(N171="","",IF(N171="SIM",VLOOKUP($I171&amp;$J171&amp;N$1,Pesos!$A:$I,7,FALSE),VLOOKUP($I171&amp;$J171&amp;N$1,Pesos!$A:$I,9,FALSE)))</f>
        <v>0.1</v>
      </c>
      <c r="AM171" s="154">
        <f>IF(O171="","",IF(O171="SIM",VLOOKUP($I171&amp;$J171&amp;O$1,Pesos!$A:$I,7,FALSE),VLOOKUP($I171&amp;$J171&amp;O$1,Pesos!$A:$I,9,FALSE)))</f>
        <v>0.1</v>
      </c>
      <c r="AN171" s="154">
        <f>IF(P171="","",IF(P171="SIM",VLOOKUP($I171&amp;$J171&amp;P$1,Pesos!$A:$I,7,FALSE),VLOOKUP($I171&amp;$J171&amp;P$1,Pesos!$A:$I,9,FALSE)))</f>
        <v>0.1</v>
      </c>
      <c r="AO171" s="154">
        <f>IF(Q171="","",IF(Q171="SIM",VLOOKUP($I171&amp;$J171&amp;Q$1,Pesos!$A:$I,7,FALSE),VLOOKUP($I171&amp;$J171&amp;Q$1,Pesos!$A:$I,9,FALSE)))</f>
        <v>2</v>
      </c>
      <c r="AP171" s="154">
        <f>IF(R171="","",IF(R171="SIM",VLOOKUP($I171&amp;$J171&amp;R$1,Pesos!$A:$I,7,FALSE),VLOOKUP($I171&amp;$J171&amp;R$1,Pesos!$A:$I,9,FALSE)))</f>
        <v>1.03</v>
      </c>
      <c r="AQ171" s="154">
        <f>IF(S171="","",IF(S171="SIM",VLOOKUP($I171&amp;$J171&amp;S$1,Pesos!$A:$I,7,FALSE),VLOOKUP($I171&amp;$J171&amp;S$1,Pesos!$A:$I,9,FALSE)))</f>
        <v>1.3</v>
      </c>
      <c r="AR171" s="156">
        <f>IF(T171="","",IF(T171="SIM",VLOOKUP($I171&amp;$J171&amp;T$1,Pesos!$A:$I,7,FALSE),VLOOKUP($I171&amp;$J171&amp;T$1,Pesos!$A:$I,9,FALSE)))</f>
        <v>1.3</v>
      </c>
      <c r="AS171" s="132">
        <f>IF(U171="","",IF(U171="SIM",VLOOKUP($I171&amp;$J171&amp;U$1,Pesos!$A:$I,7,FALSE),VLOOKUP($I171&amp;$J171&amp;U$1,Pesos!$A:$I,9,FALSE)))</f>
        <v>1.32</v>
      </c>
      <c r="AT171" s="132">
        <f>IF(V171="","",IF(V171="SIM",VLOOKUP($I171&amp;$J171&amp;V$1,Pesos!$A:$I,7,FALSE),VLOOKUP($I171&amp;$J171&amp;V$1,Pesos!$A:$I,9,FALSE)))</f>
        <v>1.4039999999999999</v>
      </c>
      <c r="AU171" s="132">
        <f>IF(W171="","",IF(W171="SIM",VLOOKUP($I171&amp;$J171&amp;W$1,Pesos!$A:$I,7,FALSE),VLOOKUP($I171&amp;$J171&amp;W$1,Pesos!$A:$I,9,FALSE)))</f>
        <v>0.3</v>
      </c>
      <c r="AV171" s="132">
        <f>IF(X171="","",IF(X171="SIM",VLOOKUP($I171&amp;$J171&amp;X$1,Pesos!$A:$I,7,FALSE),VLOOKUP($I171&amp;$J171&amp;X$1,Pesos!$A:$I,9,FALSE)))</f>
        <v>0.3</v>
      </c>
      <c r="AW171" s="132">
        <f>IF(Y171="","",IF(Y171="SIM",VLOOKUP($I171&amp;$J171&amp;Y$1,Pesos!$A:$I,7,FALSE),VLOOKUP($I171&amp;$J171&amp;Y$1,Pesos!$A:$I,9,FALSE)))</f>
        <v>0.15</v>
      </c>
      <c r="AX171" s="132">
        <f>IF(Z171="","",IF(Z171="SIM",VLOOKUP($I171&amp;$J171&amp;Z$1,Pesos!$A:$I,7,FALSE),VLOOKUP($I171&amp;$J171&amp;Z$1,Pesos!$A:$I,9,FALSE)))</f>
        <v>0.2</v>
      </c>
      <c r="AY171" s="132">
        <f>IF(AA171="","",IF(AA171="SIM",VLOOKUP($I171&amp;$J171&amp;AA$1,Pesos!$A:$I,7,FALSE),VLOOKUP($I171&amp;$J171&amp;AA$1,Pesos!$A:$I,9,FALSE)))</f>
        <v>0.3</v>
      </c>
      <c r="AZ171" s="132">
        <f>IF(AB171="","",IF(AB171="SIM",VLOOKUP($I171&amp;$J171&amp;AB$1,Pesos!$A:$I,7,FALSE),VLOOKUP($I171&amp;$J171&amp;AB$1,Pesos!$A:$I,9,FALSE)))</f>
        <v>0.1</v>
      </c>
      <c r="BA171" s="132" t="str">
        <f>IF(AC171="","",IF(AC171="SIM",VLOOKUP($I171&amp;$J171&amp;AC$1,Pesos!$A:$I,7,FALSE),VLOOKUP($I171&amp;$J171&amp;AC$1,Pesos!$A:$I,9,FALSE)))</f>
        <v/>
      </c>
      <c r="BB171" s="132" t="str">
        <f>IF(AD171="","",IF(AD171="SIM",VLOOKUP($I171&amp;$J171&amp;AD$1,Pesos!$A:$I,7,FALSE),VLOOKUP($I171&amp;$J171&amp;AD$1,Pesos!$A:$I,9,FALSE)))</f>
        <v/>
      </c>
      <c r="BC171" s="132" t="str">
        <f>IF(AE171="","",IF(AE171="SIM",VLOOKUP($I171&amp;$J171&amp;AE$1,Pesos!$A:$I,7,FALSE),VLOOKUP($I171&amp;$J171&amp;AE$1,Pesos!$A:$I,9,FALSE)))</f>
        <v/>
      </c>
      <c r="BD171" s="158">
        <f>IFERROR(AF171*VLOOKUP(J171,'BD Campos'!$X$1:$Y$14,2,FALSE),"0")</f>
        <v>10.004000000000001</v>
      </c>
    </row>
    <row r="172" spans="1:56">
      <c r="A172" s="151" t="str">
        <f t="shared" si="11"/>
        <v>Jan11371MotoristaTRANSFERÊNCIA</v>
      </c>
      <c r="B172" s="149" t="str">
        <f t="shared" si="12"/>
        <v>Jan113711TRANSFERÊNCIAPADRÃO</v>
      </c>
      <c r="C172" s="152">
        <v>1</v>
      </c>
      <c r="D172" s="153">
        <v>46057.576251041668</v>
      </c>
      <c r="E172" s="154" t="s">
        <v>12</v>
      </c>
      <c r="F172" s="155">
        <v>11371</v>
      </c>
      <c r="G172" s="149" t="s">
        <v>343</v>
      </c>
      <c r="H172" s="154">
        <v>1</v>
      </c>
      <c r="I172" s="149" t="s">
        <v>130</v>
      </c>
      <c r="J172" s="149" t="s">
        <v>93</v>
      </c>
      <c r="K172" s="149" t="s">
        <v>192</v>
      </c>
      <c r="L172" s="156">
        <v>34566094</v>
      </c>
      <c r="M172" s="157">
        <v>1.0416666666666667E-3</v>
      </c>
      <c r="N172" s="131" t="s">
        <v>17</v>
      </c>
      <c r="O172" s="131" t="s">
        <v>17</v>
      </c>
      <c r="P172" s="131" t="s">
        <v>17</v>
      </c>
      <c r="Q172" s="131" t="s">
        <v>17</v>
      </c>
      <c r="R172" s="131" t="s">
        <v>17</v>
      </c>
      <c r="S172" s="131" t="s">
        <v>17</v>
      </c>
      <c r="T172" s="131" t="s">
        <v>18</v>
      </c>
      <c r="U172" s="131" t="s">
        <v>18</v>
      </c>
      <c r="V172" s="131" t="s">
        <v>18</v>
      </c>
      <c r="W172" s="131" t="s">
        <v>18</v>
      </c>
      <c r="X172" s="131" t="s">
        <v>17</v>
      </c>
      <c r="Y172" s="131" t="s">
        <v>17</v>
      </c>
      <c r="Z172" s="131" t="s">
        <v>17</v>
      </c>
      <c r="AA172" s="131" t="s">
        <v>17</v>
      </c>
      <c r="AB172" s="131" t="s">
        <v>17</v>
      </c>
      <c r="AC172" s="131"/>
      <c r="AD172" s="131"/>
      <c r="AE172" s="131"/>
      <c r="AF172" s="158">
        <f t="shared" si="14"/>
        <v>5.4638</v>
      </c>
      <c r="AG172" s="159"/>
      <c r="AH172" s="155" t="s">
        <v>344</v>
      </c>
      <c r="AI172" s="155" t="s">
        <v>83</v>
      </c>
      <c r="AJ172" s="131" t="str">
        <f>IFERROR(VLOOKUP(E172&amp;F172,'Listagem dos op'!A:S,19,0),"")</f>
        <v/>
      </c>
      <c r="AK172" s="131" t="str">
        <f t="shared" si="13"/>
        <v>Jan11371</v>
      </c>
      <c r="AL172" s="154">
        <f>IF(N172="","",IF(N172="SIM",VLOOKUP($I172&amp;$J172&amp;N$1,Pesos!$A:$I,7,FALSE),VLOOKUP($I172&amp;$J172&amp;N$1,Pesos!$A:$I,9,FALSE)))</f>
        <v>0.1</v>
      </c>
      <c r="AM172" s="154">
        <f>IF(O172="","",IF(O172="SIM",VLOOKUP($I172&amp;$J172&amp;O$1,Pesos!$A:$I,7,FALSE),VLOOKUP($I172&amp;$J172&amp;O$1,Pesos!$A:$I,9,FALSE)))</f>
        <v>0.1</v>
      </c>
      <c r="AN172" s="154">
        <f>IF(P172="","",IF(P172="SIM",VLOOKUP($I172&amp;$J172&amp;P$1,Pesos!$A:$I,7,FALSE),VLOOKUP($I172&amp;$J172&amp;P$1,Pesos!$A:$I,9,FALSE)))</f>
        <v>0.1</v>
      </c>
      <c r="AO172" s="154">
        <f>IF(Q172="","",IF(Q172="SIM",VLOOKUP($I172&amp;$J172&amp;Q$1,Pesos!$A:$I,7,FALSE),VLOOKUP($I172&amp;$J172&amp;Q$1,Pesos!$A:$I,9,FALSE)))</f>
        <v>2</v>
      </c>
      <c r="AP172" s="154">
        <f>IF(R172="","",IF(R172="SIM",VLOOKUP($I172&amp;$J172&amp;R$1,Pesos!$A:$I,7,FALSE),VLOOKUP($I172&amp;$J172&amp;R$1,Pesos!$A:$I,9,FALSE)))</f>
        <v>1.03</v>
      </c>
      <c r="AQ172" s="154">
        <f>IF(S172="","",IF(S172="SIM",VLOOKUP($I172&amp;$J172&amp;S$1,Pesos!$A:$I,7,FALSE),VLOOKUP($I172&amp;$J172&amp;S$1,Pesos!$A:$I,9,FALSE)))</f>
        <v>1.3</v>
      </c>
      <c r="AR172" s="156">
        <f>IF(T172="","",IF(T172="SIM",VLOOKUP($I172&amp;$J172&amp;T$1,Pesos!$A:$I,7,FALSE),VLOOKUP($I172&amp;$J172&amp;T$1,Pesos!$A:$I,9,FALSE)))</f>
        <v>-6.5000000000000002E-2</v>
      </c>
      <c r="AS172" s="132">
        <f>IF(U172="","",IF(U172="SIM",VLOOKUP($I172&amp;$J172&amp;U$1,Pesos!$A:$I,7,FALSE),VLOOKUP($I172&amp;$J172&amp;U$1,Pesos!$A:$I,9,FALSE)))</f>
        <v>-6.6000000000000003E-2</v>
      </c>
      <c r="AT172" s="132">
        <f>IF(V172="","",IF(V172="SIM",VLOOKUP($I172&amp;$J172&amp;V$1,Pesos!$A:$I,7,FALSE),VLOOKUP($I172&amp;$J172&amp;V$1,Pesos!$A:$I,9,FALSE)))</f>
        <v>-7.0199999999999999E-2</v>
      </c>
      <c r="AU172" s="132">
        <f>IF(W172="","",IF(W172="SIM",VLOOKUP($I172&amp;$J172&amp;W$1,Pesos!$A:$I,7,FALSE),VLOOKUP($I172&amp;$J172&amp;W$1,Pesos!$A:$I,9,FALSE)))</f>
        <v>-1.4999999999999999E-2</v>
      </c>
      <c r="AV172" s="132">
        <f>IF(X172="","",IF(X172="SIM",VLOOKUP($I172&amp;$J172&amp;X$1,Pesos!$A:$I,7,FALSE),VLOOKUP($I172&amp;$J172&amp;X$1,Pesos!$A:$I,9,FALSE)))</f>
        <v>0.3</v>
      </c>
      <c r="AW172" s="132">
        <f>IF(Y172="","",IF(Y172="SIM",VLOOKUP($I172&amp;$J172&amp;Y$1,Pesos!$A:$I,7,FALSE),VLOOKUP($I172&amp;$J172&amp;Y$1,Pesos!$A:$I,9,FALSE)))</f>
        <v>0.15</v>
      </c>
      <c r="AX172" s="132">
        <f>IF(Z172="","",IF(Z172="SIM",VLOOKUP($I172&amp;$J172&amp;Z$1,Pesos!$A:$I,7,FALSE),VLOOKUP($I172&amp;$J172&amp;Z$1,Pesos!$A:$I,9,FALSE)))</f>
        <v>0.2</v>
      </c>
      <c r="AY172" s="132">
        <f>IF(AA172="","",IF(AA172="SIM",VLOOKUP($I172&amp;$J172&amp;AA$1,Pesos!$A:$I,7,FALSE),VLOOKUP($I172&amp;$J172&amp;AA$1,Pesos!$A:$I,9,FALSE)))</f>
        <v>0.3</v>
      </c>
      <c r="AZ172" s="132">
        <f>IF(AB172="","",IF(AB172="SIM",VLOOKUP($I172&amp;$J172&amp;AB$1,Pesos!$A:$I,7,FALSE),VLOOKUP($I172&amp;$J172&amp;AB$1,Pesos!$A:$I,9,FALSE)))</f>
        <v>0.1</v>
      </c>
      <c r="BA172" s="132" t="str">
        <f>IF(AC172="","",IF(AC172="SIM",VLOOKUP($I172&amp;$J172&amp;AC$1,Pesos!$A:$I,7,FALSE),VLOOKUP($I172&amp;$J172&amp;AC$1,Pesos!$A:$I,9,FALSE)))</f>
        <v/>
      </c>
      <c r="BB172" s="132" t="str">
        <f>IF(AD172="","",IF(AD172="SIM",VLOOKUP($I172&amp;$J172&amp;AD$1,Pesos!$A:$I,7,FALSE),VLOOKUP($I172&amp;$J172&amp;AD$1,Pesos!$A:$I,9,FALSE)))</f>
        <v/>
      </c>
      <c r="BC172" s="132" t="str">
        <f>IF(AE172="","",IF(AE172="SIM",VLOOKUP($I172&amp;$J172&amp;AE$1,Pesos!$A:$I,7,FALSE),VLOOKUP($I172&amp;$J172&amp;AE$1,Pesos!$A:$I,9,FALSE)))</f>
        <v/>
      </c>
      <c r="BD172" s="158">
        <f>IFERROR(AF172*VLOOKUP(J172,'BD Campos'!$X$1:$Y$14,2,FALSE),"0")</f>
        <v>5.4638</v>
      </c>
    </row>
    <row r="173" spans="1:56">
      <c r="A173" s="151" t="str">
        <f t="shared" si="11"/>
        <v>Jan11371Motorista 2TRANSFERÊNCIA</v>
      </c>
      <c r="B173" s="149" t="str">
        <f t="shared" si="12"/>
        <v>Jan113712TRANSFERÊNCIAPADRÃO</v>
      </c>
      <c r="C173" s="152">
        <v>1</v>
      </c>
      <c r="D173" s="153">
        <v>46057.577987731478</v>
      </c>
      <c r="E173" s="154" t="s">
        <v>12</v>
      </c>
      <c r="F173" s="155">
        <v>11371</v>
      </c>
      <c r="G173" s="149" t="s">
        <v>343</v>
      </c>
      <c r="H173" s="154">
        <v>2</v>
      </c>
      <c r="I173" s="149" t="s">
        <v>96</v>
      </c>
      <c r="J173" s="149" t="s">
        <v>97</v>
      </c>
      <c r="K173" s="149" t="s">
        <v>192</v>
      </c>
      <c r="L173" s="156">
        <v>34693917</v>
      </c>
      <c r="M173" s="157">
        <v>1.0648148148148147E-3</v>
      </c>
      <c r="N173" s="131" t="s">
        <v>17</v>
      </c>
      <c r="O173" s="131" t="s">
        <v>17</v>
      </c>
      <c r="P173" s="131" t="s">
        <v>17</v>
      </c>
      <c r="Q173" s="131" t="s">
        <v>17</v>
      </c>
      <c r="R173" s="131" t="s">
        <v>17</v>
      </c>
      <c r="S173" s="131" t="s">
        <v>18</v>
      </c>
      <c r="T173" s="131" t="s">
        <v>17</v>
      </c>
      <c r="U173" s="131" t="s">
        <v>18</v>
      </c>
      <c r="V173" s="131" t="s">
        <v>18</v>
      </c>
      <c r="W173" s="131" t="s">
        <v>18</v>
      </c>
      <c r="X173" s="131" t="s">
        <v>17</v>
      </c>
      <c r="Y173" s="131" t="s">
        <v>17</v>
      </c>
      <c r="Z173" s="131" t="s">
        <v>17</v>
      </c>
      <c r="AA173" s="131" t="s">
        <v>17</v>
      </c>
      <c r="AB173" s="131" t="s">
        <v>17</v>
      </c>
      <c r="AC173" s="131"/>
      <c r="AD173" s="131"/>
      <c r="AE173" s="131"/>
      <c r="AF173" s="158">
        <f t="shared" si="14"/>
        <v>6.1989999999999998</v>
      </c>
      <c r="AG173" s="159"/>
      <c r="AH173" s="155" t="s">
        <v>345</v>
      </c>
      <c r="AI173" s="155" t="s">
        <v>83</v>
      </c>
      <c r="AJ173" s="131" t="str">
        <f>IFERROR(VLOOKUP(E173&amp;F173,'Listagem dos op'!A:S,19,0),"")</f>
        <v/>
      </c>
      <c r="AK173" s="131" t="str">
        <f t="shared" si="13"/>
        <v>Jan11371</v>
      </c>
      <c r="AL173" s="154">
        <f>IF(N173="","",IF(N173="SIM",VLOOKUP($I173&amp;$J173&amp;N$1,Pesos!$A:$I,7,FALSE),VLOOKUP($I173&amp;$J173&amp;N$1,Pesos!$A:$I,9,FALSE)))</f>
        <v>0.1</v>
      </c>
      <c r="AM173" s="154">
        <f>IF(O173="","",IF(O173="SIM",VLOOKUP($I173&amp;$J173&amp;O$1,Pesos!$A:$I,7,FALSE),VLOOKUP($I173&amp;$J173&amp;O$1,Pesos!$A:$I,9,FALSE)))</f>
        <v>0.1</v>
      </c>
      <c r="AN173" s="154">
        <f>IF(P173="","",IF(P173="SIM",VLOOKUP($I173&amp;$J173&amp;P$1,Pesos!$A:$I,7,FALSE),VLOOKUP($I173&amp;$J173&amp;P$1,Pesos!$A:$I,9,FALSE)))</f>
        <v>0.1</v>
      </c>
      <c r="AO173" s="154">
        <f>IF(Q173="","",IF(Q173="SIM",VLOOKUP($I173&amp;$J173&amp;Q$1,Pesos!$A:$I,7,FALSE),VLOOKUP($I173&amp;$J173&amp;Q$1,Pesos!$A:$I,9,FALSE)))</f>
        <v>2</v>
      </c>
      <c r="AP173" s="154">
        <f>IF(R173="","",IF(R173="SIM",VLOOKUP($I173&amp;$J173&amp;R$1,Pesos!$A:$I,7,FALSE),VLOOKUP($I173&amp;$J173&amp;R$1,Pesos!$A:$I,9,FALSE)))</f>
        <v>1.03</v>
      </c>
      <c r="AQ173" s="154">
        <f>IF(S173="","",IF(S173="SIM",VLOOKUP($I173&amp;$J173&amp;S$1,Pesos!$A:$I,7,FALSE),VLOOKUP($I173&amp;$J173&amp;S$1,Pesos!$A:$I,9,FALSE)))</f>
        <v>-6.0999999999999999E-2</v>
      </c>
      <c r="AR173" s="156">
        <f>IF(T173="","",IF(T173="SIM",VLOOKUP($I173&amp;$J173&amp;T$1,Pesos!$A:$I,7,FALSE),VLOOKUP($I173&amp;$J173&amp;T$1,Pesos!$A:$I,9,FALSE)))</f>
        <v>2</v>
      </c>
      <c r="AS173" s="132">
        <f>IF(U173="","",IF(U173="SIM",VLOOKUP($I173&amp;$J173&amp;U$1,Pesos!$A:$I,7,FALSE),VLOOKUP($I173&amp;$J173&amp;U$1,Pesos!$A:$I,9,FALSE)))</f>
        <v>-5.2500000000000005E-2</v>
      </c>
      <c r="AT173" s="132">
        <f>IF(V173="","",IF(V173="SIM",VLOOKUP($I173&amp;$J173&amp;V$1,Pesos!$A:$I,7,FALSE),VLOOKUP($I173&amp;$J173&amp;V$1,Pesos!$A:$I,9,FALSE)))</f>
        <v>-5.2500000000000005E-2</v>
      </c>
      <c r="AU173" s="132">
        <f>IF(W173="","",IF(W173="SIM",VLOOKUP($I173&amp;$J173&amp;W$1,Pesos!$A:$I,7,FALSE),VLOOKUP($I173&amp;$J173&amp;W$1,Pesos!$A:$I,9,FALSE)))</f>
        <v>-1.4999999999999999E-2</v>
      </c>
      <c r="AV173" s="132">
        <f>IF(X173="","",IF(X173="SIM",VLOOKUP($I173&amp;$J173&amp;X$1,Pesos!$A:$I,7,FALSE),VLOOKUP($I173&amp;$J173&amp;X$1,Pesos!$A:$I,9,FALSE)))</f>
        <v>0.3</v>
      </c>
      <c r="AW173" s="132">
        <f>IF(Y173="","",IF(Y173="SIM",VLOOKUP($I173&amp;$J173&amp;Y$1,Pesos!$A:$I,7,FALSE),VLOOKUP($I173&amp;$J173&amp;Y$1,Pesos!$A:$I,9,FALSE)))</f>
        <v>0.15</v>
      </c>
      <c r="AX173" s="132">
        <f>IF(Z173="","",IF(Z173="SIM",VLOOKUP($I173&amp;$J173&amp;Z$1,Pesos!$A:$I,7,FALSE),VLOOKUP($I173&amp;$J173&amp;Z$1,Pesos!$A:$I,9,FALSE)))</f>
        <v>0.2</v>
      </c>
      <c r="AY173" s="132">
        <f>IF(AA173="","",IF(AA173="SIM",VLOOKUP($I173&amp;$J173&amp;AA$1,Pesos!$A:$I,7,FALSE),VLOOKUP($I173&amp;$J173&amp;AA$1,Pesos!$A:$I,9,FALSE)))</f>
        <v>0.3</v>
      </c>
      <c r="AZ173" s="132">
        <f>IF(AB173="","",IF(AB173="SIM",VLOOKUP($I173&amp;$J173&amp;AB$1,Pesos!$A:$I,7,FALSE),VLOOKUP($I173&amp;$J173&amp;AB$1,Pesos!$A:$I,9,FALSE)))</f>
        <v>0.1</v>
      </c>
      <c r="BA173" s="132" t="str">
        <f>IF(AC173="","",IF(AC173="SIM",VLOOKUP($I173&amp;$J173&amp;AC$1,Pesos!$A:$I,7,FALSE),VLOOKUP($I173&amp;$J173&amp;AC$1,Pesos!$A:$I,9,FALSE)))</f>
        <v/>
      </c>
      <c r="BB173" s="132" t="str">
        <f>IF(AD173="","",IF(AD173="SIM",VLOOKUP($I173&amp;$J173&amp;AD$1,Pesos!$A:$I,7,FALSE),VLOOKUP($I173&amp;$J173&amp;AD$1,Pesos!$A:$I,9,FALSE)))</f>
        <v/>
      </c>
      <c r="BC173" s="132" t="str">
        <f>IF(AE173="","",IF(AE173="SIM",VLOOKUP($I173&amp;$J173&amp;AE$1,Pesos!$A:$I,7,FALSE),VLOOKUP($I173&amp;$J173&amp;AE$1,Pesos!$A:$I,9,FALSE)))</f>
        <v/>
      </c>
      <c r="BD173" s="158">
        <f>IFERROR(AF173*VLOOKUP(J173,'BD Campos'!$X$1:$Y$14,2,FALSE),"0")</f>
        <v>6.1989999999999998</v>
      </c>
    </row>
    <row r="174" spans="1:56">
      <c r="A174" s="151" t="str">
        <f t="shared" si="11"/>
        <v>Jan11450MotoristaTRANSFERÊNCIA</v>
      </c>
      <c r="B174" s="149" t="str">
        <f t="shared" si="12"/>
        <v>Jan114501TRANSFERÊNCIAPADRÃO</v>
      </c>
      <c r="C174" s="152">
        <v>1</v>
      </c>
      <c r="D174" s="153">
        <v>46057.582017939814</v>
      </c>
      <c r="E174" s="154" t="s">
        <v>12</v>
      </c>
      <c r="F174" s="155">
        <v>11450</v>
      </c>
      <c r="G174" s="149" t="s">
        <v>346</v>
      </c>
      <c r="H174" s="154">
        <v>1</v>
      </c>
      <c r="I174" s="149" t="s">
        <v>130</v>
      </c>
      <c r="J174" s="149" t="s">
        <v>93</v>
      </c>
      <c r="K174" s="149" t="s">
        <v>192</v>
      </c>
      <c r="L174" s="156">
        <v>34508885</v>
      </c>
      <c r="M174" s="157">
        <v>3.0324074074074073E-3</v>
      </c>
      <c r="N174" s="131" t="s">
        <v>17</v>
      </c>
      <c r="O174" s="131" t="s">
        <v>17</v>
      </c>
      <c r="P174" s="131" t="s">
        <v>17</v>
      </c>
      <c r="Q174" s="131" t="s">
        <v>17</v>
      </c>
      <c r="R174" s="131" t="s">
        <v>17</v>
      </c>
      <c r="S174" s="131" t="s">
        <v>17</v>
      </c>
      <c r="T174" s="131" t="s">
        <v>17</v>
      </c>
      <c r="U174" s="131" t="s">
        <v>17</v>
      </c>
      <c r="V174" s="131" t="s">
        <v>17</v>
      </c>
      <c r="W174" s="131" t="s">
        <v>17</v>
      </c>
      <c r="X174" s="131" t="s">
        <v>17</v>
      </c>
      <c r="Y174" s="131" t="s">
        <v>17</v>
      </c>
      <c r="Z174" s="131" t="s">
        <v>17</v>
      </c>
      <c r="AA174" s="131" t="s">
        <v>17</v>
      </c>
      <c r="AB174" s="131" t="s">
        <v>17</v>
      </c>
      <c r="AC174" s="131"/>
      <c r="AD174" s="131"/>
      <c r="AE174" s="131"/>
      <c r="AF174" s="158">
        <f t="shared" si="14"/>
        <v>10.004000000000001</v>
      </c>
      <c r="AG174" s="159"/>
      <c r="AH174" s="155" t="s">
        <v>347</v>
      </c>
      <c r="AI174" s="155" t="s">
        <v>83</v>
      </c>
      <c r="AJ174" s="131" t="str">
        <f>IFERROR(VLOOKUP(E174&amp;F174,'Listagem dos op'!A:S,19,0),"")</f>
        <v/>
      </c>
      <c r="AK174" s="131" t="str">
        <f t="shared" si="13"/>
        <v>Jan11450</v>
      </c>
      <c r="AL174" s="154">
        <f>IF(N174="","",IF(N174="SIM",VLOOKUP($I174&amp;$J174&amp;N$1,Pesos!$A:$I,7,FALSE),VLOOKUP($I174&amp;$J174&amp;N$1,Pesos!$A:$I,9,FALSE)))</f>
        <v>0.1</v>
      </c>
      <c r="AM174" s="154">
        <f>IF(O174="","",IF(O174="SIM",VLOOKUP($I174&amp;$J174&amp;O$1,Pesos!$A:$I,7,FALSE),VLOOKUP($I174&amp;$J174&amp;O$1,Pesos!$A:$I,9,FALSE)))</f>
        <v>0.1</v>
      </c>
      <c r="AN174" s="154">
        <f>IF(P174="","",IF(P174="SIM",VLOOKUP($I174&amp;$J174&amp;P$1,Pesos!$A:$I,7,FALSE),VLOOKUP($I174&amp;$J174&amp;P$1,Pesos!$A:$I,9,FALSE)))</f>
        <v>0.1</v>
      </c>
      <c r="AO174" s="154">
        <f>IF(Q174="","",IF(Q174="SIM",VLOOKUP($I174&amp;$J174&amp;Q$1,Pesos!$A:$I,7,FALSE),VLOOKUP($I174&amp;$J174&amp;Q$1,Pesos!$A:$I,9,FALSE)))</f>
        <v>2</v>
      </c>
      <c r="AP174" s="154">
        <f>IF(R174="","",IF(R174="SIM",VLOOKUP($I174&amp;$J174&amp;R$1,Pesos!$A:$I,7,FALSE),VLOOKUP($I174&amp;$J174&amp;R$1,Pesos!$A:$I,9,FALSE)))</f>
        <v>1.03</v>
      </c>
      <c r="AQ174" s="154">
        <f>IF(S174="","",IF(S174="SIM",VLOOKUP($I174&amp;$J174&amp;S$1,Pesos!$A:$I,7,FALSE),VLOOKUP($I174&amp;$J174&amp;S$1,Pesos!$A:$I,9,FALSE)))</f>
        <v>1.3</v>
      </c>
      <c r="AR174" s="156">
        <f>IF(T174="","",IF(T174="SIM",VLOOKUP($I174&amp;$J174&amp;T$1,Pesos!$A:$I,7,FALSE),VLOOKUP($I174&amp;$J174&amp;T$1,Pesos!$A:$I,9,FALSE)))</f>
        <v>1.3</v>
      </c>
      <c r="AS174" s="132">
        <f>IF(U174="","",IF(U174="SIM",VLOOKUP($I174&amp;$J174&amp;U$1,Pesos!$A:$I,7,FALSE),VLOOKUP($I174&amp;$J174&amp;U$1,Pesos!$A:$I,9,FALSE)))</f>
        <v>1.32</v>
      </c>
      <c r="AT174" s="132">
        <f>IF(V174="","",IF(V174="SIM",VLOOKUP($I174&amp;$J174&amp;V$1,Pesos!$A:$I,7,FALSE),VLOOKUP($I174&amp;$J174&amp;V$1,Pesos!$A:$I,9,FALSE)))</f>
        <v>1.4039999999999999</v>
      </c>
      <c r="AU174" s="132">
        <f>IF(W174="","",IF(W174="SIM",VLOOKUP($I174&amp;$J174&amp;W$1,Pesos!$A:$I,7,FALSE),VLOOKUP($I174&amp;$J174&amp;W$1,Pesos!$A:$I,9,FALSE)))</f>
        <v>0.3</v>
      </c>
      <c r="AV174" s="132">
        <f>IF(X174="","",IF(X174="SIM",VLOOKUP($I174&amp;$J174&amp;X$1,Pesos!$A:$I,7,FALSE),VLOOKUP($I174&amp;$J174&amp;X$1,Pesos!$A:$I,9,FALSE)))</f>
        <v>0.3</v>
      </c>
      <c r="AW174" s="132">
        <f>IF(Y174="","",IF(Y174="SIM",VLOOKUP($I174&amp;$J174&amp;Y$1,Pesos!$A:$I,7,FALSE),VLOOKUP($I174&amp;$J174&amp;Y$1,Pesos!$A:$I,9,FALSE)))</f>
        <v>0.15</v>
      </c>
      <c r="AX174" s="132">
        <f>IF(Z174="","",IF(Z174="SIM",VLOOKUP($I174&amp;$J174&amp;Z$1,Pesos!$A:$I,7,FALSE),VLOOKUP($I174&amp;$J174&amp;Z$1,Pesos!$A:$I,9,FALSE)))</f>
        <v>0.2</v>
      </c>
      <c r="AY174" s="132">
        <f>IF(AA174="","",IF(AA174="SIM",VLOOKUP($I174&amp;$J174&amp;AA$1,Pesos!$A:$I,7,FALSE),VLOOKUP($I174&amp;$J174&amp;AA$1,Pesos!$A:$I,9,FALSE)))</f>
        <v>0.3</v>
      </c>
      <c r="AZ174" s="132">
        <f>IF(AB174="","",IF(AB174="SIM",VLOOKUP($I174&amp;$J174&amp;AB$1,Pesos!$A:$I,7,FALSE),VLOOKUP($I174&amp;$J174&amp;AB$1,Pesos!$A:$I,9,FALSE)))</f>
        <v>0.1</v>
      </c>
      <c r="BA174" s="132" t="str">
        <f>IF(AC174="","",IF(AC174="SIM",VLOOKUP($I174&amp;$J174&amp;AC$1,Pesos!$A:$I,7,FALSE),VLOOKUP($I174&amp;$J174&amp;AC$1,Pesos!$A:$I,9,FALSE)))</f>
        <v/>
      </c>
      <c r="BB174" s="132" t="str">
        <f>IF(AD174="","",IF(AD174="SIM",VLOOKUP($I174&amp;$J174&amp;AD$1,Pesos!$A:$I,7,FALSE),VLOOKUP($I174&amp;$J174&amp;AD$1,Pesos!$A:$I,9,FALSE)))</f>
        <v/>
      </c>
      <c r="BC174" s="132" t="str">
        <f>IF(AE174="","",IF(AE174="SIM",VLOOKUP($I174&amp;$J174&amp;AE$1,Pesos!$A:$I,7,FALSE),VLOOKUP($I174&amp;$J174&amp;AE$1,Pesos!$A:$I,9,FALSE)))</f>
        <v/>
      </c>
      <c r="BD174" s="158">
        <f>IFERROR(AF174*VLOOKUP(J174,'BD Campos'!$X$1:$Y$14,2,FALSE),"0")</f>
        <v>10.004000000000001</v>
      </c>
    </row>
    <row r="175" spans="1:56">
      <c r="A175" s="151" t="str">
        <f t="shared" si="11"/>
        <v>Jan11450Motorista 2TRANSFERÊNCIA</v>
      </c>
      <c r="B175" s="149" t="str">
        <f t="shared" si="12"/>
        <v>Jan114502TRANSFERÊNCIAPADRÃO</v>
      </c>
      <c r="C175" s="152">
        <v>1</v>
      </c>
      <c r="D175" s="153">
        <v>46057.583900694444</v>
      </c>
      <c r="E175" s="154" t="s">
        <v>12</v>
      </c>
      <c r="F175" s="155">
        <v>11450</v>
      </c>
      <c r="G175" s="149" t="s">
        <v>346</v>
      </c>
      <c r="H175" s="154">
        <v>2</v>
      </c>
      <c r="I175" s="149" t="s">
        <v>92</v>
      </c>
      <c r="J175" s="149" t="s">
        <v>97</v>
      </c>
      <c r="K175" s="149" t="s">
        <v>192</v>
      </c>
      <c r="L175" s="156">
        <v>34740692</v>
      </c>
      <c r="M175" s="157">
        <v>1.3310185185185185E-3</v>
      </c>
      <c r="N175" s="131" t="s">
        <v>18</v>
      </c>
      <c r="O175" s="131" t="s">
        <v>17</v>
      </c>
      <c r="P175" s="131" t="s">
        <v>17</v>
      </c>
      <c r="Q175" s="131" t="s">
        <v>17</v>
      </c>
      <c r="R175" s="131" t="s">
        <v>17</v>
      </c>
      <c r="S175" s="131" t="s">
        <v>18</v>
      </c>
      <c r="T175" s="131" t="s">
        <v>17</v>
      </c>
      <c r="U175" s="131" t="s">
        <v>18</v>
      </c>
      <c r="V175" s="131" t="s">
        <v>17</v>
      </c>
      <c r="W175" s="131" t="s">
        <v>17</v>
      </c>
      <c r="X175" s="131" t="s">
        <v>17</v>
      </c>
      <c r="Y175" s="131" t="s">
        <v>17</v>
      </c>
      <c r="Z175" s="131" t="s">
        <v>17</v>
      </c>
      <c r="AA175" s="131" t="s">
        <v>17</v>
      </c>
      <c r="AB175" s="131"/>
      <c r="AC175" s="131"/>
      <c r="AD175" s="131"/>
      <c r="AE175" s="131"/>
      <c r="AF175" s="158">
        <f t="shared" si="14"/>
        <v>6.3249999999999993</v>
      </c>
      <c r="AG175" s="159"/>
      <c r="AH175" s="155" t="s">
        <v>348</v>
      </c>
      <c r="AI175" s="155" t="s">
        <v>83</v>
      </c>
      <c r="AJ175" s="131" t="str">
        <f>IFERROR(VLOOKUP(E175&amp;F175,'Listagem dos op'!A:S,19,0),"")</f>
        <v/>
      </c>
      <c r="AK175" s="131" t="str">
        <f t="shared" si="13"/>
        <v>Jan11450</v>
      </c>
      <c r="AL175" s="154">
        <f>IF(N175="","",IF(N175="SIM",VLOOKUP($I175&amp;$J175&amp;N$1,Pesos!$A:$I,7,FALSE),VLOOKUP($I175&amp;$J175&amp;N$1,Pesos!$A:$I,9,FALSE)))</f>
        <v>-5.000000000000001E-3</v>
      </c>
      <c r="AM175" s="154">
        <f>IF(O175="","",IF(O175="SIM",VLOOKUP($I175&amp;$J175&amp;O$1,Pesos!$A:$I,7,FALSE),VLOOKUP($I175&amp;$J175&amp;O$1,Pesos!$A:$I,9,FALSE)))</f>
        <v>0.1</v>
      </c>
      <c r="AN175" s="154">
        <f>IF(P175="","",IF(P175="SIM",VLOOKUP($I175&amp;$J175&amp;P$1,Pesos!$A:$I,7,FALSE),VLOOKUP($I175&amp;$J175&amp;P$1,Pesos!$A:$I,9,FALSE)))</f>
        <v>0.1</v>
      </c>
      <c r="AO175" s="154">
        <f>IF(Q175="","",IF(Q175="SIM",VLOOKUP($I175&amp;$J175&amp;Q$1,Pesos!$A:$I,7,FALSE),VLOOKUP($I175&amp;$J175&amp;Q$1,Pesos!$A:$I,9,FALSE)))</f>
        <v>2</v>
      </c>
      <c r="AP175" s="154">
        <f>IF(R175="","",IF(R175="SIM",VLOOKUP($I175&amp;$J175&amp;R$1,Pesos!$A:$I,7,FALSE),VLOOKUP($I175&amp;$J175&amp;R$1,Pesos!$A:$I,9,FALSE)))</f>
        <v>1.03</v>
      </c>
      <c r="AQ175" s="154">
        <f>IF(S175="","",IF(S175="SIM",VLOOKUP($I175&amp;$J175&amp;S$1,Pesos!$A:$I,7,FALSE),VLOOKUP($I175&amp;$J175&amp;S$1,Pesos!$A:$I,9,FALSE)))</f>
        <v>-8.500000000000002E-2</v>
      </c>
      <c r="AR175" s="156">
        <f>IF(T175="","",IF(T175="SIM",VLOOKUP($I175&amp;$J175&amp;T$1,Pesos!$A:$I,7,FALSE),VLOOKUP($I175&amp;$J175&amp;T$1,Pesos!$A:$I,9,FALSE)))</f>
        <v>1.92</v>
      </c>
      <c r="AS175" s="132">
        <f>IF(U175="","",IF(U175="SIM",VLOOKUP($I175&amp;$J175&amp;U$1,Pesos!$A:$I,7,FALSE),VLOOKUP($I175&amp;$J175&amp;U$1,Pesos!$A:$I,9,FALSE)))</f>
        <v>-8.500000000000002E-2</v>
      </c>
      <c r="AT175" s="132">
        <f>IF(V175="","",IF(V175="SIM",VLOOKUP($I175&amp;$J175&amp;V$1,Pesos!$A:$I,7,FALSE),VLOOKUP($I175&amp;$J175&amp;V$1,Pesos!$A:$I,9,FALSE)))</f>
        <v>0.3</v>
      </c>
      <c r="AU175" s="132">
        <f>IF(W175="","",IF(W175="SIM",VLOOKUP($I175&amp;$J175&amp;W$1,Pesos!$A:$I,7,FALSE),VLOOKUP($I175&amp;$J175&amp;W$1,Pesos!$A:$I,9,FALSE)))</f>
        <v>0.3</v>
      </c>
      <c r="AV175" s="132">
        <f>IF(X175="","",IF(X175="SIM",VLOOKUP($I175&amp;$J175&amp;X$1,Pesos!$A:$I,7,FALSE),VLOOKUP($I175&amp;$J175&amp;X$1,Pesos!$A:$I,9,FALSE)))</f>
        <v>0.15</v>
      </c>
      <c r="AW175" s="132">
        <f>IF(Y175="","",IF(Y175="SIM",VLOOKUP($I175&amp;$J175&amp;Y$1,Pesos!$A:$I,7,FALSE),VLOOKUP($I175&amp;$J175&amp;Y$1,Pesos!$A:$I,9,FALSE)))</f>
        <v>0.2</v>
      </c>
      <c r="AX175" s="132">
        <f>IF(Z175="","",IF(Z175="SIM",VLOOKUP($I175&amp;$J175&amp;Z$1,Pesos!$A:$I,7,FALSE),VLOOKUP($I175&amp;$J175&amp;Z$1,Pesos!$A:$I,9,FALSE)))</f>
        <v>0.3</v>
      </c>
      <c r="AY175" s="132">
        <f>IF(AA175="","",IF(AA175="SIM",VLOOKUP($I175&amp;$J175&amp;AA$1,Pesos!$A:$I,7,FALSE),VLOOKUP($I175&amp;$J175&amp;AA$1,Pesos!$A:$I,9,FALSE)))</f>
        <v>0.1</v>
      </c>
      <c r="AZ175" s="132" t="str">
        <f>IF(AB175="","",IF(AB175="SIM",VLOOKUP($I175&amp;$J175&amp;AB$1,Pesos!$A:$I,7,FALSE),VLOOKUP($I175&amp;$J175&amp;AB$1,Pesos!$A:$I,9,FALSE)))</f>
        <v/>
      </c>
      <c r="BA175" s="132" t="str">
        <f>IF(AC175="","",IF(AC175="SIM",VLOOKUP($I175&amp;$J175&amp;AC$1,Pesos!$A:$I,7,FALSE),VLOOKUP($I175&amp;$J175&amp;AC$1,Pesos!$A:$I,9,FALSE)))</f>
        <v/>
      </c>
      <c r="BB175" s="132" t="str">
        <f>IF(AD175="","",IF(AD175="SIM",VLOOKUP($I175&amp;$J175&amp;AD$1,Pesos!$A:$I,7,FALSE),VLOOKUP($I175&amp;$J175&amp;AD$1,Pesos!$A:$I,9,FALSE)))</f>
        <v/>
      </c>
      <c r="BC175" s="132" t="str">
        <f>IF(AE175="","",IF(AE175="SIM",VLOOKUP($I175&amp;$J175&amp;AE$1,Pesos!$A:$I,7,FALSE),VLOOKUP($I175&amp;$J175&amp;AE$1,Pesos!$A:$I,9,FALSE)))</f>
        <v/>
      </c>
      <c r="BD175" s="158">
        <f>IFERROR(AF175*VLOOKUP(J175,'BD Campos'!$X$1:$Y$14,2,FALSE),"0")</f>
        <v>6.3249999999999993</v>
      </c>
    </row>
    <row r="176" spans="1:56">
      <c r="A176" s="151" t="str">
        <f t="shared" si="11"/>
        <v>Jan11465MotoristaTRANSFERÊNCIA</v>
      </c>
      <c r="B176" s="149" t="str">
        <f t="shared" si="12"/>
        <v>Jan114651TRANSFERÊNCIAPADRÃO</v>
      </c>
      <c r="C176" s="152">
        <v>1</v>
      </c>
      <c r="D176" s="153">
        <v>46057.586392708334</v>
      </c>
      <c r="E176" s="154" t="s">
        <v>12</v>
      </c>
      <c r="F176" s="155">
        <v>11465</v>
      </c>
      <c r="G176" s="149" t="s">
        <v>349</v>
      </c>
      <c r="H176" s="154">
        <v>1</v>
      </c>
      <c r="I176" s="149" t="s">
        <v>130</v>
      </c>
      <c r="J176" s="149" t="s">
        <v>93</v>
      </c>
      <c r="K176" s="149" t="s">
        <v>192</v>
      </c>
      <c r="L176" s="156">
        <v>34479603</v>
      </c>
      <c r="M176" s="157">
        <v>1.2268518518518518E-3</v>
      </c>
      <c r="N176" s="131" t="s">
        <v>17</v>
      </c>
      <c r="O176" s="131" t="s">
        <v>17</v>
      </c>
      <c r="P176" s="131" t="s">
        <v>17</v>
      </c>
      <c r="Q176" s="131" t="s">
        <v>17</v>
      </c>
      <c r="R176" s="131" t="s">
        <v>17</v>
      </c>
      <c r="S176" s="131" t="s">
        <v>17</v>
      </c>
      <c r="T176" s="131" t="s">
        <v>18</v>
      </c>
      <c r="U176" s="131" t="s">
        <v>17</v>
      </c>
      <c r="V176" s="131" t="s">
        <v>17</v>
      </c>
      <c r="W176" s="131" t="s">
        <v>17</v>
      </c>
      <c r="X176" s="131" t="s">
        <v>17</v>
      </c>
      <c r="Y176" s="131" t="s">
        <v>17</v>
      </c>
      <c r="Z176" s="131" t="s">
        <v>17</v>
      </c>
      <c r="AA176" s="131" t="s">
        <v>17</v>
      </c>
      <c r="AB176" s="131" t="s">
        <v>17</v>
      </c>
      <c r="AC176" s="131"/>
      <c r="AD176" s="131"/>
      <c r="AE176" s="131"/>
      <c r="AF176" s="158">
        <f t="shared" si="14"/>
        <v>8.6389999999999993</v>
      </c>
      <c r="AG176" s="159"/>
      <c r="AH176" s="155" t="s">
        <v>350</v>
      </c>
      <c r="AI176" s="155" t="s">
        <v>83</v>
      </c>
      <c r="AJ176" s="131" t="str">
        <f>IFERROR(VLOOKUP(E176&amp;F176,'Listagem dos op'!A:S,19,0),"")</f>
        <v/>
      </c>
      <c r="AK176" s="131" t="str">
        <f t="shared" si="13"/>
        <v>Jan11465</v>
      </c>
      <c r="AL176" s="154">
        <f>IF(N176="","",IF(N176="SIM",VLOOKUP($I176&amp;$J176&amp;N$1,Pesos!$A:$I,7,FALSE),VLOOKUP($I176&amp;$J176&amp;N$1,Pesos!$A:$I,9,FALSE)))</f>
        <v>0.1</v>
      </c>
      <c r="AM176" s="154">
        <f>IF(O176="","",IF(O176="SIM",VLOOKUP($I176&amp;$J176&amp;O$1,Pesos!$A:$I,7,FALSE),VLOOKUP($I176&amp;$J176&amp;O$1,Pesos!$A:$I,9,FALSE)))</f>
        <v>0.1</v>
      </c>
      <c r="AN176" s="154">
        <f>IF(P176="","",IF(P176="SIM",VLOOKUP($I176&amp;$J176&amp;P$1,Pesos!$A:$I,7,FALSE),VLOOKUP($I176&amp;$J176&amp;P$1,Pesos!$A:$I,9,FALSE)))</f>
        <v>0.1</v>
      </c>
      <c r="AO176" s="154">
        <f>IF(Q176="","",IF(Q176="SIM",VLOOKUP($I176&amp;$J176&amp;Q$1,Pesos!$A:$I,7,FALSE),VLOOKUP($I176&amp;$J176&amp;Q$1,Pesos!$A:$I,9,FALSE)))</f>
        <v>2</v>
      </c>
      <c r="AP176" s="154">
        <f>IF(R176="","",IF(R176="SIM",VLOOKUP($I176&amp;$J176&amp;R$1,Pesos!$A:$I,7,FALSE),VLOOKUP($I176&amp;$J176&amp;R$1,Pesos!$A:$I,9,FALSE)))</f>
        <v>1.03</v>
      </c>
      <c r="AQ176" s="154">
        <f>IF(S176="","",IF(S176="SIM",VLOOKUP($I176&amp;$J176&amp;S$1,Pesos!$A:$I,7,FALSE),VLOOKUP($I176&amp;$J176&amp;S$1,Pesos!$A:$I,9,FALSE)))</f>
        <v>1.3</v>
      </c>
      <c r="AR176" s="156">
        <f>IF(T176="","",IF(T176="SIM",VLOOKUP($I176&amp;$J176&amp;T$1,Pesos!$A:$I,7,FALSE),VLOOKUP($I176&amp;$J176&amp;T$1,Pesos!$A:$I,9,FALSE)))</f>
        <v>-6.5000000000000002E-2</v>
      </c>
      <c r="AS176" s="132">
        <f>IF(U176="","",IF(U176="SIM",VLOOKUP($I176&amp;$J176&amp;U$1,Pesos!$A:$I,7,FALSE),VLOOKUP($I176&amp;$J176&amp;U$1,Pesos!$A:$I,9,FALSE)))</f>
        <v>1.32</v>
      </c>
      <c r="AT176" s="132">
        <f>IF(V176="","",IF(V176="SIM",VLOOKUP($I176&amp;$J176&amp;V$1,Pesos!$A:$I,7,FALSE),VLOOKUP($I176&amp;$J176&amp;V$1,Pesos!$A:$I,9,FALSE)))</f>
        <v>1.4039999999999999</v>
      </c>
      <c r="AU176" s="132">
        <f>IF(W176="","",IF(W176="SIM",VLOOKUP($I176&amp;$J176&amp;W$1,Pesos!$A:$I,7,FALSE),VLOOKUP($I176&amp;$J176&amp;W$1,Pesos!$A:$I,9,FALSE)))</f>
        <v>0.3</v>
      </c>
      <c r="AV176" s="132">
        <f>IF(X176="","",IF(X176="SIM",VLOOKUP($I176&amp;$J176&amp;X$1,Pesos!$A:$I,7,FALSE),VLOOKUP($I176&amp;$J176&amp;X$1,Pesos!$A:$I,9,FALSE)))</f>
        <v>0.3</v>
      </c>
      <c r="AW176" s="132">
        <f>IF(Y176="","",IF(Y176="SIM",VLOOKUP($I176&amp;$J176&amp;Y$1,Pesos!$A:$I,7,FALSE),VLOOKUP($I176&amp;$J176&amp;Y$1,Pesos!$A:$I,9,FALSE)))</f>
        <v>0.15</v>
      </c>
      <c r="AX176" s="132">
        <f>IF(Z176="","",IF(Z176="SIM",VLOOKUP($I176&amp;$J176&amp;Z$1,Pesos!$A:$I,7,FALSE),VLOOKUP($I176&amp;$J176&amp;Z$1,Pesos!$A:$I,9,FALSE)))</f>
        <v>0.2</v>
      </c>
      <c r="AY176" s="132">
        <f>IF(AA176="","",IF(AA176="SIM",VLOOKUP($I176&amp;$J176&amp;AA$1,Pesos!$A:$I,7,FALSE),VLOOKUP($I176&amp;$J176&amp;AA$1,Pesos!$A:$I,9,FALSE)))</f>
        <v>0.3</v>
      </c>
      <c r="AZ176" s="132">
        <f>IF(AB176="","",IF(AB176="SIM",VLOOKUP($I176&amp;$J176&amp;AB$1,Pesos!$A:$I,7,FALSE),VLOOKUP($I176&amp;$J176&amp;AB$1,Pesos!$A:$I,9,FALSE)))</f>
        <v>0.1</v>
      </c>
      <c r="BA176" s="132" t="str">
        <f>IF(AC176="","",IF(AC176="SIM",VLOOKUP($I176&amp;$J176&amp;AC$1,Pesos!$A:$I,7,FALSE),VLOOKUP($I176&amp;$J176&amp;AC$1,Pesos!$A:$I,9,FALSE)))</f>
        <v/>
      </c>
      <c r="BB176" s="132" t="str">
        <f>IF(AD176="","",IF(AD176="SIM",VLOOKUP($I176&amp;$J176&amp;AD$1,Pesos!$A:$I,7,FALSE),VLOOKUP($I176&amp;$J176&amp;AD$1,Pesos!$A:$I,9,FALSE)))</f>
        <v/>
      </c>
      <c r="BC176" s="132" t="str">
        <f>IF(AE176="","",IF(AE176="SIM",VLOOKUP($I176&amp;$J176&amp;AE$1,Pesos!$A:$I,7,FALSE),VLOOKUP($I176&amp;$J176&amp;AE$1,Pesos!$A:$I,9,FALSE)))</f>
        <v/>
      </c>
      <c r="BD176" s="158">
        <f>IFERROR(AF176*VLOOKUP(J176,'BD Campos'!$X$1:$Y$14,2,FALSE),"0")</f>
        <v>8.6389999999999993</v>
      </c>
    </row>
    <row r="177" spans="1:56">
      <c r="A177" s="151" t="str">
        <f t="shared" si="11"/>
        <v>Jan11465Motorista 2TRANSFERÊNCIA</v>
      </c>
      <c r="B177" s="149" t="str">
        <f t="shared" si="12"/>
        <v>Jan114652TRANSFERÊNCIAPADRÃO</v>
      </c>
      <c r="C177" s="152">
        <v>1</v>
      </c>
      <c r="D177" s="153">
        <v>46057.588289583335</v>
      </c>
      <c r="E177" s="154" t="s">
        <v>12</v>
      </c>
      <c r="F177" s="155">
        <v>11465</v>
      </c>
      <c r="G177" s="149" t="s">
        <v>349</v>
      </c>
      <c r="H177" s="154">
        <v>2</v>
      </c>
      <c r="I177" s="149" t="s">
        <v>96</v>
      </c>
      <c r="J177" s="149" t="s">
        <v>97</v>
      </c>
      <c r="K177" s="149" t="s">
        <v>192</v>
      </c>
      <c r="L177" s="156">
        <v>34776717</v>
      </c>
      <c r="M177" s="157">
        <v>1.0995370370370371E-3</v>
      </c>
      <c r="N177" s="131" t="s">
        <v>17</v>
      </c>
      <c r="O177" s="131" t="s">
        <v>17</v>
      </c>
      <c r="P177" s="131" t="s">
        <v>17</v>
      </c>
      <c r="Q177" s="131" t="s">
        <v>17</v>
      </c>
      <c r="R177" s="131" t="s">
        <v>17</v>
      </c>
      <c r="S177" s="131" t="s">
        <v>17</v>
      </c>
      <c r="T177" s="131" t="s">
        <v>18</v>
      </c>
      <c r="U177" s="131" t="s">
        <v>18</v>
      </c>
      <c r="V177" s="131" t="s">
        <v>18</v>
      </c>
      <c r="W177" s="131" t="s">
        <v>17</v>
      </c>
      <c r="X177" s="131" t="s">
        <v>17</v>
      </c>
      <c r="Y177" s="131" t="s">
        <v>17</v>
      </c>
      <c r="Z177" s="131" t="s">
        <v>18</v>
      </c>
      <c r="AA177" s="131" t="s">
        <v>17</v>
      </c>
      <c r="AB177" s="131" t="s">
        <v>17</v>
      </c>
      <c r="AC177" s="131"/>
      <c r="AD177" s="131"/>
      <c r="AE177" s="131"/>
      <c r="AF177" s="158">
        <f t="shared" si="14"/>
        <v>5.4849999999999994</v>
      </c>
      <c r="AG177" s="159"/>
      <c r="AH177" s="155" t="s">
        <v>351</v>
      </c>
      <c r="AI177" s="155" t="s">
        <v>83</v>
      </c>
      <c r="AJ177" s="131" t="str">
        <f>IFERROR(VLOOKUP(E177&amp;F177,'Listagem dos op'!A:S,19,0),"")</f>
        <v/>
      </c>
      <c r="AK177" s="131" t="str">
        <f t="shared" si="13"/>
        <v>Jan11465</v>
      </c>
      <c r="AL177" s="154">
        <f>IF(N177="","",IF(N177="SIM",VLOOKUP($I177&amp;$J177&amp;N$1,Pesos!$A:$I,7,FALSE),VLOOKUP($I177&amp;$J177&amp;N$1,Pesos!$A:$I,9,FALSE)))</f>
        <v>0.1</v>
      </c>
      <c r="AM177" s="154">
        <f>IF(O177="","",IF(O177="SIM",VLOOKUP($I177&amp;$J177&amp;O$1,Pesos!$A:$I,7,FALSE),VLOOKUP($I177&amp;$J177&amp;O$1,Pesos!$A:$I,9,FALSE)))</f>
        <v>0.1</v>
      </c>
      <c r="AN177" s="154">
        <f>IF(P177="","",IF(P177="SIM",VLOOKUP($I177&amp;$J177&amp;P$1,Pesos!$A:$I,7,FALSE),VLOOKUP($I177&amp;$J177&amp;P$1,Pesos!$A:$I,9,FALSE)))</f>
        <v>0.1</v>
      </c>
      <c r="AO177" s="154">
        <f>IF(Q177="","",IF(Q177="SIM",VLOOKUP($I177&amp;$J177&amp;Q$1,Pesos!$A:$I,7,FALSE),VLOOKUP($I177&amp;$J177&amp;Q$1,Pesos!$A:$I,9,FALSE)))</f>
        <v>2</v>
      </c>
      <c r="AP177" s="154">
        <f>IF(R177="","",IF(R177="SIM",VLOOKUP($I177&amp;$J177&amp;R$1,Pesos!$A:$I,7,FALSE),VLOOKUP($I177&amp;$J177&amp;R$1,Pesos!$A:$I,9,FALSE)))</f>
        <v>1.03</v>
      </c>
      <c r="AQ177" s="154">
        <f>IF(S177="","",IF(S177="SIM",VLOOKUP($I177&amp;$J177&amp;S$1,Pesos!$A:$I,7,FALSE),VLOOKUP($I177&amp;$J177&amp;S$1,Pesos!$A:$I,9,FALSE)))</f>
        <v>1.22</v>
      </c>
      <c r="AR177" s="156">
        <f>IF(T177="","",IF(T177="SIM",VLOOKUP($I177&amp;$J177&amp;T$1,Pesos!$A:$I,7,FALSE),VLOOKUP($I177&amp;$J177&amp;T$1,Pesos!$A:$I,9,FALSE)))</f>
        <v>-0.1</v>
      </c>
      <c r="AS177" s="132">
        <f>IF(U177="","",IF(U177="SIM",VLOOKUP($I177&amp;$J177&amp;U$1,Pesos!$A:$I,7,FALSE),VLOOKUP($I177&amp;$J177&amp;U$1,Pesos!$A:$I,9,FALSE)))</f>
        <v>-5.2500000000000005E-2</v>
      </c>
      <c r="AT177" s="132">
        <f>IF(V177="","",IF(V177="SIM",VLOOKUP($I177&amp;$J177&amp;V$1,Pesos!$A:$I,7,FALSE),VLOOKUP($I177&amp;$J177&amp;V$1,Pesos!$A:$I,9,FALSE)))</f>
        <v>-5.2500000000000005E-2</v>
      </c>
      <c r="AU177" s="132">
        <f>IF(W177="","",IF(W177="SIM",VLOOKUP($I177&amp;$J177&amp;W$1,Pesos!$A:$I,7,FALSE),VLOOKUP($I177&amp;$J177&amp;W$1,Pesos!$A:$I,9,FALSE)))</f>
        <v>0.3</v>
      </c>
      <c r="AV177" s="132">
        <f>IF(X177="","",IF(X177="SIM",VLOOKUP($I177&amp;$J177&amp;X$1,Pesos!$A:$I,7,FALSE),VLOOKUP($I177&amp;$J177&amp;X$1,Pesos!$A:$I,9,FALSE)))</f>
        <v>0.3</v>
      </c>
      <c r="AW177" s="132">
        <f>IF(Y177="","",IF(Y177="SIM",VLOOKUP($I177&amp;$J177&amp;Y$1,Pesos!$A:$I,7,FALSE),VLOOKUP($I177&amp;$J177&amp;Y$1,Pesos!$A:$I,9,FALSE)))</f>
        <v>0.15</v>
      </c>
      <c r="AX177" s="132">
        <f>IF(Z177="","",IF(Z177="SIM",VLOOKUP($I177&amp;$J177&amp;Z$1,Pesos!$A:$I,7,FALSE),VLOOKUP($I177&amp;$J177&amp;Z$1,Pesos!$A:$I,9,FALSE)))</f>
        <v>-1.0000000000000002E-2</v>
      </c>
      <c r="AY177" s="132">
        <f>IF(AA177="","",IF(AA177="SIM",VLOOKUP($I177&amp;$J177&amp;AA$1,Pesos!$A:$I,7,FALSE),VLOOKUP($I177&amp;$J177&amp;AA$1,Pesos!$A:$I,9,FALSE)))</f>
        <v>0.3</v>
      </c>
      <c r="AZ177" s="132">
        <f>IF(AB177="","",IF(AB177="SIM",VLOOKUP($I177&amp;$J177&amp;AB$1,Pesos!$A:$I,7,FALSE),VLOOKUP($I177&amp;$J177&amp;AB$1,Pesos!$A:$I,9,FALSE)))</f>
        <v>0.1</v>
      </c>
      <c r="BA177" s="132" t="str">
        <f>IF(AC177="","",IF(AC177="SIM",VLOOKUP($I177&amp;$J177&amp;AC$1,Pesos!$A:$I,7,FALSE),VLOOKUP($I177&amp;$J177&amp;AC$1,Pesos!$A:$I,9,FALSE)))</f>
        <v/>
      </c>
      <c r="BB177" s="132" t="str">
        <f>IF(AD177="","",IF(AD177="SIM",VLOOKUP($I177&amp;$J177&amp;AD$1,Pesos!$A:$I,7,FALSE),VLOOKUP($I177&amp;$J177&amp;AD$1,Pesos!$A:$I,9,FALSE)))</f>
        <v/>
      </c>
      <c r="BC177" s="132" t="str">
        <f>IF(AE177="","",IF(AE177="SIM",VLOOKUP($I177&amp;$J177&amp;AE$1,Pesos!$A:$I,7,FALSE),VLOOKUP($I177&amp;$J177&amp;AE$1,Pesos!$A:$I,9,FALSE)))</f>
        <v/>
      </c>
      <c r="BD177" s="158">
        <f>IFERROR(AF177*VLOOKUP(J177,'BD Campos'!$X$1:$Y$14,2,FALSE),"0")</f>
        <v>5.4849999999999994</v>
      </c>
    </row>
    <row r="178" spans="1:56">
      <c r="A178" s="151" t="str">
        <f t="shared" si="11"/>
        <v>Jan11487MotoristaTRANSFERÊNCIA</v>
      </c>
      <c r="B178" s="149" t="str">
        <f t="shared" si="12"/>
        <v>Jan114871TRANSFERÊNCIAPADRÃO</v>
      </c>
      <c r="C178" s="152">
        <v>1</v>
      </c>
      <c r="D178" s="153">
        <v>46057.596321064811</v>
      </c>
      <c r="E178" s="154" t="s">
        <v>12</v>
      </c>
      <c r="F178" s="155">
        <v>11487</v>
      </c>
      <c r="G178" s="149" t="s">
        <v>352</v>
      </c>
      <c r="H178" s="154">
        <v>1</v>
      </c>
      <c r="I178" s="149" t="s">
        <v>96</v>
      </c>
      <c r="J178" s="149" t="s">
        <v>93</v>
      </c>
      <c r="K178" s="149" t="s">
        <v>192</v>
      </c>
      <c r="L178" s="156">
        <v>34518032</v>
      </c>
      <c r="M178" s="157">
        <v>1.25E-3</v>
      </c>
      <c r="N178" s="131" t="s">
        <v>17</v>
      </c>
      <c r="O178" s="131" t="s">
        <v>17</v>
      </c>
      <c r="P178" s="131" t="s">
        <v>17</v>
      </c>
      <c r="Q178" s="131" t="s">
        <v>17</v>
      </c>
      <c r="R178" s="131" t="s">
        <v>17</v>
      </c>
      <c r="S178" s="131" t="s">
        <v>17</v>
      </c>
      <c r="T178" s="131" t="s">
        <v>17</v>
      </c>
      <c r="U178" s="131" t="s">
        <v>17</v>
      </c>
      <c r="V178" s="131" t="s">
        <v>18</v>
      </c>
      <c r="W178" s="131" t="s">
        <v>17</v>
      </c>
      <c r="X178" s="131" t="s">
        <v>17</v>
      </c>
      <c r="Y178" s="131" t="s">
        <v>17</v>
      </c>
      <c r="Z178" s="131" t="s">
        <v>17</v>
      </c>
      <c r="AA178" s="131" t="s">
        <v>17</v>
      </c>
      <c r="AB178" s="131" t="s">
        <v>17</v>
      </c>
      <c r="AC178" s="131"/>
      <c r="AD178" s="131"/>
      <c r="AE178" s="131"/>
      <c r="AF178" s="158">
        <f t="shared" si="14"/>
        <v>8.8974999999999991</v>
      </c>
      <c r="AG178" s="159"/>
      <c r="AH178" s="155" t="s">
        <v>353</v>
      </c>
      <c r="AI178" s="155" t="s">
        <v>83</v>
      </c>
      <c r="AJ178" s="131" t="str">
        <f>IFERROR(VLOOKUP(E178&amp;F178,'Listagem dos op'!A:S,19,0),"")</f>
        <v/>
      </c>
      <c r="AK178" s="131" t="str">
        <f t="shared" si="13"/>
        <v>Jan11487</v>
      </c>
      <c r="AL178" s="154">
        <f>IF(N178="","",IF(N178="SIM",VLOOKUP($I178&amp;$J178&amp;N$1,Pesos!$A:$I,7,FALSE),VLOOKUP($I178&amp;$J178&amp;N$1,Pesos!$A:$I,9,FALSE)))</f>
        <v>0.1</v>
      </c>
      <c r="AM178" s="154">
        <f>IF(O178="","",IF(O178="SIM",VLOOKUP($I178&amp;$J178&amp;O$1,Pesos!$A:$I,7,FALSE),VLOOKUP($I178&amp;$J178&amp;O$1,Pesos!$A:$I,9,FALSE)))</f>
        <v>0.1</v>
      </c>
      <c r="AN178" s="154">
        <f>IF(P178="","",IF(P178="SIM",VLOOKUP($I178&amp;$J178&amp;P$1,Pesos!$A:$I,7,FALSE),VLOOKUP($I178&amp;$J178&amp;P$1,Pesos!$A:$I,9,FALSE)))</f>
        <v>0.1</v>
      </c>
      <c r="AO178" s="154">
        <f>IF(Q178="","",IF(Q178="SIM",VLOOKUP($I178&amp;$J178&amp;Q$1,Pesos!$A:$I,7,FALSE),VLOOKUP($I178&amp;$J178&amp;Q$1,Pesos!$A:$I,9,FALSE)))</f>
        <v>2</v>
      </c>
      <c r="AP178" s="154">
        <f>IF(R178="","",IF(R178="SIM",VLOOKUP($I178&amp;$J178&amp;R$1,Pesos!$A:$I,7,FALSE),VLOOKUP($I178&amp;$J178&amp;R$1,Pesos!$A:$I,9,FALSE)))</f>
        <v>1.03</v>
      </c>
      <c r="AQ178" s="154">
        <f>IF(S178="","",IF(S178="SIM",VLOOKUP($I178&amp;$J178&amp;S$1,Pesos!$A:$I,7,FALSE),VLOOKUP($I178&amp;$J178&amp;S$1,Pesos!$A:$I,9,FALSE)))</f>
        <v>1.22</v>
      </c>
      <c r="AR178" s="156">
        <f>IF(T178="","",IF(T178="SIM",VLOOKUP($I178&amp;$J178&amp;T$1,Pesos!$A:$I,7,FALSE),VLOOKUP($I178&amp;$J178&amp;T$1,Pesos!$A:$I,9,FALSE)))</f>
        <v>2</v>
      </c>
      <c r="AS178" s="132">
        <f>IF(U178="","",IF(U178="SIM",VLOOKUP($I178&amp;$J178&amp;U$1,Pesos!$A:$I,7,FALSE),VLOOKUP($I178&amp;$J178&amp;U$1,Pesos!$A:$I,9,FALSE)))</f>
        <v>1.05</v>
      </c>
      <c r="AT178" s="132">
        <f>IF(V178="","",IF(V178="SIM",VLOOKUP($I178&amp;$J178&amp;V$1,Pesos!$A:$I,7,FALSE),VLOOKUP($I178&amp;$J178&amp;V$1,Pesos!$A:$I,9,FALSE)))</f>
        <v>-5.2500000000000005E-2</v>
      </c>
      <c r="AU178" s="132">
        <f>IF(W178="","",IF(W178="SIM",VLOOKUP($I178&amp;$J178&amp;W$1,Pesos!$A:$I,7,FALSE),VLOOKUP($I178&amp;$J178&amp;W$1,Pesos!$A:$I,9,FALSE)))</f>
        <v>0.3</v>
      </c>
      <c r="AV178" s="132">
        <f>IF(X178="","",IF(X178="SIM",VLOOKUP($I178&amp;$J178&amp;X$1,Pesos!$A:$I,7,FALSE),VLOOKUP($I178&amp;$J178&amp;X$1,Pesos!$A:$I,9,FALSE)))</f>
        <v>0.3</v>
      </c>
      <c r="AW178" s="132">
        <f>IF(Y178="","",IF(Y178="SIM",VLOOKUP($I178&amp;$J178&amp;Y$1,Pesos!$A:$I,7,FALSE),VLOOKUP($I178&amp;$J178&amp;Y$1,Pesos!$A:$I,9,FALSE)))</f>
        <v>0.15</v>
      </c>
      <c r="AX178" s="132">
        <f>IF(Z178="","",IF(Z178="SIM",VLOOKUP($I178&amp;$J178&amp;Z$1,Pesos!$A:$I,7,FALSE),VLOOKUP($I178&amp;$J178&amp;Z$1,Pesos!$A:$I,9,FALSE)))</f>
        <v>0.2</v>
      </c>
      <c r="AY178" s="132">
        <f>IF(AA178="","",IF(AA178="SIM",VLOOKUP($I178&amp;$J178&amp;AA$1,Pesos!$A:$I,7,FALSE),VLOOKUP($I178&amp;$J178&amp;AA$1,Pesos!$A:$I,9,FALSE)))</f>
        <v>0.3</v>
      </c>
      <c r="AZ178" s="132">
        <f>IF(AB178="","",IF(AB178="SIM",VLOOKUP($I178&amp;$J178&amp;AB$1,Pesos!$A:$I,7,FALSE),VLOOKUP($I178&amp;$J178&amp;AB$1,Pesos!$A:$I,9,FALSE)))</f>
        <v>0.1</v>
      </c>
      <c r="BA178" s="132" t="str">
        <f>IF(AC178="","",IF(AC178="SIM",VLOOKUP($I178&amp;$J178&amp;AC$1,Pesos!$A:$I,7,FALSE),VLOOKUP($I178&amp;$J178&amp;AC$1,Pesos!$A:$I,9,FALSE)))</f>
        <v/>
      </c>
      <c r="BB178" s="132" t="str">
        <f>IF(AD178="","",IF(AD178="SIM",VLOOKUP($I178&amp;$J178&amp;AD$1,Pesos!$A:$I,7,FALSE),VLOOKUP($I178&amp;$J178&amp;AD$1,Pesos!$A:$I,9,FALSE)))</f>
        <v/>
      </c>
      <c r="BC178" s="132" t="str">
        <f>IF(AE178="","",IF(AE178="SIM",VLOOKUP($I178&amp;$J178&amp;AE$1,Pesos!$A:$I,7,FALSE),VLOOKUP($I178&amp;$J178&amp;AE$1,Pesos!$A:$I,9,FALSE)))</f>
        <v/>
      </c>
      <c r="BD178" s="158">
        <f>IFERROR(AF178*VLOOKUP(J178,'BD Campos'!$X$1:$Y$14,2,FALSE),"0")</f>
        <v>8.8974999999999991</v>
      </c>
    </row>
    <row r="179" spans="1:56">
      <c r="A179" s="151" t="str">
        <f t="shared" si="11"/>
        <v>Jan11487Motorista 2TRANSFERÊNCIA</v>
      </c>
      <c r="B179" s="149" t="str">
        <f t="shared" si="12"/>
        <v>Jan114872TRANSFERÊNCIAPADRÃO</v>
      </c>
      <c r="C179" s="152">
        <v>1</v>
      </c>
      <c r="D179" s="153">
        <v>46057.600490509256</v>
      </c>
      <c r="E179" s="154" t="s">
        <v>12</v>
      </c>
      <c r="F179" s="155">
        <v>11487</v>
      </c>
      <c r="G179" s="149" t="s">
        <v>352</v>
      </c>
      <c r="H179" s="154">
        <v>2</v>
      </c>
      <c r="I179" s="149" t="s">
        <v>96</v>
      </c>
      <c r="J179" s="149" t="s">
        <v>97</v>
      </c>
      <c r="K179" s="149" t="s">
        <v>192</v>
      </c>
      <c r="L179" s="156">
        <v>34802706</v>
      </c>
      <c r="M179" s="157">
        <v>2.6504629629629625E-3</v>
      </c>
      <c r="N179" s="131" t="s">
        <v>17</v>
      </c>
      <c r="O179" s="131" t="s">
        <v>17</v>
      </c>
      <c r="P179" s="131" t="s">
        <v>17</v>
      </c>
      <c r="Q179" s="131" t="s">
        <v>17</v>
      </c>
      <c r="R179" s="131" t="s">
        <v>17</v>
      </c>
      <c r="S179" s="131" t="s">
        <v>17</v>
      </c>
      <c r="T179" s="131" t="s">
        <v>18</v>
      </c>
      <c r="U179" s="131" t="s">
        <v>17</v>
      </c>
      <c r="V179" s="131" t="s">
        <v>18</v>
      </c>
      <c r="W179" s="131" t="s">
        <v>17</v>
      </c>
      <c r="X179" s="131" t="s">
        <v>17</v>
      </c>
      <c r="Y179" s="131" t="s">
        <v>17</v>
      </c>
      <c r="Z179" s="131" t="s">
        <v>18</v>
      </c>
      <c r="AA179" s="131" t="s">
        <v>17</v>
      </c>
      <c r="AB179" s="131" t="s">
        <v>17</v>
      </c>
      <c r="AC179" s="131"/>
      <c r="AD179" s="131"/>
      <c r="AE179" s="131"/>
      <c r="AF179" s="158">
        <f t="shared" si="14"/>
        <v>6.5874999999999995</v>
      </c>
      <c r="AG179" s="159"/>
      <c r="AH179" s="155" t="s">
        <v>354</v>
      </c>
      <c r="AI179" s="155" t="s">
        <v>83</v>
      </c>
      <c r="AJ179" s="131" t="str">
        <f>IFERROR(VLOOKUP(E179&amp;F179,'Listagem dos op'!A:S,19,0),"")</f>
        <v/>
      </c>
      <c r="AK179" s="131" t="str">
        <f t="shared" si="13"/>
        <v>Jan11487</v>
      </c>
      <c r="AL179" s="154">
        <f>IF(N179="","",IF(N179="SIM",VLOOKUP($I179&amp;$J179&amp;N$1,Pesos!$A:$I,7,FALSE),VLOOKUP($I179&amp;$J179&amp;N$1,Pesos!$A:$I,9,FALSE)))</f>
        <v>0.1</v>
      </c>
      <c r="AM179" s="154">
        <f>IF(O179="","",IF(O179="SIM",VLOOKUP($I179&amp;$J179&amp;O$1,Pesos!$A:$I,7,FALSE),VLOOKUP($I179&amp;$J179&amp;O$1,Pesos!$A:$I,9,FALSE)))</f>
        <v>0.1</v>
      </c>
      <c r="AN179" s="154">
        <f>IF(P179="","",IF(P179="SIM",VLOOKUP($I179&amp;$J179&amp;P$1,Pesos!$A:$I,7,FALSE),VLOOKUP($I179&amp;$J179&amp;P$1,Pesos!$A:$I,9,FALSE)))</f>
        <v>0.1</v>
      </c>
      <c r="AO179" s="154">
        <f>IF(Q179="","",IF(Q179="SIM",VLOOKUP($I179&amp;$J179&amp;Q$1,Pesos!$A:$I,7,FALSE),VLOOKUP($I179&amp;$J179&amp;Q$1,Pesos!$A:$I,9,FALSE)))</f>
        <v>2</v>
      </c>
      <c r="AP179" s="154">
        <f>IF(R179="","",IF(R179="SIM",VLOOKUP($I179&amp;$J179&amp;R$1,Pesos!$A:$I,7,FALSE),VLOOKUP($I179&amp;$J179&amp;R$1,Pesos!$A:$I,9,FALSE)))</f>
        <v>1.03</v>
      </c>
      <c r="AQ179" s="154">
        <f>IF(S179="","",IF(S179="SIM",VLOOKUP($I179&amp;$J179&amp;S$1,Pesos!$A:$I,7,FALSE),VLOOKUP($I179&amp;$J179&amp;S$1,Pesos!$A:$I,9,FALSE)))</f>
        <v>1.22</v>
      </c>
      <c r="AR179" s="156">
        <f>IF(T179="","",IF(T179="SIM",VLOOKUP($I179&amp;$J179&amp;T$1,Pesos!$A:$I,7,FALSE),VLOOKUP($I179&amp;$J179&amp;T$1,Pesos!$A:$I,9,FALSE)))</f>
        <v>-0.1</v>
      </c>
      <c r="AS179" s="132">
        <f>IF(U179="","",IF(U179="SIM",VLOOKUP($I179&amp;$J179&amp;U$1,Pesos!$A:$I,7,FALSE),VLOOKUP($I179&amp;$J179&amp;U$1,Pesos!$A:$I,9,FALSE)))</f>
        <v>1.05</v>
      </c>
      <c r="AT179" s="132">
        <f>IF(V179="","",IF(V179="SIM",VLOOKUP($I179&amp;$J179&amp;V$1,Pesos!$A:$I,7,FALSE),VLOOKUP($I179&amp;$J179&amp;V$1,Pesos!$A:$I,9,FALSE)))</f>
        <v>-5.2500000000000005E-2</v>
      </c>
      <c r="AU179" s="132">
        <f>IF(W179="","",IF(W179="SIM",VLOOKUP($I179&amp;$J179&amp;W$1,Pesos!$A:$I,7,FALSE),VLOOKUP($I179&amp;$J179&amp;W$1,Pesos!$A:$I,9,FALSE)))</f>
        <v>0.3</v>
      </c>
      <c r="AV179" s="132">
        <f>IF(X179="","",IF(X179="SIM",VLOOKUP($I179&amp;$J179&amp;X$1,Pesos!$A:$I,7,FALSE),VLOOKUP($I179&amp;$J179&amp;X$1,Pesos!$A:$I,9,FALSE)))</f>
        <v>0.3</v>
      </c>
      <c r="AW179" s="132">
        <f>IF(Y179="","",IF(Y179="SIM",VLOOKUP($I179&amp;$J179&amp;Y$1,Pesos!$A:$I,7,FALSE),VLOOKUP($I179&amp;$J179&amp;Y$1,Pesos!$A:$I,9,FALSE)))</f>
        <v>0.15</v>
      </c>
      <c r="AX179" s="132">
        <f>IF(Z179="","",IF(Z179="SIM",VLOOKUP($I179&amp;$J179&amp;Z$1,Pesos!$A:$I,7,FALSE),VLOOKUP($I179&amp;$J179&amp;Z$1,Pesos!$A:$I,9,FALSE)))</f>
        <v>-1.0000000000000002E-2</v>
      </c>
      <c r="AY179" s="132">
        <f>IF(AA179="","",IF(AA179="SIM",VLOOKUP($I179&amp;$J179&amp;AA$1,Pesos!$A:$I,7,FALSE),VLOOKUP($I179&amp;$J179&amp;AA$1,Pesos!$A:$I,9,FALSE)))</f>
        <v>0.3</v>
      </c>
      <c r="AZ179" s="132">
        <f>IF(AB179="","",IF(AB179="SIM",VLOOKUP($I179&amp;$J179&amp;AB$1,Pesos!$A:$I,7,FALSE),VLOOKUP($I179&amp;$J179&amp;AB$1,Pesos!$A:$I,9,FALSE)))</f>
        <v>0.1</v>
      </c>
      <c r="BA179" s="132" t="str">
        <f>IF(AC179="","",IF(AC179="SIM",VLOOKUP($I179&amp;$J179&amp;AC$1,Pesos!$A:$I,7,FALSE),VLOOKUP($I179&amp;$J179&amp;AC$1,Pesos!$A:$I,9,FALSE)))</f>
        <v/>
      </c>
      <c r="BB179" s="132" t="str">
        <f>IF(AD179="","",IF(AD179="SIM",VLOOKUP($I179&amp;$J179&amp;AD$1,Pesos!$A:$I,7,FALSE),VLOOKUP($I179&amp;$J179&amp;AD$1,Pesos!$A:$I,9,FALSE)))</f>
        <v/>
      </c>
      <c r="BC179" s="132" t="str">
        <f>IF(AE179="","",IF(AE179="SIM",VLOOKUP($I179&amp;$J179&amp;AE$1,Pesos!$A:$I,7,FALSE),VLOOKUP($I179&amp;$J179&amp;AE$1,Pesos!$A:$I,9,FALSE)))</f>
        <v/>
      </c>
      <c r="BD179" s="158">
        <f>IFERROR(AF179*VLOOKUP(J179,'BD Campos'!$X$1:$Y$14,2,FALSE),"0")</f>
        <v>6.5874999999999995</v>
      </c>
    </row>
    <row r="180" spans="1:56">
      <c r="A180" s="151" t="str">
        <f t="shared" si="11"/>
        <v>Jan11509MotoristaTRANSFERÊNCIA</v>
      </c>
      <c r="B180" s="149" t="str">
        <f t="shared" si="12"/>
        <v>Jan115091TRANSFERÊNCIAPADRÃO</v>
      </c>
      <c r="C180" s="152">
        <v>1</v>
      </c>
      <c r="D180" s="153">
        <v>46057.604260416665</v>
      </c>
      <c r="E180" s="154" t="s">
        <v>12</v>
      </c>
      <c r="F180" s="155">
        <v>11509</v>
      </c>
      <c r="G180" s="149" t="s">
        <v>355</v>
      </c>
      <c r="H180" s="154">
        <v>1</v>
      </c>
      <c r="I180" s="149" t="s">
        <v>92</v>
      </c>
      <c r="J180" s="149" t="s">
        <v>93</v>
      </c>
      <c r="K180" s="149" t="s">
        <v>192</v>
      </c>
      <c r="L180" s="156">
        <v>34511853</v>
      </c>
      <c r="M180" s="157">
        <v>2.4537037037037036E-3</v>
      </c>
      <c r="N180" s="131" t="s">
        <v>17</v>
      </c>
      <c r="O180" s="131" t="s">
        <v>17</v>
      </c>
      <c r="P180" s="131" t="s">
        <v>17</v>
      </c>
      <c r="Q180" s="131" t="s">
        <v>17</v>
      </c>
      <c r="R180" s="131" t="s">
        <v>17</v>
      </c>
      <c r="S180" s="131" t="s">
        <v>17</v>
      </c>
      <c r="T180" s="131" t="s">
        <v>17</v>
      </c>
      <c r="U180" s="131" t="s">
        <v>18</v>
      </c>
      <c r="V180" s="131" t="s">
        <v>17</v>
      </c>
      <c r="W180" s="131" t="s">
        <v>17</v>
      </c>
      <c r="X180" s="131" t="s">
        <v>17</v>
      </c>
      <c r="Y180" s="131" t="s">
        <v>17</v>
      </c>
      <c r="Z180" s="131" t="s">
        <v>17</v>
      </c>
      <c r="AA180" s="131" t="s">
        <v>17</v>
      </c>
      <c r="AB180" s="131"/>
      <c r="AC180" s="131"/>
      <c r="AD180" s="131"/>
      <c r="AE180" s="131"/>
      <c r="AF180" s="158">
        <f t="shared" si="14"/>
        <v>8.2149999999999999</v>
      </c>
      <c r="AG180" s="159"/>
      <c r="AH180" s="155" t="s">
        <v>356</v>
      </c>
      <c r="AI180" s="155" t="s">
        <v>83</v>
      </c>
      <c r="AJ180" s="131" t="str">
        <f>IFERROR(VLOOKUP(E180&amp;F180,'Listagem dos op'!A:S,19,0),"")</f>
        <v/>
      </c>
      <c r="AK180" s="131" t="str">
        <f t="shared" si="13"/>
        <v>Jan11509</v>
      </c>
      <c r="AL180" s="154">
        <f>IF(N180="","",IF(N180="SIM",VLOOKUP($I180&amp;$J180&amp;N$1,Pesos!$A:$I,7,FALSE),VLOOKUP($I180&amp;$J180&amp;N$1,Pesos!$A:$I,9,FALSE)))</f>
        <v>0.1</v>
      </c>
      <c r="AM180" s="154">
        <f>IF(O180="","",IF(O180="SIM",VLOOKUP($I180&amp;$J180&amp;O$1,Pesos!$A:$I,7,FALSE),VLOOKUP($I180&amp;$J180&amp;O$1,Pesos!$A:$I,9,FALSE)))</f>
        <v>0.1</v>
      </c>
      <c r="AN180" s="154">
        <f>IF(P180="","",IF(P180="SIM",VLOOKUP($I180&amp;$J180&amp;P$1,Pesos!$A:$I,7,FALSE),VLOOKUP($I180&amp;$J180&amp;P$1,Pesos!$A:$I,9,FALSE)))</f>
        <v>0.1</v>
      </c>
      <c r="AO180" s="154">
        <f>IF(Q180="","",IF(Q180="SIM",VLOOKUP($I180&amp;$J180&amp;Q$1,Pesos!$A:$I,7,FALSE),VLOOKUP($I180&amp;$J180&amp;Q$1,Pesos!$A:$I,9,FALSE)))</f>
        <v>2</v>
      </c>
      <c r="AP180" s="154">
        <f>IF(R180="","",IF(R180="SIM",VLOOKUP($I180&amp;$J180&amp;R$1,Pesos!$A:$I,7,FALSE),VLOOKUP($I180&amp;$J180&amp;R$1,Pesos!$A:$I,9,FALSE)))</f>
        <v>1.03</v>
      </c>
      <c r="AQ180" s="154">
        <f>IF(S180="","",IF(S180="SIM",VLOOKUP($I180&amp;$J180&amp;S$1,Pesos!$A:$I,7,FALSE),VLOOKUP($I180&amp;$J180&amp;S$1,Pesos!$A:$I,9,FALSE)))</f>
        <v>1.7000000000000002</v>
      </c>
      <c r="AR180" s="156">
        <f>IF(T180="","",IF(T180="SIM",VLOOKUP($I180&amp;$J180&amp;T$1,Pesos!$A:$I,7,FALSE),VLOOKUP($I180&amp;$J180&amp;T$1,Pesos!$A:$I,9,FALSE)))</f>
        <v>1.92</v>
      </c>
      <c r="AS180" s="132">
        <f>IF(U180="","",IF(U180="SIM",VLOOKUP($I180&amp;$J180&amp;U$1,Pesos!$A:$I,7,FALSE),VLOOKUP($I180&amp;$J180&amp;U$1,Pesos!$A:$I,9,FALSE)))</f>
        <v>-8.500000000000002E-2</v>
      </c>
      <c r="AT180" s="132">
        <f>IF(V180="","",IF(V180="SIM",VLOOKUP($I180&amp;$J180&amp;V$1,Pesos!$A:$I,7,FALSE),VLOOKUP($I180&amp;$J180&amp;V$1,Pesos!$A:$I,9,FALSE)))</f>
        <v>0.3</v>
      </c>
      <c r="AU180" s="132">
        <f>IF(W180="","",IF(W180="SIM",VLOOKUP($I180&amp;$J180&amp;W$1,Pesos!$A:$I,7,FALSE),VLOOKUP($I180&amp;$J180&amp;W$1,Pesos!$A:$I,9,FALSE)))</f>
        <v>0.3</v>
      </c>
      <c r="AV180" s="132">
        <f>IF(X180="","",IF(X180="SIM",VLOOKUP($I180&amp;$J180&amp;X$1,Pesos!$A:$I,7,FALSE),VLOOKUP($I180&amp;$J180&amp;X$1,Pesos!$A:$I,9,FALSE)))</f>
        <v>0.15</v>
      </c>
      <c r="AW180" s="132">
        <f>IF(Y180="","",IF(Y180="SIM",VLOOKUP($I180&amp;$J180&amp;Y$1,Pesos!$A:$I,7,FALSE),VLOOKUP($I180&amp;$J180&amp;Y$1,Pesos!$A:$I,9,FALSE)))</f>
        <v>0.2</v>
      </c>
      <c r="AX180" s="132">
        <f>IF(Z180="","",IF(Z180="SIM",VLOOKUP($I180&amp;$J180&amp;Z$1,Pesos!$A:$I,7,FALSE),VLOOKUP($I180&amp;$J180&amp;Z$1,Pesos!$A:$I,9,FALSE)))</f>
        <v>0.3</v>
      </c>
      <c r="AY180" s="132">
        <f>IF(AA180="","",IF(AA180="SIM",VLOOKUP($I180&amp;$J180&amp;AA$1,Pesos!$A:$I,7,FALSE),VLOOKUP($I180&amp;$J180&amp;AA$1,Pesos!$A:$I,9,FALSE)))</f>
        <v>0.1</v>
      </c>
      <c r="AZ180" s="132" t="str">
        <f>IF(AB180="","",IF(AB180="SIM",VLOOKUP($I180&amp;$J180&amp;AB$1,Pesos!$A:$I,7,FALSE),VLOOKUP($I180&amp;$J180&amp;AB$1,Pesos!$A:$I,9,FALSE)))</f>
        <v/>
      </c>
      <c r="BA180" s="132" t="str">
        <f>IF(AC180="","",IF(AC180="SIM",VLOOKUP($I180&amp;$J180&amp;AC$1,Pesos!$A:$I,7,FALSE),VLOOKUP($I180&amp;$J180&amp;AC$1,Pesos!$A:$I,9,FALSE)))</f>
        <v/>
      </c>
      <c r="BB180" s="132" t="str">
        <f>IF(AD180="","",IF(AD180="SIM",VLOOKUP($I180&amp;$J180&amp;AD$1,Pesos!$A:$I,7,FALSE),VLOOKUP($I180&amp;$J180&amp;AD$1,Pesos!$A:$I,9,FALSE)))</f>
        <v/>
      </c>
      <c r="BC180" s="132" t="str">
        <f>IF(AE180="","",IF(AE180="SIM",VLOOKUP($I180&amp;$J180&amp;AE$1,Pesos!$A:$I,7,FALSE),VLOOKUP($I180&amp;$J180&amp;AE$1,Pesos!$A:$I,9,FALSE)))</f>
        <v/>
      </c>
      <c r="BD180" s="158">
        <f>IFERROR(AF180*VLOOKUP(J180,'BD Campos'!$X$1:$Y$14,2,FALSE),"0")</f>
        <v>8.2149999999999999</v>
      </c>
    </row>
    <row r="181" spans="1:56">
      <c r="A181" s="151" t="str">
        <f t="shared" si="11"/>
        <v>Jan11509Motorista 2TRANSFERÊNCIA</v>
      </c>
      <c r="B181" s="149" t="str">
        <f t="shared" si="12"/>
        <v>Jan115092TRANSFERÊNCIAPADRÃO</v>
      </c>
      <c r="C181" s="152">
        <v>1</v>
      </c>
      <c r="D181" s="153">
        <v>46057.609142361114</v>
      </c>
      <c r="E181" s="154" t="s">
        <v>12</v>
      </c>
      <c r="F181" s="155">
        <v>11509</v>
      </c>
      <c r="G181" s="149" t="s">
        <v>355</v>
      </c>
      <c r="H181" s="154">
        <v>2</v>
      </c>
      <c r="I181" s="149" t="s">
        <v>96</v>
      </c>
      <c r="J181" s="149" t="s">
        <v>97</v>
      </c>
      <c r="K181" s="149" t="s">
        <v>192</v>
      </c>
      <c r="L181" s="156">
        <v>34655845</v>
      </c>
      <c r="M181" s="157">
        <v>3.9236111111111112E-3</v>
      </c>
      <c r="N181" s="131" t="s">
        <v>17</v>
      </c>
      <c r="O181" s="131" t="s">
        <v>17</v>
      </c>
      <c r="P181" s="131" t="s">
        <v>17</v>
      </c>
      <c r="Q181" s="131" t="s">
        <v>17</v>
      </c>
      <c r="R181" s="131" t="s">
        <v>17</v>
      </c>
      <c r="S181" s="131" t="s">
        <v>17</v>
      </c>
      <c r="T181" s="131" t="s">
        <v>17</v>
      </c>
      <c r="U181" s="131" t="s">
        <v>17</v>
      </c>
      <c r="V181" s="131" t="s">
        <v>18</v>
      </c>
      <c r="W181" s="131" t="s">
        <v>17</v>
      </c>
      <c r="X181" s="131" t="s">
        <v>17</v>
      </c>
      <c r="Y181" s="131" t="s">
        <v>18</v>
      </c>
      <c r="Z181" s="131" t="s">
        <v>17</v>
      </c>
      <c r="AA181" s="131" t="s">
        <v>17</v>
      </c>
      <c r="AB181" s="131" t="s">
        <v>17</v>
      </c>
      <c r="AC181" s="131"/>
      <c r="AD181" s="131"/>
      <c r="AE181" s="131"/>
      <c r="AF181" s="158">
        <f t="shared" si="14"/>
        <v>8.7399999999999984</v>
      </c>
      <c r="AG181" s="159"/>
      <c r="AH181" s="155" t="s">
        <v>357</v>
      </c>
      <c r="AI181" s="155" t="s">
        <v>83</v>
      </c>
      <c r="AJ181" s="131" t="str">
        <f>IFERROR(VLOOKUP(E181&amp;F181,'Listagem dos op'!A:S,19,0),"")</f>
        <v/>
      </c>
      <c r="AK181" s="131" t="str">
        <f t="shared" si="13"/>
        <v>Jan11509</v>
      </c>
      <c r="AL181" s="154">
        <f>IF(N181="","",IF(N181="SIM",VLOOKUP($I181&amp;$J181&amp;N$1,Pesos!$A:$I,7,FALSE),VLOOKUP($I181&amp;$J181&amp;N$1,Pesos!$A:$I,9,FALSE)))</f>
        <v>0.1</v>
      </c>
      <c r="AM181" s="154">
        <f>IF(O181="","",IF(O181="SIM",VLOOKUP($I181&amp;$J181&amp;O$1,Pesos!$A:$I,7,FALSE),VLOOKUP($I181&amp;$J181&amp;O$1,Pesos!$A:$I,9,FALSE)))</f>
        <v>0.1</v>
      </c>
      <c r="AN181" s="154">
        <f>IF(P181="","",IF(P181="SIM",VLOOKUP($I181&amp;$J181&amp;P$1,Pesos!$A:$I,7,FALSE),VLOOKUP($I181&amp;$J181&amp;P$1,Pesos!$A:$I,9,FALSE)))</f>
        <v>0.1</v>
      </c>
      <c r="AO181" s="154">
        <f>IF(Q181="","",IF(Q181="SIM",VLOOKUP($I181&amp;$J181&amp;Q$1,Pesos!$A:$I,7,FALSE),VLOOKUP($I181&amp;$J181&amp;Q$1,Pesos!$A:$I,9,FALSE)))</f>
        <v>2</v>
      </c>
      <c r="AP181" s="154">
        <f>IF(R181="","",IF(R181="SIM",VLOOKUP($I181&amp;$J181&amp;R$1,Pesos!$A:$I,7,FALSE),VLOOKUP($I181&amp;$J181&amp;R$1,Pesos!$A:$I,9,FALSE)))</f>
        <v>1.03</v>
      </c>
      <c r="AQ181" s="154">
        <f>IF(S181="","",IF(S181="SIM",VLOOKUP($I181&amp;$J181&amp;S$1,Pesos!$A:$I,7,FALSE),VLOOKUP($I181&amp;$J181&amp;S$1,Pesos!$A:$I,9,FALSE)))</f>
        <v>1.22</v>
      </c>
      <c r="AR181" s="156">
        <f>IF(T181="","",IF(T181="SIM",VLOOKUP($I181&amp;$J181&amp;T$1,Pesos!$A:$I,7,FALSE),VLOOKUP($I181&amp;$J181&amp;T$1,Pesos!$A:$I,9,FALSE)))</f>
        <v>2</v>
      </c>
      <c r="AS181" s="132">
        <f>IF(U181="","",IF(U181="SIM",VLOOKUP($I181&amp;$J181&amp;U$1,Pesos!$A:$I,7,FALSE),VLOOKUP($I181&amp;$J181&amp;U$1,Pesos!$A:$I,9,FALSE)))</f>
        <v>1.05</v>
      </c>
      <c r="AT181" s="132">
        <f>IF(V181="","",IF(V181="SIM",VLOOKUP($I181&amp;$J181&amp;V$1,Pesos!$A:$I,7,FALSE),VLOOKUP($I181&amp;$J181&amp;V$1,Pesos!$A:$I,9,FALSE)))</f>
        <v>-5.2500000000000005E-2</v>
      </c>
      <c r="AU181" s="132">
        <f>IF(W181="","",IF(W181="SIM",VLOOKUP($I181&amp;$J181&amp;W$1,Pesos!$A:$I,7,FALSE),VLOOKUP($I181&amp;$J181&amp;W$1,Pesos!$A:$I,9,FALSE)))</f>
        <v>0.3</v>
      </c>
      <c r="AV181" s="132">
        <f>IF(X181="","",IF(X181="SIM",VLOOKUP($I181&amp;$J181&amp;X$1,Pesos!$A:$I,7,FALSE),VLOOKUP($I181&amp;$J181&amp;X$1,Pesos!$A:$I,9,FALSE)))</f>
        <v>0.3</v>
      </c>
      <c r="AW181" s="132">
        <f>IF(Y181="","",IF(Y181="SIM",VLOOKUP($I181&amp;$J181&amp;Y$1,Pesos!$A:$I,7,FALSE),VLOOKUP($I181&amp;$J181&amp;Y$1,Pesos!$A:$I,9,FALSE)))</f>
        <v>-7.4999999999999997E-3</v>
      </c>
      <c r="AX181" s="132">
        <f>IF(Z181="","",IF(Z181="SIM",VLOOKUP($I181&amp;$J181&amp;Z$1,Pesos!$A:$I,7,FALSE),VLOOKUP($I181&amp;$J181&amp;Z$1,Pesos!$A:$I,9,FALSE)))</f>
        <v>0.2</v>
      </c>
      <c r="AY181" s="132">
        <f>IF(AA181="","",IF(AA181="SIM",VLOOKUP($I181&amp;$J181&amp;AA$1,Pesos!$A:$I,7,FALSE),VLOOKUP($I181&amp;$J181&amp;AA$1,Pesos!$A:$I,9,FALSE)))</f>
        <v>0.3</v>
      </c>
      <c r="AZ181" s="132">
        <f>IF(AB181="","",IF(AB181="SIM",VLOOKUP($I181&amp;$J181&amp;AB$1,Pesos!$A:$I,7,FALSE),VLOOKUP($I181&amp;$J181&amp;AB$1,Pesos!$A:$I,9,FALSE)))</f>
        <v>0.1</v>
      </c>
      <c r="BA181" s="132" t="str">
        <f>IF(AC181="","",IF(AC181="SIM",VLOOKUP($I181&amp;$J181&amp;AC$1,Pesos!$A:$I,7,FALSE),VLOOKUP($I181&amp;$J181&amp;AC$1,Pesos!$A:$I,9,FALSE)))</f>
        <v/>
      </c>
      <c r="BB181" s="132" t="str">
        <f>IF(AD181="","",IF(AD181="SIM",VLOOKUP($I181&amp;$J181&amp;AD$1,Pesos!$A:$I,7,FALSE),VLOOKUP($I181&amp;$J181&amp;AD$1,Pesos!$A:$I,9,FALSE)))</f>
        <v/>
      </c>
      <c r="BC181" s="132" t="str">
        <f>IF(AE181="","",IF(AE181="SIM",VLOOKUP($I181&amp;$J181&amp;AE$1,Pesos!$A:$I,7,FALSE),VLOOKUP($I181&amp;$J181&amp;AE$1,Pesos!$A:$I,9,FALSE)))</f>
        <v/>
      </c>
      <c r="BD181" s="158">
        <f>IFERROR(AF181*VLOOKUP(J181,'BD Campos'!$X$1:$Y$14,2,FALSE),"0")</f>
        <v>8.7399999999999984</v>
      </c>
    </row>
    <row r="182" spans="1:56">
      <c r="A182" s="151" t="str">
        <f t="shared" si="11"/>
        <v>Jan11505MotoristaTRANSFERÊNCIA</v>
      </c>
      <c r="B182" s="149" t="str">
        <f t="shared" si="12"/>
        <v>Jan115051TRANSFERÊNCIAPADRÃO</v>
      </c>
      <c r="C182" s="152">
        <v>1</v>
      </c>
      <c r="D182" s="153">
        <v>46057.612981712962</v>
      </c>
      <c r="E182" s="154" t="s">
        <v>12</v>
      </c>
      <c r="F182" s="155">
        <v>11505</v>
      </c>
      <c r="G182" s="149" t="s">
        <v>358</v>
      </c>
      <c r="H182" s="154">
        <v>1</v>
      </c>
      <c r="I182" s="149" t="s">
        <v>92</v>
      </c>
      <c r="J182" s="149" t="s">
        <v>93</v>
      </c>
      <c r="K182" s="149" t="s">
        <v>192</v>
      </c>
      <c r="L182" s="156">
        <v>34535592</v>
      </c>
      <c r="M182" s="157">
        <v>2.673611111111111E-3</v>
      </c>
      <c r="N182" s="131" t="s">
        <v>17</v>
      </c>
      <c r="O182" s="131" t="s">
        <v>17</v>
      </c>
      <c r="P182" s="131" t="s">
        <v>17</v>
      </c>
      <c r="Q182" s="131" t="s">
        <v>17</v>
      </c>
      <c r="R182" s="131" t="s">
        <v>17</v>
      </c>
      <c r="S182" s="131" t="s">
        <v>17</v>
      </c>
      <c r="T182" s="131" t="s">
        <v>17</v>
      </c>
      <c r="U182" s="131" t="s">
        <v>17</v>
      </c>
      <c r="V182" s="131" t="s">
        <v>17</v>
      </c>
      <c r="W182" s="131" t="s">
        <v>17</v>
      </c>
      <c r="X182" s="131" t="s">
        <v>17</v>
      </c>
      <c r="Y182" s="131" t="s">
        <v>17</v>
      </c>
      <c r="Z182" s="131" t="s">
        <v>17</v>
      </c>
      <c r="AA182" s="131" t="s">
        <v>17</v>
      </c>
      <c r="AB182" s="131"/>
      <c r="AC182" s="131"/>
      <c r="AD182" s="131"/>
      <c r="AE182" s="131"/>
      <c r="AF182" s="158">
        <f t="shared" si="14"/>
        <v>10.000000000000002</v>
      </c>
      <c r="AG182" s="159"/>
      <c r="AH182" s="155" t="s">
        <v>359</v>
      </c>
      <c r="AI182" s="155" t="s">
        <v>83</v>
      </c>
      <c r="AJ182" s="131" t="str">
        <f>IFERROR(VLOOKUP(E182&amp;F182,'Listagem dos op'!A:S,19,0),"")</f>
        <v/>
      </c>
      <c r="AK182" s="131" t="str">
        <f t="shared" si="13"/>
        <v>Jan11505</v>
      </c>
      <c r="AL182" s="154">
        <f>IF(N182="","",IF(N182="SIM",VLOOKUP($I182&amp;$J182&amp;N$1,Pesos!$A:$I,7,FALSE),VLOOKUP($I182&amp;$J182&amp;N$1,Pesos!$A:$I,9,FALSE)))</f>
        <v>0.1</v>
      </c>
      <c r="AM182" s="154">
        <f>IF(O182="","",IF(O182="SIM",VLOOKUP($I182&amp;$J182&amp;O$1,Pesos!$A:$I,7,FALSE),VLOOKUP($I182&amp;$J182&amp;O$1,Pesos!$A:$I,9,FALSE)))</f>
        <v>0.1</v>
      </c>
      <c r="AN182" s="154">
        <f>IF(P182="","",IF(P182="SIM",VLOOKUP($I182&amp;$J182&amp;P$1,Pesos!$A:$I,7,FALSE),VLOOKUP($I182&amp;$J182&amp;P$1,Pesos!$A:$I,9,FALSE)))</f>
        <v>0.1</v>
      </c>
      <c r="AO182" s="154">
        <f>IF(Q182="","",IF(Q182="SIM",VLOOKUP($I182&amp;$J182&amp;Q$1,Pesos!$A:$I,7,FALSE),VLOOKUP($I182&amp;$J182&amp;Q$1,Pesos!$A:$I,9,FALSE)))</f>
        <v>2</v>
      </c>
      <c r="AP182" s="154">
        <f>IF(R182="","",IF(R182="SIM",VLOOKUP($I182&amp;$J182&amp;R$1,Pesos!$A:$I,7,FALSE),VLOOKUP($I182&amp;$J182&amp;R$1,Pesos!$A:$I,9,FALSE)))</f>
        <v>1.03</v>
      </c>
      <c r="AQ182" s="154">
        <f>IF(S182="","",IF(S182="SIM",VLOOKUP($I182&amp;$J182&amp;S$1,Pesos!$A:$I,7,FALSE),VLOOKUP($I182&amp;$J182&amp;S$1,Pesos!$A:$I,9,FALSE)))</f>
        <v>1.7000000000000002</v>
      </c>
      <c r="AR182" s="156">
        <f>IF(T182="","",IF(T182="SIM",VLOOKUP($I182&amp;$J182&amp;T$1,Pesos!$A:$I,7,FALSE),VLOOKUP($I182&amp;$J182&amp;T$1,Pesos!$A:$I,9,FALSE)))</f>
        <v>1.92</v>
      </c>
      <c r="AS182" s="132">
        <f>IF(U182="","",IF(U182="SIM",VLOOKUP($I182&amp;$J182&amp;U$1,Pesos!$A:$I,7,FALSE),VLOOKUP($I182&amp;$J182&amp;U$1,Pesos!$A:$I,9,FALSE)))</f>
        <v>1.7000000000000002</v>
      </c>
      <c r="AT182" s="132">
        <f>IF(V182="","",IF(V182="SIM",VLOOKUP($I182&amp;$J182&amp;V$1,Pesos!$A:$I,7,FALSE),VLOOKUP($I182&amp;$J182&amp;V$1,Pesos!$A:$I,9,FALSE)))</f>
        <v>0.3</v>
      </c>
      <c r="AU182" s="132">
        <f>IF(W182="","",IF(W182="SIM",VLOOKUP($I182&amp;$J182&amp;W$1,Pesos!$A:$I,7,FALSE),VLOOKUP($I182&amp;$J182&amp;W$1,Pesos!$A:$I,9,FALSE)))</f>
        <v>0.3</v>
      </c>
      <c r="AV182" s="132">
        <f>IF(X182="","",IF(X182="SIM",VLOOKUP($I182&amp;$J182&amp;X$1,Pesos!$A:$I,7,FALSE),VLOOKUP($I182&amp;$J182&amp;X$1,Pesos!$A:$I,9,FALSE)))</f>
        <v>0.15</v>
      </c>
      <c r="AW182" s="132">
        <f>IF(Y182="","",IF(Y182="SIM",VLOOKUP($I182&amp;$J182&amp;Y$1,Pesos!$A:$I,7,FALSE),VLOOKUP($I182&amp;$J182&amp;Y$1,Pesos!$A:$I,9,FALSE)))</f>
        <v>0.2</v>
      </c>
      <c r="AX182" s="132">
        <f>IF(Z182="","",IF(Z182="SIM",VLOOKUP($I182&amp;$J182&amp;Z$1,Pesos!$A:$I,7,FALSE),VLOOKUP($I182&amp;$J182&amp;Z$1,Pesos!$A:$I,9,FALSE)))</f>
        <v>0.3</v>
      </c>
      <c r="AY182" s="132">
        <f>IF(AA182="","",IF(AA182="SIM",VLOOKUP($I182&amp;$J182&amp;AA$1,Pesos!$A:$I,7,FALSE),VLOOKUP($I182&amp;$J182&amp;AA$1,Pesos!$A:$I,9,FALSE)))</f>
        <v>0.1</v>
      </c>
      <c r="AZ182" s="132" t="str">
        <f>IF(AB182="","",IF(AB182="SIM",VLOOKUP($I182&amp;$J182&amp;AB$1,Pesos!$A:$I,7,FALSE),VLOOKUP($I182&amp;$J182&amp;AB$1,Pesos!$A:$I,9,FALSE)))</f>
        <v/>
      </c>
      <c r="BA182" s="132" t="str">
        <f>IF(AC182="","",IF(AC182="SIM",VLOOKUP($I182&amp;$J182&amp;AC$1,Pesos!$A:$I,7,FALSE),VLOOKUP($I182&amp;$J182&amp;AC$1,Pesos!$A:$I,9,FALSE)))</f>
        <v/>
      </c>
      <c r="BB182" s="132" t="str">
        <f>IF(AD182="","",IF(AD182="SIM",VLOOKUP($I182&amp;$J182&amp;AD$1,Pesos!$A:$I,7,FALSE),VLOOKUP($I182&amp;$J182&amp;AD$1,Pesos!$A:$I,9,FALSE)))</f>
        <v/>
      </c>
      <c r="BC182" s="132" t="str">
        <f>IF(AE182="","",IF(AE182="SIM",VLOOKUP($I182&amp;$J182&amp;AE$1,Pesos!$A:$I,7,FALSE),VLOOKUP($I182&amp;$J182&amp;AE$1,Pesos!$A:$I,9,FALSE)))</f>
        <v/>
      </c>
      <c r="BD182" s="158">
        <f>IFERROR(AF182*VLOOKUP(J182,'BD Campos'!$X$1:$Y$14,2,FALSE),"0")</f>
        <v>10.000000000000002</v>
      </c>
    </row>
    <row r="183" spans="1:56">
      <c r="A183" s="151" t="str">
        <f t="shared" si="11"/>
        <v>Jan11505Motorista 2TRANSFERÊNCIA</v>
      </c>
      <c r="B183" s="149" t="str">
        <f t="shared" si="12"/>
        <v>Jan115052TRANSFERÊNCIAPADRÃO</v>
      </c>
      <c r="C183" s="152">
        <v>1</v>
      </c>
      <c r="D183" s="153">
        <v>46057.615829629627</v>
      </c>
      <c r="E183" s="154" t="s">
        <v>12</v>
      </c>
      <c r="F183" s="155">
        <v>11505</v>
      </c>
      <c r="G183" s="149" t="s">
        <v>358</v>
      </c>
      <c r="H183" s="154">
        <v>2</v>
      </c>
      <c r="I183" s="149" t="s">
        <v>130</v>
      </c>
      <c r="J183" s="149" t="s">
        <v>97</v>
      </c>
      <c r="K183" s="149" t="s">
        <v>192</v>
      </c>
      <c r="L183" s="156">
        <v>34551801</v>
      </c>
      <c r="M183" s="157">
        <v>1.7476851851851852E-3</v>
      </c>
      <c r="N183" s="131" t="s">
        <v>17</v>
      </c>
      <c r="O183" s="131" t="s">
        <v>17</v>
      </c>
      <c r="P183" s="131" t="s">
        <v>17</v>
      </c>
      <c r="Q183" s="131" t="s">
        <v>17</v>
      </c>
      <c r="R183" s="131" t="s">
        <v>17</v>
      </c>
      <c r="S183" s="131" t="s">
        <v>17</v>
      </c>
      <c r="T183" s="131" t="s">
        <v>18</v>
      </c>
      <c r="U183" s="131" t="s">
        <v>18</v>
      </c>
      <c r="V183" s="131" t="s">
        <v>18</v>
      </c>
      <c r="W183" s="131" t="s">
        <v>18</v>
      </c>
      <c r="X183" s="131" t="s">
        <v>17</v>
      </c>
      <c r="Y183" s="131" t="s">
        <v>17</v>
      </c>
      <c r="Z183" s="131" t="s">
        <v>17</v>
      </c>
      <c r="AA183" s="131" t="s">
        <v>17</v>
      </c>
      <c r="AB183" s="131" t="s">
        <v>17</v>
      </c>
      <c r="AC183" s="131"/>
      <c r="AD183" s="131"/>
      <c r="AE183" s="131"/>
      <c r="AF183" s="158">
        <f t="shared" si="14"/>
        <v>5.4638</v>
      </c>
      <c r="AG183" s="159"/>
      <c r="AH183" s="155" t="s">
        <v>360</v>
      </c>
      <c r="AI183" s="155" t="s">
        <v>83</v>
      </c>
      <c r="AJ183" s="131" t="str">
        <f>IFERROR(VLOOKUP(E183&amp;F183,'Listagem dos op'!A:S,19,0),"")</f>
        <v/>
      </c>
      <c r="AK183" s="131" t="str">
        <f t="shared" si="13"/>
        <v>Jan11505</v>
      </c>
      <c r="AL183" s="154">
        <f>IF(N183="","",IF(N183="SIM",VLOOKUP($I183&amp;$J183&amp;N$1,Pesos!$A:$I,7,FALSE),VLOOKUP($I183&amp;$J183&amp;N$1,Pesos!$A:$I,9,FALSE)))</f>
        <v>0.1</v>
      </c>
      <c r="AM183" s="154">
        <f>IF(O183="","",IF(O183="SIM",VLOOKUP($I183&amp;$J183&amp;O$1,Pesos!$A:$I,7,FALSE),VLOOKUP($I183&amp;$J183&amp;O$1,Pesos!$A:$I,9,FALSE)))</f>
        <v>0.1</v>
      </c>
      <c r="AN183" s="154">
        <f>IF(P183="","",IF(P183="SIM",VLOOKUP($I183&amp;$J183&amp;P$1,Pesos!$A:$I,7,FALSE),VLOOKUP($I183&amp;$J183&amp;P$1,Pesos!$A:$I,9,FALSE)))</f>
        <v>0.1</v>
      </c>
      <c r="AO183" s="154">
        <f>IF(Q183="","",IF(Q183="SIM",VLOOKUP($I183&amp;$J183&amp;Q$1,Pesos!$A:$I,7,FALSE),VLOOKUP($I183&amp;$J183&amp;Q$1,Pesos!$A:$I,9,FALSE)))</f>
        <v>2</v>
      </c>
      <c r="AP183" s="154">
        <f>IF(R183="","",IF(R183="SIM",VLOOKUP($I183&amp;$J183&amp;R$1,Pesos!$A:$I,7,FALSE),VLOOKUP($I183&amp;$J183&amp;R$1,Pesos!$A:$I,9,FALSE)))</f>
        <v>1.03</v>
      </c>
      <c r="AQ183" s="154">
        <f>IF(S183="","",IF(S183="SIM",VLOOKUP($I183&amp;$J183&amp;S$1,Pesos!$A:$I,7,FALSE),VLOOKUP($I183&amp;$J183&amp;S$1,Pesos!$A:$I,9,FALSE)))</f>
        <v>1.3</v>
      </c>
      <c r="AR183" s="156">
        <f>IF(T183="","",IF(T183="SIM",VLOOKUP($I183&amp;$J183&amp;T$1,Pesos!$A:$I,7,FALSE),VLOOKUP($I183&amp;$J183&amp;T$1,Pesos!$A:$I,9,FALSE)))</f>
        <v>-6.5000000000000002E-2</v>
      </c>
      <c r="AS183" s="132">
        <f>IF(U183="","",IF(U183="SIM",VLOOKUP($I183&amp;$J183&amp;U$1,Pesos!$A:$I,7,FALSE),VLOOKUP($I183&amp;$J183&amp;U$1,Pesos!$A:$I,9,FALSE)))</f>
        <v>-6.6000000000000003E-2</v>
      </c>
      <c r="AT183" s="132">
        <f>IF(V183="","",IF(V183="SIM",VLOOKUP($I183&amp;$J183&amp;V$1,Pesos!$A:$I,7,FALSE),VLOOKUP($I183&amp;$J183&amp;V$1,Pesos!$A:$I,9,FALSE)))</f>
        <v>-7.0199999999999999E-2</v>
      </c>
      <c r="AU183" s="132">
        <f>IF(W183="","",IF(W183="SIM",VLOOKUP($I183&amp;$J183&amp;W$1,Pesos!$A:$I,7,FALSE),VLOOKUP($I183&amp;$J183&amp;W$1,Pesos!$A:$I,9,FALSE)))</f>
        <v>-1.4999999999999999E-2</v>
      </c>
      <c r="AV183" s="132">
        <f>IF(X183="","",IF(X183="SIM",VLOOKUP($I183&amp;$J183&amp;X$1,Pesos!$A:$I,7,FALSE),VLOOKUP($I183&amp;$J183&amp;X$1,Pesos!$A:$I,9,FALSE)))</f>
        <v>0.3</v>
      </c>
      <c r="AW183" s="132">
        <f>IF(Y183="","",IF(Y183="SIM",VLOOKUP($I183&amp;$J183&amp;Y$1,Pesos!$A:$I,7,FALSE),VLOOKUP($I183&amp;$J183&amp;Y$1,Pesos!$A:$I,9,FALSE)))</f>
        <v>0.15</v>
      </c>
      <c r="AX183" s="132">
        <f>IF(Z183="","",IF(Z183="SIM",VLOOKUP($I183&amp;$J183&amp;Z$1,Pesos!$A:$I,7,FALSE),VLOOKUP($I183&amp;$J183&amp;Z$1,Pesos!$A:$I,9,FALSE)))</f>
        <v>0.2</v>
      </c>
      <c r="AY183" s="132">
        <f>IF(AA183="","",IF(AA183="SIM",VLOOKUP($I183&amp;$J183&amp;AA$1,Pesos!$A:$I,7,FALSE),VLOOKUP($I183&amp;$J183&amp;AA$1,Pesos!$A:$I,9,FALSE)))</f>
        <v>0.3</v>
      </c>
      <c r="AZ183" s="132">
        <f>IF(AB183="","",IF(AB183="SIM",VLOOKUP($I183&amp;$J183&amp;AB$1,Pesos!$A:$I,7,FALSE),VLOOKUP($I183&amp;$J183&amp;AB$1,Pesos!$A:$I,9,FALSE)))</f>
        <v>0.1</v>
      </c>
      <c r="BA183" s="132" t="str">
        <f>IF(AC183="","",IF(AC183="SIM",VLOOKUP($I183&amp;$J183&amp;AC$1,Pesos!$A:$I,7,FALSE),VLOOKUP($I183&amp;$J183&amp;AC$1,Pesos!$A:$I,9,FALSE)))</f>
        <v/>
      </c>
      <c r="BB183" s="132" t="str">
        <f>IF(AD183="","",IF(AD183="SIM",VLOOKUP($I183&amp;$J183&amp;AD$1,Pesos!$A:$I,7,FALSE),VLOOKUP($I183&amp;$J183&amp;AD$1,Pesos!$A:$I,9,FALSE)))</f>
        <v/>
      </c>
      <c r="BC183" s="132" t="str">
        <f>IF(AE183="","",IF(AE183="SIM",VLOOKUP($I183&amp;$J183&amp;AE$1,Pesos!$A:$I,7,FALSE),VLOOKUP($I183&amp;$J183&amp;AE$1,Pesos!$A:$I,9,FALSE)))</f>
        <v/>
      </c>
      <c r="BD183" s="158">
        <f>IFERROR(AF183*VLOOKUP(J183,'BD Campos'!$X$1:$Y$14,2,FALSE),"0")</f>
        <v>5.4638</v>
      </c>
    </row>
    <row r="184" spans="1:56">
      <c r="A184" s="151" t="str">
        <f t="shared" si="11"/>
        <v>Jan11513MotoristaTRANSFERÊNCIA</v>
      </c>
      <c r="B184" s="149" t="str">
        <f t="shared" si="12"/>
        <v>Jan115131TRANSFERÊNCIAPADRÃO</v>
      </c>
      <c r="C184" s="152">
        <v>1</v>
      </c>
      <c r="D184" s="153">
        <v>46057.627840972222</v>
      </c>
      <c r="E184" s="154" t="s">
        <v>12</v>
      </c>
      <c r="F184" s="155">
        <v>11513</v>
      </c>
      <c r="G184" s="149" t="s">
        <v>361</v>
      </c>
      <c r="H184" s="154">
        <v>1</v>
      </c>
      <c r="I184" s="149" t="s">
        <v>92</v>
      </c>
      <c r="J184" s="149" t="s">
        <v>93</v>
      </c>
      <c r="K184" s="149" t="s">
        <v>192</v>
      </c>
      <c r="L184" s="156">
        <v>34518358</v>
      </c>
      <c r="M184" s="157">
        <v>1.4467592592592594E-3</v>
      </c>
      <c r="N184" s="131" t="s">
        <v>17</v>
      </c>
      <c r="O184" s="131" t="s">
        <v>17</v>
      </c>
      <c r="P184" s="131" t="s">
        <v>17</v>
      </c>
      <c r="Q184" s="131" t="s">
        <v>17</v>
      </c>
      <c r="R184" s="131" t="s">
        <v>17</v>
      </c>
      <c r="S184" s="131" t="s">
        <v>17</v>
      </c>
      <c r="T184" s="131" t="s">
        <v>17</v>
      </c>
      <c r="U184" s="131" t="s">
        <v>17</v>
      </c>
      <c r="V184" s="131" t="s">
        <v>17</v>
      </c>
      <c r="W184" s="131" t="s">
        <v>17</v>
      </c>
      <c r="X184" s="131" t="s">
        <v>17</v>
      </c>
      <c r="Y184" s="131" t="s">
        <v>17</v>
      </c>
      <c r="Z184" s="131" t="s">
        <v>17</v>
      </c>
      <c r="AA184" s="131" t="s">
        <v>17</v>
      </c>
      <c r="AB184" s="131"/>
      <c r="AC184" s="131"/>
      <c r="AD184" s="131"/>
      <c r="AE184" s="131"/>
      <c r="AF184" s="158">
        <f t="shared" si="14"/>
        <v>10.000000000000002</v>
      </c>
      <c r="AG184" s="159"/>
      <c r="AH184" s="155" t="s">
        <v>362</v>
      </c>
      <c r="AI184" s="155" t="s">
        <v>83</v>
      </c>
      <c r="AJ184" s="131" t="str">
        <f>IFERROR(VLOOKUP(E184&amp;F184,'Listagem dos op'!A:S,19,0),"")</f>
        <v/>
      </c>
      <c r="AK184" s="131" t="str">
        <f t="shared" si="13"/>
        <v>Jan11513</v>
      </c>
      <c r="AL184" s="154">
        <f>IF(N184="","",IF(N184="SIM",VLOOKUP($I184&amp;$J184&amp;N$1,Pesos!$A:$I,7,FALSE),VLOOKUP($I184&amp;$J184&amp;N$1,Pesos!$A:$I,9,FALSE)))</f>
        <v>0.1</v>
      </c>
      <c r="AM184" s="154">
        <f>IF(O184="","",IF(O184="SIM",VLOOKUP($I184&amp;$J184&amp;O$1,Pesos!$A:$I,7,FALSE),VLOOKUP($I184&amp;$J184&amp;O$1,Pesos!$A:$I,9,FALSE)))</f>
        <v>0.1</v>
      </c>
      <c r="AN184" s="154">
        <f>IF(P184="","",IF(P184="SIM",VLOOKUP($I184&amp;$J184&amp;P$1,Pesos!$A:$I,7,FALSE),VLOOKUP($I184&amp;$J184&amp;P$1,Pesos!$A:$I,9,FALSE)))</f>
        <v>0.1</v>
      </c>
      <c r="AO184" s="154">
        <f>IF(Q184="","",IF(Q184="SIM",VLOOKUP($I184&amp;$J184&amp;Q$1,Pesos!$A:$I,7,FALSE),VLOOKUP($I184&amp;$J184&amp;Q$1,Pesos!$A:$I,9,FALSE)))</f>
        <v>2</v>
      </c>
      <c r="AP184" s="154">
        <f>IF(R184="","",IF(R184="SIM",VLOOKUP($I184&amp;$J184&amp;R$1,Pesos!$A:$I,7,FALSE),VLOOKUP($I184&amp;$J184&amp;R$1,Pesos!$A:$I,9,FALSE)))</f>
        <v>1.03</v>
      </c>
      <c r="AQ184" s="154">
        <f>IF(S184="","",IF(S184="SIM",VLOOKUP($I184&amp;$J184&amp;S$1,Pesos!$A:$I,7,FALSE),VLOOKUP($I184&amp;$J184&amp;S$1,Pesos!$A:$I,9,FALSE)))</f>
        <v>1.7000000000000002</v>
      </c>
      <c r="AR184" s="156">
        <f>IF(T184="","",IF(T184="SIM",VLOOKUP($I184&amp;$J184&amp;T$1,Pesos!$A:$I,7,FALSE),VLOOKUP($I184&amp;$J184&amp;T$1,Pesos!$A:$I,9,FALSE)))</f>
        <v>1.92</v>
      </c>
      <c r="AS184" s="132">
        <f>IF(U184="","",IF(U184="SIM",VLOOKUP($I184&amp;$J184&amp;U$1,Pesos!$A:$I,7,FALSE),VLOOKUP($I184&amp;$J184&amp;U$1,Pesos!$A:$I,9,FALSE)))</f>
        <v>1.7000000000000002</v>
      </c>
      <c r="AT184" s="132">
        <f>IF(V184="","",IF(V184="SIM",VLOOKUP($I184&amp;$J184&amp;V$1,Pesos!$A:$I,7,FALSE),VLOOKUP($I184&amp;$J184&amp;V$1,Pesos!$A:$I,9,FALSE)))</f>
        <v>0.3</v>
      </c>
      <c r="AU184" s="132">
        <f>IF(W184="","",IF(W184="SIM",VLOOKUP($I184&amp;$J184&amp;W$1,Pesos!$A:$I,7,FALSE),VLOOKUP($I184&amp;$J184&amp;W$1,Pesos!$A:$I,9,FALSE)))</f>
        <v>0.3</v>
      </c>
      <c r="AV184" s="132">
        <f>IF(X184="","",IF(X184="SIM",VLOOKUP($I184&amp;$J184&amp;X$1,Pesos!$A:$I,7,FALSE),VLOOKUP($I184&amp;$J184&amp;X$1,Pesos!$A:$I,9,FALSE)))</f>
        <v>0.15</v>
      </c>
      <c r="AW184" s="132">
        <f>IF(Y184="","",IF(Y184="SIM",VLOOKUP($I184&amp;$J184&amp;Y$1,Pesos!$A:$I,7,FALSE),VLOOKUP($I184&amp;$J184&amp;Y$1,Pesos!$A:$I,9,FALSE)))</f>
        <v>0.2</v>
      </c>
      <c r="AX184" s="132">
        <f>IF(Z184="","",IF(Z184="SIM",VLOOKUP($I184&amp;$J184&amp;Z$1,Pesos!$A:$I,7,FALSE),VLOOKUP($I184&amp;$J184&amp;Z$1,Pesos!$A:$I,9,FALSE)))</f>
        <v>0.3</v>
      </c>
      <c r="AY184" s="132">
        <f>IF(AA184="","",IF(AA184="SIM",VLOOKUP($I184&amp;$J184&amp;AA$1,Pesos!$A:$I,7,FALSE),VLOOKUP($I184&amp;$J184&amp;AA$1,Pesos!$A:$I,9,FALSE)))</f>
        <v>0.1</v>
      </c>
      <c r="AZ184" s="132" t="str">
        <f>IF(AB184="","",IF(AB184="SIM",VLOOKUP($I184&amp;$J184&amp;AB$1,Pesos!$A:$I,7,FALSE),VLOOKUP($I184&amp;$J184&amp;AB$1,Pesos!$A:$I,9,FALSE)))</f>
        <v/>
      </c>
      <c r="BA184" s="132" t="str">
        <f>IF(AC184="","",IF(AC184="SIM",VLOOKUP($I184&amp;$J184&amp;AC$1,Pesos!$A:$I,7,FALSE),VLOOKUP($I184&amp;$J184&amp;AC$1,Pesos!$A:$I,9,FALSE)))</f>
        <v/>
      </c>
      <c r="BB184" s="132" t="str">
        <f>IF(AD184="","",IF(AD184="SIM",VLOOKUP($I184&amp;$J184&amp;AD$1,Pesos!$A:$I,7,FALSE),VLOOKUP($I184&amp;$J184&amp;AD$1,Pesos!$A:$I,9,FALSE)))</f>
        <v/>
      </c>
      <c r="BC184" s="132" t="str">
        <f>IF(AE184="","",IF(AE184="SIM",VLOOKUP($I184&amp;$J184&amp;AE$1,Pesos!$A:$I,7,FALSE),VLOOKUP($I184&amp;$J184&amp;AE$1,Pesos!$A:$I,9,FALSE)))</f>
        <v/>
      </c>
      <c r="BD184" s="158">
        <f>IFERROR(AF184*VLOOKUP(J184,'BD Campos'!$X$1:$Y$14,2,FALSE),"0")</f>
        <v>10.000000000000002</v>
      </c>
    </row>
    <row r="185" spans="1:56">
      <c r="A185" s="151" t="str">
        <f t="shared" si="11"/>
        <v>Jan11513Motorista 2TRANSFERÊNCIA</v>
      </c>
      <c r="B185" s="149" t="str">
        <f t="shared" si="12"/>
        <v>Jan115132TRANSFERÊNCIAPADRÃO</v>
      </c>
      <c r="C185" s="152">
        <v>1</v>
      </c>
      <c r="D185" s="153">
        <v>46057.632541666666</v>
      </c>
      <c r="E185" s="154" t="s">
        <v>12</v>
      </c>
      <c r="F185" s="155">
        <v>11513</v>
      </c>
      <c r="G185" s="149" t="s">
        <v>361</v>
      </c>
      <c r="H185" s="154">
        <v>2</v>
      </c>
      <c r="I185" s="149" t="s">
        <v>92</v>
      </c>
      <c r="J185" s="149" t="s">
        <v>97</v>
      </c>
      <c r="K185" s="149" t="s">
        <v>192</v>
      </c>
      <c r="L185" s="156">
        <v>34780695</v>
      </c>
      <c r="M185" s="157">
        <v>1.1805555555555556E-3</v>
      </c>
      <c r="N185" s="131" t="s">
        <v>17</v>
      </c>
      <c r="O185" s="131" t="s">
        <v>17</v>
      </c>
      <c r="P185" s="131" t="s">
        <v>17</v>
      </c>
      <c r="Q185" s="131" t="s">
        <v>17</v>
      </c>
      <c r="R185" s="131" t="s">
        <v>17</v>
      </c>
      <c r="S185" s="131" t="s">
        <v>17</v>
      </c>
      <c r="T185" s="131" t="s">
        <v>17</v>
      </c>
      <c r="U185" s="131" t="s">
        <v>18</v>
      </c>
      <c r="V185" s="131" t="s">
        <v>17</v>
      </c>
      <c r="W185" s="131" t="s">
        <v>17</v>
      </c>
      <c r="X185" s="131" t="s">
        <v>17</v>
      </c>
      <c r="Y185" s="131" t="s">
        <v>17</v>
      </c>
      <c r="Z185" s="131" t="s">
        <v>17</v>
      </c>
      <c r="AA185" s="131" t="s">
        <v>17</v>
      </c>
      <c r="AB185" s="131"/>
      <c r="AC185" s="131"/>
      <c r="AD185" s="131"/>
      <c r="AE185" s="131"/>
      <c r="AF185" s="158">
        <f t="shared" si="14"/>
        <v>8.2149999999999999</v>
      </c>
      <c r="AG185" s="159"/>
      <c r="AH185" s="155" t="s">
        <v>363</v>
      </c>
      <c r="AI185" s="155" t="s">
        <v>83</v>
      </c>
      <c r="AJ185" s="131" t="str">
        <f>IFERROR(VLOOKUP(E185&amp;F185,'Listagem dos op'!A:S,19,0),"")</f>
        <v/>
      </c>
      <c r="AK185" s="131" t="str">
        <f t="shared" si="13"/>
        <v>Jan11513</v>
      </c>
      <c r="AL185" s="154">
        <f>IF(N185="","",IF(N185="SIM",VLOOKUP($I185&amp;$J185&amp;N$1,Pesos!$A:$I,7,FALSE),VLOOKUP($I185&amp;$J185&amp;N$1,Pesos!$A:$I,9,FALSE)))</f>
        <v>0.1</v>
      </c>
      <c r="AM185" s="154">
        <f>IF(O185="","",IF(O185="SIM",VLOOKUP($I185&amp;$J185&amp;O$1,Pesos!$A:$I,7,FALSE),VLOOKUP($I185&amp;$J185&amp;O$1,Pesos!$A:$I,9,FALSE)))</f>
        <v>0.1</v>
      </c>
      <c r="AN185" s="154">
        <f>IF(P185="","",IF(P185="SIM",VLOOKUP($I185&amp;$J185&amp;P$1,Pesos!$A:$I,7,FALSE),VLOOKUP($I185&amp;$J185&amp;P$1,Pesos!$A:$I,9,FALSE)))</f>
        <v>0.1</v>
      </c>
      <c r="AO185" s="154">
        <f>IF(Q185="","",IF(Q185="SIM",VLOOKUP($I185&amp;$J185&amp;Q$1,Pesos!$A:$I,7,FALSE),VLOOKUP($I185&amp;$J185&amp;Q$1,Pesos!$A:$I,9,FALSE)))</f>
        <v>2</v>
      </c>
      <c r="AP185" s="154">
        <f>IF(R185="","",IF(R185="SIM",VLOOKUP($I185&amp;$J185&amp;R$1,Pesos!$A:$I,7,FALSE),VLOOKUP($I185&amp;$J185&amp;R$1,Pesos!$A:$I,9,FALSE)))</f>
        <v>1.03</v>
      </c>
      <c r="AQ185" s="154">
        <f>IF(S185="","",IF(S185="SIM",VLOOKUP($I185&amp;$J185&amp;S$1,Pesos!$A:$I,7,FALSE),VLOOKUP($I185&amp;$J185&amp;S$1,Pesos!$A:$I,9,FALSE)))</f>
        <v>1.7000000000000002</v>
      </c>
      <c r="AR185" s="156">
        <f>IF(T185="","",IF(T185="SIM",VLOOKUP($I185&amp;$J185&amp;T$1,Pesos!$A:$I,7,FALSE),VLOOKUP($I185&amp;$J185&amp;T$1,Pesos!$A:$I,9,FALSE)))</f>
        <v>1.92</v>
      </c>
      <c r="AS185" s="132">
        <f>IF(U185="","",IF(U185="SIM",VLOOKUP($I185&amp;$J185&amp;U$1,Pesos!$A:$I,7,FALSE),VLOOKUP($I185&amp;$J185&amp;U$1,Pesos!$A:$I,9,FALSE)))</f>
        <v>-8.500000000000002E-2</v>
      </c>
      <c r="AT185" s="132">
        <f>IF(V185="","",IF(V185="SIM",VLOOKUP($I185&amp;$J185&amp;V$1,Pesos!$A:$I,7,FALSE),VLOOKUP($I185&amp;$J185&amp;V$1,Pesos!$A:$I,9,FALSE)))</f>
        <v>0.3</v>
      </c>
      <c r="AU185" s="132">
        <f>IF(W185="","",IF(W185="SIM",VLOOKUP($I185&amp;$J185&amp;W$1,Pesos!$A:$I,7,FALSE),VLOOKUP($I185&amp;$J185&amp;W$1,Pesos!$A:$I,9,FALSE)))</f>
        <v>0.3</v>
      </c>
      <c r="AV185" s="132">
        <f>IF(X185="","",IF(X185="SIM",VLOOKUP($I185&amp;$J185&amp;X$1,Pesos!$A:$I,7,FALSE),VLOOKUP($I185&amp;$J185&amp;X$1,Pesos!$A:$I,9,FALSE)))</f>
        <v>0.15</v>
      </c>
      <c r="AW185" s="132">
        <f>IF(Y185="","",IF(Y185="SIM",VLOOKUP($I185&amp;$J185&amp;Y$1,Pesos!$A:$I,7,FALSE),VLOOKUP($I185&amp;$J185&amp;Y$1,Pesos!$A:$I,9,FALSE)))</f>
        <v>0.2</v>
      </c>
      <c r="AX185" s="132">
        <f>IF(Z185="","",IF(Z185="SIM",VLOOKUP($I185&amp;$J185&amp;Z$1,Pesos!$A:$I,7,FALSE),VLOOKUP($I185&amp;$J185&amp;Z$1,Pesos!$A:$I,9,FALSE)))</f>
        <v>0.3</v>
      </c>
      <c r="AY185" s="132">
        <f>IF(AA185="","",IF(AA185="SIM",VLOOKUP($I185&amp;$J185&amp;AA$1,Pesos!$A:$I,7,FALSE),VLOOKUP($I185&amp;$J185&amp;AA$1,Pesos!$A:$I,9,FALSE)))</f>
        <v>0.1</v>
      </c>
      <c r="AZ185" s="132" t="str">
        <f>IF(AB185="","",IF(AB185="SIM",VLOOKUP($I185&amp;$J185&amp;AB$1,Pesos!$A:$I,7,FALSE),VLOOKUP($I185&amp;$J185&amp;AB$1,Pesos!$A:$I,9,FALSE)))</f>
        <v/>
      </c>
      <c r="BA185" s="132" t="str">
        <f>IF(AC185="","",IF(AC185="SIM",VLOOKUP($I185&amp;$J185&amp;AC$1,Pesos!$A:$I,7,FALSE),VLOOKUP($I185&amp;$J185&amp;AC$1,Pesos!$A:$I,9,FALSE)))</f>
        <v/>
      </c>
      <c r="BB185" s="132" t="str">
        <f>IF(AD185="","",IF(AD185="SIM",VLOOKUP($I185&amp;$J185&amp;AD$1,Pesos!$A:$I,7,FALSE),VLOOKUP($I185&amp;$J185&amp;AD$1,Pesos!$A:$I,9,FALSE)))</f>
        <v/>
      </c>
      <c r="BC185" s="132" t="str">
        <f>IF(AE185="","",IF(AE185="SIM",VLOOKUP($I185&amp;$J185&amp;AE$1,Pesos!$A:$I,7,FALSE),VLOOKUP($I185&amp;$J185&amp;AE$1,Pesos!$A:$I,9,FALSE)))</f>
        <v/>
      </c>
      <c r="BD185" s="158">
        <f>IFERROR(AF185*VLOOKUP(J185,'BD Campos'!$X$1:$Y$14,2,FALSE),"0")</f>
        <v>8.2149999999999999</v>
      </c>
    </row>
    <row r="186" spans="1:56">
      <c r="A186" s="151" t="str">
        <f t="shared" si="11"/>
        <v>Jan11504MotoristaTRANSFERÊNCIA</v>
      </c>
      <c r="B186" s="149" t="str">
        <f t="shared" si="12"/>
        <v>Jan115041TRANSFERÊNCIAPADRÃO</v>
      </c>
      <c r="C186" s="152">
        <v>1</v>
      </c>
      <c r="D186" s="153">
        <v>46057.665787847225</v>
      </c>
      <c r="E186" s="154" t="s">
        <v>12</v>
      </c>
      <c r="F186" s="155">
        <v>11504</v>
      </c>
      <c r="G186" s="149" t="s">
        <v>364</v>
      </c>
      <c r="H186" s="154">
        <v>1</v>
      </c>
      <c r="I186" s="149" t="s">
        <v>130</v>
      </c>
      <c r="J186" s="149" t="s">
        <v>93</v>
      </c>
      <c r="K186" s="149" t="s">
        <v>192</v>
      </c>
      <c r="L186" s="156">
        <v>2409604</v>
      </c>
      <c r="M186" s="157" t="s">
        <v>365</v>
      </c>
      <c r="N186" s="131"/>
      <c r="O186" s="131"/>
      <c r="P186" s="131"/>
      <c r="Q186" s="131"/>
      <c r="R186" s="131"/>
      <c r="S186" s="131"/>
      <c r="T186" s="131"/>
      <c r="U186" s="131"/>
      <c r="V186" s="131"/>
      <c r="W186" s="131"/>
      <c r="X186" s="131"/>
      <c r="Y186" s="131"/>
      <c r="Z186" s="131"/>
      <c r="AA186" s="131"/>
      <c r="AB186" s="131"/>
      <c r="AC186" s="131"/>
      <c r="AD186" s="131"/>
      <c r="AE186" s="131"/>
      <c r="AF186" s="158">
        <f t="shared" si="14"/>
        <v>0</v>
      </c>
      <c r="AG186" s="159" t="s">
        <v>141</v>
      </c>
      <c r="AH186" s="155" t="s">
        <v>366</v>
      </c>
      <c r="AI186" s="155" t="s">
        <v>83</v>
      </c>
      <c r="AJ186" s="131" t="str">
        <f>IFERROR(VLOOKUP(E186&amp;F186,'Listagem dos op'!A:S,19,0),"")</f>
        <v/>
      </c>
      <c r="AK186" s="131" t="str">
        <f t="shared" si="13"/>
        <v>Jan11504</v>
      </c>
      <c r="AL186" s="154" t="str">
        <f>IF(N186="","",IF(N186="SIM",VLOOKUP($I186&amp;$J186&amp;N$1,Pesos!$A:$I,7,FALSE),VLOOKUP($I186&amp;$J186&amp;N$1,Pesos!$A:$I,9,FALSE)))</f>
        <v/>
      </c>
      <c r="AM186" s="154" t="str">
        <f>IF(O186="","",IF(O186="SIM",VLOOKUP($I186&amp;$J186&amp;O$1,Pesos!$A:$I,7,FALSE),VLOOKUP($I186&amp;$J186&amp;O$1,Pesos!$A:$I,9,FALSE)))</f>
        <v/>
      </c>
      <c r="AN186" s="154" t="str">
        <f>IF(P186="","",IF(P186="SIM",VLOOKUP($I186&amp;$J186&amp;P$1,Pesos!$A:$I,7,FALSE),VLOOKUP($I186&amp;$J186&amp;P$1,Pesos!$A:$I,9,FALSE)))</f>
        <v/>
      </c>
      <c r="AO186" s="154" t="str">
        <f>IF(Q186="","",IF(Q186="SIM",VLOOKUP($I186&amp;$J186&amp;Q$1,Pesos!$A:$I,7,FALSE),VLOOKUP($I186&amp;$J186&amp;Q$1,Pesos!$A:$I,9,FALSE)))</f>
        <v/>
      </c>
      <c r="AP186" s="154" t="str">
        <f>IF(R186="","",IF(R186="SIM",VLOOKUP($I186&amp;$J186&amp;R$1,Pesos!$A:$I,7,FALSE),VLOOKUP($I186&amp;$J186&amp;R$1,Pesos!$A:$I,9,FALSE)))</f>
        <v/>
      </c>
      <c r="AQ186" s="154" t="str">
        <f>IF(S186="","",IF(S186="SIM",VLOOKUP($I186&amp;$J186&amp;S$1,Pesos!$A:$I,7,FALSE),VLOOKUP($I186&amp;$J186&amp;S$1,Pesos!$A:$I,9,FALSE)))</f>
        <v/>
      </c>
      <c r="AR186" s="156" t="str">
        <f>IF(T186="","",IF(T186="SIM",VLOOKUP($I186&amp;$J186&amp;T$1,Pesos!$A:$I,7,FALSE),VLOOKUP($I186&amp;$J186&amp;T$1,Pesos!$A:$I,9,FALSE)))</f>
        <v/>
      </c>
      <c r="AS186" s="132" t="str">
        <f>IF(U186="","",IF(U186="SIM",VLOOKUP($I186&amp;$J186&amp;U$1,Pesos!$A:$I,7,FALSE),VLOOKUP($I186&amp;$J186&amp;U$1,Pesos!$A:$I,9,FALSE)))</f>
        <v/>
      </c>
      <c r="AT186" s="132" t="str">
        <f>IF(V186="","",IF(V186="SIM",VLOOKUP($I186&amp;$J186&amp;V$1,Pesos!$A:$I,7,FALSE),VLOOKUP($I186&amp;$J186&amp;V$1,Pesos!$A:$I,9,FALSE)))</f>
        <v/>
      </c>
      <c r="AU186" s="132" t="str">
        <f>IF(W186="","",IF(W186="SIM",VLOOKUP($I186&amp;$J186&amp;W$1,Pesos!$A:$I,7,FALSE),VLOOKUP($I186&amp;$J186&amp;W$1,Pesos!$A:$I,9,FALSE)))</f>
        <v/>
      </c>
      <c r="AV186" s="132" t="str">
        <f>IF(X186="","",IF(X186="SIM",VLOOKUP($I186&amp;$J186&amp;X$1,Pesos!$A:$I,7,FALSE),VLOOKUP($I186&amp;$J186&amp;X$1,Pesos!$A:$I,9,FALSE)))</f>
        <v/>
      </c>
      <c r="AW186" s="132" t="str">
        <f>IF(Y186="","",IF(Y186="SIM",VLOOKUP($I186&amp;$J186&amp;Y$1,Pesos!$A:$I,7,FALSE),VLOOKUP($I186&amp;$J186&amp;Y$1,Pesos!$A:$I,9,FALSE)))</f>
        <v/>
      </c>
      <c r="AX186" s="132" t="str">
        <f>IF(Z186="","",IF(Z186="SIM",VLOOKUP($I186&amp;$J186&amp;Z$1,Pesos!$A:$I,7,FALSE),VLOOKUP($I186&amp;$J186&amp;Z$1,Pesos!$A:$I,9,FALSE)))</f>
        <v/>
      </c>
      <c r="AY186" s="132" t="str">
        <f>IF(AA186="","",IF(AA186="SIM",VLOOKUP($I186&amp;$J186&amp;AA$1,Pesos!$A:$I,7,FALSE),VLOOKUP($I186&amp;$J186&amp;AA$1,Pesos!$A:$I,9,FALSE)))</f>
        <v/>
      </c>
      <c r="AZ186" s="132" t="str">
        <f>IF(AB186="","",IF(AB186="SIM",VLOOKUP($I186&amp;$J186&amp;AB$1,Pesos!$A:$I,7,FALSE),VLOOKUP($I186&amp;$J186&amp;AB$1,Pesos!$A:$I,9,FALSE)))</f>
        <v/>
      </c>
      <c r="BA186" s="132" t="str">
        <f>IF(AC186="","",IF(AC186="SIM",VLOOKUP($I186&amp;$J186&amp;AC$1,Pesos!$A:$I,7,FALSE),VLOOKUP($I186&amp;$J186&amp;AC$1,Pesos!$A:$I,9,FALSE)))</f>
        <v/>
      </c>
      <c r="BB186" s="132" t="str">
        <f>IF(AD186="","",IF(AD186="SIM",VLOOKUP($I186&amp;$J186&amp;AD$1,Pesos!$A:$I,7,FALSE),VLOOKUP($I186&amp;$J186&amp;AD$1,Pesos!$A:$I,9,FALSE)))</f>
        <v/>
      </c>
      <c r="BC186" s="132" t="str">
        <f>IF(AE186="","",IF(AE186="SIM",VLOOKUP($I186&amp;$J186&amp;AE$1,Pesos!$A:$I,7,FALSE),VLOOKUP($I186&amp;$J186&amp;AE$1,Pesos!$A:$I,9,FALSE)))</f>
        <v/>
      </c>
      <c r="BD186" s="158">
        <f>IFERROR(AF186*VLOOKUP(J186,'BD Campos'!$X$1:$Y$14,2,FALSE),"0")</f>
        <v>0</v>
      </c>
    </row>
    <row r="187" spans="1:56">
      <c r="A187" s="151" t="str">
        <f t="shared" si="11"/>
        <v>Jan11504Motorista 2TRANSFERÊNCIA</v>
      </c>
      <c r="B187" s="149" t="str">
        <f t="shared" si="12"/>
        <v>Jan115042TRANSFERÊNCIAPADRÃO</v>
      </c>
      <c r="C187" s="152">
        <v>1</v>
      </c>
      <c r="D187" s="153">
        <v>46057.667299421293</v>
      </c>
      <c r="E187" s="154" t="s">
        <v>12</v>
      </c>
      <c r="F187" s="155">
        <v>11504</v>
      </c>
      <c r="G187" s="149" t="s">
        <v>364</v>
      </c>
      <c r="H187" s="154">
        <v>2</v>
      </c>
      <c r="I187" s="149" t="s">
        <v>96</v>
      </c>
      <c r="J187" s="149" t="s">
        <v>97</v>
      </c>
      <c r="K187" s="149" t="s">
        <v>192</v>
      </c>
      <c r="L187" s="156">
        <v>34769563</v>
      </c>
      <c r="M187" s="157">
        <v>9.0277777777777784E-4</v>
      </c>
      <c r="N187" s="131" t="s">
        <v>17</v>
      </c>
      <c r="O187" s="131" t="s">
        <v>18</v>
      </c>
      <c r="P187" s="131" t="s">
        <v>17</v>
      </c>
      <c r="Q187" s="131" t="s">
        <v>17</v>
      </c>
      <c r="R187" s="131" t="s">
        <v>17</v>
      </c>
      <c r="S187" s="131" t="s">
        <v>17</v>
      </c>
      <c r="T187" s="131" t="s">
        <v>17</v>
      </c>
      <c r="U187" s="131" t="s">
        <v>18</v>
      </c>
      <c r="V187" s="131" t="s">
        <v>18</v>
      </c>
      <c r="W187" s="131" t="s">
        <v>18</v>
      </c>
      <c r="X187" s="131" t="s">
        <v>17</v>
      </c>
      <c r="Y187" s="131" t="s">
        <v>17</v>
      </c>
      <c r="Z187" s="131" t="s">
        <v>17</v>
      </c>
      <c r="AA187" s="131" t="s">
        <v>17</v>
      </c>
      <c r="AB187" s="131" t="s">
        <v>17</v>
      </c>
      <c r="AC187" s="131"/>
      <c r="AD187" s="131"/>
      <c r="AE187" s="131"/>
      <c r="AF187" s="158">
        <f t="shared" si="14"/>
        <v>7.3749999999999991</v>
      </c>
      <c r="AG187" s="159"/>
      <c r="AH187" s="155" t="s">
        <v>367</v>
      </c>
      <c r="AI187" s="155" t="s">
        <v>83</v>
      </c>
      <c r="AJ187" s="131" t="str">
        <f>IFERROR(VLOOKUP(E187&amp;F187,'Listagem dos op'!A:S,19,0),"")</f>
        <v/>
      </c>
      <c r="AK187" s="131" t="str">
        <f t="shared" si="13"/>
        <v>Jan11504</v>
      </c>
      <c r="AL187" s="154">
        <f>IF(N187="","",IF(N187="SIM",VLOOKUP($I187&amp;$J187&amp;N$1,Pesos!$A:$I,7,FALSE),VLOOKUP($I187&amp;$J187&amp;N$1,Pesos!$A:$I,9,FALSE)))</f>
        <v>0.1</v>
      </c>
      <c r="AM187" s="154">
        <f>IF(O187="","",IF(O187="SIM",VLOOKUP($I187&amp;$J187&amp;O$1,Pesos!$A:$I,7,FALSE),VLOOKUP($I187&amp;$J187&amp;O$1,Pesos!$A:$I,9,FALSE)))</f>
        <v>-5.000000000000001E-3</v>
      </c>
      <c r="AN187" s="154">
        <f>IF(P187="","",IF(P187="SIM",VLOOKUP($I187&amp;$J187&amp;P$1,Pesos!$A:$I,7,FALSE),VLOOKUP($I187&amp;$J187&amp;P$1,Pesos!$A:$I,9,FALSE)))</f>
        <v>0.1</v>
      </c>
      <c r="AO187" s="154">
        <f>IF(Q187="","",IF(Q187="SIM",VLOOKUP($I187&amp;$J187&amp;Q$1,Pesos!$A:$I,7,FALSE),VLOOKUP($I187&amp;$J187&amp;Q$1,Pesos!$A:$I,9,FALSE)))</f>
        <v>2</v>
      </c>
      <c r="AP187" s="154">
        <f>IF(R187="","",IF(R187="SIM",VLOOKUP($I187&amp;$J187&amp;R$1,Pesos!$A:$I,7,FALSE),VLOOKUP($I187&amp;$J187&amp;R$1,Pesos!$A:$I,9,FALSE)))</f>
        <v>1.03</v>
      </c>
      <c r="AQ187" s="154">
        <f>IF(S187="","",IF(S187="SIM",VLOOKUP($I187&amp;$J187&amp;S$1,Pesos!$A:$I,7,FALSE),VLOOKUP($I187&amp;$J187&amp;S$1,Pesos!$A:$I,9,FALSE)))</f>
        <v>1.22</v>
      </c>
      <c r="AR187" s="156">
        <f>IF(T187="","",IF(T187="SIM",VLOOKUP($I187&amp;$J187&amp;T$1,Pesos!$A:$I,7,FALSE),VLOOKUP($I187&amp;$J187&amp;T$1,Pesos!$A:$I,9,FALSE)))</f>
        <v>2</v>
      </c>
      <c r="AS187" s="132">
        <f>IF(U187="","",IF(U187="SIM",VLOOKUP($I187&amp;$J187&amp;U$1,Pesos!$A:$I,7,FALSE),VLOOKUP($I187&amp;$J187&amp;U$1,Pesos!$A:$I,9,FALSE)))</f>
        <v>-5.2500000000000005E-2</v>
      </c>
      <c r="AT187" s="132">
        <f>IF(V187="","",IF(V187="SIM",VLOOKUP($I187&amp;$J187&amp;V$1,Pesos!$A:$I,7,FALSE),VLOOKUP($I187&amp;$J187&amp;V$1,Pesos!$A:$I,9,FALSE)))</f>
        <v>-5.2500000000000005E-2</v>
      </c>
      <c r="AU187" s="132">
        <f>IF(W187="","",IF(W187="SIM",VLOOKUP($I187&amp;$J187&amp;W$1,Pesos!$A:$I,7,FALSE),VLOOKUP($I187&amp;$J187&amp;W$1,Pesos!$A:$I,9,FALSE)))</f>
        <v>-1.4999999999999999E-2</v>
      </c>
      <c r="AV187" s="132">
        <f>IF(X187="","",IF(X187="SIM",VLOOKUP($I187&amp;$J187&amp;X$1,Pesos!$A:$I,7,FALSE),VLOOKUP($I187&amp;$J187&amp;X$1,Pesos!$A:$I,9,FALSE)))</f>
        <v>0.3</v>
      </c>
      <c r="AW187" s="132">
        <f>IF(Y187="","",IF(Y187="SIM",VLOOKUP($I187&amp;$J187&amp;Y$1,Pesos!$A:$I,7,FALSE),VLOOKUP($I187&amp;$J187&amp;Y$1,Pesos!$A:$I,9,FALSE)))</f>
        <v>0.15</v>
      </c>
      <c r="AX187" s="132">
        <f>IF(Z187="","",IF(Z187="SIM",VLOOKUP($I187&amp;$J187&amp;Z$1,Pesos!$A:$I,7,FALSE),VLOOKUP($I187&amp;$J187&amp;Z$1,Pesos!$A:$I,9,FALSE)))</f>
        <v>0.2</v>
      </c>
      <c r="AY187" s="132">
        <f>IF(AA187="","",IF(AA187="SIM",VLOOKUP($I187&amp;$J187&amp;AA$1,Pesos!$A:$I,7,FALSE),VLOOKUP($I187&amp;$J187&amp;AA$1,Pesos!$A:$I,9,FALSE)))</f>
        <v>0.3</v>
      </c>
      <c r="AZ187" s="132">
        <f>IF(AB187="","",IF(AB187="SIM",VLOOKUP($I187&amp;$J187&amp;AB$1,Pesos!$A:$I,7,FALSE),VLOOKUP($I187&amp;$J187&amp;AB$1,Pesos!$A:$I,9,FALSE)))</f>
        <v>0.1</v>
      </c>
      <c r="BA187" s="132" t="str">
        <f>IF(AC187="","",IF(AC187="SIM",VLOOKUP($I187&amp;$J187&amp;AC$1,Pesos!$A:$I,7,FALSE),VLOOKUP($I187&amp;$J187&amp;AC$1,Pesos!$A:$I,9,FALSE)))</f>
        <v/>
      </c>
      <c r="BB187" s="132" t="str">
        <f>IF(AD187="","",IF(AD187="SIM",VLOOKUP($I187&amp;$J187&amp;AD$1,Pesos!$A:$I,7,FALSE),VLOOKUP($I187&amp;$J187&amp;AD$1,Pesos!$A:$I,9,FALSE)))</f>
        <v/>
      </c>
      <c r="BC187" s="132" t="str">
        <f>IF(AE187="","",IF(AE187="SIM",VLOOKUP($I187&amp;$J187&amp;AE$1,Pesos!$A:$I,7,FALSE),VLOOKUP($I187&amp;$J187&amp;AE$1,Pesos!$A:$I,9,FALSE)))</f>
        <v/>
      </c>
      <c r="BD187" s="158">
        <f>IFERROR(AF187*VLOOKUP(J187,'BD Campos'!$X$1:$Y$14,2,FALSE),"0")</f>
        <v>7.3749999999999991</v>
      </c>
    </row>
    <row r="188" spans="1:56">
      <c r="A188" s="151" t="str">
        <f t="shared" si="11"/>
        <v>Jan11519MotoristaTRANSFERÊNCIA</v>
      </c>
      <c r="B188" s="149" t="str">
        <f t="shared" si="12"/>
        <v>Jan115191TRANSFERÊNCIAPADRÃO</v>
      </c>
      <c r="C188" s="152">
        <v>1</v>
      </c>
      <c r="D188" s="153">
        <v>46057.671587500001</v>
      </c>
      <c r="E188" s="154" t="s">
        <v>12</v>
      </c>
      <c r="F188" s="155">
        <v>11519</v>
      </c>
      <c r="G188" s="149" t="s">
        <v>368</v>
      </c>
      <c r="H188" s="154">
        <v>1</v>
      </c>
      <c r="I188" s="149" t="s">
        <v>92</v>
      </c>
      <c r="J188" s="149" t="s">
        <v>93</v>
      </c>
      <c r="K188" s="149" t="s">
        <v>192</v>
      </c>
      <c r="L188" s="156">
        <v>34522010</v>
      </c>
      <c r="M188" s="157">
        <v>2.7199074074074074E-3</v>
      </c>
      <c r="N188" s="131" t="s">
        <v>17</v>
      </c>
      <c r="O188" s="131" t="s">
        <v>17</v>
      </c>
      <c r="P188" s="131" t="s">
        <v>17</v>
      </c>
      <c r="Q188" s="131" t="s">
        <v>17</v>
      </c>
      <c r="R188" s="131" t="s">
        <v>17</v>
      </c>
      <c r="S188" s="131" t="s">
        <v>18</v>
      </c>
      <c r="T188" s="131" t="s">
        <v>17</v>
      </c>
      <c r="U188" s="131" t="s">
        <v>17</v>
      </c>
      <c r="V188" s="131" t="s">
        <v>17</v>
      </c>
      <c r="W188" s="131" t="s">
        <v>17</v>
      </c>
      <c r="X188" s="131" t="s">
        <v>17</v>
      </c>
      <c r="Y188" s="131" t="s">
        <v>17</v>
      </c>
      <c r="Z188" s="131" t="s">
        <v>17</v>
      </c>
      <c r="AA188" s="131" t="s">
        <v>17</v>
      </c>
      <c r="AB188" s="131"/>
      <c r="AC188" s="131"/>
      <c r="AD188" s="131"/>
      <c r="AE188" s="131"/>
      <c r="AF188" s="158">
        <f t="shared" si="14"/>
        <v>8.2149999999999999</v>
      </c>
      <c r="AG188" s="159"/>
      <c r="AH188" s="155" t="s">
        <v>369</v>
      </c>
      <c r="AI188" s="155" t="s">
        <v>83</v>
      </c>
      <c r="AJ188" s="131" t="str">
        <f>IFERROR(VLOOKUP(E188&amp;F188,'Listagem dos op'!A:S,19,0),"")</f>
        <v/>
      </c>
      <c r="AK188" s="131" t="str">
        <f t="shared" si="13"/>
        <v>Jan11519</v>
      </c>
      <c r="AL188" s="154">
        <f>IF(N188="","",IF(N188="SIM",VLOOKUP($I188&amp;$J188&amp;N$1,Pesos!$A:$I,7,FALSE),VLOOKUP($I188&amp;$J188&amp;N$1,Pesos!$A:$I,9,FALSE)))</f>
        <v>0.1</v>
      </c>
      <c r="AM188" s="154">
        <f>IF(O188="","",IF(O188="SIM",VLOOKUP($I188&amp;$J188&amp;O$1,Pesos!$A:$I,7,FALSE),VLOOKUP($I188&amp;$J188&amp;O$1,Pesos!$A:$I,9,FALSE)))</f>
        <v>0.1</v>
      </c>
      <c r="AN188" s="154">
        <f>IF(P188="","",IF(P188="SIM",VLOOKUP($I188&amp;$J188&amp;P$1,Pesos!$A:$I,7,FALSE),VLOOKUP($I188&amp;$J188&amp;P$1,Pesos!$A:$I,9,FALSE)))</f>
        <v>0.1</v>
      </c>
      <c r="AO188" s="154">
        <f>IF(Q188="","",IF(Q188="SIM",VLOOKUP($I188&amp;$J188&amp;Q$1,Pesos!$A:$I,7,FALSE),VLOOKUP($I188&amp;$J188&amp;Q$1,Pesos!$A:$I,9,FALSE)))</f>
        <v>2</v>
      </c>
      <c r="AP188" s="154">
        <f>IF(R188="","",IF(R188="SIM",VLOOKUP($I188&amp;$J188&amp;R$1,Pesos!$A:$I,7,FALSE),VLOOKUP($I188&amp;$J188&amp;R$1,Pesos!$A:$I,9,FALSE)))</f>
        <v>1.03</v>
      </c>
      <c r="AQ188" s="154">
        <f>IF(S188="","",IF(S188="SIM",VLOOKUP($I188&amp;$J188&amp;S$1,Pesos!$A:$I,7,FALSE),VLOOKUP($I188&amp;$J188&amp;S$1,Pesos!$A:$I,9,FALSE)))</f>
        <v>-8.500000000000002E-2</v>
      </c>
      <c r="AR188" s="156">
        <f>IF(T188="","",IF(T188="SIM",VLOOKUP($I188&amp;$J188&amp;T$1,Pesos!$A:$I,7,FALSE),VLOOKUP($I188&amp;$J188&amp;T$1,Pesos!$A:$I,9,FALSE)))</f>
        <v>1.92</v>
      </c>
      <c r="AS188" s="132">
        <f>IF(U188="","",IF(U188="SIM",VLOOKUP($I188&amp;$J188&amp;U$1,Pesos!$A:$I,7,FALSE),VLOOKUP($I188&amp;$J188&amp;U$1,Pesos!$A:$I,9,FALSE)))</f>
        <v>1.7000000000000002</v>
      </c>
      <c r="AT188" s="132">
        <f>IF(V188="","",IF(V188="SIM",VLOOKUP($I188&amp;$J188&amp;V$1,Pesos!$A:$I,7,FALSE),VLOOKUP($I188&amp;$J188&amp;V$1,Pesos!$A:$I,9,FALSE)))</f>
        <v>0.3</v>
      </c>
      <c r="AU188" s="132">
        <f>IF(W188="","",IF(W188="SIM",VLOOKUP($I188&amp;$J188&amp;W$1,Pesos!$A:$I,7,FALSE),VLOOKUP($I188&amp;$J188&amp;W$1,Pesos!$A:$I,9,FALSE)))</f>
        <v>0.3</v>
      </c>
      <c r="AV188" s="132">
        <f>IF(X188="","",IF(X188="SIM",VLOOKUP($I188&amp;$J188&amp;X$1,Pesos!$A:$I,7,FALSE),VLOOKUP($I188&amp;$J188&amp;X$1,Pesos!$A:$I,9,FALSE)))</f>
        <v>0.15</v>
      </c>
      <c r="AW188" s="132">
        <f>IF(Y188="","",IF(Y188="SIM",VLOOKUP($I188&amp;$J188&amp;Y$1,Pesos!$A:$I,7,FALSE),VLOOKUP($I188&amp;$J188&amp;Y$1,Pesos!$A:$I,9,FALSE)))</f>
        <v>0.2</v>
      </c>
      <c r="AX188" s="132">
        <f>IF(Z188="","",IF(Z188="SIM",VLOOKUP($I188&amp;$J188&amp;Z$1,Pesos!$A:$I,7,FALSE),VLOOKUP($I188&amp;$J188&amp;Z$1,Pesos!$A:$I,9,FALSE)))</f>
        <v>0.3</v>
      </c>
      <c r="AY188" s="132">
        <f>IF(AA188="","",IF(AA188="SIM",VLOOKUP($I188&amp;$J188&amp;AA$1,Pesos!$A:$I,7,FALSE),VLOOKUP($I188&amp;$J188&amp;AA$1,Pesos!$A:$I,9,FALSE)))</f>
        <v>0.1</v>
      </c>
      <c r="AZ188" s="132" t="str">
        <f>IF(AB188="","",IF(AB188="SIM",VLOOKUP($I188&amp;$J188&amp;AB$1,Pesos!$A:$I,7,FALSE),VLOOKUP($I188&amp;$J188&amp;AB$1,Pesos!$A:$I,9,FALSE)))</f>
        <v/>
      </c>
      <c r="BA188" s="132" t="str">
        <f>IF(AC188="","",IF(AC188="SIM",VLOOKUP($I188&amp;$J188&amp;AC$1,Pesos!$A:$I,7,FALSE),VLOOKUP($I188&amp;$J188&amp;AC$1,Pesos!$A:$I,9,FALSE)))</f>
        <v/>
      </c>
      <c r="BB188" s="132" t="str">
        <f>IF(AD188="","",IF(AD188="SIM",VLOOKUP($I188&amp;$J188&amp;AD$1,Pesos!$A:$I,7,FALSE),VLOOKUP($I188&amp;$J188&amp;AD$1,Pesos!$A:$I,9,FALSE)))</f>
        <v/>
      </c>
      <c r="BC188" s="132" t="str">
        <f>IF(AE188="","",IF(AE188="SIM",VLOOKUP($I188&amp;$J188&amp;AE$1,Pesos!$A:$I,7,FALSE),VLOOKUP($I188&amp;$J188&amp;AE$1,Pesos!$A:$I,9,FALSE)))</f>
        <v/>
      </c>
      <c r="BD188" s="158">
        <f>IFERROR(AF188*VLOOKUP(J188,'BD Campos'!$X$1:$Y$14,2,FALSE),"0")</f>
        <v>8.2149999999999999</v>
      </c>
    </row>
    <row r="189" spans="1:56">
      <c r="A189" s="151" t="str">
        <f t="shared" si="11"/>
        <v>Jan11519Motorista 2TRANSFERÊNCIA</v>
      </c>
      <c r="B189" s="149" t="str">
        <f t="shared" si="12"/>
        <v>Jan115192TRANSFERÊNCIAPADRÃO</v>
      </c>
      <c r="C189" s="152">
        <v>1</v>
      </c>
      <c r="D189" s="153">
        <v>46057.674838541665</v>
      </c>
      <c r="E189" s="154" t="s">
        <v>12</v>
      </c>
      <c r="F189" s="155">
        <v>11519</v>
      </c>
      <c r="G189" s="149" t="s">
        <v>368</v>
      </c>
      <c r="H189" s="154">
        <v>2</v>
      </c>
      <c r="I189" s="149" t="s">
        <v>130</v>
      </c>
      <c r="J189" s="149" t="s">
        <v>97</v>
      </c>
      <c r="K189" s="149" t="s">
        <v>192</v>
      </c>
      <c r="L189" s="156">
        <v>34795846</v>
      </c>
      <c r="M189" s="157">
        <v>2.4074074074074076E-3</v>
      </c>
      <c r="N189" s="131" t="s">
        <v>17</v>
      </c>
      <c r="O189" s="131" t="s">
        <v>17</v>
      </c>
      <c r="P189" s="131" t="s">
        <v>17</v>
      </c>
      <c r="Q189" s="131" t="s">
        <v>17</v>
      </c>
      <c r="R189" s="131" t="s">
        <v>17</v>
      </c>
      <c r="S189" s="131" t="s">
        <v>17</v>
      </c>
      <c r="T189" s="131" t="s">
        <v>17</v>
      </c>
      <c r="U189" s="131" t="s">
        <v>18</v>
      </c>
      <c r="V189" s="131" t="s">
        <v>17</v>
      </c>
      <c r="W189" s="131" t="s">
        <v>17</v>
      </c>
      <c r="X189" s="131" t="s">
        <v>17</v>
      </c>
      <c r="Y189" s="131" t="s">
        <v>17</v>
      </c>
      <c r="Z189" s="131" t="s">
        <v>17</v>
      </c>
      <c r="AA189" s="131" t="s">
        <v>17</v>
      </c>
      <c r="AB189" s="131" t="s">
        <v>17</v>
      </c>
      <c r="AC189" s="131"/>
      <c r="AD189" s="131"/>
      <c r="AE189" s="131"/>
      <c r="AF189" s="158">
        <f t="shared" si="14"/>
        <v>8.6179999999999986</v>
      </c>
      <c r="AG189" s="159"/>
      <c r="AH189" s="155" t="s">
        <v>370</v>
      </c>
      <c r="AI189" s="155" t="s">
        <v>83</v>
      </c>
      <c r="AJ189" s="131" t="str">
        <f>IFERROR(VLOOKUP(E189&amp;F189,'Listagem dos op'!A:S,19,0),"")</f>
        <v/>
      </c>
      <c r="AK189" s="131" t="str">
        <f t="shared" si="13"/>
        <v>Jan11519</v>
      </c>
      <c r="AL189" s="154">
        <f>IF(N189="","",IF(N189="SIM",VLOOKUP($I189&amp;$J189&amp;N$1,Pesos!$A:$I,7,FALSE),VLOOKUP($I189&amp;$J189&amp;N$1,Pesos!$A:$I,9,FALSE)))</f>
        <v>0.1</v>
      </c>
      <c r="AM189" s="154">
        <f>IF(O189="","",IF(O189="SIM",VLOOKUP($I189&amp;$J189&amp;O$1,Pesos!$A:$I,7,FALSE),VLOOKUP($I189&amp;$J189&amp;O$1,Pesos!$A:$I,9,FALSE)))</f>
        <v>0.1</v>
      </c>
      <c r="AN189" s="154">
        <f>IF(P189="","",IF(P189="SIM",VLOOKUP($I189&amp;$J189&amp;P$1,Pesos!$A:$I,7,FALSE),VLOOKUP($I189&amp;$J189&amp;P$1,Pesos!$A:$I,9,FALSE)))</f>
        <v>0.1</v>
      </c>
      <c r="AO189" s="154">
        <f>IF(Q189="","",IF(Q189="SIM",VLOOKUP($I189&amp;$J189&amp;Q$1,Pesos!$A:$I,7,FALSE),VLOOKUP($I189&amp;$J189&amp;Q$1,Pesos!$A:$I,9,FALSE)))</f>
        <v>2</v>
      </c>
      <c r="AP189" s="154">
        <f>IF(R189="","",IF(R189="SIM",VLOOKUP($I189&amp;$J189&amp;R$1,Pesos!$A:$I,7,FALSE),VLOOKUP($I189&amp;$J189&amp;R$1,Pesos!$A:$I,9,FALSE)))</f>
        <v>1.03</v>
      </c>
      <c r="AQ189" s="154">
        <f>IF(S189="","",IF(S189="SIM",VLOOKUP($I189&amp;$J189&amp;S$1,Pesos!$A:$I,7,FALSE),VLOOKUP($I189&amp;$J189&amp;S$1,Pesos!$A:$I,9,FALSE)))</f>
        <v>1.3</v>
      </c>
      <c r="AR189" s="156">
        <f>IF(T189="","",IF(T189="SIM",VLOOKUP($I189&amp;$J189&amp;T$1,Pesos!$A:$I,7,FALSE),VLOOKUP($I189&amp;$J189&amp;T$1,Pesos!$A:$I,9,FALSE)))</f>
        <v>1.3</v>
      </c>
      <c r="AS189" s="132">
        <f>IF(U189="","",IF(U189="SIM",VLOOKUP($I189&amp;$J189&amp;U$1,Pesos!$A:$I,7,FALSE),VLOOKUP($I189&amp;$J189&amp;U$1,Pesos!$A:$I,9,FALSE)))</f>
        <v>-6.6000000000000003E-2</v>
      </c>
      <c r="AT189" s="132">
        <f>IF(V189="","",IF(V189="SIM",VLOOKUP($I189&amp;$J189&amp;V$1,Pesos!$A:$I,7,FALSE),VLOOKUP($I189&amp;$J189&amp;V$1,Pesos!$A:$I,9,FALSE)))</f>
        <v>1.4039999999999999</v>
      </c>
      <c r="AU189" s="132">
        <f>IF(W189="","",IF(W189="SIM",VLOOKUP($I189&amp;$J189&amp;W$1,Pesos!$A:$I,7,FALSE),VLOOKUP($I189&amp;$J189&amp;W$1,Pesos!$A:$I,9,FALSE)))</f>
        <v>0.3</v>
      </c>
      <c r="AV189" s="132">
        <f>IF(X189="","",IF(X189="SIM",VLOOKUP($I189&amp;$J189&amp;X$1,Pesos!$A:$I,7,FALSE),VLOOKUP($I189&amp;$J189&amp;X$1,Pesos!$A:$I,9,FALSE)))</f>
        <v>0.3</v>
      </c>
      <c r="AW189" s="132">
        <f>IF(Y189="","",IF(Y189="SIM",VLOOKUP($I189&amp;$J189&amp;Y$1,Pesos!$A:$I,7,FALSE),VLOOKUP($I189&amp;$J189&amp;Y$1,Pesos!$A:$I,9,FALSE)))</f>
        <v>0.15</v>
      </c>
      <c r="AX189" s="132">
        <f>IF(Z189="","",IF(Z189="SIM",VLOOKUP($I189&amp;$J189&amp;Z$1,Pesos!$A:$I,7,FALSE),VLOOKUP($I189&amp;$J189&amp;Z$1,Pesos!$A:$I,9,FALSE)))</f>
        <v>0.2</v>
      </c>
      <c r="AY189" s="132">
        <f>IF(AA189="","",IF(AA189="SIM",VLOOKUP($I189&amp;$J189&amp;AA$1,Pesos!$A:$I,7,FALSE),VLOOKUP($I189&amp;$J189&amp;AA$1,Pesos!$A:$I,9,FALSE)))</f>
        <v>0.3</v>
      </c>
      <c r="AZ189" s="132">
        <f>IF(AB189="","",IF(AB189="SIM",VLOOKUP($I189&amp;$J189&amp;AB$1,Pesos!$A:$I,7,FALSE),VLOOKUP($I189&amp;$J189&amp;AB$1,Pesos!$A:$I,9,FALSE)))</f>
        <v>0.1</v>
      </c>
      <c r="BA189" s="132" t="str">
        <f>IF(AC189="","",IF(AC189="SIM",VLOOKUP($I189&amp;$J189&amp;AC$1,Pesos!$A:$I,7,FALSE),VLOOKUP($I189&amp;$J189&amp;AC$1,Pesos!$A:$I,9,FALSE)))</f>
        <v/>
      </c>
      <c r="BB189" s="132" t="str">
        <f>IF(AD189="","",IF(AD189="SIM",VLOOKUP($I189&amp;$J189&amp;AD$1,Pesos!$A:$I,7,FALSE),VLOOKUP($I189&amp;$J189&amp;AD$1,Pesos!$A:$I,9,FALSE)))</f>
        <v/>
      </c>
      <c r="BC189" s="132" t="str">
        <f>IF(AE189="","",IF(AE189="SIM",VLOOKUP($I189&amp;$J189&amp;AE$1,Pesos!$A:$I,7,FALSE),VLOOKUP($I189&amp;$J189&amp;AE$1,Pesos!$A:$I,9,FALSE)))</f>
        <v/>
      </c>
      <c r="BD189" s="158">
        <f>IFERROR(AF189*VLOOKUP(J189,'BD Campos'!$X$1:$Y$14,2,FALSE),"0")</f>
        <v>8.6179999999999986</v>
      </c>
    </row>
    <row r="190" spans="1:56">
      <c r="A190" s="151" t="str">
        <f t="shared" si="11"/>
        <v>Jan11240MotoristaTRANSFERÊNCIA</v>
      </c>
      <c r="B190" s="149" t="str">
        <f t="shared" si="12"/>
        <v>Jan112401TRANSFERÊNCIAPADRÃO</v>
      </c>
      <c r="C190" s="152">
        <v>1</v>
      </c>
      <c r="D190" s="153">
        <v>46057.681706134259</v>
      </c>
      <c r="E190" s="154" t="s">
        <v>12</v>
      </c>
      <c r="F190" s="155">
        <v>11240</v>
      </c>
      <c r="G190" s="149" t="s">
        <v>371</v>
      </c>
      <c r="H190" s="154">
        <v>1</v>
      </c>
      <c r="I190" s="149" t="s">
        <v>92</v>
      </c>
      <c r="J190" s="149" t="s">
        <v>93</v>
      </c>
      <c r="K190" s="149" t="s">
        <v>192</v>
      </c>
      <c r="L190" s="156">
        <v>34619253</v>
      </c>
      <c r="M190" s="157">
        <v>3.8310185185185183E-3</v>
      </c>
      <c r="N190" s="131" t="s">
        <v>17</v>
      </c>
      <c r="O190" s="131" t="s">
        <v>17</v>
      </c>
      <c r="P190" s="131" t="s">
        <v>17</v>
      </c>
      <c r="Q190" s="131" t="s">
        <v>17</v>
      </c>
      <c r="R190" s="131" t="s">
        <v>17</v>
      </c>
      <c r="S190" s="131" t="s">
        <v>18</v>
      </c>
      <c r="T190" s="131" t="s">
        <v>17</v>
      </c>
      <c r="U190" s="131" t="s">
        <v>18</v>
      </c>
      <c r="V190" s="131" t="s">
        <v>17</v>
      </c>
      <c r="W190" s="131" t="s">
        <v>17</v>
      </c>
      <c r="X190" s="131" t="s">
        <v>17</v>
      </c>
      <c r="Y190" s="131" t="s">
        <v>17</v>
      </c>
      <c r="Z190" s="131" t="s">
        <v>17</v>
      </c>
      <c r="AA190" s="131" t="s">
        <v>17</v>
      </c>
      <c r="AB190" s="131"/>
      <c r="AC190" s="131"/>
      <c r="AD190" s="131"/>
      <c r="AE190" s="131"/>
      <c r="AF190" s="158">
        <f t="shared" si="14"/>
        <v>6.43</v>
      </c>
      <c r="AG190" s="159"/>
      <c r="AH190" s="155" t="s">
        <v>372</v>
      </c>
      <c r="AI190" s="155" t="s">
        <v>83</v>
      </c>
      <c r="AJ190" s="131" t="str">
        <f>IFERROR(VLOOKUP(E190&amp;F190,'Listagem dos op'!A:S,19,0),"")</f>
        <v/>
      </c>
      <c r="AK190" s="131" t="str">
        <f t="shared" si="13"/>
        <v>Jan11240</v>
      </c>
      <c r="AL190" s="154">
        <f>IF(N190="","",IF(N190="SIM",VLOOKUP($I190&amp;$J190&amp;N$1,Pesos!$A:$I,7,FALSE),VLOOKUP($I190&amp;$J190&amp;N$1,Pesos!$A:$I,9,FALSE)))</f>
        <v>0.1</v>
      </c>
      <c r="AM190" s="154">
        <f>IF(O190="","",IF(O190="SIM",VLOOKUP($I190&amp;$J190&amp;O$1,Pesos!$A:$I,7,FALSE),VLOOKUP($I190&amp;$J190&amp;O$1,Pesos!$A:$I,9,FALSE)))</f>
        <v>0.1</v>
      </c>
      <c r="AN190" s="154">
        <f>IF(P190="","",IF(P190="SIM",VLOOKUP($I190&amp;$J190&amp;P$1,Pesos!$A:$I,7,FALSE),VLOOKUP($I190&amp;$J190&amp;P$1,Pesos!$A:$I,9,FALSE)))</f>
        <v>0.1</v>
      </c>
      <c r="AO190" s="154">
        <f>IF(Q190="","",IF(Q190="SIM",VLOOKUP($I190&amp;$J190&amp;Q$1,Pesos!$A:$I,7,FALSE),VLOOKUP($I190&amp;$J190&amp;Q$1,Pesos!$A:$I,9,FALSE)))</f>
        <v>2</v>
      </c>
      <c r="AP190" s="154">
        <f>IF(R190="","",IF(R190="SIM",VLOOKUP($I190&amp;$J190&amp;R$1,Pesos!$A:$I,7,FALSE),VLOOKUP($I190&amp;$J190&amp;R$1,Pesos!$A:$I,9,FALSE)))</f>
        <v>1.03</v>
      </c>
      <c r="AQ190" s="154">
        <f>IF(S190="","",IF(S190="SIM",VLOOKUP($I190&amp;$J190&amp;S$1,Pesos!$A:$I,7,FALSE),VLOOKUP($I190&amp;$J190&amp;S$1,Pesos!$A:$I,9,FALSE)))</f>
        <v>-8.500000000000002E-2</v>
      </c>
      <c r="AR190" s="156">
        <f>IF(T190="","",IF(T190="SIM",VLOOKUP($I190&amp;$J190&amp;T$1,Pesos!$A:$I,7,FALSE),VLOOKUP($I190&amp;$J190&amp;T$1,Pesos!$A:$I,9,FALSE)))</f>
        <v>1.92</v>
      </c>
      <c r="AS190" s="132">
        <f>IF(U190="","",IF(U190="SIM",VLOOKUP($I190&amp;$J190&amp;U$1,Pesos!$A:$I,7,FALSE),VLOOKUP($I190&amp;$J190&amp;U$1,Pesos!$A:$I,9,FALSE)))</f>
        <v>-8.500000000000002E-2</v>
      </c>
      <c r="AT190" s="132">
        <f>IF(V190="","",IF(V190="SIM",VLOOKUP($I190&amp;$J190&amp;V$1,Pesos!$A:$I,7,FALSE),VLOOKUP($I190&amp;$J190&amp;V$1,Pesos!$A:$I,9,FALSE)))</f>
        <v>0.3</v>
      </c>
      <c r="AU190" s="132">
        <f>IF(W190="","",IF(W190="SIM",VLOOKUP($I190&amp;$J190&amp;W$1,Pesos!$A:$I,7,FALSE),VLOOKUP($I190&amp;$J190&amp;W$1,Pesos!$A:$I,9,FALSE)))</f>
        <v>0.3</v>
      </c>
      <c r="AV190" s="132">
        <f>IF(X190="","",IF(X190="SIM",VLOOKUP($I190&amp;$J190&amp;X$1,Pesos!$A:$I,7,FALSE),VLOOKUP($I190&amp;$J190&amp;X$1,Pesos!$A:$I,9,FALSE)))</f>
        <v>0.15</v>
      </c>
      <c r="AW190" s="132">
        <f>IF(Y190="","",IF(Y190="SIM",VLOOKUP($I190&amp;$J190&amp;Y$1,Pesos!$A:$I,7,FALSE),VLOOKUP($I190&amp;$J190&amp;Y$1,Pesos!$A:$I,9,FALSE)))</f>
        <v>0.2</v>
      </c>
      <c r="AX190" s="132">
        <f>IF(Z190="","",IF(Z190="SIM",VLOOKUP($I190&amp;$J190&amp;Z$1,Pesos!$A:$I,7,FALSE),VLOOKUP($I190&amp;$J190&amp;Z$1,Pesos!$A:$I,9,FALSE)))</f>
        <v>0.3</v>
      </c>
      <c r="AY190" s="132">
        <f>IF(AA190="","",IF(AA190="SIM",VLOOKUP($I190&amp;$J190&amp;AA$1,Pesos!$A:$I,7,FALSE),VLOOKUP($I190&amp;$J190&amp;AA$1,Pesos!$A:$I,9,FALSE)))</f>
        <v>0.1</v>
      </c>
      <c r="AZ190" s="132" t="str">
        <f>IF(AB190="","",IF(AB190="SIM",VLOOKUP($I190&amp;$J190&amp;AB$1,Pesos!$A:$I,7,FALSE),VLOOKUP($I190&amp;$J190&amp;AB$1,Pesos!$A:$I,9,FALSE)))</f>
        <v/>
      </c>
      <c r="BA190" s="132" t="str">
        <f>IF(AC190="","",IF(AC190="SIM",VLOOKUP($I190&amp;$J190&amp;AC$1,Pesos!$A:$I,7,FALSE),VLOOKUP($I190&amp;$J190&amp;AC$1,Pesos!$A:$I,9,FALSE)))</f>
        <v/>
      </c>
      <c r="BB190" s="132" t="str">
        <f>IF(AD190="","",IF(AD190="SIM",VLOOKUP($I190&amp;$J190&amp;AD$1,Pesos!$A:$I,7,FALSE),VLOOKUP($I190&amp;$J190&amp;AD$1,Pesos!$A:$I,9,FALSE)))</f>
        <v/>
      </c>
      <c r="BC190" s="132" t="str">
        <f>IF(AE190="","",IF(AE190="SIM",VLOOKUP($I190&amp;$J190&amp;AE$1,Pesos!$A:$I,7,FALSE),VLOOKUP($I190&amp;$J190&amp;AE$1,Pesos!$A:$I,9,FALSE)))</f>
        <v/>
      </c>
      <c r="BD190" s="158">
        <f>IFERROR(AF190*VLOOKUP(J190,'BD Campos'!$X$1:$Y$14,2,FALSE),"0")</f>
        <v>6.43</v>
      </c>
    </row>
    <row r="191" spans="1:56">
      <c r="A191" s="151" t="str">
        <f t="shared" si="11"/>
        <v>Jan11240Motorista 2TRANSFERÊNCIA</v>
      </c>
      <c r="B191" s="149" t="str">
        <f t="shared" si="12"/>
        <v>Jan112402TRANSFERÊNCIAPADRÃO</v>
      </c>
      <c r="C191" s="152">
        <v>1</v>
      </c>
      <c r="D191" s="153">
        <v>46057.68620462963</v>
      </c>
      <c r="E191" s="154" t="s">
        <v>12</v>
      </c>
      <c r="F191" s="155">
        <v>11240</v>
      </c>
      <c r="G191" s="149" t="s">
        <v>371</v>
      </c>
      <c r="H191" s="154">
        <v>2</v>
      </c>
      <c r="I191" s="149" t="s">
        <v>130</v>
      </c>
      <c r="J191" s="149" t="s">
        <v>97</v>
      </c>
      <c r="K191" s="149" t="s">
        <v>192</v>
      </c>
      <c r="L191" s="156">
        <v>34728818</v>
      </c>
      <c r="M191" s="157">
        <v>3.1134259259259257E-3</v>
      </c>
      <c r="N191" s="131" t="s">
        <v>17</v>
      </c>
      <c r="O191" s="131" t="s">
        <v>17</v>
      </c>
      <c r="P191" s="131" t="s">
        <v>17</v>
      </c>
      <c r="Q191" s="131" t="s">
        <v>17</v>
      </c>
      <c r="R191" s="131" t="s">
        <v>17</v>
      </c>
      <c r="S191" s="131" t="s">
        <v>17</v>
      </c>
      <c r="T191" s="131" t="s">
        <v>18</v>
      </c>
      <c r="U191" s="131" t="s">
        <v>17</v>
      </c>
      <c r="V191" s="131" t="s">
        <v>17</v>
      </c>
      <c r="W191" s="131" t="s">
        <v>17</v>
      </c>
      <c r="X191" s="131" t="s">
        <v>17</v>
      </c>
      <c r="Y191" s="131" t="s">
        <v>17</v>
      </c>
      <c r="Z191" s="131" t="s">
        <v>17</v>
      </c>
      <c r="AA191" s="131" t="s">
        <v>17</v>
      </c>
      <c r="AB191" s="131" t="s">
        <v>17</v>
      </c>
      <c r="AC191" s="131"/>
      <c r="AD191" s="131"/>
      <c r="AE191" s="131"/>
      <c r="AF191" s="158">
        <f t="shared" si="14"/>
        <v>8.6389999999999993</v>
      </c>
      <c r="AG191" s="159"/>
      <c r="AH191" s="155" t="s">
        <v>373</v>
      </c>
      <c r="AI191" s="155" t="s">
        <v>83</v>
      </c>
      <c r="AJ191" s="131" t="str">
        <f>IFERROR(VLOOKUP(E191&amp;F191,'Listagem dos op'!A:S,19,0),"")</f>
        <v/>
      </c>
      <c r="AK191" s="131" t="str">
        <f t="shared" si="13"/>
        <v>Jan11240</v>
      </c>
      <c r="AL191" s="154">
        <f>IF(N191="","",IF(N191="SIM",VLOOKUP($I191&amp;$J191&amp;N$1,Pesos!$A:$I,7,FALSE),VLOOKUP($I191&amp;$J191&amp;N$1,Pesos!$A:$I,9,FALSE)))</f>
        <v>0.1</v>
      </c>
      <c r="AM191" s="154">
        <f>IF(O191="","",IF(O191="SIM",VLOOKUP($I191&amp;$J191&amp;O$1,Pesos!$A:$I,7,FALSE),VLOOKUP($I191&amp;$J191&amp;O$1,Pesos!$A:$I,9,FALSE)))</f>
        <v>0.1</v>
      </c>
      <c r="AN191" s="154">
        <f>IF(P191="","",IF(P191="SIM",VLOOKUP($I191&amp;$J191&amp;P$1,Pesos!$A:$I,7,FALSE),VLOOKUP($I191&amp;$J191&amp;P$1,Pesos!$A:$I,9,FALSE)))</f>
        <v>0.1</v>
      </c>
      <c r="AO191" s="154">
        <f>IF(Q191="","",IF(Q191="SIM",VLOOKUP($I191&amp;$J191&amp;Q$1,Pesos!$A:$I,7,FALSE),VLOOKUP($I191&amp;$J191&amp;Q$1,Pesos!$A:$I,9,FALSE)))</f>
        <v>2</v>
      </c>
      <c r="AP191" s="154">
        <f>IF(R191="","",IF(R191="SIM",VLOOKUP($I191&amp;$J191&amp;R$1,Pesos!$A:$I,7,FALSE),VLOOKUP($I191&amp;$J191&amp;R$1,Pesos!$A:$I,9,FALSE)))</f>
        <v>1.03</v>
      </c>
      <c r="AQ191" s="154">
        <f>IF(S191="","",IF(S191="SIM",VLOOKUP($I191&amp;$J191&amp;S$1,Pesos!$A:$I,7,FALSE),VLOOKUP($I191&amp;$J191&amp;S$1,Pesos!$A:$I,9,FALSE)))</f>
        <v>1.3</v>
      </c>
      <c r="AR191" s="156">
        <f>IF(T191="","",IF(T191="SIM",VLOOKUP($I191&amp;$J191&amp;T$1,Pesos!$A:$I,7,FALSE),VLOOKUP($I191&amp;$J191&amp;T$1,Pesos!$A:$I,9,FALSE)))</f>
        <v>-6.5000000000000002E-2</v>
      </c>
      <c r="AS191" s="132">
        <f>IF(U191="","",IF(U191="SIM",VLOOKUP($I191&amp;$J191&amp;U$1,Pesos!$A:$I,7,FALSE),VLOOKUP($I191&amp;$J191&amp;U$1,Pesos!$A:$I,9,FALSE)))</f>
        <v>1.32</v>
      </c>
      <c r="AT191" s="132">
        <f>IF(V191="","",IF(V191="SIM",VLOOKUP($I191&amp;$J191&amp;V$1,Pesos!$A:$I,7,FALSE),VLOOKUP($I191&amp;$J191&amp;V$1,Pesos!$A:$I,9,FALSE)))</f>
        <v>1.4039999999999999</v>
      </c>
      <c r="AU191" s="132">
        <f>IF(W191="","",IF(W191="SIM",VLOOKUP($I191&amp;$J191&amp;W$1,Pesos!$A:$I,7,FALSE),VLOOKUP($I191&amp;$J191&amp;W$1,Pesos!$A:$I,9,FALSE)))</f>
        <v>0.3</v>
      </c>
      <c r="AV191" s="132">
        <f>IF(X191="","",IF(X191="SIM",VLOOKUP($I191&amp;$J191&amp;X$1,Pesos!$A:$I,7,FALSE),VLOOKUP($I191&amp;$J191&amp;X$1,Pesos!$A:$I,9,FALSE)))</f>
        <v>0.3</v>
      </c>
      <c r="AW191" s="132">
        <f>IF(Y191="","",IF(Y191="SIM",VLOOKUP($I191&amp;$J191&amp;Y$1,Pesos!$A:$I,7,FALSE),VLOOKUP($I191&amp;$J191&amp;Y$1,Pesos!$A:$I,9,FALSE)))</f>
        <v>0.15</v>
      </c>
      <c r="AX191" s="132">
        <f>IF(Z191="","",IF(Z191="SIM",VLOOKUP($I191&amp;$J191&amp;Z$1,Pesos!$A:$I,7,FALSE),VLOOKUP($I191&amp;$J191&amp;Z$1,Pesos!$A:$I,9,FALSE)))</f>
        <v>0.2</v>
      </c>
      <c r="AY191" s="132">
        <f>IF(AA191="","",IF(AA191="SIM",VLOOKUP($I191&amp;$J191&amp;AA$1,Pesos!$A:$I,7,FALSE),VLOOKUP($I191&amp;$J191&amp;AA$1,Pesos!$A:$I,9,FALSE)))</f>
        <v>0.3</v>
      </c>
      <c r="AZ191" s="132">
        <f>IF(AB191="","",IF(AB191="SIM",VLOOKUP($I191&amp;$J191&amp;AB$1,Pesos!$A:$I,7,FALSE),VLOOKUP($I191&amp;$J191&amp;AB$1,Pesos!$A:$I,9,FALSE)))</f>
        <v>0.1</v>
      </c>
      <c r="BA191" s="132" t="str">
        <f>IF(AC191="","",IF(AC191="SIM",VLOOKUP($I191&amp;$J191&amp;AC$1,Pesos!$A:$I,7,FALSE),VLOOKUP($I191&amp;$J191&amp;AC$1,Pesos!$A:$I,9,FALSE)))</f>
        <v/>
      </c>
      <c r="BB191" s="132" t="str">
        <f>IF(AD191="","",IF(AD191="SIM",VLOOKUP($I191&amp;$J191&amp;AD$1,Pesos!$A:$I,7,FALSE),VLOOKUP($I191&amp;$J191&amp;AD$1,Pesos!$A:$I,9,FALSE)))</f>
        <v/>
      </c>
      <c r="BC191" s="132" t="str">
        <f>IF(AE191="","",IF(AE191="SIM",VLOOKUP($I191&amp;$J191&amp;AE$1,Pesos!$A:$I,7,FALSE),VLOOKUP($I191&amp;$J191&amp;AE$1,Pesos!$A:$I,9,FALSE)))</f>
        <v/>
      </c>
      <c r="BD191" s="158">
        <f>IFERROR(AF191*VLOOKUP(J191,'BD Campos'!$X$1:$Y$14,2,FALSE),"0")</f>
        <v>8.6389999999999993</v>
      </c>
    </row>
    <row r="192" spans="1:56">
      <c r="A192" s="151" t="str">
        <f t="shared" si="11"/>
        <v>Jan11255MotoristaTRANSFERÊNCIA</v>
      </c>
      <c r="B192" s="149" t="str">
        <f t="shared" si="12"/>
        <v>Jan112551TRANSFERÊNCIAPADRÃO</v>
      </c>
      <c r="C192" s="152">
        <v>1</v>
      </c>
      <c r="D192" s="153">
        <v>46057.699925231478</v>
      </c>
      <c r="E192" s="154" t="s">
        <v>12</v>
      </c>
      <c r="F192" s="155">
        <v>11255</v>
      </c>
      <c r="G192" s="149" t="s">
        <v>374</v>
      </c>
      <c r="H192" s="154">
        <v>1</v>
      </c>
      <c r="I192" s="149" t="s">
        <v>92</v>
      </c>
      <c r="J192" s="149" t="s">
        <v>93</v>
      </c>
      <c r="K192" s="149" t="s">
        <v>192</v>
      </c>
      <c r="L192" s="156">
        <v>34549492</v>
      </c>
      <c r="M192" s="157">
        <v>2.0833333333333333E-3</v>
      </c>
      <c r="N192" s="131" t="s">
        <v>17</v>
      </c>
      <c r="O192" s="131" t="s">
        <v>17</v>
      </c>
      <c r="P192" s="131" t="s">
        <v>17</v>
      </c>
      <c r="Q192" s="131" t="s">
        <v>17</v>
      </c>
      <c r="R192" s="131" t="s">
        <v>17</v>
      </c>
      <c r="S192" s="131" t="s">
        <v>18</v>
      </c>
      <c r="T192" s="131" t="s">
        <v>17</v>
      </c>
      <c r="U192" s="131" t="s">
        <v>18</v>
      </c>
      <c r="V192" s="131" t="s">
        <v>17</v>
      </c>
      <c r="W192" s="131" t="s">
        <v>17</v>
      </c>
      <c r="X192" s="131" t="s">
        <v>17</v>
      </c>
      <c r="Y192" s="131" t="s">
        <v>17</v>
      </c>
      <c r="Z192" s="131" t="s">
        <v>17</v>
      </c>
      <c r="AA192" s="131" t="s">
        <v>17</v>
      </c>
      <c r="AB192" s="131"/>
      <c r="AC192" s="131"/>
      <c r="AD192" s="131"/>
      <c r="AE192" s="131"/>
      <c r="AF192" s="158">
        <f t="shared" si="14"/>
        <v>6.43</v>
      </c>
      <c r="AG192" s="159"/>
      <c r="AH192" s="155" t="s">
        <v>375</v>
      </c>
      <c r="AI192" s="155" t="s">
        <v>83</v>
      </c>
      <c r="AJ192" s="131" t="str">
        <f>IFERROR(VLOOKUP(E192&amp;F192,'Listagem dos op'!A:S,19,0),"")</f>
        <v/>
      </c>
      <c r="AK192" s="131" t="str">
        <f t="shared" si="13"/>
        <v>Jan11255</v>
      </c>
      <c r="AL192" s="154">
        <f>IF(N192="","",IF(N192="SIM",VLOOKUP($I192&amp;$J192&amp;N$1,Pesos!$A:$I,7,FALSE),VLOOKUP($I192&amp;$J192&amp;N$1,Pesos!$A:$I,9,FALSE)))</f>
        <v>0.1</v>
      </c>
      <c r="AM192" s="154">
        <f>IF(O192="","",IF(O192="SIM",VLOOKUP($I192&amp;$J192&amp;O$1,Pesos!$A:$I,7,FALSE),VLOOKUP($I192&amp;$J192&amp;O$1,Pesos!$A:$I,9,FALSE)))</f>
        <v>0.1</v>
      </c>
      <c r="AN192" s="154">
        <f>IF(P192="","",IF(P192="SIM",VLOOKUP($I192&amp;$J192&amp;P$1,Pesos!$A:$I,7,FALSE),VLOOKUP($I192&amp;$J192&amp;P$1,Pesos!$A:$I,9,FALSE)))</f>
        <v>0.1</v>
      </c>
      <c r="AO192" s="154">
        <f>IF(Q192="","",IF(Q192="SIM",VLOOKUP($I192&amp;$J192&amp;Q$1,Pesos!$A:$I,7,FALSE),VLOOKUP($I192&amp;$J192&amp;Q$1,Pesos!$A:$I,9,FALSE)))</f>
        <v>2</v>
      </c>
      <c r="AP192" s="154">
        <f>IF(R192="","",IF(R192="SIM",VLOOKUP($I192&amp;$J192&amp;R$1,Pesos!$A:$I,7,FALSE),VLOOKUP($I192&amp;$J192&amp;R$1,Pesos!$A:$I,9,FALSE)))</f>
        <v>1.03</v>
      </c>
      <c r="AQ192" s="154">
        <f>IF(S192="","",IF(S192="SIM",VLOOKUP($I192&amp;$J192&amp;S$1,Pesos!$A:$I,7,FALSE),VLOOKUP($I192&amp;$J192&amp;S$1,Pesos!$A:$I,9,FALSE)))</f>
        <v>-8.500000000000002E-2</v>
      </c>
      <c r="AR192" s="156">
        <f>IF(T192="","",IF(T192="SIM",VLOOKUP($I192&amp;$J192&amp;T$1,Pesos!$A:$I,7,FALSE),VLOOKUP($I192&amp;$J192&amp;T$1,Pesos!$A:$I,9,FALSE)))</f>
        <v>1.92</v>
      </c>
      <c r="AS192" s="132">
        <f>IF(U192="","",IF(U192="SIM",VLOOKUP($I192&amp;$J192&amp;U$1,Pesos!$A:$I,7,FALSE),VLOOKUP($I192&amp;$J192&amp;U$1,Pesos!$A:$I,9,FALSE)))</f>
        <v>-8.500000000000002E-2</v>
      </c>
      <c r="AT192" s="132">
        <f>IF(V192="","",IF(V192="SIM",VLOOKUP($I192&amp;$J192&amp;V$1,Pesos!$A:$I,7,FALSE),VLOOKUP($I192&amp;$J192&amp;V$1,Pesos!$A:$I,9,FALSE)))</f>
        <v>0.3</v>
      </c>
      <c r="AU192" s="132">
        <f>IF(W192="","",IF(W192="SIM",VLOOKUP($I192&amp;$J192&amp;W$1,Pesos!$A:$I,7,FALSE),VLOOKUP($I192&amp;$J192&amp;W$1,Pesos!$A:$I,9,FALSE)))</f>
        <v>0.3</v>
      </c>
      <c r="AV192" s="132">
        <f>IF(X192="","",IF(X192="SIM",VLOOKUP($I192&amp;$J192&amp;X$1,Pesos!$A:$I,7,FALSE),VLOOKUP($I192&amp;$J192&amp;X$1,Pesos!$A:$I,9,FALSE)))</f>
        <v>0.15</v>
      </c>
      <c r="AW192" s="132">
        <f>IF(Y192="","",IF(Y192="SIM",VLOOKUP($I192&amp;$J192&amp;Y$1,Pesos!$A:$I,7,FALSE),VLOOKUP($I192&amp;$J192&amp;Y$1,Pesos!$A:$I,9,FALSE)))</f>
        <v>0.2</v>
      </c>
      <c r="AX192" s="132">
        <f>IF(Z192="","",IF(Z192="SIM",VLOOKUP($I192&amp;$J192&amp;Z$1,Pesos!$A:$I,7,FALSE),VLOOKUP($I192&amp;$J192&amp;Z$1,Pesos!$A:$I,9,FALSE)))</f>
        <v>0.3</v>
      </c>
      <c r="AY192" s="132">
        <f>IF(AA192="","",IF(AA192="SIM",VLOOKUP($I192&amp;$J192&amp;AA$1,Pesos!$A:$I,7,FALSE),VLOOKUP($I192&amp;$J192&amp;AA$1,Pesos!$A:$I,9,FALSE)))</f>
        <v>0.1</v>
      </c>
      <c r="AZ192" s="132" t="str">
        <f>IF(AB192="","",IF(AB192="SIM",VLOOKUP($I192&amp;$J192&amp;AB$1,Pesos!$A:$I,7,FALSE),VLOOKUP($I192&amp;$J192&amp;AB$1,Pesos!$A:$I,9,FALSE)))</f>
        <v/>
      </c>
      <c r="BA192" s="132" t="str">
        <f>IF(AC192="","",IF(AC192="SIM",VLOOKUP($I192&amp;$J192&amp;AC$1,Pesos!$A:$I,7,FALSE),VLOOKUP($I192&amp;$J192&amp;AC$1,Pesos!$A:$I,9,FALSE)))</f>
        <v/>
      </c>
      <c r="BB192" s="132" t="str">
        <f>IF(AD192="","",IF(AD192="SIM",VLOOKUP($I192&amp;$J192&amp;AD$1,Pesos!$A:$I,7,FALSE),VLOOKUP($I192&amp;$J192&amp;AD$1,Pesos!$A:$I,9,FALSE)))</f>
        <v/>
      </c>
      <c r="BC192" s="132" t="str">
        <f>IF(AE192="","",IF(AE192="SIM",VLOOKUP($I192&amp;$J192&amp;AE$1,Pesos!$A:$I,7,FALSE),VLOOKUP($I192&amp;$J192&amp;AE$1,Pesos!$A:$I,9,FALSE)))</f>
        <v/>
      </c>
      <c r="BD192" s="158">
        <f>IFERROR(AF192*VLOOKUP(J192,'BD Campos'!$X$1:$Y$14,2,FALSE),"0")</f>
        <v>6.43</v>
      </c>
    </row>
    <row r="193" spans="1:56">
      <c r="A193" s="151" t="str">
        <f t="shared" si="11"/>
        <v>Jan11255Motorista 2TRANSFERÊNCIA</v>
      </c>
      <c r="B193" s="149" t="str">
        <f t="shared" si="12"/>
        <v>Jan112552TRANSFERÊNCIAPADRÃO</v>
      </c>
      <c r="C193" s="152">
        <v>1</v>
      </c>
      <c r="D193" s="153">
        <v>46057.701368055554</v>
      </c>
      <c r="E193" s="154" t="s">
        <v>12</v>
      </c>
      <c r="F193" s="155">
        <v>11255</v>
      </c>
      <c r="G193" s="149" t="s">
        <v>374</v>
      </c>
      <c r="H193" s="154">
        <v>2</v>
      </c>
      <c r="I193" s="149" t="s">
        <v>96</v>
      </c>
      <c r="J193" s="149" t="s">
        <v>97</v>
      </c>
      <c r="K193" s="149" t="s">
        <v>192</v>
      </c>
      <c r="L193" s="156">
        <v>34785812</v>
      </c>
      <c r="M193" s="157">
        <v>2.7430555555555559E-3</v>
      </c>
      <c r="N193" s="131"/>
      <c r="O193" s="131"/>
      <c r="P193" s="131"/>
      <c r="Q193" s="131"/>
      <c r="R193" s="131"/>
      <c r="S193" s="131"/>
      <c r="T193" s="131"/>
      <c r="U193" s="131"/>
      <c r="V193" s="131"/>
      <c r="W193" s="131"/>
      <c r="X193" s="131"/>
      <c r="Y193" s="131"/>
      <c r="Z193" s="131"/>
      <c r="AA193" s="131"/>
      <c r="AB193" s="131"/>
      <c r="AC193" s="131"/>
      <c r="AD193" s="131"/>
      <c r="AE193" s="131"/>
      <c r="AF193" s="158">
        <f t="shared" si="14"/>
        <v>0</v>
      </c>
      <c r="AG193" s="159" t="s">
        <v>247</v>
      </c>
      <c r="AH193" s="155" t="s">
        <v>376</v>
      </c>
      <c r="AI193" s="155" t="s">
        <v>83</v>
      </c>
      <c r="AJ193" s="131" t="str">
        <f>IFERROR(VLOOKUP(E193&amp;F193,'Listagem dos op'!A:S,19,0),"")</f>
        <v/>
      </c>
      <c r="AK193" s="131" t="str">
        <f t="shared" si="13"/>
        <v>Jan11255</v>
      </c>
      <c r="AL193" s="154" t="str">
        <f>IF(N193="","",IF(N193="SIM",VLOOKUP($I193&amp;$J193&amp;N$1,Pesos!$A:$I,7,FALSE),VLOOKUP($I193&amp;$J193&amp;N$1,Pesos!$A:$I,9,FALSE)))</f>
        <v/>
      </c>
      <c r="AM193" s="154" t="str">
        <f>IF(O193="","",IF(O193="SIM",VLOOKUP($I193&amp;$J193&amp;O$1,Pesos!$A:$I,7,FALSE),VLOOKUP($I193&amp;$J193&amp;O$1,Pesos!$A:$I,9,FALSE)))</f>
        <v/>
      </c>
      <c r="AN193" s="154" t="str">
        <f>IF(P193="","",IF(P193="SIM",VLOOKUP($I193&amp;$J193&amp;P$1,Pesos!$A:$I,7,FALSE),VLOOKUP($I193&amp;$J193&amp;P$1,Pesos!$A:$I,9,FALSE)))</f>
        <v/>
      </c>
      <c r="AO193" s="154" t="str">
        <f>IF(Q193="","",IF(Q193="SIM",VLOOKUP($I193&amp;$J193&amp;Q$1,Pesos!$A:$I,7,FALSE),VLOOKUP($I193&amp;$J193&amp;Q$1,Pesos!$A:$I,9,FALSE)))</f>
        <v/>
      </c>
      <c r="AP193" s="154" t="str">
        <f>IF(R193="","",IF(R193="SIM",VLOOKUP($I193&amp;$J193&amp;R$1,Pesos!$A:$I,7,FALSE),VLOOKUP($I193&amp;$J193&amp;R$1,Pesos!$A:$I,9,FALSE)))</f>
        <v/>
      </c>
      <c r="AQ193" s="154" t="str">
        <f>IF(S193="","",IF(S193="SIM",VLOOKUP($I193&amp;$J193&amp;S$1,Pesos!$A:$I,7,FALSE),VLOOKUP($I193&amp;$J193&amp;S$1,Pesos!$A:$I,9,FALSE)))</f>
        <v/>
      </c>
      <c r="AR193" s="156" t="str">
        <f>IF(T193="","",IF(T193="SIM",VLOOKUP($I193&amp;$J193&amp;T$1,Pesos!$A:$I,7,FALSE),VLOOKUP($I193&amp;$J193&amp;T$1,Pesos!$A:$I,9,FALSE)))</f>
        <v/>
      </c>
      <c r="AS193" s="132" t="str">
        <f>IF(U193="","",IF(U193="SIM",VLOOKUP($I193&amp;$J193&amp;U$1,Pesos!$A:$I,7,FALSE),VLOOKUP($I193&amp;$J193&amp;U$1,Pesos!$A:$I,9,FALSE)))</f>
        <v/>
      </c>
      <c r="AT193" s="132" t="str">
        <f>IF(V193="","",IF(V193="SIM",VLOOKUP($I193&amp;$J193&amp;V$1,Pesos!$A:$I,7,FALSE),VLOOKUP($I193&amp;$J193&amp;V$1,Pesos!$A:$I,9,FALSE)))</f>
        <v/>
      </c>
      <c r="AU193" s="132" t="str">
        <f>IF(W193="","",IF(W193="SIM",VLOOKUP($I193&amp;$J193&amp;W$1,Pesos!$A:$I,7,FALSE),VLOOKUP($I193&amp;$J193&amp;W$1,Pesos!$A:$I,9,FALSE)))</f>
        <v/>
      </c>
      <c r="AV193" s="132" t="str">
        <f>IF(X193="","",IF(X193="SIM",VLOOKUP($I193&amp;$J193&amp;X$1,Pesos!$A:$I,7,FALSE),VLOOKUP($I193&amp;$J193&amp;X$1,Pesos!$A:$I,9,FALSE)))</f>
        <v/>
      </c>
      <c r="AW193" s="132" t="str">
        <f>IF(Y193="","",IF(Y193="SIM",VLOOKUP($I193&amp;$J193&amp;Y$1,Pesos!$A:$I,7,FALSE),VLOOKUP($I193&amp;$J193&amp;Y$1,Pesos!$A:$I,9,FALSE)))</f>
        <v/>
      </c>
      <c r="AX193" s="132" t="str">
        <f>IF(Z193="","",IF(Z193="SIM",VLOOKUP($I193&amp;$J193&amp;Z$1,Pesos!$A:$I,7,FALSE),VLOOKUP($I193&amp;$J193&amp;Z$1,Pesos!$A:$I,9,FALSE)))</f>
        <v/>
      </c>
      <c r="AY193" s="132" t="str">
        <f>IF(AA193="","",IF(AA193="SIM",VLOOKUP($I193&amp;$J193&amp;AA$1,Pesos!$A:$I,7,FALSE),VLOOKUP($I193&amp;$J193&amp;AA$1,Pesos!$A:$I,9,FALSE)))</f>
        <v/>
      </c>
      <c r="AZ193" s="132" t="str">
        <f>IF(AB193="","",IF(AB193="SIM",VLOOKUP($I193&amp;$J193&amp;AB$1,Pesos!$A:$I,7,FALSE),VLOOKUP($I193&amp;$J193&amp;AB$1,Pesos!$A:$I,9,FALSE)))</f>
        <v/>
      </c>
      <c r="BA193" s="132" t="str">
        <f>IF(AC193="","",IF(AC193="SIM",VLOOKUP($I193&amp;$J193&amp;AC$1,Pesos!$A:$I,7,FALSE),VLOOKUP($I193&amp;$J193&amp;AC$1,Pesos!$A:$I,9,FALSE)))</f>
        <v/>
      </c>
      <c r="BB193" s="132" t="str">
        <f>IF(AD193="","",IF(AD193="SIM",VLOOKUP($I193&amp;$J193&amp;AD$1,Pesos!$A:$I,7,FALSE),VLOOKUP($I193&amp;$J193&amp;AD$1,Pesos!$A:$I,9,FALSE)))</f>
        <v/>
      </c>
      <c r="BC193" s="132" t="str">
        <f>IF(AE193="","",IF(AE193="SIM",VLOOKUP($I193&amp;$J193&amp;AE$1,Pesos!$A:$I,7,FALSE),VLOOKUP($I193&amp;$J193&amp;AE$1,Pesos!$A:$I,9,FALSE)))</f>
        <v/>
      </c>
      <c r="BD193" s="158">
        <f>IFERROR(AF193*VLOOKUP(J193,'BD Campos'!$X$1:$Y$14,2,FALSE),"0")</f>
        <v>0</v>
      </c>
    </row>
    <row r="194" spans="1:56">
      <c r="A194" s="151" t="str">
        <f t="shared" ref="A194:A257" si="15">E194&amp;F194&amp;J194&amp;K194&amp;""</f>
        <v>Jan11280MotoristaTRANSFERÊNCIA</v>
      </c>
      <c r="B194" s="149" t="str">
        <f t="shared" ref="B194:B257" si="16">E194&amp;F194&amp;H194&amp;K194&amp;AI194</f>
        <v>Jan112801TRANSFERÊNCIAPADRÃO</v>
      </c>
      <c r="C194" s="152">
        <v>1</v>
      </c>
      <c r="D194" s="153">
        <v>46057.704684027776</v>
      </c>
      <c r="E194" s="154" t="s">
        <v>12</v>
      </c>
      <c r="F194" s="155">
        <v>11280</v>
      </c>
      <c r="G194" s="149" t="s">
        <v>377</v>
      </c>
      <c r="H194" s="154">
        <v>1</v>
      </c>
      <c r="I194" s="149" t="s">
        <v>96</v>
      </c>
      <c r="J194" s="149" t="s">
        <v>93</v>
      </c>
      <c r="K194" s="149" t="s">
        <v>192</v>
      </c>
      <c r="L194" s="156">
        <v>34684370</v>
      </c>
      <c r="M194" s="157">
        <v>1.5509259259259261E-3</v>
      </c>
      <c r="N194" s="131" t="s">
        <v>17</v>
      </c>
      <c r="O194" s="131" t="s">
        <v>17</v>
      </c>
      <c r="P194" s="131" t="s">
        <v>17</v>
      </c>
      <c r="Q194" s="131" t="s">
        <v>17</v>
      </c>
      <c r="R194" s="131" t="s">
        <v>17</v>
      </c>
      <c r="S194" s="131" t="s">
        <v>17</v>
      </c>
      <c r="T194" s="131" t="s">
        <v>17</v>
      </c>
      <c r="U194" s="131" t="s">
        <v>18</v>
      </c>
      <c r="V194" s="131" t="s">
        <v>17</v>
      </c>
      <c r="W194" s="131" t="s">
        <v>17</v>
      </c>
      <c r="X194" s="131" t="s">
        <v>17</v>
      </c>
      <c r="Y194" s="131" t="s">
        <v>17</v>
      </c>
      <c r="Z194" s="131" t="s">
        <v>17</v>
      </c>
      <c r="AA194" s="131" t="s">
        <v>17</v>
      </c>
      <c r="AB194" s="131" t="s">
        <v>17</v>
      </c>
      <c r="AC194" s="131"/>
      <c r="AD194" s="131"/>
      <c r="AE194" s="131"/>
      <c r="AF194" s="158">
        <f t="shared" si="14"/>
        <v>8.8974999999999991</v>
      </c>
      <c r="AG194" s="159"/>
      <c r="AH194" s="155" t="s">
        <v>378</v>
      </c>
      <c r="AI194" s="155" t="s">
        <v>83</v>
      </c>
      <c r="AJ194" s="131" t="str">
        <f>IFERROR(VLOOKUP(E194&amp;F194,'Listagem dos op'!A:S,19,0),"")</f>
        <v/>
      </c>
      <c r="AK194" s="131" t="str">
        <f t="shared" ref="AK194:AK257" si="17">E194&amp;F194</f>
        <v>Jan11280</v>
      </c>
      <c r="AL194" s="154">
        <f>IF(N194="","",IF(N194="SIM",VLOOKUP($I194&amp;$J194&amp;N$1,Pesos!$A:$I,7,FALSE),VLOOKUP($I194&amp;$J194&amp;N$1,Pesos!$A:$I,9,FALSE)))</f>
        <v>0.1</v>
      </c>
      <c r="AM194" s="154">
        <f>IF(O194="","",IF(O194="SIM",VLOOKUP($I194&amp;$J194&amp;O$1,Pesos!$A:$I,7,FALSE),VLOOKUP($I194&amp;$J194&amp;O$1,Pesos!$A:$I,9,FALSE)))</f>
        <v>0.1</v>
      </c>
      <c r="AN194" s="154">
        <f>IF(P194="","",IF(P194="SIM",VLOOKUP($I194&amp;$J194&amp;P$1,Pesos!$A:$I,7,FALSE),VLOOKUP($I194&amp;$J194&amp;P$1,Pesos!$A:$I,9,FALSE)))</f>
        <v>0.1</v>
      </c>
      <c r="AO194" s="154">
        <f>IF(Q194="","",IF(Q194="SIM",VLOOKUP($I194&amp;$J194&amp;Q$1,Pesos!$A:$I,7,FALSE),VLOOKUP($I194&amp;$J194&amp;Q$1,Pesos!$A:$I,9,FALSE)))</f>
        <v>2</v>
      </c>
      <c r="AP194" s="154">
        <f>IF(R194="","",IF(R194="SIM",VLOOKUP($I194&amp;$J194&amp;R$1,Pesos!$A:$I,7,FALSE),VLOOKUP($I194&amp;$J194&amp;R$1,Pesos!$A:$I,9,FALSE)))</f>
        <v>1.03</v>
      </c>
      <c r="AQ194" s="154">
        <f>IF(S194="","",IF(S194="SIM",VLOOKUP($I194&amp;$J194&amp;S$1,Pesos!$A:$I,7,FALSE),VLOOKUP($I194&amp;$J194&amp;S$1,Pesos!$A:$I,9,FALSE)))</f>
        <v>1.22</v>
      </c>
      <c r="AR194" s="156">
        <f>IF(T194="","",IF(T194="SIM",VLOOKUP($I194&amp;$J194&amp;T$1,Pesos!$A:$I,7,FALSE),VLOOKUP($I194&amp;$J194&amp;T$1,Pesos!$A:$I,9,FALSE)))</f>
        <v>2</v>
      </c>
      <c r="AS194" s="132">
        <f>IF(U194="","",IF(U194="SIM",VLOOKUP($I194&amp;$J194&amp;U$1,Pesos!$A:$I,7,FALSE),VLOOKUP($I194&amp;$J194&amp;U$1,Pesos!$A:$I,9,FALSE)))</f>
        <v>-5.2500000000000005E-2</v>
      </c>
      <c r="AT194" s="132">
        <f>IF(V194="","",IF(V194="SIM",VLOOKUP($I194&amp;$J194&amp;V$1,Pesos!$A:$I,7,FALSE),VLOOKUP($I194&amp;$J194&amp;V$1,Pesos!$A:$I,9,FALSE)))</f>
        <v>1.05</v>
      </c>
      <c r="AU194" s="132">
        <f>IF(W194="","",IF(W194="SIM",VLOOKUP($I194&amp;$J194&amp;W$1,Pesos!$A:$I,7,FALSE),VLOOKUP($I194&amp;$J194&amp;W$1,Pesos!$A:$I,9,FALSE)))</f>
        <v>0.3</v>
      </c>
      <c r="AV194" s="132">
        <f>IF(X194="","",IF(X194="SIM",VLOOKUP($I194&amp;$J194&amp;X$1,Pesos!$A:$I,7,FALSE),VLOOKUP($I194&amp;$J194&amp;X$1,Pesos!$A:$I,9,FALSE)))</f>
        <v>0.3</v>
      </c>
      <c r="AW194" s="132">
        <f>IF(Y194="","",IF(Y194="SIM",VLOOKUP($I194&amp;$J194&amp;Y$1,Pesos!$A:$I,7,FALSE),VLOOKUP($I194&amp;$J194&amp;Y$1,Pesos!$A:$I,9,FALSE)))</f>
        <v>0.15</v>
      </c>
      <c r="AX194" s="132">
        <f>IF(Z194="","",IF(Z194="SIM",VLOOKUP($I194&amp;$J194&amp;Z$1,Pesos!$A:$I,7,FALSE),VLOOKUP($I194&amp;$J194&amp;Z$1,Pesos!$A:$I,9,FALSE)))</f>
        <v>0.2</v>
      </c>
      <c r="AY194" s="132">
        <f>IF(AA194="","",IF(AA194="SIM",VLOOKUP($I194&amp;$J194&amp;AA$1,Pesos!$A:$I,7,FALSE),VLOOKUP($I194&amp;$J194&amp;AA$1,Pesos!$A:$I,9,FALSE)))</f>
        <v>0.3</v>
      </c>
      <c r="AZ194" s="132">
        <f>IF(AB194="","",IF(AB194="SIM",VLOOKUP($I194&amp;$J194&amp;AB$1,Pesos!$A:$I,7,FALSE),VLOOKUP($I194&amp;$J194&amp;AB$1,Pesos!$A:$I,9,FALSE)))</f>
        <v>0.1</v>
      </c>
      <c r="BA194" s="132" t="str">
        <f>IF(AC194="","",IF(AC194="SIM",VLOOKUP($I194&amp;$J194&amp;AC$1,Pesos!$A:$I,7,FALSE),VLOOKUP($I194&amp;$J194&amp;AC$1,Pesos!$A:$I,9,FALSE)))</f>
        <v/>
      </c>
      <c r="BB194" s="132" t="str">
        <f>IF(AD194="","",IF(AD194="SIM",VLOOKUP($I194&amp;$J194&amp;AD$1,Pesos!$A:$I,7,FALSE),VLOOKUP($I194&amp;$J194&amp;AD$1,Pesos!$A:$I,9,FALSE)))</f>
        <v/>
      </c>
      <c r="BC194" s="132" t="str">
        <f>IF(AE194="","",IF(AE194="SIM",VLOOKUP($I194&amp;$J194&amp;AE$1,Pesos!$A:$I,7,FALSE),VLOOKUP($I194&amp;$J194&amp;AE$1,Pesos!$A:$I,9,FALSE)))</f>
        <v/>
      </c>
      <c r="BD194" s="158">
        <f>IFERROR(AF194*VLOOKUP(J194,'BD Campos'!$X$1:$Y$14,2,FALSE),"0")</f>
        <v>8.8974999999999991</v>
      </c>
    </row>
    <row r="195" spans="1:56">
      <c r="A195" s="151" t="str">
        <f t="shared" si="15"/>
        <v>Jan11280Motorista 2TRANSFERÊNCIA</v>
      </c>
      <c r="B195" s="149" t="str">
        <f t="shared" si="16"/>
        <v>Jan112802TRANSFERÊNCIAPADRÃO</v>
      </c>
      <c r="C195" s="152">
        <v>1</v>
      </c>
      <c r="D195" s="153">
        <v>46057.707703819447</v>
      </c>
      <c r="E195" s="154" t="s">
        <v>12</v>
      </c>
      <c r="F195" s="155">
        <v>11280</v>
      </c>
      <c r="G195" s="149" t="s">
        <v>377</v>
      </c>
      <c r="H195" s="154">
        <v>2</v>
      </c>
      <c r="I195" s="149" t="s">
        <v>133</v>
      </c>
      <c r="J195" s="149" t="s">
        <v>97</v>
      </c>
      <c r="K195" s="149" t="s">
        <v>192</v>
      </c>
      <c r="L195" s="156">
        <v>34529203</v>
      </c>
      <c r="M195" s="157">
        <v>2.1064814814814813E-3</v>
      </c>
      <c r="N195" s="131" t="s">
        <v>17</v>
      </c>
      <c r="O195" s="131" t="s">
        <v>17</v>
      </c>
      <c r="P195" s="131" t="s">
        <v>17</v>
      </c>
      <c r="Q195" s="131" t="s">
        <v>17</v>
      </c>
      <c r="R195" s="131" t="s">
        <v>17</v>
      </c>
      <c r="S195" s="131" t="s">
        <v>17</v>
      </c>
      <c r="T195" s="131" t="s">
        <v>17</v>
      </c>
      <c r="U195" s="131" t="s">
        <v>17</v>
      </c>
      <c r="V195" s="131" t="s">
        <v>17</v>
      </c>
      <c r="W195" s="131" t="s">
        <v>17</v>
      </c>
      <c r="X195" s="131" t="s">
        <v>17</v>
      </c>
      <c r="Y195" s="131" t="s">
        <v>17</v>
      </c>
      <c r="Z195" s="131" t="s">
        <v>17</v>
      </c>
      <c r="AA195" s="131" t="s">
        <v>17</v>
      </c>
      <c r="AB195" s="131" t="s">
        <v>17</v>
      </c>
      <c r="AC195" s="131" t="s">
        <v>17</v>
      </c>
      <c r="AD195" s="131"/>
      <c r="AE195" s="131"/>
      <c r="AF195" s="158">
        <f t="shared" ref="AF195:AF258" si="18">SUM(AL195:BC195)</f>
        <v>10</v>
      </c>
      <c r="AG195" s="159"/>
      <c r="AH195" s="155" t="s">
        <v>379</v>
      </c>
      <c r="AI195" s="155" t="s">
        <v>83</v>
      </c>
      <c r="AJ195" s="131" t="str">
        <f>IFERROR(VLOOKUP(E195&amp;F195,'Listagem dos op'!A:S,19,0),"")</f>
        <v/>
      </c>
      <c r="AK195" s="131" t="str">
        <f t="shared" si="17"/>
        <v>Jan11280</v>
      </c>
      <c r="AL195" s="154">
        <f>IF(N195="","",IF(N195="SIM",VLOOKUP($I195&amp;$J195&amp;N$1,Pesos!$A:$I,7,FALSE),VLOOKUP($I195&amp;$J195&amp;N$1,Pesos!$A:$I,9,FALSE)))</f>
        <v>0.1</v>
      </c>
      <c r="AM195" s="154">
        <f>IF(O195="","",IF(O195="SIM",VLOOKUP($I195&amp;$J195&amp;O$1,Pesos!$A:$I,7,FALSE),VLOOKUP($I195&amp;$J195&amp;O$1,Pesos!$A:$I,9,FALSE)))</f>
        <v>0.1</v>
      </c>
      <c r="AN195" s="154">
        <f>IF(P195="","",IF(P195="SIM",VLOOKUP($I195&amp;$J195&amp;P$1,Pesos!$A:$I,7,FALSE),VLOOKUP($I195&amp;$J195&amp;P$1,Pesos!$A:$I,9,FALSE)))</f>
        <v>0.1</v>
      </c>
      <c r="AO195" s="154">
        <f>IF(Q195="","",IF(Q195="SIM",VLOOKUP($I195&amp;$J195&amp;Q$1,Pesos!$A:$I,7,FALSE),VLOOKUP($I195&amp;$J195&amp;Q$1,Pesos!$A:$I,9,FALSE)))</f>
        <v>2</v>
      </c>
      <c r="AP195" s="154">
        <f>IF(R195="","",IF(R195="SIM",VLOOKUP($I195&amp;$J195&amp;R$1,Pesos!$A:$I,7,FALSE),VLOOKUP($I195&amp;$J195&amp;R$1,Pesos!$A:$I,9,FALSE)))</f>
        <v>1.03</v>
      </c>
      <c r="AQ195" s="154">
        <f>IF(S195="","",IF(S195="SIM",VLOOKUP($I195&amp;$J195&amp;S$1,Pesos!$A:$I,7,FALSE),VLOOKUP($I195&amp;$J195&amp;S$1,Pesos!$A:$I,9,FALSE)))</f>
        <v>1.05</v>
      </c>
      <c r="AR195" s="156">
        <f>IF(T195="","",IF(T195="SIM",VLOOKUP($I195&amp;$J195&amp;T$1,Pesos!$A:$I,7,FALSE),VLOOKUP($I195&amp;$J195&amp;T$1,Pesos!$A:$I,9,FALSE)))</f>
        <v>1.05</v>
      </c>
      <c r="AS195" s="132">
        <f>IF(U195="","",IF(U195="SIM",VLOOKUP($I195&amp;$J195&amp;U$1,Pesos!$A:$I,7,FALSE),VLOOKUP($I195&amp;$J195&amp;U$1,Pesos!$A:$I,9,FALSE)))</f>
        <v>1.05</v>
      </c>
      <c r="AT195" s="132">
        <f>IF(V195="","",IF(V195="SIM",VLOOKUP($I195&amp;$J195&amp;V$1,Pesos!$A:$I,7,FALSE),VLOOKUP($I195&amp;$J195&amp;V$1,Pesos!$A:$I,9,FALSE)))</f>
        <v>1.05</v>
      </c>
      <c r="AU195" s="132">
        <f>IF(W195="","",IF(W195="SIM",VLOOKUP($I195&amp;$J195&amp;W$1,Pesos!$A:$I,7,FALSE),VLOOKUP($I195&amp;$J195&amp;W$1,Pesos!$A:$I,9,FALSE)))</f>
        <v>1.1200000000000001</v>
      </c>
      <c r="AV195" s="132">
        <f>IF(X195="","",IF(X195="SIM",VLOOKUP($I195&amp;$J195&amp;X$1,Pesos!$A:$I,7,FALSE),VLOOKUP($I195&amp;$J195&amp;X$1,Pesos!$A:$I,9,FALSE)))</f>
        <v>0.3</v>
      </c>
      <c r="AW195" s="132">
        <f>IF(Y195="","",IF(Y195="SIM",VLOOKUP($I195&amp;$J195&amp;Y$1,Pesos!$A:$I,7,FALSE),VLOOKUP($I195&amp;$J195&amp;Y$1,Pesos!$A:$I,9,FALSE)))</f>
        <v>0.3</v>
      </c>
      <c r="AX195" s="132">
        <f>IF(Z195="","",IF(Z195="SIM",VLOOKUP($I195&amp;$J195&amp;Z$1,Pesos!$A:$I,7,FALSE),VLOOKUP($I195&amp;$J195&amp;Z$1,Pesos!$A:$I,9,FALSE)))</f>
        <v>0.15</v>
      </c>
      <c r="AY195" s="132">
        <f>IF(AA195="","",IF(AA195="SIM",VLOOKUP($I195&amp;$J195&amp;AA$1,Pesos!$A:$I,7,FALSE),VLOOKUP($I195&amp;$J195&amp;AA$1,Pesos!$A:$I,9,FALSE)))</f>
        <v>0.2</v>
      </c>
      <c r="AZ195" s="132">
        <f>IF(AB195="","",IF(AB195="SIM",VLOOKUP($I195&amp;$J195&amp;AB$1,Pesos!$A:$I,7,FALSE),VLOOKUP($I195&amp;$J195&amp;AB$1,Pesos!$A:$I,9,FALSE)))</f>
        <v>0.3</v>
      </c>
      <c r="BA195" s="132">
        <f>IF(AC195="","",IF(AC195="SIM",VLOOKUP($I195&amp;$J195&amp;AC$1,Pesos!$A:$I,7,FALSE),VLOOKUP($I195&amp;$J195&amp;AC$1,Pesos!$A:$I,9,FALSE)))</f>
        <v>0.1</v>
      </c>
      <c r="BB195" s="132" t="str">
        <f>IF(AD195="","",IF(AD195="SIM",VLOOKUP($I195&amp;$J195&amp;AD$1,Pesos!$A:$I,7,FALSE),VLOOKUP($I195&amp;$J195&amp;AD$1,Pesos!$A:$I,9,FALSE)))</f>
        <v/>
      </c>
      <c r="BC195" s="132" t="str">
        <f>IF(AE195="","",IF(AE195="SIM",VLOOKUP($I195&amp;$J195&amp;AE$1,Pesos!$A:$I,7,FALSE),VLOOKUP($I195&amp;$J195&amp;AE$1,Pesos!$A:$I,9,FALSE)))</f>
        <v/>
      </c>
      <c r="BD195" s="158">
        <f>IFERROR(AF195*VLOOKUP(J195,'BD Campos'!$X$1:$Y$14,2,FALSE),"0")</f>
        <v>10</v>
      </c>
    </row>
    <row r="196" spans="1:56">
      <c r="A196" s="151" t="str">
        <f t="shared" si="15"/>
        <v>Jan11278MotoristaTRANSFERÊNCIA</v>
      </c>
      <c r="B196" s="149" t="str">
        <f t="shared" si="16"/>
        <v>Jan112781TRANSFERÊNCIAPADRÃO</v>
      </c>
      <c r="C196" s="152">
        <v>1</v>
      </c>
      <c r="D196" s="153">
        <v>46057.709547453705</v>
      </c>
      <c r="E196" s="154" t="s">
        <v>12</v>
      </c>
      <c r="F196" s="155">
        <v>11278</v>
      </c>
      <c r="G196" s="149" t="s">
        <v>380</v>
      </c>
      <c r="H196" s="154">
        <v>1</v>
      </c>
      <c r="I196" s="149" t="s">
        <v>130</v>
      </c>
      <c r="J196" s="149" t="s">
        <v>93</v>
      </c>
      <c r="K196" s="149" t="s">
        <v>192</v>
      </c>
      <c r="L196" s="156">
        <v>34595910</v>
      </c>
      <c r="M196" s="157">
        <v>1.6782407407407406E-3</v>
      </c>
      <c r="N196" s="131" t="s">
        <v>17</v>
      </c>
      <c r="O196" s="131" t="s">
        <v>17</v>
      </c>
      <c r="P196" s="131" t="s">
        <v>17</v>
      </c>
      <c r="Q196" s="131" t="s">
        <v>17</v>
      </c>
      <c r="R196" s="131" t="s">
        <v>17</v>
      </c>
      <c r="S196" s="131" t="s">
        <v>17</v>
      </c>
      <c r="T196" s="131" t="s">
        <v>18</v>
      </c>
      <c r="U196" s="131" t="s">
        <v>18</v>
      </c>
      <c r="V196" s="131" t="s">
        <v>18</v>
      </c>
      <c r="W196" s="131" t="s">
        <v>17</v>
      </c>
      <c r="X196" s="131" t="s">
        <v>17</v>
      </c>
      <c r="Y196" s="131" t="s">
        <v>17</v>
      </c>
      <c r="Z196" s="131" t="s">
        <v>17</v>
      </c>
      <c r="AA196" s="131" t="s">
        <v>17</v>
      </c>
      <c r="AB196" s="131" t="s">
        <v>17</v>
      </c>
      <c r="AC196" s="131"/>
      <c r="AD196" s="131"/>
      <c r="AE196" s="131"/>
      <c r="AF196" s="158">
        <f t="shared" si="18"/>
        <v>5.7787999999999995</v>
      </c>
      <c r="AG196" s="159"/>
      <c r="AH196" s="155" t="s">
        <v>381</v>
      </c>
      <c r="AI196" s="155" t="s">
        <v>83</v>
      </c>
      <c r="AJ196" s="131" t="str">
        <f>IFERROR(VLOOKUP(E196&amp;F196,'Listagem dos op'!A:S,19,0),"")</f>
        <v/>
      </c>
      <c r="AK196" s="131" t="str">
        <f t="shared" si="17"/>
        <v>Jan11278</v>
      </c>
      <c r="AL196" s="154">
        <f>IF(N196="","",IF(N196="SIM",VLOOKUP($I196&amp;$J196&amp;N$1,Pesos!$A:$I,7,FALSE),VLOOKUP($I196&amp;$J196&amp;N$1,Pesos!$A:$I,9,FALSE)))</f>
        <v>0.1</v>
      </c>
      <c r="AM196" s="154">
        <f>IF(O196="","",IF(O196="SIM",VLOOKUP($I196&amp;$J196&amp;O$1,Pesos!$A:$I,7,FALSE),VLOOKUP($I196&amp;$J196&amp;O$1,Pesos!$A:$I,9,FALSE)))</f>
        <v>0.1</v>
      </c>
      <c r="AN196" s="154">
        <f>IF(P196="","",IF(P196="SIM",VLOOKUP($I196&amp;$J196&amp;P$1,Pesos!$A:$I,7,FALSE),VLOOKUP($I196&amp;$J196&amp;P$1,Pesos!$A:$I,9,FALSE)))</f>
        <v>0.1</v>
      </c>
      <c r="AO196" s="154">
        <f>IF(Q196="","",IF(Q196="SIM",VLOOKUP($I196&amp;$J196&amp;Q$1,Pesos!$A:$I,7,FALSE),VLOOKUP($I196&amp;$J196&amp;Q$1,Pesos!$A:$I,9,FALSE)))</f>
        <v>2</v>
      </c>
      <c r="AP196" s="154">
        <f>IF(R196="","",IF(R196="SIM",VLOOKUP($I196&amp;$J196&amp;R$1,Pesos!$A:$I,7,FALSE),VLOOKUP($I196&amp;$J196&amp;R$1,Pesos!$A:$I,9,FALSE)))</f>
        <v>1.03</v>
      </c>
      <c r="AQ196" s="154">
        <f>IF(S196="","",IF(S196="SIM",VLOOKUP($I196&amp;$J196&amp;S$1,Pesos!$A:$I,7,FALSE),VLOOKUP($I196&amp;$J196&amp;S$1,Pesos!$A:$I,9,FALSE)))</f>
        <v>1.3</v>
      </c>
      <c r="AR196" s="156">
        <f>IF(T196="","",IF(T196="SIM",VLOOKUP($I196&amp;$J196&amp;T$1,Pesos!$A:$I,7,FALSE),VLOOKUP($I196&amp;$J196&amp;T$1,Pesos!$A:$I,9,FALSE)))</f>
        <v>-6.5000000000000002E-2</v>
      </c>
      <c r="AS196" s="132">
        <f>IF(U196="","",IF(U196="SIM",VLOOKUP($I196&amp;$J196&amp;U$1,Pesos!$A:$I,7,FALSE),VLOOKUP($I196&amp;$J196&amp;U$1,Pesos!$A:$I,9,FALSE)))</f>
        <v>-6.6000000000000003E-2</v>
      </c>
      <c r="AT196" s="132">
        <f>IF(V196="","",IF(V196="SIM",VLOOKUP($I196&amp;$J196&amp;V$1,Pesos!$A:$I,7,FALSE),VLOOKUP($I196&amp;$J196&amp;V$1,Pesos!$A:$I,9,FALSE)))</f>
        <v>-7.0199999999999999E-2</v>
      </c>
      <c r="AU196" s="132">
        <f>IF(W196="","",IF(W196="SIM",VLOOKUP($I196&amp;$J196&amp;W$1,Pesos!$A:$I,7,FALSE),VLOOKUP($I196&amp;$J196&amp;W$1,Pesos!$A:$I,9,FALSE)))</f>
        <v>0.3</v>
      </c>
      <c r="AV196" s="132">
        <f>IF(X196="","",IF(X196="SIM",VLOOKUP($I196&amp;$J196&amp;X$1,Pesos!$A:$I,7,FALSE),VLOOKUP($I196&amp;$J196&amp;X$1,Pesos!$A:$I,9,FALSE)))</f>
        <v>0.3</v>
      </c>
      <c r="AW196" s="132">
        <f>IF(Y196="","",IF(Y196="SIM",VLOOKUP($I196&amp;$J196&amp;Y$1,Pesos!$A:$I,7,FALSE),VLOOKUP($I196&amp;$J196&amp;Y$1,Pesos!$A:$I,9,FALSE)))</f>
        <v>0.15</v>
      </c>
      <c r="AX196" s="132">
        <f>IF(Z196="","",IF(Z196="SIM",VLOOKUP($I196&amp;$J196&amp;Z$1,Pesos!$A:$I,7,FALSE),VLOOKUP($I196&amp;$J196&amp;Z$1,Pesos!$A:$I,9,FALSE)))</f>
        <v>0.2</v>
      </c>
      <c r="AY196" s="132">
        <f>IF(AA196="","",IF(AA196="SIM",VLOOKUP($I196&amp;$J196&amp;AA$1,Pesos!$A:$I,7,FALSE),VLOOKUP($I196&amp;$J196&amp;AA$1,Pesos!$A:$I,9,FALSE)))</f>
        <v>0.3</v>
      </c>
      <c r="AZ196" s="132">
        <f>IF(AB196="","",IF(AB196="SIM",VLOOKUP($I196&amp;$J196&amp;AB$1,Pesos!$A:$I,7,FALSE),VLOOKUP($I196&amp;$J196&amp;AB$1,Pesos!$A:$I,9,FALSE)))</f>
        <v>0.1</v>
      </c>
      <c r="BA196" s="132" t="str">
        <f>IF(AC196="","",IF(AC196="SIM",VLOOKUP($I196&amp;$J196&amp;AC$1,Pesos!$A:$I,7,FALSE),VLOOKUP($I196&amp;$J196&amp;AC$1,Pesos!$A:$I,9,FALSE)))</f>
        <v/>
      </c>
      <c r="BB196" s="132" t="str">
        <f>IF(AD196="","",IF(AD196="SIM",VLOOKUP($I196&amp;$J196&amp;AD$1,Pesos!$A:$I,7,FALSE),VLOOKUP($I196&amp;$J196&amp;AD$1,Pesos!$A:$I,9,FALSE)))</f>
        <v/>
      </c>
      <c r="BC196" s="132" t="str">
        <f>IF(AE196="","",IF(AE196="SIM",VLOOKUP($I196&amp;$J196&amp;AE$1,Pesos!$A:$I,7,FALSE),VLOOKUP($I196&amp;$J196&amp;AE$1,Pesos!$A:$I,9,FALSE)))</f>
        <v/>
      </c>
      <c r="BD196" s="158">
        <f>IFERROR(AF196*VLOOKUP(J196,'BD Campos'!$X$1:$Y$14,2,FALSE),"0")</f>
        <v>5.7787999999999995</v>
      </c>
    </row>
    <row r="197" spans="1:56">
      <c r="A197" s="151" t="str">
        <f t="shared" si="15"/>
        <v>Jan11278Motorista 2TRANSFERÊNCIA</v>
      </c>
      <c r="B197" s="149" t="str">
        <f t="shared" si="16"/>
        <v>Jan112782TRANSFERÊNCIAPADRÃO</v>
      </c>
      <c r="C197" s="152">
        <v>1</v>
      </c>
      <c r="D197" s="153">
        <v>46057.711456712961</v>
      </c>
      <c r="E197" s="154" t="s">
        <v>12</v>
      </c>
      <c r="F197" s="155">
        <v>11278</v>
      </c>
      <c r="G197" s="149" t="s">
        <v>380</v>
      </c>
      <c r="H197" s="154">
        <v>2</v>
      </c>
      <c r="I197" s="149" t="s">
        <v>130</v>
      </c>
      <c r="J197" s="149" t="s">
        <v>97</v>
      </c>
      <c r="K197" s="149" t="s">
        <v>192</v>
      </c>
      <c r="L197" s="156">
        <v>34755884</v>
      </c>
      <c r="M197" s="157">
        <v>1.5624999999999999E-3</v>
      </c>
      <c r="N197" s="131" t="s">
        <v>17</v>
      </c>
      <c r="O197" s="131" t="s">
        <v>17</v>
      </c>
      <c r="P197" s="131" t="s">
        <v>17</v>
      </c>
      <c r="Q197" s="131" t="s">
        <v>17</v>
      </c>
      <c r="R197" s="131" t="s">
        <v>17</v>
      </c>
      <c r="S197" s="131" t="s">
        <v>17</v>
      </c>
      <c r="T197" s="131" t="s">
        <v>18</v>
      </c>
      <c r="U197" s="131" t="s">
        <v>18</v>
      </c>
      <c r="V197" s="131" t="s">
        <v>18</v>
      </c>
      <c r="W197" s="131" t="s">
        <v>17</v>
      </c>
      <c r="X197" s="131" t="s">
        <v>17</v>
      </c>
      <c r="Y197" s="131" t="s">
        <v>17</v>
      </c>
      <c r="Z197" s="131" t="s">
        <v>18</v>
      </c>
      <c r="AA197" s="131" t="s">
        <v>17</v>
      </c>
      <c r="AB197" s="131" t="s">
        <v>17</v>
      </c>
      <c r="AC197" s="131"/>
      <c r="AD197" s="131"/>
      <c r="AE197" s="131"/>
      <c r="AF197" s="158">
        <f t="shared" si="18"/>
        <v>5.5687999999999995</v>
      </c>
      <c r="AG197" s="159"/>
      <c r="AH197" s="155" t="s">
        <v>382</v>
      </c>
      <c r="AI197" s="155" t="s">
        <v>83</v>
      </c>
      <c r="AJ197" s="131" t="str">
        <f>IFERROR(VLOOKUP(E197&amp;F197,'Listagem dos op'!A:S,19,0),"")</f>
        <v/>
      </c>
      <c r="AK197" s="131" t="str">
        <f t="shared" si="17"/>
        <v>Jan11278</v>
      </c>
      <c r="AL197" s="154">
        <f>IF(N197="","",IF(N197="SIM",VLOOKUP($I197&amp;$J197&amp;N$1,Pesos!$A:$I,7,FALSE),VLOOKUP($I197&amp;$J197&amp;N$1,Pesos!$A:$I,9,FALSE)))</f>
        <v>0.1</v>
      </c>
      <c r="AM197" s="154">
        <f>IF(O197="","",IF(O197="SIM",VLOOKUP($I197&amp;$J197&amp;O$1,Pesos!$A:$I,7,FALSE),VLOOKUP($I197&amp;$J197&amp;O$1,Pesos!$A:$I,9,FALSE)))</f>
        <v>0.1</v>
      </c>
      <c r="AN197" s="154">
        <f>IF(P197="","",IF(P197="SIM",VLOOKUP($I197&amp;$J197&amp;P$1,Pesos!$A:$I,7,FALSE),VLOOKUP($I197&amp;$J197&amp;P$1,Pesos!$A:$I,9,FALSE)))</f>
        <v>0.1</v>
      </c>
      <c r="AO197" s="154">
        <f>IF(Q197="","",IF(Q197="SIM",VLOOKUP($I197&amp;$J197&amp;Q$1,Pesos!$A:$I,7,FALSE),VLOOKUP($I197&amp;$J197&amp;Q$1,Pesos!$A:$I,9,FALSE)))</f>
        <v>2</v>
      </c>
      <c r="AP197" s="154">
        <f>IF(R197="","",IF(R197="SIM",VLOOKUP($I197&amp;$J197&amp;R$1,Pesos!$A:$I,7,FALSE),VLOOKUP($I197&amp;$J197&amp;R$1,Pesos!$A:$I,9,FALSE)))</f>
        <v>1.03</v>
      </c>
      <c r="AQ197" s="154">
        <f>IF(S197="","",IF(S197="SIM",VLOOKUP($I197&amp;$J197&amp;S$1,Pesos!$A:$I,7,FALSE),VLOOKUP($I197&amp;$J197&amp;S$1,Pesos!$A:$I,9,FALSE)))</f>
        <v>1.3</v>
      </c>
      <c r="AR197" s="156">
        <f>IF(T197="","",IF(T197="SIM",VLOOKUP($I197&amp;$J197&amp;T$1,Pesos!$A:$I,7,FALSE),VLOOKUP($I197&amp;$J197&amp;T$1,Pesos!$A:$I,9,FALSE)))</f>
        <v>-6.5000000000000002E-2</v>
      </c>
      <c r="AS197" s="132">
        <f>IF(U197="","",IF(U197="SIM",VLOOKUP($I197&amp;$J197&amp;U$1,Pesos!$A:$I,7,FALSE),VLOOKUP($I197&amp;$J197&amp;U$1,Pesos!$A:$I,9,FALSE)))</f>
        <v>-6.6000000000000003E-2</v>
      </c>
      <c r="AT197" s="132">
        <f>IF(V197="","",IF(V197="SIM",VLOOKUP($I197&amp;$J197&amp;V$1,Pesos!$A:$I,7,FALSE),VLOOKUP($I197&amp;$J197&amp;V$1,Pesos!$A:$I,9,FALSE)))</f>
        <v>-7.0199999999999999E-2</v>
      </c>
      <c r="AU197" s="132">
        <f>IF(W197="","",IF(W197="SIM",VLOOKUP($I197&amp;$J197&amp;W$1,Pesos!$A:$I,7,FALSE),VLOOKUP($I197&amp;$J197&amp;W$1,Pesos!$A:$I,9,FALSE)))</f>
        <v>0.3</v>
      </c>
      <c r="AV197" s="132">
        <f>IF(X197="","",IF(X197="SIM",VLOOKUP($I197&amp;$J197&amp;X$1,Pesos!$A:$I,7,FALSE),VLOOKUP($I197&amp;$J197&amp;X$1,Pesos!$A:$I,9,FALSE)))</f>
        <v>0.3</v>
      </c>
      <c r="AW197" s="132">
        <f>IF(Y197="","",IF(Y197="SIM",VLOOKUP($I197&amp;$J197&amp;Y$1,Pesos!$A:$I,7,FALSE),VLOOKUP($I197&amp;$J197&amp;Y$1,Pesos!$A:$I,9,FALSE)))</f>
        <v>0.15</v>
      </c>
      <c r="AX197" s="132">
        <f>IF(Z197="","",IF(Z197="SIM",VLOOKUP($I197&amp;$J197&amp;Z$1,Pesos!$A:$I,7,FALSE),VLOOKUP($I197&amp;$J197&amp;Z$1,Pesos!$A:$I,9,FALSE)))</f>
        <v>-1.0000000000000002E-2</v>
      </c>
      <c r="AY197" s="132">
        <f>IF(AA197="","",IF(AA197="SIM",VLOOKUP($I197&amp;$J197&amp;AA$1,Pesos!$A:$I,7,FALSE),VLOOKUP($I197&amp;$J197&amp;AA$1,Pesos!$A:$I,9,FALSE)))</f>
        <v>0.3</v>
      </c>
      <c r="AZ197" s="132">
        <f>IF(AB197="","",IF(AB197="SIM",VLOOKUP($I197&amp;$J197&amp;AB$1,Pesos!$A:$I,7,FALSE),VLOOKUP($I197&amp;$J197&amp;AB$1,Pesos!$A:$I,9,FALSE)))</f>
        <v>0.1</v>
      </c>
      <c r="BA197" s="132" t="str">
        <f>IF(AC197="","",IF(AC197="SIM",VLOOKUP($I197&amp;$J197&amp;AC$1,Pesos!$A:$I,7,FALSE),VLOOKUP($I197&amp;$J197&amp;AC$1,Pesos!$A:$I,9,FALSE)))</f>
        <v/>
      </c>
      <c r="BB197" s="132" t="str">
        <f>IF(AD197="","",IF(AD197="SIM",VLOOKUP($I197&amp;$J197&amp;AD$1,Pesos!$A:$I,7,FALSE),VLOOKUP($I197&amp;$J197&amp;AD$1,Pesos!$A:$I,9,FALSE)))</f>
        <v/>
      </c>
      <c r="BC197" s="132" t="str">
        <f>IF(AE197="","",IF(AE197="SIM",VLOOKUP($I197&amp;$J197&amp;AE$1,Pesos!$A:$I,7,FALSE),VLOOKUP($I197&amp;$J197&amp;AE$1,Pesos!$A:$I,9,FALSE)))</f>
        <v/>
      </c>
      <c r="BD197" s="158">
        <f>IFERROR(AF197*VLOOKUP(J197,'BD Campos'!$X$1:$Y$14,2,FALSE),"0")</f>
        <v>5.5687999999999995</v>
      </c>
    </row>
    <row r="198" spans="1:56">
      <c r="A198" s="151" t="str">
        <f t="shared" si="15"/>
        <v>Jan11329MotoristaTRANSFERÊNCIA</v>
      </c>
      <c r="B198" s="149" t="str">
        <f t="shared" si="16"/>
        <v>Jan113291TRANSFERÊNCIAPADRÃO</v>
      </c>
      <c r="C198" s="152">
        <v>1</v>
      </c>
      <c r="D198" s="153">
        <v>46057.722340740744</v>
      </c>
      <c r="E198" s="154" t="s">
        <v>12</v>
      </c>
      <c r="F198" s="155">
        <v>11329</v>
      </c>
      <c r="G198" s="149" t="s">
        <v>383</v>
      </c>
      <c r="H198" s="154">
        <v>1</v>
      </c>
      <c r="I198" s="149" t="s">
        <v>92</v>
      </c>
      <c r="J198" s="149" t="s">
        <v>93</v>
      </c>
      <c r="K198" s="149" t="s">
        <v>192</v>
      </c>
      <c r="L198" s="156">
        <v>34522715</v>
      </c>
      <c r="M198" s="157">
        <v>1.1574074074074073E-3</v>
      </c>
      <c r="N198" s="131" t="s">
        <v>17</v>
      </c>
      <c r="O198" s="131" t="s">
        <v>17</v>
      </c>
      <c r="P198" s="131" t="s">
        <v>17</v>
      </c>
      <c r="Q198" s="131" t="s">
        <v>17</v>
      </c>
      <c r="R198" s="131" t="s">
        <v>17</v>
      </c>
      <c r="S198" s="131" t="s">
        <v>17</v>
      </c>
      <c r="T198" s="131" t="s">
        <v>17</v>
      </c>
      <c r="U198" s="131" t="s">
        <v>18</v>
      </c>
      <c r="V198" s="131" t="s">
        <v>17</v>
      </c>
      <c r="W198" s="131" t="s">
        <v>17</v>
      </c>
      <c r="X198" s="131" t="s">
        <v>17</v>
      </c>
      <c r="Y198" s="131" t="s">
        <v>17</v>
      </c>
      <c r="Z198" s="131" t="s">
        <v>17</v>
      </c>
      <c r="AA198" s="131" t="s">
        <v>17</v>
      </c>
      <c r="AB198" s="131"/>
      <c r="AC198" s="131"/>
      <c r="AD198" s="131"/>
      <c r="AE198" s="131"/>
      <c r="AF198" s="158">
        <f t="shared" si="18"/>
        <v>8.2149999999999999</v>
      </c>
      <c r="AG198" s="159"/>
      <c r="AH198" s="155" t="s">
        <v>384</v>
      </c>
      <c r="AI198" s="155" t="s">
        <v>83</v>
      </c>
      <c r="AJ198" s="131" t="str">
        <f>IFERROR(VLOOKUP(E198&amp;F198,'Listagem dos op'!A:S,19,0),"")</f>
        <v/>
      </c>
      <c r="AK198" s="131" t="str">
        <f t="shared" si="17"/>
        <v>Jan11329</v>
      </c>
      <c r="AL198" s="154">
        <f>IF(N198="","",IF(N198="SIM",VLOOKUP($I198&amp;$J198&amp;N$1,Pesos!$A:$I,7,FALSE),VLOOKUP($I198&amp;$J198&amp;N$1,Pesos!$A:$I,9,FALSE)))</f>
        <v>0.1</v>
      </c>
      <c r="AM198" s="154">
        <f>IF(O198="","",IF(O198="SIM",VLOOKUP($I198&amp;$J198&amp;O$1,Pesos!$A:$I,7,FALSE),VLOOKUP($I198&amp;$J198&amp;O$1,Pesos!$A:$I,9,FALSE)))</f>
        <v>0.1</v>
      </c>
      <c r="AN198" s="154">
        <f>IF(P198="","",IF(P198="SIM",VLOOKUP($I198&amp;$J198&amp;P$1,Pesos!$A:$I,7,FALSE),VLOOKUP($I198&amp;$J198&amp;P$1,Pesos!$A:$I,9,FALSE)))</f>
        <v>0.1</v>
      </c>
      <c r="AO198" s="154">
        <f>IF(Q198="","",IF(Q198="SIM",VLOOKUP($I198&amp;$J198&amp;Q$1,Pesos!$A:$I,7,FALSE),VLOOKUP($I198&amp;$J198&amp;Q$1,Pesos!$A:$I,9,FALSE)))</f>
        <v>2</v>
      </c>
      <c r="AP198" s="154">
        <f>IF(R198="","",IF(R198="SIM",VLOOKUP($I198&amp;$J198&amp;R$1,Pesos!$A:$I,7,FALSE),VLOOKUP($I198&amp;$J198&amp;R$1,Pesos!$A:$I,9,FALSE)))</f>
        <v>1.03</v>
      </c>
      <c r="AQ198" s="154">
        <f>IF(S198="","",IF(S198="SIM",VLOOKUP($I198&amp;$J198&amp;S$1,Pesos!$A:$I,7,FALSE),VLOOKUP($I198&amp;$J198&amp;S$1,Pesos!$A:$I,9,FALSE)))</f>
        <v>1.7000000000000002</v>
      </c>
      <c r="AR198" s="156">
        <f>IF(T198="","",IF(T198="SIM",VLOOKUP($I198&amp;$J198&amp;T$1,Pesos!$A:$I,7,FALSE),VLOOKUP($I198&amp;$J198&amp;T$1,Pesos!$A:$I,9,FALSE)))</f>
        <v>1.92</v>
      </c>
      <c r="AS198" s="132">
        <f>IF(U198="","",IF(U198="SIM",VLOOKUP($I198&amp;$J198&amp;U$1,Pesos!$A:$I,7,FALSE),VLOOKUP($I198&amp;$J198&amp;U$1,Pesos!$A:$I,9,FALSE)))</f>
        <v>-8.500000000000002E-2</v>
      </c>
      <c r="AT198" s="132">
        <f>IF(V198="","",IF(V198="SIM",VLOOKUP($I198&amp;$J198&amp;V$1,Pesos!$A:$I,7,FALSE),VLOOKUP($I198&amp;$J198&amp;V$1,Pesos!$A:$I,9,FALSE)))</f>
        <v>0.3</v>
      </c>
      <c r="AU198" s="132">
        <f>IF(W198="","",IF(W198="SIM",VLOOKUP($I198&amp;$J198&amp;W$1,Pesos!$A:$I,7,FALSE),VLOOKUP($I198&amp;$J198&amp;W$1,Pesos!$A:$I,9,FALSE)))</f>
        <v>0.3</v>
      </c>
      <c r="AV198" s="132">
        <f>IF(X198="","",IF(X198="SIM",VLOOKUP($I198&amp;$J198&amp;X$1,Pesos!$A:$I,7,FALSE),VLOOKUP($I198&amp;$J198&amp;X$1,Pesos!$A:$I,9,FALSE)))</f>
        <v>0.15</v>
      </c>
      <c r="AW198" s="132">
        <f>IF(Y198="","",IF(Y198="SIM",VLOOKUP($I198&amp;$J198&amp;Y$1,Pesos!$A:$I,7,FALSE),VLOOKUP($I198&amp;$J198&amp;Y$1,Pesos!$A:$I,9,FALSE)))</f>
        <v>0.2</v>
      </c>
      <c r="AX198" s="132">
        <f>IF(Z198="","",IF(Z198="SIM",VLOOKUP($I198&amp;$J198&amp;Z$1,Pesos!$A:$I,7,FALSE),VLOOKUP($I198&amp;$J198&amp;Z$1,Pesos!$A:$I,9,FALSE)))</f>
        <v>0.3</v>
      </c>
      <c r="AY198" s="132">
        <f>IF(AA198="","",IF(AA198="SIM",VLOOKUP($I198&amp;$J198&amp;AA$1,Pesos!$A:$I,7,FALSE),VLOOKUP($I198&amp;$J198&amp;AA$1,Pesos!$A:$I,9,FALSE)))</f>
        <v>0.1</v>
      </c>
      <c r="AZ198" s="132" t="str">
        <f>IF(AB198="","",IF(AB198="SIM",VLOOKUP($I198&amp;$J198&amp;AB$1,Pesos!$A:$I,7,FALSE),VLOOKUP($I198&amp;$J198&amp;AB$1,Pesos!$A:$I,9,FALSE)))</f>
        <v/>
      </c>
      <c r="BA198" s="132" t="str">
        <f>IF(AC198="","",IF(AC198="SIM",VLOOKUP($I198&amp;$J198&amp;AC$1,Pesos!$A:$I,7,FALSE),VLOOKUP($I198&amp;$J198&amp;AC$1,Pesos!$A:$I,9,FALSE)))</f>
        <v/>
      </c>
      <c r="BB198" s="132" t="str">
        <f>IF(AD198="","",IF(AD198="SIM",VLOOKUP($I198&amp;$J198&amp;AD$1,Pesos!$A:$I,7,FALSE),VLOOKUP($I198&amp;$J198&amp;AD$1,Pesos!$A:$I,9,FALSE)))</f>
        <v/>
      </c>
      <c r="BC198" s="132" t="str">
        <f>IF(AE198="","",IF(AE198="SIM",VLOOKUP($I198&amp;$J198&amp;AE$1,Pesos!$A:$I,7,FALSE),VLOOKUP($I198&amp;$J198&amp;AE$1,Pesos!$A:$I,9,FALSE)))</f>
        <v/>
      </c>
      <c r="BD198" s="158">
        <f>IFERROR(AF198*VLOOKUP(J198,'BD Campos'!$X$1:$Y$14,2,FALSE),"0")</f>
        <v>8.2149999999999999</v>
      </c>
    </row>
    <row r="199" spans="1:56">
      <c r="A199" s="151" t="str">
        <f t="shared" si="15"/>
        <v>Jan11329Motorista 2TRANSFERÊNCIA</v>
      </c>
      <c r="B199" s="149" t="str">
        <f t="shared" si="16"/>
        <v>Jan113292TRANSFERÊNCIAPADRÃO</v>
      </c>
      <c r="C199" s="152">
        <v>1</v>
      </c>
      <c r="D199" s="153">
        <v>46057.723859143516</v>
      </c>
      <c r="E199" s="154" t="s">
        <v>12</v>
      </c>
      <c r="F199" s="155">
        <v>11329</v>
      </c>
      <c r="G199" s="149" t="s">
        <v>383</v>
      </c>
      <c r="H199" s="154">
        <v>2</v>
      </c>
      <c r="I199" s="149" t="s">
        <v>92</v>
      </c>
      <c r="J199" s="149" t="s">
        <v>97</v>
      </c>
      <c r="K199" s="149" t="s">
        <v>192</v>
      </c>
      <c r="L199" s="156">
        <v>34739099</v>
      </c>
      <c r="M199" s="157">
        <v>1.0879629629629629E-3</v>
      </c>
      <c r="N199" s="131" t="s">
        <v>17</v>
      </c>
      <c r="O199" s="131" t="s">
        <v>18</v>
      </c>
      <c r="P199" s="131" t="s">
        <v>17</v>
      </c>
      <c r="Q199" s="131" t="s">
        <v>17</v>
      </c>
      <c r="R199" s="131" t="s">
        <v>17</v>
      </c>
      <c r="S199" s="131" t="s">
        <v>18</v>
      </c>
      <c r="T199" s="131" t="s">
        <v>17</v>
      </c>
      <c r="U199" s="131" t="s">
        <v>17</v>
      </c>
      <c r="V199" s="131" t="s">
        <v>17</v>
      </c>
      <c r="W199" s="131" t="s">
        <v>17</v>
      </c>
      <c r="X199" s="131" t="s">
        <v>17</v>
      </c>
      <c r="Y199" s="131" t="s">
        <v>17</v>
      </c>
      <c r="Z199" s="131" t="s">
        <v>17</v>
      </c>
      <c r="AA199" s="131" t="s">
        <v>17</v>
      </c>
      <c r="AB199" s="131"/>
      <c r="AC199" s="131"/>
      <c r="AD199" s="131"/>
      <c r="AE199" s="131"/>
      <c r="AF199" s="158">
        <f t="shared" si="18"/>
        <v>8.11</v>
      </c>
      <c r="AG199" s="159"/>
      <c r="AH199" s="155" t="s">
        <v>385</v>
      </c>
      <c r="AI199" s="155" t="s">
        <v>83</v>
      </c>
      <c r="AJ199" s="131" t="str">
        <f>IFERROR(VLOOKUP(E199&amp;F199,'Listagem dos op'!A:S,19,0),"")</f>
        <v/>
      </c>
      <c r="AK199" s="131" t="str">
        <f t="shared" si="17"/>
        <v>Jan11329</v>
      </c>
      <c r="AL199" s="154">
        <f>IF(N199="","",IF(N199="SIM",VLOOKUP($I199&amp;$J199&amp;N$1,Pesos!$A:$I,7,FALSE),VLOOKUP($I199&amp;$J199&amp;N$1,Pesos!$A:$I,9,FALSE)))</f>
        <v>0.1</v>
      </c>
      <c r="AM199" s="154">
        <f>IF(O199="","",IF(O199="SIM",VLOOKUP($I199&amp;$J199&amp;O$1,Pesos!$A:$I,7,FALSE),VLOOKUP($I199&amp;$J199&amp;O$1,Pesos!$A:$I,9,FALSE)))</f>
        <v>-5.000000000000001E-3</v>
      </c>
      <c r="AN199" s="154">
        <f>IF(P199="","",IF(P199="SIM",VLOOKUP($I199&amp;$J199&amp;P$1,Pesos!$A:$I,7,FALSE),VLOOKUP($I199&amp;$J199&amp;P$1,Pesos!$A:$I,9,FALSE)))</f>
        <v>0.1</v>
      </c>
      <c r="AO199" s="154">
        <f>IF(Q199="","",IF(Q199="SIM",VLOOKUP($I199&amp;$J199&amp;Q$1,Pesos!$A:$I,7,FALSE),VLOOKUP($I199&amp;$J199&amp;Q$1,Pesos!$A:$I,9,FALSE)))</f>
        <v>2</v>
      </c>
      <c r="AP199" s="154">
        <f>IF(R199="","",IF(R199="SIM",VLOOKUP($I199&amp;$J199&amp;R$1,Pesos!$A:$I,7,FALSE),VLOOKUP($I199&amp;$J199&amp;R$1,Pesos!$A:$I,9,FALSE)))</f>
        <v>1.03</v>
      </c>
      <c r="AQ199" s="154">
        <f>IF(S199="","",IF(S199="SIM",VLOOKUP($I199&amp;$J199&amp;S$1,Pesos!$A:$I,7,FALSE),VLOOKUP($I199&amp;$J199&amp;S$1,Pesos!$A:$I,9,FALSE)))</f>
        <v>-8.500000000000002E-2</v>
      </c>
      <c r="AR199" s="156">
        <f>IF(T199="","",IF(T199="SIM",VLOOKUP($I199&amp;$J199&amp;T$1,Pesos!$A:$I,7,FALSE),VLOOKUP($I199&amp;$J199&amp;T$1,Pesos!$A:$I,9,FALSE)))</f>
        <v>1.92</v>
      </c>
      <c r="AS199" s="132">
        <f>IF(U199="","",IF(U199="SIM",VLOOKUP($I199&amp;$J199&amp;U$1,Pesos!$A:$I,7,FALSE),VLOOKUP($I199&amp;$J199&amp;U$1,Pesos!$A:$I,9,FALSE)))</f>
        <v>1.7000000000000002</v>
      </c>
      <c r="AT199" s="132">
        <f>IF(V199="","",IF(V199="SIM",VLOOKUP($I199&amp;$J199&amp;V$1,Pesos!$A:$I,7,FALSE),VLOOKUP($I199&amp;$J199&amp;V$1,Pesos!$A:$I,9,FALSE)))</f>
        <v>0.3</v>
      </c>
      <c r="AU199" s="132">
        <f>IF(W199="","",IF(W199="SIM",VLOOKUP($I199&amp;$J199&amp;W$1,Pesos!$A:$I,7,FALSE),VLOOKUP($I199&amp;$J199&amp;W$1,Pesos!$A:$I,9,FALSE)))</f>
        <v>0.3</v>
      </c>
      <c r="AV199" s="132">
        <f>IF(X199="","",IF(X199="SIM",VLOOKUP($I199&amp;$J199&amp;X$1,Pesos!$A:$I,7,FALSE),VLOOKUP($I199&amp;$J199&amp;X$1,Pesos!$A:$I,9,FALSE)))</f>
        <v>0.15</v>
      </c>
      <c r="AW199" s="132">
        <f>IF(Y199="","",IF(Y199="SIM",VLOOKUP($I199&amp;$J199&amp;Y$1,Pesos!$A:$I,7,FALSE),VLOOKUP($I199&amp;$J199&amp;Y$1,Pesos!$A:$I,9,FALSE)))</f>
        <v>0.2</v>
      </c>
      <c r="AX199" s="132">
        <f>IF(Z199="","",IF(Z199="SIM",VLOOKUP($I199&amp;$J199&amp;Z$1,Pesos!$A:$I,7,FALSE),VLOOKUP($I199&amp;$J199&amp;Z$1,Pesos!$A:$I,9,FALSE)))</f>
        <v>0.3</v>
      </c>
      <c r="AY199" s="132">
        <f>IF(AA199="","",IF(AA199="SIM",VLOOKUP($I199&amp;$J199&amp;AA$1,Pesos!$A:$I,7,FALSE),VLOOKUP($I199&amp;$J199&amp;AA$1,Pesos!$A:$I,9,FALSE)))</f>
        <v>0.1</v>
      </c>
      <c r="AZ199" s="132" t="str">
        <f>IF(AB199="","",IF(AB199="SIM",VLOOKUP($I199&amp;$J199&amp;AB$1,Pesos!$A:$I,7,FALSE),VLOOKUP($I199&amp;$J199&amp;AB$1,Pesos!$A:$I,9,FALSE)))</f>
        <v/>
      </c>
      <c r="BA199" s="132" t="str">
        <f>IF(AC199="","",IF(AC199="SIM",VLOOKUP($I199&amp;$J199&amp;AC$1,Pesos!$A:$I,7,FALSE),VLOOKUP($I199&amp;$J199&amp;AC$1,Pesos!$A:$I,9,FALSE)))</f>
        <v/>
      </c>
      <c r="BB199" s="132" t="str">
        <f>IF(AD199="","",IF(AD199="SIM",VLOOKUP($I199&amp;$J199&amp;AD$1,Pesos!$A:$I,7,FALSE),VLOOKUP($I199&amp;$J199&amp;AD$1,Pesos!$A:$I,9,FALSE)))</f>
        <v/>
      </c>
      <c r="BC199" s="132" t="str">
        <f>IF(AE199="","",IF(AE199="SIM",VLOOKUP($I199&amp;$J199&amp;AE$1,Pesos!$A:$I,7,FALSE),VLOOKUP($I199&amp;$J199&amp;AE$1,Pesos!$A:$I,9,FALSE)))</f>
        <v/>
      </c>
      <c r="BD199" s="158">
        <f>IFERROR(AF199*VLOOKUP(J199,'BD Campos'!$X$1:$Y$14,2,FALSE),"0")</f>
        <v>8.11</v>
      </c>
    </row>
    <row r="200" spans="1:56">
      <c r="A200" s="151" t="str">
        <f t="shared" si="15"/>
        <v>Jan11340MotoristaTRANSFERÊNCIA</v>
      </c>
      <c r="B200" s="149" t="str">
        <f t="shared" si="16"/>
        <v>Jan113401TRANSFERÊNCIAPADRÃO</v>
      </c>
      <c r="C200" s="152">
        <v>1</v>
      </c>
      <c r="D200" s="153">
        <v>46057.726665972223</v>
      </c>
      <c r="E200" s="154" t="s">
        <v>12</v>
      </c>
      <c r="F200" s="155">
        <v>11340</v>
      </c>
      <c r="G200" s="149" t="s">
        <v>386</v>
      </c>
      <c r="H200" s="154">
        <v>1</v>
      </c>
      <c r="I200" s="149" t="s">
        <v>92</v>
      </c>
      <c r="J200" s="149" t="s">
        <v>93</v>
      </c>
      <c r="K200" s="149" t="s">
        <v>192</v>
      </c>
      <c r="L200" s="156">
        <v>34508487</v>
      </c>
      <c r="M200" s="157">
        <v>1.3888888888888889E-3</v>
      </c>
      <c r="N200" s="131" t="s">
        <v>17</v>
      </c>
      <c r="O200" s="131" t="s">
        <v>17</v>
      </c>
      <c r="P200" s="131" t="s">
        <v>17</v>
      </c>
      <c r="Q200" s="131" t="s">
        <v>17</v>
      </c>
      <c r="R200" s="131" t="s">
        <v>17</v>
      </c>
      <c r="S200" s="131" t="s">
        <v>18</v>
      </c>
      <c r="T200" s="131" t="s">
        <v>17</v>
      </c>
      <c r="U200" s="131" t="s">
        <v>17</v>
      </c>
      <c r="V200" s="131" t="s">
        <v>18</v>
      </c>
      <c r="W200" s="131" t="s">
        <v>17</v>
      </c>
      <c r="X200" s="131" t="s">
        <v>17</v>
      </c>
      <c r="Y200" s="131" t="s">
        <v>17</v>
      </c>
      <c r="Z200" s="131" t="s">
        <v>17</v>
      </c>
      <c r="AA200" s="131" t="s">
        <v>18</v>
      </c>
      <c r="AB200" s="131"/>
      <c r="AC200" s="131"/>
      <c r="AD200" s="131"/>
      <c r="AE200" s="131"/>
      <c r="AF200" s="158">
        <f t="shared" si="18"/>
        <v>7.7950000000000008</v>
      </c>
      <c r="AG200" s="159"/>
      <c r="AH200" s="155" t="s">
        <v>387</v>
      </c>
      <c r="AI200" s="155" t="s">
        <v>83</v>
      </c>
      <c r="AJ200" s="131" t="str">
        <f>IFERROR(VLOOKUP(E200&amp;F200,'Listagem dos op'!A:S,19,0),"")</f>
        <v/>
      </c>
      <c r="AK200" s="131" t="str">
        <f t="shared" si="17"/>
        <v>Jan11340</v>
      </c>
      <c r="AL200" s="154">
        <f>IF(N200="","",IF(N200="SIM",VLOOKUP($I200&amp;$J200&amp;N$1,Pesos!$A:$I,7,FALSE),VLOOKUP($I200&amp;$J200&amp;N$1,Pesos!$A:$I,9,FALSE)))</f>
        <v>0.1</v>
      </c>
      <c r="AM200" s="154">
        <f>IF(O200="","",IF(O200="SIM",VLOOKUP($I200&amp;$J200&amp;O$1,Pesos!$A:$I,7,FALSE),VLOOKUP($I200&amp;$J200&amp;O$1,Pesos!$A:$I,9,FALSE)))</f>
        <v>0.1</v>
      </c>
      <c r="AN200" s="154">
        <f>IF(P200="","",IF(P200="SIM",VLOOKUP($I200&amp;$J200&amp;P$1,Pesos!$A:$I,7,FALSE),VLOOKUP($I200&amp;$J200&amp;P$1,Pesos!$A:$I,9,FALSE)))</f>
        <v>0.1</v>
      </c>
      <c r="AO200" s="154">
        <f>IF(Q200="","",IF(Q200="SIM",VLOOKUP($I200&amp;$J200&amp;Q$1,Pesos!$A:$I,7,FALSE),VLOOKUP($I200&amp;$J200&amp;Q$1,Pesos!$A:$I,9,FALSE)))</f>
        <v>2</v>
      </c>
      <c r="AP200" s="154">
        <f>IF(R200="","",IF(R200="SIM",VLOOKUP($I200&amp;$J200&amp;R$1,Pesos!$A:$I,7,FALSE),VLOOKUP($I200&amp;$J200&amp;R$1,Pesos!$A:$I,9,FALSE)))</f>
        <v>1.03</v>
      </c>
      <c r="AQ200" s="154">
        <f>IF(S200="","",IF(S200="SIM",VLOOKUP($I200&amp;$J200&amp;S$1,Pesos!$A:$I,7,FALSE),VLOOKUP($I200&amp;$J200&amp;S$1,Pesos!$A:$I,9,FALSE)))</f>
        <v>-8.500000000000002E-2</v>
      </c>
      <c r="AR200" s="156">
        <f>IF(T200="","",IF(T200="SIM",VLOOKUP($I200&amp;$J200&amp;T$1,Pesos!$A:$I,7,FALSE),VLOOKUP($I200&amp;$J200&amp;T$1,Pesos!$A:$I,9,FALSE)))</f>
        <v>1.92</v>
      </c>
      <c r="AS200" s="132">
        <f>IF(U200="","",IF(U200="SIM",VLOOKUP($I200&amp;$J200&amp;U$1,Pesos!$A:$I,7,FALSE),VLOOKUP($I200&amp;$J200&amp;U$1,Pesos!$A:$I,9,FALSE)))</f>
        <v>1.7000000000000002</v>
      </c>
      <c r="AT200" s="132">
        <f>IF(V200="","",IF(V200="SIM",VLOOKUP($I200&amp;$J200&amp;V$1,Pesos!$A:$I,7,FALSE),VLOOKUP($I200&amp;$J200&amp;V$1,Pesos!$A:$I,9,FALSE)))</f>
        <v>-1.4999999999999999E-2</v>
      </c>
      <c r="AU200" s="132">
        <f>IF(W200="","",IF(W200="SIM",VLOOKUP($I200&amp;$J200&amp;W$1,Pesos!$A:$I,7,FALSE),VLOOKUP($I200&amp;$J200&amp;W$1,Pesos!$A:$I,9,FALSE)))</f>
        <v>0.3</v>
      </c>
      <c r="AV200" s="132">
        <f>IF(X200="","",IF(X200="SIM",VLOOKUP($I200&amp;$J200&amp;X$1,Pesos!$A:$I,7,FALSE),VLOOKUP($I200&amp;$J200&amp;X$1,Pesos!$A:$I,9,FALSE)))</f>
        <v>0.15</v>
      </c>
      <c r="AW200" s="132">
        <f>IF(Y200="","",IF(Y200="SIM",VLOOKUP($I200&amp;$J200&amp;Y$1,Pesos!$A:$I,7,FALSE),VLOOKUP($I200&amp;$J200&amp;Y$1,Pesos!$A:$I,9,FALSE)))</f>
        <v>0.2</v>
      </c>
      <c r="AX200" s="132">
        <f>IF(Z200="","",IF(Z200="SIM",VLOOKUP($I200&amp;$J200&amp;Z$1,Pesos!$A:$I,7,FALSE),VLOOKUP($I200&amp;$J200&amp;Z$1,Pesos!$A:$I,9,FALSE)))</f>
        <v>0.3</v>
      </c>
      <c r="AY200" s="132">
        <f>IF(AA200="","",IF(AA200="SIM",VLOOKUP($I200&amp;$J200&amp;AA$1,Pesos!$A:$I,7,FALSE),VLOOKUP($I200&amp;$J200&amp;AA$1,Pesos!$A:$I,9,FALSE)))</f>
        <v>-5.000000000000001E-3</v>
      </c>
      <c r="AZ200" s="132" t="str">
        <f>IF(AB200="","",IF(AB200="SIM",VLOOKUP($I200&amp;$J200&amp;AB$1,Pesos!$A:$I,7,FALSE),VLOOKUP($I200&amp;$J200&amp;AB$1,Pesos!$A:$I,9,FALSE)))</f>
        <v/>
      </c>
      <c r="BA200" s="132" t="str">
        <f>IF(AC200="","",IF(AC200="SIM",VLOOKUP($I200&amp;$J200&amp;AC$1,Pesos!$A:$I,7,FALSE),VLOOKUP($I200&amp;$J200&amp;AC$1,Pesos!$A:$I,9,FALSE)))</f>
        <v/>
      </c>
      <c r="BB200" s="132" t="str">
        <f>IF(AD200="","",IF(AD200="SIM",VLOOKUP($I200&amp;$J200&amp;AD$1,Pesos!$A:$I,7,FALSE),VLOOKUP($I200&amp;$J200&amp;AD$1,Pesos!$A:$I,9,FALSE)))</f>
        <v/>
      </c>
      <c r="BC200" s="132" t="str">
        <f>IF(AE200="","",IF(AE200="SIM",VLOOKUP($I200&amp;$J200&amp;AE$1,Pesos!$A:$I,7,FALSE),VLOOKUP($I200&amp;$J200&amp;AE$1,Pesos!$A:$I,9,FALSE)))</f>
        <v/>
      </c>
      <c r="BD200" s="158">
        <f>IFERROR(AF200*VLOOKUP(J200,'BD Campos'!$X$1:$Y$14,2,FALSE),"0")</f>
        <v>7.7950000000000008</v>
      </c>
    </row>
    <row r="201" spans="1:56">
      <c r="A201" s="151" t="str">
        <f t="shared" si="15"/>
        <v>Jan11340Motorista 2TRANSFERÊNCIA</v>
      </c>
      <c r="B201" s="149" t="str">
        <f t="shared" si="16"/>
        <v>Jan113402TRANSFERÊNCIAPADRÃO</v>
      </c>
      <c r="C201" s="152">
        <v>1</v>
      </c>
      <c r="D201" s="153">
        <v>46057.728358796296</v>
      </c>
      <c r="E201" s="154" t="s">
        <v>12</v>
      </c>
      <c r="F201" s="155">
        <v>11340</v>
      </c>
      <c r="G201" s="149" t="s">
        <v>386</v>
      </c>
      <c r="H201" s="154">
        <v>2</v>
      </c>
      <c r="I201" s="149" t="s">
        <v>96</v>
      </c>
      <c r="J201" s="149" t="s">
        <v>97</v>
      </c>
      <c r="K201" s="149" t="s">
        <v>192</v>
      </c>
      <c r="L201" s="156">
        <v>34698823</v>
      </c>
      <c r="M201" s="157">
        <v>1.0763888888888889E-3</v>
      </c>
      <c r="N201" s="131" t="s">
        <v>17</v>
      </c>
      <c r="O201" s="131" t="s">
        <v>17</v>
      </c>
      <c r="P201" s="131" t="s">
        <v>17</v>
      </c>
      <c r="Q201" s="131" t="s">
        <v>17</v>
      </c>
      <c r="R201" s="131" t="s">
        <v>17</v>
      </c>
      <c r="S201" s="131" t="s">
        <v>17</v>
      </c>
      <c r="T201" s="131" t="s">
        <v>17</v>
      </c>
      <c r="U201" s="131" t="s">
        <v>18</v>
      </c>
      <c r="V201" s="131" t="s">
        <v>18</v>
      </c>
      <c r="W201" s="131" t="s">
        <v>17</v>
      </c>
      <c r="X201" s="131" t="s">
        <v>17</v>
      </c>
      <c r="Y201" s="131" t="s">
        <v>17</v>
      </c>
      <c r="Z201" s="131" t="s">
        <v>17</v>
      </c>
      <c r="AA201" s="131" t="s">
        <v>17</v>
      </c>
      <c r="AB201" s="131" t="s">
        <v>17</v>
      </c>
      <c r="AC201" s="131"/>
      <c r="AD201" s="131"/>
      <c r="AE201" s="131"/>
      <c r="AF201" s="158">
        <f t="shared" si="18"/>
        <v>7.794999999999999</v>
      </c>
      <c r="AG201" s="159"/>
      <c r="AH201" s="155" t="s">
        <v>388</v>
      </c>
      <c r="AI201" s="155" t="s">
        <v>83</v>
      </c>
      <c r="AJ201" s="131" t="str">
        <f>IFERROR(VLOOKUP(E201&amp;F201,'Listagem dos op'!A:S,19,0),"")</f>
        <v/>
      </c>
      <c r="AK201" s="131" t="str">
        <f t="shared" si="17"/>
        <v>Jan11340</v>
      </c>
      <c r="AL201" s="154">
        <f>IF(N201="","",IF(N201="SIM",VLOOKUP($I201&amp;$J201&amp;N$1,Pesos!$A:$I,7,FALSE),VLOOKUP($I201&amp;$J201&amp;N$1,Pesos!$A:$I,9,FALSE)))</f>
        <v>0.1</v>
      </c>
      <c r="AM201" s="154">
        <f>IF(O201="","",IF(O201="SIM",VLOOKUP($I201&amp;$J201&amp;O$1,Pesos!$A:$I,7,FALSE),VLOOKUP($I201&amp;$J201&amp;O$1,Pesos!$A:$I,9,FALSE)))</f>
        <v>0.1</v>
      </c>
      <c r="AN201" s="154">
        <f>IF(P201="","",IF(P201="SIM",VLOOKUP($I201&amp;$J201&amp;P$1,Pesos!$A:$I,7,FALSE),VLOOKUP($I201&amp;$J201&amp;P$1,Pesos!$A:$I,9,FALSE)))</f>
        <v>0.1</v>
      </c>
      <c r="AO201" s="154">
        <f>IF(Q201="","",IF(Q201="SIM",VLOOKUP($I201&amp;$J201&amp;Q$1,Pesos!$A:$I,7,FALSE),VLOOKUP($I201&amp;$J201&amp;Q$1,Pesos!$A:$I,9,FALSE)))</f>
        <v>2</v>
      </c>
      <c r="AP201" s="154">
        <f>IF(R201="","",IF(R201="SIM",VLOOKUP($I201&amp;$J201&amp;R$1,Pesos!$A:$I,7,FALSE),VLOOKUP($I201&amp;$J201&amp;R$1,Pesos!$A:$I,9,FALSE)))</f>
        <v>1.03</v>
      </c>
      <c r="AQ201" s="154">
        <f>IF(S201="","",IF(S201="SIM",VLOOKUP($I201&amp;$J201&amp;S$1,Pesos!$A:$I,7,FALSE),VLOOKUP($I201&amp;$J201&amp;S$1,Pesos!$A:$I,9,FALSE)))</f>
        <v>1.22</v>
      </c>
      <c r="AR201" s="156">
        <f>IF(T201="","",IF(T201="SIM",VLOOKUP($I201&amp;$J201&amp;T$1,Pesos!$A:$I,7,FALSE),VLOOKUP($I201&amp;$J201&amp;T$1,Pesos!$A:$I,9,FALSE)))</f>
        <v>2</v>
      </c>
      <c r="AS201" s="132">
        <f>IF(U201="","",IF(U201="SIM",VLOOKUP($I201&amp;$J201&amp;U$1,Pesos!$A:$I,7,FALSE),VLOOKUP($I201&amp;$J201&amp;U$1,Pesos!$A:$I,9,FALSE)))</f>
        <v>-5.2500000000000005E-2</v>
      </c>
      <c r="AT201" s="132">
        <f>IF(V201="","",IF(V201="SIM",VLOOKUP($I201&amp;$J201&amp;V$1,Pesos!$A:$I,7,FALSE),VLOOKUP($I201&amp;$J201&amp;V$1,Pesos!$A:$I,9,FALSE)))</f>
        <v>-5.2500000000000005E-2</v>
      </c>
      <c r="AU201" s="132">
        <f>IF(W201="","",IF(W201="SIM",VLOOKUP($I201&amp;$J201&amp;W$1,Pesos!$A:$I,7,FALSE),VLOOKUP($I201&amp;$J201&amp;W$1,Pesos!$A:$I,9,FALSE)))</f>
        <v>0.3</v>
      </c>
      <c r="AV201" s="132">
        <f>IF(X201="","",IF(X201="SIM",VLOOKUP($I201&amp;$J201&amp;X$1,Pesos!$A:$I,7,FALSE),VLOOKUP($I201&amp;$J201&amp;X$1,Pesos!$A:$I,9,FALSE)))</f>
        <v>0.3</v>
      </c>
      <c r="AW201" s="132">
        <f>IF(Y201="","",IF(Y201="SIM",VLOOKUP($I201&amp;$J201&amp;Y$1,Pesos!$A:$I,7,FALSE),VLOOKUP($I201&amp;$J201&amp;Y$1,Pesos!$A:$I,9,FALSE)))</f>
        <v>0.15</v>
      </c>
      <c r="AX201" s="132">
        <f>IF(Z201="","",IF(Z201="SIM",VLOOKUP($I201&amp;$J201&amp;Z$1,Pesos!$A:$I,7,FALSE),VLOOKUP($I201&amp;$J201&amp;Z$1,Pesos!$A:$I,9,FALSE)))</f>
        <v>0.2</v>
      </c>
      <c r="AY201" s="132">
        <f>IF(AA201="","",IF(AA201="SIM",VLOOKUP($I201&amp;$J201&amp;AA$1,Pesos!$A:$I,7,FALSE),VLOOKUP($I201&amp;$J201&amp;AA$1,Pesos!$A:$I,9,FALSE)))</f>
        <v>0.3</v>
      </c>
      <c r="AZ201" s="132">
        <f>IF(AB201="","",IF(AB201="SIM",VLOOKUP($I201&amp;$J201&amp;AB$1,Pesos!$A:$I,7,FALSE),VLOOKUP($I201&amp;$J201&amp;AB$1,Pesos!$A:$I,9,FALSE)))</f>
        <v>0.1</v>
      </c>
      <c r="BA201" s="132" t="str">
        <f>IF(AC201="","",IF(AC201="SIM",VLOOKUP($I201&amp;$J201&amp;AC$1,Pesos!$A:$I,7,FALSE),VLOOKUP($I201&amp;$J201&amp;AC$1,Pesos!$A:$I,9,FALSE)))</f>
        <v/>
      </c>
      <c r="BB201" s="132" t="str">
        <f>IF(AD201="","",IF(AD201="SIM",VLOOKUP($I201&amp;$J201&amp;AD$1,Pesos!$A:$I,7,FALSE),VLOOKUP($I201&amp;$J201&amp;AD$1,Pesos!$A:$I,9,FALSE)))</f>
        <v/>
      </c>
      <c r="BC201" s="132" t="str">
        <f>IF(AE201="","",IF(AE201="SIM",VLOOKUP($I201&amp;$J201&amp;AE$1,Pesos!$A:$I,7,FALSE),VLOOKUP($I201&amp;$J201&amp;AE$1,Pesos!$A:$I,9,FALSE)))</f>
        <v/>
      </c>
      <c r="BD201" s="158">
        <f>IFERROR(AF201*VLOOKUP(J201,'BD Campos'!$X$1:$Y$14,2,FALSE),"0")</f>
        <v>7.794999999999999</v>
      </c>
    </row>
    <row r="202" spans="1:56">
      <c r="A202" s="151" t="str">
        <f t="shared" si="15"/>
        <v>Jan11352MotoristaTRANSFERÊNCIA</v>
      </c>
      <c r="B202" s="149" t="str">
        <f t="shared" si="16"/>
        <v>Jan113521TRANSFERÊNCIAPADRÃO</v>
      </c>
      <c r="C202" s="152">
        <v>1</v>
      </c>
      <c r="D202" s="153">
        <v>46057.730476620367</v>
      </c>
      <c r="E202" s="154" t="s">
        <v>12</v>
      </c>
      <c r="F202" s="155">
        <v>11352</v>
      </c>
      <c r="G202" s="149" t="s">
        <v>389</v>
      </c>
      <c r="H202" s="154">
        <v>1</v>
      </c>
      <c r="I202" s="149" t="s">
        <v>130</v>
      </c>
      <c r="J202" s="149" t="s">
        <v>93</v>
      </c>
      <c r="K202" s="149" t="s">
        <v>192</v>
      </c>
      <c r="L202" s="156">
        <v>34496416</v>
      </c>
      <c r="M202" s="157">
        <v>1.2962962962962963E-3</v>
      </c>
      <c r="N202" s="131" t="s">
        <v>17</v>
      </c>
      <c r="O202" s="131" t="s">
        <v>17</v>
      </c>
      <c r="P202" s="131" t="s">
        <v>17</v>
      </c>
      <c r="Q202" s="131" t="s">
        <v>17</v>
      </c>
      <c r="R202" s="131" t="s">
        <v>17</v>
      </c>
      <c r="S202" s="131" t="s">
        <v>17</v>
      </c>
      <c r="T202" s="131" t="s">
        <v>18</v>
      </c>
      <c r="U202" s="131" t="s">
        <v>18</v>
      </c>
      <c r="V202" s="131" t="s">
        <v>18</v>
      </c>
      <c r="W202" s="131" t="s">
        <v>17</v>
      </c>
      <c r="X202" s="131" t="s">
        <v>17</v>
      </c>
      <c r="Y202" s="131" t="s">
        <v>17</v>
      </c>
      <c r="Z202" s="131" t="s">
        <v>17</v>
      </c>
      <c r="AA202" s="131" t="s">
        <v>17</v>
      </c>
      <c r="AB202" s="131" t="s">
        <v>17</v>
      </c>
      <c r="AC202" s="131"/>
      <c r="AD202" s="131"/>
      <c r="AE202" s="131"/>
      <c r="AF202" s="158">
        <f t="shared" si="18"/>
        <v>5.7787999999999995</v>
      </c>
      <c r="AG202" s="159"/>
      <c r="AH202" s="155" t="s">
        <v>390</v>
      </c>
      <c r="AI202" s="155" t="s">
        <v>83</v>
      </c>
      <c r="AJ202" s="131" t="str">
        <f>IFERROR(VLOOKUP(E202&amp;F202,'Listagem dos op'!A:S,19,0),"")</f>
        <v/>
      </c>
      <c r="AK202" s="131" t="str">
        <f t="shared" si="17"/>
        <v>Jan11352</v>
      </c>
      <c r="AL202" s="154">
        <f>IF(N202="","",IF(N202="SIM",VLOOKUP($I202&amp;$J202&amp;N$1,Pesos!$A:$I,7,FALSE),VLOOKUP($I202&amp;$J202&amp;N$1,Pesos!$A:$I,9,FALSE)))</f>
        <v>0.1</v>
      </c>
      <c r="AM202" s="154">
        <f>IF(O202="","",IF(O202="SIM",VLOOKUP($I202&amp;$J202&amp;O$1,Pesos!$A:$I,7,FALSE),VLOOKUP($I202&amp;$J202&amp;O$1,Pesos!$A:$I,9,FALSE)))</f>
        <v>0.1</v>
      </c>
      <c r="AN202" s="154">
        <f>IF(P202="","",IF(P202="SIM",VLOOKUP($I202&amp;$J202&amp;P$1,Pesos!$A:$I,7,FALSE),VLOOKUP($I202&amp;$J202&amp;P$1,Pesos!$A:$I,9,FALSE)))</f>
        <v>0.1</v>
      </c>
      <c r="AO202" s="154">
        <f>IF(Q202="","",IF(Q202="SIM",VLOOKUP($I202&amp;$J202&amp;Q$1,Pesos!$A:$I,7,FALSE),VLOOKUP($I202&amp;$J202&amp;Q$1,Pesos!$A:$I,9,FALSE)))</f>
        <v>2</v>
      </c>
      <c r="AP202" s="154">
        <f>IF(R202="","",IF(R202="SIM",VLOOKUP($I202&amp;$J202&amp;R$1,Pesos!$A:$I,7,FALSE),VLOOKUP($I202&amp;$J202&amp;R$1,Pesos!$A:$I,9,FALSE)))</f>
        <v>1.03</v>
      </c>
      <c r="AQ202" s="154">
        <f>IF(S202="","",IF(S202="SIM",VLOOKUP($I202&amp;$J202&amp;S$1,Pesos!$A:$I,7,FALSE),VLOOKUP($I202&amp;$J202&amp;S$1,Pesos!$A:$I,9,FALSE)))</f>
        <v>1.3</v>
      </c>
      <c r="AR202" s="156">
        <f>IF(T202="","",IF(T202="SIM",VLOOKUP($I202&amp;$J202&amp;T$1,Pesos!$A:$I,7,FALSE),VLOOKUP($I202&amp;$J202&amp;T$1,Pesos!$A:$I,9,FALSE)))</f>
        <v>-6.5000000000000002E-2</v>
      </c>
      <c r="AS202" s="132">
        <f>IF(U202="","",IF(U202="SIM",VLOOKUP($I202&amp;$J202&amp;U$1,Pesos!$A:$I,7,FALSE),VLOOKUP($I202&amp;$J202&amp;U$1,Pesos!$A:$I,9,FALSE)))</f>
        <v>-6.6000000000000003E-2</v>
      </c>
      <c r="AT202" s="132">
        <f>IF(V202="","",IF(V202="SIM",VLOOKUP($I202&amp;$J202&amp;V$1,Pesos!$A:$I,7,FALSE),VLOOKUP($I202&amp;$J202&amp;V$1,Pesos!$A:$I,9,FALSE)))</f>
        <v>-7.0199999999999999E-2</v>
      </c>
      <c r="AU202" s="132">
        <f>IF(W202="","",IF(W202="SIM",VLOOKUP($I202&amp;$J202&amp;W$1,Pesos!$A:$I,7,FALSE),VLOOKUP($I202&amp;$J202&amp;W$1,Pesos!$A:$I,9,FALSE)))</f>
        <v>0.3</v>
      </c>
      <c r="AV202" s="132">
        <f>IF(X202="","",IF(X202="SIM",VLOOKUP($I202&amp;$J202&amp;X$1,Pesos!$A:$I,7,FALSE),VLOOKUP($I202&amp;$J202&amp;X$1,Pesos!$A:$I,9,FALSE)))</f>
        <v>0.3</v>
      </c>
      <c r="AW202" s="132">
        <f>IF(Y202="","",IF(Y202="SIM",VLOOKUP($I202&amp;$J202&amp;Y$1,Pesos!$A:$I,7,FALSE),VLOOKUP($I202&amp;$J202&amp;Y$1,Pesos!$A:$I,9,FALSE)))</f>
        <v>0.15</v>
      </c>
      <c r="AX202" s="132">
        <f>IF(Z202="","",IF(Z202="SIM",VLOOKUP($I202&amp;$J202&amp;Z$1,Pesos!$A:$I,7,FALSE),VLOOKUP($I202&amp;$J202&amp;Z$1,Pesos!$A:$I,9,FALSE)))</f>
        <v>0.2</v>
      </c>
      <c r="AY202" s="132">
        <f>IF(AA202="","",IF(AA202="SIM",VLOOKUP($I202&amp;$J202&amp;AA$1,Pesos!$A:$I,7,FALSE),VLOOKUP($I202&amp;$J202&amp;AA$1,Pesos!$A:$I,9,FALSE)))</f>
        <v>0.3</v>
      </c>
      <c r="AZ202" s="132">
        <f>IF(AB202="","",IF(AB202="SIM",VLOOKUP($I202&amp;$J202&amp;AB$1,Pesos!$A:$I,7,FALSE),VLOOKUP($I202&amp;$J202&amp;AB$1,Pesos!$A:$I,9,FALSE)))</f>
        <v>0.1</v>
      </c>
      <c r="BA202" s="132" t="str">
        <f>IF(AC202="","",IF(AC202="SIM",VLOOKUP($I202&amp;$J202&amp;AC$1,Pesos!$A:$I,7,FALSE),VLOOKUP($I202&amp;$J202&amp;AC$1,Pesos!$A:$I,9,FALSE)))</f>
        <v/>
      </c>
      <c r="BB202" s="132" t="str">
        <f>IF(AD202="","",IF(AD202="SIM",VLOOKUP($I202&amp;$J202&amp;AD$1,Pesos!$A:$I,7,FALSE),VLOOKUP($I202&amp;$J202&amp;AD$1,Pesos!$A:$I,9,FALSE)))</f>
        <v/>
      </c>
      <c r="BC202" s="132" t="str">
        <f>IF(AE202="","",IF(AE202="SIM",VLOOKUP($I202&amp;$J202&amp;AE$1,Pesos!$A:$I,7,FALSE),VLOOKUP($I202&amp;$J202&amp;AE$1,Pesos!$A:$I,9,FALSE)))</f>
        <v/>
      </c>
      <c r="BD202" s="158">
        <f>IFERROR(AF202*VLOOKUP(J202,'BD Campos'!$X$1:$Y$14,2,FALSE),"0")</f>
        <v>5.7787999999999995</v>
      </c>
    </row>
    <row r="203" spans="1:56">
      <c r="A203" s="151" t="str">
        <f t="shared" si="15"/>
        <v>Jan11352Motorista 2TRANSFERÊNCIA</v>
      </c>
      <c r="B203" s="149" t="str">
        <f t="shared" si="16"/>
        <v>Jan113522TRANSFERÊNCIAPADRÃO</v>
      </c>
      <c r="C203" s="152">
        <v>1</v>
      </c>
      <c r="D203" s="153">
        <v>46057.738614351852</v>
      </c>
      <c r="E203" s="154" t="s">
        <v>12</v>
      </c>
      <c r="F203" s="155">
        <v>11352</v>
      </c>
      <c r="G203" s="149" t="s">
        <v>389</v>
      </c>
      <c r="H203" s="154">
        <v>2</v>
      </c>
      <c r="I203" s="149" t="s">
        <v>130</v>
      </c>
      <c r="J203" s="149" t="s">
        <v>97</v>
      </c>
      <c r="K203" s="149" t="s">
        <v>192</v>
      </c>
      <c r="L203" s="156">
        <v>34711844</v>
      </c>
      <c r="M203" s="157">
        <v>1.6087962962962963E-3</v>
      </c>
      <c r="N203" s="131" t="s">
        <v>18</v>
      </c>
      <c r="O203" s="131" t="s">
        <v>17</v>
      </c>
      <c r="P203" s="131" t="s">
        <v>17</v>
      </c>
      <c r="Q203" s="131" t="s">
        <v>17</v>
      </c>
      <c r="R203" s="131" t="s">
        <v>17</v>
      </c>
      <c r="S203" s="131" t="s">
        <v>17</v>
      </c>
      <c r="T203" s="131" t="s">
        <v>18</v>
      </c>
      <c r="U203" s="131" t="s">
        <v>17</v>
      </c>
      <c r="V203" s="131" t="s">
        <v>18</v>
      </c>
      <c r="W203" s="131" t="s">
        <v>17</v>
      </c>
      <c r="X203" s="131" t="s">
        <v>17</v>
      </c>
      <c r="Y203" s="131" t="s">
        <v>17</v>
      </c>
      <c r="Z203" s="131" t="s">
        <v>17</v>
      </c>
      <c r="AA203" s="131" t="s">
        <v>17</v>
      </c>
      <c r="AB203" s="131" t="s">
        <v>17</v>
      </c>
      <c r="AC203" s="131"/>
      <c r="AD203" s="131"/>
      <c r="AE203" s="131"/>
      <c r="AF203" s="158">
        <f t="shared" si="18"/>
        <v>7.0597999999999992</v>
      </c>
      <c r="AG203" s="159"/>
      <c r="AH203" s="155" t="s">
        <v>391</v>
      </c>
      <c r="AI203" s="155" t="s">
        <v>83</v>
      </c>
      <c r="AJ203" s="131" t="str">
        <f>IFERROR(VLOOKUP(E203&amp;F203,'Listagem dos op'!A:S,19,0),"")</f>
        <v/>
      </c>
      <c r="AK203" s="131" t="str">
        <f t="shared" si="17"/>
        <v>Jan11352</v>
      </c>
      <c r="AL203" s="154">
        <f>IF(N203="","",IF(N203="SIM",VLOOKUP($I203&amp;$J203&amp;N$1,Pesos!$A:$I,7,FALSE),VLOOKUP($I203&amp;$J203&amp;N$1,Pesos!$A:$I,9,FALSE)))</f>
        <v>-5.000000000000001E-3</v>
      </c>
      <c r="AM203" s="154">
        <f>IF(O203="","",IF(O203="SIM",VLOOKUP($I203&amp;$J203&amp;O$1,Pesos!$A:$I,7,FALSE),VLOOKUP($I203&amp;$J203&amp;O$1,Pesos!$A:$I,9,FALSE)))</f>
        <v>0.1</v>
      </c>
      <c r="AN203" s="154">
        <f>IF(P203="","",IF(P203="SIM",VLOOKUP($I203&amp;$J203&amp;P$1,Pesos!$A:$I,7,FALSE),VLOOKUP($I203&amp;$J203&amp;P$1,Pesos!$A:$I,9,FALSE)))</f>
        <v>0.1</v>
      </c>
      <c r="AO203" s="154">
        <f>IF(Q203="","",IF(Q203="SIM",VLOOKUP($I203&amp;$J203&amp;Q$1,Pesos!$A:$I,7,FALSE),VLOOKUP($I203&amp;$J203&amp;Q$1,Pesos!$A:$I,9,FALSE)))</f>
        <v>2</v>
      </c>
      <c r="AP203" s="154">
        <f>IF(R203="","",IF(R203="SIM",VLOOKUP($I203&amp;$J203&amp;R$1,Pesos!$A:$I,7,FALSE),VLOOKUP($I203&amp;$J203&amp;R$1,Pesos!$A:$I,9,FALSE)))</f>
        <v>1.03</v>
      </c>
      <c r="AQ203" s="154">
        <f>IF(S203="","",IF(S203="SIM",VLOOKUP($I203&amp;$J203&amp;S$1,Pesos!$A:$I,7,FALSE),VLOOKUP($I203&amp;$J203&amp;S$1,Pesos!$A:$I,9,FALSE)))</f>
        <v>1.3</v>
      </c>
      <c r="AR203" s="156">
        <f>IF(T203="","",IF(T203="SIM",VLOOKUP($I203&amp;$J203&amp;T$1,Pesos!$A:$I,7,FALSE),VLOOKUP($I203&amp;$J203&amp;T$1,Pesos!$A:$I,9,FALSE)))</f>
        <v>-6.5000000000000002E-2</v>
      </c>
      <c r="AS203" s="132">
        <f>IF(U203="","",IF(U203="SIM",VLOOKUP($I203&amp;$J203&amp;U$1,Pesos!$A:$I,7,FALSE),VLOOKUP($I203&amp;$J203&amp;U$1,Pesos!$A:$I,9,FALSE)))</f>
        <v>1.32</v>
      </c>
      <c r="AT203" s="132">
        <f>IF(V203="","",IF(V203="SIM",VLOOKUP($I203&amp;$J203&amp;V$1,Pesos!$A:$I,7,FALSE),VLOOKUP($I203&amp;$J203&amp;V$1,Pesos!$A:$I,9,FALSE)))</f>
        <v>-7.0199999999999999E-2</v>
      </c>
      <c r="AU203" s="132">
        <f>IF(W203="","",IF(W203="SIM",VLOOKUP($I203&amp;$J203&amp;W$1,Pesos!$A:$I,7,FALSE),VLOOKUP($I203&amp;$J203&amp;W$1,Pesos!$A:$I,9,FALSE)))</f>
        <v>0.3</v>
      </c>
      <c r="AV203" s="132">
        <f>IF(X203="","",IF(X203="SIM",VLOOKUP($I203&amp;$J203&amp;X$1,Pesos!$A:$I,7,FALSE),VLOOKUP($I203&amp;$J203&amp;X$1,Pesos!$A:$I,9,FALSE)))</f>
        <v>0.3</v>
      </c>
      <c r="AW203" s="132">
        <f>IF(Y203="","",IF(Y203="SIM",VLOOKUP($I203&amp;$J203&amp;Y$1,Pesos!$A:$I,7,FALSE),VLOOKUP($I203&amp;$J203&amp;Y$1,Pesos!$A:$I,9,FALSE)))</f>
        <v>0.15</v>
      </c>
      <c r="AX203" s="132">
        <f>IF(Z203="","",IF(Z203="SIM",VLOOKUP($I203&amp;$J203&amp;Z$1,Pesos!$A:$I,7,FALSE),VLOOKUP($I203&amp;$J203&amp;Z$1,Pesos!$A:$I,9,FALSE)))</f>
        <v>0.2</v>
      </c>
      <c r="AY203" s="132">
        <f>IF(AA203="","",IF(AA203="SIM",VLOOKUP($I203&amp;$J203&amp;AA$1,Pesos!$A:$I,7,FALSE),VLOOKUP($I203&amp;$J203&amp;AA$1,Pesos!$A:$I,9,FALSE)))</f>
        <v>0.3</v>
      </c>
      <c r="AZ203" s="132">
        <f>IF(AB203="","",IF(AB203="SIM",VLOOKUP($I203&amp;$J203&amp;AB$1,Pesos!$A:$I,7,FALSE),VLOOKUP($I203&amp;$J203&amp;AB$1,Pesos!$A:$I,9,FALSE)))</f>
        <v>0.1</v>
      </c>
      <c r="BA203" s="132" t="str">
        <f>IF(AC203="","",IF(AC203="SIM",VLOOKUP($I203&amp;$J203&amp;AC$1,Pesos!$A:$I,7,FALSE),VLOOKUP($I203&amp;$J203&amp;AC$1,Pesos!$A:$I,9,FALSE)))</f>
        <v/>
      </c>
      <c r="BB203" s="132" t="str">
        <f>IF(AD203="","",IF(AD203="SIM",VLOOKUP($I203&amp;$J203&amp;AD$1,Pesos!$A:$I,7,FALSE),VLOOKUP($I203&amp;$J203&amp;AD$1,Pesos!$A:$I,9,FALSE)))</f>
        <v/>
      </c>
      <c r="BC203" s="132" t="str">
        <f>IF(AE203="","",IF(AE203="SIM",VLOOKUP($I203&amp;$J203&amp;AE$1,Pesos!$A:$I,7,FALSE),VLOOKUP($I203&amp;$J203&amp;AE$1,Pesos!$A:$I,9,FALSE)))</f>
        <v/>
      </c>
      <c r="BD203" s="158">
        <f>IFERROR(AF203*VLOOKUP(J203,'BD Campos'!$X$1:$Y$14,2,FALSE),"0")</f>
        <v>7.0597999999999992</v>
      </c>
    </row>
    <row r="204" spans="1:56">
      <c r="A204" s="151" t="str">
        <f t="shared" si="15"/>
        <v>Jan11501MotoristaTRANSFERÊNCIA</v>
      </c>
      <c r="B204" s="149" t="str">
        <f t="shared" si="16"/>
        <v>Jan115011TRANSFERÊNCIAPADRÃO</v>
      </c>
      <c r="C204" s="152">
        <v>1</v>
      </c>
      <c r="D204" s="153">
        <v>46057.748028703703</v>
      </c>
      <c r="E204" s="154" t="s">
        <v>12</v>
      </c>
      <c r="F204" s="155">
        <v>11501</v>
      </c>
      <c r="G204" s="149" t="s">
        <v>392</v>
      </c>
      <c r="H204" s="154">
        <v>1</v>
      </c>
      <c r="I204" s="149" t="s">
        <v>92</v>
      </c>
      <c r="J204" s="149" t="s">
        <v>93</v>
      </c>
      <c r="K204" s="149" t="s">
        <v>192</v>
      </c>
      <c r="L204" s="156">
        <v>34546809</v>
      </c>
      <c r="M204" s="157">
        <v>4.2245370370370371E-3</v>
      </c>
      <c r="N204" s="131" t="s">
        <v>17</v>
      </c>
      <c r="O204" s="131" t="s">
        <v>18</v>
      </c>
      <c r="P204" s="131" t="s">
        <v>18</v>
      </c>
      <c r="Q204" s="131" t="s">
        <v>17</v>
      </c>
      <c r="R204" s="131" t="s">
        <v>17</v>
      </c>
      <c r="S204" s="131" t="s">
        <v>17</v>
      </c>
      <c r="T204" s="131" t="s">
        <v>17</v>
      </c>
      <c r="U204" s="131" t="s">
        <v>18</v>
      </c>
      <c r="V204" s="131" t="s">
        <v>17</v>
      </c>
      <c r="W204" s="131" t="s">
        <v>17</v>
      </c>
      <c r="X204" s="131" t="s">
        <v>18</v>
      </c>
      <c r="Y204" s="131" t="s">
        <v>17</v>
      </c>
      <c r="Z204" s="131" t="s">
        <v>17</v>
      </c>
      <c r="AA204" s="131" t="s">
        <v>17</v>
      </c>
      <c r="AB204" s="131"/>
      <c r="AC204" s="131"/>
      <c r="AD204" s="131"/>
      <c r="AE204" s="131"/>
      <c r="AF204" s="158">
        <f t="shared" si="18"/>
        <v>7.8474999999999993</v>
      </c>
      <c r="AG204" s="159"/>
      <c r="AH204" s="155" t="s">
        <v>393</v>
      </c>
      <c r="AI204" s="155" t="s">
        <v>83</v>
      </c>
      <c r="AJ204" s="131" t="str">
        <f>IFERROR(VLOOKUP(E204&amp;F204,'Listagem dos op'!A:S,19,0),"")</f>
        <v/>
      </c>
      <c r="AK204" s="131" t="str">
        <f t="shared" si="17"/>
        <v>Jan11501</v>
      </c>
      <c r="AL204" s="154">
        <f>IF(N204="","",IF(N204="SIM",VLOOKUP($I204&amp;$J204&amp;N$1,Pesos!$A:$I,7,FALSE),VLOOKUP($I204&amp;$J204&amp;N$1,Pesos!$A:$I,9,FALSE)))</f>
        <v>0.1</v>
      </c>
      <c r="AM204" s="154">
        <f>IF(O204="","",IF(O204="SIM",VLOOKUP($I204&amp;$J204&amp;O$1,Pesos!$A:$I,7,FALSE),VLOOKUP($I204&amp;$J204&amp;O$1,Pesos!$A:$I,9,FALSE)))</f>
        <v>-5.000000000000001E-3</v>
      </c>
      <c r="AN204" s="154">
        <f>IF(P204="","",IF(P204="SIM",VLOOKUP($I204&amp;$J204&amp;P$1,Pesos!$A:$I,7,FALSE),VLOOKUP($I204&amp;$J204&amp;P$1,Pesos!$A:$I,9,FALSE)))</f>
        <v>-5.000000000000001E-3</v>
      </c>
      <c r="AO204" s="154">
        <f>IF(Q204="","",IF(Q204="SIM",VLOOKUP($I204&amp;$J204&amp;Q$1,Pesos!$A:$I,7,FALSE),VLOOKUP($I204&amp;$J204&amp;Q$1,Pesos!$A:$I,9,FALSE)))</f>
        <v>2</v>
      </c>
      <c r="AP204" s="154">
        <f>IF(R204="","",IF(R204="SIM",VLOOKUP($I204&amp;$J204&amp;R$1,Pesos!$A:$I,7,FALSE),VLOOKUP($I204&amp;$J204&amp;R$1,Pesos!$A:$I,9,FALSE)))</f>
        <v>1.03</v>
      </c>
      <c r="AQ204" s="154">
        <f>IF(S204="","",IF(S204="SIM",VLOOKUP($I204&amp;$J204&amp;S$1,Pesos!$A:$I,7,FALSE),VLOOKUP($I204&amp;$J204&amp;S$1,Pesos!$A:$I,9,FALSE)))</f>
        <v>1.7000000000000002</v>
      </c>
      <c r="AR204" s="156">
        <f>IF(T204="","",IF(T204="SIM",VLOOKUP($I204&amp;$J204&amp;T$1,Pesos!$A:$I,7,FALSE),VLOOKUP($I204&amp;$J204&amp;T$1,Pesos!$A:$I,9,FALSE)))</f>
        <v>1.92</v>
      </c>
      <c r="AS204" s="132">
        <f>IF(U204="","",IF(U204="SIM",VLOOKUP($I204&amp;$J204&amp;U$1,Pesos!$A:$I,7,FALSE),VLOOKUP($I204&amp;$J204&amp;U$1,Pesos!$A:$I,9,FALSE)))</f>
        <v>-8.500000000000002E-2</v>
      </c>
      <c r="AT204" s="132">
        <f>IF(V204="","",IF(V204="SIM",VLOOKUP($I204&amp;$J204&amp;V$1,Pesos!$A:$I,7,FALSE),VLOOKUP($I204&amp;$J204&amp;V$1,Pesos!$A:$I,9,FALSE)))</f>
        <v>0.3</v>
      </c>
      <c r="AU204" s="132">
        <f>IF(W204="","",IF(W204="SIM",VLOOKUP($I204&amp;$J204&amp;W$1,Pesos!$A:$I,7,FALSE),VLOOKUP($I204&amp;$J204&amp;W$1,Pesos!$A:$I,9,FALSE)))</f>
        <v>0.3</v>
      </c>
      <c r="AV204" s="132">
        <f>IF(X204="","",IF(X204="SIM",VLOOKUP($I204&amp;$J204&amp;X$1,Pesos!$A:$I,7,FALSE),VLOOKUP($I204&amp;$J204&amp;X$1,Pesos!$A:$I,9,FALSE)))</f>
        <v>-7.4999999999999997E-3</v>
      </c>
      <c r="AW204" s="132">
        <f>IF(Y204="","",IF(Y204="SIM",VLOOKUP($I204&amp;$J204&amp;Y$1,Pesos!$A:$I,7,FALSE),VLOOKUP($I204&amp;$J204&amp;Y$1,Pesos!$A:$I,9,FALSE)))</f>
        <v>0.2</v>
      </c>
      <c r="AX204" s="132">
        <f>IF(Z204="","",IF(Z204="SIM",VLOOKUP($I204&amp;$J204&amp;Z$1,Pesos!$A:$I,7,FALSE),VLOOKUP($I204&amp;$J204&amp;Z$1,Pesos!$A:$I,9,FALSE)))</f>
        <v>0.3</v>
      </c>
      <c r="AY204" s="132">
        <f>IF(AA204="","",IF(AA204="SIM",VLOOKUP($I204&amp;$J204&amp;AA$1,Pesos!$A:$I,7,FALSE),VLOOKUP($I204&amp;$J204&amp;AA$1,Pesos!$A:$I,9,FALSE)))</f>
        <v>0.1</v>
      </c>
      <c r="AZ204" s="132" t="str">
        <f>IF(AB204="","",IF(AB204="SIM",VLOOKUP($I204&amp;$J204&amp;AB$1,Pesos!$A:$I,7,FALSE),VLOOKUP($I204&amp;$J204&amp;AB$1,Pesos!$A:$I,9,FALSE)))</f>
        <v/>
      </c>
      <c r="BA204" s="132" t="str">
        <f>IF(AC204="","",IF(AC204="SIM",VLOOKUP($I204&amp;$J204&amp;AC$1,Pesos!$A:$I,7,FALSE),VLOOKUP($I204&amp;$J204&amp;AC$1,Pesos!$A:$I,9,FALSE)))</f>
        <v/>
      </c>
      <c r="BB204" s="132" t="str">
        <f>IF(AD204="","",IF(AD204="SIM",VLOOKUP($I204&amp;$J204&amp;AD$1,Pesos!$A:$I,7,FALSE),VLOOKUP($I204&amp;$J204&amp;AD$1,Pesos!$A:$I,9,FALSE)))</f>
        <v/>
      </c>
      <c r="BC204" s="132" t="str">
        <f>IF(AE204="","",IF(AE204="SIM",VLOOKUP($I204&amp;$J204&amp;AE$1,Pesos!$A:$I,7,FALSE),VLOOKUP($I204&amp;$J204&amp;AE$1,Pesos!$A:$I,9,FALSE)))</f>
        <v/>
      </c>
      <c r="BD204" s="158">
        <f>IFERROR(AF204*VLOOKUP(J204,'BD Campos'!$X$1:$Y$14,2,FALSE),"0")</f>
        <v>7.8474999999999993</v>
      </c>
    </row>
    <row r="205" spans="1:56">
      <c r="A205" s="151" t="str">
        <f t="shared" si="15"/>
        <v>Jan11501Motorista 2TRANSFERÊNCIA</v>
      </c>
      <c r="B205" s="149" t="str">
        <f t="shared" si="16"/>
        <v>Jan115012TRANSFERÊNCIAPADRÃO</v>
      </c>
      <c r="C205" s="152">
        <v>1</v>
      </c>
      <c r="D205" s="153">
        <v>46057.749728935189</v>
      </c>
      <c r="E205" s="154" t="s">
        <v>12</v>
      </c>
      <c r="F205" s="155">
        <v>11501</v>
      </c>
      <c r="G205" s="149" t="s">
        <v>392</v>
      </c>
      <c r="H205" s="154">
        <v>2</v>
      </c>
      <c r="I205" s="149" t="s">
        <v>133</v>
      </c>
      <c r="J205" s="149" t="s">
        <v>97</v>
      </c>
      <c r="K205" s="149" t="s">
        <v>192</v>
      </c>
      <c r="L205" s="156">
        <v>34750244</v>
      </c>
      <c r="M205" s="157">
        <v>1.7592592592592592E-3</v>
      </c>
      <c r="N205" s="131"/>
      <c r="O205" s="131"/>
      <c r="P205" s="131"/>
      <c r="Q205" s="131"/>
      <c r="R205" s="131"/>
      <c r="S205" s="131"/>
      <c r="T205" s="131"/>
      <c r="U205" s="131"/>
      <c r="V205" s="131"/>
      <c r="W205" s="131"/>
      <c r="X205" s="131"/>
      <c r="Y205" s="131"/>
      <c r="Z205" s="131"/>
      <c r="AA205" s="131"/>
      <c r="AB205" s="131"/>
      <c r="AC205" s="131"/>
      <c r="AD205" s="131"/>
      <c r="AE205" s="131"/>
      <c r="AF205" s="158">
        <f t="shared" si="18"/>
        <v>0</v>
      </c>
      <c r="AG205" s="159" t="s">
        <v>111</v>
      </c>
      <c r="AH205" s="155" t="s">
        <v>394</v>
      </c>
      <c r="AI205" s="155" t="s">
        <v>83</v>
      </c>
      <c r="AJ205" s="131" t="str">
        <f>IFERROR(VLOOKUP(E205&amp;F205,'Listagem dos op'!A:S,19,0),"")</f>
        <v/>
      </c>
      <c r="AK205" s="131" t="str">
        <f t="shared" si="17"/>
        <v>Jan11501</v>
      </c>
      <c r="AL205" s="154" t="str">
        <f>IF(N205="","",IF(N205="SIM",VLOOKUP($I205&amp;$J205&amp;N$1,Pesos!$A:$I,7,FALSE),VLOOKUP($I205&amp;$J205&amp;N$1,Pesos!$A:$I,9,FALSE)))</f>
        <v/>
      </c>
      <c r="AM205" s="154" t="str">
        <f>IF(O205="","",IF(O205="SIM",VLOOKUP($I205&amp;$J205&amp;O$1,Pesos!$A:$I,7,FALSE),VLOOKUP($I205&amp;$J205&amp;O$1,Pesos!$A:$I,9,FALSE)))</f>
        <v/>
      </c>
      <c r="AN205" s="154" t="str">
        <f>IF(P205="","",IF(P205="SIM",VLOOKUP($I205&amp;$J205&amp;P$1,Pesos!$A:$I,7,FALSE),VLOOKUP($I205&amp;$J205&amp;P$1,Pesos!$A:$I,9,FALSE)))</f>
        <v/>
      </c>
      <c r="AO205" s="154" t="str">
        <f>IF(Q205="","",IF(Q205="SIM",VLOOKUP($I205&amp;$J205&amp;Q$1,Pesos!$A:$I,7,FALSE),VLOOKUP($I205&amp;$J205&amp;Q$1,Pesos!$A:$I,9,FALSE)))</f>
        <v/>
      </c>
      <c r="AP205" s="154" t="str">
        <f>IF(R205="","",IF(R205="SIM",VLOOKUP($I205&amp;$J205&amp;R$1,Pesos!$A:$I,7,FALSE),VLOOKUP($I205&amp;$J205&amp;R$1,Pesos!$A:$I,9,FALSE)))</f>
        <v/>
      </c>
      <c r="AQ205" s="154" t="str">
        <f>IF(S205="","",IF(S205="SIM",VLOOKUP($I205&amp;$J205&amp;S$1,Pesos!$A:$I,7,FALSE),VLOOKUP($I205&amp;$J205&amp;S$1,Pesos!$A:$I,9,FALSE)))</f>
        <v/>
      </c>
      <c r="AR205" s="156" t="str">
        <f>IF(T205="","",IF(T205="SIM",VLOOKUP($I205&amp;$J205&amp;T$1,Pesos!$A:$I,7,FALSE),VLOOKUP($I205&amp;$J205&amp;T$1,Pesos!$A:$I,9,FALSE)))</f>
        <v/>
      </c>
      <c r="AS205" s="132" t="str">
        <f>IF(U205="","",IF(U205="SIM",VLOOKUP($I205&amp;$J205&amp;U$1,Pesos!$A:$I,7,FALSE),VLOOKUP($I205&amp;$J205&amp;U$1,Pesos!$A:$I,9,FALSE)))</f>
        <v/>
      </c>
      <c r="AT205" s="132" t="str">
        <f>IF(V205="","",IF(V205="SIM",VLOOKUP($I205&amp;$J205&amp;V$1,Pesos!$A:$I,7,FALSE),VLOOKUP($I205&amp;$J205&amp;V$1,Pesos!$A:$I,9,FALSE)))</f>
        <v/>
      </c>
      <c r="AU205" s="132" t="str">
        <f>IF(W205="","",IF(W205="SIM",VLOOKUP($I205&amp;$J205&amp;W$1,Pesos!$A:$I,7,FALSE),VLOOKUP($I205&amp;$J205&amp;W$1,Pesos!$A:$I,9,FALSE)))</f>
        <v/>
      </c>
      <c r="AV205" s="132" t="str">
        <f>IF(X205="","",IF(X205="SIM",VLOOKUP($I205&amp;$J205&amp;X$1,Pesos!$A:$I,7,FALSE),VLOOKUP($I205&amp;$J205&amp;X$1,Pesos!$A:$I,9,FALSE)))</f>
        <v/>
      </c>
      <c r="AW205" s="132" t="str">
        <f>IF(Y205="","",IF(Y205="SIM",VLOOKUP($I205&amp;$J205&amp;Y$1,Pesos!$A:$I,7,FALSE),VLOOKUP($I205&amp;$J205&amp;Y$1,Pesos!$A:$I,9,FALSE)))</f>
        <v/>
      </c>
      <c r="AX205" s="132" t="str">
        <f>IF(Z205="","",IF(Z205="SIM",VLOOKUP($I205&amp;$J205&amp;Z$1,Pesos!$A:$I,7,FALSE),VLOOKUP($I205&amp;$J205&amp;Z$1,Pesos!$A:$I,9,FALSE)))</f>
        <v/>
      </c>
      <c r="AY205" s="132" t="str">
        <f>IF(AA205="","",IF(AA205="SIM",VLOOKUP($I205&amp;$J205&amp;AA$1,Pesos!$A:$I,7,FALSE),VLOOKUP($I205&amp;$J205&amp;AA$1,Pesos!$A:$I,9,FALSE)))</f>
        <v/>
      </c>
      <c r="AZ205" s="132" t="str">
        <f>IF(AB205="","",IF(AB205="SIM",VLOOKUP($I205&amp;$J205&amp;AB$1,Pesos!$A:$I,7,FALSE),VLOOKUP($I205&amp;$J205&amp;AB$1,Pesos!$A:$I,9,FALSE)))</f>
        <v/>
      </c>
      <c r="BA205" s="132" t="str">
        <f>IF(AC205="","",IF(AC205="SIM",VLOOKUP($I205&amp;$J205&amp;AC$1,Pesos!$A:$I,7,FALSE),VLOOKUP($I205&amp;$J205&amp;AC$1,Pesos!$A:$I,9,FALSE)))</f>
        <v/>
      </c>
      <c r="BB205" s="132" t="str">
        <f>IF(AD205="","",IF(AD205="SIM",VLOOKUP($I205&amp;$J205&amp;AD$1,Pesos!$A:$I,7,FALSE),VLOOKUP($I205&amp;$J205&amp;AD$1,Pesos!$A:$I,9,FALSE)))</f>
        <v/>
      </c>
      <c r="BC205" s="132" t="str">
        <f>IF(AE205="","",IF(AE205="SIM",VLOOKUP($I205&amp;$J205&amp;AE$1,Pesos!$A:$I,7,FALSE),VLOOKUP($I205&amp;$J205&amp;AE$1,Pesos!$A:$I,9,FALSE)))</f>
        <v/>
      </c>
      <c r="BD205" s="158">
        <f>IFERROR(AF205*VLOOKUP(J205,'BD Campos'!$X$1:$Y$14,2,FALSE),"0")</f>
        <v>0</v>
      </c>
    </row>
    <row r="206" spans="1:56">
      <c r="A206" s="151" t="str">
        <f t="shared" si="15"/>
        <v>Jan11512MotoristaTRANSFERÊNCIA</v>
      </c>
      <c r="B206" s="149" t="str">
        <f t="shared" si="16"/>
        <v>Jan115121TRANSFERÊNCIAPADRÃO</v>
      </c>
      <c r="C206" s="152">
        <v>1</v>
      </c>
      <c r="D206" s="153">
        <v>46057.753636458336</v>
      </c>
      <c r="E206" s="154" t="s">
        <v>12</v>
      </c>
      <c r="F206" s="155">
        <v>11512</v>
      </c>
      <c r="G206" s="149" t="s">
        <v>395</v>
      </c>
      <c r="H206" s="154">
        <v>1</v>
      </c>
      <c r="I206" s="149" t="s">
        <v>92</v>
      </c>
      <c r="J206" s="149" t="s">
        <v>93</v>
      </c>
      <c r="K206" s="149" t="s">
        <v>192</v>
      </c>
      <c r="L206" s="156">
        <v>34547244</v>
      </c>
      <c r="M206" s="157">
        <v>1.7476851851851852E-3</v>
      </c>
      <c r="N206" s="131" t="s">
        <v>17</v>
      </c>
      <c r="O206" s="131" t="s">
        <v>17</v>
      </c>
      <c r="P206" s="131" t="s">
        <v>17</v>
      </c>
      <c r="Q206" s="131" t="s">
        <v>17</v>
      </c>
      <c r="R206" s="131" t="s">
        <v>18</v>
      </c>
      <c r="S206" s="131" t="s">
        <v>18</v>
      </c>
      <c r="T206" s="131" t="s">
        <v>17</v>
      </c>
      <c r="U206" s="131" t="s">
        <v>18</v>
      </c>
      <c r="V206" s="131" t="s">
        <v>17</v>
      </c>
      <c r="W206" s="131" t="s">
        <v>17</v>
      </c>
      <c r="X206" s="131" t="s">
        <v>17</v>
      </c>
      <c r="Y206" s="131" t="s">
        <v>18</v>
      </c>
      <c r="Z206" s="131" t="s">
        <v>17</v>
      </c>
      <c r="AA206" s="131" t="s">
        <v>17</v>
      </c>
      <c r="AB206" s="131"/>
      <c r="AC206" s="131"/>
      <c r="AD206" s="131"/>
      <c r="AE206" s="131"/>
      <c r="AF206" s="158">
        <f t="shared" si="18"/>
        <v>5.1384999999999996</v>
      </c>
      <c r="AG206" s="159"/>
      <c r="AH206" s="155" t="s">
        <v>396</v>
      </c>
      <c r="AI206" s="155" t="s">
        <v>83</v>
      </c>
      <c r="AJ206" s="131" t="str">
        <f>IFERROR(VLOOKUP(E206&amp;F206,'Listagem dos op'!A:S,19,0),"")</f>
        <v/>
      </c>
      <c r="AK206" s="131" t="str">
        <f t="shared" si="17"/>
        <v>Jan11512</v>
      </c>
      <c r="AL206" s="154">
        <f>IF(N206="","",IF(N206="SIM",VLOOKUP($I206&amp;$J206&amp;N$1,Pesos!$A:$I,7,FALSE),VLOOKUP($I206&amp;$J206&amp;N$1,Pesos!$A:$I,9,FALSE)))</f>
        <v>0.1</v>
      </c>
      <c r="AM206" s="154">
        <f>IF(O206="","",IF(O206="SIM",VLOOKUP($I206&amp;$J206&amp;O$1,Pesos!$A:$I,7,FALSE),VLOOKUP($I206&amp;$J206&amp;O$1,Pesos!$A:$I,9,FALSE)))</f>
        <v>0.1</v>
      </c>
      <c r="AN206" s="154">
        <f>IF(P206="","",IF(P206="SIM",VLOOKUP($I206&amp;$J206&amp;P$1,Pesos!$A:$I,7,FALSE),VLOOKUP($I206&amp;$J206&amp;P$1,Pesos!$A:$I,9,FALSE)))</f>
        <v>0.1</v>
      </c>
      <c r="AO206" s="154">
        <f>IF(Q206="","",IF(Q206="SIM",VLOOKUP($I206&amp;$J206&amp;Q$1,Pesos!$A:$I,7,FALSE),VLOOKUP($I206&amp;$J206&amp;Q$1,Pesos!$A:$I,9,FALSE)))</f>
        <v>2</v>
      </c>
      <c r="AP206" s="154">
        <f>IF(R206="","",IF(R206="SIM",VLOOKUP($I206&amp;$J206&amp;R$1,Pesos!$A:$I,7,FALSE),VLOOKUP($I206&amp;$J206&amp;R$1,Pesos!$A:$I,9,FALSE)))</f>
        <v>-5.1500000000000004E-2</v>
      </c>
      <c r="AQ206" s="154">
        <f>IF(S206="","",IF(S206="SIM",VLOOKUP($I206&amp;$J206&amp;S$1,Pesos!$A:$I,7,FALSE),VLOOKUP($I206&amp;$J206&amp;S$1,Pesos!$A:$I,9,FALSE)))</f>
        <v>-8.500000000000002E-2</v>
      </c>
      <c r="AR206" s="156">
        <f>IF(T206="","",IF(T206="SIM",VLOOKUP($I206&amp;$J206&amp;T$1,Pesos!$A:$I,7,FALSE),VLOOKUP($I206&amp;$J206&amp;T$1,Pesos!$A:$I,9,FALSE)))</f>
        <v>1.92</v>
      </c>
      <c r="AS206" s="132">
        <f>IF(U206="","",IF(U206="SIM",VLOOKUP($I206&amp;$J206&amp;U$1,Pesos!$A:$I,7,FALSE),VLOOKUP($I206&amp;$J206&amp;U$1,Pesos!$A:$I,9,FALSE)))</f>
        <v>-8.500000000000002E-2</v>
      </c>
      <c r="AT206" s="132">
        <f>IF(V206="","",IF(V206="SIM",VLOOKUP($I206&amp;$J206&amp;V$1,Pesos!$A:$I,7,FALSE),VLOOKUP($I206&amp;$J206&amp;V$1,Pesos!$A:$I,9,FALSE)))</f>
        <v>0.3</v>
      </c>
      <c r="AU206" s="132">
        <f>IF(W206="","",IF(W206="SIM",VLOOKUP($I206&amp;$J206&amp;W$1,Pesos!$A:$I,7,FALSE),VLOOKUP($I206&amp;$J206&amp;W$1,Pesos!$A:$I,9,FALSE)))</f>
        <v>0.3</v>
      </c>
      <c r="AV206" s="132">
        <f>IF(X206="","",IF(X206="SIM",VLOOKUP($I206&amp;$J206&amp;X$1,Pesos!$A:$I,7,FALSE),VLOOKUP($I206&amp;$J206&amp;X$1,Pesos!$A:$I,9,FALSE)))</f>
        <v>0.15</v>
      </c>
      <c r="AW206" s="132">
        <f>IF(Y206="","",IF(Y206="SIM",VLOOKUP($I206&amp;$J206&amp;Y$1,Pesos!$A:$I,7,FALSE),VLOOKUP($I206&amp;$J206&amp;Y$1,Pesos!$A:$I,9,FALSE)))</f>
        <v>-1.0000000000000002E-2</v>
      </c>
      <c r="AX206" s="132">
        <f>IF(Z206="","",IF(Z206="SIM",VLOOKUP($I206&amp;$J206&amp;Z$1,Pesos!$A:$I,7,FALSE),VLOOKUP($I206&amp;$J206&amp;Z$1,Pesos!$A:$I,9,FALSE)))</f>
        <v>0.3</v>
      </c>
      <c r="AY206" s="132">
        <f>IF(AA206="","",IF(AA206="SIM",VLOOKUP($I206&amp;$J206&amp;AA$1,Pesos!$A:$I,7,FALSE),VLOOKUP($I206&amp;$J206&amp;AA$1,Pesos!$A:$I,9,FALSE)))</f>
        <v>0.1</v>
      </c>
      <c r="AZ206" s="132" t="str">
        <f>IF(AB206="","",IF(AB206="SIM",VLOOKUP($I206&amp;$J206&amp;AB$1,Pesos!$A:$I,7,FALSE),VLOOKUP($I206&amp;$J206&amp;AB$1,Pesos!$A:$I,9,FALSE)))</f>
        <v/>
      </c>
      <c r="BA206" s="132" t="str">
        <f>IF(AC206="","",IF(AC206="SIM",VLOOKUP($I206&amp;$J206&amp;AC$1,Pesos!$A:$I,7,FALSE),VLOOKUP($I206&amp;$J206&amp;AC$1,Pesos!$A:$I,9,FALSE)))</f>
        <v/>
      </c>
      <c r="BB206" s="132" t="str">
        <f>IF(AD206="","",IF(AD206="SIM",VLOOKUP($I206&amp;$J206&amp;AD$1,Pesos!$A:$I,7,FALSE),VLOOKUP($I206&amp;$J206&amp;AD$1,Pesos!$A:$I,9,FALSE)))</f>
        <v/>
      </c>
      <c r="BC206" s="132" t="str">
        <f>IF(AE206="","",IF(AE206="SIM",VLOOKUP($I206&amp;$J206&amp;AE$1,Pesos!$A:$I,7,FALSE),VLOOKUP($I206&amp;$J206&amp;AE$1,Pesos!$A:$I,9,FALSE)))</f>
        <v/>
      </c>
      <c r="BD206" s="158">
        <f>IFERROR(AF206*VLOOKUP(J206,'BD Campos'!$X$1:$Y$14,2,FALSE),"0")</f>
        <v>5.1384999999999996</v>
      </c>
    </row>
    <row r="207" spans="1:56">
      <c r="A207" s="151" t="str">
        <f t="shared" si="15"/>
        <v>Jan11512Motorista 2TRANSFERÊNCIA</v>
      </c>
      <c r="B207" s="149" t="str">
        <f t="shared" si="16"/>
        <v>Jan115122TRANSFERÊNCIAPADRÃO</v>
      </c>
      <c r="C207" s="152">
        <v>1</v>
      </c>
      <c r="D207" s="153">
        <v>46057.755111689818</v>
      </c>
      <c r="E207" s="154" t="s">
        <v>12</v>
      </c>
      <c r="F207" s="155">
        <v>11512</v>
      </c>
      <c r="G207" s="149" t="s">
        <v>395</v>
      </c>
      <c r="H207" s="154">
        <v>2</v>
      </c>
      <c r="I207" s="149" t="s">
        <v>96</v>
      </c>
      <c r="J207" s="149" t="s">
        <v>97</v>
      </c>
      <c r="K207" s="149" t="s">
        <v>192</v>
      </c>
      <c r="L207" s="156">
        <v>34600931</v>
      </c>
      <c r="M207" s="157">
        <v>1.2731481481481483E-3</v>
      </c>
      <c r="N207" s="131" t="s">
        <v>17</v>
      </c>
      <c r="O207" s="131" t="s">
        <v>17</v>
      </c>
      <c r="P207" s="131" t="s">
        <v>17</v>
      </c>
      <c r="Q207" s="131" t="s">
        <v>17</v>
      </c>
      <c r="R207" s="131" t="s">
        <v>17</v>
      </c>
      <c r="S207" s="131" t="s">
        <v>17</v>
      </c>
      <c r="T207" s="131" t="s">
        <v>17</v>
      </c>
      <c r="U207" s="131" t="s">
        <v>17</v>
      </c>
      <c r="V207" s="131" t="s">
        <v>18</v>
      </c>
      <c r="W207" s="131" t="s">
        <v>18</v>
      </c>
      <c r="X207" s="131" t="s">
        <v>17</v>
      </c>
      <c r="Y207" s="131" t="s">
        <v>17</v>
      </c>
      <c r="Z207" s="131" t="s">
        <v>17</v>
      </c>
      <c r="AA207" s="131" t="s">
        <v>17</v>
      </c>
      <c r="AB207" s="131" t="s">
        <v>17</v>
      </c>
      <c r="AC207" s="131"/>
      <c r="AD207" s="131"/>
      <c r="AE207" s="131"/>
      <c r="AF207" s="158">
        <f t="shared" si="18"/>
        <v>8.5824999999999996</v>
      </c>
      <c r="AG207" s="159"/>
      <c r="AH207" s="155" t="s">
        <v>397</v>
      </c>
      <c r="AI207" s="155" t="s">
        <v>83</v>
      </c>
      <c r="AJ207" s="131" t="str">
        <f>IFERROR(VLOOKUP(E207&amp;F207,'Listagem dos op'!A:S,19,0),"")</f>
        <v/>
      </c>
      <c r="AK207" s="131" t="str">
        <f t="shared" si="17"/>
        <v>Jan11512</v>
      </c>
      <c r="AL207" s="154">
        <f>IF(N207="","",IF(N207="SIM",VLOOKUP($I207&amp;$J207&amp;N$1,Pesos!$A:$I,7,FALSE),VLOOKUP($I207&amp;$J207&amp;N$1,Pesos!$A:$I,9,FALSE)))</f>
        <v>0.1</v>
      </c>
      <c r="AM207" s="154">
        <f>IF(O207="","",IF(O207="SIM",VLOOKUP($I207&amp;$J207&amp;O$1,Pesos!$A:$I,7,FALSE),VLOOKUP($I207&amp;$J207&amp;O$1,Pesos!$A:$I,9,FALSE)))</f>
        <v>0.1</v>
      </c>
      <c r="AN207" s="154">
        <f>IF(P207="","",IF(P207="SIM",VLOOKUP($I207&amp;$J207&amp;P$1,Pesos!$A:$I,7,FALSE),VLOOKUP($I207&amp;$J207&amp;P$1,Pesos!$A:$I,9,FALSE)))</f>
        <v>0.1</v>
      </c>
      <c r="AO207" s="154">
        <f>IF(Q207="","",IF(Q207="SIM",VLOOKUP($I207&amp;$J207&amp;Q$1,Pesos!$A:$I,7,FALSE),VLOOKUP($I207&amp;$J207&amp;Q$1,Pesos!$A:$I,9,FALSE)))</f>
        <v>2</v>
      </c>
      <c r="AP207" s="154">
        <f>IF(R207="","",IF(R207="SIM",VLOOKUP($I207&amp;$J207&amp;R$1,Pesos!$A:$I,7,FALSE),VLOOKUP($I207&amp;$J207&amp;R$1,Pesos!$A:$I,9,FALSE)))</f>
        <v>1.03</v>
      </c>
      <c r="AQ207" s="154">
        <f>IF(S207="","",IF(S207="SIM",VLOOKUP($I207&amp;$J207&amp;S$1,Pesos!$A:$I,7,FALSE),VLOOKUP($I207&amp;$J207&amp;S$1,Pesos!$A:$I,9,FALSE)))</f>
        <v>1.22</v>
      </c>
      <c r="AR207" s="156">
        <f>IF(T207="","",IF(T207="SIM",VLOOKUP($I207&amp;$J207&amp;T$1,Pesos!$A:$I,7,FALSE),VLOOKUP($I207&amp;$J207&amp;T$1,Pesos!$A:$I,9,FALSE)))</f>
        <v>2</v>
      </c>
      <c r="AS207" s="132">
        <f>IF(U207="","",IF(U207="SIM",VLOOKUP($I207&amp;$J207&amp;U$1,Pesos!$A:$I,7,FALSE),VLOOKUP($I207&amp;$J207&amp;U$1,Pesos!$A:$I,9,FALSE)))</f>
        <v>1.05</v>
      </c>
      <c r="AT207" s="132">
        <f>IF(V207="","",IF(V207="SIM",VLOOKUP($I207&amp;$J207&amp;V$1,Pesos!$A:$I,7,FALSE),VLOOKUP($I207&amp;$J207&amp;V$1,Pesos!$A:$I,9,FALSE)))</f>
        <v>-5.2500000000000005E-2</v>
      </c>
      <c r="AU207" s="132">
        <f>IF(W207="","",IF(W207="SIM",VLOOKUP($I207&amp;$J207&amp;W$1,Pesos!$A:$I,7,FALSE),VLOOKUP($I207&amp;$J207&amp;W$1,Pesos!$A:$I,9,FALSE)))</f>
        <v>-1.4999999999999999E-2</v>
      </c>
      <c r="AV207" s="132">
        <f>IF(X207="","",IF(X207="SIM",VLOOKUP($I207&amp;$J207&amp;X$1,Pesos!$A:$I,7,FALSE),VLOOKUP($I207&amp;$J207&amp;X$1,Pesos!$A:$I,9,FALSE)))</f>
        <v>0.3</v>
      </c>
      <c r="AW207" s="132">
        <f>IF(Y207="","",IF(Y207="SIM",VLOOKUP($I207&amp;$J207&amp;Y$1,Pesos!$A:$I,7,FALSE),VLOOKUP($I207&amp;$J207&amp;Y$1,Pesos!$A:$I,9,FALSE)))</f>
        <v>0.15</v>
      </c>
      <c r="AX207" s="132">
        <f>IF(Z207="","",IF(Z207="SIM",VLOOKUP($I207&amp;$J207&amp;Z$1,Pesos!$A:$I,7,FALSE),VLOOKUP($I207&amp;$J207&amp;Z$1,Pesos!$A:$I,9,FALSE)))</f>
        <v>0.2</v>
      </c>
      <c r="AY207" s="132">
        <f>IF(AA207="","",IF(AA207="SIM",VLOOKUP($I207&amp;$J207&amp;AA$1,Pesos!$A:$I,7,FALSE),VLOOKUP($I207&amp;$J207&amp;AA$1,Pesos!$A:$I,9,FALSE)))</f>
        <v>0.3</v>
      </c>
      <c r="AZ207" s="132">
        <f>IF(AB207="","",IF(AB207="SIM",VLOOKUP($I207&amp;$J207&amp;AB$1,Pesos!$A:$I,7,FALSE),VLOOKUP($I207&amp;$J207&amp;AB$1,Pesos!$A:$I,9,FALSE)))</f>
        <v>0.1</v>
      </c>
      <c r="BA207" s="132" t="str">
        <f>IF(AC207="","",IF(AC207="SIM",VLOOKUP($I207&amp;$J207&amp;AC$1,Pesos!$A:$I,7,FALSE),VLOOKUP($I207&amp;$J207&amp;AC$1,Pesos!$A:$I,9,FALSE)))</f>
        <v/>
      </c>
      <c r="BB207" s="132" t="str">
        <f>IF(AD207="","",IF(AD207="SIM",VLOOKUP($I207&amp;$J207&amp;AD$1,Pesos!$A:$I,7,FALSE),VLOOKUP($I207&amp;$J207&amp;AD$1,Pesos!$A:$I,9,FALSE)))</f>
        <v/>
      </c>
      <c r="BC207" s="132" t="str">
        <f>IF(AE207="","",IF(AE207="SIM",VLOOKUP($I207&amp;$J207&amp;AE$1,Pesos!$A:$I,7,FALSE),VLOOKUP($I207&amp;$J207&amp;AE$1,Pesos!$A:$I,9,FALSE)))</f>
        <v/>
      </c>
      <c r="BD207" s="158">
        <f>IFERROR(AF207*VLOOKUP(J207,'BD Campos'!$X$1:$Y$14,2,FALSE),"0")</f>
        <v>8.5824999999999996</v>
      </c>
    </row>
    <row r="208" spans="1:56">
      <c r="A208" s="151" t="str">
        <f t="shared" si="15"/>
        <v>Jan11516MotoristaTRANSFERÊNCIA</v>
      </c>
      <c r="B208" s="149" t="str">
        <f t="shared" si="16"/>
        <v>Jan115161TRANSFERÊNCIAPADRÃO</v>
      </c>
      <c r="C208" s="152">
        <v>1</v>
      </c>
      <c r="D208" s="153">
        <v>46057.757081944445</v>
      </c>
      <c r="E208" s="154" t="s">
        <v>12</v>
      </c>
      <c r="F208" s="155">
        <v>11516</v>
      </c>
      <c r="G208" s="149" t="s">
        <v>398</v>
      </c>
      <c r="H208" s="154">
        <v>1</v>
      </c>
      <c r="I208" s="149" t="s">
        <v>92</v>
      </c>
      <c r="J208" s="149" t="s">
        <v>93</v>
      </c>
      <c r="K208" s="149" t="s">
        <v>192</v>
      </c>
      <c r="L208" s="156">
        <v>34574061</v>
      </c>
      <c r="M208" s="157">
        <v>1.1689814814814816E-3</v>
      </c>
      <c r="N208" s="131" t="s">
        <v>17</v>
      </c>
      <c r="O208" s="131" t="s">
        <v>17</v>
      </c>
      <c r="P208" s="131" t="s">
        <v>17</v>
      </c>
      <c r="Q208" s="131" t="s">
        <v>17</v>
      </c>
      <c r="R208" s="131" t="s">
        <v>17</v>
      </c>
      <c r="S208" s="131" t="s">
        <v>18</v>
      </c>
      <c r="T208" s="131" t="s">
        <v>17</v>
      </c>
      <c r="U208" s="131" t="s">
        <v>18</v>
      </c>
      <c r="V208" s="131" t="s">
        <v>17</v>
      </c>
      <c r="W208" s="131" t="s">
        <v>17</v>
      </c>
      <c r="X208" s="131" t="s">
        <v>17</v>
      </c>
      <c r="Y208" s="131" t="s">
        <v>18</v>
      </c>
      <c r="Z208" s="131" t="s">
        <v>17</v>
      </c>
      <c r="AA208" s="131" t="s">
        <v>17</v>
      </c>
      <c r="AB208" s="131"/>
      <c r="AC208" s="131"/>
      <c r="AD208" s="131"/>
      <c r="AE208" s="131"/>
      <c r="AF208" s="158">
        <f t="shared" si="18"/>
        <v>6.22</v>
      </c>
      <c r="AG208" s="159"/>
      <c r="AH208" s="155" t="s">
        <v>399</v>
      </c>
      <c r="AI208" s="155" t="s">
        <v>83</v>
      </c>
      <c r="AJ208" s="131" t="str">
        <f>IFERROR(VLOOKUP(E208&amp;F208,'Listagem dos op'!A:S,19,0),"")</f>
        <v/>
      </c>
      <c r="AK208" s="131" t="str">
        <f t="shared" si="17"/>
        <v>Jan11516</v>
      </c>
      <c r="AL208" s="154">
        <f>IF(N208="","",IF(N208="SIM",VLOOKUP($I208&amp;$J208&amp;N$1,Pesos!$A:$I,7,FALSE),VLOOKUP($I208&amp;$J208&amp;N$1,Pesos!$A:$I,9,FALSE)))</f>
        <v>0.1</v>
      </c>
      <c r="AM208" s="154">
        <f>IF(O208="","",IF(O208="SIM",VLOOKUP($I208&amp;$J208&amp;O$1,Pesos!$A:$I,7,FALSE),VLOOKUP($I208&amp;$J208&amp;O$1,Pesos!$A:$I,9,FALSE)))</f>
        <v>0.1</v>
      </c>
      <c r="AN208" s="154">
        <f>IF(P208="","",IF(P208="SIM",VLOOKUP($I208&amp;$J208&amp;P$1,Pesos!$A:$I,7,FALSE),VLOOKUP($I208&amp;$J208&amp;P$1,Pesos!$A:$I,9,FALSE)))</f>
        <v>0.1</v>
      </c>
      <c r="AO208" s="154">
        <f>IF(Q208="","",IF(Q208="SIM",VLOOKUP($I208&amp;$J208&amp;Q$1,Pesos!$A:$I,7,FALSE),VLOOKUP($I208&amp;$J208&amp;Q$1,Pesos!$A:$I,9,FALSE)))</f>
        <v>2</v>
      </c>
      <c r="AP208" s="154">
        <f>IF(R208="","",IF(R208="SIM",VLOOKUP($I208&amp;$J208&amp;R$1,Pesos!$A:$I,7,FALSE),VLOOKUP($I208&amp;$J208&amp;R$1,Pesos!$A:$I,9,FALSE)))</f>
        <v>1.03</v>
      </c>
      <c r="AQ208" s="154">
        <f>IF(S208="","",IF(S208="SIM",VLOOKUP($I208&amp;$J208&amp;S$1,Pesos!$A:$I,7,FALSE),VLOOKUP($I208&amp;$J208&amp;S$1,Pesos!$A:$I,9,FALSE)))</f>
        <v>-8.500000000000002E-2</v>
      </c>
      <c r="AR208" s="156">
        <f>IF(T208="","",IF(T208="SIM",VLOOKUP($I208&amp;$J208&amp;T$1,Pesos!$A:$I,7,FALSE),VLOOKUP($I208&amp;$J208&amp;T$1,Pesos!$A:$I,9,FALSE)))</f>
        <v>1.92</v>
      </c>
      <c r="AS208" s="132">
        <f>IF(U208="","",IF(U208="SIM",VLOOKUP($I208&amp;$J208&amp;U$1,Pesos!$A:$I,7,FALSE),VLOOKUP($I208&amp;$J208&amp;U$1,Pesos!$A:$I,9,FALSE)))</f>
        <v>-8.500000000000002E-2</v>
      </c>
      <c r="AT208" s="132">
        <f>IF(V208="","",IF(V208="SIM",VLOOKUP($I208&amp;$J208&amp;V$1,Pesos!$A:$I,7,FALSE),VLOOKUP($I208&amp;$J208&amp;V$1,Pesos!$A:$I,9,FALSE)))</f>
        <v>0.3</v>
      </c>
      <c r="AU208" s="132">
        <f>IF(W208="","",IF(W208="SIM",VLOOKUP($I208&amp;$J208&amp;W$1,Pesos!$A:$I,7,FALSE),VLOOKUP($I208&amp;$J208&amp;W$1,Pesos!$A:$I,9,FALSE)))</f>
        <v>0.3</v>
      </c>
      <c r="AV208" s="132">
        <f>IF(X208="","",IF(X208="SIM",VLOOKUP($I208&amp;$J208&amp;X$1,Pesos!$A:$I,7,FALSE),VLOOKUP($I208&amp;$J208&amp;X$1,Pesos!$A:$I,9,FALSE)))</f>
        <v>0.15</v>
      </c>
      <c r="AW208" s="132">
        <f>IF(Y208="","",IF(Y208="SIM",VLOOKUP($I208&amp;$J208&amp;Y$1,Pesos!$A:$I,7,FALSE),VLOOKUP($I208&amp;$J208&amp;Y$1,Pesos!$A:$I,9,FALSE)))</f>
        <v>-1.0000000000000002E-2</v>
      </c>
      <c r="AX208" s="132">
        <f>IF(Z208="","",IF(Z208="SIM",VLOOKUP($I208&amp;$J208&amp;Z$1,Pesos!$A:$I,7,FALSE),VLOOKUP($I208&amp;$J208&amp;Z$1,Pesos!$A:$I,9,FALSE)))</f>
        <v>0.3</v>
      </c>
      <c r="AY208" s="132">
        <f>IF(AA208="","",IF(AA208="SIM",VLOOKUP($I208&amp;$J208&amp;AA$1,Pesos!$A:$I,7,FALSE),VLOOKUP($I208&amp;$J208&amp;AA$1,Pesos!$A:$I,9,FALSE)))</f>
        <v>0.1</v>
      </c>
      <c r="AZ208" s="132" t="str">
        <f>IF(AB208="","",IF(AB208="SIM",VLOOKUP($I208&amp;$J208&amp;AB$1,Pesos!$A:$I,7,FALSE),VLOOKUP($I208&amp;$J208&amp;AB$1,Pesos!$A:$I,9,FALSE)))</f>
        <v/>
      </c>
      <c r="BA208" s="132" t="str">
        <f>IF(AC208="","",IF(AC208="SIM",VLOOKUP($I208&amp;$J208&amp;AC$1,Pesos!$A:$I,7,FALSE),VLOOKUP($I208&amp;$J208&amp;AC$1,Pesos!$A:$I,9,FALSE)))</f>
        <v/>
      </c>
      <c r="BB208" s="132" t="str">
        <f>IF(AD208="","",IF(AD208="SIM",VLOOKUP($I208&amp;$J208&amp;AD$1,Pesos!$A:$I,7,FALSE),VLOOKUP($I208&amp;$J208&amp;AD$1,Pesos!$A:$I,9,FALSE)))</f>
        <v/>
      </c>
      <c r="BC208" s="132" t="str">
        <f>IF(AE208="","",IF(AE208="SIM",VLOOKUP($I208&amp;$J208&amp;AE$1,Pesos!$A:$I,7,FALSE),VLOOKUP($I208&amp;$J208&amp;AE$1,Pesos!$A:$I,9,FALSE)))</f>
        <v/>
      </c>
      <c r="BD208" s="158">
        <f>IFERROR(AF208*VLOOKUP(J208,'BD Campos'!$X$1:$Y$14,2,FALSE),"0")</f>
        <v>6.22</v>
      </c>
    </row>
    <row r="209" spans="1:56">
      <c r="A209" s="151" t="str">
        <f t="shared" si="15"/>
        <v>Jan11516Motorista 2TRANSFERÊNCIA</v>
      </c>
      <c r="B209" s="149" t="str">
        <f t="shared" si="16"/>
        <v>Jan115162TRANSFERÊNCIAPADRÃO</v>
      </c>
      <c r="C209" s="152">
        <v>1</v>
      </c>
      <c r="D209" s="153">
        <v>46057.759291782408</v>
      </c>
      <c r="E209" s="154" t="s">
        <v>12</v>
      </c>
      <c r="F209" s="155">
        <v>11516</v>
      </c>
      <c r="G209" s="149" t="s">
        <v>398</v>
      </c>
      <c r="H209" s="154">
        <v>2</v>
      </c>
      <c r="I209" s="149" t="s">
        <v>92</v>
      </c>
      <c r="J209" s="149" t="s">
        <v>97</v>
      </c>
      <c r="K209" s="149" t="s">
        <v>192</v>
      </c>
      <c r="L209" s="156">
        <v>34803303</v>
      </c>
      <c r="M209" s="157">
        <v>9.2592592592592585E-4</v>
      </c>
      <c r="N209" s="131"/>
      <c r="O209" s="131"/>
      <c r="P209" s="131"/>
      <c r="Q209" s="131"/>
      <c r="R209" s="131"/>
      <c r="S209" s="131"/>
      <c r="T209" s="131"/>
      <c r="U209" s="131"/>
      <c r="V209" s="131"/>
      <c r="W209" s="131"/>
      <c r="X209" s="131"/>
      <c r="Y209" s="131"/>
      <c r="Z209" s="131"/>
      <c r="AA209" s="131"/>
      <c r="AB209" s="131"/>
      <c r="AC209" s="131"/>
      <c r="AD209" s="131"/>
      <c r="AE209" s="131"/>
      <c r="AF209" s="158">
        <f t="shared" si="18"/>
        <v>0</v>
      </c>
      <c r="AG209" s="159" t="s">
        <v>141</v>
      </c>
      <c r="AH209" s="155" t="s">
        <v>400</v>
      </c>
      <c r="AI209" s="155" t="s">
        <v>83</v>
      </c>
      <c r="AJ209" s="131" t="str">
        <f>IFERROR(VLOOKUP(E209&amp;F209,'Listagem dos op'!A:S,19,0),"")</f>
        <v/>
      </c>
      <c r="AK209" s="131" t="str">
        <f t="shared" si="17"/>
        <v>Jan11516</v>
      </c>
      <c r="AL209" s="154" t="str">
        <f>IF(N209="","",IF(N209="SIM",VLOOKUP($I209&amp;$J209&amp;N$1,Pesos!$A:$I,7,FALSE),VLOOKUP($I209&amp;$J209&amp;N$1,Pesos!$A:$I,9,FALSE)))</f>
        <v/>
      </c>
      <c r="AM209" s="154" t="str">
        <f>IF(O209="","",IF(O209="SIM",VLOOKUP($I209&amp;$J209&amp;O$1,Pesos!$A:$I,7,FALSE),VLOOKUP($I209&amp;$J209&amp;O$1,Pesos!$A:$I,9,FALSE)))</f>
        <v/>
      </c>
      <c r="AN209" s="154" t="str">
        <f>IF(P209="","",IF(P209="SIM",VLOOKUP($I209&amp;$J209&amp;P$1,Pesos!$A:$I,7,FALSE),VLOOKUP($I209&amp;$J209&amp;P$1,Pesos!$A:$I,9,FALSE)))</f>
        <v/>
      </c>
      <c r="AO209" s="154" t="str">
        <f>IF(Q209="","",IF(Q209="SIM",VLOOKUP($I209&amp;$J209&amp;Q$1,Pesos!$A:$I,7,FALSE),VLOOKUP($I209&amp;$J209&amp;Q$1,Pesos!$A:$I,9,FALSE)))</f>
        <v/>
      </c>
      <c r="AP209" s="154" t="str">
        <f>IF(R209="","",IF(R209="SIM",VLOOKUP($I209&amp;$J209&amp;R$1,Pesos!$A:$I,7,FALSE),VLOOKUP($I209&amp;$J209&amp;R$1,Pesos!$A:$I,9,FALSE)))</f>
        <v/>
      </c>
      <c r="AQ209" s="154" t="str">
        <f>IF(S209="","",IF(S209="SIM",VLOOKUP($I209&amp;$J209&amp;S$1,Pesos!$A:$I,7,FALSE),VLOOKUP($I209&amp;$J209&amp;S$1,Pesos!$A:$I,9,FALSE)))</f>
        <v/>
      </c>
      <c r="AR209" s="156" t="str">
        <f>IF(T209="","",IF(T209="SIM",VLOOKUP($I209&amp;$J209&amp;T$1,Pesos!$A:$I,7,FALSE),VLOOKUP($I209&amp;$J209&amp;T$1,Pesos!$A:$I,9,FALSE)))</f>
        <v/>
      </c>
      <c r="AS209" s="132" t="str">
        <f>IF(U209="","",IF(U209="SIM",VLOOKUP($I209&amp;$J209&amp;U$1,Pesos!$A:$I,7,FALSE),VLOOKUP($I209&amp;$J209&amp;U$1,Pesos!$A:$I,9,FALSE)))</f>
        <v/>
      </c>
      <c r="AT209" s="132" t="str">
        <f>IF(V209="","",IF(V209="SIM",VLOOKUP($I209&amp;$J209&amp;V$1,Pesos!$A:$I,7,FALSE),VLOOKUP($I209&amp;$J209&amp;V$1,Pesos!$A:$I,9,FALSE)))</f>
        <v/>
      </c>
      <c r="AU209" s="132" t="str">
        <f>IF(W209="","",IF(W209="SIM",VLOOKUP($I209&amp;$J209&amp;W$1,Pesos!$A:$I,7,FALSE),VLOOKUP($I209&amp;$J209&amp;W$1,Pesos!$A:$I,9,FALSE)))</f>
        <v/>
      </c>
      <c r="AV209" s="132" t="str">
        <f>IF(X209="","",IF(X209="SIM",VLOOKUP($I209&amp;$J209&amp;X$1,Pesos!$A:$I,7,FALSE),VLOOKUP($I209&amp;$J209&amp;X$1,Pesos!$A:$I,9,FALSE)))</f>
        <v/>
      </c>
      <c r="AW209" s="132" t="str">
        <f>IF(Y209="","",IF(Y209="SIM",VLOOKUP($I209&amp;$J209&amp;Y$1,Pesos!$A:$I,7,FALSE),VLOOKUP($I209&amp;$J209&amp;Y$1,Pesos!$A:$I,9,FALSE)))</f>
        <v/>
      </c>
      <c r="AX209" s="132" t="str">
        <f>IF(Z209="","",IF(Z209="SIM",VLOOKUP($I209&amp;$J209&amp;Z$1,Pesos!$A:$I,7,FALSE),VLOOKUP($I209&amp;$J209&amp;Z$1,Pesos!$A:$I,9,FALSE)))</f>
        <v/>
      </c>
      <c r="AY209" s="132" t="str">
        <f>IF(AA209="","",IF(AA209="SIM",VLOOKUP($I209&amp;$J209&amp;AA$1,Pesos!$A:$I,7,FALSE),VLOOKUP($I209&amp;$J209&amp;AA$1,Pesos!$A:$I,9,FALSE)))</f>
        <v/>
      </c>
      <c r="AZ209" s="132" t="str">
        <f>IF(AB209="","",IF(AB209="SIM",VLOOKUP($I209&amp;$J209&amp;AB$1,Pesos!$A:$I,7,FALSE),VLOOKUP($I209&amp;$J209&amp;AB$1,Pesos!$A:$I,9,FALSE)))</f>
        <v/>
      </c>
      <c r="BA209" s="132" t="str">
        <f>IF(AC209="","",IF(AC209="SIM",VLOOKUP($I209&amp;$J209&amp;AC$1,Pesos!$A:$I,7,FALSE),VLOOKUP($I209&amp;$J209&amp;AC$1,Pesos!$A:$I,9,FALSE)))</f>
        <v/>
      </c>
      <c r="BB209" s="132" t="str">
        <f>IF(AD209="","",IF(AD209="SIM",VLOOKUP($I209&amp;$J209&amp;AD$1,Pesos!$A:$I,7,FALSE),VLOOKUP($I209&amp;$J209&amp;AD$1,Pesos!$A:$I,9,FALSE)))</f>
        <v/>
      </c>
      <c r="BC209" s="132" t="str">
        <f>IF(AE209="","",IF(AE209="SIM",VLOOKUP($I209&amp;$J209&amp;AE$1,Pesos!$A:$I,7,FALSE),VLOOKUP($I209&amp;$J209&amp;AE$1,Pesos!$A:$I,9,FALSE)))</f>
        <v/>
      </c>
      <c r="BD209" s="158">
        <f>IFERROR(AF209*VLOOKUP(J209,'BD Campos'!$X$1:$Y$14,2,FALSE),"0")</f>
        <v>0</v>
      </c>
    </row>
    <row r="210" spans="1:56">
      <c r="A210" s="151" t="str">
        <f t="shared" si="15"/>
        <v>Jan11380MotoristaTRANSFERÊNCIA</v>
      </c>
      <c r="B210" s="149" t="str">
        <f t="shared" si="16"/>
        <v>Jan113801TRANSFERÊNCIAPADRÃO</v>
      </c>
      <c r="C210" s="152">
        <v>1</v>
      </c>
      <c r="D210" s="153">
        <v>46058.430244791663</v>
      </c>
      <c r="E210" s="154" t="s">
        <v>12</v>
      </c>
      <c r="F210" s="155">
        <v>11380</v>
      </c>
      <c r="G210" s="149" t="s">
        <v>401</v>
      </c>
      <c r="H210" s="154">
        <v>1</v>
      </c>
      <c r="I210" s="149" t="s">
        <v>130</v>
      </c>
      <c r="J210" s="149" t="s">
        <v>93</v>
      </c>
      <c r="K210" s="149" t="s">
        <v>192</v>
      </c>
      <c r="L210" s="156">
        <v>34526349</v>
      </c>
      <c r="M210" s="157">
        <v>3.530092592592592E-3</v>
      </c>
      <c r="N210" s="131" t="s">
        <v>17</v>
      </c>
      <c r="O210" s="131" t="s">
        <v>17</v>
      </c>
      <c r="P210" s="131" t="s">
        <v>17</v>
      </c>
      <c r="Q210" s="131" t="s">
        <v>17</v>
      </c>
      <c r="R210" s="131" t="s">
        <v>17</v>
      </c>
      <c r="S210" s="131" t="s">
        <v>17</v>
      </c>
      <c r="T210" s="131" t="s">
        <v>17</v>
      </c>
      <c r="U210" s="131" t="s">
        <v>17</v>
      </c>
      <c r="V210" s="131" t="s">
        <v>17</v>
      </c>
      <c r="W210" s="131" t="s">
        <v>18</v>
      </c>
      <c r="X210" s="131" t="s">
        <v>17</v>
      </c>
      <c r="Y210" s="131" t="s">
        <v>17</v>
      </c>
      <c r="Z210" s="131" t="s">
        <v>18</v>
      </c>
      <c r="AA210" s="131" t="s">
        <v>17</v>
      </c>
      <c r="AB210" s="131" t="s">
        <v>17</v>
      </c>
      <c r="AC210" s="131"/>
      <c r="AD210" s="131"/>
      <c r="AE210" s="131"/>
      <c r="AF210" s="158">
        <f t="shared" si="18"/>
        <v>9.479000000000001</v>
      </c>
      <c r="AG210" s="159"/>
      <c r="AH210" s="155" t="s">
        <v>402</v>
      </c>
      <c r="AI210" s="155" t="s">
        <v>83</v>
      </c>
      <c r="AJ210" s="131" t="str">
        <f>IFERROR(VLOOKUP(E210&amp;F210,'Listagem dos op'!A:S,19,0),"")</f>
        <v/>
      </c>
      <c r="AK210" s="131" t="str">
        <f t="shared" si="17"/>
        <v>Jan11380</v>
      </c>
      <c r="AL210" s="154">
        <f>IF(N210="","",IF(N210="SIM",VLOOKUP($I210&amp;$J210&amp;N$1,Pesos!$A:$I,7,FALSE),VLOOKUP($I210&amp;$J210&amp;N$1,Pesos!$A:$I,9,FALSE)))</f>
        <v>0.1</v>
      </c>
      <c r="AM210" s="154">
        <f>IF(O210="","",IF(O210="SIM",VLOOKUP($I210&amp;$J210&amp;O$1,Pesos!$A:$I,7,FALSE),VLOOKUP($I210&amp;$J210&amp;O$1,Pesos!$A:$I,9,FALSE)))</f>
        <v>0.1</v>
      </c>
      <c r="AN210" s="154">
        <f>IF(P210="","",IF(P210="SIM",VLOOKUP($I210&amp;$J210&amp;P$1,Pesos!$A:$I,7,FALSE),VLOOKUP($I210&amp;$J210&amp;P$1,Pesos!$A:$I,9,FALSE)))</f>
        <v>0.1</v>
      </c>
      <c r="AO210" s="154">
        <f>IF(Q210="","",IF(Q210="SIM",VLOOKUP($I210&amp;$J210&amp;Q$1,Pesos!$A:$I,7,FALSE),VLOOKUP($I210&amp;$J210&amp;Q$1,Pesos!$A:$I,9,FALSE)))</f>
        <v>2</v>
      </c>
      <c r="AP210" s="154">
        <f>IF(R210="","",IF(R210="SIM",VLOOKUP($I210&amp;$J210&amp;R$1,Pesos!$A:$I,7,FALSE),VLOOKUP($I210&amp;$J210&amp;R$1,Pesos!$A:$I,9,FALSE)))</f>
        <v>1.03</v>
      </c>
      <c r="AQ210" s="154">
        <f>IF(S210="","",IF(S210="SIM",VLOOKUP($I210&amp;$J210&amp;S$1,Pesos!$A:$I,7,FALSE),VLOOKUP($I210&amp;$J210&amp;S$1,Pesos!$A:$I,9,FALSE)))</f>
        <v>1.3</v>
      </c>
      <c r="AR210" s="156">
        <f>IF(T210="","",IF(T210="SIM",VLOOKUP($I210&amp;$J210&amp;T$1,Pesos!$A:$I,7,FALSE),VLOOKUP($I210&amp;$J210&amp;T$1,Pesos!$A:$I,9,FALSE)))</f>
        <v>1.3</v>
      </c>
      <c r="AS210" s="132">
        <f>IF(U210="","",IF(U210="SIM",VLOOKUP($I210&amp;$J210&amp;U$1,Pesos!$A:$I,7,FALSE),VLOOKUP($I210&amp;$J210&amp;U$1,Pesos!$A:$I,9,FALSE)))</f>
        <v>1.32</v>
      </c>
      <c r="AT210" s="132">
        <f>IF(V210="","",IF(V210="SIM",VLOOKUP($I210&amp;$J210&amp;V$1,Pesos!$A:$I,7,FALSE),VLOOKUP($I210&amp;$J210&amp;V$1,Pesos!$A:$I,9,FALSE)))</f>
        <v>1.4039999999999999</v>
      </c>
      <c r="AU210" s="132">
        <f>IF(W210="","",IF(W210="SIM",VLOOKUP($I210&amp;$J210&amp;W$1,Pesos!$A:$I,7,FALSE),VLOOKUP($I210&amp;$J210&amp;W$1,Pesos!$A:$I,9,FALSE)))</f>
        <v>-1.4999999999999999E-2</v>
      </c>
      <c r="AV210" s="132">
        <f>IF(X210="","",IF(X210="SIM",VLOOKUP($I210&amp;$J210&amp;X$1,Pesos!$A:$I,7,FALSE),VLOOKUP($I210&amp;$J210&amp;X$1,Pesos!$A:$I,9,FALSE)))</f>
        <v>0.3</v>
      </c>
      <c r="AW210" s="132">
        <f>IF(Y210="","",IF(Y210="SIM",VLOOKUP($I210&amp;$J210&amp;Y$1,Pesos!$A:$I,7,FALSE),VLOOKUP($I210&amp;$J210&amp;Y$1,Pesos!$A:$I,9,FALSE)))</f>
        <v>0.15</v>
      </c>
      <c r="AX210" s="132">
        <f>IF(Z210="","",IF(Z210="SIM",VLOOKUP($I210&amp;$J210&amp;Z$1,Pesos!$A:$I,7,FALSE),VLOOKUP($I210&amp;$J210&amp;Z$1,Pesos!$A:$I,9,FALSE)))</f>
        <v>-1.0000000000000002E-2</v>
      </c>
      <c r="AY210" s="132">
        <f>IF(AA210="","",IF(AA210="SIM",VLOOKUP($I210&amp;$J210&amp;AA$1,Pesos!$A:$I,7,FALSE),VLOOKUP($I210&amp;$J210&amp;AA$1,Pesos!$A:$I,9,FALSE)))</f>
        <v>0.3</v>
      </c>
      <c r="AZ210" s="132">
        <f>IF(AB210="","",IF(AB210="SIM",VLOOKUP($I210&amp;$J210&amp;AB$1,Pesos!$A:$I,7,FALSE),VLOOKUP($I210&amp;$J210&amp;AB$1,Pesos!$A:$I,9,FALSE)))</f>
        <v>0.1</v>
      </c>
      <c r="BA210" s="132" t="str">
        <f>IF(AC210="","",IF(AC210="SIM",VLOOKUP($I210&amp;$J210&amp;AC$1,Pesos!$A:$I,7,FALSE),VLOOKUP($I210&amp;$J210&amp;AC$1,Pesos!$A:$I,9,FALSE)))</f>
        <v/>
      </c>
      <c r="BB210" s="132" t="str">
        <f>IF(AD210="","",IF(AD210="SIM",VLOOKUP($I210&amp;$J210&amp;AD$1,Pesos!$A:$I,7,FALSE),VLOOKUP($I210&amp;$J210&amp;AD$1,Pesos!$A:$I,9,FALSE)))</f>
        <v/>
      </c>
      <c r="BC210" s="132" t="str">
        <f>IF(AE210="","",IF(AE210="SIM",VLOOKUP($I210&amp;$J210&amp;AE$1,Pesos!$A:$I,7,FALSE),VLOOKUP($I210&amp;$J210&amp;AE$1,Pesos!$A:$I,9,FALSE)))</f>
        <v/>
      </c>
      <c r="BD210" s="158">
        <f>IFERROR(AF210*VLOOKUP(J210,'BD Campos'!$X$1:$Y$14,2,FALSE),"0")</f>
        <v>9.479000000000001</v>
      </c>
    </row>
    <row r="211" spans="1:56">
      <c r="A211" s="151" t="str">
        <f t="shared" si="15"/>
        <v>Jan11380Motorista 2TRANSFERÊNCIA</v>
      </c>
      <c r="B211" s="149" t="str">
        <f t="shared" si="16"/>
        <v>Jan113802TRANSFERÊNCIAPADRÃO</v>
      </c>
      <c r="C211" s="152">
        <v>1</v>
      </c>
      <c r="D211" s="153">
        <v>46058.4459943287</v>
      </c>
      <c r="E211" s="154" t="s">
        <v>12</v>
      </c>
      <c r="F211" s="155">
        <v>11380</v>
      </c>
      <c r="G211" s="149" t="s">
        <v>401</v>
      </c>
      <c r="H211" s="154">
        <v>2</v>
      </c>
      <c r="I211" s="149" t="s">
        <v>130</v>
      </c>
      <c r="J211" s="149" t="s">
        <v>97</v>
      </c>
      <c r="K211" s="149" t="s">
        <v>192</v>
      </c>
      <c r="L211" s="156">
        <v>34775566</v>
      </c>
      <c r="M211" s="157">
        <v>3.7152777777777774E-3</v>
      </c>
      <c r="N211" s="131" t="s">
        <v>17</v>
      </c>
      <c r="O211" s="131" t="s">
        <v>17</v>
      </c>
      <c r="P211" s="131" t="s">
        <v>17</v>
      </c>
      <c r="Q211" s="131" t="s">
        <v>17</v>
      </c>
      <c r="R211" s="131" t="s">
        <v>17</v>
      </c>
      <c r="S211" s="131" t="s">
        <v>17</v>
      </c>
      <c r="T211" s="131" t="s">
        <v>17</v>
      </c>
      <c r="U211" s="131" t="s">
        <v>17</v>
      </c>
      <c r="V211" s="131" t="s">
        <v>17</v>
      </c>
      <c r="W211" s="131" t="s">
        <v>17</v>
      </c>
      <c r="X211" s="131" t="s">
        <v>17</v>
      </c>
      <c r="Y211" s="131" t="s">
        <v>17</v>
      </c>
      <c r="Z211" s="131" t="s">
        <v>17</v>
      </c>
      <c r="AA211" s="131" t="s">
        <v>17</v>
      </c>
      <c r="AB211" s="131" t="s">
        <v>17</v>
      </c>
      <c r="AC211" s="131"/>
      <c r="AD211" s="131"/>
      <c r="AE211" s="131"/>
      <c r="AF211" s="158">
        <f t="shared" si="18"/>
        <v>10.004000000000001</v>
      </c>
      <c r="AG211" s="159"/>
      <c r="AH211" s="155" t="s">
        <v>403</v>
      </c>
      <c r="AI211" s="155" t="s">
        <v>83</v>
      </c>
      <c r="AJ211" s="131" t="str">
        <f>IFERROR(VLOOKUP(E211&amp;F211,'Listagem dos op'!A:S,19,0),"")</f>
        <v/>
      </c>
      <c r="AK211" s="131" t="str">
        <f t="shared" si="17"/>
        <v>Jan11380</v>
      </c>
      <c r="AL211" s="154">
        <f>IF(N211="","",IF(N211="SIM",VLOOKUP($I211&amp;$J211&amp;N$1,Pesos!$A:$I,7,FALSE),VLOOKUP($I211&amp;$J211&amp;N$1,Pesos!$A:$I,9,FALSE)))</f>
        <v>0.1</v>
      </c>
      <c r="AM211" s="154">
        <f>IF(O211="","",IF(O211="SIM",VLOOKUP($I211&amp;$J211&amp;O$1,Pesos!$A:$I,7,FALSE),VLOOKUP($I211&amp;$J211&amp;O$1,Pesos!$A:$I,9,FALSE)))</f>
        <v>0.1</v>
      </c>
      <c r="AN211" s="154">
        <f>IF(P211="","",IF(P211="SIM",VLOOKUP($I211&amp;$J211&amp;P$1,Pesos!$A:$I,7,FALSE),VLOOKUP($I211&amp;$J211&amp;P$1,Pesos!$A:$I,9,FALSE)))</f>
        <v>0.1</v>
      </c>
      <c r="AO211" s="154">
        <f>IF(Q211="","",IF(Q211="SIM",VLOOKUP($I211&amp;$J211&amp;Q$1,Pesos!$A:$I,7,FALSE),VLOOKUP($I211&amp;$J211&amp;Q$1,Pesos!$A:$I,9,FALSE)))</f>
        <v>2</v>
      </c>
      <c r="AP211" s="154">
        <f>IF(R211="","",IF(R211="SIM",VLOOKUP($I211&amp;$J211&amp;R$1,Pesos!$A:$I,7,FALSE),VLOOKUP($I211&amp;$J211&amp;R$1,Pesos!$A:$I,9,FALSE)))</f>
        <v>1.03</v>
      </c>
      <c r="AQ211" s="154">
        <f>IF(S211="","",IF(S211="SIM",VLOOKUP($I211&amp;$J211&amp;S$1,Pesos!$A:$I,7,FALSE),VLOOKUP($I211&amp;$J211&amp;S$1,Pesos!$A:$I,9,FALSE)))</f>
        <v>1.3</v>
      </c>
      <c r="AR211" s="156">
        <f>IF(T211="","",IF(T211="SIM",VLOOKUP($I211&amp;$J211&amp;T$1,Pesos!$A:$I,7,FALSE),VLOOKUP($I211&amp;$J211&amp;T$1,Pesos!$A:$I,9,FALSE)))</f>
        <v>1.3</v>
      </c>
      <c r="AS211" s="132">
        <f>IF(U211="","",IF(U211="SIM",VLOOKUP($I211&amp;$J211&amp;U$1,Pesos!$A:$I,7,FALSE),VLOOKUP($I211&amp;$J211&amp;U$1,Pesos!$A:$I,9,FALSE)))</f>
        <v>1.32</v>
      </c>
      <c r="AT211" s="132">
        <f>IF(V211="","",IF(V211="SIM",VLOOKUP($I211&amp;$J211&amp;V$1,Pesos!$A:$I,7,FALSE),VLOOKUP($I211&amp;$J211&amp;V$1,Pesos!$A:$I,9,FALSE)))</f>
        <v>1.4039999999999999</v>
      </c>
      <c r="AU211" s="132">
        <f>IF(W211="","",IF(W211="SIM",VLOOKUP($I211&amp;$J211&amp;W$1,Pesos!$A:$I,7,FALSE),VLOOKUP($I211&amp;$J211&amp;W$1,Pesos!$A:$I,9,FALSE)))</f>
        <v>0.3</v>
      </c>
      <c r="AV211" s="132">
        <f>IF(X211="","",IF(X211="SIM",VLOOKUP($I211&amp;$J211&amp;X$1,Pesos!$A:$I,7,FALSE),VLOOKUP($I211&amp;$J211&amp;X$1,Pesos!$A:$I,9,FALSE)))</f>
        <v>0.3</v>
      </c>
      <c r="AW211" s="132">
        <f>IF(Y211="","",IF(Y211="SIM",VLOOKUP($I211&amp;$J211&amp;Y$1,Pesos!$A:$I,7,FALSE),VLOOKUP($I211&amp;$J211&amp;Y$1,Pesos!$A:$I,9,FALSE)))</f>
        <v>0.15</v>
      </c>
      <c r="AX211" s="132">
        <f>IF(Z211="","",IF(Z211="SIM",VLOOKUP($I211&amp;$J211&amp;Z$1,Pesos!$A:$I,7,FALSE),VLOOKUP($I211&amp;$J211&amp;Z$1,Pesos!$A:$I,9,FALSE)))</f>
        <v>0.2</v>
      </c>
      <c r="AY211" s="132">
        <f>IF(AA211="","",IF(AA211="SIM",VLOOKUP($I211&amp;$J211&amp;AA$1,Pesos!$A:$I,7,FALSE),VLOOKUP($I211&amp;$J211&amp;AA$1,Pesos!$A:$I,9,FALSE)))</f>
        <v>0.3</v>
      </c>
      <c r="AZ211" s="132">
        <f>IF(AB211="","",IF(AB211="SIM",VLOOKUP($I211&amp;$J211&amp;AB$1,Pesos!$A:$I,7,FALSE),VLOOKUP($I211&amp;$J211&amp;AB$1,Pesos!$A:$I,9,FALSE)))</f>
        <v>0.1</v>
      </c>
      <c r="BA211" s="132" t="str">
        <f>IF(AC211="","",IF(AC211="SIM",VLOOKUP($I211&amp;$J211&amp;AC$1,Pesos!$A:$I,7,FALSE),VLOOKUP($I211&amp;$J211&amp;AC$1,Pesos!$A:$I,9,FALSE)))</f>
        <v/>
      </c>
      <c r="BB211" s="132" t="str">
        <f>IF(AD211="","",IF(AD211="SIM",VLOOKUP($I211&amp;$J211&amp;AD$1,Pesos!$A:$I,7,FALSE),VLOOKUP($I211&amp;$J211&amp;AD$1,Pesos!$A:$I,9,FALSE)))</f>
        <v/>
      </c>
      <c r="BC211" s="132" t="str">
        <f>IF(AE211="","",IF(AE211="SIM",VLOOKUP($I211&amp;$J211&amp;AE$1,Pesos!$A:$I,7,FALSE),VLOOKUP($I211&amp;$J211&amp;AE$1,Pesos!$A:$I,9,FALSE)))</f>
        <v/>
      </c>
      <c r="BD211" s="158">
        <f>IFERROR(AF211*VLOOKUP(J211,'BD Campos'!$X$1:$Y$14,2,FALSE),"0")</f>
        <v>10.004000000000001</v>
      </c>
    </row>
    <row r="212" spans="1:56">
      <c r="A212" s="151" t="str">
        <f t="shared" si="15"/>
        <v>Jan11286MotoristaTRANSFERÊNCIA</v>
      </c>
      <c r="B212" s="149" t="str">
        <f t="shared" si="16"/>
        <v>Jan112861TRANSFERÊNCIAPADRÃO</v>
      </c>
      <c r="C212" s="152">
        <v>1</v>
      </c>
      <c r="D212" s="153">
        <v>46058.45191689815</v>
      </c>
      <c r="E212" s="154" t="s">
        <v>12</v>
      </c>
      <c r="F212" s="155">
        <v>11286</v>
      </c>
      <c r="G212" s="149" t="s">
        <v>404</v>
      </c>
      <c r="H212" s="154">
        <v>1</v>
      </c>
      <c r="I212" s="149" t="s">
        <v>96</v>
      </c>
      <c r="J212" s="149" t="s">
        <v>93</v>
      </c>
      <c r="K212" s="149" t="s">
        <v>192</v>
      </c>
      <c r="L212" s="156">
        <v>34497470</v>
      </c>
      <c r="M212" s="157">
        <v>2.0717592592592593E-3</v>
      </c>
      <c r="N212" s="131" t="s">
        <v>17</v>
      </c>
      <c r="O212" s="131" t="s">
        <v>17</v>
      </c>
      <c r="P212" s="131" t="s">
        <v>17</v>
      </c>
      <c r="Q212" s="131" t="s">
        <v>17</v>
      </c>
      <c r="R212" s="131" t="s">
        <v>17</v>
      </c>
      <c r="S212" s="131" t="s">
        <v>17</v>
      </c>
      <c r="T212" s="131" t="s">
        <v>17</v>
      </c>
      <c r="U212" s="131" t="s">
        <v>17</v>
      </c>
      <c r="V212" s="131" t="s">
        <v>18</v>
      </c>
      <c r="W212" s="131" t="s">
        <v>17</v>
      </c>
      <c r="X212" s="131" t="s">
        <v>17</v>
      </c>
      <c r="Y212" s="131" t="s">
        <v>17</v>
      </c>
      <c r="Z212" s="131" t="s">
        <v>17</v>
      </c>
      <c r="AA212" s="131" t="s">
        <v>17</v>
      </c>
      <c r="AB212" s="131" t="s">
        <v>17</v>
      </c>
      <c r="AC212" s="131"/>
      <c r="AD212" s="131"/>
      <c r="AE212" s="131"/>
      <c r="AF212" s="158">
        <f t="shared" si="18"/>
        <v>8.8974999999999991</v>
      </c>
      <c r="AG212" s="159"/>
      <c r="AH212" s="155" t="s">
        <v>405</v>
      </c>
      <c r="AI212" s="155" t="s">
        <v>83</v>
      </c>
      <c r="AJ212" s="131" t="str">
        <f>IFERROR(VLOOKUP(E212&amp;F212,'Listagem dos op'!A:S,19,0),"")</f>
        <v/>
      </c>
      <c r="AK212" s="131" t="str">
        <f t="shared" si="17"/>
        <v>Jan11286</v>
      </c>
      <c r="AL212" s="154">
        <f>IF(N212="","",IF(N212="SIM",VLOOKUP($I212&amp;$J212&amp;N$1,Pesos!$A:$I,7,FALSE),VLOOKUP($I212&amp;$J212&amp;N$1,Pesos!$A:$I,9,FALSE)))</f>
        <v>0.1</v>
      </c>
      <c r="AM212" s="154">
        <f>IF(O212="","",IF(O212="SIM",VLOOKUP($I212&amp;$J212&amp;O$1,Pesos!$A:$I,7,FALSE),VLOOKUP($I212&amp;$J212&amp;O$1,Pesos!$A:$I,9,FALSE)))</f>
        <v>0.1</v>
      </c>
      <c r="AN212" s="154">
        <f>IF(P212="","",IF(P212="SIM",VLOOKUP($I212&amp;$J212&amp;P$1,Pesos!$A:$I,7,FALSE),VLOOKUP($I212&amp;$J212&amp;P$1,Pesos!$A:$I,9,FALSE)))</f>
        <v>0.1</v>
      </c>
      <c r="AO212" s="154">
        <f>IF(Q212="","",IF(Q212="SIM",VLOOKUP($I212&amp;$J212&amp;Q$1,Pesos!$A:$I,7,FALSE),VLOOKUP($I212&amp;$J212&amp;Q$1,Pesos!$A:$I,9,FALSE)))</f>
        <v>2</v>
      </c>
      <c r="AP212" s="154">
        <f>IF(R212="","",IF(R212="SIM",VLOOKUP($I212&amp;$J212&amp;R$1,Pesos!$A:$I,7,FALSE),VLOOKUP($I212&amp;$J212&amp;R$1,Pesos!$A:$I,9,FALSE)))</f>
        <v>1.03</v>
      </c>
      <c r="AQ212" s="154">
        <f>IF(S212="","",IF(S212="SIM",VLOOKUP($I212&amp;$J212&amp;S$1,Pesos!$A:$I,7,FALSE),VLOOKUP($I212&amp;$J212&amp;S$1,Pesos!$A:$I,9,FALSE)))</f>
        <v>1.22</v>
      </c>
      <c r="AR212" s="156">
        <f>IF(T212="","",IF(T212="SIM",VLOOKUP($I212&amp;$J212&amp;T$1,Pesos!$A:$I,7,FALSE),VLOOKUP($I212&amp;$J212&amp;T$1,Pesos!$A:$I,9,FALSE)))</f>
        <v>2</v>
      </c>
      <c r="AS212" s="132">
        <f>IF(U212="","",IF(U212="SIM",VLOOKUP($I212&amp;$J212&amp;U$1,Pesos!$A:$I,7,FALSE),VLOOKUP($I212&amp;$J212&amp;U$1,Pesos!$A:$I,9,FALSE)))</f>
        <v>1.05</v>
      </c>
      <c r="AT212" s="132">
        <f>IF(V212="","",IF(V212="SIM",VLOOKUP($I212&amp;$J212&amp;V$1,Pesos!$A:$I,7,FALSE),VLOOKUP($I212&amp;$J212&amp;V$1,Pesos!$A:$I,9,FALSE)))</f>
        <v>-5.2500000000000005E-2</v>
      </c>
      <c r="AU212" s="132">
        <f>IF(W212="","",IF(W212="SIM",VLOOKUP($I212&amp;$J212&amp;W$1,Pesos!$A:$I,7,FALSE),VLOOKUP($I212&amp;$J212&amp;W$1,Pesos!$A:$I,9,FALSE)))</f>
        <v>0.3</v>
      </c>
      <c r="AV212" s="132">
        <f>IF(X212="","",IF(X212="SIM",VLOOKUP($I212&amp;$J212&amp;X$1,Pesos!$A:$I,7,FALSE),VLOOKUP($I212&amp;$J212&amp;X$1,Pesos!$A:$I,9,FALSE)))</f>
        <v>0.3</v>
      </c>
      <c r="AW212" s="132">
        <f>IF(Y212="","",IF(Y212="SIM",VLOOKUP($I212&amp;$J212&amp;Y$1,Pesos!$A:$I,7,FALSE),VLOOKUP($I212&amp;$J212&amp;Y$1,Pesos!$A:$I,9,FALSE)))</f>
        <v>0.15</v>
      </c>
      <c r="AX212" s="132">
        <f>IF(Z212="","",IF(Z212="SIM",VLOOKUP($I212&amp;$J212&amp;Z$1,Pesos!$A:$I,7,FALSE),VLOOKUP($I212&amp;$J212&amp;Z$1,Pesos!$A:$I,9,FALSE)))</f>
        <v>0.2</v>
      </c>
      <c r="AY212" s="132">
        <f>IF(AA212="","",IF(AA212="SIM",VLOOKUP($I212&amp;$J212&amp;AA$1,Pesos!$A:$I,7,FALSE),VLOOKUP($I212&amp;$J212&amp;AA$1,Pesos!$A:$I,9,FALSE)))</f>
        <v>0.3</v>
      </c>
      <c r="AZ212" s="132">
        <f>IF(AB212="","",IF(AB212="SIM",VLOOKUP($I212&amp;$J212&amp;AB$1,Pesos!$A:$I,7,FALSE),VLOOKUP($I212&amp;$J212&amp;AB$1,Pesos!$A:$I,9,FALSE)))</f>
        <v>0.1</v>
      </c>
      <c r="BA212" s="132" t="str">
        <f>IF(AC212="","",IF(AC212="SIM",VLOOKUP($I212&amp;$J212&amp;AC$1,Pesos!$A:$I,7,FALSE),VLOOKUP($I212&amp;$J212&amp;AC$1,Pesos!$A:$I,9,FALSE)))</f>
        <v/>
      </c>
      <c r="BB212" s="132" t="str">
        <f>IF(AD212="","",IF(AD212="SIM",VLOOKUP($I212&amp;$J212&amp;AD$1,Pesos!$A:$I,7,FALSE),VLOOKUP($I212&amp;$J212&amp;AD$1,Pesos!$A:$I,9,FALSE)))</f>
        <v/>
      </c>
      <c r="BC212" s="132" t="str">
        <f>IF(AE212="","",IF(AE212="SIM",VLOOKUP($I212&amp;$J212&amp;AE$1,Pesos!$A:$I,7,FALSE),VLOOKUP($I212&amp;$J212&amp;AE$1,Pesos!$A:$I,9,FALSE)))</f>
        <v/>
      </c>
      <c r="BD212" s="158">
        <f>IFERROR(AF212*VLOOKUP(J212,'BD Campos'!$X$1:$Y$14,2,FALSE),"0")</f>
        <v>8.8974999999999991</v>
      </c>
    </row>
    <row r="213" spans="1:56">
      <c r="A213" s="151" t="str">
        <f t="shared" si="15"/>
        <v>Jan11286Motorista 2TRANSFERÊNCIA</v>
      </c>
      <c r="B213" s="149" t="str">
        <f t="shared" si="16"/>
        <v>Jan112862TRANSFERÊNCIAPADRÃO</v>
      </c>
      <c r="C213" s="152">
        <v>1</v>
      </c>
      <c r="D213" s="153">
        <v>46058.597411111114</v>
      </c>
      <c r="E213" s="154" t="s">
        <v>12</v>
      </c>
      <c r="F213" s="155">
        <v>11286</v>
      </c>
      <c r="G213" s="149" t="s">
        <v>404</v>
      </c>
      <c r="H213" s="154">
        <v>2</v>
      </c>
      <c r="I213" s="149" t="s">
        <v>130</v>
      </c>
      <c r="J213" s="149" t="s">
        <v>97</v>
      </c>
      <c r="K213" s="149" t="s">
        <v>192</v>
      </c>
      <c r="L213" s="156">
        <v>34696777</v>
      </c>
      <c r="M213" s="157">
        <v>2.5810185185185185E-3</v>
      </c>
      <c r="N213" s="131" t="s">
        <v>17</v>
      </c>
      <c r="O213" s="131" t="s">
        <v>17</v>
      </c>
      <c r="P213" s="131" t="s">
        <v>17</v>
      </c>
      <c r="Q213" s="131" t="s">
        <v>17</v>
      </c>
      <c r="R213" s="131" t="s">
        <v>17</v>
      </c>
      <c r="S213" s="131" t="s">
        <v>17</v>
      </c>
      <c r="T213" s="131" t="s">
        <v>17</v>
      </c>
      <c r="U213" s="131" t="s">
        <v>17</v>
      </c>
      <c r="V213" s="131" t="s">
        <v>17</v>
      </c>
      <c r="W213" s="131" t="s">
        <v>18</v>
      </c>
      <c r="X213" s="131" t="s">
        <v>17</v>
      </c>
      <c r="Y213" s="131" t="s">
        <v>17</v>
      </c>
      <c r="Z213" s="131" t="s">
        <v>17</v>
      </c>
      <c r="AA213" s="131" t="s">
        <v>17</v>
      </c>
      <c r="AB213" s="131" t="s">
        <v>17</v>
      </c>
      <c r="AC213" s="131"/>
      <c r="AD213" s="131"/>
      <c r="AE213" s="131"/>
      <c r="AF213" s="158">
        <f t="shared" si="18"/>
        <v>9.6890000000000001</v>
      </c>
      <c r="AG213" s="159"/>
      <c r="AH213" s="155" t="s">
        <v>406</v>
      </c>
      <c r="AI213" s="155" t="s">
        <v>83</v>
      </c>
      <c r="AJ213" s="131" t="str">
        <f>IFERROR(VLOOKUP(E213&amp;F213,'Listagem dos op'!A:S,19,0),"")</f>
        <v/>
      </c>
      <c r="AK213" s="131" t="str">
        <f t="shared" si="17"/>
        <v>Jan11286</v>
      </c>
      <c r="AL213" s="154">
        <f>IF(N213="","",IF(N213="SIM",VLOOKUP($I213&amp;$J213&amp;N$1,Pesos!$A:$I,7,FALSE),VLOOKUP($I213&amp;$J213&amp;N$1,Pesos!$A:$I,9,FALSE)))</f>
        <v>0.1</v>
      </c>
      <c r="AM213" s="154">
        <f>IF(O213="","",IF(O213="SIM",VLOOKUP($I213&amp;$J213&amp;O$1,Pesos!$A:$I,7,FALSE),VLOOKUP($I213&amp;$J213&amp;O$1,Pesos!$A:$I,9,FALSE)))</f>
        <v>0.1</v>
      </c>
      <c r="AN213" s="154">
        <f>IF(P213="","",IF(P213="SIM",VLOOKUP($I213&amp;$J213&amp;P$1,Pesos!$A:$I,7,FALSE),VLOOKUP($I213&amp;$J213&amp;P$1,Pesos!$A:$I,9,FALSE)))</f>
        <v>0.1</v>
      </c>
      <c r="AO213" s="154">
        <f>IF(Q213="","",IF(Q213="SIM",VLOOKUP($I213&amp;$J213&amp;Q$1,Pesos!$A:$I,7,FALSE),VLOOKUP($I213&amp;$J213&amp;Q$1,Pesos!$A:$I,9,FALSE)))</f>
        <v>2</v>
      </c>
      <c r="AP213" s="154">
        <f>IF(R213="","",IF(R213="SIM",VLOOKUP($I213&amp;$J213&amp;R$1,Pesos!$A:$I,7,FALSE),VLOOKUP($I213&amp;$J213&amp;R$1,Pesos!$A:$I,9,FALSE)))</f>
        <v>1.03</v>
      </c>
      <c r="AQ213" s="154">
        <f>IF(S213="","",IF(S213="SIM",VLOOKUP($I213&amp;$J213&amp;S$1,Pesos!$A:$I,7,FALSE),VLOOKUP($I213&amp;$J213&amp;S$1,Pesos!$A:$I,9,FALSE)))</f>
        <v>1.3</v>
      </c>
      <c r="AR213" s="156">
        <f>IF(T213="","",IF(T213="SIM",VLOOKUP($I213&amp;$J213&amp;T$1,Pesos!$A:$I,7,FALSE),VLOOKUP($I213&amp;$J213&amp;T$1,Pesos!$A:$I,9,FALSE)))</f>
        <v>1.3</v>
      </c>
      <c r="AS213" s="132">
        <f>IF(U213="","",IF(U213="SIM",VLOOKUP($I213&amp;$J213&amp;U$1,Pesos!$A:$I,7,FALSE),VLOOKUP($I213&amp;$J213&amp;U$1,Pesos!$A:$I,9,FALSE)))</f>
        <v>1.32</v>
      </c>
      <c r="AT213" s="132">
        <f>IF(V213="","",IF(V213="SIM",VLOOKUP($I213&amp;$J213&amp;V$1,Pesos!$A:$I,7,FALSE),VLOOKUP($I213&amp;$J213&amp;V$1,Pesos!$A:$I,9,FALSE)))</f>
        <v>1.4039999999999999</v>
      </c>
      <c r="AU213" s="132">
        <f>IF(W213="","",IF(W213="SIM",VLOOKUP($I213&amp;$J213&amp;W$1,Pesos!$A:$I,7,FALSE),VLOOKUP($I213&amp;$J213&amp;W$1,Pesos!$A:$I,9,FALSE)))</f>
        <v>-1.4999999999999999E-2</v>
      </c>
      <c r="AV213" s="132">
        <f>IF(X213="","",IF(X213="SIM",VLOOKUP($I213&amp;$J213&amp;X$1,Pesos!$A:$I,7,FALSE),VLOOKUP($I213&amp;$J213&amp;X$1,Pesos!$A:$I,9,FALSE)))</f>
        <v>0.3</v>
      </c>
      <c r="AW213" s="132">
        <f>IF(Y213="","",IF(Y213="SIM",VLOOKUP($I213&amp;$J213&amp;Y$1,Pesos!$A:$I,7,FALSE),VLOOKUP($I213&amp;$J213&amp;Y$1,Pesos!$A:$I,9,FALSE)))</f>
        <v>0.15</v>
      </c>
      <c r="AX213" s="132">
        <f>IF(Z213="","",IF(Z213="SIM",VLOOKUP($I213&amp;$J213&amp;Z$1,Pesos!$A:$I,7,FALSE),VLOOKUP($I213&amp;$J213&amp;Z$1,Pesos!$A:$I,9,FALSE)))</f>
        <v>0.2</v>
      </c>
      <c r="AY213" s="132">
        <f>IF(AA213="","",IF(AA213="SIM",VLOOKUP($I213&amp;$J213&amp;AA$1,Pesos!$A:$I,7,FALSE),VLOOKUP($I213&amp;$J213&amp;AA$1,Pesos!$A:$I,9,FALSE)))</f>
        <v>0.3</v>
      </c>
      <c r="AZ213" s="132">
        <f>IF(AB213="","",IF(AB213="SIM",VLOOKUP($I213&amp;$J213&amp;AB$1,Pesos!$A:$I,7,FALSE),VLOOKUP($I213&amp;$J213&amp;AB$1,Pesos!$A:$I,9,FALSE)))</f>
        <v>0.1</v>
      </c>
      <c r="BA213" s="132" t="str">
        <f>IF(AC213="","",IF(AC213="SIM",VLOOKUP($I213&amp;$J213&amp;AC$1,Pesos!$A:$I,7,FALSE),VLOOKUP($I213&amp;$J213&amp;AC$1,Pesos!$A:$I,9,FALSE)))</f>
        <v/>
      </c>
      <c r="BB213" s="132" t="str">
        <f>IF(AD213="","",IF(AD213="SIM",VLOOKUP($I213&amp;$J213&amp;AD$1,Pesos!$A:$I,7,FALSE),VLOOKUP($I213&amp;$J213&amp;AD$1,Pesos!$A:$I,9,FALSE)))</f>
        <v/>
      </c>
      <c r="BC213" s="132" t="str">
        <f>IF(AE213="","",IF(AE213="SIM",VLOOKUP($I213&amp;$J213&amp;AE$1,Pesos!$A:$I,7,FALSE),VLOOKUP($I213&amp;$J213&amp;AE$1,Pesos!$A:$I,9,FALSE)))</f>
        <v/>
      </c>
      <c r="BD213" s="158">
        <f>IFERROR(AF213*VLOOKUP(J213,'BD Campos'!$X$1:$Y$14,2,FALSE),"0")</f>
        <v>9.6890000000000001</v>
      </c>
    </row>
    <row r="214" spans="1:56">
      <c r="A214" s="151" t="str">
        <f t="shared" si="15"/>
        <v>Jan11341MotoristaTRANSFERÊNCIA</v>
      </c>
      <c r="B214" s="149" t="str">
        <f t="shared" si="16"/>
        <v>Jan113411TRANSFERÊNCIAPADRÃO</v>
      </c>
      <c r="C214" s="152">
        <v>1</v>
      </c>
      <c r="D214" s="153">
        <v>46058.603291550928</v>
      </c>
      <c r="E214" s="154" t="s">
        <v>12</v>
      </c>
      <c r="F214" s="155">
        <v>11341</v>
      </c>
      <c r="G214" s="149" t="s">
        <v>407</v>
      </c>
      <c r="H214" s="154">
        <v>1</v>
      </c>
      <c r="I214" s="149" t="s">
        <v>130</v>
      </c>
      <c r="J214" s="149" t="s">
        <v>93</v>
      </c>
      <c r="K214" s="149" t="s">
        <v>192</v>
      </c>
      <c r="L214" s="156">
        <v>34475292</v>
      </c>
      <c r="M214" s="157">
        <v>2.8124999999999995E-3</v>
      </c>
      <c r="N214" s="131" t="s">
        <v>17</v>
      </c>
      <c r="O214" s="131" t="s">
        <v>17</v>
      </c>
      <c r="P214" s="131" t="s">
        <v>17</v>
      </c>
      <c r="Q214" s="131" t="s">
        <v>17</v>
      </c>
      <c r="R214" s="131" t="s">
        <v>17</v>
      </c>
      <c r="S214" s="131" t="s">
        <v>17</v>
      </c>
      <c r="T214" s="131" t="s">
        <v>17</v>
      </c>
      <c r="U214" s="131" t="s">
        <v>17</v>
      </c>
      <c r="V214" s="131" t="s">
        <v>17</v>
      </c>
      <c r="W214" s="131" t="s">
        <v>18</v>
      </c>
      <c r="X214" s="131" t="s">
        <v>17</v>
      </c>
      <c r="Y214" s="131" t="s">
        <v>17</v>
      </c>
      <c r="Z214" s="131" t="s">
        <v>17</v>
      </c>
      <c r="AA214" s="131" t="s">
        <v>17</v>
      </c>
      <c r="AB214" s="131" t="s">
        <v>17</v>
      </c>
      <c r="AC214" s="131"/>
      <c r="AD214" s="131"/>
      <c r="AE214" s="131"/>
      <c r="AF214" s="158">
        <f t="shared" si="18"/>
        <v>9.6890000000000001</v>
      </c>
      <c r="AG214" s="159"/>
      <c r="AH214" s="155" t="s">
        <v>408</v>
      </c>
      <c r="AI214" s="155" t="s">
        <v>83</v>
      </c>
      <c r="AJ214" s="131" t="str">
        <f>IFERROR(VLOOKUP(E214&amp;F214,'Listagem dos op'!A:S,19,0),"")</f>
        <v/>
      </c>
      <c r="AK214" s="131" t="str">
        <f t="shared" si="17"/>
        <v>Jan11341</v>
      </c>
      <c r="AL214" s="154">
        <f>IF(N214="","",IF(N214="SIM",VLOOKUP($I214&amp;$J214&amp;N$1,Pesos!$A:$I,7,FALSE),VLOOKUP($I214&amp;$J214&amp;N$1,Pesos!$A:$I,9,FALSE)))</f>
        <v>0.1</v>
      </c>
      <c r="AM214" s="154">
        <f>IF(O214="","",IF(O214="SIM",VLOOKUP($I214&amp;$J214&amp;O$1,Pesos!$A:$I,7,FALSE),VLOOKUP($I214&amp;$J214&amp;O$1,Pesos!$A:$I,9,FALSE)))</f>
        <v>0.1</v>
      </c>
      <c r="AN214" s="154">
        <f>IF(P214="","",IF(P214="SIM",VLOOKUP($I214&amp;$J214&amp;P$1,Pesos!$A:$I,7,FALSE),VLOOKUP($I214&amp;$J214&amp;P$1,Pesos!$A:$I,9,FALSE)))</f>
        <v>0.1</v>
      </c>
      <c r="AO214" s="154">
        <f>IF(Q214="","",IF(Q214="SIM",VLOOKUP($I214&amp;$J214&amp;Q$1,Pesos!$A:$I,7,FALSE),VLOOKUP($I214&amp;$J214&amp;Q$1,Pesos!$A:$I,9,FALSE)))</f>
        <v>2</v>
      </c>
      <c r="AP214" s="154">
        <f>IF(R214="","",IF(R214="SIM",VLOOKUP($I214&amp;$J214&amp;R$1,Pesos!$A:$I,7,FALSE),VLOOKUP($I214&amp;$J214&amp;R$1,Pesos!$A:$I,9,FALSE)))</f>
        <v>1.03</v>
      </c>
      <c r="AQ214" s="154">
        <f>IF(S214="","",IF(S214="SIM",VLOOKUP($I214&amp;$J214&amp;S$1,Pesos!$A:$I,7,FALSE),VLOOKUP($I214&amp;$J214&amp;S$1,Pesos!$A:$I,9,FALSE)))</f>
        <v>1.3</v>
      </c>
      <c r="AR214" s="156">
        <f>IF(T214="","",IF(T214="SIM",VLOOKUP($I214&amp;$J214&amp;T$1,Pesos!$A:$I,7,FALSE),VLOOKUP($I214&amp;$J214&amp;T$1,Pesos!$A:$I,9,FALSE)))</f>
        <v>1.3</v>
      </c>
      <c r="AS214" s="132">
        <f>IF(U214="","",IF(U214="SIM",VLOOKUP($I214&amp;$J214&amp;U$1,Pesos!$A:$I,7,FALSE),VLOOKUP($I214&amp;$J214&amp;U$1,Pesos!$A:$I,9,FALSE)))</f>
        <v>1.32</v>
      </c>
      <c r="AT214" s="132">
        <f>IF(V214="","",IF(V214="SIM",VLOOKUP($I214&amp;$J214&amp;V$1,Pesos!$A:$I,7,FALSE),VLOOKUP($I214&amp;$J214&amp;V$1,Pesos!$A:$I,9,FALSE)))</f>
        <v>1.4039999999999999</v>
      </c>
      <c r="AU214" s="132">
        <f>IF(W214="","",IF(W214="SIM",VLOOKUP($I214&amp;$J214&amp;W$1,Pesos!$A:$I,7,FALSE),VLOOKUP($I214&amp;$J214&amp;W$1,Pesos!$A:$I,9,FALSE)))</f>
        <v>-1.4999999999999999E-2</v>
      </c>
      <c r="AV214" s="132">
        <f>IF(X214="","",IF(X214="SIM",VLOOKUP($I214&amp;$J214&amp;X$1,Pesos!$A:$I,7,FALSE),VLOOKUP($I214&amp;$J214&amp;X$1,Pesos!$A:$I,9,FALSE)))</f>
        <v>0.3</v>
      </c>
      <c r="AW214" s="132">
        <f>IF(Y214="","",IF(Y214="SIM",VLOOKUP($I214&amp;$J214&amp;Y$1,Pesos!$A:$I,7,FALSE),VLOOKUP($I214&amp;$J214&amp;Y$1,Pesos!$A:$I,9,FALSE)))</f>
        <v>0.15</v>
      </c>
      <c r="AX214" s="132">
        <f>IF(Z214="","",IF(Z214="SIM",VLOOKUP($I214&amp;$J214&amp;Z$1,Pesos!$A:$I,7,FALSE),VLOOKUP($I214&amp;$J214&amp;Z$1,Pesos!$A:$I,9,FALSE)))</f>
        <v>0.2</v>
      </c>
      <c r="AY214" s="132">
        <f>IF(AA214="","",IF(AA214="SIM",VLOOKUP($I214&amp;$J214&amp;AA$1,Pesos!$A:$I,7,FALSE),VLOOKUP($I214&amp;$J214&amp;AA$1,Pesos!$A:$I,9,FALSE)))</f>
        <v>0.3</v>
      </c>
      <c r="AZ214" s="132">
        <f>IF(AB214="","",IF(AB214="SIM",VLOOKUP($I214&amp;$J214&amp;AB$1,Pesos!$A:$I,7,FALSE),VLOOKUP($I214&amp;$J214&amp;AB$1,Pesos!$A:$I,9,FALSE)))</f>
        <v>0.1</v>
      </c>
      <c r="BA214" s="132" t="str">
        <f>IF(AC214="","",IF(AC214="SIM",VLOOKUP($I214&amp;$J214&amp;AC$1,Pesos!$A:$I,7,FALSE),VLOOKUP($I214&amp;$J214&amp;AC$1,Pesos!$A:$I,9,FALSE)))</f>
        <v/>
      </c>
      <c r="BB214" s="132" t="str">
        <f>IF(AD214="","",IF(AD214="SIM",VLOOKUP($I214&amp;$J214&amp;AD$1,Pesos!$A:$I,7,FALSE),VLOOKUP($I214&amp;$J214&amp;AD$1,Pesos!$A:$I,9,FALSE)))</f>
        <v/>
      </c>
      <c r="BC214" s="132" t="str">
        <f>IF(AE214="","",IF(AE214="SIM",VLOOKUP($I214&amp;$J214&amp;AE$1,Pesos!$A:$I,7,FALSE),VLOOKUP($I214&amp;$J214&amp;AE$1,Pesos!$A:$I,9,FALSE)))</f>
        <v/>
      </c>
      <c r="BD214" s="158">
        <f>IFERROR(AF214*VLOOKUP(J214,'BD Campos'!$X$1:$Y$14,2,FALSE),"0")</f>
        <v>9.6890000000000001</v>
      </c>
    </row>
    <row r="215" spans="1:56">
      <c r="A215" s="151" t="str">
        <f t="shared" si="15"/>
        <v>Jan11341Motorista 2TRANSFERÊNCIA</v>
      </c>
      <c r="B215" s="149" t="str">
        <f t="shared" si="16"/>
        <v>Jan113412TRANSFERÊNCIAPADRÃO</v>
      </c>
      <c r="C215" s="152">
        <v>1</v>
      </c>
      <c r="D215" s="153">
        <v>46058.605624652781</v>
      </c>
      <c r="E215" s="154" t="s">
        <v>12</v>
      </c>
      <c r="F215" s="155">
        <v>11341</v>
      </c>
      <c r="G215" s="149" t="s">
        <v>407</v>
      </c>
      <c r="H215" s="154">
        <v>2</v>
      </c>
      <c r="I215" s="149" t="s">
        <v>130</v>
      </c>
      <c r="J215" s="149" t="s">
        <v>97</v>
      </c>
      <c r="K215" s="149" t="s">
        <v>192</v>
      </c>
      <c r="L215" s="156">
        <v>34713786</v>
      </c>
      <c r="M215" s="157">
        <v>2.0138888888888888E-3</v>
      </c>
      <c r="N215" s="131" t="s">
        <v>17</v>
      </c>
      <c r="O215" s="131" t="s">
        <v>17</v>
      </c>
      <c r="P215" s="131" t="s">
        <v>17</v>
      </c>
      <c r="Q215" s="131" t="s">
        <v>17</v>
      </c>
      <c r="R215" s="131" t="s">
        <v>17</v>
      </c>
      <c r="S215" s="131" t="s">
        <v>17</v>
      </c>
      <c r="T215" s="131" t="s">
        <v>17</v>
      </c>
      <c r="U215" s="131" t="s">
        <v>17</v>
      </c>
      <c r="V215" s="131" t="s">
        <v>17</v>
      </c>
      <c r="W215" s="131" t="s">
        <v>18</v>
      </c>
      <c r="X215" s="131" t="s">
        <v>17</v>
      </c>
      <c r="Y215" s="131" t="s">
        <v>17</v>
      </c>
      <c r="Z215" s="131" t="s">
        <v>17</v>
      </c>
      <c r="AA215" s="131" t="s">
        <v>17</v>
      </c>
      <c r="AB215" s="131" t="s">
        <v>17</v>
      </c>
      <c r="AC215" s="131"/>
      <c r="AD215" s="131"/>
      <c r="AE215" s="131"/>
      <c r="AF215" s="158">
        <f t="shared" si="18"/>
        <v>9.6890000000000001</v>
      </c>
      <c r="AG215" s="159"/>
      <c r="AH215" s="155" t="s">
        <v>409</v>
      </c>
      <c r="AI215" s="155" t="s">
        <v>83</v>
      </c>
      <c r="AJ215" s="131" t="str">
        <f>IFERROR(VLOOKUP(E215&amp;F215,'Listagem dos op'!A:S,19,0),"")</f>
        <v/>
      </c>
      <c r="AK215" s="131" t="str">
        <f t="shared" si="17"/>
        <v>Jan11341</v>
      </c>
      <c r="AL215" s="154">
        <f>IF(N215="","",IF(N215="SIM",VLOOKUP($I215&amp;$J215&amp;N$1,Pesos!$A:$I,7,FALSE),VLOOKUP($I215&amp;$J215&amp;N$1,Pesos!$A:$I,9,FALSE)))</f>
        <v>0.1</v>
      </c>
      <c r="AM215" s="154">
        <f>IF(O215="","",IF(O215="SIM",VLOOKUP($I215&amp;$J215&amp;O$1,Pesos!$A:$I,7,FALSE),VLOOKUP($I215&amp;$J215&amp;O$1,Pesos!$A:$I,9,FALSE)))</f>
        <v>0.1</v>
      </c>
      <c r="AN215" s="154">
        <f>IF(P215="","",IF(P215="SIM",VLOOKUP($I215&amp;$J215&amp;P$1,Pesos!$A:$I,7,FALSE),VLOOKUP($I215&amp;$J215&amp;P$1,Pesos!$A:$I,9,FALSE)))</f>
        <v>0.1</v>
      </c>
      <c r="AO215" s="154">
        <f>IF(Q215="","",IF(Q215="SIM",VLOOKUP($I215&amp;$J215&amp;Q$1,Pesos!$A:$I,7,FALSE),VLOOKUP($I215&amp;$J215&amp;Q$1,Pesos!$A:$I,9,FALSE)))</f>
        <v>2</v>
      </c>
      <c r="AP215" s="154">
        <f>IF(R215="","",IF(R215="SIM",VLOOKUP($I215&amp;$J215&amp;R$1,Pesos!$A:$I,7,FALSE),VLOOKUP($I215&amp;$J215&amp;R$1,Pesos!$A:$I,9,FALSE)))</f>
        <v>1.03</v>
      </c>
      <c r="AQ215" s="154">
        <f>IF(S215="","",IF(S215="SIM",VLOOKUP($I215&amp;$J215&amp;S$1,Pesos!$A:$I,7,FALSE),VLOOKUP($I215&amp;$J215&amp;S$1,Pesos!$A:$I,9,FALSE)))</f>
        <v>1.3</v>
      </c>
      <c r="AR215" s="156">
        <f>IF(T215="","",IF(T215="SIM",VLOOKUP($I215&amp;$J215&amp;T$1,Pesos!$A:$I,7,FALSE),VLOOKUP($I215&amp;$J215&amp;T$1,Pesos!$A:$I,9,FALSE)))</f>
        <v>1.3</v>
      </c>
      <c r="AS215" s="132">
        <f>IF(U215="","",IF(U215="SIM",VLOOKUP($I215&amp;$J215&amp;U$1,Pesos!$A:$I,7,FALSE),VLOOKUP($I215&amp;$J215&amp;U$1,Pesos!$A:$I,9,FALSE)))</f>
        <v>1.32</v>
      </c>
      <c r="AT215" s="132">
        <f>IF(V215="","",IF(V215="SIM",VLOOKUP($I215&amp;$J215&amp;V$1,Pesos!$A:$I,7,FALSE),VLOOKUP($I215&amp;$J215&amp;V$1,Pesos!$A:$I,9,FALSE)))</f>
        <v>1.4039999999999999</v>
      </c>
      <c r="AU215" s="132">
        <f>IF(W215="","",IF(W215="SIM",VLOOKUP($I215&amp;$J215&amp;W$1,Pesos!$A:$I,7,FALSE),VLOOKUP($I215&amp;$J215&amp;W$1,Pesos!$A:$I,9,FALSE)))</f>
        <v>-1.4999999999999999E-2</v>
      </c>
      <c r="AV215" s="132">
        <f>IF(X215="","",IF(X215="SIM",VLOOKUP($I215&amp;$J215&amp;X$1,Pesos!$A:$I,7,FALSE),VLOOKUP($I215&amp;$J215&amp;X$1,Pesos!$A:$I,9,FALSE)))</f>
        <v>0.3</v>
      </c>
      <c r="AW215" s="132">
        <f>IF(Y215="","",IF(Y215="SIM",VLOOKUP($I215&amp;$J215&amp;Y$1,Pesos!$A:$I,7,FALSE),VLOOKUP($I215&amp;$J215&amp;Y$1,Pesos!$A:$I,9,FALSE)))</f>
        <v>0.15</v>
      </c>
      <c r="AX215" s="132">
        <f>IF(Z215="","",IF(Z215="SIM",VLOOKUP($I215&amp;$J215&amp;Z$1,Pesos!$A:$I,7,FALSE),VLOOKUP($I215&amp;$J215&amp;Z$1,Pesos!$A:$I,9,FALSE)))</f>
        <v>0.2</v>
      </c>
      <c r="AY215" s="132">
        <f>IF(AA215="","",IF(AA215="SIM",VLOOKUP($I215&amp;$J215&amp;AA$1,Pesos!$A:$I,7,FALSE),VLOOKUP($I215&amp;$J215&amp;AA$1,Pesos!$A:$I,9,FALSE)))</f>
        <v>0.3</v>
      </c>
      <c r="AZ215" s="132">
        <f>IF(AB215="","",IF(AB215="SIM",VLOOKUP($I215&amp;$J215&amp;AB$1,Pesos!$A:$I,7,FALSE),VLOOKUP($I215&amp;$J215&amp;AB$1,Pesos!$A:$I,9,FALSE)))</f>
        <v>0.1</v>
      </c>
      <c r="BA215" s="132" t="str">
        <f>IF(AC215="","",IF(AC215="SIM",VLOOKUP($I215&amp;$J215&amp;AC$1,Pesos!$A:$I,7,FALSE),VLOOKUP($I215&amp;$J215&amp;AC$1,Pesos!$A:$I,9,FALSE)))</f>
        <v/>
      </c>
      <c r="BB215" s="132" t="str">
        <f>IF(AD215="","",IF(AD215="SIM",VLOOKUP($I215&amp;$J215&amp;AD$1,Pesos!$A:$I,7,FALSE),VLOOKUP($I215&amp;$J215&amp;AD$1,Pesos!$A:$I,9,FALSE)))</f>
        <v/>
      </c>
      <c r="BC215" s="132" t="str">
        <f>IF(AE215="","",IF(AE215="SIM",VLOOKUP($I215&amp;$J215&amp;AE$1,Pesos!$A:$I,7,FALSE),VLOOKUP($I215&amp;$J215&amp;AE$1,Pesos!$A:$I,9,FALSE)))</f>
        <v/>
      </c>
      <c r="BD215" s="158">
        <f>IFERROR(AF215*VLOOKUP(J215,'BD Campos'!$X$1:$Y$14,2,FALSE),"0")</f>
        <v>9.6890000000000001</v>
      </c>
    </row>
    <row r="216" spans="1:56">
      <c r="A216" s="151" t="str">
        <f t="shared" si="15"/>
        <v>Jan11386MotoristaTRANSFERÊNCIA</v>
      </c>
      <c r="B216" s="149" t="str">
        <f t="shared" si="16"/>
        <v>Jan113861TRANSFERÊNCIAPADRÃO</v>
      </c>
      <c r="C216" s="152">
        <v>1</v>
      </c>
      <c r="D216" s="153">
        <v>46058.608056828707</v>
      </c>
      <c r="E216" s="154" t="s">
        <v>12</v>
      </c>
      <c r="F216" s="155">
        <v>11386</v>
      </c>
      <c r="G216" s="149" t="s">
        <v>410</v>
      </c>
      <c r="H216" s="154">
        <v>1</v>
      </c>
      <c r="I216" s="149" t="s">
        <v>130</v>
      </c>
      <c r="J216" s="149" t="s">
        <v>93</v>
      </c>
      <c r="K216" s="149" t="s">
        <v>192</v>
      </c>
      <c r="L216" s="156">
        <v>34430681</v>
      </c>
      <c r="M216" s="157">
        <v>8.564814814814815E-4</v>
      </c>
      <c r="N216" s="131" t="s">
        <v>17</v>
      </c>
      <c r="O216" s="131" t="s">
        <v>18</v>
      </c>
      <c r="P216" s="131" t="s">
        <v>18</v>
      </c>
      <c r="Q216" s="131" t="s">
        <v>17</v>
      </c>
      <c r="R216" s="131" t="s">
        <v>17</v>
      </c>
      <c r="S216" s="131" t="s">
        <v>17</v>
      </c>
      <c r="T216" s="131" t="s">
        <v>18</v>
      </c>
      <c r="U216" s="131" t="s">
        <v>18</v>
      </c>
      <c r="V216" s="131" t="s">
        <v>17</v>
      </c>
      <c r="W216" s="131" t="s">
        <v>17</v>
      </c>
      <c r="X216" s="131" t="s">
        <v>17</v>
      </c>
      <c r="Y216" s="131" t="s">
        <v>17</v>
      </c>
      <c r="Z216" s="131" t="s">
        <v>17</v>
      </c>
      <c r="AA216" s="131" t="s">
        <v>17</v>
      </c>
      <c r="AB216" s="131" t="s">
        <v>17</v>
      </c>
      <c r="AC216" s="131"/>
      <c r="AD216" s="131"/>
      <c r="AE216" s="131"/>
      <c r="AF216" s="158">
        <f t="shared" si="18"/>
        <v>7.0429999999999993</v>
      </c>
      <c r="AG216" s="159"/>
      <c r="AH216" s="155" t="s">
        <v>411</v>
      </c>
      <c r="AI216" s="155" t="s">
        <v>83</v>
      </c>
      <c r="AJ216" s="131" t="str">
        <f>IFERROR(VLOOKUP(E216&amp;F216,'Listagem dos op'!A:S,19,0),"")</f>
        <v/>
      </c>
      <c r="AK216" s="131" t="str">
        <f t="shared" si="17"/>
        <v>Jan11386</v>
      </c>
      <c r="AL216" s="154">
        <f>IF(N216="","",IF(N216="SIM",VLOOKUP($I216&amp;$J216&amp;N$1,Pesos!$A:$I,7,FALSE),VLOOKUP($I216&amp;$J216&amp;N$1,Pesos!$A:$I,9,FALSE)))</f>
        <v>0.1</v>
      </c>
      <c r="AM216" s="154">
        <f>IF(O216="","",IF(O216="SIM",VLOOKUP($I216&amp;$J216&amp;O$1,Pesos!$A:$I,7,FALSE),VLOOKUP($I216&amp;$J216&amp;O$1,Pesos!$A:$I,9,FALSE)))</f>
        <v>-5.000000000000001E-3</v>
      </c>
      <c r="AN216" s="154">
        <f>IF(P216="","",IF(P216="SIM",VLOOKUP($I216&amp;$J216&amp;P$1,Pesos!$A:$I,7,FALSE),VLOOKUP($I216&amp;$J216&amp;P$1,Pesos!$A:$I,9,FALSE)))</f>
        <v>-5.000000000000001E-3</v>
      </c>
      <c r="AO216" s="154">
        <f>IF(Q216="","",IF(Q216="SIM",VLOOKUP($I216&amp;$J216&amp;Q$1,Pesos!$A:$I,7,FALSE),VLOOKUP($I216&amp;$J216&amp;Q$1,Pesos!$A:$I,9,FALSE)))</f>
        <v>2</v>
      </c>
      <c r="AP216" s="154">
        <f>IF(R216="","",IF(R216="SIM",VLOOKUP($I216&amp;$J216&amp;R$1,Pesos!$A:$I,7,FALSE),VLOOKUP($I216&amp;$J216&amp;R$1,Pesos!$A:$I,9,FALSE)))</f>
        <v>1.03</v>
      </c>
      <c r="AQ216" s="154">
        <f>IF(S216="","",IF(S216="SIM",VLOOKUP($I216&amp;$J216&amp;S$1,Pesos!$A:$I,7,FALSE),VLOOKUP($I216&amp;$J216&amp;S$1,Pesos!$A:$I,9,FALSE)))</f>
        <v>1.3</v>
      </c>
      <c r="AR216" s="156">
        <f>IF(T216="","",IF(T216="SIM",VLOOKUP($I216&amp;$J216&amp;T$1,Pesos!$A:$I,7,FALSE),VLOOKUP($I216&amp;$J216&amp;T$1,Pesos!$A:$I,9,FALSE)))</f>
        <v>-6.5000000000000002E-2</v>
      </c>
      <c r="AS216" s="132">
        <f>IF(U216="","",IF(U216="SIM",VLOOKUP($I216&amp;$J216&amp;U$1,Pesos!$A:$I,7,FALSE),VLOOKUP($I216&amp;$J216&amp;U$1,Pesos!$A:$I,9,FALSE)))</f>
        <v>-6.6000000000000003E-2</v>
      </c>
      <c r="AT216" s="132">
        <f>IF(V216="","",IF(V216="SIM",VLOOKUP($I216&amp;$J216&amp;V$1,Pesos!$A:$I,7,FALSE),VLOOKUP($I216&amp;$J216&amp;V$1,Pesos!$A:$I,9,FALSE)))</f>
        <v>1.4039999999999999</v>
      </c>
      <c r="AU216" s="132">
        <f>IF(W216="","",IF(W216="SIM",VLOOKUP($I216&amp;$J216&amp;W$1,Pesos!$A:$I,7,FALSE),VLOOKUP($I216&amp;$J216&amp;W$1,Pesos!$A:$I,9,FALSE)))</f>
        <v>0.3</v>
      </c>
      <c r="AV216" s="132">
        <f>IF(X216="","",IF(X216="SIM",VLOOKUP($I216&amp;$J216&amp;X$1,Pesos!$A:$I,7,FALSE),VLOOKUP($I216&amp;$J216&amp;X$1,Pesos!$A:$I,9,FALSE)))</f>
        <v>0.3</v>
      </c>
      <c r="AW216" s="132">
        <f>IF(Y216="","",IF(Y216="SIM",VLOOKUP($I216&amp;$J216&amp;Y$1,Pesos!$A:$I,7,FALSE),VLOOKUP($I216&amp;$J216&amp;Y$1,Pesos!$A:$I,9,FALSE)))</f>
        <v>0.15</v>
      </c>
      <c r="AX216" s="132">
        <f>IF(Z216="","",IF(Z216="SIM",VLOOKUP($I216&amp;$J216&amp;Z$1,Pesos!$A:$I,7,FALSE),VLOOKUP($I216&amp;$J216&amp;Z$1,Pesos!$A:$I,9,FALSE)))</f>
        <v>0.2</v>
      </c>
      <c r="AY216" s="132">
        <f>IF(AA216="","",IF(AA216="SIM",VLOOKUP($I216&amp;$J216&amp;AA$1,Pesos!$A:$I,7,FALSE),VLOOKUP($I216&amp;$J216&amp;AA$1,Pesos!$A:$I,9,FALSE)))</f>
        <v>0.3</v>
      </c>
      <c r="AZ216" s="132">
        <f>IF(AB216="","",IF(AB216="SIM",VLOOKUP($I216&amp;$J216&amp;AB$1,Pesos!$A:$I,7,FALSE),VLOOKUP($I216&amp;$J216&amp;AB$1,Pesos!$A:$I,9,FALSE)))</f>
        <v>0.1</v>
      </c>
      <c r="BA216" s="132" t="str">
        <f>IF(AC216="","",IF(AC216="SIM",VLOOKUP($I216&amp;$J216&amp;AC$1,Pesos!$A:$I,7,FALSE),VLOOKUP($I216&amp;$J216&amp;AC$1,Pesos!$A:$I,9,FALSE)))</f>
        <v/>
      </c>
      <c r="BB216" s="132" t="str">
        <f>IF(AD216="","",IF(AD216="SIM",VLOOKUP($I216&amp;$J216&amp;AD$1,Pesos!$A:$I,7,FALSE),VLOOKUP($I216&amp;$J216&amp;AD$1,Pesos!$A:$I,9,FALSE)))</f>
        <v/>
      </c>
      <c r="BC216" s="132" t="str">
        <f>IF(AE216="","",IF(AE216="SIM",VLOOKUP($I216&amp;$J216&amp;AE$1,Pesos!$A:$I,7,FALSE),VLOOKUP($I216&amp;$J216&amp;AE$1,Pesos!$A:$I,9,FALSE)))</f>
        <v/>
      </c>
      <c r="BD216" s="158">
        <f>IFERROR(AF216*VLOOKUP(J216,'BD Campos'!$X$1:$Y$14,2,FALSE),"0")</f>
        <v>7.0429999999999993</v>
      </c>
    </row>
    <row r="217" spans="1:56">
      <c r="A217" s="151" t="str">
        <f t="shared" si="15"/>
        <v>Jan11386Motorista 2TRANSFERÊNCIA</v>
      </c>
      <c r="B217" s="149" t="str">
        <f t="shared" si="16"/>
        <v>Jan113862TRANSFERÊNCIAPADRÃO</v>
      </c>
      <c r="C217" s="152">
        <v>1</v>
      </c>
      <c r="D217" s="153">
        <v>46058.611099768517</v>
      </c>
      <c r="E217" s="154" t="s">
        <v>12</v>
      </c>
      <c r="F217" s="155">
        <v>11386</v>
      </c>
      <c r="G217" s="149" t="s">
        <v>410</v>
      </c>
      <c r="H217" s="154">
        <v>2</v>
      </c>
      <c r="I217" s="149" t="s">
        <v>96</v>
      </c>
      <c r="J217" s="149" t="s">
        <v>97</v>
      </c>
      <c r="K217" s="149" t="s">
        <v>192</v>
      </c>
      <c r="L217" s="156">
        <v>34682933</v>
      </c>
      <c r="M217" s="157">
        <v>2.4305555555555556E-3</v>
      </c>
      <c r="N217" s="131" t="s">
        <v>17</v>
      </c>
      <c r="O217" s="131" t="s">
        <v>17</v>
      </c>
      <c r="P217" s="131" t="s">
        <v>17</v>
      </c>
      <c r="Q217" s="131" t="s">
        <v>17</v>
      </c>
      <c r="R217" s="131" t="s">
        <v>17</v>
      </c>
      <c r="S217" s="131" t="s">
        <v>17</v>
      </c>
      <c r="T217" s="131" t="s">
        <v>17</v>
      </c>
      <c r="U217" s="131" t="s">
        <v>18</v>
      </c>
      <c r="V217" s="131" t="s">
        <v>17</v>
      </c>
      <c r="W217" s="131" t="s">
        <v>17</v>
      </c>
      <c r="X217" s="131" t="s">
        <v>17</v>
      </c>
      <c r="Y217" s="131" t="s">
        <v>17</v>
      </c>
      <c r="Z217" s="131" t="s">
        <v>18</v>
      </c>
      <c r="AA217" s="131" t="s">
        <v>17</v>
      </c>
      <c r="AB217" s="131" t="s">
        <v>17</v>
      </c>
      <c r="AC217" s="131"/>
      <c r="AD217" s="131"/>
      <c r="AE217" s="131"/>
      <c r="AF217" s="158">
        <f t="shared" si="18"/>
        <v>8.6875</v>
      </c>
      <c r="AG217" s="159"/>
      <c r="AH217" s="155" t="s">
        <v>412</v>
      </c>
      <c r="AI217" s="155" t="s">
        <v>83</v>
      </c>
      <c r="AJ217" s="131" t="str">
        <f>IFERROR(VLOOKUP(E217&amp;F217,'Listagem dos op'!A:S,19,0),"")</f>
        <v/>
      </c>
      <c r="AK217" s="131" t="str">
        <f t="shared" si="17"/>
        <v>Jan11386</v>
      </c>
      <c r="AL217" s="154">
        <f>IF(N217="","",IF(N217="SIM",VLOOKUP($I217&amp;$J217&amp;N$1,Pesos!$A:$I,7,FALSE),VLOOKUP($I217&amp;$J217&amp;N$1,Pesos!$A:$I,9,FALSE)))</f>
        <v>0.1</v>
      </c>
      <c r="AM217" s="154">
        <f>IF(O217="","",IF(O217="SIM",VLOOKUP($I217&amp;$J217&amp;O$1,Pesos!$A:$I,7,FALSE),VLOOKUP($I217&amp;$J217&amp;O$1,Pesos!$A:$I,9,FALSE)))</f>
        <v>0.1</v>
      </c>
      <c r="AN217" s="154">
        <f>IF(P217="","",IF(P217="SIM",VLOOKUP($I217&amp;$J217&amp;P$1,Pesos!$A:$I,7,FALSE),VLOOKUP($I217&amp;$J217&amp;P$1,Pesos!$A:$I,9,FALSE)))</f>
        <v>0.1</v>
      </c>
      <c r="AO217" s="154">
        <f>IF(Q217="","",IF(Q217="SIM",VLOOKUP($I217&amp;$J217&amp;Q$1,Pesos!$A:$I,7,FALSE),VLOOKUP($I217&amp;$J217&amp;Q$1,Pesos!$A:$I,9,FALSE)))</f>
        <v>2</v>
      </c>
      <c r="AP217" s="154">
        <f>IF(R217="","",IF(R217="SIM",VLOOKUP($I217&amp;$J217&amp;R$1,Pesos!$A:$I,7,FALSE),VLOOKUP($I217&amp;$J217&amp;R$1,Pesos!$A:$I,9,FALSE)))</f>
        <v>1.03</v>
      </c>
      <c r="AQ217" s="154">
        <f>IF(S217="","",IF(S217="SIM",VLOOKUP($I217&amp;$J217&amp;S$1,Pesos!$A:$I,7,FALSE),VLOOKUP($I217&amp;$J217&amp;S$1,Pesos!$A:$I,9,FALSE)))</f>
        <v>1.22</v>
      </c>
      <c r="AR217" s="156">
        <f>IF(T217="","",IF(T217="SIM",VLOOKUP($I217&amp;$J217&amp;T$1,Pesos!$A:$I,7,FALSE),VLOOKUP($I217&amp;$J217&amp;T$1,Pesos!$A:$I,9,FALSE)))</f>
        <v>2</v>
      </c>
      <c r="AS217" s="132">
        <f>IF(U217="","",IF(U217="SIM",VLOOKUP($I217&amp;$J217&amp;U$1,Pesos!$A:$I,7,FALSE),VLOOKUP($I217&amp;$J217&amp;U$1,Pesos!$A:$I,9,FALSE)))</f>
        <v>-5.2500000000000005E-2</v>
      </c>
      <c r="AT217" s="132">
        <f>IF(V217="","",IF(V217="SIM",VLOOKUP($I217&amp;$J217&amp;V$1,Pesos!$A:$I,7,FALSE),VLOOKUP($I217&amp;$J217&amp;V$1,Pesos!$A:$I,9,FALSE)))</f>
        <v>1.05</v>
      </c>
      <c r="AU217" s="132">
        <f>IF(W217="","",IF(W217="SIM",VLOOKUP($I217&amp;$J217&amp;W$1,Pesos!$A:$I,7,FALSE),VLOOKUP($I217&amp;$J217&amp;W$1,Pesos!$A:$I,9,FALSE)))</f>
        <v>0.3</v>
      </c>
      <c r="AV217" s="132">
        <f>IF(X217="","",IF(X217="SIM",VLOOKUP($I217&amp;$J217&amp;X$1,Pesos!$A:$I,7,FALSE),VLOOKUP($I217&amp;$J217&amp;X$1,Pesos!$A:$I,9,FALSE)))</f>
        <v>0.3</v>
      </c>
      <c r="AW217" s="132">
        <f>IF(Y217="","",IF(Y217="SIM",VLOOKUP($I217&amp;$J217&amp;Y$1,Pesos!$A:$I,7,FALSE),VLOOKUP($I217&amp;$J217&amp;Y$1,Pesos!$A:$I,9,FALSE)))</f>
        <v>0.15</v>
      </c>
      <c r="AX217" s="132">
        <f>IF(Z217="","",IF(Z217="SIM",VLOOKUP($I217&amp;$J217&amp;Z$1,Pesos!$A:$I,7,FALSE),VLOOKUP($I217&amp;$J217&amp;Z$1,Pesos!$A:$I,9,FALSE)))</f>
        <v>-1.0000000000000002E-2</v>
      </c>
      <c r="AY217" s="132">
        <f>IF(AA217="","",IF(AA217="SIM",VLOOKUP($I217&amp;$J217&amp;AA$1,Pesos!$A:$I,7,FALSE),VLOOKUP($I217&amp;$J217&amp;AA$1,Pesos!$A:$I,9,FALSE)))</f>
        <v>0.3</v>
      </c>
      <c r="AZ217" s="132">
        <f>IF(AB217="","",IF(AB217="SIM",VLOOKUP($I217&amp;$J217&amp;AB$1,Pesos!$A:$I,7,FALSE),VLOOKUP($I217&amp;$J217&amp;AB$1,Pesos!$A:$I,9,FALSE)))</f>
        <v>0.1</v>
      </c>
      <c r="BA217" s="132" t="str">
        <f>IF(AC217="","",IF(AC217="SIM",VLOOKUP($I217&amp;$J217&amp;AC$1,Pesos!$A:$I,7,FALSE),VLOOKUP($I217&amp;$J217&amp;AC$1,Pesos!$A:$I,9,FALSE)))</f>
        <v/>
      </c>
      <c r="BB217" s="132" t="str">
        <f>IF(AD217="","",IF(AD217="SIM",VLOOKUP($I217&amp;$J217&amp;AD$1,Pesos!$A:$I,7,FALSE),VLOOKUP($I217&amp;$J217&amp;AD$1,Pesos!$A:$I,9,FALSE)))</f>
        <v/>
      </c>
      <c r="BC217" s="132" t="str">
        <f>IF(AE217="","",IF(AE217="SIM",VLOOKUP($I217&amp;$J217&amp;AE$1,Pesos!$A:$I,7,FALSE),VLOOKUP($I217&amp;$J217&amp;AE$1,Pesos!$A:$I,9,FALSE)))</f>
        <v/>
      </c>
      <c r="BD217" s="158">
        <f>IFERROR(AF217*VLOOKUP(J217,'BD Campos'!$X$1:$Y$14,2,FALSE),"0")</f>
        <v>8.6875</v>
      </c>
    </row>
    <row r="218" spans="1:56">
      <c r="A218" s="151" t="str">
        <f t="shared" si="15"/>
        <v>Jan11432MotoristaTRANSFERÊNCIA</v>
      </c>
      <c r="B218" s="149" t="str">
        <f t="shared" si="16"/>
        <v>Jan114321TRANSFERÊNCIAPADRÃO</v>
      </c>
      <c r="C218" s="152">
        <v>1</v>
      </c>
      <c r="D218" s="153">
        <v>46058.615487152776</v>
      </c>
      <c r="E218" s="154" t="s">
        <v>12</v>
      </c>
      <c r="F218" s="155">
        <v>11432</v>
      </c>
      <c r="G218" s="149" t="s">
        <v>413</v>
      </c>
      <c r="H218" s="154">
        <v>1</v>
      </c>
      <c r="I218" s="149" t="s">
        <v>92</v>
      </c>
      <c r="J218" s="149" t="s">
        <v>93</v>
      </c>
      <c r="K218" s="149" t="s">
        <v>192</v>
      </c>
      <c r="L218" s="156">
        <v>34549107</v>
      </c>
      <c r="M218" s="157">
        <v>1.9675925925925928E-3</v>
      </c>
      <c r="N218" s="131" t="s">
        <v>17</v>
      </c>
      <c r="O218" s="131" t="s">
        <v>17</v>
      </c>
      <c r="P218" s="131" t="s">
        <v>17</v>
      </c>
      <c r="Q218" s="131" t="s">
        <v>17</v>
      </c>
      <c r="R218" s="131" t="s">
        <v>17</v>
      </c>
      <c r="S218" s="131" t="s">
        <v>17</v>
      </c>
      <c r="T218" s="131" t="s">
        <v>17</v>
      </c>
      <c r="U218" s="131" t="s">
        <v>17</v>
      </c>
      <c r="V218" s="131" t="s">
        <v>18</v>
      </c>
      <c r="W218" s="131" t="s">
        <v>17</v>
      </c>
      <c r="X218" s="131" t="s">
        <v>17</v>
      </c>
      <c r="Y218" s="131" t="s">
        <v>17</v>
      </c>
      <c r="Z218" s="131" t="s">
        <v>17</v>
      </c>
      <c r="AA218" s="131" t="s">
        <v>17</v>
      </c>
      <c r="AB218" s="131"/>
      <c r="AC218" s="131"/>
      <c r="AD218" s="131"/>
      <c r="AE218" s="131"/>
      <c r="AF218" s="158">
        <f t="shared" si="18"/>
        <v>9.6850000000000005</v>
      </c>
      <c r="AG218" s="159"/>
      <c r="AH218" s="155" t="s">
        <v>414</v>
      </c>
      <c r="AI218" s="155" t="s">
        <v>83</v>
      </c>
      <c r="AJ218" s="131" t="str">
        <f>IFERROR(VLOOKUP(E218&amp;F218,'Listagem dos op'!A:S,19,0),"")</f>
        <v/>
      </c>
      <c r="AK218" s="131" t="str">
        <f t="shared" si="17"/>
        <v>Jan11432</v>
      </c>
      <c r="AL218" s="154">
        <f>IF(N218="","",IF(N218="SIM",VLOOKUP($I218&amp;$J218&amp;N$1,Pesos!$A:$I,7,FALSE),VLOOKUP($I218&amp;$J218&amp;N$1,Pesos!$A:$I,9,FALSE)))</f>
        <v>0.1</v>
      </c>
      <c r="AM218" s="154">
        <f>IF(O218="","",IF(O218="SIM",VLOOKUP($I218&amp;$J218&amp;O$1,Pesos!$A:$I,7,FALSE),VLOOKUP($I218&amp;$J218&amp;O$1,Pesos!$A:$I,9,FALSE)))</f>
        <v>0.1</v>
      </c>
      <c r="AN218" s="154">
        <f>IF(P218="","",IF(P218="SIM",VLOOKUP($I218&amp;$J218&amp;P$1,Pesos!$A:$I,7,FALSE),VLOOKUP($I218&amp;$J218&amp;P$1,Pesos!$A:$I,9,FALSE)))</f>
        <v>0.1</v>
      </c>
      <c r="AO218" s="154">
        <f>IF(Q218="","",IF(Q218="SIM",VLOOKUP($I218&amp;$J218&amp;Q$1,Pesos!$A:$I,7,FALSE),VLOOKUP($I218&amp;$J218&amp;Q$1,Pesos!$A:$I,9,FALSE)))</f>
        <v>2</v>
      </c>
      <c r="AP218" s="154">
        <f>IF(R218="","",IF(R218="SIM",VLOOKUP($I218&amp;$J218&amp;R$1,Pesos!$A:$I,7,FALSE),VLOOKUP($I218&amp;$J218&amp;R$1,Pesos!$A:$I,9,FALSE)))</f>
        <v>1.03</v>
      </c>
      <c r="AQ218" s="154">
        <f>IF(S218="","",IF(S218="SIM",VLOOKUP($I218&amp;$J218&amp;S$1,Pesos!$A:$I,7,FALSE),VLOOKUP($I218&amp;$J218&amp;S$1,Pesos!$A:$I,9,FALSE)))</f>
        <v>1.7000000000000002</v>
      </c>
      <c r="AR218" s="156">
        <f>IF(T218="","",IF(T218="SIM",VLOOKUP($I218&amp;$J218&amp;T$1,Pesos!$A:$I,7,FALSE),VLOOKUP($I218&amp;$J218&amp;T$1,Pesos!$A:$I,9,FALSE)))</f>
        <v>1.92</v>
      </c>
      <c r="AS218" s="132">
        <f>IF(U218="","",IF(U218="SIM",VLOOKUP($I218&amp;$J218&amp;U$1,Pesos!$A:$I,7,FALSE),VLOOKUP($I218&amp;$J218&amp;U$1,Pesos!$A:$I,9,FALSE)))</f>
        <v>1.7000000000000002</v>
      </c>
      <c r="AT218" s="132">
        <f>IF(V218="","",IF(V218="SIM",VLOOKUP($I218&amp;$J218&amp;V$1,Pesos!$A:$I,7,FALSE),VLOOKUP($I218&amp;$J218&amp;V$1,Pesos!$A:$I,9,FALSE)))</f>
        <v>-1.4999999999999999E-2</v>
      </c>
      <c r="AU218" s="132">
        <f>IF(W218="","",IF(W218="SIM",VLOOKUP($I218&amp;$J218&amp;W$1,Pesos!$A:$I,7,FALSE),VLOOKUP($I218&amp;$J218&amp;W$1,Pesos!$A:$I,9,FALSE)))</f>
        <v>0.3</v>
      </c>
      <c r="AV218" s="132">
        <f>IF(X218="","",IF(X218="SIM",VLOOKUP($I218&amp;$J218&amp;X$1,Pesos!$A:$I,7,FALSE),VLOOKUP($I218&amp;$J218&amp;X$1,Pesos!$A:$I,9,FALSE)))</f>
        <v>0.15</v>
      </c>
      <c r="AW218" s="132">
        <f>IF(Y218="","",IF(Y218="SIM",VLOOKUP($I218&amp;$J218&amp;Y$1,Pesos!$A:$I,7,FALSE),VLOOKUP($I218&amp;$J218&amp;Y$1,Pesos!$A:$I,9,FALSE)))</f>
        <v>0.2</v>
      </c>
      <c r="AX218" s="132">
        <f>IF(Z218="","",IF(Z218="SIM",VLOOKUP($I218&amp;$J218&amp;Z$1,Pesos!$A:$I,7,FALSE),VLOOKUP($I218&amp;$J218&amp;Z$1,Pesos!$A:$I,9,FALSE)))</f>
        <v>0.3</v>
      </c>
      <c r="AY218" s="132">
        <f>IF(AA218="","",IF(AA218="SIM",VLOOKUP($I218&amp;$J218&amp;AA$1,Pesos!$A:$I,7,FALSE),VLOOKUP($I218&amp;$J218&amp;AA$1,Pesos!$A:$I,9,FALSE)))</f>
        <v>0.1</v>
      </c>
      <c r="AZ218" s="132" t="str">
        <f>IF(AB218="","",IF(AB218="SIM",VLOOKUP($I218&amp;$J218&amp;AB$1,Pesos!$A:$I,7,FALSE),VLOOKUP($I218&amp;$J218&amp;AB$1,Pesos!$A:$I,9,FALSE)))</f>
        <v/>
      </c>
      <c r="BA218" s="132" t="str">
        <f>IF(AC218="","",IF(AC218="SIM",VLOOKUP($I218&amp;$J218&amp;AC$1,Pesos!$A:$I,7,FALSE),VLOOKUP($I218&amp;$J218&amp;AC$1,Pesos!$A:$I,9,FALSE)))</f>
        <v/>
      </c>
      <c r="BB218" s="132" t="str">
        <f>IF(AD218="","",IF(AD218="SIM",VLOOKUP($I218&amp;$J218&amp;AD$1,Pesos!$A:$I,7,FALSE),VLOOKUP($I218&amp;$J218&amp;AD$1,Pesos!$A:$I,9,FALSE)))</f>
        <v/>
      </c>
      <c r="BC218" s="132" t="str">
        <f>IF(AE218="","",IF(AE218="SIM",VLOOKUP($I218&amp;$J218&amp;AE$1,Pesos!$A:$I,7,FALSE),VLOOKUP($I218&amp;$J218&amp;AE$1,Pesos!$A:$I,9,FALSE)))</f>
        <v/>
      </c>
      <c r="BD218" s="158">
        <f>IFERROR(AF218*VLOOKUP(J218,'BD Campos'!$X$1:$Y$14,2,FALSE),"0")</f>
        <v>9.6850000000000005</v>
      </c>
    </row>
    <row r="219" spans="1:56">
      <c r="A219" s="151" t="str">
        <f t="shared" si="15"/>
        <v>Jan11432Motorista 2TRANSFERÊNCIA</v>
      </c>
      <c r="B219" s="149" t="str">
        <f t="shared" si="16"/>
        <v>Jan114322TRANSFERÊNCIAPADRÃO</v>
      </c>
      <c r="C219" s="152">
        <v>1</v>
      </c>
      <c r="D219" s="153">
        <v>46058.626318634262</v>
      </c>
      <c r="E219" s="154" t="s">
        <v>12</v>
      </c>
      <c r="F219" s="155">
        <v>11432</v>
      </c>
      <c r="G219" s="149" t="s">
        <v>413</v>
      </c>
      <c r="H219" s="154">
        <v>2</v>
      </c>
      <c r="I219" s="149" t="s">
        <v>130</v>
      </c>
      <c r="J219" s="149" t="s">
        <v>97</v>
      </c>
      <c r="K219" s="149" t="s">
        <v>192</v>
      </c>
      <c r="L219" s="156">
        <v>34749052</v>
      </c>
      <c r="M219" s="157">
        <v>4.4791666666666669E-3</v>
      </c>
      <c r="N219" s="131" t="s">
        <v>17</v>
      </c>
      <c r="O219" s="131" t="s">
        <v>17</v>
      </c>
      <c r="P219" s="131" t="s">
        <v>17</v>
      </c>
      <c r="Q219" s="131" t="s">
        <v>17</v>
      </c>
      <c r="R219" s="131" t="s">
        <v>17</v>
      </c>
      <c r="S219" s="131" t="s">
        <v>17</v>
      </c>
      <c r="T219" s="131" t="s">
        <v>17</v>
      </c>
      <c r="U219" s="131" t="s">
        <v>17</v>
      </c>
      <c r="V219" s="131" t="s">
        <v>18</v>
      </c>
      <c r="W219" s="131" t="s">
        <v>17</v>
      </c>
      <c r="X219" s="131" t="s">
        <v>17</v>
      </c>
      <c r="Y219" s="131" t="s">
        <v>17</v>
      </c>
      <c r="Z219" s="131" t="s">
        <v>17</v>
      </c>
      <c r="AA219" s="131" t="s">
        <v>17</v>
      </c>
      <c r="AB219" s="131" t="s">
        <v>17</v>
      </c>
      <c r="AC219" s="131"/>
      <c r="AD219" s="131"/>
      <c r="AE219" s="131"/>
      <c r="AF219" s="158">
        <f t="shared" si="18"/>
        <v>8.5297999999999998</v>
      </c>
      <c r="AG219" s="159"/>
      <c r="AH219" s="155" t="s">
        <v>415</v>
      </c>
      <c r="AI219" s="155" t="s">
        <v>83</v>
      </c>
      <c r="AJ219" s="131" t="str">
        <f>IFERROR(VLOOKUP(E219&amp;F219,'Listagem dos op'!A:S,19,0),"")</f>
        <v/>
      </c>
      <c r="AK219" s="131" t="str">
        <f t="shared" si="17"/>
        <v>Jan11432</v>
      </c>
      <c r="AL219" s="154">
        <f>IF(N219="","",IF(N219="SIM",VLOOKUP($I219&amp;$J219&amp;N$1,Pesos!$A:$I,7,FALSE),VLOOKUP($I219&amp;$J219&amp;N$1,Pesos!$A:$I,9,FALSE)))</f>
        <v>0.1</v>
      </c>
      <c r="AM219" s="154">
        <f>IF(O219="","",IF(O219="SIM",VLOOKUP($I219&amp;$J219&amp;O$1,Pesos!$A:$I,7,FALSE),VLOOKUP($I219&amp;$J219&amp;O$1,Pesos!$A:$I,9,FALSE)))</f>
        <v>0.1</v>
      </c>
      <c r="AN219" s="154">
        <f>IF(P219="","",IF(P219="SIM",VLOOKUP($I219&amp;$J219&amp;P$1,Pesos!$A:$I,7,FALSE),VLOOKUP($I219&amp;$J219&amp;P$1,Pesos!$A:$I,9,FALSE)))</f>
        <v>0.1</v>
      </c>
      <c r="AO219" s="154">
        <f>IF(Q219="","",IF(Q219="SIM",VLOOKUP($I219&amp;$J219&amp;Q$1,Pesos!$A:$I,7,FALSE),VLOOKUP($I219&amp;$J219&amp;Q$1,Pesos!$A:$I,9,FALSE)))</f>
        <v>2</v>
      </c>
      <c r="AP219" s="154">
        <f>IF(R219="","",IF(R219="SIM",VLOOKUP($I219&amp;$J219&amp;R$1,Pesos!$A:$I,7,FALSE),VLOOKUP($I219&amp;$J219&amp;R$1,Pesos!$A:$I,9,FALSE)))</f>
        <v>1.03</v>
      </c>
      <c r="AQ219" s="154">
        <f>IF(S219="","",IF(S219="SIM",VLOOKUP($I219&amp;$J219&amp;S$1,Pesos!$A:$I,7,FALSE),VLOOKUP($I219&amp;$J219&amp;S$1,Pesos!$A:$I,9,FALSE)))</f>
        <v>1.3</v>
      </c>
      <c r="AR219" s="156">
        <f>IF(T219="","",IF(T219="SIM",VLOOKUP($I219&amp;$J219&amp;T$1,Pesos!$A:$I,7,FALSE),VLOOKUP($I219&amp;$J219&amp;T$1,Pesos!$A:$I,9,FALSE)))</f>
        <v>1.3</v>
      </c>
      <c r="AS219" s="132">
        <f>IF(U219="","",IF(U219="SIM",VLOOKUP($I219&amp;$J219&amp;U$1,Pesos!$A:$I,7,FALSE),VLOOKUP($I219&amp;$J219&amp;U$1,Pesos!$A:$I,9,FALSE)))</f>
        <v>1.32</v>
      </c>
      <c r="AT219" s="132">
        <f>IF(V219="","",IF(V219="SIM",VLOOKUP($I219&amp;$J219&amp;V$1,Pesos!$A:$I,7,FALSE),VLOOKUP($I219&amp;$J219&amp;V$1,Pesos!$A:$I,9,FALSE)))</f>
        <v>-7.0199999999999999E-2</v>
      </c>
      <c r="AU219" s="132">
        <f>IF(W219="","",IF(W219="SIM",VLOOKUP($I219&amp;$J219&amp;W$1,Pesos!$A:$I,7,FALSE),VLOOKUP($I219&amp;$J219&amp;W$1,Pesos!$A:$I,9,FALSE)))</f>
        <v>0.3</v>
      </c>
      <c r="AV219" s="132">
        <f>IF(X219="","",IF(X219="SIM",VLOOKUP($I219&amp;$J219&amp;X$1,Pesos!$A:$I,7,FALSE),VLOOKUP($I219&amp;$J219&amp;X$1,Pesos!$A:$I,9,FALSE)))</f>
        <v>0.3</v>
      </c>
      <c r="AW219" s="132">
        <f>IF(Y219="","",IF(Y219="SIM",VLOOKUP($I219&amp;$J219&amp;Y$1,Pesos!$A:$I,7,FALSE),VLOOKUP($I219&amp;$J219&amp;Y$1,Pesos!$A:$I,9,FALSE)))</f>
        <v>0.15</v>
      </c>
      <c r="AX219" s="132">
        <f>IF(Z219="","",IF(Z219="SIM",VLOOKUP($I219&amp;$J219&amp;Z$1,Pesos!$A:$I,7,FALSE),VLOOKUP($I219&amp;$J219&amp;Z$1,Pesos!$A:$I,9,FALSE)))</f>
        <v>0.2</v>
      </c>
      <c r="AY219" s="132">
        <f>IF(AA219="","",IF(AA219="SIM",VLOOKUP($I219&amp;$J219&amp;AA$1,Pesos!$A:$I,7,FALSE),VLOOKUP($I219&amp;$J219&amp;AA$1,Pesos!$A:$I,9,FALSE)))</f>
        <v>0.3</v>
      </c>
      <c r="AZ219" s="132">
        <f>IF(AB219="","",IF(AB219="SIM",VLOOKUP($I219&amp;$J219&amp;AB$1,Pesos!$A:$I,7,FALSE),VLOOKUP($I219&amp;$J219&amp;AB$1,Pesos!$A:$I,9,FALSE)))</f>
        <v>0.1</v>
      </c>
      <c r="BA219" s="132" t="str">
        <f>IF(AC219="","",IF(AC219="SIM",VLOOKUP($I219&amp;$J219&amp;AC$1,Pesos!$A:$I,7,FALSE),VLOOKUP($I219&amp;$J219&amp;AC$1,Pesos!$A:$I,9,FALSE)))</f>
        <v/>
      </c>
      <c r="BB219" s="132" t="str">
        <f>IF(AD219="","",IF(AD219="SIM",VLOOKUP($I219&amp;$J219&amp;AD$1,Pesos!$A:$I,7,FALSE),VLOOKUP($I219&amp;$J219&amp;AD$1,Pesos!$A:$I,9,FALSE)))</f>
        <v/>
      </c>
      <c r="BC219" s="132" t="str">
        <f>IF(AE219="","",IF(AE219="SIM",VLOOKUP($I219&amp;$J219&amp;AE$1,Pesos!$A:$I,7,FALSE),VLOOKUP($I219&amp;$J219&amp;AE$1,Pesos!$A:$I,9,FALSE)))</f>
        <v/>
      </c>
      <c r="BD219" s="158">
        <f>IFERROR(AF219*VLOOKUP(J219,'BD Campos'!$X$1:$Y$14,2,FALSE),"0")</f>
        <v>8.5297999999999998</v>
      </c>
    </row>
    <row r="220" spans="1:56">
      <c r="A220" s="151" t="str">
        <f t="shared" si="15"/>
        <v>Jan11379MotoristaTRANSFERÊNCIA</v>
      </c>
      <c r="B220" s="149" t="str">
        <f t="shared" si="16"/>
        <v>Jan113791TRANSFERÊNCIAPADRÃO</v>
      </c>
      <c r="C220" s="152">
        <v>1</v>
      </c>
      <c r="D220" s="153">
        <v>46058.645568055559</v>
      </c>
      <c r="E220" s="154" t="s">
        <v>12</v>
      </c>
      <c r="F220" s="155">
        <v>11379</v>
      </c>
      <c r="G220" s="149" t="s">
        <v>416</v>
      </c>
      <c r="H220" s="154">
        <v>1</v>
      </c>
      <c r="I220" s="149" t="s">
        <v>130</v>
      </c>
      <c r="J220" s="149" t="s">
        <v>93</v>
      </c>
      <c r="K220" s="149" t="s">
        <v>192</v>
      </c>
      <c r="L220" s="156">
        <v>34507286</v>
      </c>
      <c r="M220" s="157">
        <v>3.0092592592592588E-3</v>
      </c>
      <c r="N220" s="131" t="s">
        <v>17</v>
      </c>
      <c r="O220" s="131" t="s">
        <v>17</v>
      </c>
      <c r="P220" s="131" t="s">
        <v>17</v>
      </c>
      <c r="Q220" s="131" t="s">
        <v>17</v>
      </c>
      <c r="R220" s="131" t="s">
        <v>17</v>
      </c>
      <c r="S220" s="131" t="s">
        <v>18</v>
      </c>
      <c r="T220" s="131" t="s">
        <v>17</v>
      </c>
      <c r="U220" s="131" t="s">
        <v>17</v>
      </c>
      <c r="V220" s="131" t="s">
        <v>17</v>
      </c>
      <c r="W220" s="131" t="s">
        <v>17</v>
      </c>
      <c r="X220" s="131" t="s">
        <v>17</v>
      </c>
      <c r="Y220" s="131" t="s">
        <v>17</v>
      </c>
      <c r="Z220" s="131" t="s">
        <v>17</v>
      </c>
      <c r="AA220" s="131" t="s">
        <v>17</v>
      </c>
      <c r="AB220" s="131" t="s">
        <v>17</v>
      </c>
      <c r="AC220" s="131"/>
      <c r="AD220" s="131"/>
      <c r="AE220" s="131"/>
      <c r="AF220" s="158">
        <f t="shared" si="18"/>
        <v>8.6389999999999993</v>
      </c>
      <c r="AG220" s="159"/>
      <c r="AH220" s="155" t="s">
        <v>417</v>
      </c>
      <c r="AI220" s="155" t="s">
        <v>83</v>
      </c>
      <c r="AJ220" s="131" t="str">
        <f>IFERROR(VLOOKUP(E220&amp;F220,'Listagem dos op'!A:S,19,0),"")</f>
        <v/>
      </c>
      <c r="AK220" s="131" t="str">
        <f t="shared" si="17"/>
        <v>Jan11379</v>
      </c>
      <c r="AL220" s="154">
        <f>IF(N220="","",IF(N220="SIM",VLOOKUP($I220&amp;$J220&amp;N$1,Pesos!$A:$I,7,FALSE),VLOOKUP($I220&amp;$J220&amp;N$1,Pesos!$A:$I,9,FALSE)))</f>
        <v>0.1</v>
      </c>
      <c r="AM220" s="154">
        <f>IF(O220="","",IF(O220="SIM",VLOOKUP($I220&amp;$J220&amp;O$1,Pesos!$A:$I,7,FALSE),VLOOKUP($I220&amp;$J220&amp;O$1,Pesos!$A:$I,9,FALSE)))</f>
        <v>0.1</v>
      </c>
      <c r="AN220" s="154">
        <f>IF(P220="","",IF(P220="SIM",VLOOKUP($I220&amp;$J220&amp;P$1,Pesos!$A:$I,7,FALSE),VLOOKUP($I220&amp;$J220&amp;P$1,Pesos!$A:$I,9,FALSE)))</f>
        <v>0.1</v>
      </c>
      <c r="AO220" s="154">
        <f>IF(Q220="","",IF(Q220="SIM",VLOOKUP($I220&amp;$J220&amp;Q$1,Pesos!$A:$I,7,FALSE),VLOOKUP($I220&amp;$J220&amp;Q$1,Pesos!$A:$I,9,FALSE)))</f>
        <v>2</v>
      </c>
      <c r="AP220" s="154">
        <f>IF(R220="","",IF(R220="SIM",VLOOKUP($I220&amp;$J220&amp;R$1,Pesos!$A:$I,7,FALSE),VLOOKUP($I220&amp;$J220&amp;R$1,Pesos!$A:$I,9,FALSE)))</f>
        <v>1.03</v>
      </c>
      <c r="AQ220" s="154">
        <f>IF(S220="","",IF(S220="SIM",VLOOKUP($I220&amp;$J220&amp;S$1,Pesos!$A:$I,7,FALSE),VLOOKUP($I220&amp;$J220&amp;S$1,Pesos!$A:$I,9,FALSE)))</f>
        <v>-6.5000000000000002E-2</v>
      </c>
      <c r="AR220" s="156">
        <f>IF(T220="","",IF(T220="SIM",VLOOKUP($I220&amp;$J220&amp;T$1,Pesos!$A:$I,7,FALSE),VLOOKUP($I220&amp;$J220&amp;T$1,Pesos!$A:$I,9,FALSE)))</f>
        <v>1.3</v>
      </c>
      <c r="AS220" s="132">
        <f>IF(U220="","",IF(U220="SIM",VLOOKUP($I220&amp;$J220&amp;U$1,Pesos!$A:$I,7,FALSE),VLOOKUP($I220&amp;$J220&amp;U$1,Pesos!$A:$I,9,FALSE)))</f>
        <v>1.32</v>
      </c>
      <c r="AT220" s="132">
        <f>IF(V220="","",IF(V220="SIM",VLOOKUP($I220&amp;$J220&amp;V$1,Pesos!$A:$I,7,FALSE),VLOOKUP($I220&amp;$J220&amp;V$1,Pesos!$A:$I,9,FALSE)))</f>
        <v>1.4039999999999999</v>
      </c>
      <c r="AU220" s="132">
        <f>IF(W220="","",IF(W220="SIM",VLOOKUP($I220&amp;$J220&amp;W$1,Pesos!$A:$I,7,FALSE),VLOOKUP($I220&amp;$J220&amp;W$1,Pesos!$A:$I,9,FALSE)))</f>
        <v>0.3</v>
      </c>
      <c r="AV220" s="132">
        <f>IF(X220="","",IF(X220="SIM",VLOOKUP($I220&amp;$J220&amp;X$1,Pesos!$A:$I,7,FALSE),VLOOKUP($I220&amp;$J220&amp;X$1,Pesos!$A:$I,9,FALSE)))</f>
        <v>0.3</v>
      </c>
      <c r="AW220" s="132">
        <f>IF(Y220="","",IF(Y220="SIM",VLOOKUP($I220&amp;$J220&amp;Y$1,Pesos!$A:$I,7,FALSE),VLOOKUP($I220&amp;$J220&amp;Y$1,Pesos!$A:$I,9,FALSE)))</f>
        <v>0.15</v>
      </c>
      <c r="AX220" s="132">
        <f>IF(Z220="","",IF(Z220="SIM",VLOOKUP($I220&amp;$J220&amp;Z$1,Pesos!$A:$I,7,FALSE),VLOOKUP($I220&amp;$J220&amp;Z$1,Pesos!$A:$I,9,FALSE)))</f>
        <v>0.2</v>
      </c>
      <c r="AY220" s="132">
        <f>IF(AA220="","",IF(AA220="SIM",VLOOKUP($I220&amp;$J220&amp;AA$1,Pesos!$A:$I,7,FALSE),VLOOKUP($I220&amp;$J220&amp;AA$1,Pesos!$A:$I,9,FALSE)))</f>
        <v>0.3</v>
      </c>
      <c r="AZ220" s="132">
        <f>IF(AB220="","",IF(AB220="SIM",VLOOKUP($I220&amp;$J220&amp;AB$1,Pesos!$A:$I,7,FALSE),VLOOKUP($I220&amp;$J220&amp;AB$1,Pesos!$A:$I,9,FALSE)))</f>
        <v>0.1</v>
      </c>
      <c r="BA220" s="132" t="str">
        <f>IF(AC220="","",IF(AC220="SIM",VLOOKUP($I220&amp;$J220&amp;AC$1,Pesos!$A:$I,7,FALSE),VLOOKUP($I220&amp;$J220&amp;AC$1,Pesos!$A:$I,9,FALSE)))</f>
        <v/>
      </c>
      <c r="BB220" s="132" t="str">
        <f>IF(AD220="","",IF(AD220="SIM",VLOOKUP($I220&amp;$J220&amp;AD$1,Pesos!$A:$I,7,FALSE),VLOOKUP($I220&amp;$J220&amp;AD$1,Pesos!$A:$I,9,FALSE)))</f>
        <v/>
      </c>
      <c r="BC220" s="132" t="str">
        <f>IF(AE220="","",IF(AE220="SIM",VLOOKUP($I220&amp;$J220&amp;AE$1,Pesos!$A:$I,7,FALSE),VLOOKUP($I220&amp;$J220&amp;AE$1,Pesos!$A:$I,9,FALSE)))</f>
        <v/>
      </c>
      <c r="BD220" s="158">
        <f>IFERROR(AF220*VLOOKUP(J220,'BD Campos'!$X$1:$Y$14,2,FALSE),"0")</f>
        <v>8.6389999999999993</v>
      </c>
    </row>
    <row r="221" spans="1:56">
      <c r="A221" s="151" t="str">
        <f t="shared" si="15"/>
        <v>Jan11379Motorista 2TRANSFERÊNCIA</v>
      </c>
      <c r="B221" s="149" t="str">
        <f t="shared" si="16"/>
        <v>Jan113792TRANSFERÊNCIAPADRÃO</v>
      </c>
      <c r="C221" s="152">
        <v>1</v>
      </c>
      <c r="D221" s="153">
        <v>46058.659318402781</v>
      </c>
      <c r="E221" s="154" t="s">
        <v>12</v>
      </c>
      <c r="F221" s="155">
        <v>11379</v>
      </c>
      <c r="G221" s="149" t="s">
        <v>416</v>
      </c>
      <c r="H221" s="154">
        <v>2</v>
      </c>
      <c r="I221" s="149" t="s">
        <v>96</v>
      </c>
      <c r="J221" s="149" t="s">
        <v>97</v>
      </c>
      <c r="K221" s="149" t="s">
        <v>192</v>
      </c>
      <c r="L221" s="156">
        <v>34805965</v>
      </c>
      <c r="M221" s="157">
        <v>3.414351851851852E-3</v>
      </c>
      <c r="N221" s="131" t="s">
        <v>17</v>
      </c>
      <c r="O221" s="131" t="s">
        <v>17</v>
      </c>
      <c r="P221" s="131" t="s">
        <v>17</v>
      </c>
      <c r="Q221" s="131" t="s">
        <v>17</v>
      </c>
      <c r="R221" s="131" t="s">
        <v>17</v>
      </c>
      <c r="S221" s="131" t="s">
        <v>17</v>
      </c>
      <c r="T221" s="131" t="s">
        <v>17</v>
      </c>
      <c r="U221" s="131" t="s">
        <v>18</v>
      </c>
      <c r="V221" s="131" t="s">
        <v>18</v>
      </c>
      <c r="W221" s="131" t="s">
        <v>17</v>
      </c>
      <c r="X221" s="131" t="s">
        <v>17</v>
      </c>
      <c r="Y221" s="131" t="s">
        <v>18</v>
      </c>
      <c r="Z221" s="131" t="s">
        <v>17</v>
      </c>
      <c r="AA221" s="131" t="s">
        <v>17</v>
      </c>
      <c r="AB221" s="131" t="s">
        <v>17</v>
      </c>
      <c r="AC221" s="131"/>
      <c r="AD221" s="131"/>
      <c r="AE221" s="131"/>
      <c r="AF221" s="158">
        <f t="shared" si="18"/>
        <v>7.6374999999999984</v>
      </c>
      <c r="AG221" s="159"/>
      <c r="AH221" s="155" t="s">
        <v>418</v>
      </c>
      <c r="AI221" s="155" t="s">
        <v>83</v>
      </c>
      <c r="AJ221" s="131" t="str">
        <f>IFERROR(VLOOKUP(E221&amp;F221,'Listagem dos op'!A:S,19,0),"")</f>
        <v/>
      </c>
      <c r="AK221" s="131" t="str">
        <f t="shared" si="17"/>
        <v>Jan11379</v>
      </c>
      <c r="AL221" s="154">
        <f>IF(N221="","",IF(N221="SIM",VLOOKUP($I221&amp;$J221&amp;N$1,Pesos!$A:$I,7,FALSE),VLOOKUP($I221&amp;$J221&amp;N$1,Pesos!$A:$I,9,FALSE)))</f>
        <v>0.1</v>
      </c>
      <c r="AM221" s="154">
        <f>IF(O221="","",IF(O221="SIM",VLOOKUP($I221&amp;$J221&amp;O$1,Pesos!$A:$I,7,FALSE),VLOOKUP($I221&amp;$J221&amp;O$1,Pesos!$A:$I,9,FALSE)))</f>
        <v>0.1</v>
      </c>
      <c r="AN221" s="154">
        <f>IF(P221="","",IF(P221="SIM",VLOOKUP($I221&amp;$J221&amp;P$1,Pesos!$A:$I,7,FALSE),VLOOKUP($I221&amp;$J221&amp;P$1,Pesos!$A:$I,9,FALSE)))</f>
        <v>0.1</v>
      </c>
      <c r="AO221" s="154">
        <f>IF(Q221="","",IF(Q221="SIM",VLOOKUP($I221&amp;$J221&amp;Q$1,Pesos!$A:$I,7,FALSE),VLOOKUP($I221&amp;$J221&amp;Q$1,Pesos!$A:$I,9,FALSE)))</f>
        <v>2</v>
      </c>
      <c r="AP221" s="154">
        <f>IF(R221="","",IF(R221="SIM",VLOOKUP($I221&amp;$J221&amp;R$1,Pesos!$A:$I,7,FALSE),VLOOKUP($I221&amp;$J221&amp;R$1,Pesos!$A:$I,9,FALSE)))</f>
        <v>1.03</v>
      </c>
      <c r="AQ221" s="154">
        <f>IF(S221="","",IF(S221="SIM",VLOOKUP($I221&amp;$J221&amp;S$1,Pesos!$A:$I,7,FALSE),VLOOKUP($I221&amp;$J221&amp;S$1,Pesos!$A:$I,9,FALSE)))</f>
        <v>1.22</v>
      </c>
      <c r="AR221" s="156">
        <f>IF(T221="","",IF(T221="SIM",VLOOKUP($I221&amp;$J221&amp;T$1,Pesos!$A:$I,7,FALSE),VLOOKUP($I221&amp;$J221&amp;T$1,Pesos!$A:$I,9,FALSE)))</f>
        <v>2</v>
      </c>
      <c r="AS221" s="132">
        <f>IF(U221="","",IF(U221="SIM",VLOOKUP($I221&amp;$J221&amp;U$1,Pesos!$A:$I,7,FALSE),VLOOKUP($I221&amp;$J221&amp;U$1,Pesos!$A:$I,9,FALSE)))</f>
        <v>-5.2500000000000005E-2</v>
      </c>
      <c r="AT221" s="132">
        <f>IF(V221="","",IF(V221="SIM",VLOOKUP($I221&amp;$J221&amp;V$1,Pesos!$A:$I,7,FALSE),VLOOKUP($I221&amp;$J221&amp;V$1,Pesos!$A:$I,9,FALSE)))</f>
        <v>-5.2500000000000005E-2</v>
      </c>
      <c r="AU221" s="132">
        <f>IF(W221="","",IF(W221="SIM",VLOOKUP($I221&amp;$J221&amp;W$1,Pesos!$A:$I,7,FALSE),VLOOKUP($I221&amp;$J221&amp;W$1,Pesos!$A:$I,9,FALSE)))</f>
        <v>0.3</v>
      </c>
      <c r="AV221" s="132">
        <f>IF(X221="","",IF(X221="SIM",VLOOKUP($I221&amp;$J221&amp;X$1,Pesos!$A:$I,7,FALSE),VLOOKUP($I221&amp;$J221&amp;X$1,Pesos!$A:$I,9,FALSE)))</f>
        <v>0.3</v>
      </c>
      <c r="AW221" s="132">
        <f>IF(Y221="","",IF(Y221="SIM",VLOOKUP($I221&amp;$J221&amp;Y$1,Pesos!$A:$I,7,FALSE),VLOOKUP($I221&amp;$J221&amp;Y$1,Pesos!$A:$I,9,FALSE)))</f>
        <v>-7.4999999999999997E-3</v>
      </c>
      <c r="AX221" s="132">
        <f>IF(Z221="","",IF(Z221="SIM",VLOOKUP($I221&amp;$J221&amp;Z$1,Pesos!$A:$I,7,FALSE),VLOOKUP($I221&amp;$J221&amp;Z$1,Pesos!$A:$I,9,FALSE)))</f>
        <v>0.2</v>
      </c>
      <c r="AY221" s="132">
        <f>IF(AA221="","",IF(AA221="SIM",VLOOKUP($I221&amp;$J221&amp;AA$1,Pesos!$A:$I,7,FALSE),VLOOKUP($I221&amp;$J221&amp;AA$1,Pesos!$A:$I,9,FALSE)))</f>
        <v>0.3</v>
      </c>
      <c r="AZ221" s="132">
        <f>IF(AB221="","",IF(AB221="SIM",VLOOKUP($I221&amp;$J221&amp;AB$1,Pesos!$A:$I,7,FALSE),VLOOKUP($I221&amp;$J221&amp;AB$1,Pesos!$A:$I,9,FALSE)))</f>
        <v>0.1</v>
      </c>
      <c r="BA221" s="132" t="str">
        <f>IF(AC221="","",IF(AC221="SIM",VLOOKUP($I221&amp;$J221&amp;AC$1,Pesos!$A:$I,7,FALSE),VLOOKUP($I221&amp;$J221&amp;AC$1,Pesos!$A:$I,9,FALSE)))</f>
        <v/>
      </c>
      <c r="BB221" s="132" t="str">
        <f>IF(AD221="","",IF(AD221="SIM",VLOOKUP($I221&amp;$J221&amp;AD$1,Pesos!$A:$I,7,FALSE),VLOOKUP($I221&amp;$J221&amp;AD$1,Pesos!$A:$I,9,FALSE)))</f>
        <v/>
      </c>
      <c r="BC221" s="132" t="str">
        <f>IF(AE221="","",IF(AE221="SIM",VLOOKUP($I221&amp;$J221&amp;AE$1,Pesos!$A:$I,7,FALSE),VLOOKUP($I221&amp;$J221&amp;AE$1,Pesos!$A:$I,9,FALSE)))</f>
        <v/>
      </c>
      <c r="BD221" s="158">
        <f>IFERROR(AF221*VLOOKUP(J221,'BD Campos'!$X$1:$Y$14,2,FALSE),"0")</f>
        <v>7.6374999999999984</v>
      </c>
    </row>
    <row r="222" spans="1:56">
      <c r="A222" s="151" t="str">
        <f t="shared" si="15"/>
        <v>Jan11374MotoristaTRANSFERÊNCIA</v>
      </c>
      <c r="B222" s="149" t="str">
        <f t="shared" si="16"/>
        <v>Jan113741TRANSFERÊNCIAPADRÃO</v>
      </c>
      <c r="C222" s="152">
        <v>1</v>
      </c>
      <c r="D222" s="153">
        <v>46058.661676967589</v>
      </c>
      <c r="E222" s="154" t="s">
        <v>12</v>
      </c>
      <c r="F222" s="155">
        <v>11374</v>
      </c>
      <c r="G222" s="149" t="s">
        <v>419</v>
      </c>
      <c r="H222" s="154">
        <v>1</v>
      </c>
      <c r="I222" s="149" t="s">
        <v>92</v>
      </c>
      <c r="J222" s="149" t="s">
        <v>93</v>
      </c>
      <c r="K222" s="149" t="s">
        <v>192</v>
      </c>
      <c r="L222" s="156">
        <v>34561063</v>
      </c>
      <c r="M222" s="157">
        <v>1.5046296296296294E-3</v>
      </c>
      <c r="N222" s="131" t="s">
        <v>17</v>
      </c>
      <c r="O222" s="131" t="s">
        <v>17</v>
      </c>
      <c r="P222" s="131" t="s">
        <v>17</v>
      </c>
      <c r="Q222" s="131" t="s">
        <v>17</v>
      </c>
      <c r="R222" s="131" t="s">
        <v>17</v>
      </c>
      <c r="S222" s="131" t="s">
        <v>18</v>
      </c>
      <c r="T222" s="131" t="s">
        <v>17</v>
      </c>
      <c r="U222" s="131" t="s">
        <v>17</v>
      </c>
      <c r="V222" s="131" t="s">
        <v>17</v>
      </c>
      <c r="W222" s="131" t="s">
        <v>17</v>
      </c>
      <c r="X222" s="131" t="s">
        <v>17</v>
      </c>
      <c r="Y222" s="131" t="s">
        <v>17</v>
      </c>
      <c r="Z222" s="131" t="s">
        <v>17</v>
      </c>
      <c r="AA222" s="131" t="s">
        <v>17</v>
      </c>
      <c r="AB222" s="131"/>
      <c r="AC222" s="131"/>
      <c r="AD222" s="131"/>
      <c r="AE222" s="131"/>
      <c r="AF222" s="158">
        <f t="shared" si="18"/>
        <v>8.2149999999999999</v>
      </c>
      <c r="AG222" s="159"/>
      <c r="AH222" s="155" t="s">
        <v>420</v>
      </c>
      <c r="AI222" s="155" t="s">
        <v>83</v>
      </c>
      <c r="AJ222" s="131" t="str">
        <f>IFERROR(VLOOKUP(E222&amp;F222,'Listagem dos op'!A:S,19,0),"")</f>
        <v/>
      </c>
      <c r="AK222" s="131" t="str">
        <f t="shared" si="17"/>
        <v>Jan11374</v>
      </c>
      <c r="AL222" s="154">
        <f>IF(N222="","",IF(N222="SIM",VLOOKUP($I222&amp;$J222&amp;N$1,Pesos!$A:$I,7,FALSE),VLOOKUP($I222&amp;$J222&amp;N$1,Pesos!$A:$I,9,FALSE)))</f>
        <v>0.1</v>
      </c>
      <c r="AM222" s="154">
        <f>IF(O222="","",IF(O222="SIM",VLOOKUP($I222&amp;$J222&amp;O$1,Pesos!$A:$I,7,FALSE),VLOOKUP($I222&amp;$J222&amp;O$1,Pesos!$A:$I,9,FALSE)))</f>
        <v>0.1</v>
      </c>
      <c r="AN222" s="154">
        <f>IF(P222="","",IF(P222="SIM",VLOOKUP($I222&amp;$J222&amp;P$1,Pesos!$A:$I,7,FALSE),VLOOKUP($I222&amp;$J222&amp;P$1,Pesos!$A:$I,9,FALSE)))</f>
        <v>0.1</v>
      </c>
      <c r="AO222" s="154">
        <f>IF(Q222="","",IF(Q222="SIM",VLOOKUP($I222&amp;$J222&amp;Q$1,Pesos!$A:$I,7,FALSE),VLOOKUP($I222&amp;$J222&amp;Q$1,Pesos!$A:$I,9,FALSE)))</f>
        <v>2</v>
      </c>
      <c r="AP222" s="154">
        <f>IF(R222="","",IF(R222="SIM",VLOOKUP($I222&amp;$J222&amp;R$1,Pesos!$A:$I,7,FALSE),VLOOKUP($I222&amp;$J222&amp;R$1,Pesos!$A:$I,9,FALSE)))</f>
        <v>1.03</v>
      </c>
      <c r="AQ222" s="154">
        <f>IF(S222="","",IF(S222="SIM",VLOOKUP($I222&amp;$J222&amp;S$1,Pesos!$A:$I,7,FALSE),VLOOKUP($I222&amp;$J222&amp;S$1,Pesos!$A:$I,9,FALSE)))</f>
        <v>-8.500000000000002E-2</v>
      </c>
      <c r="AR222" s="156">
        <f>IF(T222="","",IF(T222="SIM",VLOOKUP($I222&amp;$J222&amp;T$1,Pesos!$A:$I,7,FALSE),VLOOKUP($I222&amp;$J222&amp;T$1,Pesos!$A:$I,9,FALSE)))</f>
        <v>1.92</v>
      </c>
      <c r="AS222" s="132">
        <f>IF(U222="","",IF(U222="SIM",VLOOKUP($I222&amp;$J222&amp;U$1,Pesos!$A:$I,7,FALSE),VLOOKUP($I222&amp;$J222&amp;U$1,Pesos!$A:$I,9,FALSE)))</f>
        <v>1.7000000000000002</v>
      </c>
      <c r="AT222" s="132">
        <f>IF(V222="","",IF(V222="SIM",VLOOKUP($I222&amp;$J222&amp;V$1,Pesos!$A:$I,7,FALSE),VLOOKUP($I222&amp;$J222&amp;V$1,Pesos!$A:$I,9,FALSE)))</f>
        <v>0.3</v>
      </c>
      <c r="AU222" s="132">
        <f>IF(W222="","",IF(W222="SIM",VLOOKUP($I222&amp;$J222&amp;W$1,Pesos!$A:$I,7,FALSE),VLOOKUP($I222&amp;$J222&amp;W$1,Pesos!$A:$I,9,FALSE)))</f>
        <v>0.3</v>
      </c>
      <c r="AV222" s="132">
        <f>IF(X222="","",IF(X222="SIM",VLOOKUP($I222&amp;$J222&amp;X$1,Pesos!$A:$I,7,FALSE),VLOOKUP($I222&amp;$J222&amp;X$1,Pesos!$A:$I,9,FALSE)))</f>
        <v>0.15</v>
      </c>
      <c r="AW222" s="132">
        <f>IF(Y222="","",IF(Y222="SIM",VLOOKUP($I222&amp;$J222&amp;Y$1,Pesos!$A:$I,7,FALSE),VLOOKUP($I222&amp;$J222&amp;Y$1,Pesos!$A:$I,9,FALSE)))</f>
        <v>0.2</v>
      </c>
      <c r="AX222" s="132">
        <f>IF(Z222="","",IF(Z222="SIM",VLOOKUP($I222&amp;$J222&amp;Z$1,Pesos!$A:$I,7,FALSE),VLOOKUP($I222&amp;$J222&amp;Z$1,Pesos!$A:$I,9,FALSE)))</f>
        <v>0.3</v>
      </c>
      <c r="AY222" s="132">
        <f>IF(AA222="","",IF(AA222="SIM",VLOOKUP($I222&amp;$J222&amp;AA$1,Pesos!$A:$I,7,FALSE),VLOOKUP($I222&amp;$J222&amp;AA$1,Pesos!$A:$I,9,FALSE)))</f>
        <v>0.1</v>
      </c>
      <c r="AZ222" s="132" t="str">
        <f>IF(AB222="","",IF(AB222="SIM",VLOOKUP($I222&amp;$J222&amp;AB$1,Pesos!$A:$I,7,FALSE),VLOOKUP($I222&amp;$J222&amp;AB$1,Pesos!$A:$I,9,FALSE)))</f>
        <v/>
      </c>
      <c r="BA222" s="132" t="str">
        <f>IF(AC222="","",IF(AC222="SIM",VLOOKUP($I222&amp;$J222&amp;AC$1,Pesos!$A:$I,7,FALSE),VLOOKUP($I222&amp;$J222&amp;AC$1,Pesos!$A:$I,9,FALSE)))</f>
        <v/>
      </c>
      <c r="BB222" s="132" t="str">
        <f>IF(AD222="","",IF(AD222="SIM",VLOOKUP($I222&amp;$J222&amp;AD$1,Pesos!$A:$I,7,FALSE),VLOOKUP($I222&amp;$J222&amp;AD$1,Pesos!$A:$I,9,FALSE)))</f>
        <v/>
      </c>
      <c r="BC222" s="132" t="str">
        <f>IF(AE222="","",IF(AE222="SIM",VLOOKUP($I222&amp;$J222&amp;AE$1,Pesos!$A:$I,7,FALSE),VLOOKUP($I222&amp;$J222&amp;AE$1,Pesos!$A:$I,9,FALSE)))</f>
        <v/>
      </c>
      <c r="BD222" s="158">
        <f>IFERROR(AF222*VLOOKUP(J222,'BD Campos'!$X$1:$Y$14,2,FALSE),"0")</f>
        <v>8.2149999999999999</v>
      </c>
    </row>
    <row r="223" spans="1:56">
      <c r="A223" s="151" t="str">
        <f t="shared" si="15"/>
        <v>Jan11374Motorista 2TRANSFERÊNCIA</v>
      </c>
      <c r="B223" s="149" t="str">
        <f t="shared" si="16"/>
        <v>Jan113742TRANSFERÊNCIAPADRÃO</v>
      </c>
      <c r="C223" s="152">
        <v>1</v>
      </c>
      <c r="D223" s="153">
        <v>46058.667999884259</v>
      </c>
      <c r="E223" s="154" t="s">
        <v>12</v>
      </c>
      <c r="F223" s="155">
        <v>11374</v>
      </c>
      <c r="G223" s="149" t="s">
        <v>419</v>
      </c>
      <c r="H223" s="154">
        <v>2</v>
      </c>
      <c r="I223" s="149" t="s">
        <v>96</v>
      </c>
      <c r="J223" s="149" t="s">
        <v>97</v>
      </c>
      <c r="K223" s="149" t="s">
        <v>192</v>
      </c>
      <c r="L223" s="156">
        <v>34603848</v>
      </c>
      <c r="M223" s="157">
        <v>1.4814814814814814E-3</v>
      </c>
      <c r="N223" s="131"/>
      <c r="O223" s="131"/>
      <c r="P223" s="131"/>
      <c r="Q223" s="131"/>
      <c r="R223" s="131"/>
      <c r="S223" s="131"/>
      <c r="T223" s="131"/>
      <c r="U223" s="131"/>
      <c r="V223" s="131"/>
      <c r="W223" s="131"/>
      <c r="X223" s="131"/>
      <c r="Y223" s="131"/>
      <c r="Z223" s="131"/>
      <c r="AA223" s="131"/>
      <c r="AB223" s="131"/>
      <c r="AC223" s="131"/>
      <c r="AD223" s="131"/>
      <c r="AE223" s="131"/>
      <c r="AF223" s="158">
        <f t="shared" si="18"/>
        <v>0</v>
      </c>
      <c r="AG223" s="159" t="s">
        <v>111</v>
      </c>
      <c r="AH223" s="155" t="s">
        <v>421</v>
      </c>
      <c r="AI223" s="155" t="s">
        <v>83</v>
      </c>
      <c r="AJ223" s="131" t="str">
        <f>IFERROR(VLOOKUP(E223&amp;F223,'Listagem dos op'!A:S,19,0),"")</f>
        <v/>
      </c>
      <c r="AK223" s="131" t="str">
        <f t="shared" si="17"/>
        <v>Jan11374</v>
      </c>
      <c r="AL223" s="154" t="str">
        <f>IF(N223="","",IF(N223="SIM",VLOOKUP($I223&amp;$J223&amp;N$1,Pesos!$A:$I,7,FALSE),VLOOKUP($I223&amp;$J223&amp;N$1,Pesos!$A:$I,9,FALSE)))</f>
        <v/>
      </c>
      <c r="AM223" s="154" t="str">
        <f>IF(O223="","",IF(O223="SIM",VLOOKUP($I223&amp;$J223&amp;O$1,Pesos!$A:$I,7,FALSE),VLOOKUP($I223&amp;$J223&amp;O$1,Pesos!$A:$I,9,FALSE)))</f>
        <v/>
      </c>
      <c r="AN223" s="154" t="str">
        <f>IF(P223="","",IF(P223="SIM",VLOOKUP($I223&amp;$J223&amp;P$1,Pesos!$A:$I,7,FALSE),VLOOKUP($I223&amp;$J223&amp;P$1,Pesos!$A:$I,9,FALSE)))</f>
        <v/>
      </c>
      <c r="AO223" s="154" t="str">
        <f>IF(Q223="","",IF(Q223="SIM",VLOOKUP($I223&amp;$J223&amp;Q$1,Pesos!$A:$I,7,FALSE),VLOOKUP($I223&amp;$J223&amp;Q$1,Pesos!$A:$I,9,FALSE)))</f>
        <v/>
      </c>
      <c r="AP223" s="154" t="str">
        <f>IF(R223="","",IF(R223="SIM",VLOOKUP($I223&amp;$J223&amp;R$1,Pesos!$A:$I,7,FALSE),VLOOKUP($I223&amp;$J223&amp;R$1,Pesos!$A:$I,9,FALSE)))</f>
        <v/>
      </c>
      <c r="AQ223" s="154" t="str">
        <f>IF(S223="","",IF(S223="SIM",VLOOKUP($I223&amp;$J223&amp;S$1,Pesos!$A:$I,7,FALSE),VLOOKUP($I223&amp;$J223&amp;S$1,Pesos!$A:$I,9,FALSE)))</f>
        <v/>
      </c>
      <c r="AR223" s="156" t="str">
        <f>IF(T223="","",IF(T223="SIM",VLOOKUP($I223&amp;$J223&amp;T$1,Pesos!$A:$I,7,FALSE),VLOOKUP($I223&amp;$J223&amp;T$1,Pesos!$A:$I,9,FALSE)))</f>
        <v/>
      </c>
      <c r="AS223" s="132" t="str">
        <f>IF(U223="","",IF(U223="SIM",VLOOKUP($I223&amp;$J223&amp;U$1,Pesos!$A:$I,7,FALSE),VLOOKUP($I223&amp;$J223&amp;U$1,Pesos!$A:$I,9,FALSE)))</f>
        <v/>
      </c>
      <c r="AT223" s="132" t="str">
        <f>IF(V223="","",IF(V223="SIM",VLOOKUP($I223&amp;$J223&amp;V$1,Pesos!$A:$I,7,FALSE),VLOOKUP($I223&amp;$J223&amp;V$1,Pesos!$A:$I,9,FALSE)))</f>
        <v/>
      </c>
      <c r="AU223" s="132" t="str">
        <f>IF(W223="","",IF(W223="SIM",VLOOKUP($I223&amp;$J223&amp;W$1,Pesos!$A:$I,7,FALSE),VLOOKUP($I223&amp;$J223&amp;W$1,Pesos!$A:$I,9,FALSE)))</f>
        <v/>
      </c>
      <c r="AV223" s="132" t="str">
        <f>IF(X223="","",IF(X223="SIM",VLOOKUP($I223&amp;$J223&amp;X$1,Pesos!$A:$I,7,FALSE),VLOOKUP($I223&amp;$J223&amp;X$1,Pesos!$A:$I,9,FALSE)))</f>
        <v/>
      </c>
      <c r="AW223" s="132" t="str">
        <f>IF(Y223="","",IF(Y223="SIM",VLOOKUP($I223&amp;$J223&amp;Y$1,Pesos!$A:$I,7,FALSE),VLOOKUP($I223&amp;$J223&amp;Y$1,Pesos!$A:$I,9,FALSE)))</f>
        <v/>
      </c>
      <c r="AX223" s="132" t="str">
        <f>IF(Z223="","",IF(Z223="SIM",VLOOKUP($I223&amp;$J223&amp;Z$1,Pesos!$A:$I,7,FALSE),VLOOKUP($I223&amp;$J223&amp;Z$1,Pesos!$A:$I,9,FALSE)))</f>
        <v/>
      </c>
      <c r="AY223" s="132" t="str">
        <f>IF(AA223="","",IF(AA223="SIM",VLOOKUP($I223&amp;$J223&amp;AA$1,Pesos!$A:$I,7,FALSE),VLOOKUP($I223&amp;$J223&amp;AA$1,Pesos!$A:$I,9,FALSE)))</f>
        <v/>
      </c>
      <c r="AZ223" s="132" t="str">
        <f>IF(AB223="","",IF(AB223="SIM",VLOOKUP($I223&amp;$J223&amp;AB$1,Pesos!$A:$I,7,FALSE),VLOOKUP($I223&amp;$J223&amp;AB$1,Pesos!$A:$I,9,FALSE)))</f>
        <v/>
      </c>
      <c r="BA223" s="132" t="str">
        <f>IF(AC223="","",IF(AC223="SIM",VLOOKUP($I223&amp;$J223&amp;AC$1,Pesos!$A:$I,7,FALSE),VLOOKUP($I223&amp;$J223&amp;AC$1,Pesos!$A:$I,9,FALSE)))</f>
        <v/>
      </c>
      <c r="BB223" s="132" t="str">
        <f>IF(AD223="","",IF(AD223="SIM",VLOOKUP($I223&amp;$J223&amp;AD$1,Pesos!$A:$I,7,FALSE),VLOOKUP($I223&amp;$J223&amp;AD$1,Pesos!$A:$I,9,FALSE)))</f>
        <v/>
      </c>
      <c r="BC223" s="132" t="str">
        <f>IF(AE223="","",IF(AE223="SIM",VLOOKUP($I223&amp;$J223&amp;AE$1,Pesos!$A:$I,7,FALSE),VLOOKUP($I223&amp;$J223&amp;AE$1,Pesos!$A:$I,9,FALSE)))</f>
        <v/>
      </c>
      <c r="BD223" s="158">
        <f>IFERROR(AF223*VLOOKUP(J223,'BD Campos'!$X$1:$Y$14,2,FALSE),"0")</f>
        <v>0</v>
      </c>
    </row>
    <row r="224" spans="1:56">
      <c r="A224" s="151" t="str">
        <f t="shared" si="15"/>
        <v>Jan11388MotoristaTRANSFERÊNCIA</v>
      </c>
      <c r="B224" s="149" t="str">
        <f t="shared" si="16"/>
        <v>Jan113881TRANSFERÊNCIAPADRÃO</v>
      </c>
      <c r="C224" s="152">
        <v>1</v>
      </c>
      <c r="D224" s="153">
        <v>46058.67034074074</v>
      </c>
      <c r="E224" s="154" t="s">
        <v>12</v>
      </c>
      <c r="F224" s="155">
        <v>11388</v>
      </c>
      <c r="G224" s="149" t="s">
        <v>422</v>
      </c>
      <c r="H224" s="154">
        <v>1</v>
      </c>
      <c r="I224" s="149" t="s">
        <v>96</v>
      </c>
      <c r="J224" s="149" t="s">
        <v>93</v>
      </c>
      <c r="K224" s="149" t="s">
        <v>192</v>
      </c>
      <c r="L224" s="156">
        <v>34508122</v>
      </c>
      <c r="M224" s="157">
        <v>9.7222222222222209E-4</v>
      </c>
      <c r="N224" s="131" t="s">
        <v>17</v>
      </c>
      <c r="O224" s="131" t="s">
        <v>17</v>
      </c>
      <c r="P224" s="131" t="s">
        <v>17</v>
      </c>
      <c r="Q224" s="131" t="s">
        <v>17</v>
      </c>
      <c r="R224" s="131" t="s">
        <v>17</v>
      </c>
      <c r="S224" s="131" t="s">
        <v>18</v>
      </c>
      <c r="T224" s="131" t="s">
        <v>18</v>
      </c>
      <c r="U224" s="131" t="s">
        <v>17</v>
      </c>
      <c r="V224" s="131" t="s">
        <v>18</v>
      </c>
      <c r="W224" s="131" t="s">
        <v>17</v>
      </c>
      <c r="X224" s="131" t="s">
        <v>17</v>
      </c>
      <c r="Y224" s="131" t="s">
        <v>17</v>
      </c>
      <c r="Z224" s="131" t="s">
        <v>18</v>
      </c>
      <c r="AA224" s="131" t="s">
        <v>17</v>
      </c>
      <c r="AB224" s="131" t="s">
        <v>17</v>
      </c>
      <c r="AC224" s="131"/>
      <c r="AD224" s="131"/>
      <c r="AE224" s="131"/>
      <c r="AF224" s="158">
        <f t="shared" si="18"/>
        <v>5.3064999999999998</v>
      </c>
      <c r="AG224" s="159"/>
      <c r="AH224" s="155" t="s">
        <v>423</v>
      </c>
      <c r="AI224" s="155" t="s">
        <v>83</v>
      </c>
      <c r="AJ224" s="131" t="str">
        <f>IFERROR(VLOOKUP(E224&amp;F224,'Listagem dos op'!A:S,19,0),"")</f>
        <v/>
      </c>
      <c r="AK224" s="131" t="str">
        <f t="shared" si="17"/>
        <v>Jan11388</v>
      </c>
      <c r="AL224" s="154">
        <f>IF(N224="","",IF(N224="SIM",VLOOKUP($I224&amp;$J224&amp;N$1,Pesos!$A:$I,7,FALSE),VLOOKUP($I224&amp;$J224&amp;N$1,Pesos!$A:$I,9,FALSE)))</f>
        <v>0.1</v>
      </c>
      <c r="AM224" s="154">
        <f>IF(O224="","",IF(O224="SIM",VLOOKUP($I224&amp;$J224&amp;O$1,Pesos!$A:$I,7,FALSE),VLOOKUP($I224&amp;$J224&amp;O$1,Pesos!$A:$I,9,FALSE)))</f>
        <v>0.1</v>
      </c>
      <c r="AN224" s="154">
        <f>IF(P224="","",IF(P224="SIM",VLOOKUP($I224&amp;$J224&amp;P$1,Pesos!$A:$I,7,FALSE),VLOOKUP($I224&amp;$J224&amp;P$1,Pesos!$A:$I,9,FALSE)))</f>
        <v>0.1</v>
      </c>
      <c r="AO224" s="154">
        <f>IF(Q224="","",IF(Q224="SIM",VLOOKUP($I224&amp;$J224&amp;Q$1,Pesos!$A:$I,7,FALSE),VLOOKUP($I224&amp;$J224&amp;Q$1,Pesos!$A:$I,9,FALSE)))</f>
        <v>2</v>
      </c>
      <c r="AP224" s="154">
        <f>IF(R224="","",IF(R224="SIM",VLOOKUP($I224&amp;$J224&amp;R$1,Pesos!$A:$I,7,FALSE),VLOOKUP($I224&amp;$J224&amp;R$1,Pesos!$A:$I,9,FALSE)))</f>
        <v>1.03</v>
      </c>
      <c r="AQ224" s="154">
        <f>IF(S224="","",IF(S224="SIM",VLOOKUP($I224&amp;$J224&amp;S$1,Pesos!$A:$I,7,FALSE),VLOOKUP($I224&amp;$J224&amp;S$1,Pesos!$A:$I,9,FALSE)))</f>
        <v>-6.0999999999999999E-2</v>
      </c>
      <c r="AR224" s="156">
        <f>IF(T224="","",IF(T224="SIM",VLOOKUP($I224&amp;$J224&amp;T$1,Pesos!$A:$I,7,FALSE),VLOOKUP($I224&amp;$J224&amp;T$1,Pesos!$A:$I,9,FALSE)))</f>
        <v>-0.1</v>
      </c>
      <c r="AS224" s="132">
        <f>IF(U224="","",IF(U224="SIM",VLOOKUP($I224&amp;$J224&amp;U$1,Pesos!$A:$I,7,FALSE),VLOOKUP($I224&amp;$J224&amp;U$1,Pesos!$A:$I,9,FALSE)))</f>
        <v>1.05</v>
      </c>
      <c r="AT224" s="132">
        <f>IF(V224="","",IF(V224="SIM",VLOOKUP($I224&amp;$J224&amp;V$1,Pesos!$A:$I,7,FALSE),VLOOKUP($I224&amp;$J224&amp;V$1,Pesos!$A:$I,9,FALSE)))</f>
        <v>-5.2500000000000005E-2</v>
      </c>
      <c r="AU224" s="132">
        <f>IF(W224="","",IF(W224="SIM",VLOOKUP($I224&amp;$J224&amp;W$1,Pesos!$A:$I,7,FALSE),VLOOKUP($I224&amp;$J224&amp;W$1,Pesos!$A:$I,9,FALSE)))</f>
        <v>0.3</v>
      </c>
      <c r="AV224" s="132">
        <f>IF(X224="","",IF(X224="SIM",VLOOKUP($I224&amp;$J224&amp;X$1,Pesos!$A:$I,7,FALSE),VLOOKUP($I224&amp;$J224&amp;X$1,Pesos!$A:$I,9,FALSE)))</f>
        <v>0.3</v>
      </c>
      <c r="AW224" s="132">
        <f>IF(Y224="","",IF(Y224="SIM",VLOOKUP($I224&amp;$J224&amp;Y$1,Pesos!$A:$I,7,FALSE),VLOOKUP($I224&amp;$J224&amp;Y$1,Pesos!$A:$I,9,FALSE)))</f>
        <v>0.15</v>
      </c>
      <c r="AX224" s="132">
        <f>IF(Z224="","",IF(Z224="SIM",VLOOKUP($I224&amp;$J224&amp;Z$1,Pesos!$A:$I,7,FALSE),VLOOKUP($I224&amp;$J224&amp;Z$1,Pesos!$A:$I,9,FALSE)))</f>
        <v>-1.0000000000000002E-2</v>
      </c>
      <c r="AY224" s="132">
        <f>IF(AA224="","",IF(AA224="SIM",VLOOKUP($I224&amp;$J224&amp;AA$1,Pesos!$A:$I,7,FALSE),VLOOKUP($I224&amp;$J224&amp;AA$1,Pesos!$A:$I,9,FALSE)))</f>
        <v>0.3</v>
      </c>
      <c r="AZ224" s="132">
        <f>IF(AB224="","",IF(AB224="SIM",VLOOKUP($I224&amp;$J224&amp;AB$1,Pesos!$A:$I,7,FALSE),VLOOKUP($I224&amp;$J224&amp;AB$1,Pesos!$A:$I,9,FALSE)))</f>
        <v>0.1</v>
      </c>
      <c r="BA224" s="132" t="str">
        <f>IF(AC224="","",IF(AC224="SIM",VLOOKUP($I224&amp;$J224&amp;AC$1,Pesos!$A:$I,7,FALSE),VLOOKUP($I224&amp;$J224&amp;AC$1,Pesos!$A:$I,9,FALSE)))</f>
        <v/>
      </c>
      <c r="BB224" s="132" t="str">
        <f>IF(AD224="","",IF(AD224="SIM",VLOOKUP($I224&amp;$J224&amp;AD$1,Pesos!$A:$I,7,FALSE),VLOOKUP($I224&amp;$J224&amp;AD$1,Pesos!$A:$I,9,FALSE)))</f>
        <v/>
      </c>
      <c r="BC224" s="132" t="str">
        <f>IF(AE224="","",IF(AE224="SIM",VLOOKUP($I224&amp;$J224&amp;AE$1,Pesos!$A:$I,7,FALSE),VLOOKUP($I224&amp;$J224&amp;AE$1,Pesos!$A:$I,9,FALSE)))</f>
        <v/>
      </c>
      <c r="BD224" s="158">
        <f>IFERROR(AF224*VLOOKUP(J224,'BD Campos'!$X$1:$Y$14,2,FALSE),"0")</f>
        <v>5.3064999999999998</v>
      </c>
    </row>
    <row r="225" spans="1:56">
      <c r="A225" s="151" t="str">
        <f t="shared" si="15"/>
        <v>Jan11388Motorista 2TRANSFERÊNCIA</v>
      </c>
      <c r="B225" s="149" t="str">
        <f t="shared" si="16"/>
        <v>Jan113882TRANSFERÊNCIAPADRÃO</v>
      </c>
      <c r="C225" s="152">
        <v>1</v>
      </c>
      <c r="D225" s="153">
        <v>46058.673761574071</v>
      </c>
      <c r="E225" s="154" t="s">
        <v>12</v>
      </c>
      <c r="F225" s="155">
        <v>11388</v>
      </c>
      <c r="G225" s="149" t="s">
        <v>422</v>
      </c>
      <c r="H225" s="154">
        <v>2</v>
      </c>
      <c r="I225" s="149" t="s">
        <v>130</v>
      </c>
      <c r="J225" s="149" t="s">
        <v>97</v>
      </c>
      <c r="K225" s="149" t="s">
        <v>192</v>
      </c>
      <c r="L225" s="156">
        <v>34802332</v>
      </c>
      <c r="M225" s="157">
        <v>2.0138888888888888E-3</v>
      </c>
      <c r="N225" s="131"/>
      <c r="O225" s="131"/>
      <c r="P225" s="131"/>
      <c r="Q225" s="131"/>
      <c r="R225" s="131"/>
      <c r="S225" s="131"/>
      <c r="T225" s="131"/>
      <c r="U225" s="131"/>
      <c r="V225" s="131"/>
      <c r="W225" s="131"/>
      <c r="X225" s="131"/>
      <c r="Y225" s="131"/>
      <c r="Z225" s="131"/>
      <c r="AA225" s="131"/>
      <c r="AB225" s="131"/>
      <c r="AC225" s="131"/>
      <c r="AD225" s="131"/>
      <c r="AE225" s="131"/>
      <c r="AF225" s="158">
        <f t="shared" si="18"/>
        <v>0</v>
      </c>
      <c r="AG225" s="159" t="s">
        <v>424</v>
      </c>
      <c r="AH225" s="155" t="s">
        <v>425</v>
      </c>
      <c r="AI225" s="155" t="s">
        <v>83</v>
      </c>
      <c r="AJ225" s="131" t="str">
        <f>IFERROR(VLOOKUP(E225&amp;F225,'Listagem dos op'!A:S,19,0),"")</f>
        <v/>
      </c>
      <c r="AK225" s="131" t="str">
        <f t="shared" si="17"/>
        <v>Jan11388</v>
      </c>
      <c r="AL225" s="154" t="str">
        <f>IF(N225="","",IF(N225="SIM",VLOOKUP($I225&amp;$J225&amp;N$1,Pesos!$A:$I,7,FALSE),VLOOKUP($I225&amp;$J225&amp;N$1,Pesos!$A:$I,9,FALSE)))</f>
        <v/>
      </c>
      <c r="AM225" s="154" t="str">
        <f>IF(O225="","",IF(O225="SIM",VLOOKUP($I225&amp;$J225&amp;O$1,Pesos!$A:$I,7,FALSE),VLOOKUP($I225&amp;$J225&amp;O$1,Pesos!$A:$I,9,FALSE)))</f>
        <v/>
      </c>
      <c r="AN225" s="154" t="str">
        <f>IF(P225="","",IF(P225="SIM",VLOOKUP($I225&amp;$J225&amp;P$1,Pesos!$A:$I,7,FALSE),VLOOKUP($I225&amp;$J225&amp;P$1,Pesos!$A:$I,9,FALSE)))</f>
        <v/>
      </c>
      <c r="AO225" s="154" t="str">
        <f>IF(Q225="","",IF(Q225="SIM",VLOOKUP($I225&amp;$J225&amp;Q$1,Pesos!$A:$I,7,FALSE),VLOOKUP($I225&amp;$J225&amp;Q$1,Pesos!$A:$I,9,FALSE)))</f>
        <v/>
      </c>
      <c r="AP225" s="154" t="str">
        <f>IF(R225="","",IF(R225="SIM",VLOOKUP($I225&amp;$J225&amp;R$1,Pesos!$A:$I,7,FALSE),VLOOKUP($I225&amp;$J225&amp;R$1,Pesos!$A:$I,9,FALSE)))</f>
        <v/>
      </c>
      <c r="AQ225" s="154" t="str">
        <f>IF(S225="","",IF(S225="SIM",VLOOKUP($I225&amp;$J225&amp;S$1,Pesos!$A:$I,7,FALSE),VLOOKUP($I225&amp;$J225&amp;S$1,Pesos!$A:$I,9,FALSE)))</f>
        <v/>
      </c>
      <c r="AR225" s="156" t="str">
        <f>IF(T225="","",IF(T225="SIM",VLOOKUP($I225&amp;$J225&amp;T$1,Pesos!$A:$I,7,FALSE),VLOOKUP($I225&amp;$J225&amp;T$1,Pesos!$A:$I,9,FALSE)))</f>
        <v/>
      </c>
      <c r="AS225" s="132" t="str">
        <f>IF(U225="","",IF(U225="SIM",VLOOKUP($I225&amp;$J225&amp;U$1,Pesos!$A:$I,7,FALSE),VLOOKUP($I225&amp;$J225&amp;U$1,Pesos!$A:$I,9,FALSE)))</f>
        <v/>
      </c>
      <c r="AT225" s="132" t="str">
        <f>IF(V225="","",IF(V225="SIM",VLOOKUP($I225&amp;$J225&amp;V$1,Pesos!$A:$I,7,FALSE),VLOOKUP($I225&amp;$J225&amp;V$1,Pesos!$A:$I,9,FALSE)))</f>
        <v/>
      </c>
      <c r="AU225" s="132" t="str">
        <f>IF(W225="","",IF(W225="SIM",VLOOKUP($I225&amp;$J225&amp;W$1,Pesos!$A:$I,7,FALSE),VLOOKUP($I225&amp;$J225&amp;W$1,Pesos!$A:$I,9,FALSE)))</f>
        <v/>
      </c>
      <c r="AV225" s="132" t="str">
        <f>IF(X225="","",IF(X225="SIM",VLOOKUP($I225&amp;$J225&amp;X$1,Pesos!$A:$I,7,FALSE),VLOOKUP($I225&amp;$J225&amp;X$1,Pesos!$A:$I,9,FALSE)))</f>
        <v/>
      </c>
      <c r="AW225" s="132" t="str">
        <f>IF(Y225="","",IF(Y225="SIM",VLOOKUP($I225&amp;$J225&amp;Y$1,Pesos!$A:$I,7,FALSE),VLOOKUP($I225&amp;$J225&amp;Y$1,Pesos!$A:$I,9,FALSE)))</f>
        <v/>
      </c>
      <c r="AX225" s="132" t="str">
        <f>IF(Z225="","",IF(Z225="SIM",VLOOKUP($I225&amp;$J225&amp;Z$1,Pesos!$A:$I,7,FALSE),VLOOKUP($I225&amp;$J225&amp;Z$1,Pesos!$A:$I,9,FALSE)))</f>
        <v/>
      </c>
      <c r="AY225" s="132" t="str">
        <f>IF(AA225="","",IF(AA225="SIM",VLOOKUP($I225&amp;$J225&amp;AA$1,Pesos!$A:$I,7,FALSE),VLOOKUP($I225&amp;$J225&amp;AA$1,Pesos!$A:$I,9,FALSE)))</f>
        <v/>
      </c>
      <c r="AZ225" s="132" t="str">
        <f>IF(AB225="","",IF(AB225="SIM",VLOOKUP($I225&amp;$J225&amp;AB$1,Pesos!$A:$I,7,FALSE),VLOOKUP($I225&amp;$J225&amp;AB$1,Pesos!$A:$I,9,FALSE)))</f>
        <v/>
      </c>
      <c r="BA225" s="132" t="str">
        <f>IF(AC225="","",IF(AC225="SIM",VLOOKUP($I225&amp;$J225&amp;AC$1,Pesos!$A:$I,7,FALSE),VLOOKUP($I225&amp;$J225&amp;AC$1,Pesos!$A:$I,9,FALSE)))</f>
        <v/>
      </c>
      <c r="BB225" s="132" t="str">
        <f>IF(AD225="","",IF(AD225="SIM",VLOOKUP($I225&amp;$J225&amp;AD$1,Pesos!$A:$I,7,FALSE),VLOOKUP($I225&amp;$J225&amp;AD$1,Pesos!$A:$I,9,FALSE)))</f>
        <v/>
      </c>
      <c r="BC225" s="132" t="str">
        <f>IF(AE225="","",IF(AE225="SIM",VLOOKUP($I225&amp;$J225&amp;AE$1,Pesos!$A:$I,7,FALSE),VLOOKUP($I225&amp;$J225&amp;AE$1,Pesos!$A:$I,9,FALSE)))</f>
        <v/>
      </c>
      <c r="BD225" s="158">
        <f>IFERROR(AF225*VLOOKUP(J225,'BD Campos'!$X$1:$Y$14,2,FALSE),"0")</f>
        <v>0</v>
      </c>
    </row>
    <row r="226" spans="1:56">
      <c r="A226" s="151" t="str">
        <f t="shared" si="15"/>
        <v>Jan11397MotoristaTRANSFERÊNCIA</v>
      </c>
      <c r="B226" s="149" t="str">
        <f t="shared" si="16"/>
        <v>Jan113971TRANSFERÊNCIAPADRÃO</v>
      </c>
      <c r="C226" s="152">
        <v>1</v>
      </c>
      <c r="D226" s="153">
        <v>46058.694210185182</v>
      </c>
      <c r="E226" s="154" t="s">
        <v>12</v>
      </c>
      <c r="F226" s="155">
        <v>11397</v>
      </c>
      <c r="G226" s="149" t="s">
        <v>426</v>
      </c>
      <c r="H226" s="154">
        <v>1</v>
      </c>
      <c r="I226" s="149" t="s">
        <v>133</v>
      </c>
      <c r="J226" s="149" t="s">
        <v>93</v>
      </c>
      <c r="K226" s="149" t="s">
        <v>192</v>
      </c>
      <c r="L226" s="156">
        <v>34552201</v>
      </c>
      <c r="M226" s="157">
        <v>1.5162037037037036E-3</v>
      </c>
      <c r="N226" s="131"/>
      <c r="O226" s="131"/>
      <c r="P226" s="131"/>
      <c r="Q226" s="131"/>
      <c r="R226" s="131"/>
      <c r="S226" s="131"/>
      <c r="T226" s="131"/>
      <c r="U226" s="131"/>
      <c r="V226" s="131"/>
      <c r="W226" s="131"/>
      <c r="X226" s="131"/>
      <c r="Y226" s="131"/>
      <c r="Z226" s="131"/>
      <c r="AA226" s="131"/>
      <c r="AB226" s="131"/>
      <c r="AC226" s="131"/>
      <c r="AD226" s="131"/>
      <c r="AE226" s="131"/>
      <c r="AF226" s="158">
        <f t="shared" si="18"/>
        <v>0</v>
      </c>
      <c r="AG226" s="159" t="s">
        <v>427</v>
      </c>
      <c r="AH226" s="155" t="s">
        <v>428</v>
      </c>
      <c r="AI226" s="155" t="s">
        <v>83</v>
      </c>
      <c r="AJ226" s="131" t="str">
        <f>IFERROR(VLOOKUP(E226&amp;F226,'Listagem dos op'!A:S,19,0),"")</f>
        <v/>
      </c>
      <c r="AK226" s="131" t="str">
        <f t="shared" si="17"/>
        <v>Jan11397</v>
      </c>
      <c r="AL226" s="154" t="str">
        <f>IF(N226="","",IF(N226="SIM",VLOOKUP($I226&amp;$J226&amp;N$1,Pesos!$A:$I,7,FALSE),VLOOKUP($I226&amp;$J226&amp;N$1,Pesos!$A:$I,9,FALSE)))</f>
        <v/>
      </c>
      <c r="AM226" s="154" t="str">
        <f>IF(O226="","",IF(O226="SIM",VLOOKUP($I226&amp;$J226&amp;O$1,Pesos!$A:$I,7,FALSE),VLOOKUP($I226&amp;$J226&amp;O$1,Pesos!$A:$I,9,FALSE)))</f>
        <v/>
      </c>
      <c r="AN226" s="154" t="str">
        <f>IF(P226="","",IF(P226="SIM",VLOOKUP($I226&amp;$J226&amp;P$1,Pesos!$A:$I,7,FALSE),VLOOKUP($I226&amp;$J226&amp;P$1,Pesos!$A:$I,9,FALSE)))</f>
        <v/>
      </c>
      <c r="AO226" s="154" t="str">
        <f>IF(Q226="","",IF(Q226="SIM",VLOOKUP($I226&amp;$J226&amp;Q$1,Pesos!$A:$I,7,FALSE),VLOOKUP($I226&amp;$J226&amp;Q$1,Pesos!$A:$I,9,FALSE)))</f>
        <v/>
      </c>
      <c r="AP226" s="154" t="str">
        <f>IF(R226="","",IF(R226="SIM",VLOOKUP($I226&amp;$J226&amp;R$1,Pesos!$A:$I,7,FALSE),VLOOKUP($I226&amp;$J226&amp;R$1,Pesos!$A:$I,9,FALSE)))</f>
        <v/>
      </c>
      <c r="AQ226" s="154" t="str">
        <f>IF(S226="","",IF(S226="SIM",VLOOKUP($I226&amp;$J226&amp;S$1,Pesos!$A:$I,7,FALSE),VLOOKUP($I226&amp;$J226&amp;S$1,Pesos!$A:$I,9,FALSE)))</f>
        <v/>
      </c>
      <c r="AR226" s="156" t="str">
        <f>IF(T226="","",IF(T226="SIM",VLOOKUP($I226&amp;$J226&amp;T$1,Pesos!$A:$I,7,FALSE),VLOOKUP($I226&amp;$J226&amp;T$1,Pesos!$A:$I,9,FALSE)))</f>
        <v/>
      </c>
      <c r="AS226" s="132" t="str">
        <f>IF(U226="","",IF(U226="SIM",VLOOKUP($I226&amp;$J226&amp;U$1,Pesos!$A:$I,7,FALSE),VLOOKUP($I226&amp;$J226&amp;U$1,Pesos!$A:$I,9,FALSE)))</f>
        <v/>
      </c>
      <c r="AT226" s="132" t="str">
        <f>IF(V226="","",IF(V226="SIM",VLOOKUP($I226&amp;$J226&amp;V$1,Pesos!$A:$I,7,FALSE),VLOOKUP($I226&amp;$J226&amp;V$1,Pesos!$A:$I,9,FALSE)))</f>
        <v/>
      </c>
      <c r="AU226" s="132" t="str">
        <f>IF(W226="","",IF(W226="SIM",VLOOKUP($I226&amp;$J226&amp;W$1,Pesos!$A:$I,7,FALSE),VLOOKUP($I226&amp;$J226&amp;W$1,Pesos!$A:$I,9,FALSE)))</f>
        <v/>
      </c>
      <c r="AV226" s="132" t="str">
        <f>IF(X226="","",IF(X226="SIM",VLOOKUP($I226&amp;$J226&amp;X$1,Pesos!$A:$I,7,FALSE),VLOOKUP($I226&amp;$J226&amp;X$1,Pesos!$A:$I,9,FALSE)))</f>
        <v/>
      </c>
      <c r="AW226" s="132" t="str">
        <f>IF(Y226="","",IF(Y226="SIM",VLOOKUP($I226&amp;$J226&amp;Y$1,Pesos!$A:$I,7,FALSE),VLOOKUP($I226&amp;$J226&amp;Y$1,Pesos!$A:$I,9,FALSE)))</f>
        <v/>
      </c>
      <c r="AX226" s="132" t="str">
        <f>IF(Z226="","",IF(Z226="SIM",VLOOKUP($I226&amp;$J226&amp;Z$1,Pesos!$A:$I,7,FALSE),VLOOKUP($I226&amp;$J226&amp;Z$1,Pesos!$A:$I,9,FALSE)))</f>
        <v/>
      </c>
      <c r="AY226" s="132" t="str">
        <f>IF(AA226="","",IF(AA226="SIM",VLOOKUP($I226&amp;$J226&amp;AA$1,Pesos!$A:$I,7,FALSE),VLOOKUP($I226&amp;$J226&amp;AA$1,Pesos!$A:$I,9,FALSE)))</f>
        <v/>
      </c>
      <c r="AZ226" s="132" t="str">
        <f>IF(AB226="","",IF(AB226="SIM",VLOOKUP($I226&amp;$J226&amp;AB$1,Pesos!$A:$I,7,FALSE),VLOOKUP($I226&amp;$J226&amp;AB$1,Pesos!$A:$I,9,FALSE)))</f>
        <v/>
      </c>
      <c r="BA226" s="132" t="str">
        <f>IF(AC226="","",IF(AC226="SIM",VLOOKUP($I226&amp;$J226&amp;AC$1,Pesos!$A:$I,7,FALSE),VLOOKUP($I226&amp;$J226&amp;AC$1,Pesos!$A:$I,9,FALSE)))</f>
        <v/>
      </c>
      <c r="BB226" s="132" t="str">
        <f>IF(AD226="","",IF(AD226="SIM",VLOOKUP($I226&amp;$J226&amp;AD$1,Pesos!$A:$I,7,FALSE),VLOOKUP($I226&amp;$J226&amp;AD$1,Pesos!$A:$I,9,FALSE)))</f>
        <v/>
      </c>
      <c r="BC226" s="132" t="str">
        <f>IF(AE226="","",IF(AE226="SIM",VLOOKUP($I226&amp;$J226&amp;AE$1,Pesos!$A:$I,7,FALSE),VLOOKUP($I226&amp;$J226&amp;AE$1,Pesos!$A:$I,9,FALSE)))</f>
        <v/>
      </c>
      <c r="BD226" s="158">
        <f>IFERROR(AF226*VLOOKUP(J226,'BD Campos'!$X$1:$Y$14,2,FALSE),"0")</f>
        <v>0</v>
      </c>
    </row>
    <row r="227" spans="1:56">
      <c r="A227" s="151" t="str">
        <f t="shared" si="15"/>
        <v>Jan11397Motorista 2TRANSFERÊNCIA</v>
      </c>
      <c r="B227" s="149" t="str">
        <f t="shared" si="16"/>
        <v>Jan113972TRANSFERÊNCIAPADRÃO</v>
      </c>
      <c r="C227" s="152">
        <v>1</v>
      </c>
      <c r="D227" s="153">
        <v>46058.697998958334</v>
      </c>
      <c r="E227" s="154" t="s">
        <v>12</v>
      </c>
      <c r="F227" s="155">
        <v>11397</v>
      </c>
      <c r="G227" s="149" t="s">
        <v>426</v>
      </c>
      <c r="H227" s="154">
        <v>2</v>
      </c>
      <c r="I227" s="149" t="s">
        <v>130</v>
      </c>
      <c r="J227" s="149" t="s">
        <v>97</v>
      </c>
      <c r="K227" s="149" t="s">
        <v>192</v>
      </c>
      <c r="L227" s="156">
        <v>34776615</v>
      </c>
      <c r="M227" s="157">
        <v>2.8935185185185188E-3</v>
      </c>
      <c r="N227" s="131" t="s">
        <v>17</v>
      </c>
      <c r="O227" s="131" t="s">
        <v>17</v>
      </c>
      <c r="P227" s="131" t="s">
        <v>17</v>
      </c>
      <c r="Q227" s="131" t="s">
        <v>17</v>
      </c>
      <c r="R227" s="131" t="s">
        <v>17</v>
      </c>
      <c r="S227" s="131" t="s">
        <v>18</v>
      </c>
      <c r="T227" s="131" t="s">
        <v>17</v>
      </c>
      <c r="U227" s="131" t="s">
        <v>17</v>
      </c>
      <c r="V227" s="131" t="s">
        <v>18</v>
      </c>
      <c r="W227" s="131" t="s">
        <v>17</v>
      </c>
      <c r="X227" s="131" t="s">
        <v>17</v>
      </c>
      <c r="Y227" s="131" t="s">
        <v>17</v>
      </c>
      <c r="Z227" s="131" t="s">
        <v>17</v>
      </c>
      <c r="AA227" s="131" t="s">
        <v>17</v>
      </c>
      <c r="AB227" s="131" t="s">
        <v>17</v>
      </c>
      <c r="AC227" s="131"/>
      <c r="AD227" s="131"/>
      <c r="AE227" s="131"/>
      <c r="AF227" s="158">
        <f t="shared" si="18"/>
        <v>7.1648000000000005</v>
      </c>
      <c r="AG227" s="159"/>
      <c r="AH227" s="155" t="s">
        <v>429</v>
      </c>
      <c r="AI227" s="155" t="s">
        <v>83</v>
      </c>
      <c r="AJ227" s="131" t="str">
        <f>IFERROR(VLOOKUP(E227&amp;F227,'Listagem dos op'!A:S,19,0),"")</f>
        <v/>
      </c>
      <c r="AK227" s="131" t="str">
        <f t="shared" si="17"/>
        <v>Jan11397</v>
      </c>
      <c r="AL227" s="154">
        <f>IF(N227="","",IF(N227="SIM",VLOOKUP($I227&amp;$J227&amp;N$1,Pesos!$A:$I,7,FALSE),VLOOKUP($I227&amp;$J227&amp;N$1,Pesos!$A:$I,9,FALSE)))</f>
        <v>0.1</v>
      </c>
      <c r="AM227" s="154">
        <f>IF(O227="","",IF(O227="SIM",VLOOKUP($I227&amp;$J227&amp;O$1,Pesos!$A:$I,7,FALSE),VLOOKUP($I227&amp;$J227&amp;O$1,Pesos!$A:$I,9,FALSE)))</f>
        <v>0.1</v>
      </c>
      <c r="AN227" s="154">
        <f>IF(P227="","",IF(P227="SIM",VLOOKUP($I227&amp;$J227&amp;P$1,Pesos!$A:$I,7,FALSE),VLOOKUP($I227&amp;$J227&amp;P$1,Pesos!$A:$I,9,FALSE)))</f>
        <v>0.1</v>
      </c>
      <c r="AO227" s="154">
        <f>IF(Q227="","",IF(Q227="SIM",VLOOKUP($I227&amp;$J227&amp;Q$1,Pesos!$A:$I,7,FALSE),VLOOKUP($I227&amp;$J227&amp;Q$1,Pesos!$A:$I,9,FALSE)))</f>
        <v>2</v>
      </c>
      <c r="AP227" s="154">
        <f>IF(R227="","",IF(R227="SIM",VLOOKUP($I227&amp;$J227&amp;R$1,Pesos!$A:$I,7,FALSE),VLOOKUP($I227&amp;$J227&amp;R$1,Pesos!$A:$I,9,FALSE)))</f>
        <v>1.03</v>
      </c>
      <c r="AQ227" s="154">
        <f>IF(S227="","",IF(S227="SIM",VLOOKUP($I227&amp;$J227&amp;S$1,Pesos!$A:$I,7,FALSE),VLOOKUP($I227&amp;$J227&amp;S$1,Pesos!$A:$I,9,FALSE)))</f>
        <v>-6.5000000000000002E-2</v>
      </c>
      <c r="AR227" s="156">
        <f>IF(T227="","",IF(T227="SIM",VLOOKUP($I227&amp;$J227&amp;T$1,Pesos!$A:$I,7,FALSE),VLOOKUP($I227&amp;$J227&amp;T$1,Pesos!$A:$I,9,FALSE)))</f>
        <v>1.3</v>
      </c>
      <c r="AS227" s="132">
        <f>IF(U227="","",IF(U227="SIM",VLOOKUP($I227&amp;$J227&amp;U$1,Pesos!$A:$I,7,FALSE),VLOOKUP($I227&amp;$J227&amp;U$1,Pesos!$A:$I,9,FALSE)))</f>
        <v>1.32</v>
      </c>
      <c r="AT227" s="132">
        <f>IF(V227="","",IF(V227="SIM",VLOOKUP($I227&amp;$J227&amp;V$1,Pesos!$A:$I,7,FALSE),VLOOKUP($I227&amp;$J227&amp;V$1,Pesos!$A:$I,9,FALSE)))</f>
        <v>-7.0199999999999999E-2</v>
      </c>
      <c r="AU227" s="132">
        <f>IF(W227="","",IF(W227="SIM",VLOOKUP($I227&amp;$J227&amp;W$1,Pesos!$A:$I,7,FALSE),VLOOKUP($I227&amp;$J227&amp;W$1,Pesos!$A:$I,9,FALSE)))</f>
        <v>0.3</v>
      </c>
      <c r="AV227" s="132">
        <f>IF(X227="","",IF(X227="SIM",VLOOKUP($I227&amp;$J227&amp;X$1,Pesos!$A:$I,7,FALSE),VLOOKUP($I227&amp;$J227&amp;X$1,Pesos!$A:$I,9,FALSE)))</f>
        <v>0.3</v>
      </c>
      <c r="AW227" s="132">
        <f>IF(Y227="","",IF(Y227="SIM",VLOOKUP($I227&amp;$J227&amp;Y$1,Pesos!$A:$I,7,FALSE),VLOOKUP($I227&amp;$J227&amp;Y$1,Pesos!$A:$I,9,FALSE)))</f>
        <v>0.15</v>
      </c>
      <c r="AX227" s="132">
        <f>IF(Z227="","",IF(Z227="SIM",VLOOKUP($I227&amp;$J227&amp;Z$1,Pesos!$A:$I,7,FALSE),VLOOKUP($I227&amp;$J227&amp;Z$1,Pesos!$A:$I,9,FALSE)))</f>
        <v>0.2</v>
      </c>
      <c r="AY227" s="132">
        <f>IF(AA227="","",IF(AA227="SIM",VLOOKUP($I227&amp;$J227&amp;AA$1,Pesos!$A:$I,7,FALSE),VLOOKUP($I227&amp;$J227&amp;AA$1,Pesos!$A:$I,9,FALSE)))</f>
        <v>0.3</v>
      </c>
      <c r="AZ227" s="132">
        <f>IF(AB227="","",IF(AB227="SIM",VLOOKUP($I227&amp;$J227&amp;AB$1,Pesos!$A:$I,7,FALSE),VLOOKUP($I227&amp;$J227&amp;AB$1,Pesos!$A:$I,9,FALSE)))</f>
        <v>0.1</v>
      </c>
      <c r="BA227" s="132" t="str">
        <f>IF(AC227="","",IF(AC227="SIM",VLOOKUP($I227&amp;$J227&amp;AC$1,Pesos!$A:$I,7,FALSE),VLOOKUP($I227&amp;$J227&amp;AC$1,Pesos!$A:$I,9,FALSE)))</f>
        <v/>
      </c>
      <c r="BB227" s="132" t="str">
        <f>IF(AD227="","",IF(AD227="SIM",VLOOKUP($I227&amp;$J227&amp;AD$1,Pesos!$A:$I,7,FALSE),VLOOKUP($I227&amp;$J227&amp;AD$1,Pesos!$A:$I,9,FALSE)))</f>
        <v/>
      </c>
      <c r="BC227" s="132" t="str">
        <f>IF(AE227="","",IF(AE227="SIM",VLOOKUP($I227&amp;$J227&amp;AE$1,Pesos!$A:$I,7,FALSE),VLOOKUP($I227&amp;$J227&amp;AE$1,Pesos!$A:$I,9,FALSE)))</f>
        <v/>
      </c>
      <c r="BD227" s="158">
        <f>IFERROR(AF227*VLOOKUP(J227,'BD Campos'!$X$1:$Y$14,2,FALSE),"0")</f>
        <v>7.1648000000000005</v>
      </c>
    </row>
    <row r="228" spans="1:56">
      <c r="A228" s="151" t="str">
        <f t="shared" si="15"/>
        <v>Jan11510ClienteTRANSFERÊNCIA</v>
      </c>
      <c r="B228" s="149" t="str">
        <f t="shared" si="16"/>
        <v>Jan115101TRANSFERÊNCIAPADRÃO</v>
      </c>
      <c r="C228" s="152">
        <v>1</v>
      </c>
      <c r="D228" s="153">
        <v>46058.701455671297</v>
      </c>
      <c r="E228" s="154" t="s">
        <v>12</v>
      </c>
      <c r="F228" s="155">
        <v>11510</v>
      </c>
      <c r="G228" s="149" t="s">
        <v>430</v>
      </c>
      <c r="H228" s="154">
        <v>1</v>
      </c>
      <c r="I228" s="149" t="s">
        <v>92</v>
      </c>
      <c r="J228" s="149" t="s">
        <v>149</v>
      </c>
      <c r="K228" s="149" t="s">
        <v>192</v>
      </c>
      <c r="L228" s="156">
        <v>34561915</v>
      </c>
      <c r="M228" s="157">
        <v>1.0763888888888889E-3</v>
      </c>
      <c r="N228" s="131" t="s">
        <v>17</v>
      </c>
      <c r="O228" s="131" t="s">
        <v>17</v>
      </c>
      <c r="P228" s="131" t="s">
        <v>18</v>
      </c>
      <c r="Q228" s="131" t="s">
        <v>18</v>
      </c>
      <c r="R228" s="131" t="s">
        <v>17</v>
      </c>
      <c r="S228" s="131" t="s">
        <v>17</v>
      </c>
      <c r="T228" s="131" t="s">
        <v>18</v>
      </c>
      <c r="U228" s="131" t="s">
        <v>18</v>
      </c>
      <c r="V228" s="131" t="s">
        <v>18</v>
      </c>
      <c r="W228" s="131" t="s">
        <v>17</v>
      </c>
      <c r="X228" s="131" t="s">
        <v>17</v>
      </c>
      <c r="Y228" s="131" t="s">
        <v>17</v>
      </c>
      <c r="Z228" s="131" t="s">
        <v>18</v>
      </c>
      <c r="AA228" s="131" t="s">
        <v>17</v>
      </c>
      <c r="AB228" s="131" t="s">
        <v>17</v>
      </c>
      <c r="AC228" s="131"/>
      <c r="AD228" s="131"/>
      <c r="AE228" s="131"/>
      <c r="AF228" s="158">
        <f t="shared" si="18"/>
        <v>3.3850000000000002</v>
      </c>
      <c r="AG228" s="159"/>
      <c r="AH228" s="155" t="s">
        <v>431</v>
      </c>
      <c r="AI228" s="155" t="s">
        <v>83</v>
      </c>
      <c r="AJ228" s="131" t="str">
        <f>IFERROR(VLOOKUP(E228&amp;F228,'Listagem dos op'!A:S,19,0),"")</f>
        <v/>
      </c>
      <c r="AK228" s="131" t="str">
        <f t="shared" si="17"/>
        <v>Jan11510</v>
      </c>
      <c r="AL228" s="154">
        <f>IF(N228="","",IF(N228="SIM",VLOOKUP($I228&amp;$J228&amp;N$1,Pesos!$A:$I,7,FALSE),VLOOKUP($I228&amp;$J228&amp;N$1,Pesos!$A:$I,9,FALSE)))</f>
        <v>0.1</v>
      </c>
      <c r="AM228" s="154">
        <f>IF(O228="","",IF(O228="SIM",VLOOKUP($I228&amp;$J228&amp;O$1,Pesos!$A:$I,7,FALSE),VLOOKUP($I228&amp;$J228&amp;O$1,Pesos!$A:$I,9,FALSE)))</f>
        <v>0.1</v>
      </c>
      <c r="AN228" s="154">
        <f>IF(P228="","",IF(P228="SIM",VLOOKUP($I228&amp;$J228&amp;P$1,Pesos!$A:$I,7,FALSE),VLOOKUP($I228&amp;$J228&amp;P$1,Pesos!$A:$I,9,FALSE)))</f>
        <v>-5.000000000000001E-3</v>
      </c>
      <c r="AO228" s="154">
        <f>IF(Q228="","",IF(Q228="SIM",VLOOKUP($I228&amp;$J228&amp;Q$1,Pesos!$A:$I,7,FALSE),VLOOKUP($I228&amp;$J228&amp;Q$1,Pesos!$A:$I,9,FALSE)))</f>
        <v>-2.0000000000000004E-2</v>
      </c>
      <c r="AP228" s="154">
        <f>IF(R228="","",IF(R228="SIM",VLOOKUP($I228&amp;$J228&amp;R$1,Pesos!$A:$I,7,FALSE),VLOOKUP($I228&amp;$J228&amp;R$1,Pesos!$A:$I,9,FALSE)))</f>
        <v>1.2</v>
      </c>
      <c r="AQ228" s="154">
        <f>IF(S228="","",IF(S228="SIM",VLOOKUP($I228&amp;$J228&amp;S$1,Pesos!$A:$I,7,FALSE),VLOOKUP($I228&amp;$J228&amp;S$1,Pesos!$A:$I,9,FALSE)))</f>
        <v>1.1500000000000001</v>
      </c>
      <c r="AR228" s="156">
        <f>IF(T228="","",IF(T228="SIM",VLOOKUP($I228&amp;$J228&amp;T$1,Pesos!$A:$I,7,FALSE),VLOOKUP($I228&amp;$J228&amp;T$1,Pesos!$A:$I,9,FALSE)))</f>
        <v>-0.09</v>
      </c>
      <c r="AS228" s="132">
        <f>IF(U228="","",IF(U228="SIM",VLOOKUP($I228&amp;$J228&amp;U$1,Pesos!$A:$I,7,FALSE),VLOOKUP($I228&amp;$J228&amp;U$1,Pesos!$A:$I,9,FALSE)))</f>
        <v>-0.09</v>
      </c>
      <c r="AT228" s="132">
        <f>IF(V228="","",IF(V228="SIM",VLOOKUP($I228&amp;$J228&amp;V$1,Pesos!$A:$I,7,FALSE),VLOOKUP($I228&amp;$J228&amp;V$1,Pesos!$A:$I,9,FALSE)))</f>
        <v>-0.1</v>
      </c>
      <c r="AU228" s="132">
        <f>IF(W228="","",IF(W228="SIM",VLOOKUP($I228&amp;$J228&amp;W$1,Pesos!$A:$I,7,FALSE),VLOOKUP($I228&amp;$J228&amp;W$1,Pesos!$A:$I,9,FALSE)))</f>
        <v>0.3</v>
      </c>
      <c r="AV228" s="132">
        <f>IF(X228="","",IF(X228="SIM",VLOOKUP($I228&amp;$J228&amp;X$1,Pesos!$A:$I,7,FALSE),VLOOKUP($I228&amp;$J228&amp;X$1,Pesos!$A:$I,9,FALSE)))</f>
        <v>0.3</v>
      </c>
      <c r="AW228" s="132">
        <f>IF(Y228="","",IF(Y228="SIM",VLOOKUP($I228&amp;$J228&amp;Y$1,Pesos!$A:$I,7,FALSE),VLOOKUP($I228&amp;$J228&amp;Y$1,Pesos!$A:$I,9,FALSE)))</f>
        <v>0.15</v>
      </c>
      <c r="AX228" s="132">
        <f>IF(Z228="","",IF(Z228="SIM",VLOOKUP($I228&amp;$J228&amp;Z$1,Pesos!$A:$I,7,FALSE),VLOOKUP($I228&amp;$J228&amp;Z$1,Pesos!$A:$I,9,FALSE)))</f>
        <v>-1.0000000000000002E-2</v>
      </c>
      <c r="AY228" s="132">
        <f>IF(AA228="","",IF(AA228="SIM",VLOOKUP($I228&amp;$J228&amp;AA$1,Pesos!$A:$I,7,FALSE),VLOOKUP($I228&amp;$J228&amp;AA$1,Pesos!$A:$I,9,FALSE)))</f>
        <v>0.3</v>
      </c>
      <c r="AZ228" s="132">
        <f>IF(AB228="","",IF(AB228="SIM",VLOOKUP($I228&amp;$J228&amp;AB$1,Pesos!$A:$I,7,FALSE),VLOOKUP($I228&amp;$J228&amp;AB$1,Pesos!$A:$I,9,FALSE)))</f>
        <v>0.1</v>
      </c>
      <c r="BA228" s="132" t="str">
        <f>IF(AC228="","",IF(AC228="SIM",VLOOKUP($I228&amp;$J228&amp;AC$1,Pesos!$A:$I,7,FALSE),VLOOKUP($I228&amp;$J228&amp;AC$1,Pesos!$A:$I,9,FALSE)))</f>
        <v/>
      </c>
      <c r="BB228" s="132" t="str">
        <f>IF(AD228="","",IF(AD228="SIM",VLOOKUP($I228&amp;$J228&amp;AD$1,Pesos!$A:$I,7,FALSE),VLOOKUP($I228&amp;$J228&amp;AD$1,Pesos!$A:$I,9,FALSE)))</f>
        <v/>
      </c>
      <c r="BC228" s="132" t="str">
        <f>IF(AE228="","",IF(AE228="SIM",VLOOKUP($I228&amp;$J228&amp;AE$1,Pesos!$A:$I,7,FALSE),VLOOKUP($I228&amp;$J228&amp;AE$1,Pesos!$A:$I,9,FALSE)))</f>
        <v/>
      </c>
      <c r="BD228" s="158">
        <f>IFERROR(AF228*VLOOKUP(J228,'BD Campos'!$X$1:$Y$14,2,FALSE),"0")</f>
        <v>3.3850000000000002</v>
      </c>
    </row>
    <row r="229" spans="1:56">
      <c r="A229" s="151" t="str">
        <f t="shared" si="15"/>
        <v>Jan11510MotoristaTRANSFERÊNCIA</v>
      </c>
      <c r="B229" s="149" t="str">
        <f t="shared" si="16"/>
        <v>Jan115102TRANSFERÊNCIAPADRÃO</v>
      </c>
      <c r="C229" s="152">
        <v>1</v>
      </c>
      <c r="D229" s="153">
        <v>46058.703904745373</v>
      </c>
      <c r="E229" s="154" t="s">
        <v>12</v>
      </c>
      <c r="F229" s="155">
        <v>11510</v>
      </c>
      <c r="G229" s="149" t="s">
        <v>430</v>
      </c>
      <c r="H229" s="154">
        <v>2</v>
      </c>
      <c r="I229" s="149" t="s">
        <v>92</v>
      </c>
      <c r="J229" s="149" t="s">
        <v>93</v>
      </c>
      <c r="K229" s="149" t="s">
        <v>192</v>
      </c>
      <c r="L229" s="156">
        <v>34790572</v>
      </c>
      <c r="M229" s="157">
        <v>1.0995370370370371E-3</v>
      </c>
      <c r="N229" s="131"/>
      <c r="O229" s="131"/>
      <c r="P229" s="131"/>
      <c r="Q229" s="131"/>
      <c r="R229" s="131"/>
      <c r="S229" s="131"/>
      <c r="T229" s="131"/>
      <c r="U229" s="131"/>
      <c r="V229" s="131"/>
      <c r="W229" s="131"/>
      <c r="X229" s="131"/>
      <c r="Y229" s="131"/>
      <c r="Z229" s="131"/>
      <c r="AA229" s="131"/>
      <c r="AB229" s="131"/>
      <c r="AC229" s="131"/>
      <c r="AD229" s="131"/>
      <c r="AE229" s="131"/>
      <c r="AF229" s="158">
        <f t="shared" si="18"/>
        <v>0</v>
      </c>
      <c r="AG229" s="159" t="s">
        <v>111</v>
      </c>
      <c r="AH229" s="155" t="s">
        <v>432</v>
      </c>
      <c r="AI229" s="155" t="s">
        <v>83</v>
      </c>
      <c r="AJ229" s="131" t="str">
        <f>IFERROR(VLOOKUP(E229&amp;F229,'Listagem dos op'!A:S,19,0),"")</f>
        <v/>
      </c>
      <c r="AK229" s="131" t="str">
        <f t="shared" si="17"/>
        <v>Jan11510</v>
      </c>
      <c r="AL229" s="154" t="str">
        <f>IF(N229="","",IF(N229="SIM",VLOOKUP($I229&amp;$J229&amp;N$1,Pesos!$A:$I,7,FALSE),VLOOKUP($I229&amp;$J229&amp;N$1,Pesos!$A:$I,9,FALSE)))</f>
        <v/>
      </c>
      <c r="AM229" s="154" t="str">
        <f>IF(O229="","",IF(O229="SIM",VLOOKUP($I229&amp;$J229&amp;O$1,Pesos!$A:$I,7,FALSE),VLOOKUP($I229&amp;$J229&amp;O$1,Pesos!$A:$I,9,FALSE)))</f>
        <v/>
      </c>
      <c r="AN229" s="154" t="str">
        <f>IF(P229="","",IF(P229="SIM",VLOOKUP($I229&amp;$J229&amp;P$1,Pesos!$A:$I,7,FALSE),VLOOKUP($I229&amp;$J229&amp;P$1,Pesos!$A:$I,9,FALSE)))</f>
        <v/>
      </c>
      <c r="AO229" s="154" t="str">
        <f>IF(Q229="","",IF(Q229="SIM",VLOOKUP($I229&amp;$J229&amp;Q$1,Pesos!$A:$I,7,FALSE),VLOOKUP($I229&amp;$J229&amp;Q$1,Pesos!$A:$I,9,FALSE)))</f>
        <v/>
      </c>
      <c r="AP229" s="154" t="str">
        <f>IF(R229="","",IF(R229="SIM",VLOOKUP($I229&amp;$J229&amp;R$1,Pesos!$A:$I,7,FALSE),VLOOKUP($I229&amp;$J229&amp;R$1,Pesos!$A:$I,9,FALSE)))</f>
        <v/>
      </c>
      <c r="AQ229" s="154" t="str">
        <f>IF(S229="","",IF(S229="SIM",VLOOKUP($I229&amp;$J229&amp;S$1,Pesos!$A:$I,7,FALSE),VLOOKUP($I229&amp;$J229&amp;S$1,Pesos!$A:$I,9,FALSE)))</f>
        <v/>
      </c>
      <c r="AR229" s="156" t="str">
        <f>IF(T229="","",IF(T229="SIM",VLOOKUP($I229&amp;$J229&amp;T$1,Pesos!$A:$I,7,FALSE),VLOOKUP($I229&amp;$J229&amp;T$1,Pesos!$A:$I,9,FALSE)))</f>
        <v/>
      </c>
      <c r="AS229" s="132" t="str">
        <f>IF(U229="","",IF(U229="SIM",VLOOKUP($I229&amp;$J229&amp;U$1,Pesos!$A:$I,7,FALSE),VLOOKUP($I229&amp;$J229&amp;U$1,Pesos!$A:$I,9,FALSE)))</f>
        <v/>
      </c>
      <c r="AT229" s="132" t="str">
        <f>IF(V229="","",IF(V229="SIM",VLOOKUP($I229&amp;$J229&amp;V$1,Pesos!$A:$I,7,FALSE),VLOOKUP($I229&amp;$J229&amp;V$1,Pesos!$A:$I,9,FALSE)))</f>
        <v/>
      </c>
      <c r="AU229" s="132" t="str">
        <f>IF(W229="","",IF(W229="SIM",VLOOKUP($I229&amp;$J229&amp;W$1,Pesos!$A:$I,7,FALSE),VLOOKUP($I229&amp;$J229&amp;W$1,Pesos!$A:$I,9,FALSE)))</f>
        <v/>
      </c>
      <c r="AV229" s="132" t="str">
        <f>IF(X229="","",IF(X229="SIM",VLOOKUP($I229&amp;$J229&amp;X$1,Pesos!$A:$I,7,FALSE),VLOOKUP($I229&amp;$J229&amp;X$1,Pesos!$A:$I,9,FALSE)))</f>
        <v/>
      </c>
      <c r="AW229" s="132" t="str">
        <f>IF(Y229="","",IF(Y229="SIM",VLOOKUP($I229&amp;$J229&amp;Y$1,Pesos!$A:$I,7,FALSE),VLOOKUP($I229&amp;$J229&amp;Y$1,Pesos!$A:$I,9,FALSE)))</f>
        <v/>
      </c>
      <c r="AX229" s="132" t="str">
        <f>IF(Z229="","",IF(Z229="SIM",VLOOKUP($I229&amp;$J229&amp;Z$1,Pesos!$A:$I,7,FALSE),VLOOKUP($I229&amp;$J229&amp;Z$1,Pesos!$A:$I,9,FALSE)))</f>
        <v/>
      </c>
      <c r="AY229" s="132" t="str">
        <f>IF(AA229="","",IF(AA229="SIM",VLOOKUP($I229&amp;$J229&amp;AA$1,Pesos!$A:$I,7,FALSE),VLOOKUP($I229&amp;$J229&amp;AA$1,Pesos!$A:$I,9,FALSE)))</f>
        <v/>
      </c>
      <c r="AZ229" s="132" t="str">
        <f>IF(AB229="","",IF(AB229="SIM",VLOOKUP($I229&amp;$J229&amp;AB$1,Pesos!$A:$I,7,FALSE),VLOOKUP($I229&amp;$J229&amp;AB$1,Pesos!$A:$I,9,FALSE)))</f>
        <v/>
      </c>
      <c r="BA229" s="132" t="str">
        <f>IF(AC229="","",IF(AC229="SIM",VLOOKUP($I229&amp;$J229&amp;AC$1,Pesos!$A:$I,7,FALSE),VLOOKUP($I229&amp;$J229&amp;AC$1,Pesos!$A:$I,9,FALSE)))</f>
        <v/>
      </c>
      <c r="BB229" s="132" t="str">
        <f>IF(AD229="","",IF(AD229="SIM",VLOOKUP($I229&amp;$J229&amp;AD$1,Pesos!$A:$I,7,FALSE),VLOOKUP($I229&amp;$J229&amp;AD$1,Pesos!$A:$I,9,FALSE)))</f>
        <v/>
      </c>
      <c r="BC229" s="132" t="str">
        <f>IF(AE229="","",IF(AE229="SIM",VLOOKUP($I229&amp;$J229&amp;AE$1,Pesos!$A:$I,7,FALSE),VLOOKUP($I229&amp;$J229&amp;AE$1,Pesos!$A:$I,9,FALSE)))</f>
        <v/>
      </c>
      <c r="BD229" s="158">
        <f>IFERROR(AF229*VLOOKUP(J229,'BD Campos'!$X$1:$Y$14,2,FALSE),"0")</f>
        <v>0</v>
      </c>
    </row>
    <row r="230" spans="1:56">
      <c r="A230" s="151" t="str">
        <f t="shared" si="15"/>
        <v>Jan11508MotoristaTRANSFERÊNCIA</v>
      </c>
      <c r="B230" s="149" t="str">
        <f t="shared" si="16"/>
        <v>Jan115081TRANSFERÊNCIAPADRÃO</v>
      </c>
      <c r="C230" s="152">
        <v>1</v>
      </c>
      <c r="D230" s="153">
        <v>46058.711421990738</v>
      </c>
      <c r="E230" s="154" t="s">
        <v>12</v>
      </c>
      <c r="F230" s="155">
        <v>11508</v>
      </c>
      <c r="G230" s="149" t="s">
        <v>433</v>
      </c>
      <c r="H230" s="154">
        <v>1</v>
      </c>
      <c r="I230" s="149" t="s">
        <v>130</v>
      </c>
      <c r="J230" s="149" t="s">
        <v>93</v>
      </c>
      <c r="K230" s="149" t="s">
        <v>192</v>
      </c>
      <c r="L230" s="156">
        <v>34587504</v>
      </c>
      <c r="M230" s="157">
        <v>3.7731481481481483E-3</v>
      </c>
      <c r="N230" s="131" t="s">
        <v>17</v>
      </c>
      <c r="O230" s="131" t="s">
        <v>17</v>
      </c>
      <c r="P230" s="131" t="s">
        <v>17</v>
      </c>
      <c r="Q230" s="131" t="s">
        <v>17</v>
      </c>
      <c r="R230" s="131" t="s">
        <v>17</v>
      </c>
      <c r="S230" s="131" t="s">
        <v>17</v>
      </c>
      <c r="T230" s="131" t="s">
        <v>17</v>
      </c>
      <c r="U230" s="131" t="s">
        <v>17</v>
      </c>
      <c r="V230" s="131" t="s">
        <v>17</v>
      </c>
      <c r="W230" s="131" t="s">
        <v>17</v>
      </c>
      <c r="X230" s="131" t="s">
        <v>17</v>
      </c>
      <c r="Y230" s="131" t="s">
        <v>17</v>
      </c>
      <c r="Z230" s="131"/>
      <c r="AA230" s="131" t="s">
        <v>17</v>
      </c>
      <c r="AB230" s="131" t="s">
        <v>17</v>
      </c>
      <c r="AC230" s="131"/>
      <c r="AD230" s="131"/>
      <c r="AE230" s="131"/>
      <c r="AF230" s="158">
        <f t="shared" si="18"/>
        <v>9.804000000000002</v>
      </c>
      <c r="AG230" s="159"/>
      <c r="AH230" s="155" t="s">
        <v>434</v>
      </c>
      <c r="AI230" s="155" t="s">
        <v>83</v>
      </c>
      <c r="AJ230" s="131" t="str">
        <f>IFERROR(VLOOKUP(E230&amp;F230,'Listagem dos op'!A:S,19,0),"")</f>
        <v/>
      </c>
      <c r="AK230" s="131" t="str">
        <f t="shared" si="17"/>
        <v>Jan11508</v>
      </c>
      <c r="AL230" s="154">
        <f>IF(N230="","",IF(N230="SIM",VLOOKUP($I230&amp;$J230&amp;N$1,Pesos!$A:$I,7,FALSE),VLOOKUP($I230&amp;$J230&amp;N$1,Pesos!$A:$I,9,FALSE)))</f>
        <v>0.1</v>
      </c>
      <c r="AM230" s="154">
        <f>IF(O230="","",IF(O230="SIM",VLOOKUP($I230&amp;$J230&amp;O$1,Pesos!$A:$I,7,FALSE),VLOOKUP($I230&amp;$J230&amp;O$1,Pesos!$A:$I,9,FALSE)))</f>
        <v>0.1</v>
      </c>
      <c r="AN230" s="154">
        <f>IF(P230="","",IF(P230="SIM",VLOOKUP($I230&amp;$J230&amp;P$1,Pesos!$A:$I,7,FALSE),VLOOKUP($I230&amp;$J230&amp;P$1,Pesos!$A:$I,9,FALSE)))</f>
        <v>0.1</v>
      </c>
      <c r="AO230" s="154">
        <f>IF(Q230="","",IF(Q230="SIM",VLOOKUP($I230&amp;$J230&amp;Q$1,Pesos!$A:$I,7,FALSE),VLOOKUP($I230&amp;$J230&amp;Q$1,Pesos!$A:$I,9,FALSE)))</f>
        <v>2</v>
      </c>
      <c r="AP230" s="154">
        <f>IF(R230="","",IF(R230="SIM",VLOOKUP($I230&amp;$J230&amp;R$1,Pesos!$A:$I,7,FALSE),VLOOKUP($I230&amp;$J230&amp;R$1,Pesos!$A:$I,9,FALSE)))</f>
        <v>1.03</v>
      </c>
      <c r="AQ230" s="154">
        <f>IF(S230="","",IF(S230="SIM",VLOOKUP($I230&amp;$J230&amp;S$1,Pesos!$A:$I,7,FALSE),VLOOKUP($I230&amp;$J230&amp;S$1,Pesos!$A:$I,9,FALSE)))</f>
        <v>1.3</v>
      </c>
      <c r="AR230" s="156">
        <f>IF(T230="","",IF(T230="SIM",VLOOKUP($I230&amp;$J230&amp;T$1,Pesos!$A:$I,7,FALSE),VLOOKUP($I230&amp;$J230&amp;T$1,Pesos!$A:$I,9,FALSE)))</f>
        <v>1.3</v>
      </c>
      <c r="AS230" s="132">
        <f>IF(U230="","",IF(U230="SIM",VLOOKUP($I230&amp;$J230&amp;U$1,Pesos!$A:$I,7,FALSE),VLOOKUP($I230&amp;$J230&amp;U$1,Pesos!$A:$I,9,FALSE)))</f>
        <v>1.32</v>
      </c>
      <c r="AT230" s="132">
        <f>IF(V230="","",IF(V230="SIM",VLOOKUP($I230&amp;$J230&amp;V$1,Pesos!$A:$I,7,FALSE),VLOOKUP($I230&amp;$J230&amp;V$1,Pesos!$A:$I,9,FALSE)))</f>
        <v>1.4039999999999999</v>
      </c>
      <c r="AU230" s="132">
        <f>IF(W230="","",IF(W230="SIM",VLOOKUP($I230&amp;$J230&amp;W$1,Pesos!$A:$I,7,FALSE),VLOOKUP($I230&amp;$J230&amp;W$1,Pesos!$A:$I,9,FALSE)))</f>
        <v>0.3</v>
      </c>
      <c r="AV230" s="132">
        <f>IF(X230="","",IF(X230="SIM",VLOOKUP($I230&amp;$J230&amp;X$1,Pesos!$A:$I,7,FALSE),VLOOKUP($I230&amp;$J230&amp;X$1,Pesos!$A:$I,9,FALSE)))</f>
        <v>0.3</v>
      </c>
      <c r="AW230" s="132">
        <f>IF(Y230="","",IF(Y230="SIM",VLOOKUP($I230&amp;$J230&amp;Y$1,Pesos!$A:$I,7,FALSE),VLOOKUP($I230&amp;$J230&amp;Y$1,Pesos!$A:$I,9,FALSE)))</f>
        <v>0.15</v>
      </c>
      <c r="AX230" s="132" t="str">
        <f>IF(Z230="","",IF(Z230="SIM",VLOOKUP($I230&amp;$J230&amp;Z$1,Pesos!$A:$I,7,FALSE),VLOOKUP($I230&amp;$J230&amp;Z$1,Pesos!$A:$I,9,FALSE)))</f>
        <v/>
      </c>
      <c r="AY230" s="132">
        <f>IF(AA230="","",IF(AA230="SIM",VLOOKUP($I230&amp;$J230&amp;AA$1,Pesos!$A:$I,7,FALSE),VLOOKUP($I230&amp;$J230&amp;AA$1,Pesos!$A:$I,9,FALSE)))</f>
        <v>0.3</v>
      </c>
      <c r="AZ230" s="132">
        <f>IF(AB230="","",IF(AB230="SIM",VLOOKUP($I230&amp;$J230&amp;AB$1,Pesos!$A:$I,7,FALSE),VLOOKUP($I230&amp;$J230&amp;AB$1,Pesos!$A:$I,9,FALSE)))</f>
        <v>0.1</v>
      </c>
      <c r="BA230" s="132" t="str">
        <f>IF(AC230="","",IF(AC230="SIM",VLOOKUP($I230&amp;$J230&amp;AC$1,Pesos!$A:$I,7,FALSE),VLOOKUP($I230&amp;$J230&amp;AC$1,Pesos!$A:$I,9,FALSE)))</f>
        <v/>
      </c>
      <c r="BB230" s="132" t="str">
        <f>IF(AD230="","",IF(AD230="SIM",VLOOKUP($I230&amp;$J230&amp;AD$1,Pesos!$A:$I,7,FALSE),VLOOKUP($I230&amp;$J230&amp;AD$1,Pesos!$A:$I,9,FALSE)))</f>
        <v/>
      </c>
      <c r="BC230" s="132" t="str">
        <f>IF(AE230="","",IF(AE230="SIM",VLOOKUP($I230&amp;$J230&amp;AE$1,Pesos!$A:$I,7,FALSE),VLOOKUP($I230&amp;$J230&amp;AE$1,Pesos!$A:$I,9,FALSE)))</f>
        <v/>
      </c>
      <c r="BD230" s="158">
        <f>IFERROR(AF230*VLOOKUP(J230,'BD Campos'!$X$1:$Y$14,2,FALSE),"0")</f>
        <v>9.804000000000002</v>
      </c>
    </row>
    <row r="231" spans="1:56">
      <c r="A231" s="151" t="str">
        <f t="shared" si="15"/>
        <v>Jan11508Motorista 2TRANSFERÊNCIA</v>
      </c>
      <c r="B231" s="149" t="str">
        <f t="shared" si="16"/>
        <v>Jan115082TRANSFERÊNCIAPADRÃO</v>
      </c>
      <c r="C231" s="152">
        <v>1</v>
      </c>
      <c r="D231" s="153">
        <v>46058.713825462961</v>
      </c>
      <c r="E231" s="154" t="s">
        <v>12</v>
      </c>
      <c r="F231" s="155">
        <v>11508</v>
      </c>
      <c r="G231" s="149" t="s">
        <v>433</v>
      </c>
      <c r="H231" s="154">
        <v>2</v>
      </c>
      <c r="I231" s="149" t="s">
        <v>133</v>
      </c>
      <c r="J231" s="149" t="s">
        <v>97</v>
      </c>
      <c r="K231" s="149" t="s">
        <v>192</v>
      </c>
      <c r="L231" s="156">
        <v>34811229</v>
      </c>
      <c r="M231" s="157">
        <v>1.5393518518518519E-3</v>
      </c>
      <c r="N231" s="131" t="s">
        <v>18</v>
      </c>
      <c r="O231" s="131" t="s">
        <v>17</v>
      </c>
      <c r="P231" s="131" t="s">
        <v>17</v>
      </c>
      <c r="Q231" s="131" t="s">
        <v>17</v>
      </c>
      <c r="R231" s="131" t="s">
        <v>17</v>
      </c>
      <c r="S231" s="131" t="s">
        <v>17</v>
      </c>
      <c r="T231" s="131" t="s">
        <v>17</v>
      </c>
      <c r="U231" s="131" t="s">
        <v>18</v>
      </c>
      <c r="V231" s="131" t="s">
        <v>17</v>
      </c>
      <c r="W231" s="131" t="s">
        <v>17</v>
      </c>
      <c r="X231" s="131" t="s">
        <v>17</v>
      </c>
      <c r="Y231" s="131" t="s">
        <v>17</v>
      </c>
      <c r="Z231" s="131" t="s">
        <v>17</v>
      </c>
      <c r="AA231" s="131" t="s">
        <v>18</v>
      </c>
      <c r="AB231" s="131" t="s">
        <v>17</v>
      </c>
      <c r="AC231" s="131" t="s">
        <v>17</v>
      </c>
      <c r="AD231" s="131"/>
      <c r="AE231" s="131"/>
      <c r="AF231" s="158">
        <f t="shared" si="18"/>
        <v>8.5824999999999996</v>
      </c>
      <c r="AG231" s="159"/>
      <c r="AH231" s="155" t="s">
        <v>435</v>
      </c>
      <c r="AI231" s="155" t="s">
        <v>83</v>
      </c>
      <c r="AJ231" s="131" t="str">
        <f>IFERROR(VLOOKUP(E231&amp;F231,'Listagem dos op'!A:S,19,0),"")</f>
        <v/>
      </c>
      <c r="AK231" s="131" t="str">
        <f t="shared" si="17"/>
        <v>Jan11508</v>
      </c>
      <c r="AL231" s="154">
        <f>IF(N231="","",IF(N231="SIM",VLOOKUP($I231&amp;$J231&amp;N$1,Pesos!$A:$I,7,FALSE),VLOOKUP($I231&amp;$J231&amp;N$1,Pesos!$A:$I,9,FALSE)))</f>
        <v>-5.000000000000001E-3</v>
      </c>
      <c r="AM231" s="154">
        <f>IF(O231="","",IF(O231="SIM",VLOOKUP($I231&amp;$J231&amp;O$1,Pesos!$A:$I,7,FALSE),VLOOKUP($I231&amp;$J231&amp;O$1,Pesos!$A:$I,9,FALSE)))</f>
        <v>0.1</v>
      </c>
      <c r="AN231" s="154">
        <f>IF(P231="","",IF(P231="SIM",VLOOKUP($I231&amp;$J231&amp;P$1,Pesos!$A:$I,7,FALSE),VLOOKUP($I231&amp;$J231&amp;P$1,Pesos!$A:$I,9,FALSE)))</f>
        <v>0.1</v>
      </c>
      <c r="AO231" s="154">
        <f>IF(Q231="","",IF(Q231="SIM",VLOOKUP($I231&amp;$J231&amp;Q$1,Pesos!$A:$I,7,FALSE),VLOOKUP($I231&amp;$J231&amp;Q$1,Pesos!$A:$I,9,FALSE)))</f>
        <v>2</v>
      </c>
      <c r="AP231" s="154">
        <f>IF(R231="","",IF(R231="SIM",VLOOKUP($I231&amp;$J231&amp;R$1,Pesos!$A:$I,7,FALSE),VLOOKUP($I231&amp;$J231&amp;R$1,Pesos!$A:$I,9,FALSE)))</f>
        <v>1.03</v>
      </c>
      <c r="AQ231" s="154">
        <f>IF(S231="","",IF(S231="SIM",VLOOKUP($I231&amp;$J231&amp;S$1,Pesos!$A:$I,7,FALSE),VLOOKUP($I231&amp;$J231&amp;S$1,Pesos!$A:$I,9,FALSE)))</f>
        <v>1.05</v>
      </c>
      <c r="AR231" s="156">
        <f>IF(T231="","",IF(T231="SIM",VLOOKUP($I231&amp;$J231&amp;T$1,Pesos!$A:$I,7,FALSE),VLOOKUP($I231&amp;$J231&amp;T$1,Pesos!$A:$I,9,FALSE)))</f>
        <v>1.05</v>
      </c>
      <c r="AS231" s="132">
        <f>IF(U231="","",IF(U231="SIM",VLOOKUP($I231&amp;$J231&amp;U$1,Pesos!$A:$I,7,FALSE),VLOOKUP($I231&amp;$J231&amp;U$1,Pesos!$A:$I,9,FALSE)))</f>
        <v>-5.2500000000000005E-2</v>
      </c>
      <c r="AT231" s="132">
        <f>IF(V231="","",IF(V231="SIM",VLOOKUP($I231&amp;$J231&amp;V$1,Pesos!$A:$I,7,FALSE),VLOOKUP($I231&amp;$J231&amp;V$1,Pesos!$A:$I,9,FALSE)))</f>
        <v>1.05</v>
      </c>
      <c r="AU231" s="132">
        <f>IF(W231="","",IF(W231="SIM",VLOOKUP($I231&amp;$J231&amp;W$1,Pesos!$A:$I,7,FALSE),VLOOKUP($I231&amp;$J231&amp;W$1,Pesos!$A:$I,9,FALSE)))</f>
        <v>1.1200000000000001</v>
      </c>
      <c r="AV231" s="132">
        <f>IF(X231="","",IF(X231="SIM",VLOOKUP($I231&amp;$J231&amp;X$1,Pesos!$A:$I,7,FALSE),VLOOKUP($I231&amp;$J231&amp;X$1,Pesos!$A:$I,9,FALSE)))</f>
        <v>0.3</v>
      </c>
      <c r="AW231" s="132">
        <f>IF(Y231="","",IF(Y231="SIM",VLOOKUP($I231&amp;$J231&amp;Y$1,Pesos!$A:$I,7,FALSE),VLOOKUP($I231&amp;$J231&amp;Y$1,Pesos!$A:$I,9,FALSE)))</f>
        <v>0.3</v>
      </c>
      <c r="AX231" s="132">
        <f>IF(Z231="","",IF(Z231="SIM",VLOOKUP($I231&amp;$J231&amp;Z$1,Pesos!$A:$I,7,FALSE),VLOOKUP($I231&amp;$J231&amp;Z$1,Pesos!$A:$I,9,FALSE)))</f>
        <v>0.15</v>
      </c>
      <c r="AY231" s="132">
        <f>IF(AA231="","",IF(AA231="SIM",VLOOKUP($I231&amp;$J231&amp;AA$1,Pesos!$A:$I,7,FALSE),VLOOKUP($I231&amp;$J231&amp;AA$1,Pesos!$A:$I,9,FALSE)))</f>
        <v>-1.0000000000000002E-2</v>
      </c>
      <c r="AZ231" s="132">
        <f>IF(AB231="","",IF(AB231="SIM",VLOOKUP($I231&amp;$J231&amp;AB$1,Pesos!$A:$I,7,FALSE),VLOOKUP($I231&amp;$J231&amp;AB$1,Pesos!$A:$I,9,FALSE)))</f>
        <v>0.3</v>
      </c>
      <c r="BA231" s="132">
        <f>IF(AC231="","",IF(AC231="SIM",VLOOKUP($I231&amp;$J231&amp;AC$1,Pesos!$A:$I,7,FALSE),VLOOKUP($I231&amp;$J231&amp;AC$1,Pesos!$A:$I,9,FALSE)))</f>
        <v>0.1</v>
      </c>
      <c r="BB231" s="132" t="str">
        <f>IF(AD231="","",IF(AD231="SIM",VLOOKUP($I231&amp;$J231&amp;AD$1,Pesos!$A:$I,7,FALSE),VLOOKUP($I231&amp;$J231&amp;AD$1,Pesos!$A:$I,9,FALSE)))</f>
        <v/>
      </c>
      <c r="BC231" s="132" t="str">
        <f>IF(AE231="","",IF(AE231="SIM",VLOOKUP($I231&amp;$J231&amp;AE$1,Pesos!$A:$I,7,FALSE),VLOOKUP($I231&amp;$J231&amp;AE$1,Pesos!$A:$I,9,FALSE)))</f>
        <v/>
      </c>
      <c r="BD231" s="158">
        <f>IFERROR(AF231*VLOOKUP(J231,'BD Campos'!$X$1:$Y$14,2,FALSE),"0")</f>
        <v>8.5824999999999996</v>
      </c>
    </row>
    <row r="232" spans="1:56">
      <c r="A232" s="151" t="str">
        <f t="shared" si="15"/>
        <v>Jan11511MotoristaTRANSFERÊNCIA</v>
      </c>
      <c r="B232" s="149" t="str">
        <f t="shared" si="16"/>
        <v>Jan115111TRANSFERÊNCIAPADRÃO</v>
      </c>
      <c r="C232" s="152">
        <v>1</v>
      </c>
      <c r="D232" s="153">
        <v>46058.718393402778</v>
      </c>
      <c r="E232" s="154" t="s">
        <v>12</v>
      </c>
      <c r="F232" s="155">
        <v>11511</v>
      </c>
      <c r="G232" s="149" t="s">
        <v>436</v>
      </c>
      <c r="H232" s="154">
        <v>1</v>
      </c>
      <c r="I232" s="149" t="s">
        <v>130</v>
      </c>
      <c r="J232" s="149" t="s">
        <v>93</v>
      </c>
      <c r="K232" s="149" t="s">
        <v>192</v>
      </c>
      <c r="L232" s="156">
        <v>34565047</v>
      </c>
      <c r="M232" s="157">
        <v>2.6967592592592594E-3</v>
      </c>
      <c r="N232" s="131" t="s">
        <v>17</v>
      </c>
      <c r="O232" s="131" t="s">
        <v>17</v>
      </c>
      <c r="P232" s="131" t="s">
        <v>17</v>
      </c>
      <c r="Q232" s="131" t="s">
        <v>17</v>
      </c>
      <c r="R232" s="131" t="s">
        <v>17</v>
      </c>
      <c r="S232" s="131" t="s">
        <v>17</v>
      </c>
      <c r="T232" s="131" t="s">
        <v>18</v>
      </c>
      <c r="U232" s="131" t="s">
        <v>17</v>
      </c>
      <c r="V232" s="131" t="s">
        <v>18</v>
      </c>
      <c r="W232" s="131" t="s">
        <v>17</v>
      </c>
      <c r="X232" s="131" t="s">
        <v>17</v>
      </c>
      <c r="Y232" s="131" t="s">
        <v>17</v>
      </c>
      <c r="Z232" s="131" t="s">
        <v>17</v>
      </c>
      <c r="AA232" s="131" t="s">
        <v>17</v>
      </c>
      <c r="AB232" s="131" t="s">
        <v>17</v>
      </c>
      <c r="AC232" s="131"/>
      <c r="AD232" s="131"/>
      <c r="AE232" s="131"/>
      <c r="AF232" s="158">
        <f t="shared" si="18"/>
        <v>7.1647999999999996</v>
      </c>
      <c r="AG232" s="159"/>
      <c r="AH232" s="155" t="s">
        <v>437</v>
      </c>
      <c r="AI232" s="155" t="s">
        <v>83</v>
      </c>
      <c r="AJ232" s="131" t="str">
        <f>IFERROR(VLOOKUP(E232&amp;F232,'Listagem dos op'!A:S,19,0),"")</f>
        <v/>
      </c>
      <c r="AK232" s="131" t="str">
        <f t="shared" si="17"/>
        <v>Jan11511</v>
      </c>
      <c r="AL232" s="154">
        <f>IF(N232="","",IF(N232="SIM",VLOOKUP($I232&amp;$J232&amp;N$1,Pesos!$A:$I,7,FALSE),VLOOKUP($I232&amp;$J232&amp;N$1,Pesos!$A:$I,9,FALSE)))</f>
        <v>0.1</v>
      </c>
      <c r="AM232" s="154">
        <f>IF(O232="","",IF(O232="SIM",VLOOKUP($I232&amp;$J232&amp;O$1,Pesos!$A:$I,7,FALSE),VLOOKUP($I232&amp;$J232&amp;O$1,Pesos!$A:$I,9,FALSE)))</f>
        <v>0.1</v>
      </c>
      <c r="AN232" s="154">
        <f>IF(P232="","",IF(P232="SIM",VLOOKUP($I232&amp;$J232&amp;P$1,Pesos!$A:$I,7,FALSE),VLOOKUP($I232&amp;$J232&amp;P$1,Pesos!$A:$I,9,FALSE)))</f>
        <v>0.1</v>
      </c>
      <c r="AO232" s="154">
        <f>IF(Q232="","",IF(Q232="SIM",VLOOKUP($I232&amp;$J232&amp;Q$1,Pesos!$A:$I,7,FALSE),VLOOKUP($I232&amp;$J232&amp;Q$1,Pesos!$A:$I,9,FALSE)))</f>
        <v>2</v>
      </c>
      <c r="AP232" s="154">
        <f>IF(R232="","",IF(R232="SIM",VLOOKUP($I232&amp;$J232&amp;R$1,Pesos!$A:$I,7,FALSE),VLOOKUP($I232&amp;$J232&amp;R$1,Pesos!$A:$I,9,FALSE)))</f>
        <v>1.03</v>
      </c>
      <c r="AQ232" s="154">
        <f>IF(S232="","",IF(S232="SIM",VLOOKUP($I232&amp;$J232&amp;S$1,Pesos!$A:$I,7,FALSE),VLOOKUP($I232&amp;$J232&amp;S$1,Pesos!$A:$I,9,FALSE)))</f>
        <v>1.3</v>
      </c>
      <c r="AR232" s="156">
        <f>IF(T232="","",IF(T232="SIM",VLOOKUP($I232&amp;$J232&amp;T$1,Pesos!$A:$I,7,FALSE),VLOOKUP($I232&amp;$J232&amp;T$1,Pesos!$A:$I,9,FALSE)))</f>
        <v>-6.5000000000000002E-2</v>
      </c>
      <c r="AS232" s="132">
        <f>IF(U232="","",IF(U232="SIM",VLOOKUP($I232&amp;$J232&amp;U$1,Pesos!$A:$I,7,FALSE),VLOOKUP($I232&amp;$J232&amp;U$1,Pesos!$A:$I,9,FALSE)))</f>
        <v>1.32</v>
      </c>
      <c r="AT232" s="132">
        <f>IF(V232="","",IF(V232="SIM",VLOOKUP($I232&amp;$J232&amp;V$1,Pesos!$A:$I,7,FALSE),VLOOKUP($I232&amp;$J232&amp;V$1,Pesos!$A:$I,9,FALSE)))</f>
        <v>-7.0199999999999999E-2</v>
      </c>
      <c r="AU232" s="132">
        <f>IF(W232="","",IF(W232="SIM",VLOOKUP($I232&amp;$J232&amp;W$1,Pesos!$A:$I,7,FALSE),VLOOKUP($I232&amp;$J232&amp;W$1,Pesos!$A:$I,9,FALSE)))</f>
        <v>0.3</v>
      </c>
      <c r="AV232" s="132">
        <f>IF(X232="","",IF(X232="SIM",VLOOKUP($I232&amp;$J232&amp;X$1,Pesos!$A:$I,7,FALSE),VLOOKUP($I232&amp;$J232&amp;X$1,Pesos!$A:$I,9,FALSE)))</f>
        <v>0.3</v>
      </c>
      <c r="AW232" s="132">
        <f>IF(Y232="","",IF(Y232="SIM",VLOOKUP($I232&amp;$J232&amp;Y$1,Pesos!$A:$I,7,FALSE),VLOOKUP($I232&amp;$J232&amp;Y$1,Pesos!$A:$I,9,FALSE)))</f>
        <v>0.15</v>
      </c>
      <c r="AX232" s="132">
        <f>IF(Z232="","",IF(Z232="SIM",VLOOKUP($I232&amp;$J232&amp;Z$1,Pesos!$A:$I,7,FALSE),VLOOKUP($I232&amp;$J232&amp;Z$1,Pesos!$A:$I,9,FALSE)))</f>
        <v>0.2</v>
      </c>
      <c r="AY232" s="132">
        <f>IF(AA232="","",IF(AA232="SIM",VLOOKUP($I232&amp;$J232&amp;AA$1,Pesos!$A:$I,7,FALSE),VLOOKUP($I232&amp;$J232&amp;AA$1,Pesos!$A:$I,9,FALSE)))</f>
        <v>0.3</v>
      </c>
      <c r="AZ232" s="132">
        <f>IF(AB232="","",IF(AB232="SIM",VLOOKUP($I232&amp;$J232&amp;AB$1,Pesos!$A:$I,7,FALSE),VLOOKUP($I232&amp;$J232&amp;AB$1,Pesos!$A:$I,9,FALSE)))</f>
        <v>0.1</v>
      </c>
      <c r="BA232" s="132" t="str">
        <f>IF(AC232="","",IF(AC232="SIM",VLOOKUP($I232&amp;$J232&amp;AC$1,Pesos!$A:$I,7,FALSE),VLOOKUP($I232&amp;$J232&amp;AC$1,Pesos!$A:$I,9,FALSE)))</f>
        <v/>
      </c>
      <c r="BB232" s="132" t="str">
        <f>IF(AD232="","",IF(AD232="SIM",VLOOKUP($I232&amp;$J232&amp;AD$1,Pesos!$A:$I,7,FALSE),VLOOKUP($I232&amp;$J232&amp;AD$1,Pesos!$A:$I,9,FALSE)))</f>
        <v/>
      </c>
      <c r="BC232" s="132" t="str">
        <f>IF(AE232="","",IF(AE232="SIM",VLOOKUP($I232&amp;$J232&amp;AE$1,Pesos!$A:$I,7,FALSE),VLOOKUP($I232&amp;$J232&amp;AE$1,Pesos!$A:$I,9,FALSE)))</f>
        <v/>
      </c>
      <c r="BD232" s="158">
        <f>IFERROR(AF232*VLOOKUP(J232,'BD Campos'!$X$1:$Y$14,2,FALSE),"0")</f>
        <v>7.1647999999999996</v>
      </c>
    </row>
    <row r="233" spans="1:56">
      <c r="A233" s="151" t="str">
        <f t="shared" si="15"/>
        <v>Jan11511Motorista 2TRANSFERÊNCIA</v>
      </c>
      <c r="B233" s="149" t="str">
        <f t="shared" si="16"/>
        <v>Jan115112TRANSFERÊNCIAPADRÃO</v>
      </c>
      <c r="C233" s="152">
        <v>1</v>
      </c>
      <c r="D233" s="153">
        <v>46058.719954398148</v>
      </c>
      <c r="E233" s="154" t="s">
        <v>12</v>
      </c>
      <c r="F233" s="155">
        <v>11511</v>
      </c>
      <c r="G233" s="149" t="s">
        <v>436</v>
      </c>
      <c r="H233" s="154">
        <v>2</v>
      </c>
      <c r="I233" s="149" t="s">
        <v>96</v>
      </c>
      <c r="J233" s="149" t="s">
        <v>97</v>
      </c>
      <c r="K233" s="149" t="s">
        <v>192</v>
      </c>
      <c r="L233" s="156">
        <v>34771919</v>
      </c>
      <c r="M233" s="157">
        <v>1.0879629629629629E-3</v>
      </c>
      <c r="N233" s="131" t="s">
        <v>17</v>
      </c>
      <c r="O233" s="131" t="s">
        <v>17</v>
      </c>
      <c r="P233" s="131" t="s">
        <v>17</v>
      </c>
      <c r="Q233" s="131" t="s">
        <v>17</v>
      </c>
      <c r="R233" s="131" t="s">
        <v>17</v>
      </c>
      <c r="S233" s="131" t="s">
        <v>18</v>
      </c>
      <c r="T233" s="131" t="s">
        <v>17</v>
      </c>
      <c r="U233" s="131" t="s">
        <v>18</v>
      </c>
      <c r="V233" s="131" t="s">
        <v>18</v>
      </c>
      <c r="W233" s="131" t="s">
        <v>17</v>
      </c>
      <c r="X233" s="131" t="s">
        <v>17</v>
      </c>
      <c r="Y233" s="131" t="s">
        <v>17</v>
      </c>
      <c r="Z233" s="131" t="s">
        <v>17</v>
      </c>
      <c r="AA233" s="131" t="s">
        <v>17</v>
      </c>
      <c r="AB233" s="131" t="s">
        <v>17</v>
      </c>
      <c r="AC233" s="131"/>
      <c r="AD233" s="131"/>
      <c r="AE233" s="131"/>
      <c r="AF233" s="158">
        <f t="shared" si="18"/>
        <v>6.5139999999999993</v>
      </c>
      <c r="AG233" s="159"/>
      <c r="AH233" s="155" t="s">
        <v>438</v>
      </c>
      <c r="AI233" s="155" t="s">
        <v>83</v>
      </c>
      <c r="AJ233" s="131" t="str">
        <f>IFERROR(VLOOKUP(E233&amp;F233,'Listagem dos op'!A:S,19,0),"")</f>
        <v/>
      </c>
      <c r="AK233" s="131" t="str">
        <f t="shared" si="17"/>
        <v>Jan11511</v>
      </c>
      <c r="AL233" s="154">
        <f>IF(N233="","",IF(N233="SIM",VLOOKUP($I233&amp;$J233&amp;N$1,Pesos!$A:$I,7,FALSE),VLOOKUP($I233&amp;$J233&amp;N$1,Pesos!$A:$I,9,FALSE)))</f>
        <v>0.1</v>
      </c>
      <c r="AM233" s="154">
        <f>IF(O233="","",IF(O233="SIM",VLOOKUP($I233&amp;$J233&amp;O$1,Pesos!$A:$I,7,FALSE),VLOOKUP($I233&amp;$J233&amp;O$1,Pesos!$A:$I,9,FALSE)))</f>
        <v>0.1</v>
      </c>
      <c r="AN233" s="154">
        <f>IF(P233="","",IF(P233="SIM",VLOOKUP($I233&amp;$J233&amp;P$1,Pesos!$A:$I,7,FALSE),VLOOKUP($I233&amp;$J233&amp;P$1,Pesos!$A:$I,9,FALSE)))</f>
        <v>0.1</v>
      </c>
      <c r="AO233" s="154">
        <f>IF(Q233="","",IF(Q233="SIM",VLOOKUP($I233&amp;$J233&amp;Q$1,Pesos!$A:$I,7,FALSE),VLOOKUP($I233&amp;$J233&amp;Q$1,Pesos!$A:$I,9,FALSE)))</f>
        <v>2</v>
      </c>
      <c r="AP233" s="154">
        <f>IF(R233="","",IF(R233="SIM",VLOOKUP($I233&amp;$J233&amp;R$1,Pesos!$A:$I,7,FALSE),VLOOKUP($I233&amp;$J233&amp;R$1,Pesos!$A:$I,9,FALSE)))</f>
        <v>1.03</v>
      </c>
      <c r="AQ233" s="154">
        <f>IF(S233="","",IF(S233="SIM",VLOOKUP($I233&amp;$J233&amp;S$1,Pesos!$A:$I,7,FALSE),VLOOKUP($I233&amp;$J233&amp;S$1,Pesos!$A:$I,9,FALSE)))</f>
        <v>-6.0999999999999999E-2</v>
      </c>
      <c r="AR233" s="156">
        <f>IF(T233="","",IF(T233="SIM",VLOOKUP($I233&amp;$J233&amp;T$1,Pesos!$A:$I,7,FALSE),VLOOKUP($I233&amp;$J233&amp;T$1,Pesos!$A:$I,9,FALSE)))</f>
        <v>2</v>
      </c>
      <c r="AS233" s="132">
        <f>IF(U233="","",IF(U233="SIM",VLOOKUP($I233&amp;$J233&amp;U$1,Pesos!$A:$I,7,FALSE),VLOOKUP($I233&amp;$J233&amp;U$1,Pesos!$A:$I,9,FALSE)))</f>
        <v>-5.2500000000000005E-2</v>
      </c>
      <c r="AT233" s="132">
        <f>IF(V233="","",IF(V233="SIM",VLOOKUP($I233&amp;$J233&amp;V$1,Pesos!$A:$I,7,FALSE),VLOOKUP($I233&amp;$J233&amp;V$1,Pesos!$A:$I,9,FALSE)))</f>
        <v>-5.2500000000000005E-2</v>
      </c>
      <c r="AU233" s="132">
        <f>IF(W233="","",IF(W233="SIM",VLOOKUP($I233&amp;$J233&amp;W$1,Pesos!$A:$I,7,FALSE),VLOOKUP($I233&amp;$J233&amp;W$1,Pesos!$A:$I,9,FALSE)))</f>
        <v>0.3</v>
      </c>
      <c r="AV233" s="132">
        <f>IF(X233="","",IF(X233="SIM",VLOOKUP($I233&amp;$J233&amp;X$1,Pesos!$A:$I,7,FALSE),VLOOKUP($I233&amp;$J233&amp;X$1,Pesos!$A:$I,9,FALSE)))</f>
        <v>0.3</v>
      </c>
      <c r="AW233" s="132">
        <f>IF(Y233="","",IF(Y233="SIM",VLOOKUP($I233&amp;$J233&amp;Y$1,Pesos!$A:$I,7,FALSE),VLOOKUP($I233&amp;$J233&amp;Y$1,Pesos!$A:$I,9,FALSE)))</f>
        <v>0.15</v>
      </c>
      <c r="AX233" s="132">
        <f>IF(Z233="","",IF(Z233="SIM",VLOOKUP($I233&amp;$J233&amp;Z$1,Pesos!$A:$I,7,FALSE),VLOOKUP($I233&amp;$J233&amp;Z$1,Pesos!$A:$I,9,FALSE)))</f>
        <v>0.2</v>
      </c>
      <c r="AY233" s="132">
        <f>IF(AA233="","",IF(AA233="SIM",VLOOKUP($I233&amp;$J233&amp;AA$1,Pesos!$A:$I,7,FALSE),VLOOKUP($I233&amp;$J233&amp;AA$1,Pesos!$A:$I,9,FALSE)))</f>
        <v>0.3</v>
      </c>
      <c r="AZ233" s="132">
        <f>IF(AB233="","",IF(AB233="SIM",VLOOKUP($I233&amp;$J233&amp;AB$1,Pesos!$A:$I,7,FALSE),VLOOKUP($I233&amp;$J233&amp;AB$1,Pesos!$A:$I,9,FALSE)))</f>
        <v>0.1</v>
      </c>
      <c r="BA233" s="132" t="str">
        <f>IF(AC233="","",IF(AC233="SIM",VLOOKUP($I233&amp;$J233&amp;AC$1,Pesos!$A:$I,7,FALSE),VLOOKUP($I233&amp;$J233&amp;AC$1,Pesos!$A:$I,9,FALSE)))</f>
        <v/>
      </c>
      <c r="BB233" s="132" t="str">
        <f>IF(AD233="","",IF(AD233="SIM",VLOOKUP($I233&amp;$J233&amp;AD$1,Pesos!$A:$I,7,FALSE),VLOOKUP($I233&amp;$J233&amp;AD$1,Pesos!$A:$I,9,FALSE)))</f>
        <v/>
      </c>
      <c r="BC233" s="132" t="str">
        <f>IF(AE233="","",IF(AE233="SIM",VLOOKUP($I233&amp;$J233&amp;AE$1,Pesos!$A:$I,7,FALSE),VLOOKUP($I233&amp;$J233&amp;AE$1,Pesos!$A:$I,9,FALSE)))</f>
        <v/>
      </c>
      <c r="BD233" s="158">
        <f>IFERROR(AF233*VLOOKUP(J233,'BD Campos'!$X$1:$Y$14,2,FALSE),"0")</f>
        <v>6.5139999999999993</v>
      </c>
    </row>
    <row r="234" spans="1:56">
      <c r="A234" s="151" t="str">
        <f t="shared" si="15"/>
        <v>Jan11295MotoristaTRANSFERÊNCIA</v>
      </c>
      <c r="B234" s="149" t="str">
        <f t="shared" si="16"/>
        <v>Jan112951TRANSFERÊNCIAPADRÃO</v>
      </c>
      <c r="C234" s="152">
        <v>1</v>
      </c>
      <c r="D234" s="153">
        <v>46058.729406944447</v>
      </c>
      <c r="E234" s="154" t="s">
        <v>12</v>
      </c>
      <c r="F234" s="155">
        <v>11295</v>
      </c>
      <c r="G234" s="149" t="s">
        <v>439</v>
      </c>
      <c r="H234" s="154">
        <v>1</v>
      </c>
      <c r="I234" s="149" t="s">
        <v>130</v>
      </c>
      <c r="J234" s="149" t="s">
        <v>93</v>
      </c>
      <c r="K234" s="149" t="s">
        <v>192</v>
      </c>
      <c r="L234" s="156">
        <v>34523207</v>
      </c>
      <c r="M234" s="157">
        <v>2.5115740740740741E-3</v>
      </c>
      <c r="N234" s="131"/>
      <c r="O234" s="131"/>
      <c r="P234" s="131"/>
      <c r="Q234" s="131"/>
      <c r="R234" s="131"/>
      <c r="S234" s="131"/>
      <c r="T234" s="131"/>
      <c r="U234" s="131"/>
      <c r="V234" s="131"/>
      <c r="W234" s="131"/>
      <c r="X234" s="131"/>
      <c r="Y234" s="131"/>
      <c r="Z234" s="131"/>
      <c r="AA234" s="131"/>
      <c r="AB234" s="131"/>
      <c r="AC234" s="131"/>
      <c r="AD234" s="131"/>
      <c r="AE234" s="131"/>
      <c r="AF234" s="158">
        <f t="shared" si="18"/>
        <v>0</v>
      </c>
      <c r="AG234" s="159" t="s">
        <v>98</v>
      </c>
      <c r="AH234" s="155" t="s">
        <v>440</v>
      </c>
      <c r="AI234" s="155" t="s">
        <v>83</v>
      </c>
      <c r="AJ234" s="131" t="str">
        <f>IFERROR(VLOOKUP(E234&amp;F234,'Listagem dos op'!A:S,19,0),"")</f>
        <v/>
      </c>
      <c r="AK234" s="131" t="str">
        <f t="shared" si="17"/>
        <v>Jan11295</v>
      </c>
      <c r="AL234" s="154" t="str">
        <f>IF(N234="","",IF(N234="SIM",VLOOKUP($I234&amp;$J234&amp;N$1,Pesos!$A:$I,7,FALSE),VLOOKUP($I234&amp;$J234&amp;N$1,Pesos!$A:$I,9,FALSE)))</f>
        <v/>
      </c>
      <c r="AM234" s="154" t="str">
        <f>IF(O234="","",IF(O234="SIM",VLOOKUP($I234&amp;$J234&amp;O$1,Pesos!$A:$I,7,FALSE),VLOOKUP($I234&amp;$J234&amp;O$1,Pesos!$A:$I,9,FALSE)))</f>
        <v/>
      </c>
      <c r="AN234" s="154" t="str">
        <f>IF(P234="","",IF(P234="SIM",VLOOKUP($I234&amp;$J234&amp;P$1,Pesos!$A:$I,7,FALSE),VLOOKUP($I234&amp;$J234&amp;P$1,Pesos!$A:$I,9,FALSE)))</f>
        <v/>
      </c>
      <c r="AO234" s="154" t="str">
        <f>IF(Q234="","",IF(Q234="SIM",VLOOKUP($I234&amp;$J234&amp;Q$1,Pesos!$A:$I,7,FALSE),VLOOKUP($I234&amp;$J234&amp;Q$1,Pesos!$A:$I,9,FALSE)))</f>
        <v/>
      </c>
      <c r="AP234" s="154" t="str">
        <f>IF(R234="","",IF(R234="SIM",VLOOKUP($I234&amp;$J234&amp;R$1,Pesos!$A:$I,7,FALSE),VLOOKUP($I234&amp;$J234&amp;R$1,Pesos!$A:$I,9,FALSE)))</f>
        <v/>
      </c>
      <c r="AQ234" s="154" t="str">
        <f>IF(S234="","",IF(S234="SIM",VLOOKUP($I234&amp;$J234&amp;S$1,Pesos!$A:$I,7,FALSE),VLOOKUP($I234&amp;$J234&amp;S$1,Pesos!$A:$I,9,FALSE)))</f>
        <v/>
      </c>
      <c r="AR234" s="156" t="str">
        <f>IF(T234="","",IF(T234="SIM",VLOOKUP($I234&amp;$J234&amp;T$1,Pesos!$A:$I,7,FALSE),VLOOKUP($I234&amp;$J234&amp;T$1,Pesos!$A:$I,9,FALSE)))</f>
        <v/>
      </c>
      <c r="AS234" s="132" t="str">
        <f>IF(U234="","",IF(U234="SIM",VLOOKUP($I234&amp;$J234&amp;U$1,Pesos!$A:$I,7,FALSE),VLOOKUP($I234&amp;$J234&amp;U$1,Pesos!$A:$I,9,FALSE)))</f>
        <v/>
      </c>
      <c r="AT234" s="132" t="str">
        <f>IF(V234="","",IF(V234="SIM",VLOOKUP($I234&amp;$J234&amp;V$1,Pesos!$A:$I,7,FALSE),VLOOKUP($I234&amp;$J234&amp;V$1,Pesos!$A:$I,9,FALSE)))</f>
        <v/>
      </c>
      <c r="AU234" s="132" t="str">
        <f>IF(W234="","",IF(W234="SIM",VLOOKUP($I234&amp;$J234&amp;W$1,Pesos!$A:$I,7,FALSE),VLOOKUP($I234&amp;$J234&amp;W$1,Pesos!$A:$I,9,FALSE)))</f>
        <v/>
      </c>
      <c r="AV234" s="132" t="str">
        <f>IF(X234="","",IF(X234="SIM",VLOOKUP($I234&amp;$J234&amp;X$1,Pesos!$A:$I,7,FALSE),VLOOKUP($I234&amp;$J234&amp;X$1,Pesos!$A:$I,9,FALSE)))</f>
        <v/>
      </c>
      <c r="AW234" s="132" t="str">
        <f>IF(Y234="","",IF(Y234="SIM",VLOOKUP($I234&amp;$J234&amp;Y$1,Pesos!$A:$I,7,FALSE),VLOOKUP($I234&amp;$J234&amp;Y$1,Pesos!$A:$I,9,FALSE)))</f>
        <v/>
      </c>
      <c r="AX234" s="132" t="str">
        <f>IF(Z234="","",IF(Z234="SIM",VLOOKUP($I234&amp;$J234&amp;Z$1,Pesos!$A:$I,7,FALSE),VLOOKUP($I234&amp;$J234&amp;Z$1,Pesos!$A:$I,9,FALSE)))</f>
        <v/>
      </c>
      <c r="AY234" s="132" t="str">
        <f>IF(AA234="","",IF(AA234="SIM",VLOOKUP($I234&amp;$J234&amp;AA$1,Pesos!$A:$I,7,FALSE),VLOOKUP($I234&amp;$J234&amp;AA$1,Pesos!$A:$I,9,FALSE)))</f>
        <v/>
      </c>
      <c r="AZ234" s="132" t="str">
        <f>IF(AB234="","",IF(AB234="SIM",VLOOKUP($I234&amp;$J234&amp;AB$1,Pesos!$A:$I,7,FALSE),VLOOKUP($I234&amp;$J234&amp;AB$1,Pesos!$A:$I,9,FALSE)))</f>
        <v/>
      </c>
      <c r="BA234" s="132" t="str">
        <f>IF(AC234="","",IF(AC234="SIM",VLOOKUP($I234&amp;$J234&amp;AC$1,Pesos!$A:$I,7,FALSE),VLOOKUP($I234&amp;$J234&amp;AC$1,Pesos!$A:$I,9,FALSE)))</f>
        <v/>
      </c>
      <c r="BB234" s="132" t="str">
        <f>IF(AD234="","",IF(AD234="SIM",VLOOKUP($I234&amp;$J234&amp;AD$1,Pesos!$A:$I,7,FALSE),VLOOKUP($I234&amp;$J234&amp;AD$1,Pesos!$A:$I,9,FALSE)))</f>
        <v/>
      </c>
      <c r="BC234" s="132" t="str">
        <f>IF(AE234="","",IF(AE234="SIM",VLOOKUP($I234&amp;$J234&amp;AE$1,Pesos!$A:$I,7,FALSE),VLOOKUP($I234&amp;$J234&amp;AE$1,Pesos!$A:$I,9,FALSE)))</f>
        <v/>
      </c>
      <c r="BD234" s="158">
        <f>IFERROR(AF234*VLOOKUP(J234,'BD Campos'!$X$1:$Y$14,2,FALSE),"0")</f>
        <v>0</v>
      </c>
    </row>
    <row r="235" spans="1:56">
      <c r="A235" s="151" t="str">
        <f t="shared" si="15"/>
        <v>Jan11295Motorista 2TRANSFERÊNCIA</v>
      </c>
      <c r="B235" s="149" t="str">
        <f t="shared" si="16"/>
        <v>Jan112952TRANSFERÊNCIAPADRÃO</v>
      </c>
      <c r="C235" s="152">
        <v>1</v>
      </c>
      <c r="D235" s="153">
        <v>46058.737652083335</v>
      </c>
      <c r="E235" s="154" t="s">
        <v>12</v>
      </c>
      <c r="F235" s="155">
        <v>11295</v>
      </c>
      <c r="G235" s="149" t="s">
        <v>439</v>
      </c>
      <c r="H235" s="154">
        <v>2</v>
      </c>
      <c r="I235" s="149" t="s">
        <v>130</v>
      </c>
      <c r="J235" s="149" t="s">
        <v>97</v>
      </c>
      <c r="K235" s="149" t="s">
        <v>192</v>
      </c>
      <c r="L235" s="156">
        <v>34816930</v>
      </c>
      <c r="M235" s="157">
        <v>3.1712962962962958E-3</v>
      </c>
      <c r="N235" s="131" t="s">
        <v>17</v>
      </c>
      <c r="O235" s="131" t="s">
        <v>17</v>
      </c>
      <c r="P235" s="131" t="s">
        <v>17</v>
      </c>
      <c r="Q235" s="131" t="s">
        <v>17</v>
      </c>
      <c r="R235" s="131" t="s">
        <v>17</v>
      </c>
      <c r="S235" s="131" t="s">
        <v>17</v>
      </c>
      <c r="T235" s="131" t="s">
        <v>17</v>
      </c>
      <c r="U235" s="131" t="s">
        <v>17</v>
      </c>
      <c r="V235" s="131" t="s">
        <v>17</v>
      </c>
      <c r="W235" s="131" t="s">
        <v>17</v>
      </c>
      <c r="X235" s="131" t="s">
        <v>17</v>
      </c>
      <c r="Y235" s="131" t="s">
        <v>17</v>
      </c>
      <c r="Z235" s="131" t="s">
        <v>17</v>
      </c>
      <c r="AA235" s="131" t="s">
        <v>17</v>
      </c>
      <c r="AB235" s="131" t="s">
        <v>17</v>
      </c>
      <c r="AC235" s="131"/>
      <c r="AD235" s="131"/>
      <c r="AE235" s="131"/>
      <c r="AF235" s="158">
        <f t="shared" si="18"/>
        <v>10.004000000000001</v>
      </c>
      <c r="AG235" s="159"/>
      <c r="AH235" s="155" t="s">
        <v>441</v>
      </c>
      <c r="AI235" s="155" t="s">
        <v>83</v>
      </c>
      <c r="AJ235" s="131" t="str">
        <f>IFERROR(VLOOKUP(E235&amp;F235,'Listagem dos op'!A:S,19,0),"")</f>
        <v/>
      </c>
      <c r="AK235" s="131" t="str">
        <f t="shared" si="17"/>
        <v>Jan11295</v>
      </c>
      <c r="AL235" s="154">
        <f>IF(N235="","",IF(N235="SIM",VLOOKUP($I235&amp;$J235&amp;N$1,Pesos!$A:$I,7,FALSE),VLOOKUP($I235&amp;$J235&amp;N$1,Pesos!$A:$I,9,FALSE)))</f>
        <v>0.1</v>
      </c>
      <c r="AM235" s="154">
        <f>IF(O235="","",IF(O235="SIM",VLOOKUP($I235&amp;$J235&amp;O$1,Pesos!$A:$I,7,FALSE),VLOOKUP($I235&amp;$J235&amp;O$1,Pesos!$A:$I,9,FALSE)))</f>
        <v>0.1</v>
      </c>
      <c r="AN235" s="154">
        <f>IF(P235="","",IF(P235="SIM",VLOOKUP($I235&amp;$J235&amp;P$1,Pesos!$A:$I,7,FALSE),VLOOKUP($I235&amp;$J235&amp;P$1,Pesos!$A:$I,9,FALSE)))</f>
        <v>0.1</v>
      </c>
      <c r="AO235" s="154">
        <f>IF(Q235="","",IF(Q235="SIM",VLOOKUP($I235&amp;$J235&amp;Q$1,Pesos!$A:$I,7,FALSE),VLOOKUP($I235&amp;$J235&amp;Q$1,Pesos!$A:$I,9,FALSE)))</f>
        <v>2</v>
      </c>
      <c r="AP235" s="154">
        <f>IF(R235="","",IF(R235="SIM",VLOOKUP($I235&amp;$J235&amp;R$1,Pesos!$A:$I,7,FALSE),VLOOKUP($I235&amp;$J235&amp;R$1,Pesos!$A:$I,9,FALSE)))</f>
        <v>1.03</v>
      </c>
      <c r="AQ235" s="154">
        <f>IF(S235="","",IF(S235="SIM",VLOOKUP($I235&amp;$J235&amp;S$1,Pesos!$A:$I,7,FALSE),VLOOKUP($I235&amp;$J235&amp;S$1,Pesos!$A:$I,9,FALSE)))</f>
        <v>1.3</v>
      </c>
      <c r="AR235" s="156">
        <f>IF(T235="","",IF(T235="SIM",VLOOKUP($I235&amp;$J235&amp;T$1,Pesos!$A:$I,7,FALSE),VLOOKUP($I235&amp;$J235&amp;T$1,Pesos!$A:$I,9,FALSE)))</f>
        <v>1.3</v>
      </c>
      <c r="AS235" s="132">
        <f>IF(U235="","",IF(U235="SIM",VLOOKUP($I235&amp;$J235&amp;U$1,Pesos!$A:$I,7,FALSE),VLOOKUP($I235&amp;$J235&amp;U$1,Pesos!$A:$I,9,FALSE)))</f>
        <v>1.32</v>
      </c>
      <c r="AT235" s="132">
        <f>IF(V235="","",IF(V235="SIM",VLOOKUP($I235&amp;$J235&amp;V$1,Pesos!$A:$I,7,FALSE),VLOOKUP($I235&amp;$J235&amp;V$1,Pesos!$A:$I,9,FALSE)))</f>
        <v>1.4039999999999999</v>
      </c>
      <c r="AU235" s="132">
        <f>IF(W235="","",IF(W235="SIM",VLOOKUP($I235&amp;$J235&amp;W$1,Pesos!$A:$I,7,FALSE),VLOOKUP($I235&amp;$J235&amp;W$1,Pesos!$A:$I,9,FALSE)))</f>
        <v>0.3</v>
      </c>
      <c r="AV235" s="132">
        <f>IF(X235="","",IF(X235="SIM",VLOOKUP($I235&amp;$J235&amp;X$1,Pesos!$A:$I,7,FALSE),VLOOKUP($I235&amp;$J235&amp;X$1,Pesos!$A:$I,9,FALSE)))</f>
        <v>0.3</v>
      </c>
      <c r="AW235" s="132">
        <f>IF(Y235="","",IF(Y235="SIM",VLOOKUP($I235&amp;$J235&amp;Y$1,Pesos!$A:$I,7,FALSE),VLOOKUP($I235&amp;$J235&amp;Y$1,Pesos!$A:$I,9,FALSE)))</f>
        <v>0.15</v>
      </c>
      <c r="AX235" s="132">
        <f>IF(Z235="","",IF(Z235="SIM",VLOOKUP($I235&amp;$J235&amp;Z$1,Pesos!$A:$I,7,FALSE),VLOOKUP($I235&amp;$J235&amp;Z$1,Pesos!$A:$I,9,FALSE)))</f>
        <v>0.2</v>
      </c>
      <c r="AY235" s="132">
        <f>IF(AA235="","",IF(AA235="SIM",VLOOKUP($I235&amp;$J235&amp;AA$1,Pesos!$A:$I,7,FALSE),VLOOKUP($I235&amp;$J235&amp;AA$1,Pesos!$A:$I,9,FALSE)))</f>
        <v>0.3</v>
      </c>
      <c r="AZ235" s="132">
        <f>IF(AB235="","",IF(AB235="SIM",VLOOKUP($I235&amp;$J235&amp;AB$1,Pesos!$A:$I,7,FALSE),VLOOKUP($I235&amp;$J235&amp;AB$1,Pesos!$A:$I,9,FALSE)))</f>
        <v>0.1</v>
      </c>
      <c r="BA235" s="132" t="str">
        <f>IF(AC235="","",IF(AC235="SIM",VLOOKUP($I235&amp;$J235&amp;AC$1,Pesos!$A:$I,7,FALSE),VLOOKUP($I235&amp;$J235&amp;AC$1,Pesos!$A:$I,9,FALSE)))</f>
        <v/>
      </c>
      <c r="BB235" s="132" t="str">
        <f>IF(AD235="","",IF(AD235="SIM",VLOOKUP($I235&amp;$J235&amp;AD$1,Pesos!$A:$I,7,FALSE),VLOOKUP($I235&amp;$J235&amp;AD$1,Pesos!$A:$I,9,FALSE)))</f>
        <v/>
      </c>
      <c r="BC235" s="132" t="str">
        <f>IF(AE235="","",IF(AE235="SIM",VLOOKUP($I235&amp;$J235&amp;AE$1,Pesos!$A:$I,7,FALSE),VLOOKUP($I235&amp;$J235&amp;AE$1,Pesos!$A:$I,9,FALSE)))</f>
        <v/>
      </c>
      <c r="BD235" s="158">
        <f>IFERROR(AF235*VLOOKUP(J235,'BD Campos'!$X$1:$Y$14,2,FALSE),"0")</f>
        <v>10.004000000000001</v>
      </c>
    </row>
    <row r="236" spans="1:56">
      <c r="A236" s="151" t="str">
        <f t="shared" si="15"/>
        <v>Jan11342ClienteTRANSFERÊNCIA</v>
      </c>
      <c r="B236" s="149" t="str">
        <f t="shared" si="16"/>
        <v>Jan113421TRANSFERÊNCIAPADRÃO</v>
      </c>
      <c r="C236" s="152">
        <v>1</v>
      </c>
      <c r="D236" s="153">
        <v>46058.741888657409</v>
      </c>
      <c r="E236" s="154" t="s">
        <v>12</v>
      </c>
      <c r="F236" s="155">
        <v>11342</v>
      </c>
      <c r="G236" s="149" t="s">
        <v>442</v>
      </c>
      <c r="H236" s="154">
        <v>1</v>
      </c>
      <c r="I236" s="149" t="s">
        <v>92</v>
      </c>
      <c r="J236" s="149" t="s">
        <v>149</v>
      </c>
      <c r="K236" s="149" t="s">
        <v>192</v>
      </c>
      <c r="L236" s="156">
        <v>34521783</v>
      </c>
      <c r="M236" s="157">
        <v>3.0324074074074073E-3</v>
      </c>
      <c r="N236" s="131" t="s">
        <v>17</v>
      </c>
      <c r="O236" s="131" t="s">
        <v>17</v>
      </c>
      <c r="P236" s="131" t="s">
        <v>17</v>
      </c>
      <c r="Q236" s="131" t="s">
        <v>17</v>
      </c>
      <c r="R236" s="131" t="s">
        <v>17</v>
      </c>
      <c r="S236" s="131" t="s">
        <v>17</v>
      </c>
      <c r="T236" s="131" t="s">
        <v>17</v>
      </c>
      <c r="U236" s="131" t="s">
        <v>17</v>
      </c>
      <c r="V236" s="131" t="s">
        <v>18</v>
      </c>
      <c r="W236" s="131" t="s">
        <v>17</v>
      </c>
      <c r="X236" s="131" t="s">
        <v>17</v>
      </c>
      <c r="Y236" s="131" t="s">
        <v>17</v>
      </c>
      <c r="Z236" s="131" t="s">
        <v>17</v>
      </c>
      <c r="AA236" s="131" t="s">
        <v>17</v>
      </c>
      <c r="AB236" s="131" t="s">
        <v>17</v>
      </c>
      <c r="AC236" s="131"/>
      <c r="AD236" s="131"/>
      <c r="AE236" s="131"/>
      <c r="AF236" s="158">
        <f t="shared" si="18"/>
        <v>7.8999999999999995</v>
      </c>
      <c r="AG236" s="159"/>
      <c r="AH236" s="155" t="s">
        <v>443</v>
      </c>
      <c r="AI236" s="155" t="s">
        <v>83</v>
      </c>
      <c r="AJ236" s="131" t="str">
        <f>IFERROR(VLOOKUP(E236&amp;F236,'Listagem dos op'!A:S,19,0),"")</f>
        <v/>
      </c>
      <c r="AK236" s="131" t="str">
        <f t="shared" si="17"/>
        <v>Jan11342</v>
      </c>
      <c r="AL236" s="154">
        <f>IF(N236="","",IF(N236="SIM",VLOOKUP($I236&amp;$J236&amp;N$1,Pesos!$A:$I,7,FALSE),VLOOKUP($I236&amp;$J236&amp;N$1,Pesos!$A:$I,9,FALSE)))</f>
        <v>0.1</v>
      </c>
      <c r="AM236" s="154">
        <f>IF(O236="","",IF(O236="SIM",VLOOKUP($I236&amp;$J236&amp;O$1,Pesos!$A:$I,7,FALSE),VLOOKUP($I236&amp;$J236&amp;O$1,Pesos!$A:$I,9,FALSE)))</f>
        <v>0.1</v>
      </c>
      <c r="AN236" s="154">
        <f>IF(P236="","",IF(P236="SIM",VLOOKUP($I236&amp;$J236&amp;P$1,Pesos!$A:$I,7,FALSE),VLOOKUP($I236&amp;$J236&amp;P$1,Pesos!$A:$I,9,FALSE)))</f>
        <v>0.1</v>
      </c>
      <c r="AO236" s="154">
        <f>IF(Q236="","",IF(Q236="SIM",VLOOKUP($I236&amp;$J236&amp;Q$1,Pesos!$A:$I,7,FALSE),VLOOKUP($I236&amp;$J236&amp;Q$1,Pesos!$A:$I,9,FALSE)))</f>
        <v>0.4</v>
      </c>
      <c r="AP236" s="154">
        <f>IF(R236="","",IF(R236="SIM",VLOOKUP($I236&amp;$J236&amp;R$1,Pesos!$A:$I,7,FALSE),VLOOKUP($I236&amp;$J236&amp;R$1,Pesos!$A:$I,9,FALSE)))</f>
        <v>1.2</v>
      </c>
      <c r="AQ236" s="154">
        <f>IF(S236="","",IF(S236="SIM",VLOOKUP($I236&amp;$J236&amp;S$1,Pesos!$A:$I,7,FALSE),VLOOKUP($I236&amp;$J236&amp;S$1,Pesos!$A:$I,9,FALSE)))</f>
        <v>1.1500000000000001</v>
      </c>
      <c r="AR236" s="156">
        <f>IF(T236="","",IF(T236="SIM",VLOOKUP($I236&amp;$J236&amp;T$1,Pesos!$A:$I,7,FALSE),VLOOKUP($I236&amp;$J236&amp;T$1,Pesos!$A:$I,9,FALSE)))</f>
        <v>1.7999999999999998</v>
      </c>
      <c r="AS236" s="132">
        <f>IF(U236="","",IF(U236="SIM",VLOOKUP($I236&amp;$J236&amp;U$1,Pesos!$A:$I,7,FALSE),VLOOKUP($I236&amp;$J236&amp;U$1,Pesos!$A:$I,9,FALSE)))</f>
        <v>1.7999999999999998</v>
      </c>
      <c r="AT236" s="132">
        <f>IF(V236="","",IF(V236="SIM",VLOOKUP($I236&amp;$J236&amp;V$1,Pesos!$A:$I,7,FALSE),VLOOKUP($I236&amp;$J236&amp;V$1,Pesos!$A:$I,9,FALSE)))</f>
        <v>-0.1</v>
      </c>
      <c r="AU236" s="132">
        <f>IF(W236="","",IF(W236="SIM",VLOOKUP($I236&amp;$J236&amp;W$1,Pesos!$A:$I,7,FALSE),VLOOKUP($I236&amp;$J236&amp;W$1,Pesos!$A:$I,9,FALSE)))</f>
        <v>0.3</v>
      </c>
      <c r="AV236" s="132">
        <f>IF(X236="","",IF(X236="SIM",VLOOKUP($I236&amp;$J236&amp;X$1,Pesos!$A:$I,7,FALSE),VLOOKUP($I236&amp;$J236&amp;X$1,Pesos!$A:$I,9,FALSE)))</f>
        <v>0.3</v>
      </c>
      <c r="AW236" s="132">
        <f>IF(Y236="","",IF(Y236="SIM",VLOOKUP($I236&amp;$J236&amp;Y$1,Pesos!$A:$I,7,FALSE),VLOOKUP($I236&amp;$J236&amp;Y$1,Pesos!$A:$I,9,FALSE)))</f>
        <v>0.15</v>
      </c>
      <c r="AX236" s="132">
        <f>IF(Z236="","",IF(Z236="SIM",VLOOKUP($I236&amp;$J236&amp;Z$1,Pesos!$A:$I,7,FALSE),VLOOKUP($I236&amp;$J236&amp;Z$1,Pesos!$A:$I,9,FALSE)))</f>
        <v>0.2</v>
      </c>
      <c r="AY236" s="132">
        <f>IF(AA236="","",IF(AA236="SIM",VLOOKUP($I236&amp;$J236&amp;AA$1,Pesos!$A:$I,7,FALSE),VLOOKUP($I236&amp;$J236&amp;AA$1,Pesos!$A:$I,9,FALSE)))</f>
        <v>0.3</v>
      </c>
      <c r="AZ236" s="132">
        <f>IF(AB236="","",IF(AB236="SIM",VLOOKUP($I236&amp;$J236&amp;AB$1,Pesos!$A:$I,7,FALSE),VLOOKUP($I236&amp;$J236&amp;AB$1,Pesos!$A:$I,9,FALSE)))</f>
        <v>0.1</v>
      </c>
      <c r="BA236" s="132" t="str">
        <f>IF(AC236="","",IF(AC236="SIM",VLOOKUP($I236&amp;$J236&amp;AC$1,Pesos!$A:$I,7,FALSE),VLOOKUP($I236&amp;$J236&amp;AC$1,Pesos!$A:$I,9,FALSE)))</f>
        <v/>
      </c>
      <c r="BB236" s="132" t="str">
        <f>IF(AD236="","",IF(AD236="SIM",VLOOKUP($I236&amp;$J236&amp;AD$1,Pesos!$A:$I,7,FALSE),VLOOKUP($I236&amp;$J236&amp;AD$1,Pesos!$A:$I,9,FALSE)))</f>
        <v/>
      </c>
      <c r="BC236" s="132" t="str">
        <f>IF(AE236="","",IF(AE236="SIM",VLOOKUP($I236&amp;$J236&amp;AE$1,Pesos!$A:$I,7,FALSE),VLOOKUP($I236&amp;$J236&amp;AE$1,Pesos!$A:$I,9,FALSE)))</f>
        <v/>
      </c>
      <c r="BD236" s="158">
        <f>IFERROR(AF236*VLOOKUP(J236,'BD Campos'!$X$1:$Y$14,2,FALSE),"0")</f>
        <v>7.8999999999999995</v>
      </c>
    </row>
    <row r="237" spans="1:56">
      <c r="A237" s="151" t="str">
        <f t="shared" si="15"/>
        <v>Jan11342MotoristaTRANSFERÊNCIA</v>
      </c>
      <c r="B237" s="149" t="str">
        <f t="shared" si="16"/>
        <v>Jan113422TRANSFERÊNCIAPADRÃO</v>
      </c>
      <c r="C237" s="152">
        <v>1</v>
      </c>
      <c r="D237" s="153">
        <v>46058.745199884259</v>
      </c>
      <c r="E237" s="154" t="s">
        <v>12</v>
      </c>
      <c r="F237" s="155">
        <v>11342</v>
      </c>
      <c r="G237" s="149" t="s">
        <v>442</v>
      </c>
      <c r="H237" s="154">
        <v>2</v>
      </c>
      <c r="I237" s="149" t="s">
        <v>130</v>
      </c>
      <c r="J237" s="149" t="s">
        <v>93</v>
      </c>
      <c r="K237" s="149" t="s">
        <v>192</v>
      </c>
      <c r="L237" s="156">
        <v>34776312</v>
      </c>
      <c r="M237" s="157">
        <v>3.1134259259259257E-3</v>
      </c>
      <c r="N237" s="131" t="s">
        <v>17</v>
      </c>
      <c r="O237" s="131" t="s">
        <v>17</v>
      </c>
      <c r="P237" s="131" t="s">
        <v>17</v>
      </c>
      <c r="Q237" s="131" t="s">
        <v>17</v>
      </c>
      <c r="R237" s="131" t="s">
        <v>17</v>
      </c>
      <c r="S237" s="131" t="s">
        <v>17</v>
      </c>
      <c r="T237" s="131" t="s">
        <v>18</v>
      </c>
      <c r="U237" s="131" t="s">
        <v>17</v>
      </c>
      <c r="V237" s="131" t="s">
        <v>17</v>
      </c>
      <c r="W237" s="131" t="s">
        <v>17</v>
      </c>
      <c r="X237" s="131" t="s">
        <v>17</v>
      </c>
      <c r="Y237" s="131" t="s">
        <v>17</v>
      </c>
      <c r="Z237" s="131" t="s">
        <v>17</v>
      </c>
      <c r="AA237" s="131" t="s">
        <v>17</v>
      </c>
      <c r="AB237" s="131" t="s">
        <v>17</v>
      </c>
      <c r="AC237" s="131"/>
      <c r="AD237" s="131"/>
      <c r="AE237" s="131"/>
      <c r="AF237" s="158">
        <f t="shared" si="18"/>
        <v>8.6389999999999993</v>
      </c>
      <c r="AG237" s="159"/>
      <c r="AH237" s="155" t="s">
        <v>444</v>
      </c>
      <c r="AI237" s="155" t="s">
        <v>83</v>
      </c>
      <c r="AJ237" s="131" t="str">
        <f>IFERROR(VLOOKUP(E237&amp;F237,'Listagem dos op'!A:S,19,0),"")</f>
        <v/>
      </c>
      <c r="AK237" s="131" t="str">
        <f t="shared" si="17"/>
        <v>Jan11342</v>
      </c>
      <c r="AL237" s="154">
        <f>IF(N237="","",IF(N237="SIM",VLOOKUP($I237&amp;$J237&amp;N$1,Pesos!$A:$I,7,FALSE),VLOOKUP($I237&amp;$J237&amp;N$1,Pesos!$A:$I,9,FALSE)))</f>
        <v>0.1</v>
      </c>
      <c r="AM237" s="154">
        <f>IF(O237="","",IF(O237="SIM",VLOOKUP($I237&amp;$J237&amp;O$1,Pesos!$A:$I,7,FALSE),VLOOKUP($I237&amp;$J237&amp;O$1,Pesos!$A:$I,9,FALSE)))</f>
        <v>0.1</v>
      </c>
      <c r="AN237" s="154">
        <f>IF(P237="","",IF(P237="SIM",VLOOKUP($I237&amp;$J237&amp;P$1,Pesos!$A:$I,7,FALSE),VLOOKUP($I237&amp;$J237&amp;P$1,Pesos!$A:$I,9,FALSE)))</f>
        <v>0.1</v>
      </c>
      <c r="AO237" s="154">
        <f>IF(Q237="","",IF(Q237="SIM",VLOOKUP($I237&amp;$J237&amp;Q$1,Pesos!$A:$I,7,FALSE),VLOOKUP($I237&amp;$J237&amp;Q$1,Pesos!$A:$I,9,FALSE)))</f>
        <v>2</v>
      </c>
      <c r="AP237" s="154">
        <f>IF(R237="","",IF(R237="SIM",VLOOKUP($I237&amp;$J237&amp;R$1,Pesos!$A:$I,7,FALSE),VLOOKUP($I237&amp;$J237&amp;R$1,Pesos!$A:$I,9,FALSE)))</f>
        <v>1.03</v>
      </c>
      <c r="AQ237" s="154">
        <f>IF(S237="","",IF(S237="SIM",VLOOKUP($I237&amp;$J237&amp;S$1,Pesos!$A:$I,7,FALSE),VLOOKUP($I237&amp;$J237&amp;S$1,Pesos!$A:$I,9,FALSE)))</f>
        <v>1.3</v>
      </c>
      <c r="AR237" s="156">
        <f>IF(T237="","",IF(T237="SIM",VLOOKUP($I237&amp;$J237&amp;T$1,Pesos!$A:$I,7,FALSE),VLOOKUP($I237&amp;$J237&amp;T$1,Pesos!$A:$I,9,FALSE)))</f>
        <v>-6.5000000000000002E-2</v>
      </c>
      <c r="AS237" s="132">
        <f>IF(U237="","",IF(U237="SIM",VLOOKUP($I237&amp;$J237&amp;U$1,Pesos!$A:$I,7,FALSE),VLOOKUP($I237&amp;$J237&amp;U$1,Pesos!$A:$I,9,FALSE)))</f>
        <v>1.32</v>
      </c>
      <c r="AT237" s="132">
        <f>IF(V237="","",IF(V237="SIM",VLOOKUP($I237&amp;$J237&amp;V$1,Pesos!$A:$I,7,FALSE),VLOOKUP($I237&amp;$J237&amp;V$1,Pesos!$A:$I,9,FALSE)))</f>
        <v>1.4039999999999999</v>
      </c>
      <c r="AU237" s="132">
        <f>IF(W237="","",IF(W237="SIM",VLOOKUP($I237&amp;$J237&amp;W$1,Pesos!$A:$I,7,FALSE),VLOOKUP($I237&amp;$J237&amp;W$1,Pesos!$A:$I,9,FALSE)))</f>
        <v>0.3</v>
      </c>
      <c r="AV237" s="132">
        <f>IF(X237="","",IF(X237="SIM",VLOOKUP($I237&amp;$J237&amp;X$1,Pesos!$A:$I,7,FALSE),VLOOKUP($I237&amp;$J237&amp;X$1,Pesos!$A:$I,9,FALSE)))</f>
        <v>0.3</v>
      </c>
      <c r="AW237" s="132">
        <f>IF(Y237="","",IF(Y237="SIM",VLOOKUP($I237&amp;$J237&amp;Y$1,Pesos!$A:$I,7,FALSE),VLOOKUP($I237&amp;$J237&amp;Y$1,Pesos!$A:$I,9,FALSE)))</f>
        <v>0.15</v>
      </c>
      <c r="AX237" s="132">
        <f>IF(Z237="","",IF(Z237="SIM",VLOOKUP($I237&amp;$J237&amp;Z$1,Pesos!$A:$I,7,FALSE),VLOOKUP($I237&amp;$J237&amp;Z$1,Pesos!$A:$I,9,FALSE)))</f>
        <v>0.2</v>
      </c>
      <c r="AY237" s="132">
        <f>IF(AA237="","",IF(AA237="SIM",VLOOKUP($I237&amp;$J237&amp;AA$1,Pesos!$A:$I,7,FALSE),VLOOKUP($I237&amp;$J237&amp;AA$1,Pesos!$A:$I,9,FALSE)))</f>
        <v>0.3</v>
      </c>
      <c r="AZ237" s="132">
        <f>IF(AB237="","",IF(AB237="SIM",VLOOKUP($I237&amp;$J237&amp;AB$1,Pesos!$A:$I,7,FALSE),VLOOKUP($I237&amp;$J237&amp;AB$1,Pesos!$A:$I,9,FALSE)))</f>
        <v>0.1</v>
      </c>
      <c r="BA237" s="132" t="str">
        <f>IF(AC237="","",IF(AC237="SIM",VLOOKUP($I237&amp;$J237&amp;AC$1,Pesos!$A:$I,7,FALSE),VLOOKUP($I237&amp;$J237&amp;AC$1,Pesos!$A:$I,9,FALSE)))</f>
        <v/>
      </c>
      <c r="BB237" s="132" t="str">
        <f>IF(AD237="","",IF(AD237="SIM",VLOOKUP($I237&amp;$J237&amp;AD$1,Pesos!$A:$I,7,FALSE),VLOOKUP($I237&amp;$J237&amp;AD$1,Pesos!$A:$I,9,FALSE)))</f>
        <v/>
      </c>
      <c r="BC237" s="132" t="str">
        <f>IF(AE237="","",IF(AE237="SIM",VLOOKUP($I237&amp;$J237&amp;AE$1,Pesos!$A:$I,7,FALSE),VLOOKUP($I237&amp;$J237&amp;AE$1,Pesos!$A:$I,9,FALSE)))</f>
        <v/>
      </c>
      <c r="BD237" s="158">
        <f>IFERROR(AF237*VLOOKUP(J237,'BD Campos'!$X$1:$Y$14,2,FALSE),"0")</f>
        <v>8.6389999999999993</v>
      </c>
    </row>
    <row r="238" spans="1:56">
      <c r="A238" s="151" t="str">
        <f t="shared" si="15"/>
        <v>Jan11277MotoristaTRANSFERÊNCIA</v>
      </c>
      <c r="B238" s="149" t="str">
        <f t="shared" si="16"/>
        <v>Jan112771TRANSFERÊNCIAPADRÃO</v>
      </c>
      <c r="C238" s="152">
        <v>1</v>
      </c>
      <c r="D238" s="153">
        <v>46058.748787962963</v>
      </c>
      <c r="E238" s="154" t="s">
        <v>12</v>
      </c>
      <c r="F238" s="155">
        <v>11277</v>
      </c>
      <c r="G238" s="149" t="s">
        <v>445</v>
      </c>
      <c r="H238" s="154">
        <v>1</v>
      </c>
      <c r="I238" s="149" t="s">
        <v>96</v>
      </c>
      <c r="J238" s="149" t="s">
        <v>93</v>
      </c>
      <c r="K238" s="149" t="s">
        <v>192</v>
      </c>
      <c r="L238" s="156">
        <v>34547276</v>
      </c>
      <c r="M238" s="157">
        <v>1.7013888888888892E-3</v>
      </c>
      <c r="N238" s="131" t="s">
        <v>17</v>
      </c>
      <c r="O238" s="131" t="s">
        <v>17</v>
      </c>
      <c r="P238" s="131" t="s">
        <v>17</v>
      </c>
      <c r="Q238" s="131" t="s">
        <v>17</v>
      </c>
      <c r="R238" s="131" t="s">
        <v>17</v>
      </c>
      <c r="S238" s="131" t="s">
        <v>17</v>
      </c>
      <c r="T238" s="131" t="s">
        <v>18</v>
      </c>
      <c r="U238" s="131" t="s">
        <v>17</v>
      </c>
      <c r="V238" s="131" t="s">
        <v>18</v>
      </c>
      <c r="W238" s="131" t="s">
        <v>17</v>
      </c>
      <c r="X238" s="131" t="s">
        <v>17</v>
      </c>
      <c r="Y238" s="131" t="s">
        <v>17</v>
      </c>
      <c r="Z238" s="131" t="s">
        <v>18</v>
      </c>
      <c r="AA238" s="131" t="s">
        <v>17</v>
      </c>
      <c r="AB238" s="131" t="s">
        <v>17</v>
      </c>
      <c r="AC238" s="131"/>
      <c r="AD238" s="131"/>
      <c r="AE238" s="131"/>
      <c r="AF238" s="158">
        <f t="shared" si="18"/>
        <v>6.5874999999999995</v>
      </c>
      <c r="AG238" s="159"/>
      <c r="AH238" s="155" t="s">
        <v>446</v>
      </c>
      <c r="AI238" s="155" t="s">
        <v>83</v>
      </c>
      <c r="AJ238" s="131" t="str">
        <f>IFERROR(VLOOKUP(E238&amp;F238,'Listagem dos op'!A:S,19,0),"")</f>
        <v/>
      </c>
      <c r="AK238" s="131" t="str">
        <f t="shared" si="17"/>
        <v>Jan11277</v>
      </c>
      <c r="AL238" s="154">
        <f>IF(N238="","",IF(N238="SIM",VLOOKUP($I238&amp;$J238&amp;N$1,Pesos!$A:$I,7,FALSE),VLOOKUP($I238&amp;$J238&amp;N$1,Pesos!$A:$I,9,FALSE)))</f>
        <v>0.1</v>
      </c>
      <c r="AM238" s="154">
        <f>IF(O238="","",IF(O238="SIM",VLOOKUP($I238&amp;$J238&amp;O$1,Pesos!$A:$I,7,FALSE),VLOOKUP($I238&amp;$J238&amp;O$1,Pesos!$A:$I,9,FALSE)))</f>
        <v>0.1</v>
      </c>
      <c r="AN238" s="154">
        <f>IF(P238="","",IF(P238="SIM",VLOOKUP($I238&amp;$J238&amp;P$1,Pesos!$A:$I,7,FALSE),VLOOKUP($I238&amp;$J238&amp;P$1,Pesos!$A:$I,9,FALSE)))</f>
        <v>0.1</v>
      </c>
      <c r="AO238" s="154">
        <f>IF(Q238="","",IF(Q238="SIM",VLOOKUP($I238&amp;$J238&amp;Q$1,Pesos!$A:$I,7,FALSE),VLOOKUP($I238&amp;$J238&amp;Q$1,Pesos!$A:$I,9,FALSE)))</f>
        <v>2</v>
      </c>
      <c r="AP238" s="154">
        <f>IF(R238="","",IF(R238="SIM",VLOOKUP($I238&amp;$J238&amp;R$1,Pesos!$A:$I,7,FALSE),VLOOKUP($I238&amp;$J238&amp;R$1,Pesos!$A:$I,9,FALSE)))</f>
        <v>1.03</v>
      </c>
      <c r="AQ238" s="154">
        <f>IF(S238="","",IF(S238="SIM",VLOOKUP($I238&amp;$J238&amp;S$1,Pesos!$A:$I,7,FALSE),VLOOKUP($I238&amp;$J238&amp;S$1,Pesos!$A:$I,9,FALSE)))</f>
        <v>1.22</v>
      </c>
      <c r="AR238" s="156">
        <f>IF(T238="","",IF(T238="SIM",VLOOKUP($I238&amp;$J238&amp;T$1,Pesos!$A:$I,7,FALSE),VLOOKUP($I238&amp;$J238&amp;T$1,Pesos!$A:$I,9,FALSE)))</f>
        <v>-0.1</v>
      </c>
      <c r="AS238" s="132">
        <f>IF(U238="","",IF(U238="SIM",VLOOKUP($I238&amp;$J238&amp;U$1,Pesos!$A:$I,7,FALSE),VLOOKUP($I238&amp;$J238&amp;U$1,Pesos!$A:$I,9,FALSE)))</f>
        <v>1.05</v>
      </c>
      <c r="AT238" s="132">
        <f>IF(V238="","",IF(V238="SIM",VLOOKUP($I238&amp;$J238&amp;V$1,Pesos!$A:$I,7,FALSE),VLOOKUP($I238&amp;$J238&amp;V$1,Pesos!$A:$I,9,FALSE)))</f>
        <v>-5.2500000000000005E-2</v>
      </c>
      <c r="AU238" s="132">
        <f>IF(W238="","",IF(W238="SIM",VLOOKUP($I238&amp;$J238&amp;W$1,Pesos!$A:$I,7,FALSE),VLOOKUP($I238&amp;$J238&amp;W$1,Pesos!$A:$I,9,FALSE)))</f>
        <v>0.3</v>
      </c>
      <c r="AV238" s="132">
        <f>IF(X238="","",IF(X238="SIM",VLOOKUP($I238&amp;$J238&amp;X$1,Pesos!$A:$I,7,FALSE),VLOOKUP($I238&amp;$J238&amp;X$1,Pesos!$A:$I,9,FALSE)))</f>
        <v>0.3</v>
      </c>
      <c r="AW238" s="132">
        <f>IF(Y238="","",IF(Y238="SIM",VLOOKUP($I238&amp;$J238&amp;Y$1,Pesos!$A:$I,7,FALSE),VLOOKUP($I238&amp;$J238&amp;Y$1,Pesos!$A:$I,9,FALSE)))</f>
        <v>0.15</v>
      </c>
      <c r="AX238" s="132">
        <f>IF(Z238="","",IF(Z238="SIM",VLOOKUP($I238&amp;$J238&amp;Z$1,Pesos!$A:$I,7,FALSE),VLOOKUP($I238&amp;$J238&amp;Z$1,Pesos!$A:$I,9,FALSE)))</f>
        <v>-1.0000000000000002E-2</v>
      </c>
      <c r="AY238" s="132">
        <f>IF(AA238="","",IF(AA238="SIM",VLOOKUP($I238&amp;$J238&amp;AA$1,Pesos!$A:$I,7,FALSE),VLOOKUP($I238&amp;$J238&amp;AA$1,Pesos!$A:$I,9,FALSE)))</f>
        <v>0.3</v>
      </c>
      <c r="AZ238" s="132">
        <f>IF(AB238="","",IF(AB238="SIM",VLOOKUP($I238&amp;$J238&amp;AB$1,Pesos!$A:$I,7,FALSE),VLOOKUP($I238&amp;$J238&amp;AB$1,Pesos!$A:$I,9,FALSE)))</f>
        <v>0.1</v>
      </c>
      <c r="BA238" s="132" t="str">
        <f>IF(AC238="","",IF(AC238="SIM",VLOOKUP($I238&amp;$J238&amp;AC$1,Pesos!$A:$I,7,FALSE),VLOOKUP($I238&amp;$J238&amp;AC$1,Pesos!$A:$I,9,FALSE)))</f>
        <v/>
      </c>
      <c r="BB238" s="132" t="str">
        <f>IF(AD238="","",IF(AD238="SIM",VLOOKUP($I238&amp;$J238&amp;AD$1,Pesos!$A:$I,7,FALSE),VLOOKUP($I238&amp;$J238&amp;AD$1,Pesos!$A:$I,9,FALSE)))</f>
        <v/>
      </c>
      <c r="BC238" s="132" t="str">
        <f>IF(AE238="","",IF(AE238="SIM",VLOOKUP($I238&amp;$J238&amp;AE$1,Pesos!$A:$I,7,FALSE),VLOOKUP($I238&amp;$J238&amp;AE$1,Pesos!$A:$I,9,FALSE)))</f>
        <v/>
      </c>
      <c r="BD238" s="158">
        <f>IFERROR(AF238*VLOOKUP(J238,'BD Campos'!$X$1:$Y$14,2,FALSE),"0")</f>
        <v>6.5874999999999995</v>
      </c>
    </row>
    <row r="239" spans="1:56">
      <c r="A239" s="151" t="str">
        <f t="shared" si="15"/>
        <v>Jan11277Motorista 2TRANSFERÊNCIA</v>
      </c>
      <c r="B239" s="149" t="str">
        <f t="shared" si="16"/>
        <v>Jan112772TRANSFERÊNCIAPADRÃO</v>
      </c>
      <c r="C239" s="152">
        <v>1</v>
      </c>
      <c r="D239" s="153">
        <v>46058.75001585648</v>
      </c>
      <c r="E239" s="154" t="s">
        <v>12</v>
      </c>
      <c r="F239" s="155">
        <v>11277</v>
      </c>
      <c r="G239" s="149" t="s">
        <v>445</v>
      </c>
      <c r="H239" s="154">
        <v>2</v>
      </c>
      <c r="I239" s="149" t="s">
        <v>130</v>
      </c>
      <c r="J239" s="149" t="s">
        <v>97</v>
      </c>
      <c r="K239" s="149" t="s">
        <v>192</v>
      </c>
      <c r="L239" s="156">
        <v>34687423</v>
      </c>
      <c r="M239" s="157">
        <v>1.1458333333333333E-3</v>
      </c>
      <c r="N239" s="131"/>
      <c r="O239" s="131"/>
      <c r="P239" s="131"/>
      <c r="Q239" s="131"/>
      <c r="R239" s="131"/>
      <c r="S239" s="131"/>
      <c r="T239" s="131"/>
      <c r="U239" s="131"/>
      <c r="V239" s="131"/>
      <c r="W239" s="131"/>
      <c r="X239" s="131"/>
      <c r="Y239" s="131"/>
      <c r="Z239" s="131"/>
      <c r="AA239" s="131"/>
      <c r="AB239" s="131"/>
      <c r="AC239" s="131"/>
      <c r="AD239" s="131"/>
      <c r="AE239" s="131"/>
      <c r="AF239" s="158">
        <f t="shared" si="18"/>
        <v>0</v>
      </c>
      <c r="AG239" s="159" t="s">
        <v>98</v>
      </c>
      <c r="AH239" s="155" t="s">
        <v>447</v>
      </c>
      <c r="AI239" s="155" t="s">
        <v>83</v>
      </c>
      <c r="AJ239" s="131" t="str">
        <f>IFERROR(VLOOKUP(E239&amp;F239,'Listagem dos op'!A:S,19,0),"")</f>
        <v/>
      </c>
      <c r="AK239" s="131" t="str">
        <f t="shared" si="17"/>
        <v>Jan11277</v>
      </c>
      <c r="AL239" s="154" t="str">
        <f>IF(N239="","",IF(N239="SIM",VLOOKUP($I239&amp;$J239&amp;N$1,Pesos!$A:$I,7,FALSE),VLOOKUP($I239&amp;$J239&amp;N$1,Pesos!$A:$I,9,FALSE)))</f>
        <v/>
      </c>
      <c r="AM239" s="154" t="str">
        <f>IF(O239="","",IF(O239="SIM",VLOOKUP($I239&amp;$J239&amp;O$1,Pesos!$A:$I,7,FALSE),VLOOKUP($I239&amp;$J239&amp;O$1,Pesos!$A:$I,9,FALSE)))</f>
        <v/>
      </c>
      <c r="AN239" s="154" t="str">
        <f>IF(P239="","",IF(P239="SIM",VLOOKUP($I239&amp;$J239&amp;P$1,Pesos!$A:$I,7,FALSE),VLOOKUP($I239&amp;$J239&amp;P$1,Pesos!$A:$I,9,FALSE)))</f>
        <v/>
      </c>
      <c r="AO239" s="154" t="str">
        <f>IF(Q239="","",IF(Q239="SIM",VLOOKUP($I239&amp;$J239&amp;Q$1,Pesos!$A:$I,7,FALSE),VLOOKUP($I239&amp;$J239&amp;Q$1,Pesos!$A:$I,9,FALSE)))</f>
        <v/>
      </c>
      <c r="AP239" s="154" t="str">
        <f>IF(R239="","",IF(R239="SIM",VLOOKUP($I239&amp;$J239&amp;R$1,Pesos!$A:$I,7,FALSE),VLOOKUP($I239&amp;$J239&amp;R$1,Pesos!$A:$I,9,FALSE)))</f>
        <v/>
      </c>
      <c r="AQ239" s="154" t="str">
        <f>IF(S239="","",IF(S239="SIM",VLOOKUP($I239&amp;$J239&amp;S$1,Pesos!$A:$I,7,FALSE),VLOOKUP($I239&amp;$J239&amp;S$1,Pesos!$A:$I,9,FALSE)))</f>
        <v/>
      </c>
      <c r="AR239" s="156" t="str">
        <f>IF(T239="","",IF(T239="SIM",VLOOKUP($I239&amp;$J239&amp;T$1,Pesos!$A:$I,7,FALSE),VLOOKUP($I239&amp;$J239&amp;T$1,Pesos!$A:$I,9,FALSE)))</f>
        <v/>
      </c>
      <c r="AS239" s="132" t="str">
        <f>IF(U239="","",IF(U239="SIM",VLOOKUP($I239&amp;$J239&amp;U$1,Pesos!$A:$I,7,FALSE),VLOOKUP($I239&amp;$J239&amp;U$1,Pesos!$A:$I,9,FALSE)))</f>
        <v/>
      </c>
      <c r="AT239" s="132" t="str">
        <f>IF(V239="","",IF(V239="SIM",VLOOKUP($I239&amp;$J239&amp;V$1,Pesos!$A:$I,7,FALSE),VLOOKUP($I239&amp;$J239&amp;V$1,Pesos!$A:$I,9,FALSE)))</f>
        <v/>
      </c>
      <c r="AU239" s="132" t="str">
        <f>IF(W239="","",IF(W239="SIM",VLOOKUP($I239&amp;$J239&amp;W$1,Pesos!$A:$I,7,FALSE),VLOOKUP($I239&amp;$J239&amp;W$1,Pesos!$A:$I,9,FALSE)))</f>
        <v/>
      </c>
      <c r="AV239" s="132" t="str">
        <f>IF(X239="","",IF(X239="SIM",VLOOKUP($I239&amp;$J239&amp;X$1,Pesos!$A:$I,7,FALSE),VLOOKUP($I239&amp;$J239&amp;X$1,Pesos!$A:$I,9,FALSE)))</f>
        <v/>
      </c>
      <c r="AW239" s="132" t="str">
        <f>IF(Y239="","",IF(Y239="SIM",VLOOKUP($I239&amp;$J239&amp;Y$1,Pesos!$A:$I,7,FALSE),VLOOKUP($I239&amp;$J239&amp;Y$1,Pesos!$A:$I,9,FALSE)))</f>
        <v/>
      </c>
      <c r="AX239" s="132" t="str">
        <f>IF(Z239="","",IF(Z239="SIM",VLOOKUP($I239&amp;$J239&amp;Z$1,Pesos!$A:$I,7,FALSE),VLOOKUP($I239&amp;$J239&amp;Z$1,Pesos!$A:$I,9,FALSE)))</f>
        <v/>
      </c>
      <c r="AY239" s="132" t="str">
        <f>IF(AA239="","",IF(AA239="SIM",VLOOKUP($I239&amp;$J239&amp;AA$1,Pesos!$A:$I,7,FALSE),VLOOKUP($I239&amp;$J239&amp;AA$1,Pesos!$A:$I,9,FALSE)))</f>
        <v/>
      </c>
      <c r="AZ239" s="132" t="str">
        <f>IF(AB239="","",IF(AB239="SIM",VLOOKUP($I239&amp;$J239&amp;AB$1,Pesos!$A:$I,7,FALSE),VLOOKUP($I239&amp;$J239&amp;AB$1,Pesos!$A:$I,9,FALSE)))</f>
        <v/>
      </c>
      <c r="BA239" s="132" t="str">
        <f>IF(AC239="","",IF(AC239="SIM",VLOOKUP($I239&amp;$J239&amp;AC$1,Pesos!$A:$I,7,FALSE),VLOOKUP($I239&amp;$J239&amp;AC$1,Pesos!$A:$I,9,FALSE)))</f>
        <v/>
      </c>
      <c r="BB239" s="132" t="str">
        <f>IF(AD239="","",IF(AD239="SIM",VLOOKUP($I239&amp;$J239&amp;AD$1,Pesos!$A:$I,7,FALSE),VLOOKUP($I239&amp;$J239&amp;AD$1,Pesos!$A:$I,9,FALSE)))</f>
        <v/>
      </c>
      <c r="BC239" s="132" t="str">
        <f>IF(AE239="","",IF(AE239="SIM",VLOOKUP($I239&amp;$J239&amp;AE$1,Pesos!$A:$I,7,FALSE),VLOOKUP($I239&amp;$J239&amp;AE$1,Pesos!$A:$I,9,FALSE)))</f>
        <v/>
      </c>
      <c r="BD239" s="158">
        <f>IFERROR(AF239*VLOOKUP(J239,'BD Campos'!$X$1:$Y$14,2,FALSE),"0")</f>
        <v>0</v>
      </c>
    </row>
    <row r="240" spans="1:56">
      <c r="A240" s="151" t="str">
        <f t="shared" si="15"/>
        <v>Jan11123MotoristaTRANSFERÊNCIA</v>
      </c>
      <c r="B240" s="149" t="str">
        <f t="shared" si="16"/>
        <v>Jan111231TRANSFERÊNCIAPADRÃO</v>
      </c>
      <c r="C240" s="152">
        <v>1</v>
      </c>
      <c r="D240" s="153">
        <v>46058.758477199073</v>
      </c>
      <c r="E240" s="154" t="s">
        <v>12</v>
      </c>
      <c r="F240" s="155">
        <v>11123</v>
      </c>
      <c r="G240" s="149" t="s">
        <v>448</v>
      </c>
      <c r="H240" s="154">
        <v>1</v>
      </c>
      <c r="I240" s="149" t="s">
        <v>130</v>
      </c>
      <c r="J240" s="149" t="s">
        <v>93</v>
      </c>
      <c r="K240" s="149" t="s">
        <v>192</v>
      </c>
      <c r="L240" s="156">
        <v>34561190</v>
      </c>
      <c r="M240" s="157">
        <v>3.1597222222222222E-3</v>
      </c>
      <c r="N240" s="131" t="s">
        <v>17</v>
      </c>
      <c r="O240" s="131" t="s">
        <v>18</v>
      </c>
      <c r="P240" s="131" t="s">
        <v>17</v>
      </c>
      <c r="Q240" s="131" t="s">
        <v>17</v>
      </c>
      <c r="R240" s="131" t="s">
        <v>17</v>
      </c>
      <c r="S240" s="131" t="s">
        <v>17</v>
      </c>
      <c r="T240" s="131" t="s">
        <v>17</v>
      </c>
      <c r="U240" s="131" t="s">
        <v>17</v>
      </c>
      <c r="V240" s="131" t="s">
        <v>17</v>
      </c>
      <c r="W240" s="131" t="s">
        <v>17</v>
      </c>
      <c r="X240" s="131" t="s">
        <v>17</v>
      </c>
      <c r="Y240" s="131" t="s">
        <v>17</v>
      </c>
      <c r="Z240" s="131" t="s">
        <v>17</v>
      </c>
      <c r="AA240" s="131" t="s">
        <v>17</v>
      </c>
      <c r="AB240" s="131" t="s">
        <v>17</v>
      </c>
      <c r="AC240" s="131"/>
      <c r="AD240" s="131"/>
      <c r="AE240" s="131"/>
      <c r="AF240" s="158">
        <f t="shared" si="18"/>
        <v>9.8990000000000009</v>
      </c>
      <c r="AG240" s="159"/>
      <c r="AH240" s="155" t="s">
        <v>449</v>
      </c>
      <c r="AI240" s="155" t="s">
        <v>83</v>
      </c>
      <c r="AJ240" s="131" t="str">
        <f>IFERROR(VLOOKUP(E240&amp;F240,'Listagem dos op'!A:S,19,0),"")</f>
        <v/>
      </c>
      <c r="AK240" s="131" t="str">
        <f t="shared" si="17"/>
        <v>Jan11123</v>
      </c>
      <c r="AL240" s="154">
        <f>IF(N240="","",IF(N240="SIM",VLOOKUP($I240&amp;$J240&amp;N$1,Pesos!$A:$I,7,FALSE),VLOOKUP($I240&amp;$J240&amp;N$1,Pesos!$A:$I,9,FALSE)))</f>
        <v>0.1</v>
      </c>
      <c r="AM240" s="154">
        <f>IF(O240="","",IF(O240="SIM",VLOOKUP($I240&amp;$J240&amp;O$1,Pesos!$A:$I,7,FALSE),VLOOKUP($I240&amp;$J240&amp;O$1,Pesos!$A:$I,9,FALSE)))</f>
        <v>-5.000000000000001E-3</v>
      </c>
      <c r="AN240" s="154">
        <f>IF(P240="","",IF(P240="SIM",VLOOKUP($I240&amp;$J240&amp;P$1,Pesos!$A:$I,7,FALSE),VLOOKUP($I240&amp;$J240&amp;P$1,Pesos!$A:$I,9,FALSE)))</f>
        <v>0.1</v>
      </c>
      <c r="AO240" s="154">
        <f>IF(Q240="","",IF(Q240="SIM",VLOOKUP($I240&amp;$J240&amp;Q$1,Pesos!$A:$I,7,FALSE),VLOOKUP($I240&amp;$J240&amp;Q$1,Pesos!$A:$I,9,FALSE)))</f>
        <v>2</v>
      </c>
      <c r="AP240" s="154">
        <f>IF(R240="","",IF(R240="SIM",VLOOKUP($I240&amp;$J240&amp;R$1,Pesos!$A:$I,7,FALSE),VLOOKUP($I240&amp;$J240&amp;R$1,Pesos!$A:$I,9,FALSE)))</f>
        <v>1.03</v>
      </c>
      <c r="AQ240" s="154">
        <f>IF(S240="","",IF(S240="SIM",VLOOKUP($I240&amp;$J240&amp;S$1,Pesos!$A:$I,7,FALSE),VLOOKUP($I240&amp;$J240&amp;S$1,Pesos!$A:$I,9,FALSE)))</f>
        <v>1.3</v>
      </c>
      <c r="AR240" s="156">
        <f>IF(T240="","",IF(T240="SIM",VLOOKUP($I240&amp;$J240&amp;T$1,Pesos!$A:$I,7,FALSE),VLOOKUP($I240&amp;$J240&amp;T$1,Pesos!$A:$I,9,FALSE)))</f>
        <v>1.3</v>
      </c>
      <c r="AS240" s="132">
        <f>IF(U240="","",IF(U240="SIM",VLOOKUP($I240&amp;$J240&amp;U$1,Pesos!$A:$I,7,FALSE),VLOOKUP($I240&amp;$J240&amp;U$1,Pesos!$A:$I,9,FALSE)))</f>
        <v>1.32</v>
      </c>
      <c r="AT240" s="132">
        <f>IF(V240="","",IF(V240="SIM",VLOOKUP($I240&amp;$J240&amp;V$1,Pesos!$A:$I,7,FALSE),VLOOKUP($I240&amp;$J240&amp;V$1,Pesos!$A:$I,9,FALSE)))</f>
        <v>1.4039999999999999</v>
      </c>
      <c r="AU240" s="132">
        <f>IF(W240="","",IF(W240="SIM",VLOOKUP($I240&amp;$J240&amp;W$1,Pesos!$A:$I,7,FALSE),VLOOKUP($I240&amp;$J240&amp;W$1,Pesos!$A:$I,9,FALSE)))</f>
        <v>0.3</v>
      </c>
      <c r="AV240" s="132">
        <f>IF(X240="","",IF(X240="SIM",VLOOKUP($I240&amp;$J240&amp;X$1,Pesos!$A:$I,7,FALSE),VLOOKUP($I240&amp;$J240&amp;X$1,Pesos!$A:$I,9,FALSE)))</f>
        <v>0.3</v>
      </c>
      <c r="AW240" s="132">
        <f>IF(Y240="","",IF(Y240="SIM",VLOOKUP($I240&amp;$J240&amp;Y$1,Pesos!$A:$I,7,FALSE),VLOOKUP($I240&amp;$J240&amp;Y$1,Pesos!$A:$I,9,FALSE)))</f>
        <v>0.15</v>
      </c>
      <c r="AX240" s="132">
        <f>IF(Z240="","",IF(Z240="SIM",VLOOKUP($I240&amp;$J240&amp;Z$1,Pesos!$A:$I,7,FALSE),VLOOKUP($I240&amp;$J240&amp;Z$1,Pesos!$A:$I,9,FALSE)))</f>
        <v>0.2</v>
      </c>
      <c r="AY240" s="132">
        <f>IF(AA240="","",IF(AA240="SIM",VLOOKUP($I240&amp;$J240&amp;AA$1,Pesos!$A:$I,7,FALSE),VLOOKUP($I240&amp;$J240&amp;AA$1,Pesos!$A:$I,9,FALSE)))</f>
        <v>0.3</v>
      </c>
      <c r="AZ240" s="132">
        <f>IF(AB240="","",IF(AB240="SIM",VLOOKUP($I240&amp;$J240&amp;AB$1,Pesos!$A:$I,7,FALSE),VLOOKUP($I240&amp;$J240&amp;AB$1,Pesos!$A:$I,9,FALSE)))</f>
        <v>0.1</v>
      </c>
      <c r="BA240" s="132" t="str">
        <f>IF(AC240="","",IF(AC240="SIM",VLOOKUP($I240&amp;$J240&amp;AC$1,Pesos!$A:$I,7,FALSE),VLOOKUP($I240&amp;$J240&amp;AC$1,Pesos!$A:$I,9,FALSE)))</f>
        <v/>
      </c>
      <c r="BB240" s="132" t="str">
        <f>IF(AD240="","",IF(AD240="SIM",VLOOKUP($I240&amp;$J240&amp;AD$1,Pesos!$A:$I,7,FALSE),VLOOKUP($I240&amp;$J240&amp;AD$1,Pesos!$A:$I,9,FALSE)))</f>
        <v/>
      </c>
      <c r="BC240" s="132" t="str">
        <f>IF(AE240="","",IF(AE240="SIM",VLOOKUP($I240&amp;$J240&amp;AE$1,Pesos!$A:$I,7,FALSE),VLOOKUP($I240&amp;$J240&amp;AE$1,Pesos!$A:$I,9,FALSE)))</f>
        <v/>
      </c>
      <c r="BD240" s="158">
        <f>IFERROR(AF240*VLOOKUP(J240,'BD Campos'!$X$1:$Y$14,2,FALSE),"0")</f>
        <v>9.8990000000000009</v>
      </c>
    </row>
    <row r="241" spans="1:56">
      <c r="A241" s="151" t="str">
        <f t="shared" si="15"/>
        <v>Jan11123Motorista 2TRANSFERÊNCIA</v>
      </c>
      <c r="B241" s="149" t="str">
        <f t="shared" si="16"/>
        <v>Jan111232TRANSFERÊNCIAPADRÃO</v>
      </c>
      <c r="C241" s="152">
        <v>1</v>
      </c>
      <c r="D241" s="153">
        <v>46058.765727083337</v>
      </c>
      <c r="E241" s="154" t="s">
        <v>12</v>
      </c>
      <c r="F241" s="155">
        <v>11123</v>
      </c>
      <c r="G241" s="149" t="s">
        <v>448</v>
      </c>
      <c r="H241" s="154">
        <v>2</v>
      </c>
      <c r="I241" s="149" t="s">
        <v>96</v>
      </c>
      <c r="J241" s="149" t="s">
        <v>97</v>
      </c>
      <c r="K241" s="149" t="s">
        <v>192</v>
      </c>
      <c r="L241" s="156">
        <v>34764249</v>
      </c>
      <c r="M241" s="157">
        <v>3.2523148148148151E-3</v>
      </c>
      <c r="N241" s="131" t="s">
        <v>17</v>
      </c>
      <c r="O241" s="131" t="s">
        <v>17</v>
      </c>
      <c r="P241" s="131" t="s">
        <v>17</v>
      </c>
      <c r="Q241" s="131" t="s">
        <v>17</v>
      </c>
      <c r="R241" s="131" t="s">
        <v>17</v>
      </c>
      <c r="S241" s="131" t="s">
        <v>17</v>
      </c>
      <c r="T241" s="131" t="s">
        <v>17</v>
      </c>
      <c r="U241" s="131" t="s">
        <v>17</v>
      </c>
      <c r="V241" s="131" t="s">
        <v>17</v>
      </c>
      <c r="W241" s="131" t="s">
        <v>17</v>
      </c>
      <c r="X241" s="131" t="s">
        <v>17</v>
      </c>
      <c r="Y241" s="131" t="s">
        <v>17</v>
      </c>
      <c r="Z241" s="131" t="s">
        <v>17</v>
      </c>
      <c r="AA241" s="131" t="s">
        <v>17</v>
      </c>
      <c r="AB241" s="131" t="s">
        <v>17</v>
      </c>
      <c r="AC241" s="131"/>
      <c r="AD241" s="131"/>
      <c r="AE241" s="131"/>
      <c r="AF241" s="158">
        <f t="shared" si="18"/>
        <v>10.000000000000002</v>
      </c>
      <c r="AG241" s="159"/>
      <c r="AH241" s="155" t="s">
        <v>450</v>
      </c>
      <c r="AI241" s="155" t="s">
        <v>83</v>
      </c>
      <c r="AJ241" s="131" t="str">
        <f>IFERROR(VLOOKUP(E241&amp;F241,'Listagem dos op'!A:S,19,0),"")</f>
        <v/>
      </c>
      <c r="AK241" s="131" t="str">
        <f t="shared" si="17"/>
        <v>Jan11123</v>
      </c>
      <c r="AL241" s="154">
        <f>IF(N241="","",IF(N241="SIM",VLOOKUP($I241&amp;$J241&amp;N$1,Pesos!$A:$I,7,FALSE),VLOOKUP($I241&amp;$J241&amp;N$1,Pesos!$A:$I,9,FALSE)))</f>
        <v>0.1</v>
      </c>
      <c r="AM241" s="154">
        <f>IF(O241="","",IF(O241="SIM",VLOOKUP($I241&amp;$J241&amp;O$1,Pesos!$A:$I,7,FALSE),VLOOKUP($I241&amp;$J241&amp;O$1,Pesos!$A:$I,9,FALSE)))</f>
        <v>0.1</v>
      </c>
      <c r="AN241" s="154">
        <f>IF(P241="","",IF(P241="SIM",VLOOKUP($I241&amp;$J241&amp;P$1,Pesos!$A:$I,7,FALSE),VLOOKUP($I241&amp;$J241&amp;P$1,Pesos!$A:$I,9,FALSE)))</f>
        <v>0.1</v>
      </c>
      <c r="AO241" s="154">
        <f>IF(Q241="","",IF(Q241="SIM",VLOOKUP($I241&amp;$J241&amp;Q$1,Pesos!$A:$I,7,FALSE),VLOOKUP($I241&amp;$J241&amp;Q$1,Pesos!$A:$I,9,FALSE)))</f>
        <v>2</v>
      </c>
      <c r="AP241" s="154">
        <f>IF(R241="","",IF(R241="SIM",VLOOKUP($I241&amp;$J241&amp;R$1,Pesos!$A:$I,7,FALSE),VLOOKUP($I241&amp;$J241&amp;R$1,Pesos!$A:$I,9,FALSE)))</f>
        <v>1.03</v>
      </c>
      <c r="AQ241" s="154">
        <f>IF(S241="","",IF(S241="SIM",VLOOKUP($I241&amp;$J241&amp;S$1,Pesos!$A:$I,7,FALSE),VLOOKUP($I241&amp;$J241&amp;S$1,Pesos!$A:$I,9,FALSE)))</f>
        <v>1.22</v>
      </c>
      <c r="AR241" s="156">
        <f>IF(T241="","",IF(T241="SIM",VLOOKUP($I241&amp;$J241&amp;T$1,Pesos!$A:$I,7,FALSE),VLOOKUP($I241&amp;$J241&amp;T$1,Pesos!$A:$I,9,FALSE)))</f>
        <v>2</v>
      </c>
      <c r="AS241" s="132">
        <f>IF(U241="","",IF(U241="SIM",VLOOKUP($I241&amp;$J241&amp;U$1,Pesos!$A:$I,7,FALSE),VLOOKUP($I241&amp;$J241&amp;U$1,Pesos!$A:$I,9,FALSE)))</f>
        <v>1.05</v>
      </c>
      <c r="AT241" s="132">
        <f>IF(V241="","",IF(V241="SIM",VLOOKUP($I241&amp;$J241&amp;V$1,Pesos!$A:$I,7,FALSE),VLOOKUP($I241&amp;$J241&amp;V$1,Pesos!$A:$I,9,FALSE)))</f>
        <v>1.05</v>
      </c>
      <c r="AU241" s="132">
        <f>IF(W241="","",IF(W241="SIM",VLOOKUP($I241&amp;$J241&amp;W$1,Pesos!$A:$I,7,FALSE),VLOOKUP($I241&amp;$J241&amp;W$1,Pesos!$A:$I,9,FALSE)))</f>
        <v>0.3</v>
      </c>
      <c r="AV241" s="132">
        <f>IF(X241="","",IF(X241="SIM",VLOOKUP($I241&amp;$J241&amp;X$1,Pesos!$A:$I,7,FALSE),VLOOKUP($I241&amp;$J241&amp;X$1,Pesos!$A:$I,9,FALSE)))</f>
        <v>0.3</v>
      </c>
      <c r="AW241" s="132">
        <f>IF(Y241="","",IF(Y241="SIM",VLOOKUP($I241&amp;$J241&amp;Y$1,Pesos!$A:$I,7,FALSE),VLOOKUP($I241&amp;$J241&amp;Y$1,Pesos!$A:$I,9,FALSE)))</f>
        <v>0.15</v>
      </c>
      <c r="AX241" s="132">
        <f>IF(Z241="","",IF(Z241="SIM",VLOOKUP($I241&amp;$J241&amp;Z$1,Pesos!$A:$I,7,FALSE),VLOOKUP($I241&amp;$J241&amp;Z$1,Pesos!$A:$I,9,FALSE)))</f>
        <v>0.2</v>
      </c>
      <c r="AY241" s="132">
        <f>IF(AA241="","",IF(AA241="SIM",VLOOKUP($I241&amp;$J241&amp;AA$1,Pesos!$A:$I,7,FALSE),VLOOKUP($I241&amp;$J241&amp;AA$1,Pesos!$A:$I,9,FALSE)))</f>
        <v>0.3</v>
      </c>
      <c r="AZ241" s="132">
        <f>IF(AB241="","",IF(AB241="SIM",VLOOKUP($I241&amp;$J241&amp;AB$1,Pesos!$A:$I,7,FALSE),VLOOKUP($I241&amp;$J241&amp;AB$1,Pesos!$A:$I,9,FALSE)))</f>
        <v>0.1</v>
      </c>
      <c r="BA241" s="132" t="str">
        <f>IF(AC241="","",IF(AC241="SIM",VLOOKUP($I241&amp;$J241&amp;AC$1,Pesos!$A:$I,7,FALSE),VLOOKUP($I241&amp;$J241&amp;AC$1,Pesos!$A:$I,9,FALSE)))</f>
        <v/>
      </c>
      <c r="BB241" s="132" t="str">
        <f>IF(AD241="","",IF(AD241="SIM",VLOOKUP($I241&amp;$J241&amp;AD$1,Pesos!$A:$I,7,FALSE),VLOOKUP($I241&amp;$J241&amp;AD$1,Pesos!$A:$I,9,FALSE)))</f>
        <v/>
      </c>
      <c r="BC241" s="132" t="str">
        <f>IF(AE241="","",IF(AE241="SIM",VLOOKUP($I241&amp;$J241&amp;AE$1,Pesos!$A:$I,7,FALSE),VLOOKUP($I241&amp;$J241&amp;AE$1,Pesos!$A:$I,9,FALSE)))</f>
        <v/>
      </c>
      <c r="BD241" s="158">
        <f>IFERROR(AF241*VLOOKUP(J241,'BD Campos'!$X$1:$Y$14,2,FALSE),"0")</f>
        <v>10.000000000000002</v>
      </c>
    </row>
    <row r="242" spans="1:56">
      <c r="A242" s="151" t="str">
        <f t="shared" si="15"/>
        <v>Jan11181MotoristaTRANSFERÊNCIA</v>
      </c>
      <c r="B242" s="149" t="str">
        <f t="shared" si="16"/>
        <v>Jan111811TRANSFERÊNCIAPADRÃO</v>
      </c>
      <c r="C242" s="152">
        <v>1</v>
      </c>
      <c r="D242" s="153">
        <v>46058.771024652779</v>
      </c>
      <c r="E242" s="154" t="s">
        <v>12</v>
      </c>
      <c r="F242" s="155">
        <v>11181</v>
      </c>
      <c r="G242" s="149" t="s">
        <v>451</v>
      </c>
      <c r="H242" s="154">
        <v>1</v>
      </c>
      <c r="I242" s="149" t="s">
        <v>130</v>
      </c>
      <c r="J242" s="149" t="s">
        <v>93</v>
      </c>
      <c r="K242" s="149" t="s">
        <v>192</v>
      </c>
      <c r="L242" s="156">
        <v>34572595</v>
      </c>
      <c r="M242" s="157">
        <v>3.7500000000000003E-3</v>
      </c>
      <c r="N242" s="131" t="s">
        <v>17</v>
      </c>
      <c r="O242" s="131" t="s">
        <v>17</v>
      </c>
      <c r="P242" s="131" t="s">
        <v>17</v>
      </c>
      <c r="Q242" s="131" t="s">
        <v>17</v>
      </c>
      <c r="R242" s="131" t="s">
        <v>17</v>
      </c>
      <c r="S242" s="131" t="s">
        <v>17</v>
      </c>
      <c r="T242" s="131" t="s">
        <v>17</v>
      </c>
      <c r="U242" s="131" t="s">
        <v>17</v>
      </c>
      <c r="V242" s="131" t="s">
        <v>17</v>
      </c>
      <c r="W242" s="131" t="s">
        <v>17</v>
      </c>
      <c r="X242" s="131" t="s">
        <v>17</v>
      </c>
      <c r="Y242" s="131" t="s">
        <v>17</v>
      </c>
      <c r="Z242" s="131" t="s">
        <v>17</v>
      </c>
      <c r="AA242" s="131" t="s">
        <v>17</v>
      </c>
      <c r="AB242" s="131" t="s">
        <v>17</v>
      </c>
      <c r="AC242" s="131"/>
      <c r="AD242" s="131"/>
      <c r="AE242" s="131"/>
      <c r="AF242" s="158">
        <f t="shared" si="18"/>
        <v>10.004000000000001</v>
      </c>
      <c r="AG242" s="159"/>
      <c r="AH242" s="155" t="s">
        <v>452</v>
      </c>
      <c r="AI242" s="155" t="s">
        <v>83</v>
      </c>
      <c r="AJ242" s="131" t="str">
        <f>IFERROR(VLOOKUP(E242&amp;F242,'Listagem dos op'!A:S,19,0),"")</f>
        <v/>
      </c>
      <c r="AK242" s="131" t="str">
        <f t="shared" si="17"/>
        <v>Jan11181</v>
      </c>
      <c r="AL242" s="154">
        <f>IF(N242="","",IF(N242="SIM",VLOOKUP($I242&amp;$J242&amp;N$1,Pesos!$A:$I,7,FALSE),VLOOKUP($I242&amp;$J242&amp;N$1,Pesos!$A:$I,9,FALSE)))</f>
        <v>0.1</v>
      </c>
      <c r="AM242" s="154">
        <f>IF(O242="","",IF(O242="SIM",VLOOKUP($I242&amp;$J242&amp;O$1,Pesos!$A:$I,7,FALSE),VLOOKUP($I242&amp;$J242&amp;O$1,Pesos!$A:$I,9,FALSE)))</f>
        <v>0.1</v>
      </c>
      <c r="AN242" s="154">
        <f>IF(P242="","",IF(P242="SIM",VLOOKUP($I242&amp;$J242&amp;P$1,Pesos!$A:$I,7,FALSE),VLOOKUP($I242&amp;$J242&amp;P$1,Pesos!$A:$I,9,FALSE)))</f>
        <v>0.1</v>
      </c>
      <c r="AO242" s="154">
        <f>IF(Q242="","",IF(Q242="SIM",VLOOKUP($I242&amp;$J242&amp;Q$1,Pesos!$A:$I,7,FALSE),VLOOKUP($I242&amp;$J242&amp;Q$1,Pesos!$A:$I,9,FALSE)))</f>
        <v>2</v>
      </c>
      <c r="AP242" s="154">
        <f>IF(R242="","",IF(R242="SIM",VLOOKUP($I242&amp;$J242&amp;R$1,Pesos!$A:$I,7,FALSE),VLOOKUP($I242&amp;$J242&amp;R$1,Pesos!$A:$I,9,FALSE)))</f>
        <v>1.03</v>
      </c>
      <c r="AQ242" s="154">
        <f>IF(S242="","",IF(S242="SIM",VLOOKUP($I242&amp;$J242&amp;S$1,Pesos!$A:$I,7,FALSE),VLOOKUP($I242&amp;$J242&amp;S$1,Pesos!$A:$I,9,FALSE)))</f>
        <v>1.3</v>
      </c>
      <c r="AR242" s="156">
        <f>IF(T242="","",IF(T242="SIM",VLOOKUP($I242&amp;$J242&amp;T$1,Pesos!$A:$I,7,FALSE),VLOOKUP($I242&amp;$J242&amp;T$1,Pesos!$A:$I,9,FALSE)))</f>
        <v>1.3</v>
      </c>
      <c r="AS242" s="132">
        <f>IF(U242="","",IF(U242="SIM",VLOOKUP($I242&amp;$J242&amp;U$1,Pesos!$A:$I,7,FALSE),VLOOKUP($I242&amp;$J242&amp;U$1,Pesos!$A:$I,9,FALSE)))</f>
        <v>1.32</v>
      </c>
      <c r="AT242" s="132">
        <f>IF(V242="","",IF(V242="SIM",VLOOKUP($I242&amp;$J242&amp;V$1,Pesos!$A:$I,7,FALSE),VLOOKUP($I242&amp;$J242&amp;V$1,Pesos!$A:$I,9,FALSE)))</f>
        <v>1.4039999999999999</v>
      </c>
      <c r="AU242" s="132">
        <f>IF(W242="","",IF(W242="SIM",VLOOKUP($I242&amp;$J242&amp;W$1,Pesos!$A:$I,7,FALSE),VLOOKUP($I242&amp;$J242&amp;W$1,Pesos!$A:$I,9,FALSE)))</f>
        <v>0.3</v>
      </c>
      <c r="AV242" s="132">
        <f>IF(X242="","",IF(X242="SIM",VLOOKUP($I242&amp;$J242&amp;X$1,Pesos!$A:$I,7,FALSE),VLOOKUP($I242&amp;$J242&amp;X$1,Pesos!$A:$I,9,FALSE)))</f>
        <v>0.3</v>
      </c>
      <c r="AW242" s="132">
        <f>IF(Y242="","",IF(Y242="SIM",VLOOKUP($I242&amp;$J242&amp;Y$1,Pesos!$A:$I,7,FALSE),VLOOKUP($I242&amp;$J242&amp;Y$1,Pesos!$A:$I,9,FALSE)))</f>
        <v>0.15</v>
      </c>
      <c r="AX242" s="132">
        <f>IF(Z242="","",IF(Z242="SIM",VLOOKUP($I242&amp;$J242&amp;Z$1,Pesos!$A:$I,7,FALSE),VLOOKUP($I242&amp;$J242&amp;Z$1,Pesos!$A:$I,9,FALSE)))</f>
        <v>0.2</v>
      </c>
      <c r="AY242" s="132">
        <f>IF(AA242="","",IF(AA242="SIM",VLOOKUP($I242&amp;$J242&amp;AA$1,Pesos!$A:$I,7,FALSE),VLOOKUP($I242&amp;$J242&amp;AA$1,Pesos!$A:$I,9,FALSE)))</f>
        <v>0.3</v>
      </c>
      <c r="AZ242" s="132">
        <f>IF(AB242="","",IF(AB242="SIM",VLOOKUP($I242&amp;$J242&amp;AB$1,Pesos!$A:$I,7,FALSE),VLOOKUP($I242&amp;$J242&amp;AB$1,Pesos!$A:$I,9,FALSE)))</f>
        <v>0.1</v>
      </c>
      <c r="BA242" s="132" t="str">
        <f>IF(AC242="","",IF(AC242="SIM",VLOOKUP($I242&amp;$J242&amp;AC$1,Pesos!$A:$I,7,FALSE),VLOOKUP($I242&amp;$J242&amp;AC$1,Pesos!$A:$I,9,FALSE)))</f>
        <v/>
      </c>
      <c r="BB242" s="132" t="str">
        <f>IF(AD242="","",IF(AD242="SIM",VLOOKUP($I242&amp;$J242&amp;AD$1,Pesos!$A:$I,7,FALSE),VLOOKUP($I242&amp;$J242&amp;AD$1,Pesos!$A:$I,9,FALSE)))</f>
        <v/>
      </c>
      <c r="BC242" s="132" t="str">
        <f>IF(AE242="","",IF(AE242="SIM",VLOOKUP($I242&amp;$J242&amp;AE$1,Pesos!$A:$I,7,FALSE),VLOOKUP($I242&amp;$J242&amp;AE$1,Pesos!$A:$I,9,FALSE)))</f>
        <v/>
      </c>
      <c r="BD242" s="158">
        <f>IFERROR(AF242*VLOOKUP(J242,'BD Campos'!$X$1:$Y$14,2,FALSE),"0")</f>
        <v>10.004000000000001</v>
      </c>
    </row>
    <row r="243" spans="1:56">
      <c r="A243" s="151" t="str">
        <f t="shared" si="15"/>
        <v>Jan11181ClienteTRANSFERÊNCIA</v>
      </c>
      <c r="B243" s="149" t="str">
        <f t="shared" si="16"/>
        <v>Jan111812TRANSFERÊNCIAPADRÃO</v>
      </c>
      <c r="C243" s="152">
        <v>1</v>
      </c>
      <c r="D243" s="153">
        <v>46058.778150231483</v>
      </c>
      <c r="E243" s="154" t="s">
        <v>12</v>
      </c>
      <c r="F243" s="155">
        <v>11181</v>
      </c>
      <c r="G243" s="149" t="s">
        <v>451</v>
      </c>
      <c r="H243" s="154">
        <v>2</v>
      </c>
      <c r="I243" s="149" t="s">
        <v>96</v>
      </c>
      <c r="J243" s="149" t="s">
        <v>149</v>
      </c>
      <c r="K243" s="149" t="s">
        <v>192</v>
      </c>
      <c r="L243" s="156">
        <v>34773355</v>
      </c>
      <c r="M243" s="157">
        <v>4.4212962962962956E-3</v>
      </c>
      <c r="N243" s="131" t="s">
        <v>17</v>
      </c>
      <c r="O243" s="131" t="s">
        <v>17</v>
      </c>
      <c r="P243" s="131" t="s">
        <v>17</v>
      </c>
      <c r="Q243" s="131" t="s">
        <v>17</v>
      </c>
      <c r="R243" s="131" t="s">
        <v>17</v>
      </c>
      <c r="S243" s="131" t="s">
        <v>18</v>
      </c>
      <c r="T243" s="131" t="s">
        <v>17</v>
      </c>
      <c r="U243" s="131" t="s">
        <v>17</v>
      </c>
      <c r="V243" s="131" t="s">
        <v>17</v>
      </c>
      <c r="W243" s="131" t="s">
        <v>17</v>
      </c>
      <c r="X243" s="131" t="s">
        <v>18</v>
      </c>
      <c r="Y243" s="131" t="s">
        <v>17</v>
      </c>
      <c r="Z243" s="131" t="s">
        <v>17</v>
      </c>
      <c r="AA243" s="131" t="s">
        <v>17</v>
      </c>
      <c r="AB243" s="131" t="s">
        <v>17</v>
      </c>
      <c r="AC243" s="131" t="s">
        <v>17</v>
      </c>
      <c r="AD243" s="131" t="s">
        <v>17</v>
      </c>
      <c r="AE243" s="131"/>
      <c r="AF243" s="158">
        <f t="shared" si="18"/>
        <v>7.5324999999999998</v>
      </c>
      <c r="AG243" s="159"/>
      <c r="AH243" s="155" t="s">
        <v>453</v>
      </c>
      <c r="AI243" s="155" t="s">
        <v>83</v>
      </c>
      <c r="AJ243" s="131" t="str">
        <f>IFERROR(VLOOKUP(E243&amp;F243,'Listagem dos op'!A:S,19,0),"")</f>
        <v/>
      </c>
      <c r="AK243" s="131" t="str">
        <f t="shared" si="17"/>
        <v>Jan11181</v>
      </c>
      <c r="AL243" s="154">
        <f>IF(N243="","",IF(N243="SIM",VLOOKUP($I243&amp;$J243&amp;N$1,Pesos!$A:$I,7,FALSE),VLOOKUP($I243&amp;$J243&amp;N$1,Pesos!$A:$I,9,FALSE)))</f>
        <v>0.1</v>
      </c>
      <c r="AM243" s="154">
        <f>IF(O243="","",IF(O243="SIM",VLOOKUP($I243&amp;$J243&amp;O$1,Pesos!$A:$I,7,FALSE),VLOOKUP($I243&amp;$J243&amp;O$1,Pesos!$A:$I,9,FALSE)))</f>
        <v>0.1</v>
      </c>
      <c r="AN243" s="154">
        <f>IF(P243="","",IF(P243="SIM",VLOOKUP($I243&amp;$J243&amp;P$1,Pesos!$A:$I,7,FALSE),VLOOKUP($I243&amp;$J243&amp;P$1,Pesos!$A:$I,9,FALSE)))</f>
        <v>0.1</v>
      </c>
      <c r="AO243" s="154">
        <f>IF(Q243="","",IF(Q243="SIM",VLOOKUP($I243&amp;$J243&amp;Q$1,Pesos!$A:$I,7,FALSE),VLOOKUP($I243&amp;$J243&amp;Q$1,Pesos!$A:$I,9,FALSE)))</f>
        <v>0.4</v>
      </c>
      <c r="AP243" s="154">
        <f>IF(R243="","",IF(R243="SIM",VLOOKUP($I243&amp;$J243&amp;R$1,Pesos!$A:$I,7,FALSE),VLOOKUP($I243&amp;$J243&amp;R$1,Pesos!$A:$I,9,FALSE)))</f>
        <v>1.2</v>
      </c>
      <c r="AQ243" s="154">
        <f>IF(S243="","",IF(S243="SIM",VLOOKUP($I243&amp;$J243&amp;S$1,Pesos!$A:$I,7,FALSE),VLOOKUP($I243&amp;$J243&amp;S$1,Pesos!$A:$I,9,FALSE)))</f>
        <v>-5.7500000000000009E-2</v>
      </c>
      <c r="AR243" s="156">
        <f>IF(T243="","",IF(T243="SIM",VLOOKUP($I243&amp;$J243&amp;T$1,Pesos!$A:$I,7,FALSE),VLOOKUP($I243&amp;$J243&amp;T$1,Pesos!$A:$I,9,FALSE)))</f>
        <v>1.1000000000000001</v>
      </c>
      <c r="AS243" s="132">
        <f>IF(U243="","",IF(U243="SIM",VLOOKUP($I243&amp;$J243&amp;U$1,Pesos!$A:$I,7,FALSE),VLOOKUP($I243&amp;$J243&amp;U$1,Pesos!$A:$I,9,FALSE)))</f>
        <v>1.1000000000000001</v>
      </c>
      <c r="AT243" s="132">
        <f>IF(V243="","",IF(V243="SIM",VLOOKUP($I243&amp;$J243&amp;V$1,Pesos!$A:$I,7,FALSE),VLOOKUP($I243&amp;$J243&amp;V$1,Pesos!$A:$I,9,FALSE)))</f>
        <v>1.1000000000000001</v>
      </c>
      <c r="AU243" s="132">
        <f>IF(W243="","",IF(W243="SIM",VLOOKUP($I243&amp;$J243&amp;W$1,Pesos!$A:$I,7,FALSE),VLOOKUP($I243&amp;$J243&amp;W$1,Pesos!$A:$I,9,FALSE)))</f>
        <v>1.1000000000000001</v>
      </c>
      <c r="AV243" s="132">
        <f>IF(X243="","",IF(X243="SIM",VLOOKUP($I243&amp;$J243&amp;X$1,Pesos!$A:$I,7,FALSE),VLOOKUP($I243&amp;$J243&amp;X$1,Pesos!$A:$I,9,FALSE)))</f>
        <v>-0.06</v>
      </c>
      <c r="AW243" s="132">
        <f>IF(Y243="","",IF(Y243="SIM",VLOOKUP($I243&amp;$J243&amp;Y$1,Pesos!$A:$I,7,FALSE),VLOOKUP($I243&amp;$J243&amp;Y$1,Pesos!$A:$I,9,FALSE)))</f>
        <v>0.3</v>
      </c>
      <c r="AX243" s="132">
        <f>IF(Z243="","",IF(Z243="SIM",VLOOKUP($I243&amp;$J243&amp;Z$1,Pesos!$A:$I,7,FALSE),VLOOKUP($I243&amp;$J243&amp;Z$1,Pesos!$A:$I,9,FALSE)))</f>
        <v>0.3</v>
      </c>
      <c r="AY243" s="132">
        <f>IF(AA243="","",IF(AA243="SIM",VLOOKUP($I243&amp;$J243&amp;AA$1,Pesos!$A:$I,7,FALSE),VLOOKUP($I243&amp;$J243&amp;AA$1,Pesos!$A:$I,9,FALSE)))</f>
        <v>0.15</v>
      </c>
      <c r="AZ243" s="132">
        <f>IF(AB243="","",IF(AB243="SIM",VLOOKUP($I243&amp;$J243&amp;AB$1,Pesos!$A:$I,7,FALSE),VLOOKUP($I243&amp;$J243&amp;AB$1,Pesos!$A:$I,9,FALSE)))</f>
        <v>0.2</v>
      </c>
      <c r="BA243" s="132">
        <f>IF(AC243="","",IF(AC243="SIM",VLOOKUP($I243&amp;$J243&amp;AC$1,Pesos!$A:$I,7,FALSE),VLOOKUP($I243&amp;$J243&amp;AC$1,Pesos!$A:$I,9,FALSE)))</f>
        <v>0.3</v>
      </c>
      <c r="BB243" s="132">
        <f>IF(AD243="","",IF(AD243="SIM",VLOOKUP($I243&amp;$J243&amp;AD$1,Pesos!$A:$I,7,FALSE),VLOOKUP($I243&amp;$J243&amp;AD$1,Pesos!$A:$I,9,FALSE)))</f>
        <v>0.1</v>
      </c>
      <c r="BC243" s="132" t="str">
        <f>IF(AE243="","",IF(AE243="SIM",VLOOKUP($I243&amp;$J243&amp;AE$1,Pesos!$A:$I,7,FALSE),VLOOKUP($I243&amp;$J243&amp;AE$1,Pesos!$A:$I,9,FALSE)))</f>
        <v/>
      </c>
      <c r="BD243" s="158">
        <f>IFERROR(AF243*VLOOKUP(J243,'BD Campos'!$X$1:$Y$14,2,FALSE),"0")</f>
        <v>7.5324999999999998</v>
      </c>
    </row>
    <row r="244" spans="1:56">
      <c r="A244" s="151" t="str">
        <f t="shared" si="15"/>
        <v>Jan11413MotoristaTRANSFERÊNCIA</v>
      </c>
      <c r="B244" s="149" t="str">
        <f t="shared" si="16"/>
        <v>Jan114131TRANSFERÊNCIAPADRÃO</v>
      </c>
      <c r="C244" s="152">
        <v>1</v>
      </c>
      <c r="D244" s="153">
        <v>46059.413472222222</v>
      </c>
      <c r="E244" s="154" t="s">
        <v>12</v>
      </c>
      <c r="F244" s="155">
        <v>11413</v>
      </c>
      <c r="G244" s="149" t="s">
        <v>454</v>
      </c>
      <c r="H244" s="154">
        <v>1</v>
      </c>
      <c r="I244" s="149" t="s">
        <v>92</v>
      </c>
      <c r="J244" s="149" t="s">
        <v>93</v>
      </c>
      <c r="K244" s="149" t="s">
        <v>192</v>
      </c>
      <c r="L244" s="156">
        <v>34522073</v>
      </c>
      <c r="M244" s="157">
        <v>2.5925925925925925E-3</v>
      </c>
      <c r="N244" s="131" t="s">
        <v>17</v>
      </c>
      <c r="O244" s="131" t="s">
        <v>17</v>
      </c>
      <c r="P244" s="131" t="s">
        <v>17</v>
      </c>
      <c r="Q244" s="131" t="s">
        <v>17</v>
      </c>
      <c r="R244" s="131" t="s">
        <v>17</v>
      </c>
      <c r="S244" s="131" t="s">
        <v>17</v>
      </c>
      <c r="T244" s="131" t="s">
        <v>17</v>
      </c>
      <c r="U244" s="131" t="s">
        <v>17</v>
      </c>
      <c r="V244" s="131" t="s">
        <v>17</v>
      </c>
      <c r="W244" s="131" t="s">
        <v>17</v>
      </c>
      <c r="X244" s="131" t="s">
        <v>17</v>
      </c>
      <c r="Y244" s="131" t="s">
        <v>17</v>
      </c>
      <c r="Z244" s="131" t="s">
        <v>17</v>
      </c>
      <c r="AA244" s="131" t="s">
        <v>17</v>
      </c>
      <c r="AB244" s="131"/>
      <c r="AC244" s="131"/>
      <c r="AD244" s="131"/>
      <c r="AE244" s="131"/>
      <c r="AF244" s="158">
        <f t="shared" si="18"/>
        <v>10.000000000000002</v>
      </c>
      <c r="AG244" s="159"/>
      <c r="AH244" s="155" t="s">
        <v>455</v>
      </c>
      <c r="AI244" s="155" t="s">
        <v>83</v>
      </c>
      <c r="AJ244" s="131" t="str">
        <f>IFERROR(VLOOKUP(E244&amp;F244,'Listagem dos op'!A:S,19,0),"")</f>
        <v/>
      </c>
      <c r="AK244" s="131" t="str">
        <f t="shared" si="17"/>
        <v>Jan11413</v>
      </c>
      <c r="AL244" s="154">
        <f>IF(N244="","",IF(N244="SIM",VLOOKUP($I244&amp;$J244&amp;N$1,Pesos!$A:$I,7,FALSE),VLOOKUP($I244&amp;$J244&amp;N$1,Pesos!$A:$I,9,FALSE)))</f>
        <v>0.1</v>
      </c>
      <c r="AM244" s="154">
        <f>IF(O244="","",IF(O244="SIM",VLOOKUP($I244&amp;$J244&amp;O$1,Pesos!$A:$I,7,FALSE),VLOOKUP($I244&amp;$J244&amp;O$1,Pesos!$A:$I,9,FALSE)))</f>
        <v>0.1</v>
      </c>
      <c r="AN244" s="154">
        <f>IF(P244="","",IF(P244="SIM",VLOOKUP($I244&amp;$J244&amp;P$1,Pesos!$A:$I,7,FALSE),VLOOKUP($I244&amp;$J244&amp;P$1,Pesos!$A:$I,9,FALSE)))</f>
        <v>0.1</v>
      </c>
      <c r="AO244" s="154">
        <f>IF(Q244="","",IF(Q244="SIM",VLOOKUP($I244&amp;$J244&amp;Q$1,Pesos!$A:$I,7,FALSE),VLOOKUP($I244&amp;$J244&amp;Q$1,Pesos!$A:$I,9,FALSE)))</f>
        <v>2</v>
      </c>
      <c r="AP244" s="154">
        <f>IF(R244="","",IF(R244="SIM",VLOOKUP($I244&amp;$J244&amp;R$1,Pesos!$A:$I,7,FALSE),VLOOKUP($I244&amp;$J244&amp;R$1,Pesos!$A:$I,9,FALSE)))</f>
        <v>1.03</v>
      </c>
      <c r="AQ244" s="154">
        <f>IF(S244="","",IF(S244="SIM",VLOOKUP($I244&amp;$J244&amp;S$1,Pesos!$A:$I,7,FALSE),VLOOKUP($I244&amp;$J244&amp;S$1,Pesos!$A:$I,9,FALSE)))</f>
        <v>1.7000000000000002</v>
      </c>
      <c r="AR244" s="156">
        <f>IF(T244="","",IF(T244="SIM",VLOOKUP($I244&amp;$J244&amp;T$1,Pesos!$A:$I,7,FALSE),VLOOKUP($I244&amp;$J244&amp;T$1,Pesos!$A:$I,9,FALSE)))</f>
        <v>1.92</v>
      </c>
      <c r="AS244" s="132">
        <f>IF(U244="","",IF(U244="SIM",VLOOKUP($I244&amp;$J244&amp;U$1,Pesos!$A:$I,7,FALSE),VLOOKUP($I244&amp;$J244&amp;U$1,Pesos!$A:$I,9,FALSE)))</f>
        <v>1.7000000000000002</v>
      </c>
      <c r="AT244" s="132">
        <f>IF(V244="","",IF(V244="SIM",VLOOKUP($I244&amp;$J244&amp;V$1,Pesos!$A:$I,7,FALSE),VLOOKUP($I244&amp;$J244&amp;V$1,Pesos!$A:$I,9,FALSE)))</f>
        <v>0.3</v>
      </c>
      <c r="AU244" s="132">
        <f>IF(W244="","",IF(W244="SIM",VLOOKUP($I244&amp;$J244&amp;W$1,Pesos!$A:$I,7,FALSE),VLOOKUP($I244&amp;$J244&amp;W$1,Pesos!$A:$I,9,FALSE)))</f>
        <v>0.3</v>
      </c>
      <c r="AV244" s="132">
        <f>IF(X244="","",IF(X244="SIM",VLOOKUP($I244&amp;$J244&amp;X$1,Pesos!$A:$I,7,FALSE),VLOOKUP($I244&amp;$J244&amp;X$1,Pesos!$A:$I,9,FALSE)))</f>
        <v>0.15</v>
      </c>
      <c r="AW244" s="132">
        <f>IF(Y244="","",IF(Y244="SIM",VLOOKUP($I244&amp;$J244&amp;Y$1,Pesos!$A:$I,7,FALSE),VLOOKUP($I244&amp;$J244&amp;Y$1,Pesos!$A:$I,9,FALSE)))</f>
        <v>0.2</v>
      </c>
      <c r="AX244" s="132">
        <f>IF(Z244="","",IF(Z244="SIM",VLOOKUP($I244&amp;$J244&amp;Z$1,Pesos!$A:$I,7,FALSE),VLOOKUP($I244&amp;$J244&amp;Z$1,Pesos!$A:$I,9,FALSE)))</f>
        <v>0.3</v>
      </c>
      <c r="AY244" s="132">
        <f>IF(AA244="","",IF(AA244="SIM",VLOOKUP($I244&amp;$J244&amp;AA$1,Pesos!$A:$I,7,FALSE),VLOOKUP($I244&amp;$J244&amp;AA$1,Pesos!$A:$I,9,FALSE)))</f>
        <v>0.1</v>
      </c>
      <c r="AZ244" s="132" t="str">
        <f>IF(AB244="","",IF(AB244="SIM",VLOOKUP($I244&amp;$J244&amp;AB$1,Pesos!$A:$I,7,FALSE),VLOOKUP($I244&amp;$J244&amp;AB$1,Pesos!$A:$I,9,FALSE)))</f>
        <v/>
      </c>
      <c r="BA244" s="132" t="str">
        <f>IF(AC244="","",IF(AC244="SIM",VLOOKUP($I244&amp;$J244&amp;AC$1,Pesos!$A:$I,7,FALSE),VLOOKUP($I244&amp;$J244&amp;AC$1,Pesos!$A:$I,9,FALSE)))</f>
        <v/>
      </c>
      <c r="BB244" s="132" t="str">
        <f>IF(AD244="","",IF(AD244="SIM",VLOOKUP($I244&amp;$J244&amp;AD$1,Pesos!$A:$I,7,FALSE),VLOOKUP($I244&amp;$J244&amp;AD$1,Pesos!$A:$I,9,FALSE)))</f>
        <v/>
      </c>
      <c r="BC244" s="132" t="str">
        <f>IF(AE244="","",IF(AE244="SIM",VLOOKUP($I244&amp;$J244&amp;AE$1,Pesos!$A:$I,7,FALSE),VLOOKUP($I244&amp;$J244&amp;AE$1,Pesos!$A:$I,9,FALSE)))</f>
        <v/>
      </c>
      <c r="BD244" s="158">
        <f>IFERROR(AF244*VLOOKUP(J244,'BD Campos'!$X$1:$Y$14,2,FALSE),"0")</f>
        <v>10.000000000000002</v>
      </c>
    </row>
    <row r="245" spans="1:56">
      <c r="A245" s="151" t="str">
        <f t="shared" si="15"/>
        <v>Jan11413Motorista 2TRANSFERÊNCIA</v>
      </c>
      <c r="B245" s="149" t="str">
        <f t="shared" si="16"/>
        <v>Jan114132TRANSFERÊNCIAPADRÃO</v>
      </c>
      <c r="C245" s="152">
        <v>1</v>
      </c>
      <c r="D245" s="153">
        <v>46059.416785532405</v>
      </c>
      <c r="E245" s="154" t="s">
        <v>12</v>
      </c>
      <c r="F245" s="155">
        <v>11413</v>
      </c>
      <c r="G245" s="149" t="s">
        <v>454</v>
      </c>
      <c r="H245" s="154">
        <v>2</v>
      </c>
      <c r="I245" s="149" t="s">
        <v>96</v>
      </c>
      <c r="J245" s="149" t="s">
        <v>97</v>
      </c>
      <c r="K245" s="149" t="s">
        <v>192</v>
      </c>
      <c r="L245" s="156">
        <v>34652689</v>
      </c>
      <c r="M245" s="157">
        <v>3.0787037037037037E-3</v>
      </c>
      <c r="N245" s="131" t="s">
        <v>17</v>
      </c>
      <c r="O245" s="131" t="s">
        <v>17</v>
      </c>
      <c r="P245" s="131" t="s">
        <v>17</v>
      </c>
      <c r="Q245" s="131" t="s">
        <v>17</v>
      </c>
      <c r="R245" s="131" t="s">
        <v>17</v>
      </c>
      <c r="S245" s="131" t="s">
        <v>18</v>
      </c>
      <c r="T245" s="131" t="s">
        <v>17</v>
      </c>
      <c r="U245" s="131" t="s">
        <v>17</v>
      </c>
      <c r="V245" s="131" t="s">
        <v>17</v>
      </c>
      <c r="W245" s="131" t="s">
        <v>17</v>
      </c>
      <c r="X245" s="131" t="s">
        <v>17</v>
      </c>
      <c r="Y245" s="131" t="s">
        <v>17</v>
      </c>
      <c r="Z245" s="131" t="s">
        <v>17</v>
      </c>
      <c r="AA245" s="131" t="s">
        <v>17</v>
      </c>
      <c r="AB245" s="131" t="s">
        <v>17</v>
      </c>
      <c r="AC245" s="131"/>
      <c r="AD245" s="131"/>
      <c r="AE245" s="131"/>
      <c r="AF245" s="158">
        <f t="shared" si="18"/>
        <v>8.7189999999999994</v>
      </c>
      <c r="AG245" s="159"/>
      <c r="AH245" s="155" t="s">
        <v>456</v>
      </c>
      <c r="AI245" s="155" t="s">
        <v>83</v>
      </c>
      <c r="AJ245" s="131" t="str">
        <f>IFERROR(VLOOKUP(E245&amp;F245,'Listagem dos op'!A:S,19,0),"")</f>
        <v/>
      </c>
      <c r="AK245" s="131" t="str">
        <f t="shared" si="17"/>
        <v>Jan11413</v>
      </c>
      <c r="AL245" s="154">
        <f>IF(N245="","",IF(N245="SIM",VLOOKUP($I245&amp;$J245&amp;N$1,Pesos!$A:$I,7,FALSE),VLOOKUP($I245&amp;$J245&amp;N$1,Pesos!$A:$I,9,FALSE)))</f>
        <v>0.1</v>
      </c>
      <c r="AM245" s="154">
        <f>IF(O245="","",IF(O245="SIM",VLOOKUP($I245&amp;$J245&amp;O$1,Pesos!$A:$I,7,FALSE),VLOOKUP($I245&amp;$J245&amp;O$1,Pesos!$A:$I,9,FALSE)))</f>
        <v>0.1</v>
      </c>
      <c r="AN245" s="154">
        <f>IF(P245="","",IF(P245="SIM",VLOOKUP($I245&amp;$J245&amp;P$1,Pesos!$A:$I,7,FALSE),VLOOKUP($I245&amp;$J245&amp;P$1,Pesos!$A:$I,9,FALSE)))</f>
        <v>0.1</v>
      </c>
      <c r="AO245" s="154">
        <f>IF(Q245="","",IF(Q245="SIM",VLOOKUP($I245&amp;$J245&amp;Q$1,Pesos!$A:$I,7,FALSE),VLOOKUP($I245&amp;$J245&amp;Q$1,Pesos!$A:$I,9,FALSE)))</f>
        <v>2</v>
      </c>
      <c r="AP245" s="154">
        <f>IF(R245="","",IF(R245="SIM",VLOOKUP($I245&amp;$J245&amp;R$1,Pesos!$A:$I,7,FALSE),VLOOKUP($I245&amp;$J245&amp;R$1,Pesos!$A:$I,9,FALSE)))</f>
        <v>1.03</v>
      </c>
      <c r="AQ245" s="154">
        <f>IF(S245="","",IF(S245="SIM",VLOOKUP($I245&amp;$J245&amp;S$1,Pesos!$A:$I,7,FALSE),VLOOKUP($I245&amp;$J245&amp;S$1,Pesos!$A:$I,9,FALSE)))</f>
        <v>-6.0999999999999999E-2</v>
      </c>
      <c r="AR245" s="156">
        <f>IF(T245="","",IF(T245="SIM",VLOOKUP($I245&amp;$J245&amp;T$1,Pesos!$A:$I,7,FALSE),VLOOKUP($I245&amp;$J245&amp;T$1,Pesos!$A:$I,9,FALSE)))</f>
        <v>2</v>
      </c>
      <c r="AS245" s="132">
        <f>IF(U245="","",IF(U245="SIM",VLOOKUP($I245&amp;$J245&amp;U$1,Pesos!$A:$I,7,FALSE),VLOOKUP($I245&amp;$J245&amp;U$1,Pesos!$A:$I,9,FALSE)))</f>
        <v>1.05</v>
      </c>
      <c r="AT245" s="132">
        <f>IF(V245="","",IF(V245="SIM",VLOOKUP($I245&amp;$J245&amp;V$1,Pesos!$A:$I,7,FALSE),VLOOKUP($I245&amp;$J245&amp;V$1,Pesos!$A:$I,9,FALSE)))</f>
        <v>1.05</v>
      </c>
      <c r="AU245" s="132">
        <f>IF(W245="","",IF(W245="SIM",VLOOKUP($I245&amp;$J245&amp;W$1,Pesos!$A:$I,7,FALSE),VLOOKUP($I245&amp;$J245&amp;W$1,Pesos!$A:$I,9,FALSE)))</f>
        <v>0.3</v>
      </c>
      <c r="AV245" s="132">
        <f>IF(X245="","",IF(X245="SIM",VLOOKUP($I245&amp;$J245&amp;X$1,Pesos!$A:$I,7,FALSE),VLOOKUP($I245&amp;$J245&amp;X$1,Pesos!$A:$I,9,FALSE)))</f>
        <v>0.3</v>
      </c>
      <c r="AW245" s="132">
        <f>IF(Y245="","",IF(Y245="SIM",VLOOKUP($I245&amp;$J245&amp;Y$1,Pesos!$A:$I,7,FALSE),VLOOKUP($I245&amp;$J245&amp;Y$1,Pesos!$A:$I,9,FALSE)))</f>
        <v>0.15</v>
      </c>
      <c r="AX245" s="132">
        <f>IF(Z245="","",IF(Z245="SIM",VLOOKUP($I245&amp;$J245&amp;Z$1,Pesos!$A:$I,7,FALSE),VLOOKUP($I245&amp;$J245&amp;Z$1,Pesos!$A:$I,9,FALSE)))</f>
        <v>0.2</v>
      </c>
      <c r="AY245" s="132">
        <f>IF(AA245="","",IF(AA245="SIM",VLOOKUP($I245&amp;$J245&amp;AA$1,Pesos!$A:$I,7,FALSE),VLOOKUP($I245&amp;$J245&amp;AA$1,Pesos!$A:$I,9,FALSE)))</f>
        <v>0.3</v>
      </c>
      <c r="AZ245" s="132">
        <f>IF(AB245="","",IF(AB245="SIM",VLOOKUP($I245&amp;$J245&amp;AB$1,Pesos!$A:$I,7,FALSE),VLOOKUP($I245&amp;$J245&amp;AB$1,Pesos!$A:$I,9,FALSE)))</f>
        <v>0.1</v>
      </c>
      <c r="BA245" s="132" t="str">
        <f>IF(AC245="","",IF(AC245="SIM",VLOOKUP($I245&amp;$J245&amp;AC$1,Pesos!$A:$I,7,FALSE),VLOOKUP($I245&amp;$J245&amp;AC$1,Pesos!$A:$I,9,FALSE)))</f>
        <v/>
      </c>
      <c r="BB245" s="132" t="str">
        <f>IF(AD245="","",IF(AD245="SIM",VLOOKUP($I245&amp;$J245&amp;AD$1,Pesos!$A:$I,7,FALSE),VLOOKUP($I245&amp;$J245&amp;AD$1,Pesos!$A:$I,9,FALSE)))</f>
        <v/>
      </c>
      <c r="BC245" s="132" t="str">
        <f>IF(AE245="","",IF(AE245="SIM",VLOOKUP($I245&amp;$J245&amp;AE$1,Pesos!$A:$I,7,FALSE),VLOOKUP($I245&amp;$J245&amp;AE$1,Pesos!$A:$I,9,FALSE)))</f>
        <v/>
      </c>
      <c r="BD245" s="158">
        <f>IFERROR(AF245*VLOOKUP(J245,'BD Campos'!$X$1:$Y$14,2,FALSE),"0")</f>
        <v>8.7189999999999994</v>
      </c>
    </row>
    <row r="246" spans="1:56">
      <c r="A246" s="151" t="str">
        <f t="shared" si="15"/>
        <v>Jan10939MotoristaTRANSFERÊNCIA</v>
      </c>
      <c r="B246" s="149" t="str">
        <f t="shared" si="16"/>
        <v>Jan109391TRANSFERÊNCIAPADRÃO</v>
      </c>
      <c r="C246" s="152">
        <v>1</v>
      </c>
      <c r="D246" s="153">
        <v>46059.419768981483</v>
      </c>
      <c r="E246" s="154" t="s">
        <v>12</v>
      </c>
      <c r="F246" s="155">
        <v>10939</v>
      </c>
      <c r="G246" s="149" t="s">
        <v>457</v>
      </c>
      <c r="H246" s="154">
        <v>1</v>
      </c>
      <c r="I246" s="149" t="s">
        <v>130</v>
      </c>
      <c r="J246" s="149" t="s">
        <v>93</v>
      </c>
      <c r="K246" s="149" t="s">
        <v>192</v>
      </c>
      <c r="L246" s="156">
        <v>34538309</v>
      </c>
      <c r="M246" s="157">
        <v>2.5694444444444445E-3</v>
      </c>
      <c r="N246" s="131"/>
      <c r="O246" s="131"/>
      <c r="P246" s="131"/>
      <c r="Q246" s="131"/>
      <c r="R246" s="131"/>
      <c r="S246" s="131"/>
      <c r="T246" s="131"/>
      <c r="U246" s="131"/>
      <c r="V246" s="131"/>
      <c r="W246" s="131"/>
      <c r="X246" s="131"/>
      <c r="Y246" s="131"/>
      <c r="Z246" s="131"/>
      <c r="AA246" s="131"/>
      <c r="AB246" s="131"/>
      <c r="AC246" s="131"/>
      <c r="AD246" s="131"/>
      <c r="AE246" s="131"/>
      <c r="AF246" s="158">
        <f t="shared" si="18"/>
        <v>0</v>
      </c>
      <c r="AG246" s="159" t="s">
        <v>111</v>
      </c>
      <c r="AH246" s="155" t="s">
        <v>458</v>
      </c>
      <c r="AI246" s="155" t="s">
        <v>83</v>
      </c>
      <c r="AJ246" s="131" t="str">
        <f>IFERROR(VLOOKUP(E246&amp;F246,'Listagem dos op'!A:S,19,0),"")</f>
        <v/>
      </c>
      <c r="AK246" s="131" t="str">
        <f t="shared" si="17"/>
        <v>Jan10939</v>
      </c>
      <c r="AL246" s="154" t="str">
        <f>IF(N246="","",IF(N246="SIM",VLOOKUP($I246&amp;$J246&amp;N$1,Pesos!$A:$I,7,FALSE),VLOOKUP($I246&amp;$J246&amp;N$1,Pesos!$A:$I,9,FALSE)))</f>
        <v/>
      </c>
      <c r="AM246" s="154" t="str">
        <f>IF(O246="","",IF(O246="SIM",VLOOKUP($I246&amp;$J246&amp;O$1,Pesos!$A:$I,7,FALSE),VLOOKUP($I246&amp;$J246&amp;O$1,Pesos!$A:$I,9,FALSE)))</f>
        <v/>
      </c>
      <c r="AN246" s="154" t="str">
        <f>IF(P246="","",IF(P246="SIM",VLOOKUP($I246&amp;$J246&amp;P$1,Pesos!$A:$I,7,FALSE),VLOOKUP($I246&amp;$J246&amp;P$1,Pesos!$A:$I,9,FALSE)))</f>
        <v/>
      </c>
      <c r="AO246" s="154" t="str">
        <f>IF(Q246="","",IF(Q246="SIM",VLOOKUP($I246&amp;$J246&amp;Q$1,Pesos!$A:$I,7,FALSE),VLOOKUP($I246&amp;$J246&amp;Q$1,Pesos!$A:$I,9,FALSE)))</f>
        <v/>
      </c>
      <c r="AP246" s="154" t="str">
        <f>IF(R246="","",IF(R246="SIM",VLOOKUP($I246&amp;$J246&amp;R$1,Pesos!$A:$I,7,FALSE),VLOOKUP($I246&amp;$J246&amp;R$1,Pesos!$A:$I,9,FALSE)))</f>
        <v/>
      </c>
      <c r="AQ246" s="154" t="str">
        <f>IF(S246="","",IF(S246="SIM",VLOOKUP($I246&amp;$J246&amp;S$1,Pesos!$A:$I,7,FALSE),VLOOKUP($I246&amp;$J246&amp;S$1,Pesos!$A:$I,9,FALSE)))</f>
        <v/>
      </c>
      <c r="AR246" s="156" t="str">
        <f>IF(T246="","",IF(T246="SIM",VLOOKUP($I246&amp;$J246&amp;T$1,Pesos!$A:$I,7,FALSE),VLOOKUP($I246&amp;$J246&amp;T$1,Pesos!$A:$I,9,FALSE)))</f>
        <v/>
      </c>
      <c r="AS246" s="132" t="str">
        <f>IF(U246="","",IF(U246="SIM",VLOOKUP($I246&amp;$J246&amp;U$1,Pesos!$A:$I,7,FALSE),VLOOKUP($I246&amp;$J246&amp;U$1,Pesos!$A:$I,9,FALSE)))</f>
        <v/>
      </c>
      <c r="AT246" s="132" t="str">
        <f>IF(V246="","",IF(V246="SIM",VLOOKUP($I246&amp;$J246&amp;V$1,Pesos!$A:$I,7,FALSE),VLOOKUP($I246&amp;$J246&amp;V$1,Pesos!$A:$I,9,FALSE)))</f>
        <v/>
      </c>
      <c r="AU246" s="132" t="str">
        <f>IF(W246="","",IF(W246="SIM",VLOOKUP($I246&amp;$J246&amp;W$1,Pesos!$A:$I,7,FALSE),VLOOKUP($I246&amp;$J246&amp;W$1,Pesos!$A:$I,9,FALSE)))</f>
        <v/>
      </c>
      <c r="AV246" s="132" t="str">
        <f>IF(X246="","",IF(X246="SIM",VLOOKUP($I246&amp;$J246&amp;X$1,Pesos!$A:$I,7,FALSE),VLOOKUP($I246&amp;$J246&amp;X$1,Pesos!$A:$I,9,FALSE)))</f>
        <v/>
      </c>
      <c r="AW246" s="132" t="str">
        <f>IF(Y246="","",IF(Y246="SIM",VLOOKUP($I246&amp;$J246&amp;Y$1,Pesos!$A:$I,7,FALSE),VLOOKUP($I246&amp;$J246&amp;Y$1,Pesos!$A:$I,9,FALSE)))</f>
        <v/>
      </c>
      <c r="AX246" s="132" t="str">
        <f>IF(Z246="","",IF(Z246="SIM",VLOOKUP($I246&amp;$J246&amp;Z$1,Pesos!$A:$I,7,FALSE),VLOOKUP($I246&amp;$J246&amp;Z$1,Pesos!$A:$I,9,FALSE)))</f>
        <v/>
      </c>
      <c r="AY246" s="132" t="str">
        <f>IF(AA246="","",IF(AA246="SIM",VLOOKUP($I246&amp;$J246&amp;AA$1,Pesos!$A:$I,7,FALSE),VLOOKUP($I246&amp;$J246&amp;AA$1,Pesos!$A:$I,9,FALSE)))</f>
        <v/>
      </c>
      <c r="AZ246" s="132" t="str">
        <f>IF(AB246="","",IF(AB246="SIM",VLOOKUP($I246&amp;$J246&amp;AB$1,Pesos!$A:$I,7,FALSE),VLOOKUP($I246&amp;$J246&amp;AB$1,Pesos!$A:$I,9,FALSE)))</f>
        <v/>
      </c>
      <c r="BA246" s="132" t="str">
        <f>IF(AC246="","",IF(AC246="SIM",VLOOKUP($I246&amp;$J246&amp;AC$1,Pesos!$A:$I,7,FALSE),VLOOKUP($I246&amp;$J246&amp;AC$1,Pesos!$A:$I,9,FALSE)))</f>
        <v/>
      </c>
      <c r="BB246" s="132" t="str">
        <f>IF(AD246="","",IF(AD246="SIM",VLOOKUP($I246&amp;$J246&amp;AD$1,Pesos!$A:$I,7,FALSE),VLOOKUP($I246&amp;$J246&amp;AD$1,Pesos!$A:$I,9,FALSE)))</f>
        <v/>
      </c>
      <c r="BC246" s="132" t="str">
        <f>IF(AE246="","",IF(AE246="SIM",VLOOKUP($I246&amp;$J246&amp;AE$1,Pesos!$A:$I,7,FALSE),VLOOKUP($I246&amp;$J246&amp;AE$1,Pesos!$A:$I,9,FALSE)))</f>
        <v/>
      </c>
      <c r="BD246" s="158">
        <f>IFERROR(AF246*VLOOKUP(J246,'BD Campos'!$X$1:$Y$14,2,FALSE),"0")</f>
        <v>0</v>
      </c>
    </row>
    <row r="247" spans="1:56">
      <c r="A247" s="151" t="str">
        <f t="shared" si="15"/>
        <v>Jan10939Motorista 2TRANSFERÊNCIA</v>
      </c>
      <c r="B247" s="149" t="str">
        <f t="shared" si="16"/>
        <v>Jan109392TRANSFERÊNCIAPADRÃO</v>
      </c>
      <c r="C247" s="152">
        <v>1</v>
      </c>
      <c r="D247" s="153">
        <v>46059.423855092595</v>
      </c>
      <c r="E247" s="154" t="s">
        <v>12</v>
      </c>
      <c r="F247" s="155">
        <v>10939</v>
      </c>
      <c r="G247" s="149" t="s">
        <v>457</v>
      </c>
      <c r="H247" s="154">
        <v>2</v>
      </c>
      <c r="I247" s="149" t="s">
        <v>92</v>
      </c>
      <c r="J247" s="149" t="s">
        <v>97</v>
      </c>
      <c r="K247" s="149" t="s">
        <v>192</v>
      </c>
      <c r="L247" s="156">
        <v>34805044</v>
      </c>
      <c r="M247" s="157">
        <v>1.1458333333333333E-3</v>
      </c>
      <c r="N247" s="131" t="s">
        <v>17</v>
      </c>
      <c r="O247" s="131" t="s">
        <v>17</v>
      </c>
      <c r="P247" s="131" t="s">
        <v>17</v>
      </c>
      <c r="Q247" s="131" t="s">
        <v>17</v>
      </c>
      <c r="R247" s="131" t="s">
        <v>17</v>
      </c>
      <c r="S247" s="131" t="s">
        <v>17</v>
      </c>
      <c r="T247" s="131" t="s">
        <v>17</v>
      </c>
      <c r="U247" s="131" t="s">
        <v>17</v>
      </c>
      <c r="V247" s="131" t="s">
        <v>17</v>
      </c>
      <c r="W247" s="131" t="s">
        <v>17</v>
      </c>
      <c r="X247" s="131" t="s">
        <v>17</v>
      </c>
      <c r="Y247" s="131" t="s">
        <v>17</v>
      </c>
      <c r="Z247" s="131" t="s">
        <v>17</v>
      </c>
      <c r="AA247" s="131" t="s">
        <v>17</v>
      </c>
      <c r="AB247" s="131"/>
      <c r="AC247" s="131"/>
      <c r="AD247" s="131"/>
      <c r="AE247" s="131"/>
      <c r="AF247" s="158">
        <f t="shared" si="18"/>
        <v>10.000000000000002</v>
      </c>
      <c r="AG247" s="159"/>
      <c r="AH247" s="155" t="s">
        <v>459</v>
      </c>
      <c r="AI247" s="155" t="s">
        <v>83</v>
      </c>
      <c r="AJ247" s="131" t="str">
        <f>IFERROR(VLOOKUP(E247&amp;F247,'Listagem dos op'!A:S,19,0),"")</f>
        <v/>
      </c>
      <c r="AK247" s="131" t="str">
        <f t="shared" si="17"/>
        <v>Jan10939</v>
      </c>
      <c r="AL247" s="154">
        <f>IF(N247="","",IF(N247="SIM",VLOOKUP($I247&amp;$J247&amp;N$1,Pesos!$A:$I,7,FALSE),VLOOKUP($I247&amp;$J247&amp;N$1,Pesos!$A:$I,9,FALSE)))</f>
        <v>0.1</v>
      </c>
      <c r="AM247" s="154">
        <f>IF(O247="","",IF(O247="SIM",VLOOKUP($I247&amp;$J247&amp;O$1,Pesos!$A:$I,7,FALSE),VLOOKUP($I247&amp;$J247&amp;O$1,Pesos!$A:$I,9,FALSE)))</f>
        <v>0.1</v>
      </c>
      <c r="AN247" s="154">
        <f>IF(P247="","",IF(P247="SIM",VLOOKUP($I247&amp;$J247&amp;P$1,Pesos!$A:$I,7,FALSE),VLOOKUP($I247&amp;$J247&amp;P$1,Pesos!$A:$I,9,FALSE)))</f>
        <v>0.1</v>
      </c>
      <c r="AO247" s="154">
        <f>IF(Q247="","",IF(Q247="SIM",VLOOKUP($I247&amp;$J247&amp;Q$1,Pesos!$A:$I,7,FALSE),VLOOKUP($I247&amp;$J247&amp;Q$1,Pesos!$A:$I,9,FALSE)))</f>
        <v>2</v>
      </c>
      <c r="AP247" s="154">
        <f>IF(R247="","",IF(R247="SIM",VLOOKUP($I247&amp;$J247&amp;R$1,Pesos!$A:$I,7,FALSE),VLOOKUP($I247&amp;$J247&amp;R$1,Pesos!$A:$I,9,FALSE)))</f>
        <v>1.03</v>
      </c>
      <c r="AQ247" s="154">
        <f>IF(S247="","",IF(S247="SIM",VLOOKUP($I247&amp;$J247&amp;S$1,Pesos!$A:$I,7,FALSE),VLOOKUP($I247&amp;$J247&amp;S$1,Pesos!$A:$I,9,FALSE)))</f>
        <v>1.7000000000000002</v>
      </c>
      <c r="AR247" s="156">
        <f>IF(T247="","",IF(T247="SIM",VLOOKUP($I247&amp;$J247&amp;T$1,Pesos!$A:$I,7,FALSE),VLOOKUP($I247&amp;$J247&amp;T$1,Pesos!$A:$I,9,FALSE)))</f>
        <v>1.92</v>
      </c>
      <c r="AS247" s="132">
        <f>IF(U247="","",IF(U247="SIM",VLOOKUP($I247&amp;$J247&amp;U$1,Pesos!$A:$I,7,FALSE),VLOOKUP($I247&amp;$J247&amp;U$1,Pesos!$A:$I,9,FALSE)))</f>
        <v>1.7000000000000002</v>
      </c>
      <c r="AT247" s="132">
        <f>IF(V247="","",IF(V247="SIM",VLOOKUP($I247&amp;$J247&amp;V$1,Pesos!$A:$I,7,FALSE),VLOOKUP($I247&amp;$J247&amp;V$1,Pesos!$A:$I,9,FALSE)))</f>
        <v>0.3</v>
      </c>
      <c r="AU247" s="132">
        <f>IF(W247="","",IF(W247="SIM",VLOOKUP($I247&amp;$J247&amp;W$1,Pesos!$A:$I,7,FALSE),VLOOKUP($I247&amp;$J247&amp;W$1,Pesos!$A:$I,9,FALSE)))</f>
        <v>0.3</v>
      </c>
      <c r="AV247" s="132">
        <f>IF(X247="","",IF(X247="SIM",VLOOKUP($I247&amp;$J247&amp;X$1,Pesos!$A:$I,7,FALSE),VLOOKUP($I247&amp;$J247&amp;X$1,Pesos!$A:$I,9,FALSE)))</f>
        <v>0.15</v>
      </c>
      <c r="AW247" s="132">
        <f>IF(Y247="","",IF(Y247="SIM",VLOOKUP($I247&amp;$J247&amp;Y$1,Pesos!$A:$I,7,FALSE),VLOOKUP($I247&amp;$J247&amp;Y$1,Pesos!$A:$I,9,FALSE)))</f>
        <v>0.2</v>
      </c>
      <c r="AX247" s="132">
        <f>IF(Z247="","",IF(Z247="SIM",VLOOKUP($I247&amp;$J247&amp;Z$1,Pesos!$A:$I,7,FALSE),VLOOKUP($I247&amp;$J247&amp;Z$1,Pesos!$A:$I,9,FALSE)))</f>
        <v>0.3</v>
      </c>
      <c r="AY247" s="132">
        <f>IF(AA247="","",IF(AA247="SIM",VLOOKUP($I247&amp;$J247&amp;AA$1,Pesos!$A:$I,7,FALSE),VLOOKUP($I247&amp;$J247&amp;AA$1,Pesos!$A:$I,9,FALSE)))</f>
        <v>0.1</v>
      </c>
      <c r="AZ247" s="132" t="str">
        <f>IF(AB247="","",IF(AB247="SIM",VLOOKUP($I247&amp;$J247&amp;AB$1,Pesos!$A:$I,7,FALSE),VLOOKUP($I247&amp;$J247&amp;AB$1,Pesos!$A:$I,9,FALSE)))</f>
        <v/>
      </c>
      <c r="BA247" s="132" t="str">
        <f>IF(AC247="","",IF(AC247="SIM",VLOOKUP($I247&amp;$J247&amp;AC$1,Pesos!$A:$I,7,FALSE),VLOOKUP($I247&amp;$J247&amp;AC$1,Pesos!$A:$I,9,FALSE)))</f>
        <v/>
      </c>
      <c r="BB247" s="132" t="str">
        <f>IF(AD247="","",IF(AD247="SIM",VLOOKUP($I247&amp;$J247&amp;AD$1,Pesos!$A:$I,7,FALSE),VLOOKUP($I247&amp;$J247&amp;AD$1,Pesos!$A:$I,9,FALSE)))</f>
        <v/>
      </c>
      <c r="BC247" s="132" t="str">
        <f>IF(AE247="","",IF(AE247="SIM",VLOOKUP($I247&amp;$J247&amp;AE$1,Pesos!$A:$I,7,FALSE),VLOOKUP($I247&amp;$J247&amp;AE$1,Pesos!$A:$I,9,FALSE)))</f>
        <v/>
      </c>
      <c r="BD247" s="158">
        <f>IFERROR(AF247*VLOOKUP(J247,'BD Campos'!$X$1:$Y$14,2,FALSE),"0")</f>
        <v>10.000000000000002</v>
      </c>
    </row>
    <row r="248" spans="1:56">
      <c r="A248" s="151" t="str">
        <f t="shared" si="15"/>
        <v>Jan11433MotoristaTRANSFERÊNCIA</v>
      </c>
      <c r="B248" s="149" t="str">
        <f t="shared" si="16"/>
        <v>Jan114331TRANSFERÊNCIAPADRÃO</v>
      </c>
      <c r="C248" s="152">
        <v>1</v>
      </c>
      <c r="D248" s="153">
        <v>46059.427351157407</v>
      </c>
      <c r="E248" s="154" t="s">
        <v>12</v>
      </c>
      <c r="F248" s="155">
        <v>11433</v>
      </c>
      <c r="G248" s="149" t="s">
        <v>460</v>
      </c>
      <c r="H248" s="154">
        <v>1</v>
      </c>
      <c r="I248" s="149" t="s">
        <v>130</v>
      </c>
      <c r="J248" s="149" t="s">
        <v>93</v>
      </c>
      <c r="K248" s="149" t="s">
        <v>192</v>
      </c>
      <c r="L248" s="156">
        <v>34568914</v>
      </c>
      <c r="M248" s="157">
        <v>1.0879629629629629E-3</v>
      </c>
      <c r="N248" s="131" t="s">
        <v>18</v>
      </c>
      <c r="O248" s="131" t="s">
        <v>17</v>
      </c>
      <c r="P248" s="131" t="s">
        <v>17</v>
      </c>
      <c r="Q248" s="131" t="s">
        <v>17</v>
      </c>
      <c r="R248" s="131" t="s">
        <v>17</v>
      </c>
      <c r="S248" s="131" t="s">
        <v>17</v>
      </c>
      <c r="T248" s="131" t="s">
        <v>18</v>
      </c>
      <c r="U248" s="131" t="s">
        <v>18</v>
      </c>
      <c r="V248" s="131" t="s">
        <v>17</v>
      </c>
      <c r="W248" s="131" t="s">
        <v>17</v>
      </c>
      <c r="X248" s="131" t="s">
        <v>17</v>
      </c>
      <c r="Y248" s="131" t="s">
        <v>17</v>
      </c>
      <c r="Z248" s="131" t="s">
        <v>17</v>
      </c>
      <c r="AA248" s="131" t="s">
        <v>17</v>
      </c>
      <c r="AB248" s="131" t="s">
        <v>17</v>
      </c>
      <c r="AC248" s="131"/>
      <c r="AD248" s="131"/>
      <c r="AE248" s="131"/>
      <c r="AF248" s="158">
        <f t="shared" si="18"/>
        <v>7.1479999999999988</v>
      </c>
      <c r="AG248" s="159"/>
      <c r="AH248" s="155" t="s">
        <v>461</v>
      </c>
      <c r="AI248" s="155" t="s">
        <v>83</v>
      </c>
      <c r="AJ248" s="131" t="str">
        <f>IFERROR(VLOOKUP(E248&amp;F248,'Listagem dos op'!A:S,19,0),"")</f>
        <v/>
      </c>
      <c r="AK248" s="131" t="str">
        <f t="shared" si="17"/>
        <v>Jan11433</v>
      </c>
      <c r="AL248" s="154">
        <f>IF(N248="","",IF(N248="SIM",VLOOKUP($I248&amp;$J248&amp;N$1,Pesos!$A:$I,7,FALSE),VLOOKUP($I248&amp;$J248&amp;N$1,Pesos!$A:$I,9,FALSE)))</f>
        <v>-5.000000000000001E-3</v>
      </c>
      <c r="AM248" s="154">
        <f>IF(O248="","",IF(O248="SIM",VLOOKUP($I248&amp;$J248&amp;O$1,Pesos!$A:$I,7,FALSE),VLOOKUP($I248&amp;$J248&amp;O$1,Pesos!$A:$I,9,FALSE)))</f>
        <v>0.1</v>
      </c>
      <c r="AN248" s="154">
        <f>IF(P248="","",IF(P248="SIM",VLOOKUP($I248&amp;$J248&amp;P$1,Pesos!$A:$I,7,FALSE),VLOOKUP($I248&amp;$J248&amp;P$1,Pesos!$A:$I,9,FALSE)))</f>
        <v>0.1</v>
      </c>
      <c r="AO248" s="154">
        <f>IF(Q248="","",IF(Q248="SIM",VLOOKUP($I248&amp;$J248&amp;Q$1,Pesos!$A:$I,7,FALSE),VLOOKUP($I248&amp;$J248&amp;Q$1,Pesos!$A:$I,9,FALSE)))</f>
        <v>2</v>
      </c>
      <c r="AP248" s="154">
        <f>IF(R248="","",IF(R248="SIM",VLOOKUP($I248&amp;$J248&amp;R$1,Pesos!$A:$I,7,FALSE),VLOOKUP($I248&amp;$J248&amp;R$1,Pesos!$A:$I,9,FALSE)))</f>
        <v>1.03</v>
      </c>
      <c r="AQ248" s="154">
        <f>IF(S248="","",IF(S248="SIM",VLOOKUP($I248&amp;$J248&amp;S$1,Pesos!$A:$I,7,FALSE),VLOOKUP($I248&amp;$J248&amp;S$1,Pesos!$A:$I,9,FALSE)))</f>
        <v>1.3</v>
      </c>
      <c r="AR248" s="156">
        <f>IF(T248="","",IF(T248="SIM",VLOOKUP($I248&amp;$J248&amp;T$1,Pesos!$A:$I,7,FALSE),VLOOKUP($I248&amp;$J248&amp;T$1,Pesos!$A:$I,9,FALSE)))</f>
        <v>-6.5000000000000002E-2</v>
      </c>
      <c r="AS248" s="132">
        <f>IF(U248="","",IF(U248="SIM",VLOOKUP($I248&amp;$J248&amp;U$1,Pesos!$A:$I,7,FALSE),VLOOKUP($I248&amp;$J248&amp;U$1,Pesos!$A:$I,9,FALSE)))</f>
        <v>-6.6000000000000003E-2</v>
      </c>
      <c r="AT248" s="132">
        <f>IF(V248="","",IF(V248="SIM",VLOOKUP($I248&amp;$J248&amp;V$1,Pesos!$A:$I,7,FALSE),VLOOKUP($I248&amp;$J248&amp;V$1,Pesos!$A:$I,9,FALSE)))</f>
        <v>1.4039999999999999</v>
      </c>
      <c r="AU248" s="132">
        <f>IF(W248="","",IF(W248="SIM",VLOOKUP($I248&amp;$J248&amp;W$1,Pesos!$A:$I,7,FALSE),VLOOKUP($I248&amp;$J248&amp;W$1,Pesos!$A:$I,9,FALSE)))</f>
        <v>0.3</v>
      </c>
      <c r="AV248" s="132">
        <f>IF(X248="","",IF(X248="SIM",VLOOKUP($I248&amp;$J248&amp;X$1,Pesos!$A:$I,7,FALSE),VLOOKUP($I248&amp;$J248&amp;X$1,Pesos!$A:$I,9,FALSE)))</f>
        <v>0.3</v>
      </c>
      <c r="AW248" s="132">
        <f>IF(Y248="","",IF(Y248="SIM",VLOOKUP($I248&amp;$J248&amp;Y$1,Pesos!$A:$I,7,FALSE),VLOOKUP($I248&amp;$J248&amp;Y$1,Pesos!$A:$I,9,FALSE)))</f>
        <v>0.15</v>
      </c>
      <c r="AX248" s="132">
        <f>IF(Z248="","",IF(Z248="SIM",VLOOKUP($I248&amp;$J248&amp;Z$1,Pesos!$A:$I,7,FALSE),VLOOKUP($I248&amp;$J248&amp;Z$1,Pesos!$A:$I,9,FALSE)))</f>
        <v>0.2</v>
      </c>
      <c r="AY248" s="132">
        <f>IF(AA248="","",IF(AA248="SIM",VLOOKUP($I248&amp;$J248&amp;AA$1,Pesos!$A:$I,7,FALSE),VLOOKUP($I248&amp;$J248&amp;AA$1,Pesos!$A:$I,9,FALSE)))</f>
        <v>0.3</v>
      </c>
      <c r="AZ248" s="132">
        <f>IF(AB248="","",IF(AB248="SIM",VLOOKUP($I248&amp;$J248&amp;AB$1,Pesos!$A:$I,7,FALSE),VLOOKUP($I248&amp;$J248&amp;AB$1,Pesos!$A:$I,9,FALSE)))</f>
        <v>0.1</v>
      </c>
      <c r="BA248" s="132" t="str">
        <f>IF(AC248="","",IF(AC248="SIM",VLOOKUP($I248&amp;$J248&amp;AC$1,Pesos!$A:$I,7,FALSE),VLOOKUP($I248&amp;$J248&amp;AC$1,Pesos!$A:$I,9,FALSE)))</f>
        <v/>
      </c>
      <c r="BB248" s="132" t="str">
        <f>IF(AD248="","",IF(AD248="SIM",VLOOKUP($I248&amp;$J248&amp;AD$1,Pesos!$A:$I,7,FALSE),VLOOKUP($I248&amp;$J248&amp;AD$1,Pesos!$A:$I,9,FALSE)))</f>
        <v/>
      </c>
      <c r="BC248" s="132" t="str">
        <f>IF(AE248="","",IF(AE248="SIM",VLOOKUP($I248&amp;$J248&amp;AE$1,Pesos!$A:$I,7,FALSE),VLOOKUP($I248&amp;$J248&amp;AE$1,Pesos!$A:$I,9,FALSE)))</f>
        <v/>
      </c>
      <c r="BD248" s="158">
        <f>IFERROR(AF248*VLOOKUP(J248,'BD Campos'!$X$1:$Y$14,2,FALSE),"0")</f>
        <v>7.1479999999999988</v>
      </c>
    </row>
    <row r="249" spans="1:56">
      <c r="A249" s="151" t="str">
        <f t="shared" si="15"/>
        <v>Jan11433Motorista 2TRANSFERÊNCIA</v>
      </c>
      <c r="B249" s="149" t="str">
        <f t="shared" si="16"/>
        <v>Jan114332TRANSFERÊNCIAPADRÃO</v>
      </c>
      <c r="C249" s="152">
        <v>1</v>
      </c>
      <c r="D249" s="153">
        <v>46059.430402430553</v>
      </c>
      <c r="E249" s="154" t="s">
        <v>12</v>
      </c>
      <c r="F249" s="155">
        <v>11433</v>
      </c>
      <c r="G249" s="149" t="s">
        <v>460</v>
      </c>
      <c r="H249" s="154">
        <v>2</v>
      </c>
      <c r="I249" s="149" t="s">
        <v>130</v>
      </c>
      <c r="J249" s="149" t="s">
        <v>97</v>
      </c>
      <c r="K249" s="149" t="s">
        <v>192</v>
      </c>
      <c r="L249" s="156">
        <v>34761423</v>
      </c>
      <c r="M249" s="157" t="s">
        <v>462</v>
      </c>
      <c r="N249" s="131" t="s">
        <v>17</v>
      </c>
      <c r="O249" s="131" t="s">
        <v>17</v>
      </c>
      <c r="P249" s="131" t="s">
        <v>17</v>
      </c>
      <c r="Q249" s="131" t="s">
        <v>17</v>
      </c>
      <c r="R249" s="131" t="s">
        <v>17</v>
      </c>
      <c r="S249" s="131" t="s">
        <v>17</v>
      </c>
      <c r="T249" s="131" t="s">
        <v>18</v>
      </c>
      <c r="U249" s="131" t="s">
        <v>18</v>
      </c>
      <c r="V249" s="131" t="s">
        <v>18</v>
      </c>
      <c r="W249" s="131" t="s">
        <v>17</v>
      </c>
      <c r="X249" s="131" t="s">
        <v>17</v>
      </c>
      <c r="Y249" s="131" t="s">
        <v>17</v>
      </c>
      <c r="Z249" s="131" t="s">
        <v>17</v>
      </c>
      <c r="AA249" s="131" t="s">
        <v>17</v>
      </c>
      <c r="AB249" s="131" t="s">
        <v>17</v>
      </c>
      <c r="AC249" s="131"/>
      <c r="AD249" s="131"/>
      <c r="AE249" s="131"/>
      <c r="AF249" s="158">
        <f t="shared" si="18"/>
        <v>5.7787999999999995</v>
      </c>
      <c r="AG249" s="159"/>
      <c r="AH249" s="155" t="s">
        <v>463</v>
      </c>
      <c r="AI249" s="155" t="s">
        <v>83</v>
      </c>
      <c r="AJ249" s="131" t="str">
        <f>IFERROR(VLOOKUP(E249&amp;F249,'Listagem dos op'!A:S,19,0),"")</f>
        <v/>
      </c>
      <c r="AK249" s="131" t="str">
        <f t="shared" si="17"/>
        <v>Jan11433</v>
      </c>
      <c r="AL249" s="154">
        <f>IF(N249="","",IF(N249="SIM",VLOOKUP($I249&amp;$J249&amp;N$1,Pesos!$A:$I,7,FALSE),VLOOKUP($I249&amp;$J249&amp;N$1,Pesos!$A:$I,9,FALSE)))</f>
        <v>0.1</v>
      </c>
      <c r="AM249" s="154">
        <f>IF(O249="","",IF(O249="SIM",VLOOKUP($I249&amp;$J249&amp;O$1,Pesos!$A:$I,7,FALSE),VLOOKUP($I249&amp;$J249&amp;O$1,Pesos!$A:$I,9,FALSE)))</f>
        <v>0.1</v>
      </c>
      <c r="AN249" s="154">
        <f>IF(P249="","",IF(P249="SIM",VLOOKUP($I249&amp;$J249&amp;P$1,Pesos!$A:$I,7,FALSE),VLOOKUP($I249&amp;$J249&amp;P$1,Pesos!$A:$I,9,FALSE)))</f>
        <v>0.1</v>
      </c>
      <c r="AO249" s="154">
        <f>IF(Q249="","",IF(Q249="SIM",VLOOKUP($I249&amp;$J249&amp;Q$1,Pesos!$A:$I,7,FALSE),VLOOKUP($I249&amp;$J249&amp;Q$1,Pesos!$A:$I,9,FALSE)))</f>
        <v>2</v>
      </c>
      <c r="AP249" s="154">
        <f>IF(R249="","",IF(R249="SIM",VLOOKUP($I249&amp;$J249&amp;R$1,Pesos!$A:$I,7,FALSE),VLOOKUP($I249&amp;$J249&amp;R$1,Pesos!$A:$I,9,FALSE)))</f>
        <v>1.03</v>
      </c>
      <c r="AQ249" s="154">
        <f>IF(S249="","",IF(S249="SIM",VLOOKUP($I249&amp;$J249&amp;S$1,Pesos!$A:$I,7,FALSE),VLOOKUP($I249&amp;$J249&amp;S$1,Pesos!$A:$I,9,FALSE)))</f>
        <v>1.3</v>
      </c>
      <c r="AR249" s="156">
        <f>IF(T249="","",IF(T249="SIM",VLOOKUP($I249&amp;$J249&amp;T$1,Pesos!$A:$I,7,FALSE),VLOOKUP($I249&amp;$J249&amp;T$1,Pesos!$A:$I,9,FALSE)))</f>
        <v>-6.5000000000000002E-2</v>
      </c>
      <c r="AS249" s="132">
        <f>IF(U249="","",IF(U249="SIM",VLOOKUP($I249&amp;$J249&amp;U$1,Pesos!$A:$I,7,FALSE),VLOOKUP($I249&amp;$J249&amp;U$1,Pesos!$A:$I,9,FALSE)))</f>
        <v>-6.6000000000000003E-2</v>
      </c>
      <c r="AT249" s="132">
        <f>IF(V249="","",IF(V249="SIM",VLOOKUP($I249&amp;$J249&amp;V$1,Pesos!$A:$I,7,FALSE),VLOOKUP($I249&amp;$J249&amp;V$1,Pesos!$A:$I,9,FALSE)))</f>
        <v>-7.0199999999999999E-2</v>
      </c>
      <c r="AU249" s="132">
        <f>IF(W249="","",IF(W249="SIM",VLOOKUP($I249&amp;$J249&amp;W$1,Pesos!$A:$I,7,FALSE),VLOOKUP($I249&amp;$J249&amp;W$1,Pesos!$A:$I,9,FALSE)))</f>
        <v>0.3</v>
      </c>
      <c r="AV249" s="132">
        <f>IF(X249="","",IF(X249="SIM",VLOOKUP($I249&amp;$J249&amp;X$1,Pesos!$A:$I,7,FALSE),VLOOKUP($I249&amp;$J249&amp;X$1,Pesos!$A:$I,9,FALSE)))</f>
        <v>0.3</v>
      </c>
      <c r="AW249" s="132">
        <f>IF(Y249="","",IF(Y249="SIM",VLOOKUP($I249&amp;$J249&amp;Y$1,Pesos!$A:$I,7,FALSE),VLOOKUP($I249&amp;$J249&amp;Y$1,Pesos!$A:$I,9,FALSE)))</f>
        <v>0.15</v>
      </c>
      <c r="AX249" s="132">
        <f>IF(Z249="","",IF(Z249="SIM",VLOOKUP($I249&amp;$J249&amp;Z$1,Pesos!$A:$I,7,FALSE),VLOOKUP($I249&amp;$J249&amp;Z$1,Pesos!$A:$I,9,FALSE)))</f>
        <v>0.2</v>
      </c>
      <c r="AY249" s="132">
        <f>IF(AA249="","",IF(AA249="SIM",VLOOKUP($I249&amp;$J249&amp;AA$1,Pesos!$A:$I,7,FALSE),VLOOKUP($I249&amp;$J249&amp;AA$1,Pesos!$A:$I,9,FALSE)))</f>
        <v>0.3</v>
      </c>
      <c r="AZ249" s="132">
        <f>IF(AB249="","",IF(AB249="SIM",VLOOKUP($I249&amp;$J249&amp;AB$1,Pesos!$A:$I,7,FALSE),VLOOKUP($I249&amp;$J249&amp;AB$1,Pesos!$A:$I,9,FALSE)))</f>
        <v>0.1</v>
      </c>
      <c r="BA249" s="132" t="str">
        <f>IF(AC249="","",IF(AC249="SIM",VLOOKUP($I249&amp;$J249&amp;AC$1,Pesos!$A:$I,7,FALSE),VLOOKUP($I249&amp;$J249&amp;AC$1,Pesos!$A:$I,9,FALSE)))</f>
        <v/>
      </c>
      <c r="BB249" s="132" t="str">
        <f>IF(AD249="","",IF(AD249="SIM",VLOOKUP($I249&amp;$J249&amp;AD$1,Pesos!$A:$I,7,FALSE),VLOOKUP($I249&amp;$J249&amp;AD$1,Pesos!$A:$I,9,FALSE)))</f>
        <v/>
      </c>
      <c r="BC249" s="132" t="str">
        <f>IF(AE249="","",IF(AE249="SIM",VLOOKUP($I249&amp;$J249&amp;AE$1,Pesos!$A:$I,7,FALSE),VLOOKUP($I249&amp;$J249&amp;AE$1,Pesos!$A:$I,9,FALSE)))</f>
        <v/>
      </c>
      <c r="BD249" s="158">
        <f>IFERROR(AF249*VLOOKUP(J249,'BD Campos'!$X$1:$Y$14,2,FALSE),"0")</f>
        <v>5.7787999999999995</v>
      </c>
    </row>
    <row r="250" spans="1:56">
      <c r="A250" s="151" t="str">
        <f t="shared" si="15"/>
        <v>Jan11460MotoristaTRANSFERÊNCIA</v>
      </c>
      <c r="B250" s="149" t="str">
        <f t="shared" si="16"/>
        <v>Jan114601TRANSFERÊNCIAPADRÃO</v>
      </c>
      <c r="C250" s="152">
        <v>1</v>
      </c>
      <c r="D250" s="153">
        <v>46059.59877222222</v>
      </c>
      <c r="E250" s="154" t="s">
        <v>12</v>
      </c>
      <c r="F250" s="155">
        <v>11460</v>
      </c>
      <c r="G250" s="149" t="s">
        <v>464</v>
      </c>
      <c r="H250" s="154">
        <v>1</v>
      </c>
      <c r="I250" s="149" t="s">
        <v>96</v>
      </c>
      <c r="J250" s="149" t="s">
        <v>93</v>
      </c>
      <c r="K250" s="149" t="s">
        <v>192</v>
      </c>
      <c r="L250" s="156">
        <v>34548131</v>
      </c>
      <c r="M250" s="157">
        <v>2.1296296296296298E-3</v>
      </c>
      <c r="N250" s="131" t="s">
        <v>17</v>
      </c>
      <c r="O250" s="131" t="s">
        <v>17</v>
      </c>
      <c r="P250" s="131" t="s">
        <v>17</v>
      </c>
      <c r="Q250" s="131" t="s">
        <v>17</v>
      </c>
      <c r="R250" s="131" t="s">
        <v>17</v>
      </c>
      <c r="S250" s="131" t="s">
        <v>17</v>
      </c>
      <c r="T250" s="131" t="s">
        <v>17</v>
      </c>
      <c r="U250" s="131" t="s">
        <v>17</v>
      </c>
      <c r="V250" s="131" t="s">
        <v>18</v>
      </c>
      <c r="W250" s="131" t="s">
        <v>18</v>
      </c>
      <c r="X250" s="131" t="s">
        <v>17</v>
      </c>
      <c r="Y250" s="131" t="s">
        <v>17</v>
      </c>
      <c r="Z250" s="131" t="s">
        <v>17</v>
      </c>
      <c r="AA250" s="131" t="s">
        <v>17</v>
      </c>
      <c r="AB250" s="131" t="s">
        <v>17</v>
      </c>
      <c r="AC250" s="131"/>
      <c r="AD250" s="131"/>
      <c r="AE250" s="131"/>
      <c r="AF250" s="158">
        <f t="shared" si="18"/>
        <v>8.5824999999999996</v>
      </c>
      <c r="AG250" s="159"/>
      <c r="AH250" s="155" t="s">
        <v>465</v>
      </c>
      <c r="AI250" s="155" t="s">
        <v>83</v>
      </c>
      <c r="AJ250" s="131" t="str">
        <f>IFERROR(VLOOKUP(E250&amp;F250,'Listagem dos op'!A:S,19,0),"")</f>
        <v/>
      </c>
      <c r="AK250" s="131" t="str">
        <f t="shared" si="17"/>
        <v>Jan11460</v>
      </c>
      <c r="AL250" s="154">
        <f>IF(N250="","",IF(N250="SIM",VLOOKUP($I250&amp;$J250&amp;N$1,Pesos!$A:$I,7,FALSE),VLOOKUP($I250&amp;$J250&amp;N$1,Pesos!$A:$I,9,FALSE)))</f>
        <v>0.1</v>
      </c>
      <c r="AM250" s="154">
        <f>IF(O250="","",IF(O250="SIM",VLOOKUP($I250&amp;$J250&amp;O$1,Pesos!$A:$I,7,FALSE),VLOOKUP($I250&amp;$J250&amp;O$1,Pesos!$A:$I,9,FALSE)))</f>
        <v>0.1</v>
      </c>
      <c r="AN250" s="154">
        <f>IF(P250="","",IF(P250="SIM",VLOOKUP($I250&amp;$J250&amp;P$1,Pesos!$A:$I,7,FALSE),VLOOKUP($I250&amp;$J250&amp;P$1,Pesos!$A:$I,9,FALSE)))</f>
        <v>0.1</v>
      </c>
      <c r="AO250" s="154">
        <f>IF(Q250="","",IF(Q250="SIM",VLOOKUP($I250&amp;$J250&amp;Q$1,Pesos!$A:$I,7,FALSE),VLOOKUP($I250&amp;$J250&amp;Q$1,Pesos!$A:$I,9,FALSE)))</f>
        <v>2</v>
      </c>
      <c r="AP250" s="154">
        <f>IF(R250="","",IF(R250="SIM",VLOOKUP($I250&amp;$J250&amp;R$1,Pesos!$A:$I,7,FALSE),VLOOKUP($I250&amp;$J250&amp;R$1,Pesos!$A:$I,9,FALSE)))</f>
        <v>1.03</v>
      </c>
      <c r="AQ250" s="154">
        <f>IF(S250="","",IF(S250="SIM",VLOOKUP($I250&amp;$J250&amp;S$1,Pesos!$A:$I,7,FALSE),VLOOKUP($I250&amp;$J250&amp;S$1,Pesos!$A:$I,9,FALSE)))</f>
        <v>1.22</v>
      </c>
      <c r="AR250" s="156">
        <f>IF(T250="","",IF(T250="SIM",VLOOKUP($I250&amp;$J250&amp;T$1,Pesos!$A:$I,7,FALSE),VLOOKUP($I250&amp;$J250&amp;T$1,Pesos!$A:$I,9,FALSE)))</f>
        <v>2</v>
      </c>
      <c r="AS250" s="132">
        <f>IF(U250="","",IF(U250="SIM",VLOOKUP($I250&amp;$J250&amp;U$1,Pesos!$A:$I,7,FALSE),VLOOKUP($I250&amp;$J250&amp;U$1,Pesos!$A:$I,9,FALSE)))</f>
        <v>1.05</v>
      </c>
      <c r="AT250" s="132">
        <f>IF(V250="","",IF(V250="SIM",VLOOKUP($I250&amp;$J250&amp;V$1,Pesos!$A:$I,7,FALSE),VLOOKUP($I250&amp;$J250&amp;V$1,Pesos!$A:$I,9,FALSE)))</f>
        <v>-5.2500000000000005E-2</v>
      </c>
      <c r="AU250" s="132">
        <f>IF(W250="","",IF(W250="SIM",VLOOKUP($I250&amp;$J250&amp;W$1,Pesos!$A:$I,7,FALSE),VLOOKUP($I250&amp;$J250&amp;W$1,Pesos!$A:$I,9,FALSE)))</f>
        <v>-1.4999999999999999E-2</v>
      </c>
      <c r="AV250" s="132">
        <f>IF(X250="","",IF(X250="SIM",VLOOKUP($I250&amp;$J250&amp;X$1,Pesos!$A:$I,7,FALSE),VLOOKUP($I250&amp;$J250&amp;X$1,Pesos!$A:$I,9,FALSE)))</f>
        <v>0.3</v>
      </c>
      <c r="AW250" s="132">
        <f>IF(Y250="","",IF(Y250="SIM",VLOOKUP($I250&amp;$J250&amp;Y$1,Pesos!$A:$I,7,FALSE),VLOOKUP($I250&amp;$J250&amp;Y$1,Pesos!$A:$I,9,FALSE)))</f>
        <v>0.15</v>
      </c>
      <c r="AX250" s="132">
        <f>IF(Z250="","",IF(Z250="SIM",VLOOKUP($I250&amp;$J250&amp;Z$1,Pesos!$A:$I,7,FALSE),VLOOKUP($I250&amp;$J250&amp;Z$1,Pesos!$A:$I,9,FALSE)))</f>
        <v>0.2</v>
      </c>
      <c r="AY250" s="132">
        <f>IF(AA250="","",IF(AA250="SIM",VLOOKUP($I250&amp;$J250&amp;AA$1,Pesos!$A:$I,7,FALSE),VLOOKUP($I250&amp;$J250&amp;AA$1,Pesos!$A:$I,9,FALSE)))</f>
        <v>0.3</v>
      </c>
      <c r="AZ250" s="132">
        <f>IF(AB250="","",IF(AB250="SIM",VLOOKUP($I250&amp;$J250&amp;AB$1,Pesos!$A:$I,7,FALSE),VLOOKUP($I250&amp;$J250&amp;AB$1,Pesos!$A:$I,9,FALSE)))</f>
        <v>0.1</v>
      </c>
      <c r="BA250" s="132" t="str">
        <f>IF(AC250="","",IF(AC250="SIM",VLOOKUP($I250&amp;$J250&amp;AC$1,Pesos!$A:$I,7,FALSE),VLOOKUP($I250&amp;$J250&amp;AC$1,Pesos!$A:$I,9,FALSE)))</f>
        <v/>
      </c>
      <c r="BB250" s="132" t="str">
        <f>IF(AD250="","",IF(AD250="SIM",VLOOKUP($I250&amp;$J250&amp;AD$1,Pesos!$A:$I,7,FALSE),VLOOKUP($I250&amp;$J250&amp;AD$1,Pesos!$A:$I,9,FALSE)))</f>
        <v/>
      </c>
      <c r="BC250" s="132" t="str">
        <f>IF(AE250="","",IF(AE250="SIM",VLOOKUP($I250&amp;$J250&amp;AE$1,Pesos!$A:$I,7,FALSE),VLOOKUP($I250&amp;$J250&amp;AE$1,Pesos!$A:$I,9,FALSE)))</f>
        <v/>
      </c>
      <c r="BD250" s="158">
        <f>IFERROR(AF250*VLOOKUP(J250,'BD Campos'!$X$1:$Y$14,2,FALSE),"0")</f>
        <v>8.5824999999999996</v>
      </c>
    </row>
    <row r="251" spans="1:56">
      <c r="A251" s="151" t="str">
        <f t="shared" si="15"/>
        <v>Jan11460Motorista 2TRANSFERÊNCIA</v>
      </c>
      <c r="B251" s="149" t="str">
        <f t="shared" si="16"/>
        <v>Jan114602TRANSFERÊNCIAPADRÃO</v>
      </c>
      <c r="C251" s="152">
        <v>1</v>
      </c>
      <c r="D251" s="153">
        <v>46059.601246527774</v>
      </c>
      <c r="E251" s="154" t="s">
        <v>12</v>
      </c>
      <c r="F251" s="155">
        <v>11460</v>
      </c>
      <c r="G251" s="149" t="s">
        <v>464</v>
      </c>
      <c r="H251" s="154">
        <v>2</v>
      </c>
      <c r="I251" s="149" t="s">
        <v>92</v>
      </c>
      <c r="J251" s="149" t="s">
        <v>97</v>
      </c>
      <c r="K251" s="149" t="s">
        <v>192</v>
      </c>
      <c r="L251" s="156">
        <v>34819857</v>
      </c>
      <c r="M251" s="157">
        <v>2.1180555555555553E-3</v>
      </c>
      <c r="N251" s="131" t="s">
        <v>17</v>
      </c>
      <c r="O251" s="131" t="s">
        <v>17</v>
      </c>
      <c r="P251" s="131" t="s">
        <v>17</v>
      </c>
      <c r="Q251" s="131" t="s">
        <v>17</v>
      </c>
      <c r="R251" s="131" t="s">
        <v>17</v>
      </c>
      <c r="S251" s="131" t="s">
        <v>17</v>
      </c>
      <c r="T251" s="131" t="s">
        <v>17</v>
      </c>
      <c r="U251" s="131" t="s">
        <v>17</v>
      </c>
      <c r="V251" s="131" t="s">
        <v>17</v>
      </c>
      <c r="W251" s="131" t="s">
        <v>17</v>
      </c>
      <c r="X251" s="131" t="s">
        <v>17</v>
      </c>
      <c r="Y251" s="131" t="s">
        <v>17</v>
      </c>
      <c r="Z251" s="131" t="s">
        <v>17</v>
      </c>
      <c r="AA251" s="131" t="s">
        <v>17</v>
      </c>
      <c r="AB251" s="131"/>
      <c r="AC251" s="131"/>
      <c r="AD251" s="131"/>
      <c r="AE251" s="131"/>
      <c r="AF251" s="158">
        <f t="shared" si="18"/>
        <v>10.000000000000002</v>
      </c>
      <c r="AG251" s="159"/>
      <c r="AH251" s="155" t="s">
        <v>466</v>
      </c>
      <c r="AI251" s="155" t="s">
        <v>83</v>
      </c>
      <c r="AJ251" s="131" t="str">
        <f>IFERROR(VLOOKUP(E251&amp;F251,'Listagem dos op'!A:S,19,0),"")</f>
        <v/>
      </c>
      <c r="AK251" s="131" t="str">
        <f t="shared" si="17"/>
        <v>Jan11460</v>
      </c>
      <c r="AL251" s="154">
        <f>IF(N251="","",IF(N251="SIM",VLOOKUP($I251&amp;$J251&amp;N$1,Pesos!$A:$I,7,FALSE),VLOOKUP($I251&amp;$J251&amp;N$1,Pesos!$A:$I,9,FALSE)))</f>
        <v>0.1</v>
      </c>
      <c r="AM251" s="154">
        <f>IF(O251="","",IF(O251="SIM",VLOOKUP($I251&amp;$J251&amp;O$1,Pesos!$A:$I,7,FALSE),VLOOKUP($I251&amp;$J251&amp;O$1,Pesos!$A:$I,9,FALSE)))</f>
        <v>0.1</v>
      </c>
      <c r="AN251" s="154">
        <f>IF(P251="","",IF(P251="SIM",VLOOKUP($I251&amp;$J251&amp;P$1,Pesos!$A:$I,7,FALSE),VLOOKUP($I251&amp;$J251&amp;P$1,Pesos!$A:$I,9,FALSE)))</f>
        <v>0.1</v>
      </c>
      <c r="AO251" s="154">
        <f>IF(Q251="","",IF(Q251="SIM",VLOOKUP($I251&amp;$J251&amp;Q$1,Pesos!$A:$I,7,FALSE),VLOOKUP($I251&amp;$J251&amp;Q$1,Pesos!$A:$I,9,FALSE)))</f>
        <v>2</v>
      </c>
      <c r="AP251" s="154">
        <f>IF(R251="","",IF(R251="SIM",VLOOKUP($I251&amp;$J251&amp;R$1,Pesos!$A:$I,7,FALSE),VLOOKUP($I251&amp;$J251&amp;R$1,Pesos!$A:$I,9,FALSE)))</f>
        <v>1.03</v>
      </c>
      <c r="AQ251" s="154">
        <f>IF(S251="","",IF(S251="SIM",VLOOKUP($I251&amp;$J251&amp;S$1,Pesos!$A:$I,7,FALSE),VLOOKUP($I251&amp;$J251&amp;S$1,Pesos!$A:$I,9,FALSE)))</f>
        <v>1.7000000000000002</v>
      </c>
      <c r="AR251" s="156">
        <f>IF(T251="","",IF(T251="SIM",VLOOKUP($I251&amp;$J251&amp;T$1,Pesos!$A:$I,7,FALSE),VLOOKUP($I251&amp;$J251&amp;T$1,Pesos!$A:$I,9,FALSE)))</f>
        <v>1.92</v>
      </c>
      <c r="AS251" s="132">
        <f>IF(U251="","",IF(U251="SIM",VLOOKUP($I251&amp;$J251&amp;U$1,Pesos!$A:$I,7,FALSE),VLOOKUP($I251&amp;$J251&amp;U$1,Pesos!$A:$I,9,FALSE)))</f>
        <v>1.7000000000000002</v>
      </c>
      <c r="AT251" s="132">
        <f>IF(V251="","",IF(V251="SIM",VLOOKUP($I251&amp;$J251&amp;V$1,Pesos!$A:$I,7,FALSE),VLOOKUP($I251&amp;$J251&amp;V$1,Pesos!$A:$I,9,FALSE)))</f>
        <v>0.3</v>
      </c>
      <c r="AU251" s="132">
        <f>IF(W251="","",IF(W251="SIM",VLOOKUP($I251&amp;$J251&amp;W$1,Pesos!$A:$I,7,FALSE),VLOOKUP($I251&amp;$J251&amp;W$1,Pesos!$A:$I,9,FALSE)))</f>
        <v>0.3</v>
      </c>
      <c r="AV251" s="132">
        <f>IF(X251="","",IF(X251="SIM",VLOOKUP($I251&amp;$J251&amp;X$1,Pesos!$A:$I,7,FALSE),VLOOKUP($I251&amp;$J251&amp;X$1,Pesos!$A:$I,9,FALSE)))</f>
        <v>0.15</v>
      </c>
      <c r="AW251" s="132">
        <f>IF(Y251="","",IF(Y251="SIM",VLOOKUP($I251&amp;$J251&amp;Y$1,Pesos!$A:$I,7,FALSE),VLOOKUP($I251&amp;$J251&amp;Y$1,Pesos!$A:$I,9,FALSE)))</f>
        <v>0.2</v>
      </c>
      <c r="AX251" s="132">
        <f>IF(Z251="","",IF(Z251="SIM",VLOOKUP($I251&amp;$J251&amp;Z$1,Pesos!$A:$I,7,FALSE),VLOOKUP($I251&amp;$J251&amp;Z$1,Pesos!$A:$I,9,FALSE)))</f>
        <v>0.3</v>
      </c>
      <c r="AY251" s="132">
        <f>IF(AA251="","",IF(AA251="SIM",VLOOKUP($I251&amp;$J251&amp;AA$1,Pesos!$A:$I,7,FALSE),VLOOKUP($I251&amp;$J251&amp;AA$1,Pesos!$A:$I,9,FALSE)))</f>
        <v>0.1</v>
      </c>
      <c r="AZ251" s="132" t="str">
        <f>IF(AB251="","",IF(AB251="SIM",VLOOKUP($I251&amp;$J251&amp;AB$1,Pesos!$A:$I,7,FALSE),VLOOKUP($I251&amp;$J251&amp;AB$1,Pesos!$A:$I,9,FALSE)))</f>
        <v/>
      </c>
      <c r="BA251" s="132" t="str">
        <f>IF(AC251="","",IF(AC251="SIM",VLOOKUP($I251&amp;$J251&amp;AC$1,Pesos!$A:$I,7,FALSE),VLOOKUP($I251&amp;$J251&amp;AC$1,Pesos!$A:$I,9,FALSE)))</f>
        <v/>
      </c>
      <c r="BB251" s="132" t="str">
        <f>IF(AD251="","",IF(AD251="SIM",VLOOKUP($I251&amp;$J251&amp;AD$1,Pesos!$A:$I,7,FALSE),VLOOKUP($I251&amp;$J251&amp;AD$1,Pesos!$A:$I,9,FALSE)))</f>
        <v/>
      </c>
      <c r="BC251" s="132" t="str">
        <f>IF(AE251="","",IF(AE251="SIM",VLOOKUP($I251&amp;$J251&amp;AE$1,Pesos!$A:$I,7,FALSE),VLOOKUP($I251&amp;$J251&amp;AE$1,Pesos!$A:$I,9,FALSE)))</f>
        <v/>
      </c>
      <c r="BD251" s="158">
        <f>IFERROR(AF251*VLOOKUP(J251,'BD Campos'!$X$1:$Y$14,2,FALSE),"0")</f>
        <v>10.000000000000002</v>
      </c>
    </row>
    <row r="252" spans="1:56">
      <c r="A252" s="151" t="str">
        <f t="shared" si="15"/>
        <v>Jan11466MotoristaTRANSFERÊNCIA</v>
      </c>
      <c r="B252" s="149" t="str">
        <f t="shared" si="16"/>
        <v>Jan114661TRANSFERÊNCIAPADRÃO</v>
      </c>
      <c r="C252" s="152">
        <v>1</v>
      </c>
      <c r="D252" s="153">
        <v>46059.609589236112</v>
      </c>
      <c r="E252" s="154" t="s">
        <v>12</v>
      </c>
      <c r="F252" s="155">
        <v>11466</v>
      </c>
      <c r="G252" s="149" t="s">
        <v>467</v>
      </c>
      <c r="H252" s="154">
        <v>1</v>
      </c>
      <c r="I252" s="149" t="s">
        <v>133</v>
      </c>
      <c r="J252" s="149" t="s">
        <v>93</v>
      </c>
      <c r="K252" s="149" t="s">
        <v>192</v>
      </c>
      <c r="L252" s="156">
        <v>34525203</v>
      </c>
      <c r="M252" s="157">
        <v>3.3333333333333335E-3</v>
      </c>
      <c r="N252" s="131"/>
      <c r="O252" s="131"/>
      <c r="P252" s="131"/>
      <c r="Q252" s="131"/>
      <c r="R252" s="131"/>
      <c r="S252" s="131"/>
      <c r="T252" s="131"/>
      <c r="U252" s="131"/>
      <c r="V252" s="131"/>
      <c r="W252" s="131"/>
      <c r="X252" s="131"/>
      <c r="Y252" s="131"/>
      <c r="Z252" s="131"/>
      <c r="AA252" s="131"/>
      <c r="AB252" s="131"/>
      <c r="AC252" s="131"/>
      <c r="AD252" s="131"/>
      <c r="AE252" s="131"/>
      <c r="AF252" s="158">
        <f t="shared" si="18"/>
        <v>0</v>
      </c>
      <c r="AG252" s="159" t="s">
        <v>101</v>
      </c>
      <c r="AH252" s="155" t="s">
        <v>468</v>
      </c>
      <c r="AI252" s="155" t="s">
        <v>83</v>
      </c>
      <c r="AJ252" s="131" t="str">
        <f>IFERROR(VLOOKUP(E252&amp;F252,'Listagem dos op'!A:S,19,0),"")</f>
        <v/>
      </c>
      <c r="AK252" s="131" t="str">
        <f t="shared" si="17"/>
        <v>Jan11466</v>
      </c>
      <c r="AL252" s="154" t="str">
        <f>IF(N252="","",IF(N252="SIM",VLOOKUP($I252&amp;$J252&amp;N$1,Pesos!$A:$I,7,FALSE),VLOOKUP($I252&amp;$J252&amp;N$1,Pesos!$A:$I,9,FALSE)))</f>
        <v/>
      </c>
      <c r="AM252" s="154" t="str">
        <f>IF(O252="","",IF(O252="SIM",VLOOKUP($I252&amp;$J252&amp;O$1,Pesos!$A:$I,7,FALSE),VLOOKUP($I252&amp;$J252&amp;O$1,Pesos!$A:$I,9,FALSE)))</f>
        <v/>
      </c>
      <c r="AN252" s="154" t="str">
        <f>IF(P252="","",IF(P252="SIM",VLOOKUP($I252&amp;$J252&amp;P$1,Pesos!$A:$I,7,FALSE),VLOOKUP($I252&amp;$J252&amp;P$1,Pesos!$A:$I,9,FALSE)))</f>
        <v/>
      </c>
      <c r="AO252" s="154" t="str">
        <f>IF(Q252="","",IF(Q252="SIM",VLOOKUP($I252&amp;$J252&amp;Q$1,Pesos!$A:$I,7,FALSE),VLOOKUP($I252&amp;$J252&amp;Q$1,Pesos!$A:$I,9,FALSE)))</f>
        <v/>
      </c>
      <c r="AP252" s="154" t="str">
        <f>IF(R252="","",IF(R252="SIM",VLOOKUP($I252&amp;$J252&amp;R$1,Pesos!$A:$I,7,FALSE),VLOOKUP($I252&amp;$J252&amp;R$1,Pesos!$A:$I,9,FALSE)))</f>
        <v/>
      </c>
      <c r="AQ252" s="154" t="str">
        <f>IF(S252="","",IF(S252="SIM",VLOOKUP($I252&amp;$J252&amp;S$1,Pesos!$A:$I,7,FALSE),VLOOKUP($I252&amp;$J252&amp;S$1,Pesos!$A:$I,9,FALSE)))</f>
        <v/>
      </c>
      <c r="AR252" s="156" t="str">
        <f>IF(T252="","",IF(T252="SIM",VLOOKUP($I252&amp;$J252&amp;T$1,Pesos!$A:$I,7,FALSE),VLOOKUP($I252&amp;$J252&amp;T$1,Pesos!$A:$I,9,FALSE)))</f>
        <v/>
      </c>
      <c r="AS252" s="132" t="str">
        <f>IF(U252="","",IF(U252="SIM",VLOOKUP($I252&amp;$J252&amp;U$1,Pesos!$A:$I,7,FALSE),VLOOKUP($I252&amp;$J252&amp;U$1,Pesos!$A:$I,9,FALSE)))</f>
        <v/>
      </c>
      <c r="AT252" s="132" t="str">
        <f>IF(V252="","",IF(V252="SIM",VLOOKUP($I252&amp;$J252&amp;V$1,Pesos!$A:$I,7,FALSE),VLOOKUP($I252&amp;$J252&amp;V$1,Pesos!$A:$I,9,FALSE)))</f>
        <v/>
      </c>
      <c r="AU252" s="132" t="str">
        <f>IF(W252="","",IF(W252="SIM",VLOOKUP($I252&amp;$J252&amp;W$1,Pesos!$A:$I,7,FALSE),VLOOKUP($I252&amp;$J252&amp;W$1,Pesos!$A:$I,9,FALSE)))</f>
        <v/>
      </c>
      <c r="AV252" s="132" t="str">
        <f>IF(X252="","",IF(X252="SIM",VLOOKUP($I252&amp;$J252&amp;X$1,Pesos!$A:$I,7,FALSE),VLOOKUP($I252&amp;$J252&amp;X$1,Pesos!$A:$I,9,FALSE)))</f>
        <v/>
      </c>
      <c r="AW252" s="132" t="str">
        <f>IF(Y252="","",IF(Y252="SIM",VLOOKUP($I252&amp;$J252&amp;Y$1,Pesos!$A:$I,7,FALSE),VLOOKUP($I252&amp;$J252&amp;Y$1,Pesos!$A:$I,9,FALSE)))</f>
        <v/>
      </c>
      <c r="AX252" s="132" t="str">
        <f>IF(Z252="","",IF(Z252="SIM",VLOOKUP($I252&amp;$J252&amp;Z$1,Pesos!$A:$I,7,FALSE),VLOOKUP($I252&amp;$J252&amp;Z$1,Pesos!$A:$I,9,FALSE)))</f>
        <v/>
      </c>
      <c r="AY252" s="132" t="str">
        <f>IF(AA252="","",IF(AA252="SIM",VLOOKUP($I252&amp;$J252&amp;AA$1,Pesos!$A:$I,7,FALSE),VLOOKUP($I252&amp;$J252&amp;AA$1,Pesos!$A:$I,9,FALSE)))</f>
        <v/>
      </c>
      <c r="AZ252" s="132" t="str">
        <f>IF(AB252="","",IF(AB252="SIM",VLOOKUP($I252&amp;$J252&amp;AB$1,Pesos!$A:$I,7,FALSE),VLOOKUP($I252&amp;$J252&amp;AB$1,Pesos!$A:$I,9,FALSE)))</f>
        <v/>
      </c>
      <c r="BA252" s="132" t="str">
        <f>IF(AC252="","",IF(AC252="SIM",VLOOKUP($I252&amp;$J252&amp;AC$1,Pesos!$A:$I,7,FALSE),VLOOKUP($I252&amp;$J252&amp;AC$1,Pesos!$A:$I,9,FALSE)))</f>
        <v/>
      </c>
      <c r="BB252" s="132" t="str">
        <f>IF(AD252="","",IF(AD252="SIM",VLOOKUP($I252&amp;$J252&amp;AD$1,Pesos!$A:$I,7,FALSE),VLOOKUP($I252&amp;$J252&amp;AD$1,Pesos!$A:$I,9,FALSE)))</f>
        <v/>
      </c>
      <c r="BC252" s="132" t="str">
        <f>IF(AE252="","",IF(AE252="SIM",VLOOKUP($I252&amp;$J252&amp;AE$1,Pesos!$A:$I,7,FALSE),VLOOKUP($I252&amp;$J252&amp;AE$1,Pesos!$A:$I,9,FALSE)))</f>
        <v/>
      </c>
      <c r="BD252" s="158">
        <f>IFERROR(AF252*VLOOKUP(J252,'BD Campos'!$X$1:$Y$14,2,FALSE),"0")</f>
        <v>0</v>
      </c>
    </row>
    <row r="253" spans="1:56">
      <c r="A253" s="151" t="str">
        <f t="shared" si="15"/>
        <v>Jan11466Motorista 2TRANSFERÊNCIA</v>
      </c>
      <c r="B253" s="149" t="str">
        <f t="shared" si="16"/>
        <v>Jan114662TRANSFERÊNCIAPADRÃO</v>
      </c>
      <c r="C253" s="152">
        <v>1</v>
      </c>
      <c r="D253" s="153">
        <v>46059.631126157408</v>
      </c>
      <c r="E253" s="154" t="s">
        <v>12</v>
      </c>
      <c r="F253" s="155">
        <v>11466</v>
      </c>
      <c r="G253" s="149" t="s">
        <v>467</v>
      </c>
      <c r="H253" s="154">
        <v>2</v>
      </c>
      <c r="I253" s="149" t="s">
        <v>92</v>
      </c>
      <c r="J253" s="149" t="s">
        <v>97</v>
      </c>
      <c r="K253" s="149" t="s">
        <v>192</v>
      </c>
      <c r="L253" s="156">
        <v>34770442</v>
      </c>
      <c r="M253" s="157">
        <v>2.0254629629629629E-3</v>
      </c>
      <c r="N253" s="131" t="s">
        <v>18</v>
      </c>
      <c r="O253" s="131" t="s">
        <v>17</v>
      </c>
      <c r="P253" s="131" t="s">
        <v>17</v>
      </c>
      <c r="Q253" s="131" t="s">
        <v>17</v>
      </c>
      <c r="R253" s="131" t="s">
        <v>17</v>
      </c>
      <c r="S253" s="131" t="s">
        <v>18</v>
      </c>
      <c r="T253" s="131" t="s">
        <v>17</v>
      </c>
      <c r="U253" s="131" t="s">
        <v>17</v>
      </c>
      <c r="V253" s="131" t="s">
        <v>17</v>
      </c>
      <c r="W253" s="131" t="s">
        <v>17</v>
      </c>
      <c r="X253" s="131" t="s">
        <v>17</v>
      </c>
      <c r="Y253" s="131" t="s">
        <v>17</v>
      </c>
      <c r="Z253" s="131" t="s">
        <v>17</v>
      </c>
      <c r="AA253" s="131" t="s">
        <v>17</v>
      </c>
      <c r="AB253" s="131"/>
      <c r="AC253" s="131"/>
      <c r="AD253" s="131"/>
      <c r="AE253" s="131"/>
      <c r="AF253" s="158">
        <f t="shared" si="18"/>
        <v>8.11</v>
      </c>
      <c r="AG253" s="159"/>
      <c r="AH253" s="155" t="s">
        <v>469</v>
      </c>
      <c r="AI253" s="155" t="s">
        <v>83</v>
      </c>
      <c r="AJ253" s="131" t="str">
        <f>IFERROR(VLOOKUP(E253&amp;F253,'Listagem dos op'!A:S,19,0),"")</f>
        <v/>
      </c>
      <c r="AK253" s="131" t="str">
        <f t="shared" si="17"/>
        <v>Jan11466</v>
      </c>
      <c r="AL253" s="154">
        <f>IF(N253="","",IF(N253="SIM",VLOOKUP($I253&amp;$J253&amp;N$1,Pesos!$A:$I,7,FALSE),VLOOKUP($I253&amp;$J253&amp;N$1,Pesos!$A:$I,9,FALSE)))</f>
        <v>-5.000000000000001E-3</v>
      </c>
      <c r="AM253" s="154">
        <f>IF(O253="","",IF(O253="SIM",VLOOKUP($I253&amp;$J253&amp;O$1,Pesos!$A:$I,7,FALSE),VLOOKUP($I253&amp;$J253&amp;O$1,Pesos!$A:$I,9,FALSE)))</f>
        <v>0.1</v>
      </c>
      <c r="AN253" s="154">
        <f>IF(P253="","",IF(P253="SIM",VLOOKUP($I253&amp;$J253&amp;P$1,Pesos!$A:$I,7,FALSE),VLOOKUP($I253&amp;$J253&amp;P$1,Pesos!$A:$I,9,FALSE)))</f>
        <v>0.1</v>
      </c>
      <c r="AO253" s="154">
        <f>IF(Q253="","",IF(Q253="SIM",VLOOKUP($I253&amp;$J253&amp;Q$1,Pesos!$A:$I,7,FALSE),VLOOKUP($I253&amp;$J253&amp;Q$1,Pesos!$A:$I,9,FALSE)))</f>
        <v>2</v>
      </c>
      <c r="AP253" s="154">
        <f>IF(R253="","",IF(R253="SIM",VLOOKUP($I253&amp;$J253&amp;R$1,Pesos!$A:$I,7,FALSE),VLOOKUP($I253&amp;$J253&amp;R$1,Pesos!$A:$I,9,FALSE)))</f>
        <v>1.03</v>
      </c>
      <c r="AQ253" s="154">
        <f>IF(S253="","",IF(S253="SIM",VLOOKUP($I253&amp;$J253&amp;S$1,Pesos!$A:$I,7,FALSE),VLOOKUP($I253&amp;$J253&amp;S$1,Pesos!$A:$I,9,FALSE)))</f>
        <v>-8.500000000000002E-2</v>
      </c>
      <c r="AR253" s="156">
        <f>IF(T253="","",IF(T253="SIM",VLOOKUP($I253&amp;$J253&amp;T$1,Pesos!$A:$I,7,FALSE),VLOOKUP($I253&amp;$J253&amp;T$1,Pesos!$A:$I,9,FALSE)))</f>
        <v>1.92</v>
      </c>
      <c r="AS253" s="132">
        <f>IF(U253="","",IF(U253="SIM",VLOOKUP($I253&amp;$J253&amp;U$1,Pesos!$A:$I,7,FALSE),VLOOKUP($I253&amp;$J253&amp;U$1,Pesos!$A:$I,9,FALSE)))</f>
        <v>1.7000000000000002</v>
      </c>
      <c r="AT253" s="132">
        <f>IF(V253="","",IF(V253="SIM",VLOOKUP($I253&amp;$J253&amp;V$1,Pesos!$A:$I,7,FALSE),VLOOKUP($I253&amp;$J253&amp;V$1,Pesos!$A:$I,9,FALSE)))</f>
        <v>0.3</v>
      </c>
      <c r="AU253" s="132">
        <f>IF(W253="","",IF(W253="SIM",VLOOKUP($I253&amp;$J253&amp;W$1,Pesos!$A:$I,7,FALSE),VLOOKUP($I253&amp;$J253&amp;W$1,Pesos!$A:$I,9,FALSE)))</f>
        <v>0.3</v>
      </c>
      <c r="AV253" s="132">
        <f>IF(X253="","",IF(X253="SIM",VLOOKUP($I253&amp;$J253&amp;X$1,Pesos!$A:$I,7,FALSE),VLOOKUP($I253&amp;$J253&amp;X$1,Pesos!$A:$I,9,FALSE)))</f>
        <v>0.15</v>
      </c>
      <c r="AW253" s="132">
        <f>IF(Y253="","",IF(Y253="SIM",VLOOKUP($I253&amp;$J253&amp;Y$1,Pesos!$A:$I,7,FALSE),VLOOKUP($I253&amp;$J253&amp;Y$1,Pesos!$A:$I,9,FALSE)))</f>
        <v>0.2</v>
      </c>
      <c r="AX253" s="132">
        <f>IF(Z253="","",IF(Z253="SIM",VLOOKUP($I253&amp;$J253&amp;Z$1,Pesos!$A:$I,7,FALSE),VLOOKUP($I253&amp;$J253&amp;Z$1,Pesos!$A:$I,9,FALSE)))</f>
        <v>0.3</v>
      </c>
      <c r="AY253" s="132">
        <f>IF(AA253="","",IF(AA253="SIM",VLOOKUP($I253&amp;$J253&amp;AA$1,Pesos!$A:$I,7,FALSE),VLOOKUP($I253&amp;$J253&amp;AA$1,Pesos!$A:$I,9,FALSE)))</f>
        <v>0.1</v>
      </c>
      <c r="AZ253" s="132" t="str">
        <f>IF(AB253="","",IF(AB253="SIM",VLOOKUP($I253&amp;$J253&amp;AB$1,Pesos!$A:$I,7,FALSE),VLOOKUP($I253&amp;$J253&amp;AB$1,Pesos!$A:$I,9,FALSE)))</f>
        <v/>
      </c>
      <c r="BA253" s="132" t="str">
        <f>IF(AC253="","",IF(AC253="SIM",VLOOKUP($I253&amp;$J253&amp;AC$1,Pesos!$A:$I,7,FALSE),VLOOKUP($I253&amp;$J253&amp;AC$1,Pesos!$A:$I,9,FALSE)))</f>
        <v/>
      </c>
      <c r="BB253" s="132" t="str">
        <f>IF(AD253="","",IF(AD253="SIM",VLOOKUP($I253&amp;$J253&amp;AD$1,Pesos!$A:$I,7,FALSE),VLOOKUP($I253&amp;$J253&amp;AD$1,Pesos!$A:$I,9,FALSE)))</f>
        <v/>
      </c>
      <c r="BC253" s="132" t="str">
        <f>IF(AE253="","",IF(AE253="SIM",VLOOKUP($I253&amp;$J253&amp;AE$1,Pesos!$A:$I,7,FALSE),VLOOKUP($I253&amp;$J253&amp;AE$1,Pesos!$A:$I,9,FALSE)))</f>
        <v/>
      </c>
      <c r="BD253" s="158">
        <f>IFERROR(AF253*VLOOKUP(J253,'BD Campos'!$X$1:$Y$14,2,FALSE),"0")</f>
        <v>8.11</v>
      </c>
    </row>
    <row r="254" spans="1:56">
      <c r="A254" s="151" t="str">
        <f t="shared" si="15"/>
        <v>Jan11093MotoristaTRANSFERÊNCIA</v>
      </c>
      <c r="B254" s="149" t="str">
        <f t="shared" si="16"/>
        <v>Jan110931TRANSFERÊNCIAPADRÃO</v>
      </c>
      <c r="C254" s="152">
        <v>1</v>
      </c>
      <c r="D254" s="153">
        <v>46059.634812152777</v>
      </c>
      <c r="E254" s="154" t="s">
        <v>12</v>
      </c>
      <c r="F254" s="155">
        <v>11093</v>
      </c>
      <c r="G254" s="149" t="s">
        <v>470</v>
      </c>
      <c r="H254" s="154">
        <v>1</v>
      </c>
      <c r="I254" s="149" t="s">
        <v>92</v>
      </c>
      <c r="J254" s="149" t="s">
        <v>93</v>
      </c>
      <c r="K254" s="149" t="s">
        <v>192</v>
      </c>
      <c r="L254" s="156">
        <v>34483802</v>
      </c>
      <c r="M254" s="157">
        <v>2.2222222222222222E-3</v>
      </c>
      <c r="N254" s="131" t="s">
        <v>17</v>
      </c>
      <c r="O254" s="131" t="s">
        <v>17</v>
      </c>
      <c r="P254" s="131" t="s">
        <v>17</v>
      </c>
      <c r="Q254" s="131" t="s">
        <v>17</v>
      </c>
      <c r="R254" s="131" t="s">
        <v>17</v>
      </c>
      <c r="S254" s="131" t="s">
        <v>17</v>
      </c>
      <c r="T254" s="131" t="s">
        <v>17</v>
      </c>
      <c r="U254" s="131" t="s">
        <v>18</v>
      </c>
      <c r="V254" s="131" t="s">
        <v>17</v>
      </c>
      <c r="W254" s="131" t="s">
        <v>17</v>
      </c>
      <c r="X254" s="131" t="s">
        <v>17</v>
      </c>
      <c r="Y254" s="131" t="s">
        <v>17</v>
      </c>
      <c r="Z254" s="131" t="s">
        <v>17</v>
      </c>
      <c r="AA254" s="131" t="s">
        <v>17</v>
      </c>
      <c r="AB254" s="131"/>
      <c r="AC254" s="131"/>
      <c r="AD254" s="131"/>
      <c r="AE254" s="131"/>
      <c r="AF254" s="158">
        <f t="shared" si="18"/>
        <v>8.2149999999999999</v>
      </c>
      <c r="AG254" s="159"/>
      <c r="AH254" s="155" t="s">
        <v>471</v>
      </c>
      <c r="AI254" s="155" t="s">
        <v>83</v>
      </c>
      <c r="AJ254" s="131" t="str">
        <f>IFERROR(VLOOKUP(E254&amp;F254,'Listagem dos op'!A:S,19,0),"")</f>
        <v/>
      </c>
      <c r="AK254" s="131" t="str">
        <f t="shared" si="17"/>
        <v>Jan11093</v>
      </c>
      <c r="AL254" s="154">
        <f>IF(N254="","",IF(N254="SIM",VLOOKUP($I254&amp;$J254&amp;N$1,Pesos!$A:$I,7,FALSE),VLOOKUP($I254&amp;$J254&amp;N$1,Pesos!$A:$I,9,FALSE)))</f>
        <v>0.1</v>
      </c>
      <c r="AM254" s="154">
        <f>IF(O254="","",IF(O254="SIM",VLOOKUP($I254&amp;$J254&amp;O$1,Pesos!$A:$I,7,FALSE),VLOOKUP($I254&amp;$J254&amp;O$1,Pesos!$A:$I,9,FALSE)))</f>
        <v>0.1</v>
      </c>
      <c r="AN254" s="154">
        <f>IF(P254="","",IF(P254="SIM",VLOOKUP($I254&amp;$J254&amp;P$1,Pesos!$A:$I,7,FALSE),VLOOKUP($I254&amp;$J254&amp;P$1,Pesos!$A:$I,9,FALSE)))</f>
        <v>0.1</v>
      </c>
      <c r="AO254" s="154">
        <f>IF(Q254="","",IF(Q254="SIM",VLOOKUP($I254&amp;$J254&amp;Q$1,Pesos!$A:$I,7,FALSE),VLOOKUP($I254&amp;$J254&amp;Q$1,Pesos!$A:$I,9,FALSE)))</f>
        <v>2</v>
      </c>
      <c r="AP254" s="154">
        <f>IF(R254="","",IF(R254="SIM",VLOOKUP($I254&amp;$J254&amp;R$1,Pesos!$A:$I,7,FALSE),VLOOKUP($I254&amp;$J254&amp;R$1,Pesos!$A:$I,9,FALSE)))</f>
        <v>1.03</v>
      </c>
      <c r="AQ254" s="154">
        <f>IF(S254="","",IF(S254="SIM",VLOOKUP($I254&amp;$J254&amp;S$1,Pesos!$A:$I,7,FALSE),VLOOKUP($I254&amp;$J254&amp;S$1,Pesos!$A:$I,9,FALSE)))</f>
        <v>1.7000000000000002</v>
      </c>
      <c r="AR254" s="156">
        <f>IF(T254="","",IF(T254="SIM",VLOOKUP($I254&amp;$J254&amp;T$1,Pesos!$A:$I,7,FALSE),VLOOKUP($I254&amp;$J254&amp;T$1,Pesos!$A:$I,9,FALSE)))</f>
        <v>1.92</v>
      </c>
      <c r="AS254" s="132">
        <f>IF(U254="","",IF(U254="SIM",VLOOKUP($I254&amp;$J254&amp;U$1,Pesos!$A:$I,7,FALSE),VLOOKUP($I254&amp;$J254&amp;U$1,Pesos!$A:$I,9,FALSE)))</f>
        <v>-8.500000000000002E-2</v>
      </c>
      <c r="AT254" s="132">
        <f>IF(V254="","",IF(V254="SIM",VLOOKUP($I254&amp;$J254&amp;V$1,Pesos!$A:$I,7,FALSE),VLOOKUP($I254&amp;$J254&amp;V$1,Pesos!$A:$I,9,FALSE)))</f>
        <v>0.3</v>
      </c>
      <c r="AU254" s="132">
        <f>IF(W254="","",IF(W254="SIM",VLOOKUP($I254&amp;$J254&amp;W$1,Pesos!$A:$I,7,FALSE),VLOOKUP($I254&amp;$J254&amp;W$1,Pesos!$A:$I,9,FALSE)))</f>
        <v>0.3</v>
      </c>
      <c r="AV254" s="132">
        <f>IF(X254="","",IF(X254="SIM",VLOOKUP($I254&amp;$J254&amp;X$1,Pesos!$A:$I,7,FALSE),VLOOKUP($I254&amp;$J254&amp;X$1,Pesos!$A:$I,9,FALSE)))</f>
        <v>0.15</v>
      </c>
      <c r="AW254" s="132">
        <f>IF(Y254="","",IF(Y254="SIM",VLOOKUP($I254&amp;$J254&amp;Y$1,Pesos!$A:$I,7,FALSE),VLOOKUP($I254&amp;$J254&amp;Y$1,Pesos!$A:$I,9,FALSE)))</f>
        <v>0.2</v>
      </c>
      <c r="AX254" s="132">
        <f>IF(Z254="","",IF(Z254="SIM",VLOOKUP($I254&amp;$J254&amp;Z$1,Pesos!$A:$I,7,FALSE),VLOOKUP($I254&amp;$J254&amp;Z$1,Pesos!$A:$I,9,FALSE)))</f>
        <v>0.3</v>
      </c>
      <c r="AY254" s="132">
        <f>IF(AA254="","",IF(AA254="SIM",VLOOKUP($I254&amp;$J254&amp;AA$1,Pesos!$A:$I,7,FALSE),VLOOKUP($I254&amp;$J254&amp;AA$1,Pesos!$A:$I,9,FALSE)))</f>
        <v>0.1</v>
      </c>
      <c r="AZ254" s="132" t="str">
        <f>IF(AB254="","",IF(AB254="SIM",VLOOKUP($I254&amp;$J254&amp;AB$1,Pesos!$A:$I,7,FALSE),VLOOKUP($I254&amp;$J254&amp;AB$1,Pesos!$A:$I,9,FALSE)))</f>
        <v/>
      </c>
      <c r="BA254" s="132" t="str">
        <f>IF(AC254="","",IF(AC254="SIM",VLOOKUP($I254&amp;$J254&amp;AC$1,Pesos!$A:$I,7,FALSE),VLOOKUP($I254&amp;$J254&amp;AC$1,Pesos!$A:$I,9,FALSE)))</f>
        <v/>
      </c>
      <c r="BB254" s="132" t="str">
        <f>IF(AD254="","",IF(AD254="SIM",VLOOKUP($I254&amp;$J254&amp;AD$1,Pesos!$A:$I,7,FALSE),VLOOKUP($I254&amp;$J254&amp;AD$1,Pesos!$A:$I,9,FALSE)))</f>
        <v/>
      </c>
      <c r="BC254" s="132" t="str">
        <f>IF(AE254="","",IF(AE254="SIM",VLOOKUP($I254&amp;$J254&amp;AE$1,Pesos!$A:$I,7,FALSE),VLOOKUP($I254&amp;$J254&amp;AE$1,Pesos!$A:$I,9,FALSE)))</f>
        <v/>
      </c>
      <c r="BD254" s="158">
        <f>IFERROR(AF254*VLOOKUP(J254,'BD Campos'!$X$1:$Y$14,2,FALSE),"0")</f>
        <v>8.2149999999999999</v>
      </c>
    </row>
    <row r="255" spans="1:56">
      <c r="A255" s="151" t="str">
        <f t="shared" si="15"/>
        <v>Jan11093Motorista 2TRANSFERÊNCIA</v>
      </c>
      <c r="B255" s="149" t="str">
        <f t="shared" si="16"/>
        <v>Jan110932TRANSFERÊNCIAPADRÃO</v>
      </c>
      <c r="C255" s="152">
        <v>1</v>
      </c>
      <c r="D255" s="153">
        <v>46059.638201851849</v>
      </c>
      <c r="E255" s="154" t="s">
        <v>12</v>
      </c>
      <c r="F255" s="155">
        <v>11093</v>
      </c>
      <c r="G255" s="149" t="s">
        <v>470</v>
      </c>
      <c r="H255" s="154">
        <v>2</v>
      </c>
      <c r="I255" s="149" t="s">
        <v>96</v>
      </c>
      <c r="J255" s="149" t="s">
        <v>97</v>
      </c>
      <c r="K255" s="149" t="s">
        <v>192</v>
      </c>
      <c r="L255" s="156">
        <v>34813173</v>
      </c>
      <c r="M255" s="157">
        <v>2.615740740740741E-3</v>
      </c>
      <c r="N255" s="131" t="s">
        <v>17</v>
      </c>
      <c r="O255" s="131" t="s">
        <v>17</v>
      </c>
      <c r="P255" s="131" t="s">
        <v>17</v>
      </c>
      <c r="Q255" s="131" t="s">
        <v>17</v>
      </c>
      <c r="R255" s="131" t="s">
        <v>17</v>
      </c>
      <c r="S255" s="131" t="s">
        <v>17</v>
      </c>
      <c r="T255" s="131" t="s">
        <v>17</v>
      </c>
      <c r="U255" s="131" t="s">
        <v>18</v>
      </c>
      <c r="V255" s="131" t="s">
        <v>18</v>
      </c>
      <c r="W255" s="131" t="s">
        <v>17</v>
      </c>
      <c r="X255" s="131" t="s">
        <v>17</v>
      </c>
      <c r="Y255" s="131" t="s">
        <v>17</v>
      </c>
      <c r="Z255" s="131" t="s">
        <v>17</v>
      </c>
      <c r="AA255" s="131" t="s">
        <v>17</v>
      </c>
      <c r="AB255" s="131" t="s">
        <v>17</v>
      </c>
      <c r="AC255" s="131"/>
      <c r="AD255" s="131"/>
      <c r="AE255" s="131"/>
      <c r="AF255" s="158">
        <f t="shared" si="18"/>
        <v>7.794999999999999</v>
      </c>
      <c r="AG255" s="159"/>
      <c r="AH255" s="155" t="s">
        <v>472</v>
      </c>
      <c r="AI255" s="155" t="s">
        <v>83</v>
      </c>
      <c r="AJ255" s="131" t="str">
        <f>IFERROR(VLOOKUP(E255&amp;F255,'Listagem dos op'!A:S,19,0),"")</f>
        <v/>
      </c>
      <c r="AK255" s="131" t="str">
        <f t="shared" si="17"/>
        <v>Jan11093</v>
      </c>
      <c r="AL255" s="154">
        <f>IF(N255="","",IF(N255="SIM",VLOOKUP($I255&amp;$J255&amp;N$1,Pesos!$A:$I,7,FALSE),VLOOKUP($I255&amp;$J255&amp;N$1,Pesos!$A:$I,9,FALSE)))</f>
        <v>0.1</v>
      </c>
      <c r="AM255" s="154">
        <f>IF(O255="","",IF(O255="SIM",VLOOKUP($I255&amp;$J255&amp;O$1,Pesos!$A:$I,7,FALSE),VLOOKUP($I255&amp;$J255&amp;O$1,Pesos!$A:$I,9,FALSE)))</f>
        <v>0.1</v>
      </c>
      <c r="AN255" s="154">
        <f>IF(P255="","",IF(P255="SIM",VLOOKUP($I255&amp;$J255&amp;P$1,Pesos!$A:$I,7,FALSE),VLOOKUP($I255&amp;$J255&amp;P$1,Pesos!$A:$I,9,FALSE)))</f>
        <v>0.1</v>
      </c>
      <c r="AO255" s="154">
        <f>IF(Q255="","",IF(Q255="SIM",VLOOKUP($I255&amp;$J255&amp;Q$1,Pesos!$A:$I,7,FALSE),VLOOKUP($I255&amp;$J255&amp;Q$1,Pesos!$A:$I,9,FALSE)))</f>
        <v>2</v>
      </c>
      <c r="AP255" s="154">
        <f>IF(R255="","",IF(R255="SIM",VLOOKUP($I255&amp;$J255&amp;R$1,Pesos!$A:$I,7,FALSE),VLOOKUP($I255&amp;$J255&amp;R$1,Pesos!$A:$I,9,FALSE)))</f>
        <v>1.03</v>
      </c>
      <c r="AQ255" s="154">
        <f>IF(S255="","",IF(S255="SIM",VLOOKUP($I255&amp;$J255&amp;S$1,Pesos!$A:$I,7,FALSE),VLOOKUP($I255&amp;$J255&amp;S$1,Pesos!$A:$I,9,FALSE)))</f>
        <v>1.22</v>
      </c>
      <c r="AR255" s="156">
        <f>IF(T255="","",IF(T255="SIM",VLOOKUP($I255&amp;$J255&amp;T$1,Pesos!$A:$I,7,FALSE),VLOOKUP($I255&amp;$J255&amp;T$1,Pesos!$A:$I,9,FALSE)))</f>
        <v>2</v>
      </c>
      <c r="AS255" s="132">
        <f>IF(U255="","",IF(U255="SIM",VLOOKUP($I255&amp;$J255&amp;U$1,Pesos!$A:$I,7,FALSE),VLOOKUP($I255&amp;$J255&amp;U$1,Pesos!$A:$I,9,FALSE)))</f>
        <v>-5.2500000000000005E-2</v>
      </c>
      <c r="AT255" s="132">
        <f>IF(V255="","",IF(V255="SIM",VLOOKUP($I255&amp;$J255&amp;V$1,Pesos!$A:$I,7,FALSE),VLOOKUP($I255&amp;$J255&amp;V$1,Pesos!$A:$I,9,FALSE)))</f>
        <v>-5.2500000000000005E-2</v>
      </c>
      <c r="AU255" s="132">
        <f>IF(W255="","",IF(W255="SIM",VLOOKUP($I255&amp;$J255&amp;W$1,Pesos!$A:$I,7,FALSE),VLOOKUP($I255&amp;$J255&amp;W$1,Pesos!$A:$I,9,FALSE)))</f>
        <v>0.3</v>
      </c>
      <c r="AV255" s="132">
        <f>IF(X255="","",IF(X255="SIM",VLOOKUP($I255&amp;$J255&amp;X$1,Pesos!$A:$I,7,FALSE),VLOOKUP($I255&amp;$J255&amp;X$1,Pesos!$A:$I,9,FALSE)))</f>
        <v>0.3</v>
      </c>
      <c r="AW255" s="132">
        <f>IF(Y255="","",IF(Y255="SIM",VLOOKUP($I255&amp;$J255&amp;Y$1,Pesos!$A:$I,7,FALSE),VLOOKUP($I255&amp;$J255&amp;Y$1,Pesos!$A:$I,9,FALSE)))</f>
        <v>0.15</v>
      </c>
      <c r="AX255" s="132">
        <f>IF(Z255="","",IF(Z255="SIM",VLOOKUP($I255&amp;$J255&amp;Z$1,Pesos!$A:$I,7,FALSE),VLOOKUP($I255&amp;$J255&amp;Z$1,Pesos!$A:$I,9,FALSE)))</f>
        <v>0.2</v>
      </c>
      <c r="AY255" s="132">
        <f>IF(AA255="","",IF(AA255="SIM",VLOOKUP($I255&amp;$J255&amp;AA$1,Pesos!$A:$I,7,FALSE),VLOOKUP($I255&amp;$J255&amp;AA$1,Pesos!$A:$I,9,FALSE)))</f>
        <v>0.3</v>
      </c>
      <c r="AZ255" s="132">
        <f>IF(AB255="","",IF(AB255="SIM",VLOOKUP($I255&amp;$J255&amp;AB$1,Pesos!$A:$I,7,FALSE),VLOOKUP($I255&amp;$J255&amp;AB$1,Pesos!$A:$I,9,FALSE)))</f>
        <v>0.1</v>
      </c>
      <c r="BA255" s="132" t="str">
        <f>IF(AC255="","",IF(AC255="SIM",VLOOKUP($I255&amp;$J255&amp;AC$1,Pesos!$A:$I,7,FALSE),VLOOKUP($I255&amp;$J255&amp;AC$1,Pesos!$A:$I,9,FALSE)))</f>
        <v/>
      </c>
      <c r="BB255" s="132" t="str">
        <f>IF(AD255="","",IF(AD255="SIM",VLOOKUP($I255&amp;$J255&amp;AD$1,Pesos!$A:$I,7,FALSE),VLOOKUP($I255&amp;$J255&amp;AD$1,Pesos!$A:$I,9,FALSE)))</f>
        <v/>
      </c>
      <c r="BC255" s="132" t="str">
        <f>IF(AE255="","",IF(AE255="SIM",VLOOKUP($I255&amp;$J255&amp;AE$1,Pesos!$A:$I,7,FALSE),VLOOKUP($I255&amp;$J255&amp;AE$1,Pesos!$A:$I,9,FALSE)))</f>
        <v/>
      </c>
      <c r="BD255" s="158">
        <f>IFERROR(AF255*VLOOKUP(J255,'BD Campos'!$X$1:$Y$14,2,FALSE),"0")</f>
        <v>7.794999999999999</v>
      </c>
    </row>
    <row r="256" spans="1:56">
      <c r="A256" s="151" t="str">
        <f t="shared" si="15"/>
        <v>Jan11396MotoristaTRANSFERÊNCIA</v>
      </c>
      <c r="B256" s="149" t="str">
        <f t="shared" si="16"/>
        <v>Jan113961TRANSFERÊNCIAPADRÃO</v>
      </c>
      <c r="C256" s="152">
        <v>1</v>
      </c>
      <c r="D256" s="153">
        <v>46059.643172685188</v>
      </c>
      <c r="E256" s="154" t="s">
        <v>12</v>
      </c>
      <c r="F256" s="155">
        <v>11396</v>
      </c>
      <c r="G256" s="149" t="s">
        <v>473</v>
      </c>
      <c r="H256" s="154">
        <v>1</v>
      </c>
      <c r="I256" s="149" t="s">
        <v>130</v>
      </c>
      <c r="J256" s="149" t="s">
        <v>93</v>
      </c>
      <c r="K256" s="149" t="s">
        <v>192</v>
      </c>
      <c r="L256" s="156">
        <v>34510051</v>
      </c>
      <c r="M256" s="157">
        <v>3.425925925925926E-3</v>
      </c>
      <c r="N256" s="131" t="s">
        <v>17</v>
      </c>
      <c r="O256" s="131" t="s">
        <v>17</v>
      </c>
      <c r="P256" s="131" t="s">
        <v>17</v>
      </c>
      <c r="Q256" s="131" t="s">
        <v>17</v>
      </c>
      <c r="R256" s="131" t="s">
        <v>17</v>
      </c>
      <c r="S256" s="131" t="s">
        <v>17</v>
      </c>
      <c r="T256" s="131" t="s">
        <v>17</v>
      </c>
      <c r="U256" s="131" t="s">
        <v>17</v>
      </c>
      <c r="V256" s="131" t="s">
        <v>17</v>
      </c>
      <c r="W256" s="131" t="s">
        <v>17</v>
      </c>
      <c r="X256" s="131" t="s">
        <v>17</v>
      </c>
      <c r="Y256" s="131" t="s">
        <v>17</v>
      </c>
      <c r="Z256" s="131" t="s">
        <v>17</v>
      </c>
      <c r="AA256" s="131" t="s">
        <v>17</v>
      </c>
      <c r="AB256" s="131" t="s">
        <v>17</v>
      </c>
      <c r="AC256" s="131"/>
      <c r="AD256" s="131"/>
      <c r="AE256" s="131"/>
      <c r="AF256" s="158">
        <f t="shared" si="18"/>
        <v>10.004000000000001</v>
      </c>
      <c r="AG256" s="159"/>
      <c r="AH256" s="155" t="s">
        <v>474</v>
      </c>
      <c r="AI256" s="155" t="s">
        <v>83</v>
      </c>
      <c r="AJ256" s="131" t="str">
        <f>IFERROR(VLOOKUP(E256&amp;F256,'Listagem dos op'!A:S,19,0),"")</f>
        <v/>
      </c>
      <c r="AK256" s="131" t="str">
        <f t="shared" si="17"/>
        <v>Jan11396</v>
      </c>
      <c r="AL256" s="154">
        <f>IF(N256="","",IF(N256="SIM",VLOOKUP($I256&amp;$J256&amp;N$1,Pesos!$A:$I,7,FALSE),VLOOKUP($I256&amp;$J256&amp;N$1,Pesos!$A:$I,9,FALSE)))</f>
        <v>0.1</v>
      </c>
      <c r="AM256" s="154">
        <f>IF(O256="","",IF(O256="SIM",VLOOKUP($I256&amp;$J256&amp;O$1,Pesos!$A:$I,7,FALSE),VLOOKUP($I256&amp;$J256&amp;O$1,Pesos!$A:$I,9,FALSE)))</f>
        <v>0.1</v>
      </c>
      <c r="AN256" s="154">
        <f>IF(P256="","",IF(P256="SIM",VLOOKUP($I256&amp;$J256&amp;P$1,Pesos!$A:$I,7,FALSE),VLOOKUP($I256&amp;$J256&amp;P$1,Pesos!$A:$I,9,FALSE)))</f>
        <v>0.1</v>
      </c>
      <c r="AO256" s="154">
        <f>IF(Q256="","",IF(Q256="SIM",VLOOKUP($I256&amp;$J256&amp;Q$1,Pesos!$A:$I,7,FALSE),VLOOKUP($I256&amp;$J256&amp;Q$1,Pesos!$A:$I,9,FALSE)))</f>
        <v>2</v>
      </c>
      <c r="AP256" s="154">
        <f>IF(R256="","",IF(R256="SIM",VLOOKUP($I256&amp;$J256&amp;R$1,Pesos!$A:$I,7,FALSE),VLOOKUP($I256&amp;$J256&amp;R$1,Pesos!$A:$I,9,FALSE)))</f>
        <v>1.03</v>
      </c>
      <c r="AQ256" s="154">
        <f>IF(S256="","",IF(S256="SIM",VLOOKUP($I256&amp;$J256&amp;S$1,Pesos!$A:$I,7,FALSE),VLOOKUP($I256&amp;$J256&amp;S$1,Pesos!$A:$I,9,FALSE)))</f>
        <v>1.3</v>
      </c>
      <c r="AR256" s="156">
        <f>IF(T256="","",IF(T256="SIM",VLOOKUP($I256&amp;$J256&amp;T$1,Pesos!$A:$I,7,FALSE),VLOOKUP($I256&amp;$J256&amp;T$1,Pesos!$A:$I,9,FALSE)))</f>
        <v>1.3</v>
      </c>
      <c r="AS256" s="132">
        <f>IF(U256="","",IF(U256="SIM",VLOOKUP($I256&amp;$J256&amp;U$1,Pesos!$A:$I,7,FALSE),VLOOKUP($I256&amp;$J256&amp;U$1,Pesos!$A:$I,9,FALSE)))</f>
        <v>1.32</v>
      </c>
      <c r="AT256" s="132">
        <f>IF(V256="","",IF(V256="SIM",VLOOKUP($I256&amp;$J256&amp;V$1,Pesos!$A:$I,7,FALSE),VLOOKUP($I256&amp;$J256&amp;V$1,Pesos!$A:$I,9,FALSE)))</f>
        <v>1.4039999999999999</v>
      </c>
      <c r="AU256" s="132">
        <f>IF(W256="","",IF(W256="SIM",VLOOKUP($I256&amp;$J256&amp;W$1,Pesos!$A:$I,7,FALSE),VLOOKUP($I256&amp;$J256&amp;W$1,Pesos!$A:$I,9,FALSE)))</f>
        <v>0.3</v>
      </c>
      <c r="AV256" s="132">
        <f>IF(X256="","",IF(X256="SIM",VLOOKUP($I256&amp;$J256&amp;X$1,Pesos!$A:$I,7,FALSE),VLOOKUP($I256&amp;$J256&amp;X$1,Pesos!$A:$I,9,FALSE)))</f>
        <v>0.3</v>
      </c>
      <c r="AW256" s="132">
        <f>IF(Y256="","",IF(Y256="SIM",VLOOKUP($I256&amp;$J256&amp;Y$1,Pesos!$A:$I,7,FALSE),VLOOKUP($I256&amp;$J256&amp;Y$1,Pesos!$A:$I,9,FALSE)))</f>
        <v>0.15</v>
      </c>
      <c r="AX256" s="132">
        <f>IF(Z256="","",IF(Z256="SIM",VLOOKUP($I256&amp;$J256&amp;Z$1,Pesos!$A:$I,7,FALSE),VLOOKUP($I256&amp;$J256&amp;Z$1,Pesos!$A:$I,9,FALSE)))</f>
        <v>0.2</v>
      </c>
      <c r="AY256" s="132">
        <f>IF(AA256="","",IF(AA256="SIM",VLOOKUP($I256&amp;$J256&amp;AA$1,Pesos!$A:$I,7,FALSE),VLOOKUP($I256&amp;$J256&amp;AA$1,Pesos!$A:$I,9,FALSE)))</f>
        <v>0.3</v>
      </c>
      <c r="AZ256" s="132">
        <f>IF(AB256="","",IF(AB256="SIM",VLOOKUP($I256&amp;$J256&amp;AB$1,Pesos!$A:$I,7,FALSE),VLOOKUP($I256&amp;$J256&amp;AB$1,Pesos!$A:$I,9,FALSE)))</f>
        <v>0.1</v>
      </c>
      <c r="BA256" s="132" t="str">
        <f>IF(AC256="","",IF(AC256="SIM",VLOOKUP($I256&amp;$J256&amp;AC$1,Pesos!$A:$I,7,FALSE),VLOOKUP($I256&amp;$J256&amp;AC$1,Pesos!$A:$I,9,FALSE)))</f>
        <v/>
      </c>
      <c r="BB256" s="132" t="str">
        <f>IF(AD256="","",IF(AD256="SIM",VLOOKUP($I256&amp;$J256&amp;AD$1,Pesos!$A:$I,7,FALSE),VLOOKUP($I256&amp;$J256&amp;AD$1,Pesos!$A:$I,9,FALSE)))</f>
        <v/>
      </c>
      <c r="BC256" s="132" t="str">
        <f>IF(AE256="","",IF(AE256="SIM",VLOOKUP($I256&amp;$J256&amp;AE$1,Pesos!$A:$I,7,FALSE),VLOOKUP($I256&amp;$J256&amp;AE$1,Pesos!$A:$I,9,FALSE)))</f>
        <v/>
      </c>
      <c r="BD256" s="158">
        <f>IFERROR(AF256*VLOOKUP(J256,'BD Campos'!$X$1:$Y$14,2,FALSE),"0")</f>
        <v>10.004000000000001</v>
      </c>
    </row>
    <row r="257" spans="1:56">
      <c r="A257" s="151" t="str">
        <f t="shared" si="15"/>
        <v>Jan11396Motorista 2TRANSFERÊNCIA</v>
      </c>
      <c r="B257" s="149" t="str">
        <f t="shared" si="16"/>
        <v>Jan113962TRANSFERÊNCIAPADRÃO</v>
      </c>
      <c r="C257" s="152">
        <v>1</v>
      </c>
      <c r="D257" s="153">
        <v>46059.646260648151</v>
      </c>
      <c r="E257" s="154" t="s">
        <v>12</v>
      </c>
      <c r="F257" s="155">
        <v>11396</v>
      </c>
      <c r="G257" s="149" t="s">
        <v>473</v>
      </c>
      <c r="H257" s="154">
        <v>2</v>
      </c>
      <c r="I257" s="149" t="s">
        <v>130</v>
      </c>
      <c r="J257" s="149" t="s">
        <v>97</v>
      </c>
      <c r="K257" s="149" t="s">
        <v>192</v>
      </c>
      <c r="L257" s="156">
        <v>34759201</v>
      </c>
      <c r="M257" s="157">
        <v>2.4074074074074076E-3</v>
      </c>
      <c r="N257" s="131" t="s">
        <v>17</v>
      </c>
      <c r="O257" s="131" t="s">
        <v>17</v>
      </c>
      <c r="P257" s="131" t="s">
        <v>17</v>
      </c>
      <c r="Q257" s="131" t="s">
        <v>17</v>
      </c>
      <c r="R257" s="131" t="s">
        <v>17</v>
      </c>
      <c r="S257" s="131" t="s">
        <v>17</v>
      </c>
      <c r="T257" s="131" t="s">
        <v>17</v>
      </c>
      <c r="U257" s="131" t="s">
        <v>17</v>
      </c>
      <c r="V257" s="131" t="s">
        <v>17</v>
      </c>
      <c r="W257" s="131" t="s">
        <v>17</v>
      </c>
      <c r="X257" s="131" t="s">
        <v>17</v>
      </c>
      <c r="Y257" s="131" t="s">
        <v>17</v>
      </c>
      <c r="Z257" s="131" t="s">
        <v>17</v>
      </c>
      <c r="AA257" s="131" t="s">
        <v>17</v>
      </c>
      <c r="AB257" s="131" t="s">
        <v>17</v>
      </c>
      <c r="AC257" s="131"/>
      <c r="AD257" s="131"/>
      <c r="AE257" s="131"/>
      <c r="AF257" s="158">
        <f t="shared" si="18"/>
        <v>10.004000000000001</v>
      </c>
      <c r="AG257" s="159"/>
      <c r="AH257" s="155" t="s">
        <v>475</v>
      </c>
      <c r="AI257" s="155" t="s">
        <v>83</v>
      </c>
      <c r="AJ257" s="131" t="str">
        <f>IFERROR(VLOOKUP(E257&amp;F257,'Listagem dos op'!A:S,19,0),"")</f>
        <v/>
      </c>
      <c r="AK257" s="131" t="str">
        <f t="shared" si="17"/>
        <v>Jan11396</v>
      </c>
      <c r="AL257" s="154">
        <f>IF(N257="","",IF(N257="SIM",VLOOKUP($I257&amp;$J257&amp;N$1,Pesos!$A:$I,7,FALSE),VLOOKUP($I257&amp;$J257&amp;N$1,Pesos!$A:$I,9,FALSE)))</f>
        <v>0.1</v>
      </c>
      <c r="AM257" s="154">
        <f>IF(O257="","",IF(O257="SIM",VLOOKUP($I257&amp;$J257&amp;O$1,Pesos!$A:$I,7,FALSE),VLOOKUP($I257&amp;$J257&amp;O$1,Pesos!$A:$I,9,FALSE)))</f>
        <v>0.1</v>
      </c>
      <c r="AN257" s="154">
        <f>IF(P257="","",IF(P257="SIM",VLOOKUP($I257&amp;$J257&amp;P$1,Pesos!$A:$I,7,FALSE),VLOOKUP($I257&amp;$J257&amp;P$1,Pesos!$A:$I,9,FALSE)))</f>
        <v>0.1</v>
      </c>
      <c r="AO257" s="154">
        <f>IF(Q257="","",IF(Q257="SIM",VLOOKUP($I257&amp;$J257&amp;Q$1,Pesos!$A:$I,7,FALSE),VLOOKUP($I257&amp;$J257&amp;Q$1,Pesos!$A:$I,9,FALSE)))</f>
        <v>2</v>
      </c>
      <c r="AP257" s="154">
        <f>IF(R257="","",IF(R257="SIM",VLOOKUP($I257&amp;$J257&amp;R$1,Pesos!$A:$I,7,FALSE),VLOOKUP($I257&amp;$J257&amp;R$1,Pesos!$A:$I,9,FALSE)))</f>
        <v>1.03</v>
      </c>
      <c r="AQ257" s="154">
        <f>IF(S257="","",IF(S257="SIM",VLOOKUP($I257&amp;$J257&amp;S$1,Pesos!$A:$I,7,FALSE),VLOOKUP($I257&amp;$J257&amp;S$1,Pesos!$A:$I,9,FALSE)))</f>
        <v>1.3</v>
      </c>
      <c r="AR257" s="156">
        <f>IF(T257="","",IF(T257="SIM",VLOOKUP($I257&amp;$J257&amp;T$1,Pesos!$A:$I,7,FALSE),VLOOKUP($I257&amp;$J257&amp;T$1,Pesos!$A:$I,9,FALSE)))</f>
        <v>1.3</v>
      </c>
      <c r="AS257" s="132">
        <f>IF(U257="","",IF(U257="SIM",VLOOKUP($I257&amp;$J257&amp;U$1,Pesos!$A:$I,7,FALSE),VLOOKUP($I257&amp;$J257&amp;U$1,Pesos!$A:$I,9,FALSE)))</f>
        <v>1.32</v>
      </c>
      <c r="AT257" s="132">
        <f>IF(V257="","",IF(V257="SIM",VLOOKUP($I257&amp;$J257&amp;V$1,Pesos!$A:$I,7,FALSE),VLOOKUP($I257&amp;$J257&amp;V$1,Pesos!$A:$I,9,FALSE)))</f>
        <v>1.4039999999999999</v>
      </c>
      <c r="AU257" s="132">
        <f>IF(W257="","",IF(W257="SIM",VLOOKUP($I257&amp;$J257&amp;W$1,Pesos!$A:$I,7,FALSE),VLOOKUP($I257&amp;$J257&amp;W$1,Pesos!$A:$I,9,FALSE)))</f>
        <v>0.3</v>
      </c>
      <c r="AV257" s="132">
        <f>IF(X257="","",IF(X257="SIM",VLOOKUP($I257&amp;$J257&amp;X$1,Pesos!$A:$I,7,FALSE),VLOOKUP($I257&amp;$J257&amp;X$1,Pesos!$A:$I,9,FALSE)))</f>
        <v>0.3</v>
      </c>
      <c r="AW257" s="132">
        <f>IF(Y257="","",IF(Y257="SIM",VLOOKUP($I257&amp;$J257&amp;Y$1,Pesos!$A:$I,7,FALSE),VLOOKUP($I257&amp;$J257&amp;Y$1,Pesos!$A:$I,9,FALSE)))</f>
        <v>0.15</v>
      </c>
      <c r="AX257" s="132">
        <f>IF(Z257="","",IF(Z257="SIM",VLOOKUP($I257&amp;$J257&amp;Z$1,Pesos!$A:$I,7,FALSE),VLOOKUP($I257&amp;$J257&amp;Z$1,Pesos!$A:$I,9,FALSE)))</f>
        <v>0.2</v>
      </c>
      <c r="AY257" s="132">
        <f>IF(AA257="","",IF(AA257="SIM",VLOOKUP($I257&amp;$J257&amp;AA$1,Pesos!$A:$I,7,FALSE),VLOOKUP($I257&amp;$J257&amp;AA$1,Pesos!$A:$I,9,FALSE)))</f>
        <v>0.3</v>
      </c>
      <c r="AZ257" s="132">
        <f>IF(AB257="","",IF(AB257="SIM",VLOOKUP($I257&amp;$J257&amp;AB$1,Pesos!$A:$I,7,FALSE),VLOOKUP($I257&amp;$J257&amp;AB$1,Pesos!$A:$I,9,FALSE)))</f>
        <v>0.1</v>
      </c>
      <c r="BA257" s="132" t="str">
        <f>IF(AC257="","",IF(AC257="SIM",VLOOKUP($I257&amp;$J257&amp;AC$1,Pesos!$A:$I,7,FALSE),VLOOKUP($I257&amp;$J257&amp;AC$1,Pesos!$A:$I,9,FALSE)))</f>
        <v/>
      </c>
      <c r="BB257" s="132" t="str">
        <f>IF(AD257="","",IF(AD257="SIM",VLOOKUP($I257&amp;$J257&amp;AD$1,Pesos!$A:$I,7,FALSE),VLOOKUP($I257&amp;$J257&amp;AD$1,Pesos!$A:$I,9,FALSE)))</f>
        <v/>
      </c>
      <c r="BC257" s="132" t="str">
        <f>IF(AE257="","",IF(AE257="SIM",VLOOKUP($I257&amp;$J257&amp;AE$1,Pesos!$A:$I,7,FALSE),VLOOKUP($I257&amp;$J257&amp;AE$1,Pesos!$A:$I,9,FALSE)))</f>
        <v/>
      </c>
      <c r="BD257" s="158">
        <f>IFERROR(AF257*VLOOKUP(J257,'BD Campos'!$X$1:$Y$14,2,FALSE),"0")</f>
        <v>10.004000000000001</v>
      </c>
    </row>
    <row r="258" spans="1:56">
      <c r="A258" s="151" t="str">
        <f t="shared" ref="A258:A321" si="19">E258&amp;F258&amp;J258&amp;K258&amp;""</f>
        <v>Jan11480MotoristaTRANSFERÊNCIA</v>
      </c>
      <c r="B258" s="149" t="str">
        <f t="shared" ref="B258:B321" si="20">E258&amp;F258&amp;H258&amp;K258&amp;AI258</f>
        <v>Jan114801TRANSFERÊNCIAPADRÃO</v>
      </c>
      <c r="C258" s="152">
        <v>1</v>
      </c>
      <c r="D258" s="153">
        <v>46059.648947453701</v>
      </c>
      <c r="E258" s="154" t="s">
        <v>12</v>
      </c>
      <c r="F258" s="155">
        <v>11480</v>
      </c>
      <c r="G258" s="149" t="s">
        <v>476</v>
      </c>
      <c r="H258" s="154">
        <v>1</v>
      </c>
      <c r="I258" s="149" t="s">
        <v>96</v>
      </c>
      <c r="J258" s="149" t="s">
        <v>93</v>
      </c>
      <c r="K258" s="149" t="s">
        <v>192</v>
      </c>
      <c r="L258" s="156">
        <v>34637126</v>
      </c>
      <c r="M258" s="157">
        <v>1.261574074074074E-3</v>
      </c>
      <c r="N258" s="131" t="s">
        <v>17</v>
      </c>
      <c r="O258" s="131" t="s">
        <v>17</v>
      </c>
      <c r="P258" s="131" t="s">
        <v>17</v>
      </c>
      <c r="Q258" s="131" t="s">
        <v>17</v>
      </c>
      <c r="R258" s="131" t="s">
        <v>17</v>
      </c>
      <c r="S258" s="131" t="s">
        <v>18</v>
      </c>
      <c r="T258" s="131" t="s">
        <v>17</v>
      </c>
      <c r="U258" s="131" t="s">
        <v>17</v>
      </c>
      <c r="V258" s="131" t="s">
        <v>18</v>
      </c>
      <c r="W258" s="131" t="s">
        <v>17</v>
      </c>
      <c r="X258" s="131" t="s">
        <v>17</v>
      </c>
      <c r="Y258" s="131" t="s">
        <v>17</v>
      </c>
      <c r="Z258" s="131" t="s">
        <v>18</v>
      </c>
      <c r="AA258" s="131" t="s">
        <v>17</v>
      </c>
      <c r="AB258" s="131" t="s">
        <v>17</v>
      </c>
      <c r="AC258" s="131"/>
      <c r="AD258" s="131"/>
      <c r="AE258" s="131"/>
      <c r="AF258" s="158">
        <f t="shared" si="18"/>
        <v>7.4064999999999994</v>
      </c>
      <c r="AG258" s="159"/>
      <c r="AH258" s="155" t="s">
        <v>477</v>
      </c>
      <c r="AI258" s="155" t="s">
        <v>83</v>
      </c>
      <c r="AJ258" s="131" t="str">
        <f>IFERROR(VLOOKUP(E258&amp;F258,'Listagem dos op'!A:S,19,0),"")</f>
        <v/>
      </c>
      <c r="AK258" s="131" t="str">
        <f t="shared" ref="AK258:AK321" si="21">E258&amp;F258</f>
        <v>Jan11480</v>
      </c>
      <c r="AL258" s="154">
        <f>IF(N258="","",IF(N258="SIM",VLOOKUP($I258&amp;$J258&amp;N$1,Pesos!$A:$I,7,FALSE),VLOOKUP($I258&amp;$J258&amp;N$1,Pesos!$A:$I,9,FALSE)))</f>
        <v>0.1</v>
      </c>
      <c r="AM258" s="154">
        <f>IF(O258="","",IF(O258="SIM",VLOOKUP($I258&amp;$J258&amp;O$1,Pesos!$A:$I,7,FALSE),VLOOKUP($I258&amp;$J258&amp;O$1,Pesos!$A:$I,9,FALSE)))</f>
        <v>0.1</v>
      </c>
      <c r="AN258" s="154">
        <f>IF(P258="","",IF(P258="SIM",VLOOKUP($I258&amp;$J258&amp;P$1,Pesos!$A:$I,7,FALSE),VLOOKUP($I258&amp;$J258&amp;P$1,Pesos!$A:$I,9,FALSE)))</f>
        <v>0.1</v>
      </c>
      <c r="AO258" s="154">
        <f>IF(Q258="","",IF(Q258="SIM",VLOOKUP($I258&amp;$J258&amp;Q$1,Pesos!$A:$I,7,FALSE),VLOOKUP($I258&amp;$J258&amp;Q$1,Pesos!$A:$I,9,FALSE)))</f>
        <v>2</v>
      </c>
      <c r="AP258" s="154">
        <f>IF(R258="","",IF(R258="SIM",VLOOKUP($I258&amp;$J258&amp;R$1,Pesos!$A:$I,7,FALSE),VLOOKUP($I258&amp;$J258&amp;R$1,Pesos!$A:$I,9,FALSE)))</f>
        <v>1.03</v>
      </c>
      <c r="AQ258" s="154">
        <f>IF(S258="","",IF(S258="SIM",VLOOKUP($I258&amp;$J258&amp;S$1,Pesos!$A:$I,7,FALSE),VLOOKUP($I258&amp;$J258&amp;S$1,Pesos!$A:$I,9,FALSE)))</f>
        <v>-6.0999999999999999E-2</v>
      </c>
      <c r="AR258" s="156">
        <f>IF(T258="","",IF(T258="SIM",VLOOKUP($I258&amp;$J258&amp;T$1,Pesos!$A:$I,7,FALSE),VLOOKUP($I258&amp;$J258&amp;T$1,Pesos!$A:$I,9,FALSE)))</f>
        <v>2</v>
      </c>
      <c r="AS258" s="132">
        <f>IF(U258="","",IF(U258="SIM",VLOOKUP($I258&amp;$J258&amp;U$1,Pesos!$A:$I,7,FALSE),VLOOKUP($I258&amp;$J258&amp;U$1,Pesos!$A:$I,9,FALSE)))</f>
        <v>1.05</v>
      </c>
      <c r="AT258" s="132">
        <f>IF(V258="","",IF(V258="SIM",VLOOKUP($I258&amp;$J258&amp;V$1,Pesos!$A:$I,7,FALSE),VLOOKUP($I258&amp;$J258&amp;V$1,Pesos!$A:$I,9,FALSE)))</f>
        <v>-5.2500000000000005E-2</v>
      </c>
      <c r="AU258" s="132">
        <f>IF(W258="","",IF(W258="SIM",VLOOKUP($I258&amp;$J258&amp;W$1,Pesos!$A:$I,7,FALSE),VLOOKUP($I258&amp;$J258&amp;W$1,Pesos!$A:$I,9,FALSE)))</f>
        <v>0.3</v>
      </c>
      <c r="AV258" s="132">
        <f>IF(X258="","",IF(X258="SIM",VLOOKUP($I258&amp;$J258&amp;X$1,Pesos!$A:$I,7,FALSE),VLOOKUP($I258&amp;$J258&amp;X$1,Pesos!$A:$I,9,FALSE)))</f>
        <v>0.3</v>
      </c>
      <c r="AW258" s="132">
        <f>IF(Y258="","",IF(Y258="SIM",VLOOKUP($I258&amp;$J258&amp;Y$1,Pesos!$A:$I,7,FALSE),VLOOKUP($I258&amp;$J258&amp;Y$1,Pesos!$A:$I,9,FALSE)))</f>
        <v>0.15</v>
      </c>
      <c r="AX258" s="132">
        <f>IF(Z258="","",IF(Z258="SIM",VLOOKUP($I258&amp;$J258&amp;Z$1,Pesos!$A:$I,7,FALSE),VLOOKUP($I258&amp;$J258&amp;Z$1,Pesos!$A:$I,9,FALSE)))</f>
        <v>-1.0000000000000002E-2</v>
      </c>
      <c r="AY258" s="132">
        <f>IF(AA258="","",IF(AA258="SIM",VLOOKUP($I258&amp;$J258&amp;AA$1,Pesos!$A:$I,7,FALSE),VLOOKUP($I258&amp;$J258&amp;AA$1,Pesos!$A:$I,9,FALSE)))</f>
        <v>0.3</v>
      </c>
      <c r="AZ258" s="132">
        <f>IF(AB258="","",IF(AB258="SIM",VLOOKUP($I258&amp;$J258&amp;AB$1,Pesos!$A:$I,7,FALSE),VLOOKUP($I258&amp;$J258&amp;AB$1,Pesos!$A:$I,9,FALSE)))</f>
        <v>0.1</v>
      </c>
      <c r="BA258" s="132" t="str">
        <f>IF(AC258="","",IF(AC258="SIM",VLOOKUP($I258&amp;$J258&amp;AC$1,Pesos!$A:$I,7,FALSE),VLOOKUP($I258&amp;$J258&amp;AC$1,Pesos!$A:$I,9,FALSE)))</f>
        <v/>
      </c>
      <c r="BB258" s="132" t="str">
        <f>IF(AD258="","",IF(AD258="SIM",VLOOKUP($I258&amp;$J258&amp;AD$1,Pesos!$A:$I,7,FALSE),VLOOKUP($I258&amp;$J258&amp;AD$1,Pesos!$A:$I,9,FALSE)))</f>
        <v/>
      </c>
      <c r="BC258" s="132" t="str">
        <f>IF(AE258="","",IF(AE258="SIM",VLOOKUP($I258&amp;$J258&amp;AE$1,Pesos!$A:$I,7,FALSE),VLOOKUP($I258&amp;$J258&amp;AE$1,Pesos!$A:$I,9,FALSE)))</f>
        <v/>
      </c>
      <c r="BD258" s="158">
        <f>IFERROR(AF258*VLOOKUP(J258,'BD Campos'!$X$1:$Y$14,2,FALSE),"0")</f>
        <v>7.4064999999999994</v>
      </c>
    </row>
    <row r="259" spans="1:56">
      <c r="A259" s="151" t="str">
        <f t="shared" si="19"/>
        <v>Jan11480Motorista 2TRANSFERÊNCIA</v>
      </c>
      <c r="B259" s="149" t="str">
        <f t="shared" si="20"/>
        <v>Jan114802TRANSFERÊNCIAPADRÃO</v>
      </c>
      <c r="C259" s="152">
        <v>1</v>
      </c>
      <c r="D259" s="153">
        <v>46059.651291666669</v>
      </c>
      <c r="E259" s="154" t="s">
        <v>12</v>
      </c>
      <c r="F259" s="155">
        <v>11480</v>
      </c>
      <c r="G259" s="149" t="s">
        <v>476</v>
      </c>
      <c r="H259" s="154">
        <v>2</v>
      </c>
      <c r="I259" s="149" t="s">
        <v>96</v>
      </c>
      <c r="J259" s="149" t="s">
        <v>97</v>
      </c>
      <c r="K259" s="149" t="s">
        <v>192</v>
      </c>
      <c r="L259" s="156">
        <v>34793642</v>
      </c>
      <c r="M259" s="157">
        <v>1.9444444444444442E-3</v>
      </c>
      <c r="N259" s="131" t="s">
        <v>17</v>
      </c>
      <c r="O259" s="131" t="s">
        <v>17</v>
      </c>
      <c r="P259" s="131" t="s">
        <v>17</v>
      </c>
      <c r="Q259" s="131" t="s">
        <v>17</v>
      </c>
      <c r="R259" s="131" t="s">
        <v>17</v>
      </c>
      <c r="S259" s="131" t="s">
        <v>17</v>
      </c>
      <c r="T259" s="131" t="s">
        <v>17</v>
      </c>
      <c r="U259" s="131" t="s">
        <v>18</v>
      </c>
      <c r="V259" s="131" t="s">
        <v>18</v>
      </c>
      <c r="W259" s="131" t="s">
        <v>17</v>
      </c>
      <c r="X259" s="131" t="s">
        <v>17</v>
      </c>
      <c r="Y259" s="131" t="s">
        <v>17</v>
      </c>
      <c r="Z259" s="131" t="s">
        <v>18</v>
      </c>
      <c r="AA259" s="131" t="s">
        <v>17</v>
      </c>
      <c r="AB259" s="131" t="s">
        <v>17</v>
      </c>
      <c r="AC259" s="131"/>
      <c r="AD259" s="131"/>
      <c r="AE259" s="131"/>
      <c r="AF259" s="158">
        <f t="shared" ref="AF259:AF322" si="22">SUM(AL259:BC259)</f>
        <v>7.5849999999999991</v>
      </c>
      <c r="AG259" s="159"/>
      <c r="AH259" s="155" t="s">
        <v>478</v>
      </c>
      <c r="AI259" s="155" t="s">
        <v>83</v>
      </c>
      <c r="AJ259" s="131" t="str">
        <f>IFERROR(VLOOKUP(E259&amp;F259,'Listagem dos op'!A:S,19,0),"")</f>
        <v/>
      </c>
      <c r="AK259" s="131" t="str">
        <f t="shared" si="21"/>
        <v>Jan11480</v>
      </c>
      <c r="AL259" s="154">
        <f>IF(N259="","",IF(N259="SIM",VLOOKUP($I259&amp;$J259&amp;N$1,Pesos!$A:$I,7,FALSE),VLOOKUP($I259&amp;$J259&amp;N$1,Pesos!$A:$I,9,FALSE)))</f>
        <v>0.1</v>
      </c>
      <c r="AM259" s="154">
        <f>IF(O259="","",IF(O259="SIM",VLOOKUP($I259&amp;$J259&amp;O$1,Pesos!$A:$I,7,FALSE),VLOOKUP($I259&amp;$J259&amp;O$1,Pesos!$A:$I,9,FALSE)))</f>
        <v>0.1</v>
      </c>
      <c r="AN259" s="154">
        <f>IF(P259="","",IF(P259="SIM",VLOOKUP($I259&amp;$J259&amp;P$1,Pesos!$A:$I,7,FALSE),VLOOKUP($I259&amp;$J259&amp;P$1,Pesos!$A:$I,9,FALSE)))</f>
        <v>0.1</v>
      </c>
      <c r="AO259" s="154">
        <f>IF(Q259="","",IF(Q259="SIM",VLOOKUP($I259&amp;$J259&amp;Q$1,Pesos!$A:$I,7,FALSE),VLOOKUP($I259&amp;$J259&amp;Q$1,Pesos!$A:$I,9,FALSE)))</f>
        <v>2</v>
      </c>
      <c r="AP259" s="154">
        <f>IF(R259="","",IF(R259="SIM",VLOOKUP($I259&amp;$J259&amp;R$1,Pesos!$A:$I,7,FALSE),VLOOKUP($I259&amp;$J259&amp;R$1,Pesos!$A:$I,9,FALSE)))</f>
        <v>1.03</v>
      </c>
      <c r="AQ259" s="154">
        <f>IF(S259="","",IF(S259="SIM",VLOOKUP($I259&amp;$J259&amp;S$1,Pesos!$A:$I,7,FALSE),VLOOKUP($I259&amp;$J259&amp;S$1,Pesos!$A:$I,9,FALSE)))</f>
        <v>1.22</v>
      </c>
      <c r="AR259" s="156">
        <f>IF(T259="","",IF(T259="SIM",VLOOKUP($I259&amp;$J259&amp;T$1,Pesos!$A:$I,7,FALSE),VLOOKUP($I259&amp;$J259&amp;T$1,Pesos!$A:$I,9,FALSE)))</f>
        <v>2</v>
      </c>
      <c r="AS259" s="132">
        <f>IF(U259="","",IF(U259="SIM",VLOOKUP($I259&amp;$J259&amp;U$1,Pesos!$A:$I,7,FALSE),VLOOKUP($I259&amp;$J259&amp;U$1,Pesos!$A:$I,9,FALSE)))</f>
        <v>-5.2500000000000005E-2</v>
      </c>
      <c r="AT259" s="132">
        <f>IF(V259="","",IF(V259="SIM",VLOOKUP($I259&amp;$J259&amp;V$1,Pesos!$A:$I,7,FALSE),VLOOKUP($I259&amp;$J259&amp;V$1,Pesos!$A:$I,9,FALSE)))</f>
        <v>-5.2500000000000005E-2</v>
      </c>
      <c r="AU259" s="132">
        <f>IF(W259="","",IF(W259="SIM",VLOOKUP($I259&amp;$J259&amp;W$1,Pesos!$A:$I,7,FALSE),VLOOKUP($I259&amp;$J259&amp;W$1,Pesos!$A:$I,9,FALSE)))</f>
        <v>0.3</v>
      </c>
      <c r="AV259" s="132">
        <f>IF(X259="","",IF(X259="SIM",VLOOKUP($I259&amp;$J259&amp;X$1,Pesos!$A:$I,7,FALSE),VLOOKUP($I259&amp;$J259&amp;X$1,Pesos!$A:$I,9,FALSE)))</f>
        <v>0.3</v>
      </c>
      <c r="AW259" s="132">
        <f>IF(Y259="","",IF(Y259="SIM",VLOOKUP($I259&amp;$J259&amp;Y$1,Pesos!$A:$I,7,FALSE),VLOOKUP($I259&amp;$J259&amp;Y$1,Pesos!$A:$I,9,FALSE)))</f>
        <v>0.15</v>
      </c>
      <c r="AX259" s="132">
        <f>IF(Z259="","",IF(Z259="SIM",VLOOKUP($I259&amp;$J259&amp;Z$1,Pesos!$A:$I,7,FALSE),VLOOKUP($I259&amp;$J259&amp;Z$1,Pesos!$A:$I,9,FALSE)))</f>
        <v>-1.0000000000000002E-2</v>
      </c>
      <c r="AY259" s="132">
        <f>IF(AA259="","",IF(AA259="SIM",VLOOKUP($I259&amp;$J259&amp;AA$1,Pesos!$A:$I,7,FALSE),VLOOKUP($I259&amp;$J259&amp;AA$1,Pesos!$A:$I,9,FALSE)))</f>
        <v>0.3</v>
      </c>
      <c r="AZ259" s="132">
        <f>IF(AB259="","",IF(AB259="SIM",VLOOKUP($I259&amp;$J259&amp;AB$1,Pesos!$A:$I,7,FALSE),VLOOKUP($I259&amp;$J259&amp;AB$1,Pesos!$A:$I,9,FALSE)))</f>
        <v>0.1</v>
      </c>
      <c r="BA259" s="132" t="str">
        <f>IF(AC259="","",IF(AC259="SIM",VLOOKUP($I259&amp;$J259&amp;AC$1,Pesos!$A:$I,7,FALSE),VLOOKUP($I259&amp;$J259&amp;AC$1,Pesos!$A:$I,9,FALSE)))</f>
        <v/>
      </c>
      <c r="BB259" s="132" t="str">
        <f>IF(AD259="","",IF(AD259="SIM",VLOOKUP($I259&amp;$J259&amp;AD$1,Pesos!$A:$I,7,FALSE),VLOOKUP($I259&amp;$J259&amp;AD$1,Pesos!$A:$I,9,FALSE)))</f>
        <v/>
      </c>
      <c r="BC259" s="132" t="str">
        <f>IF(AE259="","",IF(AE259="SIM",VLOOKUP($I259&amp;$J259&amp;AE$1,Pesos!$A:$I,7,FALSE),VLOOKUP($I259&amp;$J259&amp;AE$1,Pesos!$A:$I,9,FALSE)))</f>
        <v/>
      </c>
      <c r="BD259" s="158">
        <f>IFERROR(AF259*VLOOKUP(J259,'BD Campos'!$X$1:$Y$14,2,FALSE),"0")</f>
        <v>7.5849999999999991</v>
      </c>
    </row>
    <row r="260" spans="1:56">
      <c r="A260" s="151" t="str">
        <f t="shared" si="19"/>
        <v>Jan11469MotoristaLOGÍSTICA</v>
      </c>
      <c r="B260" s="149" t="str">
        <f t="shared" si="20"/>
        <v>Jan114691LOGÍSTICAPADRÃO</v>
      </c>
      <c r="C260" s="152">
        <v>1</v>
      </c>
      <c r="D260" s="153">
        <v>46059.664552893519</v>
      </c>
      <c r="E260" s="154" t="s">
        <v>12</v>
      </c>
      <c r="F260" s="155">
        <v>11469</v>
      </c>
      <c r="G260" s="149" t="s">
        <v>479</v>
      </c>
      <c r="H260" s="154">
        <v>1</v>
      </c>
      <c r="I260" s="149" t="s">
        <v>480</v>
      </c>
      <c r="J260" s="149" t="s">
        <v>93</v>
      </c>
      <c r="K260" s="149" t="s">
        <v>315</v>
      </c>
      <c r="L260" s="156"/>
      <c r="M260" s="157">
        <v>7.6388888888888893E-4</v>
      </c>
      <c r="N260" s="131" t="s">
        <v>17</v>
      </c>
      <c r="O260" s="131" t="s">
        <v>17</v>
      </c>
      <c r="P260" s="131" t="s">
        <v>17</v>
      </c>
      <c r="Q260" s="131" t="s">
        <v>17</v>
      </c>
      <c r="R260" s="131" t="s">
        <v>17</v>
      </c>
      <c r="S260" s="131" t="s">
        <v>18</v>
      </c>
      <c r="T260" s="131" t="s">
        <v>17</v>
      </c>
      <c r="U260" s="131" t="s">
        <v>17</v>
      </c>
      <c r="V260" s="131" t="s">
        <v>17</v>
      </c>
      <c r="W260" s="131" t="s">
        <v>17</v>
      </c>
      <c r="X260" s="131" t="s">
        <v>17</v>
      </c>
      <c r="Y260" s="131" t="s">
        <v>17</v>
      </c>
      <c r="Z260" s="131" t="s">
        <v>17</v>
      </c>
      <c r="AA260" s="131" t="s">
        <v>17</v>
      </c>
      <c r="AB260" s="131" t="s">
        <v>17</v>
      </c>
      <c r="AC260" s="131"/>
      <c r="AD260" s="131"/>
      <c r="AE260" s="131"/>
      <c r="AF260" s="158">
        <f t="shared" si="22"/>
        <v>7.9</v>
      </c>
      <c r="AG260" s="159"/>
      <c r="AH260" s="155"/>
      <c r="AI260" s="155" t="s">
        <v>83</v>
      </c>
      <c r="AJ260" s="131" t="str">
        <f>IFERROR(VLOOKUP(E260&amp;F260,'Listagem dos op'!A:S,19,0),"")</f>
        <v/>
      </c>
      <c r="AK260" s="131" t="str">
        <f t="shared" si="21"/>
        <v>Jan11469</v>
      </c>
      <c r="AL260" s="154">
        <f>IF(N260="","",IF(N260="SIM",VLOOKUP($I260&amp;$J260&amp;N$1,Pesos!$A:$I,7,FALSE),VLOOKUP($I260&amp;$J260&amp;N$1,Pesos!$A:$I,9,FALSE)))</f>
        <v>0.1</v>
      </c>
      <c r="AM260" s="154">
        <f>IF(O260="","",IF(O260="SIM",VLOOKUP($I260&amp;$J260&amp;O$1,Pesos!$A:$I,7,FALSE),VLOOKUP($I260&amp;$J260&amp;O$1,Pesos!$A:$I,9,FALSE)))</f>
        <v>0.1</v>
      </c>
      <c r="AN260" s="154">
        <f>IF(P260="","",IF(P260="SIM",VLOOKUP($I260&amp;$J260&amp;P$1,Pesos!$A:$I,7,FALSE),VLOOKUP($I260&amp;$J260&amp;P$1,Pesos!$A:$I,9,FALSE)))</f>
        <v>0.1</v>
      </c>
      <c r="AO260" s="154">
        <f>IF(Q260="","",IF(Q260="SIM",VLOOKUP($I260&amp;$J260&amp;Q$1,Pesos!$A:$I,7,FALSE),VLOOKUP($I260&amp;$J260&amp;Q$1,Pesos!$A:$I,9,FALSE)))</f>
        <v>0.4</v>
      </c>
      <c r="AP260" s="154">
        <f>IF(R260="","",IF(R260="SIM",VLOOKUP($I260&amp;$J260&amp;R$1,Pesos!$A:$I,7,FALSE),VLOOKUP($I260&amp;$J260&amp;R$1,Pesos!$A:$I,9,FALSE)))</f>
        <v>1.3</v>
      </c>
      <c r="AQ260" s="154">
        <f>IF(S260="","",IF(S260="SIM",VLOOKUP($I260&amp;$J260&amp;S$1,Pesos!$A:$I,7,FALSE),VLOOKUP($I260&amp;$J260&amp;S$1,Pesos!$A:$I,9,FALSE)))</f>
        <v>-0.1</v>
      </c>
      <c r="AR260" s="156">
        <f>IF(T260="","",IF(T260="SIM",VLOOKUP($I260&amp;$J260&amp;T$1,Pesos!$A:$I,7,FALSE),VLOOKUP($I260&amp;$J260&amp;T$1,Pesos!$A:$I,9,FALSE)))</f>
        <v>2</v>
      </c>
      <c r="AS260" s="132">
        <f>IF(U260="","",IF(U260="SIM",VLOOKUP($I260&amp;$J260&amp;U$1,Pesos!$A:$I,7,FALSE),VLOOKUP($I260&amp;$J260&amp;U$1,Pesos!$A:$I,9,FALSE)))</f>
        <v>1.33</v>
      </c>
      <c r="AT260" s="132">
        <f>IF(V260="","",IF(V260="SIM",VLOOKUP($I260&amp;$J260&amp;V$1,Pesos!$A:$I,7,FALSE),VLOOKUP($I260&amp;$J260&amp;V$1,Pesos!$A:$I,9,FALSE)))</f>
        <v>1.32</v>
      </c>
      <c r="AU260" s="132">
        <f>IF(W260="","",IF(W260="SIM",VLOOKUP($I260&amp;$J260&amp;W$1,Pesos!$A:$I,7,FALSE),VLOOKUP($I260&amp;$J260&amp;W$1,Pesos!$A:$I,9,FALSE)))</f>
        <v>0.3</v>
      </c>
      <c r="AV260" s="132">
        <f>IF(X260="","",IF(X260="SIM",VLOOKUP($I260&amp;$J260&amp;X$1,Pesos!$A:$I,7,FALSE),VLOOKUP($I260&amp;$J260&amp;X$1,Pesos!$A:$I,9,FALSE)))</f>
        <v>0.3</v>
      </c>
      <c r="AW260" s="132">
        <f>IF(Y260="","",IF(Y260="SIM",VLOOKUP($I260&amp;$J260&amp;Y$1,Pesos!$A:$I,7,FALSE),VLOOKUP($I260&amp;$J260&amp;Y$1,Pesos!$A:$I,9,FALSE)))</f>
        <v>0.15</v>
      </c>
      <c r="AX260" s="132">
        <f>IF(Z260="","",IF(Z260="SIM",VLOOKUP($I260&amp;$J260&amp;Z$1,Pesos!$A:$I,7,FALSE),VLOOKUP($I260&amp;$J260&amp;Z$1,Pesos!$A:$I,9,FALSE)))</f>
        <v>0.2</v>
      </c>
      <c r="AY260" s="132">
        <f>IF(AA260="","",IF(AA260="SIM",VLOOKUP($I260&amp;$J260&amp;AA$1,Pesos!$A:$I,7,FALSE),VLOOKUP($I260&amp;$J260&amp;AA$1,Pesos!$A:$I,9,FALSE)))</f>
        <v>0.3</v>
      </c>
      <c r="AZ260" s="132">
        <f>IF(AB260="","",IF(AB260="SIM",VLOOKUP($I260&amp;$J260&amp;AB$1,Pesos!$A:$I,7,FALSE),VLOOKUP($I260&amp;$J260&amp;AB$1,Pesos!$A:$I,9,FALSE)))</f>
        <v>0.1</v>
      </c>
      <c r="BA260" s="132" t="str">
        <f>IF(AC260="","",IF(AC260="SIM",VLOOKUP($I260&amp;$J260&amp;AC$1,Pesos!$A:$I,7,FALSE),VLOOKUP($I260&amp;$J260&amp;AC$1,Pesos!$A:$I,9,FALSE)))</f>
        <v/>
      </c>
      <c r="BB260" s="132" t="str">
        <f>IF(AD260="","",IF(AD260="SIM",VLOOKUP($I260&amp;$J260&amp;AD$1,Pesos!$A:$I,7,FALSE),VLOOKUP($I260&amp;$J260&amp;AD$1,Pesos!$A:$I,9,FALSE)))</f>
        <v/>
      </c>
      <c r="BC260" s="132" t="str">
        <f>IF(AE260="","",IF(AE260="SIM",VLOOKUP($I260&amp;$J260&amp;AE$1,Pesos!$A:$I,7,FALSE),VLOOKUP($I260&amp;$J260&amp;AE$1,Pesos!$A:$I,9,FALSE)))</f>
        <v/>
      </c>
      <c r="BD260" s="158">
        <f>IFERROR(AF260*VLOOKUP(J260,'BD Campos'!$X$1:$Y$14,2,FALSE),"0")</f>
        <v>7.9</v>
      </c>
    </row>
    <row r="261" spans="1:56">
      <c r="A261" s="151" t="str">
        <f t="shared" si="19"/>
        <v>Jan11469Motorista 2LOGÍSTICA</v>
      </c>
      <c r="B261" s="149" t="str">
        <f t="shared" si="20"/>
        <v>Jan114692LOGÍSTICAPADRÃO</v>
      </c>
      <c r="C261" s="152">
        <v>1</v>
      </c>
      <c r="D261" s="153">
        <v>46059.679197916666</v>
      </c>
      <c r="E261" s="154" t="s">
        <v>12</v>
      </c>
      <c r="F261" s="155">
        <v>11469</v>
      </c>
      <c r="G261" s="149" t="s">
        <v>479</v>
      </c>
      <c r="H261" s="154">
        <v>2</v>
      </c>
      <c r="I261" s="149" t="s">
        <v>480</v>
      </c>
      <c r="J261" s="149" t="s">
        <v>97</v>
      </c>
      <c r="K261" s="149" t="s">
        <v>315</v>
      </c>
      <c r="L261" s="156"/>
      <c r="M261" s="157">
        <v>8.9120370370370362E-4</v>
      </c>
      <c r="N261" s="131" t="s">
        <v>17</v>
      </c>
      <c r="O261" s="131" t="s">
        <v>17</v>
      </c>
      <c r="P261" s="131" t="s">
        <v>17</v>
      </c>
      <c r="Q261" s="131" t="s">
        <v>17</v>
      </c>
      <c r="R261" s="131" t="s">
        <v>17</v>
      </c>
      <c r="S261" s="131" t="s">
        <v>17</v>
      </c>
      <c r="T261" s="131" t="s">
        <v>18</v>
      </c>
      <c r="U261" s="131" t="s">
        <v>17</v>
      </c>
      <c r="V261" s="131" t="s">
        <v>17</v>
      </c>
      <c r="W261" s="131" t="s">
        <v>17</v>
      </c>
      <c r="X261" s="131" t="s">
        <v>17</v>
      </c>
      <c r="Y261" s="131" t="s">
        <v>17</v>
      </c>
      <c r="Z261" s="131" t="s">
        <v>17</v>
      </c>
      <c r="AA261" s="131" t="s">
        <v>17</v>
      </c>
      <c r="AB261" s="131" t="s">
        <v>17</v>
      </c>
      <c r="AC261" s="131"/>
      <c r="AD261" s="131"/>
      <c r="AE261" s="131"/>
      <c r="AF261" s="158">
        <f t="shared" si="22"/>
        <v>7.9</v>
      </c>
      <c r="AG261" s="159"/>
      <c r="AH261" s="155"/>
      <c r="AI261" s="155" t="s">
        <v>83</v>
      </c>
      <c r="AJ261" s="131" t="str">
        <f>IFERROR(VLOOKUP(E261&amp;F261,'Listagem dos op'!A:S,19,0),"")</f>
        <v/>
      </c>
      <c r="AK261" s="131" t="str">
        <f t="shared" si="21"/>
        <v>Jan11469</v>
      </c>
      <c r="AL261" s="154">
        <f>IF(N261="","",IF(N261="SIM",VLOOKUP($I261&amp;$J261&amp;N$1,Pesos!$A:$I,7,FALSE),VLOOKUP($I261&amp;$J261&amp;N$1,Pesos!$A:$I,9,FALSE)))</f>
        <v>0.1</v>
      </c>
      <c r="AM261" s="154">
        <f>IF(O261="","",IF(O261="SIM",VLOOKUP($I261&amp;$J261&amp;O$1,Pesos!$A:$I,7,FALSE),VLOOKUP($I261&amp;$J261&amp;O$1,Pesos!$A:$I,9,FALSE)))</f>
        <v>0.1</v>
      </c>
      <c r="AN261" s="154">
        <f>IF(P261="","",IF(P261="SIM",VLOOKUP($I261&amp;$J261&amp;P$1,Pesos!$A:$I,7,FALSE),VLOOKUP($I261&amp;$J261&amp;P$1,Pesos!$A:$I,9,FALSE)))</f>
        <v>0.1</v>
      </c>
      <c r="AO261" s="154">
        <f>IF(Q261="","",IF(Q261="SIM",VLOOKUP($I261&amp;$J261&amp;Q$1,Pesos!$A:$I,7,FALSE),VLOOKUP($I261&amp;$J261&amp;Q$1,Pesos!$A:$I,9,FALSE)))</f>
        <v>0.4</v>
      </c>
      <c r="AP261" s="154">
        <f>IF(R261="","",IF(R261="SIM",VLOOKUP($I261&amp;$J261&amp;R$1,Pesos!$A:$I,7,FALSE),VLOOKUP($I261&amp;$J261&amp;R$1,Pesos!$A:$I,9,FALSE)))</f>
        <v>1.3</v>
      </c>
      <c r="AQ261" s="154">
        <f>IF(S261="","",IF(S261="SIM",VLOOKUP($I261&amp;$J261&amp;S$1,Pesos!$A:$I,7,FALSE),VLOOKUP($I261&amp;$J261&amp;S$1,Pesos!$A:$I,9,FALSE)))</f>
        <v>2</v>
      </c>
      <c r="AR261" s="156">
        <f>IF(T261="","",IF(T261="SIM",VLOOKUP($I261&amp;$J261&amp;T$1,Pesos!$A:$I,7,FALSE),VLOOKUP($I261&amp;$J261&amp;T$1,Pesos!$A:$I,9,FALSE)))</f>
        <v>-0.1</v>
      </c>
      <c r="AS261" s="132">
        <f>IF(U261="","",IF(U261="SIM",VLOOKUP($I261&amp;$J261&amp;U$1,Pesos!$A:$I,7,FALSE),VLOOKUP($I261&amp;$J261&amp;U$1,Pesos!$A:$I,9,FALSE)))</f>
        <v>1.33</v>
      </c>
      <c r="AT261" s="132">
        <f>IF(V261="","",IF(V261="SIM",VLOOKUP($I261&amp;$J261&amp;V$1,Pesos!$A:$I,7,FALSE),VLOOKUP($I261&amp;$J261&amp;V$1,Pesos!$A:$I,9,FALSE)))</f>
        <v>1.32</v>
      </c>
      <c r="AU261" s="132">
        <f>IF(W261="","",IF(W261="SIM",VLOOKUP($I261&amp;$J261&amp;W$1,Pesos!$A:$I,7,FALSE),VLOOKUP($I261&amp;$J261&amp;W$1,Pesos!$A:$I,9,FALSE)))</f>
        <v>0.3</v>
      </c>
      <c r="AV261" s="132">
        <f>IF(X261="","",IF(X261="SIM",VLOOKUP($I261&amp;$J261&amp;X$1,Pesos!$A:$I,7,FALSE),VLOOKUP($I261&amp;$J261&amp;X$1,Pesos!$A:$I,9,FALSE)))</f>
        <v>0.3</v>
      </c>
      <c r="AW261" s="132">
        <f>IF(Y261="","",IF(Y261="SIM",VLOOKUP($I261&amp;$J261&amp;Y$1,Pesos!$A:$I,7,FALSE),VLOOKUP($I261&amp;$J261&amp;Y$1,Pesos!$A:$I,9,FALSE)))</f>
        <v>0.15</v>
      </c>
      <c r="AX261" s="132">
        <f>IF(Z261="","",IF(Z261="SIM",VLOOKUP($I261&amp;$J261&amp;Z$1,Pesos!$A:$I,7,FALSE),VLOOKUP($I261&amp;$J261&amp;Z$1,Pesos!$A:$I,9,FALSE)))</f>
        <v>0.2</v>
      </c>
      <c r="AY261" s="132">
        <f>IF(AA261="","",IF(AA261="SIM",VLOOKUP($I261&amp;$J261&amp;AA$1,Pesos!$A:$I,7,FALSE),VLOOKUP($I261&amp;$J261&amp;AA$1,Pesos!$A:$I,9,FALSE)))</f>
        <v>0.3</v>
      </c>
      <c r="AZ261" s="132">
        <f>IF(AB261="","",IF(AB261="SIM",VLOOKUP($I261&amp;$J261&amp;AB$1,Pesos!$A:$I,7,FALSE),VLOOKUP($I261&amp;$J261&amp;AB$1,Pesos!$A:$I,9,FALSE)))</f>
        <v>0.1</v>
      </c>
      <c r="BA261" s="132" t="str">
        <f>IF(AC261="","",IF(AC261="SIM",VLOOKUP($I261&amp;$J261&amp;AC$1,Pesos!$A:$I,7,FALSE),VLOOKUP($I261&amp;$J261&amp;AC$1,Pesos!$A:$I,9,FALSE)))</f>
        <v/>
      </c>
      <c r="BB261" s="132" t="str">
        <f>IF(AD261="","",IF(AD261="SIM",VLOOKUP($I261&amp;$J261&amp;AD$1,Pesos!$A:$I,7,FALSE),VLOOKUP($I261&amp;$J261&amp;AD$1,Pesos!$A:$I,9,FALSE)))</f>
        <v/>
      </c>
      <c r="BC261" s="132" t="str">
        <f>IF(AE261="","",IF(AE261="SIM",VLOOKUP($I261&amp;$J261&amp;AE$1,Pesos!$A:$I,7,FALSE),VLOOKUP($I261&amp;$J261&amp;AE$1,Pesos!$A:$I,9,FALSE)))</f>
        <v/>
      </c>
      <c r="BD261" s="158">
        <f>IFERROR(AF261*VLOOKUP(J261,'BD Campos'!$X$1:$Y$14,2,FALSE),"0")</f>
        <v>7.9</v>
      </c>
    </row>
    <row r="262" spans="1:56">
      <c r="A262" s="151" t="str">
        <f t="shared" si="19"/>
        <v>Jan11347MotoristaDISTRIBUIÇÃO</v>
      </c>
      <c r="B262" s="149" t="str">
        <f t="shared" si="20"/>
        <v>Jan113471DISTRIBUIÇÃOPADRÃO</v>
      </c>
      <c r="C262" s="152">
        <v>1</v>
      </c>
      <c r="D262" s="153">
        <v>46059.698277662035</v>
      </c>
      <c r="E262" s="154" t="s">
        <v>12</v>
      </c>
      <c r="F262" s="155">
        <v>11347</v>
      </c>
      <c r="G262" s="149" t="s">
        <v>481</v>
      </c>
      <c r="H262" s="154">
        <v>1</v>
      </c>
      <c r="I262" s="149" t="s">
        <v>92</v>
      </c>
      <c r="J262" s="149" t="s">
        <v>93</v>
      </c>
      <c r="K262" s="149" t="s">
        <v>94</v>
      </c>
      <c r="L262" s="156">
        <v>34604909</v>
      </c>
      <c r="M262" s="157">
        <v>1.0532407407407407E-3</v>
      </c>
      <c r="N262" s="131" t="s">
        <v>17</v>
      </c>
      <c r="O262" s="131" t="s">
        <v>17</v>
      </c>
      <c r="P262" s="131" t="s">
        <v>17</v>
      </c>
      <c r="Q262" s="131" t="s">
        <v>17</v>
      </c>
      <c r="R262" s="131" t="s">
        <v>17</v>
      </c>
      <c r="S262" s="131" t="s">
        <v>17</v>
      </c>
      <c r="T262" s="131" t="s">
        <v>17</v>
      </c>
      <c r="U262" s="131" t="s">
        <v>18</v>
      </c>
      <c r="V262" s="131" t="s">
        <v>17</v>
      </c>
      <c r="W262" s="131" t="s">
        <v>17</v>
      </c>
      <c r="X262" s="131" t="s">
        <v>17</v>
      </c>
      <c r="Y262" s="131" t="s">
        <v>17</v>
      </c>
      <c r="Z262" s="131" t="s">
        <v>17</v>
      </c>
      <c r="AA262" s="131" t="s">
        <v>17</v>
      </c>
      <c r="AB262" s="131"/>
      <c r="AC262" s="131"/>
      <c r="AD262" s="131"/>
      <c r="AE262" s="131"/>
      <c r="AF262" s="158">
        <f t="shared" si="22"/>
        <v>8.2149999999999999</v>
      </c>
      <c r="AG262" s="159"/>
      <c r="AH262" s="155" t="s">
        <v>482</v>
      </c>
      <c r="AI262" s="155" t="s">
        <v>83</v>
      </c>
      <c r="AJ262" s="131" t="str">
        <f>IFERROR(VLOOKUP(E262&amp;F262,'Listagem dos op'!A:S,19,0),"")</f>
        <v/>
      </c>
      <c r="AK262" s="131" t="str">
        <f t="shared" si="21"/>
        <v>Jan11347</v>
      </c>
      <c r="AL262" s="154">
        <f>IF(N262="","",IF(N262="SIM",VLOOKUP($I262&amp;$J262&amp;N$1,Pesos!$A:$I,7,FALSE),VLOOKUP($I262&amp;$J262&amp;N$1,Pesos!$A:$I,9,FALSE)))</f>
        <v>0.1</v>
      </c>
      <c r="AM262" s="154">
        <f>IF(O262="","",IF(O262="SIM",VLOOKUP($I262&amp;$J262&amp;O$1,Pesos!$A:$I,7,FALSE),VLOOKUP($I262&amp;$J262&amp;O$1,Pesos!$A:$I,9,FALSE)))</f>
        <v>0.1</v>
      </c>
      <c r="AN262" s="154">
        <f>IF(P262="","",IF(P262="SIM",VLOOKUP($I262&amp;$J262&amp;P$1,Pesos!$A:$I,7,FALSE),VLOOKUP($I262&amp;$J262&amp;P$1,Pesos!$A:$I,9,FALSE)))</f>
        <v>0.1</v>
      </c>
      <c r="AO262" s="154">
        <f>IF(Q262="","",IF(Q262="SIM",VLOOKUP($I262&amp;$J262&amp;Q$1,Pesos!$A:$I,7,FALSE),VLOOKUP($I262&amp;$J262&amp;Q$1,Pesos!$A:$I,9,FALSE)))</f>
        <v>2</v>
      </c>
      <c r="AP262" s="154">
        <f>IF(R262="","",IF(R262="SIM",VLOOKUP($I262&amp;$J262&amp;R$1,Pesos!$A:$I,7,FALSE),VLOOKUP($I262&amp;$J262&amp;R$1,Pesos!$A:$I,9,FALSE)))</f>
        <v>1.03</v>
      </c>
      <c r="AQ262" s="154">
        <f>IF(S262="","",IF(S262="SIM",VLOOKUP($I262&amp;$J262&amp;S$1,Pesos!$A:$I,7,FALSE),VLOOKUP($I262&amp;$J262&amp;S$1,Pesos!$A:$I,9,FALSE)))</f>
        <v>1.7000000000000002</v>
      </c>
      <c r="AR262" s="156">
        <f>IF(T262="","",IF(T262="SIM",VLOOKUP($I262&amp;$J262&amp;T$1,Pesos!$A:$I,7,FALSE),VLOOKUP($I262&amp;$J262&amp;T$1,Pesos!$A:$I,9,FALSE)))</f>
        <v>1.92</v>
      </c>
      <c r="AS262" s="132">
        <f>IF(U262="","",IF(U262="SIM",VLOOKUP($I262&amp;$J262&amp;U$1,Pesos!$A:$I,7,FALSE),VLOOKUP($I262&amp;$J262&amp;U$1,Pesos!$A:$I,9,FALSE)))</f>
        <v>-8.500000000000002E-2</v>
      </c>
      <c r="AT262" s="132">
        <f>IF(V262="","",IF(V262="SIM",VLOOKUP($I262&amp;$J262&amp;V$1,Pesos!$A:$I,7,FALSE),VLOOKUP($I262&amp;$J262&amp;V$1,Pesos!$A:$I,9,FALSE)))</f>
        <v>0.3</v>
      </c>
      <c r="AU262" s="132">
        <f>IF(W262="","",IF(W262="SIM",VLOOKUP($I262&amp;$J262&amp;W$1,Pesos!$A:$I,7,FALSE),VLOOKUP($I262&amp;$J262&amp;W$1,Pesos!$A:$I,9,FALSE)))</f>
        <v>0.3</v>
      </c>
      <c r="AV262" s="132">
        <f>IF(X262="","",IF(X262="SIM",VLOOKUP($I262&amp;$J262&amp;X$1,Pesos!$A:$I,7,FALSE),VLOOKUP($I262&amp;$J262&amp;X$1,Pesos!$A:$I,9,FALSE)))</f>
        <v>0.15</v>
      </c>
      <c r="AW262" s="132">
        <f>IF(Y262="","",IF(Y262="SIM",VLOOKUP($I262&amp;$J262&amp;Y$1,Pesos!$A:$I,7,FALSE),VLOOKUP($I262&amp;$J262&amp;Y$1,Pesos!$A:$I,9,FALSE)))</f>
        <v>0.2</v>
      </c>
      <c r="AX262" s="132">
        <f>IF(Z262="","",IF(Z262="SIM",VLOOKUP($I262&amp;$J262&amp;Z$1,Pesos!$A:$I,7,FALSE),VLOOKUP($I262&amp;$J262&amp;Z$1,Pesos!$A:$I,9,FALSE)))</f>
        <v>0.3</v>
      </c>
      <c r="AY262" s="132">
        <f>IF(AA262="","",IF(AA262="SIM",VLOOKUP($I262&amp;$J262&amp;AA$1,Pesos!$A:$I,7,FALSE),VLOOKUP($I262&amp;$J262&amp;AA$1,Pesos!$A:$I,9,FALSE)))</f>
        <v>0.1</v>
      </c>
      <c r="AZ262" s="132" t="str">
        <f>IF(AB262="","",IF(AB262="SIM",VLOOKUP($I262&amp;$J262&amp;AB$1,Pesos!$A:$I,7,FALSE),VLOOKUP($I262&amp;$J262&amp;AB$1,Pesos!$A:$I,9,FALSE)))</f>
        <v/>
      </c>
      <c r="BA262" s="132" t="str">
        <f>IF(AC262="","",IF(AC262="SIM",VLOOKUP($I262&amp;$J262&amp;AC$1,Pesos!$A:$I,7,FALSE),VLOOKUP($I262&amp;$J262&amp;AC$1,Pesos!$A:$I,9,FALSE)))</f>
        <v/>
      </c>
      <c r="BB262" s="132" t="str">
        <f>IF(AD262="","",IF(AD262="SIM",VLOOKUP($I262&amp;$J262&amp;AD$1,Pesos!$A:$I,7,FALSE),VLOOKUP($I262&amp;$J262&amp;AD$1,Pesos!$A:$I,9,FALSE)))</f>
        <v/>
      </c>
      <c r="BC262" s="132" t="str">
        <f>IF(AE262="","",IF(AE262="SIM",VLOOKUP($I262&amp;$J262&amp;AE$1,Pesos!$A:$I,7,FALSE),VLOOKUP($I262&amp;$J262&amp;AE$1,Pesos!$A:$I,9,FALSE)))</f>
        <v/>
      </c>
      <c r="BD262" s="158">
        <f>IFERROR(AF262*VLOOKUP(J262,'BD Campos'!$X$1:$Y$14,2,FALSE),"0")</f>
        <v>8.2149999999999999</v>
      </c>
    </row>
    <row r="263" spans="1:56">
      <c r="A263" s="151" t="str">
        <f t="shared" si="19"/>
        <v>Jan11347Motorista 2DISTRIBUIÇÃO</v>
      </c>
      <c r="B263" s="149" t="str">
        <f t="shared" si="20"/>
        <v>Jan113472DISTRIBUIÇÃOPADRÃO</v>
      </c>
      <c r="C263" s="152">
        <v>1</v>
      </c>
      <c r="D263" s="153">
        <v>46059.701135763891</v>
      </c>
      <c r="E263" s="154" t="s">
        <v>12</v>
      </c>
      <c r="F263" s="155">
        <v>11347</v>
      </c>
      <c r="G263" s="149" t="s">
        <v>481</v>
      </c>
      <c r="H263" s="154">
        <v>2</v>
      </c>
      <c r="I263" s="149" t="s">
        <v>130</v>
      </c>
      <c r="J263" s="149" t="s">
        <v>97</v>
      </c>
      <c r="K263" s="149" t="s">
        <v>94</v>
      </c>
      <c r="L263" s="156">
        <v>34635451</v>
      </c>
      <c r="M263" s="157">
        <v>3.9120370370370368E-3</v>
      </c>
      <c r="N263" s="131"/>
      <c r="O263" s="131"/>
      <c r="P263" s="131"/>
      <c r="Q263" s="131"/>
      <c r="R263" s="131"/>
      <c r="S263" s="131"/>
      <c r="T263" s="131"/>
      <c r="U263" s="131"/>
      <c r="V263" s="131"/>
      <c r="W263" s="131"/>
      <c r="X263" s="131"/>
      <c r="Y263" s="131"/>
      <c r="Z263" s="131"/>
      <c r="AA263" s="131"/>
      <c r="AB263" s="131"/>
      <c r="AC263" s="131"/>
      <c r="AD263" s="131"/>
      <c r="AE263" s="131"/>
      <c r="AF263" s="158">
        <f t="shared" si="22"/>
        <v>0</v>
      </c>
      <c r="AG263" s="159" t="s">
        <v>247</v>
      </c>
      <c r="AH263" s="155" t="s">
        <v>483</v>
      </c>
      <c r="AI263" s="155" t="s">
        <v>83</v>
      </c>
      <c r="AJ263" s="131" t="str">
        <f>IFERROR(VLOOKUP(E263&amp;F263,'Listagem dos op'!A:S,19,0),"")</f>
        <v/>
      </c>
      <c r="AK263" s="131" t="str">
        <f t="shared" si="21"/>
        <v>Jan11347</v>
      </c>
      <c r="AL263" s="154" t="str">
        <f>IF(N263="","",IF(N263="SIM",VLOOKUP($I263&amp;$J263&amp;N$1,Pesos!$A:$I,7,FALSE),VLOOKUP($I263&amp;$J263&amp;N$1,Pesos!$A:$I,9,FALSE)))</f>
        <v/>
      </c>
      <c r="AM263" s="154" t="str">
        <f>IF(O263="","",IF(O263="SIM",VLOOKUP($I263&amp;$J263&amp;O$1,Pesos!$A:$I,7,FALSE),VLOOKUP($I263&amp;$J263&amp;O$1,Pesos!$A:$I,9,FALSE)))</f>
        <v/>
      </c>
      <c r="AN263" s="154" t="str">
        <f>IF(P263="","",IF(P263="SIM",VLOOKUP($I263&amp;$J263&amp;P$1,Pesos!$A:$I,7,FALSE),VLOOKUP($I263&amp;$J263&amp;P$1,Pesos!$A:$I,9,FALSE)))</f>
        <v/>
      </c>
      <c r="AO263" s="154" t="str">
        <f>IF(Q263="","",IF(Q263="SIM",VLOOKUP($I263&amp;$J263&amp;Q$1,Pesos!$A:$I,7,FALSE),VLOOKUP($I263&amp;$J263&amp;Q$1,Pesos!$A:$I,9,FALSE)))</f>
        <v/>
      </c>
      <c r="AP263" s="154" t="str">
        <f>IF(R263="","",IF(R263="SIM",VLOOKUP($I263&amp;$J263&amp;R$1,Pesos!$A:$I,7,FALSE),VLOOKUP($I263&amp;$J263&amp;R$1,Pesos!$A:$I,9,FALSE)))</f>
        <v/>
      </c>
      <c r="AQ263" s="154" t="str">
        <f>IF(S263="","",IF(S263="SIM",VLOOKUP($I263&amp;$J263&amp;S$1,Pesos!$A:$I,7,FALSE),VLOOKUP($I263&amp;$J263&amp;S$1,Pesos!$A:$I,9,FALSE)))</f>
        <v/>
      </c>
      <c r="AR263" s="156" t="str">
        <f>IF(T263="","",IF(T263="SIM",VLOOKUP($I263&amp;$J263&amp;T$1,Pesos!$A:$I,7,FALSE),VLOOKUP($I263&amp;$J263&amp;T$1,Pesos!$A:$I,9,FALSE)))</f>
        <v/>
      </c>
      <c r="AS263" s="132" t="str">
        <f>IF(U263="","",IF(U263="SIM",VLOOKUP($I263&amp;$J263&amp;U$1,Pesos!$A:$I,7,FALSE),VLOOKUP($I263&amp;$J263&amp;U$1,Pesos!$A:$I,9,FALSE)))</f>
        <v/>
      </c>
      <c r="AT263" s="132" t="str">
        <f>IF(V263="","",IF(V263="SIM",VLOOKUP($I263&amp;$J263&amp;V$1,Pesos!$A:$I,7,FALSE),VLOOKUP($I263&amp;$J263&amp;V$1,Pesos!$A:$I,9,FALSE)))</f>
        <v/>
      </c>
      <c r="AU263" s="132" t="str">
        <f>IF(W263="","",IF(W263="SIM",VLOOKUP($I263&amp;$J263&amp;W$1,Pesos!$A:$I,7,FALSE),VLOOKUP($I263&amp;$J263&amp;W$1,Pesos!$A:$I,9,FALSE)))</f>
        <v/>
      </c>
      <c r="AV263" s="132" t="str">
        <f>IF(X263="","",IF(X263="SIM",VLOOKUP($I263&amp;$J263&amp;X$1,Pesos!$A:$I,7,FALSE),VLOOKUP($I263&amp;$J263&amp;X$1,Pesos!$A:$I,9,FALSE)))</f>
        <v/>
      </c>
      <c r="AW263" s="132" t="str">
        <f>IF(Y263="","",IF(Y263="SIM",VLOOKUP($I263&amp;$J263&amp;Y$1,Pesos!$A:$I,7,FALSE),VLOOKUP($I263&amp;$J263&amp;Y$1,Pesos!$A:$I,9,FALSE)))</f>
        <v/>
      </c>
      <c r="AX263" s="132" t="str">
        <f>IF(Z263="","",IF(Z263="SIM",VLOOKUP($I263&amp;$J263&amp;Z$1,Pesos!$A:$I,7,FALSE),VLOOKUP($I263&amp;$J263&amp;Z$1,Pesos!$A:$I,9,FALSE)))</f>
        <v/>
      </c>
      <c r="AY263" s="132" t="str">
        <f>IF(AA263="","",IF(AA263="SIM",VLOOKUP($I263&amp;$J263&amp;AA$1,Pesos!$A:$I,7,FALSE),VLOOKUP($I263&amp;$J263&amp;AA$1,Pesos!$A:$I,9,FALSE)))</f>
        <v/>
      </c>
      <c r="AZ263" s="132" t="str">
        <f>IF(AB263="","",IF(AB263="SIM",VLOOKUP($I263&amp;$J263&amp;AB$1,Pesos!$A:$I,7,FALSE),VLOOKUP($I263&amp;$J263&amp;AB$1,Pesos!$A:$I,9,FALSE)))</f>
        <v/>
      </c>
      <c r="BA263" s="132" t="str">
        <f>IF(AC263="","",IF(AC263="SIM",VLOOKUP($I263&amp;$J263&amp;AC$1,Pesos!$A:$I,7,FALSE),VLOOKUP($I263&amp;$J263&amp;AC$1,Pesos!$A:$I,9,FALSE)))</f>
        <v/>
      </c>
      <c r="BB263" s="132" t="str">
        <f>IF(AD263="","",IF(AD263="SIM",VLOOKUP($I263&amp;$J263&amp;AD$1,Pesos!$A:$I,7,FALSE),VLOOKUP($I263&amp;$J263&amp;AD$1,Pesos!$A:$I,9,FALSE)))</f>
        <v/>
      </c>
      <c r="BC263" s="132" t="str">
        <f>IF(AE263="","",IF(AE263="SIM",VLOOKUP($I263&amp;$J263&amp;AE$1,Pesos!$A:$I,7,FALSE),VLOOKUP($I263&amp;$J263&amp;AE$1,Pesos!$A:$I,9,FALSE)))</f>
        <v/>
      </c>
      <c r="BD263" s="158">
        <f>IFERROR(AF263*VLOOKUP(J263,'BD Campos'!$X$1:$Y$14,2,FALSE),"0")</f>
        <v>0</v>
      </c>
    </row>
    <row r="264" spans="1:56">
      <c r="A264" s="151" t="str">
        <f t="shared" si="19"/>
        <v>Jan11159DISTRIBUIÇÃO</v>
      </c>
      <c r="B264" s="149" t="str">
        <f t="shared" si="20"/>
        <v>Jan111591DISTRIBUIÇÃOPADRÃO</v>
      </c>
      <c r="C264" s="152">
        <v>1</v>
      </c>
      <c r="D264" s="153">
        <v>46059.701766087965</v>
      </c>
      <c r="E264" s="154" t="s">
        <v>12</v>
      </c>
      <c r="F264" s="155">
        <v>11159</v>
      </c>
      <c r="G264" s="149" t="s">
        <v>484</v>
      </c>
      <c r="H264" s="154">
        <v>1</v>
      </c>
      <c r="I264" s="149" t="s">
        <v>485</v>
      </c>
      <c r="J264" s="149"/>
      <c r="K264" s="149" t="s">
        <v>94</v>
      </c>
      <c r="L264" s="156"/>
      <c r="M264" s="157"/>
      <c r="N264" s="131"/>
      <c r="O264" s="131"/>
      <c r="P264" s="131"/>
      <c r="Q264" s="131"/>
      <c r="R264" s="131"/>
      <c r="S264" s="131"/>
      <c r="T264" s="131"/>
      <c r="U264" s="131"/>
      <c r="V264" s="131"/>
      <c r="W264" s="131"/>
      <c r="X264" s="131"/>
      <c r="Y264" s="131"/>
      <c r="Z264" s="131"/>
      <c r="AA264" s="131"/>
      <c r="AB264" s="131"/>
      <c r="AC264" s="131"/>
      <c r="AD264" s="131"/>
      <c r="AE264" s="131"/>
      <c r="AF264" s="158">
        <f t="shared" si="22"/>
        <v>0</v>
      </c>
      <c r="AG264" s="159"/>
      <c r="AH264" s="155"/>
      <c r="AI264" s="155" t="s">
        <v>83</v>
      </c>
      <c r="AJ264" s="131" t="str">
        <f>IFERROR(VLOOKUP(E264&amp;F264,'Listagem dos op'!A:S,19,0),"")</f>
        <v/>
      </c>
      <c r="AK264" s="131" t="str">
        <f t="shared" si="21"/>
        <v>Jan11159</v>
      </c>
      <c r="AL264" s="154" t="str">
        <f>IF(N264="","",IF(N264="SIM",VLOOKUP($I264&amp;$J264&amp;N$1,Pesos!$A:$I,7,FALSE),VLOOKUP($I264&amp;$J264&amp;N$1,Pesos!$A:$I,9,FALSE)))</f>
        <v/>
      </c>
      <c r="AM264" s="154" t="str">
        <f>IF(O264="","",IF(O264="SIM",VLOOKUP($I264&amp;$J264&amp;O$1,Pesos!$A:$I,7,FALSE),VLOOKUP($I264&amp;$J264&amp;O$1,Pesos!$A:$I,9,FALSE)))</f>
        <v/>
      </c>
      <c r="AN264" s="154" t="str">
        <f>IF(P264="","",IF(P264="SIM",VLOOKUP($I264&amp;$J264&amp;P$1,Pesos!$A:$I,7,FALSE),VLOOKUP($I264&amp;$J264&amp;P$1,Pesos!$A:$I,9,FALSE)))</f>
        <v/>
      </c>
      <c r="AO264" s="154" t="str">
        <f>IF(Q264="","",IF(Q264="SIM",VLOOKUP($I264&amp;$J264&amp;Q$1,Pesos!$A:$I,7,FALSE),VLOOKUP($I264&amp;$J264&amp;Q$1,Pesos!$A:$I,9,FALSE)))</f>
        <v/>
      </c>
      <c r="AP264" s="154" t="str">
        <f>IF(R264="","",IF(R264="SIM",VLOOKUP($I264&amp;$J264&amp;R$1,Pesos!$A:$I,7,FALSE),VLOOKUP($I264&amp;$J264&amp;R$1,Pesos!$A:$I,9,FALSE)))</f>
        <v/>
      </c>
      <c r="AQ264" s="154" t="str">
        <f>IF(S264="","",IF(S264="SIM",VLOOKUP($I264&amp;$J264&amp;S$1,Pesos!$A:$I,7,FALSE),VLOOKUP($I264&amp;$J264&amp;S$1,Pesos!$A:$I,9,FALSE)))</f>
        <v/>
      </c>
      <c r="AR264" s="156" t="str">
        <f>IF(T264="","",IF(T264="SIM",VLOOKUP($I264&amp;$J264&amp;T$1,Pesos!$A:$I,7,FALSE),VLOOKUP($I264&amp;$J264&amp;T$1,Pesos!$A:$I,9,FALSE)))</f>
        <v/>
      </c>
      <c r="AS264" s="132" t="str">
        <f>IF(U264="","",IF(U264="SIM",VLOOKUP($I264&amp;$J264&amp;U$1,Pesos!$A:$I,7,FALSE),VLOOKUP($I264&amp;$J264&amp;U$1,Pesos!$A:$I,9,FALSE)))</f>
        <v/>
      </c>
      <c r="AT264" s="132" t="str">
        <f>IF(V264="","",IF(V264="SIM",VLOOKUP($I264&amp;$J264&amp;V$1,Pesos!$A:$I,7,FALSE),VLOOKUP($I264&amp;$J264&amp;V$1,Pesos!$A:$I,9,FALSE)))</f>
        <v/>
      </c>
      <c r="AU264" s="132" t="str">
        <f>IF(W264="","",IF(W264="SIM",VLOOKUP($I264&amp;$J264&amp;W$1,Pesos!$A:$I,7,FALSE),VLOOKUP($I264&amp;$J264&amp;W$1,Pesos!$A:$I,9,FALSE)))</f>
        <v/>
      </c>
      <c r="AV264" s="132" t="str">
        <f>IF(X264="","",IF(X264="SIM",VLOOKUP($I264&amp;$J264&amp;X$1,Pesos!$A:$I,7,FALSE),VLOOKUP($I264&amp;$J264&amp;X$1,Pesos!$A:$I,9,FALSE)))</f>
        <v/>
      </c>
      <c r="AW264" s="132" t="str">
        <f>IF(Y264="","",IF(Y264="SIM",VLOOKUP($I264&amp;$J264&amp;Y$1,Pesos!$A:$I,7,FALSE),VLOOKUP($I264&amp;$J264&amp;Y$1,Pesos!$A:$I,9,FALSE)))</f>
        <v/>
      </c>
      <c r="AX264" s="132" t="str">
        <f>IF(Z264="","",IF(Z264="SIM",VLOOKUP($I264&amp;$J264&amp;Z$1,Pesos!$A:$I,7,FALSE),VLOOKUP($I264&amp;$J264&amp;Z$1,Pesos!$A:$I,9,FALSE)))</f>
        <v/>
      </c>
      <c r="AY264" s="132" t="str">
        <f>IF(AA264="","",IF(AA264="SIM",VLOOKUP($I264&amp;$J264&amp;AA$1,Pesos!$A:$I,7,FALSE),VLOOKUP($I264&amp;$J264&amp;AA$1,Pesos!$A:$I,9,FALSE)))</f>
        <v/>
      </c>
      <c r="AZ264" s="132" t="str">
        <f>IF(AB264="","",IF(AB264="SIM",VLOOKUP($I264&amp;$J264&amp;AB$1,Pesos!$A:$I,7,FALSE),VLOOKUP($I264&amp;$J264&amp;AB$1,Pesos!$A:$I,9,FALSE)))</f>
        <v/>
      </c>
      <c r="BA264" s="132" t="str">
        <f>IF(AC264="","",IF(AC264="SIM",VLOOKUP($I264&amp;$J264&amp;AC$1,Pesos!$A:$I,7,FALSE),VLOOKUP($I264&amp;$J264&amp;AC$1,Pesos!$A:$I,9,FALSE)))</f>
        <v/>
      </c>
      <c r="BB264" s="132" t="str">
        <f>IF(AD264="","",IF(AD264="SIM",VLOOKUP($I264&amp;$J264&amp;AD$1,Pesos!$A:$I,7,FALSE),VLOOKUP($I264&amp;$J264&amp;AD$1,Pesos!$A:$I,9,FALSE)))</f>
        <v/>
      </c>
      <c r="BC264" s="132" t="str">
        <f>IF(AE264="","",IF(AE264="SIM",VLOOKUP($I264&amp;$J264&amp;AE$1,Pesos!$A:$I,7,FALSE),VLOOKUP($I264&amp;$J264&amp;AE$1,Pesos!$A:$I,9,FALSE)))</f>
        <v/>
      </c>
      <c r="BD264" s="158" t="str">
        <f>IFERROR(AF264*VLOOKUP(J264,'BD Campos'!$X$1:$Y$14,2,FALSE),"0")</f>
        <v>0</v>
      </c>
    </row>
    <row r="265" spans="1:56">
      <c r="A265" s="151" t="str">
        <f t="shared" si="19"/>
        <v>Jan11159DISTRIBUIÇÃO</v>
      </c>
      <c r="B265" s="149" t="str">
        <f t="shared" si="20"/>
        <v>Jan111592DISTRIBUIÇÃOPADRÃO</v>
      </c>
      <c r="C265" s="152">
        <v>1</v>
      </c>
      <c r="D265" s="153">
        <v>46059.701796990739</v>
      </c>
      <c r="E265" s="154" t="s">
        <v>12</v>
      </c>
      <c r="F265" s="155">
        <v>11159</v>
      </c>
      <c r="G265" s="149" t="s">
        <v>484</v>
      </c>
      <c r="H265" s="154">
        <v>2</v>
      </c>
      <c r="I265" s="149" t="s">
        <v>485</v>
      </c>
      <c r="J265" s="149"/>
      <c r="K265" s="149" t="s">
        <v>94</v>
      </c>
      <c r="L265" s="156"/>
      <c r="M265" s="157"/>
      <c r="N265" s="131"/>
      <c r="O265" s="131"/>
      <c r="P265" s="131"/>
      <c r="Q265" s="131"/>
      <c r="R265" s="131"/>
      <c r="S265" s="131"/>
      <c r="T265" s="131"/>
      <c r="U265" s="131"/>
      <c r="V265" s="131"/>
      <c r="W265" s="131"/>
      <c r="X265" s="131"/>
      <c r="Y265" s="131"/>
      <c r="Z265" s="131"/>
      <c r="AA265" s="131"/>
      <c r="AB265" s="131"/>
      <c r="AC265" s="131"/>
      <c r="AD265" s="131"/>
      <c r="AE265" s="131"/>
      <c r="AF265" s="158">
        <f t="shared" si="22"/>
        <v>0</v>
      </c>
      <c r="AG265" s="159"/>
      <c r="AH265" s="155"/>
      <c r="AI265" s="155" t="s">
        <v>83</v>
      </c>
      <c r="AJ265" s="131" t="str">
        <f>IFERROR(VLOOKUP(E265&amp;F265,'Listagem dos op'!A:S,19,0),"")</f>
        <v/>
      </c>
      <c r="AK265" s="131" t="str">
        <f t="shared" si="21"/>
        <v>Jan11159</v>
      </c>
      <c r="AL265" s="154" t="str">
        <f>IF(N265="","",IF(N265="SIM",VLOOKUP($I265&amp;$J265&amp;N$1,Pesos!$A:$I,7,FALSE),VLOOKUP($I265&amp;$J265&amp;N$1,Pesos!$A:$I,9,FALSE)))</f>
        <v/>
      </c>
      <c r="AM265" s="154" t="str">
        <f>IF(O265="","",IF(O265="SIM",VLOOKUP($I265&amp;$J265&amp;O$1,Pesos!$A:$I,7,FALSE),VLOOKUP($I265&amp;$J265&amp;O$1,Pesos!$A:$I,9,FALSE)))</f>
        <v/>
      </c>
      <c r="AN265" s="154" t="str">
        <f>IF(P265="","",IF(P265="SIM",VLOOKUP($I265&amp;$J265&amp;P$1,Pesos!$A:$I,7,FALSE),VLOOKUP($I265&amp;$J265&amp;P$1,Pesos!$A:$I,9,FALSE)))</f>
        <v/>
      </c>
      <c r="AO265" s="154" t="str">
        <f>IF(Q265="","",IF(Q265="SIM",VLOOKUP($I265&amp;$J265&amp;Q$1,Pesos!$A:$I,7,FALSE),VLOOKUP($I265&amp;$J265&amp;Q$1,Pesos!$A:$I,9,FALSE)))</f>
        <v/>
      </c>
      <c r="AP265" s="154" t="str">
        <f>IF(R265="","",IF(R265="SIM",VLOOKUP($I265&amp;$J265&amp;R$1,Pesos!$A:$I,7,FALSE),VLOOKUP($I265&amp;$J265&amp;R$1,Pesos!$A:$I,9,FALSE)))</f>
        <v/>
      </c>
      <c r="AQ265" s="154" t="str">
        <f>IF(S265="","",IF(S265="SIM",VLOOKUP($I265&amp;$J265&amp;S$1,Pesos!$A:$I,7,FALSE),VLOOKUP($I265&amp;$J265&amp;S$1,Pesos!$A:$I,9,FALSE)))</f>
        <v/>
      </c>
      <c r="AR265" s="156" t="str">
        <f>IF(T265="","",IF(T265="SIM",VLOOKUP($I265&amp;$J265&amp;T$1,Pesos!$A:$I,7,FALSE),VLOOKUP($I265&amp;$J265&amp;T$1,Pesos!$A:$I,9,FALSE)))</f>
        <v/>
      </c>
      <c r="AS265" s="132" t="str">
        <f>IF(U265="","",IF(U265="SIM",VLOOKUP($I265&amp;$J265&amp;U$1,Pesos!$A:$I,7,FALSE),VLOOKUP($I265&amp;$J265&amp;U$1,Pesos!$A:$I,9,FALSE)))</f>
        <v/>
      </c>
      <c r="AT265" s="132" t="str">
        <f>IF(V265="","",IF(V265="SIM",VLOOKUP($I265&amp;$J265&amp;V$1,Pesos!$A:$I,7,FALSE),VLOOKUP($I265&amp;$J265&amp;V$1,Pesos!$A:$I,9,FALSE)))</f>
        <v/>
      </c>
      <c r="AU265" s="132" t="str">
        <f>IF(W265="","",IF(W265="SIM",VLOOKUP($I265&amp;$J265&amp;W$1,Pesos!$A:$I,7,FALSE),VLOOKUP($I265&amp;$J265&amp;W$1,Pesos!$A:$I,9,FALSE)))</f>
        <v/>
      </c>
      <c r="AV265" s="132" t="str">
        <f>IF(X265="","",IF(X265="SIM",VLOOKUP($I265&amp;$J265&amp;X$1,Pesos!$A:$I,7,FALSE),VLOOKUP($I265&amp;$J265&amp;X$1,Pesos!$A:$I,9,FALSE)))</f>
        <v/>
      </c>
      <c r="AW265" s="132" t="str">
        <f>IF(Y265="","",IF(Y265="SIM",VLOOKUP($I265&amp;$J265&amp;Y$1,Pesos!$A:$I,7,FALSE),VLOOKUP($I265&amp;$J265&amp;Y$1,Pesos!$A:$I,9,FALSE)))</f>
        <v/>
      </c>
      <c r="AX265" s="132" t="str">
        <f>IF(Z265="","",IF(Z265="SIM",VLOOKUP($I265&amp;$J265&amp;Z$1,Pesos!$A:$I,7,FALSE),VLOOKUP($I265&amp;$J265&amp;Z$1,Pesos!$A:$I,9,FALSE)))</f>
        <v/>
      </c>
      <c r="AY265" s="132" t="str">
        <f>IF(AA265="","",IF(AA265="SIM",VLOOKUP($I265&amp;$J265&amp;AA$1,Pesos!$A:$I,7,FALSE),VLOOKUP($I265&amp;$J265&amp;AA$1,Pesos!$A:$I,9,FALSE)))</f>
        <v/>
      </c>
      <c r="AZ265" s="132" t="str">
        <f>IF(AB265="","",IF(AB265="SIM",VLOOKUP($I265&amp;$J265&amp;AB$1,Pesos!$A:$I,7,FALSE),VLOOKUP($I265&amp;$J265&amp;AB$1,Pesos!$A:$I,9,FALSE)))</f>
        <v/>
      </c>
      <c r="BA265" s="132" t="str">
        <f>IF(AC265="","",IF(AC265="SIM",VLOOKUP($I265&amp;$J265&amp;AC$1,Pesos!$A:$I,7,FALSE),VLOOKUP($I265&amp;$J265&amp;AC$1,Pesos!$A:$I,9,FALSE)))</f>
        <v/>
      </c>
      <c r="BB265" s="132" t="str">
        <f>IF(AD265="","",IF(AD265="SIM",VLOOKUP($I265&amp;$J265&amp;AD$1,Pesos!$A:$I,7,FALSE),VLOOKUP($I265&amp;$J265&amp;AD$1,Pesos!$A:$I,9,FALSE)))</f>
        <v/>
      </c>
      <c r="BC265" s="132" t="str">
        <f>IF(AE265="","",IF(AE265="SIM",VLOOKUP($I265&amp;$J265&amp;AE$1,Pesos!$A:$I,7,FALSE),VLOOKUP($I265&amp;$J265&amp;AE$1,Pesos!$A:$I,9,FALSE)))</f>
        <v/>
      </c>
      <c r="BD265" s="158" t="str">
        <f>IFERROR(AF265*VLOOKUP(J265,'BD Campos'!$X$1:$Y$14,2,FALSE),"0")</f>
        <v>0</v>
      </c>
    </row>
    <row r="266" spans="1:56">
      <c r="A266" s="151" t="str">
        <f t="shared" si="19"/>
        <v>Jan11410MotoristaDISTRIBUIÇÃO</v>
      </c>
      <c r="B266" s="149" t="str">
        <f t="shared" si="20"/>
        <v>Jan114101DISTRIBUIÇÃOPADRÃO</v>
      </c>
      <c r="C266" s="152">
        <v>1</v>
      </c>
      <c r="D266" s="153">
        <v>46059.719635069443</v>
      </c>
      <c r="E266" s="154" t="s">
        <v>12</v>
      </c>
      <c r="F266" s="155">
        <v>11410</v>
      </c>
      <c r="G266" s="149" t="s">
        <v>486</v>
      </c>
      <c r="H266" s="154">
        <v>1</v>
      </c>
      <c r="I266" s="149" t="s">
        <v>96</v>
      </c>
      <c r="J266" s="149" t="s">
        <v>93</v>
      </c>
      <c r="K266" s="149" t="s">
        <v>94</v>
      </c>
      <c r="L266" s="156">
        <v>34616111</v>
      </c>
      <c r="M266" s="157">
        <v>9.1435185185185185E-4</v>
      </c>
      <c r="N266" s="131" t="s">
        <v>17</v>
      </c>
      <c r="O266" s="131" t="s">
        <v>18</v>
      </c>
      <c r="P266" s="131" t="s">
        <v>17</v>
      </c>
      <c r="Q266" s="131" t="s">
        <v>17</v>
      </c>
      <c r="R266" s="131" t="s">
        <v>17</v>
      </c>
      <c r="S266" s="131" t="s">
        <v>17</v>
      </c>
      <c r="T266" s="131" t="s">
        <v>17</v>
      </c>
      <c r="U266" s="131" t="s">
        <v>17</v>
      </c>
      <c r="V266" s="131" t="s">
        <v>18</v>
      </c>
      <c r="W266" s="131" t="s">
        <v>17</v>
      </c>
      <c r="X266" s="131" t="s">
        <v>17</v>
      </c>
      <c r="Y266" s="131" t="s">
        <v>17</v>
      </c>
      <c r="Z266" s="131" t="s">
        <v>18</v>
      </c>
      <c r="AA266" s="131" t="s">
        <v>17</v>
      </c>
      <c r="AB266" s="131" t="s">
        <v>17</v>
      </c>
      <c r="AC266" s="131"/>
      <c r="AD266" s="131"/>
      <c r="AE266" s="131"/>
      <c r="AF266" s="158">
        <f t="shared" si="22"/>
        <v>8.5824999999999996</v>
      </c>
      <c r="AG266" s="159"/>
      <c r="AH266" s="155" t="s">
        <v>487</v>
      </c>
      <c r="AI266" s="155" t="s">
        <v>83</v>
      </c>
      <c r="AJ266" s="131" t="str">
        <f>IFERROR(VLOOKUP(E266&amp;F266,'Listagem dos op'!A:S,19,0),"")</f>
        <v/>
      </c>
      <c r="AK266" s="131" t="str">
        <f t="shared" si="21"/>
        <v>Jan11410</v>
      </c>
      <c r="AL266" s="154">
        <f>IF(N266="","",IF(N266="SIM",VLOOKUP($I266&amp;$J266&amp;N$1,Pesos!$A:$I,7,FALSE),VLOOKUP($I266&amp;$J266&amp;N$1,Pesos!$A:$I,9,FALSE)))</f>
        <v>0.1</v>
      </c>
      <c r="AM266" s="154">
        <f>IF(O266="","",IF(O266="SIM",VLOOKUP($I266&amp;$J266&amp;O$1,Pesos!$A:$I,7,FALSE),VLOOKUP($I266&amp;$J266&amp;O$1,Pesos!$A:$I,9,FALSE)))</f>
        <v>-5.000000000000001E-3</v>
      </c>
      <c r="AN266" s="154">
        <f>IF(P266="","",IF(P266="SIM",VLOOKUP($I266&amp;$J266&amp;P$1,Pesos!$A:$I,7,FALSE),VLOOKUP($I266&amp;$J266&amp;P$1,Pesos!$A:$I,9,FALSE)))</f>
        <v>0.1</v>
      </c>
      <c r="AO266" s="154">
        <f>IF(Q266="","",IF(Q266="SIM",VLOOKUP($I266&amp;$J266&amp;Q$1,Pesos!$A:$I,7,FALSE),VLOOKUP($I266&amp;$J266&amp;Q$1,Pesos!$A:$I,9,FALSE)))</f>
        <v>2</v>
      </c>
      <c r="AP266" s="154">
        <f>IF(R266="","",IF(R266="SIM",VLOOKUP($I266&amp;$J266&amp;R$1,Pesos!$A:$I,7,FALSE),VLOOKUP($I266&amp;$J266&amp;R$1,Pesos!$A:$I,9,FALSE)))</f>
        <v>1.03</v>
      </c>
      <c r="AQ266" s="154">
        <f>IF(S266="","",IF(S266="SIM",VLOOKUP($I266&amp;$J266&amp;S$1,Pesos!$A:$I,7,FALSE),VLOOKUP($I266&amp;$J266&amp;S$1,Pesos!$A:$I,9,FALSE)))</f>
        <v>1.22</v>
      </c>
      <c r="AR266" s="156">
        <f>IF(T266="","",IF(T266="SIM",VLOOKUP($I266&amp;$J266&amp;T$1,Pesos!$A:$I,7,FALSE),VLOOKUP($I266&amp;$J266&amp;T$1,Pesos!$A:$I,9,FALSE)))</f>
        <v>2</v>
      </c>
      <c r="AS266" s="132">
        <f>IF(U266="","",IF(U266="SIM",VLOOKUP($I266&amp;$J266&amp;U$1,Pesos!$A:$I,7,FALSE),VLOOKUP($I266&amp;$J266&amp;U$1,Pesos!$A:$I,9,FALSE)))</f>
        <v>1.05</v>
      </c>
      <c r="AT266" s="132">
        <f>IF(V266="","",IF(V266="SIM",VLOOKUP($I266&amp;$J266&amp;V$1,Pesos!$A:$I,7,FALSE),VLOOKUP($I266&amp;$J266&amp;V$1,Pesos!$A:$I,9,FALSE)))</f>
        <v>-5.2500000000000005E-2</v>
      </c>
      <c r="AU266" s="132">
        <f>IF(W266="","",IF(W266="SIM",VLOOKUP($I266&amp;$J266&amp;W$1,Pesos!$A:$I,7,FALSE),VLOOKUP($I266&amp;$J266&amp;W$1,Pesos!$A:$I,9,FALSE)))</f>
        <v>0.3</v>
      </c>
      <c r="AV266" s="132">
        <f>IF(X266="","",IF(X266="SIM",VLOOKUP($I266&amp;$J266&amp;X$1,Pesos!$A:$I,7,FALSE),VLOOKUP($I266&amp;$J266&amp;X$1,Pesos!$A:$I,9,FALSE)))</f>
        <v>0.3</v>
      </c>
      <c r="AW266" s="132">
        <f>IF(Y266="","",IF(Y266="SIM",VLOOKUP($I266&amp;$J266&amp;Y$1,Pesos!$A:$I,7,FALSE),VLOOKUP($I266&amp;$J266&amp;Y$1,Pesos!$A:$I,9,FALSE)))</f>
        <v>0.15</v>
      </c>
      <c r="AX266" s="132">
        <f>IF(Z266="","",IF(Z266="SIM",VLOOKUP($I266&amp;$J266&amp;Z$1,Pesos!$A:$I,7,FALSE),VLOOKUP($I266&amp;$J266&amp;Z$1,Pesos!$A:$I,9,FALSE)))</f>
        <v>-1.0000000000000002E-2</v>
      </c>
      <c r="AY266" s="132">
        <f>IF(AA266="","",IF(AA266="SIM",VLOOKUP($I266&amp;$J266&amp;AA$1,Pesos!$A:$I,7,FALSE),VLOOKUP($I266&amp;$J266&amp;AA$1,Pesos!$A:$I,9,FALSE)))</f>
        <v>0.3</v>
      </c>
      <c r="AZ266" s="132">
        <f>IF(AB266="","",IF(AB266="SIM",VLOOKUP($I266&amp;$J266&amp;AB$1,Pesos!$A:$I,7,FALSE),VLOOKUP($I266&amp;$J266&amp;AB$1,Pesos!$A:$I,9,FALSE)))</f>
        <v>0.1</v>
      </c>
      <c r="BA266" s="132" t="str">
        <f>IF(AC266="","",IF(AC266="SIM",VLOOKUP($I266&amp;$J266&amp;AC$1,Pesos!$A:$I,7,FALSE),VLOOKUP($I266&amp;$J266&amp;AC$1,Pesos!$A:$I,9,FALSE)))</f>
        <v/>
      </c>
      <c r="BB266" s="132" t="str">
        <f>IF(AD266="","",IF(AD266="SIM",VLOOKUP($I266&amp;$J266&amp;AD$1,Pesos!$A:$I,7,FALSE),VLOOKUP($I266&amp;$J266&amp;AD$1,Pesos!$A:$I,9,FALSE)))</f>
        <v/>
      </c>
      <c r="BC266" s="132" t="str">
        <f>IF(AE266="","",IF(AE266="SIM",VLOOKUP($I266&amp;$J266&amp;AE$1,Pesos!$A:$I,7,FALSE),VLOOKUP($I266&amp;$J266&amp;AE$1,Pesos!$A:$I,9,FALSE)))</f>
        <v/>
      </c>
      <c r="BD266" s="158">
        <f>IFERROR(AF266*VLOOKUP(J266,'BD Campos'!$X$1:$Y$14,2,FALSE),"0")</f>
        <v>8.5824999999999996</v>
      </c>
    </row>
    <row r="267" spans="1:56">
      <c r="A267" s="151" t="str">
        <f t="shared" si="19"/>
        <v>Jan11410Motorista 2DISTRIBUIÇÃO</v>
      </c>
      <c r="B267" s="149" t="str">
        <f t="shared" si="20"/>
        <v>Jan114102DISTRIBUIÇÃOPADRÃO</v>
      </c>
      <c r="C267" s="152">
        <v>1</v>
      </c>
      <c r="D267" s="153">
        <v>46059.721250578703</v>
      </c>
      <c r="E267" s="154" t="s">
        <v>12</v>
      </c>
      <c r="F267" s="155">
        <v>11410</v>
      </c>
      <c r="G267" s="149" t="s">
        <v>486</v>
      </c>
      <c r="H267" s="154">
        <v>2</v>
      </c>
      <c r="I267" s="149" t="s">
        <v>96</v>
      </c>
      <c r="J267" s="149" t="s">
        <v>97</v>
      </c>
      <c r="K267" s="149" t="s">
        <v>94</v>
      </c>
      <c r="L267" s="156">
        <v>34656350</v>
      </c>
      <c r="M267" s="157">
        <v>2.3495370370370371E-3</v>
      </c>
      <c r="N267" s="131"/>
      <c r="O267" s="131"/>
      <c r="P267" s="131"/>
      <c r="Q267" s="131"/>
      <c r="R267" s="131"/>
      <c r="S267" s="131"/>
      <c r="T267" s="131"/>
      <c r="U267" s="131"/>
      <c r="V267" s="131"/>
      <c r="W267" s="131"/>
      <c r="X267" s="131"/>
      <c r="Y267" s="131"/>
      <c r="Z267" s="131"/>
      <c r="AA267" s="131"/>
      <c r="AB267" s="131"/>
      <c r="AC267" s="131"/>
      <c r="AD267" s="131"/>
      <c r="AE267" s="131"/>
      <c r="AF267" s="158">
        <f t="shared" si="22"/>
        <v>0</v>
      </c>
      <c r="AG267" s="159" t="s">
        <v>247</v>
      </c>
      <c r="AH267" s="155" t="s">
        <v>488</v>
      </c>
      <c r="AI267" s="155" t="s">
        <v>83</v>
      </c>
      <c r="AJ267" s="131" t="str">
        <f>IFERROR(VLOOKUP(E267&amp;F267,'Listagem dos op'!A:S,19,0),"")</f>
        <v/>
      </c>
      <c r="AK267" s="131" t="str">
        <f t="shared" si="21"/>
        <v>Jan11410</v>
      </c>
      <c r="AL267" s="154" t="str">
        <f>IF(N267="","",IF(N267="SIM",VLOOKUP($I267&amp;$J267&amp;N$1,Pesos!$A:$I,7,FALSE),VLOOKUP($I267&amp;$J267&amp;N$1,Pesos!$A:$I,9,FALSE)))</f>
        <v/>
      </c>
      <c r="AM267" s="154" t="str">
        <f>IF(O267="","",IF(O267="SIM",VLOOKUP($I267&amp;$J267&amp;O$1,Pesos!$A:$I,7,FALSE),VLOOKUP($I267&amp;$J267&amp;O$1,Pesos!$A:$I,9,FALSE)))</f>
        <v/>
      </c>
      <c r="AN267" s="154" t="str">
        <f>IF(P267="","",IF(P267="SIM",VLOOKUP($I267&amp;$J267&amp;P$1,Pesos!$A:$I,7,FALSE),VLOOKUP($I267&amp;$J267&amp;P$1,Pesos!$A:$I,9,FALSE)))</f>
        <v/>
      </c>
      <c r="AO267" s="154" t="str">
        <f>IF(Q267="","",IF(Q267="SIM",VLOOKUP($I267&amp;$J267&amp;Q$1,Pesos!$A:$I,7,FALSE),VLOOKUP($I267&amp;$J267&amp;Q$1,Pesos!$A:$I,9,FALSE)))</f>
        <v/>
      </c>
      <c r="AP267" s="154" t="str">
        <f>IF(R267="","",IF(R267="SIM",VLOOKUP($I267&amp;$J267&amp;R$1,Pesos!$A:$I,7,FALSE),VLOOKUP($I267&amp;$J267&amp;R$1,Pesos!$A:$I,9,FALSE)))</f>
        <v/>
      </c>
      <c r="AQ267" s="154" t="str">
        <f>IF(S267="","",IF(S267="SIM",VLOOKUP($I267&amp;$J267&amp;S$1,Pesos!$A:$I,7,FALSE),VLOOKUP($I267&amp;$J267&amp;S$1,Pesos!$A:$I,9,FALSE)))</f>
        <v/>
      </c>
      <c r="AR267" s="156" t="str">
        <f>IF(T267="","",IF(T267="SIM",VLOOKUP($I267&amp;$J267&amp;T$1,Pesos!$A:$I,7,FALSE),VLOOKUP($I267&amp;$J267&amp;T$1,Pesos!$A:$I,9,FALSE)))</f>
        <v/>
      </c>
      <c r="AS267" s="132" t="str">
        <f>IF(U267="","",IF(U267="SIM",VLOOKUP($I267&amp;$J267&amp;U$1,Pesos!$A:$I,7,FALSE),VLOOKUP($I267&amp;$J267&amp;U$1,Pesos!$A:$I,9,FALSE)))</f>
        <v/>
      </c>
      <c r="AT267" s="132" t="str">
        <f>IF(V267="","",IF(V267="SIM",VLOOKUP($I267&amp;$J267&amp;V$1,Pesos!$A:$I,7,FALSE),VLOOKUP($I267&amp;$J267&amp;V$1,Pesos!$A:$I,9,FALSE)))</f>
        <v/>
      </c>
      <c r="AU267" s="132" t="str">
        <f>IF(W267="","",IF(W267="SIM",VLOOKUP($I267&amp;$J267&amp;W$1,Pesos!$A:$I,7,FALSE),VLOOKUP($I267&amp;$J267&amp;W$1,Pesos!$A:$I,9,FALSE)))</f>
        <v/>
      </c>
      <c r="AV267" s="132" t="str">
        <f>IF(X267="","",IF(X267="SIM",VLOOKUP($I267&amp;$J267&amp;X$1,Pesos!$A:$I,7,FALSE),VLOOKUP($I267&amp;$J267&amp;X$1,Pesos!$A:$I,9,FALSE)))</f>
        <v/>
      </c>
      <c r="AW267" s="132" t="str">
        <f>IF(Y267="","",IF(Y267="SIM",VLOOKUP($I267&amp;$J267&amp;Y$1,Pesos!$A:$I,7,FALSE),VLOOKUP($I267&amp;$J267&amp;Y$1,Pesos!$A:$I,9,FALSE)))</f>
        <v/>
      </c>
      <c r="AX267" s="132" t="str">
        <f>IF(Z267="","",IF(Z267="SIM",VLOOKUP($I267&amp;$J267&amp;Z$1,Pesos!$A:$I,7,FALSE),VLOOKUP($I267&amp;$J267&amp;Z$1,Pesos!$A:$I,9,FALSE)))</f>
        <v/>
      </c>
      <c r="AY267" s="132" t="str">
        <f>IF(AA267="","",IF(AA267="SIM",VLOOKUP($I267&amp;$J267&amp;AA$1,Pesos!$A:$I,7,FALSE),VLOOKUP($I267&amp;$J267&amp;AA$1,Pesos!$A:$I,9,FALSE)))</f>
        <v/>
      </c>
      <c r="AZ267" s="132" t="str">
        <f>IF(AB267="","",IF(AB267="SIM",VLOOKUP($I267&amp;$J267&amp;AB$1,Pesos!$A:$I,7,FALSE),VLOOKUP($I267&amp;$J267&amp;AB$1,Pesos!$A:$I,9,FALSE)))</f>
        <v/>
      </c>
      <c r="BA267" s="132" t="str">
        <f>IF(AC267="","",IF(AC267="SIM",VLOOKUP($I267&amp;$J267&amp;AC$1,Pesos!$A:$I,7,FALSE),VLOOKUP($I267&amp;$J267&amp;AC$1,Pesos!$A:$I,9,FALSE)))</f>
        <v/>
      </c>
      <c r="BB267" s="132" t="str">
        <f>IF(AD267="","",IF(AD267="SIM",VLOOKUP($I267&amp;$J267&amp;AD$1,Pesos!$A:$I,7,FALSE),VLOOKUP($I267&amp;$J267&amp;AD$1,Pesos!$A:$I,9,FALSE)))</f>
        <v/>
      </c>
      <c r="BC267" s="132" t="str">
        <f>IF(AE267="","",IF(AE267="SIM",VLOOKUP($I267&amp;$J267&amp;AE$1,Pesos!$A:$I,7,FALSE),VLOOKUP($I267&amp;$J267&amp;AE$1,Pesos!$A:$I,9,FALSE)))</f>
        <v/>
      </c>
      <c r="BD267" s="158">
        <f>IFERROR(AF267*VLOOKUP(J267,'BD Campos'!$X$1:$Y$14,2,FALSE),"0")</f>
        <v>0</v>
      </c>
    </row>
    <row r="268" spans="1:56">
      <c r="A268" s="151" t="str">
        <f t="shared" si="19"/>
        <v>Jan10984DISTRIBUIÇÃO</v>
      </c>
      <c r="B268" s="149" t="str">
        <f t="shared" si="20"/>
        <v>Jan109841DISTRIBUIÇÃOPADRÃO</v>
      </c>
      <c r="C268" s="152">
        <v>1</v>
      </c>
      <c r="D268" s="153">
        <v>46059.721421064816</v>
      </c>
      <c r="E268" s="154" t="s">
        <v>12</v>
      </c>
      <c r="F268" s="155">
        <v>10984</v>
      </c>
      <c r="G268" s="149" t="s">
        <v>489</v>
      </c>
      <c r="H268" s="154">
        <v>1</v>
      </c>
      <c r="I268" s="149" t="s">
        <v>485</v>
      </c>
      <c r="J268" s="149"/>
      <c r="K268" s="149" t="s">
        <v>94</v>
      </c>
      <c r="L268" s="156"/>
      <c r="M268" s="157"/>
      <c r="N268" s="131"/>
      <c r="O268" s="131"/>
      <c r="P268" s="131"/>
      <c r="Q268" s="131"/>
      <c r="R268" s="131"/>
      <c r="S268" s="131"/>
      <c r="T268" s="131"/>
      <c r="U268" s="131"/>
      <c r="V268" s="131"/>
      <c r="W268" s="131"/>
      <c r="X268" s="131"/>
      <c r="Y268" s="131"/>
      <c r="Z268" s="131"/>
      <c r="AA268" s="131"/>
      <c r="AB268" s="131"/>
      <c r="AC268" s="131"/>
      <c r="AD268" s="131"/>
      <c r="AE268" s="131"/>
      <c r="AF268" s="158">
        <f t="shared" si="22"/>
        <v>0</v>
      </c>
      <c r="AG268" s="159"/>
      <c r="AH268" s="155"/>
      <c r="AI268" s="155" t="s">
        <v>83</v>
      </c>
      <c r="AJ268" s="131" t="str">
        <f>IFERROR(VLOOKUP(E268&amp;F268,'Listagem dos op'!A:S,19,0),"")</f>
        <v/>
      </c>
      <c r="AK268" s="131" t="str">
        <f t="shared" si="21"/>
        <v>Jan10984</v>
      </c>
      <c r="AL268" s="154" t="str">
        <f>IF(N268="","",IF(N268="SIM",VLOOKUP($I268&amp;$J268&amp;N$1,Pesos!$A:$I,7,FALSE),VLOOKUP($I268&amp;$J268&amp;N$1,Pesos!$A:$I,9,FALSE)))</f>
        <v/>
      </c>
      <c r="AM268" s="154" t="str">
        <f>IF(O268="","",IF(O268="SIM",VLOOKUP($I268&amp;$J268&amp;O$1,Pesos!$A:$I,7,FALSE),VLOOKUP($I268&amp;$J268&amp;O$1,Pesos!$A:$I,9,FALSE)))</f>
        <v/>
      </c>
      <c r="AN268" s="154" t="str">
        <f>IF(P268="","",IF(P268="SIM",VLOOKUP($I268&amp;$J268&amp;P$1,Pesos!$A:$I,7,FALSE),VLOOKUP($I268&amp;$J268&amp;P$1,Pesos!$A:$I,9,FALSE)))</f>
        <v/>
      </c>
      <c r="AO268" s="154" t="str">
        <f>IF(Q268="","",IF(Q268="SIM",VLOOKUP($I268&amp;$J268&amp;Q$1,Pesos!$A:$I,7,FALSE),VLOOKUP($I268&amp;$J268&amp;Q$1,Pesos!$A:$I,9,FALSE)))</f>
        <v/>
      </c>
      <c r="AP268" s="154" t="str">
        <f>IF(R268="","",IF(R268="SIM",VLOOKUP($I268&amp;$J268&amp;R$1,Pesos!$A:$I,7,FALSE),VLOOKUP($I268&amp;$J268&amp;R$1,Pesos!$A:$I,9,FALSE)))</f>
        <v/>
      </c>
      <c r="AQ268" s="154" t="str">
        <f>IF(S268="","",IF(S268="SIM",VLOOKUP($I268&amp;$J268&amp;S$1,Pesos!$A:$I,7,FALSE),VLOOKUP($I268&amp;$J268&amp;S$1,Pesos!$A:$I,9,FALSE)))</f>
        <v/>
      </c>
      <c r="AR268" s="156" t="str">
        <f>IF(T268="","",IF(T268="SIM",VLOOKUP($I268&amp;$J268&amp;T$1,Pesos!$A:$I,7,FALSE),VLOOKUP($I268&amp;$J268&amp;T$1,Pesos!$A:$I,9,FALSE)))</f>
        <v/>
      </c>
      <c r="AS268" s="132" t="str">
        <f>IF(U268="","",IF(U268="SIM",VLOOKUP($I268&amp;$J268&amp;U$1,Pesos!$A:$I,7,FALSE),VLOOKUP($I268&amp;$J268&amp;U$1,Pesos!$A:$I,9,FALSE)))</f>
        <v/>
      </c>
      <c r="AT268" s="132" t="str">
        <f>IF(V268="","",IF(V268="SIM",VLOOKUP($I268&amp;$J268&amp;V$1,Pesos!$A:$I,7,FALSE),VLOOKUP($I268&amp;$J268&amp;V$1,Pesos!$A:$I,9,FALSE)))</f>
        <v/>
      </c>
      <c r="AU268" s="132" t="str">
        <f>IF(W268="","",IF(W268="SIM",VLOOKUP($I268&amp;$J268&amp;W$1,Pesos!$A:$I,7,FALSE),VLOOKUP($I268&amp;$J268&amp;W$1,Pesos!$A:$I,9,FALSE)))</f>
        <v/>
      </c>
      <c r="AV268" s="132" t="str">
        <f>IF(X268="","",IF(X268="SIM",VLOOKUP($I268&amp;$J268&amp;X$1,Pesos!$A:$I,7,FALSE),VLOOKUP($I268&amp;$J268&amp;X$1,Pesos!$A:$I,9,FALSE)))</f>
        <v/>
      </c>
      <c r="AW268" s="132" t="str">
        <f>IF(Y268="","",IF(Y268="SIM",VLOOKUP($I268&amp;$J268&amp;Y$1,Pesos!$A:$I,7,FALSE),VLOOKUP($I268&amp;$J268&amp;Y$1,Pesos!$A:$I,9,FALSE)))</f>
        <v/>
      </c>
      <c r="AX268" s="132" t="str">
        <f>IF(Z268="","",IF(Z268="SIM",VLOOKUP($I268&amp;$J268&amp;Z$1,Pesos!$A:$I,7,FALSE),VLOOKUP($I268&amp;$J268&amp;Z$1,Pesos!$A:$I,9,FALSE)))</f>
        <v/>
      </c>
      <c r="AY268" s="132" t="str">
        <f>IF(AA268="","",IF(AA268="SIM",VLOOKUP($I268&amp;$J268&amp;AA$1,Pesos!$A:$I,7,FALSE),VLOOKUP($I268&amp;$J268&amp;AA$1,Pesos!$A:$I,9,FALSE)))</f>
        <v/>
      </c>
      <c r="AZ268" s="132" t="str">
        <f>IF(AB268="","",IF(AB268="SIM",VLOOKUP($I268&amp;$J268&amp;AB$1,Pesos!$A:$I,7,FALSE),VLOOKUP($I268&amp;$J268&amp;AB$1,Pesos!$A:$I,9,FALSE)))</f>
        <v/>
      </c>
      <c r="BA268" s="132" t="str">
        <f>IF(AC268="","",IF(AC268="SIM",VLOOKUP($I268&amp;$J268&amp;AC$1,Pesos!$A:$I,7,FALSE),VLOOKUP($I268&amp;$J268&amp;AC$1,Pesos!$A:$I,9,FALSE)))</f>
        <v/>
      </c>
      <c r="BB268" s="132" t="str">
        <f>IF(AD268="","",IF(AD268="SIM",VLOOKUP($I268&amp;$J268&amp;AD$1,Pesos!$A:$I,7,FALSE),VLOOKUP($I268&amp;$J268&amp;AD$1,Pesos!$A:$I,9,FALSE)))</f>
        <v/>
      </c>
      <c r="BC268" s="132" t="str">
        <f>IF(AE268="","",IF(AE268="SIM",VLOOKUP($I268&amp;$J268&amp;AE$1,Pesos!$A:$I,7,FALSE),VLOOKUP($I268&amp;$J268&amp;AE$1,Pesos!$A:$I,9,FALSE)))</f>
        <v/>
      </c>
      <c r="BD268" s="158" t="str">
        <f>IFERROR(AF268*VLOOKUP(J268,'BD Campos'!$X$1:$Y$14,2,FALSE),"0")</f>
        <v>0</v>
      </c>
    </row>
    <row r="269" spans="1:56">
      <c r="A269" s="151" t="str">
        <f t="shared" si="19"/>
        <v>Jan10984DISTRIBUIÇÃO</v>
      </c>
      <c r="B269" s="149" t="str">
        <f t="shared" si="20"/>
        <v>Jan109842DISTRIBUIÇÃOPADRÃO</v>
      </c>
      <c r="C269" s="152">
        <v>1</v>
      </c>
      <c r="D269" s="153">
        <v>46059.721454513892</v>
      </c>
      <c r="E269" s="154" t="s">
        <v>12</v>
      </c>
      <c r="F269" s="155">
        <v>10984</v>
      </c>
      <c r="G269" s="149" t="s">
        <v>489</v>
      </c>
      <c r="H269" s="154">
        <v>2</v>
      </c>
      <c r="I269" s="149" t="s">
        <v>485</v>
      </c>
      <c r="J269" s="149"/>
      <c r="K269" s="149" t="s">
        <v>94</v>
      </c>
      <c r="L269" s="156"/>
      <c r="M269" s="157"/>
      <c r="N269" s="131"/>
      <c r="O269" s="131"/>
      <c r="P269" s="131"/>
      <c r="Q269" s="131"/>
      <c r="R269" s="131"/>
      <c r="S269" s="131"/>
      <c r="T269" s="131"/>
      <c r="U269" s="131"/>
      <c r="V269" s="131"/>
      <c r="W269" s="131"/>
      <c r="X269" s="131"/>
      <c r="Y269" s="131"/>
      <c r="Z269" s="131"/>
      <c r="AA269" s="131"/>
      <c r="AB269" s="131"/>
      <c r="AC269" s="131"/>
      <c r="AD269" s="131"/>
      <c r="AE269" s="131"/>
      <c r="AF269" s="158">
        <f t="shared" si="22"/>
        <v>0</v>
      </c>
      <c r="AG269" s="159"/>
      <c r="AH269" s="155"/>
      <c r="AI269" s="155" t="s">
        <v>83</v>
      </c>
      <c r="AJ269" s="131" t="str">
        <f>IFERROR(VLOOKUP(E269&amp;F269,'Listagem dos op'!A:S,19,0),"")</f>
        <v/>
      </c>
      <c r="AK269" s="131" t="str">
        <f t="shared" si="21"/>
        <v>Jan10984</v>
      </c>
      <c r="AL269" s="154" t="str">
        <f>IF(N269="","",IF(N269="SIM",VLOOKUP($I269&amp;$J269&amp;N$1,Pesos!$A:$I,7,FALSE),VLOOKUP($I269&amp;$J269&amp;N$1,Pesos!$A:$I,9,FALSE)))</f>
        <v/>
      </c>
      <c r="AM269" s="154" t="str">
        <f>IF(O269="","",IF(O269="SIM",VLOOKUP($I269&amp;$J269&amp;O$1,Pesos!$A:$I,7,FALSE),VLOOKUP($I269&amp;$J269&amp;O$1,Pesos!$A:$I,9,FALSE)))</f>
        <v/>
      </c>
      <c r="AN269" s="154" t="str">
        <f>IF(P269="","",IF(P269="SIM",VLOOKUP($I269&amp;$J269&amp;P$1,Pesos!$A:$I,7,FALSE),VLOOKUP($I269&amp;$J269&amp;P$1,Pesos!$A:$I,9,FALSE)))</f>
        <v/>
      </c>
      <c r="AO269" s="154" t="str">
        <f>IF(Q269="","",IF(Q269="SIM",VLOOKUP($I269&amp;$J269&amp;Q$1,Pesos!$A:$I,7,FALSE),VLOOKUP($I269&amp;$J269&amp;Q$1,Pesos!$A:$I,9,FALSE)))</f>
        <v/>
      </c>
      <c r="AP269" s="154" t="str">
        <f>IF(R269="","",IF(R269="SIM",VLOOKUP($I269&amp;$J269&amp;R$1,Pesos!$A:$I,7,FALSE),VLOOKUP($I269&amp;$J269&amp;R$1,Pesos!$A:$I,9,FALSE)))</f>
        <v/>
      </c>
      <c r="AQ269" s="154" t="str">
        <f>IF(S269="","",IF(S269="SIM",VLOOKUP($I269&amp;$J269&amp;S$1,Pesos!$A:$I,7,FALSE),VLOOKUP($I269&amp;$J269&amp;S$1,Pesos!$A:$I,9,FALSE)))</f>
        <v/>
      </c>
      <c r="AR269" s="156" t="str">
        <f>IF(T269="","",IF(T269="SIM",VLOOKUP($I269&amp;$J269&amp;T$1,Pesos!$A:$I,7,FALSE),VLOOKUP($I269&amp;$J269&amp;T$1,Pesos!$A:$I,9,FALSE)))</f>
        <v/>
      </c>
      <c r="AS269" s="132" t="str">
        <f>IF(U269="","",IF(U269="SIM",VLOOKUP($I269&amp;$J269&amp;U$1,Pesos!$A:$I,7,FALSE),VLOOKUP($I269&amp;$J269&amp;U$1,Pesos!$A:$I,9,FALSE)))</f>
        <v/>
      </c>
      <c r="AT269" s="132" t="str">
        <f>IF(V269="","",IF(V269="SIM",VLOOKUP($I269&amp;$J269&amp;V$1,Pesos!$A:$I,7,FALSE),VLOOKUP($I269&amp;$J269&amp;V$1,Pesos!$A:$I,9,FALSE)))</f>
        <v/>
      </c>
      <c r="AU269" s="132" t="str">
        <f>IF(W269="","",IF(W269="SIM",VLOOKUP($I269&amp;$J269&amp;W$1,Pesos!$A:$I,7,FALSE),VLOOKUP($I269&amp;$J269&amp;W$1,Pesos!$A:$I,9,FALSE)))</f>
        <v/>
      </c>
      <c r="AV269" s="132" t="str">
        <f>IF(X269="","",IF(X269="SIM",VLOOKUP($I269&amp;$J269&amp;X$1,Pesos!$A:$I,7,FALSE),VLOOKUP($I269&amp;$J269&amp;X$1,Pesos!$A:$I,9,FALSE)))</f>
        <v/>
      </c>
      <c r="AW269" s="132" t="str">
        <f>IF(Y269="","",IF(Y269="SIM",VLOOKUP($I269&amp;$J269&amp;Y$1,Pesos!$A:$I,7,FALSE),VLOOKUP($I269&amp;$J269&amp;Y$1,Pesos!$A:$I,9,FALSE)))</f>
        <v/>
      </c>
      <c r="AX269" s="132" t="str">
        <f>IF(Z269="","",IF(Z269="SIM",VLOOKUP($I269&amp;$J269&amp;Z$1,Pesos!$A:$I,7,FALSE),VLOOKUP($I269&amp;$J269&amp;Z$1,Pesos!$A:$I,9,FALSE)))</f>
        <v/>
      </c>
      <c r="AY269" s="132" t="str">
        <f>IF(AA269="","",IF(AA269="SIM",VLOOKUP($I269&amp;$J269&amp;AA$1,Pesos!$A:$I,7,FALSE),VLOOKUP($I269&amp;$J269&amp;AA$1,Pesos!$A:$I,9,FALSE)))</f>
        <v/>
      </c>
      <c r="AZ269" s="132" t="str">
        <f>IF(AB269="","",IF(AB269="SIM",VLOOKUP($I269&amp;$J269&amp;AB$1,Pesos!$A:$I,7,FALSE),VLOOKUP($I269&amp;$J269&amp;AB$1,Pesos!$A:$I,9,FALSE)))</f>
        <v/>
      </c>
      <c r="BA269" s="132" t="str">
        <f>IF(AC269="","",IF(AC269="SIM",VLOOKUP($I269&amp;$J269&amp;AC$1,Pesos!$A:$I,7,FALSE),VLOOKUP($I269&amp;$J269&amp;AC$1,Pesos!$A:$I,9,FALSE)))</f>
        <v/>
      </c>
      <c r="BB269" s="132" t="str">
        <f>IF(AD269="","",IF(AD269="SIM",VLOOKUP($I269&amp;$J269&amp;AD$1,Pesos!$A:$I,7,FALSE),VLOOKUP($I269&amp;$J269&amp;AD$1,Pesos!$A:$I,9,FALSE)))</f>
        <v/>
      </c>
      <c r="BC269" s="132" t="str">
        <f>IF(AE269="","",IF(AE269="SIM",VLOOKUP($I269&amp;$J269&amp;AE$1,Pesos!$A:$I,7,FALSE),VLOOKUP($I269&amp;$J269&amp;AE$1,Pesos!$A:$I,9,FALSE)))</f>
        <v/>
      </c>
      <c r="BD269" s="158" t="str">
        <f>IFERROR(AF269*VLOOKUP(J269,'BD Campos'!$X$1:$Y$14,2,FALSE),"0")</f>
        <v>0</v>
      </c>
    </row>
    <row r="270" spans="1:56">
      <c r="A270" s="151" t="str">
        <f t="shared" si="19"/>
        <v>Jan11436Motorista 2DISTRIBUIÇÃO</v>
      </c>
      <c r="B270" s="149" t="str">
        <f t="shared" si="20"/>
        <v>Jan114362DISTRIBUIÇÃOPADRÃO</v>
      </c>
      <c r="C270" s="152">
        <v>1</v>
      </c>
      <c r="D270" s="153">
        <v>46059.723576620374</v>
      </c>
      <c r="E270" s="154" t="s">
        <v>12</v>
      </c>
      <c r="F270" s="155">
        <v>11436</v>
      </c>
      <c r="G270" s="149" t="s">
        <v>107</v>
      </c>
      <c r="H270" s="154">
        <v>2</v>
      </c>
      <c r="I270" s="149" t="s">
        <v>96</v>
      </c>
      <c r="J270" s="149" t="s">
        <v>97</v>
      </c>
      <c r="K270" s="149" t="s">
        <v>94</v>
      </c>
      <c r="L270" s="156">
        <v>34727318</v>
      </c>
      <c r="M270" s="157">
        <v>9.2592592592592585E-4</v>
      </c>
      <c r="N270" s="131" t="s">
        <v>18</v>
      </c>
      <c r="O270" s="131" t="s">
        <v>17</v>
      </c>
      <c r="P270" s="131" t="s">
        <v>17</v>
      </c>
      <c r="Q270" s="131" t="s">
        <v>17</v>
      </c>
      <c r="R270" s="131" t="s">
        <v>17</v>
      </c>
      <c r="S270" s="131" t="s">
        <v>17</v>
      </c>
      <c r="T270" s="131" t="s">
        <v>17</v>
      </c>
      <c r="U270" s="131" t="s">
        <v>17</v>
      </c>
      <c r="V270" s="131" t="s">
        <v>18</v>
      </c>
      <c r="W270" s="131" t="s">
        <v>17</v>
      </c>
      <c r="X270" s="131" t="s">
        <v>17</v>
      </c>
      <c r="Y270" s="131" t="s">
        <v>17</v>
      </c>
      <c r="Z270" s="131" t="s">
        <v>17</v>
      </c>
      <c r="AA270" s="131" t="s">
        <v>17</v>
      </c>
      <c r="AB270" s="131" t="s">
        <v>17</v>
      </c>
      <c r="AC270" s="131"/>
      <c r="AD270" s="131"/>
      <c r="AE270" s="131"/>
      <c r="AF270" s="158">
        <f t="shared" si="22"/>
        <v>8.7924999999999986</v>
      </c>
      <c r="AG270" s="159"/>
      <c r="AH270" s="155" t="s">
        <v>490</v>
      </c>
      <c r="AI270" s="155" t="s">
        <v>83</v>
      </c>
      <c r="AJ270" s="131" t="str">
        <f>IFERROR(VLOOKUP(E270&amp;F270,'Listagem dos op'!A:S,19,0),"")</f>
        <v/>
      </c>
      <c r="AK270" s="131" t="str">
        <f t="shared" si="21"/>
        <v>Jan11436</v>
      </c>
      <c r="AL270" s="154">
        <f>IF(N270="","",IF(N270="SIM",VLOOKUP($I270&amp;$J270&amp;N$1,Pesos!$A:$I,7,FALSE),VLOOKUP($I270&amp;$J270&amp;N$1,Pesos!$A:$I,9,FALSE)))</f>
        <v>-5.000000000000001E-3</v>
      </c>
      <c r="AM270" s="154">
        <f>IF(O270="","",IF(O270="SIM",VLOOKUP($I270&amp;$J270&amp;O$1,Pesos!$A:$I,7,FALSE),VLOOKUP($I270&amp;$J270&amp;O$1,Pesos!$A:$I,9,FALSE)))</f>
        <v>0.1</v>
      </c>
      <c r="AN270" s="154">
        <f>IF(P270="","",IF(P270="SIM",VLOOKUP($I270&amp;$J270&amp;P$1,Pesos!$A:$I,7,FALSE),VLOOKUP($I270&amp;$J270&amp;P$1,Pesos!$A:$I,9,FALSE)))</f>
        <v>0.1</v>
      </c>
      <c r="AO270" s="154">
        <f>IF(Q270="","",IF(Q270="SIM",VLOOKUP($I270&amp;$J270&amp;Q$1,Pesos!$A:$I,7,FALSE),VLOOKUP($I270&amp;$J270&amp;Q$1,Pesos!$A:$I,9,FALSE)))</f>
        <v>2</v>
      </c>
      <c r="AP270" s="154">
        <f>IF(R270="","",IF(R270="SIM",VLOOKUP($I270&amp;$J270&amp;R$1,Pesos!$A:$I,7,FALSE),VLOOKUP($I270&amp;$J270&amp;R$1,Pesos!$A:$I,9,FALSE)))</f>
        <v>1.03</v>
      </c>
      <c r="AQ270" s="154">
        <f>IF(S270="","",IF(S270="SIM",VLOOKUP($I270&amp;$J270&amp;S$1,Pesos!$A:$I,7,FALSE),VLOOKUP($I270&amp;$J270&amp;S$1,Pesos!$A:$I,9,FALSE)))</f>
        <v>1.22</v>
      </c>
      <c r="AR270" s="156">
        <f>IF(T270="","",IF(T270="SIM",VLOOKUP($I270&amp;$J270&amp;T$1,Pesos!$A:$I,7,FALSE),VLOOKUP($I270&amp;$J270&amp;T$1,Pesos!$A:$I,9,FALSE)))</f>
        <v>2</v>
      </c>
      <c r="AS270" s="132">
        <f>IF(U270="","",IF(U270="SIM",VLOOKUP($I270&amp;$J270&amp;U$1,Pesos!$A:$I,7,FALSE),VLOOKUP($I270&amp;$J270&amp;U$1,Pesos!$A:$I,9,FALSE)))</f>
        <v>1.05</v>
      </c>
      <c r="AT270" s="132">
        <f>IF(V270="","",IF(V270="SIM",VLOOKUP($I270&amp;$J270&amp;V$1,Pesos!$A:$I,7,FALSE),VLOOKUP($I270&amp;$J270&amp;V$1,Pesos!$A:$I,9,FALSE)))</f>
        <v>-5.2500000000000005E-2</v>
      </c>
      <c r="AU270" s="132">
        <f>IF(W270="","",IF(W270="SIM",VLOOKUP($I270&amp;$J270&amp;W$1,Pesos!$A:$I,7,FALSE),VLOOKUP($I270&amp;$J270&amp;W$1,Pesos!$A:$I,9,FALSE)))</f>
        <v>0.3</v>
      </c>
      <c r="AV270" s="132">
        <f>IF(X270="","",IF(X270="SIM",VLOOKUP($I270&amp;$J270&amp;X$1,Pesos!$A:$I,7,FALSE),VLOOKUP($I270&amp;$J270&amp;X$1,Pesos!$A:$I,9,FALSE)))</f>
        <v>0.3</v>
      </c>
      <c r="AW270" s="132">
        <f>IF(Y270="","",IF(Y270="SIM",VLOOKUP($I270&amp;$J270&amp;Y$1,Pesos!$A:$I,7,FALSE),VLOOKUP($I270&amp;$J270&amp;Y$1,Pesos!$A:$I,9,FALSE)))</f>
        <v>0.15</v>
      </c>
      <c r="AX270" s="132">
        <f>IF(Z270="","",IF(Z270="SIM",VLOOKUP($I270&amp;$J270&amp;Z$1,Pesos!$A:$I,7,FALSE),VLOOKUP($I270&amp;$J270&amp;Z$1,Pesos!$A:$I,9,FALSE)))</f>
        <v>0.2</v>
      </c>
      <c r="AY270" s="132">
        <f>IF(AA270="","",IF(AA270="SIM",VLOOKUP($I270&amp;$J270&amp;AA$1,Pesos!$A:$I,7,FALSE),VLOOKUP($I270&amp;$J270&amp;AA$1,Pesos!$A:$I,9,FALSE)))</f>
        <v>0.3</v>
      </c>
      <c r="AZ270" s="132">
        <f>IF(AB270="","",IF(AB270="SIM",VLOOKUP($I270&amp;$J270&amp;AB$1,Pesos!$A:$I,7,FALSE),VLOOKUP($I270&amp;$J270&amp;AB$1,Pesos!$A:$I,9,FALSE)))</f>
        <v>0.1</v>
      </c>
      <c r="BA270" s="132" t="str">
        <f>IF(AC270="","",IF(AC270="SIM",VLOOKUP($I270&amp;$J270&amp;AC$1,Pesos!$A:$I,7,FALSE),VLOOKUP($I270&amp;$J270&amp;AC$1,Pesos!$A:$I,9,FALSE)))</f>
        <v/>
      </c>
      <c r="BB270" s="132" t="str">
        <f>IF(AD270="","",IF(AD270="SIM",VLOOKUP($I270&amp;$J270&amp;AD$1,Pesos!$A:$I,7,FALSE),VLOOKUP($I270&amp;$J270&amp;AD$1,Pesos!$A:$I,9,FALSE)))</f>
        <v/>
      </c>
      <c r="BC270" s="132" t="str">
        <f>IF(AE270="","",IF(AE270="SIM",VLOOKUP($I270&amp;$J270&amp;AE$1,Pesos!$A:$I,7,FALSE),VLOOKUP($I270&amp;$J270&amp;AE$1,Pesos!$A:$I,9,FALSE)))</f>
        <v/>
      </c>
      <c r="BD270" s="158">
        <f>IFERROR(AF270*VLOOKUP(J270,'BD Campos'!$X$1:$Y$14,2,FALSE),"0")</f>
        <v>8.7924999999999986</v>
      </c>
    </row>
    <row r="271" spans="1:56">
      <c r="A271" s="151" t="str">
        <f t="shared" si="19"/>
        <v>Jan11325MotoristaDISTRIBUIÇÃO</v>
      </c>
      <c r="B271" s="149" t="str">
        <f t="shared" si="20"/>
        <v>Jan113251DISTRIBUIÇÃOPADRÃO</v>
      </c>
      <c r="C271" s="152">
        <v>1</v>
      </c>
      <c r="D271" s="153">
        <v>46059.726320949077</v>
      </c>
      <c r="E271" s="154" t="s">
        <v>12</v>
      </c>
      <c r="F271" s="155">
        <v>11325</v>
      </c>
      <c r="G271" s="149" t="s">
        <v>491</v>
      </c>
      <c r="H271" s="154">
        <v>1</v>
      </c>
      <c r="I271" s="149" t="s">
        <v>96</v>
      </c>
      <c r="J271" s="149" t="s">
        <v>93</v>
      </c>
      <c r="K271" s="149" t="s">
        <v>94</v>
      </c>
      <c r="L271" s="156">
        <v>34490797</v>
      </c>
      <c r="M271" s="157">
        <v>1.6087962962962963E-3</v>
      </c>
      <c r="N271" s="131" t="s">
        <v>18</v>
      </c>
      <c r="O271" s="131" t="s">
        <v>17</v>
      </c>
      <c r="P271" s="131" t="s">
        <v>17</v>
      </c>
      <c r="Q271" s="131" t="s">
        <v>17</v>
      </c>
      <c r="R271" s="131" t="s">
        <v>17</v>
      </c>
      <c r="S271" s="131" t="s">
        <v>17</v>
      </c>
      <c r="T271" s="131" t="s">
        <v>17</v>
      </c>
      <c r="U271" s="131" t="s">
        <v>17</v>
      </c>
      <c r="V271" s="131" t="s">
        <v>18</v>
      </c>
      <c r="W271" s="131" t="s">
        <v>17</v>
      </c>
      <c r="X271" s="131" t="s">
        <v>17</v>
      </c>
      <c r="Y271" s="131" t="s">
        <v>17</v>
      </c>
      <c r="Z271" s="131" t="s">
        <v>17</v>
      </c>
      <c r="AA271" s="131" t="s">
        <v>17</v>
      </c>
      <c r="AB271" s="131" t="s">
        <v>17</v>
      </c>
      <c r="AC271" s="131"/>
      <c r="AD271" s="131"/>
      <c r="AE271" s="131"/>
      <c r="AF271" s="158">
        <f t="shared" si="22"/>
        <v>8.7924999999999986</v>
      </c>
      <c r="AG271" s="159"/>
      <c r="AH271" s="155" t="s">
        <v>492</v>
      </c>
      <c r="AI271" s="155" t="s">
        <v>83</v>
      </c>
      <c r="AJ271" s="131" t="str">
        <f>IFERROR(VLOOKUP(E271&amp;F271,'Listagem dos op'!A:S,19,0),"")</f>
        <v/>
      </c>
      <c r="AK271" s="131" t="str">
        <f t="shared" si="21"/>
        <v>Jan11325</v>
      </c>
      <c r="AL271" s="154">
        <f>IF(N271="","",IF(N271="SIM",VLOOKUP($I271&amp;$J271&amp;N$1,Pesos!$A:$I,7,FALSE),VLOOKUP($I271&amp;$J271&amp;N$1,Pesos!$A:$I,9,FALSE)))</f>
        <v>-5.000000000000001E-3</v>
      </c>
      <c r="AM271" s="154">
        <f>IF(O271="","",IF(O271="SIM",VLOOKUP($I271&amp;$J271&amp;O$1,Pesos!$A:$I,7,FALSE),VLOOKUP($I271&amp;$J271&amp;O$1,Pesos!$A:$I,9,FALSE)))</f>
        <v>0.1</v>
      </c>
      <c r="AN271" s="154">
        <f>IF(P271="","",IF(P271="SIM",VLOOKUP($I271&amp;$J271&amp;P$1,Pesos!$A:$I,7,FALSE),VLOOKUP($I271&amp;$J271&amp;P$1,Pesos!$A:$I,9,FALSE)))</f>
        <v>0.1</v>
      </c>
      <c r="AO271" s="154">
        <f>IF(Q271="","",IF(Q271="SIM",VLOOKUP($I271&amp;$J271&amp;Q$1,Pesos!$A:$I,7,FALSE),VLOOKUP($I271&amp;$J271&amp;Q$1,Pesos!$A:$I,9,FALSE)))</f>
        <v>2</v>
      </c>
      <c r="AP271" s="154">
        <f>IF(R271="","",IF(R271="SIM",VLOOKUP($I271&amp;$J271&amp;R$1,Pesos!$A:$I,7,FALSE),VLOOKUP($I271&amp;$J271&amp;R$1,Pesos!$A:$I,9,FALSE)))</f>
        <v>1.03</v>
      </c>
      <c r="AQ271" s="154">
        <f>IF(S271="","",IF(S271="SIM",VLOOKUP($I271&amp;$J271&amp;S$1,Pesos!$A:$I,7,FALSE),VLOOKUP($I271&amp;$J271&amp;S$1,Pesos!$A:$I,9,FALSE)))</f>
        <v>1.22</v>
      </c>
      <c r="AR271" s="156">
        <f>IF(T271="","",IF(T271="SIM",VLOOKUP($I271&amp;$J271&amp;T$1,Pesos!$A:$I,7,FALSE),VLOOKUP($I271&amp;$J271&amp;T$1,Pesos!$A:$I,9,FALSE)))</f>
        <v>2</v>
      </c>
      <c r="AS271" s="132">
        <f>IF(U271="","",IF(U271="SIM",VLOOKUP($I271&amp;$J271&amp;U$1,Pesos!$A:$I,7,FALSE),VLOOKUP($I271&amp;$J271&amp;U$1,Pesos!$A:$I,9,FALSE)))</f>
        <v>1.05</v>
      </c>
      <c r="AT271" s="132">
        <f>IF(V271="","",IF(V271="SIM",VLOOKUP($I271&amp;$J271&amp;V$1,Pesos!$A:$I,7,FALSE),VLOOKUP($I271&amp;$J271&amp;V$1,Pesos!$A:$I,9,FALSE)))</f>
        <v>-5.2500000000000005E-2</v>
      </c>
      <c r="AU271" s="132">
        <f>IF(W271="","",IF(W271="SIM",VLOOKUP($I271&amp;$J271&amp;W$1,Pesos!$A:$I,7,FALSE),VLOOKUP($I271&amp;$J271&amp;W$1,Pesos!$A:$I,9,FALSE)))</f>
        <v>0.3</v>
      </c>
      <c r="AV271" s="132">
        <f>IF(X271="","",IF(X271="SIM",VLOOKUP($I271&amp;$J271&amp;X$1,Pesos!$A:$I,7,FALSE),VLOOKUP($I271&amp;$J271&amp;X$1,Pesos!$A:$I,9,FALSE)))</f>
        <v>0.3</v>
      </c>
      <c r="AW271" s="132">
        <f>IF(Y271="","",IF(Y271="SIM",VLOOKUP($I271&amp;$J271&amp;Y$1,Pesos!$A:$I,7,FALSE),VLOOKUP($I271&amp;$J271&amp;Y$1,Pesos!$A:$I,9,FALSE)))</f>
        <v>0.15</v>
      </c>
      <c r="AX271" s="132">
        <f>IF(Z271="","",IF(Z271="SIM",VLOOKUP($I271&amp;$J271&amp;Z$1,Pesos!$A:$I,7,FALSE),VLOOKUP($I271&amp;$J271&amp;Z$1,Pesos!$A:$I,9,FALSE)))</f>
        <v>0.2</v>
      </c>
      <c r="AY271" s="132">
        <f>IF(AA271="","",IF(AA271="SIM",VLOOKUP($I271&amp;$J271&amp;AA$1,Pesos!$A:$I,7,FALSE),VLOOKUP($I271&amp;$J271&amp;AA$1,Pesos!$A:$I,9,FALSE)))</f>
        <v>0.3</v>
      </c>
      <c r="AZ271" s="132">
        <f>IF(AB271="","",IF(AB271="SIM",VLOOKUP($I271&amp;$J271&amp;AB$1,Pesos!$A:$I,7,FALSE),VLOOKUP($I271&amp;$J271&amp;AB$1,Pesos!$A:$I,9,FALSE)))</f>
        <v>0.1</v>
      </c>
      <c r="BA271" s="132" t="str">
        <f>IF(AC271="","",IF(AC271="SIM",VLOOKUP($I271&amp;$J271&amp;AC$1,Pesos!$A:$I,7,FALSE),VLOOKUP($I271&amp;$J271&amp;AC$1,Pesos!$A:$I,9,FALSE)))</f>
        <v/>
      </c>
      <c r="BB271" s="132" t="str">
        <f>IF(AD271="","",IF(AD271="SIM",VLOOKUP($I271&amp;$J271&amp;AD$1,Pesos!$A:$I,7,FALSE),VLOOKUP($I271&amp;$J271&amp;AD$1,Pesos!$A:$I,9,FALSE)))</f>
        <v/>
      </c>
      <c r="BC271" s="132" t="str">
        <f>IF(AE271="","",IF(AE271="SIM",VLOOKUP($I271&amp;$J271&amp;AE$1,Pesos!$A:$I,7,FALSE),VLOOKUP($I271&amp;$J271&amp;AE$1,Pesos!$A:$I,9,FALSE)))</f>
        <v/>
      </c>
      <c r="BD271" s="158">
        <f>IFERROR(AF271*VLOOKUP(J271,'BD Campos'!$X$1:$Y$14,2,FALSE),"0")</f>
        <v>8.7924999999999986</v>
      </c>
    </row>
    <row r="272" spans="1:56">
      <c r="A272" s="151" t="str">
        <f t="shared" si="19"/>
        <v>Jan11325Motorista 2DISTRIBUIÇÃO</v>
      </c>
      <c r="B272" s="149" t="str">
        <f t="shared" si="20"/>
        <v>Jan113252DISTRIBUIÇÃOPADRÃO</v>
      </c>
      <c r="C272" s="152">
        <v>1</v>
      </c>
      <c r="D272" s="153">
        <v>46059.72771446759</v>
      </c>
      <c r="E272" s="154" t="s">
        <v>12</v>
      </c>
      <c r="F272" s="155">
        <v>11325</v>
      </c>
      <c r="G272" s="149" t="s">
        <v>491</v>
      </c>
      <c r="H272" s="154">
        <v>2</v>
      </c>
      <c r="I272" s="149" t="s">
        <v>96</v>
      </c>
      <c r="J272" s="149" t="s">
        <v>97</v>
      </c>
      <c r="K272" s="149" t="s">
        <v>94</v>
      </c>
      <c r="L272" s="156">
        <v>34795327</v>
      </c>
      <c r="M272" s="157">
        <v>1.0648148148148147E-3</v>
      </c>
      <c r="N272" s="131" t="s">
        <v>17</v>
      </c>
      <c r="O272" s="131" t="s">
        <v>17</v>
      </c>
      <c r="P272" s="131" t="s">
        <v>17</v>
      </c>
      <c r="Q272" s="131" t="s">
        <v>17</v>
      </c>
      <c r="R272" s="131" t="s">
        <v>17</v>
      </c>
      <c r="S272" s="131" t="s">
        <v>17</v>
      </c>
      <c r="T272" s="131" t="s">
        <v>17</v>
      </c>
      <c r="U272" s="131" t="s">
        <v>17</v>
      </c>
      <c r="V272" s="131" t="s">
        <v>18</v>
      </c>
      <c r="W272" s="131" t="s">
        <v>17</v>
      </c>
      <c r="X272" s="131" t="s">
        <v>17</v>
      </c>
      <c r="Y272" s="131" t="s">
        <v>17</v>
      </c>
      <c r="Z272" s="131" t="s">
        <v>17</v>
      </c>
      <c r="AA272" s="131" t="s">
        <v>17</v>
      </c>
      <c r="AB272" s="131" t="s">
        <v>17</v>
      </c>
      <c r="AC272" s="131"/>
      <c r="AD272" s="131"/>
      <c r="AE272" s="131"/>
      <c r="AF272" s="158">
        <f t="shared" si="22"/>
        <v>8.8974999999999991</v>
      </c>
      <c r="AG272" s="159"/>
      <c r="AH272" s="155" t="s">
        <v>493</v>
      </c>
      <c r="AI272" s="155" t="s">
        <v>83</v>
      </c>
      <c r="AJ272" s="131" t="str">
        <f>IFERROR(VLOOKUP(E272&amp;F272,'Listagem dos op'!A:S,19,0),"")</f>
        <v/>
      </c>
      <c r="AK272" s="131" t="str">
        <f t="shared" si="21"/>
        <v>Jan11325</v>
      </c>
      <c r="AL272" s="154">
        <f>IF(N272="","",IF(N272="SIM",VLOOKUP($I272&amp;$J272&amp;N$1,Pesos!$A:$I,7,FALSE),VLOOKUP($I272&amp;$J272&amp;N$1,Pesos!$A:$I,9,FALSE)))</f>
        <v>0.1</v>
      </c>
      <c r="AM272" s="154">
        <f>IF(O272="","",IF(O272="SIM",VLOOKUP($I272&amp;$J272&amp;O$1,Pesos!$A:$I,7,FALSE),VLOOKUP($I272&amp;$J272&amp;O$1,Pesos!$A:$I,9,FALSE)))</f>
        <v>0.1</v>
      </c>
      <c r="AN272" s="154">
        <f>IF(P272="","",IF(P272="SIM",VLOOKUP($I272&amp;$J272&amp;P$1,Pesos!$A:$I,7,FALSE),VLOOKUP($I272&amp;$J272&amp;P$1,Pesos!$A:$I,9,FALSE)))</f>
        <v>0.1</v>
      </c>
      <c r="AO272" s="154">
        <f>IF(Q272="","",IF(Q272="SIM",VLOOKUP($I272&amp;$J272&amp;Q$1,Pesos!$A:$I,7,FALSE),VLOOKUP($I272&amp;$J272&amp;Q$1,Pesos!$A:$I,9,FALSE)))</f>
        <v>2</v>
      </c>
      <c r="AP272" s="154">
        <f>IF(R272="","",IF(R272="SIM",VLOOKUP($I272&amp;$J272&amp;R$1,Pesos!$A:$I,7,FALSE),VLOOKUP($I272&amp;$J272&amp;R$1,Pesos!$A:$I,9,FALSE)))</f>
        <v>1.03</v>
      </c>
      <c r="AQ272" s="154">
        <f>IF(S272="","",IF(S272="SIM",VLOOKUP($I272&amp;$J272&amp;S$1,Pesos!$A:$I,7,FALSE),VLOOKUP($I272&amp;$J272&amp;S$1,Pesos!$A:$I,9,FALSE)))</f>
        <v>1.22</v>
      </c>
      <c r="AR272" s="156">
        <f>IF(T272="","",IF(T272="SIM",VLOOKUP($I272&amp;$J272&amp;T$1,Pesos!$A:$I,7,FALSE),VLOOKUP($I272&amp;$J272&amp;T$1,Pesos!$A:$I,9,FALSE)))</f>
        <v>2</v>
      </c>
      <c r="AS272" s="132">
        <f>IF(U272="","",IF(U272="SIM",VLOOKUP($I272&amp;$J272&amp;U$1,Pesos!$A:$I,7,FALSE),VLOOKUP($I272&amp;$J272&amp;U$1,Pesos!$A:$I,9,FALSE)))</f>
        <v>1.05</v>
      </c>
      <c r="AT272" s="132">
        <f>IF(V272="","",IF(V272="SIM",VLOOKUP($I272&amp;$J272&amp;V$1,Pesos!$A:$I,7,FALSE),VLOOKUP($I272&amp;$J272&amp;V$1,Pesos!$A:$I,9,FALSE)))</f>
        <v>-5.2500000000000005E-2</v>
      </c>
      <c r="AU272" s="132">
        <f>IF(W272="","",IF(W272="SIM",VLOOKUP($I272&amp;$J272&amp;W$1,Pesos!$A:$I,7,FALSE),VLOOKUP($I272&amp;$J272&amp;W$1,Pesos!$A:$I,9,FALSE)))</f>
        <v>0.3</v>
      </c>
      <c r="AV272" s="132">
        <f>IF(X272="","",IF(X272="SIM",VLOOKUP($I272&amp;$J272&amp;X$1,Pesos!$A:$I,7,FALSE),VLOOKUP($I272&amp;$J272&amp;X$1,Pesos!$A:$I,9,FALSE)))</f>
        <v>0.3</v>
      </c>
      <c r="AW272" s="132">
        <f>IF(Y272="","",IF(Y272="SIM",VLOOKUP($I272&amp;$J272&amp;Y$1,Pesos!$A:$I,7,FALSE),VLOOKUP($I272&amp;$J272&amp;Y$1,Pesos!$A:$I,9,FALSE)))</f>
        <v>0.15</v>
      </c>
      <c r="AX272" s="132">
        <f>IF(Z272="","",IF(Z272="SIM",VLOOKUP($I272&amp;$J272&amp;Z$1,Pesos!$A:$I,7,FALSE),VLOOKUP($I272&amp;$J272&amp;Z$1,Pesos!$A:$I,9,FALSE)))</f>
        <v>0.2</v>
      </c>
      <c r="AY272" s="132">
        <f>IF(AA272="","",IF(AA272="SIM",VLOOKUP($I272&amp;$J272&amp;AA$1,Pesos!$A:$I,7,FALSE),VLOOKUP($I272&amp;$J272&amp;AA$1,Pesos!$A:$I,9,FALSE)))</f>
        <v>0.3</v>
      </c>
      <c r="AZ272" s="132">
        <f>IF(AB272="","",IF(AB272="SIM",VLOOKUP($I272&amp;$J272&amp;AB$1,Pesos!$A:$I,7,FALSE),VLOOKUP($I272&amp;$J272&amp;AB$1,Pesos!$A:$I,9,FALSE)))</f>
        <v>0.1</v>
      </c>
      <c r="BA272" s="132" t="str">
        <f>IF(AC272="","",IF(AC272="SIM",VLOOKUP($I272&amp;$J272&amp;AC$1,Pesos!$A:$I,7,FALSE),VLOOKUP($I272&amp;$J272&amp;AC$1,Pesos!$A:$I,9,FALSE)))</f>
        <v/>
      </c>
      <c r="BB272" s="132" t="str">
        <f>IF(AD272="","",IF(AD272="SIM",VLOOKUP($I272&amp;$J272&amp;AD$1,Pesos!$A:$I,7,FALSE),VLOOKUP($I272&amp;$J272&amp;AD$1,Pesos!$A:$I,9,FALSE)))</f>
        <v/>
      </c>
      <c r="BC272" s="132" t="str">
        <f>IF(AE272="","",IF(AE272="SIM",VLOOKUP($I272&amp;$J272&amp;AE$1,Pesos!$A:$I,7,FALSE),VLOOKUP($I272&amp;$J272&amp;AE$1,Pesos!$A:$I,9,FALSE)))</f>
        <v/>
      </c>
      <c r="BD272" s="158">
        <f>IFERROR(AF272*VLOOKUP(J272,'BD Campos'!$X$1:$Y$14,2,FALSE),"0")</f>
        <v>8.8974999999999991</v>
      </c>
    </row>
    <row r="273" spans="1:56">
      <c r="A273" s="151" t="str">
        <f t="shared" si="19"/>
        <v>Jan10932MotoristaDISTRIBUIÇÃO</v>
      </c>
      <c r="B273" s="149" t="str">
        <f t="shared" si="20"/>
        <v>Jan109321DISTRIBUIÇÃOPADRÃO</v>
      </c>
      <c r="C273" s="152">
        <v>1</v>
      </c>
      <c r="D273" s="153">
        <v>46059.729005555557</v>
      </c>
      <c r="E273" s="154" t="s">
        <v>12</v>
      </c>
      <c r="F273" s="155">
        <v>10932</v>
      </c>
      <c r="G273" s="149" t="s">
        <v>494</v>
      </c>
      <c r="H273" s="154">
        <v>1</v>
      </c>
      <c r="I273" s="149" t="s">
        <v>96</v>
      </c>
      <c r="J273" s="149" t="s">
        <v>93</v>
      </c>
      <c r="K273" s="149" t="s">
        <v>94</v>
      </c>
      <c r="L273" s="156">
        <v>34532227</v>
      </c>
      <c r="M273" s="157">
        <v>4.8611111111111104E-4</v>
      </c>
      <c r="N273" s="131" t="s">
        <v>17</v>
      </c>
      <c r="O273" s="131" t="s">
        <v>17</v>
      </c>
      <c r="P273" s="131" t="s">
        <v>17</v>
      </c>
      <c r="Q273" s="131" t="s">
        <v>17</v>
      </c>
      <c r="R273" s="131" t="s">
        <v>17</v>
      </c>
      <c r="S273" s="131" t="s">
        <v>17</v>
      </c>
      <c r="T273" s="131" t="s">
        <v>17</v>
      </c>
      <c r="U273" s="131" t="s">
        <v>17</v>
      </c>
      <c r="V273" s="131" t="s">
        <v>18</v>
      </c>
      <c r="W273" s="131" t="s">
        <v>17</v>
      </c>
      <c r="X273" s="131" t="s">
        <v>17</v>
      </c>
      <c r="Y273" s="131" t="s">
        <v>17</v>
      </c>
      <c r="Z273" s="131" t="s">
        <v>18</v>
      </c>
      <c r="AA273" s="131" t="s">
        <v>17</v>
      </c>
      <c r="AB273" s="131" t="s">
        <v>17</v>
      </c>
      <c r="AC273" s="131"/>
      <c r="AD273" s="131"/>
      <c r="AE273" s="131"/>
      <c r="AF273" s="158">
        <f t="shared" si="22"/>
        <v>8.6875</v>
      </c>
      <c r="AG273" s="159"/>
      <c r="AH273" s="155" t="s">
        <v>495</v>
      </c>
      <c r="AI273" s="155" t="s">
        <v>83</v>
      </c>
      <c r="AJ273" s="131" t="str">
        <f>IFERROR(VLOOKUP(E273&amp;F273,'Listagem dos op'!A:S,19,0),"")</f>
        <v/>
      </c>
      <c r="AK273" s="131" t="str">
        <f t="shared" si="21"/>
        <v>Jan10932</v>
      </c>
      <c r="AL273" s="154">
        <f>IF(N273="","",IF(N273="SIM",VLOOKUP($I273&amp;$J273&amp;N$1,Pesos!$A:$I,7,FALSE),VLOOKUP($I273&amp;$J273&amp;N$1,Pesos!$A:$I,9,FALSE)))</f>
        <v>0.1</v>
      </c>
      <c r="AM273" s="154">
        <f>IF(O273="","",IF(O273="SIM",VLOOKUP($I273&amp;$J273&amp;O$1,Pesos!$A:$I,7,FALSE),VLOOKUP($I273&amp;$J273&amp;O$1,Pesos!$A:$I,9,FALSE)))</f>
        <v>0.1</v>
      </c>
      <c r="AN273" s="154">
        <f>IF(P273="","",IF(P273="SIM",VLOOKUP($I273&amp;$J273&amp;P$1,Pesos!$A:$I,7,FALSE),VLOOKUP($I273&amp;$J273&amp;P$1,Pesos!$A:$I,9,FALSE)))</f>
        <v>0.1</v>
      </c>
      <c r="AO273" s="154">
        <f>IF(Q273="","",IF(Q273="SIM",VLOOKUP($I273&amp;$J273&amp;Q$1,Pesos!$A:$I,7,FALSE),VLOOKUP($I273&amp;$J273&amp;Q$1,Pesos!$A:$I,9,FALSE)))</f>
        <v>2</v>
      </c>
      <c r="AP273" s="154">
        <f>IF(R273="","",IF(R273="SIM",VLOOKUP($I273&amp;$J273&amp;R$1,Pesos!$A:$I,7,FALSE),VLOOKUP($I273&amp;$J273&amp;R$1,Pesos!$A:$I,9,FALSE)))</f>
        <v>1.03</v>
      </c>
      <c r="AQ273" s="154">
        <f>IF(S273="","",IF(S273="SIM",VLOOKUP($I273&amp;$J273&amp;S$1,Pesos!$A:$I,7,FALSE),VLOOKUP($I273&amp;$J273&amp;S$1,Pesos!$A:$I,9,FALSE)))</f>
        <v>1.22</v>
      </c>
      <c r="AR273" s="156">
        <f>IF(T273="","",IF(T273="SIM",VLOOKUP($I273&amp;$J273&amp;T$1,Pesos!$A:$I,7,FALSE),VLOOKUP($I273&amp;$J273&amp;T$1,Pesos!$A:$I,9,FALSE)))</f>
        <v>2</v>
      </c>
      <c r="AS273" s="132">
        <f>IF(U273="","",IF(U273="SIM",VLOOKUP($I273&amp;$J273&amp;U$1,Pesos!$A:$I,7,FALSE),VLOOKUP($I273&amp;$J273&amp;U$1,Pesos!$A:$I,9,FALSE)))</f>
        <v>1.05</v>
      </c>
      <c r="AT273" s="132">
        <f>IF(V273="","",IF(V273="SIM",VLOOKUP($I273&amp;$J273&amp;V$1,Pesos!$A:$I,7,FALSE),VLOOKUP($I273&amp;$J273&amp;V$1,Pesos!$A:$I,9,FALSE)))</f>
        <v>-5.2500000000000005E-2</v>
      </c>
      <c r="AU273" s="132">
        <f>IF(W273="","",IF(W273="SIM",VLOOKUP($I273&amp;$J273&amp;W$1,Pesos!$A:$I,7,FALSE),VLOOKUP($I273&amp;$J273&amp;W$1,Pesos!$A:$I,9,FALSE)))</f>
        <v>0.3</v>
      </c>
      <c r="AV273" s="132">
        <f>IF(X273="","",IF(X273="SIM",VLOOKUP($I273&amp;$J273&amp;X$1,Pesos!$A:$I,7,FALSE),VLOOKUP($I273&amp;$J273&amp;X$1,Pesos!$A:$I,9,FALSE)))</f>
        <v>0.3</v>
      </c>
      <c r="AW273" s="132">
        <f>IF(Y273="","",IF(Y273="SIM",VLOOKUP($I273&amp;$J273&amp;Y$1,Pesos!$A:$I,7,FALSE),VLOOKUP($I273&amp;$J273&amp;Y$1,Pesos!$A:$I,9,FALSE)))</f>
        <v>0.15</v>
      </c>
      <c r="AX273" s="132">
        <f>IF(Z273="","",IF(Z273="SIM",VLOOKUP($I273&amp;$J273&amp;Z$1,Pesos!$A:$I,7,FALSE),VLOOKUP($I273&amp;$J273&amp;Z$1,Pesos!$A:$I,9,FALSE)))</f>
        <v>-1.0000000000000002E-2</v>
      </c>
      <c r="AY273" s="132">
        <f>IF(AA273="","",IF(AA273="SIM",VLOOKUP($I273&amp;$J273&amp;AA$1,Pesos!$A:$I,7,FALSE),VLOOKUP($I273&amp;$J273&amp;AA$1,Pesos!$A:$I,9,FALSE)))</f>
        <v>0.3</v>
      </c>
      <c r="AZ273" s="132">
        <f>IF(AB273="","",IF(AB273="SIM",VLOOKUP($I273&amp;$J273&amp;AB$1,Pesos!$A:$I,7,FALSE),VLOOKUP($I273&amp;$J273&amp;AB$1,Pesos!$A:$I,9,FALSE)))</f>
        <v>0.1</v>
      </c>
      <c r="BA273" s="132" t="str">
        <f>IF(AC273="","",IF(AC273="SIM",VLOOKUP($I273&amp;$J273&amp;AC$1,Pesos!$A:$I,7,FALSE),VLOOKUP($I273&amp;$J273&amp;AC$1,Pesos!$A:$I,9,FALSE)))</f>
        <v/>
      </c>
      <c r="BB273" s="132" t="str">
        <f>IF(AD273="","",IF(AD273="SIM",VLOOKUP($I273&amp;$J273&amp;AD$1,Pesos!$A:$I,7,FALSE),VLOOKUP($I273&amp;$J273&amp;AD$1,Pesos!$A:$I,9,FALSE)))</f>
        <v/>
      </c>
      <c r="BC273" s="132" t="str">
        <f>IF(AE273="","",IF(AE273="SIM",VLOOKUP($I273&amp;$J273&amp;AE$1,Pesos!$A:$I,7,FALSE),VLOOKUP($I273&amp;$J273&amp;AE$1,Pesos!$A:$I,9,FALSE)))</f>
        <v/>
      </c>
      <c r="BD273" s="158">
        <f>IFERROR(AF273*VLOOKUP(J273,'BD Campos'!$X$1:$Y$14,2,FALSE),"0")</f>
        <v>8.6875</v>
      </c>
    </row>
    <row r="274" spans="1:56">
      <c r="A274" s="151" t="str">
        <f t="shared" si="19"/>
        <v>Jan10932Motorista 2DISTRIBUIÇÃO</v>
      </c>
      <c r="B274" s="149" t="str">
        <f t="shared" si="20"/>
        <v>Jan109322DISTRIBUIÇÃOPADRÃO</v>
      </c>
      <c r="C274" s="152">
        <v>1</v>
      </c>
      <c r="D274" s="153">
        <v>46059.73061770833</v>
      </c>
      <c r="E274" s="154" t="s">
        <v>12</v>
      </c>
      <c r="F274" s="155">
        <v>10932</v>
      </c>
      <c r="G274" s="149" t="s">
        <v>494</v>
      </c>
      <c r="H274" s="154">
        <v>2</v>
      </c>
      <c r="I274" s="149" t="s">
        <v>96</v>
      </c>
      <c r="J274" s="149" t="s">
        <v>97</v>
      </c>
      <c r="K274" s="149" t="s">
        <v>94</v>
      </c>
      <c r="L274" s="156">
        <v>34807666</v>
      </c>
      <c r="M274" s="157">
        <v>7.8703703703703705E-4</v>
      </c>
      <c r="N274" s="131" t="s">
        <v>17</v>
      </c>
      <c r="O274" s="131" t="s">
        <v>17</v>
      </c>
      <c r="P274" s="131" t="s">
        <v>17</v>
      </c>
      <c r="Q274" s="131" t="s">
        <v>17</v>
      </c>
      <c r="R274" s="131" t="s">
        <v>17</v>
      </c>
      <c r="S274" s="131" t="s">
        <v>17</v>
      </c>
      <c r="T274" s="131" t="s">
        <v>18</v>
      </c>
      <c r="U274" s="131" t="s">
        <v>17</v>
      </c>
      <c r="V274" s="131" t="s">
        <v>18</v>
      </c>
      <c r="W274" s="131" t="s">
        <v>17</v>
      </c>
      <c r="X274" s="131" t="s">
        <v>17</v>
      </c>
      <c r="Y274" s="131" t="s">
        <v>17</v>
      </c>
      <c r="Z274" s="131" t="s">
        <v>17</v>
      </c>
      <c r="AA274" s="131" t="s">
        <v>17</v>
      </c>
      <c r="AB274" s="131" t="s">
        <v>17</v>
      </c>
      <c r="AC274" s="131"/>
      <c r="AD274" s="131"/>
      <c r="AE274" s="131"/>
      <c r="AF274" s="158">
        <f t="shared" si="22"/>
        <v>6.7974999999999994</v>
      </c>
      <c r="AG274" s="159"/>
      <c r="AH274" s="155" t="s">
        <v>496</v>
      </c>
      <c r="AI274" s="155" t="s">
        <v>83</v>
      </c>
      <c r="AJ274" s="131" t="str">
        <f>IFERROR(VLOOKUP(E274&amp;F274,'Listagem dos op'!A:S,19,0),"")</f>
        <v/>
      </c>
      <c r="AK274" s="131" t="str">
        <f t="shared" si="21"/>
        <v>Jan10932</v>
      </c>
      <c r="AL274" s="154">
        <f>IF(N274="","",IF(N274="SIM",VLOOKUP($I274&amp;$J274&amp;N$1,Pesos!$A:$I,7,FALSE),VLOOKUP($I274&amp;$J274&amp;N$1,Pesos!$A:$I,9,FALSE)))</f>
        <v>0.1</v>
      </c>
      <c r="AM274" s="154">
        <f>IF(O274="","",IF(O274="SIM",VLOOKUP($I274&amp;$J274&amp;O$1,Pesos!$A:$I,7,FALSE),VLOOKUP($I274&amp;$J274&amp;O$1,Pesos!$A:$I,9,FALSE)))</f>
        <v>0.1</v>
      </c>
      <c r="AN274" s="154">
        <f>IF(P274="","",IF(P274="SIM",VLOOKUP($I274&amp;$J274&amp;P$1,Pesos!$A:$I,7,FALSE),VLOOKUP($I274&amp;$J274&amp;P$1,Pesos!$A:$I,9,FALSE)))</f>
        <v>0.1</v>
      </c>
      <c r="AO274" s="154">
        <f>IF(Q274="","",IF(Q274="SIM",VLOOKUP($I274&amp;$J274&amp;Q$1,Pesos!$A:$I,7,FALSE),VLOOKUP($I274&amp;$J274&amp;Q$1,Pesos!$A:$I,9,FALSE)))</f>
        <v>2</v>
      </c>
      <c r="AP274" s="154">
        <f>IF(R274="","",IF(R274="SIM",VLOOKUP($I274&amp;$J274&amp;R$1,Pesos!$A:$I,7,FALSE),VLOOKUP($I274&amp;$J274&amp;R$1,Pesos!$A:$I,9,FALSE)))</f>
        <v>1.03</v>
      </c>
      <c r="AQ274" s="154">
        <f>IF(S274="","",IF(S274="SIM",VLOOKUP($I274&amp;$J274&amp;S$1,Pesos!$A:$I,7,FALSE),VLOOKUP($I274&amp;$J274&amp;S$1,Pesos!$A:$I,9,FALSE)))</f>
        <v>1.22</v>
      </c>
      <c r="AR274" s="156">
        <f>IF(T274="","",IF(T274="SIM",VLOOKUP($I274&amp;$J274&amp;T$1,Pesos!$A:$I,7,FALSE),VLOOKUP($I274&amp;$J274&amp;T$1,Pesos!$A:$I,9,FALSE)))</f>
        <v>-0.1</v>
      </c>
      <c r="AS274" s="132">
        <f>IF(U274="","",IF(U274="SIM",VLOOKUP($I274&amp;$J274&amp;U$1,Pesos!$A:$I,7,FALSE),VLOOKUP($I274&amp;$J274&amp;U$1,Pesos!$A:$I,9,FALSE)))</f>
        <v>1.05</v>
      </c>
      <c r="AT274" s="132">
        <f>IF(V274="","",IF(V274="SIM",VLOOKUP($I274&amp;$J274&amp;V$1,Pesos!$A:$I,7,FALSE),VLOOKUP($I274&amp;$J274&amp;V$1,Pesos!$A:$I,9,FALSE)))</f>
        <v>-5.2500000000000005E-2</v>
      </c>
      <c r="AU274" s="132">
        <f>IF(W274="","",IF(W274="SIM",VLOOKUP($I274&amp;$J274&amp;W$1,Pesos!$A:$I,7,FALSE),VLOOKUP($I274&amp;$J274&amp;W$1,Pesos!$A:$I,9,FALSE)))</f>
        <v>0.3</v>
      </c>
      <c r="AV274" s="132">
        <f>IF(X274="","",IF(X274="SIM",VLOOKUP($I274&amp;$J274&amp;X$1,Pesos!$A:$I,7,FALSE),VLOOKUP($I274&amp;$J274&amp;X$1,Pesos!$A:$I,9,FALSE)))</f>
        <v>0.3</v>
      </c>
      <c r="AW274" s="132">
        <f>IF(Y274="","",IF(Y274="SIM",VLOOKUP($I274&amp;$J274&amp;Y$1,Pesos!$A:$I,7,FALSE),VLOOKUP($I274&amp;$J274&amp;Y$1,Pesos!$A:$I,9,FALSE)))</f>
        <v>0.15</v>
      </c>
      <c r="AX274" s="132">
        <f>IF(Z274="","",IF(Z274="SIM",VLOOKUP($I274&amp;$J274&amp;Z$1,Pesos!$A:$I,7,FALSE),VLOOKUP($I274&amp;$J274&amp;Z$1,Pesos!$A:$I,9,FALSE)))</f>
        <v>0.2</v>
      </c>
      <c r="AY274" s="132">
        <f>IF(AA274="","",IF(AA274="SIM",VLOOKUP($I274&amp;$J274&amp;AA$1,Pesos!$A:$I,7,FALSE),VLOOKUP($I274&amp;$J274&amp;AA$1,Pesos!$A:$I,9,FALSE)))</f>
        <v>0.3</v>
      </c>
      <c r="AZ274" s="132">
        <f>IF(AB274="","",IF(AB274="SIM",VLOOKUP($I274&amp;$J274&amp;AB$1,Pesos!$A:$I,7,FALSE),VLOOKUP($I274&amp;$J274&amp;AB$1,Pesos!$A:$I,9,FALSE)))</f>
        <v>0.1</v>
      </c>
      <c r="BA274" s="132" t="str">
        <f>IF(AC274="","",IF(AC274="SIM",VLOOKUP($I274&amp;$J274&amp;AC$1,Pesos!$A:$I,7,FALSE),VLOOKUP($I274&amp;$J274&amp;AC$1,Pesos!$A:$I,9,FALSE)))</f>
        <v/>
      </c>
      <c r="BB274" s="132" t="str">
        <f>IF(AD274="","",IF(AD274="SIM",VLOOKUP($I274&amp;$J274&amp;AD$1,Pesos!$A:$I,7,FALSE),VLOOKUP($I274&amp;$J274&amp;AD$1,Pesos!$A:$I,9,FALSE)))</f>
        <v/>
      </c>
      <c r="BC274" s="132" t="str">
        <f>IF(AE274="","",IF(AE274="SIM",VLOOKUP($I274&amp;$J274&amp;AE$1,Pesos!$A:$I,7,FALSE),VLOOKUP($I274&amp;$J274&amp;AE$1,Pesos!$A:$I,9,FALSE)))</f>
        <v/>
      </c>
      <c r="BD274" s="158">
        <f>IFERROR(AF274*VLOOKUP(J274,'BD Campos'!$X$1:$Y$14,2,FALSE),"0")</f>
        <v>6.7974999999999994</v>
      </c>
    </row>
    <row r="275" spans="1:56">
      <c r="A275" s="151" t="str">
        <f t="shared" si="19"/>
        <v>Jan11448DISTRIBUIÇÃO</v>
      </c>
      <c r="B275" s="149" t="str">
        <f t="shared" si="20"/>
        <v>Jan114481DISTRIBUIÇÃOPADRÃO</v>
      </c>
      <c r="C275" s="152">
        <v>1</v>
      </c>
      <c r="D275" s="153">
        <v>46059.731332986114</v>
      </c>
      <c r="E275" s="154" t="s">
        <v>12</v>
      </c>
      <c r="F275" s="155">
        <v>11448</v>
      </c>
      <c r="G275" s="149" t="s">
        <v>497</v>
      </c>
      <c r="H275" s="154">
        <v>1</v>
      </c>
      <c r="I275" s="149" t="s">
        <v>485</v>
      </c>
      <c r="J275" s="149"/>
      <c r="K275" s="149" t="s">
        <v>94</v>
      </c>
      <c r="L275" s="156"/>
      <c r="M275" s="157"/>
      <c r="N275" s="131"/>
      <c r="O275" s="131"/>
      <c r="P275" s="131"/>
      <c r="Q275" s="131"/>
      <c r="R275" s="131"/>
      <c r="S275" s="131"/>
      <c r="T275" s="131"/>
      <c r="U275" s="131"/>
      <c r="V275" s="131"/>
      <c r="W275" s="131"/>
      <c r="X275" s="131"/>
      <c r="Y275" s="131"/>
      <c r="Z275" s="131"/>
      <c r="AA275" s="131"/>
      <c r="AB275" s="131"/>
      <c r="AC275" s="131"/>
      <c r="AD275" s="131"/>
      <c r="AE275" s="131"/>
      <c r="AF275" s="158">
        <f t="shared" si="22"/>
        <v>0</v>
      </c>
      <c r="AG275" s="159"/>
      <c r="AH275" s="155"/>
      <c r="AI275" s="155" t="s">
        <v>83</v>
      </c>
      <c r="AJ275" s="131" t="str">
        <f>IFERROR(VLOOKUP(E275&amp;F275,'Listagem dos op'!A:S,19,0),"")</f>
        <v/>
      </c>
      <c r="AK275" s="131" t="str">
        <f t="shared" si="21"/>
        <v>Jan11448</v>
      </c>
      <c r="AL275" s="154" t="str">
        <f>IF(N275="","",IF(N275="SIM",VLOOKUP($I275&amp;$J275&amp;N$1,Pesos!$A:$I,7,FALSE),VLOOKUP($I275&amp;$J275&amp;N$1,Pesos!$A:$I,9,FALSE)))</f>
        <v/>
      </c>
      <c r="AM275" s="154" t="str">
        <f>IF(O275="","",IF(O275="SIM",VLOOKUP($I275&amp;$J275&amp;O$1,Pesos!$A:$I,7,FALSE),VLOOKUP($I275&amp;$J275&amp;O$1,Pesos!$A:$I,9,FALSE)))</f>
        <v/>
      </c>
      <c r="AN275" s="154" t="str">
        <f>IF(P275="","",IF(P275="SIM",VLOOKUP($I275&amp;$J275&amp;P$1,Pesos!$A:$I,7,FALSE),VLOOKUP($I275&amp;$J275&amp;P$1,Pesos!$A:$I,9,FALSE)))</f>
        <v/>
      </c>
      <c r="AO275" s="154" t="str">
        <f>IF(Q275="","",IF(Q275="SIM",VLOOKUP($I275&amp;$J275&amp;Q$1,Pesos!$A:$I,7,FALSE),VLOOKUP($I275&amp;$J275&amp;Q$1,Pesos!$A:$I,9,FALSE)))</f>
        <v/>
      </c>
      <c r="AP275" s="154" t="str">
        <f>IF(R275="","",IF(R275="SIM",VLOOKUP($I275&amp;$J275&amp;R$1,Pesos!$A:$I,7,FALSE),VLOOKUP($I275&amp;$J275&amp;R$1,Pesos!$A:$I,9,FALSE)))</f>
        <v/>
      </c>
      <c r="AQ275" s="154" t="str">
        <f>IF(S275="","",IF(S275="SIM",VLOOKUP($I275&amp;$J275&amp;S$1,Pesos!$A:$I,7,FALSE),VLOOKUP($I275&amp;$J275&amp;S$1,Pesos!$A:$I,9,FALSE)))</f>
        <v/>
      </c>
      <c r="AR275" s="156" t="str">
        <f>IF(T275="","",IF(T275="SIM",VLOOKUP($I275&amp;$J275&amp;T$1,Pesos!$A:$I,7,FALSE),VLOOKUP($I275&amp;$J275&amp;T$1,Pesos!$A:$I,9,FALSE)))</f>
        <v/>
      </c>
      <c r="AS275" s="132" t="str">
        <f>IF(U275="","",IF(U275="SIM",VLOOKUP($I275&amp;$J275&amp;U$1,Pesos!$A:$I,7,FALSE),VLOOKUP($I275&amp;$J275&amp;U$1,Pesos!$A:$I,9,FALSE)))</f>
        <v/>
      </c>
      <c r="AT275" s="132" t="str">
        <f>IF(V275="","",IF(V275="SIM",VLOOKUP($I275&amp;$J275&amp;V$1,Pesos!$A:$I,7,FALSE),VLOOKUP($I275&amp;$J275&amp;V$1,Pesos!$A:$I,9,FALSE)))</f>
        <v/>
      </c>
      <c r="AU275" s="132" t="str">
        <f>IF(W275="","",IF(W275="SIM",VLOOKUP($I275&amp;$J275&amp;W$1,Pesos!$A:$I,7,FALSE),VLOOKUP($I275&amp;$J275&amp;W$1,Pesos!$A:$I,9,FALSE)))</f>
        <v/>
      </c>
      <c r="AV275" s="132" t="str">
        <f>IF(X275="","",IF(X275="SIM",VLOOKUP($I275&amp;$J275&amp;X$1,Pesos!$A:$I,7,FALSE),VLOOKUP($I275&amp;$J275&amp;X$1,Pesos!$A:$I,9,FALSE)))</f>
        <v/>
      </c>
      <c r="AW275" s="132" t="str">
        <f>IF(Y275="","",IF(Y275="SIM",VLOOKUP($I275&amp;$J275&amp;Y$1,Pesos!$A:$I,7,FALSE),VLOOKUP($I275&amp;$J275&amp;Y$1,Pesos!$A:$I,9,FALSE)))</f>
        <v/>
      </c>
      <c r="AX275" s="132" t="str">
        <f>IF(Z275="","",IF(Z275="SIM",VLOOKUP($I275&amp;$J275&amp;Z$1,Pesos!$A:$I,7,FALSE),VLOOKUP($I275&amp;$J275&amp;Z$1,Pesos!$A:$I,9,FALSE)))</f>
        <v/>
      </c>
      <c r="AY275" s="132" t="str">
        <f>IF(AA275="","",IF(AA275="SIM",VLOOKUP($I275&amp;$J275&amp;AA$1,Pesos!$A:$I,7,FALSE),VLOOKUP($I275&amp;$J275&amp;AA$1,Pesos!$A:$I,9,FALSE)))</f>
        <v/>
      </c>
      <c r="AZ275" s="132" t="str">
        <f>IF(AB275="","",IF(AB275="SIM",VLOOKUP($I275&amp;$J275&amp;AB$1,Pesos!$A:$I,7,FALSE),VLOOKUP($I275&amp;$J275&amp;AB$1,Pesos!$A:$I,9,FALSE)))</f>
        <v/>
      </c>
      <c r="BA275" s="132" t="str">
        <f>IF(AC275="","",IF(AC275="SIM",VLOOKUP($I275&amp;$J275&amp;AC$1,Pesos!$A:$I,7,FALSE),VLOOKUP($I275&amp;$J275&amp;AC$1,Pesos!$A:$I,9,FALSE)))</f>
        <v/>
      </c>
      <c r="BB275" s="132" t="str">
        <f>IF(AD275="","",IF(AD275="SIM",VLOOKUP($I275&amp;$J275&amp;AD$1,Pesos!$A:$I,7,FALSE),VLOOKUP($I275&amp;$J275&amp;AD$1,Pesos!$A:$I,9,FALSE)))</f>
        <v/>
      </c>
      <c r="BC275" s="132" t="str">
        <f>IF(AE275="","",IF(AE275="SIM",VLOOKUP($I275&amp;$J275&amp;AE$1,Pesos!$A:$I,7,FALSE),VLOOKUP($I275&amp;$J275&amp;AE$1,Pesos!$A:$I,9,FALSE)))</f>
        <v/>
      </c>
      <c r="BD275" s="158" t="str">
        <f>IFERROR(AF275*VLOOKUP(J275,'BD Campos'!$X$1:$Y$14,2,FALSE),"0")</f>
        <v>0</v>
      </c>
    </row>
    <row r="276" spans="1:56">
      <c r="A276" s="151" t="str">
        <f t="shared" si="19"/>
        <v>Jan11448DISTRIBUIÇÃO</v>
      </c>
      <c r="B276" s="149" t="str">
        <f t="shared" si="20"/>
        <v>Jan114482DISTRIBUIÇÃOPADRÃO</v>
      </c>
      <c r="C276" s="152">
        <v>1</v>
      </c>
      <c r="D276" s="153">
        <v>46059.731372453702</v>
      </c>
      <c r="E276" s="154" t="s">
        <v>12</v>
      </c>
      <c r="F276" s="155">
        <v>11448</v>
      </c>
      <c r="G276" s="149" t="s">
        <v>497</v>
      </c>
      <c r="H276" s="154">
        <v>2</v>
      </c>
      <c r="I276" s="149" t="s">
        <v>485</v>
      </c>
      <c r="J276" s="149"/>
      <c r="K276" s="149" t="s">
        <v>94</v>
      </c>
      <c r="L276" s="156"/>
      <c r="M276" s="157"/>
      <c r="N276" s="131"/>
      <c r="O276" s="131"/>
      <c r="P276" s="131"/>
      <c r="Q276" s="131"/>
      <c r="R276" s="131"/>
      <c r="S276" s="131"/>
      <c r="T276" s="131"/>
      <c r="U276" s="131"/>
      <c r="V276" s="131"/>
      <c r="W276" s="131"/>
      <c r="X276" s="131"/>
      <c r="Y276" s="131"/>
      <c r="Z276" s="131"/>
      <c r="AA276" s="131"/>
      <c r="AB276" s="131"/>
      <c r="AC276" s="131"/>
      <c r="AD276" s="131"/>
      <c r="AE276" s="131"/>
      <c r="AF276" s="158">
        <f t="shared" si="22"/>
        <v>0</v>
      </c>
      <c r="AG276" s="159"/>
      <c r="AH276" s="155"/>
      <c r="AI276" s="155" t="s">
        <v>83</v>
      </c>
      <c r="AJ276" s="131" t="str">
        <f>IFERROR(VLOOKUP(E276&amp;F276,'Listagem dos op'!A:S,19,0),"")</f>
        <v/>
      </c>
      <c r="AK276" s="131" t="str">
        <f t="shared" si="21"/>
        <v>Jan11448</v>
      </c>
      <c r="AL276" s="154" t="str">
        <f>IF(N276="","",IF(N276="SIM",VLOOKUP($I276&amp;$J276&amp;N$1,Pesos!$A:$I,7,FALSE),VLOOKUP($I276&amp;$J276&amp;N$1,Pesos!$A:$I,9,FALSE)))</f>
        <v/>
      </c>
      <c r="AM276" s="154" t="str">
        <f>IF(O276="","",IF(O276="SIM",VLOOKUP($I276&amp;$J276&amp;O$1,Pesos!$A:$I,7,FALSE),VLOOKUP($I276&amp;$J276&amp;O$1,Pesos!$A:$I,9,FALSE)))</f>
        <v/>
      </c>
      <c r="AN276" s="154" t="str">
        <f>IF(P276="","",IF(P276="SIM",VLOOKUP($I276&amp;$J276&amp;P$1,Pesos!$A:$I,7,FALSE),VLOOKUP($I276&amp;$J276&amp;P$1,Pesos!$A:$I,9,FALSE)))</f>
        <v/>
      </c>
      <c r="AO276" s="154" t="str">
        <f>IF(Q276="","",IF(Q276="SIM",VLOOKUP($I276&amp;$J276&amp;Q$1,Pesos!$A:$I,7,FALSE),VLOOKUP($I276&amp;$J276&amp;Q$1,Pesos!$A:$I,9,FALSE)))</f>
        <v/>
      </c>
      <c r="AP276" s="154" t="str">
        <f>IF(R276="","",IF(R276="SIM",VLOOKUP($I276&amp;$J276&amp;R$1,Pesos!$A:$I,7,FALSE),VLOOKUP($I276&amp;$J276&amp;R$1,Pesos!$A:$I,9,FALSE)))</f>
        <v/>
      </c>
      <c r="AQ276" s="154" t="str">
        <f>IF(S276="","",IF(S276="SIM",VLOOKUP($I276&amp;$J276&amp;S$1,Pesos!$A:$I,7,FALSE),VLOOKUP($I276&amp;$J276&amp;S$1,Pesos!$A:$I,9,FALSE)))</f>
        <v/>
      </c>
      <c r="AR276" s="156" t="str">
        <f>IF(T276="","",IF(T276="SIM",VLOOKUP($I276&amp;$J276&amp;T$1,Pesos!$A:$I,7,FALSE),VLOOKUP($I276&amp;$J276&amp;T$1,Pesos!$A:$I,9,FALSE)))</f>
        <v/>
      </c>
      <c r="AS276" s="132" t="str">
        <f>IF(U276="","",IF(U276="SIM",VLOOKUP($I276&amp;$J276&amp;U$1,Pesos!$A:$I,7,FALSE),VLOOKUP($I276&amp;$J276&amp;U$1,Pesos!$A:$I,9,FALSE)))</f>
        <v/>
      </c>
      <c r="AT276" s="132" t="str">
        <f>IF(V276="","",IF(V276="SIM",VLOOKUP($I276&amp;$J276&amp;V$1,Pesos!$A:$I,7,FALSE),VLOOKUP($I276&amp;$J276&amp;V$1,Pesos!$A:$I,9,FALSE)))</f>
        <v/>
      </c>
      <c r="AU276" s="132" t="str">
        <f>IF(W276="","",IF(W276="SIM",VLOOKUP($I276&amp;$J276&amp;W$1,Pesos!$A:$I,7,FALSE),VLOOKUP($I276&amp;$J276&amp;W$1,Pesos!$A:$I,9,FALSE)))</f>
        <v/>
      </c>
      <c r="AV276" s="132" t="str">
        <f>IF(X276="","",IF(X276="SIM",VLOOKUP($I276&amp;$J276&amp;X$1,Pesos!$A:$I,7,FALSE),VLOOKUP($I276&amp;$J276&amp;X$1,Pesos!$A:$I,9,FALSE)))</f>
        <v/>
      </c>
      <c r="AW276" s="132" t="str">
        <f>IF(Y276="","",IF(Y276="SIM",VLOOKUP($I276&amp;$J276&amp;Y$1,Pesos!$A:$I,7,FALSE),VLOOKUP($I276&amp;$J276&amp;Y$1,Pesos!$A:$I,9,FALSE)))</f>
        <v/>
      </c>
      <c r="AX276" s="132" t="str">
        <f>IF(Z276="","",IF(Z276="SIM",VLOOKUP($I276&amp;$J276&amp;Z$1,Pesos!$A:$I,7,FALSE),VLOOKUP($I276&amp;$J276&amp;Z$1,Pesos!$A:$I,9,FALSE)))</f>
        <v/>
      </c>
      <c r="AY276" s="132" t="str">
        <f>IF(AA276="","",IF(AA276="SIM",VLOOKUP($I276&amp;$J276&amp;AA$1,Pesos!$A:$I,7,FALSE),VLOOKUP($I276&amp;$J276&amp;AA$1,Pesos!$A:$I,9,FALSE)))</f>
        <v/>
      </c>
      <c r="AZ276" s="132" t="str">
        <f>IF(AB276="","",IF(AB276="SIM",VLOOKUP($I276&amp;$J276&amp;AB$1,Pesos!$A:$I,7,FALSE),VLOOKUP($I276&amp;$J276&amp;AB$1,Pesos!$A:$I,9,FALSE)))</f>
        <v/>
      </c>
      <c r="BA276" s="132" t="str">
        <f>IF(AC276="","",IF(AC276="SIM",VLOOKUP($I276&amp;$J276&amp;AC$1,Pesos!$A:$I,7,FALSE),VLOOKUP($I276&amp;$J276&amp;AC$1,Pesos!$A:$I,9,FALSE)))</f>
        <v/>
      </c>
      <c r="BB276" s="132" t="str">
        <f>IF(AD276="","",IF(AD276="SIM",VLOOKUP($I276&amp;$J276&amp;AD$1,Pesos!$A:$I,7,FALSE),VLOOKUP($I276&amp;$J276&amp;AD$1,Pesos!$A:$I,9,FALSE)))</f>
        <v/>
      </c>
      <c r="BC276" s="132" t="str">
        <f>IF(AE276="","",IF(AE276="SIM",VLOOKUP($I276&amp;$J276&amp;AE$1,Pesos!$A:$I,7,FALSE),VLOOKUP($I276&amp;$J276&amp;AE$1,Pesos!$A:$I,9,FALSE)))</f>
        <v/>
      </c>
      <c r="BD276" s="158" t="str">
        <f>IFERROR(AF276*VLOOKUP(J276,'BD Campos'!$X$1:$Y$14,2,FALSE),"0")</f>
        <v>0</v>
      </c>
    </row>
    <row r="277" spans="1:56">
      <c r="A277" s="151" t="str">
        <f t="shared" si="19"/>
        <v>Jan11520MotoristaDISTRIBUIÇÃO</v>
      </c>
      <c r="B277" s="149" t="str">
        <f t="shared" si="20"/>
        <v>Jan115201DISTRIBUIÇÃOPADRÃO</v>
      </c>
      <c r="C277" s="152">
        <v>1</v>
      </c>
      <c r="D277" s="153">
        <v>46059.734474884259</v>
      </c>
      <c r="E277" s="154" t="s">
        <v>12</v>
      </c>
      <c r="F277" s="155">
        <v>11520</v>
      </c>
      <c r="G277" s="149" t="s">
        <v>498</v>
      </c>
      <c r="H277" s="154">
        <v>1</v>
      </c>
      <c r="I277" s="149" t="s">
        <v>133</v>
      </c>
      <c r="J277" s="149" t="s">
        <v>93</v>
      </c>
      <c r="K277" s="149" t="s">
        <v>94</v>
      </c>
      <c r="L277" s="156">
        <v>34691555</v>
      </c>
      <c r="M277" s="157">
        <v>1.7824074074074072E-3</v>
      </c>
      <c r="N277" s="131" t="s">
        <v>17</v>
      </c>
      <c r="O277" s="131" t="s">
        <v>17</v>
      </c>
      <c r="P277" s="131" t="s">
        <v>17</v>
      </c>
      <c r="Q277" s="131" t="s">
        <v>17</v>
      </c>
      <c r="R277" s="131" t="s">
        <v>17</v>
      </c>
      <c r="S277" s="131" t="s">
        <v>17</v>
      </c>
      <c r="T277" s="131" t="s">
        <v>18</v>
      </c>
      <c r="U277" s="131" t="s">
        <v>18</v>
      </c>
      <c r="V277" s="131" t="s">
        <v>17</v>
      </c>
      <c r="W277" s="131" t="s">
        <v>18</v>
      </c>
      <c r="X277" s="131" t="s">
        <v>17</v>
      </c>
      <c r="Y277" s="131" t="s">
        <v>17</v>
      </c>
      <c r="Z277" s="131" t="s">
        <v>17</v>
      </c>
      <c r="AA277" s="131" t="s">
        <v>18</v>
      </c>
      <c r="AB277" s="131" t="s">
        <v>17</v>
      </c>
      <c r="AC277" s="131" t="s">
        <v>17</v>
      </c>
      <c r="AD277" s="131"/>
      <c r="AE277" s="131"/>
      <c r="AF277" s="158">
        <f t="shared" si="22"/>
        <v>6.4089999999999989</v>
      </c>
      <c r="AG277" s="159"/>
      <c r="AH277" s="155" t="s">
        <v>499</v>
      </c>
      <c r="AI277" s="155" t="s">
        <v>83</v>
      </c>
      <c r="AJ277" s="131" t="str">
        <f>IFERROR(VLOOKUP(E277&amp;F277,'Listagem dos op'!A:S,19,0),"")</f>
        <v/>
      </c>
      <c r="AK277" s="131" t="str">
        <f t="shared" si="21"/>
        <v>Jan11520</v>
      </c>
      <c r="AL277" s="154">
        <f>IF(N277="","",IF(N277="SIM",VLOOKUP($I277&amp;$J277&amp;N$1,Pesos!$A:$I,7,FALSE),VLOOKUP($I277&amp;$J277&amp;N$1,Pesos!$A:$I,9,FALSE)))</f>
        <v>0.1</v>
      </c>
      <c r="AM277" s="154">
        <f>IF(O277="","",IF(O277="SIM",VLOOKUP($I277&amp;$J277&amp;O$1,Pesos!$A:$I,7,FALSE),VLOOKUP($I277&amp;$J277&amp;O$1,Pesos!$A:$I,9,FALSE)))</f>
        <v>0.1</v>
      </c>
      <c r="AN277" s="154">
        <f>IF(P277="","",IF(P277="SIM",VLOOKUP($I277&amp;$J277&amp;P$1,Pesos!$A:$I,7,FALSE),VLOOKUP($I277&amp;$J277&amp;P$1,Pesos!$A:$I,9,FALSE)))</f>
        <v>0.1</v>
      </c>
      <c r="AO277" s="154">
        <f>IF(Q277="","",IF(Q277="SIM",VLOOKUP($I277&amp;$J277&amp;Q$1,Pesos!$A:$I,7,FALSE),VLOOKUP($I277&amp;$J277&amp;Q$1,Pesos!$A:$I,9,FALSE)))</f>
        <v>2</v>
      </c>
      <c r="AP277" s="154">
        <f>IF(R277="","",IF(R277="SIM",VLOOKUP($I277&amp;$J277&amp;R$1,Pesos!$A:$I,7,FALSE),VLOOKUP($I277&amp;$J277&amp;R$1,Pesos!$A:$I,9,FALSE)))</f>
        <v>1.03</v>
      </c>
      <c r="AQ277" s="154">
        <f>IF(S277="","",IF(S277="SIM",VLOOKUP($I277&amp;$J277&amp;S$1,Pesos!$A:$I,7,FALSE),VLOOKUP($I277&amp;$J277&amp;S$1,Pesos!$A:$I,9,FALSE)))</f>
        <v>1.05</v>
      </c>
      <c r="AR277" s="156">
        <f>IF(T277="","",IF(T277="SIM",VLOOKUP($I277&amp;$J277&amp;T$1,Pesos!$A:$I,7,FALSE),VLOOKUP($I277&amp;$J277&amp;T$1,Pesos!$A:$I,9,FALSE)))</f>
        <v>-5.2500000000000005E-2</v>
      </c>
      <c r="AS277" s="132">
        <f>IF(U277="","",IF(U277="SIM",VLOOKUP($I277&amp;$J277&amp;U$1,Pesos!$A:$I,7,FALSE),VLOOKUP($I277&amp;$J277&amp;U$1,Pesos!$A:$I,9,FALSE)))</f>
        <v>-5.2500000000000005E-2</v>
      </c>
      <c r="AT277" s="132">
        <f>IF(V277="","",IF(V277="SIM",VLOOKUP($I277&amp;$J277&amp;V$1,Pesos!$A:$I,7,FALSE),VLOOKUP($I277&amp;$J277&amp;V$1,Pesos!$A:$I,9,FALSE)))</f>
        <v>1.05</v>
      </c>
      <c r="AU277" s="132">
        <f>IF(W277="","",IF(W277="SIM",VLOOKUP($I277&amp;$J277&amp;W$1,Pesos!$A:$I,7,FALSE),VLOOKUP($I277&amp;$J277&amp;W$1,Pesos!$A:$I,9,FALSE)))</f>
        <v>-5.6000000000000008E-2</v>
      </c>
      <c r="AV277" s="132">
        <f>IF(X277="","",IF(X277="SIM",VLOOKUP($I277&amp;$J277&amp;X$1,Pesos!$A:$I,7,FALSE),VLOOKUP($I277&amp;$J277&amp;X$1,Pesos!$A:$I,9,FALSE)))</f>
        <v>0.3</v>
      </c>
      <c r="AW277" s="132">
        <f>IF(Y277="","",IF(Y277="SIM",VLOOKUP($I277&amp;$J277&amp;Y$1,Pesos!$A:$I,7,FALSE),VLOOKUP($I277&amp;$J277&amp;Y$1,Pesos!$A:$I,9,FALSE)))</f>
        <v>0.3</v>
      </c>
      <c r="AX277" s="132">
        <f>IF(Z277="","",IF(Z277="SIM",VLOOKUP($I277&amp;$J277&amp;Z$1,Pesos!$A:$I,7,FALSE),VLOOKUP($I277&amp;$J277&amp;Z$1,Pesos!$A:$I,9,FALSE)))</f>
        <v>0.15</v>
      </c>
      <c r="AY277" s="132">
        <f>IF(AA277="","",IF(AA277="SIM",VLOOKUP($I277&amp;$J277&amp;AA$1,Pesos!$A:$I,7,FALSE),VLOOKUP($I277&amp;$J277&amp;AA$1,Pesos!$A:$I,9,FALSE)))</f>
        <v>-1.0000000000000002E-2</v>
      </c>
      <c r="AZ277" s="132">
        <f>IF(AB277="","",IF(AB277="SIM",VLOOKUP($I277&amp;$J277&amp;AB$1,Pesos!$A:$I,7,FALSE),VLOOKUP($I277&amp;$J277&amp;AB$1,Pesos!$A:$I,9,FALSE)))</f>
        <v>0.3</v>
      </c>
      <c r="BA277" s="132">
        <f>IF(AC277="","",IF(AC277="SIM",VLOOKUP($I277&amp;$J277&amp;AC$1,Pesos!$A:$I,7,FALSE),VLOOKUP($I277&amp;$J277&amp;AC$1,Pesos!$A:$I,9,FALSE)))</f>
        <v>0.1</v>
      </c>
      <c r="BB277" s="132" t="str">
        <f>IF(AD277="","",IF(AD277="SIM",VLOOKUP($I277&amp;$J277&amp;AD$1,Pesos!$A:$I,7,FALSE),VLOOKUP($I277&amp;$J277&amp;AD$1,Pesos!$A:$I,9,FALSE)))</f>
        <v/>
      </c>
      <c r="BC277" s="132" t="str">
        <f>IF(AE277="","",IF(AE277="SIM",VLOOKUP($I277&amp;$J277&amp;AE$1,Pesos!$A:$I,7,FALSE),VLOOKUP($I277&amp;$J277&amp;AE$1,Pesos!$A:$I,9,FALSE)))</f>
        <v/>
      </c>
      <c r="BD277" s="158">
        <f>IFERROR(AF277*VLOOKUP(J277,'BD Campos'!$X$1:$Y$14,2,FALSE),"0")</f>
        <v>6.4089999999999989</v>
      </c>
    </row>
    <row r="278" spans="1:56">
      <c r="A278" s="151" t="str">
        <f t="shared" si="19"/>
        <v>Jan11520Motorista 2DISTRIBUIÇÃO</v>
      </c>
      <c r="B278" s="149" t="str">
        <f t="shared" si="20"/>
        <v>Jan115202DISTRIBUIÇÃOPADRÃO</v>
      </c>
      <c r="C278" s="152">
        <v>1</v>
      </c>
      <c r="D278" s="153">
        <v>46059.735902083332</v>
      </c>
      <c r="E278" s="154" t="s">
        <v>12</v>
      </c>
      <c r="F278" s="155">
        <v>11520</v>
      </c>
      <c r="G278" s="149" t="s">
        <v>498</v>
      </c>
      <c r="H278" s="154">
        <v>2</v>
      </c>
      <c r="I278" s="149" t="s">
        <v>92</v>
      </c>
      <c r="J278" s="149" t="s">
        <v>97</v>
      </c>
      <c r="K278" s="149" t="s">
        <v>94</v>
      </c>
      <c r="L278" s="156">
        <v>34761719</v>
      </c>
      <c r="M278" s="157">
        <v>1.0300925925925926E-3</v>
      </c>
      <c r="N278" s="131" t="s">
        <v>17</v>
      </c>
      <c r="O278" s="131" t="s">
        <v>17</v>
      </c>
      <c r="P278" s="131" t="s">
        <v>17</v>
      </c>
      <c r="Q278" s="131" t="s">
        <v>17</v>
      </c>
      <c r="R278" s="131" t="s">
        <v>17</v>
      </c>
      <c r="S278" s="131" t="s">
        <v>17</v>
      </c>
      <c r="T278" s="131" t="s">
        <v>17</v>
      </c>
      <c r="U278" s="131" t="s">
        <v>17</v>
      </c>
      <c r="V278" s="131" t="s">
        <v>17</v>
      </c>
      <c r="W278" s="131" t="s">
        <v>17</v>
      </c>
      <c r="X278" s="131" t="s">
        <v>17</v>
      </c>
      <c r="Y278" s="131" t="s">
        <v>17</v>
      </c>
      <c r="Z278" s="131" t="s">
        <v>17</v>
      </c>
      <c r="AA278" s="131" t="s">
        <v>17</v>
      </c>
      <c r="AB278" s="131"/>
      <c r="AC278" s="131"/>
      <c r="AD278" s="131"/>
      <c r="AE278" s="131"/>
      <c r="AF278" s="158">
        <f t="shared" si="22"/>
        <v>10.000000000000002</v>
      </c>
      <c r="AG278" s="159"/>
      <c r="AH278" s="155" t="s">
        <v>500</v>
      </c>
      <c r="AI278" s="155" t="s">
        <v>83</v>
      </c>
      <c r="AJ278" s="131" t="str">
        <f>IFERROR(VLOOKUP(E278&amp;F278,'Listagem dos op'!A:S,19,0),"")</f>
        <v/>
      </c>
      <c r="AK278" s="131" t="str">
        <f t="shared" si="21"/>
        <v>Jan11520</v>
      </c>
      <c r="AL278" s="154">
        <f>IF(N278="","",IF(N278="SIM",VLOOKUP($I278&amp;$J278&amp;N$1,Pesos!$A:$I,7,FALSE),VLOOKUP($I278&amp;$J278&amp;N$1,Pesos!$A:$I,9,FALSE)))</f>
        <v>0.1</v>
      </c>
      <c r="AM278" s="154">
        <f>IF(O278="","",IF(O278="SIM",VLOOKUP($I278&amp;$J278&amp;O$1,Pesos!$A:$I,7,FALSE),VLOOKUP($I278&amp;$J278&amp;O$1,Pesos!$A:$I,9,FALSE)))</f>
        <v>0.1</v>
      </c>
      <c r="AN278" s="154">
        <f>IF(P278="","",IF(P278="SIM",VLOOKUP($I278&amp;$J278&amp;P$1,Pesos!$A:$I,7,FALSE),VLOOKUP($I278&amp;$J278&amp;P$1,Pesos!$A:$I,9,FALSE)))</f>
        <v>0.1</v>
      </c>
      <c r="AO278" s="154">
        <f>IF(Q278="","",IF(Q278="SIM",VLOOKUP($I278&amp;$J278&amp;Q$1,Pesos!$A:$I,7,FALSE),VLOOKUP($I278&amp;$J278&amp;Q$1,Pesos!$A:$I,9,FALSE)))</f>
        <v>2</v>
      </c>
      <c r="AP278" s="154">
        <f>IF(R278="","",IF(R278="SIM",VLOOKUP($I278&amp;$J278&amp;R$1,Pesos!$A:$I,7,FALSE),VLOOKUP($I278&amp;$J278&amp;R$1,Pesos!$A:$I,9,FALSE)))</f>
        <v>1.03</v>
      </c>
      <c r="AQ278" s="154">
        <f>IF(S278="","",IF(S278="SIM",VLOOKUP($I278&amp;$J278&amp;S$1,Pesos!$A:$I,7,FALSE),VLOOKUP($I278&amp;$J278&amp;S$1,Pesos!$A:$I,9,FALSE)))</f>
        <v>1.7000000000000002</v>
      </c>
      <c r="AR278" s="156">
        <f>IF(T278="","",IF(T278="SIM",VLOOKUP($I278&amp;$J278&amp;T$1,Pesos!$A:$I,7,FALSE),VLOOKUP($I278&amp;$J278&amp;T$1,Pesos!$A:$I,9,FALSE)))</f>
        <v>1.92</v>
      </c>
      <c r="AS278" s="132">
        <f>IF(U278="","",IF(U278="SIM",VLOOKUP($I278&amp;$J278&amp;U$1,Pesos!$A:$I,7,FALSE),VLOOKUP($I278&amp;$J278&amp;U$1,Pesos!$A:$I,9,FALSE)))</f>
        <v>1.7000000000000002</v>
      </c>
      <c r="AT278" s="132">
        <f>IF(V278="","",IF(V278="SIM",VLOOKUP($I278&amp;$J278&amp;V$1,Pesos!$A:$I,7,FALSE),VLOOKUP($I278&amp;$J278&amp;V$1,Pesos!$A:$I,9,FALSE)))</f>
        <v>0.3</v>
      </c>
      <c r="AU278" s="132">
        <f>IF(W278="","",IF(W278="SIM",VLOOKUP($I278&amp;$J278&amp;W$1,Pesos!$A:$I,7,FALSE),VLOOKUP($I278&amp;$J278&amp;W$1,Pesos!$A:$I,9,FALSE)))</f>
        <v>0.3</v>
      </c>
      <c r="AV278" s="132">
        <f>IF(X278="","",IF(X278="SIM",VLOOKUP($I278&amp;$J278&amp;X$1,Pesos!$A:$I,7,FALSE),VLOOKUP($I278&amp;$J278&amp;X$1,Pesos!$A:$I,9,FALSE)))</f>
        <v>0.15</v>
      </c>
      <c r="AW278" s="132">
        <f>IF(Y278="","",IF(Y278="SIM",VLOOKUP($I278&amp;$J278&amp;Y$1,Pesos!$A:$I,7,FALSE),VLOOKUP($I278&amp;$J278&amp;Y$1,Pesos!$A:$I,9,FALSE)))</f>
        <v>0.2</v>
      </c>
      <c r="AX278" s="132">
        <f>IF(Z278="","",IF(Z278="SIM",VLOOKUP($I278&amp;$J278&amp;Z$1,Pesos!$A:$I,7,FALSE),VLOOKUP($I278&amp;$J278&amp;Z$1,Pesos!$A:$I,9,FALSE)))</f>
        <v>0.3</v>
      </c>
      <c r="AY278" s="132">
        <f>IF(AA278="","",IF(AA278="SIM",VLOOKUP($I278&amp;$J278&amp;AA$1,Pesos!$A:$I,7,FALSE),VLOOKUP($I278&amp;$J278&amp;AA$1,Pesos!$A:$I,9,FALSE)))</f>
        <v>0.1</v>
      </c>
      <c r="AZ278" s="132" t="str">
        <f>IF(AB278="","",IF(AB278="SIM",VLOOKUP($I278&amp;$J278&amp;AB$1,Pesos!$A:$I,7,FALSE),VLOOKUP($I278&amp;$J278&amp;AB$1,Pesos!$A:$I,9,FALSE)))</f>
        <v/>
      </c>
      <c r="BA278" s="132" t="str">
        <f>IF(AC278="","",IF(AC278="SIM",VLOOKUP($I278&amp;$J278&amp;AC$1,Pesos!$A:$I,7,FALSE),VLOOKUP($I278&amp;$J278&amp;AC$1,Pesos!$A:$I,9,FALSE)))</f>
        <v/>
      </c>
      <c r="BB278" s="132" t="str">
        <f>IF(AD278="","",IF(AD278="SIM",VLOOKUP($I278&amp;$J278&amp;AD$1,Pesos!$A:$I,7,FALSE),VLOOKUP($I278&amp;$J278&amp;AD$1,Pesos!$A:$I,9,FALSE)))</f>
        <v/>
      </c>
      <c r="BC278" s="132" t="str">
        <f>IF(AE278="","",IF(AE278="SIM",VLOOKUP($I278&amp;$J278&amp;AE$1,Pesos!$A:$I,7,FALSE),VLOOKUP($I278&amp;$J278&amp;AE$1,Pesos!$A:$I,9,FALSE)))</f>
        <v/>
      </c>
      <c r="BD278" s="158">
        <f>IFERROR(AF278*VLOOKUP(J278,'BD Campos'!$X$1:$Y$14,2,FALSE),"0")</f>
        <v>10.000000000000002</v>
      </c>
    </row>
    <row r="279" spans="1:56">
      <c r="A279" s="151" t="str">
        <f t="shared" si="19"/>
        <v>Jan11435ReceptivaRECEPTIVO</v>
      </c>
      <c r="B279" s="149" t="str">
        <f t="shared" si="20"/>
        <v>Jan114351RECEPTIVOPADRÃO</v>
      </c>
      <c r="C279" s="152">
        <v>1</v>
      </c>
      <c r="D279" s="153">
        <v>46059.737300810186</v>
      </c>
      <c r="E279" s="154" t="s">
        <v>12</v>
      </c>
      <c r="F279" s="155">
        <v>11435</v>
      </c>
      <c r="G279" s="149" t="s">
        <v>501</v>
      </c>
      <c r="H279" s="154">
        <v>1</v>
      </c>
      <c r="I279" s="149" t="s">
        <v>155</v>
      </c>
      <c r="J279" s="149" t="s">
        <v>81</v>
      </c>
      <c r="K279" s="149" t="s">
        <v>156</v>
      </c>
      <c r="L279" s="156" t="s">
        <v>502</v>
      </c>
      <c r="M279" s="157"/>
      <c r="N279" s="131" t="s">
        <v>17</v>
      </c>
      <c r="O279" s="131" t="s">
        <v>17</v>
      </c>
      <c r="P279" s="131" t="s">
        <v>17</v>
      </c>
      <c r="Q279" s="131" t="s">
        <v>17</v>
      </c>
      <c r="R279" s="131" t="s">
        <v>17</v>
      </c>
      <c r="S279" s="131" t="s">
        <v>17</v>
      </c>
      <c r="T279" s="131" t="s">
        <v>17</v>
      </c>
      <c r="U279" s="131" t="s">
        <v>17</v>
      </c>
      <c r="V279" s="131" t="s">
        <v>17</v>
      </c>
      <c r="W279" s="131"/>
      <c r="X279" s="131"/>
      <c r="Y279" s="131"/>
      <c r="Z279" s="131"/>
      <c r="AA279" s="131"/>
      <c r="AB279" s="131"/>
      <c r="AC279" s="131"/>
      <c r="AD279" s="131"/>
      <c r="AE279" s="131"/>
      <c r="AF279" s="158">
        <f t="shared" si="22"/>
        <v>10.000000000000002</v>
      </c>
      <c r="AG279" s="159"/>
      <c r="AH279" s="155"/>
      <c r="AI279" s="155" t="s">
        <v>83</v>
      </c>
      <c r="AJ279" s="131" t="str">
        <f>IFERROR(VLOOKUP(E279&amp;F279,'Listagem dos op'!A:S,19,0),"")</f>
        <v/>
      </c>
      <c r="AK279" s="131" t="str">
        <f t="shared" si="21"/>
        <v>Jan11435</v>
      </c>
      <c r="AL279" s="154">
        <f>IF(N279="","",IF(N279="SIM",VLOOKUP($I279&amp;$J279&amp;N$1,Pesos!$A:$I,7,FALSE),VLOOKUP($I279&amp;$J279&amp;N$1,Pesos!$A:$I,9,FALSE)))</f>
        <v>0.3</v>
      </c>
      <c r="AM279" s="154">
        <f>IF(O279="","",IF(O279="SIM",VLOOKUP($I279&amp;$J279&amp;O$1,Pesos!$A:$I,7,FALSE),VLOOKUP($I279&amp;$J279&amp;O$1,Pesos!$A:$I,9,FALSE)))</f>
        <v>1.3</v>
      </c>
      <c r="AN279" s="154">
        <f>IF(P279="","",IF(P279="SIM",VLOOKUP($I279&amp;$J279&amp;P$1,Pesos!$A:$I,7,FALSE),VLOOKUP($I279&amp;$J279&amp;P$1,Pesos!$A:$I,9,FALSE)))</f>
        <v>1.3</v>
      </c>
      <c r="AO279" s="154">
        <f>IF(Q279="","",IF(Q279="SIM",VLOOKUP($I279&amp;$J279&amp;Q$1,Pesos!$A:$I,7,FALSE),VLOOKUP($I279&amp;$J279&amp;Q$1,Pesos!$A:$I,9,FALSE)))</f>
        <v>1.4000000000000001</v>
      </c>
      <c r="AP279" s="154">
        <f>IF(R279="","",IF(R279="SIM",VLOOKUP($I279&amp;$J279&amp;R$1,Pesos!$A:$I,7,FALSE),VLOOKUP($I279&amp;$J279&amp;R$1,Pesos!$A:$I,9,FALSE)))</f>
        <v>1.3</v>
      </c>
      <c r="AQ279" s="154">
        <f>IF(S279="","",IF(S279="SIM",VLOOKUP($I279&amp;$J279&amp;S$1,Pesos!$A:$I,7,FALSE),VLOOKUP($I279&amp;$J279&amp;S$1,Pesos!$A:$I,9,FALSE)))</f>
        <v>1.4000000000000001</v>
      </c>
      <c r="AR279" s="156">
        <f>IF(T279="","",IF(T279="SIM",VLOOKUP($I279&amp;$J279&amp;T$1,Pesos!$A:$I,7,FALSE),VLOOKUP($I279&amp;$J279&amp;T$1,Pesos!$A:$I,9,FALSE)))</f>
        <v>1.4000000000000001</v>
      </c>
      <c r="AS279" s="132">
        <f>IF(U279="","",IF(U279="SIM",VLOOKUP($I279&amp;$J279&amp;U$1,Pesos!$A:$I,7,FALSE),VLOOKUP($I279&amp;$J279&amp;U$1,Pesos!$A:$I,9,FALSE)))</f>
        <v>1.3</v>
      </c>
      <c r="AT279" s="132">
        <f>IF(V279="","",IF(V279="SIM",VLOOKUP($I279&amp;$J279&amp;V$1,Pesos!$A:$I,7,FALSE),VLOOKUP($I279&amp;$J279&amp;V$1,Pesos!$A:$I,9,FALSE)))</f>
        <v>0.3</v>
      </c>
      <c r="AU279" s="132" t="str">
        <f>IF(W279="","",IF(W279="SIM",VLOOKUP($I279&amp;$J279&amp;W$1,Pesos!$A:$I,7,FALSE),VLOOKUP($I279&amp;$J279&amp;W$1,Pesos!$A:$I,9,FALSE)))</f>
        <v/>
      </c>
      <c r="AV279" s="132" t="str">
        <f>IF(X279="","",IF(X279="SIM",VLOOKUP($I279&amp;$J279&amp;X$1,Pesos!$A:$I,7,FALSE),VLOOKUP($I279&amp;$J279&amp;X$1,Pesos!$A:$I,9,FALSE)))</f>
        <v/>
      </c>
      <c r="AW279" s="132" t="str">
        <f>IF(Y279="","",IF(Y279="SIM",VLOOKUP($I279&amp;$J279&amp;Y$1,Pesos!$A:$I,7,FALSE),VLOOKUP($I279&amp;$J279&amp;Y$1,Pesos!$A:$I,9,FALSE)))</f>
        <v/>
      </c>
      <c r="AX279" s="132" t="str">
        <f>IF(Z279="","",IF(Z279="SIM",VLOOKUP($I279&amp;$J279&amp;Z$1,Pesos!$A:$I,7,FALSE),VLOOKUP($I279&amp;$J279&amp;Z$1,Pesos!$A:$I,9,FALSE)))</f>
        <v/>
      </c>
      <c r="AY279" s="132" t="str">
        <f>IF(AA279="","",IF(AA279="SIM",VLOOKUP($I279&amp;$J279&amp;AA$1,Pesos!$A:$I,7,FALSE),VLOOKUP($I279&amp;$J279&amp;AA$1,Pesos!$A:$I,9,FALSE)))</f>
        <v/>
      </c>
      <c r="AZ279" s="132" t="str">
        <f>IF(AB279="","",IF(AB279="SIM",VLOOKUP($I279&amp;$J279&amp;AB$1,Pesos!$A:$I,7,FALSE),VLOOKUP($I279&amp;$J279&amp;AB$1,Pesos!$A:$I,9,FALSE)))</f>
        <v/>
      </c>
      <c r="BA279" s="132" t="str">
        <f>IF(AC279="","",IF(AC279="SIM",VLOOKUP($I279&amp;$J279&amp;AC$1,Pesos!$A:$I,7,FALSE),VLOOKUP($I279&amp;$J279&amp;AC$1,Pesos!$A:$I,9,FALSE)))</f>
        <v/>
      </c>
      <c r="BB279" s="132" t="str">
        <f>IF(AD279="","",IF(AD279="SIM",VLOOKUP($I279&amp;$J279&amp;AD$1,Pesos!$A:$I,7,FALSE),VLOOKUP($I279&amp;$J279&amp;AD$1,Pesos!$A:$I,9,FALSE)))</f>
        <v/>
      </c>
      <c r="BC279" s="132" t="str">
        <f>IF(AE279="","",IF(AE279="SIM",VLOOKUP($I279&amp;$J279&amp;AE$1,Pesos!$A:$I,7,FALSE),VLOOKUP($I279&amp;$J279&amp;AE$1,Pesos!$A:$I,9,FALSE)))</f>
        <v/>
      </c>
      <c r="BD279" s="158">
        <f>IFERROR(AF279*VLOOKUP(J279,'BD Campos'!$X$1:$Y$14,2,FALSE),"0")</f>
        <v>10.000000000000002</v>
      </c>
    </row>
    <row r="280" spans="1:56">
      <c r="A280" s="151" t="str">
        <f t="shared" si="19"/>
        <v>Jan11435Receptiva 2RECEPTIVO</v>
      </c>
      <c r="B280" s="149" t="str">
        <f t="shared" si="20"/>
        <v>Jan114352RECEPTIVOPADRÃO</v>
      </c>
      <c r="C280" s="152">
        <v>1</v>
      </c>
      <c r="D280" s="153">
        <v>46059.738410648148</v>
      </c>
      <c r="E280" s="154" t="s">
        <v>12</v>
      </c>
      <c r="F280" s="155">
        <v>11435</v>
      </c>
      <c r="G280" s="149" t="s">
        <v>501</v>
      </c>
      <c r="H280" s="154">
        <v>2</v>
      </c>
      <c r="I280" s="149" t="s">
        <v>155</v>
      </c>
      <c r="J280" s="149" t="s">
        <v>86</v>
      </c>
      <c r="K280" s="149" t="s">
        <v>156</v>
      </c>
      <c r="L280" s="156" t="s">
        <v>503</v>
      </c>
      <c r="M280" s="157"/>
      <c r="N280" s="131" t="s">
        <v>17</v>
      </c>
      <c r="O280" s="131" t="s">
        <v>17</v>
      </c>
      <c r="P280" s="131" t="s">
        <v>17</v>
      </c>
      <c r="Q280" s="131" t="s">
        <v>17</v>
      </c>
      <c r="R280" s="131" t="s">
        <v>17</v>
      </c>
      <c r="S280" s="131" t="s">
        <v>17</v>
      </c>
      <c r="T280" s="131" t="s">
        <v>17</v>
      </c>
      <c r="U280" s="131" t="s">
        <v>17</v>
      </c>
      <c r="V280" s="131" t="s">
        <v>17</v>
      </c>
      <c r="W280" s="131"/>
      <c r="X280" s="131"/>
      <c r="Y280" s="131"/>
      <c r="Z280" s="131"/>
      <c r="AA280" s="131"/>
      <c r="AB280" s="131"/>
      <c r="AC280" s="131"/>
      <c r="AD280" s="131"/>
      <c r="AE280" s="131"/>
      <c r="AF280" s="158">
        <f t="shared" si="22"/>
        <v>10.000000000000002</v>
      </c>
      <c r="AG280" s="159"/>
      <c r="AH280" s="155"/>
      <c r="AI280" s="155" t="s">
        <v>83</v>
      </c>
      <c r="AJ280" s="131" t="str">
        <f>IFERROR(VLOOKUP(E280&amp;F280,'Listagem dos op'!A:S,19,0),"")</f>
        <v/>
      </c>
      <c r="AK280" s="131" t="str">
        <f t="shared" si="21"/>
        <v>Jan11435</v>
      </c>
      <c r="AL280" s="154">
        <f>IF(N280="","",IF(N280="SIM",VLOOKUP($I280&amp;$J280&amp;N$1,Pesos!$A:$I,7,FALSE),VLOOKUP($I280&amp;$J280&amp;N$1,Pesos!$A:$I,9,FALSE)))</f>
        <v>0.3</v>
      </c>
      <c r="AM280" s="154">
        <f>IF(O280="","",IF(O280="SIM",VLOOKUP($I280&amp;$J280&amp;O$1,Pesos!$A:$I,7,FALSE),VLOOKUP($I280&amp;$J280&amp;O$1,Pesos!$A:$I,9,FALSE)))</f>
        <v>1.3</v>
      </c>
      <c r="AN280" s="154">
        <f>IF(P280="","",IF(P280="SIM",VLOOKUP($I280&amp;$J280&amp;P$1,Pesos!$A:$I,7,FALSE),VLOOKUP($I280&amp;$J280&amp;P$1,Pesos!$A:$I,9,FALSE)))</f>
        <v>1.3</v>
      </c>
      <c r="AO280" s="154">
        <f>IF(Q280="","",IF(Q280="SIM",VLOOKUP($I280&amp;$J280&amp;Q$1,Pesos!$A:$I,7,FALSE),VLOOKUP($I280&amp;$J280&amp;Q$1,Pesos!$A:$I,9,FALSE)))</f>
        <v>1.4000000000000001</v>
      </c>
      <c r="AP280" s="154">
        <f>IF(R280="","",IF(R280="SIM",VLOOKUP($I280&amp;$J280&amp;R$1,Pesos!$A:$I,7,FALSE),VLOOKUP($I280&amp;$J280&amp;R$1,Pesos!$A:$I,9,FALSE)))</f>
        <v>1.3</v>
      </c>
      <c r="AQ280" s="154">
        <f>IF(S280="","",IF(S280="SIM",VLOOKUP($I280&amp;$J280&amp;S$1,Pesos!$A:$I,7,FALSE),VLOOKUP($I280&amp;$J280&amp;S$1,Pesos!$A:$I,9,FALSE)))</f>
        <v>1.4000000000000001</v>
      </c>
      <c r="AR280" s="156">
        <f>IF(T280="","",IF(T280="SIM",VLOOKUP($I280&amp;$J280&amp;T$1,Pesos!$A:$I,7,FALSE),VLOOKUP($I280&amp;$J280&amp;T$1,Pesos!$A:$I,9,FALSE)))</f>
        <v>1.4000000000000001</v>
      </c>
      <c r="AS280" s="132">
        <f>IF(U280="","",IF(U280="SIM",VLOOKUP($I280&amp;$J280&amp;U$1,Pesos!$A:$I,7,FALSE),VLOOKUP($I280&amp;$J280&amp;U$1,Pesos!$A:$I,9,FALSE)))</f>
        <v>1.3</v>
      </c>
      <c r="AT280" s="132">
        <f>IF(V280="","",IF(V280="SIM",VLOOKUP($I280&amp;$J280&amp;V$1,Pesos!$A:$I,7,FALSE),VLOOKUP($I280&amp;$J280&amp;V$1,Pesos!$A:$I,9,FALSE)))</f>
        <v>0.3</v>
      </c>
      <c r="AU280" s="132" t="str">
        <f>IF(W280="","",IF(W280="SIM",VLOOKUP($I280&amp;$J280&amp;W$1,Pesos!$A:$I,7,FALSE),VLOOKUP($I280&amp;$J280&amp;W$1,Pesos!$A:$I,9,FALSE)))</f>
        <v/>
      </c>
      <c r="AV280" s="132" t="str">
        <f>IF(X280="","",IF(X280="SIM",VLOOKUP($I280&amp;$J280&amp;X$1,Pesos!$A:$I,7,FALSE),VLOOKUP($I280&amp;$J280&amp;X$1,Pesos!$A:$I,9,FALSE)))</f>
        <v/>
      </c>
      <c r="AW280" s="132" t="str">
        <f>IF(Y280="","",IF(Y280="SIM",VLOOKUP($I280&amp;$J280&amp;Y$1,Pesos!$A:$I,7,FALSE),VLOOKUP($I280&amp;$J280&amp;Y$1,Pesos!$A:$I,9,FALSE)))</f>
        <v/>
      </c>
      <c r="AX280" s="132" t="str">
        <f>IF(Z280="","",IF(Z280="SIM",VLOOKUP($I280&amp;$J280&amp;Z$1,Pesos!$A:$I,7,FALSE),VLOOKUP($I280&amp;$J280&amp;Z$1,Pesos!$A:$I,9,FALSE)))</f>
        <v/>
      </c>
      <c r="AY280" s="132" t="str">
        <f>IF(AA280="","",IF(AA280="SIM",VLOOKUP($I280&amp;$J280&amp;AA$1,Pesos!$A:$I,7,FALSE),VLOOKUP($I280&amp;$J280&amp;AA$1,Pesos!$A:$I,9,FALSE)))</f>
        <v/>
      </c>
      <c r="AZ280" s="132" t="str">
        <f>IF(AB280="","",IF(AB280="SIM",VLOOKUP($I280&amp;$J280&amp;AB$1,Pesos!$A:$I,7,FALSE),VLOOKUP($I280&amp;$J280&amp;AB$1,Pesos!$A:$I,9,FALSE)))</f>
        <v/>
      </c>
      <c r="BA280" s="132" t="str">
        <f>IF(AC280="","",IF(AC280="SIM",VLOOKUP($I280&amp;$J280&amp;AC$1,Pesos!$A:$I,7,FALSE),VLOOKUP($I280&amp;$J280&amp;AC$1,Pesos!$A:$I,9,FALSE)))</f>
        <v/>
      </c>
      <c r="BB280" s="132" t="str">
        <f>IF(AD280="","",IF(AD280="SIM",VLOOKUP($I280&amp;$J280&amp;AD$1,Pesos!$A:$I,7,FALSE),VLOOKUP($I280&amp;$J280&amp;AD$1,Pesos!$A:$I,9,FALSE)))</f>
        <v/>
      </c>
      <c r="BC280" s="132" t="str">
        <f>IF(AE280="","",IF(AE280="SIM",VLOOKUP($I280&amp;$J280&amp;AE$1,Pesos!$A:$I,7,FALSE),VLOOKUP($I280&amp;$J280&amp;AE$1,Pesos!$A:$I,9,FALSE)))</f>
        <v/>
      </c>
      <c r="BD280" s="158">
        <f>IFERROR(AF280*VLOOKUP(J280,'BD Campos'!$X$1:$Y$14,2,FALSE),"0")</f>
        <v>10.000000000000002</v>
      </c>
    </row>
    <row r="281" spans="1:56">
      <c r="A281" s="151" t="str">
        <f t="shared" si="19"/>
        <v>Jan10941DISTRIBUIÇÃO</v>
      </c>
      <c r="B281" s="149" t="str">
        <f t="shared" si="20"/>
        <v>Jan109411DISTRIBUIÇÃOPADRÃO</v>
      </c>
      <c r="C281" s="152">
        <v>1</v>
      </c>
      <c r="D281" s="153">
        <v>46059.746980208336</v>
      </c>
      <c r="E281" s="154" t="s">
        <v>12</v>
      </c>
      <c r="F281" s="155">
        <v>10941</v>
      </c>
      <c r="G281" s="149" t="s">
        <v>504</v>
      </c>
      <c r="H281" s="154">
        <v>1</v>
      </c>
      <c r="I281" s="149" t="s">
        <v>485</v>
      </c>
      <c r="J281" s="149"/>
      <c r="K281" s="149" t="s">
        <v>94</v>
      </c>
      <c r="L281" s="156"/>
      <c r="M281" s="157"/>
      <c r="N281" s="131"/>
      <c r="O281" s="131"/>
      <c r="P281" s="131"/>
      <c r="Q281" s="131"/>
      <c r="R281" s="131"/>
      <c r="S281" s="131"/>
      <c r="T281" s="131"/>
      <c r="U281" s="131"/>
      <c r="V281" s="131"/>
      <c r="W281" s="131"/>
      <c r="X281" s="131"/>
      <c r="Y281" s="131"/>
      <c r="Z281" s="131"/>
      <c r="AA281" s="131"/>
      <c r="AB281" s="131"/>
      <c r="AC281" s="131"/>
      <c r="AD281" s="131"/>
      <c r="AE281" s="131"/>
      <c r="AF281" s="158">
        <f t="shared" si="22"/>
        <v>0</v>
      </c>
      <c r="AG281" s="159"/>
      <c r="AH281" s="155"/>
      <c r="AI281" s="155" t="s">
        <v>83</v>
      </c>
      <c r="AJ281" s="131" t="str">
        <f>IFERROR(VLOOKUP(E281&amp;F281,'Listagem dos op'!A:S,19,0),"")</f>
        <v/>
      </c>
      <c r="AK281" s="131" t="str">
        <f t="shared" si="21"/>
        <v>Jan10941</v>
      </c>
      <c r="AL281" s="154" t="str">
        <f>IF(N281="","",IF(N281="SIM",VLOOKUP($I281&amp;$J281&amp;N$1,Pesos!$A:$I,7,FALSE),VLOOKUP($I281&amp;$J281&amp;N$1,Pesos!$A:$I,9,FALSE)))</f>
        <v/>
      </c>
      <c r="AM281" s="154" t="str">
        <f>IF(O281="","",IF(O281="SIM",VLOOKUP($I281&amp;$J281&amp;O$1,Pesos!$A:$I,7,FALSE),VLOOKUP($I281&amp;$J281&amp;O$1,Pesos!$A:$I,9,FALSE)))</f>
        <v/>
      </c>
      <c r="AN281" s="154" t="str">
        <f>IF(P281="","",IF(P281="SIM",VLOOKUP($I281&amp;$J281&amp;P$1,Pesos!$A:$I,7,FALSE),VLOOKUP($I281&amp;$J281&amp;P$1,Pesos!$A:$I,9,FALSE)))</f>
        <v/>
      </c>
      <c r="AO281" s="154" t="str">
        <f>IF(Q281="","",IF(Q281="SIM",VLOOKUP($I281&amp;$J281&amp;Q$1,Pesos!$A:$I,7,FALSE),VLOOKUP($I281&amp;$J281&amp;Q$1,Pesos!$A:$I,9,FALSE)))</f>
        <v/>
      </c>
      <c r="AP281" s="154" t="str">
        <f>IF(R281="","",IF(R281="SIM",VLOOKUP($I281&amp;$J281&amp;R$1,Pesos!$A:$I,7,FALSE),VLOOKUP($I281&amp;$J281&amp;R$1,Pesos!$A:$I,9,FALSE)))</f>
        <v/>
      </c>
      <c r="AQ281" s="154" t="str">
        <f>IF(S281="","",IF(S281="SIM",VLOOKUP($I281&amp;$J281&amp;S$1,Pesos!$A:$I,7,FALSE),VLOOKUP($I281&amp;$J281&amp;S$1,Pesos!$A:$I,9,FALSE)))</f>
        <v/>
      </c>
      <c r="AR281" s="156" t="str">
        <f>IF(T281="","",IF(T281="SIM",VLOOKUP($I281&amp;$J281&amp;T$1,Pesos!$A:$I,7,FALSE),VLOOKUP($I281&amp;$J281&amp;T$1,Pesos!$A:$I,9,FALSE)))</f>
        <v/>
      </c>
      <c r="AS281" s="132" t="str">
        <f>IF(U281="","",IF(U281="SIM",VLOOKUP($I281&amp;$J281&amp;U$1,Pesos!$A:$I,7,FALSE),VLOOKUP($I281&amp;$J281&amp;U$1,Pesos!$A:$I,9,FALSE)))</f>
        <v/>
      </c>
      <c r="AT281" s="132" t="str">
        <f>IF(V281="","",IF(V281="SIM",VLOOKUP($I281&amp;$J281&amp;V$1,Pesos!$A:$I,7,FALSE),VLOOKUP($I281&amp;$J281&amp;V$1,Pesos!$A:$I,9,FALSE)))</f>
        <v/>
      </c>
      <c r="AU281" s="132" t="str">
        <f>IF(W281="","",IF(W281="SIM",VLOOKUP($I281&amp;$J281&amp;W$1,Pesos!$A:$I,7,FALSE),VLOOKUP($I281&amp;$J281&amp;W$1,Pesos!$A:$I,9,FALSE)))</f>
        <v/>
      </c>
      <c r="AV281" s="132" t="str">
        <f>IF(X281="","",IF(X281="SIM",VLOOKUP($I281&amp;$J281&amp;X$1,Pesos!$A:$I,7,FALSE),VLOOKUP($I281&amp;$J281&amp;X$1,Pesos!$A:$I,9,FALSE)))</f>
        <v/>
      </c>
      <c r="AW281" s="132" t="str">
        <f>IF(Y281="","",IF(Y281="SIM",VLOOKUP($I281&amp;$J281&amp;Y$1,Pesos!$A:$I,7,FALSE),VLOOKUP($I281&amp;$J281&amp;Y$1,Pesos!$A:$I,9,FALSE)))</f>
        <v/>
      </c>
      <c r="AX281" s="132" t="str">
        <f>IF(Z281="","",IF(Z281="SIM",VLOOKUP($I281&amp;$J281&amp;Z$1,Pesos!$A:$I,7,FALSE),VLOOKUP($I281&amp;$J281&amp;Z$1,Pesos!$A:$I,9,FALSE)))</f>
        <v/>
      </c>
      <c r="AY281" s="132" t="str">
        <f>IF(AA281="","",IF(AA281="SIM",VLOOKUP($I281&amp;$J281&amp;AA$1,Pesos!$A:$I,7,FALSE),VLOOKUP($I281&amp;$J281&amp;AA$1,Pesos!$A:$I,9,FALSE)))</f>
        <v/>
      </c>
      <c r="AZ281" s="132" t="str">
        <f>IF(AB281="","",IF(AB281="SIM",VLOOKUP($I281&amp;$J281&amp;AB$1,Pesos!$A:$I,7,FALSE),VLOOKUP($I281&amp;$J281&amp;AB$1,Pesos!$A:$I,9,FALSE)))</f>
        <v/>
      </c>
      <c r="BA281" s="132" t="str">
        <f>IF(AC281="","",IF(AC281="SIM",VLOOKUP($I281&amp;$J281&amp;AC$1,Pesos!$A:$I,7,FALSE),VLOOKUP($I281&amp;$J281&amp;AC$1,Pesos!$A:$I,9,FALSE)))</f>
        <v/>
      </c>
      <c r="BB281" s="132" t="str">
        <f>IF(AD281="","",IF(AD281="SIM",VLOOKUP($I281&amp;$J281&amp;AD$1,Pesos!$A:$I,7,FALSE),VLOOKUP($I281&amp;$J281&amp;AD$1,Pesos!$A:$I,9,FALSE)))</f>
        <v/>
      </c>
      <c r="BC281" s="132" t="str">
        <f>IF(AE281="","",IF(AE281="SIM",VLOOKUP($I281&amp;$J281&amp;AE$1,Pesos!$A:$I,7,FALSE),VLOOKUP($I281&amp;$J281&amp;AE$1,Pesos!$A:$I,9,FALSE)))</f>
        <v/>
      </c>
      <c r="BD281" s="158" t="str">
        <f>IFERROR(AF281*VLOOKUP(J281,'BD Campos'!$X$1:$Y$14,2,FALSE),"0")</f>
        <v>0</v>
      </c>
    </row>
    <row r="282" spans="1:56">
      <c r="A282" s="151" t="str">
        <f t="shared" si="19"/>
        <v>Jan10941DISTRIBUIÇÃO</v>
      </c>
      <c r="B282" s="149" t="str">
        <f t="shared" si="20"/>
        <v>Jan109412DISTRIBUIÇÃOPADRÃO</v>
      </c>
      <c r="C282" s="152">
        <v>1</v>
      </c>
      <c r="D282" s="153">
        <v>46059.747016550929</v>
      </c>
      <c r="E282" s="154" t="s">
        <v>12</v>
      </c>
      <c r="F282" s="155">
        <v>10941</v>
      </c>
      <c r="G282" s="149" t="s">
        <v>504</v>
      </c>
      <c r="H282" s="154">
        <v>2</v>
      </c>
      <c r="I282" s="149" t="s">
        <v>485</v>
      </c>
      <c r="J282" s="149"/>
      <c r="K282" s="149" t="s">
        <v>94</v>
      </c>
      <c r="L282" s="156"/>
      <c r="M282" s="157"/>
      <c r="N282" s="131"/>
      <c r="O282" s="131"/>
      <c r="P282" s="131"/>
      <c r="Q282" s="131"/>
      <c r="R282" s="131"/>
      <c r="S282" s="131"/>
      <c r="T282" s="131"/>
      <c r="U282" s="131"/>
      <c r="V282" s="131"/>
      <c r="W282" s="131"/>
      <c r="X282" s="131"/>
      <c r="Y282" s="131"/>
      <c r="Z282" s="131"/>
      <c r="AA282" s="131"/>
      <c r="AB282" s="131"/>
      <c r="AC282" s="131"/>
      <c r="AD282" s="131"/>
      <c r="AE282" s="131"/>
      <c r="AF282" s="158">
        <f t="shared" si="22"/>
        <v>0</v>
      </c>
      <c r="AG282" s="159"/>
      <c r="AH282" s="155"/>
      <c r="AI282" s="155" t="s">
        <v>83</v>
      </c>
      <c r="AJ282" s="131" t="str">
        <f>IFERROR(VLOOKUP(E282&amp;F282,'Listagem dos op'!A:S,19,0),"")</f>
        <v/>
      </c>
      <c r="AK282" s="131" t="str">
        <f t="shared" si="21"/>
        <v>Jan10941</v>
      </c>
      <c r="AL282" s="154" t="str">
        <f>IF(N282="","",IF(N282="SIM",VLOOKUP($I282&amp;$J282&amp;N$1,Pesos!$A:$I,7,FALSE),VLOOKUP($I282&amp;$J282&amp;N$1,Pesos!$A:$I,9,FALSE)))</f>
        <v/>
      </c>
      <c r="AM282" s="154" t="str">
        <f>IF(O282="","",IF(O282="SIM",VLOOKUP($I282&amp;$J282&amp;O$1,Pesos!$A:$I,7,FALSE),VLOOKUP($I282&amp;$J282&amp;O$1,Pesos!$A:$I,9,FALSE)))</f>
        <v/>
      </c>
      <c r="AN282" s="154" t="str">
        <f>IF(P282="","",IF(P282="SIM",VLOOKUP($I282&amp;$J282&amp;P$1,Pesos!$A:$I,7,FALSE),VLOOKUP($I282&amp;$J282&amp;P$1,Pesos!$A:$I,9,FALSE)))</f>
        <v/>
      </c>
      <c r="AO282" s="154" t="str">
        <f>IF(Q282="","",IF(Q282="SIM",VLOOKUP($I282&amp;$J282&amp;Q$1,Pesos!$A:$I,7,FALSE),VLOOKUP($I282&amp;$J282&amp;Q$1,Pesos!$A:$I,9,FALSE)))</f>
        <v/>
      </c>
      <c r="AP282" s="154" t="str">
        <f>IF(R282="","",IF(R282="SIM",VLOOKUP($I282&amp;$J282&amp;R$1,Pesos!$A:$I,7,FALSE),VLOOKUP($I282&amp;$J282&amp;R$1,Pesos!$A:$I,9,FALSE)))</f>
        <v/>
      </c>
      <c r="AQ282" s="154" t="str">
        <f>IF(S282="","",IF(S282="SIM",VLOOKUP($I282&amp;$J282&amp;S$1,Pesos!$A:$I,7,FALSE),VLOOKUP($I282&amp;$J282&amp;S$1,Pesos!$A:$I,9,FALSE)))</f>
        <v/>
      </c>
      <c r="AR282" s="156" t="str">
        <f>IF(T282="","",IF(T282="SIM",VLOOKUP($I282&amp;$J282&amp;T$1,Pesos!$A:$I,7,FALSE),VLOOKUP($I282&amp;$J282&amp;T$1,Pesos!$A:$I,9,FALSE)))</f>
        <v/>
      </c>
      <c r="AS282" s="132" t="str">
        <f>IF(U282="","",IF(U282="SIM",VLOOKUP($I282&amp;$J282&amp;U$1,Pesos!$A:$I,7,FALSE),VLOOKUP($I282&amp;$J282&amp;U$1,Pesos!$A:$I,9,FALSE)))</f>
        <v/>
      </c>
      <c r="AT282" s="132" t="str">
        <f>IF(V282="","",IF(V282="SIM",VLOOKUP($I282&amp;$J282&amp;V$1,Pesos!$A:$I,7,FALSE),VLOOKUP($I282&amp;$J282&amp;V$1,Pesos!$A:$I,9,FALSE)))</f>
        <v/>
      </c>
      <c r="AU282" s="132" t="str">
        <f>IF(W282="","",IF(W282="SIM",VLOOKUP($I282&amp;$J282&amp;W$1,Pesos!$A:$I,7,FALSE),VLOOKUP($I282&amp;$J282&amp;W$1,Pesos!$A:$I,9,FALSE)))</f>
        <v/>
      </c>
      <c r="AV282" s="132" t="str">
        <f>IF(X282="","",IF(X282="SIM",VLOOKUP($I282&amp;$J282&amp;X$1,Pesos!$A:$I,7,FALSE),VLOOKUP($I282&amp;$J282&amp;X$1,Pesos!$A:$I,9,FALSE)))</f>
        <v/>
      </c>
      <c r="AW282" s="132" t="str">
        <f>IF(Y282="","",IF(Y282="SIM",VLOOKUP($I282&amp;$J282&amp;Y$1,Pesos!$A:$I,7,FALSE),VLOOKUP($I282&amp;$J282&amp;Y$1,Pesos!$A:$I,9,FALSE)))</f>
        <v/>
      </c>
      <c r="AX282" s="132" t="str">
        <f>IF(Z282="","",IF(Z282="SIM",VLOOKUP($I282&amp;$J282&amp;Z$1,Pesos!$A:$I,7,FALSE),VLOOKUP($I282&amp;$J282&amp;Z$1,Pesos!$A:$I,9,FALSE)))</f>
        <v/>
      </c>
      <c r="AY282" s="132" t="str">
        <f>IF(AA282="","",IF(AA282="SIM",VLOOKUP($I282&amp;$J282&amp;AA$1,Pesos!$A:$I,7,FALSE),VLOOKUP($I282&amp;$J282&amp;AA$1,Pesos!$A:$I,9,FALSE)))</f>
        <v/>
      </c>
      <c r="AZ282" s="132" t="str">
        <f>IF(AB282="","",IF(AB282="SIM",VLOOKUP($I282&amp;$J282&amp;AB$1,Pesos!$A:$I,7,FALSE),VLOOKUP($I282&amp;$J282&amp;AB$1,Pesos!$A:$I,9,FALSE)))</f>
        <v/>
      </c>
      <c r="BA282" s="132" t="str">
        <f>IF(AC282="","",IF(AC282="SIM",VLOOKUP($I282&amp;$J282&amp;AC$1,Pesos!$A:$I,7,FALSE),VLOOKUP($I282&amp;$J282&amp;AC$1,Pesos!$A:$I,9,FALSE)))</f>
        <v/>
      </c>
      <c r="BB282" s="132" t="str">
        <f>IF(AD282="","",IF(AD282="SIM",VLOOKUP($I282&amp;$J282&amp;AD$1,Pesos!$A:$I,7,FALSE),VLOOKUP($I282&amp;$J282&amp;AD$1,Pesos!$A:$I,9,FALSE)))</f>
        <v/>
      </c>
      <c r="BC282" s="132" t="str">
        <f>IF(AE282="","",IF(AE282="SIM",VLOOKUP($I282&amp;$J282&amp;AE$1,Pesos!$A:$I,7,FALSE),VLOOKUP($I282&amp;$J282&amp;AE$1,Pesos!$A:$I,9,FALSE)))</f>
        <v/>
      </c>
      <c r="BD282" s="158" t="str">
        <f>IFERROR(AF282*VLOOKUP(J282,'BD Campos'!$X$1:$Y$14,2,FALSE),"0")</f>
        <v>0</v>
      </c>
    </row>
    <row r="283" spans="1:56">
      <c r="A283" s="151" t="str">
        <f t="shared" si="19"/>
        <v>Jan11203DISTRIBUIÇÃO</v>
      </c>
      <c r="B283" s="149" t="str">
        <f t="shared" si="20"/>
        <v>Jan112031DISTRIBUIÇÃOPADRÃO</v>
      </c>
      <c r="C283" s="152">
        <v>1</v>
      </c>
      <c r="D283" s="153">
        <v>46059.747146759262</v>
      </c>
      <c r="E283" s="154" t="s">
        <v>12</v>
      </c>
      <c r="F283" s="155">
        <v>11203</v>
      </c>
      <c r="G283" s="149" t="s">
        <v>505</v>
      </c>
      <c r="H283" s="154">
        <v>1</v>
      </c>
      <c r="I283" s="149" t="s">
        <v>485</v>
      </c>
      <c r="J283" s="149"/>
      <c r="K283" s="149" t="s">
        <v>94</v>
      </c>
      <c r="L283" s="156"/>
      <c r="M283" s="157"/>
      <c r="N283" s="131"/>
      <c r="O283" s="131"/>
      <c r="P283" s="131"/>
      <c r="Q283" s="131"/>
      <c r="R283" s="131"/>
      <c r="S283" s="131"/>
      <c r="T283" s="131"/>
      <c r="U283" s="131"/>
      <c r="V283" s="131"/>
      <c r="W283" s="131"/>
      <c r="X283" s="131"/>
      <c r="Y283" s="131"/>
      <c r="Z283" s="131"/>
      <c r="AA283" s="131"/>
      <c r="AB283" s="131"/>
      <c r="AC283" s="131"/>
      <c r="AD283" s="131"/>
      <c r="AE283" s="131"/>
      <c r="AF283" s="158">
        <f t="shared" si="22"/>
        <v>0</v>
      </c>
      <c r="AG283" s="159"/>
      <c r="AH283" s="155"/>
      <c r="AI283" s="155" t="s">
        <v>83</v>
      </c>
      <c r="AJ283" s="131" t="str">
        <f>IFERROR(VLOOKUP(E283&amp;F283,'Listagem dos op'!A:S,19,0),"")</f>
        <v/>
      </c>
      <c r="AK283" s="131" t="str">
        <f t="shared" si="21"/>
        <v>Jan11203</v>
      </c>
      <c r="AL283" s="154" t="str">
        <f>IF(N283="","",IF(N283="SIM",VLOOKUP($I283&amp;$J283&amp;N$1,Pesos!$A:$I,7,FALSE),VLOOKUP($I283&amp;$J283&amp;N$1,Pesos!$A:$I,9,FALSE)))</f>
        <v/>
      </c>
      <c r="AM283" s="154" t="str">
        <f>IF(O283="","",IF(O283="SIM",VLOOKUP($I283&amp;$J283&amp;O$1,Pesos!$A:$I,7,FALSE),VLOOKUP($I283&amp;$J283&amp;O$1,Pesos!$A:$I,9,FALSE)))</f>
        <v/>
      </c>
      <c r="AN283" s="154" t="str">
        <f>IF(P283="","",IF(P283="SIM",VLOOKUP($I283&amp;$J283&amp;P$1,Pesos!$A:$I,7,FALSE),VLOOKUP($I283&amp;$J283&amp;P$1,Pesos!$A:$I,9,FALSE)))</f>
        <v/>
      </c>
      <c r="AO283" s="154" t="str">
        <f>IF(Q283="","",IF(Q283="SIM",VLOOKUP($I283&amp;$J283&amp;Q$1,Pesos!$A:$I,7,FALSE),VLOOKUP($I283&amp;$J283&amp;Q$1,Pesos!$A:$I,9,FALSE)))</f>
        <v/>
      </c>
      <c r="AP283" s="154" t="str">
        <f>IF(R283="","",IF(R283="SIM",VLOOKUP($I283&amp;$J283&amp;R$1,Pesos!$A:$I,7,FALSE),VLOOKUP($I283&amp;$J283&amp;R$1,Pesos!$A:$I,9,FALSE)))</f>
        <v/>
      </c>
      <c r="AQ283" s="154" t="str">
        <f>IF(S283="","",IF(S283="SIM",VLOOKUP($I283&amp;$J283&amp;S$1,Pesos!$A:$I,7,FALSE),VLOOKUP($I283&amp;$J283&amp;S$1,Pesos!$A:$I,9,FALSE)))</f>
        <v/>
      </c>
      <c r="AR283" s="156" t="str">
        <f>IF(T283="","",IF(T283="SIM",VLOOKUP($I283&amp;$J283&amp;T$1,Pesos!$A:$I,7,FALSE),VLOOKUP($I283&amp;$J283&amp;T$1,Pesos!$A:$I,9,FALSE)))</f>
        <v/>
      </c>
      <c r="AS283" s="132" t="str">
        <f>IF(U283="","",IF(U283="SIM",VLOOKUP($I283&amp;$J283&amp;U$1,Pesos!$A:$I,7,FALSE),VLOOKUP($I283&amp;$J283&amp;U$1,Pesos!$A:$I,9,FALSE)))</f>
        <v/>
      </c>
      <c r="AT283" s="132" t="str">
        <f>IF(V283="","",IF(V283="SIM",VLOOKUP($I283&amp;$J283&amp;V$1,Pesos!$A:$I,7,FALSE),VLOOKUP($I283&amp;$J283&amp;V$1,Pesos!$A:$I,9,FALSE)))</f>
        <v/>
      </c>
      <c r="AU283" s="132" t="str">
        <f>IF(W283="","",IF(W283="SIM",VLOOKUP($I283&amp;$J283&amp;W$1,Pesos!$A:$I,7,FALSE),VLOOKUP($I283&amp;$J283&amp;W$1,Pesos!$A:$I,9,FALSE)))</f>
        <v/>
      </c>
      <c r="AV283" s="132" t="str">
        <f>IF(X283="","",IF(X283="SIM",VLOOKUP($I283&amp;$J283&amp;X$1,Pesos!$A:$I,7,FALSE),VLOOKUP($I283&amp;$J283&amp;X$1,Pesos!$A:$I,9,FALSE)))</f>
        <v/>
      </c>
      <c r="AW283" s="132" t="str">
        <f>IF(Y283="","",IF(Y283="SIM",VLOOKUP($I283&amp;$J283&amp;Y$1,Pesos!$A:$I,7,FALSE),VLOOKUP($I283&amp;$J283&amp;Y$1,Pesos!$A:$I,9,FALSE)))</f>
        <v/>
      </c>
      <c r="AX283" s="132" t="str">
        <f>IF(Z283="","",IF(Z283="SIM",VLOOKUP($I283&amp;$J283&amp;Z$1,Pesos!$A:$I,7,FALSE),VLOOKUP($I283&amp;$J283&amp;Z$1,Pesos!$A:$I,9,FALSE)))</f>
        <v/>
      </c>
      <c r="AY283" s="132" t="str">
        <f>IF(AA283="","",IF(AA283="SIM",VLOOKUP($I283&amp;$J283&amp;AA$1,Pesos!$A:$I,7,FALSE),VLOOKUP($I283&amp;$J283&amp;AA$1,Pesos!$A:$I,9,FALSE)))</f>
        <v/>
      </c>
      <c r="AZ283" s="132" t="str">
        <f>IF(AB283="","",IF(AB283="SIM",VLOOKUP($I283&amp;$J283&amp;AB$1,Pesos!$A:$I,7,FALSE),VLOOKUP($I283&amp;$J283&amp;AB$1,Pesos!$A:$I,9,FALSE)))</f>
        <v/>
      </c>
      <c r="BA283" s="132" t="str">
        <f>IF(AC283="","",IF(AC283="SIM",VLOOKUP($I283&amp;$J283&amp;AC$1,Pesos!$A:$I,7,FALSE),VLOOKUP($I283&amp;$J283&amp;AC$1,Pesos!$A:$I,9,FALSE)))</f>
        <v/>
      </c>
      <c r="BB283" s="132" t="str">
        <f>IF(AD283="","",IF(AD283="SIM",VLOOKUP($I283&amp;$J283&amp;AD$1,Pesos!$A:$I,7,FALSE),VLOOKUP($I283&amp;$J283&amp;AD$1,Pesos!$A:$I,9,FALSE)))</f>
        <v/>
      </c>
      <c r="BC283" s="132" t="str">
        <f>IF(AE283="","",IF(AE283="SIM",VLOOKUP($I283&amp;$J283&amp;AE$1,Pesos!$A:$I,7,FALSE),VLOOKUP($I283&amp;$J283&amp;AE$1,Pesos!$A:$I,9,FALSE)))</f>
        <v/>
      </c>
      <c r="BD283" s="158" t="str">
        <f>IFERROR(AF283*VLOOKUP(J283,'BD Campos'!$X$1:$Y$14,2,FALSE),"0")</f>
        <v>0</v>
      </c>
    </row>
    <row r="284" spans="1:56">
      <c r="A284" s="151" t="str">
        <f t="shared" si="19"/>
        <v>Jan11203DISTRIBUIÇÃO</v>
      </c>
      <c r="B284" s="149" t="str">
        <f t="shared" si="20"/>
        <v>Jan112032DISTRIBUIÇÃOPADRÃO</v>
      </c>
      <c r="C284" s="152">
        <v>1</v>
      </c>
      <c r="D284" s="153">
        <v>46059.747183101848</v>
      </c>
      <c r="E284" s="154" t="s">
        <v>12</v>
      </c>
      <c r="F284" s="155">
        <v>11203</v>
      </c>
      <c r="G284" s="149" t="s">
        <v>505</v>
      </c>
      <c r="H284" s="154">
        <v>2</v>
      </c>
      <c r="I284" s="149" t="s">
        <v>485</v>
      </c>
      <c r="J284" s="149"/>
      <c r="K284" s="149" t="s">
        <v>94</v>
      </c>
      <c r="L284" s="156"/>
      <c r="M284" s="157"/>
      <c r="N284" s="131"/>
      <c r="O284" s="131"/>
      <c r="P284" s="131"/>
      <c r="Q284" s="131"/>
      <c r="R284" s="131"/>
      <c r="S284" s="131"/>
      <c r="T284" s="131"/>
      <c r="U284" s="131"/>
      <c r="V284" s="131"/>
      <c r="W284" s="131"/>
      <c r="X284" s="131"/>
      <c r="Y284" s="131"/>
      <c r="Z284" s="131"/>
      <c r="AA284" s="131"/>
      <c r="AB284" s="131"/>
      <c r="AC284" s="131"/>
      <c r="AD284" s="131"/>
      <c r="AE284" s="131"/>
      <c r="AF284" s="158">
        <f t="shared" si="22"/>
        <v>0</v>
      </c>
      <c r="AG284" s="159"/>
      <c r="AH284" s="155"/>
      <c r="AI284" s="155" t="s">
        <v>83</v>
      </c>
      <c r="AJ284" s="131" t="str">
        <f>IFERROR(VLOOKUP(E284&amp;F284,'Listagem dos op'!A:S,19,0),"")</f>
        <v/>
      </c>
      <c r="AK284" s="131" t="str">
        <f t="shared" si="21"/>
        <v>Jan11203</v>
      </c>
      <c r="AL284" s="154" t="str">
        <f>IF(N284="","",IF(N284="SIM",VLOOKUP($I284&amp;$J284&amp;N$1,Pesos!$A:$I,7,FALSE),VLOOKUP($I284&amp;$J284&amp;N$1,Pesos!$A:$I,9,FALSE)))</f>
        <v/>
      </c>
      <c r="AM284" s="154" t="str">
        <f>IF(O284="","",IF(O284="SIM",VLOOKUP($I284&amp;$J284&amp;O$1,Pesos!$A:$I,7,FALSE),VLOOKUP($I284&amp;$J284&amp;O$1,Pesos!$A:$I,9,FALSE)))</f>
        <v/>
      </c>
      <c r="AN284" s="154" t="str">
        <f>IF(P284="","",IF(P284="SIM",VLOOKUP($I284&amp;$J284&amp;P$1,Pesos!$A:$I,7,FALSE),VLOOKUP($I284&amp;$J284&amp;P$1,Pesos!$A:$I,9,FALSE)))</f>
        <v/>
      </c>
      <c r="AO284" s="154" t="str">
        <f>IF(Q284="","",IF(Q284="SIM",VLOOKUP($I284&amp;$J284&amp;Q$1,Pesos!$A:$I,7,FALSE),VLOOKUP($I284&amp;$J284&amp;Q$1,Pesos!$A:$I,9,FALSE)))</f>
        <v/>
      </c>
      <c r="AP284" s="154" t="str">
        <f>IF(R284="","",IF(R284="SIM",VLOOKUP($I284&amp;$J284&amp;R$1,Pesos!$A:$I,7,FALSE),VLOOKUP($I284&amp;$J284&amp;R$1,Pesos!$A:$I,9,FALSE)))</f>
        <v/>
      </c>
      <c r="AQ284" s="154" t="str">
        <f>IF(S284="","",IF(S284="SIM",VLOOKUP($I284&amp;$J284&amp;S$1,Pesos!$A:$I,7,FALSE),VLOOKUP($I284&amp;$J284&amp;S$1,Pesos!$A:$I,9,FALSE)))</f>
        <v/>
      </c>
      <c r="AR284" s="156" t="str">
        <f>IF(T284="","",IF(T284="SIM",VLOOKUP($I284&amp;$J284&amp;T$1,Pesos!$A:$I,7,FALSE),VLOOKUP($I284&amp;$J284&amp;T$1,Pesos!$A:$I,9,FALSE)))</f>
        <v/>
      </c>
      <c r="AS284" s="132" t="str">
        <f>IF(U284="","",IF(U284="SIM",VLOOKUP($I284&amp;$J284&amp;U$1,Pesos!$A:$I,7,FALSE),VLOOKUP($I284&amp;$J284&amp;U$1,Pesos!$A:$I,9,FALSE)))</f>
        <v/>
      </c>
      <c r="AT284" s="132" t="str">
        <f>IF(V284="","",IF(V284="SIM",VLOOKUP($I284&amp;$J284&amp;V$1,Pesos!$A:$I,7,FALSE),VLOOKUP($I284&amp;$J284&amp;V$1,Pesos!$A:$I,9,FALSE)))</f>
        <v/>
      </c>
      <c r="AU284" s="132" t="str">
        <f>IF(W284="","",IF(W284="SIM",VLOOKUP($I284&amp;$J284&amp;W$1,Pesos!$A:$I,7,FALSE),VLOOKUP($I284&amp;$J284&amp;W$1,Pesos!$A:$I,9,FALSE)))</f>
        <v/>
      </c>
      <c r="AV284" s="132" t="str">
        <f>IF(X284="","",IF(X284="SIM",VLOOKUP($I284&amp;$J284&amp;X$1,Pesos!$A:$I,7,FALSE),VLOOKUP($I284&amp;$J284&amp;X$1,Pesos!$A:$I,9,FALSE)))</f>
        <v/>
      </c>
      <c r="AW284" s="132" t="str">
        <f>IF(Y284="","",IF(Y284="SIM",VLOOKUP($I284&amp;$J284&amp;Y$1,Pesos!$A:$I,7,FALSE),VLOOKUP($I284&amp;$J284&amp;Y$1,Pesos!$A:$I,9,FALSE)))</f>
        <v/>
      </c>
      <c r="AX284" s="132" t="str">
        <f>IF(Z284="","",IF(Z284="SIM",VLOOKUP($I284&amp;$J284&amp;Z$1,Pesos!$A:$I,7,FALSE),VLOOKUP($I284&amp;$J284&amp;Z$1,Pesos!$A:$I,9,FALSE)))</f>
        <v/>
      </c>
      <c r="AY284" s="132" t="str">
        <f>IF(AA284="","",IF(AA284="SIM",VLOOKUP($I284&amp;$J284&amp;AA$1,Pesos!$A:$I,7,FALSE),VLOOKUP($I284&amp;$J284&amp;AA$1,Pesos!$A:$I,9,FALSE)))</f>
        <v/>
      </c>
      <c r="AZ284" s="132" t="str">
        <f>IF(AB284="","",IF(AB284="SIM",VLOOKUP($I284&amp;$J284&amp;AB$1,Pesos!$A:$I,7,FALSE),VLOOKUP($I284&amp;$J284&amp;AB$1,Pesos!$A:$I,9,FALSE)))</f>
        <v/>
      </c>
      <c r="BA284" s="132" t="str">
        <f>IF(AC284="","",IF(AC284="SIM",VLOOKUP($I284&amp;$J284&amp;AC$1,Pesos!$A:$I,7,FALSE),VLOOKUP($I284&amp;$J284&amp;AC$1,Pesos!$A:$I,9,FALSE)))</f>
        <v/>
      </c>
      <c r="BB284" s="132" t="str">
        <f>IF(AD284="","",IF(AD284="SIM",VLOOKUP($I284&amp;$J284&amp;AD$1,Pesos!$A:$I,7,FALSE),VLOOKUP($I284&amp;$J284&amp;AD$1,Pesos!$A:$I,9,FALSE)))</f>
        <v/>
      </c>
      <c r="BC284" s="132" t="str">
        <f>IF(AE284="","",IF(AE284="SIM",VLOOKUP($I284&amp;$J284&amp;AE$1,Pesos!$A:$I,7,FALSE),VLOOKUP($I284&amp;$J284&amp;AE$1,Pesos!$A:$I,9,FALSE)))</f>
        <v/>
      </c>
      <c r="BD284" s="158" t="str">
        <f>IFERROR(AF284*VLOOKUP(J284,'BD Campos'!$X$1:$Y$14,2,FALSE),"0")</f>
        <v>0</v>
      </c>
    </row>
    <row r="285" spans="1:56">
      <c r="A285" s="151" t="str">
        <f t="shared" si="19"/>
        <v>Jan11077MotoristaDISTRIBUIÇÃO</v>
      </c>
      <c r="B285" s="149" t="str">
        <f t="shared" si="20"/>
        <v>Jan110771DISTRIBUIÇÃOPADRÃO</v>
      </c>
      <c r="C285" s="152">
        <v>1</v>
      </c>
      <c r="D285" s="153">
        <v>46059.749218171295</v>
      </c>
      <c r="E285" s="154" t="s">
        <v>12</v>
      </c>
      <c r="F285" s="155">
        <v>11077</v>
      </c>
      <c r="G285" s="149" t="s">
        <v>506</v>
      </c>
      <c r="H285" s="154">
        <v>1</v>
      </c>
      <c r="I285" s="149" t="s">
        <v>92</v>
      </c>
      <c r="J285" s="149" t="s">
        <v>93</v>
      </c>
      <c r="K285" s="149" t="s">
        <v>94</v>
      </c>
      <c r="L285" s="156">
        <v>34570616</v>
      </c>
      <c r="M285" s="157">
        <v>1.3541666666666667E-3</v>
      </c>
      <c r="N285" s="131" t="s">
        <v>17</v>
      </c>
      <c r="O285" s="131" t="s">
        <v>17</v>
      </c>
      <c r="P285" s="131" t="s">
        <v>17</v>
      </c>
      <c r="Q285" s="131" t="s">
        <v>17</v>
      </c>
      <c r="R285" s="131" t="s">
        <v>17</v>
      </c>
      <c r="S285" s="131" t="s">
        <v>18</v>
      </c>
      <c r="T285" s="131" t="s">
        <v>17</v>
      </c>
      <c r="U285" s="131" t="s">
        <v>17</v>
      </c>
      <c r="V285" s="131" t="s">
        <v>17</v>
      </c>
      <c r="W285" s="131" t="s">
        <v>17</v>
      </c>
      <c r="X285" s="131" t="s">
        <v>17</v>
      </c>
      <c r="Y285" s="131" t="s">
        <v>17</v>
      </c>
      <c r="Z285" s="131" t="s">
        <v>17</v>
      </c>
      <c r="AA285" s="131" t="s">
        <v>17</v>
      </c>
      <c r="AB285" s="131"/>
      <c r="AC285" s="131"/>
      <c r="AD285" s="131"/>
      <c r="AE285" s="131"/>
      <c r="AF285" s="158">
        <f t="shared" si="22"/>
        <v>8.2149999999999999</v>
      </c>
      <c r="AG285" s="159"/>
      <c r="AH285" s="155" t="s">
        <v>507</v>
      </c>
      <c r="AI285" s="155" t="s">
        <v>83</v>
      </c>
      <c r="AJ285" s="131" t="str">
        <f>IFERROR(VLOOKUP(E285&amp;F285,'Listagem dos op'!A:S,19,0),"")</f>
        <v/>
      </c>
      <c r="AK285" s="131" t="str">
        <f t="shared" si="21"/>
        <v>Jan11077</v>
      </c>
      <c r="AL285" s="154">
        <f>IF(N285="","",IF(N285="SIM",VLOOKUP($I285&amp;$J285&amp;N$1,Pesos!$A:$I,7,FALSE),VLOOKUP($I285&amp;$J285&amp;N$1,Pesos!$A:$I,9,FALSE)))</f>
        <v>0.1</v>
      </c>
      <c r="AM285" s="154">
        <f>IF(O285="","",IF(O285="SIM",VLOOKUP($I285&amp;$J285&amp;O$1,Pesos!$A:$I,7,FALSE),VLOOKUP($I285&amp;$J285&amp;O$1,Pesos!$A:$I,9,FALSE)))</f>
        <v>0.1</v>
      </c>
      <c r="AN285" s="154">
        <f>IF(P285="","",IF(P285="SIM",VLOOKUP($I285&amp;$J285&amp;P$1,Pesos!$A:$I,7,FALSE),VLOOKUP($I285&amp;$J285&amp;P$1,Pesos!$A:$I,9,FALSE)))</f>
        <v>0.1</v>
      </c>
      <c r="AO285" s="154">
        <f>IF(Q285="","",IF(Q285="SIM",VLOOKUP($I285&amp;$J285&amp;Q$1,Pesos!$A:$I,7,FALSE),VLOOKUP($I285&amp;$J285&amp;Q$1,Pesos!$A:$I,9,FALSE)))</f>
        <v>2</v>
      </c>
      <c r="AP285" s="154">
        <f>IF(R285="","",IF(R285="SIM",VLOOKUP($I285&amp;$J285&amp;R$1,Pesos!$A:$I,7,FALSE),VLOOKUP($I285&amp;$J285&amp;R$1,Pesos!$A:$I,9,FALSE)))</f>
        <v>1.03</v>
      </c>
      <c r="AQ285" s="154">
        <f>IF(S285="","",IF(S285="SIM",VLOOKUP($I285&amp;$J285&amp;S$1,Pesos!$A:$I,7,FALSE),VLOOKUP($I285&amp;$J285&amp;S$1,Pesos!$A:$I,9,FALSE)))</f>
        <v>-8.500000000000002E-2</v>
      </c>
      <c r="AR285" s="156">
        <f>IF(T285="","",IF(T285="SIM",VLOOKUP($I285&amp;$J285&amp;T$1,Pesos!$A:$I,7,FALSE),VLOOKUP($I285&amp;$J285&amp;T$1,Pesos!$A:$I,9,FALSE)))</f>
        <v>1.92</v>
      </c>
      <c r="AS285" s="132">
        <f>IF(U285="","",IF(U285="SIM",VLOOKUP($I285&amp;$J285&amp;U$1,Pesos!$A:$I,7,FALSE),VLOOKUP($I285&amp;$J285&amp;U$1,Pesos!$A:$I,9,FALSE)))</f>
        <v>1.7000000000000002</v>
      </c>
      <c r="AT285" s="132">
        <f>IF(V285="","",IF(V285="SIM",VLOOKUP($I285&amp;$J285&amp;V$1,Pesos!$A:$I,7,FALSE),VLOOKUP($I285&amp;$J285&amp;V$1,Pesos!$A:$I,9,FALSE)))</f>
        <v>0.3</v>
      </c>
      <c r="AU285" s="132">
        <f>IF(W285="","",IF(W285="SIM",VLOOKUP($I285&amp;$J285&amp;W$1,Pesos!$A:$I,7,FALSE),VLOOKUP($I285&amp;$J285&amp;W$1,Pesos!$A:$I,9,FALSE)))</f>
        <v>0.3</v>
      </c>
      <c r="AV285" s="132">
        <f>IF(X285="","",IF(X285="SIM",VLOOKUP($I285&amp;$J285&amp;X$1,Pesos!$A:$I,7,FALSE),VLOOKUP($I285&amp;$J285&amp;X$1,Pesos!$A:$I,9,FALSE)))</f>
        <v>0.15</v>
      </c>
      <c r="AW285" s="132">
        <f>IF(Y285="","",IF(Y285="SIM",VLOOKUP($I285&amp;$J285&amp;Y$1,Pesos!$A:$I,7,FALSE),VLOOKUP($I285&amp;$J285&amp;Y$1,Pesos!$A:$I,9,FALSE)))</f>
        <v>0.2</v>
      </c>
      <c r="AX285" s="132">
        <f>IF(Z285="","",IF(Z285="SIM",VLOOKUP($I285&amp;$J285&amp;Z$1,Pesos!$A:$I,7,FALSE),VLOOKUP($I285&amp;$J285&amp;Z$1,Pesos!$A:$I,9,FALSE)))</f>
        <v>0.3</v>
      </c>
      <c r="AY285" s="132">
        <f>IF(AA285="","",IF(AA285="SIM",VLOOKUP($I285&amp;$J285&amp;AA$1,Pesos!$A:$I,7,FALSE),VLOOKUP($I285&amp;$J285&amp;AA$1,Pesos!$A:$I,9,FALSE)))</f>
        <v>0.1</v>
      </c>
      <c r="AZ285" s="132" t="str">
        <f>IF(AB285="","",IF(AB285="SIM",VLOOKUP($I285&amp;$J285&amp;AB$1,Pesos!$A:$I,7,FALSE),VLOOKUP($I285&amp;$J285&amp;AB$1,Pesos!$A:$I,9,FALSE)))</f>
        <v/>
      </c>
      <c r="BA285" s="132" t="str">
        <f>IF(AC285="","",IF(AC285="SIM",VLOOKUP($I285&amp;$J285&amp;AC$1,Pesos!$A:$I,7,FALSE),VLOOKUP($I285&amp;$J285&amp;AC$1,Pesos!$A:$I,9,FALSE)))</f>
        <v/>
      </c>
      <c r="BB285" s="132" t="str">
        <f>IF(AD285="","",IF(AD285="SIM",VLOOKUP($I285&amp;$J285&amp;AD$1,Pesos!$A:$I,7,FALSE),VLOOKUP($I285&amp;$J285&amp;AD$1,Pesos!$A:$I,9,FALSE)))</f>
        <v/>
      </c>
      <c r="BC285" s="132" t="str">
        <f>IF(AE285="","",IF(AE285="SIM",VLOOKUP($I285&amp;$J285&amp;AE$1,Pesos!$A:$I,7,FALSE),VLOOKUP($I285&amp;$J285&amp;AE$1,Pesos!$A:$I,9,FALSE)))</f>
        <v/>
      </c>
      <c r="BD285" s="158">
        <f>IFERROR(AF285*VLOOKUP(J285,'BD Campos'!$X$1:$Y$14,2,FALSE),"0")</f>
        <v>8.2149999999999999</v>
      </c>
    </row>
    <row r="286" spans="1:56">
      <c r="A286" s="151" t="str">
        <f t="shared" si="19"/>
        <v>Jan11077Motorista 2DISTRIBUIÇÃO</v>
      </c>
      <c r="B286" s="149" t="str">
        <f t="shared" si="20"/>
        <v>Jan110772DISTRIBUIÇÃOPADRÃO</v>
      </c>
      <c r="C286" s="152">
        <v>1</v>
      </c>
      <c r="D286" s="153">
        <v>46059.751243981482</v>
      </c>
      <c r="E286" s="154" t="s">
        <v>12</v>
      </c>
      <c r="F286" s="155">
        <v>11077</v>
      </c>
      <c r="G286" s="149" t="s">
        <v>506</v>
      </c>
      <c r="H286" s="154">
        <v>2</v>
      </c>
      <c r="I286" s="149" t="s">
        <v>92</v>
      </c>
      <c r="J286" s="149" t="s">
        <v>97</v>
      </c>
      <c r="K286" s="149" t="s">
        <v>94</v>
      </c>
      <c r="L286" s="156">
        <v>34724144</v>
      </c>
      <c r="M286" s="157">
        <v>1.3888888888888889E-3</v>
      </c>
      <c r="N286" s="131" t="s">
        <v>17</v>
      </c>
      <c r="O286" s="131" t="s">
        <v>17</v>
      </c>
      <c r="P286" s="131" t="s">
        <v>17</v>
      </c>
      <c r="Q286" s="131" t="s">
        <v>17</v>
      </c>
      <c r="R286" s="131" t="s">
        <v>17</v>
      </c>
      <c r="S286" s="131" t="s">
        <v>18</v>
      </c>
      <c r="T286" s="131" t="s">
        <v>17</v>
      </c>
      <c r="U286" s="131" t="s">
        <v>17</v>
      </c>
      <c r="V286" s="131" t="s">
        <v>18</v>
      </c>
      <c r="W286" s="131" t="s">
        <v>17</v>
      </c>
      <c r="X286" s="131" t="s">
        <v>17</v>
      </c>
      <c r="Y286" s="131" t="s">
        <v>17</v>
      </c>
      <c r="Z286" s="131" t="s">
        <v>17</v>
      </c>
      <c r="AA286" s="131" t="s">
        <v>17</v>
      </c>
      <c r="AB286" s="131"/>
      <c r="AC286" s="131"/>
      <c r="AD286" s="131"/>
      <c r="AE286" s="131"/>
      <c r="AF286" s="158">
        <f t="shared" si="22"/>
        <v>7.9</v>
      </c>
      <c r="AG286" s="159"/>
      <c r="AH286" s="155" t="s">
        <v>508</v>
      </c>
      <c r="AI286" s="155" t="s">
        <v>83</v>
      </c>
      <c r="AJ286" s="131" t="str">
        <f>IFERROR(VLOOKUP(E286&amp;F286,'Listagem dos op'!A:S,19,0),"")</f>
        <v/>
      </c>
      <c r="AK286" s="131" t="str">
        <f t="shared" si="21"/>
        <v>Jan11077</v>
      </c>
      <c r="AL286" s="154">
        <f>IF(N286="","",IF(N286="SIM",VLOOKUP($I286&amp;$J286&amp;N$1,Pesos!$A:$I,7,FALSE),VLOOKUP($I286&amp;$J286&amp;N$1,Pesos!$A:$I,9,FALSE)))</f>
        <v>0.1</v>
      </c>
      <c r="AM286" s="154">
        <f>IF(O286="","",IF(O286="SIM",VLOOKUP($I286&amp;$J286&amp;O$1,Pesos!$A:$I,7,FALSE),VLOOKUP($I286&amp;$J286&amp;O$1,Pesos!$A:$I,9,FALSE)))</f>
        <v>0.1</v>
      </c>
      <c r="AN286" s="154">
        <f>IF(P286="","",IF(P286="SIM",VLOOKUP($I286&amp;$J286&amp;P$1,Pesos!$A:$I,7,FALSE),VLOOKUP($I286&amp;$J286&amp;P$1,Pesos!$A:$I,9,FALSE)))</f>
        <v>0.1</v>
      </c>
      <c r="AO286" s="154">
        <f>IF(Q286="","",IF(Q286="SIM",VLOOKUP($I286&amp;$J286&amp;Q$1,Pesos!$A:$I,7,FALSE),VLOOKUP($I286&amp;$J286&amp;Q$1,Pesos!$A:$I,9,FALSE)))</f>
        <v>2</v>
      </c>
      <c r="AP286" s="154">
        <f>IF(R286="","",IF(R286="SIM",VLOOKUP($I286&amp;$J286&amp;R$1,Pesos!$A:$I,7,FALSE),VLOOKUP($I286&amp;$J286&amp;R$1,Pesos!$A:$I,9,FALSE)))</f>
        <v>1.03</v>
      </c>
      <c r="AQ286" s="154">
        <f>IF(S286="","",IF(S286="SIM",VLOOKUP($I286&amp;$J286&amp;S$1,Pesos!$A:$I,7,FALSE),VLOOKUP($I286&amp;$J286&amp;S$1,Pesos!$A:$I,9,FALSE)))</f>
        <v>-8.500000000000002E-2</v>
      </c>
      <c r="AR286" s="156">
        <f>IF(T286="","",IF(T286="SIM",VLOOKUP($I286&amp;$J286&amp;T$1,Pesos!$A:$I,7,FALSE),VLOOKUP($I286&amp;$J286&amp;T$1,Pesos!$A:$I,9,FALSE)))</f>
        <v>1.92</v>
      </c>
      <c r="AS286" s="132">
        <f>IF(U286="","",IF(U286="SIM",VLOOKUP($I286&amp;$J286&amp;U$1,Pesos!$A:$I,7,FALSE),VLOOKUP($I286&amp;$J286&amp;U$1,Pesos!$A:$I,9,FALSE)))</f>
        <v>1.7000000000000002</v>
      </c>
      <c r="AT286" s="132">
        <f>IF(V286="","",IF(V286="SIM",VLOOKUP($I286&amp;$J286&amp;V$1,Pesos!$A:$I,7,FALSE),VLOOKUP($I286&amp;$J286&amp;V$1,Pesos!$A:$I,9,FALSE)))</f>
        <v>-1.4999999999999999E-2</v>
      </c>
      <c r="AU286" s="132">
        <f>IF(W286="","",IF(W286="SIM",VLOOKUP($I286&amp;$J286&amp;W$1,Pesos!$A:$I,7,FALSE),VLOOKUP($I286&amp;$J286&amp;W$1,Pesos!$A:$I,9,FALSE)))</f>
        <v>0.3</v>
      </c>
      <c r="AV286" s="132">
        <f>IF(X286="","",IF(X286="SIM",VLOOKUP($I286&amp;$J286&amp;X$1,Pesos!$A:$I,7,FALSE),VLOOKUP($I286&amp;$J286&amp;X$1,Pesos!$A:$I,9,FALSE)))</f>
        <v>0.15</v>
      </c>
      <c r="AW286" s="132">
        <f>IF(Y286="","",IF(Y286="SIM",VLOOKUP($I286&amp;$J286&amp;Y$1,Pesos!$A:$I,7,FALSE),VLOOKUP($I286&amp;$J286&amp;Y$1,Pesos!$A:$I,9,FALSE)))</f>
        <v>0.2</v>
      </c>
      <c r="AX286" s="132">
        <f>IF(Z286="","",IF(Z286="SIM",VLOOKUP($I286&amp;$J286&amp;Z$1,Pesos!$A:$I,7,FALSE),VLOOKUP($I286&amp;$J286&amp;Z$1,Pesos!$A:$I,9,FALSE)))</f>
        <v>0.3</v>
      </c>
      <c r="AY286" s="132">
        <f>IF(AA286="","",IF(AA286="SIM",VLOOKUP($I286&amp;$J286&amp;AA$1,Pesos!$A:$I,7,FALSE),VLOOKUP($I286&amp;$J286&amp;AA$1,Pesos!$A:$I,9,FALSE)))</f>
        <v>0.1</v>
      </c>
      <c r="AZ286" s="132" t="str">
        <f>IF(AB286="","",IF(AB286="SIM",VLOOKUP($I286&amp;$J286&amp;AB$1,Pesos!$A:$I,7,FALSE),VLOOKUP($I286&amp;$J286&amp;AB$1,Pesos!$A:$I,9,FALSE)))</f>
        <v/>
      </c>
      <c r="BA286" s="132" t="str">
        <f>IF(AC286="","",IF(AC286="SIM",VLOOKUP($I286&amp;$J286&amp;AC$1,Pesos!$A:$I,7,FALSE),VLOOKUP($I286&amp;$J286&amp;AC$1,Pesos!$A:$I,9,FALSE)))</f>
        <v/>
      </c>
      <c r="BB286" s="132" t="str">
        <f>IF(AD286="","",IF(AD286="SIM",VLOOKUP($I286&amp;$J286&amp;AD$1,Pesos!$A:$I,7,FALSE),VLOOKUP($I286&amp;$J286&amp;AD$1,Pesos!$A:$I,9,FALSE)))</f>
        <v/>
      </c>
      <c r="BC286" s="132" t="str">
        <f>IF(AE286="","",IF(AE286="SIM",VLOOKUP($I286&amp;$J286&amp;AE$1,Pesos!$A:$I,7,FALSE),VLOOKUP($I286&amp;$J286&amp;AE$1,Pesos!$A:$I,9,FALSE)))</f>
        <v/>
      </c>
      <c r="BD286" s="158">
        <f>IFERROR(AF286*VLOOKUP(J286,'BD Campos'!$X$1:$Y$14,2,FALSE),"0")</f>
        <v>7.9</v>
      </c>
    </row>
    <row r="287" spans="1:56">
      <c r="A287" s="151" t="str">
        <f t="shared" si="19"/>
        <v>Jan11226DISTRIBUIÇÃO</v>
      </c>
      <c r="B287" s="149" t="str">
        <f t="shared" si="20"/>
        <v>Jan112261DISTRIBUIÇÃOPADRÃO</v>
      </c>
      <c r="C287" s="152">
        <v>1</v>
      </c>
      <c r="D287" s="153">
        <v>46059.751633680557</v>
      </c>
      <c r="E287" s="154" t="s">
        <v>12</v>
      </c>
      <c r="F287" s="155">
        <v>11226</v>
      </c>
      <c r="G287" s="149" t="s">
        <v>509</v>
      </c>
      <c r="H287" s="154">
        <v>1</v>
      </c>
      <c r="I287" s="149" t="s">
        <v>485</v>
      </c>
      <c r="J287" s="149"/>
      <c r="K287" s="149" t="s">
        <v>94</v>
      </c>
      <c r="L287" s="156"/>
      <c r="M287" s="157"/>
      <c r="N287" s="131"/>
      <c r="O287" s="131"/>
      <c r="P287" s="131"/>
      <c r="Q287" s="131"/>
      <c r="R287" s="131"/>
      <c r="S287" s="131"/>
      <c r="T287" s="131"/>
      <c r="U287" s="131"/>
      <c r="V287" s="131"/>
      <c r="W287" s="131"/>
      <c r="X287" s="131"/>
      <c r="Y287" s="131"/>
      <c r="Z287" s="131"/>
      <c r="AA287" s="131"/>
      <c r="AB287" s="131"/>
      <c r="AC287" s="131"/>
      <c r="AD287" s="131"/>
      <c r="AE287" s="131"/>
      <c r="AF287" s="158">
        <f t="shared" si="22"/>
        <v>0</v>
      </c>
      <c r="AG287" s="159"/>
      <c r="AH287" s="155"/>
      <c r="AI287" s="155" t="s">
        <v>83</v>
      </c>
      <c r="AJ287" s="131" t="str">
        <f>IFERROR(VLOOKUP(E287&amp;F287,'Listagem dos op'!A:S,19,0),"")</f>
        <v/>
      </c>
      <c r="AK287" s="131" t="str">
        <f t="shared" si="21"/>
        <v>Jan11226</v>
      </c>
      <c r="AL287" s="154" t="str">
        <f>IF(N287="","",IF(N287="SIM",VLOOKUP($I287&amp;$J287&amp;N$1,Pesos!$A:$I,7,FALSE),VLOOKUP($I287&amp;$J287&amp;N$1,Pesos!$A:$I,9,FALSE)))</f>
        <v/>
      </c>
      <c r="AM287" s="154" t="str">
        <f>IF(O287="","",IF(O287="SIM",VLOOKUP($I287&amp;$J287&amp;O$1,Pesos!$A:$I,7,FALSE),VLOOKUP($I287&amp;$J287&amp;O$1,Pesos!$A:$I,9,FALSE)))</f>
        <v/>
      </c>
      <c r="AN287" s="154" t="str">
        <f>IF(P287="","",IF(P287="SIM",VLOOKUP($I287&amp;$J287&amp;P$1,Pesos!$A:$I,7,FALSE),VLOOKUP($I287&amp;$J287&amp;P$1,Pesos!$A:$I,9,FALSE)))</f>
        <v/>
      </c>
      <c r="AO287" s="154" t="str">
        <f>IF(Q287="","",IF(Q287="SIM",VLOOKUP($I287&amp;$J287&amp;Q$1,Pesos!$A:$I,7,FALSE),VLOOKUP($I287&amp;$J287&amp;Q$1,Pesos!$A:$I,9,FALSE)))</f>
        <v/>
      </c>
      <c r="AP287" s="154" t="str">
        <f>IF(R287="","",IF(R287="SIM",VLOOKUP($I287&amp;$J287&amp;R$1,Pesos!$A:$I,7,FALSE),VLOOKUP($I287&amp;$J287&amp;R$1,Pesos!$A:$I,9,FALSE)))</f>
        <v/>
      </c>
      <c r="AQ287" s="154" t="str">
        <f>IF(S287="","",IF(S287="SIM",VLOOKUP($I287&amp;$J287&amp;S$1,Pesos!$A:$I,7,FALSE),VLOOKUP($I287&amp;$J287&amp;S$1,Pesos!$A:$I,9,FALSE)))</f>
        <v/>
      </c>
      <c r="AR287" s="156" t="str">
        <f>IF(T287="","",IF(T287="SIM",VLOOKUP($I287&amp;$J287&amp;T$1,Pesos!$A:$I,7,FALSE),VLOOKUP($I287&amp;$J287&amp;T$1,Pesos!$A:$I,9,FALSE)))</f>
        <v/>
      </c>
      <c r="AS287" s="132" t="str">
        <f>IF(U287="","",IF(U287="SIM",VLOOKUP($I287&amp;$J287&amp;U$1,Pesos!$A:$I,7,FALSE),VLOOKUP($I287&amp;$J287&amp;U$1,Pesos!$A:$I,9,FALSE)))</f>
        <v/>
      </c>
      <c r="AT287" s="132" t="str">
        <f>IF(V287="","",IF(V287="SIM",VLOOKUP($I287&amp;$J287&amp;V$1,Pesos!$A:$I,7,FALSE),VLOOKUP($I287&amp;$J287&amp;V$1,Pesos!$A:$I,9,FALSE)))</f>
        <v/>
      </c>
      <c r="AU287" s="132" t="str">
        <f>IF(W287="","",IF(W287="SIM",VLOOKUP($I287&amp;$J287&amp;W$1,Pesos!$A:$I,7,FALSE),VLOOKUP($I287&amp;$J287&amp;W$1,Pesos!$A:$I,9,FALSE)))</f>
        <v/>
      </c>
      <c r="AV287" s="132" t="str">
        <f>IF(X287="","",IF(X287="SIM",VLOOKUP($I287&amp;$J287&amp;X$1,Pesos!$A:$I,7,FALSE),VLOOKUP($I287&amp;$J287&amp;X$1,Pesos!$A:$I,9,FALSE)))</f>
        <v/>
      </c>
      <c r="AW287" s="132" t="str">
        <f>IF(Y287="","",IF(Y287="SIM",VLOOKUP($I287&amp;$J287&amp;Y$1,Pesos!$A:$I,7,FALSE),VLOOKUP($I287&amp;$J287&amp;Y$1,Pesos!$A:$I,9,FALSE)))</f>
        <v/>
      </c>
      <c r="AX287" s="132" t="str">
        <f>IF(Z287="","",IF(Z287="SIM",VLOOKUP($I287&amp;$J287&amp;Z$1,Pesos!$A:$I,7,FALSE),VLOOKUP($I287&amp;$J287&amp;Z$1,Pesos!$A:$I,9,FALSE)))</f>
        <v/>
      </c>
      <c r="AY287" s="132" t="str">
        <f>IF(AA287="","",IF(AA287="SIM",VLOOKUP($I287&amp;$J287&amp;AA$1,Pesos!$A:$I,7,FALSE),VLOOKUP($I287&amp;$J287&amp;AA$1,Pesos!$A:$I,9,FALSE)))</f>
        <v/>
      </c>
      <c r="AZ287" s="132" t="str">
        <f>IF(AB287="","",IF(AB287="SIM",VLOOKUP($I287&amp;$J287&amp;AB$1,Pesos!$A:$I,7,FALSE),VLOOKUP($I287&amp;$J287&amp;AB$1,Pesos!$A:$I,9,FALSE)))</f>
        <v/>
      </c>
      <c r="BA287" s="132" t="str">
        <f>IF(AC287="","",IF(AC287="SIM",VLOOKUP($I287&amp;$J287&amp;AC$1,Pesos!$A:$I,7,FALSE),VLOOKUP($I287&amp;$J287&amp;AC$1,Pesos!$A:$I,9,FALSE)))</f>
        <v/>
      </c>
      <c r="BB287" s="132" t="str">
        <f>IF(AD287="","",IF(AD287="SIM",VLOOKUP($I287&amp;$J287&amp;AD$1,Pesos!$A:$I,7,FALSE),VLOOKUP($I287&amp;$J287&amp;AD$1,Pesos!$A:$I,9,FALSE)))</f>
        <v/>
      </c>
      <c r="BC287" s="132" t="str">
        <f>IF(AE287="","",IF(AE287="SIM",VLOOKUP($I287&amp;$J287&amp;AE$1,Pesos!$A:$I,7,FALSE),VLOOKUP($I287&amp;$J287&amp;AE$1,Pesos!$A:$I,9,FALSE)))</f>
        <v/>
      </c>
      <c r="BD287" s="158" t="str">
        <f>IFERROR(AF287*VLOOKUP(J287,'BD Campos'!$X$1:$Y$14,2,FALSE),"0")</f>
        <v>0</v>
      </c>
    </row>
    <row r="288" spans="1:56">
      <c r="A288" s="151" t="str">
        <f t="shared" si="19"/>
        <v>Jan11226DISTRIBUIÇÃO</v>
      </c>
      <c r="B288" s="149" t="str">
        <f t="shared" si="20"/>
        <v>Jan112262DISTRIBUIÇÃOPADRÃO</v>
      </c>
      <c r="C288" s="152">
        <v>1</v>
      </c>
      <c r="D288" s="153">
        <v>46059.751665856478</v>
      </c>
      <c r="E288" s="154" t="s">
        <v>12</v>
      </c>
      <c r="F288" s="155">
        <v>11226</v>
      </c>
      <c r="G288" s="149" t="s">
        <v>509</v>
      </c>
      <c r="H288" s="154">
        <v>2</v>
      </c>
      <c r="I288" s="149" t="s">
        <v>485</v>
      </c>
      <c r="J288" s="149"/>
      <c r="K288" s="149" t="s">
        <v>94</v>
      </c>
      <c r="L288" s="156"/>
      <c r="M288" s="157"/>
      <c r="N288" s="131"/>
      <c r="O288" s="131"/>
      <c r="P288" s="131"/>
      <c r="Q288" s="131"/>
      <c r="R288" s="131"/>
      <c r="S288" s="131"/>
      <c r="T288" s="131"/>
      <c r="U288" s="131"/>
      <c r="V288" s="131"/>
      <c r="W288" s="131"/>
      <c r="X288" s="131"/>
      <c r="Y288" s="131"/>
      <c r="Z288" s="131"/>
      <c r="AA288" s="131"/>
      <c r="AB288" s="131"/>
      <c r="AC288" s="131"/>
      <c r="AD288" s="131"/>
      <c r="AE288" s="131"/>
      <c r="AF288" s="158">
        <f t="shared" si="22"/>
        <v>0</v>
      </c>
      <c r="AG288" s="159"/>
      <c r="AH288" s="155"/>
      <c r="AI288" s="155" t="s">
        <v>83</v>
      </c>
      <c r="AJ288" s="131" t="str">
        <f>IFERROR(VLOOKUP(E288&amp;F288,'Listagem dos op'!A:S,19,0),"")</f>
        <v/>
      </c>
      <c r="AK288" s="131" t="str">
        <f t="shared" si="21"/>
        <v>Jan11226</v>
      </c>
      <c r="AL288" s="154" t="str">
        <f>IF(N288="","",IF(N288="SIM",VLOOKUP($I288&amp;$J288&amp;N$1,Pesos!$A:$I,7,FALSE),VLOOKUP($I288&amp;$J288&amp;N$1,Pesos!$A:$I,9,FALSE)))</f>
        <v/>
      </c>
      <c r="AM288" s="154" t="str">
        <f>IF(O288="","",IF(O288="SIM",VLOOKUP($I288&amp;$J288&amp;O$1,Pesos!$A:$I,7,FALSE),VLOOKUP($I288&amp;$J288&amp;O$1,Pesos!$A:$I,9,FALSE)))</f>
        <v/>
      </c>
      <c r="AN288" s="154" t="str">
        <f>IF(P288="","",IF(P288="SIM",VLOOKUP($I288&amp;$J288&amp;P$1,Pesos!$A:$I,7,FALSE),VLOOKUP($I288&amp;$J288&amp;P$1,Pesos!$A:$I,9,FALSE)))</f>
        <v/>
      </c>
      <c r="AO288" s="154" t="str">
        <f>IF(Q288="","",IF(Q288="SIM",VLOOKUP($I288&amp;$J288&amp;Q$1,Pesos!$A:$I,7,FALSE),VLOOKUP($I288&amp;$J288&amp;Q$1,Pesos!$A:$I,9,FALSE)))</f>
        <v/>
      </c>
      <c r="AP288" s="154" t="str">
        <f>IF(R288="","",IF(R288="SIM",VLOOKUP($I288&amp;$J288&amp;R$1,Pesos!$A:$I,7,FALSE),VLOOKUP($I288&amp;$J288&amp;R$1,Pesos!$A:$I,9,FALSE)))</f>
        <v/>
      </c>
      <c r="AQ288" s="154" t="str">
        <f>IF(S288="","",IF(S288="SIM",VLOOKUP($I288&amp;$J288&amp;S$1,Pesos!$A:$I,7,FALSE),VLOOKUP($I288&amp;$J288&amp;S$1,Pesos!$A:$I,9,FALSE)))</f>
        <v/>
      </c>
      <c r="AR288" s="156" t="str">
        <f>IF(T288="","",IF(T288="SIM",VLOOKUP($I288&amp;$J288&amp;T$1,Pesos!$A:$I,7,FALSE),VLOOKUP($I288&amp;$J288&amp;T$1,Pesos!$A:$I,9,FALSE)))</f>
        <v/>
      </c>
      <c r="AS288" s="132" t="str">
        <f>IF(U288="","",IF(U288="SIM",VLOOKUP($I288&amp;$J288&amp;U$1,Pesos!$A:$I,7,FALSE),VLOOKUP($I288&amp;$J288&amp;U$1,Pesos!$A:$I,9,FALSE)))</f>
        <v/>
      </c>
      <c r="AT288" s="132" t="str">
        <f>IF(V288="","",IF(V288="SIM",VLOOKUP($I288&amp;$J288&amp;V$1,Pesos!$A:$I,7,FALSE),VLOOKUP($I288&amp;$J288&amp;V$1,Pesos!$A:$I,9,FALSE)))</f>
        <v/>
      </c>
      <c r="AU288" s="132" t="str">
        <f>IF(W288="","",IF(W288="SIM",VLOOKUP($I288&amp;$J288&amp;W$1,Pesos!$A:$I,7,FALSE),VLOOKUP($I288&amp;$J288&amp;W$1,Pesos!$A:$I,9,FALSE)))</f>
        <v/>
      </c>
      <c r="AV288" s="132" t="str">
        <f>IF(X288="","",IF(X288="SIM",VLOOKUP($I288&amp;$J288&amp;X$1,Pesos!$A:$I,7,FALSE),VLOOKUP($I288&amp;$J288&amp;X$1,Pesos!$A:$I,9,FALSE)))</f>
        <v/>
      </c>
      <c r="AW288" s="132" t="str">
        <f>IF(Y288="","",IF(Y288="SIM",VLOOKUP($I288&amp;$J288&amp;Y$1,Pesos!$A:$I,7,FALSE),VLOOKUP($I288&amp;$J288&amp;Y$1,Pesos!$A:$I,9,FALSE)))</f>
        <v/>
      </c>
      <c r="AX288" s="132" t="str">
        <f>IF(Z288="","",IF(Z288="SIM",VLOOKUP($I288&amp;$J288&amp;Z$1,Pesos!$A:$I,7,FALSE),VLOOKUP($I288&amp;$J288&amp;Z$1,Pesos!$A:$I,9,FALSE)))</f>
        <v/>
      </c>
      <c r="AY288" s="132" t="str">
        <f>IF(AA288="","",IF(AA288="SIM",VLOOKUP($I288&amp;$J288&amp;AA$1,Pesos!$A:$I,7,FALSE),VLOOKUP($I288&amp;$J288&amp;AA$1,Pesos!$A:$I,9,FALSE)))</f>
        <v/>
      </c>
      <c r="AZ288" s="132" t="str">
        <f>IF(AB288="","",IF(AB288="SIM",VLOOKUP($I288&amp;$J288&amp;AB$1,Pesos!$A:$I,7,FALSE),VLOOKUP($I288&amp;$J288&amp;AB$1,Pesos!$A:$I,9,FALSE)))</f>
        <v/>
      </c>
      <c r="BA288" s="132" t="str">
        <f>IF(AC288="","",IF(AC288="SIM",VLOOKUP($I288&amp;$J288&amp;AC$1,Pesos!$A:$I,7,FALSE),VLOOKUP($I288&amp;$J288&amp;AC$1,Pesos!$A:$I,9,FALSE)))</f>
        <v/>
      </c>
      <c r="BB288" s="132" t="str">
        <f>IF(AD288="","",IF(AD288="SIM",VLOOKUP($I288&amp;$J288&amp;AD$1,Pesos!$A:$I,7,FALSE),VLOOKUP($I288&amp;$J288&amp;AD$1,Pesos!$A:$I,9,FALSE)))</f>
        <v/>
      </c>
      <c r="BC288" s="132" t="str">
        <f>IF(AE288="","",IF(AE288="SIM",VLOOKUP($I288&amp;$J288&amp;AE$1,Pesos!$A:$I,7,FALSE),VLOOKUP($I288&amp;$J288&amp;AE$1,Pesos!$A:$I,9,FALSE)))</f>
        <v/>
      </c>
      <c r="BD288" s="158" t="str">
        <f>IFERROR(AF288*VLOOKUP(J288,'BD Campos'!$X$1:$Y$14,2,FALSE),"0")</f>
        <v>0</v>
      </c>
    </row>
    <row r="289" spans="1:56">
      <c r="A289" s="151" t="str">
        <f t="shared" si="19"/>
        <v>Jan11079DISTRIBUIÇÃO</v>
      </c>
      <c r="B289" s="149" t="str">
        <f t="shared" si="20"/>
        <v>Jan110791DISTRIBUIÇÃOPADRÃO</v>
      </c>
      <c r="C289" s="152">
        <v>1</v>
      </c>
      <c r="D289" s="153">
        <v>46059.752192129628</v>
      </c>
      <c r="E289" s="154" t="s">
        <v>12</v>
      </c>
      <c r="F289" s="155">
        <v>11079</v>
      </c>
      <c r="G289" s="149" t="s">
        <v>510</v>
      </c>
      <c r="H289" s="154">
        <v>1</v>
      </c>
      <c r="I289" s="149" t="s">
        <v>485</v>
      </c>
      <c r="J289" s="149"/>
      <c r="K289" s="149" t="s">
        <v>94</v>
      </c>
      <c r="L289" s="156"/>
      <c r="M289" s="157"/>
      <c r="N289" s="131"/>
      <c r="O289" s="131"/>
      <c r="P289" s="131"/>
      <c r="Q289" s="131"/>
      <c r="R289" s="131"/>
      <c r="S289" s="131"/>
      <c r="T289" s="131"/>
      <c r="U289" s="131"/>
      <c r="V289" s="131"/>
      <c r="W289" s="131"/>
      <c r="X289" s="131"/>
      <c r="Y289" s="131"/>
      <c r="Z289" s="131"/>
      <c r="AA289" s="131"/>
      <c r="AB289" s="131"/>
      <c r="AC289" s="131"/>
      <c r="AD289" s="131"/>
      <c r="AE289" s="131"/>
      <c r="AF289" s="158">
        <f t="shared" si="22"/>
        <v>0</v>
      </c>
      <c r="AG289" s="159"/>
      <c r="AH289" s="155"/>
      <c r="AI289" s="155" t="s">
        <v>83</v>
      </c>
      <c r="AJ289" s="131" t="str">
        <f>IFERROR(VLOOKUP(E289&amp;F289,'Listagem dos op'!A:S,19,0),"")</f>
        <v/>
      </c>
      <c r="AK289" s="131" t="str">
        <f t="shared" si="21"/>
        <v>Jan11079</v>
      </c>
      <c r="AL289" s="154" t="str">
        <f>IF(N289="","",IF(N289="SIM",VLOOKUP($I289&amp;$J289&amp;N$1,Pesos!$A:$I,7,FALSE),VLOOKUP($I289&amp;$J289&amp;N$1,Pesos!$A:$I,9,FALSE)))</f>
        <v/>
      </c>
      <c r="AM289" s="154" t="str">
        <f>IF(O289="","",IF(O289="SIM",VLOOKUP($I289&amp;$J289&amp;O$1,Pesos!$A:$I,7,FALSE),VLOOKUP($I289&amp;$J289&amp;O$1,Pesos!$A:$I,9,FALSE)))</f>
        <v/>
      </c>
      <c r="AN289" s="154" t="str">
        <f>IF(P289="","",IF(P289="SIM",VLOOKUP($I289&amp;$J289&amp;P$1,Pesos!$A:$I,7,FALSE),VLOOKUP($I289&amp;$J289&amp;P$1,Pesos!$A:$I,9,FALSE)))</f>
        <v/>
      </c>
      <c r="AO289" s="154" t="str">
        <f>IF(Q289="","",IF(Q289="SIM",VLOOKUP($I289&amp;$J289&amp;Q$1,Pesos!$A:$I,7,FALSE),VLOOKUP($I289&amp;$J289&amp;Q$1,Pesos!$A:$I,9,FALSE)))</f>
        <v/>
      </c>
      <c r="AP289" s="154" t="str">
        <f>IF(R289="","",IF(R289="SIM",VLOOKUP($I289&amp;$J289&amp;R$1,Pesos!$A:$I,7,FALSE),VLOOKUP($I289&amp;$J289&amp;R$1,Pesos!$A:$I,9,FALSE)))</f>
        <v/>
      </c>
      <c r="AQ289" s="154" t="str">
        <f>IF(S289="","",IF(S289="SIM",VLOOKUP($I289&amp;$J289&amp;S$1,Pesos!$A:$I,7,FALSE),VLOOKUP($I289&amp;$J289&amp;S$1,Pesos!$A:$I,9,FALSE)))</f>
        <v/>
      </c>
      <c r="AR289" s="156" t="str">
        <f>IF(T289="","",IF(T289="SIM",VLOOKUP($I289&amp;$J289&amp;T$1,Pesos!$A:$I,7,FALSE),VLOOKUP($I289&amp;$J289&amp;T$1,Pesos!$A:$I,9,FALSE)))</f>
        <v/>
      </c>
      <c r="AS289" s="132" t="str">
        <f>IF(U289="","",IF(U289="SIM",VLOOKUP($I289&amp;$J289&amp;U$1,Pesos!$A:$I,7,FALSE),VLOOKUP($I289&amp;$J289&amp;U$1,Pesos!$A:$I,9,FALSE)))</f>
        <v/>
      </c>
      <c r="AT289" s="132" t="str">
        <f>IF(V289="","",IF(V289="SIM",VLOOKUP($I289&amp;$J289&amp;V$1,Pesos!$A:$I,7,FALSE),VLOOKUP($I289&amp;$J289&amp;V$1,Pesos!$A:$I,9,FALSE)))</f>
        <v/>
      </c>
      <c r="AU289" s="132" t="str">
        <f>IF(W289="","",IF(W289="SIM",VLOOKUP($I289&amp;$J289&amp;W$1,Pesos!$A:$I,7,FALSE),VLOOKUP($I289&amp;$J289&amp;W$1,Pesos!$A:$I,9,FALSE)))</f>
        <v/>
      </c>
      <c r="AV289" s="132" t="str">
        <f>IF(X289="","",IF(X289="SIM",VLOOKUP($I289&amp;$J289&amp;X$1,Pesos!$A:$I,7,FALSE),VLOOKUP($I289&amp;$J289&amp;X$1,Pesos!$A:$I,9,FALSE)))</f>
        <v/>
      </c>
      <c r="AW289" s="132" t="str">
        <f>IF(Y289="","",IF(Y289="SIM",VLOOKUP($I289&amp;$J289&amp;Y$1,Pesos!$A:$I,7,FALSE),VLOOKUP($I289&amp;$J289&amp;Y$1,Pesos!$A:$I,9,FALSE)))</f>
        <v/>
      </c>
      <c r="AX289" s="132" t="str">
        <f>IF(Z289="","",IF(Z289="SIM",VLOOKUP($I289&amp;$J289&amp;Z$1,Pesos!$A:$I,7,FALSE),VLOOKUP($I289&amp;$J289&amp;Z$1,Pesos!$A:$I,9,FALSE)))</f>
        <v/>
      </c>
      <c r="AY289" s="132" t="str">
        <f>IF(AA289="","",IF(AA289="SIM",VLOOKUP($I289&amp;$J289&amp;AA$1,Pesos!$A:$I,7,FALSE),VLOOKUP($I289&amp;$J289&amp;AA$1,Pesos!$A:$I,9,FALSE)))</f>
        <v/>
      </c>
      <c r="AZ289" s="132" t="str">
        <f>IF(AB289="","",IF(AB289="SIM",VLOOKUP($I289&amp;$J289&amp;AB$1,Pesos!$A:$I,7,FALSE),VLOOKUP($I289&amp;$J289&amp;AB$1,Pesos!$A:$I,9,FALSE)))</f>
        <v/>
      </c>
      <c r="BA289" s="132" t="str">
        <f>IF(AC289="","",IF(AC289="SIM",VLOOKUP($I289&amp;$J289&amp;AC$1,Pesos!$A:$I,7,FALSE),VLOOKUP($I289&amp;$J289&amp;AC$1,Pesos!$A:$I,9,FALSE)))</f>
        <v/>
      </c>
      <c r="BB289" s="132" t="str">
        <f>IF(AD289="","",IF(AD289="SIM",VLOOKUP($I289&amp;$J289&amp;AD$1,Pesos!$A:$I,7,FALSE),VLOOKUP($I289&amp;$J289&amp;AD$1,Pesos!$A:$I,9,FALSE)))</f>
        <v/>
      </c>
      <c r="BC289" s="132" t="str">
        <f>IF(AE289="","",IF(AE289="SIM",VLOOKUP($I289&amp;$J289&amp;AE$1,Pesos!$A:$I,7,FALSE),VLOOKUP($I289&amp;$J289&amp;AE$1,Pesos!$A:$I,9,FALSE)))</f>
        <v/>
      </c>
      <c r="BD289" s="158" t="str">
        <f>IFERROR(AF289*VLOOKUP(J289,'BD Campos'!$X$1:$Y$14,2,FALSE),"0")</f>
        <v>0</v>
      </c>
    </row>
    <row r="290" spans="1:56">
      <c r="A290" s="151" t="str">
        <f t="shared" si="19"/>
        <v>Jan11079DISTRIBUIÇÃO</v>
      </c>
      <c r="B290" s="149" t="str">
        <f t="shared" si="20"/>
        <v>Jan110792DISTRIBUIÇÃOPADRÃO</v>
      </c>
      <c r="C290" s="152">
        <v>1</v>
      </c>
      <c r="D290" s="153">
        <v>46059.752218981484</v>
      </c>
      <c r="E290" s="154" t="s">
        <v>12</v>
      </c>
      <c r="F290" s="155">
        <v>11079</v>
      </c>
      <c r="G290" s="149" t="s">
        <v>510</v>
      </c>
      <c r="H290" s="154">
        <v>2</v>
      </c>
      <c r="I290" s="149" t="s">
        <v>485</v>
      </c>
      <c r="J290" s="149"/>
      <c r="K290" s="149" t="s">
        <v>94</v>
      </c>
      <c r="L290" s="156"/>
      <c r="M290" s="157"/>
      <c r="N290" s="131"/>
      <c r="O290" s="131"/>
      <c r="P290" s="131"/>
      <c r="Q290" s="131"/>
      <c r="R290" s="131"/>
      <c r="S290" s="131"/>
      <c r="T290" s="131"/>
      <c r="U290" s="131"/>
      <c r="V290" s="131"/>
      <c r="W290" s="131"/>
      <c r="X290" s="131"/>
      <c r="Y290" s="131"/>
      <c r="Z290" s="131"/>
      <c r="AA290" s="131"/>
      <c r="AB290" s="131"/>
      <c r="AC290" s="131"/>
      <c r="AD290" s="131"/>
      <c r="AE290" s="131"/>
      <c r="AF290" s="158">
        <f t="shared" si="22"/>
        <v>0</v>
      </c>
      <c r="AG290" s="159"/>
      <c r="AH290" s="155"/>
      <c r="AI290" s="155" t="s">
        <v>83</v>
      </c>
      <c r="AJ290" s="131" t="str">
        <f>IFERROR(VLOOKUP(E290&amp;F290,'Listagem dos op'!A:S,19,0),"")</f>
        <v/>
      </c>
      <c r="AK290" s="131" t="str">
        <f t="shared" si="21"/>
        <v>Jan11079</v>
      </c>
      <c r="AL290" s="154" t="str">
        <f>IF(N290="","",IF(N290="SIM",VLOOKUP($I290&amp;$J290&amp;N$1,Pesos!$A:$I,7,FALSE),VLOOKUP($I290&amp;$J290&amp;N$1,Pesos!$A:$I,9,FALSE)))</f>
        <v/>
      </c>
      <c r="AM290" s="154" t="str">
        <f>IF(O290="","",IF(O290="SIM",VLOOKUP($I290&amp;$J290&amp;O$1,Pesos!$A:$I,7,FALSE),VLOOKUP($I290&amp;$J290&amp;O$1,Pesos!$A:$I,9,FALSE)))</f>
        <v/>
      </c>
      <c r="AN290" s="154" t="str">
        <f>IF(P290="","",IF(P290="SIM",VLOOKUP($I290&amp;$J290&amp;P$1,Pesos!$A:$I,7,FALSE),VLOOKUP($I290&amp;$J290&amp;P$1,Pesos!$A:$I,9,FALSE)))</f>
        <v/>
      </c>
      <c r="AO290" s="154" t="str">
        <f>IF(Q290="","",IF(Q290="SIM",VLOOKUP($I290&amp;$J290&amp;Q$1,Pesos!$A:$I,7,FALSE),VLOOKUP($I290&amp;$J290&amp;Q$1,Pesos!$A:$I,9,FALSE)))</f>
        <v/>
      </c>
      <c r="AP290" s="154" t="str">
        <f>IF(R290="","",IF(R290="SIM",VLOOKUP($I290&amp;$J290&amp;R$1,Pesos!$A:$I,7,FALSE),VLOOKUP($I290&amp;$J290&amp;R$1,Pesos!$A:$I,9,FALSE)))</f>
        <v/>
      </c>
      <c r="AQ290" s="154" t="str">
        <f>IF(S290="","",IF(S290="SIM",VLOOKUP($I290&amp;$J290&amp;S$1,Pesos!$A:$I,7,FALSE),VLOOKUP($I290&amp;$J290&amp;S$1,Pesos!$A:$I,9,FALSE)))</f>
        <v/>
      </c>
      <c r="AR290" s="156" t="str">
        <f>IF(T290="","",IF(T290="SIM",VLOOKUP($I290&amp;$J290&amp;T$1,Pesos!$A:$I,7,FALSE),VLOOKUP($I290&amp;$J290&amp;T$1,Pesos!$A:$I,9,FALSE)))</f>
        <v/>
      </c>
      <c r="AS290" s="132" t="str">
        <f>IF(U290="","",IF(U290="SIM",VLOOKUP($I290&amp;$J290&amp;U$1,Pesos!$A:$I,7,FALSE),VLOOKUP($I290&amp;$J290&amp;U$1,Pesos!$A:$I,9,FALSE)))</f>
        <v/>
      </c>
      <c r="AT290" s="132" t="str">
        <f>IF(V290="","",IF(V290="SIM",VLOOKUP($I290&amp;$J290&amp;V$1,Pesos!$A:$I,7,FALSE),VLOOKUP($I290&amp;$J290&amp;V$1,Pesos!$A:$I,9,FALSE)))</f>
        <v/>
      </c>
      <c r="AU290" s="132" t="str">
        <f>IF(W290="","",IF(W290="SIM",VLOOKUP($I290&amp;$J290&amp;W$1,Pesos!$A:$I,7,FALSE),VLOOKUP($I290&amp;$J290&amp;W$1,Pesos!$A:$I,9,FALSE)))</f>
        <v/>
      </c>
      <c r="AV290" s="132" t="str">
        <f>IF(X290="","",IF(X290="SIM",VLOOKUP($I290&amp;$J290&amp;X$1,Pesos!$A:$I,7,FALSE),VLOOKUP($I290&amp;$J290&amp;X$1,Pesos!$A:$I,9,FALSE)))</f>
        <v/>
      </c>
      <c r="AW290" s="132" t="str">
        <f>IF(Y290="","",IF(Y290="SIM",VLOOKUP($I290&amp;$J290&amp;Y$1,Pesos!$A:$I,7,FALSE),VLOOKUP($I290&amp;$J290&amp;Y$1,Pesos!$A:$I,9,FALSE)))</f>
        <v/>
      </c>
      <c r="AX290" s="132" t="str">
        <f>IF(Z290="","",IF(Z290="SIM",VLOOKUP($I290&amp;$J290&amp;Z$1,Pesos!$A:$I,7,FALSE),VLOOKUP($I290&amp;$J290&amp;Z$1,Pesos!$A:$I,9,FALSE)))</f>
        <v/>
      </c>
      <c r="AY290" s="132" t="str">
        <f>IF(AA290="","",IF(AA290="SIM",VLOOKUP($I290&amp;$J290&amp;AA$1,Pesos!$A:$I,7,FALSE),VLOOKUP($I290&amp;$J290&amp;AA$1,Pesos!$A:$I,9,FALSE)))</f>
        <v/>
      </c>
      <c r="AZ290" s="132" t="str">
        <f>IF(AB290="","",IF(AB290="SIM",VLOOKUP($I290&amp;$J290&amp;AB$1,Pesos!$A:$I,7,FALSE),VLOOKUP($I290&amp;$J290&amp;AB$1,Pesos!$A:$I,9,FALSE)))</f>
        <v/>
      </c>
      <c r="BA290" s="132" t="str">
        <f>IF(AC290="","",IF(AC290="SIM",VLOOKUP($I290&amp;$J290&amp;AC$1,Pesos!$A:$I,7,FALSE),VLOOKUP($I290&amp;$J290&amp;AC$1,Pesos!$A:$I,9,FALSE)))</f>
        <v/>
      </c>
      <c r="BB290" s="132" t="str">
        <f>IF(AD290="","",IF(AD290="SIM",VLOOKUP($I290&amp;$J290&amp;AD$1,Pesos!$A:$I,7,FALSE),VLOOKUP($I290&amp;$J290&amp;AD$1,Pesos!$A:$I,9,FALSE)))</f>
        <v/>
      </c>
      <c r="BC290" s="132" t="str">
        <f>IF(AE290="","",IF(AE290="SIM",VLOOKUP($I290&amp;$J290&amp;AE$1,Pesos!$A:$I,7,FALSE),VLOOKUP($I290&amp;$J290&amp;AE$1,Pesos!$A:$I,9,FALSE)))</f>
        <v/>
      </c>
      <c r="BD290" s="158" t="str">
        <f>IFERROR(AF290*VLOOKUP(J290,'BD Campos'!$X$1:$Y$14,2,FALSE),"0")</f>
        <v>0</v>
      </c>
    </row>
    <row r="291" spans="1:56">
      <c r="A291" s="151" t="str">
        <f t="shared" si="19"/>
        <v>Jan11284MotoristaDISTRIBUIÇÃO</v>
      </c>
      <c r="B291" s="149" t="str">
        <f t="shared" si="20"/>
        <v>Jan112841DISTRIBUIÇÃOPADRÃO</v>
      </c>
      <c r="C291" s="152">
        <v>1</v>
      </c>
      <c r="D291" s="153">
        <v>46059.756064236113</v>
      </c>
      <c r="E291" s="154" t="s">
        <v>12</v>
      </c>
      <c r="F291" s="155">
        <v>11284</v>
      </c>
      <c r="G291" s="149" t="s">
        <v>511</v>
      </c>
      <c r="H291" s="154">
        <v>1</v>
      </c>
      <c r="I291" s="149" t="s">
        <v>92</v>
      </c>
      <c r="J291" s="149" t="s">
        <v>93</v>
      </c>
      <c r="K291" s="149" t="s">
        <v>94</v>
      </c>
      <c r="L291" s="156">
        <v>34693152</v>
      </c>
      <c r="M291" s="157">
        <v>2.9166666666666668E-3</v>
      </c>
      <c r="N291" s="131" t="s">
        <v>17</v>
      </c>
      <c r="O291" s="131" t="s">
        <v>17</v>
      </c>
      <c r="P291" s="131" t="s">
        <v>17</v>
      </c>
      <c r="Q291" s="131" t="s">
        <v>17</v>
      </c>
      <c r="R291" s="131" t="s">
        <v>17</v>
      </c>
      <c r="S291" s="131" t="s">
        <v>17</v>
      </c>
      <c r="T291" s="131" t="s">
        <v>17</v>
      </c>
      <c r="U291" s="131" t="s">
        <v>17</v>
      </c>
      <c r="V291" s="131" t="s">
        <v>17</v>
      </c>
      <c r="W291" s="131" t="s">
        <v>17</v>
      </c>
      <c r="X291" s="131" t="s">
        <v>17</v>
      </c>
      <c r="Y291" s="131" t="s">
        <v>17</v>
      </c>
      <c r="Z291" s="131" t="s">
        <v>17</v>
      </c>
      <c r="AA291" s="131" t="s">
        <v>17</v>
      </c>
      <c r="AB291" s="131"/>
      <c r="AC291" s="131"/>
      <c r="AD291" s="131"/>
      <c r="AE291" s="131"/>
      <c r="AF291" s="158">
        <f t="shared" si="22"/>
        <v>10.000000000000002</v>
      </c>
      <c r="AG291" s="159"/>
      <c r="AH291" s="155" t="s">
        <v>512</v>
      </c>
      <c r="AI291" s="155" t="s">
        <v>83</v>
      </c>
      <c r="AJ291" s="131" t="str">
        <f>IFERROR(VLOOKUP(E291&amp;F291,'Listagem dos op'!A:S,19,0),"")</f>
        <v/>
      </c>
      <c r="AK291" s="131" t="str">
        <f t="shared" si="21"/>
        <v>Jan11284</v>
      </c>
      <c r="AL291" s="154">
        <f>IF(N291="","",IF(N291="SIM",VLOOKUP($I291&amp;$J291&amp;N$1,Pesos!$A:$I,7,FALSE),VLOOKUP($I291&amp;$J291&amp;N$1,Pesos!$A:$I,9,FALSE)))</f>
        <v>0.1</v>
      </c>
      <c r="AM291" s="154">
        <f>IF(O291="","",IF(O291="SIM",VLOOKUP($I291&amp;$J291&amp;O$1,Pesos!$A:$I,7,FALSE),VLOOKUP($I291&amp;$J291&amp;O$1,Pesos!$A:$I,9,FALSE)))</f>
        <v>0.1</v>
      </c>
      <c r="AN291" s="154">
        <f>IF(P291="","",IF(P291="SIM",VLOOKUP($I291&amp;$J291&amp;P$1,Pesos!$A:$I,7,FALSE),VLOOKUP($I291&amp;$J291&amp;P$1,Pesos!$A:$I,9,FALSE)))</f>
        <v>0.1</v>
      </c>
      <c r="AO291" s="154">
        <f>IF(Q291="","",IF(Q291="SIM",VLOOKUP($I291&amp;$J291&amp;Q$1,Pesos!$A:$I,7,FALSE),VLOOKUP($I291&amp;$J291&amp;Q$1,Pesos!$A:$I,9,FALSE)))</f>
        <v>2</v>
      </c>
      <c r="AP291" s="154">
        <f>IF(R291="","",IF(R291="SIM",VLOOKUP($I291&amp;$J291&amp;R$1,Pesos!$A:$I,7,FALSE),VLOOKUP($I291&amp;$J291&amp;R$1,Pesos!$A:$I,9,FALSE)))</f>
        <v>1.03</v>
      </c>
      <c r="AQ291" s="154">
        <f>IF(S291="","",IF(S291="SIM",VLOOKUP($I291&amp;$J291&amp;S$1,Pesos!$A:$I,7,FALSE),VLOOKUP($I291&amp;$J291&amp;S$1,Pesos!$A:$I,9,FALSE)))</f>
        <v>1.7000000000000002</v>
      </c>
      <c r="AR291" s="156">
        <f>IF(T291="","",IF(T291="SIM",VLOOKUP($I291&amp;$J291&amp;T$1,Pesos!$A:$I,7,FALSE),VLOOKUP($I291&amp;$J291&amp;T$1,Pesos!$A:$I,9,FALSE)))</f>
        <v>1.92</v>
      </c>
      <c r="AS291" s="132">
        <f>IF(U291="","",IF(U291="SIM",VLOOKUP($I291&amp;$J291&amp;U$1,Pesos!$A:$I,7,FALSE),VLOOKUP($I291&amp;$J291&amp;U$1,Pesos!$A:$I,9,FALSE)))</f>
        <v>1.7000000000000002</v>
      </c>
      <c r="AT291" s="132">
        <f>IF(V291="","",IF(V291="SIM",VLOOKUP($I291&amp;$J291&amp;V$1,Pesos!$A:$I,7,FALSE),VLOOKUP($I291&amp;$J291&amp;V$1,Pesos!$A:$I,9,FALSE)))</f>
        <v>0.3</v>
      </c>
      <c r="AU291" s="132">
        <f>IF(W291="","",IF(W291="SIM",VLOOKUP($I291&amp;$J291&amp;W$1,Pesos!$A:$I,7,FALSE),VLOOKUP($I291&amp;$J291&amp;W$1,Pesos!$A:$I,9,FALSE)))</f>
        <v>0.3</v>
      </c>
      <c r="AV291" s="132">
        <f>IF(X291="","",IF(X291="SIM",VLOOKUP($I291&amp;$J291&amp;X$1,Pesos!$A:$I,7,FALSE),VLOOKUP($I291&amp;$J291&amp;X$1,Pesos!$A:$I,9,FALSE)))</f>
        <v>0.15</v>
      </c>
      <c r="AW291" s="132">
        <f>IF(Y291="","",IF(Y291="SIM",VLOOKUP($I291&amp;$J291&amp;Y$1,Pesos!$A:$I,7,FALSE),VLOOKUP($I291&amp;$J291&amp;Y$1,Pesos!$A:$I,9,FALSE)))</f>
        <v>0.2</v>
      </c>
      <c r="AX291" s="132">
        <f>IF(Z291="","",IF(Z291="SIM",VLOOKUP($I291&amp;$J291&amp;Z$1,Pesos!$A:$I,7,FALSE),VLOOKUP($I291&amp;$J291&amp;Z$1,Pesos!$A:$I,9,FALSE)))</f>
        <v>0.3</v>
      </c>
      <c r="AY291" s="132">
        <f>IF(AA291="","",IF(AA291="SIM",VLOOKUP($I291&amp;$J291&amp;AA$1,Pesos!$A:$I,7,FALSE),VLOOKUP($I291&amp;$J291&amp;AA$1,Pesos!$A:$I,9,FALSE)))</f>
        <v>0.1</v>
      </c>
      <c r="AZ291" s="132" t="str">
        <f>IF(AB291="","",IF(AB291="SIM",VLOOKUP($I291&amp;$J291&amp;AB$1,Pesos!$A:$I,7,FALSE),VLOOKUP($I291&amp;$J291&amp;AB$1,Pesos!$A:$I,9,FALSE)))</f>
        <v/>
      </c>
      <c r="BA291" s="132" t="str">
        <f>IF(AC291="","",IF(AC291="SIM",VLOOKUP($I291&amp;$J291&amp;AC$1,Pesos!$A:$I,7,FALSE),VLOOKUP($I291&amp;$J291&amp;AC$1,Pesos!$A:$I,9,FALSE)))</f>
        <v/>
      </c>
      <c r="BB291" s="132" t="str">
        <f>IF(AD291="","",IF(AD291="SIM",VLOOKUP($I291&amp;$J291&amp;AD$1,Pesos!$A:$I,7,FALSE),VLOOKUP($I291&amp;$J291&amp;AD$1,Pesos!$A:$I,9,FALSE)))</f>
        <v/>
      </c>
      <c r="BC291" s="132" t="str">
        <f>IF(AE291="","",IF(AE291="SIM",VLOOKUP($I291&amp;$J291&amp;AE$1,Pesos!$A:$I,7,FALSE),VLOOKUP($I291&amp;$J291&amp;AE$1,Pesos!$A:$I,9,FALSE)))</f>
        <v/>
      </c>
      <c r="BD291" s="158">
        <f>IFERROR(AF291*VLOOKUP(J291,'BD Campos'!$X$1:$Y$14,2,FALSE),"0")</f>
        <v>10.000000000000002</v>
      </c>
    </row>
    <row r="292" spans="1:56">
      <c r="A292" s="151" t="str">
        <f t="shared" si="19"/>
        <v>Jan11284Motorista 2DISTRIBUIÇÃO</v>
      </c>
      <c r="B292" s="149" t="str">
        <f t="shared" si="20"/>
        <v>Jan112842DISTRIBUIÇÃOPADRÃO</v>
      </c>
      <c r="C292" s="152">
        <v>1</v>
      </c>
      <c r="D292" s="153">
        <v>46059.757030787034</v>
      </c>
      <c r="E292" s="154" t="s">
        <v>12</v>
      </c>
      <c r="F292" s="155">
        <v>11284</v>
      </c>
      <c r="G292" s="149" t="s">
        <v>511</v>
      </c>
      <c r="H292" s="154">
        <v>2</v>
      </c>
      <c r="I292" s="149" t="s">
        <v>96</v>
      </c>
      <c r="J292" s="149" t="s">
        <v>97</v>
      </c>
      <c r="K292" s="149" t="s">
        <v>94</v>
      </c>
      <c r="L292" s="156">
        <v>34744312</v>
      </c>
      <c r="M292" s="157">
        <v>1.5624999999999999E-3</v>
      </c>
      <c r="N292" s="131"/>
      <c r="O292" s="131"/>
      <c r="P292" s="131"/>
      <c r="Q292" s="131"/>
      <c r="R292" s="131"/>
      <c r="S292" s="131"/>
      <c r="T292" s="131"/>
      <c r="U292" s="131"/>
      <c r="V292" s="131"/>
      <c r="W292" s="131"/>
      <c r="X292" s="131"/>
      <c r="Y292" s="131"/>
      <c r="Z292" s="131"/>
      <c r="AA292" s="131"/>
      <c r="AB292" s="131"/>
      <c r="AC292" s="131"/>
      <c r="AD292" s="131"/>
      <c r="AE292" s="131"/>
      <c r="AF292" s="158">
        <f t="shared" si="22"/>
        <v>0</v>
      </c>
      <c r="AG292" s="159" t="s">
        <v>262</v>
      </c>
      <c r="AH292" s="155" t="s">
        <v>513</v>
      </c>
      <c r="AI292" s="155" t="s">
        <v>83</v>
      </c>
      <c r="AJ292" s="131" t="str">
        <f>IFERROR(VLOOKUP(E292&amp;F292,'Listagem dos op'!A:S,19,0),"")</f>
        <v/>
      </c>
      <c r="AK292" s="131" t="str">
        <f t="shared" si="21"/>
        <v>Jan11284</v>
      </c>
      <c r="AL292" s="154" t="str">
        <f>IF(N292="","",IF(N292="SIM",VLOOKUP($I292&amp;$J292&amp;N$1,Pesos!$A:$I,7,FALSE),VLOOKUP($I292&amp;$J292&amp;N$1,Pesos!$A:$I,9,FALSE)))</f>
        <v/>
      </c>
      <c r="AM292" s="154" t="str">
        <f>IF(O292="","",IF(O292="SIM",VLOOKUP($I292&amp;$J292&amp;O$1,Pesos!$A:$I,7,FALSE),VLOOKUP($I292&amp;$J292&amp;O$1,Pesos!$A:$I,9,FALSE)))</f>
        <v/>
      </c>
      <c r="AN292" s="154" t="str">
        <f>IF(P292="","",IF(P292="SIM",VLOOKUP($I292&amp;$J292&amp;P$1,Pesos!$A:$I,7,FALSE),VLOOKUP($I292&amp;$J292&amp;P$1,Pesos!$A:$I,9,FALSE)))</f>
        <v/>
      </c>
      <c r="AO292" s="154" t="str">
        <f>IF(Q292="","",IF(Q292="SIM",VLOOKUP($I292&amp;$J292&amp;Q$1,Pesos!$A:$I,7,FALSE),VLOOKUP($I292&amp;$J292&amp;Q$1,Pesos!$A:$I,9,FALSE)))</f>
        <v/>
      </c>
      <c r="AP292" s="154" t="str">
        <f>IF(R292="","",IF(R292="SIM",VLOOKUP($I292&amp;$J292&amp;R$1,Pesos!$A:$I,7,FALSE),VLOOKUP($I292&amp;$J292&amp;R$1,Pesos!$A:$I,9,FALSE)))</f>
        <v/>
      </c>
      <c r="AQ292" s="154" t="str">
        <f>IF(S292="","",IF(S292="SIM",VLOOKUP($I292&amp;$J292&amp;S$1,Pesos!$A:$I,7,FALSE),VLOOKUP($I292&amp;$J292&amp;S$1,Pesos!$A:$I,9,FALSE)))</f>
        <v/>
      </c>
      <c r="AR292" s="156" t="str">
        <f>IF(T292="","",IF(T292="SIM",VLOOKUP($I292&amp;$J292&amp;T$1,Pesos!$A:$I,7,FALSE),VLOOKUP($I292&amp;$J292&amp;T$1,Pesos!$A:$I,9,FALSE)))</f>
        <v/>
      </c>
      <c r="AS292" s="132" t="str">
        <f>IF(U292="","",IF(U292="SIM",VLOOKUP($I292&amp;$J292&amp;U$1,Pesos!$A:$I,7,FALSE),VLOOKUP($I292&amp;$J292&amp;U$1,Pesos!$A:$I,9,FALSE)))</f>
        <v/>
      </c>
      <c r="AT292" s="132" t="str">
        <f>IF(V292="","",IF(V292="SIM",VLOOKUP($I292&amp;$J292&amp;V$1,Pesos!$A:$I,7,FALSE),VLOOKUP($I292&amp;$J292&amp;V$1,Pesos!$A:$I,9,FALSE)))</f>
        <v/>
      </c>
      <c r="AU292" s="132" t="str">
        <f>IF(W292="","",IF(W292="SIM",VLOOKUP($I292&amp;$J292&amp;W$1,Pesos!$A:$I,7,FALSE),VLOOKUP($I292&amp;$J292&amp;W$1,Pesos!$A:$I,9,FALSE)))</f>
        <v/>
      </c>
      <c r="AV292" s="132" t="str">
        <f>IF(X292="","",IF(X292="SIM",VLOOKUP($I292&amp;$J292&amp;X$1,Pesos!$A:$I,7,FALSE),VLOOKUP($I292&amp;$J292&amp;X$1,Pesos!$A:$I,9,FALSE)))</f>
        <v/>
      </c>
      <c r="AW292" s="132" t="str">
        <f>IF(Y292="","",IF(Y292="SIM",VLOOKUP($I292&amp;$J292&amp;Y$1,Pesos!$A:$I,7,FALSE),VLOOKUP($I292&amp;$J292&amp;Y$1,Pesos!$A:$I,9,FALSE)))</f>
        <v/>
      </c>
      <c r="AX292" s="132" t="str">
        <f>IF(Z292="","",IF(Z292="SIM",VLOOKUP($I292&amp;$J292&amp;Z$1,Pesos!$A:$I,7,FALSE),VLOOKUP($I292&amp;$J292&amp;Z$1,Pesos!$A:$I,9,FALSE)))</f>
        <v/>
      </c>
      <c r="AY292" s="132" t="str">
        <f>IF(AA292="","",IF(AA292="SIM",VLOOKUP($I292&amp;$J292&amp;AA$1,Pesos!$A:$I,7,FALSE),VLOOKUP($I292&amp;$J292&amp;AA$1,Pesos!$A:$I,9,FALSE)))</f>
        <v/>
      </c>
      <c r="AZ292" s="132" t="str">
        <f>IF(AB292="","",IF(AB292="SIM",VLOOKUP($I292&amp;$J292&amp;AB$1,Pesos!$A:$I,7,FALSE),VLOOKUP($I292&amp;$J292&amp;AB$1,Pesos!$A:$I,9,FALSE)))</f>
        <v/>
      </c>
      <c r="BA292" s="132" t="str">
        <f>IF(AC292="","",IF(AC292="SIM",VLOOKUP($I292&amp;$J292&amp;AC$1,Pesos!$A:$I,7,FALSE),VLOOKUP($I292&amp;$J292&amp;AC$1,Pesos!$A:$I,9,FALSE)))</f>
        <v/>
      </c>
      <c r="BB292" s="132" t="str">
        <f>IF(AD292="","",IF(AD292="SIM",VLOOKUP($I292&amp;$J292&amp;AD$1,Pesos!$A:$I,7,FALSE),VLOOKUP($I292&amp;$J292&amp;AD$1,Pesos!$A:$I,9,FALSE)))</f>
        <v/>
      </c>
      <c r="BC292" s="132" t="str">
        <f>IF(AE292="","",IF(AE292="SIM",VLOOKUP($I292&amp;$J292&amp;AE$1,Pesos!$A:$I,7,FALSE),VLOOKUP($I292&amp;$J292&amp;AE$1,Pesos!$A:$I,9,FALSE)))</f>
        <v/>
      </c>
      <c r="BD292" s="158">
        <f>IFERROR(AF292*VLOOKUP(J292,'BD Campos'!$X$1:$Y$14,2,FALSE),"0")</f>
        <v>0</v>
      </c>
    </row>
    <row r="293" spans="1:56">
      <c r="A293" s="151" t="str">
        <f t="shared" si="19"/>
        <v>Jan4215TRANSFERÊNCIA</v>
      </c>
      <c r="B293" s="149" t="str">
        <f t="shared" si="20"/>
        <v>Jan42151TRANSFERÊNCIAPADRÃO</v>
      </c>
      <c r="C293" s="152">
        <v>1</v>
      </c>
      <c r="D293" s="153">
        <v>46059.757746990741</v>
      </c>
      <c r="E293" s="154" t="s">
        <v>12</v>
      </c>
      <c r="F293" s="155">
        <v>4215</v>
      </c>
      <c r="G293" s="149" t="s">
        <v>514</v>
      </c>
      <c r="H293" s="154">
        <v>1</v>
      </c>
      <c r="I293" s="149" t="s">
        <v>485</v>
      </c>
      <c r="J293" s="149"/>
      <c r="K293" s="149" t="s">
        <v>192</v>
      </c>
      <c r="L293" s="156"/>
      <c r="M293" s="157"/>
      <c r="N293" s="131"/>
      <c r="O293" s="131"/>
      <c r="P293" s="131"/>
      <c r="Q293" s="131"/>
      <c r="R293" s="131"/>
      <c r="S293" s="131"/>
      <c r="T293" s="131"/>
      <c r="U293" s="131"/>
      <c r="V293" s="131"/>
      <c r="W293" s="131"/>
      <c r="X293" s="131"/>
      <c r="Y293" s="131"/>
      <c r="Z293" s="131"/>
      <c r="AA293" s="131"/>
      <c r="AB293" s="131"/>
      <c r="AC293" s="131"/>
      <c r="AD293" s="131"/>
      <c r="AE293" s="131"/>
      <c r="AF293" s="158">
        <f t="shared" si="22"/>
        <v>0</v>
      </c>
      <c r="AG293" s="159"/>
      <c r="AH293" s="155"/>
      <c r="AI293" s="155" t="s">
        <v>83</v>
      </c>
      <c r="AJ293" s="131" t="str">
        <f>IFERROR(VLOOKUP(E293&amp;F293,'Listagem dos op'!A:S,19,0),"")</f>
        <v/>
      </c>
      <c r="AK293" s="131" t="str">
        <f t="shared" si="21"/>
        <v>Jan4215</v>
      </c>
      <c r="AL293" s="154" t="str">
        <f>IF(N293="","",IF(N293="SIM",VLOOKUP($I293&amp;$J293&amp;N$1,Pesos!$A:$I,7,FALSE),VLOOKUP($I293&amp;$J293&amp;N$1,Pesos!$A:$I,9,FALSE)))</f>
        <v/>
      </c>
      <c r="AM293" s="154" t="str">
        <f>IF(O293="","",IF(O293="SIM",VLOOKUP($I293&amp;$J293&amp;O$1,Pesos!$A:$I,7,FALSE),VLOOKUP($I293&amp;$J293&amp;O$1,Pesos!$A:$I,9,FALSE)))</f>
        <v/>
      </c>
      <c r="AN293" s="154" t="str">
        <f>IF(P293="","",IF(P293="SIM",VLOOKUP($I293&amp;$J293&amp;P$1,Pesos!$A:$I,7,FALSE),VLOOKUP($I293&amp;$J293&amp;P$1,Pesos!$A:$I,9,FALSE)))</f>
        <v/>
      </c>
      <c r="AO293" s="154" t="str">
        <f>IF(Q293="","",IF(Q293="SIM",VLOOKUP($I293&amp;$J293&amp;Q$1,Pesos!$A:$I,7,FALSE),VLOOKUP($I293&amp;$J293&amp;Q$1,Pesos!$A:$I,9,FALSE)))</f>
        <v/>
      </c>
      <c r="AP293" s="154" t="str">
        <f>IF(R293="","",IF(R293="SIM",VLOOKUP($I293&amp;$J293&amp;R$1,Pesos!$A:$I,7,FALSE),VLOOKUP($I293&amp;$J293&amp;R$1,Pesos!$A:$I,9,FALSE)))</f>
        <v/>
      </c>
      <c r="AQ293" s="154" t="str">
        <f>IF(S293="","",IF(S293="SIM",VLOOKUP($I293&amp;$J293&amp;S$1,Pesos!$A:$I,7,FALSE),VLOOKUP($I293&amp;$J293&amp;S$1,Pesos!$A:$I,9,FALSE)))</f>
        <v/>
      </c>
      <c r="AR293" s="156" t="str">
        <f>IF(T293="","",IF(T293="SIM",VLOOKUP($I293&amp;$J293&amp;T$1,Pesos!$A:$I,7,FALSE),VLOOKUP($I293&amp;$J293&amp;T$1,Pesos!$A:$I,9,FALSE)))</f>
        <v/>
      </c>
      <c r="AS293" s="132" t="str">
        <f>IF(U293="","",IF(U293="SIM",VLOOKUP($I293&amp;$J293&amp;U$1,Pesos!$A:$I,7,FALSE),VLOOKUP($I293&amp;$J293&amp;U$1,Pesos!$A:$I,9,FALSE)))</f>
        <v/>
      </c>
      <c r="AT293" s="132" t="str">
        <f>IF(V293="","",IF(V293="SIM",VLOOKUP($I293&amp;$J293&amp;V$1,Pesos!$A:$I,7,FALSE),VLOOKUP($I293&amp;$J293&amp;V$1,Pesos!$A:$I,9,FALSE)))</f>
        <v/>
      </c>
      <c r="AU293" s="132" t="str">
        <f>IF(W293="","",IF(W293="SIM",VLOOKUP($I293&amp;$J293&amp;W$1,Pesos!$A:$I,7,FALSE),VLOOKUP($I293&amp;$J293&amp;W$1,Pesos!$A:$I,9,FALSE)))</f>
        <v/>
      </c>
      <c r="AV293" s="132" t="str">
        <f>IF(X293="","",IF(X293="SIM",VLOOKUP($I293&amp;$J293&amp;X$1,Pesos!$A:$I,7,FALSE),VLOOKUP($I293&amp;$J293&amp;X$1,Pesos!$A:$I,9,FALSE)))</f>
        <v/>
      </c>
      <c r="AW293" s="132" t="str">
        <f>IF(Y293="","",IF(Y293="SIM",VLOOKUP($I293&amp;$J293&amp;Y$1,Pesos!$A:$I,7,FALSE),VLOOKUP($I293&amp;$J293&amp;Y$1,Pesos!$A:$I,9,FALSE)))</f>
        <v/>
      </c>
      <c r="AX293" s="132" t="str">
        <f>IF(Z293="","",IF(Z293="SIM",VLOOKUP($I293&amp;$J293&amp;Z$1,Pesos!$A:$I,7,FALSE),VLOOKUP($I293&amp;$J293&amp;Z$1,Pesos!$A:$I,9,FALSE)))</f>
        <v/>
      </c>
      <c r="AY293" s="132" t="str">
        <f>IF(AA293="","",IF(AA293="SIM",VLOOKUP($I293&amp;$J293&amp;AA$1,Pesos!$A:$I,7,FALSE),VLOOKUP($I293&amp;$J293&amp;AA$1,Pesos!$A:$I,9,FALSE)))</f>
        <v/>
      </c>
      <c r="AZ293" s="132" t="str">
        <f>IF(AB293="","",IF(AB293="SIM",VLOOKUP($I293&amp;$J293&amp;AB$1,Pesos!$A:$I,7,FALSE),VLOOKUP($I293&amp;$J293&amp;AB$1,Pesos!$A:$I,9,FALSE)))</f>
        <v/>
      </c>
      <c r="BA293" s="132" t="str">
        <f>IF(AC293="","",IF(AC293="SIM",VLOOKUP($I293&amp;$J293&amp;AC$1,Pesos!$A:$I,7,FALSE),VLOOKUP($I293&amp;$J293&amp;AC$1,Pesos!$A:$I,9,FALSE)))</f>
        <v/>
      </c>
      <c r="BB293" s="132" t="str">
        <f>IF(AD293="","",IF(AD293="SIM",VLOOKUP($I293&amp;$J293&amp;AD$1,Pesos!$A:$I,7,FALSE),VLOOKUP($I293&amp;$J293&amp;AD$1,Pesos!$A:$I,9,FALSE)))</f>
        <v/>
      </c>
      <c r="BC293" s="132" t="str">
        <f>IF(AE293="","",IF(AE293="SIM",VLOOKUP($I293&amp;$J293&amp;AE$1,Pesos!$A:$I,7,FALSE),VLOOKUP($I293&amp;$J293&amp;AE$1,Pesos!$A:$I,9,FALSE)))</f>
        <v/>
      </c>
      <c r="BD293" s="158" t="str">
        <f>IFERROR(AF293*VLOOKUP(J293,'BD Campos'!$X$1:$Y$14,2,FALSE),"0")</f>
        <v>0</v>
      </c>
    </row>
    <row r="294" spans="1:56">
      <c r="A294" s="151" t="str">
        <f t="shared" si="19"/>
        <v>Jan4215TRANSFERÊNCIA</v>
      </c>
      <c r="B294" s="149" t="str">
        <f t="shared" si="20"/>
        <v>Jan42152TRANSFERÊNCIAPADRÃO</v>
      </c>
      <c r="C294" s="152">
        <v>1</v>
      </c>
      <c r="D294" s="153">
        <v>46059.757787499999</v>
      </c>
      <c r="E294" s="154" t="s">
        <v>12</v>
      </c>
      <c r="F294" s="155">
        <v>4215</v>
      </c>
      <c r="G294" s="149" t="s">
        <v>514</v>
      </c>
      <c r="H294" s="154">
        <v>2</v>
      </c>
      <c r="I294" s="149" t="s">
        <v>485</v>
      </c>
      <c r="J294" s="149"/>
      <c r="K294" s="149" t="s">
        <v>192</v>
      </c>
      <c r="L294" s="156"/>
      <c r="M294" s="157"/>
      <c r="N294" s="131"/>
      <c r="O294" s="131"/>
      <c r="P294" s="131"/>
      <c r="Q294" s="131"/>
      <c r="R294" s="131"/>
      <c r="S294" s="131"/>
      <c r="T294" s="131"/>
      <c r="U294" s="131"/>
      <c r="V294" s="131"/>
      <c r="W294" s="131"/>
      <c r="X294" s="131"/>
      <c r="Y294" s="131"/>
      <c r="Z294" s="131"/>
      <c r="AA294" s="131"/>
      <c r="AB294" s="131"/>
      <c r="AC294" s="131"/>
      <c r="AD294" s="131"/>
      <c r="AE294" s="131"/>
      <c r="AF294" s="158">
        <f t="shared" si="22"/>
        <v>0</v>
      </c>
      <c r="AG294" s="159"/>
      <c r="AH294" s="155"/>
      <c r="AI294" s="155" t="s">
        <v>83</v>
      </c>
      <c r="AJ294" s="131" t="str">
        <f>IFERROR(VLOOKUP(E294&amp;F294,'Listagem dos op'!A:S,19,0),"")</f>
        <v/>
      </c>
      <c r="AK294" s="131" t="str">
        <f t="shared" si="21"/>
        <v>Jan4215</v>
      </c>
      <c r="AL294" s="154" t="str">
        <f>IF(N294="","",IF(N294="SIM",VLOOKUP($I294&amp;$J294&amp;N$1,Pesos!$A:$I,7,FALSE),VLOOKUP($I294&amp;$J294&amp;N$1,Pesos!$A:$I,9,FALSE)))</f>
        <v/>
      </c>
      <c r="AM294" s="154" t="str">
        <f>IF(O294="","",IF(O294="SIM",VLOOKUP($I294&amp;$J294&amp;O$1,Pesos!$A:$I,7,FALSE),VLOOKUP($I294&amp;$J294&amp;O$1,Pesos!$A:$I,9,FALSE)))</f>
        <v/>
      </c>
      <c r="AN294" s="154" t="str">
        <f>IF(P294="","",IF(P294="SIM",VLOOKUP($I294&amp;$J294&amp;P$1,Pesos!$A:$I,7,FALSE),VLOOKUP($I294&amp;$J294&amp;P$1,Pesos!$A:$I,9,FALSE)))</f>
        <v/>
      </c>
      <c r="AO294" s="154" t="str">
        <f>IF(Q294="","",IF(Q294="SIM",VLOOKUP($I294&amp;$J294&amp;Q$1,Pesos!$A:$I,7,FALSE),VLOOKUP($I294&amp;$J294&amp;Q$1,Pesos!$A:$I,9,FALSE)))</f>
        <v/>
      </c>
      <c r="AP294" s="154" t="str">
        <f>IF(R294="","",IF(R294="SIM",VLOOKUP($I294&amp;$J294&amp;R$1,Pesos!$A:$I,7,FALSE),VLOOKUP($I294&amp;$J294&amp;R$1,Pesos!$A:$I,9,FALSE)))</f>
        <v/>
      </c>
      <c r="AQ294" s="154" t="str">
        <f>IF(S294="","",IF(S294="SIM",VLOOKUP($I294&amp;$J294&amp;S$1,Pesos!$A:$I,7,FALSE),VLOOKUP($I294&amp;$J294&amp;S$1,Pesos!$A:$I,9,FALSE)))</f>
        <v/>
      </c>
      <c r="AR294" s="156" t="str">
        <f>IF(T294="","",IF(T294="SIM",VLOOKUP($I294&amp;$J294&amp;T$1,Pesos!$A:$I,7,FALSE),VLOOKUP($I294&amp;$J294&amp;T$1,Pesos!$A:$I,9,FALSE)))</f>
        <v/>
      </c>
      <c r="AS294" s="132" t="str">
        <f>IF(U294="","",IF(U294="SIM",VLOOKUP($I294&amp;$J294&amp;U$1,Pesos!$A:$I,7,FALSE),VLOOKUP($I294&amp;$J294&amp;U$1,Pesos!$A:$I,9,FALSE)))</f>
        <v/>
      </c>
      <c r="AT294" s="132" t="str">
        <f>IF(V294="","",IF(V294="SIM",VLOOKUP($I294&amp;$J294&amp;V$1,Pesos!$A:$I,7,FALSE),VLOOKUP($I294&amp;$J294&amp;V$1,Pesos!$A:$I,9,FALSE)))</f>
        <v/>
      </c>
      <c r="AU294" s="132" t="str">
        <f>IF(W294="","",IF(W294="SIM",VLOOKUP($I294&amp;$J294&amp;W$1,Pesos!$A:$I,7,FALSE),VLOOKUP($I294&amp;$J294&amp;W$1,Pesos!$A:$I,9,FALSE)))</f>
        <v/>
      </c>
      <c r="AV294" s="132" t="str">
        <f>IF(X294="","",IF(X294="SIM",VLOOKUP($I294&amp;$J294&amp;X$1,Pesos!$A:$I,7,FALSE),VLOOKUP($I294&amp;$J294&amp;X$1,Pesos!$A:$I,9,FALSE)))</f>
        <v/>
      </c>
      <c r="AW294" s="132" t="str">
        <f>IF(Y294="","",IF(Y294="SIM",VLOOKUP($I294&amp;$J294&amp;Y$1,Pesos!$A:$I,7,FALSE),VLOOKUP($I294&amp;$J294&amp;Y$1,Pesos!$A:$I,9,FALSE)))</f>
        <v/>
      </c>
      <c r="AX294" s="132" t="str">
        <f>IF(Z294="","",IF(Z294="SIM",VLOOKUP($I294&amp;$J294&amp;Z$1,Pesos!$A:$I,7,FALSE),VLOOKUP($I294&amp;$J294&amp;Z$1,Pesos!$A:$I,9,FALSE)))</f>
        <v/>
      </c>
      <c r="AY294" s="132" t="str">
        <f>IF(AA294="","",IF(AA294="SIM",VLOOKUP($I294&amp;$J294&amp;AA$1,Pesos!$A:$I,7,FALSE),VLOOKUP($I294&amp;$J294&amp;AA$1,Pesos!$A:$I,9,FALSE)))</f>
        <v/>
      </c>
      <c r="AZ294" s="132" t="str">
        <f>IF(AB294="","",IF(AB294="SIM",VLOOKUP($I294&amp;$J294&amp;AB$1,Pesos!$A:$I,7,FALSE),VLOOKUP($I294&amp;$J294&amp;AB$1,Pesos!$A:$I,9,FALSE)))</f>
        <v/>
      </c>
      <c r="BA294" s="132" t="str">
        <f>IF(AC294="","",IF(AC294="SIM",VLOOKUP($I294&amp;$J294&amp;AC$1,Pesos!$A:$I,7,FALSE),VLOOKUP($I294&amp;$J294&amp;AC$1,Pesos!$A:$I,9,FALSE)))</f>
        <v/>
      </c>
      <c r="BB294" s="132" t="str">
        <f>IF(AD294="","",IF(AD294="SIM",VLOOKUP($I294&amp;$J294&amp;AD$1,Pesos!$A:$I,7,FALSE),VLOOKUP($I294&amp;$J294&amp;AD$1,Pesos!$A:$I,9,FALSE)))</f>
        <v/>
      </c>
      <c r="BC294" s="132" t="str">
        <f>IF(AE294="","",IF(AE294="SIM",VLOOKUP($I294&amp;$J294&amp;AE$1,Pesos!$A:$I,7,FALSE),VLOOKUP($I294&amp;$J294&amp;AE$1,Pesos!$A:$I,9,FALSE)))</f>
        <v/>
      </c>
      <c r="BD294" s="158" t="str">
        <f>IFERROR(AF294*VLOOKUP(J294,'BD Campos'!$X$1:$Y$14,2,FALSE),"0")</f>
        <v>0</v>
      </c>
    </row>
    <row r="295" spans="1:56">
      <c r="A295" s="151" t="str">
        <f t="shared" si="19"/>
        <v>Jan4208MotoristaTRANSFERÊNCIA</v>
      </c>
      <c r="B295" s="149" t="str">
        <f t="shared" si="20"/>
        <v>Jan42081TRANSFERÊNCIAPADRÃO</v>
      </c>
      <c r="C295" s="152">
        <v>1</v>
      </c>
      <c r="D295" s="153">
        <v>46059.764309143517</v>
      </c>
      <c r="E295" s="154" t="s">
        <v>12</v>
      </c>
      <c r="F295" s="155">
        <v>4208</v>
      </c>
      <c r="G295" s="149" t="s">
        <v>515</v>
      </c>
      <c r="H295" s="154">
        <v>1</v>
      </c>
      <c r="I295" s="149" t="s">
        <v>96</v>
      </c>
      <c r="J295" s="149" t="s">
        <v>93</v>
      </c>
      <c r="K295" s="149" t="s">
        <v>192</v>
      </c>
      <c r="L295" s="156">
        <v>34793856</v>
      </c>
      <c r="M295" s="157">
        <v>2.1874999999999998E-3</v>
      </c>
      <c r="N295" s="131" t="s">
        <v>17</v>
      </c>
      <c r="O295" s="131" t="s">
        <v>17</v>
      </c>
      <c r="P295" s="131" t="s">
        <v>17</v>
      </c>
      <c r="Q295" s="131" t="s">
        <v>17</v>
      </c>
      <c r="R295" s="131" t="s">
        <v>17</v>
      </c>
      <c r="S295" s="131" t="s">
        <v>18</v>
      </c>
      <c r="T295" s="131" t="s">
        <v>17</v>
      </c>
      <c r="U295" s="131" t="s">
        <v>17</v>
      </c>
      <c r="V295" s="131" t="s">
        <v>18</v>
      </c>
      <c r="W295" s="131" t="s">
        <v>18</v>
      </c>
      <c r="X295" s="131" t="s">
        <v>17</v>
      </c>
      <c r="Y295" s="131" t="s">
        <v>17</v>
      </c>
      <c r="Z295" s="131" t="s">
        <v>17</v>
      </c>
      <c r="AA295" s="131" t="s">
        <v>17</v>
      </c>
      <c r="AB295" s="131" t="s">
        <v>17</v>
      </c>
      <c r="AC295" s="131"/>
      <c r="AD295" s="131"/>
      <c r="AE295" s="131"/>
      <c r="AF295" s="158">
        <f t="shared" si="22"/>
        <v>7.3014999999999999</v>
      </c>
      <c r="AG295" s="159"/>
      <c r="AH295" s="155" t="s">
        <v>516</v>
      </c>
      <c r="AI295" s="155" t="s">
        <v>83</v>
      </c>
      <c r="AJ295" s="131" t="str">
        <f>IFERROR(VLOOKUP(E295&amp;F295,'Listagem dos op'!A:S,19,0),"")</f>
        <v/>
      </c>
      <c r="AK295" s="131" t="str">
        <f t="shared" si="21"/>
        <v>Jan4208</v>
      </c>
      <c r="AL295" s="154">
        <f>IF(N295="","",IF(N295="SIM",VLOOKUP($I295&amp;$J295&amp;N$1,Pesos!$A:$I,7,FALSE),VLOOKUP($I295&amp;$J295&amp;N$1,Pesos!$A:$I,9,FALSE)))</f>
        <v>0.1</v>
      </c>
      <c r="AM295" s="154">
        <f>IF(O295="","",IF(O295="SIM",VLOOKUP($I295&amp;$J295&amp;O$1,Pesos!$A:$I,7,FALSE),VLOOKUP($I295&amp;$J295&amp;O$1,Pesos!$A:$I,9,FALSE)))</f>
        <v>0.1</v>
      </c>
      <c r="AN295" s="154">
        <f>IF(P295="","",IF(P295="SIM",VLOOKUP($I295&amp;$J295&amp;P$1,Pesos!$A:$I,7,FALSE),VLOOKUP($I295&amp;$J295&amp;P$1,Pesos!$A:$I,9,FALSE)))</f>
        <v>0.1</v>
      </c>
      <c r="AO295" s="154">
        <f>IF(Q295="","",IF(Q295="SIM",VLOOKUP($I295&amp;$J295&amp;Q$1,Pesos!$A:$I,7,FALSE),VLOOKUP($I295&amp;$J295&amp;Q$1,Pesos!$A:$I,9,FALSE)))</f>
        <v>2</v>
      </c>
      <c r="AP295" s="154">
        <f>IF(R295="","",IF(R295="SIM",VLOOKUP($I295&amp;$J295&amp;R$1,Pesos!$A:$I,7,FALSE),VLOOKUP($I295&amp;$J295&amp;R$1,Pesos!$A:$I,9,FALSE)))</f>
        <v>1.03</v>
      </c>
      <c r="AQ295" s="154">
        <f>IF(S295="","",IF(S295="SIM",VLOOKUP($I295&amp;$J295&amp;S$1,Pesos!$A:$I,7,FALSE),VLOOKUP($I295&amp;$J295&amp;S$1,Pesos!$A:$I,9,FALSE)))</f>
        <v>-6.0999999999999999E-2</v>
      </c>
      <c r="AR295" s="156">
        <f>IF(T295="","",IF(T295="SIM",VLOOKUP($I295&amp;$J295&amp;T$1,Pesos!$A:$I,7,FALSE),VLOOKUP($I295&amp;$J295&amp;T$1,Pesos!$A:$I,9,FALSE)))</f>
        <v>2</v>
      </c>
      <c r="AS295" s="132">
        <f>IF(U295="","",IF(U295="SIM",VLOOKUP($I295&amp;$J295&amp;U$1,Pesos!$A:$I,7,FALSE),VLOOKUP($I295&amp;$J295&amp;U$1,Pesos!$A:$I,9,FALSE)))</f>
        <v>1.05</v>
      </c>
      <c r="AT295" s="132">
        <f>IF(V295="","",IF(V295="SIM",VLOOKUP($I295&amp;$J295&amp;V$1,Pesos!$A:$I,7,FALSE),VLOOKUP($I295&amp;$J295&amp;V$1,Pesos!$A:$I,9,FALSE)))</f>
        <v>-5.2500000000000005E-2</v>
      </c>
      <c r="AU295" s="132">
        <f>IF(W295="","",IF(W295="SIM",VLOOKUP($I295&amp;$J295&amp;W$1,Pesos!$A:$I,7,FALSE),VLOOKUP($I295&amp;$J295&amp;W$1,Pesos!$A:$I,9,FALSE)))</f>
        <v>-1.4999999999999999E-2</v>
      </c>
      <c r="AV295" s="132">
        <f>IF(X295="","",IF(X295="SIM",VLOOKUP($I295&amp;$J295&amp;X$1,Pesos!$A:$I,7,FALSE),VLOOKUP($I295&amp;$J295&amp;X$1,Pesos!$A:$I,9,FALSE)))</f>
        <v>0.3</v>
      </c>
      <c r="AW295" s="132">
        <f>IF(Y295="","",IF(Y295="SIM",VLOOKUP($I295&amp;$J295&amp;Y$1,Pesos!$A:$I,7,FALSE),VLOOKUP($I295&amp;$J295&amp;Y$1,Pesos!$A:$I,9,FALSE)))</f>
        <v>0.15</v>
      </c>
      <c r="AX295" s="132">
        <f>IF(Z295="","",IF(Z295="SIM",VLOOKUP($I295&amp;$J295&amp;Z$1,Pesos!$A:$I,7,FALSE),VLOOKUP($I295&amp;$J295&amp;Z$1,Pesos!$A:$I,9,FALSE)))</f>
        <v>0.2</v>
      </c>
      <c r="AY295" s="132">
        <f>IF(AA295="","",IF(AA295="SIM",VLOOKUP($I295&amp;$J295&amp;AA$1,Pesos!$A:$I,7,FALSE),VLOOKUP($I295&amp;$J295&amp;AA$1,Pesos!$A:$I,9,FALSE)))</f>
        <v>0.3</v>
      </c>
      <c r="AZ295" s="132">
        <f>IF(AB295="","",IF(AB295="SIM",VLOOKUP($I295&amp;$J295&amp;AB$1,Pesos!$A:$I,7,FALSE),VLOOKUP($I295&amp;$J295&amp;AB$1,Pesos!$A:$I,9,FALSE)))</f>
        <v>0.1</v>
      </c>
      <c r="BA295" s="132" t="str">
        <f>IF(AC295="","",IF(AC295="SIM",VLOOKUP($I295&amp;$J295&amp;AC$1,Pesos!$A:$I,7,FALSE),VLOOKUP($I295&amp;$J295&amp;AC$1,Pesos!$A:$I,9,FALSE)))</f>
        <v/>
      </c>
      <c r="BB295" s="132" t="str">
        <f>IF(AD295="","",IF(AD295="SIM",VLOOKUP($I295&amp;$J295&amp;AD$1,Pesos!$A:$I,7,FALSE),VLOOKUP($I295&amp;$J295&amp;AD$1,Pesos!$A:$I,9,FALSE)))</f>
        <v/>
      </c>
      <c r="BC295" s="132" t="str">
        <f>IF(AE295="","",IF(AE295="SIM",VLOOKUP($I295&amp;$J295&amp;AE$1,Pesos!$A:$I,7,FALSE),VLOOKUP($I295&amp;$J295&amp;AE$1,Pesos!$A:$I,9,FALSE)))</f>
        <v/>
      </c>
      <c r="BD295" s="158">
        <f>IFERROR(AF295*VLOOKUP(J295,'BD Campos'!$X$1:$Y$14,2,FALSE),"0")</f>
        <v>7.3014999999999999</v>
      </c>
    </row>
    <row r="296" spans="1:56">
      <c r="A296" s="151" t="str">
        <f t="shared" si="19"/>
        <v>Jan4208ClienteTRANSFERÊNCIA</v>
      </c>
      <c r="B296" s="149" t="str">
        <f t="shared" si="20"/>
        <v>Jan42082TRANSFERÊNCIAPADRÃO</v>
      </c>
      <c r="C296" s="152">
        <v>1</v>
      </c>
      <c r="D296" s="153">
        <v>46059.76687835648</v>
      </c>
      <c r="E296" s="154" t="s">
        <v>12</v>
      </c>
      <c r="F296" s="155">
        <v>4208</v>
      </c>
      <c r="G296" s="149" t="s">
        <v>515</v>
      </c>
      <c r="H296" s="154">
        <v>2</v>
      </c>
      <c r="I296" s="149" t="s">
        <v>96</v>
      </c>
      <c r="J296" s="149" t="s">
        <v>149</v>
      </c>
      <c r="K296" s="149" t="s">
        <v>192</v>
      </c>
      <c r="L296" s="156">
        <v>34712509</v>
      </c>
      <c r="M296" s="157">
        <v>9.8379629629629642E-4</v>
      </c>
      <c r="N296" s="131" t="s">
        <v>17</v>
      </c>
      <c r="O296" s="131" t="s">
        <v>17</v>
      </c>
      <c r="P296" s="131" t="s">
        <v>17</v>
      </c>
      <c r="Q296" s="131" t="s">
        <v>17</v>
      </c>
      <c r="R296" s="131" t="s">
        <v>17</v>
      </c>
      <c r="S296" s="131" t="s">
        <v>17</v>
      </c>
      <c r="T296" s="131" t="s">
        <v>17</v>
      </c>
      <c r="U296" s="131" t="s">
        <v>18</v>
      </c>
      <c r="V296" s="131" t="s">
        <v>17</v>
      </c>
      <c r="W296" s="131" t="s">
        <v>18</v>
      </c>
      <c r="X296" s="131" t="s">
        <v>18</v>
      </c>
      <c r="Y296" s="131" t="s">
        <v>18</v>
      </c>
      <c r="Z296" s="131" t="s">
        <v>17</v>
      </c>
      <c r="AA296" s="131" t="s">
        <v>17</v>
      </c>
      <c r="AB296" s="131" t="s">
        <v>17</v>
      </c>
      <c r="AC296" s="131" t="s">
        <v>17</v>
      </c>
      <c r="AD296" s="131" t="s">
        <v>17</v>
      </c>
      <c r="AE296" s="131"/>
      <c r="AF296" s="158">
        <f t="shared" si="22"/>
        <v>6.1150000000000011</v>
      </c>
      <c r="AG296" s="159"/>
      <c r="AH296" s="155" t="s">
        <v>517</v>
      </c>
      <c r="AI296" s="155" t="s">
        <v>83</v>
      </c>
      <c r="AJ296" s="131" t="str">
        <f>IFERROR(VLOOKUP(E296&amp;F296,'Listagem dos op'!A:S,19,0),"")</f>
        <v/>
      </c>
      <c r="AK296" s="131" t="str">
        <f t="shared" si="21"/>
        <v>Jan4208</v>
      </c>
      <c r="AL296" s="154">
        <f>IF(N296="","",IF(N296="SIM",VLOOKUP($I296&amp;$J296&amp;N$1,Pesos!$A:$I,7,FALSE),VLOOKUP($I296&amp;$J296&amp;N$1,Pesos!$A:$I,9,FALSE)))</f>
        <v>0.1</v>
      </c>
      <c r="AM296" s="154">
        <f>IF(O296="","",IF(O296="SIM",VLOOKUP($I296&amp;$J296&amp;O$1,Pesos!$A:$I,7,FALSE),VLOOKUP($I296&amp;$J296&amp;O$1,Pesos!$A:$I,9,FALSE)))</f>
        <v>0.1</v>
      </c>
      <c r="AN296" s="154">
        <f>IF(P296="","",IF(P296="SIM",VLOOKUP($I296&amp;$J296&amp;P$1,Pesos!$A:$I,7,FALSE),VLOOKUP($I296&amp;$J296&amp;P$1,Pesos!$A:$I,9,FALSE)))</f>
        <v>0.1</v>
      </c>
      <c r="AO296" s="154">
        <f>IF(Q296="","",IF(Q296="SIM",VLOOKUP($I296&amp;$J296&amp;Q$1,Pesos!$A:$I,7,FALSE),VLOOKUP($I296&amp;$J296&amp;Q$1,Pesos!$A:$I,9,FALSE)))</f>
        <v>0.4</v>
      </c>
      <c r="AP296" s="154">
        <f>IF(R296="","",IF(R296="SIM",VLOOKUP($I296&amp;$J296&amp;R$1,Pesos!$A:$I,7,FALSE),VLOOKUP($I296&amp;$J296&amp;R$1,Pesos!$A:$I,9,FALSE)))</f>
        <v>1.2</v>
      </c>
      <c r="AQ296" s="154">
        <f>IF(S296="","",IF(S296="SIM",VLOOKUP($I296&amp;$J296&amp;S$1,Pesos!$A:$I,7,FALSE),VLOOKUP($I296&amp;$J296&amp;S$1,Pesos!$A:$I,9,FALSE)))</f>
        <v>1.1500000000000001</v>
      </c>
      <c r="AR296" s="156">
        <f>IF(T296="","",IF(T296="SIM",VLOOKUP($I296&amp;$J296&amp;T$1,Pesos!$A:$I,7,FALSE),VLOOKUP($I296&amp;$J296&amp;T$1,Pesos!$A:$I,9,FALSE)))</f>
        <v>1.1000000000000001</v>
      </c>
      <c r="AS296" s="132">
        <f>IF(U296="","",IF(U296="SIM",VLOOKUP($I296&amp;$J296&amp;U$1,Pesos!$A:$I,7,FALSE),VLOOKUP($I296&amp;$J296&amp;U$1,Pesos!$A:$I,9,FALSE)))</f>
        <v>-5.5000000000000007E-2</v>
      </c>
      <c r="AT296" s="132">
        <f>IF(V296="","",IF(V296="SIM",VLOOKUP($I296&amp;$J296&amp;V$1,Pesos!$A:$I,7,FALSE),VLOOKUP($I296&amp;$J296&amp;V$1,Pesos!$A:$I,9,FALSE)))</f>
        <v>1.1000000000000001</v>
      </c>
      <c r="AU296" s="132">
        <f>IF(W296="","",IF(W296="SIM",VLOOKUP($I296&amp;$J296&amp;W$1,Pesos!$A:$I,7,FALSE),VLOOKUP($I296&amp;$J296&amp;W$1,Pesos!$A:$I,9,FALSE)))</f>
        <v>-5.5000000000000007E-2</v>
      </c>
      <c r="AV296" s="132">
        <f>IF(X296="","",IF(X296="SIM",VLOOKUP($I296&amp;$J296&amp;X$1,Pesos!$A:$I,7,FALSE),VLOOKUP($I296&amp;$J296&amp;X$1,Pesos!$A:$I,9,FALSE)))</f>
        <v>-0.06</v>
      </c>
      <c r="AW296" s="132">
        <f>IF(Y296="","",IF(Y296="SIM",VLOOKUP($I296&amp;$J296&amp;Y$1,Pesos!$A:$I,7,FALSE),VLOOKUP($I296&amp;$J296&amp;Y$1,Pesos!$A:$I,9,FALSE)))</f>
        <v>-1.4999999999999999E-2</v>
      </c>
      <c r="AX296" s="132">
        <f>IF(Z296="","",IF(Z296="SIM",VLOOKUP($I296&amp;$J296&amp;Z$1,Pesos!$A:$I,7,FALSE),VLOOKUP($I296&amp;$J296&amp;Z$1,Pesos!$A:$I,9,FALSE)))</f>
        <v>0.3</v>
      </c>
      <c r="AY296" s="132">
        <f>IF(AA296="","",IF(AA296="SIM",VLOOKUP($I296&amp;$J296&amp;AA$1,Pesos!$A:$I,7,FALSE),VLOOKUP($I296&amp;$J296&amp;AA$1,Pesos!$A:$I,9,FALSE)))</f>
        <v>0.15</v>
      </c>
      <c r="AZ296" s="132">
        <f>IF(AB296="","",IF(AB296="SIM",VLOOKUP($I296&amp;$J296&amp;AB$1,Pesos!$A:$I,7,FALSE),VLOOKUP($I296&amp;$J296&amp;AB$1,Pesos!$A:$I,9,FALSE)))</f>
        <v>0.2</v>
      </c>
      <c r="BA296" s="132">
        <f>IF(AC296="","",IF(AC296="SIM",VLOOKUP($I296&amp;$J296&amp;AC$1,Pesos!$A:$I,7,FALSE),VLOOKUP($I296&amp;$J296&amp;AC$1,Pesos!$A:$I,9,FALSE)))</f>
        <v>0.3</v>
      </c>
      <c r="BB296" s="132">
        <f>IF(AD296="","",IF(AD296="SIM",VLOOKUP($I296&amp;$J296&amp;AD$1,Pesos!$A:$I,7,FALSE),VLOOKUP($I296&amp;$J296&amp;AD$1,Pesos!$A:$I,9,FALSE)))</f>
        <v>0.1</v>
      </c>
      <c r="BC296" s="132" t="str">
        <f>IF(AE296="","",IF(AE296="SIM",VLOOKUP($I296&amp;$J296&amp;AE$1,Pesos!$A:$I,7,FALSE),VLOOKUP($I296&amp;$J296&amp;AE$1,Pesos!$A:$I,9,FALSE)))</f>
        <v/>
      </c>
      <c r="BD296" s="158">
        <f>IFERROR(AF296*VLOOKUP(J296,'BD Campos'!$X$1:$Y$14,2,FALSE),"0")</f>
        <v>6.1150000000000011</v>
      </c>
    </row>
    <row r="297" spans="1:56">
      <c r="A297" s="151" t="str">
        <f t="shared" si="19"/>
        <v>Jan4214TRANSFERÊNCIA</v>
      </c>
      <c r="B297" s="149" t="str">
        <f t="shared" si="20"/>
        <v>Jan42141TRANSFERÊNCIAPADRÃO</v>
      </c>
      <c r="C297" s="152">
        <v>1</v>
      </c>
      <c r="D297" s="153">
        <v>46059.767252546299</v>
      </c>
      <c r="E297" s="154" t="s">
        <v>12</v>
      </c>
      <c r="F297" s="155">
        <v>4214</v>
      </c>
      <c r="G297" s="149" t="s">
        <v>518</v>
      </c>
      <c r="H297" s="154">
        <v>1</v>
      </c>
      <c r="I297" s="149" t="s">
        <v>485</v>
      </c>
      <c r="J297" s="149"/>
      <c r="K297" s="149" t="s">
        <v>192</v>
      </c>
      <c r="L297" s="156"/>
      <c r="M297" s="157"/>
      <c r="N297" s="131"/>
      <c r="O297" s="131"/>
      <c r="P297" s="131"/>
      <c r="Q297" s="131"/>
      <c r="R297" s="131"/>
      <c r="S297" s="131"/>
      <c r="T297" s="131"/>
      <c r="U297" s="131"/>
      <c r="V297" s="131"/>
      <c r="W297" s="131"/>
      <c r="X297" s="131"/>
      <c r="Y297" s="131"/>
      <c r="Z297" s="131"/>
      <c r="AA297" s="131"/>
      <c r="AB297" s="131"/>
      <c r="AC297" s="131"/>
      <c r="AD297" s="131"/>
      <c r="AE297" s="131"/>
      <c r="AF297" s="158">
        <f t="shared" si="22"/>
        <v>0</v>
      </c>
      <c r="AG297" s="159"/>
      <c r="AH297" s="155"/>
      <c r="AI297" s="155" t="s">
        <v>83</v>
      </c>
      <c r="AJ297" s="131" t="str">
        <f>IFERROR(VLOOKUP(E297&amp;F297,'Listagem dos op'!A:S,19,0),"")</f>
        <v/>
      </c>
      <c r="AK297" s="131" t="str">
        <f t="shared" si="21"/>
        <v>Jan4214</v>
      </c>
      <c r="AL297" s="154" t="str">
        <f>IF(N297="","",IF(N297="SIM",VLOOKUP($I297&amp;$J297&amp;N$1,Pesos!$A:$I,7,FALSE),VLOOKUP($I297&amp;$J297&amp;N$1,Pesos!$A:$I,9,FALSE)))</f>
        <v/>
      </c>
      <c r="AM297" s="154" t="str">
        <f>IF(O297="","",IF(O297="SIM",VLOOKUP($I297&amp;$J297&amp;O$1,Pesos!$A:$I,7,FALSE),VLOOKUP($I297&amp;$J297&amp;O$1,Pesos!$A:$I,9,FALSE)))</f>
        <v/>
      </c>
      <c r="AN297" s="154" t="str">
        <f>IF(P297="","",IF(P297="SIM",VLOOKUP($I297&amp;$J297&amp;P$1,Pesos!$A:$I,7,FALSE),VLOOKUP($I297&amp;$J297&amp;P$1,Pesos!$A:$I,9,FALSE)))</f>
        <v/>
      </c>
      <c r="AO297" s="154" t="str">
        <f>IF(Q297="","",IF(Q297="SIM",VLOOKUP($I297&amp;$J297&amp;Q$1,Pesos!$A:$I,7,FALSE),VLOOKUP($I297&amp;$J297&amp;Q$1,Pesos!$A:$I,9,FALSE)))</f>
        <v/>
      </c>
      <c r="AP297" s="154" t="str">
        <f>IF(R297="","",IF(R297="SIM",VLOOKUP($I297&amp;$J297&amp;R$1,Pesos!$A:$I,7,FALSE),VLOOKUP($I297&amp;$J297&amp;R$1,Pesos!$A:$I,9,FALSE)))</f>
        <v/>
      </c>
      <c r="AQ297" s="154" t="str">
        <f>IF(S297="","",IF(S297="SIM",VLOOKUP($I297&amp;$J297&amp;S$1,Pesos!$A:$I,7,FALSE),VLOOKUP($I297&amp;$J297&amp;S$1,Pesos!$A:$I,9,FALSE)))</f>
        <v/>
      </c>
      <c r="AR297" s="156" t="str">
        <f>IF(T297="","",IF(T297="SIM",VLOOKUP($I297&amp;$J297&amp;T$1,Pesos!$A:$I,7,FALSE),VLOOKUP($I297&amp;$J297&amp;T$1,Pesos!$A:$I,9,FALSE)))</f>
        <v/>
      </c>
      <c r="AS297" s="132" t="str">
        <f>IF(U297="","",IF(U297="SIM",VLOOKUP($I297&amp;$J297&amp;U$1,Pesos!$A:$I,7,FALSE),VLOOKUP($I297&amp;$J297&amp;U$1,Pesos!$A:$I,9,FALSE)))</f>
        <v/>
      </c>
      <c r="AT297" s="132" t="str">
        <f>IF(V297="","",IF(V297="SIM",VLOOKUP($I297&amp;$J297&amp;V$1,Pesos!$A:$I,7,FALSE),VLOOKUP($I297&amp;$J297&amp;V$1,Pesos!$A:$I,9,FALSE)))</f>
        <v/>
      </c>
      <c r="AU297" s="132" t="str">
        <f>IF(W297="","",IF(W297="SIM",VLOOKUP($I297&amp;$J297&amp;W$1,Pesos!$A:$I,7,FALSE),VLOOKUP($I297&amp;$J297&amp;W$1,Pesos!$A:$I,9,FALSE)))</f>
        <v/>
      </c>
      <c r="AV297" s="132" t="str">
        <f>IF(X297="","",IF(X297="SIM",VLOOKUP($I297&amp;$J297&amp;X$1,Pesos!$A:$I,7,FALSE),VLOOKUP($I297&amp;$J297&amp;X$1,Pesos!$A:$I,9,FALSE)))</f>
        <v/>
      </c>
      <c r="AW297" s="132" t="str">
        <f>IF(Y297="","",IF(Y297="SIM",VLOOKUP($I297&amp;$J297&amp;Y$1,Pesos!$A:$I,7,FALSE),VLOOKUP($I297&amp;$J297&amp;Y$1,Pesos!$A:$I,9,FALSE)))</f>
        <v/>
      </c>
      <c r="AX297" s="132" t="str">
        <f>IF(Z297="","",IF(Z297="SIM",VLOOKUP($I297&amp;$J297&amp;Z$1,Pesos!$A:$I,7,FALSE),VLOOKUP($I297&amp;$J297&amp;Z$1,Pesos!$A:$I,9,FALSE)))</f>
        <v/>
      </c>
      <c r="AY297" s="132" t="str">
        <f>IF(AA297="","",IF(AA297="SIM",VLOOKUP($I297&amp;$J297&amp;AA$1,Pesos!$A:$I,7,FALSE),VLOOKUP($I297&amp;$J297&amp;AA$1,Pesos!$A:$I,9,FALSE)))</f>
        <v/>
      </c>
      <c r="AZ297" s="132" t="str">
        <f>IF(AB297="","",IF(AB297="SIM",VLOOKUP($I297&amp;$J297&amp;AB$1,Pesos!$A:$I,7,FALSE),VLOOKUP($I297&amp;$J297&amp;AB$1,Pesos!$A:$I,9,FALSE)))</f>
        <v/>
      </c>
      <c r="BA297" s="132" t="str">
        <f>IF(AC297="","",IF(AC297="SIM",VLOOKUP($I297&amp;$J297&amp;AC$1,Pesos!$A:$I,7,FALSE),VLOOKUP($I297&amp;$J297&amp;AC$1,Pesos!$A:$I,9,FALSE)))</f>
        <v/>
      </c>
      <c r="BB297" s="132" t="str">
        <f>IF(AD297="","",IF(AD297="SIM",VLOOKUP($I297&amp;$J297&amp;AD$1,Pesos!$A:$I,7,FALSE),VLOOKUP($I297&amp;$J297&amp;AD$1,Pesos!$A:$I,9,FALSE)))</f>
        <v/>
      </c>
      <c r="BC297" s="132" t="str">
        <f>IF(AE297="","",IF(AE297="SIM",VLOOKUP($I297&amp;$J297&amp;AE$1,Pesos!$A:$I,7,FALSE),VLOOKUP($I297&amp;$J297&amp;AE$1,Pesos!$A:$I,9,FALSE)))</f>
        <v/>
      </c>
      <c r="BD297" s="158" t="str">
        <f>IFERROR(AF297*VLOOKUP(J297,'BD Campos'!$X$1:$Y$14,2,FALSE),"0")</f>
        <v>0</v>
      </c>
    </row>
    <row r="298" spans="1:56">
      <c r="A298" s="151" t="str">
        <f t="shared" si="19"/>
        <v>Jan4214TRANSFERÊNCIA</v>
      </c>
      <c r="B298" s="149" t="str">
        <f t="shared" si="20"/>
        <v>Jan42142TRANSFERÊNCIAPADRÃO</v>
      </c>
      <c r="C298" s="152">
        <v>1</v>
      </c>
      <c r="D298" s="153">
        <v>46059.767282407411</v>
      </c>
      <c r="E298" s="154" t="s">
        <v>12</v>
      </c>
      <c r="F298" s="155">
        <v>4214</v>
      </c>
      <c r="G298" s="149" t="s">
        <v>518</v>
      </c>
      <c r="H298" s="154">
        <v>2</v>
      </c>
      <c r="I298" s="149" t="s">
        <v>485</v>
      </c>
      <c r="J298" s="149"/>
      <c r="K298" s="149" t="s">
        <v>192</v>
      </c>
      <c r="L298" s="156"/>
      <c r="M298" s="157"/>
      <c r="N298" s="131"/>
      <c r="O298" s="131"/>
      <c r="P298" s="131"/>
      <c r="Q298" s="131"/>
      <c r="R298" s="131"/>
      <c r="S298" s="131"/>
      <c r="T298" s="131"/>
      <c r="U298" s="131"/>
      <c r="V298" s="131"/>
      <c r="W298" s="131"/>
      <c r="X298" s="131"/>
      <c r="Y298" s="131"/>
      <c r="Z298" s="131"/>
      <c r="AA298" s="131"/>
      <c r="AB298" s="131"/>
      <c r="AC298" s="131"/>
      <c r="AD298" s="131"/>
      <c r="AE298" s="131"/>
      <c r="AF298" s="158">
        <f t="shared" si="22"/>
        <v>0</v>
      </c>
      <c r="AG298" s="159"/>
      <c r="AH298" s="155"/>
      <c r="AI298" s="155" t="s">
        <v>83</v>
      </c>
      <c r="AJ298" s="131" t="str">
        <f>IFERROR(VLOOKUP(E298&amp;F298,'Listagem dos op'!A:S,19,0),"")</f>
        <v/>
      </c>
      <c r="AK298" s="131" t="str">
        <f t="shared" si="21"/>
        <v>Jan4214</v>
      </c>
      <c r="AL298" s="154" t="str">
        <f>IF(N298="","",IF(N298="SIM",VLOOKUP($I298&amp;$J298&amp;N$1,Pesos!$A:$I,7,FALSE),VLOOKUP($I298&amp;$J298&amp;N$1,Pesos!$A:$I,9,FALSE)))</f>
        <v/>
      </c>
      <c r="AM298" s="154" t="str">
        <f>IF(O298="","",IF(O298="SIM",VLOOKUP($I298&amp;$J298&amp;O$1,Pesos!$A:$I,7,FALSE),VLOOKUP($I298&amp;$J298&amp;O$1,Pesos!$A:$I,9,FALSE)))</f>
        <v/>
      </c>
      <c r="AN298" s="154" t="str">
        <f>IF(P298="","",IF(P298="SIM",VLOOKUP($I298&amp;$J298&amp;P$1,Pesos!$A:$I,7,FALSE),VLOOKUP($I298&amp;$J298&amp;P$1,Pesos!$A:$I,9,FALSE)))</f>
        <v/>
      </c>
      <c r="AO298" s="154" t="str">
        <f>IF(Q298="","",IF(Q298="SIM",VLOOKUP($I298&amp;$J298&amp;Q$1,Pesos!$A:$I,7,FALSE),VLOOKUP($I298&amp;$J298&amp;Q$1,Pesos!$A:$I,9,FALSE)))</f>
        <v/>
      </c>
      <c r="AP298" s="154" t="str">
        <f>IF(R298="","",IF(R298="SIM",VLOOKUP($I298&amp;$J298&amp;R$1,Pesos!$A:$I,7,FALSE),VLOOKUP($I298&amp;$J298&amp;R$1,Pesos!$A:$I,9,FALSE)))</f>
        <v/>
      </c>
      <c r="AQ298" s="154" t="str">
        <f>IF(S298="","",IF(S298="SIM",VLOOKUP($I298&amp;$J298&amp;S$1,Pesos!$A:$I,7,FALSE),VLOOKUP($I298&amp;$J298&amp;S$1,Pesos!$A:$I,9,FALSE)))</f>
        <v/>
      </c>
      <c r="AR298" s="156" t="str">
        <f>IF(T298="","",IF(T298="SIM",VLOOKUP($I298&amp;$J298&amp;T$1,Pesos!$A:$I,7,FALSE),VLOOKUP($I298&amp;$J298&amp;T$1,Pesos!$A:$I,9,FALSE)))</f>
        <v/>
      </c>
      <c r="AS298" s="132" t="str">
        <f>IF(U298="","",IF(U298="SIM",VLOOKUP($I298&amp;$J298&amp;U$1,Pesos!$A:$I,7,FALSE),VLOOKUP($I298&amp;$J298&amp;U$1,Pesos!$A:$I,9,FALSE)))</f>
        <v/>
      </c>
      <c r="AT298" s="132" t="str">
        <f>IF(V298="","",IF(V298="SIM",VLOOKUP($I298&amp;$J298&amp;V$1,Pesos!$A:$I,7,FALSE),VLOOKUP($I298&amp;$J298&amp;V$1,Pesos!$A:$I,9,FALSE)))</f>
        <v/>
      </c>
      <c r="AU298" s="132" t="str">
        <f>IF(W298="","",IF(W298="SIM",VLOOKUP($I298&amp;$J298&amp;W$1,Pesos!$A:$I,7,FALSE),VLOOKUP($I298&amp;$J298&amp;W$1,Pesos!$A:$I,9,FALSE)))</f>
        <v/>
      </c>
      <c r="AV298" s="132" t="str">
        <f>IF(X298="","",IF(X298="SIM",VLOOKUP($I298&amp;$J298&amp;X$1,Pesos!$A:$I,7,FALSE),VLOOKUP($I298&amp;$J298&amp;X$1,Pesos!$A:$I,9,FALSE)))</f>
        <v/>
      </c>
      <c r="AW298" s="132" t="str">
        <f>IF(Y298="","",IF(Y298="SIM",VLOOKUP($I298&amp;$J298&amp;Y$1,Pesos!$A:$I,7,FALSE),VLOOKUP($I298&amp;$J298&amp;Y$1,Pesos!$A:$I,9,FALSE)))</f>
        <v/>
      </c>
      <c r="AX298" s="132" t="str">
        <f>IF(Z298="","",IF(Z298="SIM",VLOOKUP($I298&amp;$J298&amp;Z$1,Pesos!$A:$I,7,FALSE),VLOOKUP($I298&amp;$J298&amp;Z$1,Pesos!$A:$I,9,FALSE)))</f>
        <v/>
      </c>
      <c r="AY298" s="132" t="str">
        <f>IF(AA298="","",IF(AA298="SIM",VLOOKUP($I298&amp;$J298&amp;AA$1,Pesos!$A:$I,7,FALSE),VLOOKUP($I298&amp;$J298&amp;AA$1,Pesos!$A:$I,9,FALSE)))</f>
        <v/>
      </c>
      <c r="AZ298" s="132" t="str">
        <f>IF(AB298="","",IF(AB298="SIM",VLOOKUP($I298&amp;$J298&amp;AB$1,Pesos!$A:$I,7,FALSE),VLOOKUP($I298&amp;$J298&amp;AB$1,Pesos!$A:$I,9,FALSE)))</f>
        <v/>
      </c>
      <c r="BA298" s="132" t="str">
        <f>IF(AC298="","",IF(AC298="SIM",VLOOKUP($I298&amp;$J298&amp;AC$1,Pesos!$A:$I,7,FALSE),VLOOKUP($I298&amp;$J298&amp;AC$1,Pesos!$A:$I,9,FALSE)))</f>
        <v/>
      </c>
      <c r="BB298" s="132" t="str">
        <f>IF(AD298="","",IF(AD298="SIM",VLOOKUP($I298&amp;$J298&amp;AD$1,Pesos!$A:$I,7,FALSE),VLOOKUP($I298&amp;$J298&amp;AD$1,Pesos!$A:$I,9,FALSE)))</f>
        <v/>
      </c>
      <c r="BC298" s="132" t="str">
        <f>IF(AE298="","",IF(AE298="SIM",VLOOKUP($I298&amp;$J298&amp;AE$1,Pesos!$A:$I,7,FALSE),VLOOKUP($I298&amp;$J298&amp;AE$1,Pesos!$A:$I,9,FALSE)))</f>
        <v/>
      </c>
      <c r="BD298" s="158" t="str">
        <f>IFERROR(AF298*VLOOKUP(J298,'BD Campos'!$X$1:$Y$14,2,FALSE),"0")</f>
        <v>0</v>
      </c>
    </row>
    <row r="299" spans="1:56">
      <c r="A299" s="151" t="str">
        <f t="shared" si="19"/>
        <v>Jan11183UTI</v>
      </c>
      <c r="B299" s="149" t="str">
        <f t="shared" si="20"/>
        <v>Jan111831UTIPADRÃO</v>
      </c>
      <c r="C299" s="152">
        <v>1</v>
      </c>
      <c r="D299" s="153">
        <v>46059.768229050926</v>
      </c>
      <c r="E299" s="154" t="s">
        <v>12</v>
      </c>
      <c r="F299" s="155">
        <v>11183</v>
      </c>
      <c r="G299" s="149" t="s">
        <v>519</v>
      </c>
      <c r="H299" s="154">
        <v>1</v>
      </c>
      <c r="I299" s="149" t="s">
        <v>485</v>
      </c>
      <c r="J299" s="149"/>
      <c r="K299" s="149" t="s">
        <v>128</v>
      </c>
      <c r="L299" s="156"/>
      <c r="M299" s="157"/>
      <c r="N299" s="131"/>
      <c r="O299" s="131"/>
      <c r="P299" s="131"/>
      <c r="Q299" s="131"/>
      <c r="R299" s="131"/>
      <c r="S299" s="131"/>
      <c r="T299" s="131"/>
      <c r="U299" s="131"/>
      <c r="V299" s="131"/>
      <c r="W299" s="131"/>
      <c r="X299" s="131"/>
      <c r="Y299" s="131"/>
      <c r="Z299" s="131"/>
      <c r="AA299" s="131"/>
      <c r="AB299" s="131"/>
      <c r="AC299" s="131"/>
      <c r="AD299" s="131"/>
      <c r="AE299" s="131"/>
      <c r="AF299" s="158">
        <f t="shared" si="22"/>
        <v>0</v>
      </c>
      <c r="AG299" s="159"/>
      <c r="AH299" s="155"/>
      <c r="AI299" s="155" t="s">
        <v>83</v>
      </c>
      <c r="AJ299" s="131" t="str">
        <f>IFERROR(VLOOKUP(E299&amp;F299,'Listagem dos op'!A:S,19,0),"")</f>
        <v/>
      </c>
      <c r="AK299" s="131" t="str">
        <f t="shared" si="21"/>
        <v>Jan11183</v>
      </c>
      <c r="AL299" s="154" t="str">
        <f>IF(N299="","",IF(N299="SIM",VLOOKUP($I299&amp;$J299&amp;N$1,Pesos!$A:$I,7,FALSE),VLOOKUP($I299&amp;$J299&amp;N$1,Pesos!$A:$I,9,FALSE)))</f>
        <v/>
      </c>
      <c r="AM299" s="154" t="str">
        <f>IF(O299="","",IF(O299="SIM",VLOOKUP($I299&amp;$J299&amp;O$1,Pesos!$A:$I,7,FALSE),VLOOKUP($I299&amp;$J299&amp;O$1,Pesos!$A:$I,9,FALSE)))</f>
        <v/>
      </c>
      <c r="AN299" s="154" t="str">
        <f>IF(P299="","",IF(P299="SIM",VLOOKUP($I299&amp;$J299&amp;P$1,Pesos!$A:$I,7,FALSE),VLOOKUP($I299&amp;$J299&amp;P$1,Pesos!$A:$I,9,FALSE)))</f>
        <v/>
      </c>
      <c r="AO299" s="154" t="str">
        <f>IF(Q299="","",IF(Q299="SIM",VLOOKUP($I299&amp;$J299&amp;Q$1,Pesos!$A:$I,7,FALSE),VLOOKUP($I299&amp;$J299&amp;Q$1,Pesos!$A:$I,9,FALSE)))</f>
        <v/>
      </c>
      <c r="AP299" s="154" t="str">
        <f>IF(R299="","",IF(R299="SIM",VLOOKUP($I299&amp;$J299&amp;R$1,Pesos!$A:$I,7,FALSE),VLOOKUP($I299&amp;$J299&amp;R$1,Pesos!$A:$I,9,FALSE)))</f>
        <v/>
      </c>
      <c r="AQ299" s="154" t="str">
        <f>IF(S299="","",IF(S299="SIM",VLOOKUP($I299&amp;$J299&amp;S$1,Pesos!$A:$I,7,FALSE),VLOOKUP($I299&amp;$J299&amp;S$1,Pesos!$A:$I,9,FALSE)))</f>
        <v/>
      </c>
      <c r="AR299" s="156" t="str">
        <f>IF(T299="","",IF(T299="SIM",VLOOKUP($I299&amp;$J299&amp;T$1,Pesos!$A:$I,7,FALSE),VLOOKUP($I299&amp;$J299&amp;T$1,Pesos!$A:$I,9,FALSE)))</f>
        <v/>
      </c>
      <c r="AS299" s="132" t="str">
        <f>IF(U299="","",IF(U299="SIM",VLOOKUP($I299&amp;$J299&amp;U$1,Pesos!$A:$I,7,FALSE),VLOOKUP($I299&amp;$J299&amp;U$1,Pesos!$A:$I,9,FALSE)))</f>
        <v/>
      </c>
      <c r="AT299" s="132" t="str">
        <f>IF(V299="","",IF(V299="SIM",VLOOKUP($I299&amp;$J299&amp;V$1,Pesos!$A:$I,7,FALSE),VLOOKUP($I299&amp;$J299&amp;V$1,Pesos!$A:$I,9,FALSE)))</f>
        <v/>
      </c>
      <c r="AU299" s="132" t="str">
        <f>IF(W299="","",IF(W299="SIM",VLOOKUP($I299&amp;$J299&amp;W$1,Pesos!$A:$I,7,FALSE),VLOOKUP($I299&amp;$J299&amp;W$1,Pesos!$A:$I,9,FALSE)))</f>
        <v/>
      </c>
      <c r="AV299" s="132" t="str">
        <f>IF(X299="","",IF(X299="SIM",VLOOKUP($I299&amp;$J299&amp;X$1,Pesos!$A:$I,7,FALSE),VLOOKUP($I299&amp;$J299&amp;X$1,Pesos!$A:$I,9,FALSE)))</f>
        <v/>
      </c>
      <c r="AW299" s="132" t="str">
        <f>IF(Y299="","",IF(Y299="SIM",VLOOKUP($I299&amp;$J299&amp;Y$1,Pesos!$A:$I,7,FALSE),VLOOKUP($I299&amp;$J299&amp;Y$1,Pesos!$A:$I,9,FALSE)))</f>
        <v/>
      </c>
      <c r="AX299" s="132" t="str">
        <f>IF(Z299="","",IF(Z299="SIM",VLOOKUP($I299&amp;$J299&amp;Z$1,Pesos!$A:$I,7,FALSE),VLOOKUP($I299&amp;$J299&amp;Z$1,Pesos!$A:$I,9,FALSE)))</f>
        <v/>
      </c>
      <c r="AY299" s="132" t="str">
        <f>IF(AA299="","",IF(AA299="SIM",VLOOKUP($I299&amp;$J299&amp;AA$1,Pesos!$A:$I,7,FALSE),VLOOKUP($I299&amp;$J299&amp;AA$1,Pesos!$A:$I,9,FALSE)))</f>
        <v/>
      </c>
      <c r="AZ299" s="132" t="str">
        <f>IF(AB299="","",IF(AB299="SIM",VLOOKUP($I299&amp;$J299&amp;AB$1,Pesos!$A:$I,7,FALSE),VLOOKUP($I299&amp;$J299&amp;AB$1,Pesos!$A:$I,9,FALSE)))</f>
        <v/>
      </c>
      <c r="BA299" s="132" t="str">
        <f>IF(AC299="","",IF(AC299="SIM",VLOOKUP($I299&amp;$J299&amp;AC$1,Pesos!$A:$I,7,FALSE),VLOOKUP($I299&amp;$J299&amp;AC$1,Pesos!$A:$I,9,FALSE)))</f>
        <v/>
      </c>
      <c r="BB299" s="132" t="str">
        <f>IF(AD299="","",IF(AD299="SIM",VLOOKUP($I299&amp;$J299&amp;AD$1,Pesos!$A:$I,7,FALSE),VLOOKUP($I299&amp;$J299&amp;AD$1,Pesos!$A:$I,9,FALSE)))</f>
        <v/>
      </c>
      <c r="BC299" s="132" t="str">
        <f>IF(AE299="","",IF(AE299="SIM",VLOOKUP($I299&amp;$J299&amp;AE$1,Pesos!$A:$I,7,FALSE),VLOOKUP($I299&amp;$J299&amp;AE$1,Pesos!$A:$I,9,FALSE)))</f>
        <v/>
      </c>
      <c r="BD299" s="158" t="str">
        <f>IFERROR(AF299*VLOOKUP(J299,'BD Campos'!$X$1:$Y$14,2,FALSE),"0")</f>
        <v>0</v>
      </c>
    </row>
    <row r="300" spans="1:56">
      <c r="A300" s="151" t="str">
        <f t="shared" si="19"/>
        <v>Jan11183UTI</v>
      </c>
      <c r="B300" s="149" t="str">
        <f t="shared" si="20"/>
        <v>Jan111832UTIPADRÃO</v>
      </c>
      <c r="C300" s="152">
        <v>1</v>
      </c>
      <c r="D300" s="153">
        <v>46059.768286342594</v>
      </c>
      <c r="E300" s="154" t="s">
        <v>12</v>
      </c>
      <c r="F300" s="155">
        <v>11183</v>
      </c>
      <c r="G300" s="149" t="s">
        <v>519</v>
      </c>
      <c r="H300" s="154">
        <v>2</v>
      </c>
      <c r="I300" s="149" t="s">
        <v>485</v>
      </c>
      <c r="J300" s="149"/>
      <c r="K300" s="149" t="s">
        <v>128</v>
      </c>
      <c r="L300" s="156"/>
      <c r="M300" s="157"/>
      <c r="N300" s="131"/>
      <c r="O300" s="131"/>
      <c r="P300" s="131"/>
      <c r="Q300" s="131"/>
      <c r="R300" s="131"/>
      <c r="S300" s="131"/>
      <c r="T300" s="131"/>
      <c r="U300" s="131"/>
      <c r="V300" s="131"/>
      <c r="W300" s="131"/>
      <c r="X300" s="131"/>
      <c r="Y300" s="131"/>
      <c r="Z300" s="131"/>
      <c r="AA300" s="131"/>
      <c r="AB300" s="131"/>
      <c r="AC300" s="131"/>
      <c r="AD300" s="131"/>
      <c r="AE300" s="131"/>
      <c r="AF300" s="158">
        <f t="shared" si="22"/>
        <v>0</v>
      </c>
      <c r="AG300" s="159"/>
      <c r="AH300" s="155"/>
      <c r="AI300" s="155" t="s">
        <v>83</v>
      </c>
      <c r="AJ300" s="131" t="str">
        <f>IFERROR(VLOOKUP(E300&amp;F300,'Listagem dos op'!A:S,19,0),"")</f>
        <v/>
      </c>
      <c r="AK300" s="131" t="str">
        <f t="shared" si="21"/>
        <v>Jan11183</v>
      </c>
      <c r="AL300" s="154" t="str">
        <f>IF(N300="","",IF(N300="SIM",VLOOKUP($I300&amp;$J300&amp;N$1,Pesos!$A:$I,7,FALSE),VLOOKUP($I300&amp;$J300&amp;N$1,Pesos!$A:$I,9,FALSE)))</f>
        <v/>
      </c>
      <c r="AM300" s="154" t="str">
        <f>IF(O300="","",IF(O300="SIM",VLOOKUP($I300&amp;$J300&amp;O$1,Pesos!$A:$I,7,FALSE),VLOOKUP($I300&amp;$J300&amp;O$1,Pesos!$A:$I,9,FALSE)))</f>
        <v/>
      </c>
      <c r="AN300" s="154" t="str">
        <f>IF(P300="","",IF(P300="SIM",VLOOKUP($I300&amp;$J300&amp;P$1,Pesos!$A:$I,7,FALSE),VLOOKUP($I300&amp;$J300&amp;P$1,Pesos!$A:$I,9,FALSE)))</f>
        <v/>
      </c>
      <c r="AO300" s="154" t="str">
        <f>IF(Q300="","",IF(Q300="SIM",VLOOKUP($I300&amp;$J300&amp;Q$1,Pesos!$A:$I,7,FALSE),VLOOKUP($I300&amp;$J300&amp;Q$1,Pesos!$A:$I,9,FALSE)))</f>
        <v/>
      </c>
      <c r="AP300" s="154" t="str">
        <f>IF(R300="","",IF(R300="SIM",VLOOKUP($I300&amp;$J300&amp;R$1,Pesos!$A:$I,7,FALSE),VLOOKUP($I300&amp;$J300&amp;R$1,Pesos!$A:$I,9,FALSE)))</f>
        <v/>
      </c>
      <c r="AQ300" s="154" t="str">
        <f>IF(S300="","",IF(S300="SIM",VLOOKUP($I300&amp;$J300&amp;S$1,Pesos!$A:$I,7,FALSE),VLOOKUP($I300&amp;$J300&amp;S$1,Pesos!$A:$I,9,FALSE)))</f>
        <v/>
      </c>
      <c r="AR300" s="156" t="str">
        <f>IF(T300="","",IF(T300="SIM",VLOOKUP($I300&amp;$J300&amp;T$1,Pesos!$A:$I,7,FALSE),VLOOKUP($I300&amp;$J300&amp;T$1,Pesos!$A:$I,9,FALSE)))</f>
        <v/>
      </c>
      <c r="AS300" s="132" t="str">
        <f>IF(U300="","",IF(U300="SIM",VLOOKUP($I300&amp;$J300&amp;U$1,Pesos!$A:$I,7,FALSE),VLOOKUP($I300&amp;$J300&amp;U$1,Pesos!$A:$I,9,FALSE)))</f>
        <v/>
      </c>
      <c r="AT300" s="132" t="str">
        <f>IF(V300="","",IF(V300="SIM",VLOOKUP($I300&amp;$J300&amp;V$1,Pesos!$A:$I,7,FALSE),VLOOKUP($I300&amp;$J300&amp;V$1,Pesos!$A:$I,9,FALSE)))</f>
        <v/>
      </c>
      <c r="AU300" s="132" t="str">
        <f>IF(W300="","",IF(W300="SIM",VLOOKUP($I300&amp;$J300&amp;W$1,Pesos!$A:$I,7,FALSE),VLOOKUP($I300&amp;$J300&amp;W$1,Pesos!$A:$I,9,FALSE)))</f>
        <v/>
      </c>
      <c r="AV300" s="132" t="str">
        <f>IF(X300="","",IF(X300="SIM",VLOOKUP($I300&amp;$J300&amp;X$1,Pesos!$A:$I,7,FALSE),VLOOKUP($I300&amp;$J300&amp;X$1,Pesos!$A:$I,9,FALSE)))</f>
        <v/>
      </c>
      <c r="AW300" s="132" t="str">
        <f>IF(Y300="","",IF(Y300="SIM",VLOOKUP($I300&amp;$J300&amp;Y$1,Pesos!$A:$I,7,FALSE),VLOOKUP($I300&amp;$J300&amp;Y$1,Pesos!$A:$I,9,FALSE)))</f>
        <v/>
      </c>
      <c r="AX300" s="132" t="str">
        <f>IF(Z300="","",IF(Z300="SIM",VLOOKUP($I300&amp;$J300&amp;Z$1,Pesos!$A:$I,7,FALSE),VLOOKUP($I300&amp;$J300&amp;Z$1,Pesos!$A:$I,9,FALSE)))</f>
        <v/>
      </c>
      <c r="AY300" s="132" t="str">
        <f>IF(AA300="","",IF(AA300="SIM",VLOOKUP($I300&amp;$J300&amp;AA$1,Pesos!$A:$I,7,FALSE),VLOOKUP($I300&amp;$J300&amp;AA$1,Pesos!$A:$I,9,FALSE)))</f>
        <v/>
      </c>
      <c r="AZ300" s="132" t="str">
        <f>IF(AB300="","",IF(AB300="SIM",VLOOKUP($I300&amp;$J300&amp;AB$1,Pesos!$A:$I,7,FALSE),VLOOKUP($I300&amp;$J300&amp;AB$1,Pesos!$A:$I,9,FALSE)))</f>
        <v/>
      </c>
      <c r="BA300" s="132" t="str">
        <f>IF(AC300="","",IF(AC300="SIM",VLOOKUP($I300&amp;$J300&amp;AC$1,Pesos!$A:$I,7,FALSE),VLOOKUP($I300&amp;$J300&amp;AC$1,Pesos!$A:$I,9,FALSE)))</f>
        <v/>
      </c>
      <c r="BB300" s="132" t="str">
        <f>IF(AD300="","",IF(AD300="SIM",VLOOKUP($I300&amp;$J300&amp;AD$1,Pesos!$A:$I,7,FALSE),VLOOKUP($I300&amp;$J300&amp;AD$1,Pesos!$A:$I,9,FALSE)))</f>
        <v/>
      </c>
      <c r="BC300" s="132" t="str">
        <f>IF(AE300="","",IF(AE300="SIM",VLOOKUP($I300&amp;$J300&amp;AE$1,Pesos!$A:$I,7,FALSE),VLOOKUP($I300&amp;$J300&amp;AE$1,Pesos!$A:$I,9,FALSE)))</f>
        <v/>
      </c>
      <c r="BD300" s="158" t="str">
        <f>IFERROR(AF300*VLOOKUP(J300,'BD Campos'!$X$1:$Y$14,2,FALSE),"0")</f>
        <v>0</v>
      </c>
    </row>
    <row r="301" spans="1:56">
      <c r="A301" s="151" t="str">
        <f t="shared" si="19"/>
        <v>Jan10979PolíciaBAS</v>
      </c>
      <c r="B301" s="149" t="str">
        <f t="shared" si="20"/>
        <v>Jan109791BASPADRÃO</v>
      </c>
      <c r="C301" s="152">
        <v>1</v>
      </c>
      <c r="D301" s="153">
        <v>46059.77257951389</v>
      </c>
      <c r="E301" s="154" t="s">
        <v>12</v>
      </c>
      <c r="F301" s="155">
        <v>10979</v>
      </c>
      <c r="G301" s="149" t="s">
        <v>520</v>
      </c>
      <c r="H301" s="154">
        <v>1</v>
      </c>
      <c r="I301" s="149" t="s">
        <v>485</v>
      </c>
      <c r="J301" s="149" t="s">
        <v>222</v>
      </c>
      <c r="K301" s="149" t="s">
        <v>223</v>
      </c>
      <c r="L301" s="156"/>
      <c r="M301" s="157"/>
      <c r="N301" s="131"/>
      <c r="O301" s="131"/>
      <c r="P301" s="131"/>
      <c r="Q301" s="131"/>
      <c r="R301" s="131"/>
      <c r="S301" s="131"/>
      <c r="T301" s="131"/>
      <c r="U301" s="131"/>
      <c r="V301" s="131"/>
      <c r="W301" s="131"/>
      <c r="X301" s="131"/>
      <c r="Y301" s="131"/>
      <c r="Z301" s="131"/>
      <c r="AA301" s="131"/>
      <c r="AB301" s="131"/>
      <c r="AC301" s="131"/>
      <c r="AD301" s="131"/>
      <c r="AE301" s="131"/>
      <c r="AF301" s="158">
        <f t="shared" si="22"/>
        <v>0</v>
      </c>
      <c r="AG301" s="159"/>
      <c r="AH301" s="155"/>
      <c r="AI301" s="155" t="s">
        <v>83</v>
      </c>
      <c r="AJ301" s="131" t="str">
        <f>IFERROR(VLOOKUP(E301&amp;F301,'Listagem dos op'!A:S,19,0),"")</f>
        <v/>
      </c>
      <c r="AK301" s="131" t="str">
        <f t="shared" si="21"/>
        <v>Jan10979</v>
      </c>
      <c r="AL301" s="154" t="str">
        <f>IF(N301="","",IF(N301="SIM",VLOOKUP($I301&amp;$J301&amp;N$1,Pesos!$A:$I,7,FALSE),VLOOKUP($I301&amp;$J301&amp;N$1,Pesos!$A:$I,9,FALSE)))</f>
        <v/>
      </c>
      <c r="AM301" s="154" t="str">
        <f>IF(O301="","",IF(O301="SIM",VLOOKUP($I301&amp;$J301&amp;O$1,Pesos!$A:$I,7,FALSE),VLOOKUP($I301&amp;$J301&amp;O$1,Pesos!$A:$I,9,FALSE)))</f>
        <v/>
      </c>
      <c r="AN301" s="154" t="str">
        <f>IF(P301="","",IF(P301="SIM",VLOOKUP($I301&amp;$J301&amp;P$1,Pesos!$A:$I,7,FALSE),VLOOKUP($I301&amp;$J301&amp;P$1,Pesos!$A:$I,9,FALSE)))</f>
        <v/>
      </c>
      <c r="AO301" s="154" t="str">
        <f>IF(Q301="","",IF(Q301="SIM",VLOOKUP($I301&amp;$J301&amp;Q$1,Pesos!$A:$I,7,FALSE),VLOOKUP($I301&amp;$J301&amp;Q$1,Pesos!$A:$I,9,FALSE)))</f>
        <v/>
      </c>
      <c r="AP301" s="154" t="str">
        <f>IF(R301="","",IF(R301="SIM",VLOOKUP($I301&amp;$J301&amp;R$1,Pesos!$A:$I,7,FALSE),VLOOKUP($I301&amp;$J301&amp;R$1,Pesos!$A:$I,9,FALSE)))</f>
        <v/>
      </c>
      <c r="AQ301" s="154" t="str">
        <f>IF(S301="","",IF(S301="SIM",VLOOKUP($I301&amp;$J301&amp;S$1,Pesos!$A:$I,7,FALSE),VLOOKUP($I301&amp;$J301&amp;S$1,Pesos!$A:$I,9,FALSE)))</f>
        <v/>
      </c>
      <c r="AR301" s="156" t="str">
        <f>IF(T301="","",IF(T301="SIM",VLOOKUP($I301&amp;$J301&amp;T$1,Pesos!$A:$I,7,FALSE),VLOOKUP($I301&amp;$J301&amp;T$1,Pesos!$A:$I,9,FALSE)))</f>
        <v/>
      </c>
      <c r="AS301" s="132" t="str">
        <f>IF(U301="","",IF(U301="SIM",VLOOKUP($I301&amp;$J301&amp;U$1,Pesos!$A:$I,7,FALSE),VLOOKUP($I301&amp;$J301&amp;U$1,Pesos!$A:$I,9,FALSE)))</f>
        <v/>
      </c>
      <c r="AT301" s="132" t="str">
        <f>IF(V301="","",IF(V301="SIM",VLOOKUP($I301&amp;$J301&amp;V$1,Pesos!$A:$I,7,FALSE),VLOOKUP($I301&amp;$J301&amp;V$1,Pesos!$A:$I,9,FALSE)))</f>
        <v/>
      </c>
      <c r="AU301" s="132" t="str">
        <f>IF(W301="","",IF(W301="SIM",VLOOKUP($I301&amp;$J301&amp;W$1,Pesos!$A:$I,7,FALSE),VLOOKUP($I301&amp;$J301&amp;W$1,Pesos!$A:$I,9,FALSE)))</f>
        <v/>
      </c>
      <c r="AV301" s="132" t="str">
        <f>IF(X301="","",IF(X301="SIM",VLOOKUP($I301&amp;$J301&amp;X$1,Pesos!$A:$I,7,FALSE),VLOOKUP($I301&amp;$J301&amp;X$1,Pesos!$A:$I,9,FALSE)))</f>
        <v/>
      </c>
      <c r="AW301" s="132" t="str">
        <f>IF(Y301="","",IF(Y301="SIM",VLOOKUP($I301&amp;$J301&amp;Y$1,Pesos!$A:$I,7,FALSE),VLOOKUP($I301&amp;$J301&amp;Y$1,Pesos!$A:$I,9,FALSE)))</f>
        <v/>
      </c>
      <c r="AX301" s="132" t="str">
        <f>IF(Z301="","",IF(Z301="SIM",VLOOKUP($I301&amp;$J301&amp;Z$1,Pesos!$A:$I,7,FALSE),VLOOKUP($I301&amp;$J301&amp;Z$1,Pesos!$A:$I,9,FALSE)))</f>
        <v/>
      </c>
      <c r="AY301" s="132" t="str">
        <f>IF(AA301="","",IF(AA301="SIM",VLOOKUP($I301&amp;$J301&amp;AA$1,Pesos!$A:$I,7,FALSE),VLOOKUP($I301&amp;$J301&amp;AA$1,Pesos!$A:$I,9,FALSE)))</f>
        <v/>
      </c>
      <c r="AZ301" s="132" t="str">
        <f>IF(AB301="","",IF(AB301="SIM",VLOOKUP($I301&amp;$J301&amp;AB$1,Pesos!$A:$I,7,FALSE),VLOOKUP($I301&amp;$J301&amp;AB$1,Pesos!$A:$I,9,FALSE)))</f>
        <v/>
      </c>
      <c r="BA301" s="132" t="str">
        <f>IF(AC301="","",IF(AC301="SIM",VLOOKUP($I301&amp;$J301&amp;AC$1,Pesos!$A:$I,7,FALSE),VLOOKUP($I301&amp;$J301&amp;AC$1,Pesos!$A:$I,9,FALSE)))</f>
        <v/>
      </c>
      <c r="BB301" s="132" t="str">
        <f>IF(AD301="","",IF(AD301="SIM",VLOOKUP($I301&amp;$J301&amp;AD$1,Pesos!$A:$I,7,FALSE),VLOOKUP($I301&amp;$J301&amp;AD$1,Pesos!$A:$I,9,FALSE)))</f>
        <v/>
      </c>
      <c r="BC301" s="132" t="str">
        <f>IF(AE301="","",IF(AE301="SIM",VLOOKUP($I301&amp;$J301&amp;AE$1,Pesos!$A:$I,7,FALSE),VLOOKUP($I301&amp;$J301&amp;AE$1,Pesos!$A:$I,9,FALSE)))</f>
        <v/>
      </c>
      <c r="BD301" s="158" t="str">
        <f>IFERROR(AF301*VLOOKUP(J301,'BD Campos'!$X$1:$Y$14,2,FALSE),"0")</f>
        <v>0</v>
      </c>
    </row>
    <row r="302" spans="1:56">
      <c r="A302" s="151" t="str">
        <f t="shared" si="19"/>
        <v>Jan10979Polícia 2BAS</v>
      </c>
      <c r="B302" s="149" t="str">
        <f t="shared" si="20"/>
        <v>Jan109792BASPADRÃO</v>
      </c>
      <c r="C302" s="152">
        <v>1</v>
      </c>
      <c r="D302" s="153">
        <v>46059.772641550924</v>
      </c>
      <c r="E302" s="154" t="s">
        <v>12</v>
      </c>
      <c r="F302" s="155">
        <v>10979</v>
      </c>
      <c r="G302" s="149" t="s">
        <v>520</v>
      </c>
      <c r="H302" s="154">
        <v>2</v>
      </c>
      <c r="I302" s="149" t="s">
        <v>485</v>
      </c>
      <c r="J302" s="149" t="s">
        <v>225</v>
      </c>
      <c r="K302" s="149" t="s">
        <v>223</v>
      </c>
      <c r="L302" s="156"/>
      <c r="M302" s="157"/>
      <c r="N302" s="131"/>
      <c r="O302" s="131"/>
      <c r="P302" s="131"/>
      <c r="Q302" s="131"/>
      <c r="R302" s="131"/>
      <c r="S302" s="131"/>
      <c r="T302" s="131"/>
      <c r="U302" s="131"/>
      <c r="V302" s="131"/>
      <c r="W302" s="131"/>
      <c r="X302" s="131"/>
      <c r="Y302" s="131"/>
      <c r="Z302" s="131"/>
      <c r="AA302" s="131"/>
      <c r="AB302" s="131"/>
      <c r="AC302" s="131"/>
      <c r="AD302" s="131"/>
      <c r="AE302" s="131"/>
      <c r="AF302" s="158">
        <f t="shared" si="22"/>
        <v>0</v>
      </c>
      <c r="AG302" s="159"/>
      <c r="AH302" s="155"/>
      <c r="AI302" s="155" t="s">
        <v>83</v>
      </c>
      <c r="AJ302" s="131" t="str">
        <f>IFERROR(VLOOKUP(E302&amp;F302,'Listagem dos op'!A:S,19,0),"")</f>
        <v/>
      </c>
      <c r="AK302" s="131" t="str">
        <f t="shared" si="21"/>
        <v>Jan10979</v>
      </c>
      <c r="AL302" s="154" t="str">
        <f>IF(N302="","",IF(N302="SIM",VLOOKUP($I302&amp;$J302&amp;N$1,Pesos!$A:$I,7,FALSE),VLOOKUP($I302&amp;$J302&amp;N$1,Pesos!$A:$I,9,FALSE)))</f>
        <v/>
      </c>
      <c r="AM302" s="154" t="str">
        <f>IF(O302="","",IF(O302="SIM",VLOOKUP($I302&amp;$J302&amp;O$1,Pesos!$A:$I,7,FALSE),VLOOKUP($I302&amp;$J302&amp;O$1,Pesos!$A:$I,9,FALSE)))</f>
        <v/>
      </c>
      <c r="AN302" s="154" t="str">
        <f>IF(P302="","",IF(P302="SIM",VLOOKUP($I302&amp;$J302&amp;P$1,Pesos!$A:$I,7,FALSE),VLOOKUP($I302&amp;$J302&amp;P$1,Pesos!$A:$I,9,FALSE)))</f>
        <v/>
      </c>
      <c r="AO302" s="154" t="str">
        <f>IF(Q302="","",IF(Q302="SIM",VLOOKUP($I302&amp;$J302&amp;Q$1,Pesos!$A:$I,7,FALSE),VLOOKUP($I302&amp;$J302&amp;Q$1,Pesos!$A:$I,9,FALSE)))</f>
        <v/>
      </c>
      <c r="AP302" s="154" t="str">
        <f>IF(R302="","",IF(R302="SIM",VLOOKUP($I302&amp;$J302&amp;R$1,Pesos!$A:$I,7,FALSE),VLOOKUP($I302&amp;$J302&amp;R$1,Pesos!$A:$I,9,FALSE)))</f>
        <v/>
      </c>
      <c r="AQ302" s="154" t="str">
        <f>IF(S302="","",IF(S302="SIM",VLOOKUP($I302&amp;$J302&amp;S$1,Pesos!$A:$I,7,FALSE),VLOOKUP($I302&amp;$J302&amp;S$1,Pesos!$A:$I,9,FALSE)))</f>
        <v/>
      </c>
      <c r="AR302" s="156" t="str">
        <f>IF(T302="","",IF(T302="SIM",VLOOKUP($I302&amp;$J302&amp;T$1,Pesos!$A:$I,7,FALSE),VLOOKUP($I302&amp;$J302&amp;T$1,Pesos!$A:$I,9,FALSE)))</f>
        <v/>
      </c>
      <c r="AS302" s="132" t="str">
        <f>IF(U302="","",IF(U302="SIM",VLOOKUP($I302&amp;$J302&amp;U$1,Pesos!$A:$I,7,FALSE),VLOOKUP($I302&amp;$J302&amp;U$1,Pesos!$A:$I,9,FALSE)))</f>
        <v/>
      </c>
      <c r="AT302" s="132" t="str">
        <f>IF(V302="","",IF(V302="SIM",VLOOKUP($I302&amp;$J302&amp;V$1,Pesos!$A:$I,7,FALSE),VLOOKUP($I302&amp;$J302&amp;V$1,Pesos!$A:$I,9,FALSE)))</f>
        <v/>
      </c>
      <c r="AU302" s="132" t="str">
        <f>IF(W302="","",IF(W302="SIM",VLOOKUP($I302&amp;$J302&amp;W$1,Pesos!$A:$I,7,FALSE),VLOOKUP($I302&amp;$J302&amp;W$1,Pesos!$A:$I,9,FALSE)))</f>
        <v/>
      </c>
      <c r="AV302" s="132" t="str">
        <f>IF(X302="","",IF(X302="SIM",VLOOKUP($I302&amp;$J302&amp;X$1,Pesos!$A:$I,7,FALSE),VLOOKUP($I302&amp;$J302&amp;X$1,Pesos!$A:$I,9,FALSE)))</f>
        <v/>
      </c>
      <c r="AW302" s="132" t="str">
        <f>IF(Y302="","",IF(Y302="SIM",VLOOKUP($I302&amp;$J302&amp;Y$1,Pesos!$A:$I,7,FALSE),VLOOKUP($I302&amp;$J302&amp;Y$1,Pesos!$A:$I,9,FALSE)))</f>
        <v/>
      </c>
      <c r="AX302" s="132" t="str">
        <f>IF(Z302="","",IF(Z302="SIM",VLOOKUP($I302&amp;$J302&amp;Z$1,Pesos!$A:$I,7,FALSE),VLOOKUP($I302&amp;$J302&amp;Z$1,Pesos!$A:$I,9,FALSE)))</f>
        <v/>
      </c>
      <c r="AY302" s="132" t="str">
        <f>IF(AA302="","",IF(AA302="SIM",VLOOKUP($I302&amp;$J302&amp;AA$1,Pesos!$A:$I,7,FALSE),VLOOKUP($I302&amp;$J302&amp;AA$1,Pesos!$A:$I,9,FALSE)))</f>
        <v/>
      </c>
      <c r="AZ302" s="132" t="str">
        <f>IF(AB302="","",IF(AB302="SIM",VLOOKUP($I302&amp;$J302&amp;AB$1,Pesos!$A:$I,7,FALSE),VLOOKUP($I302&amp;$J302&amp;AB$1,Pesos!$A:$I,9,FALSE)))</f>
        <v/>
      </c>
      <c r="BA302" s="132" t="str">
        <f>IF(AC302="","",IF(AC302="SIM",VLOOKUP($I302&amp;$J302&amp;AC$1,Pesos!$A:$I,7,FALSE),VLOOKUP($I302&amp;$J302&amp;AC$1,Pesos!$A:$I,9,FALSE)))</f>
        <v/>
      </c>
      <c r="BB302" s="132" t="str">
        <f>IF(AD302="","",IF(AD302="SIM",VLOOKUP($I302&amp;$J302&amp;AD$1,Pesos!$A:$I,7,FALSE),VLOOKUP($I302&amp;$J302&amp;AD$1,Pesos!$A:$I,9,FALSE)))</f>
        <v/>
      </c>
      <c r="BC302" s="132" t="str">
        <f>IF(AE302="","",IF(AE302="SIM",VLOOKUP($I302&amp;$J302&amp;AE$1,Pesos!$A:$I,7,FALSE),VLOOKUP($I302&amp;$J302&amp;AE$1,Pesos!$A:$I,9,FALSE)))</f>
        <v/>
      </c>
      <c r="BD302" s="158" t="str">
        <f>IFERROR(AF302*VLOOKUP(J302,'BD Campos'!$X$1:$Y$14,2,FALSE),"0")</f>
        <v>0</v>
      </c>
    </row>
    <row r="303" spans="1:56">
      <c r="A303" s="151" t="str">
        <f t="shared" si="19"/>
        <v>Jan10788UTI (RJ)</v>
      </c>
      <c r="B303" s="149" t="str">
        <f t="shared" si="20"/>
        <v>Jan107881UTI (RJ)PADRÃO</v>
      </c>
      <c r="C303" s="152">
        <v>1</v>
      </c>
      <c r="D303" s="153">
        <v>46059.773063078705</v>
      </c>
      <c r="E303" s="154" t="s">
        <v>12</v>
      </c>
      <c r="F303" s="155">
        <v>10788</v>
      </c>
      <c r="G303" s="149" t="s">
        <v>521</v>
      </c>
      <c r="H303" s="154">
        <v>1</v>
      </c>
      <c r="I303" s="149" t="s">
        <v>485</v>
      </c>
      <c r="J303" s="149"/>
      <c r="K303" s="149" t="s">
        <v>215</v>
      </c>
      <c r="L303" s="156"/>
      <c r="M303" s="157"/>
      <c r="N303" s="131"/>
      <c r="O303" s="131"/>
      <c r="P303" s="131"/>
      <c r="Q303" s="131"/>
      <c r="R303" s="131"/>
      <c r="S303" s="131"/>
      <c r="T303" s="131"/>
      <c r="U303" s="131"/>
      <c r="V303" s="131"/>
      <c r="W303" s="131"/>
      <c r="X303" s="131"/>
      <c r="Y303" s="131"/>
      <c r="Z303" s="131"/>
      <c r="AA303" s="131"/>
      <c r="AB303" s="131"/>
      <c r="AC303" s="131"/>
      <c r="AD303" s="131"/>
      <c r="AE303" s="131"/>
      <c r="AF303" s="158">
        <f t="shared" si="22"/>
        <v>0</v>
      </c>
      <c r="AG303" s="159"/>
      <c r="AH303" s="155"/>
      <c r="AI303" s="155" t="s">
        <v>83</v>
      </c>
      <c r="AJ303" s="131" t="str">
        <f>IFERROR(VLOOKUP(E303&amp;F303,'Listagem dos op'!A:S,19,0),"")</f>
        <v/>
      </c>
      <c r="AK303" s="131" t="str">
        <f t="shared" si="21"/>
        <v>Jan10788</v>
      </c>
      <c r="AL303" s="154" t="str">
        <f>IF(N303="","",IF(N303="SIM",VLOOKUP($I303&amp;$J303&amp;N$1,Pesos!$A:$I,7,FALSE),VLOOKUP($I303&amp;$J303&amp;N$1,Pesos!$A:$I,9,FALSE)))</f>
        <v/>
      </c>
      <c r="AM303" s="154" t="str">
        <f>IF(O303="","",IF(O303="SIM",VLOOKUP($I303&amp;$J303&amp;O$1,Pesos!$A:$I,7,FALSE),VLOOKUP($I303&amp;$J303&amp;O$1,Pesos!$A:$I,9,FALSE)))</f>
        <v/>
      </c>
      <c r="AN303" s="154" t="str">
        <f>IF(P303="","",IF(P303="SIM",VLOOKUP($I303&amp;$J303&amp;P$1,Pesos!$A:$I,7,FALSE),VLOOKUP($I303&amp;$J303&amp;P$1,Pesos!$A:$I,9,FALSE)))</f>
        <v/>
      </c>
      <c r="AO303" s="154" t="str">
        <f>IF(Q303="","",IF(Q303="SIM",VLOOKUP($I303&amp;$J303&amp;Q$1,Pesos!$A:$I,7,FALSE),VLOOKUP($I303&amp;$J303&amp;Q$1,Pesos!$A:$I,9,FALSE)))</f>
        <v/>
      </c>
      <c r="AP303" s="154" t="str">
        <f>IF(R303="","",IF(R303="SIM",VLOOKUP($I303&amp;$J303&amp;R$1,Pesos!$A:$I,7,FALSE),VLOOKUP($I303&amp;$J303&amp;R$1,Pesos!$A:$I,9,FALSE)))</f>
        <v/>
      </c>
      <c r="AQ303" s="154" t="str">
        <f>IF(S303="","",IF(S303="SIM",VLOOKUP($I303&amp;$J303&amp;S$1,Pesos!$A:$I,7,FALSE),VLOOKUP($I303&amp;$J303&amp;S$1,Pesos!$A:$I,9,FALSE)))</f>
        <v/>
      </c>
      <c r="AR303" s="156" t="str">
        <f>IF(T303="","",IF(T303="SIM",VLOOKUP($I303&amp;$J303&amp;T$1,Pesos!$A:$I,7,FALSE),VLOOKUP($I303&amp;$J303&amp;T$1,Pesos!$A:$I,9,FALSE)))</f>
        <v/>
      </c>
      <c r="AS303" s="132" t="str">
        <f>IF(U303="","",IF(U303="SIM",VLOOKUP($I303&amp;$J303&amp;U$1,Pesos!$A:$I,7,FALSE),VLOOKUP($I303&amp;$J303&amp;U$1,Pesos!$A:$I,9,FALSE)))</f>
        <v/>
      </c>
      <c r="AT303" s="132" t="str">
        <f>IF(V303="","",IF(V303="SIM",VLOOKUP($I303&amp;$J303&amp;V$1,Pesos!$A:$I,7,FALSE),VLOOKUP($I303&amp;$J303&amp;V$1,Pesos!$A:$I,9,FALSE)))</f>
        <v/>
      </c>
      <c r="AU303" s="132" t="str">
        <f>IF(W303="","",IF(W303="SIM",VLOOKUP($I303&amp;$J303&amp;W$1,Pesos!$A:$I,7,FALSE),VLOOKUP($I303&amp;$J303&amp;W$1,Pesos!$A:$I,9,FALSE)))</f>
        <v/>
      </c>
      <c r="AV303" s="132" t="str">
        <f>IF(X303="","",IF(X303="SIM",VLOOKUP($I303&amp;$J303&amp;X$1,Pesos!$A:$I,7,FALSE),VLOOKUP($I303&amp;$J303&amp;X$1,Pesos!$A:$I,9,FALSE)))</f>
        <v/>
      </c>
      <c r="AW303" s="132" t="str">
        <f>IF(Y303="","",IF(Y303="SIM",VLOOKUP($I303&amp;$J303&amp;Y$1,Pesos!$A:$I,7,FALSE),VLOOKUP($I303&amp;$J303&amp;Y$1,Pesos!$A:$I,9,FALSE)))</f>
        <v/>
      </c>
      <c r="AX303" s="132" t="str">
        <f>IF(Z303="","",IF(Z303="SIM",VLOOKUP($I303&amp;$J303&amp;Z$1,Pesos!$A:$I,7,FALSE),VLOOKUP($I303&amp;$J303&amp;Z$1,Pesos!$A:$I,9,FALSE)))</f>
        <v/>
      </c>
      <c r="AY303" s="132" t="str">
        <f>IF(AA303="","",IF(AA303="SIM",VLOOKUP($I303&amp;$J303&amp;AA$1,Pesos!$A:$I,7,FALSE),VLOOKUP($I303&amp;$J303&amp;AA$1,Pesos!$A:$I,9,FALSE)))</f>
        <v/>
      </c>
      <c r="AZ303" s="132" t="str">
        <f>IF(AB303="","",IF(AB303="SIM",VLOOKUP($I303&amp;$J303&amp;AB$1,Pesos!$A:$I,7,FALSE),VLOOKUP($I303&amp;$J303&amp;AB$1,Pesos!$A:$I,9,FALSE)))</f>
        <v/>
      </c>
      <c r="BA303" s="132" t="str">
        <f>IF(AC303="","",IF(AC303="SIM",VLOOKUP($I303&amp;$J303&amp;AC$1,Pesos!$A:$I,7,FALSE),VLOOKUP($I303&amp;$J303&amp;AC$1,Pesos!$A:$I,9,FALSE)))</f>
        <v/>
      </c>
      <c r="BB303" s="132" t="str">
        <f>IF(AD303="","",IF(AD303="SIM",VLOOKUP($I303&amp;$J303&amp;AD$1,Pesos!$A:$I,7,FALSE),VLOOKUP($I303&amp;$J303&amp;AD$1,Pesos!$A:$I,9,FALSE)))</f>
        <v/>
      </c>
      <c r="BC303" s="132" t="str">
        <f>IF(AE303="","",IF(AE303="SIM",VLOOKUP($I303&amp;$J303&amp;AE$1,Pesos!$A:$I,7,FALSE),VLOOKUP($I303&amp;$J303&amp;AE$1,Pesos!$A:$I,9,FALSE)))</f>
        <v/>
      </c>
      <c r="BD303" s="158" t="str">
        <f>IFERROR(AF303*VLOOKUP(J303,'BD Campos'!$X$1:$Y$14,2,FALSE),"0")</f>
        <v>0</v>
      </c>
    </row>
    <row r="304" spans="1:56">
      <c r="A304" s="151" t="str">
        <f t="shared" si="19"/>
        <v>Jan10788UTI (RJ)</v>
      </c>
      <c r="B304" s="149" t="str">
        <f t="shared" si="20"/>
        <v>Jan107882UTI (RJ)PADRÃO</v>
      </c>
      <c r="C304" s="152">
        <v>1</v>
      </c>
      <c r="D304" s="153">
        <v>46059.77308634259</v>
      </c>
      <c r="E304" s="154" t="s">
        <v>12</v>
      </c>
      <c r="F304" s="155">
        <v>10788</v>
      </c>
      <c r="G304" s="149" t="s">
        <v>521</v>
      </c>
      <c r="H304" s="154">
        <v>2</v>
      </c>
      <c r="I304" s="149" t="s">
        <v>485</v>
      </c>
      <c r="J304" s="149"/>
      <c r="K304" s="149" t="s">
        <v>215</v>
      </c>
      <c r="L304" s="156"/>
      <c r="M304" s="157"/>
      <c r="N304" s="131"/>
      <c r="O304" s="131"/>
      <c r="P304" s="131"/>
      <c r="Q304" s="131"/>
      <c r="R304" s="131"/>
      <c r="S304" s="131"/>
      <c r="T304" s="131"/>
      <c r="U304" s="131"/>
      <c r="V304" s="131"/>
      <c r="W304" s="131"/>
      <c r="X304" s="131"/>
      <c r="Y304" s="131"/>
      <c r="Z304" s="131"/>
      <c r="AA304" s="131"/>
      <c r="AB304" s="131"/>
      <c r="AC304" s="131"/>
      <c r="AD304" s="131"/>
      <c r="AE304" s="131"/>
      <c r="AF304" s="158">
        <f t="shared" si="22"/>
        <v>0</v>
      </c>
      <c r="AG304" s="159"/>
      <c r="AH304" s="155"/>
      <c r="AI304" s="155" t="s">
        <v>83</v>
      </c>
      <c r="AJ304" s="131" t="str">
        <f>IFERROR(VLOOKUP(E304&amp;F304,'Listagem dos op'!A:S,19,0),"")</f>
        <v/>
      </c>
      <c r="AK304" s="131" t="str">
        <f t="shared" si="21"/>
        <v>Jan10788</v>
      </c>
      <c r="AL304" s="154" t="str">
        <f>IF(N304="","",IF(N304="SIM",VLOOKUP($I304&amp;$J304&amp;N$1,Pesos!$A:$I,7,FALSE),VLOOKUP($I304&amp;$J304&amp;N$1,Pesos!$A:$I,9,FALSE)))</f>
        <v/>
      </c>
      <c r="AM304" s="154" t="str">
        <f>IF(O304="","",IF(O304="SIM",VLOOKUP($I304&amp;$J304&amp;O$1,Pesos!$A:$I,7,FALSE),VLOOKUP($I304&amp;$J304&amp;O$1,Pesos!$A:$I,9,FALSE)))</f>
        <v/>
      </c>
      <c r="AN304" s="154" t="str">
        <f>IF(P304="","",IF(P304="SIM",VLOOKUP($I304&amp;$J304&amp;P$1,Pesos!$A:$I,7,FALSE),VLOOKUP($I304&amp;$J304&amp;P$1,Pesos!$A:$I,9,FALSE)))</f>
        <v/>
      </c>
      <c r="AO304" s="154" t="str">
        <f>IF(Q304="","",IF(Q304="SIM",VLOOKUP($I304&amp;$J304&amp;Q$1,Pesos!$A:$I,7,FALSE),VLOOKUP($I304&amp;$J304&amp;Q$1,Pesos!$A:$I,9,FALSE)))</f>
        <v/>
      </c>
      <c r="AP304" s="154" t="str">
        <f>IF(R304="","",IF(R304="SIM",VLOOKUP($I304&amp;$J304&amp;R$1,Pesos!$A:$I,7,FALSE),VLOOKUP($I304&amp;$J304&amp;R$1,Pesos!$A:$I,9,FALSE)))</f>
        <v/>
      </c>
      <c r="AQ304" s="154" t="str">
        <f>IF(S304="","",IF(S304="SIM",VLOOKUP($I304&amp;$J304&amp;S$1,Pesos!$A:$I,7,FALSE),VLOOKUP($I304&amp;$J304&amp;S$1,Pesos!$A:$I,9,FALSE)))</f>
        <v/>
      </c>
      <c r="AR304" s="156" t="str">
        <f>IF(T304="","",IF(T304="SIM",VLOOKUP($I304&amp;$J304&amp;T$1,Pesos!$A:$I,7,FALSE),VLOOKUP($I304&amp;$J304&amp;T$1,Pesos!$A:$I,9,FALSE)))</f>
        <v/>
      </c>
      <c r="AS304" s="132" t="str">
        <f>IF(U304="","",IF(U304="SIM",VLOOKUP($I304&amp;$J304&amp;U$1,Pesos!$A:$I,7,FALSE),VLOOKUP($I304&amp;$J304&amp;U$1,Pesos!$A:$I,9,FALSE)))</f>
        <v/>
      </c>
      <c r="AT304" s="132" t="str">
        <f>IF(V304="","",IF(V304="SIM",VLOOKUP($I304&amp;$J304&amp;V$1,Pesos!$A:$I,7,FALSE),VLOOKUP($I304&amp;$J304&amp;V$1,Pesos!$A:$I,9,FALSE)))</f>
        <v/>
      </c>
      <c r="AU304" s="132" t="str">
        <f>IF(W304="","",IF(W304="SIM",VLOOKUP($I304&amp;$J304&amp;W$1,Pesos!$A:$I,7,FALSE),VLOOKUP($I304&amp;$J304&amp;W$1,Pesos!$A:$I,9,FALSE)))</f>
        <v/>
      </c>
      <c r="AV304" s="132" t="str">
        <f>IF(X304="","",IF(X304="SIM",VLOOKUP($I304&amp;$J304&amp;X$1,Pesos!$A:$I,7,FALSE),VLOOKUP($I304&amp;$J304&amp;X$1,Pesos!$A:$I,9,FALSE)))</f>
        <v/>
      </c>
      <c r="AW304" s="132" t="str">
        <f>IF(Y304="","",IF(Y304="SIM",VLOOKUP($I304&amp;$J304&amp;Y$1,Pesos!$A:$I,7,FALSE),VLOOKUP($I304&amp;$J304&amp;Y$1,Pesos!$A:$I,9,FALSE)))</f>
        <v/>
      </c>
      <c r="AX304" s="132" t="str">
        <f>IF(Z304="","",IF(Z304="SIM",VLOOKUP($I304&amp;$J304&amp;Z$1,Pesos!$A:$I,7,FALSE),VLOOKUP($I304&amp;$J304&amp;Z$1,Pesos!$A:$I,9,FALSE)))</f>
        <v/>
      </c>
      <c r="AY304" s="132" t="str">
        <f>IF(AA304="","",IF(AA304="SIM",VLOOKUP($I304&amp;$J304&amp;AA$1,Pesos!$A:$I,7,FALSE),VLOOKUP($I304&amp;$J304&amp;AA$1,Pesos!$A:$I,9,FALSE)))</f>
        <v/>
      </c>
      <c r="AZ304" s="132" t="str">
        <f>IF(AB304="","",IF(AB304="SIM",VLOOKUP($I304&amp;$J304&amp;AB$1,Pesos!$A:$I,7,FALSE),VLOOKUP($I304&amp;$J304&amp;AB$1,Pesos!$A:$I,9,FALSE)))</f>
        <v/>
      </c>
      <c r="BA304" s="132" t="str">
        <f>IF(AC304="","",IF(AC304="SIM",VLOOKUP($I304&amp;$J304&amp;AC$1,Pesos!$A:$I,7,FALSE),VLOOKUP($I304&amp;$J304&amp;AC$1,Pesos!$A:$I,9,FALSE)))</f>
        <v/>
      </c>
      <c r="BB304" s="132" t="str">
        <f>IF(AD304="","",IF(AD304="SIM",VLOOKUP($I304&amp;$J304&amp;AD$1,Pesos!$A:$I,7,FALSE),VLOOKUP($I304&amp;$J304&amp;AD$1,Pesos!$A:$I,9,FALSE)))</f>
        <v/>
      </c>
      <c r="BC304" s="132" t="str">
        <f>IF(AE304="","",IF(AE304="SIM",VLOOKUP($I304&amp;$J304&amp;AE$1,Pesos!$A:$I,7,FALSE),VLOOKUP($I304&amp;$J304&amp;AE$1,Pesos!$A:$I,9,FALSE)))</f>
        <v/>
      </c>
      <c r="BD304" s="158" t="str">
        <f>IFERROR(AF304*VLOOKUP(J304,'BD Campos'!$X$1:$Y$14,2,FALSE),"0")</f>
        <v>0</v>
      </c>
    </row>
    <row r="305" spans="1:56">
      <c r="A305" s="151" t="str">
        <f t="shared" si="19"/>
        <v>Jan10907PolíciaBAS</v>
      </c>
      <c r="B305" s="149" t="str">
        <f t="shared" si="20"/>
        <v>Jan109071BASPADRÃO</v>
      </c>
      <c r="C305" s="152">
        <v>1</v>
      </c>
      <c r="D305" s="153">
        <v>46059.773396643519</v>
      </c>
      <c r="E305" s="154" t="s">
        <v>12</v>
      </c>
      <c r="F305" s="155">
        <v>10907</v>
      </c>
      <c r="G305" s="149" t="s">
        <v>522</v>
      </c>
      <c r="H305" s="154">
        <v>1</v>
      </c>
      <c r="I305" s="149" t="s">
        <v>485</v>
      </c>
      <c r="J305" s="149" t="s">
        <v>222</v>
      </c>
      <c r="K305" s="149" t="s">
        <v>223</v>
      </c>
      <c r="L305" s="156"/>
      <c r="M305" s="157"/>
      <c r="N305" s="131"/>
      <c r="O305" s="131"/>
      <c r="P305" s="131"/>
      <c r="Q305" s="131"/>
      <c r="R305" s="131"/>
      <c r="S305" s="131"/>
      <c r="T305" s="131"/>
      <c r="U305" s="131"/>
      <c r="V305" s="131"/>
      <c r="W305" s="131"/>
      <c r="X305" s="131"/>
      <c r="Y305" s="131"/>
      <c r="Z305" s="131"/>
      <c r="AA305" s="131"/>
      <c r="AB305" s="131"/>
      <c r="AC305" s="131"/>
      <c r="AD305" s="131"/>
      <c r="AE305" s="131"/>
      <c r="AF305" s="158">
        <f t="shared" si="22"/>
        <v>0</v>
      </c>
      <c r="AG305" s="159"/>
      <c r="AH305" s="155"/>
      <c r="AI305" s="155" t="s">
        <v>83</v>
      </c>
      <c r="AJ305" s="131" t="str">
        <f>IFERROR(VLOOKUP(E305&amp;F305,'Listagem dos op'!A:S,19,0),"")</f>
        <v/>
      </c>
      <c r="AK305" s="131" t="str">
        <f t="shared" si="21"/>
        <v>Jan10907</v>
      </c>
      <c r="AL305" s="154" t="str">
        <f>IF(N305="","",IF(N305="SIM",VLOOKUP($I305&amp;$J305&amp;N$1,Pesos!$A:$I,7,FALSE),VLOOKUP($I305&amp;$J305&amp;N$1,Pesos!$A:$I,9,FALSE)))</f>
        <v/>
      </c>
      <c r="AM305" s="154" t="str">
        <f>IF(O305="","",IF(O305="SIM",VLOOKUP($I305&amp;$J305&amp;O$1,Pesos!$A:$I,7,FALSE),VLOOKUP($I305&amp;$J305&amp;O$1,Pesos!$A:$I,9,FALSE)))</f>
        <v/>
      </c>
      <c r="AN305" s="154" t="str">
        <f>IF(P305="","",IF(P305="SIM",VLOOKUP($I305&amp;$J305&amp;P$1,Pesos!$A:$I,7,FALSE),VLOOKUP($I305&amp;$J305&amp;P$1,Pesos!$A:$I,9,FALSE)))</f>
        <v/>
      </c>
      <c r="AO305" s="154" t="str">
        <f>IF(Q305="","",IF(Q305="SIM",VLOOKUP($I305&amp;$J305&amp;Q$1,Pesos!$A:$I,7,FALSE),VLOOKUP($I305&amp;$J305&amp;Q$1,Pesos!$A:$I,9,FALSE)))</f>
        <v/>
      </c>
      <c r="AP305" s="154" t="str">
        <f>IF(R305="","",IF(R305="SIM",VLOOKUP($I305&amp;$J305&amp;R$1,Pesos!$A:$I,7,FALSE),VLOOKUP($I305&amp;$J305&amp;R$1,Pesos!$A:$I,9,FALSE)))</f>
        <v/>
      </c>
      <c r="AQ305" s="154" t="str">
        <f>IF(S305="","",IF(S305="SIM",VLOOKUP($I305&amp;$J305&amp;S$1,Pesos!$A:$I,7,FALSE),VLOOKUP($I305&amp;$J305&amp;S$1,Pesos!$A:$I,9,FALSE)))</f>
        <v/>
      </c>
      <c r="AR305" s="156" t="str">
        <f>IF(T305="","",IF(T305="SIM",VLOOKUP($I305&amp;$J305&amp;T$1,Pesos!$A:$I,7,FALSE),VLOOKUP($I305&amp;$J305&amp;T$1,Pesos!$A:$I,9,FALSE)))</f>
        <v/>
      </c>
      <c r="AS305" s="132" t="str">
        <f>IF(U305="","",IF(U305="SIM",VLOOKUP($I305&amp;$J305&amp;U$1,Pesos!$A:$I,7,FALSE),VLOOKUP($I305&amp;$J305&amp;U$1,Pesos!$A:$I,9,FALSE)))</f>
        <v/>
      </c>
      <c r="AT305" s="132" t="str">
        <f>IF(V305="","",IF(V305="SIM",VLOOKUP($I305&amp;$J305&amp;V$1,Pesos!$A:$I,7,FALSE),VLOOKUP($I305&amp;$J305&amp;V$1,Pesos!$A:$I,9,FALSE)))</f>
        <v/>
      </c>
      <c r="AU305" s="132" t="str">
        <f>IF(W305="","",IF(W305="SIM",VLOOKUP($I305&amp;$J305&amp;W$1,Pesos!$A:$I,7,FALSE),VLOOKUP($I305&amp;$J305&amp;W$1,Pesos!$A:$I,9,FALSE)))</f>
        <v/>
      </c>
      <c r="AV305" s="132" t="str">
        <f>IF(X305="","",IF(X305="SIM",VLOOKUP($I305&amp;$J305&amp;X$1,Pesos!$A:$I,7,FALSE),VLOOKUP($I305&amp;$J305&amp;X$1,Pesos!$A:$I,9,FALSE)))</f>
        <v/>
      </c>
      <c r="AW305" s="132" t="str">
        <f>IF(Y305="","",IF(Y305="SIM",VLOOKUP($I305&amp;$J305&amp;Y$1,Pesos!$A:$I,7,FALSE),VLOOKUP($I305&amp;$J305&amp;Y$1,Pesos!$A:$I,9,FALSE)))</f>
        <v/>
      </c>
      <c r="AX305" s="132" t="str">
        <f>IF(Z305="","",IF(Z305="SIM",VLOOKUP($I305&amp;$J305&amp;Z$1,Pesos!$A:$I,7,FALSE),VLOOKUP($I305&amp;$J305&amp;Z$1,Pesos!$A:$I,9,FALSE)))</f>
        <v/>
      </c>
      <c r="AY305" s="132" t="str">
        <f>IF(AA305="","",IF(AA305="SIM",VLOOKUP($I305&amp;$J305&amp;AA$1,Pesos!$A:$I,7,FALSE),VLOOKUP($I305&amp;$J305&amp;AA$1,Pesos!$A:$I,9,FALSE)))</f>
        <v/>
      </c>
      <c r="AZ305" s="132" t="str">
        <f>IF(AB305="","",IF(AB305="SIM",VLOOKUP($I305&amp;$J305&amp;AB$1,Pesos!$A:$I,7,FALSE),VLOOKUP($I305&amp;$J305&amp;AB$1,Pesos!$A:$I,9,FALSE)))</f>
        <v/>
      </c>
      <c r="BA305" s="132" t="str">
        <f>IF(AC305="","",IF(AC305="SIM",VLOOKUP($I305&amp;$J305&amp;AC$1,Pesos!$A:$I,7,FALSE),VLOOKUP($I305&amp;$J305&amp;AC$1,Pesos!$A:$I,9,FALSE)))</f>
        <v/>
      </c>
      <c r="BB305" s="132" t="str">
        <f>IF(AD305="","",IF(AD305="SIM",VLOOKUP($I305&amp;$J305&amp;AD$1,Pesos!$A:$I,7,FALSE),VLOOKUP($I305&amp;$J305&amp;AD$1,Pesos!$A:$I,9,FALSE)))</f>
        <v/>
      </c>
      <c r="BC305" s="132" t="str">
        <f>IF(AE305="","",IF(AE305="SIM",VLOOKUP($I305&amp;$J305&amp;AE$1,Pesos!$A:$I,7,FALSE),VLOOKUP($I305&amp;$J305&amp;AE$1,Pesos!$A:$I,9,FALSE)))</f>
        <v/>
      </c>
      <c r="BD305" s="158" t="str">
        <f>IFERROR(AF305*VLOOKUP(J305,'BD Campos'!$X$1:$Y$14,2,FALSE),"0")</f>
        <v>0</v>
      </c>
    </row>
    <row r="306" spans="1:56">
      <c r="A306" s="151" t="str">
        <f t="shared" si="19"/>
        <v>Jan10907Polícia 2BAS</v>
      </c>
      <c r="B306" s="149" t="str">
        <f t="shared" si="20"/>
        <v>Jan109072BASPADRÃO</v>
      </c>
      <c r="C306" s="152">
        <v>1</v>
      </c>
      <c r="D306" s="153">
        <v>46059.773465393519</v>
      </c>
      <c r="E306" s="154" t="s">
        <v>12</v>
      </c>
      <c r="F306" s="155">
        <v>10907</v>
      </c>
      <c r="G306" s="149" t="s">
        <v>522</v>
      </c>
      <c r="H306" s="154">
        <v>2</v>
      </c>
      <c r="I306" s="149" t="s">
        <v>485</v>
      </c>
      <c r="J306" s="149" t="s">
        <v>225</v>
      </c>
      <c r="K306" s="149" t="s">
        <v>223</v>
      </c>
      <c r="L306" s="156"/>
      <c r="M306" s="157"/>
      <c r="N306" s="131"/>
      <c r="O306" s="131"/>
      <c r="P306" s="131"/>
      <c r="Q306" s="131"/>
      <c r="R306" s="131"/>
      <c r="S306" s="131"/>
      <c r="T306" s="131"/>
      <c r="U306" s="131"/>
      <c r="V306" s="131"/>
      <c r="W306" s="131"/>
      <c r="X306" s="131"/>
      <c r="Y306" s="131"/>
      <c r="Z306" s="131"/>
      <c r="AA306" s="131"/>
      <c r="AB306" s="131"/>
      <c r="AC306" s="131"/>
      <c r="AD306" s="131"/>
      <c r="AE306" s="131"/>
      <c r="AF306" s="158">
        <f t="shared" si="22"/>
        <v>0</v>
      </c>
      <c r="AG306" s="159"/>
      <c r="AH306" s="155"/>
      <c r="AI306" s="155" t="s">
        <v>83</v>
      </c>
      <c r="AJ306" s="131" t="str">
        <f>IFERROR(VLOOKUP(E306&amp;F306,'Listagem dos op'!A:S,19,0),"")</f>
        <v/>
      </c>
      <c r="AK306" s="131" t="str">
        <f t="shared" si="21"/>
        <v>Jan10907</v>
      </c>
      <c r="AL306" s="154" t="str">
        <f>IF(N306="","",IF(N306="SIM",VLOOKUP($I306&amp;$J306&amp;N$1,Pesos!$A:$I,7,FALSE),VLOOKUP($I306&amp;$J306&amp;N$1,Pesos!$A:$I,9,FALSE)))</f>
        <v/>
      </c>
      <c r="AM306" s="154" t="str">
        <f>IF(O306="","",IF(O306="SIM",VLOOKUP($I306&amp;$J306&amp;O$1,Pesos!$A:$I,7,FALSE),VLOOKUP($I306&amp;$J306&amp;O$1,Pesos!$A:$I,9,FALSE)))</f>
        <v/>
      </c>
      <c r="AN306" s="154" t="str">
        <f>IF(P306="","",IF(P306="SIM",VLOOKUP($I306&amp;$J306&amp;P$1,Pesos!$A:$I,7,FALSE),VLOOKUP($I306&amp;$J306&amp;P$1,Pesos!$A:$I,9,FALSE)))</f>
        <v/>
      </c>
      <c r="AO306" s="154" t="str">
        <f>IF(Q306="","",IF(Q306="SIM",VLOOKUP($I306&amp;$J306&amp;Q$1,Pesos!$A:$I,7,FALSE),VLOOKUP($I306&amp;$J306&amp;Q$1,Pesos!$A:$I,9,FALSE)))</f>
        <v/>
      </c>
      <c r="AP306" s="154" t="str">
        <f>IF(R306="","",IF(R306="SIM",VLOOKUP($I306&amp;$J306&amp;R$1,Pesos!$A:$I,7,FALSE),VLOOKUP($I306&amp;$J306&amp;R$1,Pesos!$A:$I,9,FALSE)))</f>
        <v/>
      </c>
      <c r="AQ306" s="154" t="str">
        <f>IF(S306="","",IF(S306="SIM",VLOOKUP($I306&amp;$J306&amp;S$1,Pesos!$A:$I,7,FALSE),VLOOKUP($I306&amp;$J306&amp;S$1,Pesos!$A:$I,9,FALSE)))</f>
        <v/>
      </c>
      <c r="AR306" s="156" t="str">
        <f>IF(T306="","",IF(T306="SIM",VLOOKUP($I306&amp;$J306&amp;T$1,Pesos!$A:$I,7,FALSE),VLOOKUP($I306&amp;$J306&amp;T$1,Pesos!$A:$I,9,FALSE)))</f>
        <v/>
      </c>
      <c r="AS306" s="132" t="str">
        <f>IF(U306="","",IF(U306="SIM",VLOOKUP($I306&amp;$J306&amp;U$1,Pesos!$A:$I,7,FALSE),VLOOKUP($I306&amp;$J306&amp;U$1,Pesos!$A:$I,9,FALSE)))</f>
        <v/>
      </c>
      <c r="AT306" s="132" t="str">
        <f>IF(V306="","",IF(V306="SIM",VLOOKUP($I306&amp;$J306&amp;V$1,Pesos!$A:$I,7,FALSE),VLOOKUP($I306&amp;$J306&amp;V$1,Pesos!$A:$I,9,FALSE)))</f>
        <v/>
      </c>
      <c r="AU306" s="132" t="str">
        <f>IF(W306="","",IF(W306="SIM",VLOOKUP($I306&amp;$J306&amp;W$1,Pesos!$A:$I,7,FALSE),VLOOKUP($I306&amp;$J306&amp;W$1,Pesos!$A:$I,9,FALSE)))</f>
        <v/>
      </c>
      <c r="AV306" s="132" t="str">
        <f>IF(X306="","",IF(X306="SIM",VLOOKUP($I306&amp;$J306&amp;X$1,Pesos!$A:$I,7,FALSE),VLOOKUP($I306&amp;$J306&amp;X$1,Pesos!$A:$I,9,FALSE)))</f>
        <v/>
      </c>
      <c r="AW306" s="132" t="str">
        <f>IF(Y306="","",IF(Y306="SIM",VLOOKUP($I306&amp;$J306&amp;Y$1,Pesos!$A:$I,7,FALSE),VLOOKUP($I306&amp;$J306&amp;Y$1,Pesos!$A:$I,9,FALSE)))</f>
        <v/>
      </c>
      <c r="AX306" s="132" t="str">
        <f>IF(Z306="","",IF(Z306="SIM",VLOOKUP($I306&amp;$J306&amp;Z$1,Pesos!$A:$I,7,FALSE),VLOOKUP($I306&amp;$J306&amp;Z$1,Pesos!$A:$I,9,FALSE)))</f>
        <v/>
      </c>
      <c r="AY306" s="132" t="str">
        <f>IF(AA306="","",IF(AA306="SIM",VLOOKUP($I306&amp;$J306&amp;AA$1,Pesos!$A:$I,7,FALSE),VLOOKUP($I306&amp;$J306&amp;AA$1,Pesos!$A:$I,9,FALSE)))</f>
        <v/>
      </c>
      <c r="AZ306" s="132" t="str">
        <f>IF(AB306="","",IF(AB306="SIM",VLOOKUP($I306&amp;$J306&amp;AB$1,Pesos!$A:$I,7,FALSE),VLOOKUP($I306&amp;$J306&amp;AB$1,Pesos!$A:$I,9,FALSE)))</f>
        <v/>
      </c>
      <c r="BA306" s="132" t="str">
        <f>IF(AC306="","",IF(AC306="SIM",VLOOKUP($I306&amp;$J306&amp;AC$1,Pesos!$A:$I,7,FALSE),VLOOKUP($I306&amp;$J306&amp;AC$1,Pesos!$A:$I,9,FALSE)))</f>
        <v/>
      </c>
      <c r="BB306" s="132" t="str">
        <f>IF(AD306="","",IF(AD306="SIM",VLOOKUP($I306&amp;$J306&amp;AD$1,Pesos!$A:$I,7,FALSE),VLOOKUP($I306&amp;$J306&amp;AD$1,Pesos!$A:$I,9,FALSE)))</f>
        <v/>
      </c>
      <c r="BC306" s="132" t="str">
        <f>IF(AE306="","",IF(AE306="SIM",VLOOKUP($I306&amp;$J306&amp;AE$1,Pesos!$A:$I,7,FALSE),VLOOKUP($I306&amp;$J306&amp;AE$1,Pesos!$A:$I,9,FALSE)))</f>
        <v/>
      </c>
      <c r="BD306" s="158" t="str">
        <f>IFERROR(AF306*VLOOKUP(J306,'BD Campos'!$X$1:$Y$14,2,FALSE),"0")</f>
        <v>0</v>
      </c>
    </row>
    <row r="307" spans="1:56">
      <c r="A307" s="151" t="str">
        <f t="shared" si="19"/>
        <v>Jan10490UTI</v>
      </c>
      <c r="B307" s="149" t="str">
        <f t="shared" si="20"/>
        <v>Jan104901UTIPADRÃO</v>
      </c>
      <c r="C307" s="152">
        <v>1</v>
      </c>
      <c r="D307" s="153">
        <v>46059.774046412036</v>
      </c>
      <c r="E307" s="154" t="s">
        <v>12</v>
      </c>
      <c r="F307" s="155">
        <v>10490</v>
      </c>
      <c r="G307" s="149" t="s">
        <v>523</v>
      </c>
      <c r="H307" s="154">
        <v>1</v>
      </c>
      <c r="I307" s="149" t="s">
        <v>485</v>
      </c>
      <c r="J307" s="149"/>
      <c r="K307" s="149" t="s">
        <v>128</v>
      </c>
      <c r="L307" s="156"/>
      <c r="M307" s="157"/>
      <c r="N307" s="131"/>
      <c r="O307" s="131"/>
      <c r="P307" s="131"/>
      <c r="Q307" s="131"/>
      <c r="R307" s="131"/>
      <c r="S307" s="131"/>
      <c r="T307" s="131"/>
      <c r="U307" s="131"/>
      <c r="V307" s="131"/>
      <c r="W307" s="131"/>
      <c r="X307" s="131"/>
      <c r="Y307" s="131"/>
      <c r="Z307" s="131"/>
      <c r="AA307" s="131"/>
      <c r="AB307" s="131"/>
      <c r="AC307" s="131"/>
      <c r="AD307" s="131"/>
      <c r="AE307" s="131"/>
      <c r="AF307" s="158">
        <f t="shared" si="22"/>
        <v>0</v>
      </c>
      <c r="AG307" s="159"/>
      <c r="AH307" s="155"/>
      <c r="AI307" s="155" t="s">
        <v>83</v>
      </c>
      <c r="AJ307" s="131" t="str">
        <f>IFERROR(VLOOKUP(E307&amp;F307,'Listagem dos op'!A:S,19,0),"")</f>
        <v/>
      </c>
      <c r="AK307" s="131" t="str">
        <f t="shared" si="21"/>
        <v>Jan10490</v>
      </c>
      <c r="AL307" s="154" t="str">
        <f>IF(N307="","",IF(N307="SIM",VLOOKUP($I307&amp;$J307&amp;N$1,Pesos!$A:$I,7,FALSE),VLOOKUP($I307&amp;$J307&amp;N$1,Pesos!$A:$I,9,FALSE)))</f>
        <v/>
      </c>
      <c r="AM307" s="154" t="str">
        <f>IF(O307="","",IF(O307="SIM",VLOOKUP($I307&amp;$J307&amp;O$1,Pesos!$A:$I,7,FALSE),VLOOKUP($I307&amp;$J307&amp;O$1,Pesos!$A:$I,9,FALSE)))</f>
        <v/>
      </c>
      <c r="AN307" s="154" t="str">
        <f>IF(P307="","",IF(P307="SIM",VLOOKUP($I307&amp;$J307&amp;P$1,Pesos!$A:$I,7,FALSE),VLOOKUP($I307&amp;$J307&amp;P$1,Pesos!$A:$I,9,FALSE)))</f>
        <v/>
      </c>
      <c r="AO307" s="154" t="str">
        <f>IF(Q307="","",IF(Q307="SIM",VLOOKUP($I307&amp;$J307&amp;Q$1,Pesos!$A:$I,7,FALSE),VLOOKUP($I307&amp;$J307&amp;Q$1,Pesos!$A:$I,9,FALSE)))</f>
        <v/>
      </c>
      <c r="AP307" s="154" t="str">
        <f>IF(R307="","",IF(R307="SIM",VLOOKUP($I307&amp;$J307&amp;R$1,Pesos!$A:$I,7,FALSE),VLOOKUP($I307&amp;$J307&amp;R$1,Pesos!$A:$I,9,FALSE)))</f>
        <v/>
      </c>
      <c r="AQ307" s="154" t="str">
        <f>IF(S307="","",IF(S307="SIM",VLOOKUP($I307&amp;$J307&amp;S$1,Pesos!$A:$I,7,FALSE),VLOOKUP($I307&amp;$J307&amp;S$1,Pesos!$A:$I,9,FALSE)))</f>
        <v/>
      </c>
      <c r="AR307" s="156" t="str">
        <f>IF(T307="","",IF(T307="SIM",VLOOKUP($I307&amp;$J307&amp;T$1,Pesos!$A:$I,7,FALSE),VLOOKUP($I307&amp;$J307&amp;T$1,Pesos!$A:$I,9,FALSE)))</f>
        <v/>
      </c>
      <c r="AS307" s="132" t="str">
        <f>IF(U307="","",IF(U307="SIM",VLOOKUP($I307&amp;$J307&amp;U$1,Pesos!$A:$I,7,FALSE),VLOOKUP($I307&amp;$J307&amp;U$1,Pesos!$A:$I,9,FALSE)))</f>
        <v/>
      </c>
      <c r="AT307" s="132" t="str">
        <f>IF(V307="","",IF(V307="SIM",VLOOKUP($I307&amp;$J307&amp;V$1,Pesos!$A:$I,7,FALSE),VLOOKUP($I307&amp;$J307&amp;V$1,Pesos!$A:$I,9,FALSE)))</f>
        <v/>
      </c>
      <c r="AU307" s="132" t="str">
        <f>IF(W307="","",IF(W307="SIM",VLOOKUP($I307&amp;$J307&amp;W$1,Pesos!$A:$I,7,FALSE),VLOOKUP($I307&amp;$J307&amp;W$1,Pesos!$A:$I,9,FALSE)))</f>
        <v/>
      </c>
      <c r="AV307" s="132" t="str">
        <f>IF(X307="","",IF(X307="SIM",VLOOKUP($I307&amp;$J307&amp;X$1,Pesos!$A:$I,7,FALSE),VLOOKUP($I307&amp;$J307&amp;X$1,Pesos!$A:$I,9,FALSE)))</f>
        <v/>
      </c>
      <c r="AW307" s="132" t="str">
        <f>IF(Y307="","",IF(Y307="SIM",VLOOKUP($I307&amp;$J307&amp;Y$1,Pesos!$A:$I,7,FALSE),VLOOKUP($I307&amp;$J307&amp;Y$1,Pesos!$A:$I,9,FALSE)))</f>
        <v/>
      </c>
      <c r="AX307" s="132" t="str">
        <f>IF(Z307="","",IF(Z307="SIM",VLOOKUP($I307&amp;$J307&amp;Z$1,Pesos!$A:$I,7,FALSE),VLOOKUP($I307&amp;$J307&amp;Z$1,Pesos!$A:$I,9,FALSE)))</f>
        <v/>
      </c>
      <c r="AY307" s="132" t="str">
        <f>IF(AA307="","",IF(AA307="SIM",VLOOKUP($I307&amp;$J307&amp;AA$1,Pesos!$A:$I,7,FALSE),VLOOKUP($I307&amp;$J307&amp;AA$1,Pesos!$A:$I,9,FALSE)))</f>
        <v/>
      </c>
      <c r="AZ307" s="132" t="str">
        <f>IF(AB307="","",IF(AB307="SIM",VLOOKUP($I307&amp;$J307&amp;AB$1,Pesos!$A:$I,7,FALSE),VLOOKUP($I307&amp;$J307&amp;AB$1,Pesos!$A:$I,9,FALSE)))</f>
        <v/>
      </c>
      <c r="BA307" s="132" t="str">
        <f>IF(AC307="","",IF(AC307="SIM",VLOOKUP($I307&amp;$J307&amp;AC$1,Pesos!$A:$I,7,FALSE),VLOOKUP($I307&amp;$J307&amp;AC$1,Pesos!$A:$I,9,FALSE)))</f>
        <v/>
      </c>
      <c r="BB307" s="132" t="str">
        <f>IF(AD307="","",IF(AD307="SIM",VLOOKUP($I307&amp;$J307&amp;AD$1,Pesos!$A:$I,7,FALSE),VLOOKUP($I307&amp;$J307&amp;AD$1,Pesos!$A:$I,9,FALSE)))</f>
        <v/>
      </c>
      <c r="BC307" s="132" t="str">
        <f>IF(AE307="","",IF(AE307="SIM",VLOOKUP($I307&amp;$J307&amp;AE$1,Pesos!$A:$I,7,FALSE),VLOOKUP($I307&amp;$J307&amp;AE$1,Pesos!$A:$I,9,FALSE)))</f>
        <v/>
      </c>
      <c r="BD307" s="158" t="str">
        <f>IFERROR(AF307*VLOOKUP(J307,'BD Campos'!$X$1:$Y$14,2,FALSE),"0")</f>
        <v>0</v>
      </c>
    </row>
    <row r="308" spans="1:56">
      <c r="A308" s="151" t="str">
        <f t="shared" si="19"/>
        <v>Jan10490UTI</v>
      </c>
      <c r="B308" s="149" t="str">
        <f t="shared" si="20"/>
        <v>Jan104902UTIPADRÃO</v>
      </c>
      <c r="C308" s="152">
        <v>1</v>
      </c>
      <c r="D308" s="153">
        <v>46059.774113310188</v>
      </c>
      <c r="E308" s="154" t="s">
        <v>12</v>
      </c>
      <c r="F308" s="155">
        <v>10490</v>
      </c>
      <c r="G308" s="149" t="s">
        <v>523</v>
      </c>
      <c r="H308" s="154">
        <v>2</v>
      </c>
      <c r="I308" s="149" t="s">
        <v>485</v>
      </c>
      <c r="J308" s="149"/>
      <c r="K308" s="149" t="s">
        <v>128</v>
      </c>
      <c r="L308" s="156"/>
      <c r="M308" s="157"/>
      <c r="N308" s="131"/>
      <c r="O308" s="131"/>
      <c r="P308" s="131"/>
      <c r="Q308" s="131"/>
      <c r="R308" s="131"/>
      <c r="S308" s="131"/>
      <c r="T308" s="131"/>
      <c r="U308" s="131"/>
      <c r="V308" s="131"/>
      <c r="W308" s="131"/>
      <c r="X308" s="131"/>
      <c r="Y308" s="131"/>
      <c r="Z308" s="131"/>
      <c r="AA308" s="131"/>
      <c r="AB308" s="131"/>
      <c r="AC308" s="131"/>
      <c r="AD308" s="131"/>
      <c r="AE308" s="131"/>
      <c r="AF308" s="158">
        <f t="shared" si="22"/>
        <v>0</v>
      </c>
      <c r="AG308" s="159"/>
      <c r="AH308" s="155"/>
      <c r="AI308" s="155" t="s">
        <v>83</v>
      </c>
      <c r="AJ308" s="131" t="str">
        <f>IFERROR(VLOOKUP(E308&amp;F308,'Listagem dos op'!A:S,19,0),"")</f>
        <v/>
      </c>
      <c r="AK308" s="131" t="str">
        <f t="shared" si="21"/>
        <v>Jan10490</v>
      </c>
      <c r="AL308" s="154" t="str">
        <f>IF(N308="","",IF(N308="SIM",VLOOKUP($I308&amp;$J308&amp;N$1,Pesos!$A:$I,7,FALSE),VLOOKUP($I308&amp;$J308&amp;N$1,Pesos!$A:$I,9,FALSE)))</f>
        <v/>
      </c>
      <c r="AM308" s="154" t="str">
        <f>IF(O308="","",IF(O308="SIM",VLOOKUP($I308&amp;$J308&amp;O$1,Pesos!$A:$I,7,FALSE),VLOOKUP($I308&amp;$J308&amp;O$1,Pesos!$A:$I,9,FALSE)))</f>
        <v/>
      </c>
      <c r="AN308" s="154" t="str">
        <f>IF(P308="","",IF(P308="SIM",VLOOKUP($I308&amp;$J308&amp;P$1,Pesos!$A:$I,7,FALSE),VLOOKUP($I308&amp;$J308&amp;P$1,Pesos!$A:$I,9,FALSE)))</f>
        <v/>
      </c>
      <c r="AO308" s="154" t="str">
        <f>IF(Q308="","",IF(Q308="SIM",VLOOKUP($I308&amp;$J308&amp;Q$1,Pesos!$A:$I,7,FALSE),VLOOKUP($I308&amp;$J308&amp;Q$1,Pesos!$A:$I,9,FALSE)))</f>
        <v/>
      </c>
      <c r="AP308" s="154" t="str">
        <f>IF(R308="","",IF(R308="SIM",VLOOKUP($I308&amp;$J308&amp;R$1,Pesos!$A:$I,7,FALSE),VLOOKUP($I308&amp;$J308&amp;R$1,Pesos!$A:$I,9,FALSE)))</f>
        <v/>
      </c>
      <c r="AQ308" s="154" t="str">
        <f>IF(S308="","",IF(S308="SIM",VLOOKUP($I308&amp;$J308&amp;S$1,Pesos!$A:$I,7,FALSE),VLOOKUP($I308&amp;$J308&amp;S$1,Pesos!$A:$I,9,FALSE)))</f>
        <v/>
      </c>
      <c r="AR308" s="156" t="str">
        <f>IF(T308="","",IF(T308="SIM",VLOOKUP($I308&amp;$J308&amp;T$1,Pesos!$A:$I,7,FALSE),VLOOKUP($I308&amp;$J308&amp;T$1,Pesos!$A:$I,9,FALSE)))</f>
        <v/>
      </c>
      <c r="AS308" s="132" t="str">
        <f>IF(U308="","",IF(U308="SIM",VLOOKUP($I308&amp;$J308&amp;U$1,Pesos!$A:$I,7,FALSE),VLOOKUP($I308&amp;$J308&amp;U$1,Pesos!$A:$I,9,FALSE)))</f>
        <v/>
      </c>
      <c r="AT308" s="132" t="str">
        <f>IF(V308="","",IF(V308="SIM",VLOOKUP($I308&amp;$J308&amp;V$1,Pesos!$A:$I,7,FALSE),VLOOKUP($I308&amp;$J308&amp;V$1,Pesos!$A:$I,9,FALSE)))</f>
        <v/>
      </c>
      <c r="AU308" s="132" t="str">
        <f>IF(W308="","",IF(W308="SIM",VLOOKUP($I308&amp;$J308&amp;W$1,Pesos!$A:$I,7,FALSE),VLOOKUP($I308&amp;$J308&amp;W$1,Pesos!$A:$I,9,FALSE)))</f>
        <v/>
      </c>
      <c r="AV308" s="132" t="str">
        <f>IF(X308="","",IF(X308="SIM",VLOOKUP($I308&amp;$J308&amp;X$1,Pesos!$A:$I,7,FALSE),VLOOKUP($I308&amp;$J308&amp;X$1,Pesos!$A:$I,9,FALSE)))</f>
        <v/>
      </c>
      <c r="AW308" s="132" t="str">
        <f>IF(Y308="","",IF(Y308="SIM",VLOOKUP($I308&amp;$J308&amp;Y$1,Pesos!$A:$I,7,FALSE),VLOOKUP($I308&amp;$J308&amp;Y$1,Pesos!$A:$I,9,FALSE)))</f>
        <v/>
      </c>
      <c r="AX308" s="132" t="str">
        <f>IF(Z308="","",IF(Z308="SIM",VLOOKUP($I308&amp;$J308&amp;Z$1,Pesos!$A:$I,7,FALSE),VLOOKUP($I308&amp;$J308&amp;Z$1,Pesos!$A:$I,9,FALSE)))</f>
        <v/>
      </c>
      <c r="AY308" s="132" t="str">
        <f>IF(AA308="","",IF(AA308="SIM",VLOOKUP($I308&amp;$J308&amp;AA$1,Pesos!$A:$I,7,FALSE),VLOOKUP($I308&amp;$J308&amp;AA$1,Pesos!$A:$I,9,FALSE)))</f>
        <v/>
      </c>
      <c r="AZ308" s="132" t="str">
        <f>IF(AB308="","",IF(AB308="SIM",VLOOKUP($I308&amp;$J308&amp;AB$1,Pesos!$A:$I,7,FALSE),VLOOKUP($I308&amp;$J308&amp;AB$1,Pesos!$A:$I,9,FALSE)))</f>
        <v/>
      </c>
      <c r="BA308" s="132" t="str">
        <f>IF(AC308="","",IF(AC308="SIM",VLOOKUP($I308&amp;$J308&amp;AC$1,Pesos!$A:$I,7,FALSE),VLOOKUP($I308&amp;$J308&amp;AC$1,Pesos!$A:$I,9,FALSE)))</f>
        <v/>
      </c>
      <c r="BB308" s="132" t="str">
        <f>IF(AD308="","",IF(AD308="SIM",VLOOKUP($I308&amp;$J308&amp;AD$1,Pesos!$A:$I,7,FALSE),VLOOKUP($I308&amp;$J308&amp;AD$1,Pesos!$A:$I,9,FALSE)))</f>
        <v/>
      </c>
      <c r="BC308" s="132" t="str">
        <f>IF(AE308="","",IF(AE308="SIM",VLOOKUP($I308&amp;$J308&amp;AE$1,Pesos!$A:$I,7,FALSE),VLOOKUP($I308&amp;$J308&amp;AE$1,Pesos!$A:$I,9,FALSE)))</f>
        <v/>
      </c>
      <c r="BD308" s="158" t="str">
        <f>IFERROR(AF308*VLOOKUP(J308,'BD Campos'!$X$1:$Y$14,2,FALSE),"0")</f>
        <v>0</v>
      </c>
    </row>
    <row r="309" spans="1:56">
      <c r="A309" s="151" t="str">
        <f t="shared" si="19"/>
        <v>Jan1945UTI</v>
      </c>
      <c r="B309" s="149" t="str">
        <f t="shared" si="20"/>
        <v>Jan19451UTIPADRÃO</v>
      </c>
      <c r="C309" s="152">
        <v>1</v>
      </c>
      <c r="D309" s="153">
        <v>46059.780247106479</v>
      </c>
      <c r="E309" s="154" t="s">
        <v>12</v>
      </c>
      <c r="F309" s="155">
        <v>1945</v>
      </c>
      <c r="G309" s="149" t="s">
        <v>524</v>
      </c>
      <c r="H309" s="154">
        <v>1</v>
      </c>
      <c r="I309" s="149" t="s">
        <v>485</v>
      </c>
      <c r="J309" s="149"/>
      <c r="K309" s="149" t="s">
        <v>128</v>
      </c>
      <c r="L309" s="156"/>
      <c r="M309" s="157"/>
      <c r="N309" s="131"/>
      <c r="O309" s="131"/>
      <c r="P309" s="131"/>
      <c r="Q309" s="131"/>
      <c r="R309" s="131"/>
      <c r="S309" s="131"/>
      <c r="T309" s="131"/>
      <c r="U309" s="131"/>
      <c r="V309" s="131"/>
      <c r="W309" s="131"/>
      <c r="X309" s="131"/>
      <c r="Y309" s="131"/>
      <c r="Z309" s="131"/>
      <c r="AA309" s="131"/>
      <c r="AB309" s="131"/>
      <c r="AC309" s="131"/>
      <c r="AD309" s="131"/>
      <c r="AE309" s="131"/>
      <c r="AF309" s="158">
        <f t="shared" si="22"/>
        <v>0</v>
      </c>
      <c r="AG309" s="159"/>
      <c r="AH309" s="155"/>
      <c r="AI309" s="155" t="s">
        <v>83</v>
      </c>
      <c r="AJ309" s="131" t="str">
        <f>IFERROR(VLOOKUP(E309&amp;F309,'Listagem dos op'!A:S,19,0),"")</f>
        <v/>
      </c>
      <c r="AK309" s="131" t="str">
        <f t="shared" si="21"/>
        <v>Jan1945</v>
      </c>
      <c r="AL309" s="154" t="str">
        <f>IF(N309="","",IF(N309="SIM",VLOOKUP($I309&amp;$J309&amp;N$1,Pesos!$A:$I,7,FALSE),VLOOKUP($I309&amp;$J309&amp;N$1,Pesos!$A:$I,9,FALSE)))</f>
        <v/>
      </c>
      <c r="AM309" s="154" t="str">
        <f>IF(O309="","",IF(O309="SIM",VLOOKUP($I309&amp;$J309&amp;O$1,Pesos!$A:$I,7,FALSE),VLOOKUP($I309&amp;$J309&amp;O$1,Pesos!$A:$I,9,FALSE)))</f>
        <v/>
      </c>
      <c r="AN309" s="154" t="str">
        <f>IF(P309="","",IF(P309="SIM",VLOOKUP($I309&amp;$J309&amp;P$1,Pesos!$A:$I,7,FALSE),VLOOKUP($I309&amp;$J309&amp;P$1,Pesos!$A:$I,9,FALSE)))</f>
        <v/>
      </c>
      <c r="AO309" s="154" t="str">
        <f>IF(Q309="","",IF(Q309="SIM",VLOOKUP($I309&amp;$J309&amp;Q$1,Pesos!$A:$I,7,FALSE),VLOOKUP($I309&amp;$J309&amp;Q$1,Pesos!$A:$I,9,FALSE)))</f>
        <v/>
      </c>
      <c r="AP309" s="154" t="str">
        <f>IF(R309="","",IF(R309="SIM",VLOOKUP($I309&amp;$J309&amp;R$1,Pesos!$A:$I,7,FALSE),VLOOKUP($I309&amp;$J309&amp;R$1,Pesos!$A:$I,9,FALSE)))</f>
        <v/>
      </c>
      <c r="AQ309" s="154" t="str">
        <f>IF(S309="","",IF(S309="SIM",VLOOKUP($I309&amp;$J309&amp;S$1,Pesos!$A:$I,7,FALSE),VLOOKUP($I309&amp;$J309&amp;S$1,Pesos!$A:$I,9,FALSE)))</f>
        <v/>
      </c>
      <c r="AR309" s="156" t="str">
        <f>IF(T309="","",IF(T309="SIM",VLOOKUP($I309&amp;$J309&amp;T$1,Pesos!$A:$I,7,FALSE),VLOOKUP($I309&amp;$J309&amp;T$1,Pesos!$A:$I,9,FALSE)))</f>
        <v/>
      </c>
      <c r="AS309" s="132" t="str">
        <f>IF(U309="","",IF(U309="SIM",VLOOKUP($I309&amp;$J309&amp;U$1,Pesos!$A:$I,7,FALSE),VLOOKUP($I309&amp;$J309&amp;U$1,Pesos!$A:$I,9,FALSE)))</f>
        <v/>
      </c>
      <c r="AT309" s="132" t="str">
        <f>IF(V309="","",IF(V309="SIM",VLOOKUP($I309&amp;$J309&amp;V$1,Pesos!$A:$I,7,FALSE),VLOOKUP($I309&amp;$J309&amp;V$1,Pesos!$A:$I,9,FALSE)))</f>
        <v/>
      </c>
      <c r="AU309" s="132" t="str">
        <f>IF(W309="","",IF(W309="SIM",VLOOKUP($I309&amp;$J309&amp;W$1,Pesos!$A:$I,7,FALSE),VLOOKUP($I309&amp;$J309&amp;W$1,Pesos!$A:$I,9,FALSE)))</f>
        <v/>
      </c>
      <c r="AV309" s="132" t="str">
        <f>IF(X309="","",IF(X309="SIM",VLOOKUP($I309&amp;$J309&amp;X$1,Pesos!$A:$I,7,FALSE),VLOOKUP($I309&amp;$J309&amp;X$1,Pesos!$A:$I,9,FALSE)))</f>
        <v/>
      </c>
      <c r="AW309" s="132" t="str">
        <f>IF(Y309="","",IF(Y309="SIM",VLOOKUP($I309&amp;$J309&amp;Y$1,Pesos!$A:$I,7,FALSE),VLOOKUP($I309&amp;$J309&amp;Y$1,Pesos!$A:$I,9,FALSE)))</f>
        <v/>
      </c>
      <c r="AX309" s="132" t="str">
        <f>IF(Z309="","",IF(Z309="SIM",VLOOKUP($I309&amp;$J309&amp;Z$1,Pesos!$A:$I,7,FALSE),VLOOKUP($I309&amp;$J309&amp;Z$1,Pesos!$A:$I,9,FALSE)))</f>
        <v/>
      </c>
      <c r="AY309" s="132" t="str">
        <f>IF(AA309="","",IF(AA309="SIM",VLOOKUP($I309&amp;$J309&amp;AA$1,Pesos!$A:$I,7,FALSE),VLOOKUP($I309&amp;$J309&amp;AA$1,Pesos!$A:$I,9,FALSE)))</f>
        <v/>
      </c>
      <c r="AZ309" s="132" t="str">
        <f>IF(AB309="","",IF(AB309="SIM",VLOOKUP($I309&amp;$J309&amp;AB$1,Pesos!$A:$I,7,FALSE),VLOOKUP($I309&amp;$J309&amp;AB$1,Pesos!$A:$I,9,FALSE)))</f>
        <v/>
      </c>
      <c r="BA309" s="132" t="str">
        <f>IF(AC309="","",IF(AC309="SIM",VLOOKUP($I309&amp;$J309&amp;AC$1,Pesos!$A:$I,7,FALSE),VLOOKUP($I309&amp;$J309&amp;AC$1,Pesos!$A:$I,9,FALSE)))</f>
        <v/>
      </c>
      <c r="BB309" s="132" t="str">
        <f>IF(AD309="","",IF(AD309="SIM",VLOOKUP($I309&amp;$J309&amp;AD$1,Pesos!$A:$I,7,FALSE),VLOOKUP($I309&amp;$J309&amp;AD$1,Pesos!$A:$I,9,FALSE)))</f>
        <v/>
      </c>
      <c r="BC309" s="132" t="str">
        <f>IF(AE309="","",IF(AE309="SIM",VLOOKUP($I309&amp;$J309&amp;AE$1,Pesos!$A:$I,7,FALSE),VLOOKUP($I309&amp;$J309&amp;AE$1,Pesos!$A:$I,9,FALSE)))</f>
        <v/>
      </c>
      <c r="BD309" s="158" t="str">
        <f>IFERROR(AF309*VLOOKUP(J309,'BD Campos'!$X$1:$Y$14,2,FALSE),"0")</f>
        <v>0</v>
      </c>
    </row>
    <row r="310" spans="1:56">
      <c r="A310" s="151" t="str">
        <f t="shared" si="19"/>
        <v>Jan1945UTI</v>
      </c>
      <c r="B310" s="149" t="str">
        <f t="shared" si="20"/>
        <v>Jan19452UTIPADRÃO</v>
      </c>
      <c r="C310" s="152">
        <v>1</v>
      </c>
      <c r="D310" s="153">
        <v>46059.780325</v>
      </c>
      <c r="E310" s="154" t="s">
        <v>12</v>
      </c>
      <c r="F310" s="155">
        <v>1945</v>
      </c>
      <c r="G310" s="149" t="s">
        <v>524</v>
      </c>
      <c r="H310" s="154">
        <v>2</v>
      </c>
      <c r="I310" s="149" t="s">
        <v>485</v>
      </c>
      <c r="J310" s="149"/>
      <c r="K310" s="149" t="s">
        <v>128</v>
      </c>
      <c r="L310" s="156"/>
      <c r="M310" s="157"/>
      <c r="N310" s="131"/>
      <c r="O310" s="131"/>
      <c r="P310" s="131"/>
      <c r="Q310" s="131"/>
      <c r="R310" s="131"/>
      <c r="S310" s="131"/>
      <c r="T310" s="131"/>
      <c r="U310" s="131"/>
      <c r="V310" s="131"/>
      <c r="W310" s="131"/>
      <c r="X310" s="131"/>
      <c r="Y310" s="131"/>
      <c r="Z310" s="131"/>
      <c r="AA310" s="131"/>
      <c r="AB310" s="131"/>
      <c r="AC310" s="131"/>
      <c r="AD310" s="131"/>
      <c r="AE310" s="131"/>
      <c r="AF310" s="158">
        <f t="shared" si="22"/>
        <v>0</v>
      </c>
      <c r="AG310" s="159"/>
      <c r="AH310" s="155"/>
      <c r="AI310" s="155" t="s">
        <v>83</v>
      </c>
      <c r="AJ310" s="131" t="str">
        <f>IFERROR(VLOOKUP(E310&amp;F310,'Listagem dos op'!A:S,19,0),"")</f>
        <v/>
      </c>
      <c r="AK310" s="131" t="str">
        <f t="shared" si="21"/>
        <v>Jan1945</v>
      </c>
      <c r="AL310" s="154" t="str">
        <f>IF(N310="","",IF(N310="SIM",VLOOKUP($I310&amp;$J310&amp;N$1,Pesos!$A:$I,7,FALSE),VLOOKUP($I310&amp;$J310&amp;N$1,Pesos!$A:$I,9,FALSE)))</f>
        <v/>
      </c>
      <c r="AM310" s="154" t="str">
        <f>IF(O310="","",IF(O310="SIM",VLOOKUP($I310&amp;$J310&amp;O$1,Pesos!$A:$I,7,FALSE),VLOOKUP($I310&amp;$J310&amp;O$1,Pesos!$A:$I,9,FALSE)))</f>
        <v/>
      </c>
      <c r="AN310" s="154" t="str">
        <f>IF(P310="","",IF(P310="SIM",VLOOKUP($I310&amp;$J310&amp;P$1,Pesos!$A:$I,7,FALSE),VLOOKUP($I310&amp;$J310&amp;P$1,Pesos!$A:$I,9,FALSE)))</f>
        <v/>
      </c>
      <c r="AO310" s="154" t="str">
        <f>IF(Q310="","",IF(Q310="SIM",VLOOKUP($I310&amp;$J310&amp;Q$1,Pesos!$A:$I,7,FALSE),VLOOKUP($I310&amp;$J310&amp;Q$1,Pesos!$A:$I,9,FALSE)))</f>
        <v/>
      </c>
      <c r="AP310" s="154" t="str">
        <f>IF(R310="","",IF(R310="SIM",VLOOKUP($I310&amp;$J310&amp;R$1,Pesos!$A:$I,7,FALSE),VLOOKUP($I310&amp;$J310&amp;R$1,Pesos!$A:$I,9,FALSE)))</f>
        <v/>
      </c>
      <c r="AQ310" s="154" t="str">
        <f>IF(S310="","",IF(S310="SIM",VLOOKUP($I310&amp;$J310&amp;S$1,Pesos!$A:$I,7,FALSE),VLOOKUP($I310&amp;$J310&amp;S$1,Pesos!$A:$I,9,FALSE)))</f>
        <v/>
      </c>
      <c r="AR310" s="156" t="str">
        <f>IF(T310="","",IF(T310="SIM",VLOOKUP($I310&amp;$J310&amp;T$1,Pesos!$A:$I,7,FALSE),VLOOKUP($I310&amp;$J310&amp;T$1,Pesos!$A:$I,9,FALSE)))</f>
        <v/>
      </c>
      <c r="AS310" s="132" t="str">
        <f>IF(U310="","",IF(U310="SIM",VLOOKUP($I310&amp;$J310&amp;U$1,Pesos!$A:$I,7,FALSE),VLOOKUP($I310&amp;$J310&amp;U$1,Pesos!$A:$I,9,FALSE)))</f>
        <v/>
      </c>
      <c r="AT310" s="132" t="str">
        <f>IF(V310="","",IF(V310="SIM",VLOOKUP($I310&amp;$J310&amp;V$1,Pesos!$A:$I,7,FALSE),VLOOKUP($I310&amp;$J310&amp;V$1,Pesos!$A:$I,9,FALSE)))</f>
        <v/>
      </c>
      <c r="AU310" s="132" t="str">
        <f>IF(W310="","",IF(W310="SIM",VLOOKUP($I310&amp;$J310&amp;W$1,Pesos!$A:$I,7,FALSE),VLOOKUP($I310&amp;$J310&amp;W$1,Pesos!$A:$I,9,FALSE)))</f>
        <v/>
      </c>
      <c r="AV310" s="132" t="str">
        <f>IF(X310="","",IF(X310="SIM",VLOOKUP($I310&amp;$J310&amp;X$1,Pesos!$A:$I,7,FALSE),VLOOKUP($I310&amp;$J310&amp;X$1,Pesos!$A:$I,9,FALSE)))</f>
        <v/>
      </c>
      <c r="AW310" s="132" t="str">
        <f>IF(Y310="","",IF(Y310="SIM",VLOOKUP($I310&amp;$J310&amp;Y$1,Pesos!$A:$I,7,FALSE),VLOOKUP($I310&amp;$J310&amp;Y$1,Pesos!$A:$I,9,FALSE)))</f>
        <v/>
      </c>
      <c r="AX310" s="132" t="str">
        <f>IF(Z310="","",IF(Z310="SIM",VLOOKUP($I310&amp;$J310&amp;Z$1,Pesos!$A:$I,7,FALSE),VLOOKUP($I310&amp;$J310&amp;Z$1,Pesos!$A:$I,9,FALSE)))</f>
        <v/>
      </c>
      <c r="AY310" s="132" t="str">
        <f>IF(AA310="","",IF(AA310="SIM",VLOOKUP($I310&amp;$J310&amp;AA$1,Pesos!$A:$I,7,FALSE),VLOOKUP($I310&amp;$J310&amp;AA$1,Pesos!$A:$I,9,FALSE)))</f>
        <v/>
      </c>
      <c r="AZ310" s="132" t="str">
        <f>IF(AB310="","",IF(AB310="SIM",VLOOKUP($I310&amp;$J310&amp;AB$1,Pesos!$A:$I,7,FALSE),VLOOKUP($I310&amp;$J310&amp;AB$1,Pesos!$A:$I,9,FALSE)))</f>
        <v/>
      </c>
      <c r="BA310" s="132" t="str">
        <f>IF(AC310="","",IF(AC310="SIM",VLOOKUP($I310&amp;$J310&amp;AC$1,Pesos!$A:$I,7,FALSE),VLOOKUP($I310&amp;$J310&amp;AC$1,Pesos!$A:$I,9,FALSE)))</f>
        <v/>
      </c>
      <c r="BB310" s="132" t="str">
        <f>IF(AD310="","",IF(AD310="SIM",VLOOKUP($I310&amp;$J310&amp;AD$1,Pesos!$A:$I,7,FALSE),VLOOKUP($I310&amp;$J310&amp;AD$1,Pesos!$A:$I,9,FALSE)))</f>
        <v/>
      </c>
      <c r="BC310" s="132" t="str">
        <f>IF(AE310="","",IF(AE310="SIM",VLOOKUP($I310&amp;$J310&amp;AE$1,Pesos!$A:$I,7,FALSE),VLOOKUP($I310&amp;$J310&amp;AE$1,Pesos!$A:$I,9,FALSE)))</f>
        <v/>
      </c>
      <c r="BD310" s="158" t="str">
        <f>IFERROR(AF310*VLOOKUP(J310,'BD Campos'!$X$1:$Y$14,2,FALSE),"0")</f>
        <v>0</v>
      </c>
    </row>
    <row r="311" spans="1:56">
      <c r="A311" s="151" t="str">
        <f t="shared" si="19"/>
        <v>Jan1512PolíciaBAS</v>
      </c>
      <c r="B311" s="149" t="str">
        <f t="shared" si="20"/>
        <v>Jan15121BASPADRÃO</v>
      </c>
      <c r="C311" s="152">
        <v>1</v>
      </c>
      <c r="D311" s="153">
        <v>46059.780760416666</v>
      </c>
      <c r="E311" s="154" t="s">
        <v>12</v>
      </c>
      <c r="F311" s="155">
        <v>1512</v>
      </c>
      <c r="G311" s="149" t="s">
        <v>525</v>
      </c>
      <c r="H311" s="154">
        <v>1</v>
      </c>
      <c r="I311" s="149" t="s">
        <v>485</v>
      </c>
      <c r="J311" s="149" t="s">
        <v>222</v>
      </c>
      <c r="K311" s="149" t="s">
        <v>223</v>
      </c>
      <c r="L311" s="156"/>
      <c r="M311" s="157"/>
      <c r="N311" s="131"/>
      <c r="O311" s="131"/>
      <c r="P311" s="131"/>
      <c r="Q311" s="131"/>
      <c r="R311" s="131"/>
      <c r="S311" s="131"/>
      <c r="T311" s="131"/>
      <c r="U311" s="131"/>
      <c r="V311" s="131"/>
      <c r="W311" s="131"/>
      <c r="X311" s="131"/>
      <c r="Y311" s="131"/>
      <c r="Z311" s="131"/>
      <c r="AA311" s="131"/>
      <c r="AB311" s="131"/>
      <c r="AC311" s="131"/>
      <c r="AD311" s="131"/>
      <c r="AE311" s="131"/>
      <c r="AF311" s="158">
        <f t="shared" si="22"/>
        <v>0</v>
      </c>
      <c r="AG311" s="159"/>
      <c r="AH311" s="155"/>
      <c r="AI311" s="155" t="s">
        <v>83</v>
      </c>
      <c r="AJ311" s="131" t="str">
        <f>IFERROR(VLOOKUP(E311&amp;F311,'Listagem dos op'!A:S,19,0),"")</f>
        <v/>
      </c>
      <c r="AK311" s="131" t="str">
        <f t="shared" si="21"/>
        <v>Jan1512</v>
      </c>
      <c r="AL311" s="154" t="str">
        <f>IF(N311="","",IF(N311="SIM",VLOOKUP($I311&amp;$J311&amp;N$1,Pesos!$A:$I,7,FALSE),VLOOKUP($I311&amp;$J311&amp;N$1,Pesos!$A:$I,9,FALSE)))</f>
        <v/>
      </c>
      <c r="AM311" s="154" t="str">
        <f>IF(O311="","",IF(O311="SIM",VLOOKUP($I311&amp;$J311&amp;O$1,Pesos!$A:$I,7,FALSE),VLOOKUP($I311&amp;$J311&amp;O$1,Pesos!$A:$I,9,FALSE)))</f>
        <v/>
      </c>
      <c r="AN311" s="154" t="str">
        <f>IF(P311="","",IF(P311="SIM",VLOOKUP($I311&amp;$J311&amp;P$1,Pesos!$A:$I,7,FALSE),VLOOKUP($I311&amp;$J311&amp;P$1,Pesos!$A:$I,9,FALSE)))</f>
        <v/>
      </c>
      <c r="AO311" s="154" t="str">
        <f>IF(Q311="","",IF(Q311="SIM",VLOOKUP($I311&amp;$J311&amp;Q$1,Pesos!$A:$I,7,FALSE),VLOOKUP($I311&amp;$J311&amp;Q$1,Pesos!$A:$I,9,FALSE)))</f>
        <v/>
      </c>
      <c r="AP311" s="154" t="str">
        <f>IF(R311="","",IF(R311="SIM",VLOOKUP($I311&amp;$J311&amp;R$1,Pesos!$A:$I,7,FALSE),VLOOKUP($I311&amp;$J311&amp;R$1,Pesos!$A:$I,9,FALSE)))</f>
        <v/>
      </c>
      <c r="AQ311" s="154" t="str">
        <f>IF(S311="","",IF(S311="SIM",VLOOKUP($I311&amp;$J311&amp;S$1,Pesos!$A:$I,7,FALSE),VLOOKUP($I311&amp;$J311&amp;S$1,Pesos!$A:$I,9,FALSE)))</f>
        <v/>
      </c>
      <c r="AR311" s="156" t="str">
        <f>IF(T311="","",IF(T311="SIM",VLOOKUP($I311&amp;$J311&amp;T$1,Pesos!$A:$I,7,FALSE),VLOOKUP($I311&amp;$J311&amp;T$1,Pesos!$A:$I,9,FALSE)))</f>
        <v/>
      </c>
      <c r="AS311" s="132" t="str">
        <f>IF(U311="","",IF(U311="SIM",VLOOKUP($I311&amp;$J311&amp;U$1,Pesos!$A:$I,7,FALSE),VLOOKUP($I311&amp;$J311&amp;U$1,Pesos!$A:$I,9,FALSE)))</f>
        <v/>
      </c>
      <c r="AT311" s="132" t="str">
        <f>IF(V311="","",IF(V311="SIM",VLOOKUP($I311&amp;$J311&amp;V$1,Pesos!$A:$I,7,FALSE),VLOOKUP($I311&amp;$J311&amp;V$1,Pesos!$A:$I,9,FALSE)))</f>
        <v/>
      </c>
      <c r="AU311" s="132" t="str">
        <f>IF(W311="","",IF(W311="SIM",VLOOKUP($I311&amp;$J311&amp;W$1,Pesos!$A:$I,7,FALSE),VLOOKUP($I311&amp;$J311&amp;W$1,Pesos!$A:$I,9,FALSE)))</f>
        <v/>
      </c>
      <c r="AV311" s="132" t="str">
        <f>IF(X311="","",IF(X311="SIM",VLOOKUP($I311&amp;$J311&amp;X$1,Pesos!$A:$I,7,FALSE),VLOOKUP($I311&amp;$J311&amp;X$1,Pesos!$A:$I,9,FALSE)))</f>
        <v/>
      </c>
      <c r="AW311" s="132" t="str">
        <f>IF(Y311="","",IF(Y311="SIM",VLOOKUP($I311&amp;$J311&amp;Y$1,Pesos!$A:$I,7,FALSE),VLOOKUP($I311&amp;$J311&amp;Y$1,Pesos!$A:$I,9,FALSE)))</f>
        <v/>
      </c>
      <c r="AX311" s="132" t="str">
        <f>IF(Z311="","",IF(Z311="SIM",VLOOKUP($I311&amp;$J311&amp;Z$1,Pesos!$A:$I,7,FALSE),VLOOKUP($I311&amp;$J311&amp;Z$1,Pesos!$A:$I,9,FALSE)))</f>
        <v/>
      </c>
      <c r="AY311" s="132" t="str">
        <f>IF(AA311="","",IF(AA311="SIM",VLOOKUP($I311&amp;$J311&amp;AA$1,Pesos!$A:$I,7,FALSE),VLOOKUP($I311&amp;$J311&amp;AA$1,Pesos!$A:$I,9,FALSE)))</f>
        <v/>
      </c>
      <c r="AZ311" s="132" t="str">
        <f>IF(AB311="","",IF(AB311="SIM",VLOOKUP($I311&amp;$J311&amp;AB$1,Pesos!$A:$I,7,FALSE),VLOOKUP($I311&amp;$J311&amp;AB$1,Pesos!$A:$I,9,FALSE)))</f>
        <v/>
      </c>
      <c r="BA311" s="132" t="str">
        <f>IF(AC311="","",IF(AC311="SIM",VLOOKUP($I311&amp;$J311&amp;AC$1,Pesos!$A:$I,7,FALSE),VLOOKUP($I311&amp;$J311&amp;AC$1,Pesos!$A:$I,9,FALSE)))</f>
        <v/>
      </c>
      <c r="BB311" s="132" t="str">
        <f>IF(AD311="","",IF(AD311="SIM",VLOOKUP($I311&amp;$J311&amp;AD$1,Pesos!$A:$I,7,FALSE),VLOOKUP($I311&amp;$J311&amp;AD$1,Pesos!$A:$I,9,FALSE)))</f>
        <v/>
      </c>
      <c r="BC311" s="132" t="str">
        <f>IF(AE311="","",IF(AE311="SIM",VLOOKUP($I311&amp;$J311&amp;AE$1,Pesos!$A:$I,7,FALSE),VLOOKUP($I311&amp;$J311&amp;AE$1,Pesos!$A:$I,9,FALSE)))</f>
        <v/>
      </c>
      <c r="BD311" s="158" t="str">
        <f>IFERROR(AF311*VLOOKUP(J311,'BD Campos'!$X$1:$Y$14,2,FALSE),"0")</f>
        <v>0</v>
      </c>
    </row>
    <row r="312" spans="1:56">
      <c r="A312" s="151" t="str">
        <f t="shared" si="19"/>
        <v>Jan1512Polícia 2BAS</v>
      </c>
      <c r="B312" s="149" t="str">
        <f t="shared" si="20"/>
        <v>Jan15122BASPADRÃO</v>
      </c>
      <c r="C312" s="152">
        <v>1</v>
      </c>
      <c r="D312" s="153">
        <v>46059.780829745374</v>
      </c>
      <c r="E312" s="154" t="s">
        <v>12</v>
      </c>
      <c r="F312" s="155">
        <v>1512</v>
      </c>
      <c r="G312" s="149" t="s">
        <v>525</v>
      </c>
      <c r="H312" s="154">
        <v>2</v>
      </c>
      <c r="I312" s="149" t="s">
        <v>485</v>
      </c>
      <c r="J312" s="149" t="s">
        <v>225</v>
      </c>
      <c r="K312" s="149" t="s">
        <v>223</v>
      </c>
      <c r="L312" s="156"/>
      <c r="M312" s="157"/>
      <c r="N312" s="131"/>
      <c r="O312" s="131"/>
      <c r="P312" s="131"/>
      <c r="Q312" s="131"/>
      <c r="R312" s="131"/>
      <c r="S312" s="131"/>
      <c r="T312" s="131"/>
      <c r="U312" s="131"/>
      <c r="V312" s="131"/>
      <c r="W312" s="131"/>
      <c r="X312" s="131"/>
      <c r="Y312" s="131"/>
      <c r="Z312" s="131"/>
      <c r="AA312" s="131"/>
      <c r="AB312" s="131"/>
      <c r="AC312" s="131"/>
      <c r="AD312" s="131"/>
      <c r="AE312" s="131"/>
      <c r="AF312" s="158">
        <f t="shared" si="22"/>
        <v>0</v>
      </c>
      <c r="AG312" s="159"/>
      <c r="AH312" s="155"/>
      <c r="AI312" s="155" t="s">
        <v>83</v>
      </c>
      <c r="AJ312" s="131" t="str">
        <f>IFERROR(VLOOKUP(E312&amp;F312,'Listagem dos op'!A:S,19,0),"")</f>
        <v/>
      </c>
      <c r="AK312" s="131" t="str">
        <f t="shared" si="21"/>
        <v>Jan1512</v>
      </c>
      <c r="AL312" s="154" t="str">
        <f>IF(N312="","",IF(N312="SIM",VLOOKUP($I312&amp;$J312&amp;N$1,Pesos!$A:$I,7,FALSE),VLOOKUP($I312&amp;$J312&amp;N$1,Pesos!$A:$I,9,FALSE)))</f>
        <v/>
      </c>
      <c r="AM312" s="154" t="str">
        <f>IF(O312="","",IF(O312="SIM",VLOOKUP($I312&amp;$J312&amp;O$1,Pesos!$A:$I,7,FALSE),VLOOKUP($I312&amp;$J312&amp;O$1,Pesos!$A:$I,9,FALSE)))</f>
        <v/>
      </c>
      <c r="AN312" s="154" t="str">
        <f>IF(P312="","",IF(P312="SIM",VLOOKUP($I312&amp;$J312&amp;P$1,Pesos!$A:$I,7,FALSE),VLOOKUP($I312&amp;$J312&amp;P$1,Pesos!$A:$I,9,FALSE)))</f>
        <v/>
      </c>
      <c r="AO312" s="154" t="str">
        <f>IF(Q312="","",IF(Q312="SIM",VLOOKUP($I312&amp;$J312&amp;Q$1,Pesos!$A:$I,7,FALSE),VLOOKUP($I312&amp;$J312&amp;Q$1,Pesos!$A:$I,9,FALSE)))</f>
        <v/>
      </c>
      <c r="AP312" s="154" t="str">
        <f>IF(R312="","",IF(R312="SIM",VLOOKUP($I312&amp;$J312&amp;R$1,Pesos!$A:$I,7,FALSE),VLOOKUP($I312&amp;$J312&amp;R$1,Pesos!$A:$I,9,FALSE)))</f>
        <v/>
      </c>
      <c r="AQ312" s="154" t="str">
        <f>IF(S312="","",IF(S312="SIM",VLOOKUP($I312&amp;$J312&amp;S$1,Pesos!$A:$I,7,FALSE),VLOOKUP($I312&amp;$J312&amp;S$1,Pesos!$A:$I,9,FALSE)))</f>
        <v/>
      </c>
      <c r="AR312" s="156" t="str">
        <f>IF(T312="","",IF(T312="SIM",VLOOKUP($I312&amp;$J312&amp;T$1,Pesos!$A:$I,7,FALSE),VLOOKUP($I312&amp;$J312&amp;T$1,Pesos!$A:$I,9,FALSE)))</f>
        <v/>
      </c>
      <c r="AS312" s="132" t="str">
        <f>IF(U312="","",IF(U312="SIM",VLOOKUP($I312&amp;$J312&amp;U$1,Pesos!$A:$I,7,FALSE),VLOOKUP($I312&amp;$J312&amp;U$1,Pesos!$A:$I,9,FALSE)))</f>
        <v/>
      </c>
      <c r="AT312" s="132" t="str">
        <f>IF(V312="","",IF(V312="SIM",VLOOKUP($I312&amp;$J312&amp;V$1,Pesos!$A:$I,7,FALSE),VLOOKUP($I312&amp;$J312&amp;V$1,Pesos!$A:$I,9,FALSE)))</f>
        <v/>
      </c>
      <c r="AU312" s="132" t="str">
        <f>IF(W312="","",IF(W312="SIM",VLOOKUP($I312&amp;$J312&amp;W$1,Pesos!$A:$I,7,FALSE),VLOOKUP($I312&amp;$J312&amp;W$1,Pesos!$A:$I,9,FALSE)))</f>
        <v/>
      </c>
      <c r="AV312" s="132" t="str">
        <f>IF(X312="","",IF(X312="SIM",VLOOKUP($I312&amp;$J312&amp;X$1,Pesos!$A:$I,7,FALSE),VLOOKUP($I312&amp;$J312&amp;X$1,Pesos!$A:$I,9,FALSE)))</f>
        <v/>
      </c>
      <c r="AW312" s="132" t="str">
        <f>IF(Y312="","",IF(Y312="SIM",VLOOKUP($I312&amp;$J312&amp;Y$1,Pesos!$A:$I,7,FALSE),VLOOKUP($I312&amp;$J312&amp;Y$1,Pesos!$A:$I,9,FALSE)))</f>
        <v/>
      </c>
      <c r="AX312" s="132" t="str">
        <f>IF(Z312="","",IF(Z312="SIM",VLOOKUP($I312&amp;$J312&amp;Z$1,Pesos!$A:$I,7,FALSE),VLOOKUP($I312&amp;$J312&amp;Z$1,Pesos!$A:$I,9,FALSE)))</f>
        <v/>
      </c>
      <c r="AY312" s="132" t="str">
        <f>IF(AA312="","",IF(AA312="SIM",VLOOKUP($I312&amp;$J312&amp;AA$1,Pesos!$A:$I,7,FALSE),VLOOKUP($I312&amp;$J312&amp;AA$1,Pesos!$A:$I,9,FALSE)))</f>
        <v/>
      </c>
      <c r="AZ312" s="132" t="str">
        <f>IF(AB312="","",IF(AB312="SIM",VLOOKUP($I312&amp;$J312&amp;AB$1,Pesos!$A:$I,7,FALSE),VLOOKUP($I312&amp;$J312&amp;AB$1,Pesos!$A:$I,9,FALSE)))</f>
        <v/>
      </c>
      <c r="BA312" s="132" t="str">
        <f>IF(AC312="","",IF(AC312="SIM",VLOOKUP($I312&amp;$J312&amp;AC$1,Pesos!$A:$I,7,FALSE),VLOOKUP($I312&amp;$J312&amp;AC$1,Pesos!$A:$I,9,FALSE)))</f>
        <v/>
      </c>
      <c r="BB312" s="132" t="str">
        <f>IF(AD312="","",IF(AD312="SIM",VLOOKUP($I312&amp;$J312&amp;AD$1,Pesos!$A:$I,7,FALSE),VLOOKUP($I312&amp;$J312&amp;AD$1,Pesos!$A:$I,9,FALSE)))</f>
        <v/>
      </c>
      <c r="BC312" s="132" t="str">
        <f>IF(AE312="","",IF(AE312="SIM",VLOOKUP($I312&amp;$J312&amp;AE$1,Pesos!$A:$I,7,FALSE),VLOOKUP($I312&amp;$J312&amp;AE$1,Pesos!$A:$I,9,FALSE)))</f>
        <v/>
      </c>
      <c r="BD312" s="158" t="str">
        <f>IFERROR(AF312*VLOOKUP(J312,'BD Campos'!$X$1:$Y$14,2,FALSE),"0")</f>
        <v>0</v>
      </c>
    </row>
    <row r="313" spans="1:56">
      <c r="A313" s="151" t="str">
        <f t="shared" si="19"/>
        <v>Jan1700PolíciaBAS</v>
      </c>
      <c r="B313" s="149" t="str">
        <f t="shared" si="20"/>
        <v>Jan17001BASPADRÃO</v>
      </c>
      <c r="C313" s="152">
        <v>1</v>
      </c>
      <c r="D313" s="153">
        <v>46059.781066550924</v>
      </c>
      <c r="E313" s="154" t="s">
        <v>12</v>
      </c>
      <c r="F313" s="155">
        <v>1700</v>
      </c>
      <c r="G313" s="149" t="s">
        <v>526</v>
      </c>
      <c r="H313" s="154">
        <v>1</v>
      </c>
      <c r="I313" s="149" t="s">
        <v>485</v>
      </c>
      <c r="J313" s="149" t="s">
        <v>222</v>
      </c>
      <c r="K313" s="149" t="s">
        <v>223</v>
      </c>
      <c r="L313" s="156"/>
      <c r="M313" s="157"/>
      <c r="N313" s="131"/>
      <c r="O313" s="131"/>
      <c r="P313" s="131"/>
      <c r="Q313" s="131"/>
      <c r="R313" s="131"/>
      <c r="S313" s="131"/>
      <c r="T313" s="131"/>
      <c r="U313" s="131"/>
      <c r="V313" s="131"/>
      <c r="W313" s="131"/>
      <c r="X313" s="131"/>
      <c r="Y313" s="131"/>
      <c r="Z313" s="131"/>
      <c r="AA313" s="131"/>
      <c r="AB313" s="131"/>
      <c r="AC313" s="131"/>
      <c r="AD313" s="131"/>
      <c r="AE313" s="131"/>
      <c r="AF313" s="158">
        <f t="shared" si="22"/>
        <v>0</v>
      </c>
      <c r="AG313" s="159"/>
      <c r="AH313" s="155"/>
      <c r="AI313" s="155" t="s">
        <v>83</v>
      </c>
      <c r="AJ313" s="131" t="str">
        <f>IFERROR(VLOOKUP(E313&amp;F313,'Listagem dos op'!A:S,19,0),"")</f>
        <v/>
      </c>
      <c r="AK313" s="131" t="str">
        <f t="shared" si="21"/>
        <v>Jan1700</v>
      </c>
      <c r="AL313" s="154" t="str">
        <f>IF(N313="","",IF(N313="SIM",VLOOKUP($I313&amp;$J313&amp;N$1,Pesos!$A:$I,7,FALSE),VLOOKUP($I313&amp;$J313&amp;N$1,Pesos!$A:$I,9,FALSE)))</f>
        <v/>
      </c>
      <c r="AM313" s="154" t="str">
        <f>IF(O313="","",IF(O313="SIM",VLOOKUP($I313&amp;$J313&amp;O$1,Pesos!$A:$I,7,FALSE),VLOOKUP($I313&amp;$J313&amp;O$1,Pesos!$A:$I,9,FALSE)))</f>
        <v/>
      </c>
      <c r="AN313" s="154" t="str">
        <f>IF(P313="","",IF(P313="SIM",VLOOKUP($I313&amp;$J313&amp;P$1,Pesos!$A:$I,7,FALSE),VLOOKUP($I313&amp;$J313&amp;P$1,Pesos!$A:$I,9,FALSE)))</f>
        <v/>
      </c>
      <c r="AO313" s="154" t="str">
        <f>IF(Q313="","",IF(Q313="SIM",VLOOKUP($I313&amp;$J313&amp;Q$1,Pesos!$A:$I,7,FALSE),VLOOKUP($I313&amp;$J313&amp;Q$1,Pesos!$A:$I,9,FALSE)))</f>
        <v/>
      </c>
      <c r="AP313" s="154" t="str">
        <f>IF(R313="","",IF(R313="SIM",VLOOKUP($I313&amp;$J313&amp;R$1,Pesos!$A:$I,7,FALSE),VLOOKUP($I313&amp;$J313&amp;R$1,Pesos!$A:$I,9,FALSE)))</f>
        <v/>
      </c>
      <c r="AQ313" s="154" t="str">
        <f>IF(S313="","",IF(S313="SIM",VLOOKUP($I313&amp;$J313&amp;S$1,Pesos!$A:$I,7,FALSE),VLOOKUP($I313&amp;$J313&amp;S$1,Pesos!$A:$I,9,FALSE)))</f>
        <v/>
      </c>
      <c r="AR313" s="156" t="str">
        <f>IF(T313="","",IF(T313="SIM",VLOOKUP($I313&amp;$J313&amp;T$1,Pesos!$A:$I,7,FALSE),VLOOKUP($I313&amp;$J313&amp;T$1,Pesos!$A:$I,9,FALSE)))</f>
        <v/>
      </c>
      <c r="AS313" s="132" t="str">
        <f>IF(U313="","",IF(U313="SIM",VLOOKUP($I313&amp;$J313&amp;U$1,Pesos!$A:$I,7,FALSE),VLOOKUP($I313&amp;$J313&amp;U$1,Pesos!$A:$I,9,FALSE)))</f>
        <v/>
      </c>
      <c r="AT313" s="132" t="str">
        <f>IF(V313="","",IF(V313="SIM",VLOOKUP($I313&amp;$J313&amp;V$1,Pesos!$A:$I,7,FALSE),VLOOKUP($I313&amp;$J313&amp;V$1,Pesos!$A:$I,9,FALSE)))</f>
        <v/>
      </c>
      <c r="AU313" s="132" t="str">
        <f>IF(W313="","",IF(W313="SIM",VLOOKUP($I313&amp;$J313&amp;W$1,Pesos!$A:$I,7,FALSE),VLOOKUP($I313&amp;$J313&amp;W$1,Pesos!$A:$I,9,FALSE)))</f>
        <v/>
      </c>
      <c r="AV313" s="132" t="str">
        <f>IF(X313="","",IF(X313="SIM",VLOOKUP($I313&amp;$J313&amp;X$1,Pesos!$A:$I,7,FALSE),VLOOKUP($I313&amp;$J313&amp;X$1,Pesos!$A:$I,9,FALSE)))</f>
        <v/>
      </c>
      <c r="AW313" s="132" t="str">
        <f>IF(Y313="","",IF(Y313="SIM",VLOOKUP($I313&amp;$J313&amp;Y$1,Pesos!$A:$I,7,FALSE),VLOOKUP($I313&amp;$J313&amp;Y$1,Pesos!$A:$I,9,FALSE)))</f>
        <v/>
      </c>
      <c r="AX313" s="132" t="str">
        <f>IF(Z313="","",IF(Z313="SIM",VLOOKUP($I313&amp;$J313&amp;Z$1,Pesos!$A:$I,7,FALSE),VLOOKUP($I313&amp;$J313&amp;Z$1,Pesos!$A:$I,9,FALSE)))</f>
        <v/>
      </c>
      <c r="AY313" s="132" t="str">
        <f>IF(AA313="","",IF(AA313="SIM",VLOOKUP($I313&amp;$J313&amp;AA$1,Pesos!$A:$I,7,FALSE),VLOOKUP($I313&amp;$J313&amp;AA$1,Pesos!$A:$I,9,FALSE)))</f>
        <v/>
      </c>
      <c r="AZ313" s="132" t="str">
        <f>IF(AB313="","",IF(AB313="SIM",VLOOKUP($I313&amp;$J313&amp;AB$1,Pesos!$A:$I,7,FALSE),VLOOKUP($I313&amp;$J313&amp;AB$1,Pesos!$A:$I,9,FALSE)))</f>
        <v/>
      </c>
      <c r="BA313" s="132" t="str">
        <f>IF(AC313="","",IF(AC313="SIM",VLOOKUP($I313&amp;$J313&amp;AC$1,Pesos!$A:$I,7,FALSE),VLOOKUP($I313&amp;$J313&amp;AC$1,Pesos!$A:$I,9,FALSE)))</f>
        <v/>
      </c>
      <c r="BB313" s="132" t="str">
        <f>IF(AD313="","",IF(AD313="SIM",VLOOKUP($I313&amp;$J313&amp;AD$1,Pesos!$A:$I,7,FALSE),VLOOKUP($I313&amp;$J313&amp;AD$1,Pesos!$A:$I,9,FALSE)))</f>
        <v/>
      </c>
      <c r="BC313" s="132" t="str">
        <f>IF(AE313="","",IF(AE313="SIM",VLOOKUP($I313&amp;$J313&amp;AE$1,Pesos!$A:$I,7,FALSE),VLOOKUP($I313&amp;$J313&amp;AE$1,Pesos!$A:$I,9,FALSE)))</f>
        <v/>
      </c>
      <c r="BD313" s="158" t="str">
        <f>IFERROR(AF313*VLOOKUP(J313,'BD Campos'!$X$1:$Y$14,2,FALSE),"0")</f>
        <v>0</v>
      </c>
    </row>
    <row r="314" spans="1:56">
      <c r="A314" s="151" t="str">
        <f t="shared" si="19"/>
        <v>Jan1700Polícia 2BAS</v>
      </c>
      <c r="B314" s="149" t="str">
        <f t="shared" si="20"/>
        <v>Jan17002BASPADRÃO</v>
      </c>
      <c r="C314" s="152">
        <v>1</v>
      </c>
      <c r="D314" s="153">
        <v>46059.781119907406</v>
      </c>
      <c r="E314" s="154" t="s">
        <v>12</v>
      </c>
      <c r="F314" s="155">
        <v>1700</v>
      </c>
      <c r="G314" s="149" t="s">
        <v>526</v>
      </c>
      <c r="H314" s="154">
        <v>2</v>
      </c>
      <c r="I314" s="149" t="s">
        <v>485</v>
      </c>
      <c r="J314" s="149" t="s">
        <v>225</v>
      </c>
      <c r="K314" s="149" t="s">
        <v>223</v>
      </c>
      <c r="L314" s="156"/>
      <c r="M314" s="157"/>
      <c r="N314" s="131"/>
      <c r="O314" s="131"/>
      <c r="P314" s="131"/>
      <c r="Q314" s="131"/>
      <c r="R314" s="131"/>
      <c r="S314" s="131"/>
      <c r="T314" s="131"/>
      <c r="U314" s="131"/>
      <c r="V314" s="131"/>
      <c r="W314" s="131"/>
      <c r="X314" s="131"/>
      <c r="Y314" s="131"/>
      <c r="Z314" s="131"/>
      <c r="AA314" s="131"/>
      <c r="AB314" s="131"/>
      <c r="AC314" s="131"/>
      <c r="AD314" s="131"/>
      <c r="AE314" s="131"/>
      <c r="AF314" s="158">
        <f t="shared" si="22"/>
        <v>0</v>
      </c>
      <c r="AG314" s="159"/>
      <c r="AH314" s="155"/>
      <c r="AI314" s="155" t="s">
        <v>83</v>
      </c>
      <c r="AJ314" s="131" t="str">
        <f>IFERROR(VLOOKUP(E314&amp;F314,'Listagem dos op'!A:S,19,0),"")</f>
        <v/>
      </c>
      <c r="AK314" s="131" t="str">
        <f t="shared" si="21"/>
        <v>Jan1700</v>
      </c>
      <c r="AL314" s="154" t="str">
        <f>IF(N314="","",IF(N314="SIM",VLOOKUP($I314&amp;$J314&amp;N$1,Pesos!$A:$I,7,FALSE),VLOOKUP($I314&amp;$J314&amp;N$1,Pesos!$A:$I,9,FALSE)))</f>
        <v/>
      </c>
      <c r="AM314" s="154" t="str">
        <f>IF(O314="","",IF(O314="SIM",VLOOKUP($I314&amp;$J314&amp;O$1,Pesos!$A:$I,7,FALSE),VLOOKUP($I314&amp;$J314&amp;O$1,Pesos!$A:$I,9,FALSE)))</f>
        <v/>
      </c>
      <c r="AN314" s="154" t="str">
        <f>IF(P314="","",IF(P314="SIM",VLOOKUP($I314&amp;$J314&amp;P$1,Pesos!$A:$I,7,FALSE),VLOOKUP($I314&amp;$J314&amp;P$1,Pesos!$A:$I,9,FALSE)))</f>
        <v/>
      </c>
      <c r="AO314" s="154" t="str">
        <f>IF(Q314="","",IF(Q314="SIM",VLOOKUP($I314&amp;$J314&amp;Q$1,Pesos!$A:$I,7,FALSE),VLOOKUP($I314&amp;$J314&amp;Q$1,Pesos!$A:$I,9,FALSE)))</f>
        <v/>
      </c>
      <c r="AP314" s="154" t="str">
        <f>IF(R314="","",IF(R314="SIM",VLOOKUP($I314&amp;$J314&amp;R$1,Pesos!$A:$I,7,FALSE),VLOOKUP($I314&amp;$J314&amp;R$1,Pesos!$A:$I,9,FALSE)))</f>
        <v/>
      </c>
      <c r="AQ314" s="154" t="str">
        <f>IF(S314="","",IF(S314="SIM",VLOOKUP($I314&amp;$J314&amp;S$1,Pesos!$A:$I,7,FALSE),VLOOKUP($I314&amp;$J314&amp;S$1,Pesos!$A:$I,9,FALSE)))</f>
        <v/>
      </c>
      <c r="AR314" s="156" t="str">
        <f>IF(T314="","",IF(T314="SIM",VLOOKUP($I314&amp;$J314&amp;T$1,Pesos!$A:$I,7,FALSE),VLOOKUP($I314&amp;$J314&amp;T$1,Pesos!$A:$I,9,FALSE)))</f>
        <v/>
      </c>
      <c r="AS314" s="132" t="str">
        <f>IF(U314="","",IF(U314="SIM",VLOOKUP($I314&amp;$J314&amp;U$1,Pesos!$A:$I,7,FALSE),VLOOKUP($I314&amp;$J314&amp;U$1,Pesos!$A:$I,9,FALSE)))</f>
        <v/>
      </c>
      <c r="AT314" s="132" t="str">
        <f>IF(V314="","",IF(V314="SIM",VLOOKUP($I314&amp;$J314&amp;V$1,Pesos!$A:$I,7,FALSE),VLOOKUP($I314&amp;$J314&amp;V$1,Pesos!$A:$I,9,FALSE)))</f>
        <v/>
      </c>
      <c r="AU314" s="132" t="str">
        <f>IF(W314="","",IF(W314="SIM",VLOOKUP($I314&amp;$J314&amp;W$1,Pesos!$A:$I,7,FALSE),VLOOKUP($I314&amp;$J314&amp;W$1,Pesos!$A:$I,9,FALSE)))</f>
        <v/>
      </c>
      <c r="AV314" s="132" t="str">
        <f>IF(X314="","",IF(X314="SIM",VLOOKUP($I314&amp;$J314&amp;X$1,Pesos!$A:$I,7,FALSE),VLOOKUP($I314&amp;$J314&amp;X$1,Pesos!$A:$I,9,FALSE)))</f>
        <v/>
      </c>
      <c r="AW314" s="132" t="str">
        <f>IF(Y314="","",IF(Y314="SIM",VLOOKUP($I314&amp;$J314&amp;Y$1,Pesos!$A:$I,7,FALSE),VLOOKUP($I314&amp;$J314&amp;Y$1,Pesos!$A:$I,9,FALSE)))</f>
        <v/>
      </c>
      <c r="AX314" s="132" t="str">
        <f>IF(Z314="","",IF(Z314="SIM",VLOOKUP($I314&amp;$J314&amp;Z$1,Pesos!$A:$I,7,FALSE),VLOOKUP($I314&amp;$J314&amp;Z$1,Pesos!$A:$I,9,FALSE)))</f>
        <v/>
      </c>
      <c r="AY314" s="132" t="str">
        <f>IF(AA314="","",IF(AA314="SIM",VLOOKUP($I314&amp;$J314&amp;AA$1,Pesos!$A:$I,7,FALSE),VLOOKUP($I314&amp;$J314&amp;AA$1,Pesos!$A:$I,9,FALSE)))</f>
        <v/>
      </c>
      <c r="AZ314" s="132" t="str">
        <f>IF(AB314="","",IF(AB314="SIM",VLOOKUP($I314&amp;$J314&amp;AB$1,Pesos!$A:$I,7,FALSE),VLOOKUP($I314&amp;$J314&amp;AB$1,Pesos!$A:$I,9,FALSE)))</f>
        <v/>
      </c>
      <c r="BA314" s="132" t="str">
        <f>IF(AC314="","",IF(AC314="SIM",VLOOKUP($I314&amp;$J314&amp;AC$1,Pesos!$A:$I,7,FALSE),VLOOKUP($I314&amp;$J314&amp;AC$1,Pesos!$A:$I,9,FALSE)))</f>
        <v/>
      </c>
      <c r="BB314" s="132" t="str">
        <f>IF(AD314="","",IF(AD314="SIM",VLOOKUP($I314&amp;$J314&amp;AD$1,Pesos!$A:$I,7,FALSE),VLOOKUP($I314&amp;$J314&amp;AD$1,Pesos!$A:$I,9,FALSE)))</f>
        <v/>
      </c>
      <c r="BC314" s="132" t="str">
        <f>IF(AE314="","",IF(AE314="SIM",VLOOKUP($I314&amp;$J314&amp;AE$1,Pesos!$A:$I,7,FALSE),VLOOKUP($I314&amp;$J314&amp;AE$1,Pesos!$A:$I,9,FALSE)))</f>
        <v/>
      </c>
      <c r="BD314" s="158" t="str">
        <f>IFERROR(AF314*VLOOKUP(J314,'BD Campos'!$X$1:$Y$14,2,FALSE),"0")</f>
        <v>0</v>
      </c>
    </row>
    <row r="315" spans="1:56">
      <c r="A315" s="151" t="str">
        <f t="shared" si="19"/>
        <v>Jan11241TRANSFERÊNCIA</v>
      </c>
      <c r="B315" s="149" t="str">
        <f t="shared" si="20"/>
        <v>Jan112411TRANSFERÊNCIAPADRÃO</v>
      </c>
      <c r="C315" s="152">
        <v>1</v>
      </c>
      <c r="D315" s="153">
        <v>46059.782124421297</v>
      </c>
      <c r="E315" s="154" t="s">
        <v>12</v>
      </c>
      <c r="F315" s="155">
        <v>11241</v>
      </c>
      <c r="G315" s="149" t="s">
        <v>527</v>
      </c>
      <c r="H315" s="154">
        <v>1</v>
      </c>
      <c r="I315" s="149" t="s">
        <v>485</v>
      </c>
      <c r="J315" s="149"/>
      <c r="K315" s="149" t="s">
        <v>192</v>
      </c>
      <c r="L315" s="156"/>
      <c r="M315" s="157"/>
      <c r="N315" s="131"/>
      <c r="O315" s="131"/>
      <c r="P315" s="131"/>
      <c r="Q315" s="131"/>
      <c r="R315" s="131"/>
      <c r="S315" s="131"/>
      <c r="T315" s="131"/>
      <c r="U315" s="131"/>
      <c r="V315" s="131"/>
      <c r="W315" s="131"/>
      <c r="X315" s="131"/>
      <c r="Y315" s="131"/>
      <c r="Z315" s="131"/>
      <c r="AA315" s="131"/>
      <c r="AB315" s="131"/>
      <c r="AC315" s="131"/>
      <c r="AD315" s="131"/>
      <c r="AE315" s="131"/>
      <c r="AF315" s="158">
        <f t="shared" si="22"/>
        <v>0</v>
      </c>
      <c r="AG315" s="159"/>
      <c r="AH315" s="155"/>
      <c r="AI315" s="155" t="s">
        <v>83</v>
      </c>
      <c r="AJ315" s="131" t="str">
        <f>IFERROR(VLOOKUP(E315&amp;F315,'Listagem dos op'!A:S,19,0),"")</f>
        <v/>
      </c>
      <c r="AK315" s="131" t="str">
        <f t="shared" si="21"/>
        <v>Jan11241</v>
      </c>
      <c r="AL315" s="154" t="str">
        <f>IF(N315="","",IF(N315="SIM",VLOOKUP($I315&amp;$J315&amp;N$1,Pesos!$A:$I,7,FALSE),VLOOKUP($I315&amp;$J315&amp;N$1,Pesos!$A:$I,9,FALSE)))</f>
        <v/>
      </c>
      <c r="AM315" s="154" t="str">
        <f>IF(O315="","",IF(O315="SIM",VLOOKUP($I315&amp;$J315&amp;O$1,Pesos!$A:$I,7,FALSE),VLOOKUP($I315&amp;$J315&amp;O$1,Pesos!$A:$I,9,FALSE)))</f>
        <v/>
      </c>
      <c r="AN315" s="154" t="str">
        <f>IF(P315="","",IF(P315="SIM",VLOOKUP($I315&amp;$J315&amp;P$1,Pesos!$A:$I,7,FALSE),VLOOKUP($I315&amp;$J315&amp;P$1,Pesos!$A:$I,9,FALSE)))</f>
        <v/>
      </c>
      <c r="AO315" s="154" t="str">
        <f>IF(Q315="","",IF(Q315="SIM",VLOOKUP($I315&amp;$J315&amp;Q$1,Pesos!$A:$I,7,FALSE),VLOOKUP($I315&amp;$J315&amp;Q$1,Pesos!$A:$I,9,FALSE)))</f>
        <v/>
      </c>
      <c r="AP315" s="154" t="str">
        <f>IF(R315="","",IF(R315="SIM",VLOOKUP($I315&amp;$J315&amp;R$1,Pesos!$A:$I,7,FALSE),VLOOKUP($I315&amp;$J315&amp;R$1,Pesos!$A:$I,9,FALSE)))</f>
        <v/>
      </c>
      <c r="AQ315" s="154" t="str">
        <f>IF(S315="","",IF(S315="SIM",VLOOKUP($I315&amp;$J315&amp;S$1,Pesos!$A:$I,7,FALSE),VLOOKUP($I315&amp;$J315&amp;S$1,Pesos!$A:$I,9,FALSE)))</f>
        <v/>
      </c>
      <c r="AR315" s="156" t="str">
        <f>IF(T315="","",IF(T315="SIM",VLOOKUP($I315&amp;$J315&amp;T$1,Pesos!$A:$I,7,FALSE),VLOOKUP($I315&amp;$J315&amp;T$1,Pesos!$A:$I,9,FALSE)))</f>
        <v/>
      </c>
      <c r="AS315" s="132" t="str">
        <f>IF(U315="","",IF(U315="SIM",VLOOKUP($I315&amp;$J315&amp;U$1,Pesos!$A:$I,7,FALSE),VLOOKUP($I315&amp;$J315&amp;U$1,Pesos!$A:$I,9,FALSE)))</f>
        <v/>
      </c>
      <c r="AT315" s="132" t="str">
        <f>IF(V315="","",IF(V315="SIM",VLOOKUP($I315&amp;$J315&amp;V$1,Pesos!$A:$I,7,FALSE),VLOOKUP($I315&amp;$J315&amp;V$1,Pesos!$A:$I,9,FALSE)))</f>
        <v/>
      </c>
      <c r="AU315" s="132" t="str">
        <f>IF(W315="","",IF(W315="SIM",VLOOKUP($I315&amp;$J315&amp;W$1,Pesos!$A:$I,7,FALSE),VLOOKUP($I315&amp;$J315&amp;W$1,Pesos!$A:$I,9,FALSE)))</f>
        <v/>
      </c>
      <c r="AV315" s="132" t="str">
        <f>IF(X315="","",IF(X315="SIM",VLOOKUP($I315&amp;$J315&amp;X$1,Pesos!$A:$I,7,FALSE),VLOOKUP($I315&amp;$J315&amp;X$1,Pesos!$A:$I,9,FALSE)))</f>
        <v/>
      </c>
      <c r="AW315" s="132" t="str">
        <f>IF(Y315="","",IF(Y315="SIM",VLOOKUP($I315&amp;$J315&amp;Y$1,Pesos!$A:$I,7,FALSE),VLOOKUP($I315&amp;$J315&amp;Y$1,Pesos!$A:$I,9,FALSE)))</f>
        <v/>
      </c>
      <c r="AX315" s="132" t="str">
        <f>IF(Z315="","",IF(Z315="SIM",VLOOKUP($I315&amp;$J315&amp;Z$1,Pesos!$A:$I,7,FALSE),VLOOKUP($I315&amp;$J315&amp;Z$1,Pesos!$A:$I,9,FALSE)))</f>
        <v/>
      </c>
      <c r="AY315" s="132" t="str">
        <f>IF(AA315="","",IF(AA315="SIM",VLOOKUP($I315&amp;$J315&amp;AA$1,Pesos!$A:$I,7,FALSE),VLOOKUP($I315&amp;$J315&amp;AA$1,Pesos!$A:$I,9,FALSE)))</f>
        <v/>
      </c>
      <c r="AZ315" s="132" t="str">
        <f>IF(AB315="","",IF(AB315="SIM",VLOOKUP($I315&amp;$J315&amp;AB$1,Pesos!$A:$I,7,FALSE),VLOOKUP($I315&amp;$J315&amp;AB$1,Pesos!$A:$I,9,FALSE)))</f>
        <v/>
      </c>
      <c r="BA315" s="132" t="str">
        <f>IF(AC315="","",IF(AC315="SIM",VLOOKUP($I315&amp;$J315&amp;AC$1,Pesos!$A:$I,7,FALSE),VLOOKUP($I315&amp;$J315&amp;AC$1,Pesos!$A:$I,9,FALSE)))</f>
        <v/>
      </c>
      <c r="BB315" s="132" t="str">
        <f>IF(AD315="","",IF(AD315="SIM",VLOOKUP($I315&amp;$J315&amp;AD$1,Pesos!$A:$I,7,FALSE),VLOOKUP($I315&amp;$J315&amp;AD$1,Pesos!$A:$I,9,FALSE)))</f>
        <v/>
      </c>
      <c r="BC315" s="132" t="str">
        <f>IF(AE315="","",IF(AE315="SIM",VLOOKUP($I315&amp;$J315&amp;AE$1,Pesos!$A:$I,7,FALSE),VLOOKUP($I315&amp;$J315&amp;AE$1,Pesos!$A:$I,9,FALSE)))</f>
        <v/>
      </c>
      <c r="BD315" s="158" t="str">
        <f>IFERROR(AF315*VLOOKUP(J315,'BD Campos'!$X$1:$Y$14,2,FALSE),"0")</f>
        <v>0</v>
      </c>
    </row>
    <row r="316" spans="1:56">
      <c r="A316" s="151" t="str">
        <f t="shared" si="19"/>
        <v>Jan11241TRANSFERÊNCIA</v>
      </c>
      <c r="B316" s="149" t="str">
        <f t="shared" si="20"/>
        <v>Jan112412TRANSFERÊNCIAPADRÃO</v>
      </c>
      <c r="C316" s="152">
        <v>1</v>
      </c>
      <c r="D316" s="153">
        <v>46059.78219027778</v>
      </c>
      <c r="E316" s="154" t="s">
        <v>12</v>
      </c>
      <c r="F316" s="155">
        <v>11241</v>
      </c>
      <c r="G316" s="149" t="s">
        <v>527</v>
      </c>
      <c r="H316" s="154">
        <v>2</v>
      </c>
      <c r="I316" s="149" t="s">
        <v>485</v>
      </c>
      <c r="J316" s="149"/>
      <c r="K316" s="149" t="s">
        <v>192</v>
      </c>
      <c r="L316" s="156"/>
      <c r="M316" s="157"/>
      <c r="N316" s="131"/>
      <c r="O316" s="131"/>
      <c r="P316" s="131"/>
      <c r="Q316" s="131"/>
      <c r="R316" s="131"/>
      <c r="S316" s="131"/>
      <c r="T316" s="131"/>
      <c r="U316" s="131"/>
      <c r="V316" s="131"/>
      <c r="W316" s="131"/>
      <c r="X316" s="131"/>
      <c r="Y316" s="131"/>
      <c r="Z316" s="131"/>
      <c r="AA316" s="131"/>
      <c r="AB316" s="131"/>
      <c r="AC316" s="131"/>
      <c r="AD316" s="131"/>
      <c r="AE316" s="131"/>
      <c r="AF316" s="158">
        <f t="shared" si="22"/>
        <v>0</v>
      </c>
      <c r="AG316" s="159"/>
      <c r="AH316" s="155"/>
      <c r="AI316" s="155" t="s">
        <v>83</v>
      </c>
      <c r="AJ316" s="131" t="str">
        <f>IFERROR(VLOOKUP(E316&amp;F316,'Listagem dos op'!A:S,19,0),"")</f>
        <v/>
      </c>
      <c r="AK316" s="131" t="str">
        <f t="shared" si="21"/>
        <v>Jan11241</v>
      </c>
      <c r="AL316" s="154" t="str">
        <f>IF(N316="","",IF(N316="SIM",VLOOKUP($I316&amp;$J316&amp;N$1,Pesos!$A:$I,7,FALSE),VLOOKUP($I316&amp;$J316&amp;N$1,Pesos!$A:$I,9,FALSE)))</f>
        <v/>
      </c>
      <c r="AM316" s="154" t="str">
        <f>IF(O316="","",IF(O316="SIM",VLOOKUP($I316&amp;$J316&amp;O$1,Pesos!$A:$I,7,FALSE),VLOOKUP($I316&amp;$J316&amp;O$1,Pesos!$A:$I,9,FALSE)))</f>
        <v/>
      </c>
      <c r="AN316" s="154" t="str">
        <f>IF(P316="","",IF(P316="SIM",VLOOKUP($I316&amp;$J316&amp;P$1,Pesos!$A:$I,7,FALSE),VLOOKUP($I316&amp;$J316&amp;P$1,Pesos!$A:$I,9,FALSE)))</f>
        <v/>
      </c>
      <c r="AO316" s="154" t="str">
        <f>IF(Q316="","",IF(Q316="SIM",VLOOKUP($I316&amp;$J316&amp;Q$1,Pesos!$A:$I,7,FALSE),VLOOKUP($I316&amp;$J316&amp;Q$1,Pesos!$A:$I,9,FALSE)))</f>
        <v/>
      </c>
      <c r="AP316" s="154" t="str">
        <f>IF(R316="","",IF(R316="SIM",VLOOKUP($I316&amp;$J316&amp;R$1,Pesos!$A:$I,7,FALSE),VLOOKUP($I316&amp;$J316&amp;R$1,Pesos!$A:$I,9,FALSE)))</f>
        <v/>
      </c>
      <c r="AQ316" s="154" t="str">
        <f>IF(S316="","",IF(S316="SIM",VLOOKUP($I316&amp;$J316&amp;S$1,Pesos!$A:$I,7,FALSE),VLOOKUP($I316&amp;$J316&amp;S$1,Pesos!$A:$I,9,FALSE)))</f>
        <v/>
      </c>
      <c r="AR316" s="156" t="str">
        <f>IF(T316="","",IF(T316="SIM",VLOOKUP($I316&amp;$J316&amp;T$1,Pesos!$A:$I,7,FALSE),VLOOKUP($I316&amp;$J316&amp;T$1,Pesos!$A:$I,9,FALSE)))</f>
        <v/>
      </c>
      <c r="AS316" s="132" t="str">
        <f>IF(U316="","",IF(U316="SIM",VLOOKUP($I316&amp;$J316&amp;U$1,Pesos!$A:$I,7,FALSE),VLOOKUP($I316&amp;$J316&amp;U$1,Pesos!$A:$I,9,FALSE)))</f>
        <v/>
      </c>
      <c r="AT316" s="132" t="str">
        <f>IF(V316="","",IF(V316="SIM",VLOOKUP($I316&amp;$J316&amp;V$1,Pesos!$A:$I,7,FALSE),VLOOKUP($I316&amp;$J316&amp;V$1,Pesos!$A:$I,9,FALSE)))</f>
        <v/>
      </c>
      <c r="AU316" s="132" t="str">
        <f>IF(W316="","",IF(W316="SIM",VLOOKUP($I316&amp;$J316&amp;W$1,Pesos!$A:$I,7,FALSE),VLOOKUP($I316&amp;$J316&amp;W$1,Pesos!$A:$I,9,FALSE)))</f>
        <v/>
      </c>
      <c r="AV316" s="132" t="str">
        <f>IF(X316="","",IF(X316="SIM",VLOOKUP($I316&amp;$J316&amp;X$1,Pesos!$A:$I,7,FALSE),VLOOKUP($I316&amp;$J316&amp;X$1,Pesos!$A:$I,9,FALSE)))</f>
        <v/>
      </c>
      <c r="AW316" s="132" t="str">
        <f>IF(Y316="","",IF(Y316="SIM",VLOOKUP($I316&amp;$J316&amp;Y$1,Pesos!$A:$I,7,FALSE),VLOOKUP($I316&amp;$J316&amp;Y$1,Pesos!$A:$I,9,FALSE)))</f>
        <v/>
      </c>
      <c r="AX316" s="132" t="str">
        <f>IF(Z316="","",IF(Z316="SIM",VLOOKUP($I316&amp;$J316&amp;Z$1,Pesos!$A:$I,7,FALSE),VLOOKUP($I316&amp;$J316&amp;Z$1,Pesos!$A:$I,9,FALSE)))</f>
        <v/>
      </c>
      <c r="AY316" s="132" t="str">
        <f>IF(AA316="","",IF(AA316="SIM",VLOOKUP($I316&amp;$J316&amp;AA$1,Pesos!$A:$I,7,FALSE),VLOOKUP($I316&amp;$J316&amp;AA$1,Pesos!$A:$I,9,FALSE)))</f>
        <v/>
      </c>
      <c r="AZ316" s="132" t="str">
        <f>IF(AB316="","",IF(AB316="SIM",VLOOKUP($I316&amp;$J316&amp;AB$1,Pesos!$A:$I,7,FALSE),VLOOKUP($I316&amp;$J316&amp;AB$1,Pesos!$A:$I,9,FALSE)))</f>
        <v/>
      </c>
      <c r="BA316" s="132" t="str">
        <f>IF(AC316="","",IF(AC316="SIM",VLOOKUP($I316&amp;$J316&amp;AC$1,Pesos!$A:$I,7,FALSE),VLOOKUP($I316&amp;$J316&amp;AC$1,Pesos!$A:$I,9,FALSE)))</f>
        <v/>
      </c>
      <c r="BB316" s="132" t="str">
        <f>IF(AD316="","",IF(AD316="SIM",VLOOKUP($I316&amp;$J316&amp;AD$1,Pesos!$A:$I,7,FALSE),VLOOKUP($I316&amp;$J316&amp;AD$1,Pesos!$A:$I,9,FALSE)))</f>
        <v/>
      </c>
      <c r="BC316" s="132" t="str">
        <f>IF(AE316="","",IF(AE316="SIM",VLOOKUP($I316&amp;$J316&amp;AE$1,Pesos!$A:$I,7,FALSE),VLOOKUP($I316&amp;$J316&amp;AE$1,Pesos!$A:$I,9,FALSE)))</f>
        <v/>
      </c>
      <c r="BD316" s="158" t="str">
        <f>IFERROR(AF316*VLOOKUP(J316,'BD Campos'!$X$1:$Y$14,2,FALSE),"0")</f>
        <v>0</v>
      </c>
    </row>
    <row r="317" spans="1:56">
      <c r="A317" s="151" t="str">
        <f t="shared" si="19"/>
        <v>Jan11313TRANSFERÊNCIA</v>
      </c>
      <c r="B317" s="149" t="str">
        <f t="shared" si="20"/>
        <v>Jan113131TRANSFERÊNCIAPADRÃO</v>
      </c>
      <c r="C317" s="152">
        <v>1</v>
      </c>
      <c r="D317" s="153">
        <v>46059.782404513891</v>
      </c>
      <c r="E317" s="154" t="s">
        <v>12</v>
      </c>
      <c r="F317" s="155">
        <v>11313</v>
      </c>
      <c r="G317" s="149" t="s">
        <v>528</v>
      </c>
      <c r="H317" s="154">
        <v>1</v>
      </c>
      <c r="I317" s="149" t="s">
        <v>485</v>
      </c>
      <c r="J317" s="149"/>
      <c r="K317" s="149" t="s">
        <v>192</v>
      </c>
      <c r="L317" s="156"/>
      <c r="M317" s="157"/>
      <c r="N317" s="131"/>
      <c r="O317" s="131"/>
      <c r="P317" s="131"/>
      <c r="Q317" s="131"/>
      <c r="R317" s="131"/>
      <c r="S317" s="131"/>
      <c r="T317" s="131"/>
      <c r="U317" s="131"/>
      <c r="V317" s="131"/>
      <c r="W317" s="131"/>
      <c r="X317" s="131"/>
      <c r="Y317" s="131"/>
      <c r="Z317" s="131"/>
      <c r="AA317" s="131"/>
      <c r="AB317" s="131"/>
      <c r="AC317" s="131"/>
      <c r="AD317" s="131"/>
      <c r="AE317" s="131"/>
      <c r="AF317" s="158">
        <f t="shared" si="22"/>
        <v>0</v>
      </c>
      <c r="AG317" s="159"/>
      <c r="AH317" s="155"/>
      <c r="AI317" s="155" t="s">
        <v>83</v>
      </c>
      <c r="AJ317" s="131" t="str">
        <f>IFERROR(VLOOKUP(E317&amp;F317,'Listagem dos op'!A:S,19,0),"")</f>
        <v/>
      </c>
      <c r="AK317" s="131" t="str">
        <f t="shared" si="21"/>
        <v>Jan11313</v>
      </c>
      <c r="AL317" s="154" t="str">
        <f>IF(N317="","",IF(N317="SIM",VLOOKUP($I317&amp;$J317&amp;N$1,Pesos!$A:$I,7,FALSE),VLOOKUP($I317&amp;$J317&amp;N$1,Pesos!$A:$I,9,FALSE)))</f>
        <v/>
      </c>
      <c r="AM317" s="154" t="str">
        <f>IF(O317="","",IF(O317="SIM",VLOOKUP($I317&amp;$J317&amp;O$1,Pesos!$A:$I,7,FALSE),VLOOKUP($I317&amp;$J317&amp;O$1,Pesos!$A:$I,9,FALSE)))</f>
        <v/>
      </c>
      <c r="AN317" s="154" t="str">
        <f>IF(P317="","",IF(P317="SIM",VLOOKUP($I317&amp;$J317&amp;P$1,Pesos!$A:$I,7,FALSE),VLOOKUP($I317&amp;$J317&amp;P$1,Pesos!$A:$I,9,FALSE)))</f>
        <v/>
      </c>
      <c r="AO317" s="154" t="str">
        <f>IF(Q317="","",IF(Q317="SIM",VLOOKUP($I317&amp;$J317&amp;Q$1,Pesos!$A:$I,7,FALSE),VLOOKUP($I317&amp;$J317&amp;Q$1,Pesos!$A:$I,9,FALSE)))</f>
        <v/>
      </c>
      <c r="AP317" s="154" t="str">
        <f>IF(R317="","",IF(R317="SIM",VLOOKUP($I317&amp;$J317&amp;R$1,Pesos!$A:$I,7,FALSE),VLOOKUP($I317&amp;$J317&amp;R$1,Pesos!$A:$I,9,FALSE)))</f>
        <v/>
      </c>
      <c r="AQ317" s="154" t="str">
        <f>IF(S317="","",IF(S317="SIM",VLOOKUP($I317&amp;$J317&amp;S$1,Pesos!$A:$I,7,FALSE),VLOOKUP($I317&amp;$J317&amp;S$1,Pesos!$A:$I,9,FALSE)))</f>
        <v/>
      </c>
      <c r="AR317" s="156" t="str">
        <f>IF(T317="","",IF(T317="SIM",VLOOKUP($I317&amp;$J317&amp;T$1,Pesos!$A:$I,7,FALSE),VLOOKUP($I317&amp;$J317&amp;T$1,Pesos!$A:$I,9,FALSE)))</f>
        <v/>
      </c>
      <c r="AS317" s="132" t="str">
        <f>IF(U317="","",IF(U317="SIM",VLOOKUP($I317&amp;$J317&amp;U$1,Pesos!$A:$I,7,FALSE),VLOOKUP($I317&amp;$J317&amp;U$1,Pesos!$A:$I,9,FALSE)))</f>
        <v/>
      </c>
      <c r="AT317" s="132" t="str">
        <f>IF(V317="","",IF(V317="SIM",VLOOKUP($I317&amp;$J317&amp;V$1,Pesos!$A:$I,7,FALSE),VLOOKUP($I317&amp;$J317&amp;V$1,Pesos!$A:$I,9,FALSE)))</f>
        <v/>
      </c>
      <c r="AU317" s="132" t="str">
        <f>IF(W317="","",IF(W317="SIM",VLOOKUP($I317&amp;$J317&amp;W$1,Pesos!$A:$I,7,FALSE),VLOOKUP($I317&amp;$J317&amp;W$1,Pesos!$A:$I,9,FALSE)))</f>
        <v/>
      </c>
      <c r="AV317" s="132" t="str">
        <f>IF(X317="","",IF(X317="SIM",VLOOKUP($I317&amp;$J317&amp;X$1,Pesos!$A:$I,7,FALSE),VLOOKUP($I317&amp;$J317&amp;X$1,Pesos!$A:$I,9,FALSE)))</f>
        <v/>
      </c>
      <c r="AW317" s="132" t="str">
        <f>IF(Y317="","",IF(Y317="SIM",VLOOKUP($I317&amp;$J317&amp;Y$1,Pesos!$A:$I,7,FALSE),VLOOKUP($I317&amp;$J317&amp;Y$1,Pesos!$A:$I,9,FALSE)))</f>
        <v/>
      </c>
      <c r="AX317" s="132" t="str">
        <f>IF(Z317="","",IF(Z317="SIM",VLOOKUP($I317&amp;$J317&amp;Z$1,Pesos!$A:$I,7,FALSE),VLOOKUP($I317&amp;$J317&amp;Z$1,Pesos!$A:$I,9,FALSE)))</f>
        <v/>
      </c>
      <c r="AY317" s="132" t="str">
        <f>IF(AA317="","",IF(AA317="SIM",VLOOKUP($I317&amp;$J317&amp;AA$1,Pesos!$A:$I,7,FALSE),VLOOKUP($I317&amp;$J317&amp;AA$1,Pesos!$A:$I,9,FALSE)))</f>
        <v/>
      </c>
      <c r="AZ317" s="132" t="str">
        <f>IF(AB317="","",IF(AB317="SIM",VLOOKUP($I317&amp;$J317&amp;AB$1,Pesos!$A:$I,7,FALSE),VLOOKUP($I317&amp;$J317&amp;AB$1,Pesos!$A:$I,9,FALSE)))</f>
        <v/>
      </c>
      <c r="BA317" s="132" t="str">
        <f>IF(AC317="","",IF(AC317="SIM",VLOOKUP($I317&amp;$J317&amp;AC$1,Pesos!$A:$I,7,FALSE),VLOOKUP($I317&amp;$J317&amp;AC$1,Pesos!$A:$I,9,FALSE)))</f>
        <v/>
      </c>
      <c r="BB317" s="132" t="str">
        <f>IF(AD317="","",IF(AD317="SIM",VLOOKUP($I317&amp;$J317&amp;AD$1,Pesos!$A:$I,7,FALSE),VLOOKUP($I317&amp;$J317&amp;AD$1,Pesos!$A:$I,9,FALSE)))</f>
        <v/>
      </c>
      <c r="BC317" s="132" t="str">
        <f>IF(AE317="","",IF(AE317="SIM",VLOOKUP($I317&amp;$J317&amp;AE$1,Pesos!$A:$I,7,FALSE),VLOOKUP($I317&amp;$J317&amp;AE$1,Pesos!$A:$I,9,FALSE)))</f>
        <v/>
      </c>
      <c r="BD317" s="158" t="str">
        <f>IFERROR(AF317*VLOOKUP(J317,'BD Campos'!$X$1:$Y$14,2,FALSE),"0")</f>
        <v>0</v>
      </c>
    </row>
    <row r="318" spans="1:56">
      <c r="A318" s="151" t="str">
        <f t="shared" si="19"/>
        <v>Jan11313TRANSFERÊNCIA</v>
      </c>
      <c r="B318" s="149" t="str">
        <f t="shared" si="20"/>
        <v>Jan113132TRANSFERÊNCIAPADRÃO</v>
      </c>
      <c r="C318" s="152">
        <v>1</v>
      </c>
      <c r="D318" s="153">
        <v>46059.782427314814</v>
      </c>
      <c r="E318" s="154" t="s">
        <v>12</v>
      </c>
      <c r="F318" s="155">
        <v>11313</v>
      </c>
      <c r="G318" s="149" t="s">
        <v>528</v>
      </c>
      <c r="H318" s="154">
        <v>2</v>
      </c>
      <c r="I318" s="149" t="s">
        <v>485</v>
      </c>
      <c r="J318" s="149"/>
      <c r="K318" s="149" t="s">
        <v>192</v>
      </c>
      <c r="L318" s="156"/>
      <c r="M318" s="157"/>
      <c r="N318" s="131"/>
      <c r="O318" s="131"/>
      <c r="P318" s="131"/>
      <c r="Q318" s="131"/>
      <c r="R318" s="131"/>
      <c r="S318" s="131"/>
      <c r="T318" s="131"/>
      <c r="U318" s="131"/>
      <c r="V318" s="131"/>
      <c r="W318" s="131"/>
      <c r="X318" s="131"/>
      <c r="Y318" s="131"/>
      <c r="Z318" s="131"/>
      <c r="AA318" s="131"/>
      <c r="AB318" s="131"/>
      <c r="AC318" s="131"/>
      <c r="AD318" s="131"/>
      <c r="AE318" s="131"/>
      <c r="AF318" s="158">
        <f t="shared" si="22"/>
        <v>0</v>
      </c>
      <c r="AG318" s="159"/>
      <c r="AH318" s="155"/>
      <c r="AI318" s="155" t="s">
        <v>83</v>
      </c>
      <c r="AJ318" s="131" t="str">
        <f>IFERROR(VLOOKUP(E318&amp;F318,'Listagem dos op'!A:S,19,0),"")</f>
        <v/>
      </c>
      <c r="AK318" s="131" t="str">
        <f t="shared" si="21"/>
        <v>Jan11313</v>
      </c>
      <c r="AL318" s="154" t="str">
        <f>IF(N318="","",IF(N318="SIM",VLOOKUP($I318&amp;$J318&amp;N$1,Pesos!$A:$I,7,FALSE),VLOOKUP($I318&amp;$J318&amp;N$1,Pesos!$A:$I,9,FALSE)))</f>
        <v/>
      </c>
      <c r="AM318" s="154" t="str">
        <f>IF(O318="","",IF(O318="SIM",VLOOKUP($I318&amp;$J318&amp;O$1,Pesos!$A:$I,7,FALSE),VLOOKUP($I318&amp;$J318&amp;O$1,Pesos!$A:$I,9,FALSE)))</f>
        <v/>
      </c>
      <c r="AN318" s="154" t="str">
        <f>IF(P318="","",IF(P318="SIM",VLOOKUP($I318&amp;$J318&amp;P$1,Pesos!$A:$I,7,FALSE),VLOOKUP($I318&amp;$J318&amp;P$1,Pesos!$A:$I,9,FALSE)))</f>
        <v/>
      </c>
      <c r="AO318" s="154" t="str">
        <f>IF(Q318="","",IF(Q318="SIM",VLOOKUP($I318&amp;$J318&amp;Q$1,Pesos!$A:$I,7,FALSE),VLOOKUP($I318&amp;$J318&amp;Q$1,Pesos!$A:$I,9,FALSE)))</f>
        <v/>
      </c>
      <c r="AP318" s="154" t="str">
        <f>IF(R318="","",IF(R318="SIM",VLOOKUP($I318&amp;$J318&amp;R$1,Pesos!$A:$I,7,FALSE),VLOOKUP($I318&amp;$J318&amp;R$1,Pesos!$A:$I,9,FALSE)))</f>
        <v/>
      </c>
      <c r="AQ318" s="154" t="str">
        <f>IF(S318="","",IF(S318="SIM",VLOOKUP($I318&amp;$J318&amp;S$1,Pesos!$A:$I,7,FALSE),VLOOKUP($I318&amp;$J318&amp;S$1,Pesos!$A:$I,9,FALSE)))</f>
        <v/>
      </c>
      <c r="AR318" s="156" t="str">
        <f>IF(T318="","",IF(T318="SIM",VLOOKUP($I318&amp;$J318&amp;T$1,Pesos!$A:$I,7,FALSE),VLOOKUP($I318&amp;$J318&amp;T$1,Pesos!$A:$I,9,FALSE)))</f>
        <v/>
      </c>
      <c r="AS318" s="132" t="str">
        <f>IF(U318="","",IF(U318="SIM",VLOOKUP($I318&amp;$J318&amp;U$1,Pesos!$A:$I,7,FALSE),VLOOKUP($I318&amp;$J318&amp;U$1,Pesos!$A:$I,9,FALSE)))</f>
        <v/>
      </c>
      <c r="AT318" s="132" t="str">
        <f>IF(V318="","",IF(V318="SIM",VLOOKUP($I318&amp;$J318&amp;V$1,Pesos!$A:$I,7,FALSE),VLOOKUP($I318&amp;$J318&amp;V$1,Pesos!$A:$I,9,FALSE)))</f>
        <v/>
      </c>
      <c r="AU318" s="132" t="str">
        <f>IF(W318="","",IF(W318="SIM",VLOOKUP($I318&amp;$J318&amp;W$1,Pesos!$A:$I,7,FALSE),VLOOKUP($I318&amp;$J318&amp;W$1,Pesos!$A:$I,9,FALSE)))</f>
        <v/>
      </c>
      <c r="AV318" s="132" t="str">
        <f>IF(X318="","",IF(X318="SIM",VLOOKUP($I318&amp;$J318&amp;X$1,Pesos!$A:$I,7,FALSE),VLOOKUP($I318&amp;$J318&amp;X$1,Pesos!$A:$I,9,FALSE)))</f>
        <v/>
      </c>
      <c r="AW318" s="132" t="str">
        <f>IF(Y318="","",IF(Y318="SIM",VLOOKUP($I318&amp;$J318&amp;Y$1,Pesos!$A:$I,7,FALSE),VLOOKUP($I318&amp;$J318&amp;Y$1,Pesos!$A:$I,9,FALSE)))</f>
        <v/>
      </c>
      <c r="AX318" s="132" t="str">
        <f>IF(Z318="","",IF(Z318="SIM",VLOOKUP($I318&amp;$J318&amp;Z$1,Pesos!$A:$I,7,FALSE),VLOOKUP($I318&amp;$J318&amp;Z$1,Pesos!$A:$I,9,FALSE)))</f>
        <v/>
      </c>
      <c r="AY318" s="132" t="str">
        <f>IF(AA318="","",IF(AA318="SIM",VLOOKUP($I318&amp;$J318&amp;AA$1,Pesos!$A:$I,7,FALSE),VLOOKUP($I318&amp;$J318&amp;AA$1,Pesos!$A:$I,9,FALSE)))</f>
        <v/>
      </c>
      <c r="AZ318" s="132" t="str">
        <f>IF(AB318="","",IF(AB318="SIM",VLOOKUP($I318&amp;$J318&amp;AB$1,Pesos!$A:$I,7,FALSE),VLOOKUP($I318&amp;$J318&amp;AB$1,Pesos!$A:$I,9,FALSE)))</f>
        <v/>
      </c>
      <c r="BA318" s="132" t="str">
        <f>IF(AC318="","",IF(AC318="SIM",VLOOKUP($I318&amp;$J318&amp;AC$1,Pesos!$A:$I,7,FALSE),VLOOKUP($I318&amp;$J318&amp;AC$1,Pesos!$A:$I,9,FALSE)))</f>
        <v/>
      </c>
      <c r="BB318" s="132" t="str">
        <f>IF(AD318="","",IF(AD318="SIM",VLOOKUP($I318&amp;$J318&amp;AD$1,Pesos!$A:$I,7,FALSE),VLOOKUP($I318&amp;$J318&amp;AD$1,Pesos!$A:$I,9,FALSE)))</f>
        <v/>
      </c>
      <c r="BC318" s="132" t="str">
        <f>IF(AE318="","",IF(AE318="SIM",VLOOKUP($I318&amp;$J318&amp;AE$1,Pesos!$A:$I,7,FALSE),VLOOKUP($I318&amp;$J318&amp;AE$1,Pesos!$A:$I,9,FALSE)))</f>
        <v/>
      </c>
      <c r="BD318" s="158" t="str">
        <f>IFERROR(AF318*VLOOKUP(J318,'BD Campos'!$X$1:$Y$14,2,FALSE),"0")</f>
        <v>0</v>
      </c>
    </row>
    <row r="319" spans="1:56">
      <c r="A319" s="151" t="str">
        <f t="shared" si="19"/>
        <v>Jan11321TRANSFERÊNCIA</v>
      </c>
      <c r="B319" s="149" t="str">
        <f t="shared" si="20"/>
        <v>Jan113211TRANSFERÊNCIAPADRÃO</v>
      </c>
      <c r="C319" s="152">
        <v>1</v>
      </c>
      <c r="D319" s="153">
        <v>46059.785318402777</v>
      </c>
      <c r="E319" s="154" t="s">
        <v>12</v>
      </c>
      <c r="F319" s="155">
        <v>11321</v>
      </c>
      <c r="G319" s="149" t="s">
        <v>529</v>
      </c>
      <c r="H319" s="154">
        <v>1</v>
      </c>
      <c r="I319" s="149" t="s">
        <v>485</v>
      </c>
      <c r="J319" s="149"/>
      <c r="K319" s="149" t="s">
        <v>192</v>
      </c>
      <c r="L319" s="156"/>
      <c r="M319" s="157"/>
      <c r="N319" s="131"/>
      <c r="O319" s="131"/>
      <c r="P319" s="131"/>
      <c r="Q319" s="131"/>
      <c r="R319" s="131"/>
      <c r="S319" s="131"/>
      <c r="T319" s="131"/>
      <c r="U319" s="131"/>
      <c r="V319" s="131"/>
      <c r="W319" s="131"/>
      <c r="X319" s="131"/>
      <c r="Y319" s="131"/>
      <c r="Z319" s="131"/>
      <c r="AA319" s="131"/>
      <c r="AB319" s="131"/>
      <c r="AC319" s="131"/>
      <c r="AD319" s="131"/>
      <c r="AE319" s="131"/>
      <c r="AF319" s="158">
        <f t="shared" si="22"/>
        <v>0</v>
      </c>
      <c r="AG319" s="159"/>
      <c r="AH319" s="155"/>
      <c r="AI319" s="155" t="s">
        <v>83</v>
      </c>
      <c r="AJ319" s="131" t="str">
        <f>IFERROR(VLOOKUP(E319&amp;F319,'Listagem dos op'!A:S,19,0),"")</f>
        <v/>
      </c>
      <c r="AK319" s="131" t="str">
        <f t="shared" si="21"/>
        <v>Jan11321</v>
      </c>
      <c r="AL319" s="154" t="str">
        <f>IF(N319="","",IF(N319="SIM",VLOOKUP($I319&amp;$J319&amp;N$1,Pesos!$A:$I,7,FALSE),VLOOKUP($I319&amp;$J319&amp;N$1,Pesos!$A:$I,9,FALSE)))</f>
        <v/>
      </c>
      <c r="AM319" s="154" t="str">
        <f>IF(O319="","",IF(O319="SIM",VLOOKUP($I319&amp;$J319&amp;O$1,Pesos!$A:$I,7,FALSE),VLOOKUP($I319&amp;$J319&amp;O$1,Pesos!$A:$I,9,FALSE)))</f>
        <v/>
      </c>
      <c r="AN319" s="154" t="str">
        <f>IF(P319="","",IF(P319="SIM",VLOOKUP($I319&amp;$J319&amp;P$1,Pesos!$A:$I,7,FALSE),VLOOKUP($I319&amp;$J319&amp;P$1,Pesos!$A:$I,9,FALSE)))</f>
        <v/>
      </c>
      <c r="AO319" s="154" t="str">
        <f>IF(Q319="","",IF(Q319="SIM",VLOOKUP($I319&amp;$J319&amp;Q$1,Pesos!$A:$I,7,FALSE),VLOOKUP($I319&amp;$J319&amp;Q$1,Pesos!$A:$I,9,FALSE)))</f>
        <v/>
      </c>
      <c r="AP319" s="154" t="str">
        <f>IF(R319="","",IF(R319="SIM",VLOOKUP($I319&amp;$J319&amp;R$1,Pesos!$A:$I,7,FALSE),VLOOKUP($I319&amp;$J319&amp;R$1,Pesos!$A:$I,9,FALSE)))</f>
        <v/>
      </c>
      <c r="AQ319" s="154" t="str">
        <f>IF(S319="","",IF(S319="SIM",VLOOKUP($I319&amp;$J319&amp;S$1,Pesos!$A:$I,7,FALSE),VLOOKUP($I319&amp;$J319&amp;S$1,Pesos!$A:$I,9,FALSE)))</f>
        <v/>
      </c>
      <c r="AR319" s="156" t="str">
        <f>IF(T319="","",IF(T319="SIM",VLOOKUP($I319&amp;$J319&amp;T$1,Pesos!$A:$I,7,FALSE),VLOOKUP($I319&amp;$J319&amp;T$1,Pesos!$A:$I,9,FALSE)))</f>
        <v/>
      </c>
      <c r="AS319" s="132" t="str">
        <f>IF(U319="","",IF(U319="SIM",VLOOKUP($I319&amp;$J319&amp;U$1,Pesos!$A:$I,7,FALSE),VLOOKUP($I319&amp;$J319&amp;U$1,Pesos!$A:$I,9,FALSE)))</f>
        <v/>
      </c>
      <c r="AT319" s="132" t="str">
        <f>IF(V319="","",IF(V319="SIM",VLOOKUP($I319&amp;$J319&amp;V$1,Pesos!$A:$I,7,FALSE),VLOOKUP($I319&amp;$J319&amp;V$1,Pesos!$A:$I,9,FALSE)))</f>
        <v/>
      </c>
      <c r="AU319" s="132" t="str">
        <f>IF(W319="","",IF(W319="SIM",VLOOKUP($I319&amp;$J319&amp;W$1,Pesos!$A:$I,7,FALSE),VLOOKUP($I319&amp;$J319&amp;W$1,Pesos!$A:$I,9,FALSE)))</f>
        <v/>
      </c>
      <c r="AV319" s="132" t="str">
        <f>IF(X319="","",IF(X319="SIM",VLOOKUP($I319&amp;$J319&amp;X$1,Pesos!$A:$I,7,FALSE),VLOOKUP($I319&amp;$J319&amp;X$1,Pesos!$A:$I,9,FALSE)))</f>
        <v/>
      </c>
      <c r="AW319" s="132" t="str">
        <f>IF(Y319="","",IF(Y319="SIM",VLOOKUP($I319&amp;$J319&amp;Y$1,Pesos!$A:$I,7,FALSE),VLOOKUP($I319&amp;$J319&amp;Y$1,Pesos!$A:$I,9,FALSE)))</f>
        <v/>
      </c>
      <c r="AX319" s="132" t="str">
        <f>IF(Z319="","",IF(Z319="SIM",VLOOKUP($I319&amp;$J319&amp;Z$1,Pesos!$A:$I,7,FALSE),VLOOKUP($I319&amp;$J319&amp;Z$1,Pesos!$A:$I,9,FALSE)))</f>
        <v/>
      </c>
      <c r="AY319" s="132" t="str">
        <f>IF(AA319="","",IF(AA319="SIM",VLOOKUP($I319&amp;$J319&amp;AA$1,Pesos!$A:$I,7,FALSE),VLOOKUP($I319&amp;$J319&amp;AA$1,Pesos!$A:$I,9,FALSE)))</f>
        <v/>
      </c>
      <c r="AZ319" s="132" t="str">
        <f>IF(AB319="","",IF(AB319="SIM",VLOOKUP($I319&amp;$J319&amp;AB$1,Pesos!$A:$I,7,FALSE),VLOOKUP($I319&amp;$J319&amp;AB$1,Pesos!$A:$I,9,FALSE)))</f>
        <v/>
      </c>
      <c r="BA319" s="132" t="str">
        <f>IF(AC319="","",IF(AC319="SIM",VLOOKUP($I319&amp;$J319&amp;AC$1,Pesos!$A:$I,7,FALSE),VLOOKUP($I319&amp;$J319&amp;AC$1,Pesos!$A:$I,9,FALSE)))</f>
        <v/>
      </c>
      <c r="BB319" s="132" t="str">
        <f>IF(AD319="","",IF(AD319="SIM",VLOOKUP($I319&amp;$J319&amp;AD$1,Pesos!$A:$I,7,FALSE),VLOOKUP($I319&amp;$J319&amp;AD$1,Pesos!$A:$I,9,FALSE)))</f>
        <v/>
      </c>
      <c r="BC319" s="132" t="str">
        <f>IF(AE319="","",IF(AE319="SIM",VLOOKUP($I319&amp;$J319&amp;AE$1,Pesos!$A:$I,7,FALSE),VLOOKUP($I319&amp;$J319&amp;AE$1,Pesos!$A:$I,9,FALSE)))</f>
        <v/>
      </c>
      <c r="BD319" s="158" t="str">
        <f>IFERROR(AF319*VLOOKUP(J319,'BD Campos'!$X$1:$Y$14,2,FALSE),"0")</f>
        <v>0</v>
      </c>
    </row>
    <row r="320" spans="1:56">
      <c r="A320" s="151" t="str">
        <f t="shared" si="19"/>
        <v>Jan11321TRANSFERÊNCIA</v>
      </c>
      <c r="B320" s="149" t="str">
        <f t="shared" si="20"/>
        <v>Jan113212TRANSFERÊNCIAPADRÃO</v>
      </c>
      <c r="C320" s="152">
        <v>1</v>
      </c>
      <c r="D320" s="153">
        <v>46059.785370949074</v>
      </c>
      <c r="E320" s="154" t="s">
        <v>12</v>
      </c>
      <c r="F320" s="155">
        <v>11321</v>
      </c>
      <c r="G320" s="149" t="s">
        <v>529</v>
      </c>
      <c r="H320" s="154">
        <v>2</v>
      </c>
      <c r="I320" s="149" t="s">
        <v>485</v>
      </c>
      <c r="J320" s="149"/>
      <c r="K320" s="149" t="s">
        <v>192</v>
      </c>
      <c r="L320" s="156"/>
      <c r="M320" s="157"/>
      <c r="N320" s="131"/>
      <c r="O320" s="131"/>
      <c r="P320" s="131"/>
      <c r="Q320" s="131"/>
      <c r="R320" s="131"/>
      <c r="S320" s="131"/>
      <c r="T320" s="131"/>
      <c r="U320" s="131"/>
      <c r="V320" s="131"/>
      <c r="W320" s="131"/>
      <c r="X320" s="131"/>
      <c r="Y320" s="131"/>
      <c r="Z320" s="131"/>
      <c r="AA320" s="131"/>
      <c r="AB320" s="131"/>
      <c r="AC320" s="131"/>
      <c r="AD320" s="131"/>
      <c r="AE320" s="131"/>
      <c r="AF320" s="158">
        <f t="shared" si="22"/>
        <v>0</v>
      </c>
      <c r="AG320" s="159"/>
      <c r="AH320" s="155"/>
      <c r="AI320" s="155" t="s">
        <v>83</v>
      </c>
      <c r="AJ320" s="131" t="str">
        <f>IFERROR(VLOOKUP(E320&amp;F320,'Listagem dos op'!A:S,19,0),"")</f>
        <v/>
      </c>
      <c r="AK320" s="131" t="str">
        <f t="shared" si="21"/>
        <v>Jan11321</v>
      </c>
      <c r="AL320" s="154" t="str">
        <f>IF(N320="","",IF(N320="SIM",VLOOKUP($I320&amp;$J320&amp;N$1,Pesos!$A:$I,7,FALSE),VLOOKUP($I320&amp;$J320&amp;N$1,Pesos!$A:$I,9,FALSE)))</f>
        <v/>
      </c>
      <c r="AM320" s="154" t="str">
        <f>IF(O320="","",IF(O320="SIM",VLOOKUP($I320&amp;$J320&amp;O$1,Pesos!$A:$I,7,FALSE),VLOOKUP($I320&amp;$J320&amp;O$1,Pesos!$A:$I,9,FALSE)))</f>
        <v/>
      </c>
      <c r="AN320" s="154" t="str">
        <f>IF(P320="","",IF(P320="SIM",VLOOKUP($I320&amp;$J320&amp;P$1,Pesos!$A:$I,7,FALSE),VLOOKUP($I320&amp;$J320&amp;P$1,Pesos!$A:$I,9,FALSE)))</f>
        <v/>
      </c>
      <c r="AO320" s="154" t="str">
        <f>IF(Q320="","",IF(Q320="SIM",VLOOKUP($I320&amp;$J320&amp;Q$1,Pesos!$A:$I,7,FALSE),VLOOKUP($I320&amp;$J320&amp;Q$1,Pesos!$A:$I,9,FALSE)))</f>
        <v/>
      </c>
      <c r="AP320" s="154" t="str">
        <f>IF(R320="","",IF(R320="SIM",VLOOKUP($I320&amp;$J320&amp;R$1,Pesos!$A:$I,7,FALSE),VLOOKUP($I320&amp;$J320&amp;R$1,Pesos!$A:$I,9,FALSE)))</f>
        <v/>
      </c>
      <c r="AQ320" s="154" t="str">
        <f>IF(S320="","",IF(S320="SIM",VLOOKUP($I320&amp;$J320&amp;S$1,Pesos!$A:$I,7,FALSE),VLOOKUP($I320&amp;$J320&amp;S$1,Pesos!$A:$I,9,FALSE)))</f>
        <v/>
      </c>
      <c r="AR320" s="156" t="str">
        <f>IF(T320="","",IF(T320="SIM",VLOOKUP($I320&amp;$J320&amp;T$1,Pesos!$A:$I,7,FALSE),VLOOKUP($I320&amp;$J320&amp;T$1,Pesos!$A:$I,9,FALSE)))</f>
        <v/>
      </c>
      <c r="AS320" s="132" t="str">
        <f>IF(U320="","",IF(U320="SIM",VLOOKUP($I320&amp;$J320&amp;U$1,Pesos!$A:$I,7,FALSE),VLOOKUP($I320&amp;$J320&amp;U$1,Pesos!$A:$I,9,FALSE)))</f>
        <v/>
      </c>
      <c r="AT320" s="132" t="str">
        <f>IF(V320="","",IF(V320="SIM",VLOOKUP($I320&amp;$J320&amp;V$1,Pesos!$A:$I,7,FALSE),VLOOKUP($I320&amp;$J320&amp;V$1,Pesos!$A:$I,9,FALSE)))</f>
        <v/>
      </c>
      <c r="AU320" s="132" t="str">
        <f>IF(W320="","",IF(W320="SIM",VLOOKUP($I320&amp;$J320&amp;W$1,Pesos!$A:$I,7,FALSE),VLOOKUP($I320&amp;$J320&amp;W$1,Pesos!$A:$I,9,FALSE)))</f>
        <v/>
      </c>
      <c r="AV320" s="132" t="str">
        <f>IF(X320="","",IF(X320="SIM",VLOOKUP($I320&amp;$J320&amp;X$1,Pesos!$A:$I,7,FALSE),VLOOKUP($I320&amp;$J320&amp;X$1,Pesos!$A:$I,9,FALSE)))</f>
        <v/>
      </c>
      <c r="AW320" s="132" t="str">
        <f>IF(Y320="","",IF(Y320="SIM",VLOOKUP($I320&amp;$J320&amp;Y$1,Pesos!$A:$I,7,FALSE),VLOOKUP($I320&amp;$J320&amp;Y$1,Pesos!$A:$I,9,FALSE)))</f>
        <v/>
      </c>
      <c r="AX320" s="132" t="str">
        <f>IF(Z320="","",IF(Z320="SIM",VLOOKUP($I320&amp;$J320&amp;Z$1,Pesos!$A:$I,7,FALSE),VLOOKUP($I320&amp;$J320&amp;Z$1,Pesos!$A:$I,9,FALSE)))</f>
        <v/>
      </c>
      <c r="AY320" s="132" t="str">
        <f>IF(AA320="","",IF(AA320="SIM",VLOOKUP($I320&amp;$J320&amp;AA$1,Pesos!$A:$I,7,FALSE),VLOOKUP($I320&amp;$J320&amp;AA$1,Pesos!$A:$I,9,FALSE)))</f>
        <v/>
      </c>
      <c r="AZ320" s="132" t="str">
        <f>IF(AB320="","",IF(AB320="SIM",VLOOKUP($I320&amp;$J320&amp;AB$1,Pesos!$A:$I,7,FALSE),VLOOKUP($I320&amp;$J320&amp;AB$1,Pesos!$A:$I,9,FALSE)))</f>
        <v/>
      </c>
      <c r="BA320" s="132" t="str">
        <f>IF(AC320="","",IF(AC320="SIM",VLOOKUP($I320&amp;$J320&amp;AC$1,Pesos!$A:$I,7,FALSE),VLOOKUP($I320&amp;$J320&amp;AC$1,Pesos!$A:$I,9,FALSE)))</f>
        <v/>
      </c>
      <c r="BB320" s="132" t="str">
        <f>IF(AD320="","",IF(AD320="SIM",VLOOKUP($I320&amp;$J320&amp;AD$1,Pesos!$A:$I,7,FALSE),VLOOKUP($I320&amp;$J320&amp;AD$1,Pesos!$A:$I,9,FALSE)))</f>
        <v/>
      </c>
      <c r="BC320" s="132" t="str">
        <f>IF(AE320="","",IF(AE320="SIM",VLOOKUP($I320&amp;$J320&amp;AE$1,Pesos!$A:$I,7,FALSE),VLOOKUP($I320&amp;$J320&amp;AE$1,Pesos!$A:$I,9,FALSE)))</f>
        <v/>
      </c>
      <c r="BD320" s="158" t="str">
        <f>IFERROR(AF320*VLOOKUP(J320,'BD Campos'!$X$1:$Y$14,2,FALSE),"0")</f>
        <v>0</v>
      </c>
    </row>
    <row r="321" spans="1:56">
      <c r="A321" s="151" t="str">
        <f t="shared" si="19"/>
        <v>Jan11453TRANSFERÊNCIA</v>
      </c>
      <c r="B321" s="149" t="str">
        <f t="shared" si="20"/>
        <v>Jan114531TRANSFERÊNCIAPADRÃO</v>
      </c>
      <c r="C321" s="152">
        <v>1</v>
      </c>
      <c r="D321" s="153">
        <v>46059.785724421294</v>
      </c>
      <c r="E321" s="154" t="s">
        <v>12</v>
      </c>
      <c r="F321" s="155">
        <v>11453</v>
      </c>
      <c r="G321" s="149" t="s">
        <v>530</v>
      </c>
      <c r="H321" s="154">
        <v>1</v>
      </c>
      <c r="I321" s="149" t="s">
        <v>485</v>
      </c>
      <c r="J321" s="149"/>
      <c r="K321" s="149" t="s">
        <v>192</v>
      </c>
      <c r="L321" s="156"/>
      <c r="M321" s="157"/>
      <c r="N321" s="131"/>
      <c r="O321" s="131"/>
      <c r="P321" s="131"/>
      <c r="Q321" s="131"/>
      <c r="R321" s="131"/>
      <c r="S321" s="131"/>
      <c r="T321" s="131"/>
      <c r="U321" s="131"/>
      <c r="V321" s="131"/>
      <c r="W321" s="131"/>
      <c r="X321" s="131"/>
      <c r="Y321" s="131"/>
      <c r="Z321" s="131"/>
      <c r="AA321" s="131"/>
      <c r="AB321" s="131"/>
      <c r="AC321" s="131"/>
      <c r="AD321" s="131"/>
      <c r="AE321" s="131"/>
      <c r="AF321" s="158">
        <f t="shared" si="22"/>
        <v>0</v>
      </c>
      <c r="AG321" s="159"/>
      <c r="AH321" s="155"/>
      <c r="AI321" s="155" t="s">
        <v>83</v>
      </c>
      <c r="AJ321" s="131" t="str">
        <f>IFERROR(VLOOKUP(E321&amp;F321,'Listagem dos op'!A:S,19,0),"")</f>
        <v/>
      </c>
      <c r="AK321" s="131" t="str">
        <f t="shared" si="21"/>
        <v>Jan11453</v>
      </c>
      <c r="AL321" s="154" t="str">
        <f>IF(N321="","",IF(N321="SIM",VLOOKUP($I321&amp;$J321&amp;N$1,Pesos!$A:$I,7,FALSE),VLOOKUP($I321&amp;$J321&amp;N$1,Pesos!$A:$I,9,FALSE)))</f>
        <v/>
      </c>
      <c r="AM321" s="154" t="str">
        <f>IF(O321="","",IF(O321="SIM",VLOOKUP($I321&amp;$J321&amp;O$1,Pesos!$A:$I,7,FALSE),VLOOKUP($I321&amp;$J321&amp;O$1,Pesos!$A:$I,9,FALSE)))</f>
        <v/>
      </c>
      <c r="AN321" s="154" t="str">
        <f>IF(P321="","",IF(P321="SIM",VLOOKUP($I321&amp;$J321&amp;P$1,Pesos!$A:$I,7,FALSE),VLOOKUP($I321&amp;$J321&amp;P$1,Pesos!$A:$I,9,FALSE)))</f>
        <v/>
      </c>
      <c r="AO321" s="154" t="str">
        <f>IF(Q321="","",IF(Q321="SIM",VLOOKUP($I321&amp;$J321&amp;Q$1,Pesos!$A:$I,7,FALSE),VLOOKUP($I321&amp;$J321&amp;Q$1,Pesos!$A:$I,9,FALSE)))</f>
        <v/>
      </c>
      <c r="AP321" s="154" t="str">
        <f>IF(R321="","",IF(R321="SIM",VLOOKUP($I321&amp;$J321&amp;R$1,Pesos!$A:$I,7,FALSE),VLOOKUP($I321&amp;$J321&amp;R$1,Pesos!$A:$I,9,FALSE)))</f>
        <v/>
      </c>
      <c r="AQ321" s="154" t="str">
        <f>IF(S321="","",IF(S321="SIM",VLOOKUP($I321&amp;$J321&amp;S$1,Pesos!$A:$I,7,FALSE),VLOOKUP($I321&amp;$J321&amp;S$1,Pesos!$A:$I,9,FALSE)))</f>
        <v/>
      </c>
      <c r="AR321" s="156" t="str">
        <f>IF(T321="","",IF(T321="SIM",VLOOKUP($I321&amp;$J321&amp;T$1,Pesos!$A:$I,7,FALSE),VLOOKUP($I321&amp;$J321&amp;T$1,Pesos!$A:$I,9,FALSE)))</f>
        <v/>
      </c>
      <c r="AS321" s="132" t="str">
        <f>IF(U321="","",IF(U321="SIM",VLOOKUP($I321&amp;$J321&amp;U$1,Pesos!$A:$I,7,FALSE),VLOOKUP($I321&amp;$J321&amp;U$1,Pesos!$A:$I,9,FALSE)))</f>
        <v/>
      </c>
      <c r="AT321" s="132" t="str">
        <f>IF(V321="","",IF(V321="SIM",VLOOKUP($I321&amp;$J321&amp;V$1,Pesos!$A:$I,7,FALSE),VLOOKUP($I321&amp;$J321&amp;V$1,Pesos!$A:$I,9,FALSE)))</f>
        <v/>
      </c>
      <c r="AU321" s="132" t="str">
        <f>IF(W321="","",IF(W321="SIM",VLOOKUP($I321&amp;$J321&amp;W$1,Pesos!$A:$I,7,FALSE),VLOOKUP($I321&amp;$J321&amp;W$1,Pesos!$A:$I,9,FALSE)))</f>
        <v/>
      </c>
      <c r="AV321" s="132" t="str">
        <f>IF(X321="","",IF(X321="SIM",VLOOKUP($I321&amp;$J321&amp;X$1,Pesos!$A:$I,7,FALSE),VLOOKUP($I321&amp;$J321&amp;X$1,Pesos!$A:$I,9,FALSE)))</f>
        <v/>
      </c>
      <c r="AW321" s="132" t="str">
        <f>IF(Y321="","",IF(Y321="SIM",VLOOKUP($I321&amp;$J321&amp;Y$1,Pesos!$A:$I,7,FALSE),VLOOKUP($I321&amp;$J321&amp;Y$1,Pesos!$A:$I,9,FALSE)))</f>
        <v/>
      </c>
      <c r="AX321" s="132" t="str">
        <f>IF(Z321="","",IF(Z321="SIM",VLOOKUP($I321&amp;$J321&amp;Z$1,Pesos!$A:$I,7,FALSE),VLOOKUP($I321&amp;$J321&amp;Z$1,Pesos!$A:$I,9,FALSE)))</f>
        <v/>
      </c>
      <c r="AY321" s="132" t="str">
        <f>IF(AA321="","",IF(AA321="SIM",VLOOKUP($I321&amp;$J321&amp;AA$1,Pesos!$A:$I,7,FALSE),VLOOKUP($I321&amp;$J321&amp;AA$1,Pesos!$A:$I,9,FALSE)))</f>
        <v/>
      </c>
      <c r="AZ321" s="132" t="str">
        <f>IF(AB321="","",IF(AB321="SIM",VLOOKUP($I321&amp;$J321&amp;AB$1,Pesos!$A:$I,7,FALSE),VLOOKUP($I321&amp;$J321&amp;AB$1,Pesos!$A:$I,9,FALSE)))</f>
        <v/>
      </c>
      <c r="BA321" s="132" t="str">
        <f>IF(AC321="","",IF(AC321="SIM",VLOOKUP($I321&amp;$J321&amp;AC$1,Pesos!$A:$I,7,FALSE),VLOOKUP($I321&amp;$J321&amp;AC$1,Pesos!$A:$I,9,FALSE)))</f>
        <v/>
      </c>
      <c r="BB321" s="132" t="str">
        <f>IF(AD321="","",IF(AD321="SIM",VLOOKUP($I321&amp;$J321&amp;AD$1,Pesos!$A:$I,7,FALSE),VLOOKUP($I321&amp;$J321&amp;AD$1,Pesos!$A:$I,9,FALSE)))</f>
        <v/>
      </c>
      <c r="BC321" s="132" t="str">
        <f>IF(AE321="","",IF(AE321="SIM",VLOOKUP($I321&amp;$J321&amp;AE$1,Pesos!$A:$I,7,FALSE),VLOOKUP($I321&amp;$J321&amp;AE$1,Pesos!$A:$I,9,FALSE)))</f>
        <v/>
      </c>
      <c r="BD321" s="158" t="str">
        <f>IFERROR(AF321*VLOOKUP(J321,'BD Campos'!$X$1:$Y$14,2,FALSE),"0")</f>
        <v>0</v>
      </c>
    </row>
    <row r="322" spans="1:56">
      <c r="A322" s="151" t="str">
        <f t="shared" ref="A322:A390" si="23">E322&amp;F322&amp;J322&amp;K322&amp;""</f>
        <v>Jan11453TRANSFERÊNCIA</v>
      </c>
      <c r="B322" s="149" t="str">
        <f t="shared" ref="B322:B390" si="24">E322&amp;F322&amp;H322&amp;K322&amp;AI322</f>
        <v>Jan114532TRANSFERÊNCIAPADRÃO</v>
      </c>
      <c r="C322" s="152">
        <v>1</v>
      </c>
      <c r="D322" s="153">
        <v>46059.785749884257</v>
      </c>
      <c r="E322" s="154" t="s">
        <v>12</v>
      </c>
      <c r="F322" s="155">
        <v>11453</v>
      </c>
      <c r="G322" s="149" t="s">
        <v>530</v>
      </c>
      <c r="H322" s="154">
        <v>2</v>
      </c>
      <c r="I322" s="149" t="s">
        <v>485</v>
      </c>
      <c r="J322" s="149"/>
      <c r="K322" s="149" t="s">
        <v>192</v>
      </c>
      <c r="L322" s="156"/>
      <c r="M322" s="157"/>
      <c r="N322" s="131"/>
      <c r="O322" s="131"/>
      <c r="P322" s="131"/>
      <c r="Q322" s="131"/>
      <c r="R322" s="131"/>
      <c r="S322" s="131"/>
      <c r="T322" s="131"/>
      <c r="U322" s="131"/>
      <c r="V322" s="131"/>
      <c r="W322" s="131"/>
      <c r="X322" s="131"/>
      <c r="Y322" s="131"/>
      <c r="Z322" s="131"/>
      <c r="AA322" s="131"/>
      <c r="AB322" s="131"/>
      <c r="AC322" s="131"/>
      <c r="AD322" s="131"/>
      <c r="AE322" s="131"/>
      <c r="AF322" s="158">
        <f t="shared" si="22"/>
        <v>0</v>
      </c>
      <c r="AG322" s="159"/>
      <c r="AH322" s="155"/>
      <c r="AI322" s="155" t="s">
        <v>83</v>
      </c>
      <c r="AJ322" s="131" t="str">
        <f>IFERROR(VLOOKUP(E322&amp;F322,'Listagem dos op'!A:S,19,0),"")</f>
        <v/>
      </c>
      <c r="AK322" s="131" t="str">
        <f t="shared" ref="AK322:AK390" si="25">E322&amp;F322</f>
        <v>Jan11453</v>
      </c>
      <c r="AL322" s="154" t="str">
        <f>IF(N322="","",IF(N322="SIM",VLOOKUP($I322&amp;$J322&amp;N$1,Pesos!$A:$I,7,FALSE),VLOOKUP($I322&amp;$J322&amp;N$1,Pesos!$A:$I,9,FALSE)))</f>
        <v/>
      </c>
      <c r="AM322" s="154" t="str">
        <f>IF(O322="","",IF(O322="SIM",VLOOKUP($I322&amp;$J322&amp;O$1,Pesos!$A:$I,7,FALSE),VLOOKUP($I322&amp;$J322&amp;O$1,Pesos!$A:$I,9,FALSE)))</f>
        <v/>
      </c>
      <c r="AN322" s="154" t="str">
        <f>IF(P322="","",IF(P322="SIM",VLOOKUP($I322&amp;$J322&amp;P$1,Pesos!$A:$I,7,FALSE),VLOOKUP($I322&amp;$J322&amp;P$1,Pesos!$A:$I,9,FALSE)))</f>
        <v/>
      </c>
      <c r="AO322" s="154" t="str">
        <f>IF(Q322="","",IF(Q322="SIM",VLOOKUP($I322&amp;$J322&amp;Q$1,Pesos!$A:$I,7,FALSE),VLOOKUP($I322&amp;$J322&amp;Q$1,Pesos!$A:$I,9,FALSE)))</f>
        <v/>
      </c>
      <c r="AP322" s="154" t="str">
        <f>IF(R322="","",IF(R322="SIM",VLOOKUP($I322&amp;$J322&amp;R$1,Pesos!$A:$I,7,FALSE),VLOOKUP($I322&amp;$J322&amp;R$1,Pesos!$A:$I,9,FALSE)))</f>
        <v/>
      </c>
      <c r="AQ322" s="154" t="str">
        <f>IF(S322="","",IF(S322="SIM",VLOOKUP($I322&amp;$J322&amp;S$1,Pesos!$A:$I,7,FALSE),VLOOKUP($I322&amp;$J322&amp;S$1,Pesos!$A:$I,9,FALSE)))</f>
        <v/>
      </c>
      <c r="AR322" s="156" t="str">
        <f>IF(T322="","",IF(T322="SIM",VLOOKUP($I322&amp;$J322&amp;T$1,Pesos!$A:$I,7,FALSE),VLOOKUP($I322&amp;$J322&amp;T$1,Pesos!$A:$I,9,FALSE)))</f>
        <v/>
      </c>
      <c r="AS322" s="132" t="str">
        <f>IF(U322="","",IF(U322="SIM",VLOOKUP($I322&amp;$J322&amp;U$1,Pesos!$A:$I,7,FALSE),VLOOKUP($I322&amp;$J322&amp;U$1,Pesos!$A:$I,9,FALSE)))</f>
        <v/>
      </c>
      <c r="AT322" s="132" t="str">
        <f>IF(V322="","",IF(V322="SIM",VLOOKUP($I322&amp;$J322&amp;V$1,Pesos!$A:$I,7,FALSE),VLOOKUP($I322&amp;$J322&amp;V$1,Pesos!$A:$I,9,FALSE)))</f>
        <v/>
      </c>
      <c r="AU322" s="132" t="str">
        <f>IF(W322="","",IF(W322="SIM",VLOOKUP($I322&amp;$J322&amp;W$1,Pesos!$A:$I,7,FALSE),VLOOKUP($I322&amp;$J322&amp;W$1,Pesos!$A:$I,9,FALSE)))</f>
        <v/>
      </c>
      <c r="AV322" s="132" t="str">
        <f>IF(X322="","",IF(X322="SIM",VLOOKUP($I322&amp;$J322&amp;X$1,Pesos!$A:$I,7,FALSE),VLOOKUP($I322&amp;$J322&amp;X$1,Pesos!$A:$I,9,FALSE)))</f>
        <v/>
      </c>
      <c r="AW322" s="132" t="str">
        <f>IF(Y322="","",IF(Y322="SIM",VLOOKUP($I322&amp;$J322&amp;Y$1,Pesos!$A:$I,7,FALSE),VLOOKUP($I322&amp;$J322&amp;Y$1,Pesos!$A:$I,9,FALSE)))</f>
        <v/>
      </c>
      <c r="AX322" s="132" t="str">
        <f>IF(Z322="","",IF(Z322="SIM",VLOOKUP($I322&amp;$J322&amp;Z$1,Pesos!$A:$I,7,FALSE),VLOOKUP($I322&amp;$J322&amp;Z$1,Pesos!$A:$I,9,FALSE)))</f>
        <v/>
      </c>
      <c r="AY322" s="132" t="str">
        <f>IF(AA322="","",IF(AA322="SIM",VLOOKUP($I322&amp;$J322&amp;AA$1,Pesos!$A:$I,7,FALSE),VLOOKUP($I322&amp;$J322&amp;AA$1,Pesos!$A:$I,9,FALSE)))</f>
        <v/>
      </c>
      <c r="AZ322" s="132" t="str">
        <f>IF(AB322="","",IF(AB322="SIM",VLOOKUP($I322&amp;$J322&amp;AB$1,Pesos!$A:$I,7,FALSE),VLOOKUP($I322&amp;$J322&amp;AB$1,Pesos!$A:$I,9,FALSE)))</f>
        <v/>
      </c>
      <c r="BA322" s="132" t="str">
        <f>IF(AC322="","",IF(AC322="SIM",VLOOKUP($I322&amp;$J322&amp;AC$1,Pesos!$A:$I,7,FALSE),VLOOKUP($I322&amp;$J322&amp;AC$1,Pesos!$A:$I,9,FALSE)))</f>
        <v/>
      </c>
      <c r="BB322" s="132" t="str">
        <f>IF(AD322="","",IF(AD322="SIM",VLOOKUP($I322&amp;$J322&amp;AD$1,Pesos!$A:$I,7,FALSE),VLOOKUP($I322&amp;$J322&amp;AD$1,Pesos!$A:$I,9,FALSE)))</f>
        <v/>
      </c>
      <c r="BC322" s="132" t="str">
        <f>IF(AE322="","",IF(AE322="SIM",VLOOKUP($I322&amp;$J322&amp;AE$1,Pesos!$A:$I,7,FALSE),VLOOKUP($I322&amp;$J322&amp;AE$1,Pesos!$A:$I,9,FALSE)))</f>
        <v/>
      </c>
      <c r="BD322" s="158" t="str">
        <f>IFERROR(AF322*VLOOKUP(J322,'BD Campos'!$X$1:$Y$14,2,FALSE),"0")</f>
        <v>0</v>
      </c>
    </row>
    <row r="323" spans="1:56">
      <c r="A323" s="151" t="str">
        <f t="shared" si="23"/>
        <v>Jan11326TRANSFERÊNCIA</v>
      </c>
      <c r="B323" s="149" t="str">
        <f t="shared" si="24"/>
        <v>Jan113261TRANSFERÊNCIAPADRÃO</v>
      </c>
      <c r="C323" s="152">
        <v>1</v>
      </c>
      <c r="D323" s="153">
        <v>46059.786372337963</v>
      </c>
      <c r="E323" s="154" t="s">
        <v>12</v>
      </c>
      <c r="F323" s="155">
        <v>11326</v>
      </c>
      <c r="G323" s="149" t="s">
        <v>531</v>
      </c>
      <c r="H323" s="154">
        <v>1</v>
      </c>
      <c r="I323" s="149" t="s">
        <v>485</v>
      </c>
      <c r="J323" s="149"/>
      <c r="K323" s="149" t="s">
        <v>192</v>
      </c>
      <c r="L323" s="156"/>
      <c r="M323" s="157"/>
      <c r="N323" s="131"/>
      <c r="O323" s="131"/>
      <c r="P323" s="131"/>
      <c r="Q323" s="131"/>
      <c r="R323" s="131"/>
      <c r="S323" s="131"/>
      <c r="T323" s="131"/>
      <c r="U323" s="131"/>
      <c r="V323" s="131"/>
      <c r="W323" s="131"/>
      <c r="X323" s="131"/>
      <c r="Y323" s="131"/>
      <c r="Z323" s="131"/>
      <c r="AA323" s="131"/>
      <c r="AB323" s="131"/>
      <c r="AC323" s="131"/>
      <c r="AD323" s="131"/>
      <c r="AE323" s="131"/>
      <c r="AF323" s="158">
        <f t="shared" ref="AF323:AF386" si="26">SUM(AL323:BC323)</f>
        <v>0</v>
      </c>
      <c r="AG323" s="159"/>
      <c r="AH323" s="155"/>
      <c r="AI323" s="155" t="s">
        <v>83</v>
      </c>
      <c r="AJ323" s="131" t="str">
        <f>IFERROR(VLOOKUP(E323&amp;F323,'Listagem dos op'!A:S,19,0),"")</f>
        <v/>
      </c>
      <c r="AK323" s="131" t="str">
        <f t="shared" si="25"/>
        <v>Jan11326</v>
      </c>
      <c r="AL323" s="154" t="str">
        <f>IF(N323="","",IF(N323="SIM",VLOOKUP($I323&amp;$J323&amp;N$1,Pesos!$A:$I,7,FALSE),VLOOKUP($I323&amp;$J323&amp;N$1,Pesos!$A:$I,9,FALSE)))</f>
        <v/>
      </c>
      <c r="AM323" s="154" t="str">
        <f>IF(O323="","",IF(O323="SIM",VLOOKUP($I323&amp;$J323&amp;O$1,Pesos!$A:$I,7,FALSE),VLOOKUP($I323&amp;$J323&amp;O$1,Pesos!$A:$I,9,FALSE)))</f>
        <v/>
      </c>
      <c r="AN323" s="154" t="str">
        <f>IF(P323="","",IF(P323="SIM",VLOOKUP($I323&amp;$J323&amp;P$1,Pesos!$A:$I,7,FALSE),VLOOKUP($I323&amp;$J323&amp;P$1,Pesos!$A:$I,9,FALSE)))</f>
        <v/>
      </c>
      <c r="AO323" s="154" t="str">
        <f>IF(Q323="","",IF(Q323="SIM",VLOOKUP($I323&amp;$J323&amp;Q$1,Pesos!$A:$I,7,FALSE),VLOOKUP($I323&amp;$J323&amp;Q$1,Pesos!$A:$I,9,FALSE)))</f>
        <v/>
      </c>
      <c r="AP323" s="154" t="str">
        <f>IF(R323="","",IF(R323="SIM",VLOOKUP($I323&amp;$J323&amp;R$1,Pesos!$A:$I,7,FALSE),VLOOKUP($I323&amp;$J323&amp;R$1,Pesos!$A:$I,9,FALSE)))</f>
        <v/>
      </c>
      <c r="AQ323" s="154" t="str">
        <f>IF(S323="","",IF(S323="SIM",VLOOKUP($I323&amp;$J323&amp;S$1,Pesos!$A:$I,7,FALSE),VLOOKUP($I323&amp;$J323&amp;S$1,Pesos!$A:$I,9,FALSE)))</f>
        <v/>
      </c>
      <c r="AR323" s="156" t="str">
        <f>IF(T323="","",IF(T323="SIM",VLOOKUP($I323&amp;$J323&amp;T$1,Pesos!$A:$I,7,FALSE),VLOOKUP($I323&amp;$J323&amp;T$1,Pesos!$A:$I,9,FALSE)))</f>
        <v/>
      </c>
      <c r="AS323" s="132" t="str">
        <f>IF(U323="","",IF(U323="SIM",VLOOKUP($I323&amp;$J323&amp;U$1,Pesos!$A:$I,7,FALSE),VLOOKUP($I323&amp;$J323&amp;U$1,Pesos!$A:$I,9,FALSE)))</f>
        <v/>
      </c>
      <c r="AT323" s="132" t="str">
        <f>IF(V323="","",IF(V323="SIM",VLOOKUP($I323&amp;$J323&amp;V$1,Pesos!$A:$I,7,FALSE),VLOOKUP($I323&amp;$J323&amp;V$1,Pesos!$A:$I,9,FALSE)))</f>
        <v/>
      </c>
      <c r="AU323" s="132" t="str">
        <f>IF(W323="","",IF(W323="SIM",VLOOKUP($I323&amp;$J323&amp;W$1,Pesos!$A:$I,7,FALSE),VLOOKUP($I323&amp;$J323&amp;W$1,Pesos!$A:$I,9,FALSE)))</f>
        <v/>
      </c>
      <c r="AV323" s="132" t="str">
        <f>IF(X323="","",IF(X323="SIM",VLOOKUP($I323&amp;$J323&amp;X$1,Pesos!$A:$I,7,FALSE),VLOOKUP($I323&amp;$J323&amp;X$1,Pesos!$A:$I,9,FALSE)))</f>
        <v/>
      </c>
      <c r="AW323" s="132" t="str">
        <f>IF(Y323="","",IF(Y323="SIM",VLOOKUP($I323&amp;$J323&amp;Y$1,Pesos!$A:$I,7,FALSE),VLOOKUP($I323&amp;$J323&amp;Y$1,Pesos!$A:$I,9,FALSE)))</f>
        <v/>
      </c>
      <c r="AX323" s="132" t="str">
        <f>IF(Z323="","",IF(Z323="SIM",VLOOKUP($I323&amp;$J323&amp;Z$1,Pesos!$A:$I,7,FALSE),VLOOKUP($I323&amp;$J323&amp;Z$1,Pesos!$A:$I,9,FALSE)))</f>
        <v/>
      </c>
      <c r="AY323" s="132" t="str">
        <f>IF(AA323="","",IF(AA323="SIM",VLOOKUP($I323&amp;$J323&amp;AA$1,Pesos!$A:$I,7,FALSE),VLOOKUP($I323&amp;$J323&amp;AA$1,Pesos!$A:$I,9,FALSE)))</f>
        <v/>
      </c>
      <c r="AZ323" s="132" t="str">
        <f>IF(AB323="","",IF(AB323="SIM",VLOOKUP($I323&amp;$J323&amp;AB$1,Pesos!$A:$I,7,FALSE),VLOOKUP($I323&amp;$J323&amp;AB$1,Pesos!$A:$I,9,FALSE)))</f>
        <v/>
      </c>
      <c r="BA323" s="132" t="str">
        <f>IF(AC323="","",IF(AC323="SIM",VLOOKUP($I323&amp;$J323&amp;AC$1,Pesos!$A:$I,7,FALSE),VLOOKUP($I323&amp;$J323&amp;AC$1,Pesos!$A:$I,9,FALSE)))</f>
        <v/>
      </c>
      <c r="BB323" s="132" t="str">
        <f>IF(AD323="","",IF(AD323="SIM",VLOOKUP($I323&amp;$J323&amp;AD$1,Pesos!$A:$I,7,FALSE),VLOOKUP($I323&amp;$J323&amp;AD$1,Pesos!$A:$I,9,FALSE)))</f>
        <v/>
      </c>
      <c r="BC323" s="132" t="str">
        <f>IF(AE323="","",IF(AE323="SIM",VLOOKUP($I323&amp;$J323&amp;AE$1,Pesos!$A:$I,7,FALSE),VLOOKUP($I323&amp;$J323&amp;AE$1,Pesos!$A:$I,9,FALSE)))</f>
        <v/>
      </c>
      <c r="BD323" s="158" t="str">
        <f>IFERROR(AF323*VLOOKUP(J323,'BD Campos'!$X$1:$Y$14,2,FALSE),"0")</f>
        <v>0</v>
      </c>
    </row>
    <row r="324" spans="1:56">
      <c r="A324" s="151" t="str">
        <f t="shared" si="23"/>
        <v>Jan11326TRANSFERÊNCIA</v>
      </c>
      <c r="B324" s="149" t="str">
        <f t="shared" si="24"/>
        <v>Jan113262TRANSFERÊNCIAPADRÃO</v>
      </c>
      <c r="C324" s="152">
        <v>1</v>
      </c>
      <c r="D324" s="153">
        <v>46059.786400925928</v>
      </c>
      <c r="E324" s="154" t="s">
        <v>12</v>
      </c>
      <c r="F324" s="155">
        <v>11326</v>
      </c>
      <c r="G324" s="149" t="s">
        <v>531</v>
      </c>
      <c r="H324" s="154">
        <v>2</v>
      </c>
      <c r="I324" s="149" t="s">
        <v>485</v>
      </c>
      <c r="J324" s="149"/>
      <c r="K324" s="149" t="s">
        <v>192</v>
      </c>
      <c r="L324" s="156"/>
      <c r="M324" s="157"/>
      <c r="N324" s="131"/>
      <c r="O324" s="131"/>
      <c r="P324" s="131"/>
      <c r="Q324" s="131"/>
      <c r="R324" s="131"/>
      <c r="S324" s="131"/>
      <c r="T324" s="131"/>
      <c r="U324" s="131"/>
      <c r="V324" s="131"/>
      <c r="W324" s="131"/>
      <c r="X324" s="131"/>
      <c r="Y324" s="131"/>
      <c r="Z324" s="131"/>
      <c r="AA324" s="131"/>
      <c r="AB324" s="131"/>
      <c r="AC324" s="131"/>
      <c r="AD324" s="131"/>
      <c r="AE324" s="131"/>
      <c r="AF324" s="158">
        <f t="shared" si="26"/>
        <v>0</v>
      </c>
      <c r="AG324" s="159"/>
      <c r="AH324" s="155"/>
      <c r="AI324" s="155" t="s">
        <v>83</v>
      </c>
      <c r="AJ324" s="131" t="str">
        <f>IFERROR(VLOOKUP(E324&amp;F324,'Listagem dos op'!A:S,19,0),"")</f>
        <v/>
      </c>
      <c r="AK324" s="131" t="str">
        <f t="shared" si="25"/>
        <v>Jan11326</v>
      </c>
      <c r="AL324" s="154" t="str">
        <f>IF(N324="","",IF(N324="SIM",VLOOKUP($I324&amp;$J324&amp;N$1,Pesos!$A:$I,7,FALSE),VLOOKUP($I324&amp;$J324&amp;N$1,Pesos!$A:$I,9,FALSE)))</f>
        <v/>
      </c>
      <c r="AM324" s="154" t="str">
        <f>IF(O324="","",IF(O324="SIM",VLOOKUP($I324&amp;$J324&amp;O$1,Pesos!$A:$I,7,FALSE),VLOOKUP($I324&amp;$J324&amp;O$1,Pesos!$A:$I,9,FALSE)))</f>
        <v/>
      </c>
      <c r="AN324" s="154" t="str">
        <f>IF(P324="","",IF(P324="SIM",VLOOKUP($I324&amp;$J324&amp;P$1,Pesos!$A:$I,7,FALSE),VLOOKUP($I324&amp;$J324&amp;P$1,Pesos!$A:$I,9,FALSE)))</f>
        <v/>
      </c>
      <c r="AO324" s="154" t="str">
        <f>IF(Q324="","",IF(Q324="SIM",VLOOKUP($I324&amp;$J324&amp;Q$1,Pesos!$A:$I,7,FALSE),VLOOKUP($I324&amp;$J324&amp;Q$1,Pesos!$A:$I,9,FALSE)))</f>
        <v/>
      </c>
      <c r="AP324" s="154" t="str">
        <f>IF(R324="","",IF(R324="SIM",VLOOKUP($I324&amp;$J324&amp;R$1,Pesos!$A:$I,7,FALSE),VLOOKUP($I324&amp;$J324&amp;R$1,Pesos!$A:$I,9,FALSE)))</f>
        <v/>
      </c>
      <c r="AQ324" s="154" t="str">
        <f>IF(S324="","",IF(S324="SIM",VLOOKUP($I324&amp;$J324&amp;S$1,Pesos!$A:$I,7,FALSE),VLOOKUP($I324&amp;$J324&amp;S$1,Pesos!$A:$I,9,FALSE)))</f>
        <v/>
      </c>
      <c r="AR324" s="156" t="str">
        <f>IF(T324="","",IF(T324="SIM",VLOOKUP($I324&amp;$J324&amp;T$1,Pesos!$A:$I,7,FALSE),VLOOKUP($I324&amp;$J324&amp;T$1,Pesos!$A:$I,9,FALSE)))</f>
        <v/>
      </c>
      <c r="AS324" s="132" t="str">
        <f>IF(U324="","",IF(U324="SIM",VLOOKUP($I324&amp;$J324&amp;U$1,Pesos!$A:$I,7,FALSE),VLOOKUP($I324&amp;$J324&amp;U$1,Pesos!$A:$I,9,FALSE)))</f>
        <v/>
      </c>
      <c r="AT324" s="132" t="str">
        <f>IF(V324="","",IF(V324="SIM",VLOOKUP($I324&amp;$J324&amp;V$1,Pesos!$A:$I,7,FALSE),VLOOKUP($I324&amp;$J324&amp;V$1,Pesos!$A:$I,9,FALSE)))</f>
        <v/>
      </c>
      <c r="AU324" s="132" t="str">
        <f>IF(W324="","",IF(W324="SIM",VLOOKUP($I324&amp;$J324&amp;W$1,Pesos!$A:$I,7,FALSE),VLOOKUP($I324&amp;$J324&amp;W$1,Pesos!$A:$I,9,FALSE)))</f>
        <v/>
      </c>
      <c r="AV324" s="132" t="str">
        <f>IF(X324="","",IF(X324="SIM",VLOOKUP($I324&amp;$J324&amp;X$1,Pesos!$A:$I,7,FALSE),VLOOKUP($I324&amp;$J324&amp;X$1,Pesos!$A:$I,9,FALSE)))</f>
        <v/>
      </c>
      <c r="AW324" s="132" t="str">
        <f>IF(Y324="","",IF(Y324="SIM",VLOOKUP($I324&amp;$J324&amp;Y$1,Pesos!$A:$I,7,FALSE),VLOOKUP($I324&amp;$J324&amp;Y$1,Pesos!$A:$I,9,FALSE)))</f>
        <v/>
      </c>
      <c r="AX324" s="132" t="str">
        <f>IF(Z324="","",IF(Z324="SIM",VLOOKUP($I324&amp;$J324&amp;Z$1,Pesos!$A:$I,7,FALSE),VLOOKUP($I324&amp;$J324&amp;Z$1,Pesos!$A:$I,9,FALSE)))</f>
        <v/>
      </c>
      <c r="AY324" s="132" t="str">
        <f>IF(AA324="","",IF(AA324="SIM",VLOOKUP($I324&amp;$J324&amp;AA$1,Pesos!$A:$I,7,FALSE),VLOOKUP($I324&amp;$J324&amp;AA$1,Pesos!$A:$I,9,FALSE)))</f>
        <v/>
      </c>
      <c r="AZ324" s="132" t="str">
        <f>IF(AB324="","",IF(AB324="SIM",VLOOKUP($I324&amp;$J324&amp;AB$1,Pesos!$A:$I,7,FALSE),VLOOKUP($I324&amp;$J324&amp;AB$1,Pesos!$A:$I,9,FALSE)))</f>
        <v/>
      </c>
      <c r="BA324" s="132" t="str">
        <f>IF(AC324="","",IF(AC324="SIM",VLOOKUP($I324&amp;$J324&amp;AC$1,Pesos!$A:$I,7,FALSE),VLOOKUP($I324&amp;$J324&amp;AC$1,Pesos!$A:$I,9,FALSE)))</f>
        <v/>
      </c>
      <c r="BB324" s="132" t="str">
        <f>IF(AD324="","",IF(AD324="SIM",VLOOKUP($I324&amp;$J324&amp;AD$1,Pesos!$A:$I,7,FALSE),VLOOKUP($I324&amp;$J324&amp;AD$1,Pesos!$A:$I,9,FALSE)))</f>
        <v/>
      </c>
      <c r="BC324" s="132" t="str">
        <f>IF(AE324="","",IF(AE324="SIM",VLOOKUP($I324&amp;$J324&amp;AE$1,Pesos!$A:$I,7,FALSE),VLOOKUP($I324&amp;$J324&amp;AE$1,Pesos!$A:$I,9,FALSE)))</f>
        <v/>
      </c>
      <c r="BD324" s="158" t="str">
        <f>IFERROR(AF324*VLOOKUP(J324,'BD Campos'!$X$1:$Y$14,2,FALSE),"0")</f>
        <v>0</v>
      </c>
    </row>
    <row r="325" spans="1:56">
      <c r="A325" s="151" t="str">
        <f t="shared" si="23"/>
        <v>Jan11429TRANSFERÊNCIA</v>
      </c>
      <c r="B325" s="149" t="str">
        <f t="shared" si="24"/>
        <v>Jan114291TRANSFERÊNCIAPADRÃO</v>
      </c>
      <c r="C325" s="152">
        <v>1</v>
      </c>
      <c r="D325" s="153">
        <v>46059.787042361109</v>
      </c>
      <c r="E325" s="154" t="s">
        <v>12</v>
      </c>
      <c r="F325" s="155">
        <v>11429</v>
      </c>
      <c r="G325" s="149" t="s">
        <v>532</v>
      </c>
      <c r="H325" s="154">
        <v>1</v>
      </c>
      <c r="I325" s="149" t="s">
        <v>485</v>
      </c>
      <c r="J325" s="149"/>
      <c r="K325" s="149" t="s">
        <v>192</v>
      </c>
      <c r="L325" s="156"/>
      <c r="M325" s="157"/>
      <c r="N325" s="131"/>
      <c r="O325" s="131"/>
      <c r="P325" s="131"/>
      <c r="Q325" s="131"/>
      <c r="R325" s="131"/>
      <c r="S325" s="131"/>
      <c r="T325" s="131"/>
      <c r="U325" s="131"/>
      <c r="V325" s="131"/>
      <c r="W325" s="131"/>
      <c r="X325" s="131"/>
      <c r="Y325" s="131"/>
      <c r="Z325" s="131"/>
      <c r="AA325" s="131"/>
      <c r="AB325" s="131"/>
      <c r="AC325" s="131"/>
      <c r="AD325" s="131"/>
      <c r="AE325" s="131"/>
      <c r="AF325" s="158">
        <f t="shared" si="26"/>
        <v>0</v>
      </c>
      <c r="AG325" s="159"/>
      <c r="AH325" s="155"/>
      <c r="AI325" s="155" t="s">
        <v>83</v>
      </c>
      <c r="AJ325" s="131" t="str">
        <f>IFERROR(VLOOKUP(E325&amp;F325,'Listagem dos op'!A:S,19,0),"")</f>
        <v/>
      </c>
      <c r="AK325" s="131" t="str">
        <f t="shared" si="25"/>
        <v>Jan11429</v>
      </c>
      <c r="AL325" s="154" t="str">
        <f>IF(N325="","",IF(N325="SIM",VLOOKUP($I325&amp;$J325&amp;N$1,Pesos!$A:$I,7,FALSE),VLOOKUP($I325&amp;$J325&amp;N$1,Pesos!$A:$I,9,FALSE)))</f>
        <v/>
      </c>
      <c r="AM325" s="154" t="str">
        <f>IF(O325="","",IF(O325="SIM",VLOOKUP($I325&amp;$J325&amp;O$1,Pesos!$A:$I,7,FALSE),VLOOKUP($I325&amp;$J325&amp;O$1,Pesos!$A:$I,9,FALSE)))</f>
        <v/>
      </c>
      <c r="AN325" s="154" t="str">
        <f>IF(P325="","",IF(P325="SIM",VLOOKUP($I325&amp;$J325&amp;P$1,Pesos!$A:$I,7,FALSE),VLOOKUP($I325&amp;$J325&amp;P$1,Pesos!$A:$I,9,FALSE)))</f>
        <v/>
      </c>
      <c r="AO325" s="154" t="str">
        <f>IF(Q325="","",IF(Q325="SIM",VLOOKUP($I325&amp;$J325&amp;Q$1,Pesos!$A:$I,7,FALSE),VLOOKUP($I325&amp;$J325&amp;Q$1,Pesos!$A:$I,9,FALSE)))</f>
        <v/>
      </c>
      <c r="AP325" s="154" t="str">
        <f>IF(R325="","",IF(R325="SIM",VLOOKUP($I325&amp;$J325&amp;R$1,Pesos!$A:$I,7,FALSE),VLOOKUP($I325&amp;$J325&amp;R$1,Pesos!$A:$I,9,FALSE)))</f>
        <v/>
      </c>
      <c r="AQ325" s="154" t="str">
        <f>IF(S325="","",IF(S325="SIM",VLOOKUP($I325&amp;$J325&amp;S$1,Pesos!$A:$I,7,FALSE),VLOOKUP($I325&amp;$J325&amp;S$1,Pesos!$A:$I,9,FALSE)))</f>
        <v/>
      </c>
      <c r="AR325" s="156" t="str">
        <f>IF(T325="","",IF(T325="SIM",VLOOKUP($I325&amp;$J325&amp;T$1,Pesos!$A:$I,7,FALSE),VLOOKUP($I325&amp;$J325&amp;T$1,Pesos!$A:$I,9,FALSE)))</f>
        <v/>
      </c>
      <c r="AS325" s="132" t="str">
        <f>IF(U325="","",IF(U325="SIM",VLOOKUP($I325&amp;$J325&amp;U$1,Pesos!$A:$I,7,FALSE),VLOOKUP($I325&amp;$J325&amp;U$1,Pesos!$A:$I,9,FALSE)))</f>
        <v/>
      </c>
      <c r="AT325" s="132" t="str">
        <f>IF(V325="","",IF(V325="SIM",VLOOKUP($I325&amp;$J325&amp;V$1,Pesos!$A:$I,7,FALSE),VLOOKUP($I325&amp;$J325&amp;V$1,Pesos!$A:$I,9,FALSE)))</f>
        <v/>
      </c>
      <c r="AU325" s="132" t="str">
        <f>IF(W325="","",IF(W325="SIM",VLOOKUP($I325&amp;$J325&amp;W$1,Pesos!$A:$I,7,FALSE),VLOOKUP($I325&amp;$J325&amp;W$1,Pesos!$A:$I,9,FALSE)))</f>
        <v/>
      </c>
      <c r="AV325" s="132" t="str">
        <f>IF(X325="","",IF(X325="SIM",VLOOKUP($I325&amp;$J325&amp;X$1,Pesos!$A:$I,7,FALSE),VLOOKUP($I325&amp;$J325&amp;X$1,Pesos!$A:$I,9,FALSE)))</f>
        <v/>
      </c>
      <c r="AW325" s="132" t="str">
        <f>IF(Y325="","",IF(Y325="SIM",VLOOKUP($I325&amp;$J325&amp;Y$1,Pesos!$A:$I,7,FALSE),VLOOKUP($I325&amp;$J325&amp;Y$1,Pesos!$A:$I,9,FALSE)))</f>
        <v/>
      </c>
      <c r="AX325" s="132" t="str">
        <f>IF(Z325="","",IF(Z325="SIM",VLOOKUP($I325&amp;$J325&amp;Z$1,Pesos!$A:$I,7,FALSE),VLOOKUP($I325&amp;$J325&amp;Z$1,Pesos!$A:$I,9,FALSE)))</f>
        <v/>
      </c>
      <c r="AY325" s="132" t="str">
        <f>IF(AA325="","",IF(AA325="SIM",VLOOKUP($I325&amp;$J325&amp;AA$1,Pesos!$A:$I,7,FALSE),VLOOKUP($I325&amp;$J325&amp;AA$1,Pesos!$A:$I,9,FALSE)))</f>
        <v/>
      </c>
      <c r="AZ325" s="132" t="str">
        <f>IF(AB325="","",IF(AB325="SIM",VLOOKUP($I325&amp;$J325&amp;AB$1,Pesos!$A:$I,7,FALSE),VLOOKUP($I325&amp;$J325&amp;AB$1,Pesos!$A:$I,9,FALSE)))</f>
        <v/>
      </c>
      <c r="BA325" s="132" t="str">
        <f>IF(AC325="","",IF(AC325="SIM",VLOOKUP($I325&amp;$J325&amp;AC$1,Pesos!$A:$I,7,FALSE),VLOOKUP($I325&amp;$J325&amp;AC$1,Pesos!$A:$I,9,FALSE)))</f>
        <v/>
      </c>
      <c r="BB325" s="132" t="str">
        <f>IF(AD325="","",IF(AD325="SIM",VLOOKUP($I325&amp;$J325&amp;AD$1,Pesos!$A:$I,7,FALSE),VLOOKUP($I325&amp;$J325&amp;AD$1,Pesos!$A:$I,9,FALSE)))</f>
        <v/>
      </c>
      <c r="BC325" s="132" t="str">
        <f>IF(AE325="","",IF(AE325="SIM",VLOOKUP($I325&amp;$J325&amp;AE$1,Pesos!$A:$I,7,FALSE),VLOOKUP($I325&amp;$J325&amp;AE$1,Pesos!$A:$I,9,FALSE)))</f>
        <v/>
      </c>
      <c r="BD325" s="158" t="str">
        <f>IFERROR(AF325*VLOOKUP(J325,'BD Campos'!$X$1:$Y$14,2,FALSE),"0")</f>
        <v>0</v>
      </c>
    </row>
    <row r="326" spans="1:56">
      <c r="A326" s="151" t="str">
        <f t="shared" si="23"/>
        <v>Jan11429TRANSFERÊNCIA</v>
      </c>
      <c r="B326" s="149" t="str">
        <f t="shared" si="24"/>
        <v>Jan114292TRANSFERÊNCIAPADRÃO</v>
      </c>
      <c r="C326" s="152">
        <v>1</v>
      </c>
      <c r="D326" s="153">
        <v>46059.787089814818</v>
      </c>
      <c r="E326" s="154" t="s">
        <v>12</v>
      </c>
      <c r="F326" s="155">
        <v>11429</v>
      </c>
      <c r="G326" s="149" t="s">
        <v>532</v>
      </c>
      <c r="H326" s="154">
        <v>2</v>
      </c>
      <c r="I326" s="149" t="s">
        <v>485</v>
      </c>
      <c r="J326" s="149"/>
      <c r="K326" s="149" t="s">
        <v>192</v>
      </c>
      <c r="L326" s="156"/>
      <c r="M326" s="157"/>
      <c r="N326" s="131"/>
      <c r="O326" s="131"/>
      <c r="P326" s="131"/>
      <c r="Q326" s="131"/>
      <c r="R326" s="131"/>
      <c r="S326" s="131"/>
      <c r="T326" s="131"/>
      <c r="U326" s="131"/>
      <c r="V326" s="131"/>
      <c r="W326" s="131"/>
      <c r="X326" s="131"/>
      <c r="Y326" s="131"/>
      <c r="Z326" s="131"/>
      <c r="AA326" s="131"/>
      <c r="AB326" s="131"/>
      <c r="AC326" s="131"/>
      <c r="AD326" s="131"/>
      <c r="AE326" s="131"/>
      <c r="AF326" s="158">
        <f t="shared" si="26"/>
        <v>0</v>
      </c>
      <c r="AG326" s="159"/>
      <c r="AH326" s="155"/>
      <c r="AI326" s="155" t="s">
        <v>83</v>
      </c>
      <c r="AJ326" s="131" t="str">
        <f>IFERROR(VLOOKUP(E326&amp;F326,'Listagem dos op'!A:S,19,0),"")</f>
        <v/>
      </c>
      <c r="AK326" s="131" t="str">
        <f t="shared" si="25"/>
        <v>Jan11429</v>
      </c>
      <c r="AL326" s="154" t="str">
        <f>IF(N326="","",IF(N326="SIM",VLOOKUP($I326&amp;$J326&amp;N$1,Pesos!$A:$I,7,FALSE),VLOOKUP($I326&amp;$J326&amp;N$1,Pesos!$A:$I,9,FALSE)))</f>
        <v/>
      </c>
      <c r="AM326" s="154" t="str">
        <f>IF(O326="","",IF(O326="SIM",VLOOKUP($I326&amp;$J326&amp;O$1,Pesos!$A:$I,7,FALSE),VLOOKUP($I326&amp;$J326&amp;O$1,Pesos!$A:$I,9,FALSE)))</f>
        <v/>
      </c>
      <c r="AN326" s="154" t="str">
        <f>IF(P326="","",IF(P326="SIM",VLOOKUP($I326&amp;$J326&amp;P$1,Pesos!$A:$I,7,FALSE),VLOOKUP($I326&amp;$J326&amp;P$1,Pesos!$A:$I,9,FALSE)))</f>
        <v/>
      </c>
      <c r="AO326" s="154" t="str">
        <f>IF(Q326="","",IF(Q326="SIM",VLOOKUP($I326&amp;$J326&amp;Q$1,Pesos!$A:$I,7,FALSE),VLOOKUP($I326&amp;$J326&amp;Q$1,Pesos!$A:$I,9,FALSE)))</f>
        <v/>
      </c>
      <c r="AP326" s="154" t="str">
        <f>IF(R326="","",IF(R326="SIM",VLOOKUP($I326&amp;$J326&amp;R$1,Pesos!$A:$I,7,FALSE),VLOOKUP($I326&amp;$J326&amp;R$1,Pesos!$A:$I,9,FALSE)))</f>
        <v/>
      </c>
      <c r="AQ326" s="154" t="str">
        <f>IF(S326="","",IF(S326="SIM",VLOOKUP($I326&amp;$J326&amp;S$1,Pesos!$A:$I,7,FALSE),VLOOKUP($I326&amp;$J326&amp;S$1,Pesos!$A:$I,9,FALSE)))</f>
        <v/>
      </c>
      <c r="AR326" s="156" t="str">
        <f>IF(T326="","",IF(T326="SIM",VLOOKUP($I326&amp;$J326&amp;T$1,Pesos!$A:$I,7,FALSE),VLOOKUP($I326&amp;$J326&amp;T$1,Pesos!$A:$I,9,FALSE)))</f>
        <v/>
      </c>
      <c r="AS326" s="132" t="str">
        <f>IF(U326="","",IF(U326="SIM",VLOOKUP($I326&amp;$J326&amp;U$1,Pesos!$A:$I,7,FALSE),VLOOKUP($I326&amp;$J326&amp;U$1,Pesos!$A:$I,9,FALSE)))</f>
        <v/>
      </c>
      <c r="AT326" s="132" t="str">
        <f>IF(V326="","",IF(V326="SIM",VLOOKUP($I326&amp;$J326&amp;V$1,Pesos!$A:$I,7,FALSE),VLOOKUP($I326&amp;$J326&amp;V$1,Pesos!$A:$I,9,FALSE)))</f>
        <v/>
      </c>
      <c r="AU326" s="132" t="str">
        <f>IF(W326="","",IF(W326="SIM",VLOOKUP($I326&amp;$J326&amp;W$1,Pesos!$A:$I,7,FALSE),VLOOKUP($I326&amp;$J326&amp;W$1,Pesos!$A:$I,9,FALSE)))</f>
        <v/>
      </c>
      <c r="AV326" s="132" t="str">
        <f>IF(X326="","",IF(X326="SIM",VLOOKUP($I326&amp;$J326&amp;X$1,Pesos!$A:$I,7,FALSE),VLOOKUP($I326&amp;$J326&amp;X$1,Pesos!$A:$I,9,FALSE)))</f>
        <v/>
      </c>
      <c r="AW326" s="132" t="str">
        <f>IF(Y326="","",IF(Y326="SIM",VLOOKUP($I326&amp;$J326&amp;Y$1,Pesos!$A:$I,7,FALSE),VLOOKUP($I326&amp;$J326&amp;Y$1,Pesos!$A:$I,9,FALSE)))</f>
        <v/>
      </c>
      <c r="AX326" s="132" t="str">
        <f>IF(Z326="","",IF(Z326="SIM",VLOOKUP($I326&amp;$J326&amp;Z$1,Pesos!$A:$I,7,FALSE),VLOOKUP($I326&amp;$J326&amp;Z$1,Pesos!$A:$I,9,FALSE)))</f>
        <v/>
      </c>
      <c r="AY326" s="132" t="str">
        <f>IF(AA326="","",IF(AA326="SIM",VLOOKUP($I326&amp;$J326&amp;AA$1,Pesos!$A:$I,7,FALSE),VLOOKUP($I326&amp;$J326&amp;AA$1,Pesos!$A:$I,9,FALSE)))</f>
        <v/>
      </c>
      <c r="AZ326" s="132" t="str">
        <f>IF(AB326="","",IF(AB326="SIM",VLOOKUP($I326&amp;$J326&amp;AB$1,Pesos!$A:$I,7,FALSE),VLOOKUP($I326&amp;$J326&amp;AB$1,Pesos!$A:$I,9,FALSE)))</f>
        <v/>
      </c>
      <c r="BA326" s="132" t="str">
        <f>IF(AC326="","",IF(AC326="SIM",VLOOKUP($I326&amp;$J326&amp;AC$1,Pesos!$A:$I,7,FALSE),VLOOKUP($I326&amp;$J326&amp;AC$1,Pesos!$A:$I,9,FALSE)))</f>
        <v/>
      </c>
      <c r="BB326" s="132" t="str">
        <f>IF(AD326="","",IF(AD326="SIM",VLOOKUP($I326&amp;$J326&amp;AD$1,Pesos!$A:$I,7,FALSE),VLOOKUP($I326&amp;$J326&amp;AD$1,Pesos!$A:$I,9,FALSE)))</f>
        <v/>
      </c>
      <c r="BC326" s="132" t="str">
        <f>IF(AE326="","",IF(AE326="SIM",VLOOKUP($I326&amp;$J326&amp;AE$1,Pesos!$A:$I,7,FALSE),VLOOKUP($I326&amp;$J326&amp;AE$1,Pesos!$A:$I,9,FALSE)))</f>
        <v/>
      </c>
      <c r="BD326" s="158" t="str">
        <f>IFERROR(AF326*VLOOKUP(J326,'BD Campos'!$X$1:$Y$14,2,FALSE),"0")</f>
        <v>0</v>
      </c>
    </row>
    <row r="327" spans="1:56">
      <c r="A327" s="151" t="str">
        <f t="shared" si="23"/>
        <v>Jan11290ReceptivaLOGÍSTICA</v>
      </c>
      <c r="B327" s="149" t="str">
        <f t="shared" si="24"/>
        <v>Jan112905LOGÍSTICAPADRÃO</v>
      </c>
      <c r="C327" s="152">
        <v>1</v>
      </c>
      <c r="D327" s="153">
        <v>46062.361414699073</v>
      </c>
      <c r="E327" s="154" t="s">
        <v>12</v>
      </c>
      <c r="F327" s="155">
        <v>11290</v>
      </c>
      <c r="G327" s="149" t="s">
        <v>533</v>
      </c>
      <c r="H327" s="154">
        <v>5</v>
      </c>
      <c r="I327" s="149" t="s">
        <v>534</v>
      </c>
      <c r="J327" s="149" t="s">
        <v>81</v>
      </c>
      <c r="K327" s="149" t="s">
        <v>315</v>
      </c>
      <c r="L327" s="156" t="s">
        <v>535</v>
      </c>
      <c r="M327" s="157"/>
      <c r="N327" s="131" t="s">
        <v>17</v>
      </c>
      <c r="O327" s="131" t="s">
        <v>17</v>
      </c>
      <c r="P327" s="131" t="s">
        <v>17</v>
      </c>
      <c r="Q327" s="131" t="s">
        <v>17</v>
      </c>
      <c r="R327" s="131" t="s">
        <v>17</v>
      </c>
      <c r="S327" s="131" t="s">
        <v>17</v>
      </c>
      <c r="T327" s="131" t="s">
        <v>17</v>
      </c>
      <c r="U327" s="131" t="s">
        <v>17</v>
      </c>
      <c r="V327" s="131" t="s">
        <v>17</v>
      </c>
      <c r="W327" s="131"/>
      <c r="X327" s="131"/>
      <c r="Y327" s="131"/>
      <c r="Z327" s="131"/>
      <c r="AA327" s="131"/>
      <c r="AB327" s="131"/>
      <c r="AC327" s="131"/>
      <c r="AD327" s="131"/>
      <c r="AE327" s="131"/>
      <c r="AF327" s="158">
        <f t="shared" si="26"/>
        <v>10.000000000000002</v>
      </c>
      <c r="AG327" s="159"/>
      <c r="AH327" s="155"/>
      <c r="AI327" s="155" t="s">
        <v>83</v>
      </c>
      <c r="AJ327" s="131" t="str">
        <f>IFERROR(VLOOKUP(E327&amp;F327,'Listagem dos op'!A:S,19,0),"")</f>
        <v/>
      </c>
      <c r="AK327" s="131" t="str">
        <f t="shared" si="25"/>
        <v>Jan11290</v>
      </c>
      <c r="AL327" s="154">
        <f>IF(N327="","",IF(N327="SIM",VLOOKUP($I327&amp;$J327&amp;N$1,Pesos!$A:$I,7,FALSE),VLOOKUP($I327&amp;$J327&amp;N$1,Pesos!$A:$I,9,FALSE)))</f>
        <v>0.3</v>
      </c>
      <c r="AM327" s="154">
        <f>IF(O327="","",IF(O327="SIM",VLOOKUP($I327&amp;$J327&amp;O$1,Pesos!$A:$I,7,FALSE),VLOOKUP($I327&amp;$J327&amp;O$1,Pesos!$A:$I,9,FALSE)))</f>
        <v>1.3</v>
      </c>
      <c r="AN327" s="154">
        <f>IF(P327="","",IF(P327="SIM",VLOOKUP($I327&amp;$J327&amp;P$1,Pesos!$A:$I,7,FALSE),VLOOKUP($I327&amp;$J327&amp;P$1,Pesos!$A:$I,9,FALSE)))</f>
        <v>1.3</v>
      </c>
      <c r="AO327" s="154">
        <f>IF(Q327="","",IF(Q327="SIM",VLOOKUP($I327&amp;$J327&amp;Q$1,Pesos!$A:$I,7,FALSE),VLOOKUP($I327&amp;$J327&amp;Q$1,Pesos!$A:$I,9,FALSE)))</f>
        <v>1.4000000000000001</v>
      </c>
      <c r="AP327" s="154">
        <f>IF(R327="","",IF(R327="SIM",VLOOKUP($I327&amp;$J327&amp;R$1,Pesos!$A:$I,7,FALSE),VLOOKUP($I327&amp;$J327&amp;R$1,Pesos!$A:$I,9,FALSE)))</f>
        <v>1.3</v>
      </c>
      <c r="AQ327" s="154">
        <f>IF(S327="","",IF(S327="SIM",VLOOKUP($I327&amp;$J327&amp;S$1,Pesos!$A:$I,7,FALSE),VLOOKUP($I327&amp;$J327&amp;S$1,Pesos!$A:$I,9,FALSE)))</f>
        <v>1.4000000000000001</v>
      </c>
      <c r="AR327" s="156">
        <f>IF(T327="","",IF(T327="SIM",VLOOKUP($I327&amp;$J327&amp;T$1,Pesos!$A:$I,7,FALSE),VLOOKUP($I327&amp;$J327&amp;T$1,Pesos!$A:$I,9,FALSE)))</f>
        <v>1.4000000000000001</v>
      </c>
      <c r="AS327" s="132">
        <f>IF(U327="","",IF(U327="SIM",VLOOKUP($I327&amp;$J327&amp;U$1,Pesos!$A:$I,7,FALSE),VLOOKUP($I327&amp;$J327&amp;U$1,Pesos!$A:$I,9,FALSE)))</f>
        <v>1.3</v>
      </c>
      <c r="AT327" s="132">
        <f>IF(V327="","",IF(V327="SIM",VLOOKUP($I327&amp;$J327&amp;V$1,Pesos!$A:$I,7,FALSE),VLOOKUP($I327&amp;$J327&amp;V$1,Pesos!$A:$I,9,FALSE)))</f>
        <v>0.3</v>
      </c>
      <c r="AU327" s="132" t="str">
        <f>IF(W327="","",IF(W327="SIM",VLOOKUP($I327&amp;$J327&amp;W$1,Pesos!$A:$I,7,FALSE),VLOOKUP($I327&amp;$J327&amp;W$1,Pesos!$A:$I,9,FALSE)))</f>
        <v/>
      </c>
      <c r="AV327" s="132" t="str">
        <f>IF(X327="","",IF(X327="SIM",VLOOKUP($I327&amp;$J327&amp;X$1,Pesos!$A:$I,7,FALSE),VLOOKUP($I327&amp;$J327&amp;X$1,Pesos!$A:$I,9,FALSE)))</f>
        <v/>
      </c>
      <c r="AW327" s="132" t="str">
        <f>IF(Y327="","",IF(Y327="SIM",VLOOKUP($I327&amp;$J327&amp;Y$1,Pesos!$A:$I,7,FALSE),VLOOKUP($I327&amp;$J327&amp;Y$1,Pesos!$A:$I,9,FALSE)))</f>
        <v/>
      </c>
      <c r="AX327" s="132" t="str">
        <f>IF(Z327="","",IF(Z327="SIM",VLOOKUP($I327&amp;$J327&amp;Z$1,Pesos!$A:$I,7,FALSE),VLOOKUP($I327&amp;$J327&amp;Z$1,Pesos!$A:$I,9,FALSE)))</f>
        <v/>
      </c>
      <c r="AY327" s="132" t="str">
        <f>IF(AA327="","",IF(AA327="SIM",VLOOKUP($I327&amp;$J327&amp;AA$1,Pesos!$A:$I,7,FALSE),VLOOKUP($I327&amp;$J327&amp;AA$1,Pesos!$A:$I,9,FALSE)))</f>
        <v/>
      </c>
      <c r="AZ327" s="132" t="str">
        <f>IF(AB327="","",IF(AB327="SIM",VLOOKUP($I327&amp;$J327&amp;AB$1,Pesos!$A:$I,7,FALSE),VLOOKUP($I327&amp;$J327&amp;AB$1,Pesos!$A:$I,9,FALSE)))</f>
        <v/>
      </c>
      <c r="BA327" s="132" t="str">
        <f>IF(AC327="","",IF(AC327="SIM",VLOOKUP($I327&amp;$J327&amp;AC$1,Pesos!$A:$I,7,FALSE),VLOOKUP($I327&amp;$J327&amp;AC$1,Pesos!$A:$I,9,FALSE)))</f>
        <v/>
      </c>
      <c r="BB327" s="132" t="str">
        <f>IF(AD327="","",IF(AD327="SIM",VLOOKUP($I327&amp;$J327&amp;AD$1,Pesos!$A:$I,7,FALSE),VLOOKUP($I327&amp;$J327&amp;AD$1,Pesos!$A:$I,9,FALSE)))</f>
        <v/>
      </c>
      <c r="BC327" s="132" t="str">
        <f>IF(AE327="","",IF(AE327="SIM",VLOOKUP($I327&amp;$J327&amp;AE$1,Pesos!$A:$I,7,FALSE),VLOOKUP($I327&amp;$J327&amp;AE$1,Pesos!$A:$I,9,FALSE)))</f>
        <v/>
      </c>
      <c r="BD327" s="158">
        <f>IFERROR(AF327*VLOOKUP(J327,'BD Campos'!$X$1:$Y$14,2,FALSE),"0")</f>
        <v>10.000000000000002</v>
      </c>
    </row>
    <row r="328" spans="1:56">
      <c r="A328" s="151" t="str">
        <f t="shared" si="23"/>
        <v>Jan11290Receptiva 2LOGÍSTICA</v>
      </c>
      <c r="B328" s="149" t="str">
        <f t="shared" si="24"/>
        <v>Jan112906LOGÍSTICAPADRÃO</v>
      </c>
      <c r="C328" s="152">
        <v>1</v>
      </c>
      <c r="D328" s="153">
        <v>46062.364807754631</v>
      </c>
      <c r="E328" s="154" t="s">
        <v>12</v>
      </c>
      <c r="F328" s="155">
        <v>11290</v>
      </c>
      <c r="G328" s="149" t="s">
        <v>533</v>
      </c>
      <c r="H328" s="154">
        <v>6</v>
      </c>
      <c r="I328" s="149" t="s">
        <v>534</v>
      </c>
      <c r="J328" s="149" t="s">
        <v>86</v>
      </c>
      <c r="K328" s="149" t="s">
        <v>315</v>
      </c>
      <c r="L328" s="156" t="s">
        <v>536</v>
      </c>
      <c r="M328" s="157"/>
      <c r="N328" s="131" t="s">
        <v>17</v>
      </c>
      <c r="O328" s="131" t="s">
        <v>17</v>
      </c>
      <c r="P328" s="131" t="s">
        <v>17</v>
      </c>
      <c r="Q328" s="131" t="s">
        <v>17</v>
      </c>
      <c r="R328" s="131" t="s">
        <v>17</v>
      </c>
      <c r="S328" s="131" t="s">
        <v>17</v>
      </c>
      <c r="T328" s="131" t="s">
        <v>17</v>
      </c>
      <c r="U328" s="131" t="s">
        <v>17</v>
      </c>
      <c r="V328" s="131" t="s">
        <v>17</v>
      </c>
      <c r="W328" s="131"/>
      <c r="X328" s="131"/>
      <c r="Y328" s="131"/>
      <c r="Z328" s="131"/>
      <c r="AA328" s="131"/>
      <c r="AB328" s="131"/>
      <c r="AC328" s="131"/>
      <c r="AD328" s="131"/>
      <c r="AE328" s="131"/>
      <c r="AF328" s="158">
        <f t="shared" si="26"/>
        <v>10.000000000000002</v>
      </c>
      <c r="AG328" s="159"/>
      <c r="AH328" s="155"/>
      <c r="AI328" s="155" t="s">
        <v>83</v>
      </c>
      <c r="AJ328" s="131" t="str">
        <f>IFERROR(VLOOKUP(E328&amp;F328,'Listagem dos op'!A:S,19,0),"")</f>
        <v/>
      </c>
      <c r="AK328" s="131" t="str">
        <f t="shared" si="25"/>
        <v>Jan11290</v>
      </c>
      <c r="AL328" s="154">
        <f>IF(N328="","",IF(N328="SIM",VLOOKUP($I328&amp;$J328&amp;N$1,Pesos!$A:$I,7,FALSE),VLOOKUP($I328&amp;$J328&amp;N$1,Pesos!$A:$I,9,FALSE)))</f>
        <v>0.3</v>
      </c>
      <c r="AM328" s="154">
        <f>IF(O328="","",IF(O328="SIM",VLOOKUP($I328&amp;$J328&amp;O$1,Pesos!$A:$I,7,FALSE),VLOOKUP($I328&amp;$J328&amp;O$1,Pesos!$A:$I,9,FALSE)))</f>
        <v>1.3</v>
      </c>
      <c r="AN328" s="154">
        <f>IF(P328="","",IF(P328="SIM",VLOOKUP($I328&amp;$J328&amp;P$1,Pesos!$A:$I,7,FALSE),VLOOKUP($I328&amp;$J328&amp;P$1,Pesos!$A:$I,9,FALSE)))</f>
        <v>1.3</v>
      </c>
      <c r="AO328" s="154">
        <f>IF(Q328="","",IF(Q328="SIM",VLOOKUP($I328&amp;$J328&amp;Q$1,Pesos!$A:$I,7,FALSE),VLOOKUP($I328&amp;$J328&amp;Q$1,Pesos!$A:$I,9,FALSE)))</f>
        <v>1.4000000000000001</v>
      </c>
      <c r="AP328" s="154">
        <f>IF(R328="","",IF(R328="SIM",VLOOKUP($I328&amp;$J328&amp;R$1,Pesos!$A:$I,7,FALSE),VLOOKUP($I328&amp;$J328&amp;R$1,Pesos!$A:$I,9,FALSE)))</f>
        <v>1.3</v>
      </c>
      <c r="AQ328" s="154">
        <f>IF(S328="","",IF(S328="SIM",VLOOKUP($I328&amp;$J328&amp;S$1,Pesos!$A:$I,7,FALSE),VLOOKUP($I328&amp;$J328&amp;S$1,Pesos!$A:$I,9,FALSE)))</f>
        <v>1.4000000000000001</v>
      </c>
      <c r="AR328" s="156">
        <f>IF(T328="","",IF(T328="SIM",VLOOKUP($I328&amp;$J328&amp;T$1,Pesos!$A:$I,7,FALSE),VLOOKUP($I328&amp;$J328&amp;T$1,Pesos!$A:$I,9,FALSE)))</f>
        <v>1.4000000000000001</v>
      </c>
      <c r="AS328" s="132">
        <f>IF(U328="","",IF(U328="SIM",VLOOKUP($I328&amp;$J328&amp;U$1,Pesos!$A:$I,7,FALSE),VLOOKUP($I328&amp;$J328&amp;U$1,Pesos!$A:$I,9,FALSE)))</f>
        <v>1.3</v>
      </c>
      <c r="AT328" s="132">
        <f>IF(V328="","",IF(V328="SIM",VLOOKUP($I328&amp;$J328&amp;V$1,Pesos!$A:$I,7,FALSE),VLOOKUP($I328&amp;$J328&amp;V$1,Pesos!$A:$I,9,FALSE)))</f>
        <v>0.3</v>
      </c>
      <c r="AU328" s="132" t="str">
        <f>IF(W328="","",IF(W328="SIM",VLOOKUP($I328&amp;$J328&amp;W$1,Pesos!$A:$I,7,FALSE),VLOOKUP($I328&amp;$J328&amp;W$1,Pesos!$A:$I,9,FALSE)))</f>
        <v/>
      </c>
      <c r="AV328" s="132" t="str">
        <f>IF(X328="","",IF(X328="SIM",VLOOKUP($I328&amp;$J328&amp;X$1,Pesos!$A:$I,7,FALSE),VLOOKUP($I328&amp;$J328&amp;X$1,Pesos!$A:$I,9,FALSE)))</f>
        <v/>
      </c>
      <c r="AW328" s="132" t="str">
        <f>IF(Y328="","",IF(Y328="SIM",VLOOKUP($I328&amp;$J328&amp;Y$1,Pesos!$A:$I,7,FALSE),VLOOKUP($I328&amp;$J328&amp;Y$1,Pesos!$A:$I,9,FALSE)))</f>
        <v/>
      </c>
      <c r="AX328" s="132" t="str">
        <f>IF(Z328="","",IF(Z328="SIM",VLOOKUP($I328&amp;$J328&amp;Z$1,Pesos!$A:$I,7,FALSE),VLOOKUP($I328&amp;$J328&amp;Z$1,Pesos!$A:$I,9,FALSE)))</f>
        <v/>
      </c>
      <c r="AY328" s="132" t="str">
        <f>IF(AA328="","",IF(AA328="SIM",VLOOKUP($I328&amp;$J328&amp;AA$1,Pesos!$A:$I,7,FALSE),VLOOKUP($I328&amp;$J328&amp;AA$1,Pesos!$A:$I,9,FALSE)))</f>
        <v/>
      </c>
      <c r="AZ328" s="132" t="str">
        <f>IF(AB328="","",IF(AB328="SIM",VLOOKUP($I328&amp;$J328&amp;AB$1,Pesos!$A:$I,7,FALSE),VLOOKUP($I328&amp;$J328&amp;AB$1,Pesos!$A:$I,9,FALSE)))</f>
        <v/>
      </c>
      <c r="BA328" s="132" t="str">
        <f>IF(AC328="","",IF(AC328="SIM",VLOOKUP($I328&amp;$J328&amp;AC$1,Pesos!$A:$I,7,FALSE),VLOOKUP($I328&amp;$J328&amp;AC$1,Pesos!$A:$I,9,FALSE)))</f>
        <v/>
      </c>
      <c r="BB328" s="132" t="str">
        <f>IF(AD328="","",IF(AD328="SIM",VLOOKUP($I328&amp;$J328&amp;AD$1,Pesos!$A:$I,7,FALSE),VLOOKUP($I328&amp;$J328&amp;AD$1,Pesos!$A:$I,9,FALSE)))</f>
        <v/>
      </c>
      <c r="BC328" s="132" t="str">
        <f>IF(AE328="","",IF(AE328="SIM",VLOOKUP($I328&amp;$J328&amp;AE$1,Pesos!$A:$I,7,FALSE),VLOOKUP($I328&amp;$J328&amp;AE$1,Pesos!$A:$I,9,FALSE)))</f>
        <v/>
      </c>
      <c r="BD328" s="158">
        <f>IFERROR(AF328*VLOOKUP(J328,'BD Campos'!$X$1:$Y$14,2,FALSE),"0")</f>
        <v>10.000000000000002</v>
      </c>
    </row>
    <row r="329" spans="1:56">
      <c r="A329" s="151" t="str">
        <f t="shared" si="23"/>
        <v>Jan11467ClienteLOGÍSTICA</v>
      </c>
      <c r="B329" s="149" t="str">
        <f t="shared" si="24"/>
        <v>Jan114671LOGÍSTICAPADRÃO</v>
      </c>
      <c r="C329" s="152">
        <v>1</v>
      </c>
      <c r="D329" s="153">
        <v>46062.372225578707</v>
      </c>
      <c r="E329" s="154" t="s">
        <v>12</v>
      </c>
      <c r="F329" s="155">
        <v>11467</v>
      </c>
      <c r="G329" s="149" t="s">
        <v>537</v>
      </c>
      <c r="H329" s="154">
        <v>1</v>
      </c>
      <c r="I329" s="149" t="s">
        <v>480</v>
      </c>
      <c r="J329" s="149" t="s">
        <v>149</v>
      </c>
      <c r="K329" s="149" t="s">
        <v>315</v>
      </c>
      <c r="L329" s="156"/>
      <c r="M329" s="157">
        <v>1.4120370370370369E-3</v>
      </c>
      <c r="N329" s="131" t="s">
        <v>17</v>
      </c>
      <c r="O329" s="131" t="s">
        <v>17</v>
      </c>
      <c r="P329" s="131" t="s">
        <v>17</v>
      </c>
      <c r="Q329" s="131" t="s">
        <v>17</v>
      </c>
      <c r="R329" s="131" t="s">
        <v>17</v>
      </c>
      <c r="S329" s="131" t="s">
        <v>18</v>
      </c>
      <c r="T329" s="131" t="s">
        <v>17</v>
      </c>
      <c r="U329" s="131" t="s">
        <v>17</v>
      </c>
      <c r="V329" s="131" t="s">
        <v>18</v>
      </c>
      <c r="W329" s="131" t="s">
        <v>17</v>
      </c>
      <c r="X329" s="131" t="s">
        <v>17</v>
      </c>
      <c r="Y329" s="131" t="s">
        <v>17</v>
      </c>
      <c r="Z329" s="131" t="s">
        <v>17</v>
      </c>
      <c r="AA329" s="131" t="s">
        <v>17</v>
      </c>
      <c r="AB329" s="131" t="s">
        <v>17</v>
      </c>
      <c r="AC329" s="131"/>
      <c r="AD329" s="131"/>
      <c r="AE329" s="131"/>
      <c r="AF329" s="158">
        <f t="shared" si="26"/>
        <v>6.5874999999999995</v>
      </c>
      <c r="AG329" s="159"/>
      <c r="AH329" s="155"/>
      <c r="AI329" s="155" t="s">
        <v>83</v>
      </c>
      <c r="AJ329" s="131" t="str">
        <f>IFERROR(VLOOKUP(E329&amp;F329,'Listagem dos op'!A:S,19,0),"")</f>
        <v/>
      </c>
      <c r="AK329" s="131" t="str">
        <f t="shared" si="25"/>
        <v>Jan11467</v>
      </c>
      <c r="AL329" s="154">
        <f>IF(N329="","",IF(N329="SIM",VLOOKUP($I329&amp;$J329&amp;N$1,Pesos!$A:$I,7,FALSE),VLOOKUP($I329&amp;$J329&amp;N$1,Pesos!$A:$I,9,FALSE)))</f>
        <v>0.1</v>
      </c>
      <c r="AM329" s="154">
        <f>IF(O329="","",IF(O329="SIM",VLOOKUP($I329&amp;$J329&amp;O$1,Pesos!$A:$I,7,FALSE),VLOOKUP($I329&amp;$J329&amp;O$1,Pesos!$A:$I,9,FALSE)))</f>
        <v>0.1</v>
      </c>
      <c r="AN329" s="154">
        <f>IF(P329="","",IF(P329="SIM",VLOOKUP($I329&amp;$J329&amp;P$1,Pesos!$A:$I,7,FALSE),VLOOKUP($I329&amp;$J329&amp;P$1,Pesos!$A:$I,9,FALSE)))</f>
        <v>0.1</v>
      </c>
      <c r="AO329" s="154">
        <f>IF(Q329="","",IF(Q329="SIM",VLOOKUP($I329&amp;$J329&amp;Q$1,Pesos!$A:$I,7,FALSE),VLOOKUP($I329&amp;$J329&amp;Q$1,Pesos!$A:$I,9,FALSE)))</f>
        <v>0.4</v>
      </c>
      <c r="AP329" s="154">
        <f>IF(R329="","",IF(R329="SIM",VLOOKUP($I329&amp;$J329&amp;R$1,Pesos!$A:$I,7,FALSE),VLOOKUP($I329&amp;$J329&amp;R$1,Pesos!$A:$I,9,FALSE)))</f>
        <v>1.5</v>
      </c>
      <c r="AQ329" s="154">
        <f>IF(S329="","",IF(S329="SIM",VLOOKUP($I329&amp;$J329&amp;S$1,Pesos!$A:$I,7,FALSE),VLOOKUP($I329&amp;$J329&amp;S$1,Pesos!$A:$I,9,FALSE)))</f>
        <v>-8.7500000000000008E-2</v>
      </c>
      <c r="AR329" s="156">
        <f>IF(T329="","",IF(T329="SIM",VLOOKUP($I329&amp;$J329&amp;T$1,Pesos!$A:$I,7,FALSE),VLOOKUP($I329&amp;$J329&amp;T$1,Pesos!$A:$I,9,FALSE)))</f>
        <v>1.7000000000000002</v>
      </c>
      <c r="AS329" s="132">
        <f>IF(U329="","",IF(U329="SIM",VLOOKUP($I329&amp;$J329&amp;U$1,Pesos!$A:$I,7,FALSE),VLOOKUP($I329&amp;$J329&amp;U$1,Pesos!$A:$I,9,FALSE)))</f>
        <v>1.5</v>
      </c>
      <c r="AT329" s="132">
        <f>IF(V329="","",IF(V329="SIM",VLOOKUP($I329&amp;$J329&amp;V$1,Pesos!$A:$I,7,FALSE),VLOOKUP($I329&amp;$J329&amp;V$1,Pesos!$A:$I,9,FALSE)))</f>
        <v>-7.5000000000000011E-2</v>
      </c>
      <c r="AU329" s="132">
        <f>IF(W329="","",IF(W329="SIM",VLOOKUP($I329&amp;$J329&amp;W$1,Pesos!$A:$I,7,FALSE),VLOOKUP($I329&amp;$J329&amp;W$1,Pesos!$A:$I,9,FALSE)))</f>
        <v>0.3</v>
      </c>
      <c r="AV329" s="132">
        <f>IF(X329="","",IF(X329="SIM",VLOOKUP($I329&amp;$J329&amp;X$1,Pesos!$A:$I,7,FALSE),VLOOKUP($I329&amp;$J329&amp;X$1,Pesos!$A:$I,9,FALSE)))</f>
        <v>0.3</v>
      </c>
      <c r="AW329" s="132">
        <f>IF(Y329="","",IF(Y329="SIM",VLOOKUP($I329&amp;$J329&amp;Y$1,Pesos!$A:$I,7,FALSE),VLOOKUP($I329&amp;$J329&amp;Y$1,Pesos!$A:$I,9,FALSE)))</f>
        <v>0.15</v>
      </c>
      <c r="AX329" s="132">
        <f>IF(Z329="","",IF(Z329="SIM",VLOOKUP($I329&amp;$J329&amp;Z$1,Pesos!$A:$I,7,FALSE),VLOOKUP($I329&amp;$J329&amp;Z$1,Pesos!$A:$I,9,FALSE)))</f>
        <v>0.2</v>
      </c>
      <c r="AY329" s="132">
        <f>IF(AA329="","",IF(AA329="SIM",VLOOKUP($I329&amp;$J329&amp;AA$1,Pesos!$A:$I,7,FALSE),VLOOKUP($I329&amp;$J329&amp;AA$1,Pesos!$A:$I,9,FALSE)))</f>
        <v>0.3</v>
      </c>
      <c r="AZ329" s="132">
        <f>IF(AB329="","",IF(AB329="SIM",VLOOKUP($I329&amp;$J329&amp;AB$1,Pesos!$A:$I,7,FALSE),VLOOKUP($I329&amp;$J329&amp;AB$1,Pesos!$A:$I,9,FALSE)))</f>
        <v>0.1</v>
      </c>
      <c r="BA329" s="132" t="str">
        <f>IF(AC329="","",IF(AC329="SIM",VLOOKUP($I329&amp;$J329&amp;AC$1,Pesos!$A:$I,7,FALSE),VLOOKUP($I329&amp;$J329&amp;AC$1,Pesos!$A:$I,9,FALSE)))</f>
        <v/>
      </c>
      <c r="BB329" s="132" t="str">
        <f>IF(AD329="","",IF(AD329="SIM",VLOOKUP($I329&amp;$J329&amp;AD$1,Pesos!$A:$I,7,FALSE),VLOOKUP($I329&amp;$J329&amp;AD$1,Pesos!$A:$I,9,FALSE)))</f>
        <v/>
      </c>
      <c r="BC329" s="132" t="str">
        <f>IF(AE329="","",IF(AE329="SIM",VLOOKUP($I329&amp;$J329&amp;AE$1,Pesos!$A:$I,7,FALSE),VLOOKUP($I329&amp;$J329&amp;AE$1,Pesos!$A:$I,9,FALSE)))</f>
        <v/>
      </c>
      <c r="BD329" s="158">
        <f>IFERROR(AF329*VLOOKUP(J329,'BD Campos'!$X$1:$Y$14,2,FALSE),"0")</f>
        <v>6.5874999999999995</v>
      </c>
    </row>
    <row r="330" spans="1:56">
      <c r="A330" s="151" t="str">
        <f t="shared" si="23"/>
        <v>Jan11467MotoristaLOGÍSTICA</v>
      </c>
      <c r="B330" s="149" t="str">
        <f t="shared" si="24"/>
        <v>Jan114672LOGÍSTICAPADRÃO</v>
      </c>
      <c r="C330" s="152">
        <v>1</v>
      </c>
      <c r="D330" s="153">
        <v>46062.375173032407</v>
      </c>
      <c r="E330" s="154" t="s">
        <v>12</v>
      </c>
      <c r="F330" s="155">
        <v>11467</v>
      </c>
      <c r="G330" s="149" t="s">
        <v>537</v>
      </c>
      <c r="H330" s="154">
        <v>2</v>
      </c>
      <c r="I330" s="149" t="s">
        <v>480</v>
      </c>
      <c r="J330" s="149" t="s">
        <v>93</v>
      </c>
      <c r="K330" s="149" t="s">
        <v>315</v>
      </c>
      <c r="L330" s="156"/>
      <c r="M330" s="157">
        <v>1.6550925925925926E-3</v>
      </c>
      <c r="N330" s="131" t="s">
        <v>17</v>
      </c>
      <c r="O330" s="131" t="s">
        <v>17</v>
      </c>
      <c r="P330" s="131" t="s">
        <v>17</v>
      </c>
      <c r="Q330" s="131" t="s">
        <v>17</v>
      </c>
      <c r="R330" s="131" t="s">
        <v>17</v>
      </c>
      <c r="S330" s="131" t="s">
        <v>17</v>
      </c>
      <c r="T330" s="131" t="s">
        <v>17</v>
      </c>
      <c r="U330" s="131" t="s">
        <v>17</v>
      </c>
      <c r="V330" s="131" t="s">
        <v>17</v>
      </c>
      <c r="W330" s="131" t="s">
        <v>17</v>
      </c>
      <c r="X330" s="131" t="s">
        <v>17</v>
      </c>
      <c r="Y330" s="131" t="s">
        <v>17</v>
      </c>
      <c r="Z330" s="131" t="s">
        <v>17</v>
      </c>
      <c r="AA330" s="131" t="s">
        <v>17</v>
      </c>
      <c r="AB330" s="131" t="s">
        <v>17</v>
      </c>
      <c r="AC330" s="131"/>
      <c r="AD330" s="131"/>
      <c r="AE330" s="131"/>
      <c r="AF330" s="158">
        <f t="shared" si="26"/>
        <v>10.000000000000002</v>
      </c>
      <c r="AG330" s="159"/>
      <c r="AH330" s="155"/>
      <c r="AI330" s="155" t="s">
        <v>83</v>
      </c>
      <c r="AJ330" s="131" t="str">
        <f>IFERROR(VLOOKUP(E330&amp;F330,'Listagem dos op'!A:S,19,0),"")</f>
        <v/>
      </c>
      <c r="AK330" s="131" t="str">
        <f t="shared" si="25"/>
        <v>Jan11467</v>
      </c>
      <c r="AL330" s="154">
        <f>IF(N330="","",IF(N330="SIM",VLOOKUP($I330&amp;$J330&amp;N$1,Pesos!$A:$I,7,FALSE),VLOOKUP($I330&amp;$J330&amp;N$1,Pesos!$A:$I,9,FALSE)))</f>
        <v>0.1</v>
      </c>
      <c r="AM330" s="154">
        <f>IF(O330="","",IF(O330="SIM",VLOOKUP($I330&amp;$J330&amp;O$1,Pesos!$A:$I,7,FALSE),VLOOKUP($I330&amp;$J330&amp;O$1,Pesos!$A:$I,9,FALSE)))</f>
        <v>0.1</v>
      </c>
      <c r="AN330" s="154">
        <f>IF(P330="","",IF(P330="SIM",VLOOKUP($I330&amp;$J330&amp;P$1,Pesos!$A:$I,7,FALSE),VLOOKUP($I330&amp;$J330&amp;P$1,Pesos!$A:$I,9,FALSE)))</f>
        <v>0.1</v>
      </c>
      <c r="AO330" s="154">
        <f>IF(Q330="","",IF(Q330="SIM",VLOOKUP($I330&amp;$J330&amp;Q$1,Pesos!$A:$I,7,FALSE),VLOOKUP($I330&amp;$J330&amp;Q$1,Pesos!$A:$I,9,FALSE)))</f>
        <v>0.4</v>
      </c>
      <c r="AP330" s="154">
        <f>IF(R330="","",IF(R330="SIM",VLOOKUP($I330&amp;$J330&amp;R$1,Pesos!$A:$I,7,FALSE),VLOOKUP($I330&amp;$J330&amp;R$1,Pesos!$A:$I,9,FALSE)))</f>
        <v>1.3</v>
      </c>
      <c r="AQ330" s="154">
        <f>IF(S330="","",IF(S330="SIM",VLOOKUP($I330&amp;$J330&amp;S$1,Pesos!$A:$I,7,FALSE),VLOOKUP($I330&amp;$J330&amp;S$1,Pesos!$A:$I,9,FALSE)))</f>
        <v>2</v>
      </c>
      <c r="AR330" s="156">
        <f>IF(T330="","",IF(T330="SIM",VLOOKUP($I330&amp;$J330&amp;T$1,Pesos!$A:$I,7,FALSE),VLOOKUP($I330&amp;$J330&amp;T$1,Pesos!$A:$I,9,FALSE)))</f>
        <v>2</v>
      </c>
      <c r="AS330" s="132">
        <f>IF(U330="","",IF(U330="SIM",VLOOKUP($I330&amp;$J330&amp;U$1,Pesos!$A:$I,7,FALSE),VLOOKUP($I330&amp;$J330&amp;U$1,Pesos!$A:$I,9,FALSE)))</f>
        <v>1.33</v>
      </c>
      <c r="AT330" s="132">
        <f>IF(V330="","",IF(V330="SIM",VLOOKUP($I330&amp;$J330&amp;V$1,Pesos!$A:$I,7,FALSE),VLOOKUP($I330&amp;$J330&amp;V$1,Pesos!$A:$I,9,FALSE)))</f>
        <v>1.32</v>
      </c>
      <c r="AU330" s="132">
        <f>IF(W330="","",IF(W330="SIM",VLOOKUP($I330&amp;$J330&amp;W$1,Pesos!$A:$I,7,FALSE),VLOOKUP($I330&amp;$J330&amp;W$1,Pesos!$A:$I,9,FALSE)))</f>
        <v>0.3</v>
      </c>
      <c r="AV330" s="132">
        <f>IF(X330="","",IF(X330="SIM",VLOOKUP($I330&amp;$J330&amp;X$1,Pesos!$A:$I,7,FALSE),VLOOKUP($I330&amp;$J330&amp;X$1,Pesos!$A:$I,9,FALSE)))</f>
        <v>0.3</v>
      </c>
      <c r="AW330" s="132">
        <f>IF(Y330="","",IF(Y330="SIM",VLOOKUP($I330&amp;$J330&amp;Y$1,Pesos!$A:$I,7,FALSE),VLOOKUP($I330&amp;$J330&amp;Y$1,Pesos!$A:$I,9,FALSE)))</f>
        <v>0.15</v>
      </c>
      <c r="AX330" s="132">
        <f>IF(Z330="","",IF(Z330="SIM",VLOOKUP($I330&amp;$J330&amp;Z$1,Pesos!$A:$I,7,FALSE),VLOOKUP($I330&amp;$J330&amp;Z$1,Pesos!$A:$I,9,FALSE)))</f>
        <v>0.2</v>
      </c>
      <c r="AY330" s="132">
        <f>IF(AA330="","",IF(AA330="SIM",VLOOKUP($I330&amp;$J330&amp;AA$1,Pesos!$A:$I,7,FALSE),VLOOKUP($I330&amp;$J330&amp;AA$1,Pesos!$A:$I,9,FALSE)))</f>
        <v>0.3</v>
      </c>
      <c r="AZ330" s="132">
        <f>IF(AB330="","",IF(AB330="SIM",VLOOKUP($I330&amp;$J330&amp;AB$1,Pesos!$A:$I,7,FALSE),VLOOKUP($I330&amp;$J330&amp;AB$1,Pesos!$A:$I,9,FALSE)))</f>
        <v>0.1</v>
      </c>
      <c r="BA330" s="132" t="str">
        <f>IF(AC330="","",IF(AC330="SIM",VLOOKUP($I330&amp;$J330&amp;AC$1,Pesos!$A:$I,7,FALSE),VLOOKUP($I330&amp;$J330&amp;AC$1,Pesos!$A:$I,9,FALSE)))</f>
        <v/>
      </c>
      <c r="BB330" s="132" t="str">
        <f>IF(AD330="","",IF(AD330="SIM",VLOOKUP($I330&amp;$J330&amp;AD$1,Pesos!$A:$I,7,FALSE),VLOOKUP($I330&amp;$J330&amp;AD$1,Pesos!$A:$I,9,FALSE)))</f>
        <v/>
      </c>
      <c r="BC330" s="132" t="str">
        <f>IF(AE330="","",IF(AE330="SIM",VLOOKUP($I330&amp;$J330&amp;AE$1,Pesos!$A:$I,7,FALSE),VLOOKUP($I330&amp;$J330&amp;AE$1,Pesos!$A:$I,9,FALSE)))</f>
        <v/>
      </c>
      <c r="BD330" s="158">
        <f>IFERROR(AF330*VLOOKUP(J330,'BD Campos'!$X$1:$Y$14,2,FALSE),"0")</f>
        <v>10.000000000000002</v>
      </c>
    </row>
    <row r="331" spans="1:56">
      <c r="A331" s="151" t="str">
        <f t="shared" si="23"/>
        <v>Jan11297ReceptivaLOGÍSTICA</v>
      </c>
      <c r="B331" s="149" t="str">
        <f t="shared" si="24"/>
        <v>Jan112975LOGÍSTICAPADRÃO</v>
      </c>
      <c r="C331" s="152">
        <v>1</v>
      </c>
      <c r="D331" s="153">
        <v>46062.376532870374</v>
      </c>
      <c r="E331" s="154" t="s">
        <v>12</v>
      </c>
      <c r="F331" s="155">
        <v>11297</v>
      </c>
      <c r="G331" s="149" t="s">
        <v>538</v>
      </c>
      <c r="H331" s="154">
        <v>5</v>
      </c>
      <c r="I331" s="149" t="s">
        <v>534</v>
      </c>
      <c r="J331" s="149" t="s">
        <v>81</v>
      </c>
      <c r="K331" s="149" t="s">
        <v>315</v>
      </c>
      <c r="L331" s="156" t="s">
        <v>539</v>
      </c>
      <c r="M331" s="157"/>
      <c r="N331" s="131" t="s">
        <v>17</v>
      </c>
      <c r="O331" s="131" t="s">
        <v>17</v>
      </c>
      <c r="P331" s="131" t="s">
        <v>17</v>
      </c>
      <c r="Q331" s="131" t="s">
        <v>17</v>
      </c>
      <c r="R331" s="131" t="s">
        <v>17</v>
      </c>
      <c r="S331" s="131" t="s">
        <v>17</v>
      </c>
      <c r="T331" s="131" t="s">
        <v>17</v>
      </c>
      <c r="U331" s="131" t="s">
        <v>17</v>
      </c>
      <c r="V331" s="131" t="s">
        <v>17</v>
      </c>
      <c r="W331" s="131"/>
      <c r="X331" s="131"/>
      <c r="Y331" s="131"/>
      <c r="Z331" s="131"/>
      <c r="AA331" s="131"/>
      <c r="AB331" s="131"/>
      <c r="AC331" s="131"/>
      <c r="AD331" s="131"/>
      <c r="AE331" s="131"/>
      <c r="AF331" s="158">
        <f t="shared" si="26"/>
        <v>10.000000000000002</v>
      </c>
      <c r="AG331" s="159"/>
      <c r="AH331" s="155"/>
      <c r="AI331" s="155" t="s">
        <v>83</v>
      </c>
      <c r="AJ331" s="131" t="str">
        <f>IFERROR(VLOOKUP(E331&amp;F331,'Listagem dos op'!A:S,19,0),"")</f>
        <v/>
      </c>
      <c r="AK331" s="131" t="str">
        <f t="shared" si="25"/>
        <v>Jan11297</v>
      </c>
      <c r="AL331" s="154">
        <f>IF(N331="","",IF(N331="SIM",VLOOKUP($I331&amp;$J331&amp;N$1,Pesos!$A:$I,7,FALSE),VLOOKUP($I331&amp;$J331&amp;N$1,Pesos!$A:$I,9,FALSE)))</f>
        <v>0.3</v>
      </c>
      <c r="AM331" s="154">
        <f>IF(O331="","",IF(O331="SIM",VLOOKUP($I331&amp;$J331&amp;O$1,Pesos!$A:$I,7,FALSE),VLOOKUP($I331&amp;$J331&amp;O$1,Pesos!$A:$I,9,FALSE)))</f>
        <v>1.3</v>
      </c>
      <c r="AN331" s="154">
        <f>IF(P331="","",IF(P331="SIM",VLOOKUP($I331&amp;$J331&amp;P$1,Pesos!$A:$I,7,FALSE),VLOOKUP($I331&amp;$J331&amp;P$1,Pesos!$A:$I,9,FALSE)))</f>
        <v>1.3</v>
      </c>
      <c r="AO331" s="154">
        <f>IF(Q331="","",IF(Q331="SIM",VLOOKUP($I331&amp;$J331&amp;Q$1,Pesos!$A:$I,7,FALSE),VLOOKUP($I331&amp;$J331&amp;Q$1,Pesos!$A:$I,9,FALSE)))</f>
        <v>1.4000000000000001</v>
      </c>
      <c r="AP331" s="154">
        <f>IF(R331="","",IF(R331="SIM",VLOOKUP($I331&amp;$J331&amp;R$1,Pesos!$A:$I,7,FALSE),VLOOKUP($I331&amp;$J331&amp;R$1,Pesos!$A:$I,9,FALSE)))</f>
        <v>1.3</v>
      </c>
      <c r="AQ331" s="154">
        <f>IF(S331="","",IF(S331="SIM",VLOOKUP($I331&amp;$J331&amp;S$1,Pesos!$A:$I,7,FALSE),VLOOKUP($I331&amp;$J331&amp;S$1,Pesos!$A:$I,9,FALSE)))</f>
        <v>1.4000000000000001</v>
      </c>
      <c r="AR331" s="156">
        <f>IF(T331="","",IF(T331="SIM",VLOOKUP($I331&amp;$J331&amp;T$1,Pesos!$A:$I,7,FALSE),VLOOKUP($I331&amp;$J331&amp;T$1,Pesos!$A:$I,9,FALSE)))</f>
        <v>1.4000000000000001</v>
      </c>
      <c r="AS331" s="132">
        <f>IF(U331="","",IF(U331="SIM",VLOOKUP($I331&amp;$J331&amp;U$1,Pesos!$A:$I,7,FALSE),VLOOKUP($I331&amp;$J331&amp;U$1,Pesos!$A:$I,9,FALSE)))</f>
        <v>1.3</v>
      </c>
      <c r="AT331" s="132">
        <f>IF(V331="","",IF(V331="SIM",VLOOKUP($I331&amp;$J331&amp;V$1,Pesos!$A:$I,7,FALSE),VLOOKUP($I331&amp;$J331&amp;V$1,Pesos!$A:$I,9,FALSE)))</f>
        <v>0.3</v>
      </c>
      <c r="AU331" s="132" t="str">
        <f>IF(W331="","",IF(W331="SIM",VLOOKUP($I331&amp;$J331&amp;W$1,Pesos!$A:$I,7,FALSE),VLOOKUP($I331&amp;$J331&amp;W$1,Pesos!$A:$I,9,FALSE)))</f>
        <v/>
      </c>
      <c r="AV331" s="132" t="str">
        <f>IF(X331="","",IF(X331="SIM",VLOOKUP($I331&amp;$J331&amp;X$1,Pesos!$A:$I,7,FALSE),VLOOKUP($I331&amp;$J331&amp;X$1,Pesos!$A:$I,9,FALSE)))</f>
        <v/>
      </c>
      <c r="AW331" s="132" t="str">
        <f>IF(Y331="","",IF(Y331="SIM",VLOOKUP($I331&amp;$J331&amp;Y$1,Pesos!$A:$I,7,FALSE),VLOOKUP($I331&amp;$J331&amp;Y$1,Pesos!$A:$I,9,FALSE)))</f>
        <v/>
      </c>
      <c r="AX331" s="132" t="str">
        <f>IF(Z331="","",IF(Z331="SIM",VLOOKUP($I331&amp;$J331&amp;Z$1,Pesos!$A:$I,7,FALSE),VLOOKUP($I331&amp;$J331&amp;Z$1,Pesos!$A:$I,9,FALSE)))</f>
        <v/>
      </c>
      <c r="AY331" s="132" t="str">
        <f>IF(AA331="","",IF(AA331="SIM",VLOOKUP($I331&amp;$J331&amp;AA$1,Pesos!$A:$I,7,FALSE),VLOOKUP($I331&amp;$J331&amp;AA$1,Pesos!$A:$I,9,FALSE)))</f>
        <v/>
      </c>
      <c r="AZ331" s="132" t="str">
        <f>IF(AB331="","",IF(AB331="SIM",VLOOKUP($I331&amp;$J331&amp;AB$1,Pesos!$A:$I,7,FALSE),VLOOKUP($I331&amp;$J331&amp;AB$1,Pesos!$A:$I,9,FALSE)))</f>
        <v/>
      </c>
      <c r="BA331" s="132" t="str">
        <f>IF(AC331="","",IF(AC331="SIM",VLOOKUP($I331&amp;$J331&amp;AC$1,Pesos!$A:$I,7,FALSE),VLOOKUP($I331&amp;$J331&amp;AC$1,Pesos!$A:$I,9,FALSE)))</f>
        <v/>
      </c>
      <c r="BB331" s="132" t="str">
        <f>IF(AD331="","",IF(AD331="SIM",VLOOKUP($I331&amp;$J331&amp;AD$1,Pesos!$A:$I,7,FALSE),VLOOKUP($I331&amp;$J331&amp;AD$1,Pesos!$A:$I,9,FALSE)))</f>
        <v/>
      </c>
      <c r="BC331" s="132" t="str">
        <f>IF(AE331="","",IF(AE331="SIM",VLOOKUP($I331&amp;$J331&amp;AE$1,Pesos!$A:$I,7,FALSE),VLOOKUP($I331&amp;$J331&amp;AE$1,Pesos!$A:$I,9,FALSE)))</f>
        <v/>
      </c>
      <c r="BD331" s="158">
        <f>IFERROR(AF331*VLOOKUP(J331,'BD Campos'!$X$1:$Y$14,2,FALSE),"0")</f>
        <v>10.000000000000002</v>
      </c>
    </row>
    <row r="332" spans="1:56">
      <c r="A332" s="151" t="str">
        <f t="shared" si="23"/>
        <v>Jan11297Receptiva 2LOGÍSTICA</v>
      </c>
      <c r="B332" s="149" t="str">
        <f t="shared" si="24"/>
        <v>Jan112976LOGÍSTICAPADRÃO</v>
      </c>
      <c r="C332" s="152">
        <v>1</v>
      </c>
      <c r="D332" s="153">
        <v>46062.378006134262</v>
      </c>
      <c r="E332" s="154" t="s">
        <v>12</v>
      </c>
      <c r="F332" s="155">
        <v>11297</v>
      </c>
      <c r="G332" s="149" t="s">
        <v>538</v>
      </c>
      <c r="H332" s="154">
        <v>6</v>
      </c>
      <c r="I332" s="149" t="s">
        <v>534</v>
      </c>
      <c r="J332" s="149" t="s">
        <v>86</v>
      </c>
      <c r="K332" s="149" t="s">
        <v>315</v>
      </c>
      <c r="L332" s="156" t="s">
        <v>540</v>
      </c>
      <c r="M332" s="157"/>
      <c r="N332" s="131" t="s">
        <v>17</v>
      </c>
      <c r="O332" s="131" t="s">
        <v>17</v>
      </c>
      <c r="P332" s="131" t="s">
        <v>17</v>
      </c>
      <c r="Q332" s="131" t="s">
        <v>17</v>
      </c>
      <c r="R332" s="131" t="s">
        <v>17</v>
      </c>
      <c r="S332" s="131" t="s">
        <v>17</v>
      </c>
      <c r="T332" s="131" t="s">
        <v>17</v>
      </c>
      <c r="U332" s="131" t="s">
        <v>17</v>
      </c>
      <c r="V332" s="131" t="s">
        <v>17</v>
      </c>
      <c r="W332" s="131"/>
      <c r="X332" s="131"/>
      <c r="Y332" s="131"/>
      <c r="Z332" s="131"/>
      <c r="AA332" s="131"/>
      <c r="AB332" s="131"/>
      <c r="AC332" s="131"/>
      <c r="AD332" s="131"/>
      <c r="AE332" s="131"/>
      <c r="AF332" s="158">
        <f t="shared" si="26"/>
        <v>10.000000000000002</v>
      </c>
      <c r="AG332" s="159"/>
      <c r="AH332" s="155"/>
      <c r="AI332" s="155" t="s">
        <v>83</v>
      </c>
      <c r="AJ332" s="131" t="str">
        <f>IFERROR(VLOOKUP(E332&amp;F332,'Listagem dos op'!A:S,19,0),"")</f>
        <v/>
      </c>
      <c r="AK332" s="131" t="str">
        <f t="shared" si="25"/>
        <v>Jan11297</v>
      </c>
      <c r="AL332" s="154">
        <f>IF(N332="","",IF(N332="SIM",VLOOKUP($I332&amp;$J332&amp;N$1,Pesos!$A:$I,7,FALSE),VLOOKUP($I332&amp;$J332&amp;N$1,Pesos!$A:$I,9,FALSE)))</f>
        <v>0.3</v>
      </c>
      <c r="AM332" s="154">
        <f>IF(O332="","",IF(O332="SIM",VLOOKUP($I332&amp;$J332&amp;O$1,Pesos!$A:$I,7,FALSE),VLOOKUP($I332&amp;$J332&amp;O$1,Pesos!$A:$I,9,FALSE)))</f>
        <v>1.3</v>
      </c>
      <c r="AN332" s="154">
        <f>IF(P332="","",IF(P332="SIM",VLOOKUP($I332&amp;$J332&amp;P$1,Pesos!$A:$I,7,FALSE),VLOOKUP($I332&amp;$J332&amp;P$1,Pesos!$A:$I,9,FALSE)))</f>
        <v>1.3</v>
      </c>
      <c r="AO332" s="154">
        <f>IF(Q332="","",IF(Q332="SIM",VLOOKUP($I332&amp;$J332&amp;Q$1,Pesos!$A:$I,7,FALSE),VLOOKUP($I332&amp;$J332&amp;Q$1,Pesos!$A:$I,9,FALSE)))</f>
        <v>1.4000000000000001</v>
      </c>
      <c r="AP332" s="154">
        <f>IF(R332="","",IF(R332="SIM",VLOOKUP($I332&amp;$J332&amp;R$1,Pesos!$A:$I,7,FALSE),VLOOKUP($I332&amp;$J332&amp;R$1,Pesos!$A:$I,9,FALSE)))</f>
        <v>1.3</v>
      </c>
      <c r="AQ332" s="154">
        <f>IF(S332="","",IF(S332="SIM",VLOOKUP($I332&amp;$J332&amp;S$1,Pesos!$A:$I,7,FALSE),VLOOKUP($I332&amp;$J332&amp;S$1,Pesos!$A:$I,9,FALSE)))</f>
        <v>1.4000000000000001</v>
      </c>
      <c r="AR332" s="156">
        <f>IF(T332="","",IF(T332="SIM",VLOOKUP($I332&amp;$J332&amp;T$1,Pesos!$A:$I,7,FALSE),VLOOKUP($I332&amp;$J332&amp;T$1,Pesos!$A:$I,9,FALSE)))</f>
        <v>1.4000000000000001</v>
      </c>
      <c r="AS332" s="132">
        <f>IF(U332="","",IF(U332="SIM",VLOOKUP($I332&amp;$J332&amp;U$1,Pesos!$A:$I,7,FALSE),VLOOKUP($I332&amp;$J332&amp;U$1,Pesos!$A:$I,9,FALSE)))</f>
        <v>1.3</v>
      </c>
      <c r="AT332" s="132">
        <f>IF(V332="","",IF(V332="SIM",VLOOKUP($I332&amp;$J332&amp;V$1,Pesos!$A:$I,7,FALSE),VLOOKUP($I332&amp;$J332&amp;V$1,Pesos!$A:$I,9,FALSE)))</f>
        <v>0.3</v>
      </c>
      <c r="AU332" s="132" t="str">
        <f>IF(W332="","",IF(W332="SIM",VLOOKUP($I332&amp;$J332&amp;W$1,Pesos!$A:$I,7,FALSE),VLOOKUP($I332&amp;$J332&amp;W$1,Pesos!$A:$I,9,FALSE)))</f>
        <v/>
      </c>
      <c r="AV332" s="132" t="str">
        <f>IF(X332="","",IF(X332="SIM",VLOOKUP($I332&amp;$J332&amp;X$1,Pesos!$A:$I,7,FALSE),VLOOKUP($I332&amp;$J332&amp;X$1,Pesos!$A:$I,9,FALSE)))</f>
        <v/>
      </c>
      <c r="AW332" s="132" t="str">
        <f>IF(Y332="","",IF(Y332="SIM",VLOOKUP($I332&amp;$J332&amp;Y$1,Pesos!$A:$I,7,FALSE),VLOOKUP($I332&amp;$J332&amp;Y$1,Pesos!$A:$I,9,FALSE)))</f>
        <v/>
      </c>
      <c r="AX332" s="132" t="str">
        <f>IF(Z332="","",IF(Z332="SIM",VLOOKUP($I332&amp;$J332&amp;Z$1,Pesos!$A:$I,7,FALSE),VLOOKUP($I332&amp;$J332&amp;Z$1,Pesos!$A:$I,9,FALSE)))</f>
        <v/>
      </c>
      <c r="AY332" s="132" t="str">
        <f>IF(AA332="","",IF(AA332="SIM",VLOOKUP($I332&amp;$J332&amp;AA$1,Pesos!$A:$I,7,FALSE),VLOOKUP($I332&amp;$J332&amp;AA$1,Pesos!$A:$I,9,FALSE)))</f>
        <v/>
      </c>
      <c r="AZ332" s="132" t="str">
        <f>IF(AB332="","",IF(AB332="SIM",VLOOKUP($I332&amp;$J332&amp;AB$1,Pesos!$A:$I,7,FALSE),VLOOKUP($I332&amp;$J332&amp;AB$1,Pesos!$A:$I,9,FALSE)))</f>
        <v/>
      </c>
      <c r="BA332" s="132" t="str">
        <f>IF(AC332="","",IF(AC332="SIM",VLOOKUP($I332&amp;$J332&amp;AC$1,Pesos!$A:$I,7,FALSE),VLOOKUP($I332&amp;$J332&amp;AC$1,Pesos!$A:$I,9,FALSE)))</f>
        <v/>
      </c>
      <c r="BB332" s="132" t="str">
        <f>IF(AD332="","",IF(AD332="SIM",VLOOKUP($I332&amp;$J332&amp;AD$1,Pesos!$A:$I,7,FALSE),VLOOKUP($I332&amp;$J332&amp;AD$1,Pesos!$A:$I,9,FALSE)))</f>
        <v/>
      </c>
      <c r="BC332" s="132" t="str">
        <f>IF(AE332="","",IF(AE332="SIM",VLOOKUP($I332&amp;$J332&amp;AE$1,Pesos!$A:$I,7,FALSE),VLOOKUP($I332&amp;$J332&amp;AE$1,Pesos!$A:$I,9,FALSE)))</f>
        <v/>
      </c>
      <c r="BD332" s="158">
        <f>IFERROR(AF332*VLOOKUP(J332,'BD Campos'!$X$1:$Y$14,2,FALSE),"0")</f>
        <v>10.000000000000002</v>
      </c>
    </row>
    <row r="333" spans="1:56">
      <c r="A333" s="151" t="str">
        <f t="shared" si="23"/>
        <v>Jan11328ClienteLOGÍSTICA</v>
      </c>
      <c r="B333" s="149" t="str">
        <f t="shared" si="24"/>
        <v>Jan113281LOGÍSTICAPADRÃO</v>
      </c>
      <c r="C333" s="152">
        <v>1</v>
      </c>
      <c r="D333" s="153">
        <v>46062.386271759256</v>
      </c>
      <c r="E333" s="154" t="s">
        <v>12</v>
      </c>
      <c r="F333" s="155">
        <v>11328</v>
      </c>
      <c r="G333" s="149" t="s">
        <v>541</v>
      </c>
      <c r="H333" s="154">
        <v>1</v>
      </c>
      <c r="I333" s="149" t="s">
        <v>480</v>
      </c>
      <c r="J333" s="149" t="s">
        <v>149</v>
      </c>
      <c r="K333" s="149" t="s">
        <v>315</v>
      </c>
      <c r="L333" s="156"/>
      <c r="M333" s="157">
        <v>3.3912037037037036E-3</v>
      </c>
      <c r="N333" s="131" t="s">
        <v>17</v>
      </c>
      <c r="O333" s="131" t="s">
        <v>17</v>
      </c>
      <c r="P333" s="131" t="s">
        <v>17</v>
      </c>
      <c r="Q333" s="131" t="s">
        <v>17</v>
      </c>
      <c r="R333" s="131" t="s">
        <v>17</v>
      </c>
      <c r="S333" s="131" t="s">
        <v>17</v>
      </c>
      <c r="T333" s="131" t="s">
        <v>17</v>
      </c>
      <c r="U333" s="131" t="s">
        <v>17</v>
      </c>
      <c r="V333" s="131" t="s">
        <v>18</v>
      </c>
      <c r="W333" s="131" t="s">
        <v>17</v>
      </c>
      <c r="X333" s="131" t="s">
        <v>17</v>
      </c>
      <c r="Y333" s="131" t="s">
        <v>17</v>
      </c>
      <c r="Z333" s="131" t="s">
        <v>17</v>
      </c>
      <c r="AA333" s="131" t="s">
        <v>18</v>
      </c>
      <c r="AB333" s="131" t="s">
        <v>17</v>
      </c>
      <c r="AC333" s="131"/>
      <c r="AD333" s="131"/>
      <c r="AE333" s="131"/>
      <c r="AF333" s="158">
        <f t="shared" si="26"/>
        <v>8.11</v>
      </c>
      <c r="AG333" s="159"/>
      <c r="AH333" s="155"/>
      <c r="AI333" s="155" t="s">
        <v>83</v>
      </c>
      <c r="AJ333" s="131" t="str">
        <f>IFERROR(VLOOKUP(E333&amp;F333,'Listagem dos op'!A:S,19,0),"")</f>
        <v/>
      </c>
      <c r="AK333" s="131" t="str">
        <f t="shared" si="25"/>
        <v>Jan11328</v>
      </c>
      <c r="AL333" s="154">
        <f>IF(N333="","",IF(N333="SIM",VLOOKUP($I333&amp;$J333&amp;N$1,Pesos!$A:$I,7,FALSE),VLOOKUP($I333&amp;$J333&amp;N$1,Pesos!$A:$I,9,FALSE)))</f>
        <v>0.1</v>
      </c>
      <c r="AM333" s="154">
        <f>IF(O333="","",IF(O333="SIM",VLOOKUP($I333&amp;$J333&amp;O$1,Pesos!$A:$I,7,FALSE),VLOOKUP($I333&amp;$J333&amp;O$1,Pesos!$A:$I,9,FALSE)))</f>
        <v>0.1</v>
      </c>
      <c r="AN333" s="154">
        <f>IF(P333="","",IF(P333="SIM",VLOOKUP($I333&amp;$J333&amp;P$1,Pesos!$A:$I,7,FALSE),VLOOKUP($I333&amp;$J333&amp;P$1,Pesos!$A:$I,9,FALSE)))</f>
        <v>0.1</v>
      </c>
      <c r="AO333" s="154">
        <f>IF(Q333="","",IF(Q333="SIM",VLOOKUP($I333&amp;$J333&amp;Q$1,Pesos!$A:$I,7,FALSE),VLOOKUP($I333&amp;$J333&amp;Q$1,Pesos!$A:$I,9,FALSE)))</f>
        <v>0.4</v>
      </c>
      <c r="AP333" s="154">
        <f>IF(R333="","",IF(R333="SIM",VLOOKUP($I333&amp;$J333&amp;R$1,Pesos!$A:$I,7,FALSE),VLOOKUP($I333&amp;$J333&amp;R$1,Pesos!$A:$I,9,FALSE)))</f>
        <v>1.5</v>
      </c>
      <c r="AQ333" s="154">
        <f>IF(S333="","",IF(S333="SIM",VLOOKUP($I333&amp;$J333&amp;S$1,Pesos!$A:$I,7,FALSE),VLOOKUP($I333&amp;$J333&amp;S$1,Pesos!$A:$I,9,FALSE)))</f>
        <v>1.75</v>
      </c>
      <c r="AR333" s="156">
        <f>IF(T333="","",IF(T333="SIM",VLOOKUP($I333&amp;$J333&amp;T$1,Pesos!$A:$I,7,FALSE),VLOOKUP($I333&amp;$J333&amp;T$1,Pesos!$A:$I,9,FALSE)))</f>
        <v>1.7000000000000002</v>
      </c>
      <c r="AS333" s="132">
        <f>IF(U333="","",IF(U333="SIM",VLOOKUP($I333&amp;$J333&amp;U$1,Pesos!$A:$I,7,FALSE),VLOOKUP($I333&amp;$J333&amp;U$1,Pesos!$A:$I,9,FALSE)))</f>
        <v>1.5</v>
      </c>
      <c r="AT333" s="132">
        <f>IF(V333="","",IF(V333="SIM",VLOOKUP($I333&amp;$J333&amp;V$1,Pesos!$A:$I,7,FALSE),VLOOKUP($I333&amp;$J333&amp;V$1,Pesos!$A:$I,9,FALSE)))</f>
        <v>-7.5000000000000011E-2</v>
      </c>
      <c r="AU333" s="132">
        <f>IF(W333="","",IF(W333="SIM",VLOOKUP($I333&amp;$J333&amp;W$1,Pesos!$A:$I,7,FALSE),VLOOKUP($I333&amp;$J333&amp;W$1,Pesos!$A:$I,9,FALSE)))</f>
        <v>0.3</v>
      </c>
      <c r="AV333" s="132">
        <f>IF(X333="","",IF(X333="SIM",VLOOKUP($I333&amp;$J333&amp;X$1,Pesos!$A:$I,7,FALSE),VLOOKUP($I333&amp;$J333&amp;X$1,Pesos!$A:$I,9,FALSE)))</f>
        <v>0.3</v>
      </c>
      <c r="AW333" s="132">
        <f>IF(Y333="","",IF(Y333="SIM",VLOOKUP($I333&amp;$J333&amp;Y$1,Pesos!$A:$I,7,FALSE),VLOOKUP($I333&amp;$J333&amp;Y$1,Pesos!$A:$I,9,FALSE)))</f>
        <v>0.15</v>
      </c>
      <c r="AX333" s="132">
        <f>IF(Z333="","",IF(Z333="SIM",VLOOKUP($I333&amp;$J333&amp;Z$1,Pesos!$A:$I,7,FALSE),VLOOKUP($I333&amp;$J333&amp;Z$1,Pesos!$A:$I,9,FALSE)))</f>
        <v>0.2</v>
      </c>
      <c r="AY333" s="132">
        <f>IF(AA333="","",IF(AA333="SIM",VLOOKUP($I333&amp;$J333&amp;AA$1,Pesos!$A:$I,7,FALSE),VLOOKUP($I333&amp;$J333&amp;AA$1,Pesos!$A:$I,9,FALSE)))</f>
        <v>-1.4999999999999999E-2</v>
      </c>
      <c r="AZ333" s="132">
        <f>IF(AB333="","",IF(AB333="SIM",VLOOKUP($I333&amp;$J333&amp;AB$1,Pesos!$A:$I,7,FALSE),VLOOKUP($I333&amp;$J333&amp;AB$1,Pesos!$A:$I,9,FALSE)))</f>
        <v>0.1</v>
      </c>
      <c r="BA333" s="132" t="str">
        <f>IF(AC333="","",IF(AC333="SIM",VLOOKUP($I333&amp;$J333&amp;AC$1,Pesos!$A:$I,7,FALSE),VLOOKUP($I333&amp;$J333&amp;AC$1,Pesos!$A:$I,9,FALSE)))</f>
        <v/>
      </c>
      <c r="BB333" s="132" t="str">
        <f>IF(AD333="","",IF(AD333="SIM",VLOOKUP($I333&amp;$J333&amp;AD$1,Pesos!$A:$I,7,FALSE),VLOOKUP($I333&amp;$J333&amp;AD$1,Pesos!$A:$I,9,FALSE)))</f>
        <v/>
      </c>
      <c r="BC333" s="132" t="str">
        <f>IF(AE333="","",IF(AE333="SIM",VLOOKUP($I333&amp;$J333&amp;AE$1,Pesos!$A:$I,7,FALSE),VLOOKUP($I333&amp;$J333&amp;AE$1,Pesos!$A:$I,9,FALSE)))</f>
        <v/>
      </c>
      <c r="BD333" s="158">
        <f>IFERROR(AF333*VLOOKUP(J333,'BD Campos'!$X$1:$Y$14,2,FALSE),"0")</f>
        <v>8.11</v>
      </c>
    </row>
    <row r="334" spans="1:56">
      <c r="A334" s="151" t="str">
        <f t="shared" si="23"/>
        <v>Jan11328Cliente 2LOGÍSTICA</v>
      </c>
      <c r="B334" s="149" t="str">
        <f t="shared" si="24"/>
        <v>Jan113282LOGÍSTICAPADRÃO</v>
      </c>
      <c r="C334" s="152">
        <v>1</v>
      </c>
      <c r="D334" s="153">
        <v>46062.38858298611</v>
      </c>
      <c r="E334" s="154" t="s">
        <v>12</v>
      </c>
      <c r="F334" s="155">
        <v>11328</v>
      </c>
      <c r="G334" s="149" t="s">
        <v>541</v>
      </c>
      <c r="H334" s="154">
        <v>2</v>
      </c>
      <c r="I334" s="149" t="s">
        <v>480</v>
      </c>
      <c r="J334" s="149" t="s">
        <v>322</v>
      </c>
      <c r="K334" s="149" t="s">
        <v>315</v>
      </c>
      <c r="L334" s="156"/>
      <c r="M334" s="157">
        <v>1.5393518518518519E-3</v>
      </c>
      <c r="N334" s="131" t="s">
        <v>17</v>
      </c>
      <c r="O334" s="131" t="s">
        <v>17</v>
      </c>
      <c r="P334" s="131" t="s">
        <v>17</v>
      </c>
      <c r="Q334" s="131" t="s">
        <v>17</v>
      </c>
      <c r="R334" s="131" t="s">
        <v>17</v>
      </c>
      <c r="S334" s="131" t="s">
        <v>17</v>
      </c>
      <c r="T334" s="131" t="s">
        <v>17</v>
      </c>
      <c r="U334" s="131" t="s">
        <v>17</v>
      </c>
      <c r="V334" s="131" t="s">
        <v>18</v>
      </c>
      <c r="W334" s="131" t="s">
        <v>17</v>
      </c>
      <c r="X334" s="131" t="s">
        <v>17</v>
      </c>
      <c r="Y334" s="131" t="s">
        <v>17</v>
      </c>
      <c r="Z334" s="131" t="s">
        <v>17</v>
      </c>
      <c r="AA334" s="131" t="s">
        <v>18</v>
      </c>
      <c r="AB334" s="131" t="s">
        <v>17</v>
      </c>
      <c r="AC334" s="131"/>
      <c r="AD334" s="131"/>
      <c r="AE334" s="131"/>
      <c r="AF334" s="158">
        <f t="shared" si="26"/>
        <v>8.11</v>
      </c>
      <c r="AG334" s="159"/>
      <c r="AH334" s="155"/>
      <c r="AI334" s="155" t="s">
        <v>83</v>
      </c>
      <c r="AJ334" s="131" t="str">
        <f>IFERROR(VLOOKUP(E334&amp;F334,'Listagem dos op'!A:S,19,0),"")</f>
        <v/>
      </c>
      <c r="AK334" s="131" t="str">
        <f t="shared" si="25"/>
        <v>Jan11328</v>
      </c>
      <c r="AL334" s="154">
        <f>IF(N334="","",IF(N334="SIM",VLOOKUP($I334&amp;$J334&amp;N$1,Pesos!$A:$I,7,FALSE),VLOOKUP($I334&amp;$J334&amp;N$1,Pesos!$A:$I,9,FALSE)))</f>
        <v>0.1</v>
      </c>
      <c r="AM334" s="154">
        <f>IF(O334="","",IF(O334="SIM",VLOOKUP($I334&amp;$J334&amp;O$1,Pesos!$A:$I,7,FALSE),VLOOKUP($I334&amp;$J334&amp;O$1,Pesos!$A:$I,9,FALSE)))</f>
        <v>0.1</v>
      </c>
      <c r="AN334" s="154">
        <f>IF(P334="","",IF(P334="SIM",VLOOKUP($I334&amp;$J334&amp;P$1,Pesos!$A:$I,7,FALSE),VLOOKUP($I334&amp;$J334&amp;P$1,Pesos!$A:$I,9,FALSE)))</f>
        <v>0.1</v>
      </c>
      <c r="AO334" s="154">
        <f>IF(Q334="","",IF(Q334="SIM",VLOOKUP($I334&amp;$J334&amp;Q$1,Pesos!$A:$I,7,FALSE),VLOOKUP($I334&amp;$J334&amp;Q$1,Pesos!$A:$I,9,FALSE)))</f>
        <v>0.4</v>
      </c>
      <c r="AP334" s="154">
        <f>IF(R334="","",IF(R334="SIM",VLOOKUP($I334&amp;$J334&amp;R$1,Pesos!$A:$I,7,FALSE),VLOOKUP($I334&amp;$J334&amp;R$1,Pesos!$A:$I,9,FALSE)))</f>
        <v>1.5</v>
      </c>
      <c r="AQ334" s="154">
        <f>IF(S334="","",IF(S334="SIM",VLOOKUP($I334&amp;$J334&amp;S$1,Pesos!$A:$I,7,FALSE),VLOOKUP($I334&amp;$J334&amp;S$1,Pesos!$A:$I,9,FALSE)))</f>
        <v>1.75</v>
      </c>
      <c r="AR334" s="156">
        <f>IF(T334="","",IF(T334="SIM",VLOOKUP($I334&amp;$J334&amp;T$1,Pesos!$A:$I,7,FALSE),VLOOKUP($I334&amp;$J334&amp;T$1,Pesos!$A:$I,9,FALSE)))</f>
        <v>1.7000000000000002</v>
      </c>
      <c r="AS334" s="132">
        <f>IF(U334="","",IF(U334="SIM",VLOOKUP($I334&amp;$J334&amp;U$1,Pesos!$A:$I,7,FALSE),VLOOKUP($I334&amp;$J334&amp;U$1,Pesos!$A:$I,9,FALSE)))</f>
        <v>1.5</v>
      </c>
      <c r="AT334" s="132">
        <f>IF(V334="","",IF(V334="SIM",VLOOKUP($I334&amp;$J334&amp;V$1,Pesos!$A:$I,7,FALSE),VLOOKUP($I334&amp;$J334&amp;V$1,Pesos!$A:$I,9,FALSE)))</f>
        <v>-7.5000000000000011E-2</v>
      </c>
      <c r="AU334" s="132">
        <f>IF(W334="","",IF(W334="SIM",VLOOKUP($I334&amp;$J334&amp;W$1,Pesos!$A:$I,7,FALSE),VLOOKUP($I334&amp;$J334&amp;W$1,Pesos!$A:$I,9,FALSE)))</f>
        <v>0.3</v>
      </c>
      <c r="AV334" s="132">
        <f>IF(X334="","",IF(X334="SIM",VLOOKUP($I334&amp;$J334&amp;X$1,Pesos!$A:$I,7,FALSE),VLOOKUP($I334&amp;$J334&amp;X$1,Pesos!$A:$I,9,FALSE)))</f>
        <v>0.3</v>
      </c>
      <c r="AW334" s="132">
        <f>IF(Y334="","",IF(Y334="SIM",VLOOKUP($I334&amp;$J334&amp;Y$1,Pesos!$A:$I,7,FALSE),VLOOKUP($I334&amp;$J334&amp;Y$1,Pesos!$A:$I,9,FALSE)))</f>
        <v>0.15</v>
      </c>
      <c r="AX334" s="132">
        <f>IF(Z334="","",IF(Z334="SIM",VLOOKUP($I334&amp;$J334&amp;Z$1,Pesos!$A:$I,7,FALSE),VLOOKUP($I334&amp;$J334&amp;Z$1,Pesos!$A:$I,9,FALSE)))</f>
        <v>0.2</v>
      </c>
      <c r="AY334" s="132">
        <f>IF(AA334="","",IF(AA334="SIM",VLOOKUP($I334&amp;$J334&amp;AA$1,Pesos!$A:$I,7,FALSE),VLOOKUP($I334&amp;$J334&amp;AA$1,Pesos!$A:$I,9,FALSE)))</f>
        <v>-1.4999999999999999E-2</v>
      </c>
      <c r="AZ334" s="132">
        <f>IF(AB334="","",IF(AB334="SIM",VLOOKUP($I334&amp;$J334&amp;AB$1,Pesos!$A:$I,7,FALSE),VLOOKUP($I334&amp;$J334&amp;AB$1,Pesos!$A:$I,9,FALSE)))</f>
        <v>0.1</v>
      </c>
      <c r="BA334" s="132" t="str">
        <f>IF(AC334="","",IF(AC334="SIM",VLOOKUP($I334&amp;$J334&amp;AC$1,Pesos!$A:$I,7,FALSE),VLOOKUP($I334&amp;$J334&amp;AC$1,Pesos!$A:$I,9,FALSE)))</f>
        <v/>
      </c>
      <c r="BB334" s="132" t="str">
        <f>IF(AD334="","",IF(AD334="SIM",VLOOKUP($I334&amp;$J334&amp;AD$1,Pesos!$A:$I,7,FALSE),VLOOKUP($I334&amp;$J334&amp;AD$1,Pesos!$A:$I,9,FALSE)))</f>
        <v/>
      </c>
      <c r="BC334" s="132" t="str">
        <f>IF(AE334="","",IF(AE334="SIM",VLOOKUP($I334&amp;$J334&amp;AE$1,Pesos!$A:$I,7,FALSE),VLOOKUP($I334&amp;$J334&amp;AE$1,Pesos!$A:$I,9,FALSE)))</f>
        <v/>
      </c>
      <c r="BD334" s="158">
        <f>IFERROR(AF334*VLOOKUP(J334,'BD Campos'!$X$1:$Y$14,2,FALSE),"0")</f>
        <v>8.11</v>
      </c>
    </row>
    <row r="335" spans="1:56">
      <c r="A335" s="151" t="str">
        <f t="shared" si="23"/>
        <v>Jan11422MotoristaLOGÍSTICA</v>
      </c>
      <c r="B335" s="149" t="str">
        <f t="shared" si="24"/>
        <v>Jan114221LOGÍSTICAPADRÃO</v>
      </c>
      <c r="C335" s="152">
        <v>1</v>
      </c>
      <c r="D335" s="153">
        <v>46062.395014583337</v>
      </c>
      <c r="E335" s="154" t="s">
        <v>12</v>
      </c>
      <c r="F335" s="155">
        <v>11422</v>
      </c>
      <c r="G335" s="149" t="s">
        <v>542</v>
      </c>
      <c r="H335" s="154">
        <v>1</v>
      </c>
      <c r="I335" s="149" t="s">
        <v>543</v>
      </c>
      <c r="J335" s="149" t="s">
        <v>93</v>
      </c>
      <c r="K335" s="149" t="s">
        <v>315</v>
      </c>
      <c r="L335" s="156"/>
      <c r="M335" s="157">
        <v>1.7708333333333332E-3</v>
      </c>
      <c r="N335" s="131" t="s">
        <v>17</v>
      </c>
      <c r="O335" s="131" t="s">
        <v>17</v>
      </c>
      <c r="P335" s="131" t="s">
        <v>17</v>
      </c>
      <c r="Q335" s="131" t="s">
        <v>17</v>
      </c>
      <c r="R335" s="131" t="s">
        <v>17</v>
      </c>
      <c r="S335" s="131" t="s">
        <v>17</v>
      </c>
      <c r="T335" s="131" t="s">
        <v>17</v>
      </c>
      <c r="U335" s="131" t="s">
        <v>18</v>
      </c>
      <c r="V335" s="131" t="s">
        <v>17</v>
      </c>
      <c r="W335" s="131" t="s">
        <v>17</v>
      </c>
      <c r="X335" s="131" t="s">
        <v>17</v>
      </c>
      <c r="Y335" s="131" t="s">
        <v>17</v>
      </c>
      <c r="Z335" s="131" t="s">
        <v>17</v>
      </c>
      <c r="AA335" s="131" t="s">
        <v>17</v>
      </c>
      <c r="AB335" s="131"/>
      <c r="AC335" s="131"/>
      <c r="AD335" s="131"/>
      <c r="AE335" s="131"/>
      <c r="AF335" s="158">
        <f t="shared" si="26"/>
        <v>8.9500000000000011</v>
      </c>
      <c r="AG335" s="159"/>
      <c r="AH335" s="155"/>
      <c r="AI335" s="155" t="s">
        <v>83</v>
      </c>
      <c r="AJ335" s="131" t="str">
        <f>IFERROR(VLOOKUP(E335&amp;F335,'Listagem dos op'!A:S,19,0),"")</f>
        <v/>
      </c>
      <c r="AK335" s="131" t="str">
        <f t="shared" si="25"/>
        <v>Jan11422</v>
      </c>
      <c r="AL335" s="154">
        <f>IF(N335="","",IF(N335="SIM",VLOOKUP($I335&amp;$J335&amp;N$1,Pesos!$A:$I,7,FALSE),VLOOKUP($I335&amp;$J335&amp;N$1,Pesos!$A:$I,9,FALSE)))</f>
        <v>0.1</v>
      </c>
      <c r="AM335" s="154">
        <f>IF(O335="","",IF(O335="SIM",VLOOKUP($I335&amp;$J335&amp;O$1,Pesos!$A:$I,7,FALSE),VLOOKUP($I335&amp;$J335&amp;O$1,Pesos!$A:$I,9,FALSE)))</f>
        <v>0.1</v>
      </c>
      <c r="AN335" s="154">
        <f>IF(P335="","",IF(P335="SIM",VLOOKUP($I335&amp;$J335&amp;P$1,Pesos!$A:$I,7,FALSE),VLOOKUP($I335&amp;$J335&amp;P$1,Pesos!$A:$I,9,FALSE)))</f>
        <v>0.1</v>
      </c>
      <c r="AO335" s="154">
        <f>IF(Q335="","",IF(Q335="SIM",VLOOKUP($I335&amp;$J335&amp;Q$1,Pesos!$A:$I,7,FALSE),VLOOKUP($I335&amp;$J335&amp;Q$1,Pesos!$A:$I,9,FALSE)))</f>
        <v>0.4</v>
      </c>
      <c r="AP335" s="154">
        <f>IF(R335="","",IF(R335="SIM",VLOOKUP($I335&amp;$J335&amp;R$1,Pesos!$A:$I,7,FALSE),VLOOKUP($I335&amp;$J335&amp;R$1,Pesos!$A:$I,9,FALSE)))</f>
        <v>2</v>
      </c>
      <c r="AQ335" s="154">
        <f>IF(S335="","",IF(S335="SIM",VLOOKUP($I335&amp;$J335&amp;S$1,Pesos!$A:$I,7,FALSE),VLOOKUP($I335&amp;$J335&amp;S$1,Pesos!$A:$I,9,FALSE)))</f>
        <v>2.9499999999999997</v>
      </c>
      <c r="AR335" s="156">
        <f>IF(T335="","",IF(T335="SIM",VLOOKUP($I335&amp;$J335&amp;T$1,Pesos!$A:$I,7,FALSE),VLOOKUP($I335&amp;$J335&amp;T$1,Pesos!$A:$I,9,FALSE)))</f>
        <v>2</v>
      </c>
      <c r="AS335" s="132">
        <f>IF(U335="","",IF(U335="SIM",VLOOKUP($I335&amp;$J335&amp;U$1,Pesos!$A:$I,7,FALSE),VLOOKUP($I335&amp;$J335&amp;U$1,Pesos!$A:$I,9,FALSE)))</f>
        <v>-0.05</v>
      </c>
      <c r="AT335" s="132">
        <f>IF(V335="","",IF(V335="SIM",VLOOKUP($I335&amp;$J335&amp;V$1,Pesos!$A:$I,7,FALSE),VLOOKUP($I335&amp;$J335&amp;V$1,Pesos!$A:$I,9,FALSE)))</f>
        <v>0.3</v>
      </c>
      <c r="AU335" s="132">
        <f>IF(W335="","",IF(W335="SIM",VLOOKUP($I335&amp;$J335&amp;W$1,Pesos!$A:$I,7,FALSE),VLOOKUP($I335&amp;$J335&amp;W$1,Pesos!$A:$I,9,FALSE)))</f>
        <v>0.3</v>
      </c>
      <c r="AV335" s="132">
        <f>IF(X335="","",IF(X335="SIM",VLOOKUP($I335&amp;$J335&amp;X$1,Pesos!$A:$I,7,FALSE),VLOOKUP($I335&amp;$J335&amp;X$1,Pesos!$A:$I,9,FALSE)))</f>
        <v>0.15</v>
      </c>
      <c r="AW335" s="132">
        <f>IF(Y335="","",IF(Y335="SIM",VLOOKUP($I335&amp;$J335&amp;Y$1,Pesos!$A:$I,7,FALSE),VLOOKUP($I335&amp;$J335&amp;Y$1,Pesos!$A:$I,9,FALSE)))</f>
        <v>0.2</v>
      </c>
      <c r="AX335" s="132">
        <f>IF(Z335="","",IF(Z335="SIM",VLOOKUP($I335&amp;$J335&amp;Z$1,Pesos!$A:$I,7,FALSE),VLOOKUP($I335&amp;$J335&amp;Z$1,Pesos!$A:$I,9,FALSE)))</f>
        <v>0.3</v>
      </c>
      <c r="AY335" s="132">
        <f>IF(AA335="","",IF(AA335="SIM",VLOOKUP($I335&amp;$J335&amp;AA$1,Pesos!$A:$I,7,FALSE),VLOOKUP($I335&amp;$J335&amp;AA$1,Pesos!$A:$I,9,FALSE)))</f>
        <v>0.1</v>
      </c>
      <c r="AZ335" s="132" t="str">
        <f>IF(AB335="","",IF(AB335="SIM",VLOOKUP($I335&amp;$J335&amp;AB$1,Pesos!$A:$I,7,FALSE),VLOOKUP($I335&amp;$J335&amp;AB$1,Pesos!$A:$I,9,FALSE)))</f>
        <v/>
      </c>
      <c r="BA335" s="132" t="str">
        <f>IF(AC335="","",IF(AC335="SIM",VLOOKUP($I335&amp;$J335&amp;AC$1,Pesos!$A:$I,7,FALSE),VLOOKUP($I335&amp;$J335&amp;AC$1,Pesos!$A:$I,9,FALSE)))</f>
        <v/>
      </c>
      <c r="BB335" s="132" t="str">
        <f>IF(AD335="","",IF(AD335="SIM",VLOOKUP($I335&amp;$J335&amp;AD$1,Pesos!$A:$I,7,FALSE),VLOOKUP($I335&amp;$J335&amp;AD$1,Pesos!$A:$I,9,FALSE)))</f>
        <v/>
      </c>
      <c r="BC335" s="132" t="str">
        <f>IF(AE335="","",IF(AE335="SIM",VLOOKUP($I335&amp;$J335&amp;AE$1,Pesos!$A:$I,7,FALSE),VLOOKUP($I335&amp;$J335&amp;AE$1,Pesos!$A:$I,9,FALSE)))</f>
        <v/>
      </c>
      <c r="BD335" s="158">
        <f>IFERROR(AF335*VLOOKUP(J335,'BD Campos'!$X$1:$Y$14,2,FALSE),"0")</f>
        <v>8.9500000000000011</v>
      </c>
    </row>
    <row r="336" spans="1:56">
      <c r="A336" s="151" t="str">
        <f t="shared" si="23"/>
        <v>Jan11422ClienteLOGÍSTICA</v>
      </c>
      <c r="B336" s="149" t="str">
        <f t="shared" si="24"/>
        <v>Jan114222LOGÍSTICAPADRÃO</v>
      </c>
      <c r="C336" s="152">
        <v>1</v>
      </c>
      <c r="D336" s="153">
        <v>46062.397494097226</v>
      </c>
      <c r="E336" s="154" t="s">
        <v>12</v>
      </c>
      <c r="F336" s="155">
        <v>11422</v>
      </c>
      <c r="G336" s="149" t="s">
        <v>542</v>
      </c>
      <c r="H336" s="154">
        <v>2</v>
      </c>
      <c r="I336" s="149" t="s">
        <v>480</v>
      </c>
      <c r="J336" s="149" t="s">
        <v>149</v>
      </c>
      <c r="K336" s="149" t="s">
        <v>315</v>
      </c>
      <c r="L336" s="156"/>
      <c r="M336" s="157">
        <v>1.6087962962962963E-3</v>
      </c>
      <c r="N336" s="131" t="s">
        <v>17</v>
      </c>
      <c r="O336" s="131" t="s">
        <v>17</v>
      </c>
      <c r="P336" s="131" t="s">
        <v>17</v>
      </c>
      <c r="Q336" s="131" t="s">
        <v>17</v>
      </c>
      <c r="R336" s="131" t="s">
        <v>17</v>
      </c>
      <c r="S336" s="131" t="s">
        <v>17</v>
      </c>
      <c r="T336" s="131" t="s">
        <v>17</v>
      </c>
      <c r="U336" s="131" t="s">
        <v>17</v>
      </c>
      <c r="V336" s="131" t="s">
        <v>18</v>
      </c>
      <c r="W336" s="131" t="s">
        <v>18</v>
      </c>
      <c r="X336" s="131" t="s">
        <v>17</v>
      </c>
      <c r="Y336" s="131" t="s">
        <v>17</v>
      </c>
      <c r="Z336" s="131" t="s">
        <v>17</v>
      </c>
      <c r="AA336" s="131" t="s">
        <v>17</v>
      </c>
      <c r="AB336" s="131" t="s">
        <v>17</v>
      </c>
      <c r="AC336" s="131"/>
      <c r="AD336" s="131"/>
      <c r="AE336" s="131"/>
      <c r="AF336" s="158">
        <f t="shared" si="26"/>
        <v>8.1100000000000012</v>
      </c>
      <c r="AG336" s="159"/>
      <c r="AH336" s="155"/>
      <c r="AI336" s="155" t="s">
        <v>83</v>
      </c>
      <c r="AJ336" s="131" t="str">
        <f>IFERROR(VLOOKUP(E336&amp;F336,'Listagem dos op'!A:S,19,0),"")</f>
        <v/>
      </c>
      <c r="AK336" s="131" t="str">
        <f t="shared" si="25"/>
        <v>Jan11422</v>
      </c>
      <c r="AL336" s="154">
        <f>IF(N336="","",IF(N336="SIM",VLOOKUP($I336&amp;$J336&amp;N$1,Pesos!$A:$I,7,FALSE),VLOOKUP($I336&amp;$J336&amp;N$1,Pesos!$A:$I,9,FALSE)))</f>
        <v>0.1</v>
      </c>
      <c r="AM336" s="154">
        <f>IF(O336="","",IF(O336="SIM",VLOOKUP($I336&amp;$J336&amp;O$1,Pesos!$A:$I,7,FALSE),VLOOKUP($I336&amp;$J336&amp;O$1,Pesos!$A:$I,9,FALSE)))</f>
        <v>0.1</v>
      </c>
      <c r="AN336" s="154">
        <f>IF(P336="","",IF(P336="SIM",VLOOKUP($I336&amp;$J336&amp;P$1,Pesos!$A:$I,7,FALSE),VLOOKUP($I336&amp;$J336&amp;P$1,Pesos!$A:$I,9,FALSE)))</f>
        <v>0.1</v>
      </c>
      <c r="AO336" s="154">
        <f>IF(Q336="","",IF(Q336="SIM",VLOOKUP($I336&amp;$J336&amp;Q$1,Pesos!$A:$I,7,FALSE),VLOOKUP($I336&amp;$J336&amp;Q$1,Pesos!$A:$I,9,FALSE)))</f>
        <v>0.4</v>
      </c>
      <c r="AP336" s="154">
        <f>IF(R336="","",IF(R336="SIM",VLOOKUP($I336&amp;$J336&amp;R$1,Pesos!$A:$I,7,FALSE),VLOOKUP($I336&amp;$J336&amp;R$1,Pesos!$A:$I,9,FALSE)))</f>
        <v>1.5</v>
      </c>
      <c r="AQ336" s="154">
        <f>IF(S336="","",IF(S336="SIM",VLOOKUP($I336&amp;$J336&amp;S$1,Pesos!$A:$I,7,FALSE),VLOOKUP($I336&amp;$J336&amp;S$1,Pesos!$A:$I,9,FALSE)))</f>
        <v>1.75</v>
      </c>
      <c r="AR336" s="156">
        <f>IF(T336="","",IF(T336="SIM",VLOOKUP($I336&amp;$J336&amp;T$1,Pesos!$A:$I,7,FALSE),VLOOKUP($I336&amp;$J336&amp;T$1,Pesos!$A:$I,9,FALSE)))</f>
        <v>1.7000000000000002</v>
      </c>
      <c r="AS336" s="132">
        <f>IF(U336="","",IF(U336="SIM",VLOOKUP($I336&amp;$J336&amp;U$1,Pesos!$A:$I,7,FALSE),VLOOKUP($I336&amp;$J336&amp;U$1,Pesos!$A:$I,9,FALSE)))</f>
        <v>1.5</v>
      </c>
      <c r="AT336" s="132">
        <f>IF(V336="","",IF(V336="SIM",VLOOKUP($I336&amp;$J336&amp;V$1,Pesos!$A:$I,7,FALSE),VLOOKUP($I336&amp;$J336&amp;V$1,Pesos!$A:$I,9,FALSE)))</f>
        <v>-7.5000000000000011E-2</v>
      </c>
      <c r="AU336" s="132">
        <f>IF(W336="","",IF(W336="SIM",VLOOKUP($I336&amp;$J336&amp;W$1,Pesos!$A:$I,7,FALSE),VLOOKUP($I336&amp;$J336&amp;W$1,Pesos!$A:$I,9,FALSE)))</f>
        <v>-1.4999999999999999E-2</v>
      </c>
      <c r="AV336" s="132">
        <f>IF(X336="","",IF(X336="SIM",VLOOKUP($I336&amp;$J336&amp;X$1,Pesos!$A:$I,7,FALSE),VLOOKUP($I336&amp;$J336&amp;X$1,Pesos!$A:$I,9,FALSE)))</f>
        <v>0.3</v>
      </c>
      <c r="AW336" s="132">
        <f>IF(Y336="","",IF(Y336="SIM",VLOOKUP($I336&amp;$J336&amp;Y$1,Pesos!$A:$I,7,FALSE),VLOOKUP($I336&amp;$J336&amp;Y$1,Pesos!$A:$I,9,FALSE)))</f>
        <v>0.15</v>
      </c>
      <c r="AX336" s="132">
        <f>IF(Z336="","",IF(Z336="SIM",VLOOKUP($I336&amp;$J336&amp;Z$1,Pesos!$A:$I,7,FALSE),VLOOKUP($I336&amp;$J336&amp;Z$1,Pesos!$A:$I,9,FALSE)))</f>
        <v>0.2</v>
      </c>
      <c r="AY336" s="132">
        <f>IF(AA336="","",IF(AA336="SIM",VLOOKUP($I336&amp;$J336&amp;AA$1,Pesos!$A:$I,7,FALSE),VLOOKUP($I336&amp;$J336&amp;AA$1,Pesos!$A:$I,9,FALSE)))</f>
        <v>0.3</v>
      </c>
      <c r="AZ336" s="132">
        <f>IF(AB336="","",IF(AB336="SIM",VLOOKUP($I336&amp;$J336&amp;AB$1,Pesos!$A:$I,7,FALSE),VLOOKUP($I336&amp;$J336&amp;AB$1,Pesos!$A:$I,9,FALSE)))</f>
        <v>0.1</v>
      </c>
      <c r="BA336" s="132" t="str">
        <f>IF(AC336="","",IF(AC336="SIM",VLOOKUP($I336&amp;$J336&amp;AC$1,Pesos!$A:$I,7,FALSE),VLOOKUP($I336&amp;$J336&amp;AC$1,Pesos!$A:$I,9,FALSE)))</f>
        <v/>
      </c>
      <c r="BB336" s="132" t="str">
        <f>IF(AD336="","",IF(AD336="SIM",VLOOKUP($I336&amp;$J336&amp;AD$1,Pesos!$A:$I,7,FALSE),VLOOKUP($I336&amp;$J336&amp;AD$1,Pesos!$A:$I,9,FALSE)))</f>
        <v/>
      </c>
      <c r="BC336" s="132" t="str">
        <f>IF(AE336="","",IF(AE336="SIM",VLOOKUP($I336&amp;$J336&amp;AE$1,Pesos!$A:$I,7,FALSE),VLOOKUP($I336&amp;$J336&amp;AE$1,Pesos!$A:$I,9,FALSE)))</f>
        <v/>
      </c>
      <c r="BD336" s="158">
        <f>IFERROR(AF336*VLOOKUP(J336,'BD Campos'!$X$1:$Y$14,2,FALSE),"0")</f>
        <v>8.1100000000000012</v>
      </c>
    </row>
    <row r="337" spans="1:56">
      <c r="A337" s="151" t="str">
        <f t="shared" si="23"/>
        <v>Jan4223LOGÍSTICA</v>
      </c>
      <c r="B337" s="149" t="str">
        <f t="shared" si="24"/>
        <v>Jan42231LOGÍSTICAPADRÃO</v>
      </c>
      <c r="C337" s="152">
        <v>1</v>
      </c>
      <c r="D337" s="153">
        <v>46062.398308564814</v>
      </c>
      <c r="E337" s="154" t="s">
        <v>12</v>
      </c>
      <c r="F337" s="155">
        <v>4223</v>
      </c>
      <c r="G337" s="149" t="s">
        <v>544</v>
      </c>
      <c r="H337" s="154">
        <v>1</v>
      </c>
      <c r="I337" s="149" t="s">
        <v>485</v>
      </c>
      <c r="J337" s="149"/>
      <c r="K337" s="149" t="s">
        <v>315</v>
      </c>
      <c r="L337" s="156"/>
      <c r="M337" s="157"/>
      <c r="N337" s="131"/>
      <c r="O337" s="131"/>
      <c r="P337" s="131"/>
      <c r="Q337" s="131"/>
      <c r="R337" s="131"/>
      <c r="S337" s="131"/>
      <c r="T337" s="131"/>
      <c r="U337" s="131"/>
      <c r="V337" s="131"/>
      <c r="W337" s="131"/>
      <c r="X337" s="131"/>
      <c r="Y337" s="131"/>
      <c r="Z337" s="131"/>
      <c r="AA337" s="131"/>
      <c r="AB337" s="131"/>
      <c r="AC337" s="131"/>
      <c r="AD337" s="131"/>
      <c r="AE337" s="131"/>
      <c r="AF337" s="158">
        <f t="shared" si="26"/>
        <v>0</v>
      </c>
      <c r="AG337" s="159"/>
      <c r="AH337" s="155"/>
      <c r="AI337" s="155" t="s">
        <v>83</v>
      </c>
      <c r="AJ337" s="131" t="str">
        <f>IFERROR(VLOOKUP(E337&amp;F337,'Listagem dos op'!A:S,19,0),"")</f>
        <v/>
      </c>
      <c r="AK337" s="131" t="str">
        <f t="shared" si="25"/>
        <v>Jan4223</v>
      </c>
      <c r="AL337" s="154" t="str">
        <f>IF(N337="","",IF(N337="SIM",VLOOKUP($I337&amp;$J337&amp;N$1,Pesos!$A:$I,7,FALSE),VLOOKUP($I337&amp;$J337&amp;N$1,Pesos!$A:$I,9,FALSE)))</f>
        <v/>
      </c>
      <c r="AM337" s="154" t="str">
        <f>IF(O337="","",IF(O337="SIM",VLOOKUP($I337&amp;$J337&amp;O$1,Pesos!$A:$I,7,FALSE),VLOOKUP($I337&amp;$J337&amp;O$1,Pesos!$A:$I,9,FALSE)))</f>
        <v/>
      </c>
      <c r="AN337" s="154" t="str">
        <f>IF(P337="","",IF(P337="SIM",VLOOKUP($I337&amp;$J337&amp;P$1,Pesos!$A:$I,7,FALSE),VLOOKUP($I337&amp;$J337&amp;P$1,Pesos!$A:$I,9,FALSE)))</f>
        <v/>
      </c>
      <c r="AO337" s="154" t="str">
        <f>IF(Q337="","",IF(Q337="SIM",VLOOKUP($I337&amp;$J337&amp;Q$1,Pesos!$A:$I,7,FALSE),VLOOKUP($I337&amp;$J337&amp;Q$1,Pesos!$A:$I,9,FALSE)))</f>
        <v/>
      </c>
      <c r="AP337" s="154" t="str">
        <f>IF(R337="","",IF(R337="SIM",VLOOKUP($I337&amp;$J337&amp;R$1,Pesos!$A:$I,7,FALSE),VLOOKUP($I337&amp;$J337&amp;R$1,Pesos!$A:$I,9,FALSE)))</f>
        <v/>
      </c>
      <c r="AQ337" s="154" t="str">
        <f>IF(S337="","",IF(S337="SIM",VLOOKUP($I337&amp;$J337&amp;S$1,Pesos!$A:$I,7,FALSE),VLOOKUP($I337&amp;$J337&amp;S$1,Pesos!$A:$I,9,FALSE)))</f>
        <v/>
      </c>
      <c r="AR337" s="156" t="str">
        <f>IF(T337="","",IF(T337="SIM",VLOOKUP($I337&amp;$J337&amp;T$1,Pesos!$A:$I,7,FALSE),VLOOKUP($I337&amp;$J337&amp;T$1,Pesos!$A:$I,9,FALSE)))</f>
        <v/>
      </c>
      <c r="AS337" s="132" t="str">
        <f>IF(U337="","",IF(U337="SIM",VLOOKUP($I337&amp;$J337&amp;U$1,Pesos!$A:$I,7,FALSE),VLOOKUP($I337&amp;$J337&amp;U$1,Pesos!$A:$I,9,FALSE)))</f>
        <v/>
      </c>
      <c r="AT337" s="132" t="str">
        <f>IF(V337="","",IF(V337="SIM",VLOOKUP($I337&amp;$J337&amp;V$1,Pesos!$A:$I,7,FALSE),VLOOKUP($I337&amp;$J337&amp;V$1,Pesos!$A:$I,9,FALSE)))</f>
        <v/>
      </c>
      <c r="AU337" s="132" t="str">
        <f>IF(W337="","",IF(W337="SIM",VLOOKUP($I337&amp;$J337&amp;W$1,Pesos!$A:$I,7,FALSE),VLOOKUP($I337&amp;$J337&amp;W$1,Pesos!$A:$I,9,FALSE)))</f>
        <v/>
      </c>
      <c r="AV337" s="132" t="str">
        <f>IF(X337="","",IF(X337="SIM",VLOOKUP($I337&amp;$J337&amp;X$1,Pesos!$A:$I,7,FALSE),VLOOKUP($I337&amp;$J337&amp;X$1,Pesos!$A:$I,9,FALSE)))</f>
        <v/>
      </c>
      <c r="AW337" s="132" t="str">
        <f>IF(Y337="","",IF(Y337="SIM",VLOOKUP($I337&amp;$J337&amp;Y$1,Pesos!$A:$I,7,FALSE),VLOOKUP($I337&amp;$J337&amp;Y$1,Pesos!$A:$I,9,FALSE)))</f>
        <v/>
      </c>
      <c r="AX337" s="132" t="str">
        <f>IF(Z337="","",IF(Z337="SIM",VLOOKUP($I337&amp;$J337&amp;Z$1,Pesos!$A:$I,7,FALSE),VLOOKUP($I337&amp;$J337&amp;Z$1,Pesos!$A:$I,9,FALSE)))</f>
        <v/>
      </c>
      <c r="AY337" s="132" t="str">
        <f>IF(AA337="","",IF(AA337="SIM",VLOOKUP($I337&amp;$J337&amp;AA$1,Pesos!$A:$I,7,FALSE),VLOOKUP($I337&amp;$J337&amp;AA$1,Pesos!$A:$I,9,FALSE)))</f>
        <v/>
      </c>
      <c r="AZ337" s="132" t="str">
        <f>IF(AB337="","",IF(AB337="SIM",VLOOKUP($I337&amp;$J337&amp;AB$1,Pesos!$A:$I,7,FALSE),VLOOKUP($I337&amp;$J337&amp;AB$1,Pesos!$A:$I,9,FALSE)))</f>
        <v/>
      </c>
      <c r="BA337" s="132" t="str">
        <f>IF(AC337="","",IF(AC337="SIM",VLOOKUP($I337&amp;$J337&amp;AC$1,Pesos!$A:$I,7,FALSE),VLOOKUP($I337&amp;$J337&amp;AC$1,Pesos!$A:$I,9,FALSE)))</f>
        <v/>
      </c>
      <c r="BB337" s="132" t="str">
        <f>IF(AD337="","",IF(AD337="SIM",VLOOKUP($I337&amp;$J337&amp;AD$1,Pesos!$A:$I,7,FALSE),VLOOKUP($I337&amp;$J337&amp;AD$1,Pesos!$A:$I,9,FALSE)))</f>
        <v/>
      </c>
      <c r="BC337" s="132" t="str">
        <f>IF(AE337="","",IF(AE337="SIM",VLOOKUP($I337&amp;$J337&amp;AE$1,Pesos!$A:$I,7,FALSE),VLOOKUP($I337&amp;$J337&amp;AE$1,Pesos!$A:$I,9,FALSE)))</f>
        <v/>
      </c>
      <c r="BD337" s="158" t="str">
        <f>IFERROR(AF337*VLOOKUP(J337,'BD Campos'!$X$1:$Y$14,2,FALSE),"0")</f>
        <v>0</v>
      </c>
    </row>
    <row r="338" spans="1:56">
      <c r="A338" s="151" t="str">
        <f t="shared" si="23"/>
        <v>Jan4223LOGÍSTICA</v>
      </c>
      <c r="B338" s="149" t="str">
        <f t="shared" si="24"/>
        <v>Jan42232LOGÍSTICAPADRÃO</v>
      </c>
      <c r="C338" s="152">
        <v>1</v>
      </c>
      <c r="D338" s="153">
        <v>46062.39834097222</v>
      </c>
      <c r="E338" s="154" t="s">
        <v>12</v>
      </c>
      <c r="F338" s="155">
        <v>4223</v>
      </c>
      <c r="G338" s="149" t="s">
        <v>544</v>
      </c>
      <c r="H338" s="154">
        <v>2</v>
      </c>
      <c r="I338" s="149" t="s">
        <v>485</v>
      </c>
      <c r="J338" s="149"/>
      <c r="K338" s="149" t="s">
        <v>315</v>
      </c>
      <c r="L338" s="156"/>
      <c r="M338" s="157"/>
      <c r="N338" s="131"/>
      <c r="O338" s="131"/>
      <c r="P338" s="131"/>
      <c r="Q338" s="131"/>
      <c r="R338" s="131"/>
      <c r="S338" s="131"/>
      <c r="T338" s="131"/>
      <c r="U338" s="131"/>
      <c r="V338" s="131"/>
      <c r="W338" s="131"/>
      <c r="X338" s="131"/>
      <c r="Y338" s="131"/>
      <c r="Z338" s="131"/>
      <c r="AA338" s="131"/>
      <c r="AB338" s="131"/>
      <c r="AC338" s="131"/>
      <c r="AD338" s="131"/>
      <c r="AE338" s="131"/>
      <c r="AF338" s="158">
        <f t="shared" si="26"/>
        <v>0</v>
      </c>
      <c r="AG338" s="159"/>
      <c r="AH338" s="155"/>
      <c r="AI338" s="155" t="s">
        <v>83</v>
      </c>
      <c r="AJ338" s="131" t="str">
        <f>IFERROR(VLOOKUP(E338&amp;F338,'Listagem dos op'!A:S,19,0),"")</f>
        <v/>
      </c>
      <c r="AK338" s="131" t="str">
        <f t="shared" si="25"/>
        <v>Jan4223</v>
      </c>
      <c r="AL338" s="154" t="str">
        <f>IF(N338="","",IF(N338="SIM",VLOOKUP($I338&amp;$J338&amp;N$1,Pesos!$A:$I,7,FALSE),VLOOKUP($I338&amp;$J338&amp;N$1,Pesos!$A:$I,9,FALSE)))</f>
        <v/>
      </c>
      <c r="AM338" s="154" t="str">
        <f>IF(O338="","",IF(O338="SIM",VLOOKUP($I338&amp;$J338&amp;O$1,Pesos!$A:$I,7,FALSE),VLOOKUP($I338&amp;$J338&amp;O$1,Pesos!$A:$I,9,FALSE)))</f>
        <v/>
      </c>
      <c r="AN338" s="154" t="str">
        <f>IF(P338="","",IF(P338="SIM",VLOOKUP($I338&amp;$J338&amp;P$1,Pesos!$A:$I,7,FALSE),VLOOKUP($I338&amp;$J338&amp;P$1,Pesos!$A:$I,9,FALSE)))</f>
        <v/>
      </c>
      <c r="AO338" s="154" t="str">
        <f>IF(Q338="","",IF(Q338="SIM",VLOOKUP($I338&amp;$J338&amp;Q$1,Pesos!$A:$I,7,FALSE),VLOOKUP($I338&amp;$J338&amp;Q$1,Pesos!$A:$I,9,FALSE)))</f>
        <v/>
      </c>
      <c r="AP338" s="154" t="str">
        <f>IF(R338="","",IF(R338="SIM",VLOOKUP($I338&amp;$J338&amp;R$1,Pesos!$A:$I,7,FALSE),VLOOKUP($I338&amp;$J338&amp;R$1,Pesos!$A:$I,9,FALSE)))</f>
        <v/>
      </c>
      <c r="AQ338" s="154" t="str">
        <f>IF(S338="","",IF(S338="SIM",VLOOKUP($I338&amp;$J338&amp;S$1,Pesos!$A:$I,7,FALSE),VLOOKUP($I338&amp;$J338&amp;S$1,Pesos!$A:$I,9,FALSE)))</f>
        <v/>
      </c>
      <c r="AR338" s="156" t="str">
        <f>IF(T338="","",IF(T338="SIM",VLOOKUP($I338&amp;$J338&amp;T$1,Pesos!$A:$I,7,FALSE),VLOOKUP($I338&amp;$J338&amp;T$1,Pesos!$A:$I,9,FALSE)))</f>
        <v/>
      </c>
      <c r="AS338" s="132" t="str">
        <f>IF(U338="","",IF(U338="SIM",VLOOKUP($I338&amp;$J338&amp;U$1,Pesos!$A:$I,7,FALSE),VLOOKUP($I338&amp;$J338&amp;U$1,Pesos!$A:$I,9,FALSE)))</f>
        <v/>
      </c>
      <c r="AT338" s="132" t="str">
        <f>IF(V338="","",IF(V338="SIM",VLOOKUP($I338&amp;$J338&amp;V$1,Pesos!$A:$I,7,FALSE),VLOOKUP($I338&amp;$J338&amp;V$1,Pesos!$A:$I,9,FALSE)))</f>
        <v/>
      </c>
      <c r="AU338" s="132" t="str">
        <f>IF(W338="","",IF(W338="SIM",VLOOKUP($I338&amp;$J338&amp;W$1,Pesos!$A:$I,7,FALSE),VLOOKUP($I338&amp;$J338&amp;W$1,Pesos!$A:$I,9,FALSE)))</f>
        <v/>
      </c>
      <c r="AV338" s="132" t="str">
        <f>IF(X338="","",IF(X338="SIM",VLOOKUP($I338&amp;$J338&amp;X$1,Pesos!$A:$I,7,FALSE),VLOOKUP($I338&amp;$J338&amp;X$1,Pesos!$A:$I,9,FALSE)))</f>
        <v/>
      </c>
      <c r="AW338" s="132" t="str">
        <f>IF(Y338="","",IF(Y338="SIM",VLOOKUP($I338&amp;$J338&amp;Y$1,Pesos!$A:$I,7,FALSE),VLOOKUP($I338&amp;$J338&amp;Y$1,Pesos!$A:$I,9,FALSE)))</f>
        <v/>
      </c>
      <c r="AX338" s="132" t="str">
        <f>IF(Z338="","",IF(Z338="SIM",VLOOKUP($I338&amp;$J338&amp;Z$1,Pesos!$A:$I,7,FALSE),VLOOKUP($I338&amp;$J338&amp;Z$1,Pesos!$A:$I,9,FALSE)))</f>
        <v/>
      </c>
      <c r="AY338" s="132" t="str">
        <f>IF(AA338="","",IF(AA338="SIM",VLOOKUP($I338&amp;$J338&amp;AA$1,Pesos!$A:$I,7,FALSE),VLOOKUP($I338&amp;$J338&amp;AA$1,Pesos!$A:$I,9,FALSE)))</f>
        <v/>
      </c>
      <c r="AZ338" s="132" t="str">
        <f>IF(AB338="","",IF(AB338="SIM",VLOOKUP($I338&amp;$J338&amp;AB$1,Pesos!$A:$I,7,FALSE),VLOOKUP($I338&amp;$J338&amp;AB$1,Pesos!$A:$I,9,FALSE)))</f>
        <v/>
      </c>
      <c r="BA338" s="132" t="str">
        <f>IF(AC338="","",IF(AC338="SIM",VLOOKUP($I338&amp;$J338&amp;AC$1,Pesos!$A:$I,7,FALSE),VLOOKUP($I338&amp;$J338&amp;AC$1,Pesos!$A:$I,9,FALSE)))</f>
        <v/>
      </c>
      <c r="BB338" s="132" t="str">
        <f>IF(AD338="","",IF(AD338="SIM",VLOOKUP($I338&amp;$J338&amp;AD$1,Pesos!$A:$I,7,FALSE),VLOOKUP($I338&amp;$J338&amp;AD$1,Pesos!$A:$I,9,FALSE)))</f>
        <v/>
      </c>
      <c r="BC338" s="132" t="str">
        <f>IF(AE338="","",IF(AE338="SIM",VLOOKUP($I338&amp;$J338&amp;AE$1,Pesos!$A:$I,7,FALSE),VLOOKUP($I338&amp;$J338&amp;AE$1,Pesos!$A:$I,9,FALSE)))</f>
        <v/>
      </c>
      <c r="BD338" s="158" t="str">
        <f>IFERROR(AF338*VLOOKUP(J338,'BD Campos'!$X$1:$Y$14,2,FALSE),"0")</f>
        <v>0</v>
      </c>
    </row>
    <row r="339" spans="1:56">
      <c r="A339" s="151" t="str">
        <f t="shared" si="23"/>
        <v>Jan11443ClienteLOGÍSTICA</v>
      </c>
      <c r="B339" s="149" t="str">
        <f t="shared" si="24"/>
        <v>Jan114431LOGÍSTICAPADRÃO</v>
      </c>
      <c r="C339" s="152">
        <v>1</v>
      </c>
      <c r="D339" s="153">
        <v>46062.403026041669</v>
      </c>
      <c r="E339" s="154" t="s">
        <v>12</v>
      </c>
      <c r="F339" s="155">
        <v>11443</v>
      </c>
      <c r="G339" s="149" t="s">
        <v>545</v>
      </c>
      <c r="H339" s="154">
        <v>1</v>
      </c>
      <c r="I339" s="149" t="s">
        <v>480</v>
      </c>
      <c r="J339" s="149" t="s">
        <v>149</v>
      </c>
      <c r="K339" s="149" t="s">
        <v>315</v>
      </c>
      <c r="L339" s="156"/>
      <c r="M339" s="157">
        <v>1.0995370370370371E-3</v>
      </c>
      <c r="N339" s="131" t="s">
        <v>17</v>
      </c>
      <c r="O339" s="131" t="s">
        <v>17</v>
      </c>
      <c r="P339" s="131" t="s">
        <v>17</v>
      </c>
      <c r="Q339" s="131" t="s">
        <v>17</v>
      </c>
      <c r="R339" s="131" t="s">
        <v>17</v>
      </c>
      <c r="S339" s="131" t="s">
        <v>17</v>
      </c>
      <c r="T339" s="131" t="s">
        <v>17</v>
      </c>
      <c r="U339" s="131" t="s">
        <v>17</v>
      </c>
      <c r="V339" s="131" t="s">
        <v>18</v>
      </c>
      <c r="W339" s="131" t="s">
        <v>17</v>
      </c>
      <c r="X339" s="131" t="s">
        <v>17</v>
      </c>
      <c r="Y339" s="131" t="s">
        <v>17</v>
      </c>
      <c r="Z339" s="131" t="s">
        <v>17</v>
      </c>
      <c r="AA339" s="131" t="s">
        <v>17</v>
      </c>
      <c r="AB339" s="131" t="s">
        <v>17</v>
      </c>
      <c r="AC339" s="131"/>
      <c r="AD339" s="131"/>
      <c r="AE339" s="131"/>
      <c r="AF339" s="158">
        <f t="shared" si="26"/>
        <v>8.4250000000000007</v>
      </c>
      <c r="AG339" s="159"/>
      <c r="AH339" s="155"/>
      <c r="AI339" s="155" t="s">
        <v>83</v>
      </c>
      <c r="AJ339" s="131" t="str">
        <f>IFERROR(VLOOKUP(E339&amp;F339,'Listagem dos op'!A:S,19,0),"")</f>
        <v/>
      </c>
      <c r="AK339" s="131" t="str">
        <f t="shared" si="25"/>
        <v>Jan11443</v>
      </c>
      <c r="AL339" s="154">
        <f>IF(N339="","",IF(N339="SIM",VLOOKUP($I339&amp;$J339&amp;N$1,Pesos!$A:$I,7,FALSE),VLOOKUP($I339&amp;$J339&amp;N$1,Pesos!$A:$I,9,FALSE)))</f>
        <v>0.1</v>
      </c>
      <c r="AM339" s="154">
        <f>IF(O339="","",IF(O339="SIM",VLOOKUP($I339&amp;$J339&amp;O$1,Pesos!$A:$I,7,FALSE),VLOOKUP($I339&amp;$J339&amp;O$1,Pesos!$A:$I,9,FALSE)))</f>
        <v>0.1</v>
      </c>
      <c r="AN339" s="154">
        <f>IF(P339="","",IF(P339="SIM",VLOOKUP($I339&amp;$J339&amp;P$1,Pesos!$A:$I,7,FALSE),VLOOKUP($I339&amp;$J339&amp;P$1,Pesos!$A:$I,9,FALSE)))</f>
        <v>0.1</v>
      </c>
      <c r="AO339" s="154">
        <f>IF(Q339="","",IF(Q339="SIM",VLOOKUP($I339&amp;$J339&amp;Q$1,Pesos!$A:$I,7,FALSE),VLOOKUP($I339&amp;$J339&amp;Q$1,Pesos!$A:$I,9,FALSE)))</f>
        <v>0.4</v>
      </c>
      <c r="AP339" s="154">
        <f>IF(R339="","",IF(R339="SIM",VLOOKUP($I339&amp;$J339&amp;R$1,Pesos!$A:$I,7,FALSE),VLOOKUP($I339&amp;$J339&amp;R$1,Pesos!$A:$I,9,FALSE)))</f>
        <v>1.5</v>
      </c>
      <c r="AQ339" s="154">
        <f>IF(S339="","",IF(S339="SIM",VLOOKUP($I339&amp;$J339&amp;S$1,Pesos!$A:$I,7,FALSE),VLOOKUP($I339&amp;$J339&amp;S$1,Pesos!$A:$I,9,FALSE)))</f>
        <v>1.75</v>
      </c>
      <c r="AR339" s="156">
        <f>IF(T339="","",IF(T339="SIM",VLOOKUP($I339&amp;$J339&amp;T$1,Pesos!$A:$I,7,FALSE),VLOOKUP($I339&amp;$J339&amp;T$1,Pesos!$A:$I,9,FALSE)))</f>
        <v>1.7000000000000002</v>
      </c>
      <c r="AS339" s="132">
        <f>IF(U339="","",IF(U339="SIM",VLOOKUP($I339&amp;$J339&amp;U$1,Pesos!$A:$I,7,FALSE),VLOOKUP($I339&amp;$J339&amp;U$1,Pesos!$A:$I,9,FALSE)))</f>
        <v>1.5</v>
      </c>
      <c r="AT339" s="132">
        <f>IF(V339="","",IF(V339="SIM",VLOOKUP($I339&amp;$J339&amp;V$1,Pesos!$A:$I,7,FALSE),VLOOKUP($I339&amp;$J339&amp;V$1,Pesos!$A:$I,9,FALSE)))</f>
        <v>-7.5000000000000011E-2</v>
      </c>
      <c r="AU339" s="132">
        <f>IF(W339="","",IF(W339="SIM",VLOOKUP($I339&amp;$J339&amp;W$1,Pesos!$A:$I,7,FALSE),VLOOKUP($I339&amp;$J339&amp;W$1,Pesos!$A:$I,9,FALSE)))</f>
        <v>0.3</v>
      </c>
      <c r="AV339" s="132">
        <f>IF(X339="","",IF(X339="SIM",VLOOKUP($I339&amp;$J339&amp;X$1,Pesos!$A:$I,7,FALSE),VLOOKUP($I339&amp;$J339&amp;X$1,Pesos!$A:$I,9,FALSE)))</f>
        <v>0.3</v>
      </c>
      <c r="AW339" s="132">
        <f>IF(Y339="","",IF(Y339="SIM",VLOOKUP($I339&amp;$J339&amp;Y$1,Pesos!$A:$I,7,FALSE),VLOOKUP($I339&amp;$J339&amp;Y$1,Pesos!$A:$I,9,FALSE)))</f>
        <v>0.15</v>
      </c>
      <c r="AX339" s="132">
        <f>IF(Z339="","",IF(Z339="SIM",VLOOKUP($I339&amp;$J339&amp;Z$1,Pesos!$A:$I,7,FALSE),VLOOKUP($I339&amp;$J339&amp;Z$1,Pesos!$A:$I,9,FALSE)))</f>
        <v>0.2</v>
      </c>
      <c r="AY339" s="132">
        <f>IF(AA339="","",IF(AA339="SIM",VLOOKUP($I339&amp;$J339&amp;AA$1,Pesos!$A:$I,7,FALSE),VLOOKUP($I339&amp;$J339&amp;AA$1,Pesos!$A:$I,9,FALSE)))</f>
        <v>0.3</v>
      </c>
      <c r="AZ339" s="132">
        <f>IF(AB339="","",IF(AB339="SIM",VLOOKUP($I339&amp;$J339&amp;AB$1,Pesos!$A:$I,7,FALSE),VLOOKUP($I339&amp;$J339&amp;AB$1,Pesos!$A:$I,9,FALSE)))</f>
        <v>0.1</v>
      </c>
      <c r="BA339" s="132" t="str">
        <f>IF(AC339="","",IF(AC339="SIM",VLOOKUP($I339&amp;$J339&amp;AC$1,Pesos!$A:$I,7,FALSE),VLOOKUP($I339&amp;$J339&amp;AC$1,Pesos!$A:$I,9,FALSE)))</f>
        <v/>
      </c>
      <c r="BB339" s="132" t="str">
        <f>IF(AD339="","",IF(AD339="SIM",VLOOKUP($I339&amp;$J339&amp;AD$1,Pesos!$A:$I,7,FALSE),VLOOKUP($I339&amp;$J339&amp;AD$1,Pesos!$A:$I,9,FALSE)))</f>
        <v/>
      </c>
      <c r="BC339" s="132" t="str">
        <f>IF(AE339="","",IF(AE339="SIM",VLOOKUP($I339&amp;$J339&amp;AE$1,Pesos!$A:$I,7,FALSE),VLOOKUP($I339&amp;$J339&amp;AE$1,Pesos!$A:$I,9,FALSE)))</f>
        <v/>
      </c>
      <c r="BD339" s="158">
        <f>IFERROR(AF339*VLOOKUP(J339,'BD Campos'!$X$1:$Y$14,2,FALSE),"0")</f>
        <v>8.4250000000000007</v>
      </c>
    </row>
    <row r="340" spans="1:56">
      <c r="A340" s="151" t="str">
        <f t="shared" si="23"/>
        <v>Jan11443MotoristaLOGÍSTICA</v>
      </c>
      <c r="B340" s="149" t="str">
        <f t="shared" si="24"/>
        <v>Jan114432LOGÍSTICAPADRÃO</v>
      </c>
      <c r="C340" s="152">
        <v>1</v>
      </c>
      <c r="D340" s="153">
        <v>46062.40571979167</v>
      </c>
      <c r="E340" s="154" t="s">
        <v>12</v>
      </c>
      <c r="F340" s="155">
        <v>11443</v>
      </c>
      <c r="G340" s="149" t="s">
        <v>545</v>
      </c>
      <c r="H340" s="154">
        <v>2</v>
      </c>
      <c r="I340" s="149" t="s">
        <v>480</v>
      </c>
      <c r="J340" s="149" t="s">
        <v>93</v>
      </c>
      <c r="K340" s="149" t="s">
        <v>315</v>
      </c>
      <c r="L340" s="156"/>
      <c r="M340" s="157">
        <v>2.3263888888888887E-3</v>
      </c>
      <c r="N340" s="131" t="s">
        <v>17</v>
      </c>
      <c r="O340" s="131" t="s">
        <v>17</v>
      </c>
      <c r="P340" s="131" t="s">
        <v>17</v>
      </c>
      <c r="Q340" s="131" t="s">
        <v>17</v>
      </c>
      <c r="R340" s="131" t="s">
        <v>17</v>
      </c>
      <c r="S340" s="131" t="s">
        <v>17</v>
      </c>
      <c r="T340" s="131" t="s">
        <v>17</v>
      </c>
      <c r="U340" s="131" t="s">
        <v>17</v>
      </c>
      <c r="V340" s="131" t="s">
        <v>17</v>
      </c>
      <c r="W340" s="131" t="s">
        <v>17</v>
      </c>
      <c r="X340" s="131" t="s">
        <v>17</v>
      </c>
      <c r="Y340" s="131" t="s">
        <v>17</v>
      </c>
      <c r="Z340" s="131" t="s">
        <v>17</v>
      </c>
      <c r="AA340" s="131" t="s">
        <v>17</v>
      </c>
      <c r="AB340" s="131" t="s">
        <v>17</v>
      </c>
      <c r="AC340" s="131"/>
      <c r="AD340" s="131"/>
      <c r="AE340" s="131"/>
      <c r="AF340" s="158">
        <f t="shared" si="26"/>
        <v>10.000000000000002</v>
      </c>
      <c r="AG340" s="159"/>
      <c r="AH340" s="155"/>
      <c r="AI340" s="155" t="s">
        <v>83</v>
      </c>
      <c r="AJ340" s="131" t="str">
        <f>IFERROR(VLOOKUP(E340&amp;F340,'Listagem dos op'!A:S,19,0),"")</f>
        <v/>
      </c>
      <c r="AK340" s="131" t="str">
        <f t="shared" si="25"/>
        <v>Jan11443</v>
      </c>
      <c r="AL340" s="154">
        <f>IF(N340="","",IF(N340="SIM",VLOOKUP($I340&amp;$J340&amp;N$1,Pesos!$A:$I,7,FALSE),VLOOKUP($I340&amp;$J340&amp;N$1,Pesos!$A:$I,9,FALSE)))</f>
        <v>0.1</v>
      </c>
      <c r="AM340" s="154">
        <f>IF(O340="","",IF(O340="SIM",VLOOKUP($I340&amp;$J340&amp;O$1,Pesos!$A:$I,7,FALSE),VLOOKUP($I340&amp;$J340&amp;O$1,Pesos!$A:$I,9,FALSE)))</f>
        <v>0.1</v>
      </c>
      <c r="AN340" s="154">
        <f>IF(P340="","",IF(P340="SIM",VLOOKUP($I340&amp;$J340&amp;P$1,Pesos!$A:$I,7,FALSE),VLOOKUP($I340&amp;$J340&amp;P$1,Pesos!$A:$I,9,FALSE)))</f>
        <v>0.1</v>
      </c>
      <c r="AO340" s="154">
        <f>IF(Q340="","",IF(Q340="SIM",VLOOKUP($I340&amp;$J340&amp;Q$1,Pesos!$A:$I,7,FALSE),VLOOKUP($I340&amp;$J340&amp;Q$1,Pesos!$A:$I,9,FALSE)))</f>
        <v>0.4</v>
      </c>
      <c r="AP340" s="154">
        <f>IF(R340="","",IF(R340="SIM",VLOOKUP($I340&amp;$J340&amp;R$1,Pesos!$A:$I,7,FALSE),VLOOKUP($I340&amp;$J340&amp;R$1,Pesos!$A:$I,9,FALSE)))</f>
        <v>1.3</v>
      </c>
      <c r="AQ340" s="154">
        <f>IF(S340="","",IF(S340="SIM",VLOOKUP($I340&amp;$J340&amp;S$1,Pesos!$A:$I,7,FALSE),VLOOKUP($I340&amp;$J340&amp;S$1,Pesos!$A:$I,9,FALSE)))</f>
        <v>2</v>
      </c>
      <c r="AR340" s="156">
        <f>IF(T340="","",IF(T340="SIM",VLOOKUP($I340&amp;$J340&amp;T$1,Pesos!$A:$I,7,FALSE),VLOOKUP($I340&amp;$J340&amp;T$1,Pesos!$A:$I,9,FALSE)))</f>
        <v>2</v>
      </c>
      <c r="AS340" s="132">
        <f>IF(U340="","",IF(U340="SIM",VLOOKUP($I340&amp;$J340&amp;U$1,Pesos!$A:$I,7,FALSE),VLOOKUP($I340&amp;$J340&amp;U$1,Pesos!$A:$I,9,FALSE)))</f>
        <v>1.33</v>
      </c>
      <c r="AT340" s="132">
        <f>IF(V340="","",IF(V340="SIM",VLOOKUP($I340&amp;$J340&amp;V$1,Pesos!$A:$I,7,FALSE),VLOOKUP($I340&amp;$J340&amp;V$1,Pesos!$A:$I,9,FALSE)))</f>
        <v>1.32</v>
      </c>
      <c r="AU340" s="132">
        <f>IF(W340="","",IF(W340="SIM",VLOOKUP($I340&amp;$J340&amp;W$1,Pesos!$A:$I,7,FALSE),VLOOKUP($I340&amp;$J340&amp;W$1,Pesos!$A:$I,9,FALSE)))</f>
        <v>0.3</v>
      </c>
      <c r="AV340" s="132">
        <f>IF(X340="","",IF(X340="SIM",VLOOKUP($I340&amp;$J340&amp;X$1,Pesos!$A:$I,7,FALSE),VLOOKUP($I340&amp;$J340&amp;X$1,Pesos!$A:$I,9,FALSE)))</f>
        <v>0.3</v>
      </c>
      <c r="AW340" s="132">
        <f>IF(Y340="","",IF(Y340="SIM",VLOOKUP($I340&amp;$J340&amp;Y$1,Pesos!$A:$I,7,FALSE),VLOOKUP($I340&amp;$J340&amp;Y$1,Pesos!$A:$I,9,FALSE)))</f>
        <v>0.15</v>
      </c>
      <c r="AX340" s="132">
        <f>IF(Z340="","",IF(Z340="SIM",VLOOKUP($I340&amp;$J340&amp;Z$1,Pesos!$A:$I,7,FALSE),VLOOKUP($I340&amp;$J340&amp;Z$1,Pesos!$A:$I,9,FALSE)))</f>
        <v>0.2</v>
      </c>
      <c r="AY340" s="132">
        <f>IF(AA340="","",IF(AA340="SIM",VLOOKUP($I340&amp;$J340&amp;AA$1,Pesos!$A:$I,7,FALSE),VLOOKUP($I340&amp;$J340&amp;AA$1,Pesos!$A:$I,9,FALSE)))</f>
        <v>0.3</v>
      </c>
      <c r="AZ340" s="132">
        <f>IF(AB340="","",IF(AB340="SIM",VLOOKUP($I340&amp;$J340&amp;AB$1,Pesos!$A:$I,7,FALSE),VLOOKUP($I340&amp;$J340&amp;AB$1,Pesos!$A:$I,9,FALSE)))</f>
        <v>0.1</v>
      </c>
      <c r="BA340" s="132" t="str">
        <f>IF(AC340="","",IF(AC340="SIM",VLOOKUP($I340&amp;$J340&amp;AC$1,Pesos!$A:$I,7,FALSE),VLOOKUP($I340&amp;$J340&amp;AC$1,Pesos!$A:$I,9,FALSE)))</f>
        <v/>
      </c>
      <c r="BB340" s="132" t="str">
        <f>IF(AD340="","",IF(AD340="SIM",VLOOKUP($I340&amp;$J340&amp;AD$1,Pesos!$A:$I,7,FALSE),VLOOKUP($I340&amp;$J340&amp;AD$1,Pesos!$A:$I,9,FALSE)))</f>
        <v/>
      </c>
      <c r="BC340" s="132" t="str">
        <f>IF(AE340="","",IF(AE340="SIM",VLOOKUP($I340&amp;$J340&amp;AE$1,Pesos!$A:$I,7,FALSE),VLOOKUP($I340&amp;$J340&amp;AE$1,Pesos!$A:$I,9,FALSE)))</f>
        <v/>
      </c>
      <c r="BD340" s="158">
        <f>IFERROR(AF340*VLOOKUP(J340,'BD Campos'!$X$1:$Y$14,2,FALSE),"0")</f>
        <v>10.000000000000002</v>
      </c>
    </row>
    <row r="341" spans="1:56">
      <c r="A341" s="151" t="str">
        <f t="shared" si="23"/>
        <v>Jan11144MotoristaLOGÍSTICA</v>
      </c>
      <c r="B341" s="149" t="str">
        <f t="shared" si="24"/>
        <v>Jan111441LOGÍSTICAPADRÃO</v>
      </c>
      <c r="C341" s="152">
        <v>1</v>
      </c>
      <c r="D341" s="153">
        <v>46062.407619328704</v>
      </c>
      <c r="E341" s="154" t="s">
        <v>12</v>
      </c>
      <c r="F341" s="155">
        <v>11144</v>
      </c>
      <c r="G341" s="149" t="s">
        <v>546</v>
      </c>
      <c r="H341" s="154">
        <v>1</v>
      </c>
      <c r="I341" s="149" t="s">
        <v>547</v>
      </c>
      <c r="J341" s="149" t="s">
        <v>93</v>
      </c>
      <c r="K341" s="149" t="s">
        <v>315</v>
      </c>
      <c r="L341" s="156"/>
      <c r="M341" s="157">
        <v>1.3773148148148147E-3</v>
      </c>
      <c r="N341" s="131" t="s">
        <v>17</v>
      </c>
      <c r="O341" s="131" t="s">
        <v>17</v>
      </c>
      <c r="P341" s="131" t="s">
        <v>17</v>
      </c>
      <c r="Q341" s="131" t="s">
        <v>17</v>
      </c>
      <c r="R341" s="131" t="s">
        <v>17</v>
      </c>
      <c r="S341" s="131" t="s">
        <v>17</v>
      </c>
      <c r="T341" s="131" t="s">
        <v>17</v>
      </c>
      <c r="U341" s="131" t="s">
        <v>17</v>
      </c>
      <c r="V341" s="131" t="s">
        <v>17</v>
      </c>
      <c r="W341" s="131" t="s">
        <v>17</v>
      </c>
      <c r="X341" s="131" t="s">
        <v>17</v>
      </c>
      <c r="Y341" s="131" t="s">
        <v>18</v>
      </c>
      <c r="Z341" s="131" t="s">
        <v>17</v>
      </c>
      <c r="AA341" s="131"/>
      <c r="AB341" s="131"/>
      <c r="AC341" s="131"/>
      <c r="AD341" s="131"/>
      <c r="AE341" s="131"/>
      <c r="AF341" s="158">
        <f t="shared" si="26"/>
        <v>9.6850000000000005</v>
      </c>
      <c r="AG341" s="159"/>
      <c r="AH341" s="155"/>
      <c r="AI341" s="155" t="s">
        <v>83</v>
      </c>
      <c r="AJ341" s="131" t="str">
        <f>IFERROR(VLOOKUP(E341&amp;F341,'Listagem dos op'!A:S,19,0),"")</f>
        <v/>
      </c>
      <c r="AK341" s="131" t="str">
        <f t="shared" si="25"/>
        <v>Jan11144</v>
      </c>
      <c r="AL341" s="154">
        <f>IF(N341="","",IF(N341="SIM",VLOOKUP($I341&amp;$J341&amp;N$1,Pesos!$A:$I,7,FALSE),VLOOKUP($I341&amp;$J341&amp;N$1,Pesos!$A:$I,9,FALSE)))</f>
        <v>0.1</v>
      </c>
      <c r="AM341" s="154">
        <f>IF(O341="","",IF(O341="SIM",VLOOKUP($I341&amp;$J341&amp;O$1,Pesos!$A:$I,7,FALSE),VLOOKUP($I341&amp;$J341&amp;O$1,Pesos!$A:$I,9,FALSE)))</f>
        <v>0.1</v>
      </c>
      <c r="AN341" s="154">
        <f>IF(P341="","",IF(P341="SIM",VLOOKUP($I341&amp;$J341&amp;P$1,Pesos!$A:$I,7,FALSE),VLOOKUP($I341&amp;$J341&amp;P$1,Pesos!$A:$I,9,FALSE)))</f>
        <v>0.1</v>
      </c>
      <c r="AO341" s="154">
        <f>IF(Q341="","",IF(Q341="SIM",VLOOKUP($I341&amp;$J341&amp;Q$1,Pesos!$A:$I,7,FALSE),VLOOKUP($I341&amp;$J341&amp;Q$1,Pesos!$A:$I,9,FALSE)))</f>
        <v>0.4</v>
      </c>
      <c r="AP341" s="154">
        <f>IF(R341="","",IF(R341="SIM",VLOOKUP($I341&amp;$J341&amp;R$1,Pesos!$A:$I,7,FALSE),VLOOKUP($I341&amp;$J341&amp;R$1,Pesos!$A:$I,9,FALSE)))</f>
        <v>1.9500000000000002</v>
      </c>
      <c r="AQ341" s="154">
        <f>IF(S341="","",IF(S341="SIM",VLOOKUP($I341&amp;$J341&amp;S$1,Pesos!$A:$I,7,FALSE),VLOOKUP($I341&amp;$J341&amp;S$1,Pesos!$A:$I,9,FALSE)))</f>
        <v>3</v>
      </c>
      <c r="AR341" s="156">
        <f>IF(T341="","",IF(T341="SIM",VLOOKUP($I341&amp;$J341&amp;T$1,Pesos!$A:$I,7,FALSE),VLOOKUP($I341&amp;$J341&amp;T$1,Pesos!$A:$I,9,FALSE)))</f>
        <v>3</v>
      </c>
      <c r="AS341" s="132">
        <f>IF(U341="","",IF(U341="SIM",VLOOKUP($I341&amp;$J341&amp;U$1,Pesos!$A:$I,7,FALSE),VLOOKUP($I341&amp;$J341&amp;U$1,Pesos!$A:$I,9,FALSE)))</f>
        <v>0.3</v>
      </c>
      <c r="AT341" s="132">
        <f>IF(V341="","",IF(V341="SIM",VLOOKUP($I341&amp;$J341&amp;V$1,Pesos!$A:$I,7,FALSE),VLOOKUP($I341&amp;$J341&amp;V$1,Pesos!$A:$I,9,FALSE)))</f>
        <v>0.3</v>
      </c>
      <c r="AU341" s="132">
        <f>IF(W341="","",IF(W341="SIM",VLOOKUP($I341&amp;$J341&amp;W$1,Pesos!$A:$I,7,FALSE),VLOOKUP($I341&amp;$J341&amp;W$1,Pesos!$A:$I,9,FALSE)))</f>
        <v>0.15</v>
      </c>
      <c r="AV341" s="132">
        <f>IF(X341="","",IF(X341="SIM",VLOOKUP($I341&amp;$J341&amp;X$1,Pesos!$A:$I,7,FALSE),VLOOKUP($I341&amp;$J341&amp;X$1,Pesos!$A:$I,9,FALSE)))</f>
        <v>0.2</v>
      </c>
      <c r="AW341" s="132">
        <f>IF(Y341="","",IF(Y341="SIM",VLOOKUP($I341&amp;$J341&amp;Y$1,Pesos!$A:$I,7,FALSE),VLOOKUP($I341&amp;$J341&amp;Y$1,Pesos!$A:$I,9,FALSE)))</f>
        <v>-1.4999999999999999E-2</v>
      </c>
      <c r="AX341" s="132">
        <f>IF(Z341="","",IF(Z341="SIM",VLOOKUP($I341&amp;$J341&amp;Z$1,Pesos!$A:$I,7,FALSE),VLOOKUP($I341&amp;$J341&amp;Z$1,Pesos!$A:$I,9,FALSE)))</f>
        <v>0.1</v>
      </c>
      <c r="AY341" s="132" t="str">
        <f>IF(AA341="","",IF(AA341="SIM",VLOOKUP($I341&amp;$J341&amp;AA$1,Pesos!$A:$I,7,FALSE),VLOOKUP($I341&amp;$J341&amp;AA$1,Pesos!$A:$I,9,FALSE)))</f>
        <v/>
      </c>
      <c r="AZ341" s="132" t="str">
        <f>IF(AB341="","",IF(AB341="SIM",VLOOKUP($I341&amp;$J341&amp;AB$1,Pesos!$A:$I,7,FALSE),VLOOKUP($I341&amp;$J341&amp;AB$1,Pesos!$A:$I,9,FALSE)))</f>
        <v/>
      </c>
      <c r="BA341" s="132" t="str">
        <f>IF(AC341="","",IF(AC341="SIM",VLOOKUP($I341&amp;$J341&amp;AC$1,Pesos!$A:$I,7,FALSE),VLOOKUP($I341&amp;$J341&amp;AC$1,Pesos!$A:$I,9,FALSE)))</f>
        <v/>
      </c>
      <c r="BB341" s="132" t="str">
        <f>IF(AD341="","",IF(AD341="SIM",VLOOKUP($I341&amp;$J341&amp;AD$1,Pesos!$A:$I,7,FALSE),VLOOKUP($I341&amp;$J341&amp;AD$1,Pesos!$A:$I,9,FALSE)))</f>
        <v/>
      </c>
      <c r="BC341" s="132" t="str">
        <f>IF(AE341="","",IF(AE341="SIM",VLOOKUP($I341&amp;$J341&amp;AE$1,Pesos!$A:$I,7,FALSE),VLOOKUP($I341&amp;$J341&amp;AE$1,Pesos!$A:$I,9,FALSE)))</f>
        <v/>
      </c>
      <c r="BD341" s="158">
        <f>IFERROR(AF341*VLOOKUP(J341,'BD Campos'!$X$1:$Y$14,2,FALSE),"0")</f>
        <v>9.6850000000000005</v>
      </c>
    </row>
    <row r="342" spans="1:56">
      <c r="A342" s="151" t="str">
        <f t="shared" si="23"/>
        <v>Jan11144Motorista 2LOGÍSTICA</v>
      </c>
      <c r="B342" s="149" t="str">
        <f t="shared" si="24"/>
        <v>Jan111442LOGÍSTICAPADRÃO</v>
      </c>
      <c r="C342" s="152">
        <v>1</v>
      </c>
      <c r="D342" s="153">
        <v>46062.40921863426</v>
      </c>
      <c r="E342" s="154" t="s">
        <v>12</v>
      </c>
      <c r="F342" s="155">
        <v>11144</v>
      </c>
      <c r="G342" s="149" t="s">
        <v>546</v>
      </c>
      <c r="H342" s="154">
        <v>2</v>
      </c>
      <c r="I342" s="149" t="s">
        <v>547</v>
      </c>
      <c r="J342" s="149" t="s">
        <v>97</v>
      </c>
      <c r="K342" s="149" t="s">
        <v>315</v>
      </c>
      <c r="L342" s="156"/>
      <c r="M342" s="157">
        <v>1.2037037037037038E-3</v>
      </c>
      <c r="N342" s="131" t="s">
        <v>17</v>
      </c>
      <c r="O342" s="131" t="s">
        <v>17</v>
      </c>
      <c r="P342" s="131" t="s">
        <v>17</v>
      </c>
      <c r="Q342" s="131" t="s">
        <v>17</v>
      </c>
      <c r="R342" s="131" t="s">
        <v>17</v>
      </c>
      <c r="S342" s="131" t="s">
        <v>17</v>
      </c>
      <c r="T342" s="131" t="s">
        <v>17</v>
      </c>
      <c r="U342" s="131" t="s">
        <v>17</v>
      </c>
      <c r="V342" s="131" t="s">
        <v>17</v>
      </c>
      <c r="W342" s="131" t="s">
        <v>17</v>
      </c>
      <c r="X342" s="131" t="s">
        <v>17</v>
      </c>
      <c r="Y342" s="131" t="s">
        <v>18</v>
      </c>
      <c r="Z342" s="131" t="s">
        <v>17</v>
      </c>
      <c r="AA342" s="131"/>
      <c r="AB342" s="131"/>
      <c r="AC342" s="131"/>
      <c r="AD342" s="131"/>
      <c r="AE342" s="131"/>
      <c r="AF342" s="158">
        <f t="shared" si="26"/>
        <v>9.6850000000000005</v>
      </c>
      <c r="AG342" s="159"/>
      <c r="AH342" s="155"/>
      <c r="AI342" s="155" t="s">
        <v>83</v>
      </c>
      <c r="AJ342" s="131" t="str">
        <f>IFERROR(VLOOKUP(E342&amp;F342,'Listagem dos op'!A:S,19,0),"")</f>
        <v/>
      </c>
      <c r="AK342" s="131" t="str">
        <f t="shared" si="25"/>
        <v>Jan11144</v>
      </c>
      <c r="AL342" s="154">
        <f>IF(N342="","",IF(N342="SIM",VLOOKUP($I342&amp;$J342&amp;N$1,Pesos!$A:$I,7,FALSE),VLOOKUP($I342&amp;$J342&amp;N$1,Pesos!$A:$I,9,FALSE)))</f>
        <v>0.1</v>
      </c>
      <c r="AM342" s="154">
        <f>IF(O342="","",IF(O342="SIM",VLOOKUP($I342&amp;$J342&amp;O$1,Pesos!$A:$I,7,FALSE),VLOOKUP($I342&amp;$J342&amp;O$1,Pesos!$A:$I,9,FALSE)))</f>
        <v>0.1</v>
      </c>
      <c r="AN342" s="154">
        <f>IF(P342="","",IF(P342="SIM",VLOOKUP($I342&amp;$J342&amp;P$1,Pesos!$A:$I,7,FALSE),VLOOKUP($I342&amp;$J342&amp;P$1,Pesos!$A:$I,9,FALSE)))</f>
        <v>0.1</v>
      </c>
      <c r="AO342" s="154">
        <f>IF(Q342="","",IF(Q342="SIM",VLOOKUP($I342&amp;$J342&amp;Q$1,Pesos!$A:$I,7,FALSE),VLOOKUP($I342&amp;$J342&amp;Q$1,Pesos!$A:$I,9,FALSE)))</f>
        <v>0.4</v>
      </c>
      <c r="AP342" s="154">
        <f>IF(R342="","",IF(R342="SIM",VLOOKUP($I342&amp;$J342&amp;R$1,Pesos!$A:$I,7,FALSE),VLOOKUP($I342&amp;$J342&amp;R$1,Pesos!$A:$I,9,FALSE)))</f>
        <v>1.9500000000000002</v>
      </c>
      <c r="AQ342" s="154">
        <f>IF(S342="","",IF(S342="SIM",VLOOKUP($I342&amp;$J342&amp;S$1,Pesos!$A:$I,7,FALSE),VLOOKUP($I342&amp;$J342&amp;S$1,Pesos!$A:$I,9,FALSE)))</f>
        <v>3</v>
      </c>
      <c r="AR342" s="156">
        <f>IF(T342="","",IF(T342="SIM",VLOOKUP($I342&amp;$J342&amp;T$1,Pesos!$A:$I,7,FALSE),VLOOKUP($I342&amp;$J342&amp;T$1,Pesos!$A:$I,9,FALSE)))</f>
        <v>3</v>
      </c>
      <c r="AS342" s="132">
        <f>IF(U342="","",IF(U342="SIM",VLOOKUP($I342&amp;$J342&amp;U$1,Pesos!$A:$I,7,FALSE),VLOOKUP($I342&amp;$J342&amp;U$1,Pesos!$A:$I,9,FALSE)))</f>
        <v>0.3</v>
      </c>
      <c r="AT342" s="132">
        <f>IF(V342="","",IF(V342="SIM",VLOOKUP($I342&amp;$J342&amp;V$1,Pesos!$A:$I,7,FALSE),VLOOKUP($I342&amp;$J342&amp;V$1,Pesos!$A:$I,9,FALSE)))</f>
        <v>0.3</v>
      </c>
      <c r="AU342" s="132">
        <f>IF(W342="","",IF(W342="SIM",VLOOKUP($I342&amp;$J342&amp;W$1,Pesos!$A:$I,7,FALSE),VLOOKUP($I342&amp;$J342&amp;W$1,Pesos!$A:$I,9,FALSE)))</f>
        <v>0.15</v>
      </c>
      <c r="AV342" s="132">
        <f>IF(X342="","",IF(X342="SIM",VLOOKUP($I342&amp;$J342&amp;X$1,Pesos!$A:$I,7,FALSE),VLOOKUP($I342&amp;$J342&amp;X$1,Pesos!$A:$I,9,FALSE)))</f>
        <v>0.2</v>
      </c>
      <c r="AW342" s="132">
        <f>IF(Y342="","",IF(Y342="SIM",VLOOKUP($I342&amp;$J342&amp;Y$1,Pesos!$A:$I,7,FALSE),VLOOKUP($I342&amp;$J342&amp;Y$1,Pesos!$A:$I,9,FALSE)))</f>
        <v>-1.4999999999999999E-2</v>
      </c>
      <c r="AX342" s="132">
        <f>IF(Z342="","",IF(Z342="SIM",VLOOKUP($I342&amp;$J342&amp;Z$1,Pesos!$A:$I,7,FALSE),VLOOKUP($I342&amp;$J342&amp;Z$1,Pesos!$A:$I,9,FALSE)))</f>
        <v>0.1</v>
      </c>
      <c r="AY342" s="132" t="str">
        <f>IF(AA342="","",IF(AA342="SIM",VLOOKUP($I342&amp;$J342&amp;AA$1,Pesos!$A:$I,7,FALSE),VLOOKUP($I342&amp;$J342&amp;AA$1,Pesos!$A:$I,9,FALSE)))</f>
        <v/>
      </c>
      <c r="AZ342" s="132" t="str">
        <f>IF(AB342="","",IF(AB342="SIM",VLOOKUP($I342&amp;$J342&amp;AB$1,Pesos!$A:$I,7,FALSE),VLOOKUP($I342&amp;$J342&amp;AB$1,Pesos!$A:$I,9,FALSE)))</f>
        <v/>
      </c>
      <c r="BA342" s="132" t="str">
        <f>IF(AC342="","",IF(AC342="SIM",VLOOKUP($I342&amp;$J342&amp;AC$1,Pesos!$A:$I,7,FALSE),VLOOKUP($I342&amp;$J342&amp;AC$1,Pesos!$A:$I,9,FALSE)))</f>
        <v/>
      </c>
      <c r="BB342" s="132" t="str">
        <f>IF(AD342="","",IF(AD342="SIM",VLOOKUP($I342&amp;$J342&amp;AD$1,Pesos!$A:$I,7,FALSE),VLOOKUP($I342&amp;$J342&amp;AD$1,Pesos!$A:$I,9,FALSE)))</f>
        <v/>
      </c>
      <c r="BC342" s="132" t="str">
        <f>IF(AE342="","",IF(AE342="SIM",VLOOKUP($I342&amp;$J342&amp;AE$1,Pesos!$A:$I,7,FALSE),VLOOKUP($I342&amp;$J342&amp;AE$1,Pesos!$A:$I,9,FALSE)))</f>
        <v/>
      </c>
      <c r="BD342" s="158">
        <f>IFERROR(AF342*VLOOKUP(J342,'BD Campos'!$X$1:$Y$14,2,FALSE),"0")</f>
        <v>9.6850000000000005</v>
      </c>
    </row>
    <row r="343" spans="1:56">
      <c r="A343" s="151" t="str">
        <f t="shared" si="23"/>
        <v>Jan11210MotoristaLOGÍSTICA</v>
      </c>
      <c r="B343" s="149" t="str">
        <f t="shared" si="24"/>
        <v>Jan112101LOGÍSTICAPADRÃO</v>
      </c>
      <c r="C343" s="152">
        <v>1</v>
      </c>
      <c r="D343" s="153">
        <v>46062.41191678241</v>
      </c>
      <c r="E343" s="154" t="s">
        <v>12</v>
      </c>
      <c r="F343" s="155">
        <v>11210</v>
      </c>
      <c r="G343" s="149" t="s">
        <v>548</v>
      </c>
      <c r="H343" s="154">
        <v>1</v>
      </c>
      <c r="I343" s="149" t="s">
        <v>549</v>
      </c>
      <c r="J343" s="149" t="s">
        <v>93</v>
      </c>
      <c r="K343" s="149" t="s">
        <v>315</v>
      </c>
      <c r="L343" s="156"/>
      <c r="M343" s="157">
        <v>1.6319444444444445E-3</v>
      </c>
      <c r="N343" s="131" t="s">
        <v>17</v>
      </c>
      <c r="O343" s="131" t="s">
        <v>17</v>
      </c>
      <c r="P343" s="131" t="s">
        <v>17</v>
      </c>
      <c r="Q343" s="131" t="s">
        <v>17</v>
      </c>
      <c r="R343" s="131" t="s">
        <v>17</v>
      </c>
      <c r="S343" s="131" t="s">
        <v>17</v>
      </c>
      <c r="T343" s="131" t="s">
        <v>17</v>
      </c>
      <c r="U343" s="131" t="s">
        <v>17</v>
      </c>
      <c r="V343" s="131" t="s">
        <v>17</v>
      </c>
      <c r="W343" s="131" t="s">
        <v>17</v>
      </c>
      <c r="X343" s="131" t="s">
        <v>17</v>
      </c>
      <c r="Y343" s="131" t="s">
        <v>18</v>
      </c>
      <c r="Z343" s="131" t="s">
        <v>17</v>
      </c>
      <c r="AA343" s="131"/>
      <c r="AB343" s="131"/>
      <c r="AC343" s="131"/>
      <c r="AD343" s="131"/>
      <c r="AE343" s="131"/>
      <c r="AF343" s="158">
        <f t="shared" si="26"/>
        <v>9.6850000000000005</v>
      </c>
      <c r="AG343" s="159"/>
      <c r="AH343" s="155"/>
      <c r="AI343" s="155" t="s">
        <v>83</v>
      </c>
      <c r="AJ343" s="131" t="str">
        <f>IFERROR(VLOOKUP(E343&amp;F343,'Listagem dos op'!A:S,19,0),"")</f>
        <v/>
      </c>
      <c r="AK343" s="131" t="str">
        <f t="shared" si="25"/>
        <v>Jan11210</v>
      </c>
      <c r="AL343" s="154">
        <f>IF(N343="","",IF(N343="SIM",VLOOKUP($I343&amp;$J343&amp;N$1,Pesos!$A:$I,7,FALSE),VLOOKUP($I343&amp;$J343&amp;N$1,Pesos!$A:$I,9,FALSE)))</f>
        <v>0.1</v>
      </c>
      <c r="AM343" s="154">
        <f>IF(O343="","",IF(O343="SIM",VLOOKUP($I343&amp;$J343&amp;O$1,Pesos!$A:$I,7,FALSE),VLOOKUP($I343&amp;$J343&amp;O$1,Pesos!$A:$I,9,FALSE)))</f>
        <v>0.1</v>
      </c>
      <c r="AN343" s="154">
        <f>IF(P343="","",IF(P343="SIM",VLOOKUP($I343&amp;$J343&amp;P$1,Pesos!$A:$I,7,FALSE),VLOOKUP($I343&amp;$J343&amp;P$1,Pesos!$A:$I,9,FALSE)))</f>
        <v>0.1</v>
      </c>
      <c r="AO343" s="154">
        <f>IF(Q343="","",IF(Q343="SIM",VLOOKUP($I343&amp;$J343&amp;Q$1,Pesos!$A:$I,7,FALSE),VLOOKUP($I343&amp;$J343&amp;Q$1,Pesos!$A:$I,9,FALSE)))</f>
        <v>0.4</v>
      </c>
      <c r="AP343" s="154">
        <f>IF(R343="","",IF(R343="SIM",VLOOKUP($I343&amp;$J343&amp;R$1,Pesos!$A:$I,7,FALSE),VLOOKUP($I343&amp;$J343&amp;R$1,Pesos!$A:$I,9,FALSE)))</f>
        <v>1.9500000000000002</v>
      </c>
      <c r="AQ343" s="154">
        <f>IF(S343="","",IF(S343="SIM",VLOOKUP($I343&amp;$J343&amp;S$1,Pesos!$A:$I,7,FALSE),VLOOKUP($I343&amp;$J343&amp;S$1,Pesos!$A:$I,9,FALSE)))</f>
        <v>3</v>
      </c>
      <c r="AR343" s="156">
        <f>IF(T343="","",IF(T343="SIM",VLOOKUP($I343&amp;$J343&amp;T$1,Pesos!$A:$I,7,FALSE),VLOOKUP($I343&amp;$J343&amp;T$1,Pesos!$A:$I,9,FALSE)))</f>
        <v>3</v>
      </c>
      <c r="AS343" s="132">
        <f>IF(U343="","",IF(U343="SIM",VLOOKUP($I343&amp;$J343&amp;U$1,Pesos!$A:$I,7,FALSE),VLOOKUP($I343&amp;$J343&amp;U$1,Pesos!$A:$I,9,FALSE)))</f>
        <v>0.3</v>
      </c>
      <c r="AT343" s="132">
        <f>IF(V343="","",IF(V343="SIM",VLOOKUP($I343&amp;$J343&amp;V$1,Pesos!$A:$I,7,FALSE),VLOOKUP($I343&amp;$J343&amp;V$1,Pesos!$A:$I,9,FALSE)))</f>
        <v>0.3</v>
      </c>
      <c r="AU343" s="132">
        <f>IF(W343="","",IF(W343="SIM",VLOOKUP($I343&amp;$J343&amp;W$1,Pesos!$A:$I,7,FALSE),VLOOKUP($I343&amp;$J343&amp;W$1,Pesos!$A:$I,9,FALSE)))</f>
        <v>0.15</v>
      </c>
      <c r="AV343" s="132">
        <f>IF(X343="","",IF(X343="SIM",VLOOKUP($I343&amp;$J343&amp;X$1,Pesos!$A:$I,7,FALSE),VLOOKUP($I343&amp;$J343&amp;X$1,Pesos!$A:$I,9,FALSE)))</f>
        <v>0.2</v>
      </c>
      <c r="AW343" s="132">
        <f>IF(Y343="","",IF(Y343="SIM",VLOOKUP($I343&amp;$J343&amp;Y$1,Pesos!$A:$I,7,FALSE),VLOOKUP($I343&amp;$J343&amp;Y$1,Pesos!$A:$I,9,FALSE)))</f>
        <v>-1.4999999999999999E-2</v>
      </c>
      <c r="AX343" s="132">
        <f>IF(Z343="","",IF(Z343="SIM",VLOOKUP($I343&amp;$J343&amp;Z$1,Pesos!$A:$I,7,FALSE),VLOOKUP($I343&amp;$J343&amp;Z$1,Pesos!$A:$I,9,FALSE)))</f>
        <v>0.1</v>
      </c>
      <c r="AY343" s="132" t="str">
        <f>IF(AA343="","",IF(AA343="SIM",VLOOKUP($I343&amp;$J343&amp;AA$1,Pesos!$A:$I,7,FALSE),VLOOKUP($I343&amp;$J343&amp;AA$1,Pesos!$A:$I,9,FALSE)))</f>
        <v/>
      </c>
      <c r="AZ343" s="132" t="str">
        <f>IF(AB343="","",IF(AB343="SIM",VLOOKUP($I343&amp;$J343&amp;AB$1,Pesos!$A:$I,7,FALSE),VLOOKUP($I343&amp;$J343&amp;AB$1,Pesos!$A:$I,9,FALSE)))</f>
        <v/>
      </c>
      <c r="BA343" s="132" t="str">
        <f>IF(AC343="","",IF(AC343="SIM",VLOOKUP($I343&amp;$J343&amp;AC$1,Pesos!$A:$I,7,FALSE),VLOOKUP($I343&amp;$J343&amp;AC$1,Pesos!$A:$I,9,FALSE)))</f>
        <v/>
      </c>
      <c r="BB343" s="132" t="str">
        <f>IF(AD343="","",IF(AD343="SIM",VLOOKUP($I343&amp;$J343&amp;AD$1,Pesos!$A:$I,7,FALSE),VLOOKUP($I343&amp;$J343&amp;AD$1,Pesos!$A:$I,9,FALSE)))</f>
        <v/>
      </c>
      <c r="BC343" s="132" t="str">
        <f>IF(AE343="","",IF(AE343="SIM",VLOOKUP($I343&amp;$J343&amp;AE$1,Pesos!$A:$I,7,FALSE),VLOOKUP($I343&amp;$J343&amp;AE$1,Pesos!$A:$I,9,FALSE)))</f>
        <v/>
      </c>
      <c r="BD343" s="158">
        <f>IFERROR(AF343*VLOOKUP(J343,'BD Campos'!$X$1:$Y$14,2,FALSE),"0")</f>
        <v>9.6850000000000005</v>
      </c>
    </row>
    <row r="344" spans="1:56">
      <c r="A344" s="151" t="str">
        <f t="shared" si="23"/>
        <v>Jan11210Motorista 2LOGÍSTICA</v>
      </c>
      <c r="B344" s="149" t="str">
        <f t="shared" si="24"/>
        <v>Jan112102LOGÍSTICAPADRÃO</v>
      </c>
      <c r="C344" s="152">
        <v>1</v>
      </c>
      <c r="D344" s="153">
        <v>46062.418068402774</v>
      </c>
      <c r="E344" s="154" t="s">
        <v>12</v>
      </c>
      <c r="F344" s="155">
        <v>11210</v>
      </c>
      <c r="G344" s="149" t="s">
        <v>548</v>
      </c>
      <c r="H344" s="154">
        <v>2</v>
      </c>
      <c r="I344" s="149" t="s">
        <v>549</v>
      </c>
      <c r="J344" s="149" t="s">
        <v>97</v>
      </c>
      <c r="K344" s="149" t="s">
        <v>315</v>
      </c>
      <c r="L344" s="156"/>
      <c r="M344" s="157">
        <v>4.1782407407407402E-3</v>
      </c>
      <c r="N344" s="131" t="s">
        <v>17</v>
      </c>
      <c r="O344" s="131" t="s">
        <v>17</v>
      </c>
      <c r="P344" s="131" t="s">
        <v>17</v>
      </c>
      <c r="Q344" s="131" t="s">
        <v>17</v>
      </c>
      <c r="R344" s="131" t="s">
        <v>17</v>
      </c>
      <c r="S344" s="131" t="s">
        <v>17</v>
      </c>
      <c r="T344" s="131" t="s">
        <v>17</v>
      </c>
      <c r="U344" s="131" t="s">
        <v>17</v>
      </c>
      <c r="V344" s="131" t="s">
        <v>17</v>
      </c>
      <c r="W344" s="131" t="s">
        <v>17</v>
      </c>
      <c r="X344" s="131" t="s">
        <v>17</v>
      </c>
      <c r="Y344" s="131" t="s">
        <v>18</v>
      </c>
      <c r="Z344" s="131" t="s">
        <v>17</v>
      </c>
      <c r="AA344" s="131"/>
      <c r="AB344" s="131"/>
      <c r="AC344" s="131"/>
      <c r="AD344" s="131"/>
      <c r="AE344" s="131"/>
      <c r="AF344" s="158">
        <f t="shared" si="26"/>
        <v>9.6850000000000005</v>
      </c>
      <c r="AG344" s="159"/>
      <c r="AH344" s="155"/>
      <c r="AI344" s="155" t="s">
        <v>83</v>
      </c>
      <c r="AJ344" s="131" t="str">
        <f>IFERROR(VLOOKUP(E344&amp;F344,'Listagem dos op'!A:S,19,0),"")</f>
        <v/>
      </c>
      <c r="AK344" s="131" t="str">
        <f t="shared" si="25"/>
        <v>Jan11210</v>
      </c>
      <c r="AL344" s="154">
        <f>IF(N344="","",IF(N344="SIM",VLOOKUP($I344&amp;$J344&amp;N$1,Pesos!$A:$I,7,FALSE),VLOOKUP($I344&amp;$J344&amp;N$1,Pesos!$A:$I,9,FALSE)))</f>
        <v>0.1</v>
      </c>
      <c r="AM344" s="154">
        <f>IF(O344="","",IF(O344="SIM",VLOOKUP($I344&amp;$J344&amp;O$1,Pesos!$A:$I,7,FALSE),VLOOKUP($I344&amp;$J344&amp;O$1,Pesos!$A:$I,9,FALSE)))</f>
        <v>0.1</v>
      </c>
      <c r="AN344" s="154">
        <f>IF(P344="","",IF(P344="SIM",VLOOKUP($I344&amp;$J344&amp;P$1,Pesos!$A:$I,7,FALSE),VLOOKUP($I344&amp;$J344&amp;P$1,Pesos!$A:$I,9,FALSE)))</f>
        <v>0.1</v>
      </c>
      <c r="AO344" s="154">
        <f>IF(Q344="","",IF(Q344="SIM",VLOOKUP($I344&amp;$J344&amp;Q$1,Pesos!$A:$I,7,FALSE),VLOOKUP($I344&amp;$J344&amp;Q$1,Pesos!$A:$I,9,FALSE)))</f>
        <v>0.4</v>
      </c>
      <c r="AP344" s="154">
        <f>IF(R344="","",IF(R344="SIM",VLOOKUP($I344&amp;$J344&amp;R$1,Pesos!$A:$I,7,FALSE),VLOOKUP($I344&amp;$J344&amp;R$1,Pesos!$A:$I,9,FALSE)))</f>
        <v>1.9500000000000002</v>
      </c>
      <c r="AQ344" s="154">
        <f>IF(S344="","",IF(S344="SIM",VLOOKUP($I344&amp;$J344&amp;S$1,Pesos!$A:$I,7,FALSE),VLOOKUP($I344&amp;$J344&amp;S$1,Pesos!$A:$I,9,FALSE)))</f>
        <v>3</v>
      </c>
      <c r="AR344" s="156">
        <f>IF(T344="","",IF(T344="SIM",VLOOKUP($I344&amp;$J344&amp;T$1,Pesos!$A:$I,7,FALSE),VLOOKUP($I344&amp;$J344&amp;T$1,Pesos!$A:$I,9,FALSE)))</f>
        <v>3</v>
      </c>
      <c r="AS344" s="132">
        <f>IF(U344="","",IF(U344="SIM",VLOOKUP($I344&amp;$J344&amp;U$1,Pesos!$A:$I,7,FALSE),VLOOKUP($I344&amp;$J344&amp;U$1,Pesos!$A:$I,9,FALSE)))</f>
        <v>0.3</v>
      </c>
      <c r="AT344" s="132">
        <f>IF(V344="","",IF(V344="SIM",VLOOKUP($I344&amp;$J344&amp;V$1,Pesos!$A:$I,7,FALSE),VLOOKUP($I344&amp;$J344&amp;V$1,Pesos!$A:$I,9,FALSE)))</f>
        <v>0.3</v>
      </c>
      <c r="AU344" s="132">
        <f>IF(W344="","",IF(W344="SIM",VLOOKUP($I344&amp;$J344&amp;W$1,Pesos!$A:$I,7,FALSE),VLOOKUP($I344&amp;$J344&amp;W$1,Pesos!$A:$I,9,FALSE)))</f>
        <v>0.15</v>
      </c>
      <c r="AV344" s="132">
        <f>IF(X344="","",IF(X344="SIM",VLOOKUP($I344&amp;$J344&amp;X$1,Pesos!$A:$I,7,FALSE),VLOOKUP($I344&amp;$J344&amp;X$1,Pesos!$A:$I,9,FALSE)))</f>
        <v>0.2</v>
      </c>
      <c r="AW344" s="132">
        <f>IF(Y344="","",IF(Y344="SIM",VLOOKUP($I344&amp;$J344&amp;Y$1,Pesos!$A:$I,7,FALSE),VLOOKUP($I344&amp;$J344&amp;Y$1,Pesos!$A:$I,9,FALSE)))</f>
        <v>-1.4999999999999999E-2</v>
      </c>
      <c r="AX344" s="132">
        <f>IF(Z344="","",IF(Z344="SIM",VLOOKUP($I344&amp;$J344&amp;Z$1,Pesos!$A:$I,7,FALSE),VLOOKUP($I344&amp;$J344&amp;Z$1,Pesos!$A:$I,9,FALSE)))</f>
        <v>0.1</v>
      </c>
      <c r="AY344" s="132" t="str">
        <f>IF(AA344="","",IF(AA344="SIM",VLOOKUP($I344&amp;$J344&amp;AA$1,Pesos!$A:$I,7,FALSE),VLOOKUP($I344&amp;$J344&amp;AA$1,Pesos!$A:$I,9,FALSE)))</f>
        <v/>
      </c>
      <c r="AZ344" s="132" t="str">
        <f>IF(AB344="","",IF(AB344="SIM",VLOOKUP($I344&amp;$J344&amp;AB$1,Pesos!$A:$I,7,FALSE),VLOOKUP($I344&amp;$J344&amp;AB$1,Pesos!$A:$I,9,FALSE)))</f>
        <v/>
      </c>
      <c r="BA344" s="132" t="str">
        <f>IF(AC344="","",IF(AC344="SIM",VLOOKUP($I344&amp;$J344&amp;AC$1,Pesos!$A:$I,7,FALSE),VLOOKUP($I344&amp;$J344&amp;AC$1,Pesos!$A:$I,9,FALSE)))</f>
        <v/>
      </c>
      <c r="BB344" s="132" t="str">
        <f>IF(AD344="","",IF(AD344="SIM",VLOOKUP($I344&amp;$J344&amp;AD$1,Pesos!$A:$I,7,FALSE),VLOOKUP($I344&amp;$J344&amp;AD$1,Pesos!$A:$I,9,FALSE)))</f>
        <v/>
      </c>
      <c r="BC344" s="132" t="str">
        <f>IF(AE344="","",IF(AE344="SIM",VLOOKUP($I344&amp;$J344&amp;AE$1,Pesos!$A:$I,7,FALSE),VLOOKUP($I344&amp;$J344&amp;AE$1,Pesos!$A:$I,9,FALSE)))</f>
        <v/>
      </c>
      <c r="BD344" s="158">
        <f>IFERROR(AF344*VLOOKUP(J344,'BD Campos'!$X$1:$Y$14,2,FALSE),"0")</f>
        <v>9.6850000000000005</v>
      </c>
    </row>
    <row r="345" spans="1:56">
      <c r="A345" s="151" t="str">
        <f t="shared" si="23"/>
        <v>Jan11317ReceptivaLOGÍSTICA</v>
      </c>
      <c r="B345" s="149" t="str">
        <f t="shared" si="24"/>
        <v>Jan113175LOGÍSTICAPADRÃO</v>
      </c>
      <c r="C345" s="152">
        <v>1</v>
      </c>
      <c r="D345" s="153">
        <v>46062.452062847224</v>
      </c>
      <c r="E345" s="154" t="s">
        <v>12</v>
      </c>
      <c r="F345" s="155">
        <v>11317</v>
      </c>
      <c r="G345" s="149" t="s">
        <v>550</v>
      </c>
      <c r="H345" s="154">
        <v>5</v>
      </c>
      <c r="I345" s="149" t="s">
        <v>534</v>
      </c>
      <c r="J345" s="149" t="s">
        <v>81</v>
      </c>
      <c r="K345" s="149" t="s">
        <v>315</v>
      </c>
      <c r="L345" s="156" t="s">
        <v>551</v>
      </c>
      <c r="M345" s="157"/>
      <c r="N345" s="131" t="s">
        <v>17</v>
      </c>
      <c r="O345" s="131" t="s">
        <v>17</v>
      </c>
      <c r="P345" s="131" t="s">
        <v>17</v>
      </c>
      <c r="Q345" s="131" t="s">
        <v>17</v>
      </c>
      <c r="R345" s="131" t="s">
        <v>17</v>
      </c>
      <c r="S345" s="131" t="s">
        <v>17</v>
      </c>
      <c r="T345" s="131" t="s">
        <v>17</v>
      </c>
      <c r="U345" s="131" t="s">
        <v>17</v>
      </c>
      <c r="V345" s="131" t="s">
        <v>17</v>
      </c>
      <c r="W345" s="131"/>
      <c r="X345" s="131"/>
      <c r="Y345" s="131"/>
      <c r="Z345" s="131"/>
      <c r="AA345" s="131"/>
      <c r="AB345" s="131"/>
      <c r="AC345" s="131"/>
      <c r="AD345" s="131"/>
      <c r="AE345" s="131"/>
      <c r="AF345" s="158">
        <f t="shared" si="26"/>
        <v>10.000000000000002</v>
      </c>
      <c r="AG345" s="159"/>
      <c r="AH345" s="155"/>
      <c r="AI345" s="155" t="s">
        <v>83</v>
      </c>
      <c r="AJ345" s="131" t="str">
        <f>IFERROR(VLOOKUP(E345&amp;F345,'Listagem dos op'!A:S,19,0),"")</f>
        <v/>
      </c>
      <c r="AK345" s="131" t="str">
        <f t="shared" si="25"/>
        <v>Jan11317</v>
      </c>
      <c r="AL345" s="154">
        <f>IF(N345="","",IF(N345="SIM",VLOOKUP($I345&amp;$J345&amp;N$1,Pesos!$A:$I,7,FALSE),VLOOKUP($I345&amp;$J345&amp;N$1,Pesos!$A:$I,9,FALSE)))</f>
        <v>0.3</v>
      </c>
      <c r="AM345" s="154">
        <f>IF(O345="","",IF(O345="SIM",VLOOKUP($I345&amp;$J345&amp;O$1,Pesos!$A:$I,7,FALSE),VLOOKUP($I345&amp;$J345&amp;O$1,Pesos!$A:$I,9,FALSE)))</f>
        <v>1.3</v>
      </c>
      <c r="AN345" s="154">
        <f>IF(P345="","",IF(P345="SIM",VLOOKUP($I345&amp;$J345&amp;P$1,Pesos!$A:$I,7,FALSE),VLOOKUP($I345&amp;$J345&amp;P$1,Pesos!$A:$I,9,FALSE)))</f>
        <v>1.3</v>
      </c>
      <c r="AO345" s="154">
        <f>IF(Q345="","",IF(Q345="SIM",VLOOKUP($I345&amp;$J345&amp;Q$1,Pesos!$A:$I,7,FALSE),VLOOKUP($I345&amp;$J345&amp;Q$1,Pesos!$A:$I,9,FALSE)))</f>
        <v>1.4000000000000001</v>
      </c>
      <c r="AP345" s="154">
        <f>IF(R345="","",IF(R345="SIM",VLOOKUP($I345&amp;$J345&amp;R$1,Pesos!$A:$I,7,FALSE),VLOOKUP($I345&amp;$J345&amp;R$1,Pesos!$A:$I,9,FALSE)))</f>
        <v>1.3</v>
      </c>
      <c r="AQ345" s="154">
        <f>IF(S345="","",IF(S345="SIM",VLOOKUP($I345&amp;$J345&amp;S$1,Pesos!$A:$I,7,FALSE),VLOOKUP($I345&amp;$J345&amp;S$1,Pesos!$A:$I,9,FALSE)))</f>
        <v>1.4000000000000001</v>
      </c>
      <c r="AR345" s="156">
        <f>IF(T345="","",IF(T345="SIM",VLOOKUP($I345&amp;$J345&amp;T$1,Pesos!$A:$I,7,FALSE),VLOOKUP($I345&amp;$J345&amp;T$1,Pesos!$A:$I,9,FALSE)))</f>
        <v>1.4000000000000001</v>
      </c>
      <c r="AS345" s="132">
        <f>IF(U345="","",IF(U345="SIM",VLOOKUP($I345&amp;$J345&amp;U$1,Pesos!$A:$I,7,FALSE),VLOOKUP($I345&amp;$J345&amp;U$1,Pesos!$A:$I,9,FALSE)))</f>
        <v>1.3</v>
      </c>
      <c r="AT345" s="132">
        <f>IF(V345="","",IF(V345="SIM",VLOOKUP($I345&amp;$J345&amp;V$1,Pesos!$A:$I,7,FALSE),VLOOKUP($I345&amp;$J345&amp;V$1,Pesos!$A:$I,9,FALSE)))</f>
        <v>0.3</v>
      </c>
      <c r="AU345" s="132" t="str">
        <f>IF(W345="","",IF(W345="SIM",VLOOKUP($I345&amp;$J345&amp;W$1,Pesos!$A:$I,7,FALSE),VLOOKUP($I345&amp;$J345&amp;W$1,Pesos!$A:$I,9,FALSE)))</f>
        <v/>
      </c>
      <c r="AV345" s="132" t="str">
        <f>IF(X345="","",IF(X345="SIM",VLOOKUP($I345&amp;$J345&amp;X$1,Pesos!$A:$I,7,FALSE),VLOOKUP($I345&amp;$J345&amp;X$1,Pesos!$A:$I,9,FALSE)))</f>
        <v/>
      </c>
      <c r="AW345" s="132" t="str">
        <f>IF(Y345="","",IF(Y345="SIM",VLOOKUP($I345&amp;$J345&amp;Y$1,Pesos!$A:$I,7,FALSE),VLOOKUP($I345&amp;$J345&amp;Y$1,Pesos!$A:$I,9,FALSE)))</f>
        <v/>
      </c>
      <c r="AX345" s="132" t="str">
        <f>IF(Z345="","",IF(Z345="SIM",VLOOKUP($I345&amp;$J345&amp;Z$1,Pesos!$A:$I,7,FALSE),VLOOKUP($I345&amp;$J345&amp;Z$1,Pesos!$A:$I,9,FALSE)))</f>
        <v/>
      </c>
      <c r="AY345" s="132" t="str">
        <f>IF(AA345="","",IF(AA345="SIM",VLOOKUP($I345&amp;$J345&amp;AA$1,Pesos!$A:$I,7,FALSE),VLOOKUP($I345&amp;$J345&amp;AA$1,Pesos!$A:$I,9,FALSE)))</f>
        <v/>
      </c>
      <c r="AZ345" s="132" t="str">
        <f>IF(AB345="","",IF(AB345="SIM",VLOOKUP($I345&amp;$J345&amp;AB$1,Pesos!$A:$I,7,FALSE),VLOOKUP($I345&amp;$J345&amp;AB$1,Pesos!$A:$I,9,FALSE)))</f>
        <v/>
      </c>
      <c r="BA345" s="132" t="str">
        <f>IF(AC345="","",IF(AC345="SIM",VLOOKUP($I345&amp;$J345&amp;AC$1,Pesos!$A:$I,7,FALSE),VLOOKUP($I345&amp;$J345&amp;AC$1,Pesos!$A:$I,9,FALSE)))</f>
        <v/>
      </c>
      <c r="BB345" s="132" t="str">
        <f>IF(AD345="","",IF(AD345="SIM",VLOOKUP($I345&amp;$J345&amp;AD$1,Pesos!$A:$I,7,FALSE),VLOOKUP($I345&amp;$J345&amp;AD$1,Pesos!$A:$I,9,FALSE)))</f>
        <v/>
      </c>
      <c r="BC345" s="132" t="str">
        <f>IF(AE345="","",IF(AE345="SIM",VLOOKUP($I345&amp;$J345&amp;AE$1,Pesos!$A:$I,7,FALSE),VLOOKUP($I345&amp;$J345&amp;AE$1,Pesos!$A:$I,9,FALSE)))</f>
        <v/>
      </c>
      <c r="BD345" s="158">
        <f>IFERROR(AF345*VLOOKUP(J345,'BD Campos'!$X$1:$Y$14,2,FALSE),"0")</f>
        <v>10.000000000000002</v>
      </c>
    </row>
    <row r="346" spans="1:56">
      <c r="A346" s="151" t="str">
        <f t="shared" si="23"/>
        <v>Jan11317Receptiva 2LOGÍSTICA</v>
      </c>
      <c r="B346" s="149" t="str">
        <f t="shared" si="24"/>
        <v>Jan113176LOGÍSTICAPADRÃO</v>
      </c>
      <c r="C346" s="152">
        <v>1</v>
      </c>
      <c r="D346" s="153">
        <v>46062.453220370371</v>
      </c>
      <c r="E346" s="154" t="s">
        <v>12</v>
      </c>
      <c r="F346" s="155">
        <v>11317</v>
      </c>
      <c r="G346" s="149" t="s">
        <v>550</v>
      </c>
      <c r="H346" s="154">
        <v>6</v>
      </c>
      <c r="I346" s="149" t="s">
        <v>534</v>
      </c>
      <c r="J346" s="149" t="s">
        <v>86</v>
      </c>
      <c r="K346" s="149" t="s">
        <v>315</v>
      </c>
      <c r="L346" s="156" t="s">
        <v>552</v>
      </c>
      <c r="M346" s="157"/>
      <c r="N346" s="131" t="s">
        <v>17</v>
      </c>
      <c r="O346" s="131" t="s">
        <v>17</v>
      </c>
      <c r="P346" s="131" t="s">
        <v>17</v>
      </c>
      <c r="Q346" s="131" t="s">
        <v>17</v>
      </c>
      <c r="R346" s="131" t="s">
        <v>17</v>
      </c>
      <c r="S346" s="131" t="s">
        <v>17</v>
      </c>
      <c r="T346" s="131" t="s">
        <v>17</v>
      </c>
      <c r="U346" s="131" t="s">
        <v>17</v>
      </c>
      <c r="V346" s="131" t="s">
        <v>17</v>
      </c>
      <c r="W346" s="131"/>
      <c r="X346" s="131"/>
      <c r="Y346" s="131"/>
      <c r="Z346" s="131"/>
      <c r="AA346" s="131"/>
      <c r="AB346" s="131"/>
      <c r="AC346" s="131"/>
      <c r="AD346" s="131"/>
      <c r="AE346" s="131"/>
      <c r="AF346" s="158">
        <f t="shared" si="26"/>
        <v>10.000000000000002</v>
      </c>
      <c r="AG346" s="159"/>
      <c r="AH346" s="155"/>
      <c r="AI346" s="155" t="s">
        <v>83</v>
      </c>
      <c r="AJ346" s="131" t="str">
        <f>IFERROR(VLOOKUP(E346&amp;F346,'Listagem dos op'!A:S,19,0),"")</f>
        <v/>
      </c>
      <c r="AK346" s="131" t="str">
        <f t="shared" si="25"/>
        <v>Jan11317</v>
      </c>
      <c r="AL346" s="154">
        <f>IF(N346="","",IF(N346="SIM",VLOOKUP($I346&amp;$J346&amp;N$1,Pesos!$A:$I,7,FALSE),VLOOKUP($I346&amp;$J346&amp;N$1,Pesos!$A:$I,9,FALSE)))</f>
        <v>0.3</v>
      </c>
      <c r="AM346" s="154">
        <f>IF(O346="","",IF(O346="SIM",VLOOKUP($I346&amp;$J346&amp;O$1,Pesos!$A:$I,7,FALSE),VLOOKUP($I346&amp;$J346&amp;O$1,Pesos!$A:$I,9,FALSE)))</f>
        <v>1.3</v>
      </c>
      <c r="AN346" s="154">
        <f>IF(P346="","",IF(P346="SIM",VLOOKUP($I346&amp;$J346&amp;P$1,Pesos!$A:$I,7,FALSE),VLOOKUP($I346&amp;$J346&amp;P$1,Pesos!$A:$I,9,FALSE)))</f>
        <v>1.3</v>
      </c>
      <c r="AO346" s="154">
        <f>IF(Q346="","",IF(Q346="SIM",VLOOKUP($I346&amp;$J346&amp;Q$1,Pesos!$A:$I,7,FALSE),VLOOKUP($I346&amp;$J346&amp;Q$1,Pesos!$A:$I,9,FALSE)))</f>
        <v>1.4000000000000001</v>
      </c>
      <c r="AP346" s="154">
        <f>IF(R346="","",IF(R346="SIM",VLOOKUP($I346&amp;$J346&amp;R$1,Pesos!$A:$I,7,FALSE),VLOOKUP($I346&amp;$J346&amp;R$1,Pesos!$A:$I,9,FALSE)))</f>
        <v>1.3</v>
      </c>
      <c r="AQ346" s="154">
        <f>IF(S346="","",IF(S346="SIM",VLOOKUP($I346&amp;$J346&amp;S$1,Pesos!$A:$I,7,FALSE),VLOOKUP($I346&amp;$J346&amp;S$1,Pesos!$A:$I,9,FALSE)))</f>
        <v>1.4000000000000001</v>
      </c>
      <c r="AR346" s="156">
        <f>IF(T346="","",IF(T346="SIM",VLOOKUP($I346&amp;$J346&amp;T$1,Pesos!$A:$I,7,FALSE),VLOOKUP($I346&amp;$J346&amp;T$1,Pesos!$A:$I,9,FALSE)))</f>
        <v>1.4000000000000001</v>
      </c>
      <c r="AS346" s="132">
        <f>IF(U346="","",IF(U346="SIM",VLOOKUP($I346&amp;$J346&amp;U$1,Pesos!$A:$I,7,FALSE),VLOOKUP($I346&amp;$J346&amp;U$1,Pesos!$A:$I,9,FALSE)))</f>
        <v>1.3</v>
      </c>
      <c r="AT346" s="132">
        <f>IF(V346="","",IF(V346="SIM",VLOOKUP($I346&amp;$J346&amp;V$1,Pesos!$A:$I,7,FALSE),VLOOKUP($I346&amp;$J346&amp;V$1,Pesos!$A:$I,9,FALSE)))</f>
        <v>0.3</v>
      </c>
      <c r="AU346" s="132" t="str">
        <f>IF(W346="","",IF(W346="SIM",VLOOKUP($I346&amp;$J346&amp;W$1,Pesos!$A:$I,7,FALSE),VLOOKUP($I346&amp;$J346&amp;W$1,Pesos!$A:$I,9,FALSE)))</f>
        <v/>
      </c>
      <c r="AV346" s="132" t="str">
        <f>IF(X346="","",IF(X346="SIM",VLOOKUP($I346&amp;$J346&amp;X$1,Pesos!$A:$I,7,FALSE),VLOOKUP($I346&amp;$J346&amp;X$1,Pesos!$A:$I,9,FALSE)))</f>
        <v/>
      </c>
      <c r="AW346" s="132" t="str">
        <f>IF(Y346="","",IF(Y346="SIM",VLOOKUP($I346&amp;$J346&amp;Y$1,Pesos!$A:$I,7,FALSE),VLOOKUP($I346&amp;$J346&amp;Y$1,Pesos!$A:$I,9,FALSE)))</f>
        <v/>
      </c>
      <c r="AX346" s="132" t="str">
        <f>IF(Z346="","",IF(Z346="SIM",VLOOKUP($I346&amp;$J346&amp;Z$1,Pesos!$A:$I,7,FALSE),VLOOKUP($I346&amp;$J346&amp;Z$1,Pesos!$A:$I,9,FALSE)))</f>
        <v/>
      </c>
      <c r="AY346" s="132" t="str">
        <f>IF(AA346="","",IF(AA346="SIM",VLOOKUP($I346&amp;$J346&amp;AA$1,Pesos!$A:$I,7,FALSE),VLOOKUP($I346&amp;$J346&amp;AA$1,Pesos!$A:$I,9,FALSE)))</f>
        <v/>
      </c>
      <c r="AZ346" s="132" t="str">
        <f>IF(AB346="","",IF(AB346="SIM",VLOOKUP($I346&amp;$J346&amp;AB$1,Pesos!$A:$I,7,FALSE),VLOOKUP($I346&amp;$J346&amp;AB$1,Pesos!$A:$I,9,FALSE)))</f>
        <v/>
      </c>
      <c r="BA346" s="132" t="str">
        <f>IF(AC346="","",IF(AC346="SIM",VLOOKUP($I346&amp;$J346&amp;AC$1,Pesos!$A:$I,7,FALSE),VLOOKUP($I346&amp;$J346&amp;AC$1,Pesos!$A:$I,9,FALSE)))</f>
        <v/>
      </c>
      <c r="BB346" s="132" t="str">
        <f>IF(AD346="","",IF(AD346="SIM",VLOOKUP($I346&amp;$J346&amp;AD$1,Pesos!$A:$I,7,FALSE),VLOOKUP($I346&amp;$J346&amp;AD$1,Pesos!$A:$I,9,FALSE)))</f>
        <v/>
      </c>
      <c r="BC346" s="132" t="str">
        <f>IF(AE346="","",IF(AE346="SIM",VLOOKUP($I346&amp;$J346&amp;AE$1,Pesos!$A:$I,7,FALSE),VLOOKUP($I346&amp;$J346&amp;AE$1,Pesos!$A:$I,9,FALSE)))</f>
        <v/>
      </c>
      <c r="BD346" s="158">
        <f>IFERROR(AF346*VLOOKUP(J346,'BD Campos'!$X$1:$Y$14,2,FALSE),"0")</f>
        <v>10.000000000000002</v>
      </c>
    </row>
    <row r="347" spans="1:56">
      <c r="A347" s="151" t="str">
        <f t="shared" si="23"/>
        <v>Jan11354MotoristaLOGÍSTICA</v>
      </c>
      <c r="B347" s="149" t="str">
        <f t="shared" si="24"/>
        <v>Jan113541LOGÍSTICAPADRÃO</v>
      </c>
      <c r="C347" s="152">
        <v>1</v>
      </c>
      <c r="D347" s="153">
        <v>46062.459204861108</v>
      </c>
      <c r="E347" s="154" t="s">
        <v>12</v>
      </c>
      <c r="F347" s="155">
        <v>11354</v>
      </c>
      <c r="G347" s="149" t="s">
        <v>553</v>
      </c>
      <c r="H347" s="154">
        <v>1</v>
      </c>
      <c r="I347" s="149" t="s">
        <v>480</v>
      </c>
      <c r="J347" s="149" t="s">
        <v>93</v>
      </c>
      <c r="K347" s="149" t="s">
        <v>315</v>
      </c>
      <c r="L347" s="156"/>
      <c r="M347" s="157">
        <v>1.6087962962962963E-3</v>
      </c>
      <c r="N347" s="131" t="s">
        <v>17</v>
      </c>
      <c r="O347" s="131" t="s">
        <v>17</v>
      </c>
      <c r="P347" s="131" t="s">
        <v>17</v>
      </c>
      <c r="Q347" s="131" t="s">
        <v>17</v>
      </c>
      <c r="R347" s="131" t="s">
        <v>17</v>
      </c>
      <c r="S347" s="131" t="s">
        <v>17</v>
      </c>
      <c r="T347" s="131" t="s">
        <v>17</v>
      </c>
      <c r="U347" s="131" t="s">
        <v>18</v>
      </c>
      <c r="V347" s="131" t="s">
        <v>17</v>
      </c>
      <c r="W347" s="131" t="s">
        <v>17</v>
      </c>
      <c r="X347" s="131" t="s">
        <v>17</v>
      </c>
      <c r="Y347" s="131" t="s">
        <v>17</v>
      </c>
      <c r="Z347" s="131" t="s">
        <v>17</v>
      </c>
      <c r="AA347" s="131" t="s">
        <v>17</v>
      </c>
      <c r="AB347" s="131" t="s">
        <v>17</v>
      </c>
      <c r="AC347" s="131"/>
      <c r="AD347" s="131"/>
      <c r="AE347" s="131"/>
      <c r="AF347" s="158">
        <f t="shared" si="26"/>
        <v>8.6035000000000004</v>
      </c>
      <c r="AG347" s="159"/>
      <c r="AH347" s="155"/>
      <c r="AI347" s="155" t="s">
        <v>83</v>
      </c>
      <c r="AJ347" s="131" t="str">
        <f>IFERROR(VLOOKUP(E347&amp;F347,'Listagem dos op'!A:S,19,0),"")</f>
        <v/>
      </c>
      <c r="AK347" s="131" t="str">
        <f t="shared" si="25"/>
        <v>Jan11354</v>
      </c>
      <c r="AL347" s="154">
        <f>IF(N347="","",IF(N347="SIM",VLOOKUP($I347&amp;$J347&amp;N$1,Pesos!$A:$I,7,FALSE),VLOOKUP($I347&amp;$J347&amp;N$1,Pesos!$A:$I,9,FALSE)))</f>
        <v>0.1</v>
      </c>
      <c r="AM347" s="154">
        <f>IF(O347="","",IF(O347="SIM",VLOOKUP($I347&amp;$J347&amp;O$1,Pesos!$A:$I,7,FALSE),VLOOKUP($I347&amp;$J347&amp;O$1,Pesos!$A:$I,9,FALSE)))</f>
        <v>0.1</v>
      </c>
      <c r="AN347" s="154">
        <f>IF(P347="","",IF(P347="SIM",VLOOKUP($I347&amp;$J347&amp;P$1,Pesos!$A:$I,7,FALSE),VLOOKUP($I347&amp;$J347&amp;P$1,Pesos!$A:$I,9,FALSE)))</f>
        <v>0.1</v>
      </c>
      <c r="AO347" s="154">
        <f>IF(Q347="","",IF(Q347="SIM",VLOOKUP($I347&amp;$J347&amp;Q$1,Pesos!$A:$I,7,FALSE),VLOOKUP($I347&amp;$J347&amp;Q$1,Pesos!$A:$I,9,FALSE)))</f>
        <v>0.4</v>
      </c>
      <c r="AP347" s="154">
        <f>IF(R347="","",IF(R347="SIM",VLOOKUP($I347&amp;$J347&amp;R$1,Pesos!$A:$I,7,FALSE),VLOOKUP($I347&amp;$J347&amp;R$1,Pesos!$A:$I,9,FALSE)))</f>
        <v>1.3</v>
      </c>
      <c r="AQ347" s="154">
        <f>IF(S347="","",IF(S347="SIM",VLOOKUP($I347&amp;$J347&amp;S$1,Pesos!$A:$I,7,FALSE),VLOOKUP($I347&amp;$J347&amp;S$1,Pesos!$A:$I,9,FALSE)))</f>
        <v>2</v>
      </c>
      <c r="AR347" s="156">
        <f>IF(T347="","",IF(T347="SIM",VLOOKUP($I347&amp;$J347&amp;T$1,Pesos!$A:$I,7,FALSE),VLOOKUP($I347&amp;$J347&amp;T$1,Pesos!$A:$I,9,FALSE)))</f>
        <v>2</v>
      </c>
      <c r="AS347" s="132">
        <f>IF(U347="","",IF(U347="SIM",VLOOKUP($I347&amp;$J347&amp;U$1,Pesos!$A:$I,7,FALSE),VLOOKUP($I347&amp;$J347&amp;U$1,Pesos!$A:$I,9,FALSE)))</f>
        <v>-6.6500000000000004E-2</v>
      </c>
      <c r="AT347" s="132">
        <f>IF(V347="","",IF(V347="SIM",VLOOKUP($I347&amp;$J347&amp;V$1,Pesos!$A:$I,7,FALSE),VLOOKUP($I347&amp;$J347&amp;V$1,Pesos!$A:$I,9,FALSE)))</f>
        <v>1.32</v>
      </c>
      <c r="AU347" s="132">
        <f>IF(W347="","",IF(W347="SIM",VLOOKUP($I347&amp;$J347&amp;W$1,Pesos!$A:$I,7,FALSE),VLOOKUP($I347&amp;$J347&amp;W$1,Pesos!$A:$I,9,FALSE)))</f>
        <v>0.3</v>
      </c>
      <c r="AV347" s="132">
        <f>IF(X347="","",IF(X347="SIM",VLOOKUP($I347&amp;$J347&amp;X$1,Pesos!$A:$I,7,FALSE),VLOOKUP($I347&amp;$J347&amp;X$1,Pesos!$A:$I,9,FALSE)))</f>
        <v>0.3</v>
      </c>
      <c r="AW347" s="132">
        <f>IF(Y347="","",IF(Y347="SIM",VLOOKUP($I347&amp;$J347&amp;Y$1,Pesos!$A:$I,7,FALSE),VLOOKUP($I347&amp;$J347&amp;Y$1,Pesos!$A:$I,9,FALSE)))</f>
        <v>0.15</v>
      </c>
      <c r="AX347" s="132">
        <f>IF(Z347="","",IF(Z347="SIM",VLOOKUP($I347&amp;$J347&amp;Z$1,Pesos!$A:$I,7,FALSE),VLOOKUP($I347&amp;$J347&amp;Z$1,Pesos!$A:$I,9,FALSE)))</f>
        <v>0.2</v>
      </c>
      <c r="AY347" s="132">
        <f>IF(AA347="","",IF(AA347="SIM",VLOOKUP($I347&amp;$J347&amp;AA$1,Pesos!$A:$I,7,FALSE),VLOOKUP($I347&amp;$J347&amp;AA$1,Pesos!$A:$I,9,FALSE)))</f>
        <v>0.3</v>
      </c>
      <c r="AZ347" s="132">
        <f>IF(AB347="","",IF(AB347="SIM",VLOOKUP($I347&amp;$J347&amp;AB$1,Pesos!$A:$I,7,FALSE),VLOOKUP($I347&amp;$J347&amp;AB$1,Pesos!$A:$I,9,FALSE)))</f>
        <v>0.1</v>
      </c>
      <c r="BA347" s="132" t="str">
        <f>IF(AC347="","",IF(AC347="SIM",VLOOKUP($I347&amp;$J347&amp;AC$1,Pesos!$A:$I,7,FALSE),VLOOKUP($I347&amp;$J347&amp;AC$1,Pesos!$A:$I,9,FALSE)))</f>
        <v/>
      </c>
      <c r="BB347" s="132" t="str">
        <f>IF(AD347="","",IF(AD347="SIM",VLOOKUP($I347&amp;$J347&amp;AD$1,Pesos!$A:$I,7,FALSE),VLOOKUP($I347&amp;$J347&amp;AD$1,Pesos!$A:$I,9,FALSE)))</f>
        <v/>
      </c>
      <c r="BC347" s="132" t="str">
        <f>IF(AE347="","",IF(AE347="SIM",VLOOKUP($I347&amp;$J347&amp;AE$1,Pesos!$A:$I,7,FALSE),VLOOKUP($I347&amp;$J347&amp;AE$1,Pesos!$A:$I,9,FALSE)))</f>
        <v/>
      </c>
      <c r="BD347" s="158">
        <f>IFERROR(AF347*VLOOKUP(J347,'BD Campos'!$X$1:$Y$14,2,FALSE),"0")</f>
        <v>8.6035000000000004</v>
      </c>
    </row>
    <row r="348" spans="1:56">
      <c r="A348" s="151" t="str">
        <f t="shared" si="23"/>
        <v>Jan11354ClienteLOGÍSTICA</v>
      </c>
      <c r="B348" s="149" t="str">
        <f t="shared" si="24"/>
        <v>Jan113542LOGÍSTICAPADRÃO</v>
      </c>
      <c r="C348" s="152">
        <v>1</v>
      </c>
      <c r="D348" s="153">
        <v>46062.466130439818</v>
      </c>
      <c r="E348" s="154" t="s">
        <v>12</v>
      </c>
      <c r="F348" s="155">
        <v>11354</v>
      </c>
      <c r="G348" s="149" t="s">
        <v>553</v>
      </c>
      <c r="H348" s="154">
        <v>2</v>
      </c>
      <c r="I348" s="149" t="s">
        <v>480</v>
      </c>
      <c r="J348" s="149" t="s">
        <v>149</v>
      </c>
      <c r="K348" s="149" t="s">
        <v>315</v>
      </c>
      <c r="L348" s="156"/>
      <c r="M348" s="157">
        <v>1.8750000000000001E-3</v>
      </c>
      <c r="N348" s="131" t="s">
        <v>17</v>
      </c>
      <c r="O348" s="131" t="s">
        <v>17</v>
      </c>
      <c r="P348" s="131" t="s">
        <v>17</v>
      </c>
      <c r="Q348" s="131" t="s">
        <v>17</v>
      </c>
      <c r="R348" s="131" t="s">
        <v>17</v>
      </c>
      <c r="S348" s="131" t="s">
        <v>18</v>
      </c>
      <c r="T348" s="131" t="s">
        <v>17</v>
      </c>
      <c r="U348" s="131" t="s">
        <v>17</v>
      </c>
      <c r="V348" s="131" t="s">
        <v>17</v>
      </c>
      <c r="W348" s="131" t="s">
        <v>17</v>
      </c>
      <c r="X348" s="131" t="s">
        <v>17</v>
      </c>
      <c r="Y348" s="131" t="s">
        <v>17</v>
      </c>
      <c r="Z348" s="131" t="s">
        <v>17</v>
      </c>
      <c r="AA348" s="131" t="s">
        <v>18</v>
      </c>
      <c r="AB348" s="131" t="s">
        <v>17</v>
      </c>
      <c r="AC348" s="131"/>
      <c r="AD348" s="131"/>
      <c r="AE348" s="131"/>
      <c r="AF348" s="158">
        <f t="shared" si="26"/>
        <v>7.8475000000000001</v>
      </c>
      <c r="AG348" s="159"/>
      <c r="AH348" s="155"/>
      <c r="AI348" s="155" t="s">
        <v>83</v>
      </c>
      <c r="AJ348" s="131" t="str">
        <f>IFERROR(VLOOKUP(E348&amp;F348,'Listagem dos op'!A:S,19,0),"")</f>
        <v/>
      </c>
      <c r="AK348" s="131" t="str">
        <f t="shared" si="25"/>
        <v>Jan11354</v>
      </c>
      <c r="AL348" s="154">
        <f>IF(N348="","",IF(N348="SIM",VLOOKUP($I348&amp;$J348&amp;N$1,Pesos!$A:$I,7,FALSE),VLOOKUP($I348&amp;$J348&amp;N$1,Pesos!$A:$I,9,FALSE)))</f>
        <v>0.1</v>
      </c>
      <c r="AM348" s="154">
        <f>IF(O348="","",IF(O348="SIM",VLOOKUP($I348&amp;$J348&amp;O$1,Pesos!$A:$I,7,FALSE),VLOOKUP($I348&amp;$J348&amp;O$1,Pesos!$A:$I,9,FALSE)))</f>
        <v>0.1</v>
      </c>
      <c r="AN348" s="154">
        <f>IF(P348="","",IF(P348="SIM",VLOOKUP($I348&amp;$J348&amp;P$1,Pesos!$A:$I,7,FALSE),VLOOKUP($I348&amp;$J348&amp;P$1,Pesos!$A:$I,9,FALSE)))</f>
        <v>0.1</v>
      </c>
      <c r="AO348" s="154">
        <f>IF(Q348="","",IF(Q348="SIM",VLOOKUP($I348&amp;$J348&amp;Q$1,Pesos!$A:$I,7,FALSE),VLOOKUP($I348&amp;$J348&amp;Q$1,Pesos!$A:$I,9,FALSE)))</f>
        <v>0.4</v>
      </c>
      <c r="AP348" s="154">
        <f>IF(R348="","",IF(R348="SIM",VLOOKUP($I348&amp;$J348&amp;R$1,Pesos!$A:$I,7,FALSE),VLOOKUP($I348&amp;$J348&amp;R$1,Pesos!$A:$I,9,FALSE)))</f>
        <v>1.5</v>
      </c>
      <c r="AQ348" s="154">
        <f>IF(S348="","",IF(S348="SIM",VLOOKUP($I348&amp;$J348&amp;S$1,Pesos!$A:$I,7,FALSE),VLOOKUP($I348&amp;$J348&amp;S$1,Pesos!$A:$I,9,FALSE)))</f>
        <v>-8.7500000000000008E-2</v>
      </c>
      <c r="AR348" s="156">
        <f>IF(T348="","",IF(T348="SIM",VLOOKUP($I348&amp;$J348&amp;T$1,Pesos!$A:$I,7,FALSE),VLOOKUP($I348&amp;$J348&amp;T$1,Pesos!$A:$I,9,FALSE)))</f>
        <v>1.7000000000000002</v>
      </c>
      <c r="AS348" s="132">
        <f>IF(U348="","",IF(U348="SIM",VLOOKUP($I348&amp;$J348&amp;U$1,Pesos!$A:$I,7,FALSE),VLOOKUP($I348&amp;$J348&amp;U$1,Pesos!$A:$I,9,FALSE)))</f>
        <v>1.5</v>
      </c>
      <c r="AT348" s="132">
        <f>IF(V348="","",IF(V348="SIM",VLOOKUP($I348&amp;$J348&amp;V$1,Pesos!$A:$I,7,FALSE),VLOOKUP($I348&amp;$J348&amp;V$1,Pesos!$A:$I,9,FALSE)))</f>
        <v>1.5</v>
      </c>
      <c r="AU348" s="132">
        <f>IF(W348="","",IF(W348="SIM",VLOOKUP($I348&amp;$J348&amp;W$1,Pesos!$A:$I,7,FALSE),VLOOKUP($I348&amp;$J348&amp;W$1,Pesos!$A:$I,9,FALSE)))</f>
        <v>0.3</v>
      </c>
      <c r="AV348" s="132">
        <f>IF(X348="","",IF(X348="SIM",VLOOKUP($I348&amp;$J348&amp;X$1,Pesos!$A:$I,7,FALSE),VLOOKUP($I348&amp;$J348&amp;X$1,Pesos!$A:$I,9,FALSE)))</f>
        <v>0.3</v>
      </c>
      <c r="AW348" s="132">
        <f>IF(Y348="","",IF(Y348="SIM",VLOOKUP($I348&amp;$J348&amp;Y$1,Pesos!$A:$I,7,FALSE),VLOOKUP($I348&amp;$J348&amp;Y$1,Pesos!$A:$I,9,FALSE)))</f>
        <v>0.15</v>
      </c>
      <c r="AX348" s="132">
        <f>IF(Z348="","",IF(Z348="SIM",VLOOKUP($I348&amp;$J348&amp;Z$1,Pesos!$A:$I,7,FALSE),VLOOKUP($I348&amp;$J348&amp;Z$1,Pesos!$A:$I,9,FALSE)))</f>
        <v>0.2</v>
      </c>
      <c r="AY348" s="132">
        <f>IF(AA348="","",IF(AA348="SIM",VLOOKUP($I348&amp;$J348&amp;AA$1,Pesos!$A:$I,7,FALSE),VLOOKUP($I348&amp;$J348&amp;AA$1,Pesos!$A:$I,9,FALSE)))</f>
        <v>-1.4999999999999999E-2</v>
      </c>
      <c r="AZ348" s="132">
        <f>IF(AB348="","",IF(AB348="SIM",VLOOKUP($I348&amp;$J348&amp;AB$1,Pesos!$A:$I,7,FALSE),VLOOKUP($I348&amp;$J348&amp;AB$1,Pesos!$A:$I,9,FALSE)))</f>
        <v>0.1</v>
      </c>
      <c r="BA348" s="132" t="str">
        <f>IF(AC348="","",IF(AC348="SIM",VLOOKUP($I348&amp;$J348&amp;AC$1,Pesos!$A:$I,7,FALSE),VLOOKUP($I348&amp;$J348&amp;AC$1,Pesos!$A:$I,9,FALSE)))</f>
        <v/>
      </c>
      <c r="BB348" s="132" t="str">
        <f>IF(AD348="","",IF(AD348="SIM",VLOOKUP($I348&amp;$J348&amp;AD$1,Pesos!$A:$I,7,FALSE),VLOOKUP($I348&amp;$J348&amp;AD$1,Pesos!$A:$I,9,FALSE)))</f>
        <v/>
      </c>
      <c r="BC348" s="132" t="str">
        <f>IF(AE348="","",IF(AE348="SIM",VLOOKUP($I348&amp;$J348&amp;AE$1,Pesos!$A:$I,7,FALSE),VLOOKUP($I348&amp;$J348&amp;AE$1,Pesos!$A:$I,9,FALSE)))</f>
        <v/>
      </c>
      <c r="BD348" s="158">
        <f>IFERROR(AF348*VLOOKUP(J348,'BD Campos'!$X$1:$Y$14,2,FALSE),"0")</f>
        <v>7.8475000000000001</v>
      </c>
    </row>
    <row r="349" spans="1:56">
      <c r="A349" s="151" t="str">
        <f t="shared" si="23"/>
        <v>Jan11426MotoristaLOGÍSTICA</v>
      </c>
      <c r="B349" s="149" t="str">
        <f t="shared" si="24"/>
        <v>Jan114261LOGÍSTICAPADRÃO</v>
      </c>
      <c r="C349" s="152">
        <v>1</v>
      </c>
      <c r="D349" s="153">
        <v>46062.595680671293</v>
      </c>
      <c r="E349" s="154" t="s">
        <v>12</v>
      </c>
      <c r="F349" s="155">
        <v>11426</v>
      </c>
      <c r="G349" s="149" t="s">
        <v>554</v>
      </c>
      <c r="H349" s="154">
        <v>1</v>
      </c>
      <c r="I349" s="149" t="s">
        <v>480</v>
      </c>
      <c r="J349" s="149" t="s">
        <v>93</v>
      </c>
      <c r="K349" s="149" t="s">
        <v>315</v>
      </c>
      <c r="L349" s="156"/>
      <c r="M349" s="157">
        <v>1.7476851851851852E-3</v>
      </c>
      <c r="N349" s="131" t="s">
        <v>17</v>
      </c>
      <c r="O349" s="131" t="s">
        <v>17</v>
      </c>
      <c r="P349" s="131" t="s">
        <v>17</v>
      </c>
      <c r="Q349" s="131" t="s">
        <v>17</v>
      </c>
      <c r="R349" s="131" t="s">
        <v>17</v>
      </c>
      <c r="S349" s="131" t="s">
        <v>17</v>
      </c>
      <c r="T349" s="131" t="s">
        <v>17</v>
      </c>
      <c r="U349" s="131" t="s">
        <v>17</v>
      </c>
      <c r="V349" s="131" t="s">
        <v>17</v>
      </c>
      <c r="W349" s="131" t="s">
        <v>17</v>
      </c>
      <c r="X349" s="131" t="s">
        <v>17</v>
      </c>
      <c r="Y349" s="131" t="s">
        <v>17</v>
      </c>
      <c r="Z349" s="131" t="s">
        <v>17</v>
      </c>
      <c r="AA349" s="131" t="s">
        <v>17</v>
      </c>
      <c r="AB349" s="131" t="s">
        <v>17</v>
      </c>
      <c r="AC349" s="131"/>
      <c r="AD349" s="131"/>
      <c r="AE349" s="131"/>
      <c r="AF349" s="158">
        <f t="shared" si="26"/>
        <v>10.000000000000002</v>
      </c>
      <c r="AG349" s="159"/>
      <c r="AH349" s="155"/>
      <c r="AI349" s="155" t="s">
        <v>83</v>
      </c>
      <c r="AJ349" s="131" t="str">
        <f>IFERROR(VLOOKUP(E349&amp;F349,'Listagem dos op'!A:S,19,0),"")</f>
        <v/>
      </c>
      <c r="AK349" s="131" t="str">
        <f t="shared" si="25"/>
        <v>Jan11426</v>
      </c>
      <c r="AL349" s="154">
        <f>IF(N349="","",IF(N349="SIM",VLOOKUP($I349&amp;$J349&amp;N$1,Pesos!$A:$I,7,FALSE),VLOOKUP($I349&amp;$J349&amp;N$1,Pesos!$A:$I,9,FALSE)))</f>
        <v>0.1</v>
      </c>
      <c r="AM349" s="154">
        <f>IF(O349="","",IF(O349="SIM",VLOOKUP($I349&amp;$J349&amp;O$1,Pesos!$A:$I,7,FALSE),VLOOKUP($I349&amp;$J349&amp;O$1,Pesos!$A:$I,9,FALSE)))</f>
        <v>0.1</v>
      </c>
      <c r="AN349" s="154">
        <f>IF(P349="","",IF(P349="SIM",VLOOKUP($I349&amp;$J349&amp;P$1,Pesos!$A:$I,7,FALSE),VLOOKUP($I349&amp;$J349&amp;P$1,Pesos!$A:$I,9,FALSE)))</f>
        <v>0.1</v>
      </c>
      <c r="AO349" s="154">
        <f>IF(Q349="","",IF(Q349="SIM",VLOOKUP($I349&amp;$J349&amp;Q$1,Pesos!$A:$I,7,FALSE),VLOOKUP($I349&amp;$J349&amp;Q$1,Pesos!$A:$I,9,FALSE)))</f>
        <v>0.4</v>
      </c>
      <c r="AP349" s="154">
        <f>IF(R349="","",IF(R349="SIM",VLOOKUP($I349&amp;$J349&amp;R$1,Pesos!$A:$I,7,FALSE),VLOOKUP($I349&amp;$J349&amp;R$1,Pesos!$A:$I,9,FALSE)))</f>
        <v>1.3</v>
      </c>
      <c r="AQ349" s="154">
        <f>IF(S349="","",IF(S349="SIM",VLOOKUP($I349&amp;$J349&amp;S$1,Pesos!$A:$I,7,FALSE),VLOOKUP($I349&amp;$J349&amp;S$1,Pesos!$A:$I,9,FALSE)))</f>
        <v>2</v>
      </c>
      <c r="AR349" s="156">
        <f>IF(T349="","",IF(T349="SIM",VLOOKUP($I349&amp;$J349&amp;T$1,Pesos!$A:$I,7,FALSE),VLOOKUP($I349&amp;$J349&amp;T$1,Pesos!$A:$I,9,FALSE)))</f>
        <v>2</v>
      </c>
      <c r="AS349" s="132">
        <f>IF(U349="","",IF(U349="SIM",VLOOKUP($I349&amp;$J349&amp;U$1,Pesos!$A:$I,7,FALSE),VLOOKUP($I349&amp;$J349&amp;U$1,Pesos!$A:$I,9,FALSE)))</f>
        <v>1.33</v>
      </c>
      <c r="AT349" s="132">
        <f>IF(V349="","",IF(V349="SIM",VLOOKUP($I349&amp;$J349&amp;V$1,Pesos!$A:$I,7,FALSE),VLOOKUP($I349&amp;$J349&amp;V$1,Pesos!$A:$I,9,FALSE)))</f>
        <v>1.32</v>
      </c>
      <c r="AU349" s="132">
        <f>IF(W349="","",IF(W349="SIM",VLOOKUP($I349&amp;$J349&amp;W$1,Pesos!$A:$I,7,FALSE),VLOOKUP($I349&amp;$J349&amp;W$1,Pesos!$A:$I,9,FALSE)))</f>
        <v>0.3</v>
      </c>
      <c r="AV349" s="132">
        <f>IF(X349="","",IF(X349="SIM",VLOOKUP($I349&amp;$J349&amp;X$1,Pesos!$A:$I,7,FALSE),VLOOKUP($I349&amp;$J349&amp;X$1,Pesos!$A:$I,9,FALSE)))</f>
        <v>0.3</v>
      </c>
      <c r="AW349" s="132">
        <f>IF(Y349="","",IF(Y349="SIM",VLOOKUP($I349&amp;$J349&amp;Y$1,Pesos!$A:$I,7,FALSE),VLOOKUP($I349&amp;$J349&amp;Y$1,Pesos!$A:$I,9,FALSE)))</f>
        <v>0.15</v>
      </c>
      <c r="AX349" s="132">
        <f>IF(Z349="","",IF(Z349="SIM",VLOOKUP($I349&amp;$J349&amp;Z$1,Pesos!$A:$I,7,FALSE),VLOOKUP($I349&amp;$J349&amp;Z$1,Pesos!$A:$I,9,FALSE)))</f>
        <v>0.2</v>
      </c>
      <c r="AY349" s="132">
        <f>IF(AA349="","",IF(AA349="SIM",VLOOKUP($I349&amp;$J349&amp;AA$1,Pesos!$A:$I,7,FALSE),VLOOKUP($I349&amp;$J349&amp;AA$1,Pesos!$A:$I,9,FALSE)))</f>
        <v>0.3</v>
      </c>
      <c r="AZ349" s="132">
        <f>IF(AB349="","",IF(AB349="SIM",VLOOKUP($I349&amp;$J349&amp;AB$1,Pesos!$A:$I,7,FALSE),VLOOKUP($I349&amp;$J349&amp;AB$1,Pesos!$A:$I,9,FALSE)))</f>
        <v>0.1</v>
      </c>
      <c r="BA349" s="132" t="str">
        <f>IF(AC349="","",IF(AC349="SIM",VLOOKUP($I349&amp;$J349&amp;AC$1,Pesos!$A:$I,7,FALSE),VLOOKUP($I349&amp;$J349&amp;AC$1,Pesos!$A:$I,9,FALSE)))</f>
        <v/>
      </c>
      <c r="BB349" s="132" t="str">
        <f>IF(AD349="","",IF(AD349="SIM",VLOOKUP($I349&amp;$J349&amp;AD$1,Pesos!$A:$I,7,FALSE),VLOOKUP($I349&amp;$J349&amp;AD$1,Pesos!$A:$I,9,FALSE)))</f>
        <v/>
      </c>
      <c r="BC349" s="132" t="str">
        <f>IF(AE349="","",IF(AE349="SIM",VLOOKUP($I349&amp;$J349&amp;AE$1,Pesos!$A:$I,7,FALSE),VLOOKUP($I349&amp;$J349&amp;AE$1,Pesos!$A:$I,9,FALSE)))</f>
        <v/>
      </c>
      <c r="BD349" s="158">
        <f>IFERROR(AF349*VLOOKUP(J349,'BD Campos'!$X$1:$Y$14,2,FALSE),"0")</f>
        <v>10.000000000000002</v>
      </c>
    </row>
    <row r="350" spans="1:56">
      <c r="A350" s="151" t="str">
        <f t="shared" si="23"/>
        <v>Jan11426Motorista 2LOGÍSTICA</v>
      </c>
      <c r="B350" s="149" t="str">
        <f t="shared" si="24"/>
        <v>Jan114262LOGÍSTICAPADRÃO</v>
      </c>
      <c r="C350" s="152">
        <v>1</v>
      </c>
      <c r="D350" s="153">
        <v>46062.598754050923</v>
      </c>
      <c r="E350" s="154" t="s">
        <v>12</v>
      </c>
      <c r="F350" s="155">
        <v>11426</v>
      </c>
      <c r="G350" s="149" t="s">
        <v>554</v>
      </c>
      <c r="H350" s="154">
        <v>2</v>
      </c>
      <c r="I350" s="149" t="s">
        <v>480</v>
      </c>
      <c r="J350" s="149" t="s">
        <v>97</v>
      </c>
      <c r="K350" s="149" t="s">
        <v>315</v>
      </c>
      <c r="L350" s="156"/>
      <c r="M350" s="157">
        <v>2.0601851851851853E-3</v>
      </c>
      <c r="N350" s="131" t="s">
        <v>17</v>
      </c>
      <c r="O350" s="131" t="s">
        <v>17</v>
      </c>
      <c r="P350" s="131" t="s">
        <v>17</v>
      </c>
      <c r="Q350" s="131" t="s">
        <v>17</v>
      </c>
      <c r="R350" s="131" t="s">
        <v>17</v>
      </c>
      <c r="S350" s="131" t="s">
        <v>17</v>
      </c>
      <c r="T350" s="131" t="s">
        <v>17</v>
      </c>
      <c r="U350" s="131" t="s">
        <v>17</v>
      </c>
      <c r="V350" s="131" t="s">
        <v>17</v>
      </c>
      <c r="W350" s="131" t="s">
        <v>17</v>
      </c>
      <c r="X350" s="131" t="s">
        <v>17</v>
      </c>
      <c r="Y350" s="131" t="s">
        <v>17</v>
      </c>
      <c r="Z350" s="131" t="s">
        <v>17</v>
      </c>
      <c r="AA350" s="131" t="s">
        <v>18</v>
      </c>
      <c r="AB350" s="131" t="s">
        <v>17</v>
      </c>
      <c r="AC350" s="131"/>
      <c r="AD350" s="131"/>
      <c r="AE350" s="131"/>
      <c r="AF350" s="158">
        <f t="shared" si="26"/>
        <v>9.6850000000000005</v>
      </c>
      <c r="AG350" s="159"/>
      <c r="AH350" s="155"/>
      <c r="AI350" s="155" t="s">
        <v>83</v>
      </c>
      <c r="AJ350" s="131" t="str">
        <f>IFERROR(VLOOKUP(E350&amp;F350,'Listagem dos op'!A:S,19,0),"")</f>
        <v/>
      </c>
      <c r="AK350" s="131" t="str">
        <f t="shared" si="25"/>
        <v>Jan11426</v>
      </c>
      <c r="AL350" s="154">
        <f>IF(N350="","",IF(N350="SIM",VLOOKUP($I350&amp;$J350&amp;N$1,Pesos!$A:$I,7,FALSE),VLOOKUP($I350&amp;$J350&amp;N$1,Pesos!$A:$I,9,FALSE)))</f>
        <v>0.1</v>
      </c>
      <c r="AM350" s="154">
        <f>IF(O350="","",IF(O350="SIM",VLOOKUP($I350&amp;$J350&amp;O$1,Pesos!$A:$I,7,FALSE),VLOOKUP($I350&amp;$J350&amp;O$1,Pesos!$A:$I,9,FALSE)))</f>
        <v>0.1</v>
      </c>
      <c r="AN350" s="154">
        <f>IF(P350="","",IF(P350="SIM",VLOOKUP($I350&amp;$J350&amp;P$1,Pesos!$A:$I,7,FALSE),VLOOKUP($I350&amp;$J350&amp;P$1,Pesos!$A:$I,9,FALSE)))</f>
        <v>0.1</v>
      </c>
      <c r="AO350" s="154">
        <f>IF(Q350="","",IF(Q350="SIM",VLOOKUP($I350&amp;$J350&amp;Q$1,Pesos!$A:$I,7,FALSE),VLOOKUP($I350&amp;$J350&amp;Q$1,Pesos!$A:$I,9,FALSE)))</f>
        <v>0.4</v>
      </c>
      <c r="AP350" s="154">
        <f>IF(R350="","",IF(R350="SIM",VLOOKUP($I350&amp;$J350&amp;R$1,Pesos!$A:$I,7,FALSE),VLOOKUP($I350&amp;$J350&amp;R$1,Pesos!$A:$I,9,FALSE)))</f>
        <v>1.3</v>
      </c>
      <c r="AQ350" s="154">
        <f>IF(S350="","",IF(S350="SIM",VLOOKUP($I350&amp;$J350&amp;S$1,Pesos!$A:$I,7,FALSE),VLOOKUP($I350&amp;$J350&amp;S$1,Pesos!$A:$I,9,FALSE)))</f>
        <v>2</v>
      </c>
      <c r="AR350" s="156">
        <f>IF(T350="","",IF(T350="SIM",VLOOKUP($I350&amp;$J350&amp;T$1,Pesos!$A:$I,7,FALSE),VLOOKUP($I350&amp;$J350&amp;T$1,Pesos!$A:$I,9,FALSE)))</f>
        <v>2</v>
      </c>
      <c r="AS350" s="132">
        <f>IF(U350="","",IF(U350="SIM",VLOOKUP($I350&amp;$J350&amp;U$1,Pesos!$A:$I,7,FALSE),VLOOKUP($I350&amp;$J350&amp;U$1,Pesos!$A:$I,9,FALSE)))</f>
        <v>1.33</v>
      </c>
      <c r="AT350" s="132">
        <f>IF(V350="","",IF(V350="SIM",VLOOKUP($I350&amp;$J350&amp;V$1,Pesos!$A:$I,7,FALSE),VLOOKUP($I350&amp;$J350&amp;V$1,Pesos!$A:$I,9,FALSE)))</f>
        <v>1.32</v>
      </c>
      <c r="AU350" s="132">
        <f>IF(W350="","",IF(W350="SIM",VLOOKUP($I350&amp;$J350&amp;W$1,Pesos!$A:$I,7,FALSE),VLOOKUP($I350&amp;$J350&amp;W$1,Pesos!$A:$I,9,FALSE)))</f>
        <v>0.3</v>
      </c>
      <c r="AV350" s="132">
        <f>IF(X350="","",IF(X350="SIM",VLOOKUP($I350&amp;$J350&amp;X$1,Pesos!$A:$I,7,FALSE),VLOOKUP($I350&amp;$J350&amp;X$1,Pesos!$A:$I,9,FALSE)))</f>
        <v>0.3</v>
      </c>
      <c r="AW350" s="132">
        <f>IF(Y350="","",IF(Y350="SIM",VLOOKUP($I350&amp;$J350&amp;Y$1,Pesos!$A:$I,7,FALSE),VLOOKUP($I350&amp;$J350&amp;Y$1,Pesos!$A:$I,9,FALSE)))</f>
        <v>0.15</v>
      </c>
      <c r="AX350" s="132">
        <f>IF(Z350="","",IF(Z350="SIM",VLOOKUP($I350&amp;$J350&amp;Z$1,Pesos!$A:$I,7,FALSE),VLOOKUP($I350&amp;$J350&amp;Z$1,Pesos!$A:$I,9,FALSE)))</f>
        <v>0.2</v>
      </c>
      <c r="AY350" s="132">
        <f>IF(AA350="","",IF(AA350="SIM",VLOOKUP($I350&amp;$J350&amp;AA$1,Pesos!$A:$I,7,FALSE),VLOOKUP($I350&amp;$J350&amp;AA$1,Pesos!$A:$I,9,FALSE)))</f>
        <v>-1.4999999999999999E-2</v>
      </c>
      <c r="AZ350" s="132">
        <f>IF(AB350="","",IF(AB350="SIM",VLOOKUP($I350&amp;$J350&amp;AB$1,Pesos!$A:$I,7,FALSE),VLOOKUP($I350&amp;$J350&amp;AB$1,Pesos!$A:$I,9,FALSE)))</f>
        <v>0.1</v>
      </c>
      <c r="BA350" s="132" t="str">
        <f>IF(AC350="","",IF(AC350="SIM",VLOOKUP($I350&amp;$J350&amp;AC$1,Pesos!$A:$I,7,FALSE),VLOOKUP($I350&amp;$J350&amp;AC$1,Pesos!$A:$I,9,FALSE)))</f>
        <v/>
      </c>
      <c r="BB350" s="132" t="str">
        <f>IF(AD350="","",IF(AD350="SIM",VLOOKUP($I350&amp;$J350&amp;AD$1,Pesos!$A:$I,7,FALSE),VLOOKUP($I350&amp;$J350&amp;AD$1,Pesos!$A:$I,9,FALSE)))</f>
        <v/>
      </c>
      <c r="BC350" s="132" t="str">
        <f>IF(AE350="","",IF(AE350="SIM",VLOOKUP($I350&amp;$J350&amp;AE$1,Pesos!$A:$I,7,FALSE),VLOOKUP($I350&amp;$J350&amp;AE$1,Pesos!$A:$I,9,FALSE)))</f>
        <v/>
      </c>
      <c r="BD350" s="158">
        <f>IFERROR(AF350*VLOOKUP(J350,'BD Campos'!$X$1:$Y$14,2,FALSE),"0")</f>
        <v>9.6850000000000005</v>
      </c>
    </row>
    <row r="351" spans="1:56">
      <c r="A351" s="151" t="str">
        <f t="shared" si="23"/>
        <v>Jan11423MotoristaLOGÍSTICA</v>
      </c>
      <c r="B351" s="149" t="str">
        <f t="shared" si="24"/>
        <v>Jan114231LOGÍSTICAPADRÃO</v>
      </c>
      <c r="C351" s="152">
        <v>1</v>
      </c>
      <c r="D351" s="153">
        <v>46062.613852662034</v>
      </c>
      <c r="E351" s="154" t="s">
        <v>12</v>
      </c>
      <c r="F351" s="155">
        <v>11423</v>
      </c>
      <c r="G351" s="149" t="s">
        <v>555</v>
      </c>
      <c r="H351" s="154">
        <v>1</v>
      </c>
      <c r="I351" s="149" t="s">
        <v>480</v>
      </c>
      <c r="J351" s="149" t="s">
        <v>93</v>
      </c>
      <c r="K351" s="149" t="s">
        <v>315</v>
      </c>
      <c r="L351" s="156"/>
      <c r="M351" s="157">
        <v>1.1805555555555556E-3</v>
      </c>
      <c r="N351" s="131" t="s">
        <v>17</v>
      </c>
      <c r="O351" s="131" t="s">
        <v>17</v>
      </c>
      <c r="P351" s="131" t="s">
        <v>17</v>
      </c>
      <c r="Q351" s="131" t="s">
        <v>17</v>
      </c>
      <c r="R351" s="131" t="s">
        <v>17</v>
      </c>
      <c r="S351" s="131" t="s">
        <v>17</v>
      </c>
      <c r="T351" s="131" t="s">
        <v>17</v>
      </c>
      <c r="U351" s="131" t="s">
        <v>17</v>
      </c>
      <c r="V351" s="131" t="s">
        <v>17</v>
      </c>
      <c r="W351" s="131" t="s">
        <v>18</v>
      </c>
      <c r="X351" s="131" t="s">
        <v>17</v>
      </c>
      <c r="Y351" s="131" t="s">
        <v>17</v>
      </c>
      <c r="Z351" s="131" t="s">
        <v>17</v>
      </c>
      <c r="AA351" s="131" t="s">
        <v>17</v>
      </c>
      <c r="AB351" s="131" t="s">
        <v>17</v>
      </c>
      <c r="AC351" s="131"/>
      <c r="AD351" s="131"/>
      <c r="AE351" s="131"/>
      <c r="AF351" s="158">
        <f t="shared" si="26"/>
        <v>9.6850000000000005</v>
      </c>
      <c r="AG351" s="159"/>
      <c r="AH351" s="155"/>
      <c r="AI351" s="155" t="s">
        <v>83</v>
      </c>
      <c r="AJ351" s="131" t="str">
        <f>IFERROR(VLOOKUP(E351&amp;F351,'Listagem dos op'!A:S,19,0),"")</f>
        <v/>
      </c>
      <c r="AK351" s="131" t="str">
        <f t="shared" si="25"/>
        <v>Jan11423</v>
      </c>
      <c r="AL351" s="154">
        <f>IF(N351="","",IF(N351="SIM",VLOOKUP($I351&amp;$J351&amp;N$1,Pesos!$A:$I,7,FALSE),VLOOKUP($I351&amp;$J351&amp;N$1,Pesos!$A:$I,9,FALSE)))</f>
        <v>0.1</v>
      </c>
      <c r="AM351" s="154">
        <f>IF(O351="","",IF(O351="SIM",VLOOKUP($I351&amp;$J351&amp;O$1,Pesos!$A:$I,7,FALSE),VLOOKUP($I351&amp;$J351&amp;O$1,Pesos!$A:$I,9,FALSE)))</f>
        <v>0.1</v>
      </c>
      <c r="AN351" s="154">
        <f>IF(P351="","",IF(P351="SIM",VLOOKUP($I351&amp;$J351&amp;P$1,Pesos!$A:$I,7,FALSE),VLOOKUP($I351&amp;$J351&amp;P$1,Pesos!$A:$I,9,FALSE)))</f>
        <v>0.1</v>
      </c>
      <c r="AO351" s="154">
        <f>IF(Q351="","",IF(Q351="SIM",VLOOKUP($I351&amp;$J351&amp;Q$1,Pesos!$A:$I,7,FALSE),VLOOKUP($I351&amp;$J351&amp;Q$1,Pesos!$A:$I,9,FALSE)))</f>
        <v>0.4</v>
      </c>
      <c r="AP351" s="154">
        <f>IF(R351="","",IF(R351="SIM",VLOOKUP($I351&amp;$J351&amp;R$1,Pesos!$A:$I,7,FALSE),VLOOKUP($I351&amp;$J351&amp;R$1,Pesos!$A:$I,9,FALSE)))</f>
        <v>1.3</v>
      </c>
      <c r="AQ351" s="154">
        <f>IF(S351="","",IF(S351="SIM",VLOOKUP($I351&amp;$J351&amp;S$1,Pesos!$A:$I,7,FALSE),VLOOKUP($I351&amp;$J351&amp;S$1,Pesos!$A:$I,9,FALSE)))</f>
        <v>2</v>
      </c>
      <c r="AR351" s="156">
        <f>IF(T351="","",IF(T351="SIM",VLOOKUP($I351&amp;$J351&amp;T$1,Pesos!$A:$I,7,FALSE),VLOOKUP($I351&amp;$J351&amp;T$1,Pesos!$A:$I,9,FALSE)))</f>
        <v>2</v>
      </c>
      <c r="AS351" s="132">
        <f>IF(U351="","",IF(U351="SIM",VLOOKUP($I351&amp;$J351&amp;U$1,Pesos!$A:$I,7,FALSE),VLOOKUP($I351&amp;$J351&amp;U$1,Pesos!$A:$I,9,FALSE)))</f>
        <v>1.33</v>
      </c>
      <c r="AT351" s="132">
        <f>IF(V351="","",IF(V351="SIM",VLOOKUP($I351&amp;$J351&amp;V$1,Pesos!$A:$I,7,FALSE),VLOOKUP($I351&amp;$J351&amp;V$1,Pesos!$A:$I,9,FALSE)))</f>
        <v>1.32</v>
      </c>
      <c r="AU351" s="132">
        <f>IF(W351="","",IF(W351="SIM",VLOOKUP($I351&amp;$J351&amp;W$1,Pesos!$A:$I,7,FALSE),VLOOKUP($I351&amp;$J351&amp;W$1,Pesos!$A:$I,9,FALSE)))</f>
        <v>-1.4999999999999999E-2</v>
      </c>
      <c r="AV351" s="132">
        <f>IF(X351="","",IF(X351="SIM",VLOOKUP($I351&amp;$J351&amp;X$1,Pesos!$A:$I,7,FALSE),VLOOKUP($I351&amp;$J351&amp;X$1,Pesos!$A:$I,9,FALSE)))</f>
        <v>0.3</v>
      </c>
      <c r="AW351" s="132">
        <f>IF(Y351="","",IF(Y351="SIM",VLOOKUP($I351&amp;$J351&amp;Y$1,Pesos!$A:$I,7,FALSE),VLOOKUP($I351&amp;$J351&amp;Y$1,Pesos!$A:$I,9,FALSE)))</f>
        <v>0.15</v>
      </c>
      <c r="AX351" s="132">
        <f>IF(Z351="","",IF(Z351="SIM",VLOOKUP($I351&amp;$J351&amp;Z$1,Pesos!$A:$I,7,FALSE),VLOOKUP($I351&amp;$J351&amp;Z$1,Pesos!$A:$I,9,FALSE)))</f>
        <v>0.2</v>
      </c>
      <c r="AY351" s="132">
        <f>IF(AA351="","",IF(AA351="SIM",VLOOKUP($I351&amp;$J351&amp;AA$1,Pesos!$A:$I,7,FALSE),VLOOKUP($I351&amp;$J351&amp;AA$1,Pesos!$A:$I,9,FALSE)))</f>
        <v>0.3</v>
      </c>
      <c r="AZ351" s="132">
        <f>IF(AB351="","",IF(AB351="SIM",VLOOKUP($I351&amp;$J351&amp;AB$1,Pesos!$A:$I,7,FALSE),VLOOKUP($I351&amp;$J351&amp;AB$1,Pesos!$A:$I,9,FALSE)))</f>
        <v>0.1</v>
      </c>
      <c r="BA351" s="132" t="str">
        <f>IF(AC351="","",IF(AC351="SIM",VLOOKUP($I351&amp;$J351&amp;AC$1,Pesos!$A:$I,7,FALSE),VLOOKUP($I351&amp;$J351&amp;AC$1,Pesos!$A:$I,9,FALSE)))</f>
        <v/>
      </c>
      <c r="BB351" s="132" t="str">
        <f>IF(AD351="","",IF(AD351="SIM",VLOOKUP($I351&amp;$J351&amp;AD$1,Pesos!$A:$I,7,FALSE),VLOOKUP($I351&amp;$J351&amp;AD$1,Pesos!$A:$I,9,FALSE)))</f>
        <v/>
      </c>
      <c r="BC351" s="132" t="str">
        <f>IF(AE351="","",IF(AE351="SIM",VLOOKUP($I351&amp;$J351&amp;AE$1,Pesos!$A:$I,7,FALSE),VLOOKUP($I351&amp;$J351&amp;AE$1,Pesos!$A:$I,9,FALSE)))</f>
        <v/>
      </c>
      <c r="BD351" s="158">
        <f>IFERROR(AF351*VLOOKUP(J351,'BD Campos'!$X$1:$Y$14,2,FALSE),"0")</f>
        <v>9.6850000000000005</v>
      </c>
    </row>
    <row r="352" spans="1:56">
      <c r="A352" s="151" t="str">
        <f t="shared" si="23"/>
        <v>Jan11423Motorista 2LOGÍSTICA</v>
      </c>
      <c r="B352" s="149" t="str">
        <f t="shared" si="24"/>
        <v>Jan114232LOGÍSTICAPADRÃO</v>
      </c>
      <c r="C352" s="152">
        <v>1</v>
      </c>
      <c r="D352" s="153">
        <v>46062.615608564818</v>
      </c>
      <c r="E352" s="154" t="s">
        <v>12</v>
      </c>
      <c r="F352" s="155">
        <v>11423</v>
      </c>
      <c r="G352" s="149" t="s">
        <v>555</v>
      </c>
      <c r="H352" s="154">
        <v>2</v>
      </c>
      <c r="I352" s="149" t="s">
        <v>480</v>
      </c>
      <c r="J352" s="149" t="s">
        <v>97</v>
      </c>
      <c r="K352" s="149" t="s">
        <v>315</v>
      </c>
      <c r="L352" s="156"/>
      <c r="M352" s="157">
        <v>1.1226851851851851E-3</v>
      </c>
      <c r="N352" s="131" t="s">
        <v>17</v>
      </c>
      <c r="O352" s="131" t="s">
        <v>17</v>
      </c>
      <c r="P352" s="131" t="s">
        <v>17</v>
      </c>
      <c r="Q352" s="131" t="s">
        <v>17</v>
      </c>
      <c r="R352" s="131" t="s">
        <v>17</v>
      </c>
      <c r="S352" s="131" t="s">
        <v>17</v>
      </c>
      <c r="T352" s="131" t="s">
        <v>17</v>
      </c>
      <c r="U352" s="131" t="s">
        <v>18</v>
      </c>
      <c r="V352" s="131" t="s">
        <v>17</v>
      </c>
      <c r="W352" s="131" t="s">
        <v>18</v>
      </c>
      <c r="X352" s="131" t="s">
        <v>17</v>
      </c>
      <c r="Y352" s="131" t="s">
        <v>17</v>
      </c>
      <c r="Z352" s="131" t="s">
        <v>17</v>
      </c>
      <c r="AA352" s="131" t="s">
        <v>18</v>
      </c>
      <c r="AB352" s="131" t="s">
        <v>17</v>
      </c>
      <c r="AC352" s="131"/>
      <c r="AD352" s="131"/>
      <c r="AE352" s="131"/>
      <c r="AF352" s="158">
        <f t="shared" si="26"/>
        <v>7.9735000000000014</v>
      </c>
      <c r="AG352" s="159"/>
      <c r="AH352" s="155"/>
      <c r="AI352" s="155" t="s">
        <v>83</v>
      </c>
      <c r="AJ352" s="131" t="str">
        <f>IFERROR(VLOOKUP(E352&amp;F352,'Listagem dos op'!A:S,19,0),"")</f>
        <v/>
      </c>
      <c r="AK352" s="131" t="str">
        <f t="shared" si="25"/>
        <v>Jan11423</v>
      </c>
      <c r="AL352" s="154">
        <f>IF(N352="","",IF(N352="SIM",VLOOKUP($I352&amp;$J352&amp;N$1,Pesos!$A:$I,7,FALSE),VLOOKUP($I352&amp;$J352&amp;N$1,Pesos!$A:$I,9,FALSE)))</f>
        <v>0.1</v>
      </c>
      <c r="AM352" s="154">
        <f>IF(O352="","",IF(O352="SIM",VLOOKUP($I352&amp;$J352&amp;O$1,Pesos!$A:$I,7,FALSE),VLOOKUP($I352&amp;$J352&amp;O$1,Pesos!$A:$I,9,FALSE)))</f>
        <v>0.1</v>
      </c>
      <c r="AN352" s="154">
        <f>IF(P352="","",IF(P352="SIM",VLOOKUP($I352&amp;$J352&amp;P$1,Pesos!$A:$I,7,FALSE),VLOOKUP($I352&amp;$J352&amp;P$1,Pesos!$A:$I,9,FALSE)))</f>
        <v>0.1</v>
      </c>
      <c r="AO352" s="154">
        <f>IF(Q352="","",IF(Q352="SIM",VLOOKUP($I352&amp;$J352&amp;Q$1,Pesos!$A:$I,7,FALSE),VLOOKUP($I352&amp;$J352&amp;Q$1,Pesos!$A:$I,9,FALSE)))</f>
        <v>0.4</v>
      </c>
      <c r="AP352" s="154">
        <f>IF(R352="","",IF(R352="SIM",VLOOKUP($I352&amp;$J352&amp;R$1,Pesos!$A:$I,7,FALSE),VLOOKUP($I352&amp;$J352&amp;R$1,Pesos!$A:$I,9,FALSE)))</f>
        <v>1.3</v>
      </c>
      <c r="AQ352" s="154">
        <f>IF(S352="","",IF(S352="SIM",VLOOKUP($I352&amp;$J352&amp;S$1,Pesos!$A:$I,7,FALSE),VLOOKUP($I352&amp;$J352&amp;S$1,Pesos!$A:$I,9,FALSE)))</f>
        <v>2</v>
      </c>
      <c r="AR352" s="156">
        <f>IF(T352="","",IF(T352="SIM",VLOOKUP($I352&amp;$J352&amp;T$1,Pesos!$A:$I,7,FALSE),VLOOKUP($I352&amp;$J352&amp;T$1,Pesos!$A:$I,9,FALSE)))</f>
        <v>2</v>
      </c>
      <c r="AS352" s="132">
        <f>IF(U352="","",IF(U352="SIM",VLOOKUP($I352&amp;$J352&amp;U$1,Pesos!$A:$I,7,FALSE),VLOOKUP($I352&amp;$J352&amp;U$1,Pesos!$A:$I,9,FALSE)))</f>
        <v>-6.6500000000000004E-2</v>
      </c>
      <c r="AT352" s="132">
        <f>IF(V352="","",IF(V352="SIM",VLOOKUP($I352&amp;$J352&amp;V$1,Pesos!$A:$I,7,FALSE),VLOOKUP($I352&amp;$J352&amp;V$1,Pesos!$A:$I,9,FALSE)))</f>
        <v>1.32</v>
      </c>
      <c r="AU352" s="132">
        <f>IF(W352="","",IF(W352="SIM",VLOOKUP($I352&amp;$J352&amp;W$1,Pesos!$A:$I,7,FALSE),VLOOKUP($I352&amp;$J352&amp;W$1,Pesos!$A:$I,9,FALSE)))</f>
        <v>-1.4999999999999999E-2</v>
      </c>
      <c r="AV352" s="132">
        <f>IF(X352="","",IF(X352="SIM",VLOOKUP($I352&amp;$J352&amp;X$1,Pesos!$A:$I,7,FALSE),VLOOKUP($I352&amp;$J352&amp;X$1,Pesos!$A:$I,9,FALSE)))</f>
        <v>0.3</v>
      </c>
      <c r="AW352" s="132">
        <f>IF(Y352="","",IF(Y352="SIM",VLOOKUP($I352&amp;$J352&amp;Y$1,Pesos!$A:$I,7,FALSE),VLOOKUP($I352&amp;$J352&amp;Y$1,Pesos!$A:$I,9,FALSE)))</f>
        <v>0.15</v>
      </c>
      <c r="AX352" s="132">
        <f>IF(Z352="","",IF(Z352="SIM",VLOOKUP($I352&amp;$J352&amp;Z$1,Pesos!$A:$I,7,FALSE),VLOOKUP($I352&amp;$J352&amp;Z$1,Pesos!$A:$I,9,FALSE)))</f>
        <v>0.2</v>
      </c>
      <c r="AY352" s="132">
        <f>IF(AA352="","",IF(AA352="SIM",VLOOKUP($I352&amp;$J352&amp;AA$1,Pesos!$A:$I,7,FALSE),VLOOKUP($I352&amp;$J352&amp;AA$1,Pesos!$A:$I,9,FALSE)))</f>
        <v>-1.4999999999999999E-2</v>
      </c>
      <c r="AZ352" s="132">
        <f>IF(AB352="","",IF(AB352="SIM",VLOOKUP($I352&amp;$J352&amp;AB$1,Pesos!$A:$I,7,FALSE),VLOOKUP($I352&amp;$J352&amp;AB$1,Pesos!$A:$I,9,FALSE)))</f>
        <v>0.1</v>
      </c>
      <c r="BA352" s="132" t="str">
        <f>IF(AC352="","",IF(AC352="SIM",VLOOKUP($I352&amp;$J352&amp;AC$1,Pesos!$A:$I,7,FALSE),VLOOKUP($I352&amp;$J352&amp;AC$1,Pesos!$A:$I,9,FALSE)))</f>
        <v/>
      </c>
      <c r="BB352" s="132" t="str">
        <f>IF(AD352="","",IF(AD352="SIM",VLOOKUP($I352&amp;$J352&amp;AD$1,Pesos!$A:$I,7,FALSE),VLOOKUP($I352&amp;$J352&amp;AD$1,Pesos!$A:$I,9,FALSE)))</f>
        <v/>
      </c>
      <c r="BC352" s="132" t="str">
        <f>IF(AE352="","",IF(AE352="SIM",VLOOKUP($I352&amp;$J352&amp;AE$1,Pesos!$A:$I,7,FALSE),VLOOKUP($I352&amp;$J352&amp;AE$1,Pesos!$A:$I,9,FALSE)))</f>
        <v/>
      </c>
      <c r="BD352" s="158">
        <f>IFERROR(AF352*VLOOKUP(J352,'BD Campos'!$X$1:$Y$14,2,FALSE),"0")</f>
        <v>7.9735000000000014</v>
      </c>
    </row>
    <row r="353" spans="1:56">
      <c r="A353" s="151" t="str">
        <f t="shared" si="23"/>
        <v>Jan10844ReceptivaLOGÍSTICA</v>
      </c>
      <c r="B353" s="149" t="str">
        <f t="shared" si="24"/>
        <v>Jan108445LOGÍSTICAPADRÃO</v>
      </c>
      <c r="C353" s="152">
        <v>1</v>
      </c>
      <c r="D353" s="153">
        <v>46062.627098032404</v>
      </c>
      <c r="E353" s="154" t="s">
        <v>12</v>
      </c>
      <c r="F353" s="155">
        <v>10844</v>
      </c>
      <c r="G353" s="149" t="s">
        <v>556</v>
      </c>
      <c r="H353" s="154">
        <v>5</v>
      </c>
      <c r="I353" s="149" t="s">
        <v>534</v>
      </c>
      <c r="J353" s="149" t="s">
        <v>81</v>
      </c>
      <c r="K353" s="149" t="s">
        <v>315</v>
      </c>
      <c r="L353" s="156" t="s">
        <v>557</v>
      </c>
      <c r="M353" s="157"/>
      <c r="N353" s="131" t="s">
        <v>17</v>
      </c>
      <c r="O353" s="131" t="s">
        <v>17</v>
      </c>
      <c r="P353" s="131" t="s">
        <v>17</v>
      </c>
      <c r="Q353" s="131" t="s">
        <v>17</v>
      </c>
      <c r="R353" s="131" t="s">
        <v>17</v>
      </c>
      <c r="S353" s="131" t="s">
        <v>17</v>
      </c>
      <c r="T353" s="131" t="s">
        <v>17</v>
      </c>
      <c r="U353" s="131" t="s">
        <v>17</v>
      </c>
      <c r="V353" s="131" t="s">
        <v>17</v>
      </c>
      <c r="W353" s="131"/>
      <c r="X353" s="131"/>
      <c r="Y353" s="131"/>
      <c r="Z353" s="131"/>
      <c r="AA353" s="131"/>
      <c r="AB353" s="131"/>
      <c r="AC353" s="131"/>
      <c r="AD353" s="131"/>
      <c r="AE353" s="131"/>
      <c r="AF353" s="158">
        <f t="shared" si="26"/>
        <v>10.000000000000002</v>
      </c>
      <c r="AG353" s="159"/>
      <c r="AH353" s="155"/>
      <c r="AI353" s="155" t="s">
        <v>83</v>
      </c>
      <c r="AJ353" s="131" t="str">
        <f>IFERROR(VLOOKUP(E353&amp;F353,'Listagem dos op'!A:S,19,0),"")</f>
        <v/>
      </c>
      <c r="AK353" s="131" t="str">
        <f t="shared" si="25"/>
        <v>Jan10844</v>
      </c>
      <c r="AL353" s="154">
        <f>IF(N353="","",IF(N353="SIM",VLOOKUP($I353&amp;$J353&amp;N$1,Pesos!$A:$I,7,FALSE),VLOOKUP($I353&amp;$J353&amp;N$1,Pesos!$A:$I,9,FALSE)))</f>
        <v>0.3</v>
      </c>
      <c r="AM353" s="154">
        <f>IF(O353="","",IF(O353="SIM",VLOOKUP($I353&amp;$J353&amp;O$1,Pesos!$A:$I,7,FALSE),VLOOKUP($I353&amp;$J353&amp;O$1,Pesos!$A:$I,9,FALSE)))</f>
        <v>1.3</v>
      </c>
      <c r="AN353" s="154">
        <f>IF(P353="","",IF(P353="SIM",VLOOKUP($I353&amp;$J353&amp;P$1,Pesos!$A:$I,7,FALSE),VLOOKUP($I353&amp;$J353&amp;P$1,Pesos!$A:$I,9,FALSE)))</f>
        <v>1.3</v>
      </c>
      <c r="AO353" s="154">
        <f>IF(Q353="","",IF(Q353="SIM",VLOOKUP($I353&amp;$J353&amp;Q$1,Pesos!$A:$I,7,FALSE),VLOOKUP($I353&amp;$J353&amp;Q$1,Pesos!$A:$I,9,FALSE)))</f>
        <v>1.4000000000000001</v>
      </c>
      <c r="AP353" s="154">
        <f>IF(R353="","",IF(R353="SIM",VLOOKUP($I353&amp;$J353&amp;R$1,Pesos!$A:$I,7,FALSE),VLOOKUP($I353&amp;$J353&amp;R$1,Pesos!$A:$I,9,FALSE)))</f>
        <v>1.3</v>
      </c>
      <c r="AQ353" s="154">
        <f>IF(S353="","",IF(S353="SIM",VLOOKUP($I353&amp;$J353&amp;S$1,Pesos!$A:$I,7,FALSE),VLOOKUP($I353&amp;$J353&amp;S$1,Pesos!$A:$I,9,FALSE)))</f>
        <v>1.4000000000000001</v>
      </c>
      <c r="AR353" s="156">
        <f>IF(T353="","",IF(T353="SIM",VLOOKUP($I353&amp;$J353&amp;T$1,Pesos!$A:$I,7,FALSE),VLOOKUP($I353&amp;$J353&amp;T$1,Pesos!$A:$I,9,FALSE)))</f>
        <v>1.4000000000000001</v>
      </c>
      <c r="AS353" s="132">
        <f>IF(U353="","",IF(U353="SIM",VLOOKUP($I353&amp;$J353&amp;U$1,Pesos!$A:$I,7,FALSE),VLOOKUP($I353&amp;$J353&amp;U$1,Pesos!$A:$I,9,FALSE)))</f>
        <v>1.3</v>
      </c>
      <c r="AT353" s="132">
        <f>IF(V353="","",IF(V353="SIM",VLOOKUP($I353&amp;$J353&amp;V$1,Pesos!$A:$I,7,FALSE),VLOOKUP($I353&amp;$J353&amp;V$1,Pesos!$A:$I,9,FALSE)))</f>
        <v>0.3</v>
      </c>
      <c r="AU353" s="132" t="str">
        <f>IF(W353="","",IF(W353="SIM",VLOOKUP($I353&amp;$J353&amp;W$1,Pesos!$A:$I,7,FALSE),VLOOKUP($I353&amp;$J353&amp;W$1,Pesos!$A:$I,9,FALSE)))</f>
        <v/>
      </c>
      <c r="AV353" s="132" t="str">
        <f>IF(X353="","",IF(X353="SIM",VLOOKUP($I353&amp;$J353&amp;X$1,Pesos!$A:$I,7,FALSE),VLOOKUP($I353&amp;$J353&amp;X$1,Pesos!$A:$I,9,FALSE)))</f>
        <v/>
      </c>
      <c r="AW353" s="132" t="str">
        <f>IF(Y353="","",IF(Y353="SIM",VLOOKUP($I353&amp;$J353&amp;Y$1,Pesos!$A:$I,7,FALSE),VLOOKUP($I353&amp;$J353&amp;Y$1,Pesos!$A:$I,9,FALSE)))</f>
        <v/>
      </c>
      <c r="AX353" s="132" t="str">
        <f>IF(Z353="","",IF(Z353="SIM",VLOOKUP($I353&amp;$J353&amp;Z$1,Pesos!$A:$I,7,FALSE),VLOOKUP($I353&amp;$J353&amp;Z$1,Pesos!$A:$I,9,FALSE)))</f>
        <v/>
      </c>
      <c r="AY353" s="132" t="str">
        <f>IF(AA353="","",IF(AA353="SIM",VLOOKUP($I353&amp;$J353&amp;AA$1,Pesos!$A:$I,7,FALSE),VLOOKUP($I353&amp;$J353&amp;AA$1,Pesos!$A:$I,9,FALSE)))</f>
        <v/>
      </c>
      <c r="AZ353" s="132" t="str">
        <f>IF(AB353="","",IF(AB353="SIM",VLOOKUP($I353&amp;$J353&amp;AB$1,Pesos!$A:$I,7,FALSE),VLOOKUP($I353&amp;$J353&amp;AB$1,Pesos!$A:$I,9,FALSE)))</f>
        <v/>
      </c>
      <c r="BA353" s="132" t="str">
        <f>IF(AC353="","",IF(AC353="SIM",VLOOKUP($I353&amp;$J353&amp;AC$1,Pesos!$A:$I,7,FALSE),VLOOKUP($I353&amp;$J353&amp;AC$1,Pesos!$A:$I,9,FALSE)))</f>
        <v/>
      </c>
      <c r="BB353" s="132" t="str">
        <f>IF(AD353="","",IF(AD353="SIM",VLOOKUP($I353&amp;$J353&amp;AD$1,Pesos!$A:$I,7,FALSE),VLOOKUP($I353&amp;$J353&amp;AD$1,Pesos!$A:$I,9,FALSE)))</f>
        <v/>
      </c>
      <c r="BC353" s="132" t="str">
        <f>IF(AE353="","",IF(AE353="SIM",VLOOKUP($I353&amp;$J353&amp;AE$1,Pesos!$A:$I,7,FALSE),VLOOKUP($I353&amp;$J353&amp;AE$1,Pesos!$A:$I,9,FALSE)))</f>
        <v/>
      </c>
      <c r="BD353" s="158">
        <f>IFERROR(AF353*VLOOKUP(J353,'BD Campos'!$X$1:$Y$14,2,FALSE),"0")</f>
        <v>10.000000000000002</v>
      </c>
    </row>
    <row r="354" spans="1:56">
      <c r="A354" s="151" t="str">
        <f t="shared" si="23"/>
        <v>Jan10844Receptiva 2LOGÍSTICA</v>
      </c>
      <c r="B354" s="149" t="str">
        <f t="shared" si="24"/>
        <v>Jan108446LOGÍSTICAPADRÃO</v>
      </c>
      <c r="C354" s="152">
        <v>1</v>
      </c>
      <c r="D354" s="153">
        <v>46062.627896412036</v>
      </c>
      <c r="E354" s="154" t="s">
        <v>12</v>
      </c>
      <c r="F354" s="155">
        <v>10844</v>
      </c>
      <c r="G354" s="149" t="s">
        <v>556</v>
      </c>
      <c r="H354" s="154">
        <v>6</v>
      </c>
      <c r="I354" s="149" t="s">
        <v>534</v>
      </c>
      <c r="J354" s="149" t="s">
        <v>86</v>
      </c>
      <c r="K354" s="149" t="s">
        <v>315</v>
      </c>
      <c r="L354" s="156" t="s">
        <v>558</v>
      </c>
      <c r="M354" s="157"/>
      <c r="N354" s="131" t="s">
        <v>17</v>
      </c>
      <c r="O354" s="131" t="s">
        <v>17</v>
      </c>
      <c r="P354" s="131" t="s">
        <v>17</v>
      </c>
      <c r="Q354" s="131" t="s">
        <v>17</v>
      </c>
      <c r="R354" s="131" t="s">
        <v>17</v>
      </c>
      <c r="S354" s="131" t="s">
        <v>17</v>
      </c>
      <c r="T354" s="131" t="s">
        <v>17</v>
      </c>
      <c r="U354" s="131" t="s">
        <v>17</v>
      </c>
      <c r="V354" s="131" t="s">
        <v>17</v>
      </c>
      <c r="W354" s="131"/>
      <c r="X354" s="131"/>
      <c r="Y354" s="131"/>
      <c r="Z354" s="131"/>
      <c r="AA354" s="131"/>
      <c r="AB354" s="131"/>
      <c r="AC354" s="131"/>
      <c r="AD354" s="131"/>
      <c r="AE354" s="131"/>
      <c r="AF354" s="158">
        <f t="shared" si="26"/>
        <v>10.000000000000002</v>
      </c>
      <c r="AG354" s="159"/>
      <c r="AH354" s="155"/>
      <c r="AI354" s="155" t="s">
        <v>83</v>
      </c>
      <c r="AJ354" s="131" t="str">
        <f>IFERROR(VLOOKUP(E354&amp;F354,'Listagem dos op'!A:S,19,0),"")</f>
        <v/>
      </c>
      <c r="AK354" s="131" t="str">
        <f t="shared" si="25"/>
        <v>Jan10844</v>
      </c>
      <c r="AL354" s="154">
        <f>IF(N354="","",IF(N354="SIM",VLOOKUP($I354&amp;$J354&amp;N$1,Pesos!$A:$I,7,FALSE),VLOOKUP($I354&amp;$J354&amp;N$1,Pesos!$A:$I,9,FALSE)))</f>
        <v>0.3</v>
      </c>
      <c r="AM354" s="154">
        <f>IF(O354="","",IF(O354="SIM",VLOOKUP($I354&amp;$J354&amp;O$1,Pesos!$A:$I,7,FALSE),VLOOKUP($I354&amp;$J354&amp;O$1,Pesos!$A:$I,9,FALSE)))</f>
        <v>1.3</v>
      </c>
      <c r="AN354" s="154">
        <f>IF(P354="","",IF(P354="SIM",VLOOKUP($I354&amp;$J354&amp;P$1,Pesos!$A:$I,7,FALSE),VLOOKUP($I354&amp;$J354&amp;P$1,Pesos!$A:$I,9,FALSE)))</f>
        <v>1.3</v>
      </c>
      <c r="AO354" s="154">
        <f>IF(Q354="","",IF(Q354="SIM",VLOOKUP($I354&amp;$J354&amp;Q$1,Pesos!$A:$I,7,FALSE),VLOOKUP($I354&amp;$J354&amp;Q$1,Pesos!$A:$I,9,FALSE)))</f>
        <v>1.4000000000000001</v>
      </c>
      <c r="AP354" s="154">
        <f>IF(R354="","",IF(R354="SIM",VLOOKUP($I354&amp;$J354&amp;R$1,Pesos!$A:$I,7,FALSE),VLOOKUP($I354&amp;$J354&amp;R$1,Pesos!$A:$I,9,FALSE)))</f>
        <v>1.3</v>
      </c>
      <c r="AQ354" s="154">
        <f>IF(S354="","",IF(S354="SIM",VLOOKUP($I354&amp;$J354&amp;S$1,Pesos!$A:$I,7,FALSE),VLOOKUP($I354&amp;$J354&amp;S$1,Pesos!$A:$I,9,FALSE)))</f>
        <v>1.4000000000000001</v>
      </c>
      <c r="AR354" s="156">
        <f>IF(T354="","",IF(T354="SIM",VLOOKUP($I354&amp;$J354&amp;T$1,Pesos!$A:$I,7,FALSE),VLOOKUP($I354&amp;$J354&amp;T$1,Pesos!$A:$I,9,FALSE)))</f>
        <v>1.4000000000000001</v>
      </c>
      <c r="AS354" s="132">
        <f>IF(U354="","",IF(U354="SIM",VLOOKUP($I354&amp;$J354&amp;U$1,Pesos!$A:$I,7,FALSE),VLOOKUP($I354&amp;$J354&amp;U$1,Pesos!$A:$I,9,FALSE)))</f>
        <v>1.3</v>
      </c>
      <c r="AT354" s="132">
        <f>IF(V354="","",IF(V354="SIM",VLOOKUP($I354&amp;$J354&amp;V$1,Pesos!$A:$I,7,FALSE),VLOOKUP($I354&amp;$J354&amp;V$1,Pesos!$A:$I,9,FALSE)))</f>
        <v>0.3</v>
      </c>
      <c r="AU354" s="132" t="str">
        <f>IF(W354="","",IF(W354="SIM",VLOOKUP($I354&amp;$J354&amp;W$1,Pesos!$A:$I,7,FALSE),VLOOKUP($I354&amp;$J354&amp;W$1,Pesos!$A:$I,9,FALSE)))</f>
        <v/>
      </c>
      <c r="AV354" s="132" t="str">
        <f>IF(X354="","",IF(X354="SIM",VLOOKUP($I354&amp;$J354&amp;X$1,Pesos!$A:$I,7,FALSE),VLOOKUP($I354&amp;$J354&amp;X$1,Pesos!$A:$I,9,FALSE)))</f>
        <v/>
      </c>
      <c r="AW354" s="132" t="str">
        <f>IF(Y354="","",IF(Y354="SIM",VLOOKUP($I354&amp;$J354&amp;Y$1,Pesos!$A:$I,7,FALSE),VLOOKUP($I354&amp;$J354&amp;Y$1,Pesos!$A:$I,9,FALSE)))</f>
        <v/>
      </c>
      <c r="AX354" s="132" t="str">
        <f>IF(Z354="","",IF(Z354="SIM",VLOOKUP($I354&amp;$J354&amp;Z$1,Pesos!$A:$I,7,FALSE),VLOOKUP($I354&amp;$J354&amp;Z$1,Pesos!$A:$I,9,FALSE)))</f>
        <v/>
      </c>
      <c r="AY354" s="132" t="str">
        <f>IF(AA354="","",IF(AA354="SIM",VLOOKUP($I354&amp;$J354&amp;AA$1,Pesos!$A:$I,7,FALSE),VLOOKUP($I354&amp;$J354&amp;AA$1,Pesos!$A:$I,9,FALSE)))</f>
        <v/>
      </c>
      <c r="AZ354" s="132" t="str">
        <f>IF(AB354="","",IF(AB354="SIM",VLOOKUP($I354&amp;$J354&amp;AB$1,Pesos!$A:$I,7,FALSE),VLOOKUP($I354&amp;$J354&amp;AB$1,Pesos!$A:$I,9,FALSE)))</f>
        <v/>
      </c>
      <c r="BA354" s="132" t="str">
        <f>IF(AC354="","",IF(AC354="SIM",VLOOKUP($I354&amp;$J354&amp;AC$1,Pesos!$A:$I,7,FALSE),VLOOKUP($I354&amp;$J354&amp;AC$1,Pesos!$A:$I,9,FALSE)))</f>
        <v/>
      </c>
      <c r="BB354" s="132" t="str">
        <f>IF(AD354="","",IF(AD354="SIM",VLOOKUP($I354&amp;$J354&amp;AD$1,Pesos!$A:$I,7,FALSE),VLOOKUP($I354&amp;$J354&amp;AD$1,Pesos!$A:$I,9,FALSE)))</f>
        <v/>
      </c>
      <c r="BC354" s="132" t="str">
        <f>IF(AE354="","",IF(AE354="SIM",VLOOKUP($I354&amp;$J354&amp;AE$1,Pesos!$A:$I,7,FALSE),VLOOKUP($I354&amp;$J354&amp;AE$1,Pesos!$A:$I,9,FALSE)))</f>
        <v/>
      </c>
      <c r="BD354" s="158">
        <f>IFERROR(AF354*VLOOKUP(J354,'BD Campos'!$X$1:$Y$14,2,FALSE),"0")</f>
        <v>10.000000000000002</v>
      </c>
    </row>
    <row r="355" spans="1:56">
      <c r="A355" s="151" t="str">
        <f t="shared" si="23"/>
        <v>Jan11279ClienteLOGÍSTICA</v>
      </c>
      <c r="B355" s="149" t="str">
        <f t="shared" si="24"/>
        <v>Jan112791LOGÍSTICAPADRÃO</v>
      </c>
      <c r="C355" s="152">
        <v>1</v>
      </c>
      <c r="D355" s="153">
        <v>46062.63606759259</v>
      </c>
      <c r="E355" s="154" t="s">
        <v>12</v>
      </c>
      <c r="F355" s="155">
        <v>11279</v>
      </c>
      <c r="G355" s="149" t="s">
        <v>559</v>
      </c>
      <c r="H355" s="154">
        <v>1</v>
      </c>
      <c r="I355" s="149" t="s">
        <v>480</v>
      </c>
      <c r="J355" s="149" t="s">
        <v>149</v>
      </c>
      <c r="K355" s="149" t="s">
        <v>315</v>
      </c>
      <c r="L355" s="156"/>
      <c r="M355" s="157">
        <v>1.0879629629629629E-3</v>
      </c>
      <c r="N355" s="131" t="s">
        <v>17</v>
      </c>
      <c r="O355" s="131" t="s">
        <v>17</v>
      </c>
      <c r="P355" s="131" t="s">
        <v>17</v>
      </c>
      <c r="Q355" s="131" t="s">
        <v>17</v>
      </c>
      <c r="R355" s="131" t="s">
        <v>17</v>
      </c>
      <c r="S355" s="131" t="s">
        <v>17</v>
      </c>
      <c r="T355" s="131" t="s">
        <v>17</v>
      </c>
      <c r="U355" s="131" t="s">
        <v>17</v>
      </c>
      <c r="V355" s="131" t="s">
        <v>17</v>
      </c>
      <c r="W355" s="131" t="s">
        <v>17</v>
      </c>
      <c r="X355" s="131" t="s">
        <v>17</v>
      </c>
      <c r="Y355" s="131" t="s">
        <v>17</v>
      </c>
      <c r="Z355" s="131" t="s">
        <v>17</v>
      </c>
      <c r="AA355" s="131" t="s">
        <v>18</v>
      </c>
      <c r="AB355" s="131" t="s">
        <v>17</v>
      </c>
      <c r="AC355" s="131"/>
      <c r="AD355" s="131"/>
      <c r="AE355" s="131"/>
      <c r="AF355" s="158">
        <f t="shared" si="26"/>
        <v>9.6850000000000005</v>
      </c>
      <c r="AG355" s="159"/>
      <c r="AH355" s="155"/>
      <c r="AI355" s="155" t="s">
        <v>83</v>
      </c>
      <c r="AJ355" s="131" t="str">
        <f>IFERROR(VLOOKUP(E355&amp;F355,'Listagem dos op'!A:S,19,0),"")</f>
        <v/>
      </c>
      <c r="AK355" s="131" t="str">
        <f t="shared" si="25"/>
        <v>Jan11279</v>
      </c>
      <c r="AL355" s="154">
        <f>IF(N355="","",IF(N355="SIM",VLOOKUP($I355&amp;$J355&amp;N$1,Pesos!$A:$I,7,FALSE),VLOOKUP($I355&amp;$J355&amp;N$1,Pesos!$A:$I,9,FALSE)))</f>
        <v>0.1</v>
      </c>
      <c r="AM355" s="154">
        <f>IF(O355="","",IF(O355="SIM",VLOOKUP($I355&amp;$J355&amp;O$1,Pesos!$A:$I,7,FALSE),VLOOKUP($I355&amp;$J355&amp;O$1,Pesos!$A:$I,9,FALSE)))</f>
        <v>0.1</v>
      </c>
      <c r="AN355" s="154">
        <f>IF(P355="","",IF(P355="SIM",VLOOKUP($I355&amp;$J355&amp;P$1,Pesos!$A:$I,7,FALSE),VLOOKUP($I355&amp;$J355&amp;P$1,Pesos!$A:$I,9,FALSE)))</f>
        <v>0.1</v>
      </c>
      <c r="AO355" s="154">
        <f>IF(Q355="","",IF(Q355="SIM",VLOOKUP($I355&amp;$J355&amp;Q$1,Pesos!$A:$I,7,FALSE),VLOOKUP($I355&amp;$J355&amp;Q$1,Pesos!$A:$I,9,FALSE)))</f>
        <v>0.4</v>
      </c>
      <c r="AP355" s="154">
        <f>IF(R355="","",IF(R355="SIM",VLOOKUP($I355&amp;$J355&amp;R$1,Pesos!$A:$I,7,FALSE),VLOOKUP($I355&amp;$J355&amp;R$1,Pesos!$A:$I,9,FALSE)))</f>
        <v>1.5</v>
      </c>
      <c r="AQ355" s="154">
        <f>IF(S355="","",IF(S355="SIM",VLOOKUP($I355&amp;$J355&amp;S$1,Pesos!$A:$I,7,FALSE),VLOOKUP($I355&amp;$J355&amp;S$1,Pesos!$A:$I,9,FALSE)))</f>
        <v>1.75</v>
      </c>
      <c r="AR355" s="156">
        <f>IF(T355="","",IF(T355="SIM",VLOOKUP($I355&amp;$J355&amp;T$1,Pesos!$A:$I,7,FALSE),VLOOKUP($I355&amp;$J355&amp;T$1,Pesos!$A:$I,9,FALSE)))</f>
        <v>1.7000000000000002</v>
      </c>
      <c r="AS355" s="132">
        <f>IF(U355="","",IF(U355="SIM",VLOOKUP($I355&amp;$J355&amp;U$1,Pesos!$A:$I,7,FALSE),VLOOKUP($I355&amp;$J355&amp;U$1,Pesos!$A:$I,9,FALSE)))</f>
        <v>1.5</v>
      </c>
      <c r="AT355" s="132">
        <f>IF(V355="","",IF(V355="SIM",VLOOKUP($I355&amp;$J355&amp;V$1,Pesos!$A:$I,7,FALSE),VLOOKUP($I355&amp;$J355&amp;V$1,Pesos!$A:$I,9,FALSE)))</f>
        <v>1.5</v>
      </c>
      <c r="AU355" s="132">
        <f>IF(W355="","",IF(W355="SIM",VLOOKUP($I355&amp;$J355&amp;W$1,Pesos!$A:$I,7,FALSE),VLOOKUP($I355&amp;$J355&amp;W$1,Pesos!$A:$I,9,FALSE)))</f>
        <v>0.3</v>
      </c>
      <c r="AV355" s="132">
        <f>IF(X355="","",IF(X355="SIM",VLOOKUP($I355&amp;$J355&amp;X$1,Pesos!$A:$I,7,FALSE),VLOOKUP($I355&amp;$J355&amp;X$1,Pesos!$A:$I,9,FALSE)))</f>
        <v>0.3</v>
      </c>
      <c r="AW355" s="132">
        <f>IF(Y355="","",IF(Y355="SIM",VLOOKUP($I355&amp;$J355&amp;Y$1,Pesos!$A:$I,7,FALSE),VLOOKUP($I355&amp;$J355&amp;Y$1,Pesos!$A:$I,9,FALSE)))</f>
        <v>0.15</v>
      </c>
      <c r="AX355" s="132">
        <f>IF(Z355="","",IF(Z355="SIM",VLOOKUP($I355&amp;$J355&amp;Z$1,Pesos!$A:$I,7,FALSE),VLOOKUP($I355&amp;$J355&amp;Z$1,Pesos!$A:$I,9,FALSE)))</f>
        <v>0.2</v>
      </c>
      <c r="AY355" s="132">
        <f>IF(AA355="","",IF(AA355="SIM",VLOOKUP($I355&amp;$J355&amp;AA$1,Pesos!$A:$I,7,FALSE),VLOOKUP($I355&amp;$J355&amp;AA$1,Pesos!$A:$I,9,FALSE)))</f>
        <v>-1.4999999999999999E-2</v>
      </c>
      <c r="AZ355" s="132">
        <f>IF(AB355="","",IF(AB355="SIM",VLOOKUP($I355&amp;$J355&amp;AB$1,Pesos!$A:$I,7,FALSE),VLOOKUP($I355&amp;$J355&amp;AB$1,Pesos!$A:$I,9,FALSE)))</f>
        <v>0.1</v>
      </c>
      <c r="BA355" s="132" t="str">
        <f>IF(AC355="","",IF(AC355="SIM",VLOOKUP($I355&amp;$J355&amp;AC$1,Pesos!$A:$I,7,FALSE),VLOOKUP($I355&amp;$J355&amp;AC$1,Pesos!$A:$I,9,FALSE)))</f>
        <v/>
      </c>
      <c r="BB355" s="132" t="str">
        <f>IF(AD355="","",IF(AD355="SIM",VLOOKUP($I355&amp;$J355&amp;AD$1,Pesos!$A:$I,7,FALSE),VLOOKUP($I355&amp;$J355&amp;AD$1,Pesos!$A:$I,9,FALSE)))</f>
        <v/>
      </c>
      <c r="BC355" s="132" t="str">
        <f>IF(AE355="","",IF(AE355="SIM",VLOOKUP($I355&amp;$J355&amp;AE$1,Pesos!$A:$I,7,FALSE),VLOOKUP($I355&amp;$J355&amp;AE$1,Pesos!$A:$I,9,FALSE)))</f>
        <v/>
      </c>
      <c r="BD355" s="158">
        <f>IFERROR(AF355*VLOOKUP(J355,'BD Campos'!$X$1:$Y$14,2,FALSE),"0")</f>
        <v>9.6850000000000005</v>
      </c>
    </row>
    <row r="356" spans="1:56">
      <c r="A356" s="151" t="str">
        <f t="shared" si="23"/>
        <v>Jan11279Cliente 2LOGÍSTICA</v>
      </c>
      <c r="B356" s="149" t="str">
        <f t="shared" si="24"/>
        <v>Jan112792LOGÍSTICAPADRÃO</v>
      </c>
      <c r="C356" s="152">
        <v>1</v>
      </c>
      <c r="D356" s="153">
        <v>46062.646784375</v>
      </c>
      <c r="E356" s="154" t="s">
        <v>12</v>
      </c>
      <c r="F356" s="155">
        <v>11279</v>
      </c>
      <c r="G356" s="149" t="s">
        <v>559</v>
      </c>
      <c r="H356" s="154">
        <v>2</v>
      </c>
      <c r="I356" s="149" t="s">
        <v>480</v>
      </c>
      <c r="J356" s="149" t="s">
        <v>322</v>
      </c>
      <c r="K356" s="149" t="s">
        <v>315</v>
      </c>
      <c r="L356" s="156"/>
      <c r="M356" s="157">
        <v>1.1226851851851851E-3</v>
      </c>
      <c r="N356" s="131" t="s">
        <v>17</v>
      </c>
      <c r="O356" s="131" t="s">
        <v>17</v>
      </c>
      <c r="P356" s="131" t="s">
        <v>17</v>
      </c>
      <c r="Q356" s="131" t="s">
        <v>17</v>
      </c>
      <c r="R356" s="131" t="s">
        <v>17</v>
      </c>
      <c r="S356" s="131" t="s">
        <v>17</v>
      </c>
      <c r="T356" s="131" t="s">
        <v>17</v>
      </c>
      <c r="U356" s="131" t="s">
        <v>17</v>
      </c>
      <c r="V356" s="131" t="s">
        <v>17</v>
      </c>
      <c r="W356" s="131" t="s">
        <v>17</v>
      </c>
      <c r="X356" s="131" t="s">
        <v>17</v>
      </c>
      <c r="Y356" s="131" t="s">
        <v>17</v>
      </c>
      <c r="Z356" s="131" t="s">
        <v>17</v>
      </c>
      <c r="AA356" s="131" t="s">
        <v>18</v>
      </c>
      <c r="AB356" s="131" t="s">
        <v>17</v>
      </c>
      <c r="AC356" s="131"/>
      <c r="AD356" s="131"/>
      <c r="AE356" s="131"/>
      <c r="AF356" s="158">
        <f t="shared" si="26"/>
        <v>9.6850000000000005</v>
      </c>
      <c r="AG356" s="159"/>
      <c r="AH356" s="155"/>
      <c r="AI356" s="155" t="s">
        <v>83</v>
      </c>
      <c r="AJ356" s="131" t="str">
        <f>IFERROR(VLOOKUP(E356&amp;F356,'Listagem dos op'!A:S,19,0),"")</f>
        <v/>
      </c>
      <c r="AK356" s="131" t="str">
        <f t="shared" si="25"/>
        <v>Jan11279</v>
      </c>
      <c r="AL356" s="154">
        <f>IF(N356="","",IF(N356="SIM",VLOOKUP($I356&amp;$J356&amp;N$1,Pesos!$A:$I,7,FALSE),VLOOKUP($I356&amp;$J356&amp;N$1,Pesos!$A:$I,9,FALSE)))</f>
        <v>0.1</v>
      </c>
      <c r="AM356" s="154">
        <f>IF(O356="","",IF(O356="SIM",VLOOKUP($I356&amp;$J356&amp;O$1,Pesos!$A:$I,7,FALSE),VLOOKUP($I356&amp;$J356&amp;O$1,Pesos!$A:$I,9,FALSE)))</f>
        <v>0.1</v>
      </c>
      <c r="AN356" s="154">
        <f>IF(P356="","",IF(P356="SIM",VLOOKUP($I356&amp;$J356&amp;P$1,Pesos!$A:$I,7,FALSE),VLOOKUP($I356&amp;$J356&amp;P$1,Pesos!$A:$I,9,FALSE)))</f>
        <v>0.1</v>
      </c>
      <c r="AO356" s="154">
        <f>IF(Q356="","",IF(Q356="SIM",VLOOKUP($I356&amp;$J356&amp;Q$1,Pesos!$A:$I,7,FALSE),VLOOKUP($I356&amp;$J356&amp;Q$1,Pesos!$A:$I,9,FALSE)))</f>
        <v>0.4</v>
      </c>
      <c r="AP356" s="154">
        <f>IF(R356="","",IF(R356="SIM",VLOOKUP($I356&amp;$J356&amp;R$1,Pesos!$A:$I,7,FALSE),VLOOKUP($I356&amp;$J356&amp;R$1,Pesos!$A:$I,9,FALSE)))</f>
        <v>1.5</v>
      </c>
      <c r="AQ356" s="154">
        <f>IF(S356="","",IF(S356="SIM",VLOOKUP($I356&amp;$J356&amp;S$1,Pesos!$A:$I,7,FALSE),VLOOKUP($I356&amp;$J356&amp;S$1,Pesos!$A:$I,9,FALSE)))</f>
        <v>1.75</v>
      </c>
      <c r="AR356" s="156">
        <f>IF(T356="","",IF(T356="SIM",VLOOKUP($I356&amp;$J356&amp;T$1,Pesos!$A:$I,7,FALSE),VLOOKUP($I356&amp;$J356&amp;T$1,Pesos!$A:$I,9,FALSE)))</f>
        <v>1.7000000000000002</v>
      </c>
      <c r="AS356" s="132">
        <f>IF(U356="","",IF(U356="SIM",VLOOKUP($I356&amp;$J356&amp;U$1,Pesos!$A:$I,7,FALSE),VLOOKUP($I356&amp;$J356&amp;U$1,Pesos!$A:$I,9,FALSE)))</f>
        <v>1.5</v>
      </c>
      <c r="AT356" s="132">
        <f>IF(V356="","",IF(V356="SIM",VLOOKUP($I356&amp;$J356&amp;V$1,Pesos!$A:$I,7,FALSE),VLOOKUP($I356&amp;$J356&amp;V$1,Pesos!$A:$I,9,FALSE)))</f>
        <v>1.5</v>
      </c>
      <c r="AU356" s="132">
        <f>IF(W356="","",IF(W356="SIM",VLOOKUP($I356&amp;$J356&amp;W$1,Pesos!$A:$I,7,FALSE),VLOOKUP($I356&amp;$J356&amp;W$1,Pesos!$A:$I,9,FALSE)))</f>
        <v>0.3</v>
      </c>
      <c r="AV356" s="132">
        <f>IF(X356="","",IF(X356="SIM",VLOOKUP($I356&amp;$J356&amp;X$1,Pesos!$A:$I,7,FALSE),VLOOKUP($I356&amp;$J356&amp;X$1,Pesos!$A:$I,9,FALSE)))</f>
        <v>0.3</v>
      </c>
      <c r="AW356" s="132">
        <f>IF(Y356="","",IF(Y356="SIM",VLOOKUP($I356&amp;$J356&amp;Y$1,Pesos!$A:$I,7,FALSE),VLOOKUP($I356&amp;$J356&amp;Y$1,Pesos!$A:$I,9,FALSE)))</f>
        <v>0.15</v>
      </c>
      <c r="AX356" s="132">
        <f>IF(Z356="","",IF(Z356="SIM",VLOOKUP($I356&amp;$J356&amp;Z$1,Pesos!$A:$I,7,FALSE),VLOOKUP($I356&amp;$J356&amp;Z$1,Pesos!$A:$I,9,FALSE)))</f>
        <v>0.2</v>
      </c>
      <c r="AY356" s="132">
        <f>IF(AA356="","",IF(AA356="SIM",VLOOKUP($I356&amp;$J356&amp;AA$1,Pesos!$A:$I,7,FALSE),VLOOKUP($I356&amp;$J356&amp;AA$1,Pesos!$A:$I,9,FALSE)))</f>
        <v>-1.4999999999999999E-2</v>
      </c>
      <c r="AZ356" s="132">
        <f>IF(AB356="","",IF(AB356="SIM",VLOOKUP($I356&amp;$J356&amp;AB$1,Pesos!$A:$I,7,FALSE),VLOOKUP($I356&amp;$J356&amp;AB$1,Pesos!$A:$I,9,FALSE)))</f>
        <v>0.1</v>
      </c>
      <c r="BA356" s="132" t="str">
        <f>IF(AC356="","",IF(AC356="SIM",VLOOKUP($I356&amp;$J356&amp;AC$1,Pesos!$A:$I,7,FALSE),VLOOKUP($I356&amp;$J356&amp;AC$1,Pesos!$A:$I,9,FALSE)))</f>
        <v/>
      </c>
      <c r="BB356" s="132" t="str">
        <f>IF(AD356="","",IF(AD356="SIM",VLOOKUP($I356&amp;$J356&amp;AD$1,Pesos!$A:$I,7,FALSE),VLOOKUP($I356&amp;$J356&amp;AD$1,Pesos!$A:$I,9,FALSE)))</f>
        <v/>
      </c>
      <c r="BC356" s="132" t="str">
        <f>IF(AE356="","",IF(AE356="SIM",VLOOKUP($I356&amp;$J356&amp;AE$1,Pesos!$A:$I,7,FALSE),VLOOKUP($I356&amp;$J356&amp;AE$1,Pesos!$A:$I,9,FALSE)))</f>
        <v/>
      </c>
      <c r="BD356" s="158">
        <f>IFERROR(AF356*VLOOKUP(J356,'BD Campos'!$X$1:$Y$14,2,FALSE),"0")</f>
        <v>9.6850000000000005</v>
      </c>
    </row>
    <row r="357" spans="1:56">
      <c r="A357" s="151" t="str">
        <f t="shared" si="23"/>
        <v>Jan11250ReceptivaLOGÍSTICA</v>
      </c>
      <c r="B357" s="149" t="str">
        <f t="shared" si="24"/>
        <v>Jan112505LOGÍSTICAPADRÃO</v>
      </c>
      <c r="C357" s="152">
        <v>1</v>
      </c>
      <c r="D357" s="153">
        <v>46062.647382291667</v>
      </c>
      <c r="E357" s="154" t="s">
        <v>12</v>
      </c>
      <c r="F357" s="155">
        <v>11250</v>
      </c>
      <c r="G357" s="149" t="s">
        <v>560</v>
      </c>
      <c r="H357" s="154">
        <v>5</v>
      </c>
      <c r="I357" s="149" t="s">
        <v>534</v>
      </c>
      <c r="J357" s="149" t="s">
        <v>81</v>
      </c>
      <c r="K357" s="149" t="s">
        <v>315</v>
      </c>
      <c r="L357" s="156" t="s">
        <v>561</v>
      </c>
      <c r="M357" s="157"/>
      <c r="N357" s="131" t="s">
        <v>17</v>
      </c>
      <c r="O357" s="131" t="s">
        <v>17</v>
      </c>
      <c r="P357" s="131" t="s">
        <v>17</v>
      </c>
      <c r="Q357" s="131" t="s">
        <v>17</v>
      </c>
      <c r="R357" s="131" t="s">
        <v>17</v>
      </c>
      <c r="S357" s="131" t="s">
        <v>17</v>
      </c>
      <c r="T357" s="131" t="s">
        <v>17</v>
      </c>
      <c r="U357" s="131" t="s">
        <v>17</v>
      </c>
      <c r="V357" s="131" t="s">
        <v>17</v>
      </c>
      <c r="W357" s="131"/>
      <c r="X357" s="131"/>
      <c r="Y357" s="131"/>
      <c r="Z357" s="131"/>
      <c r="AA357" s="131"/>
      <c r="AB357" s="131"/>
      <c r="AC357" s="131"/>
      <c r="AD357" s="131"/>
      <c r="AE357" s="131"/>
      <c r="AF357" s="158">
        <f t="shared" si="26"/>
        <v>10.000000000000002</v>
      </c>
      <c r="AG357" s="159"/>
      <c r="AH357" s="155"/>
      <c r="AI357" s="155" t="s">
        <v>83</v>
      </c>
      <c r="AJ357" s="131" t="str">
        <f>IFERROR(VLOOKUP(E357&amp;F357,'Listagem dos op'!A:S,19,0),"")</f>
        <v/>
      </c>
      <c r="AK357" s="131" t="str">
        <f t="shared" si="25"/>
        <v>Jan11250</v>
      </c>
      <c r="AL357" s="154">
        <f>IF(N357="","",IF(N357="SIM",VLOOKUP($I357&amp;$J357&amp;N$1,Pesos!$A:$I,7,FALSE),VLOOKUP($I357&amp;$J357&amp;N$1,Pesos!$A:$I,9,FALSE)))</f>
        <v>0.3</v>
      </c>
      <c r="AM357" s="154">
        <f>IF(O357="","",IF(O357="SIM",VLOOKUP($I357&amp;$J357&amp;O$1,Pesos!$A:$I,7,FALSE),VLOOKUP($I357&amp;$J357&amp;O$1,Pesos!$A:$I,9,FALSE)))</f>
        <v>1.3</v>
      </c>
      <c r="AN357" s="154">
        <f>IF(P357="","",IF(P357="SIM",VLOOKUP($I357&amp;$J357&amp;P$1,Pesos!$A:$I,7,FALSE),VLOOKUP($I357&amp;$J357&amp;P$1,Pesos!$A:$I,9,FALSE)))</f>
        <v>1.3</v>
      </c>
      <c r="AO357" s="154">
        <f>IF(Q357="","",IF(Q357="SIM",VLOOKUP($I357&amp;$J357&amp;Q$1,Pesos!$A:$I,7,FALSE),VLOOKUP($I357&amp;$J357&amp;Q$1,Pesos!$A:$I,9,FALSE)))</f>
        <v>1.4000000000000001</v>
      </c>
      <c r="AP357" s="154">
        <f>IF(R357="","",IF(R357="SIM",VLOOKUP($I357&amp;$J357&amp;R$1,Pesos!$A:$I,7,FALSE),VLOOKUP($I357&amp;$J357&amp;R$1,Pesos!$A:$I,9,FALSE)))</f>
        <v>1.3</v>
      </c>
      <c r="AQ357" s="154">
        <f>IF(S357="","",IF(S357="SIM",VLOOKUP($I357&amp;$J357&amp;S$1,Pesos!$A:$I,7,FALSE),VLOOKUP($I357&amp;$J357&amp;S$1,Pesos!$A:$I,9,FALSE)))</f>
        <v>1.4000000000000001</v>
      </c>
      <c r="AR357" s="156">
        <f>IF(T357="","",IF(T357="SIM",VLOOKUP($I357&amp;$J357&amp;T$1,Pesos!$A:$I,7,FALSE),VLOOKUP($I357&amp;$J357&amp;T$1,Pesos!$A:$I,9,FALSE)))</f>
        <v>1.4000000000000001</v>
      </c>
      <c r="AS357" s="132">
        <f>IF(U357="","",IF(U357="SIM",VLOOKUP($I357&amp;$J357&amp;U$1,Pesos!$A:$I,7,FALSE),VLOOKUP($I357&amp;$J357&amp;U$1,Pesos!$A:$I,9,FALSE)))</f>
        <v>1.3</v>
      </c>
      <c r="AT357" s="132">
        <f>IF(V357="","",IF(V357="SIM",VLOOKUP($I357&amp;$J357&amp;V$1,Pesos!$A:$I,7,FALSE),VLOOKUP($I357&amp;$J357&amp;V$1,Pesos!$A:$I,9,FALSE)))</f>
        <v>0.3</v>
      </c>
      <c r="AU357" s="132" t="str">
        <f>IF(W357="","",IF(W357="SIM",VLOOKUP($I357&amp;$J357&amp;W$1,Pesos!$A:$I,7,FALSE),VLOOKUP($I357&amp;$J357&amp;W$1,Pesos!$A:$I,9,FALSE)))</f>
        <v/>
      </c>
      <c r="AV357" s="132" t="str">
        <f>IF(X357="","",IF(X357="SIM",VLOOKUP($I357&amp;$J357&amp;X$1,Pesos!$A:$I,7,FALSE),VLOOKUP($I357&amp;$J357&amp;X$1,Pesos!$A:$I,9,FALSE)))</f>
        <v/>
      </c>
      <c r="AW357" s="132" t="str">
        <f>IF(Y357="","",IF(Y357="SIM",VLOOKUP($I357&amp;$J357&amp;Y$1,Pesos!$A:$I,7,FALSE),VLOOKUP($I357&amp;$J357&amp;Y$1,Pesos!$A:$I,9,FALSE)))</f>
        <v/>
      </c>
      <c r="AX357" s="132" t="str">
        <f>IF(Z357="","",IF(Z357="SIM",VLOOKUP($I357&amp;$J357&amp;Z$1,Pesos!$A:$I,7,FALSE),VLOOKUP($I357&amp;$J357&amp;Z$1,Pesos!$A:$I,9,FALSE)))</f>
        <v/>
      </c>
      <c r="AY357" s="132" t="str">
        <f>IF(AA357="","",IF(AA357="SIM",VLOOKUP($I357&amp;$J357&amp;AA$1,Pesos!$A:$I,7,FALSE),VLOOKUP($I357&amp;$J357&amp;AA$1,Pesos!$A:$I,9,FALSE)))</f>
        <v/>
      </c>
      <c r="AZ357" s="132" t="str">
        <f>IF(AB357="","",IF(AB357="SIM",VLOOKUP($I357&amp;$J357&amp;AB$1,Pesos!$A:$I,7,FALSE),VLOOKUP($I357&amp;$J357&amp;AB$1,Pesos!$A:$I,9,FALSE)))</f>
        <v/>
      </c>
      <c r="BA357" s="132" t="str">
        <f>IF(AC357="","",IF(AC357="SIM",VLOOKUP($I357&amp;$J357&amp;AC$1,Pesos!$A:$I,7,FALSE),VLOOKUP($I357&amp;$J357&amp;AC$1,Pesos!$A:$I,9,FALSE)))</f>
        <v/>
      </c>
      <c r="BB357" s="132" t="str">
        <f>IF(AD357="","",IF(AD357="SIM",VLOOKUP($I357&amp;$J357&amp;AD$1,Pesos!$A:$I,7,FALSE),VLOOKUP($I357&amp;$J357&amp;AD$1,Pesos!$A:$I,9,FALSE)))</f>
        <v/>
      </c>
      <c r="BC357" s="132" t="str">
        <f>IF(AE357="","",IF(AE357="SIM",VLOOKUP($I357&amp;$J357&amp;AE$1,Pesos!$A:$I,7,FALSE),VLOOKUP($I357&amp;$J357&amp;AE$1,Pesos!$A:$I,9,FALSE)))</f>
        <v/>
      </c>
      <c r="BD357" s="158">
        <f>IFERROR(AF357*VLOOKUP(J357,'BD Campos'!$X$1:$Y$14,2,FALSE),"0")</f>
        <v>10.000000000000002</v>
      </c>
    </row>
    <row r="358" spans="1:56">
      <c r="A358" s="151" t="str">
        <f t="shared" si="23"/>
        <v>Jan11250Receptiva 2LOGÍSTICA</v>
      </c>
      <c r="B358" s="149" t="str">
        <f t="shared" si="24"/>
        <v>Jan112506LOGÍSTICAPADRÃO</v>
      </c>
      <c r="C358" s="152">
        <v>1</v>
      </c>
      <c r="D358" s="153">
        <v>46062.648283101851</v>
      </c>
      <c r="E358" s="154" t="s">
        <v>12</v>
      </c>
      <c r="F358" s="155">
        <v>11250</v>
      </c>
      <c r="G358" s="149" t="s">
        <v>560</v>
      </c>
      <c r="H358" s="154">
        <v>6</v>
      </c>
      <c r="I358" s="149" t="s">
        <v>534</v>
      </c>
      <c r="J358" s="149" t="s">
        <v>86</v>
      </c>
      <c r="K358" s="149" t="s">
        <v>315</v>
      </c>
      <c r="L358" s="156" t="s">
        <v>562</v>
      </c>
      <c r="M358" s="157"/>
      <c r="N358" s="131" t="s">
        <v>17</v>
      </c>
      <c r="O358" s="131" t="s">
        <v>17</v>
      </c>
      <c r="P358" s="131" t="s">
        <v>17</v>
      </c>
      <c r="Q358" s="131" t="s">
        <v>17</v>
      </c>
      <c r="R358" s="131" t="s">
        <v>17</v>
      </c>
      <c r="S358" s="131" t="s">
        <v>17</v>
      </c>
      <c r="T358" s="131" t="s">
        <v>17</v>
      </c>
      <c r="U358" s="131" t="s">
        <v>17</v>
      </c>
      <c r="V358" s="131" t="s">
        <v>17</v>
      </c>
      <c r="W358" s="131"/>
      <c r="X358" s="131"/>
      <c r="Y358" s="131"/>
      <c r="Z358" s="131"/>
      <c r="AA358" s="131"/>
      <c r="AB358" s="131"/>
      <c r="AC358" s="131"/>
      <c r="AD358" s="131"/>
      <c r="AE358" s="131"/>
      <c r="AF358" s="158">
        <f t="shared" si="26"/>
        <v>10.000000000000002</v>
      </c>
      <c r="AG358" s="159"/>
      <c r="AH358" s="155"/>
      <c r="AI358" s="155" t="s">
        <v>83</v>
      </c>
      <c r="AJ358" s="131" t="str">
        <f>IFERROR(VLOOKUP(E358&amp;F358,'Listagem dos op'!A:S,19,0),"")</f>
        <v/>
      </c>
      <c r="AK358" s="131" t="str">
        <f t="shared" si="25"/>
        <v>Jan11250</v>
      </c>
      <c r="AL358" s="154">
        <f>IF(N358="","",IF(N358="SIM",VLOOKUP($I358&amp;$J358&amp;N$1,Pesos!$A:$I,7,FALSE),VLOOKUP($I358&amp;$J358&amp;N$1,Pesos!$A:$I,9,FALSE)))</f>
        <v>0.3</v>
      </c>
      <c r="AM358" s="154">
        <f>IF(O358="","",IF(O358="SIM",VLOOKUP($I358&amp;$J358&amp;O$1,Pesos!$A:$I,7,FALSE),VLOOKUP($I358&amp;$J358&amp;O$1,Pesos!$A:$I,9,FALSE)))</f>
        <v>1.3</v>
      </c>
      <c r="AN358" s="154">
        <f>IF(P358="","",IF(P358="SIM",VLOOKUP($I358&amp;$J358&amp;P$1,Pesos!$A:$I,7,FALSE),VLOOKUP($I358&amp;$J358&amp;P$1,Pesos!$A:$I,9,FALSE)))</f>
        <v>1.3</v>
      </c>
      <c r="AO358" s="154">
        <f>IF(Q358="","",IF(Q358="SIM",VLOOKUP($I358&amp;$J358&amp;Q$1,Pesos!$A:$I,7,FALSE),VLOOKUP($I358&amp;$J358&amp;Q$1,Pesos!$A:$I,9,FALSE)))</f>
        <v>1.4000000000000001</v>
      </c>
      <c r="AP358" s="154">
        <f>IF(R358="","",IF(R358="SIM",VLOOKUP($I358&amp;$J358&amp;R$1,Pesos!$A:$I,7,FALSE),VLOOKUP($I358&amp;$J358&amp;R$1,Pesos!$A:$I,9,FALSE)))</f>
        <v>1.3</v>
      </c>
      <c r="AQ358" s="154">
        <f>IF(S358="","",IF(S358="SIM",VLOOKUP($I358&amp;$J358&amp;S$1,Pesos!$A:$I,7,FALSE),VLOOKUP($I358&amp;$J358&amp;S$1,Pesos!$A:$I,9,FALSE)))</f>
        <v>1.4000000000000001</v>
      </c>
      <c r="AR358" s="156">
        <f>IF(T358="","",IF(T358="SIM",VLOOKUP($I358&amp;$J358&amp;T$1,Pesos!$A:$I,7,FALSE),VLOOKUP($I358&amp;$J358&amp;T$1,Pesos!$A:$I,9,FALSE)))</f>
        <v>1.4000000000000001</v>
      </c>
      <c r="AS358" s="132">
        <f>IF(U358="","",IF(U358="SIM",VLOOKUP($I358&amp;$J358&amp;U$1,Pesos!$A:$I,7,FALSE),VLOOKUP($I358&amp;$J358&amp;U$1,Pesos!$A:$I,9,FALSE)))</f>
        <v>1.3</v>
      </c>
      <c r="AT358" s="132">
        <f>IF(V358="","",IF(V358="SIM",VLOOKUP($I358&amp;$J358&amp;V$1,Pesos!$A:$I,7,FALSE),VLOOKUP($I358&amp;$J358&amp;V$1,Pesos!$A:$I,9,FALSE)))</f>
        <v>0.3</v>
      </c>
      <c r="AU358" s="132" t="str">
        <f>IF(W358="","",IF(W358="SIM",VLOOKUP($I358&amp;$J358&amp;W$1,Pesos!$A:$I,7,FALSE),VLOOKUP($I358&amp;$J358&amp;W$1,Pesos!$A:$I,9,FALSE)))</f>
        <v/>
      </c>
      <c r="AV358" s="132" t="str">
        <f>IF(X358="","",IF(X358="SIM",VLOOKUP($I358&amp;$J358&amp;X$1,Pesos!$A:$I,7,FALSE),VLOOKUP($I358&amp;$J358&amp;X$1,Pesos!$A:$I,9,FALSE)))</f>
        <v/>
      </c>
      <c r="AW358" s="132" t="str">
        <f>IF(Y358="","",IF(Y358="SIM",VLOOKUP($I358&amp;$J358&amp;Y$1,Pesos!$A:$I,7,FALSE),VLOOKUP($I358&amp;$J358&amp;Y$1,Pesos!$A:$I,9,FALSE)))</f>
        <v/>
      </c>
      <c r="AX358" s="132" t="str">
        <f>IF(Z358="","",IF(Z358="SIM",VLOOKUP($I358&amp;$J358&amp;Z$1,Pesos!$A:$I,7,FALSE),VLOOKUP($I358&amp;$J358&amp;Z$1,Pesos!$A:$I,9,FALSE)))</f>
        <v/>
      </c>
      <c r="AY358" s="132" t="str">
        <f>IF(AA358="","",IF(AA358="SIM",VLOOKUP($I358&amp;$J358&amp;AA$1,Pesos!$A:$I,7,FALSE),VLOOKUP($I358&amp;$J358&amp;AA$1,Pesos!$A:$I,9,FALSE)))</f>
        <v/>
      </c>
      <c r="AZ358" s="132" t="str">
        <f>IF(AB358="","",IF(AB358="SIM",VLOOKUP($I358&amp;$J358&amp;AB$1,Pesos!$A:$I,7,FALSE),VLOOKUP($I358&amp;$J358&amp;AB$1,Pesos!$A:$I,9,FALSE)))</f>
        <v/>
      </c>
      <c r="BA358" s="132" t="str">
        <f>IF(AC358="","",IF(AC358="SIM",VLOOKUP($I358&amp;$J358&amp;AC$1,Pesos!$A:$I,7,FALSE),VLOOKUP($I358&amp;$J358&amp;AC$1,Pesos!$A:$I,9,FALSE)))</f>
        <v/>
      </c>
      <c r="BB358" s="132" t="str">
        <f>IF(AD358="","",IF(AD358="SIM",VLOOKUP($I358&amp;$J358&amp;AD$1,Pesos!$A:$I,7,FALSE),VLOOKUP($I358&amp;$J358&amp;AD$1,Pesos!$A:$I,9,FALSE)))</f>
        <v/>
      </c>
      <c r="BC358" s="132" t="str">
        <f>IF(AE358="","",IF(AE358="SIM",VLOOKUP($I358&amp;$J358&amp;AE$1,Pesos!$A:$I,7,FALSE),VLOOKUP($I358&amp;$J358&amp;AE$1,Pesos!$A:$I,9,FALSE)))</f>
        <v/>
      </c>
      <c r="BD358" s="158">
        <f>IFERROR(AF358*VLOOKUP(J358,'BD Campos'!$X$1:$Y$14,2,FALSE),"0")</f>
        <v>10.000000000000002</v>
      </c>
    </row>
    <row r="359" spans="1:56">
      <c r="A359" s="151" t="str">
        <f t="shared" si="23"/>
        <v>Jan11503ClienteLOGÍSTICA</v>
      </c>
      <c r="B359" s="149" t="str">
        <f t="shared" si="24"/>
        <v>Jan115031LOGÍSTICAPADRÃO</v>
      </c>
      <c r="C359" s="152">
        <v>1</v>
      </c>
      <c r="D359" s="153">
        <v>46062.654592708335</v>
      </c>
      <c r="E359" s="154" t="s">
        <v>12</v>
      </c>
      <c r="F359" s="155">
        <v>11503</v>
      </c>
      <c r="G359" s="149" t="s">
        <v>563</v>
      </c>
      <c r="H359" s="154">
        <v>1</v>
      </c>
      <c r="I359" s="149" t="s">
        <v>480</v>
      </c>
      <c r="J359" s="149" t="s">
        <v>149</v>
      </c>
      <c r="K359" s="149" t="s">
        <v>315</v>
      </c>
      <c r="L359" s="156"/>
      <c r="M359" s="157">
        <v>1.2037037037037038E-3</v>
      </c>
      <c r="N359" s="131" t="s">
        <v>17</v>
      </c>
      <c r="O359" s="131" t="s">
        <v>17</v>
      </c>
      <c r="P359" s="131" t="s">
        <v>17</v>
      </c>
      <c r="Q359" s="131" t="s">
        <v>17</v>
      </c>
      <c r="R359" s="131" t="s">
        <v>17</v>
      </c>
      <c r="S359" s="131" t="s">
        <v>17</v>
      </c>
      <c r="T359" s="131" t="s">
        <v>17</v>
      </c>
      <c r="U359" s="131" t="s">
        <v>17</v>
      </c>
      <c r="V359" s="131" t="s">
        <v>18</v>
      </c>
      <c r="W359" s="131" t="s">
        <v>17</v>
      </c>
      <c r="X359" s="131" t="s">
        <v>17</v>
      </c>
      <c r="Y359" s="131" t="s">
        <v>17</v>
      </c>
      <c r="Z359" s="131" t="s">
        <v>17</v>
      </c>
      <c r="AA359" s="131" t="s">
        <v>18</v>
      </c>
      <c r="AB359" s="131" t="s">
        <v>17</v>
      </c>
      <c r="AC359" s="131"/>
      <c r="AD359" s="131"/>
      <c r="AE359" s="131"/>
      <c r="AF359" s="158">
        <f t="shared" si="26"/>
        <v>8.11</v>
      </c>
      <c r="AG359" s="159"/>
      <c r="AH359" s="155"/>
      <c r="AI359" s="155" t="s">
        <v>83</v>
      </c>
      <c r="AJ359" s="131" t="str">
        <f>IFERROR(VLOOKUP(E359&amp;F359,'Listagem dos op'!A:S,19,0),"")</f>
        <v/>
      </c>
      <c r="AK359" s="131" t="str">
        <f t="shared" si="25"/>
        <v>Jan11503</v>
      </c>
      <c r="AL359" s="154">
        <f>IF(N359="","",IF(N359="SIM",VLOOKUP($I359&amp;$J359&amp;N$1,Pesos!$A:$I,7,FALSE),VLOOKUP($I359&amp;$J359&amp;N$1,Pesos!$A:$I,9,FALSE)))</f>
        <v>0.1</v>
      </c>
      <c r="AM359" s="154">
        <f>IF(O359="","",IF(O359="SIM",VLOOKUP($I359&amp;$J359&amp;O$1,Pesos!$A:$I,7,FALSE),VLOOKUP($I359&amp;$J359&amp;O$1,Pesos!$A:$I,9,FALSE)))</f>
        <v>0.1</v>
      </c>
      <c r="AN359" s="154">
        <f>IF(P359="","",IF(P359="SIM",VLOOKUP($I359&amp;$J359&amp;P$1,Pesos!$A:$I,7,FALSE),VLOOKUP($I359&amp;$J359&amp;P$1,Pesos!$A:$I,9,FALSE)))</f>
        <v>0.1</v>
      </c>
      <c r="AO359" s="154">
        <f>IF(Q359="","",IF(Q359="SIM",VLOOKUP($I359&amp;$J359&amp;Q$1,Pesos!$A:$I,7,FALSE),VLOOKUP($I359&amp;$J359&amp;Q$1,Pesos!$A:$I,9,FALSE)))</f>
        <v>0.4</v>
      </c>
      <c r="AP359" s="154">
        <f>IF(R359="","",IF(R359="SIM",VLOOKUP($I359&amp;$J359&amp;R$1,Pesos!$A:$I,7,FALSE),VLOOKUP($I359&amp;$J359&amp;R$1,Pesos!$A:$I,9,FALSE)))</f>
        <v>1.5</v>
      </c>
      <c r="AQ359" s="154">
        <f>IF(S359="","",IF(S359="SIM",VLOOKUP($I359&amp;$J359&amp;S$1,Pesos!$A:$I,7,FALSE),VLOOKUP($I359&amp;$J359&amp;S$1,Pesos!$A:$I,9,FALSE)))</f>
        <v>1.75</v>
      </c>
      <c r="AR359" s="156">
        <f>IF(T359="","",IF(T359="SIM",VLOOKUP($I359&amp;$J359&amp;T$1,Pesos!$A:$I,7,FALSE),VLOOKUP($I359&amp;$J359&amp;T$1,Pesos!$A:$I,9,FALSE)))</f>
        <v>1.7000000000000002</v>
      </c>
      <c r="AS359" s="132">
        <f>IF(U359="","",IF(U359="SIM",VLOOKUP($I359&amp;$J359&amp;U$1,Pesos!$A:$I,7,FALSE),VLOOKUP($I359&amp;$J359&amp;U$1,Pesos!$A:$I,9,FALSE)))</f>
        <v>1.5</v>
      </c>
      <c r="AT359" s="132">
        <f>IF(V359="","",IF(V359="SIM",VLOOKUP($I359&amp;$J359&amp;V$1,Pesos!$A:$I,7,FALSE),VLOOKUP($I359&amp;$J359&amp;V$1,Pesos!$A:$I,9,FALSE)))</f>
        <v>-7.5000000000000011E-2</v>
      </c>
      <c r="AU359" s="132">
        <f>IF(W359="","",IF(W359="SIM",VLOOKUP($I359&amp;$J359&amp;W$1,Pesos!$A:$I,7,FALSE),VLOOKUP($I359&amp;$J359&amp;W$1,Pesos!$A:$I,9,FALSE)))</f>
        <v>0.3</v>
      </c>
      <c r="AV359" s="132">
        <f>IF(X359="","",IF(X359="SIM",VLOOKUP($I359&amp;$J359&amp;X$1,Pesos!$A:$I,7,FALSE),VLOOKUP($I359&amp;$J359&amp;X$1,Pesos!$A:$I,9,FALSE)))</f>
        <v>0.3</v>
      </c>
      <c r="AW359" s="132">
        <f>IF(Y359="","",IF(Y359="SIM",VLOOKUP($I359&amp;$J359&amp;Y$1,Pesos!$A:$I,7,FALSE),VLOOKUP($I359&amp;$J359&amp;Y$1,Pesos!$A:$I,9,FALSE)))</f>
        <v>0.15</v>
      </c>
      <c r="AX359" s="132">
        <f>IF(Z359="","",IF(Z359="SIM",VLOOKUP($I359&amp;$J359&amp;Z$1,Pesos!$A:$I,7,FALSE),VLOOKUP($I359&amp;$J359&amp;Z$1,Pesos!$A:$I,9,FALSE)))</f>
        <v>0.2</v>
      </c>
      <c r="AY359" s="132">
        <f>IF(AA359="","",IF(AA359="SIM",VLOOKUP($I359&amp;$J359&amp;AA$1,Pesos!$A:$I,7,FALSE),VLOOKUP($I359&amp;$J359&amp;AA$1,Pesos!$A:$I,9,FALSE)))</f>
        <v>-1.4999999999999999E-2</v>
      </c>
      <c r="AZ359" s="132">
        <f>IF(AB359="","",IF(AB359="SIM",VLOOKUP($I359&amp;$J359&amp;AB$1,Pesos!$A:$I,7,FALSE),VLOOKUP($I359&amp;$J359&amp;AB$1,Pesos!$A:$I,9,FALSE)))</f>
        <v>0.1</v>
      </c>
      <c r="BA359" s="132" t="str">
        <f>IF(AC359="","",IF(AC359="SIM",VLOOKUP($I359&amp;$J359&amp;AC$1,Pesos!$A:$I,7,FALSE),VLOOKUP($I359&amp;$J359&amp;AC$1,Pesos!$A:$I,9,FALSE)))</f>
        <v/>
      </c>
      <c r="BB359" s="132" t="str">
        <f>IF(AD359="","",IF(AD359="SIM",VLOOKUP($I359&amp;$J359&amp;AD$1,Pesos!$A:$I,7,FALSE),VLOOKUP($I359&amp;$J359&amp;AD$1,Pesos!$A:$I,9,FALSE)))</f>
        <v/>
      </c>
      <c r="BC359" s="132" t="str">
        <f>IF(AE359="","",IF(AE359="SIM",VLOOKUP($I359&amp;$J359&amp;AE$1,Pesos!$A:$I,7,FALSE),VLOOKUP($I359&amp;$J359&amp;AE$1,Pesos!$A:$I,9,FALSE)))</f>
        <v/>
      </c>
      <c r="BD359" s="158">
        <f>IFERROR(AF359*VLOOKUP(J359,'BD Campos'!$X$1:$Y$14,2,FALSE),"0")</f>
        <v>8.11</v>
      </c>
    </row>
    <row r="360" spans="1:56">
      <c r="A360" s="151" t="str">
        <f t="shared" si="23"/>
        <v>Jan11503MotoristaLOGÍSTICA</v>
      </c>
      <c r="B360" s="149" t="str">
        <f t="shared" si="24"/>
        <v>Jan115032LOGÍSTICAPADRÃO</v>
      </c>
      <c r="C360" s="152">
        <v>1</v>
      </c>
      <c r="D360" s="153">
        <v>46062.657985763886</v>
      </c>
      <c r="E360" s="154" t="s">
        <v>12</v>
      </c>
      <c r="F360" s="155">
        <v>11503</v>
      </c>
      <c r="G360" s="149" t="s">
        <v>563</v>
      </c>
      <c r="H360" s="154">
        <v>2</v>
      </c>
      <c r="I360" s="149" t="s">
        <v>480</v>
      </c>
      <c r="J360" s="149" t="s">
        <v>93</v>
      </c>
      <c r="K360" s="149" t="s">
        <v>315</v>
      </c>
      <c r="L360" s="156"/>
      <c r="M360" s="157">
        <v>2.1990740740740742E-3</v>
      </c>
      <c r="N360" s="131" t="s">
        <v>17</v>
      </c>
      <c r="O360" s="131" t="s">
        <v>17</v>
      </c>
      <c r="P360" s="131" t="s">
        <v>17</v>
      </c>
      <c r="Q360" s="131" t="s">
        <v>17</v>
      </c>
      <c r="R360" s="131" t="s">
        <v>17</v>
      </c>
      <c r="S360" s="131" t="s">
        <v>17</v>
      </c>
      <c r="T360" s="131" t="s">
        <v>17</v>
      </c>
      <c r="U360" s="131" t="s">
        <v>17</v>
      </c>
      <c r="V360" s="131" t="s">
        <v>17</v>
      </c>
      <c r="W360" s="131" t="s">
        <v>17</v>
      </c>
      <c r="X360" s="131" t="s">
        <v>17</v>
      </c>
      <c r="Y360" s="131" t="s">
        <v>17</v>
      </c>
      <c r="Z360" s="131" t="s">
        <v>17</v>
      </c>
      <c r="AA360" s="131" t="s">
        <v>18</v>
      </c>
      <c r="AB360" s="131" t="s">
        <v>17</v>
      </c>
      <c r="AC360" s="131"/>
      <c r="AD360" s="131"/>
      <c r="AE360" s="131"/>
      <c r="AF360" s="158">
        <f t="shared" si="26"/>
        <v>9.6850000000000005</v>
      </c>
      <c r="AG360" s="159"/>
      <c r="AH360" s="155"/>
      <c r="AI360" s="155" t="s">
        <v>83</v>
      </c>
      <c r="AJ360" s="131" t="str">
        <f>IFERROR(VLOOKUP(E360&amp;F360,'Listagem dos op'!A:S,19,0),"")</f>
        <v/>
      </c>
      <c r="AK360" s="131" t="str">
        <f t="shared" si="25"/>
        <v>Jan11503</v>
      </c>
      <c r="AL360" s="154">
        <f>IF(N360="","",IF(N360="SIM",VLOOKUP($I360&amp;$J360&amp;N$1,Pesos!$A:$I,7,FALSE),VLOOKUP($I360&amp;$J360&amp;N$1,Pesos!$A:$I,9,FALSE)))</f>
        <v>0.1</v>
      </c>
      <c r="AM360" s="154">
        <f>IF(O360="","",IF(O360="SIM",VLOOKUP($I360&amp;$J360&amp;O$1,Pesos!$A:$I,7,FALSE),VLOOKUP($I360&amp;$J360&amp;O$1,Pesos!$A:$I,9,FALSE)))</f>
        <v>0.1</v>
      </c>
      <c r="AN360" s="154">
        <f>IF(P360="","",IF(P360="SIM",VLOOKUP($I360&amp;$J360&amp;P$1,Pesos!$A:$I,7,FALSE),VLOOKUP($I360&amp;$J360&amp;P$1,Pesos!$A:$I,9,FALSE)))</f>
        <v>0.1</v>
      </c>
      <c r="AO360" s="154">
        <f>IF(Q360="","",IF(Q360="SIM",VLOOKUP($I360&amp;$J360&amp;Q$1,Pesos!$A:$I,7,FALSE),VLOOKUP($I360&amp;$J360&amp;Q$1,Pesos!$A:$I,9,FALSE)))</f>
        <v>0.4</v>
      </c>
      <c r="AP360" s="154">
        <f>IF(R360="","",IF(R360="SIM",VLOOKUP($I360&amp;$J360&amp;R$1,Pesos!$A:$I,7,FALSE),VLOOKUP($I360&amp;$J360&amp;R$1,Pesos!$A:$I,9,FALSE)))</f>
        <v>1.3</v>
      </c>
      <c r="AQ360" s="154">
        <f>IF(S360="","",IF(S360="SIM",VLOOKUP($I360&amp;$J360&amp;S$1,Pesos!$A:$I,7,FALSE),VLOOKUP($I360&amp;$J360&amp;S$1,Pesos!$A:$I,9,FALSE)))</f>
        <v>2</v>
      </c>
      <c r="AR360" s="156">
        <f>IF(T360="","",IF(T360="SIM",VLOOKUP($I360&amp;$J360&amp;T$1,Pesos!$A:$I,7,FALSE),VLOOKUP($I360&amp;$J360&amp;T$1,Pesos!$A:$I,9,FALSE)))</f>
        <v>2</v>
      </c>
      <c r="AS360" s="132">
        <f>IF(U360="","",IF(U360="SIM",VLOOKUP($I360&amp;$J360&amp;U$1,Pesos!$A:$I,7,FALSE),VLOOKUP($I360&amp;$J360&amp;U$1,Pesos!$A:$I,9,FALSE)))</f>
        <v>1.33</v>
      </c>
      <c r="AT360" s="132">
        <f>IF(V360="","",IF(V360="SIM",VLOOKUP($I360&amp;$J360&amp;V$1,Pesos!$A:$I,7,FALSE),VLOOKUP($I360&amp;$J360&amp;V$1,Pesos!$A:$I,9,FALSE)))</f>
        <v>1.32</v>
      </c>
      <c r="AU360" s="132">
        <f>IF(W360="","",IF(W360="SIM",VLOOKUP($I360&amp;$J360&amp;W$1,Pesos!$A:$I,7,FALSE),VLOOKUP($I360&amp;$J360&amp;W$1,Pesos!$A:$I,9,FALSE)))</f>
        <v>0.3</v>
      </c>
      <c r="AV360" s="132">
        <f>IF(X360="","",IF(X360="SIM",VLOOKUP($I360&amp;$J360&amp;X$1,Pesos!$A:$I,7,FALSE),VLOOKUP($I360&amp;$J360&amp;X$1,Pesos!$A:$I,9,FALSE)))</f>
        <v>0.3</v>
      </c>
      <c r="AW360" s="132">
        <f>IF(Y360="","",IF(Y360="SIM",VLOOKUP($I360&amp;$J360&amp;Y$1,Pesos!$A:$I,7,FALSE),VLOOKUP($I360&amp;$J360&amp;Y$1,Pesos!$A:$I,9,FALSE)))</f>
        <v>0.15</v>
      </c>
      <c r="AX360" s="132">
        <f>IF(Z360="","",IF(Z360="SIM",VLOOKUP($I360&amp;$J360&amp;Z$1,Pesos!$A:$I,7,FALSE),VLOOKUP($I360&amp;$J360&amp;Z$1,Pesos!$A:$I,9,FALSE)))</f>
        <v>0.2</v>
      </c>
      <c r="AY360" s="132">
        <f>IF(AA360="","",IF(AA360="SIM",VLOOKUP($I360&amp;$J360&amp;AA$1,Pesos!$A:$I,7,FALSE),VLOOKUP($I360&amp;$J360&amp;AA$1,Pesos!$A:$I,9,FALSE)))</f>
        <v>-1.4999999999999999E-2</v>
      </c>
      <c r="AZ360" s="132">
        <f>IF(AB360="","",IF(AB360="SIM",VLOOKUP($I360&amp;$J360&amp;AB$1,Pesos!$A:$I,7,FALSE),VLOOKUP($I360&amp;$J360&amp;AB$1,Pesos!$A:$I,9,FALSE)))</f>
        <v>0.1</v>
      </c>
      <c r="BA360" s="132" t="str">
        <f>IF(AC360="","",IF(AC360="SIM",VLOOKUP($I360&amp;$J360&amp;AC$1,Pesos!$A:$I,7,FALSE),VLOOKUP($I360&amp;$J360&amp;AC$1,Pesos!$A:$I,9,FALSE)))</f>
        <v/>
      </c>
      <c r="BB360" s="132" t="str">
        <f>IF(AD360="","",IF(AD360="SIM",VLOOKUP($I360&amp;$J360&amp;AD$1,Pesos!$A:$I,7,FALSE),VLOOKUP($I360&amp;$J360&amp;AD$1,Pesos!$A:$I,9,FALSE)))</f>
        <v/>
      </c>
      <c r="BC360" s="132" t="str">
        <f>IF(AE360="","",IF(AE360="SIM",VLOOKUP($I360&amp;$J360&amp;AE$1,Pesos!$A:$I,7,FALSE),VLOOKUP($I360&amp;$J360&amp;AE$1,Pesos!$A:$I,9,FALSE)))</f>
        <v/>
      </c>
      <c r="BD360" s="158">
        <f>IFERROR(AF360*VLOOKUP(J360,'BD Campos'!$X$1:$Y$14,2,FALSE),"0")</f>
        <v>9.6850000000000005</v>
      </c>
    </row>
    <row r="361" spans="1:56">
      <c r="A361" s="151" t="str">
        <f t="shared" si="23"/>
        <v>Jan11420MotoristaLOGÍSTICA</v>
      </c>
      <c r="B361" s="149" t="str">
        <f t="shared" si="24"/>
        <v>Jan114201LOGÍSTICAPADRÃO</v>
      </c>
      <c r="C361" s="152">
        <v>1</v>
      </c>
      <c r="D361" s="153">
        <v>46062.660233796298</v>
      </c>
      <c r="E361" s="154" t="s">
        <v>12</v>
      </c>
      <c r="F361" s="155">
        <v>11420</v>
      </c>
      <c r="G361" s="149" t="s">
        <v>564</v>
      </c>
      <c r="H361" s="154">
        <v>1</v>
      </c>
      <c r="I361" s="149" t="s">
        <v>480</v>
      </c>
      <c r="J361" s="149" t="s">
        <v>93</v>
      </c>
      <c r="K361" s="149" t="s">
        <v>315</v>
      </c>
      <c r="L361" s="156"/>
      <c r="M361" s="157">
        <v>1.5856481481481479E-3</v>
      </c>
      <c r="N361" s="131" t="s">
        <v>17</v>
      </c>
      <c r="O361" s="131" t="s">
        <v>17</v>
      </c>
      <c r="P361" s="131" t="s">
        <v>17</v>
      </c>
      <c r="Q361" s="131" t="s">
        <v>17</v>
      </c>
      <c r="R361" s="131" t="s">
        <v>17</v>
      </c>
      <c r="S361" s="131" t="s">
        <v>17</v>
      </c>
      <c r="T361" s="131" t="s">
        <v>17</v>
      </c>
      <c r="U361" s="131" t="s">
        <v>17</v>
      </c>
      <c r="V361" s="131" t="s">
        <v>17</v>
      </c>
      <c r="W361" s="131" t="s">
        <v>17</v>
      </c>
      <c r="X361" s="131" t="s">
        <v>17</v>
      </c>
      <c r="Y361" s="131" t="s">
        <v>17</v>
      </c>
      <c r="Z361" s="131" t="s">
        <v>17</v>
      </c>
      <c r="AA361" s="131" t="s">
        <v>17</v>
      </c>
      <c r="AB361" s="131" t="s">
        <v>17</v>
      </c>
      <c r="AC361" s="131"/>
      <c r="AD361" s="131"/>
      <c r="AE361" s="131"/>
      <c r="AF361" s="158">
        <f t="shared" si="26"/>
        <v>10.000000000000002</v>
      </c>
      <c r="AG361" s="159"/>
      <c r="AH361" s="155"/>
      <c r="AI361" s="155" t="s">
        <v>83</v>
      </c>
      <c r="AJ361" s="131" t="str">
        <f>IFERROR(VLOOKUP(E361&amp;F361,'Listagem dos op'!A:S,19,0),"")</f>
        <v/>
      </c>
      <c r="AK361" s="131" t="str">
        <f t="shared" si="25"/>
        <v>Jan11420</v>
      </c>
      <c r="AL361" s="154">
        <f>IF(N361="","",IF(N361="SIM",VLOOKUP($I361&amp;$J361&amp;N$1,Pesos!$A:$I,7,FALSE),VLOOKUP($I361&amp;$J361&amp;N$1,Pesos!$A:$I,9,FALSE)))</f>
        <v>0.1</v>
      </c>
      <c r="AM361" s="154">
        <f>IF(O361="","",IF(O361="SIM",VLOOKUP($I361&amp;$J361&amp;O$1,Pesos!$A:$I,7,FALSE),VLOOKUP($I361&amp;$J361&amp;O$1,Pesos!$A:$I,9,FALSE)))</f>
        <v>0.1</v>
      </c>
      <c r="AN361" s="154">
        <f>IF(P361="","",IF(P361="SIM",VLOOKUP($I361&amp;$J361&amp;P$1,Pesos!$A:$I,7,FALSE),VLOOKUP($I361&amp;$J361&amp;P$1,Pesos!$A:$I,9,FALSE)))</f>
        <v>0.1</v>
      </c>
      <c r="AO361" s="154">
        <f>IF(Q361="","",IF(Q361="SIM",VLOOKUP($I361&amp;$J361&amp;Q$1,Pesos!$A:$I,7,FALSE),VLOOKUP($I361&amp;$J361&amp;Q$1,Pesos!$A:$I,9,FALSE)))</f>
        <v>0.4</v>
      </c>
      <c r="AP361" s="154">
        <f>IF(R361="","",IF(R361="SIM",VLOOKUP($I361&amp;$J361&amp;R$1,Pesos!$A:$I,7,FALSE),VLOOKUP($I361&amp;$J361&amp;R$1,Pesos!$A:$I,9,FALSE)))</f>
        <v>1.3</v>
      </c>
      <c r="AQ361" s="154">
        <f>IF(S361="","",IF(S361="SIM",VLOOKUP($I361&amp;$J361&amp;S$1,Pesos!$A:$I,7,FALSE),VLOOKUP($I361&amp;$J361&amp;S$1,Pesos!$A:$I,9,FALSE)))</f>
        <v>2</v>
      </c>
      <c r="AR361" s="156">
        <f>IF(T361="","",IF(T361="SIM",VLOOKUP($I361&amp;$J361&amp;T$1,Pesos!$A:$I,7,FALSE),VLOOKUP($I361&amp;$J361&amp;T$1,Pesos!$A:$I,9,FALSE)))</f>
        <v>2</v>
      </c>
      <c r="AS361" s="132">
        <f>IF(U361="","",IF(U361="SIM",VLOOKUP($I361&amp;$J361&amp;U$1,Pesos!$A:$I,7,FALSE),VLOOKUP($I361&amp;$J361&amp;U$1,Pesos!$A:$I,9,FALSE)))</f>
        <v>1.33</v>
      </c>
      <c r="AT361" s="132">
        <f>IF(V361="","",IF(V361="SIM",VLOOKUP($I361&amp;$J361&amp;V$1,Pesos!$A:$I,7,FALSE),VLOOKUP($I361&amp;$J361&amp;V$1,Pesos!$A:$I,9,FALSE)))</f>
        <v>1.32</v>
      </c>
      <c r="AU361" s="132">
        <f>IF(W361="","",IF(W361="SIM",VLOOKUP($I361&amp;$J361&amp;W$1,Pesos!$A:$I,7,FALSE),VLOOKUP($I361&amp;$J361&amp;W$1,Pesos!$A:$I,9,FALSE)))</f>
        <v>0.3</v>
      </c>
      <c r="AV361" s="132">
        <f>IF(X361="","",IF(X361="SIM",VLOOKUP($I361&amp;$J361&amp;X$1,Pesos!$A:$I,7,FALSE),VLOOKUP($I361&amp;$J361&amp;X$1,Pesos!$A:$I,9,FALSE)))</f>
        <v>0.3</v>
      </c>
      <c r="AW361" s="132">
        <f>IF(Y361="","",IF(Y361="SIM",VLOOKUP($I361&amp;$J361&amp;Y$1,Pesos!$A:$I,7,FALSE),VLOOKUP($I361&amp;$J361&amp;Y$1,Pesos!$A:$I,9,FALSE)))</f>
        <v>0.15</v>
      </c>
      <c r="AX361" s="132">
        <f>IF(Z361="","",IF(Z361="SIM",VLOOKUP($I361&amp;$J361&amp;Z$1,Pesos!$A:$I,7,FALSE),VLOOKUP($I361&amp;$J361&amp;Z$1,Pesos!$A:$I,9,FALSE)))</f>
        <v>0.2</v>
      </c>
      <c r="AY361" s="132">
        <f>IF(AA361="","",IF(AA361="SIM",VLOOKUP($I361&amp;$J361&amp;AA$1,Pesos!$A:$I,7,FALSE),VLOOKUP($I361&amp;$J361&amp;AA$1,Pesos!$A:$I,9,FALSE)))</f>
        <v>0.3</v>
      </c>
      <c r="AZ361" s="132">
        <f>IF(AB361="","",IF(AB361="SIM",VLOOKUP($I361&amp;$J361&amp;AB$1,Pesos!$A:$I,7,FALSE),VLOOKUP($I361&amp;$J361&amp;AB$1,Pesos!$A:$I,9,FALSE)))</f>
        <v>0.1</v>
      </c>
      <c r="BA361" s="132" t="str">
        <f>IF(AC361="","",IF(AC361="SIM",VLOOKUP($I361&amp;$J361&amp;AC$1,Pesos!$A:$I,7,FALSE),VLOOKUP($I361&amp;$J361&amp;AC$1,Pesos!$A:$I,9,FALSE)))</f>
        <v/>
      </c>
      <c r="BB361" s="132" t="str">
        <f>IF(AD361="","",IF(AD361="SIM",VLOOKUP($I361&amp;$J361&amp;AD$1,Pesos!$A:$I,7,FALSE),VLOOKUP($I361&amp;$J361&amp;AD$1,Pesos!$A:$I,9,FALSE)))</f>
        <v/>
      </c>
      <c r="BC361" s="132" t="str">
        <f>IF(AE361="","",IF(AE361="SIM",VLOOKUP($I361&amp;$J361&amp;AE$1,Pesos!$A:$I,7,FALSE),VLOOKUP($I361&amp;$J361&amp;AE$1,Pesos!$A:$I,9,FALSE)))</f>
        <v/>
      </c>
      <c r="BD361" s="158">
        <f>IFERROR(AF361*VLOOKUP(J361,'BD Campos'!$X$1:$Y$14,2,FALSE),"0")</f>
        <v>10.000000000000002</v>
      </c>
    </row>
    <row r="362" spans="1:56">
      <c r="A362" s="151" t="str">
        <f t="shared" si="23"/>
        <v>Jan11420ClienteLOGÍSTICA</v>
      </c>
      <c r="B362" s="149" t="str">
        <f t="shared" si="24"/>
        <v>Jan114202LOGÍSTICAPADRÃO</v>
      </c>
      <c r="C362" s="152">
        <v>1</v>
      </c>
      <c r="D362" s="153">
        <v>46062.662466319445</v>
      </c>
      <c r="E362" s="154" t="s">
        <v>12</v>
      </c>
      <c r="F362" s="155">
        <v>11420</v>
      </c>
      <c r="G362" s="149" t="s">
        <v>564</v>
      </c>
      <c r="H362" s="154">
        <v>2</v>
      </c>
      <c r="I362" s="149" t="s">
        <v>480</v>
      </c>
      <c r="J362" s="149" t="s">
        <v>149</v>
      </c>
      <c r="K362" s="149" t="s">
        <v>315</v>
      </c>
      <c r="L362" s="156"/>
      <c r="M362" s="157">
        <v>1.0879629629629629E-3</v>
      </c>
      <c r="N362" s="131" t="s">
        <v>17</v>
      </c>
      <c r="O362" s="131" t="s">
        <v>17</v>
      </c>
      <c r="P362" s="131" t="s">
        <v>17</v>
      </c>
      <c r="Q362" s="131" t="s">
        <v>18</v>
      </c>
      <c r="R362" s="131" t="s">
        <v>17</v>
      </c>
      <c r="S362" s="131" t="s">
        <v>18</v>
      </c>
      <c r="T362" s="131" t="s">
        <v>17</v>
      </c>
      <c r="U362" s="131" t="s">
        <v>17</v>
      </c>
      <c r="V362" s="131" t="s">
        <v>17</v>
      </c>
      <c r="W362" s="131" t="s">
        <v>17</v>
      </c>
      <c r="X362" s="131" t="s">
        <v>17</v>
      </c>
      <c r="Y362" s="131" t="s">
        <v>17</v>
      </c>
      <c r="Z362" s="131" t="s">
        <v>17</v>
      </c>
      <c r="AA362" s="131" t="s">
        <v>18</v>
      </c>
      <c r="AB362" s="131" t="s">
        <v>17</v>
      </c>
      <c r="AC362" s="131"/>
      <c r="AD362" s="131"/>
      <c r="AE362" s="131"/>
      <c r="AF362" s="158">
        <f t="shared" si="26"/>
        <v>7.4275000000000002</v>
      </c>
      <c r="AG362" s="159"/>
      <c r="AH362" s="155"/>
      <c r="AI362" s="155" t="s">
        <v>83</v>
      </c>
      <c r="AJ362" s="131" t="str">
        <f>IFERROR(VLOOKUP(E362&amp;F362,'Listagem dos op'!A:S,19,0),"")</f>
        <v/>
      </c>
      <c r="AK362" s="131" t="str">
        <f t="shared" si="25"/>
        <v>Jan11420</v>
      </c>
      <c r="AL362" s="154">
        <f>IF(N362="","",IF(N362="SIM",VLOOKUP($I362&amp;$J362&amp;N$1,Pesos!$A:$I,7,FALSE),VLOOKUP($I362&amp;$J362&amp;N$1,Pesos!$A:$I,9,FALSE)))</f>
        <v>0.1</v>
      </c>
      <c r="AM362" s="154">
        <f>IF(O362="","",IF(O362="SIM",VLOOKUP($I362&amp;$J362&amp;O$1,Pesos!$A:$I,7,FALSE),VLOOKUP($I362&amp;$J362&amp;O$1,Pesos!$A:$I,9,FALSE)))</f>
        <v>0.1</v>
      </c>
      <c r="AN362" s="154">
        <f>IF(P362="","",IF(P362="SIM",VLOOKUP($I362&amp;$J362&amp;P$1,Pesos!$A:$I,7,FALSE),VLOOKUP($I362&amp;$J362&amp;P$1,Pesos!$A:$I,9,FALSE)))</f>
        <v>0.1</v>
      </c>
      <c r="AO362" s="154">
        <f>IF(Q362="","",IF(Q362="SIM",VLOOKUP($I362&amp;$J362&amp;Q$1,Pesos!$A:$I,7,FALSE),VLOOKUP($I362&amp;$J362&amp;Q$1,Pesos!$A:$I,9,FALSE)))</f>
        <v>-2.0000000000000004E-2</v>
      </c>
      <c r="AP362" s="154">
        <f>IF(R362="","",IF(R362="SIM",VLOOKUP($I362&amp;$J362&amp;R$1,Pesos!$A:$I,7,FALSE),VLOOKUP($I362&amp;$J362&amp;R$1,Pesos!$A:$I,9,FALSE)))</f>
        <v>1.5</v>
      </c>
      <c r="AQ362" s="154">
        <f>IF(S362="","",IF(S362="SIM",VLOOKUP($I362&amp;$J362&amp;S$1,Pesos!$A:$I,7,FALSE),VLOOKUP($I362&amp;$J362&amp;S$1,Pesos!$A:$I,9,FALSE)))</f>
        <v>-8.7500000000000008E-2</v>
      </c>
      <c r="AR362" s="156">
        <f>IF(T362="","",IF(T362="SIM",VLOOKUP($I362&amp;$J362&amp;T$1,Pesos!$A:$I,7,FALSE),VLOOKUP($I362&amp;$J362&amp;T$1,Pesos!$A:$I,9,FALSE)))</f>
        <v>1.7000000000000002</v>
      </c>
      <c r="AS362" s="132">
        <f>IF(U362="","",IF(U362="SIM",VLOOKUP($I362&amp;$J362&amp;U$1,Pesos!$A:$I,7,FALSE),VLOOKUP($I362&amp;$J362&amp;U$1,Pesos!$A:$I,9,FALSE)))</f>
        <v>1.5</v>
      </c>
      <c r="AT362" s="132">
        <f>IF(V362="","",IF(V362="SIM",VLOOKUP($I362&amp;$J362&amp;V$1,Pesos!$A:$I,7,FALSE),VLOOKUP($I362&amp;$J362&amp;V$1,Pesos!$A:$I,9,FALSE)))</f>
        <v>1.5</v>
      </c>
      <c r="AU362" s="132">
        <f>IF(W362="","",IF(W362="SIM",VLOOKUP($I362&amp;$J362&amp;W$1,Pesos!$A:$I,7,FALSE),VLOOKUP($I362&amp;$J362&amp;W$1,Pesos!$A:$I,9,FALSE)))</f>
        <v>0.3</v>
      </c>
      <c r="AV362" s="132">
        <f>IF(X362="","",IF(X362="SIM",VLOOKUP($I362&amp;$J362&amp;X$1,Pesos!$A:$I,7,FALSE),VLOOKUP($I362&amp;$J362&amp;X$1,Pesos!$A:$I,9,FALSE)))</f>
        <v>0.3</v>
      </c>
      <c r="AW362" s="132">
        <f>IF(Y362="","",IF(Y362="SIM",VLOOKUP($I362&amp;$J362&amp;Y$1,Pesos!$A:$I,7,FALSE),VLOOKUP($I362&amp;$J362&amp;Y$1,Pesos!$A:$I,9,FALSE)))</f>
        <v>0.15</v>
      </c>
      <c r="AX362" s="132">
        <f>IF(Z362="","",IF(Z362="SIM",VLOOKUP($I362&amp;$J362&amp;Z$1,Pesos!$A:$I,7,FALSE),VLOOKUP($I362&amp;$J362&amp;Z$1,Pesos!$A:$I,9,FALSE)))</f>
        <v>0.2</v>
      </c>
      <c r="AY362" s="132">
        <f>IF(AA362="","",IF(AA362="SIM",VLOOKUP($I362&amp;$J362&amp;AA$1,Pesos!$A:$I,7,FALSE),VLOOKUP($I362&amp;$J362&amp;AA$1,Pesos!$A:$I,9,FALSE)))</f>
        <v>-1.4999999999999999E-2</v>
      </c>
      <c r="AZ362" s="132">
        <f>IF(AB362="","",IF(AB362="SIM",VLOOKUP($I362&amp;$J362&amp;AB$1,Pesos!$A:$I,7,FALSE),VLOOKUP($I362&amp;$J362&amp;AB$1,Pesos!$A:$I,9,FALSE)))</f>
        <v>0.1</v>
      </c>
      <c r="BA362" s="132" t="str">
        <f>IF(AC362="","",IF(AC362="SIM",VLOOKUP($I362&amp;$J362&amp;AC$1,Pesos!$A:$I,7,FALSE),VLOOKUP($I362&amp;$J362&amp;AC$1,Pesos!$A:$I,9,FALSE)))</f>
        <v/>
      </c>
      <c r="BB362" s="132" t="str">
        <f>IF(AD362="","",IF(AD362="SIM",VLOOKUP($I362&amp;$J362&amp;AD$1,Pesos!$A:$I,7,FALSE),VLOOKUP($I362&amp;$J362&amp;AD$1,Pesos!$A:$I,9,FALSE)))</f>
        <v/>
      </c>
      <c r="BC362" s="132" t="str">
        <f>IF(AE362="","",IF(AE362="SIM",VLOOKUP($I362&amp;$J362&amp;AE$1,Pesos!$A:$I,7,FALSE),VLOOKUP($I362&amp;$J362&amp;AE$1,Pesos!$A:$I,9,FALSE)))</f>
        <v/>
      </c>
      <c r="BD362" s="158">
        <f>IFERROR(AF362*VLOOKUP(J362,'BD Campos'!$X$1:$Y$14,2,FALSE),"0")</f>
        <v>7.4275000000000002</v>
      </c>
    </row>
    <row r="363" spans="1:56">
      <c r="A363" s="151" t="str">
        <f t="shared" si="23"/>
        <v>Jan11205ClienteLOGÍSTICA</v>
      </c>
      <c r="B363" s="149" t="str">
        <f t="shared" si="24"/>
        <v>Jan112051LOGÍSTICAPADRÃO</v>
      </c>
      <c r="C363" s="152">
        <v>1</v>
      </c>
      <c r="D363" s="153">
        <v>46062.665177083334</v>
      </c>
      <c r="E363" s="154" t="s">
        <v>12</v>
      </c>
      <c r="F363" s="155">
        <v>11205</v>
      </c>
      <c r="G363" s="149" t="s">
        <v>565</v>
      </c>
      <c r="H363" s="154">
        <v>1</v>
      </c>
      <c r="I363" s="149" t="s">
        <v>480</v>
      </c>
      <c r="J363" s="149" t="s">
        <v>149</v>
      </c>
      <c r="K363" s="149" t="s">
        <v>315</v>
      </c>
      <c r="L363" s="156"/>
      <c r="M363" s="157">
        <v>9.3750000000000007E-4</v>
      </c>
      <c r="N363" s="131" t="s">
        <v>17</v>
      </c>
      <c r="O363" s="131" t="s">
        <v>17</v>
      </c>
      <c r="P363" s="131" t="s">
        <v>17</v>
      </c>
      <c r="Q363" s="131" t="s">
        <v>17</v>
      </c>
      <c r="R363" s="131" t="s">
        <v>17</v>
      </c>
      <c r="S363" s="131" t="s">
        <v>17</v>
      </c>
      <c r="T363" s="131" t="s">
        <v>17</v>
      </c>
      <c r="U363" s="131" t="s">
        <v>17</v>
      </c>
      <c r="V363" s="131" t="s">
        <v>17</v>
      </c>
      <c r="W363" s="131" t="s">
        <v>17</v>
      </c>
      <c r="X363" s="131" t="s">
        <v>17</v>
      </c>
      <c r="Y363" s="131" t="s">
        <v>17</v>
      </c>
      <c r="Z363" s="131" t="s">
        <v>17</v>
      </c>
      <c r="AA363" s="131" t="s">
        <v>18</v>
      </c>
      <c r="AB363" s="131" t="s">
        <v>17</v>
      </c>
      <c r="AC363" s="131"/>
      <c r="AD363" s="131"/>
      <c r="AE363" s="131"/>
      <c r="AF363" s="158">
        <f t="shared" si="26"/>
        <v>9.6850000000000005</v>
      </c>
      <c r="AG363" s="159"/>
      <c r="AH363" s="155"/>
      <c r="AI363" s="155" t="s">
        <v>83</v>
      </c>
      <c r="AJ363" s="131" t="str">
        <f>IFERROR(VLOOKUP(E363&amp;F363,'Listagem dos op'!A:S,19,0),"")</f>
        <v/>
      </c>
      <c r="AK363" s="131" t="str">
        <f t="shared" si="25"/>
        <v>Jan11205</v>
      </c>
      <c r="AL363" s="154">
        <f>IF(N363="","",IF(N363="SIM",VLOOKUP($I363&amp;$J363&amp;N$1,Pesos!$A:$I,7,FALSE),VLOOKUP($I363&amp;$J363&amp;N$1,Pesos!$A:$I,9,FALSE)))</f>
        <v>0.1</v>
      </c>
      <c r="AM363" s="154">
        <f>IF(O363="","",IF(O363="SIM",VLOOKUP($I363&amp;$J363&amp;O$1,Pesos!$A:$I,7,FALSE),VLOOKUP($I363&amp;$J363&amp;O$1,Pesos!$A:$I,9,FALSE)))</f>
        <v>0.1</v>
      </c>
      <c r="AN363" s="154">
        <f>IF(P363="","",IF(P363="SIM",VLOOKUP($I363&amp;$J363&amp;P$1,Pesos!$A:$I,7,FALSE),VLOOKUP($I363&amp;$J363&amp;P$1,Pesos!$A:$I,9,FALSE)))</f>
        <v>0.1</v>
      </c>
      <c r="AO363" s="154">
        <f>IF(Q363="","",IF(Q363="SIM",VLOOKUP($I363&amp;$J363&amp;Q$1,Pesos!$A:$I,7,FALSE),VLOOKUP($I363&amp;$J363&amp;Q$1,Pesos!$A:$I,9,FALSE)))</f>
        <v>0.4</v>
      </c>
      <c r="AP363" s="154">
        <f>IF(R363="","",IF(R363="SIM",VLOOKUP($I363&amp;$J363&amp;R$1,Pesos!$A:$I,7,FALSE),VLOOKUP($I363&amp;$J363&amp;R$1,Pesos!$A:$I,9,FALSE)))</f>
        <v>1.5</v>
      </c>
      <c r="AQ363" s="154">
        <f>IF(S363="","",IF(S363="SIM",VLOOKUP($I363&amp;$J363&amp;S$1,Pesos!$A:$I,7,FALSE),VLOOKUP($I363&amp;$J363&amp;S$1,Pesos!$A:$I,9,FALSE)))</f>
        <v>1.75</v>
      </c>
      <c r="AR363" s="156">
        <f>IF(T363="","",IF(T363="SIM",VLOOKUP($I363&amp;$J363&amp;T$1,Pesos!$A:$I,7,FALSE),VLOOKUP($I363&amp;$J363&amp;T$1,Pesos!$A:$I,9,FALSE)))</f>
        <v>1.7000000000000002</v>
      </c>
      <c r="AS363" s="132">
        <f>IF(U363="","",IF(U363="SIM",VLOOKUP($I363&amp;$J363&amp;U$1,Pesos!$A:$I,7,FALSE),VLOOKUP($I363&amp;$J363&amp;U$1,Pesos!$A:$I,9,FALSE)))</f>
        <v>1.5</v>
      </c>
      <c r="AT363" s="132">
        <f>IF(V363="","",IF(V363="SIM",VLOOKUP($I363&amp;$J363&amp;V$1,Pesos!$A:$I,7,FALSE),VLOOKUP($I363&amp;$J363&amp;V$1,Pesos!$A:$I,9,FALSE)))</f>
        <v>1.5</v>
      </c>
      <c r="AU363" s="132">
        <f>IF(W363="","",IF(W363="SIM",VLOOKUP($I363&amp;$J363&amp;W$1,Pesos!$A:$I,7,FALSE),VLOOKUP($I363&amp;$J363&amp;W$1,Pesos!$A:$I,9,FALSE)))</f>
        <v>0.3</v>
      </c>
      <c r="AV363" s="132">
        <f>IF(X363="","",IF(X363="SIM",VLOOKUP($I363&amp;$J363&amp;X$1,Pesos!$A:$I,7,FALSE),VLOOKUP($I363&amp;$J363&amp;X$1,Pesos!$A:$I,9,FALSE)))</f>
        <v>0.3</v>
      </c>
      <c r="AW363" s="132">
        <f>IF(Y363="","",IF(Y363="SIM",VLOOKUP($I363&amp;$J363&amp;Y$1,Pesos!$A:$I,7,FALSE),VLOOKUP($I363&amp;$J363&amp;Y$1,Pesos!$A:$I,9,FALSE)))</f>
        <v>0.15</v>
      </c>
      <c r="AX363" s="132">
        <f>IF(Z363="","",IF(Z363="SIM",VLOOKUP($I363&amp;$J363&amp;Z$1,Pesos!$A:$I,7,FALSE),VLOOKUP($I363&amp;$J363&amp;Z$1,Pesos!$A:$I,9,FALSE)))</f>
        <v>0.2</v>
      </c>
      <c r="AY363" s="132">
        <f>IF(AA363="","",IF(AA363="SIM",VLOOKUP($I363&amp;$J363&amp;AA$1,Pesos!$A:$I,7,FALSE),VLOOKUP($I363&amp;$J363&amp;AA$1,Pesos!$A:$I,9,FALSE)))</f>
        <v>-1.4999999999999999E-2</v>
      </c>
      <c r="AZ363" s="132">
        <f>IF(AB363="","",IF(AB363="SIM",VLOOKUP($I363&amp;$J363&amp;AB$1,Pesos!$A:$I,7,FALSE),VLOOKUP($I363&amp;$J363&amp;AB$1,Pesos!$A:$I,9,FALSE)))</f>
        <v>0.1</v>
      </c>
      <c r="BA363" s="132" t="str">
        <f>IF(AC363="","",IF(AC363="SIM",VLOOKUP($I363&amp;$J363&amp;AC$1,Pesos!$A:$I,7,FALSE),VLOOKUP($I363&amp;$J363&amp;AC$1,Pesos!$A:$I,9,FALSE)))</f>
        <v/>
      </c>
      <c r="BB363" s="132" t="str">
        <f>IF(AD363="","",IF(AD363="SIM",VLOOKUP($I363&amp;$J363&amp;AD$1,Pesos!$A:$I,7,FALSE),VLOOKUP($I363&amp;$J363&amp;AD$1,Pesos!$A:$I,9,FALSE)))</f>
        <v/>
      </c>
      <c r="BC363" s="132" t="str">
        <f>IF(AE363="","",IF(AE363="SIM",VLOOKUP($I363&amp;$J363&amp;AE$1,Pesos!$A:$I,7,FALSE),VLOOKUP($I363&amp;$J363&amp;AE$1,Pesos!$A:$I,9,FALSE)))</f>
        <v/>
      </c>
      <c r="BD363" s="158">
        <f>IFERROR(AF363*VLOOKUP(J363,'BD Campos'!$X$1:$Y$14,2,FALSE),"0")</f>
        <v>9.6850000000000005</v>
      </c>
    </row>
    <row r="364" spans="1:56">
      <c r="A364" s="151" t="str">
        <f t="shared" si="23"/>
        <v>Jan11205MotoristaLOGÍSTICA</v>
      </c>
      <c r="B364" s="149" t="str">
        <f t="shared" si="24"/>
        <v>Jan112052LOGÍSTICAPADRÃO</v>
      </c>
      <c r="C364" s="152">
        <v>1</v>
      </c>
      <c r="D364" s="153">
        <v>46062.668256249999</v>
      </c>
      <c r="E364" s="154" t="s">
        <v>12</v>
      </c>
      <c r="F364" s="155">
        <v>11205</v>
      </c>
      <c r="G364" s="149" t="s">
        <v>565</v>
      </c>
      <c r="H364" s="154">
        <v>2</v>
      </c>
      <c r="I364" s="149" t="s">
        <v>543</v>
      </c>
      <c r="J364" s="149" t="s">
        <v>93</v>
      </c>
      <c r="K364" s="149" t="s">
        <v>315</v>
      </c>
      <c r="L364" s="156"/>
      <c r="M364" s="157">
        <v>1.1458333333333333E-3</v>
      </c>
      <c r="N364" s="131" t="s">
        <v>18</v>
      </c>
      <c r="O364" s="131" t="s">
        <v>17</v>
      </c>
      <c r="P364" s="131" t="s">
        <v>17</v>
      </c>
      <c r="Q364" s="131" t="s">
        <v>17</v>
      </c>
      <c r="R364" s="131" t="s">
        <v>17</v>
      </c>
      <c r="S364" s="131" t="s">
        <v>17</v>
      </c>
      <c r="T364" s="131" t="s">
        <v>18</v>
      </c>
      <c r="U364" s="131" t="s">
        <v>18</v>
      </c>
      <c r="V364" s="131" t="s">
        <v>18</v>
      </c>
      <c r="W364" s="131" t="s">
        <v>17</v>
      </c>
      <c r="X364" s="131" t="s">
        <v>17</v>
      </c>
      <c r="Y364" s="131" t="s">
        <v>17</v>
      </c>
      <c r="Z364" s="131" t="s">
        <v>18</v>
      </c>
      <c r="AA364" s="131" t="s">
        <v>17</v>
      </c>
      <c r="AB364" s="131"/>
      <c r="AC364" s="131"/>
      <c r="AD364" s="131"/>
      <c r="AE364" s="131"/>
      <c r="AF364" s="158">
        <f t="shared" si="26"/>
        <v>6.1150000000000011</v>
      </c>
      <c r="AG364" s="159"/>
      <c r="AH364" s="155"/>
      <c r="AI364" s="155" t="s">
        <v>83</v>
      </c>
      <c r="AJ364" s="131" t="str">
        <f>IFERROR(VLOOKUP(E364&amp;F364,'Listagem dos op'!A:S,19,0),"")</f>
        <v/>
      </c>
      <c r="AK364" s="131" t="str">
        <f t="shared" si="25"/>
        <v>Jan11205</v>
      </c>
      <c r="AL364" s="154">
        <f>IF(N364="","",IF(N364="SIM",VLOOKUP($I364&amp;$J364&amp;N$1,Pesos!$A:$I,7,FALSE),VLOOKUP($I364&amp;$J364&amp;N$1,Pesos!$A:$I,9,FALSE)))</f>
        <v>-5.000000000000001E-3</v>
      </c>
      <c r="AM364" s="154">
        <f>IF(O364="","",IF(O364="SIM",VLOOKUP($I364&amp;$J364&amp;O$1,Pesos!$A:$I,7,FALSE),VLOOKUP($I364&amp;$J364&amp;O$1,Pesos!$A:$I,9,FALSE)))</f>
        <v>0.1</v>
      </c>
      <c r="AN364" s="154">
        <f>IF(P364="","",IF(P364="SIM",VLOOKUP($I364&amp;$J364&amp;P$1,Pesos!$A:$I,7,FALSE),VLOOKUP($I364&amp;$J364&amp;P$1,Pesos!$A:$I,9,FALSE)))</f>
        <v>0.1</v>
      </c>
      <c r="AO364" s="154">
        <f>IF(Q364="","",IF(Q364="SIM",VLOOKUP($I364&amp;$J364&amp;Q$1,Pesos!$A:$I,7,FALSE),VLOOKUP($I364&amp;$J364&amp;Q$1,Pesos!$A:$I,9,FALSE)))</f>
        <v>0.4</v>
      </c>
      <c r="AP364" s="154">
        <f>IF(R364="","",IF(R364="SIM",VLOOKUP($I364&amp;$J364&amp;R$1,Pesos!$A:$I,7,FALSE),VLOOKUP($I364&amp;$J364&amp;R$1,Pesos!$A:$I,9,FALSE)))</f>
        <v>2</v>
      </c>
      <c r="AQ364" s="154">
        <f>IF(S364="","",IF(S364="SIM",VLOOKUP($I364&amp;$J364&amp;S$1,Pesos!$A:$I,7,FALSE),VLOOKUP($I364&amp;$J364&amp;S$1,Pesos!$A:$I,9,FALSE)))</f>
        <v>2.9499999999999997</v>
      </c>
      <c r="AR364" s="156">
        <f>IF(T364="","",IF(T364="SIM",VLOOKUP($I364&amp;$J364&amp;T$1,Pesos!$A:$I,7,FALSE),VLOOKUP($I364&amp;$J364&amp;T$1,Pesos!$A:$I,9,FALSE)))</f>
        <v>-0.1</v>
      </c>
      <c r="AS364" s="132">
        <f>IF(U364="","",IF(U364="SIM",VLOOKUP($I364&amp;$J364&amp;U$1,Pesos!$A:$I,7,FALSE),VLOOKUP($I364&amp;$J364&amp;U$1,Pesos!$A:$I,9,FALSE)))</f>
        <v>-0.05</v>
      </c>
      <c r="AT364" s="132">
        <f>IF(V364="","",IF(V364="SIM",VLOOKUP($I364&amp;$J364&amp;V$1,Pesos!$A:$I,7,FALSE),VLOOKUP($I364&amp;$J364&amp;V$1,Pesos!$A:$I,9,FALSE)))</f>
        <v>-1.4999999999999999E-2</v>
      </c>
      <c r="AU364" s="132">
        <f>IF(W364="","",IF(W364="SIM",VLOOKUP($I364&amp;$J364&amp;W$1,Pesos!$A:$I,7,FALSE),VLOOKUP($I364&amp;$J364&amp;W$1,Pesos!$A:$I,9,FALSE)))</f>
        <v>0.3</v>
      </c>
      <c r="AV364" s="132">
        <f>IF(X364="","",IF(X364="SIM",VLOOKUP($I364&amp;$J364&amp;X$1,Pesos!$A:$I,7,FALSE),VLOOKUP($I364&amp;$J364&amp;X$1,Pesos!$A:$I,9,FALSE)))</f>
        <v>0.15</v>
      </c>
      <c r="AW364" s="132">
        <f>IF(Y364="","",IF(Y364="SIM",VLOOKUP($I364&amp;$J364&amp;Y$1,Pesos!$A:$I,7,FALSE),VLOOKUP($I364&amp;$J364&amp;Y$1,Pesos!$A:$I,9,FALSE)))</f>
        <v>0.2</v>
      </c>
      <c r="AX364" s="132">
        <f>IF(Z364="","",IF(Z364="SIM",VLOOKUP($I364&amp;$J364&amp;Z$1,Pesos!$A:$I,7,FALSE),VLOOKUP($I364&amp;$J364&amp;Z$1,Pesos!$A:$I,9,FALSE)))</f>
        <v>-1.4999999999999999E-2</v>
      </c>
      <c r="AY364" s="132">
        <f>IF(AA364="","",IF(AA364="SIM",VLOOKUP($I364&amp;$J364&amp;AA$1,Pesos!$A:$I,7,FALSE),VLOOKUP($I364&amp;$J364&amp;AA$1,Pesos!$A:$I,9,FALSE)))</f>
        <v>0.1</v>
      </c>
      <c r="AZ364" s="132" t="str">
        <f>IF(AB364="","",IF(AB364="SIM",VLOOKUP($I364&amp;$J364&amp;AB$1,Pesos!$A:$I,7,FALSE),VLOOKUP($I364&amp;$J364&amp;AB$1,Pesos!$A:$I,9,FALSE)))</f>
        <v/>
      </c>
      <c r="BA364" s="132" t="str">
        <f>IF(AC364="","",IF(AC364="SIM",VLOOKUP($I364&amp;$J364&amp;AC$1,Pesos!$A:$I,7,FALSE),VLOOKUP($I364&amp;$J364&amp;AC$1,Pesos!$A:$I,9,FALSE)))</f>
        <v/>
      </c>
      <c r="BB364" s="132" t="str">
        <f>IF(AD364="","",IF(AD364="SIM",VLOOKUP($I364&amp;$J364&amp;AD$1,Pesos!$A:$I,7,FALSE),VLOOKUP($I364&amp;$J364&amp;AD$1,Pesos!$A:$I,9,FALSE)))</f>
        <v/>
      </c>
      <c r="BC364" s="132" t="str">
        <f>IF(AE364="","",IF(AE364="SIM",VLOOKUP($I364&amp;$J364&amp;AE$1,Pesos!$A:$I,7,FALSE),VLOOKUP($I364&amp;$J364&amp;AE$1,Pesos!$A:$I,9,FALSE)))</f>
        <v/>
      </c>
      <c r="BD364" s="158">
        <f>IFERROR(AF364*VLOOKUP(J364,'BD Campos'!$X$1:$Y$14,2,FALSE),"0")</f>
        <v>6.1150000000000011</v>
      </c>
    </row>
    <row r="365" spans="1:56">
      <c r="A365" s="151" t="str">
        <f t="shared" si="23"/>
        <v>Jan11499ClienteLOGÍSTICA</v>
      </c>
      <c r="B365" s="149" t="str">
        <f t="shared" si="24"/>
        <v>Jan114991LOGÍSTICAPADRÃO</v>
      </c>
      <c r="C365" s="152">
        <v>1</v>
      </c>
      <c r="D365" s="153">
        <v>46062.67144953704</v>
      </c>
      <c r="E365" s="154" t="s">
        <v>12</v>
      </c>
      <c r="F365" s="155">
        <v>11499</v>
      </c>
      <c r="G365" s="149" t="s">
        <v>566</v>
      </c>
      <c r="H365" s="154">
        <v>1</v>
      </c>
      <c r="I365" s="149" t="s">
        <v>480</v>
      </c>
      <c r="J365" s="149" t="s">
        <v>149</v>
      </c>
      <c r="K365" s="149" t="s">
        <v>315</v>
      </c>
      <c r="L365" s="156"/>
      <c r="M365" s="157">
        <v>1.2962962962962963E-3</v>
      </c>
      <c r="N365" s="131" t="s">
        <v>18</v>
      </c>
      <c r="O365" s="131" t="s">
        <v>17</v>
      </c>
      <c r="P365" s="131" t="s">
        <v>17</v>
      </c>
      <c r="Q365" s="131" t="s">
        <v>18</v>
      </c>
      <c r="R365" s="131" t="s">
        <v>17</v>
      </c>
      <c r="S365" s="131" t="s">
        <v>17</v>
      </c>
      <c r="T365" s="131" t="s">
        <v>17</v>
      </c>
      <c r="U365" s="131" t="s">
        <v>17</v>
      </c>
      <c r="V365" s="131" t="s">
        <v>17</v>
      </c>
      <c r="W365" s="131" t="s">
        <v>18</v>
      </c>
      <c r="X365" s="131" t="s">
        <v>17</v>
      </c>
      <c r="Y365" s="131" t="s">
        <v>17</v>
      </c>
      <c r="Z365" s="131" t="s">
        <v>17</v>
      </c>
      <c r="AA365" s="131" t="s">
        <v>18</v>
      </c>
      <c r="AB365" s="131" t="s">
        <v>17</v>
      </c>
      <c r="AC365" s="131"/>
      <c r="AD365" s="131"/>
      <c r="AE365" s="131"/>
      <c r="AF365" s="158">
        <f t="shared" si="26"/>
        <v>8.8449999999999989</v>
      </c>
      <c r="AG365" s="159"/>
      <c r="AH365" s="155"/>
      <c r="AI365" s="155" t="s">
        <v>83</v>
      </c>
      <c r="AJ365" s="131" t="str">
        <f>IFERROR(VLOOKUP(E365&amp;F365,'Listagem dos op'!A:S,19,0),"")</f>
        <v/>
      </c>
      <c r="AK365" s="131" t="str">
        <f t="shared" si="25"/>
        <v>Jan11499</v>
      </c>
      <c r="AL365" s="154">
        <f>IF(N365="","",IF(N365="SIM",VLOOKUP($I365&amp;$J365&amp;N$1,Pesos!$A:$I,7,FALSE),VLOOKUP($I365&amp;$J365&amp;N$1,Pesos!$A:$I,9,FALSE)))</f>
        <v>-5.000000000000001E-3</v>
      </c>
      <c r="AM365" s="154">
        <f>IF(O365="","",IF(O365="SIM",VLOOKUP($I365&amp;$J365&amp;O$1,Pesos!$A:$I,7,FALSE),VLOOKUP($I365&amp;$J365&amp;O$1,Pesos!$A:$I,9,FALSE)))</f>
        <v>0.1</v>
      </c>
      <c r="AN365" s="154">
        <f>IF(P365="","",IF(P365="SIM",VLOOKUP($I365&amp;$J365&amp;P$1,Pesos!$A:$I,7,FALSE),VLOOKUP($I365&amp;$J365&amp;P$1,Pesos!$A:$I,9,FALSE)))</f>
        <v>0.1</v>
      </c>
      <c r="AO365" s="154">
        <f>IF(Q365="","",IF(Q365="SIM",VLOOKUP($I365&amp;$J365&amp;Q$1,Pesos!$A:$I,7,FALSE),VLOOKUP($I365&amp;$J365&amp;Q$1,Pesos!$A:$I,9,FALSE)))</f>
        <v>-2.0000000000000004E-2</v>
      </c>
      <c r="AP365" s="154">
        <f>IF(R365="","",IF(R365="SIM",VLOOKUP($I365&amp;$J365&amp;R$1,Pesos!$A:$I,7,FALSE),VLOOKUP($I365&amp;$J365&amp;R$1,Pesos!$A:$I,9,FALSE)))</f>
        <v>1.5</v>
      </c>
      <c r="AQ365" s="154">
        <f>IF(S365="","",IF(S365="SIM",VLOOKUP($I365&amp;$J365&amp;S$1,Pesos!$A:$I,7,FALSE),VLOOKUP($I365&amp;$J365&amp;S$1,Pesos!$A:$I,9,FALSE)))</f>
        <v>1.75</v>
      </c>
      <c r="AR365" s="156">
        <f>IF(T365="","",IF(T365="SIM",VLOOKUP($I365&amp;$J365&amp;T$1,Pesos!$A:$I,7,FALSE),VLOOKUP($I365&amp;$J365&amp;T$1,Pesos!$A:$I,9,FALSE)))</f>
        <v>1.7000000000000002</v>
      </c>
      <c r="AS365" s="132">
        <f>IF(U365="","",IF(U365="SIM",VLOOKUP($I365&amp;$J365&amp;U$1,Pesos!$A:$I,7,FALSE),VLOOKUP($I365&amp;$J365&amp;U$1,Pesos!$A:$I,9,FALSE)))</f>
        <v>1.5</v>
      </c>
      <c r="AT365" s="132">
        <f>IF(V365="","",IF(V365="SIM",VLOOKUP($I365&amp;$J365&amp;V$1,Pesos!$A:$I,7,FALSE),VLOOKUP($I365&amp;$J365&amp;V$1,Pesos!$A:$I,9,FALSE)))</f>
        <v>1.5</v>
      </c>
      <c r="AU365" s="132">
        <f>IF(W365="","",IF(W365="SIM",VLOOKUP($I365&amp;$J365&amp;W$1,Pesos!$A:$I,7,FALSE),VLOOKUP($I365&amp;$J365&amp;W$1,Pesos!$A:$I,9,FALSE)))</f>
        <v>-1.4999999999999999E-2</v>
      </c>
      <c r="AV365" s="132">
        <f>IF(X365="","",IF(X365="SIM",VLOOKUP($I365&amp;$J365&amp;X$1,Pesos!$A:$I,7,FALSE),VLOOKUP($I365&amp;$J365&amp;X$1,Pesos!$A:$I,9,FALSE)))</f>
        <v>0.3</v>
      </c>
      <c r="AW365" s="132">
        <f>IF(Y365="","",IF(Y365="SIM",VLOOKUP($I365&amp;$J365&amp;Y$1,Pesos!$A:$I,7,FALSE),VLOOKUP($I365&amp;$J365&amp;Y$1,Pesos!$A:$I,9,FALSE)))</f>
        <v>0.15</v>
      </c>
      <c r="AX365" s="132">
        <f>IF(Z365="","",IF(Z365="SIM",VLOOKUP($I365&amp;$J365&amp;Z$1,Pesos!$A:$I,7,FALSE),VLOOKUP($I365&amp;$J365&amp;Z$1,Pesos!$A:$I,9,FALSE)))</f>
        <v>0.2</v>
      </c>
      <c r="AY365" s="132">
        <f>IF(AA365="","",IF(AA365="SIM",VLOOKUP($I365&amp;$J365&amp;AA$1,Pesos!$A:$I,7,FALSE),VLOOKUP($I365&amp;$J365&amp;AA$1,Pesos!$A:$I,9,FALSE)))</f>
        <v>-1.4999999999999999E-2</v>
      </c>
      <c r="AZ365" s="132">
        <f>IF(AB365="","",IF(AB365="SIM",VLOOKUP($I365&amp;$J365&amp;AB$1,Pesos!$A:$I,7,FALSE),VLOOKUP($I365&amp;$J365&amp;AB$1,Pesos!$A:$I,9,FALSE)))</f>
        <v>0.1</v>
      </c>
      <c r="BA365" s="132" t="str">
        <f>IF(AC365="","",IF(AC365="SIM",VLOOKUP($I365&amp;$J365&amp;AC$1,Pesos!$A:$I,7,FALSE),VLOOKUP($I365&amp;$J365&amp;AC$1,Pesos!$A:$I,9,FALSE)))</f>
        <v/>
      </c>
      <c r="BB365" s="132" t="str">
        <f>IF(AD365="","",IF(AD365="SIM",VLOOKUP($I365&amp;$J365&amp;AD$1,Pesos!$A:$I,7,FALSE),VLOOKUP($I365&amp;$J365&amp;AD$1,Pesos!$A:$I,9,FALSE)))</f>
        <v/>
      </c>
      <c r="BC365" s="132" t="str">
        <f>IF(AE365="","",IF(AE365="SIM",VLOOKUP($I365&amp;$J365&amp;AE$1,Pesos!$A:$I,7,FALSE),VLOOKUP($I365&amp;$J365&amp;AE$1,Pesos!$A:$I,9,FALSE)))</f>
        <v/>
      </c>
      <c r="BD365" s="158">
        <f>IFERROR(AF365*VLOOKUP(J365,'BD Campos'!$X$1:$Y$14,2,FALSE),"0")</f>
        <v>8.8449999999999989</v>
      </c>
    </row>
    <row r="366" spans="1:56">
      <c r="A366" s="151" t="str">
        <f t="shared" si="23"/>
        <v>Jan11499MotoristaLOGÍSTICA</v>
      </c>
      <c r="B366" s="149" t="str">
        <f t="shared" si="24"/>
        <v>Jan114992LOGÍSTICAPADRÃO</v>
      </c>
      <c r="C366" s="152">
        <v>1</v>
      </c>
      <c r="D366" s="153">
        <v>46062.673348263888</v>
      </c>
      <c r="E366" s="154" t="s">
        <v>12</v>
      </c>
      <c r="F366" s="155">
        <v>11499</v>
      </c>
      <c r="G366" s="149" t="s">
        <v>566</v>
      </c>
      <c r="H366" s="154">
        <v>2</v>
      </c>
      <c r="I366" s="149" t="s">
        <v>480</v>
      </c>
      <c r="J366" s="149" t="s">
        <v>93</v>
      </c>
      <c r="K366" s="149" t="s">
        <v>315</v>
      </c>
      <c r="L366" s="156"/>
      <c r="M366" s="157">
        <v>1.7245370370370372E-3</v>
      </c>
      <c r="N366" s="131" t="s">
        <v>18</v>
      </c>
      <c r="O366" s="131" t="s">
        <v>17</v>
      </c>
      <c r="P366" s="131" t="s">
        <v>17</v>
      </c>
      <c r="Q366" s="131" t="s">
        <v>17</v>
      </c>
      <c r="R366" s="131" t="s">
        <v>17</v>
      </c>
      <c r="S366" s="131" t="s">
        <v>17</v>
      </c>
      <c r="T366" s="131" t="s">
        <v>17</v>
      </c>
      <c r="U366" s="131" t="s">
        <v>17</v>
      </c>
      <c r="V366" s="131" t="s">
        <v>17</v>
      </c>
      <c r="W366" s="131" t="s">
        <v>17</v>
      </c>
      <c r="X366" s="131" t="s">
        <v>17</v>
      </c>
      <c r="Y366" s="131" t="s">
        <v>17</v>
      </c>
      <c r="Z366" s="131" t="s">
        <v>17</v>
      </c>
      <c r="AA366" s="131" t="s">
        <v>18</v>
      </c>
      <c r="AB366" s="131" t="s">
        <v>17</v>
      </c>
      <c r="AC366" s="131"/>
      <c r="AD366" s="131"/>
      <c r="AE366" s="131"/>
      <c r="AF366" s="158">
        <f t="shared" si="26"/>
        <v>9.58</v>
      </c>
      <c r="AG366" s="159"/>
      <c r="AH366" s="155"/>
      <c r="AI366" s="155" t="s">
        <v>83</v>
      </c>
      <c r="AJ366" s="131" t="str">
        <f>IFERROR(VLOOKUP(E366&amp;F366,'Listagem dos op'!A:S,19,0),"")</f>
        <v/>
      </c>
      <c r="AK366" s="131" t="str">
        <f t="shared" si="25"/>
        <v>Jan11499</v>
      </c>
      <c r="AL366" s="154">
        <f>IF(N366="","",IF(N366="SIM",VLOOKUP($I366&amp;$J366&amp;N$1,Pesos!$A:$I,7,FALSE),VLOOKUP($I366&amp;$J366&amp;N$1,Pesos!$A:$I,9,FALSE)))</f>
        <v>-5.000000000000001E-3</v>
      </c>
      <c r="AM366" s="154">
        <f>IF(O366="","",IF(O366="SIM",VLOOKUP($I366&amp;$J366&amp;O$1,Pesos!$A:$I,7,FALSE),VLOOKUP($I366&amp;$J366&amp;O$1,Pesos!$A:$I,9,FALSE)))</f>
        <v>0.1</v>
      </c>
      <c r="AN366" s="154">
        <f>IF(P366="","",IF(P366="SIM",VLOOKUP($I366&amp;$J366&amp;P$1,Pesos!$A:$I,7,FALSE),VLOOKUP($I366&amp;$J366&amp;P$1,Pesos!$A:$I,9,FALSE)))</f>
        <v>0.1</v>
      </c>
      <c r="AO366" s="154">
        <f>IF(Q366="","",IF(Q366="SIM",VLOOKUP($I366&amp;$J366&amp;Q$1,Pesos!$A:$I,7,FALSE),VLOOKUP($I366&amp;$J366&amp;Q$1,Pesos!$A:$I,9,FALSE)))</f>
        <v>0.4</v>
      </c>
      <c r="AP366" s="154">
        <f>IF(R366="","",IF(R366="SIM",VLOOKUP($I366&amp;$J366&amp;R$1,Pesos!$A:$I,7,FALSE),VLOOKUP($I366&amp;$J366&amp;R$1,Pesos!$A:$I,9,FALSE)))</f>
        <v>1.3</v>
      </c>
      <c r="AQ366" s="154">
        <f>IF(S366="","",IF(S366="SIM",VLOOKUP($I366&amp;$J366&amp;S$1,Pesos!$A:$I,7,FALSE),VLOOKUP($I366&amp;$J366&amp;S$1,Pesos!$A:$I,9,FALSE)))</f>
        <v>2</v>
      </c>
      <c r="AR366" s="156">
        <f>IF(T366="","",IF(T366="SIM",VLOOKUP($I366&amp;$J366&amp;T$1,Pesos!$A:$I,7,FALSE),VLOOKUP($I366&amp;$J366&amp;T$1,Pesos!$A:$I,9,FALSE)))</f>
        <v>2</v>
      </c>
      <c r="AS366" s="132">
        <f>IF(U366="","",IF(U366="SIM",VLOOKUP($I366&amp;$J366&amp;U$1,Pesos!$A:$I,7,FALSE),VLOOKUP($I366&amp;$J366&amp;U$1,Pesos!$A:$I,9,FALSE)))</f>
        <v>1.33</v>
      </c>
      <c r="AT366" s="132">
        <f>IF(V366="","",IF(V366="SIM",VLOOKUP($I366&amp;$J366&amp;V$1,Pesos!$A:$I,7,FALSE),VLOOKUP($I366&amp;$J366&amp;V$1,Pesos!$A:$I,9,FALSE)))</f>
        <v>1.32</v>
      </c>
      <c r="AU366" s="132">
        <f>IF(W366="","",IF(W366="SIM",VLOOKUP($I366&amp;$J366&amp;W$1,Pesos!$A:$I,7,FALSE),VLOOKUP($I366&amp;$J366&amp;W$1,Pesos!$A:$I,9,FALSE)))</f>
        <v>0.3</v>
      </c>
      <c r="AV366" s="132">
        <f>IF(X366="","",IF(X366="SIM",VLOOKUP($I366&amp;$J366&amp;X$1,Pesos!$A:$I,7,FALSE),VLOOKUP($I366&amp;$J366&amp;X$1,Pesos!$A:$I,9,FALSE)))</f>
        <v>0.3</v>
      </c>
      <c r="AW366" s="132">
        <f>IF(Y366="","",IF(Y366="SIM",VLOOKUP($I366&amp;$J366&amp;Y$1,Pesos!$A:$I,7,FALSE),VLOOKUP($I366&amp;$J366&amp;Y$1,Pesos!$A:$I,9,FALSE)))</f>
        <v>0.15</v>
      </c>
      <c r="AX366" s="132">
        <f>IF(Z366="","",IF(Z366="SIM",VLOOKUP($I366&amp;$J366&amp;Z$1,Pesos!$A:$I,7,FALSE),VLOOKUP($I366&amp;$J366&amp;Z$1,Pesos!$A:$I,9,FALSE)))</f>
        <v>0.2</v>
      </c>
      <c r="AY366" s="132">
        <f>IF(AA366="","",IF(AA366="SIM",VLOOKUP($I366&amp;$J366&amp;AA$1,Pesos!$A:$I,7,FALSE),VLOOKUP($I366&amp;$J366&amp;AA$1,Pesos!$A:$I,9,FALSE)))</f>
        <v>-1.4999999999999999E-2</v>
      </c>
      <c r="AZ366" s="132">
        <f>IF(AB366="","",IF(AB366="SIM",VLOOKUP($I366&amp;$J366&amp;AB$1,Pesos!$A:$I,7,FALSE),VLOOKUP($I366&amp;$J366&amp;AB$1,Pesos!$A:$I,9,FALSE)))</f>
        <v>0.1</v>
      </c>
      <c r="BA366" s="132" t="str">
        <f>IF(AC366="","",IF(AC366="SIM",VLOOKUP($I366&amp;$J366&amp;AC$1,Pesos!$A:$I,7,FALSE),VLOOKUP($I366&amp;$J366&amp;AC$1,Pesos!$A:$I,9,FALSE)))</f>
        <v/>
      </c>
      <c r="BB366" s="132" t="str">
        <f>IF(AD366="","",IF(AD366="SIM",VLOOKUP($I366&amp;$J366&amp;AD$1,Pesos!$A:$I,7,FALSE),VLOOKUP($I366&amp;$J366&amp;AD$1,Pesos!$A:$I,9,FALSE)))</f>
        <v/>
      </c>
      <c r="BC366" s="132" t="str">
        <f>IF(AE366="","",IF(AE366="SIM",VLOOKUP($I366&amp;$J366&amp;AE$1,Pesos!$A:$I,7,FALSE),VLOOKUP($I366&amp;$J366&amp;AE$1,Pesos!$A:$I,9,FALSE)))</f>
        <v/>
      </c>
      <c r="BD366" s="158">
        <f>IFERROR(AF366*VLOOKUP(J366,'BD Campos'!$X$1:$Y$14,2,FALSE),"0")</f>
        <v>9.58</v>
      </c>
    </row>
    <row r="367" spans="1:56">
      <c r="A367" s="151" t="str">
        <f t="shared" si="23"/>
        <v>Jan11468MotoristaLOGÍSTICA</v>
      </c>
      <c r="B367" s="149" t="str">
        <f t="shared" si="24"/>
        <v>Jan114681LOGÍSTICAPADRÃO</v>
      </c>
      <c r="C367" s="152">
        <v>1</v>
      </c>
      <c r="D367" s="153">
        <v>46062.678721643519</v>
      </c>
      <c r="E367" s="154" t="s">
        <v>12</v>
      </c>
      <c r="F367" s="155">
        <v>11468</v>
      </c>
      <c r="G367" s="149" t="s">
        <v>567</v>
      </c>
      <c r="H367" s="154">
        <v>1</v>
      </c>
      <c r="I367" s="149" t="s">
        <v>480</v>
      </c>
      <c r="J367" s="149" t="s">
        <v>93</v>
      </c>
      <c r="K367" s="149" t="s">
        <v>315</v>
      </c>
      <c r="L367" s="156"/>
      <c r="M367" s="157">
        <v>1.5509259259259261E-3</v>
      </c>
      <c r="N367" s="131" t="s">
        <v>18</v>
      </c>
      <c r="O367" s="131" t="s">
        <v>17</v>
      </c>
      <c r="P367" s="131" t="s">
        <v>17</v>
      </c>
      <c r="Q367" s="131" t="s">
        <v>17</v>
      </c>
      <c r="R367" s="131" t="s">
        <v>17</v>
      </c>
      <c r="S367" s="131" t="s">
        <v>17</v>
      </c>
      <c r="T367" s="131" t="s">
        <v>17</v>
      </c>
      <c r="U367" s="131" t="s">
        <v>17</v>
      </c>
      <c r="V367" s="131" t="s">
        <v>17</v>
      </c>
      <c r="W367" s="131" t="s">
        <v>17</v>
      </c>
      <c r="X367" s="131" t="s">
        <v>17</v>
      </c>
      <c r="Y367" s="131" t="s">
        <v>17</v>
      </c>
      <c r="Z367" s="131" t="s">
        <v>17</v>
      </c>
      <c r="AA367" s="131" t="s">
        <v>18</v>
      </c>
      <c r="AB367" s="131" t="s">
        <v>17</v>
      </c>
      <c r="AC367" s="131"/>
      <c r="AD367" s="131"/>
      <c r="AE367" s="131"/>
      <c r="AF367" s="158">
        <f t="shared" si="26"/>
        <v>9.58</v>
      </c>
      <c r="AG367" s="159"/>
      <c r="AH367" s="155"/>
      <c r="AI367" s="155" t="s">
        <v>83</v>
      </c>
      <c r="AJ367" s="131" t="str">
        <f>IFERROR(VLOOKUP(E367&amp;F367,'Listagem dos op'!A:S,19,0),"")</f>
        <v/>
      </c>
      <c r="AK367" s="131" t="str">
        <f t="shared" si="25"/>
        <v>Jan11468</v>
      </c>
      <c r="AL367" s="154">
        <f>IF(N367="","",IF(N367="SIM",VLOOKUP($I367&amp;$J367&amp;N$1,Pesos!$A:$I,7,FALSE),VLOOKUP($I367&amp;$J367&amp;N$1,Pesos!$A:$I,9,FALSE)))</f>
        <v>-5.000000000000001E-3</v>
      </c>
      <c r="AM367" s="154">
        <f>IF(O367="","",IF(O367="SIM",VLOOKUP($I367&amp;$J367&amp;O$1,Pesos!$A:$I,7,FALSE),VLOOKUP($I367&amp;$J367&amp;O$1,Pesos!$A:$I,9,FALSE)))</f>
        <v>0.1</v>
      </c>
      <c r="AN367" s="154">
        <f>IF(P367="","",IF(P367="SIM",VLOOKUP($I367&amp;$J367&amp;P$1,Pesos!$A:$I,7,FALSE),VLOOKUP($I367&amp;$J367&amp;P$1,Pesos!$A:$I,9,FALSE)))</f>
        <v>0.1</v>
      </c>
      <c r="AO367" s="154">
        <f>IF(Q367="","",IF(Q367="SIM",VLOOKUP($I367&amp;$J367&amp;Q$1,Pesos!$A:$I,7,FALSE),VLOOKUP($I367&amp;$J367&amp;Q$1,Pesos!$A:$I,9,FALSE)))</f>
        <v>0.4</v>
      </c>
      <c r="AP367" s="154">
        <f>IF(R367="","",IF(R367="SIM",VLOOKUP($I367&amp;$J367&amp;R$1,Pesos!$A:$I,7,FALSE),VLOOKUP($I367&amp;$J367&amp;R$1,Pesos!$A:$I,9,FALSE)))</f>
        <v>1.3</v>
      </c>
      <c r="AQ367" s="154">
        <f>IF(S367="","",IF(S367="SIM",VLOOKUP($I367&amp;$J367&amp;S$1,Pesos!$A:$I,7,FALSE),VLOOKUP($I367&amp;$J367&amp;S$1,Pesos!$A:$I,9,FALSE)))</f>
        <v>2</v>
      </c>
      <c r="AR367" s="156">
        <f>IF(T367="","",IF(T367="SIM",VLOOKUP($I367&amp;$J367&amp;T$1,Pesos!$A:$I,7,FALSE),VLOOKUP($I367&amp;$J367&amp;T$1,Pesos!$A:$I,9,FALSE)))</f>
        <v>2</v>
      </c>
      <c r="AS367" s="132">
        <f>IF(U367="","",IF(U367="SIM",VLOOKUP($I367&amp;$J367&amp;U$1,Pesos!$A:$I,7,FALSE),VLOOKUP($I367&amp;$J367&amp;U$1,Pesos!$A:$I,9,FALSE)))</f>
        <v>1.33</v>
      </c>
      <c r="AT367" s="132">
        <f>IF(V367="","",IF(V367="SIM",VLOOKUP($I367&amp;$J367&amp;V$1,Pesos!$A:$I,7,FALSE),VLOOKUP($I367&amp;$J367&amp;V$1,Pesos!$A:$I,9,FALSE)))</f>
        <v>1.32</v>
      </c>
      <c r="AU367" s="132">
        <f>IF(W367="","",IF(W367="SIM",VLOOKUP($I367&amp;$J367&amp;W$1,Pesos!$A:$I,7,FALSE),VLOOKUP($I367&amp;$J367&amp;W$1,Pesos!$A:$I,9,FALSE)))</f>
        <v>0.3</v>
      </c>
      <c r="AV367" s="132">
        <f>IF(X367="","",IF(X367="SIM",VLOOKUP($I367&amp;$J367&amp;X$1,Pesos!$A:$I,7,FALSE),VLOOKUP($I367&amp;$J367&amp;X$1,Pesos!$A:$I,9,FALSE)))</f>
        <v>0.3</v>
      </c>
      <c r="AW367" s="132">
        <f>IF(Y367="","",IF(Y367="SIM",VLOOKUP($I367&amp;$J367&amp;Y$1,Pesos!$A:$I,7,FALSE),VLOOKUP($I367&amp;$J367&amp;Y$1,Pesos!$A:$I,9,FALSE)))</f>
        <v>0.15</v>
      </c>
      <c r="AX367" s="132">
        <f>IF(Z367="","",IF(Z367="SIM",VLOOKUP($I367&amp;$J367&amp;Z$1,Pesos!$A:$I,7,FALSE),VLOOKUP($I367&amp;$J367&amp;Z$1,Pesos!$A:$I,9,FALSE)))</f>
        <v>0.2</v>
      </c>
      <c r="AY367" s="132">
        <f>IF(AA367="","",IF(AA367="SIM",VLOOKUP($I367&amp;$J367&amp;AA$1,Pesos!$A:$I,7,FALSE),VLOOKUP($I367&amp;$J367&amp;AA$1,Pesos!$A:$I,9,FALSE)))</f>
        <v>-1.4999999999999999E-2</v>
      </c>
      <c r="AZ367" s="132">
        <f>IF(AB367="","",IF(AB367="SIM",VLOOKUP($I367&amp;$J367&amp;AB$1,Pesos!$A:$I,7,FALSE),VLOOKUP($I367&amp;$J367&amp;AB$1,Pesos!$A:$I,9,FALSE)))</f>
        <v>0.1</v>
      </c>
      <c r="BA367" s="132" t="str">
        <f>IF(AC367="","",IF(AC367="SIM",VLOOKUP($I367&amp;$J367&amp;AC$1,Pesos!$A:$I,7,FALSE),VLOOKUP($I367&amp;$J367&amp;AC$1,Pesos!$A:$I,9,FALSE)))</f>
        <v/>
      </c>
      <c r="BB367" s="132" t="str">
        <f>IF(AD367="","",IF(AD367="SIM",VLOOKUP($I367&amp;$J367&amp;AD$1,Pesos!$A:$I,7,FALSE),VLOOKUP($I367&amp;$J367&amp;AD$1,Pesos!$A:$I,9,FALSE)))</f>
        <v/>
      </c>
      <c r="BC367" s="132" t="str">
        <f>IF(AE367="","",IF(AE367="SIM",VLOOKUP($I367&amp;$J367&amp;AE$1,Pesos!$A:$I,7,FALSE),VLOOKUP($I367&amp;$J367&amp;AE$1,Pesos!$A:$I,9,FALSE)))</f>
        <v/>
      </c>
      <c r="BD367" s="158">
        <f>IFERROR(AF367*VLOOKUP(J367,'BD Campos'!$X$1:$Y$14,2,FALSE),"0")</f>
        <v>9.58</v>
      </c>
    </row>
    <row r="368" spans="1:56">
      <c r="A368" s="151" t="str">
        <f t="shared" si="23"/>
        <v>Jan11468ClienteLOGÍSTICA</v>
      </c>
      <c r="B368" s="149" t="str">
        <f t="shared" si="24"/>
        <v>Jan114682LOGÍSTICAPADRÃO</v>
      </c>
      <c r="C368" s="152">
        <v>1</v>
      </c>
      <c r="D368" s="153">
        <v>46062.68182928241</v>
      </c>
      <c r="E368" s="154" t="s">
        <v>12</v>
      </c>
      <c r="F368" s="155">
        <v>11468</v>
      </c>
      <c r="G368" s="149" t="s">
        <v>567</v>
      </c>
      <c r="H368" s="154">
        <v>2</v>
      </c>
      <c r="I368" s="149" t="s">
        <v>480</v>
      </c>
      <c r="J368" s="149" t="s">
        <v>149</v>
      </c>
      <c r="K368" s="149" t="s">
        <v>315</v>
      </c>
      <c r="L368" s="156"/>
      <c r="M368" s="157">
        <v>1.5856481481481479E-3</v>
      </c>
      <c r="N368" s="131" t="s">
        <v>18</v>
      </c>
      <c r="O368" s="131" t="s">
        <v>17</v>
      </c>
      <c r="P368" s="131" t="s">
        <v>17</v>
      </c>
      <c r="Q368" s="131" t="s">
        <v>17</v>
      </c>
      <c r="R368" s="131" t="s">
        <v>17</v>
      </c>
      <c r="S368" s="131" t="s">
        <v>18</v>
      </c>
      <c r="T368" s="131" t="s">
        <v>17</v>
      </c>
      <c r="U368" s="131" t="s">
        <v>17</v>
      </c>
      <c r="V368" s="131" t="s">
        <v>17</v>
      </c>
      <c r="W368" s="131" t="s">
        <v>17</v>
      </c>
      <c r="X368" s="131" t="s">
        <v>17</v>
      </c>
      <c r="Y368" s="131" t="s">
        <v>17</v>
      </c>
      <c r="Z368" s="131" t="s">
        <v>17</v>
      </c>
      <c r="AA368" s="131" t="s">
        <v>18</v>
      </c>
      <c r="AB368" s="131" t="s">
        <v>17</v>
      </c>
      <c r="AC368" s="131"/>
      <c r="AD368" s="131"/>
      <c r="AE368" s="131"/>
      <c r="AF368" s="158">
        <f t="shared" si="26"/>
        <v>7.7424999999999997</v>
      </c>
      <c r="AG368" s="159"/>
      <c r="AH368" s="155"/>
      <c r="AI368" s="155" t="s">
        <v>83</v>
      </c>
      <c r="AJ368" s="131" t="str">
        <f>IFERROR(VLOOKUP(E368&amp;F368,'Listagem dos op'!A:S,19,0),"")</f>
        <v/>
      </c>
      <c r="AK368" s="131" t="str">
        <f t="shared" si="25"/>
        <v>Jan11468</v>
      </c>
      <c r="AL368" s="154">
        <f>IF(N368="","",IF(N368="SIM",VLOOKUP($I368&amp;$J368&amp;N$1,Pesos!$A:$I,7,FALSE),VLOOKUP($I368&amp;$J368&amp;N$1,Pesos!$A:$I,9,FALSE)))</f>
        <v>-5.000000000000001E-3</v>
      </c>
      <c r="AM368" s="154">
        <f>IF(O368="","",IF(O368="SIM",VLOOKUP($I368&amp;$J368&amp;O$1,Pesos!$A:$I,7,FALSE),VLOOKUP($I368&amp;$J368&amp;O$1,Pesos!$A:$I,9,FALSE)))</f>
        <v>0.1</v>
      </c>
      <c r="AN368" s="154">
        <f>IF(P368="","",IF(P368="SIM",VLOOKUP($I368&amp;$J368&amp;P$1,Pesos!$A:$I,7,FALSE),VLOOKUP($I368&amp;$J368&amp;P$1,Pesos!$A:$I,9,FALSE)))</f>
        <v>0.1</v>
      </c>
      <c r="AO368" s="154">
        <f>IF(Q368="","",IF(Q368="SIM",VLOOKUP($I368&amp;$J368&amp;Q$1,Pesos!$A:$I,7,FALSE),VLOOKUP($I368&amp;$J368&amp;Q$1,Pesos!$A:$I,9,FALSE)))</f>
        <v>0.4</v>
      </c>
      <c r="AP368" s="154">
        <f>IF(R368="","",IF(R368="SIM",VLOOKUP($I368&amp;$J368&amp;R$1,Pesos!$A:$I,7,FALSE),VLOOKUP($I368&amp;$J368&amp;R$1,Pesos!$A:$I,9,FALSE)))</f>
        <v>1.5</v>
      </c>
      <c r="AQ368" s="154">
        <f>IF(S368="","",IF(S368="SIM",VLOOKUP($I368&amp;$J368&amp;S$1,Pesos!$A:$I,7,FALSE),VLOOKUP($I368&amp;$J368&amp;S$1,Pesos!$A:$I,9,FALSE)))</f>
        <v>-8.7500000000000008E-2</v>
      </c>
      <c r="AR368" s="156">
        <f>IF(T368="","",IF(T368="SIM",VLOOKUP($I368&amp;$J368&amp;T$1,Pesos!$A:$I,7,FALSE),VLOOKUP($I368&amp;$J368&amp;T$1,Pesos!$A:$I,9,FALSE)))</f>
        <v>1.7000000000000002</v>
      </c>
      <c r="AS368" s="132">
        <f>IF(U368="","",IF(U368="SIM",VLOOKUP($I368&amp;$J368&amp;U$1,Pesos!$A:$I,7,FALSE),VLOOKUP($I368&amp;$J368&amp;U$1,Pesos!$A:$I,9,FALSE)))</f>
        <v>1.5</v>
      </c>
      <c r="AT368" s="132">
        <f>IF(V368="","",IF(V368="SIM",VLOOKUP($I368&amp;$J368&amp;V$1,Pesos!$A:$I,7,FALSE),VLOOKUP($I368&amp;$J368&amp;V$1,Pesos!$A:$I,9,FALSE)))</f>
        <v>1.5</v>
      </c>
      <c r="AU368" s="132">
        <f>IF(W368="","",IF(W368="SIM",VLOOKUP($I368&amp;$J368&amp;W$1,Pesos!$A:$I,7,FALSE),VLOOKUP($I368&amp;$J368&amp;W$1,Pesos!$A:$I,9,FALSE)))</f>
        <v>0.3</v>
      </c>
      <c r="AV368" s="132">
        <f>IF(X368="","",IF(X368="SIM",VLOOKUP($I368&amp;$J368&amp;X$1,Pesos!$A:$I,7,FALSE),VLOOKUP($I368&amp;$J368&amp;X$1,Pesos!$A:$I,9,FALSE)))</f>
        <v>0.3</v>
      </c>
      <c r="AW368" s="132">
        <f>IF(Y368="","",IF(Y368="SIM",VLOOKUP($I368&amp;$J368&amp;Y$1,Pesos!$A:$I,7,FALSE),VLOOKUP($I368&amp;$J368&amp;Y$1,Pesos!$A:$I,9,FALSE)))</f>
        <v>0.15</v>
      </c>
      <c r="AX368" s="132">
        <f>IF(Z368="","",IF(Z368="SIM",VLOOKUP($I368&amp;$J368&amp;Z$1,Pesos!$A:$I,7,FALSE),VLOOKUP($I368&amp;$J368&amp;Z$1,Pesos!$A:$I,9,FALSE)))</f>
        <v>0.2</v>
      </c>
      <c r="AY368" s="132">
        <f>IF(AA368="","",IF(AA368="SIM",VLOOKUP($I368&amp;$J368&amp;AA$1,Pesos!$A:$I,7,FALSE),VLOOKUP($I368&amp;$J368&amp;AA$1,Pesos!$A:$I,9,FALSE)))</f>
        <v>-1.4999999999999999E-2</v>
      </c>
      <c r="AZ368" s="132">
        <f>IF(AB368="","",IF(AB368="SIM",VLOOKUP($I368&amp;$J368&amp;AB$1,Pesos!$A:$I,7,FALSE),VLOOKUP($I368&amp;$J368&amp;AB$1,Pesos!$A:$I,9,FALSE)))</f>
        <v>0.1</v>
      </c>
      <c r="BA368" s="132" t="str">
        <f>IF(AC368="","",IF(AC368="SIM",VLOOKUP($I368&amp;$J368&amp;AC$1,Pesos!$A:$I,7,FALSE),VLOOKUP($I368&amp;$J368&amp;AC$1,Pesos!$A:$I,9,FALSE)))</f>
        <v/>
      </c>
      <c r="BB368" s="132" t="str">
        <f>IF(AD368="","",IF(AD368="SIM",VLOOKUP($I368&amp;$J368&amp;AD$1,Pesos!$A:$I,7,FALSE),VLOOKUP($I368&amp;$J368&amp;AD$1,Pesos!$A:$I,9,FALSE)))</f>
        <v/>
      </c>
      <c r="BC368" s="132" t="str">
        <f>IF(AE368="","",IF(AE368="SIM",VLOOKUP($I368&amp;$J368&amp;AE$1,Pesos!$A:$I,7,FALSE),VLOOKUP($I368&amp;$J368&amp;AE$1,Pesos!$A:$I,9,FALSE)))</f>
        <v/>
      </c>
      <c r="BD368" s="158">
        <f>IFERROR(AF368*VLOOKUP(J368,'BD Campos'!$X$1:$Y$14,2,FALSE),"0")</f>
        <v>7.7424999999999997</v>
      </c>
    </row>
    <row r="369" spans="1:56">
      <c r="A369" s="151" t="str">
        <f t="shared" si="23"/>
        <v>Jan11427MotoristaLOGÍSTICA</v>
      </c>
      <c r="B369" s="149" t="str">
        <f t="shared" si="24"/>
        <v>Jan114271LOGÍSTICAPADRÃO</v>
      </c>
      <c r="C369" s="152">
        <v>1</v>
      </c>
      <c r="D369" s="153">
        <v>46062.685307291664</v>
      </c>
      <c r="E369" s="154" t="s">
        <v>12</v>
      </c>
      <c r="F369" s="155">
        <v>11427</v>
      </c>
      <c r="G369" s="149" t="s">
        <v>568</v>
      </c>
      <c r="H369" s="154">
        <v>1</v>
      </c>
      <c r="I369" s="149" t="s">
        <v>547</v>
      </c>
      <c r="J369" s="149" t="s">
        <v>93</v>
      </c>
      <c r="K369" s="149" t="s">
        <v>315</v>
      </c>
      <c r="L369" s="156"/>
      <c r="M369" s="157">
        <v>3.0555555555555557E-3</v>
      </c>
      <c r="N369" s="131" t="s">
        <v>17</v>
      </c>
      <c r="O369" s="131" t="s">
        <v>17</v>
      </c>
      <c r="P369" s="131" t="s">
        <v>17</v>
      </c>
      <c r="Q369" s="131" t="s">
        <v>17</v>
      </c>
      <c r="R369" s="131" t="s">
        <v>17</v>
      </c>
      <c r="S369" s="131" t="s">
        <v>17</v>
      </c>
      <c r="T369" s="131" t="s">
        <v>17</v>
      </c>
      <c r="U369" s="131" t="s">
        <v>18</v>
      </c>
      <c r="V369" s="131" t="s">
        <v>17</v>
      </c>
      <c r="W369" s="131" t="s">
        <v>17</v>
      </c>
      <c r="X369" s="131" t="s">
        <v>17</v>
      </c>
      <c r="Y369" s="131" t="s">
        <v>17</v>
      </c>
      <c r="Z369" s="131" t="s">
        <v>17</v>
      </c>
      <c r="AA369" s="131"/>
      <c r="AB369" s="131"/>
      <c r="AC369" s="131"/>
      <c r="AD369" s="131"/>
      <c r="AE369" s="131"/>
      <c r="AF369" s="158">
        <f t="shared" si="26"/>
        <v>9.6850000000000005</v>
      </c>
      <c r="AG369" s="159"/>
      <c r="AH369" s="155"/>
      <c r="AI369" s="155" t="s">
        <v>83</v>
      </c>
      <c r="AJ369" s="131" t="str">
        <f>IFERROR(VLOOKUP(E369&amp;F369,'Listagem dos op'!A:S,19,0),"")</f>
        <v/>
      </c>
      <c r="AK369" s="131" t="str">
        <f t="shared" si="25"/>
        <v>Jan11427</v>
      </c>
      <c r="AL369" s="154">
        <f>IF(N369="","",IF(N369="SIM",VLOOKUP($I369&amp;$J369&amp;N$1,Pesos!$A:$I,7,FALSE),VLOOKUP($I369&amp;$J369&amp;N$1,Pesos!$A:$I,9,FALSE)))</f>
        <v>0.1</v>
      </c>
      <c r="AM369" s="154">
        <f>IF(O369="","",IF(O369="SIM",VLOOKUP($I369&amp;$J369&amp;O$1,Pesos!$A:$I,7,FALSE),VLOOKUP($I369&amp;$J369&amp;O$1,Pesos!$A:$I,9,FALSE)))</f>
        <v>0.1</v>
      </c>
      <c r="AN369" s="154">
        <f>IF(P369="","",IF(P369="SIM",VLOOKUP($I369&amp;$J369&amp;P$1,Pesos!$A:$I,7,FALSE),VLOOKUP($I369&amp;$J369&amp;P$1,Pesos!$A:$I,9,FALSE)))</f>
        <v>0.1</v>
      </c>
      <c r="AO369" s="154">
        <f>IF(Q369="","",IF(Q369="SIM",VLOOKUP($I369&amp;$J369&amp;Q$1,Pesos!$A:$I,7,FALSE),VLOOKUP($I369&amp;$J369&amp;Q$1,Pesos!$A:$I,9,FALSE)))</f>
        <v>0.4</v>
      </c>
      <c r="AP369" s="154">
        <f>IF(R369="","",IF(R369="SIM",VLOOKUP($I369&amp;$J369&amp;R$1,Pesos!$A:$I,7,FALSE),VLOOKUP($I369&amp;$J369&amp;R$1,Pesos!$A:$I,9,FALSE)))</f>
        <v>1.9500000000000002</v>
      </c>
      <c r="AQ369" s="154">
        <f>IF(S369="","",IF(S369="SIM",VLOOKUP($I369&amp;$J369&amp;S$1,Pesos!$A:$I,7,FALSE),VLOOKUP($I369&amp;$J369&amp;S$1,Pesos!$A:$I,9,FALSE)))</f>
        <v>3</v>
      </c>
      <c r="AR369" s="156">
        <f>IF(T369="","",IF(T369="SIM",VLOOKUP($I369&amp;$J369&amp;T$1,Pesos!$A:$I,7,FALSE),VLOOKUP($I369&amp;$J369&amp;T$1,Pesos!$A:$I,9,FALSE)))</f>
        <v>3</v>
      </c>
      <c r="AS369" s="132">
        <f>IF(U369="","",IF(U369="SIM",VLOOKUP($I369&amp;$J369&amp;U$1,Pesos!$A:$I,7,FALSE),VLOOKUP($I369&amp;$J369&amp;U$1,Pesos!$A:$I,9,FALSE)))</f>
        <v>-1.4999999999999999E-2</v>
      </c>
      <c r="AT369" s="132">
        <f>IF(V369="","",IF(V369="SIM",VLOOKUP($I369&amp;$J369&amp;V$1,Pesos!$A:$I,7,FALSE),VLOOKUP($I369&amp;$J369&amp;V$1,Pesos!$A:$I,9,FALSE)))</f>
        <v>0.3</v>
      </c>
      <c r="AU369" s="132">
        <f>IF(W369="","",IF(W369="SIM",VLOOKUP($I369&amp;$J369&amp;W$1,Pesos!$A:$I,7,FALSE),VLOOKUP($I369&amp;$J369&amp;W$1,Pesos!$A:$I,9,FALSE)))</f>
        <v>0.15</v>
      </c>
      <c r="AV369" s="132">
        <f>IF(X369="","",IF(X369="SIM",VLOOKUP($I369&amp;$J369&amp;X$1,Pesos!$A:$I,7,FALSE),VLOOKUP($I369&amp;$J369&amp;X$1,Pesos!$A:$I,9,FALSE)))</f>
        <v>0.2</v>
      </c>
      <c r="AW369" s="132">
        <f>IF(Y369="","",IF(Y369="SIM",VLOOKUP($I369&amp;$J369&amp;Y$1,Pesos!$A:$I,7,FALSE),VLOOKUP($I369&amp;$J369&amp;Y$1,Pesos!$A:$I,9,FALSE)))</f>
        <v>0.3</v>
      </c>
      <c r="AX369" s="132">
        <f>IF(Z369="","",IF(Z369="SIM",VLOOKUP($I369&amp;$J369&amp;Z$1,Pesos!$A:$I,7,FALSE),VLOOKUP($I369&amp;$J369&amp;Z$1,Pesos!$A:$I,9,FALSE)))</f>
        <v>0.1</v>
      </c>
      <c r="AY369" s="132" t="str">
        <f>IF(AA369="","",IF(AA369="SIM",VLOOKUP($I369&amp;$J369&amp;AA$1,Pesos!$A:$I,7,FALSE),VLOOKUP($I369&amp;$J369&amp;AA$1,Pesos!$A:$I,9,FALSE)))</f>
        <v/>
      </c>
      <c r="AZ369" s="132" t="str">
        <f>IF(AB369="","",IF(AB369="SIM",VLOOKUP($I369&amp;$J369&amp;AB$1,Pesos!$A:$I,7,FALSE),VLOOKUP($I369&amp;$J369&amp;AB$1,Pesos!$A:$I,9,FALSE)))</f>
        <v/>
      </c>
      <c r="BA369" s="132" t="str">
        <f>IF(AC369="","",IF(AC369="SIM",VLOOKUP($I369&amp;$J369&amp;AC$1,Pesos!$A:$I,7,FALSE),VLOOKUP($I369&amp;$J369&amp;AC$1,Pesos!$A:$I,9,FALSE)))</f>
        <v/>
      </c>
      <c r="BB369" s="132" t="str">
        <f>IF(AD369="","",IF(AD369="SIM",VLOOKUP($I369&amp;$J369&amp;AD$1,Pesos!$A:$I,7,FALSE),VLOOKUP($I369&amp;$J369&amp;AD$1,Pesos!$A:$I,9,FALSE)))</f>
        <v/>
      </c>
      <c r="BC369" s="132" t="str">
        <f>IF(AE369="","",IF(AE369="SIM",VLOOKUP($I369&amp;$J369&amp;AE$1,Pesos!$A:$I,7,FALSE),VLOOKUP($I369&amp;$J369&amp;AE$1,Pesos!$A:$I,9,FALSE)))</f>
        <v/>
      </c>
      <c r="BD369" s="158">
        <f>IFERROR(AF369*VLOOKUP(J369,'BD Campos'!$X$1:$Y$14,2,FALSE),"0")</f>
        <v>9.6850000000000005</v>
      </c>
    </row>
    <row r="370" spans="1:56">
      <c r="A370" s="151" t="str">
        <f t="shared" si="23"/>
        <v>Jan11427Motorista 2LOGÍSTICA</v>
      </c>
      <c r="B370" s="149" t="str">
        <f t="shared" si="24"/>
        <v>Jan114272LOGÍSTICAPADRÃO</v>
      </c>
      <c r="C370" s="152">
        <v>1</v>
      </c>
      <c r="D370" s="153">
        <v>46062.688932175923</v>
      </c>
      <c r="E370" s="154" t="s">
        <v>12</v>
      </c>
      <c r="F370" s="155">
        <v>11427</v>
      </c>
      <c r="G370" s="149" t="s">
        <v>568</v>
      </c>
      <c r="H370" s="154">
        <v>2</v>
      </c>
      <c r="I370" s="149" t="s">
        <v>547</v>
      </c>
      <c r="J370" s="149" t="s">
        <v>97</v>
      </c>
      <c r="K370" s="149" t="s">
        <v>315</v>
      </c>
      <c r="L370" s="156"/>
      <c r="M370" s="157">
        <v>1.1921296296296296E-3</v>
      </c>
      <c r="N370" s="131" t="s">
        <v>17</v>
      </c>
      <c r="O370" s="131" t="s">
        <v>17</v>
      </c>
      <c r="P370" s="131" t="s">
        <v>17</v>
      </c>
      <c r="Q370" s="131" t="s">
        <v>17</v>
      </c>
      <c r="R370" s="131" t="s">
        <v>17</v>
      </c>
      <c r="S370" s="131" t="s">
        <v>17</v>
      </c>
      <c r="T370" s="131" t="s">
        <v>18</v>
      </c>
      <c r="U370" s="131" t="s">
        <v>17</v>
      </c>
      <c r="V370" s="131" t="s">
        <v>17</v>
      </c>
      <c r="W370" s="131" t="s">
        <v>17</v>
      </c>
      <c r="X370" s="131" t="s">
        <v>17</v>
      </c>
      <c r="Y370" s="131" t="s">
        <v>17</v>
      </c>
      <c r="Z370" s="131" t="s">
        <v>17</v>
      </c>
      <c r="AA370" s="131"/>
      <c r="AB370" s="131"/>
      <c r="AC370" s="131"/>
      <c r="AD370" s="131"/>
      <c r="AE370" s="131"/>
      <c r="AF370" s="158">
        <f t="shared" si="26"/>
        <v>6.85</v>
      </c>
      <c r="AG370" s="159"/>
      <c r="AH370" s="155"/>
      <c r="AI370" s="155" t="s">
        <v>83</v>
      </c>
      <c r="AJ370" s="131" t="str">
        <f>IFERROR(VLOOKUP(E370&amp;F370,'Listagem dos op'!A:S,19,0),"")</f>
        <v/>
      </c>
      <c r="AK370" s="131" t="str">
        <f t="shared" si="25"/>
        <v>Jan11427</v>
      </c>
      <c r="AL370" s="154">
        <f>IF(N370="","",IF(N370="SIM",VLOOKUP($I370&amp;$J370&amp;N$1,Pesos!$A:$I,7,FALSE),VLOOKUP($I370&amp;$J370&amp;N$1,Pesos!$A:$I,9,FALSE)))</f>
        <v>0.1</v>
      </c>
      <c r="AM370" s="154">
        <f>IF(O370="","",IF(O370="SIM",VLOOKUP($I370&amp;$J370&amp;O$1,Pesos!$A:$I,7,FALSE),VLOOKUP($I370&amp;$J370&amp;O$1,Pesos!$A:$I,9,FALSE)))</f>
        <v>0.1</v>
      </c>
      <c r="AN370" s="154">
        <f>IF(P370="","",IF(P370="SIM",VLOOKUP($I370&amp;$J370&amp;P$1,Pesos!$A:$I,7,FALSE),VLOOKUP($I370&amp;$J370&amp;P$1,Pesos!$A:$I,9,FALSE)))</f>
        <v>0.1</v>
      </c>
      <c r="AO370" s="154">
        <f>IF(Q370="","",IF(Q370="SIM",VLOOKUP($I370&amp;$J370&amp;Q$1,Pesos!$A:$I,7,FALSE),VLOOKUP($I370&amp;$J370&amp;Q$1,Pesos!$A:$I,9,FALSE)))</f>
        <v>0.4</v>
      </c>
      <c r="AP370" s="154">
        <f>IF(R370="","",IF(R370="SIM",VLOOKUP($I370&amp;$J370&amp;R$1,Pesos!$A:$I,7,FALSE),VLOOKUP($I370&amp;$J370&amp;R$1,Pesos!$A:$I,9,FALSE)))</f>
        <v>1.9500000000000002</v>
      </c>
      <c r="AQ370" s="154">
        <f>IF(S370="","",IF(S370="SIM",VLOOKUP($I370&amp;$J370&amp;S$1,Pesos!$A:$I,7,FALSE),VLOOKUP($I370&amp;$J370&amp;S$1,Pesos!$A:$I,9,FALSE)))</f>
        <v>3</v>
      </c>
      <c r="AR370" s="156">
        <f>IF(T370="","",IF(T370="SIM",VLOOKUP($I370&amp;$J370&amp;T$1,Pesos!$A:$I,7,FALSE),VLOOKUP($I370&amp;$J370&amp;T$1,Pesos!$A:$I,9,FALSE)))</f>
        <v>-0.15000000000000002</v>
      </c>
      <c r="AS370" s="132">
        <f>IF(U370="","",IF(U370="SIM",VLOOKUP($I370&amp;$J370&amp;U$1,Pesos!$A:$I,7,FALSE),VLOOKUP($I370&amp;$J370&amp;U$1,Pesos!$A:$I,9,FALSE)))</f>
        <v>0.3</v>
      </c>
      <c r="AT370" s="132">
        <f>IF(V370="","",IF(V370="SIM",VLOOKUP($I370&amp;$J370&amp;V$1,Pesos!$A:$I,7,FALSE),VLOOKUP($I370&amp;$J370&amp;V$1,Pesos!$A:$I,9,FALSE)))</f>
        <v>0.3</v>
      </c>
      <c r="AU370" s="132">
        <f>IF(W370="","",IF(W370="SIM",VLOOKUP($I370&amp;$J370&amp;W$1,Pesos!$A:$I,7,FALSE),VLOOKUP($I370&amp;$J370&amp;W$1,Pesos!$A:$I,9,FALSE)))</f>
        <v>0.15</v>
      </c>
      <c r="AV370" s="132">
        <f>IF(X370="","",IF(X370="SIM",VLOOKUP($I370&amp;$J370&amp;X$1,Pesos!$A:$I,7,FALSE),VLOOKUP($I370&amp;$J370&amp;X$1,Pesos!$A:$I,9,FALSE)))</f>
        <v>0.2</v>
      </c>
      <c r="AW370" s="132">
        <f>IF(Y370="","",IF(Y370="SIM",VLOOKUP($I370&amp;$J370&amp;Y$1,Pesos!$A:$I,7,FALSE),VLOOKUP($I370&amp;$J370&amp;Y$1,Pesos!$A:$I,9,FALSE)))</f>
        <v>0.3</v>
      </c>
      <c r="AX370" s="132">
        <f>IF(Z370="","",IF(Z370="SIM",VLOOKUP($I370&amp;$J370&amp;Z$1,Pesos!$A:$I,7,FALSE),VLOOKUP($I370&amp;$J370&amp;Z$1,Pesos!$A:$I,9,FALSE)))</f>
        <v>0.1</v>
      </c>
      <c r="AY370" s="132" t="str">
        <f>IF(AA370="","",IF(AA370="SIM",VLOOKUP($I370&amp;$J370&amp;AA$1,Pesos!$A:$I,7,FALSE),VLOOKUP($I370&amp;$J370&amp;AA$1,Pesos!$A:$I,9,FALSE)))</f>
        <v/>
      </c>
      <c r="AZ370" s="132" t="str">
        <f>IF(AB370="","",IF(AB370="SIM",VLOOKUP($I370&amp;$J370&amp;AB$1,Pesos!$A:$I,7,FALSE),VLOOKUP($I370&amp;$J370&amp;AB$1,Pesos!$A:$I,9,FALSE)))</f>
        <v/>
      </c>
      <c r="BA370" s="132" t="str">
        <f>IF(AC370="","",IF(AC370="SIM",VLOOKUP($I370&amp;$J370&amp;AC$1,Pesos!$A:$I,7,FALSE),VLOOKUP($I370&amp;$J370&amp;AC$1,Pesos!$A:$I,9,FALSE)))</f>
        <v/>
      </c>
      <c r="BB370" s="132" t="str">
        <f>IF(AD370="","",IF(AD370="SIM",VLOOKUP($I370&amp;$J370&amp;AD$1,Pesos!$A:$I,7,FALSE),VLOOKUP($I370&amp;$J370&amp;AD$1,Pesos!$A:$I,9,FALSE)))</f>
        <v/>
      </c>
      <c r="BC370" s="132" t="str">
        <f>IF(AE370="","",IF(AE370="SIM",VLOOKUP($I370&amp;$J370&amp;AE$1,Pesos!$A:$I,7,FALSE),VLOOKUP($I370&amp;$J370&amp;AE$1,Pesos!$A:$I,9,FALSE)))</f>
        <v/>
      </c>
      <c r="BD370" s="158">
        <f>IFERROR(AF370*VLOOKUP(J370,'BD Campos'!$X$1:$Y$14,2,FALSE),"0")</f>
        <v>6.85</v>
      </c>
    </row>
    <row r="371" spans="1:56">
      <c r="A371" s="151" t="str">
        <f t="shared" si="23"/>
        <v>Jan11303ReceptivaLOGÍSTICA</v>
      </c>
      <c r="B371" s="149" t="str">
        <f t="shared" si="24"/>
        <v>Jan113035LOGÍSTICAPADRÃO</v>
      </c>
      <c r="C371" s="152">
        <v>1</v>
      </c>
      <c r="D371" s="153">
        <v>46062.691354050927</v>
      </c>
      <c r="E371" s="154" t="s">
        <v>12</v>
      </c>
      <c r="F371" s="155">
        <v>11303</v>
      </c>
      <c r="G371" s="149" t="s">
        <v>569</v>
      </c>
      <c r="H371" s="154">
        <v>5</v>
      </c>
      <c r="I371" s="149" t="s">
        <v>534</v>
      </c>
      <c r="J371" s="149" t="s">
        <v>81</v>
      </c>
      <c r="K371" s="149" t="s">
        <v>315</v>
      </c>
      <c r="L371" s="156" t="s">
        <v>570</v>
      </c>
      <c r="M371" s="157"/>
      <c r="N371" s="131" t="s">
        <v>17</v>
      </c>
      <c r="O371" s="131" t="s">
        <v>17</v>
      </c>
      <c r="P371" s="131" t="s">
        <v>17</v>
      </c>
      <c r="Q371" s="131" t="s">
        <v>17</v>
      </c>
      <c r="R371" s="131" t="s">
        <v>17</v>
      </c>
      <c r="S371" s="131" t="s">
        <v>17</v>
      </c>
      <c r="T371" s="131" t="s">
        <v>17</v>
      </c>
      <c r="U371" s="131" t="s">
        <v>17</v>
      </c>
      <c r="V371" s="131" t="s">
        <v>18</v>
      </c>
      <c r="W371" s="131"/>
      <c r="X371" s="131"/>
      <c r="Y371" s="131"/>
      <c r="Z371" s="131"/>
      <c r="AA371" s="131"/>
      <c r="AB371" s="131"/>
      <c r="AC371" s="131"/>
      <c r="AD371" s="131"/>
      <c r="AE371" s="131"/>
      <c r="AF371" s="158">
        <f t="shared" si="26"/>
        <v>9.6850000000000005</v>
      </c>
      <c r="AG371" s="159"/>
      <c r="AH371" s="155"/>
      <c r="AI371" s="155" t="s">
        <v>83</v>
      </c>
      <c r="AJ371" s="131" t="str">
        <f>IFERROR(VLOOKUP(E371&amp;F371,'Listagem dos op'!A:S,19,0),"")</f>
        <v/>
      </c>
      <c r="AK371" s="131" t="str">
        <f t="shared" si="25"/>
        <v>Jan11303</v>
      </c>
      <c r="AL371" s="154">
        <f>IF(N371="","",IF(N371="SIM",VLOOKUP($I371&amp;$J371&amp;N$1,Pesos!$A:$I,7,FALSE),VLOOKUP($I371&amp;$J371&amp;N$1,Pesos!$A:$I,9,FALSE)))</f>
        <v>0.3</v>
      </c>
      <c r="AM371" s="154">
        <f>IF(O371="","",IF(O371="SIM",VLOOKUP($I371&amp;$J371&amp;O$1,Pesos!$A:$I,7,FALSE),VLOOKUP($I371&amp;$J371&amp;O$1,Pesos!$A:$I,9,FALSE)))</f>
        <v>1.3</v>
      </c>
      <c r="AN371" s="154">
        <f>IF(P371="","",IF(P371="SIM",VLOOKUP($I371&amp;$J371&amp;P$1,Pesos!$A:$I,7,FALSE),VLOOKUP($I371&amp;$J371&amp;P$1,Pesos!$A:$I,9,FALSE)))</f>
        <v>1.3</v>
      </c>
      <c r="AO371" s="154">
        <f>IF(Q371="","",IF(Q371="SIM",VLOOKUP($I371&amp;$J371&amp;Q$1,Pesos!$A:$I,7,FALSE),VLOOKUP($I371&amp;$J371&amp;Q$1,Pesos!$A:$I,9,FALSE)))</f>
        <v>1.4000000000000001</v>
      </c>
      <c r="AP371" s="154">
        <f>IF(R371="","",IF(R371="SIM",VLOOKUP($I371&amp;$J371&amp;R$1,Pesos!$A:$I,7,FALSE),VLOOKUP($I371&amp;$J371&amp;R$1,Pesos!$A:$I,9,FALSE)))</f>
        <v>1.3</v>
      </c>
      <c r="AQ371" s="154">
        <f>IF(S371="","",IF(S371="SIM",VLOOKUP($I371&amp;$J371&amp;S$1,Pesos!$A:$I,7,FALSE),VLOOKUP($I371&amp;$J371&amp;S$1,Pesos!$A:$I,9,FALSE)))</f>
        <v>1.4000000000000001</v>
      </c>
      <c r="AR371" s="156">
        <f>IF(T371="","",IF(T371="SIM",VLOOKUP($I371&amp;$J371&amp;T$1,Pesos!$A:$I,7,FALSE),VLOOKUP($I371&amp;$J371&amp;T$1,Pesos!$A:$I,9,FALSE)))</f>
        <v>1.4000000000000001</v>
      </c>
      <c r="AS371" s="132">
        <f>IF(U371="","",IF(U371="SIM",VLOOKUP($I371&amp;$J371&amp;U$1,Pesos!$A:$I,7,FALSE),VLOOKUP($I371&amp;$J371&amp;U$1,Pesos!$A:$I,9,FALSE)))</f>
        <v>1.3</v>
      </c>
      <c r="AT371" s="132">
        <f>IF(V371="","",IF(V371="SIM",VLOOKUP($I371&amp;$J371&amp;V$1,Pesos!$A:$I,7,FALSE),VLOOKUP($I371&amp;$J371&amp;V$1,Pesos!$A:$I,9,FALSE)))</f>
        <v>-1.4999999999999999E-2</v>
      </c>
      <c r="AU371" s="132" t="str">
        <f>IF(W371="","",IF(W371="SIM",VLOOKUP($I371&amp;$J371&amp;W$1,Pesos!$A:$I,7,FALSE),VLOOKUP($I371&amp;$J371&amp;W$1,Pesos!$A:$I,9,FALSE)))</f>
        <v/>
      </c>
      <c r="AV371" s="132" t="str">
        <f>IF(X371="","",IF(X371="SIM",VLOOKUP($I371&amp;$J371&amp;X$1,Pesos!$A:$I,7,FALSE),VLOOKUP($I371&amp;$J371&amp;X$1,Pesos!$A:$I,9,FALSE)))</f>
        <v/>
      </c>
      <c r="AW371" s="132" t="str">
        <f>IF(Y371="","",IF(Y371="SIM",VLOOKUP($I371&amp;$J371&amp;Y$1,Pesos!$A:$I,7,FALSE),VLOOKUP($I371&amp;$J371&amp;Y$1,Pesos!$A:$I,9,FALSE)))</f>
        <v/>
      </c>
      <c r="AX371" s="132" t="str">
        <f>IF(Z371="","",IF(Z371="SIM",VLOOKUP($I371&amp;$J371&amp;Z$1,Pesos!$A:$I,7,FALSE),VLOOKUP($I371&amp;$J371&amp;Z$1,Pesos!$A:$I,9,FALSE)))</f>
        <v/>
      </c>
      <c r="AY371" s="132" t="str">
        <f>IF(AA371="","",IF(AA371="SIM",VLOOKUP($I371&amp;$J371&amp;AA$1,Pesos!$A:$I,7,FALSE),VLOOKUP($I371&amp;$J371&amp;AA$1,Pesos!$A:$I,9,FALSE)))</f>
        <v/>
      </c>
      <c r="AZ371" s="132" t="str">
        <f>IF(AB371="","",IF(AB371="SIM",VLOOKUP($I371&amp;$J371&amp;AB$1,Pesos!$A:$I,7,FALSE),VLOOKUP($I371&amp;$J371&amp;AB$1,Pesos!$A:$I,9,FALSE)))</f>
        <v/>
      </c>
      <c r="BA371" s="132" t="str">
        <f>IF(AC371="","",IF(AC371="SIM",VLOOKUP($I371&amp;$J371&amp;AC$1,Pesos!$A:$I,7,FALSE),VLOOKUP($I371&amp;$J371&amp;AC$1,Pesos!$A:$I,9,FALSE)))</f>
        <v/>
      </c>
      <c r="BB371" s="132" t="str">
        <f>IF(AD371="","",IF(AD371="SIM",VLOOKUP($I371&amp;$J371&amp;AD$1,Pesos!$A:$I,7,FALSE),VLOOKUP($I371&amp;$J371&amp;AD$1,Pesos!$A:$I,9,FALSE)))</f>
        <v/>
      </c>
      <c r="BC371" s="132" t="str">
        <f>IF(AE371="","",IF(AE371="SIM",VLOOKUP($I371&amp;$J371&amp;AE$1,Pesos!$A:$I,7,FALSE),VLOOKUP($I371&amp;$J371&amp;AE$1,Pesos!$A:$I,9,FALSE)))</f>
        <v/>
      </c>
      <c r="BD371" s="158">
        <f>IFERROR(AF371*VLOOKUP(J371,'BD Campos'!$X$1:$Y$14,2,FALSE),"0")</f>
        <v>9.6850000000000005</v>
      </c>
    </row>
    <row r="372" spans="1:56">
      <c r="A372" s="151" t="str">
        <f t="shared" si="23"/>
        <v>Jan11303Receptiva 2LOGÍSTICA</v>
      </c>
      <c r="B372" s="149" t="str">
        <f t="shared" si="24"/>
        <v>Jan113036LOGÍSTICAPADRÃO</v>
      </c>
      <c r="C372" s="152">
        <v>1</v>
      </c>
      <c r="D372" s="153">
        <v>46062.692489236113</v>
      </c>
      <c r="E372" s="154" t="s">
        <v>12</v>
      </c>
      <c r="F372" s="155">
        <v>11303</v>
      </c>
      <c r="G372" s="149" t="s">
        <v>569</v>
      </c>
      <c r="H372" s="154">
        <v>6</v>
      </c>
      <c r="I372" s="149" t="s">
        <v>534</v>
      </c>
      <c r="J372" s="149" t="s">
        <v>86</v>
      </c>
      <c r="K372" s="149" t="s">
        <v>315</v>
      </c>
      <c r="L372" s="156" t="s">
        <v>571</v>
      </c>
      <c r="M372" s="157"/>
      <c r="N372" s="131" t="s">
        <v>17</v>
      </c>
      <c r="O372" s="131" t="s">
        <v>17</v>
      </c>
      <c r="P372" s="131" t="s">
        <v>17</v>
      </c>
      <c r="Q372" s="131" t="s">
        <v>17</v>
      </c>
      <c r="R372" s="131" t="s">
        <v>17</v>
      </c>
      <c r="S372" s="131" t="s">
        <v>17</v>
      </c>
      <c r="T372" s="131" t="s">
        <v>17</v>
      </c>
      <c r="U372" s="131" t="s">
        <v>17</v>
      </c>
      <c r="V372" s="131" t="s">
        <v>18</v>
      </c>
      <c r="W372" s="131"/>
      <c r="X372" s="131"/>
      <c r="Y372" s="131"/>
      <c r="Z372" s="131"/>
      <c r="AA372" s="131"/>
      <c r="AB372" s="131"/>
      <c r="AC372" s="131"/>
      <c r="AD372" s="131"/>
      <c r="AE372" s="131"/>
      <c r="AF372" s="158">
        <f t="shared" si="26"/>
        <v>9.6850000000000005</v>
      </c>
      <c r="AG372" s="159"/>
      <c r="AH372" s="155"/>
      <c r="AI372" s="155" t="s">
        <v>83</v>
      </c>
      <c r="AJ372" s="131" t="str">
        <f>IFERROR(VLOOKUP(E372&amp;F372,'Listagem dos op'!A:S,19,0),"")</f>
        <v/>
      </c>
      <c r="AK372" s="131" t="str">
        <f t="shared" si="25"/>
        <v>Jan11303</v>
      </c>
      <c r="AL372" s="154">
        <f>IF(N372="","",IF(N372="SIM",VLOOKUP($I372&amp;$J372&amp;N$1,Pesos!$A:$I,7,FALSE),VLOOKUP($I372&amp;$J372&amp;N$1,Pesos!$A:$I,9,FALSE)))</f>
        <v>0.3</v>
      </c>
      <c r="AM372" s="154">
        <f>IF(O372="","",IF(O372="SIM",VLOOKUP($I372&amp;$J372&amp;O$1,Pesos!$A:$I,7,FALSE),VLOOKUP($I372&amp;$J372&amp;O$1,Pesos!$A:$I,9,FALSE)))</f>
        <v>1.3</v>
      </c>
      <c r="AN372" s="154">
        <f>IF(P372="","",IF(P372="SIM",VLOOKUP($I372&amp;$J372&amp;P$1,Pesos!$A:$I,7,FALSE),VLOOKUP($I372&amp;$J372&amp;P$1,Pesos!$A:$I,9,FALSE)))</f>
        <v>1.3</v>
      </c>
      <c r="AO372" s="154">
        <f>IF(Q372="","",IF(Q372="SIM",VLOOKUP($I372&amp;$J372&amp;Q$1,Pesos!$A:$I,7,FALSE),VLOOKUP($I372&amp;$J372&amp;Q$1,Pesos!$A:$I,9,FALSE)))</f>
        <v>1.4000000000000001</v>
      </c>
      <c r="AP372" s="154">
        <f>IF(R372="","",IF(R372="SIM",VLOOKUP($I372&amp;$J372&amp;R$1,Pesos!$A:$I,7,FALSE),VLOOKUP($I372&amp;$J372&amp;R$1,Pesos!$A:$I,9,FALSE)))</f>
        <v>1.3</v>
      </c>
      <c r="AQ372" s="154">
        <f>IF(S372="","",IF(S372="SIM",VLOOKUP($I372&amp;$J372&amp;S$1,Pesos!$A:$I,7,FALSE),VLOOKUP($I372&amp;$J372&amp;S$1,Pesos!$A:$I,9,FALSE)))</f>
        <v>1.4000000000000001</v>
      </c>
      <c r="AR372" s="156">
        <f>IF(T372="","",IF(T372="SIM",VLOOKUP($I372&amp;$J372&amp;T$1,Pesos!$A:$I,7,FALSE),VLOOKUP($I372&amp;$J372&amp;T$1,Pesos!$A:$I,9,FALSE)))</f>
        <v>1.4000000000000001</v>
      </c>
      <c r="AS372" s="132">
        <f>IF(U372="","",IF(U372="SIM",VLOOKUP($I372&amp;$J372&amp;U$1,Pesos!$A:$I,7,FALSE),VLOOKUP($I372&amp;$J372&amp;U$1,Pesos!$A:$I,9,FALSE)))</f>
        <v>1.3</v>
      </c>
      <c r="AT372" s="132">
        <f>IF(V372="","",IF(V372="SIM",VLOOKUP($I372&amp;$J372&amp;V$1,Pesos!$A:$I,7,FALSE),VLOOKUP($I372&amp;$J372&amp;V$1,Pesos!$A:$I,9,FALSE)))</f>
        <v>-1.4999999999999999E-2</v>
      </c>
      <c r="AU372" s="132" t="str">
        <f>IF(W372="","",IF(W372="SIM",VLOOKUP($I372&amp;$J372&amp;W$1,Pesos!$A:$I,7,FALSE),VLOOKUP($I372&amp;$J372&amp;W$1,Pesos!$A:$I,9,FALSE)))</f>
        <v/>
      </c>
      <c r="AV372" s="132" t="str">
        <f>IF(X372="","",IF(X372="SIM",VLOOKUP($I372&amp;$J372&amp;X$1,Pesos!$A:$I,7,FALSE),VLOOKUP($I372&amp;$J372&amp;X$1,Pesos!$A:$I,9,FALSE)))</f>
        <v/>
      </c>
      <c r="AW372" s="132" t="str">
        <f>IF(Y372="","",IF(Y372="SIM",VLOOKUP($I372&amp;$J372&amp;Y$1,Pesos!$A:$I,7,FALSE),VLOOKUP($I372&amp;$J372&amp;Y$1,Pesos!$A:$I,9,FALSE)))</f>
        <v/>
      </c>
      <c r="AX372" s="132" t="str">
        <f>IF(Z372="","",IF(Z372="SIM",VLOOKUP($I372&amp;$J372&amp;Z$1,Pesos!$A:$I,7,FALSE),VLOOKUP($I372&amp;$J372&amp;Z$1,Pesos!$A:$I,9,FALSE)))</f>
        <v/>
      </c>
      <c r="AY372" s="132" t="str">
        <f>IF(AA372="","",IF(AA372="SIM",VLOOKUP($I372&amp;$J372&amp;AA$1,Pesos!$A:$I,7,FALSE),VLOOKUP($I372&amp;$J372&amp;AA$1,Pesos!$A:$I,9,FALSE)))</f>
        <v/>
      </c>
      <c r="AZ372" s="132" t="str">
        <f>IF(AB372="","",IF(AB372="SIM",VLOOKUP($I372&amp;$J372&amp;AB$1,Pesos!$A:$I,7,FALSE),VLOOKUP($I372&amp;$J372&amp;AB$1,Pesos!$A:$I,9,FALSE)))</f>
        <v/>
      </c>
      <c r="BA372" s="132" t="str">
        <f>IF(AC372="","",IF(AC372="SIM",VLOOKUP($I372&amp;$J372&amp;AC$1,Pesos!$A:$I,7,FALSE),VLOOKUP($I372&amp;$J372&amp;AC$1,Pesos!$A:$I,9,FALSE)))</f>
        <v/>
      </c>
      <c r="BB372" s="132" t="str">
        <f>IF(AD372="","",IF(AD372="SIM",VLOOKUP($I372&amp;$J372&amp;AD$1,Pesos!$A:$I,7,FALSE),VLOOKUP($I372&amp;$J372&amp;AD$1,Pesos!$A:$I,9,FALSE)))</f>
        <v/>
      </c>
      <c r="BC372" s="132" t="str">
        <f>IF(AE372="","",IF(AE372="SIM",VLOOKUP($I372&amp;$J372&amp;AE$1,Pesos!$A:$I,7,FALSE),VLOOKUP($I372&amp;$J372&amp;AE$1,Pesos!$A:$I,9,FALSE)))</f>
        <v/>
      </c>
      <c r="BD372" s="158">
        <f>IFERROR(AF372*VLOOKUP(J372,'BD Campos'!$X$1:$Y$14,2,FALSE),"0")</f>
        <v>9.6850000000000005</v>
      </c>
    </row>
    <row r="373" spans="1:56">
      <c r="A373" s="151" t="str">
        <f t="shared" si="23"/>
        <v>Jan10904ClienteLOGÍSTICA</v>
      </c>
      <c r="B373" s="149" t="str">
        <f t="shared" si="24"/>
        <v>Jan109041LOGÍSTICAPADRÃO</v>
      </c>
      <c r="C373" s="152">
        <v>1</v>
      </c>
      <c r="D373" s="153">
        <v>46062.695312037038</v>
      </c>
      <c r="E373" s="154" t="s">
        <v>12</v>
      </c>
      <c r="F373" s="155">
        <v>10904</v>
      </c>
      <c r="G373" s="149" t="s">
        <v>572</v>
      </c>
      <c r="H373" s="154">
        <v>1</v>
      </c>
      <c r="I373" s="149" t="s">
        <v>480</v>
      </c>
      <c r="J373" s="149" t="s">
        <v>149</v>
      </c>
      <c r="K373" s="149" t="s">
        <v>315</v>
      </c>
      <c r="L373" s="156"/>
      <c r="M373" s="157">
        <v>1.1226851851851851E-3</v>
      </c>
      <c r="N373" s="131" t="s">
        <v>17</v>
      </c>
      <c r="O373" s="131" t="s">
        <v>17</v>
      </c>
      <c r="P373" s="131" t="s">
        <v>17</v>
      </c>
      <c r="Q373" s="131" t="s">
        <v>17</v>
      </c>
      <c r="R373" s="131" t="s">
        <v>17</v>
      </c>
      <c r="S373" s="131" t="s">
        <v>17</v>
      </c>
      <c r="T373" s="131" t="s">
        <v>17</v>
      </c>
      <c r="U373" s="131" t="s">
        <v>17</v>
      </c>
      <c r="V373" s="131" t="s">
        <v>18</v>
      </c>
      <c r="W373" s="131" t="s">
        <v>17</v>
      </c>
      <c r="X373" s="131" t="s">
        <v>17</v>
      </c>
      <c r="Y373" s="131" t="s">
        <v>17</v>
      </c>
      <c r="Z373" s="131" t="s">
        <v>17</v>
      </c>
      <c r="AA373" s="131" t="s">
        <v>17</v>
      </c>
      <c r="AB373" s="131" t="s">
        <v>17</v>
      </c>
      <c r="AC373" s="131"/>
      <c r="AD373" s="131"/>
      <c r="AE373" s="131"/>
      <c r="AF373" s="158">
        <f t="shared" si="26"/>
        <v>8.4250000000000007</v>
      </c>
      <c r="AG373" s="159"/>
      <c r="AH373" s="155"/>
      <c r="AI373" s="155" t="s">
        <v>83</v>
      </c>
      <c r="AJ373" s="131" t="str">
        <f>IFERROR(VLOOKUP(E373&amp;F373,'Listagem dos op'!A:S,19,0),"")</f>
        <v/>
      </c>
      <c r="AK373" s="131" t="str">
        <f t="shared" si="25"/>
        <v>Jan10904</v>
      </c>
      <c r="AL373" s="154">
        <f>IF(N373="","",IF(N373="SIM",VLOOKUP($I373&amp;$J373&amp;N$1,Pesos!$A:$I,7,FALSE),VLOOKUP($I373&amp;$J373&amp;N$1,Pesos!$A:$I,9,FALSE)))</f>
        <v>0.1</v>
      </c>
      <c r="AM373" s="154">
        <f>IF(O373="","",IF(O373="SIM",VLOOKUP($I373&amp;$J373&amp;O$1,Pesos!$A:$I,7,FALSE),VLOOKUP($I373&amp;$J373&amp;O$1,Pesos!$A:$I,9,FALSE)))</f>
        <v>0.1</v>
      </c>
      <c r="AN373" s="154">
        <f>IF(P373="","",IF(P373="SIM",VLOOKUP($I373&amp;$J373&amp;P$1,Pesos!$A:$I,7,FALSE),VLOOKUP($I373&amp;$J373&amp;P$1,Pesos!$A:$I,9,FALSE)))</f>
        <v>0.1</v>
      </c>
      <c r="AO373" s="154">
        <f>IF(Q373="","",IF(Q373="SIM",VLOOKUP($I373&amp;$J373&amp;Q$1,Pesos!$A:$I,7,FALSE),VLOOKUP($I373&amp;$J373&amp;Q$1,Pesos!$A:$I,9,FALSE)))</f>
        <v>0.4</v>
      </c>
      <c r="AP373" s="154">
        <f>IF(R373="","",IF(R373="SIM",VLOOKUP($I373&amp;$J373&amp;R$1,Pesos!$A:$I,7,FALSE),VLOOKUP($I373&amp;$J373&amp;R$1,Pesos!$A:$I,9,FALSE)))</f>
        <v>1.5</v>
      </c>
      <c r="AQ373" s="154">
        <f>IF(S373="","",IF(S373="SIM",VLOOKUP($I373&amp;$J373&amp;S$1,Pesos!$A:$I,7,FALSE),VLOOKUP($I373&amp;$J373&amp;S$1,Pesos!$A:$I,9,FALSE)))</f>
        <v>1.75</v>
      </c>
      <c r="AR373" s="156">
        <f>IF(T373="","",IF(T373="SIM",VLOOKUP($I373&amp;$J373&amp;T$1,Pesos!$A:$I,7,FALSE),VLOOKUP($I373&amp;$J373&amp;T$1,Pesos!$A:$I,9,FALSE)))</f>
        <v>1.7000000000000002</v>
      </c>
      <c r="AS373" s="132">
        <f>IF(U373="","",IF(U373="SIM",VLOOKUP($I373&amp;$J373&amp;U$1,Pesos!$A:$I,7,FALSE),VLOOKUP($I373&amp;$J373&amp;U$1,Pesos!$A:$I,9,FALSE)))</f>
        <v>1.5</v>
      </c>
      <c r="AT373" s="132">
        <f>IF(V373="","",IF(V373="SIM",VLOOKUP($I373&amp;$J373&amp;V$1,Pesos!$A:$I,7,FALSE),VLOOKUP($I373&amp;$J373&amp;V$1,Pesos!$A:$I,9,FALSE)))</f>
        <v>-7.5000000000000011E-2</v>
      </c>
      <c r="AU373" s="132">
        <f>IF(W373="","",IF(W373="SIM",VLOOKUP($I373&amp;$J373&amp;W$1,Pesos!$A:$I,7,FALSE),VLOOKUP($I373&amp;$J373&amp;W$1,Pesos!$A:$I,9,FALSE)))</f>
        <v>0.3</v>
      </c>
      <c r="AV373" s="132">
        <f>IF(X373="","",IF(X373="SIM",VLOOKUP($I373&amp;$J373&amp;X$1,Pesos!$A:$I,7,FALSE),VLOOKUP($I373&amp;$J373&amp;X$1,Pesos!$A:$I,9,FALSE)))</f>
        <v>0.3</v>
      </c>
      <c r="AW373" s="132">
        <f>IF(Y373="","",IF(Y373="SIM",VLOOKUP($I373&amp;$J373&amp;Y$1,Pesos!$A:$I,7,FALSE),VLOOKUP($I373&amp;$J373&amp;Y$1,Pesos!$A:$I,9,FALSE)))</f>
        <v>0.15</v>
      </c>
      <c r="AX373" s="132">
        <f>IF(Z373="","",IF(Z373="SIM",VLOOKUP($I373&amp;$J373&amp;Z$1,Pesos!$A:$I,7,FALSE),VLOOKUP($I373&amp;$J373&amp;Z$1,Pesos!$A:$I,9,FALSE)))</f>
        <v>0.2</v>
      </c>
      <c r="AY373" s="132">
        <f>IF(AA373="","",IF(AA373="SIM",VLOOKUP($I373&amp;$J373&amp;AA$1,Pesos!$A:$I,7,FALSE),VLOOKUP($I373&amp;$J373&amp;AA$1,Pesos!$A:$I,9,FALSE)))</f>
        <v>0.3</v>
      </c>
      <c r="AZ373" s="132">
        <f>IF(AB373="","",IF(AB373="SIM",VLOOKUP($I373&amp;$J373&amp;AB$1,Pesos!$A:$I,7,FALSE),VLOOKUP($I373&amp;$J373&amp;AB$1,Pesos!$A:$I,9,FALSE)))</f>
        <v>0.1</v>
      </c>
      <c r="BA373" s="132" t="str">
        <f>IF(AC373="","",IF(AC373="SIM",VLOOKUP($I373&amp;$J373&amp;AC$1,Pesos!$A:$I,7,FALSE),VLOOKUP($I373&amp;$J373&amp;AC$1,Pesos!$A:$I,9,FALSE)))</f>
        <v/>
      </c>
      <c r="BB373" s="132" t="str">
        <f>IF(AD373="","",IF(AD373="SIM",VLOOKUP($I373&amp;$J373&amp;AD$1,Pesos!$A:$I,7,FALSE),VLOOKUP($I373&amp;$J373&amp;AD$1,Pesos!$A:$I,9,FALSE)))</f>
        <v/>
      </c>
      <c r="BC373" s="132" t="str">
        <f>IF(AE373="","",IF(AE373="SIM",VLOOKUP($I373&amp;$J373&amp;AE$1,Pesos!$A:$I,7,FALSE),VLOOKUP($I373&amp;$J373&amp;AE$1,Pesos!$A:$I,9,FALSE)))</f>
        <v/>
      </c>
      <c r="BD373" s="158">
        <f>IFERROR(AF373*VLOOKUP(J373,'BD Campos'!$X$1:$Y$14,2,FALSE),"0")</f>
        <v>8.4250000000000007</v>
      </c>
    </row>
    <row r="374" spans="1:56">
      <c r="A374" s="151" t="str">
        <f t="shared" si="23"/>
        <v>Jan10904Cliente 2LOGÍSTICA</v>
      </c>
      <c r="B374" s="149" t="str">
        <f t="shared" si="24"/>
        <v>Jan109042LOGÍSTICAPADRÃO</v>
      </c>
      <c r="C374" s="152">
        <v>1</v>
      </c>
      <c r="D374" s="153">
        <v>46062.711532638888</v>
      </c>
      <c r="E374" s="154" t="s">
        <v>12</v>
      </c>
      <c r="F374" s="155">
        <v>10904</v>
      </c>
      <c r="G374" s="149" t="s">
        <v>572</v>
      </c>
      <c r="H374" s="154">
        <v>2</v>
      </c>
      <c r="I374" s="149" t="s">
        <v>480</v>
      </c>
      <c r="J374" s="149" t="s">
        <v>322</v>
      </c>
      <c r="K374" s="149" t="s">
        <v>315</v>
      </c>
      <c r="L374" s="156"/>
      <c r="M374" s="157">
        <v>7.407407407407407E-4</v>
      </c>
      <c r="N374" s="131" t="s">
        <v>17</v>
      </c>
      <c r="O374" s="131" t="s">
        <v>17</v>
      </c>
      <c r="P374" s="131" t="s">
        <v>17</v>
      </c>
      <c r="Q374" s="131" t="s">
        <v>17</v>
      </c>
      <c r="R374" s="131" t="s">
        <v>17</v>
      </c>
      <c r="S374" s="131" t="s">
        <v>17</v>
      </c>
      <c r="T374" s="131" t="s">
        <v>17</v>
      </c>
      <c r="U374" s="131" t="s">
        <v>17</v>
      </c>
      <c r="V374" s="131" t="s">
        <v>18</v>
      </c>
      <c r="W374" s="131" t="s">
        <v>17</v>
      </c>
      <c r="X374" s="131" t="s">
        <v>17</v>
      </c>
      <c r="Y374" s="131" t="s">
        <v>17</v>
      </c>
      <c r="Z374" s="131" t="s">
        <v>17</v>
      </c>
      <c r="AA374" s="131" t="s">
        <v>17</v>
      </c>
      <c r="AB374" s="131" t="s">
        <v>17</v>
      </c>
      <c r="AC374" s="131"/>
      <c r="AD374" s="131"/>
      <c r="AE374" s="131"/>
      <c r="AF374" s="158">
        <f t="shared" si="26"/>
        <v>8.4250000000000007</v>
      </c>
      <c r="AG374" s="159"/>
      <c r="AH374" s="155"/>
      <c r="AI374" s="155" t="s">
        <v>83</v>
      </c>
      <c r="AJ374" s="131" t="str">
        <f>IFERROR(VLOOKUP(E374&amp;F374,'Listagem dos op'!A:S,19,0),"")</f>
        <v/>
      </c>
      <c r="AK374" s="131" t="str">
        <f t="shared" si="25"/>
        <v>Jan10904</v>
      </c>
      <c r="AL374" s="154">
        <f>IF(N374="","",IF(N374="SIM",VLOOKUP($I374&amp;$J374&amp;N$1,Pesos!$A:$I,7,FALSE),VLOOKUP($I374&amp;$J374&amp;N$1,Pesos!$A:$I,9,FALSE)))</f>
        <v>0.1</v>
      </c>
      <c r="AM374" s="154">
        <f>IF(O374="","",IF(O374="SIM",VLOOKUP($I374&amp;$J374&amp;O$1,Pesos!$A:$I,7,FALSE),VLOOKUP($I374&amp;$J374&amp;O$1,Pesos!$A:$I,9,FALSE)))</f>
        <v>0.1</v>
      </c>
      <c r="AN374" s="154">
        <f>IF(P374="","",IF(P374="SIM",VLOOKUP($I374&amp;$J374&amp;P$1,Pesos!$A:$I,7,FALSE),VLOOKUP($I374&amp;$J374&amp;P$1,Pesos!$A:$I,9,FALSE)))</f>
        <v>0.1</v>
      </c>
      <c r="AO374" s="154">
        <f>IF(Q374="","",IF(Q374="SIM",VLOOKUP($I374&amp;$J374&amp;Q$1,Pesos!$A:$I,7,FALSE),VLOOKUP($I374&amp;$J374&amp;Q$1,Pesos!$A:$I,9,FALSE)))</f>
        <v>0.4</v>
      </c>
      <c r="AP374" s="154">
        <f>IF(R374="","",IF(R374="SIM",VLOOKUP($I374&amp;$J374&amp;R$1,Pesos!$A:$I,7,FALSE),VLOOKUP($I374&amp;$J374&amp;R$1,Pesos!$A:$I,9,FALSE)))</f>
        <v>1.5</v>
      </c>
      <c r="AQ374" s="154">
        <f>IF(S374="","",IF(S374="SIM",VLOOKUP($I374&amp;$J374&amp;S$1,Pesos!$A:$I,7,FALSE),VLOOKUP($I374&amp;$J374&amp;S$1,Pesos!$A:$I,9,FALSE)))</f>
        <v>1.75</v>
      </c>
      <c r="AR374" s="156">
        <f>IF(T374="","",IF(T374="SIM",VLOOKUP($I374&amp;$J374&amp;T$1,Pesos!$A:$I,7,FALSE),VLOOKUP($I374&amp;$J374&amp;T$1,Pesos!$A:$I,9,FALSE)))</f>
        <v>1.7000000000000002</v>
      </c>
      <c r="AS374" s="132">
        <f>IF(U374="","",IF(U374="SIM",VLOOKUP($I374&amp;$J374&amp;U$1,Pesos!$A:$I,7,FALSE),VLOOKUP($I374&amp;$J374&amp;U$1,Pesos!$A:$I,9,FALSE)))</f>
        <v>1.5</v>
      </c>
      <c r="AT374" s="132">
        <f>IF(V374="","",IF(V374="SIM",VLOOKUP($I374&amp;$J374&amp;V$1,Pesos!$A:$I,7,FALSE),VLOOKUP($I374&amp;$J374&amp;V$1,Pesos!$A:$I,9,FALSE)))</f>
        <v>-7.5000000000000011E-2</v>
      </c>
      <c r="AU374" s="132">
        <f>IF(W374="","",IF(W374="SIM",VLOOKUP($I374&amp;$J374&amp;W$1,Pesos!$A:$I,7,FALSE),VLOOKUP($I374&amp;$J374&amp;W$1,Pesos!$A:$I,9,FALSE)))</f>
        <v>0.3</v>
      </c>
      <c r="AV374" s="132">
        <f>IF(X374="","",IF(X374="SIM",VLOOKUP($I374&amp;$J374&amp;X$1,Pesos!$A:$I,7,FALSE),VLOOKUP($I374&amp;$J374&amp;X$1,Pesos!$A:$I,9,FALSE)))</f>
        <v>0.3</v>
      </c>
      <c r="AW374" s="132">
        <f>IF(Y374="","",IF(Y374="SIM",VLOOKUP($I374&amp;$J374&amp;Y$1,Pesos!$A:$I,7,FALSE),VLOOKUP($I374&amp;$J374&amp;Y$1,Pesos!$A:$I,9,FALSE)))</f>
        <v>0.15</v>
      </c>
      <c r="AX374" s="132">
        <f>IF(Z374="","",IF(Z374="SIM",VLOOKUP($I374&amp;$J374&amp;Z$1,Pesos!$A:$I,7,FALSE),VLOOKUP($I374&amp;$J374&amp;Z$1,Pesos!$A:$I,9,FALSE)))</f>
        <v>0.2</v>
      </c>
      <c r="AY374" s="132">
        <f>IF(AA374="","",IF(AA374="SIM",VLOOKUP($I374&amp;$J374&amp;AA$1,Pesos!$A:$I,7,FALSE),VLOOKUP($I374&amp;$J374&amp;AA$1,Pesos!$A:$I,9,FALSE)))</f>
        <v>0.3</v>
      </c>
      <c r="AZ374" s="132">
        <f>IF(AB374="","",IF(AB374="SIM",VLOOKUP($I374&amp;$J374&amp;AB$1,Pesos!$A:$I,7,FALSE),VLOOKUP($I374&amp;$J374&amp;AB$1,Pesos!$A:$I,9,FALSE)))</f>
        <v>0.1</v>
      </c>
      <c r="BA374" s="132" t="str">
        <f>IF(AC374="","",IF(AC374="SIM",VLOOKUP($I374&amp;$J374&amp;AC$1,Pesos!$A:$I,7,FALSE),VLOOKUP($I374&amp;$J374&amp;AC$1,Pesos!$A:$I,9,FALSE)))</f>
        <v/>
      </c>
      <c r="BB374" s="132" t="str">
        <f>IF(AD374="","",IF(AD374="SIM",VLOOKUP($I374&amp;$J374&amp;AD$1,Pesos!$A:$I,7,FALSE),VLOOKUP($I374&amp;$J374&amp;AD$1,Pesos!$A:$I,9,FALSE)))</f>
        <v/>
      </c>
      <c r="BC374" s="132" t="str">
        <f>IF(AE374="","",IF(AE374="SIM",VLOOKUP($I374&amp;$J374&amp;AE$1,Pesos!$A:$I,7,FALSE),VLOOKUP($I374&amp;$J374&amp;AE$1,Pesos!$A:$I,9,FALSE)))</f>
        <v/>
      </c>
      <c r="BD374" s="158">
        <f>IFERROR(AF374*VLOOKUP(J374,'BD Campos'!$X$1:$Y$14,2,FALSE),"0")</f>
        <v>8.4250000000000007</v>
      </c>
    </row>
    <row r="375" spans="1:56">
      <c r="A375" s="151" t="str">
        <f t="shared" si="23"/>
        <v>Jan11502MotoristaLOGÍSTICA</v>
      </c>
      <c r="B375" s="149" t="str">
        <f t="shared" si="24"/>
        <v>Jan115021LOGÍSTICAPADRÃO</v>
      </c>
      <c r="C375" s="152">
        <v>1</v>
      </c>
      <c r="D375" s="153">
        <v>46062.714061458333</v>
      </c>
      <c r="E375" s="154" t="s">
        <v>12</v>
      </c>
      <c r="F375" s="155">
        <v>11502</v>
      </c>
      <c r="G375" s="149" t="s">
        <v>573</v>
      </c>
      <c r="H375" s="154">
        <v>1</v>
      </c>
      <c r="I375" s="149" t="s">
        <v>480</v>
      </c>
      <c r="J375" s="149" t="s">
        <v>93</v>
      </c>
      <c r="K375" s="149" t="s">
        <v>315</v>
      </c>
      <c r="L375" s="156"/>
      <c r="M375" s="157">
        <v>9.9537037037037042E-4</v>
      </c>
      <c r="N375" s="131" t="s">
        <v>17</v>
      </c>
      <c r="O375" s="131" t="s">
        <v>17</v>
      </c>
      <c r="P375" s="131" t="s">
        <v>17</v>
      </c>
      <c r="Q375" s="131" t="s">
        <v>17</v>
      </c>
      <c r="R375" s="131" t="s">
        <v>17</v>
      </c>
      <c r="S375" s="131" t="s">
        <v>17</v>
      </c>
      <c r="T375" s="131" t="s">
        <v>17</v>
      </c>
      <c r="U375" s="131" t="s">
        <v>18</v>
      </c>
      <c r="V375" s="131" t="s">
        <v>17</v>
      </c>
      <c r="W375" s="131" t="s">
        <v>17</v>
      </c>
      <c r="X375" s="131" t="s">
        <v>17</v>
      </c>
      <c r="Y375" s="131" t="s">
        <v>17</v>
      </c>
      <c r="Z375" s="131" t="s">
        <v>17</v>
      </c>
      <c r="AA375" s="131" t="s">
        <v>18</v>
      </c>
      <c r="AB375" s="131" t="s">
        <v>17</v>
      </c>
      <c r="AC375" s="131"/>
      <c r="AD375" s="131"/>
      <c r="AE375" s="131"/>
      <c r="AF375" s="158">
        <f t="shared" si="26"/>
        <v>8.2884999999999991</v>
      </c>
      <c r="AG375" s="159"/>
      <c r="AH375" s="155"/>
      <c r="AI375" s="155" t="s">
        <v>83</v>
      </c>
      <c r="AJ375" s="131" t="str">
        <f>IFERROR(VLOOKUP(E375&amp;F375,'Listagem dos op'!A:S,19,0),"")</f>
        <v/>
      </c>
      <c r="AK375" s="131" t="str">
        <f t="shared" si="25"/>
        <v>Jan11502</v>
      </c>
      <c r="AL375" s="154">
        <f>IF(N375="","",IF(N375="SIM",VLOOKUP($I375&amp;$J375&amp;N$1,Pesos!$A:$I,7,FALSE),VLOOKUP($I375&amp;$J375&amp;N$1,Pesos!$A:$I,9,FALSE)))</f>
        <v>0.1</v>
      </c>
      <c r="AM375" s="154">
        <f>IF(O375="","",IF(O375="SIM",VLOOKUP($I375&amp;$J375&amp;O$1,Pesos!$A:$I,7,FALSE),VLOOKUP($I375&amp;$J375&amp;O$1,Pesos!$A:$I,9,FALSE)))</f>
        <v>0.1</v>
      </c>
      <c r="AN375" s="154">
        <f>IF(P375="","",IF(P375="SIM",VLOOKUP($I375&amp;$J375&amp;P$1,Pesos!$A:$I,7,FALSE),VLOOKUP($I375&amp;$J375&amp;P$1,Pesos!$A:$I,9,FALSE)))</f>
        <v>0.1</v>
      </c>
      <c r="AO375" s="154">
        <f>IF(Q375="","",IF(Q375="SIM",VLOOKUP($I375&amp;$J375&amp;Q$1,Pesos!$A:$I,7,FALSE),VLOOKUP($I375&amp;$J375&amp;Q$1,Pesos!$A:$I,9,FALSE)))</f>
        <v>0.4</v>
      </c>
      <c r="AP375" s="154">
        <f>IF(R375="","",IF(R375="SIM",VLOOKUP($I375&amp;$J375&amp;R$1,Pesos!$A:$I,7,FALSE),VLOOKUP($I375&amp;$J375&amp;R$1,Pesos!$A:$I,9,FALSE)))</f>
        <v>1.3</v>
      </c>
      <c r="AQ375" s="154">
        <f>IF(S375="","",IF(S375="SIM",VLOOKUP($I375&amp;$J375&amp;S$1,Pesos!$A:$I,7,FALSE),VLOOKUP($I375&amp;$J375&amp;S$1,Pesos!$A:$I,9,FALSE)))</f>
        <v>2</v>
      </c>
      <c r="AR375" s="156">
        <f>IF(T375="","",IF(T375="SIM",VLOOKUP($I375&amp;$J375&amp;T$1,Pesos!$A:$I,7,FALSE),VLOOKUP($I375&amp;$J375&amp;T$1,Pesos!$A:$I,9,FALSE)))</f>
        <v>2</v>
      </c>
      <c r="AS375" s="132">
        <f>IF(U375="","",IF(U375="SIM",VLOOKUP($I375&amp;$J375&amp;U$1,Pesos!$A:$I,7,FALSE),VLOOKUP($I375&amp;$J375&amp;U$1,Pesos!$A:$I,9,FALSE)))</f>
        <v>-6.6500000000000004E-2</v>
      </c>
      <c r="AT375" s="132">
        <f>IF(V375="","",IF(V375="SIM",VLOOKUP($I375&amp;$J375&amp;V$1,Pesos!$A:$I,7,FALSE),VLOOKUP($I375&amp;$J375&amp;V$1,Pesos!$A:$I,9,FALSE)))</f>
        <v>1.32</v>
      </c>
      <c r="AU375" s="132">
        <f>IF(W375="","",IF(W375="SIM",VLOOKUP($I375&amp;$J375&amp;W$1,Pesos!$A:$I,7,FALSE),VLOOKUP($I375&amp;$J375&amp;W$1,Pesos!$A:$I,9,FALSE)))</f>
        <v>0.3</v>
      </c>
      <c r="AV375" s="132">
        <f>IF(X375="","",IF(X375="SIM",VLOOKUP($I375&amp;$J375&amp;X$1,Pesos!$A:$I,7,FALSE),VLOOKUP($I375&amp;$J375&amp;X$1,Pesos!$A:$I,9,FALSE)))</f>
        <v>0.3</v>
      </c>
      <c r="AW375" s="132">
        <f>IF(Y375="","",IF(Y375="SIM",VLOOKUP($I375&amp;$J375&amp;Y$1,Pesos!$A:$I,7,FALSE),VLOOKUP($I375&amp;$J375&amp;Y$1,Pesos!$A:$I,9,FALSE)))</f>
        <v>0.15</v>
      </c>
      <c r="AX375" s="132">
        <f>IF(Z375="","",IF(Z375="SIM",VLOOKUP($I375&amp;$J375&amp;Z$1,Pesos!$A:$I,7,FALSE),VLOOKUP($I375&amp;$J375&amp;Z$1,Pesos!$A:$I,9,FALSE)))</f>
        <v>0.2</v>
      </c>
      <c r="AY375" s="132">
        <f>IF(AA375="","",IF(AA375="SIM",VLOOKUP($I375&amp;$J375&amp;AA$1,Pesos!$A:$I,7,FALSE),VLOOKUP($I375&amp;$J375&amp;AA$1,Pesos!$A:$I,9,FALSE)))</f>
        <v>-1.4999999999999999E-2</v>
      </c>
      <c r="AZ375" s="132">
        <f>IF(AB375="","",IF(AB375="SIM",VLOOKUP($I375&amp;$J375&amp;AB$1,Pesos!$A:$I,7,FALSE),VLOOKUP($I375&amp;$J375&amp;AB$1,Pesos!$A:$I,9,FALSE)))</f>
        <v>0.1</v>
      </c>
      <c r="BA375" s="132" t="str">
        <f>IF(AC375="","",IF(AC375="SIM",VLOOKUP($I375&amp;$J375&amp;AC$1,Pesos!$A:$I,7,FALSE),VLOOKUP($I375&amp;$J375&amp;AC$1,Pesos!$A:$I,9,FALSE)))</f>
        <v/>
      </c>
      <c r="BB375" s="132" t="str">
        <f>IF(AD375="","",IF(AD375="SIM",VLOOKUP($I375&amp;$J375&amp;AD$1,Pesos!$A:$I,7,FALSE),VLOOKUP($I375&amp;$J375&amp;AD$1,Pesos!$A:$I,9,FALSE)))</f>
        <v/>
      </c>
      <c r="BC375" s="132" t="str">
        <f>IF(AE375="","",IF(AE375="SIM",VLOOKUP($I375&amp;$J375&amp;AE$1,Pesos!$A:$I,7,FALSE),VLOOKUP($I375&amp;$J375&amp;AE$1,Pesos!$A:$I,9,FALSE)))</f>
        <v/>
      </c>
      <c r="BD375" s="158">
        <f>IFERROR(AF375*VLOOKUP(J375,'BD Campos'!$X$1:$Y$14,2,FALSE),"0")</f>
        <v>8.2884999999999991</v>
      </c>
    </row>
    <row r="376" spans="1:56">
      <c r="A376" s="151" t="str">
        <f t="shared" si="23"/>
        <v>Jan11502ClienteLOGÍSTICA</v>
      </c>
      <c r="B376" s="149" t="str">
        <f t="shared" si="24"/>
        <v>Jan115022LOGÍSTICAPADRÃO</v>
      </c>
      <c r="C376" s="152">
        <v>1</v>
      </c>
      <c r="D376" s="153">
        <v>46062.715501273145</v>
      </c>
      <c r="E376" s="154" t="s">
        <v>12</v>
      </c>
      <c r="F376" s="155">
        <v>11502</v>
      </c>
      <c r="G376" s="149" t="s">
        <v>573</v>
      </c>
      <c r="H376" s="154">
        <v>2</v>
      </c>
      <c r="I376" s="149" t="s">
        <v>480</v>
      </c>
      <c r="J376" s="149" t="s">
        <v>149</v>
      </c>
      <c r="K376" s="149" t="s">
        <v>315</v>
      </c>
      <c r="L376" s="156"/>
      <c r="M376" s="157">
        <v>1.4814814814814814E-3</v>
      </c>
      <c r="N376" s="131" t="s">
        <v>17</v>
      </c>
      <c r="O376" s="131" t="s">
        <v>17</v>
      </c>
      <c r="P376" s="131" t="s">
        <v>17</v>
      </c>
      <c r="Q376" s="131" t="s">
        <v>17</v>
      </c>
      <c r="R376" s="131" t="s">
        <v>17</v>
      </c>
      <c r="S376" s="131" t="s">
        <v>17</v>
      </c>
      <c r="T376" s="131" t="s">
        <v>17</v>
      </c>
      <c r="U376" s="131" t="s">
        <v>17</v>
      </c>
      <c r="V376" s="131" t="s">
        <v>17</v>
      </c>
      <c r="W376" s="131" t="s">
        <v>17</v>
      </c>
      <c r="X376" s="131" t="s">
        <v>17</v>
      </c>
      <c r="Y376" s="131" t="s">
        <v>17</v>
      </c>
      <c r="Z376" s="131" t="s">
        <v>17</v>
      </c>
      <c r="AA376" s="131" t="s">
        <v>18</v>
      </c>
      <c r="AB376" s="131" t="s">
        <v>17</v>
      </c>
      <c r="AC376" s="131"/>
      <c r="AD376" s="131"/>
      <c r="AE376" s="131"/>
      <c r="AF376" s="158">
        <f t="shared" si="26"/>
        <v>9.6850000000000005</v>
      </c>
      <c r="AG376" s="159"/>
      <c r="AH376" s="155"/>
      <c r="AI376" s="155" t="s">
        <v>83</v>
      </c>
      <c r="AJ376" s="131" t="str">
        <f>IFERROR(VLOOKUP(E376&amp;F376,'Listagem dos op'!A:S,19,0),"")</f>
        <v/>
      </c>
      <c r="AK376" s="131" t="str">
        <f t="shared" si="25"/>
        <v>Jan11502</v>
      </c>
      <c r="AL376" s="154">
        <f>IF(N376="","",IF(N376="SIM",VLOOKUP($I376&amp;$J376&amp;N$1,Pesos!$A:$I,7,FALSE),VLOOKUP($I376&amp;$J376&amp;N$1,Pesos!$A:$I,9,FALSE)))</f>
        <v>0.1</v>
      </c>
      <c r="AM376" s="154">
        <f>IF(O376="","",IF(O376="SIM",VLOOKUP($I376&amp;$J376&amp;O$1,Pesos!$A:$I,7,FALSE),VLOOKUP($I376&amp;$J376&amp;O$1,Pesos!$A:$I,9,FALSE)))</f>
        <v>0.1</v>
      </c>
      <c r="AN376" s="154">
        <f>IF(P376="","",IF(P376="SIM",VLOOKUP($I376&amp;$J376&amp;P$1,Pesos!$A:$I,7,FALSE),VLOOKUP($I376&amp;$J376&amp;P$1,Pesos!$A:$I,9,FALSE)))</f>
        <v>0.1</v>
      </c>
      <c r="AO376" s="154">
        <f>IF(Q376="","",IF(Q376="SIM",VLOOKUP($I376&amp;$J376&amp;Q$1,Pesos!$A:$I,7,FALSE),VLOOKUP($I376&amp;$J376&amp;Q$1,Pesos!$A:$I,9,FALSE)))</f>
        <v>0.4</v>
      </c>
      <c r="AP376" s="154">
        <f>IF(R376="","",IF(R376="SIM",VLOOKUP($I376&amp;$J376&amp;R$1,Pesos!$A:$I,7,FALSE),VLOOKUP($I376&amp;$J376&amp;R$1,Pesos!$A:$I,9,FALSE)))</f>
        <v>1.5</v>
      </c>
      <c r="AQ376" s="154">
        <f>IF(S376="","",IF(S376="SIM",VLOOKUP($I376&amp;$J376&amp;S$1,Pesos!$A:$I,7,FALSE),VLOOKUP($I376&amp;$J376&amp;S$1,Pesos!$A:$I,9,FALSE)))</f>
        <v>1.75</v>
      </c>
      <c r="AR376" s="156">
        <f>IF(T376="","",IF(T376="SIM",VLOOKUP($I376&amp;$J376&amp;T$1,Pesos!$A:$I,7,FALSE),VLOOKUP($I376&amp;$J376&amp;T$1,Pesos!$A:$I,9,FALSE)))</f>
        <v>1.7000000000000002</v>
      </c>
      <c r="AS376" s="132">
        <f>IF(U376="","",IF(U376="SIM",VLOOKUP($I376&amp;$J376&amp;U$1,Pesos!$A:$I,7,FALSE),VLOOKUP($I376&amp;$J376&amp;U$1,Pesos!$A:$I,9,FALSE)))</f>
        <v>1.5</v>
      </c>
      <c r="AT376" s="132">
        <f>IF(V376="","",IF(V376="SIM",VLOOKUP($I376&amp;$J376&amp;V$1,Pesos!$A:$I,7,FALSE),VLOOKUP($I376&amp;$J376&amp;V$1,Pesos!$A:$I,9,FALSE)))</f>
        <v>1.5</v>
      </c>
      <c r="AU376" s="132">
        <f>IF(W376="","",IF(W376="SIM",VLOOKUP($I376&amp;$J376&amp;W$1,Pesos!$A:$I,7,FALSE),VLOOKUP($I376&amp;$J376&amp;W$1,Pesos!$A:$I,9,FALSE)))</f>
        <v>0.3</v>
      </c>
      <c r="AV376" s="132">
        <f>IF(X376="","",IF(X376="SIM",VLOOKUP($I376&amp;$J376&amp;X$1,Pesos!$A:$I,7,FALSE),VLOOKUP($I376&amp;$J376&amp;X$1,Pesos!$A:$I,9,FALSE)))</f>
        <v>0.3</v>
      </c>
      <c r="AW376" s="132">
        <f>IF(Y376="","",IF(Y376="SIM",VLOOKUP($I376&amp;$J376&amp;Y$1,Pesos!$A:$I,7,FALSE),VLOOKUP($I376&amp;$J376&amp;Y$1,Pesos!$A:$I,9,FALSE)))</f>
        <v>0.15</v>
      </c>
      <c r="AX376" s="132">
        <f>IF(Z376="","",IF(Z376="SIM",VLOOKUP($I376&amp;$J376&amp;Z$1,Pesos!$A:$I,7,FALSE),VLOOKUP($I376&amp;$J376&amp;Z$1,Pesos!$A:$I,9,FALSE)))</f>
        <v>0.2</v>
      </c>
      <c r="AY376" s="132">
        <f>IF(AA376="","",IF(AA376="SIM",VLOOKUP($I376&amp;$J376&amp;AA$1,Pesos!$A:$I,7,FALSE),VLOOKUP($I376&amp;$J376&amp;AA$1,Pesos!$A:$I,9,FALSE)))</f>
        <v>-1.4999999999999999E-2</v>
      </c>
      <c r="AZ376" s="132">
        <f>IF(AB376="","",IF(AB376="SIM",VLOOKUP($I376&amp;$J376&amp;AB$1,Pesos!$A:$I,7,FALSE),VLOOKUP($I376&amp;$J376&amp;AB$1,Pesos!$A:$I,9,FALSE)))</f>
        <v>0.1</v>
      </c>
      <c r="BA376" s="132" t="str">
        <f>IF(AC376="","",IF(AC376="SIM",VLOOKUP($I376&amp;$J376&amp;AC$1,Pesos!$A:$I,7,FALSE),VLOOKUP($I376&amp;$J376&amp;AC$1,Pesos!$A:$I,9,FALSE)))</f>
        <v/>
      </c>
      <c r="BB376" s="132" t="str">
        <f>IF(AD376="","",IF(AD376="SIM",VLOOKUP($I376&amp;$J376&amp;AD$1,Pesos!$A:$I,7,FALSE),VLOOKUP($I376&amp;$J376&amp;AD$1,Pesos!$A:$I,9,FALSE)))</f>
        <v/>
      </c>
      <c r="BC376" s="132" t="str">
        <f>IF(AE376="","",IF(AE376="SIM",VLOOKUP($I376&amp;$J376&amp;AE$1,Pesos!$A:$I,7,FALSE),VLOOKUP($I376&amp;$J376&amp;AE$1,Pesos!$A:$I,9,FALSE)))</f>
        <v/>
      </c>
      <c r="BD376" s="158">
        <f>IFERROR(AF376*VLOOKUP(J376,'BD Campos'!$X$1:$Y$14,2,FALSE),"0")</f>
        <v>9.6850000000000005</v>
      </c>
    </row>
    <row r="377" spans="1:56">
      <c r="A377" s="151" t="str">
        <f t="shared" si="23"/>
        <v>Jan11218ClienteLOGÍSTICA</v>
      </c>
      <c r="B377" s="149" t="str">
        <f t="shared" si="24"/>
        <v>Jan112181LOGÍSTICAPADRÃO</v>
      </c>
      <c r="C377" s="152">
        <v>1</v>
      </c>
      <c r="D377" s="153">
        <v>46062.729535069448</v>
      </c>
      <c r="E377" s="154" t="s">
        <v>12</v>
      </c>
      <c r="F377" s="155">
        <v>11218</v>
      </c>
      <c r="G377" s="149" t="s">
        <v>574</v>
      </c>
      <c r="H377" s="154">
        <v>1</v>
      </c>
      <c r="I377" s="149" t="s">
        <v>575</v>
      </c>
      <c r="J377" s="149" t="s">
        <v>149</v>
      </c>
      <c r="K377" s="149" t="s">
        <v>315</v>
      </c>
      <c r="L377" s="156"/>
      <c r="M377" s="157">
        <v>8.449074074074075E-4</v>
      </c>
      <c r="N377" s="131" t="s">
        <v>17</v>
      </c>
      <c r="O377" s="131" t="s">
        <v>17</v>
      </c>
      <c r="P377" s="131" t="s">
        <v>17</v>
      </c>
      <c r="Q377" s="131" t="s">
        <v>17</v>
      </c>
      <c r="R377" s="131" t="s">
        <v>17</v>
      </c>
      <c r="S377" s="131" t="s">
        <v>17</v>
      </c>
      <c r="T377" s="131" t="s">
        <v>17</v>
      </c>
      <c r="U377" s="131" t="s">
        <v>17</v>
      </c>
      <c r="V377" s="131" t="s">
        <v>17</v>
      </c>
      <c r="W377" s="131" t="s">
        <v>17</v>
      </c>
      <c r="X377" s="131" t="s">
        <v>17</v>
      </c>
      <c r="Y377" s="131" t="s">
        <v>17</v>
      </c>
      <c r="Z377" s="131" t="s">
        <v>17</v>
      </c>
      <c r="AA377" s="131" t="s">
        <v>17</v>
      </c>
      <c r="AB377" s="131" t="s">
        <v>17</v>
      </c>
      <c r="AC377" s="131"/>
      <c r="AD377" s="131"/>
      <c r="AE377" s="131"/>
      <c r="AF377" s="158">
        <f t="shared" si="26"/>
        <v>10.000000000000002</v>
      </c>
      <c r="AG377" s="159"/>
      <c r="AH377" s="155"/>
      <c r="AI377" s="155" t="s">
        <v>83</v>
      </c>
      <c r="AJ377" s="131" t="str">
        <f>IFERROR(VLOOKUP(E377&amp;F377,'Listagem dos op'!A:S,19,0),"")</f>
        <v/>
      </c>
      <c r="AK377" s="131" t="str">
        <f t="shared" si="25"/>
        <v>Jan11218</v>
      </c>
      <c r="AL377" s="154">
        <f>IF(N377="","",IF(N377="SIM",VLOOKUP($I377&amp;$J377&amp;N$1,Pesos!$A:$I,7,FALSE),VLOOKUP($I377&amp;$J377&amp;N$1,Pesos!$A:$I,9,FALSE)))</f>
        <v>0.1</v>
      </c>
      <c r="AM377" s="154">
        <f>IF(O377="","",IF(O377="SIM",VLOOKUP($I377&amp;$J377&amp;O$1,Pesos!$A:$I,7,FALSE),VLOOKUP($I377&amp;$J377&amp;O$1,Pesos!$A:$I,9,FALSE)))</f>
        <v>0.1</v>
      </c>
      <c r="AN377" s="154">
        <f>IF(P377="","",IF(P377="SIM",VLOOKUP($I377&amp;$J377&amp;P$1,Pesos!$A:$I,7,FALSE),VLOOKUP($I377&amp;$J377&amp;P$1,Pesos!$A:$I,9,FALSE)))</f>
        <v>0.1</v>
      </c>
      <c r="AO377" s="154">
        <f>IF(Q377="","",IF(Q377="SIM",VLOOKUP($I377&amp;$J377&amp;Q$1,Pesos!$A:$I,7,FALSE),VLOOKUP($I377&amp;$J377&amp;Q$1,Pesos!$A:$I,9,FALSE)))</f>
        <v>0.4</v>
      </c>
      <c r="AP377" s="154">
        <f>IF(R377="","",IF(R377="SIM",VLOOKUP($I377&amp;$J377&amp;R$1,Pesos!$A:$I,7,FALSE),VLOOKUP($I377&amp;$J377&amp;R$1,Pesos!$A:$I,9,FALSE)))</f>
        <v>1.2</v>
      </c>
      <c r="AQ377" s="154">
        <f>IF(S377="","",IF(S377="SIM",VLOOKUP($I377&amp;$J377&amp;S$1,Pesos!$A:$I,7,FALSE),VLOOKUP($I377&amp;$J377&amp;S$1,Pesos!$A:$I,9,FALSE)))</f>
        <v>2</v>
      </c>
      <c r="AR377" s="156">
        <f>IF(T377="","",IF(T377="SIM",VLOOKUP($I377&amp;$J377&amp;T$1,Pesos!$A:$I,7,FALSE),VLOOKUP($I377&amp;$J377&amp;T$1,Pesos!$A:$I,9,FALSE)))</f>
        <v>1.9500000000000002</v>
      </c>
      <c r="AS377" s="132">
        <f>IF(U377="","",IF(U377="SIM",VLOOKUP($I377&amp;$J377&amp;U$1,Pesos!$A:$I,7,FALSE),VLOOKUP($I377&amp;$J377&amp;U$1,Pesos!$A:$I,9,FALSE)))</f>
        <v>1.4000000000000001</v>
      </c>
      <c r="AT377" s="132">
        <f>IF(V377="","",IF(V377="SIM",VLOOKUP($I377&amp;$J377&amp;V$1,Pesos!$A:$I,7,FALSE),VLOOKUP($I377&amp;$J377&amp;V$1,Pesos!$A:$I,9,FALSE)))</f>
        <v>1.4000000000000001</v>
      </c>
      <c r="AU377" s="132">
        <f>IF(W377="","",IF(W377="SIM",VLOOKUP($I377&amp;$J377&amp;W$1,Pesos!$A:$I,7,FALSE),VLOOKUP($I377&amp;$J377&amp;W$1,Pesos!$A:$I,9,FALSE)))</f>
        <v>0.3</v>
      </c>
      <c r="AV377" s="132">
        <f>IF(X377="","",IF(X377="SIM",VLOOKUP($I377&amp;$J377&amp;X$1,Pesos!$A:$I,7,FALSE),VLOOKUP($I377&amp;$J377&amp;X$1,Pesos!$A:$I,9,FALSE)))</f>
        <v>0.3</v>
      </c>
      <c r="AW377" s="132">
        <f>IF(Y377="","",IF(Y377="SIM",VLOOKUP($I377&amp;$J377&amp;Y$1,Pesos!$A:$I,7,FALSE),VLOOKUP($I377&amp;$J377&amp;Y$1,Pesos!$A:$I,9,FALSE)))</f>
        <v>0.15</v>
      </c>
      <c r="AX377" s="132">
        <f>IF(Z377="","",IF(Z377="SIM",VLOOKUP($I377&amp;$J377&amp;Z$1,Pesos!$A:$I,7,FALSE),VLOOKUP($I377&amp;$J377&amp;Z$1,Pesos!$A:$I,9,FALSE)))</f>
        <v>0.2</v>
      </c>
      <c r="AY377" s="132">
        <f>IF(AA377="","",IF(AA377="SIM",VLOOKUP($I377&amp;$J377&amp;AA$1,Pesos!$A:$I,7,FALSE),VLOOKUP($I377&amp;$J377&amp;AA$1,Pesos!$A:$I,9,FALSE)))</f>
        <v>0.3</v>
      </c>
      <c r="AZ377" s="132">
        <f>IF(AB377="","",IF(AB377="SIM",VLOOKUP($I377&amp;$J377&amp;AB$1,Pesos!$A:$I,7,FALSE),VLOOKUP($I377&amp;$J377&amp;AB$1,Pesos!$A:$I,9,FALSE)))</f>
        <v>0.1</v>
      </c>
      <c r="BA377" s="132" t="str">
        <f>IF(AC377="","",IF(AC377="SIM",VLOOKUP($I377&amp;$J377&amp;AC$1,Pesos!$A:$I,7,FALSE),VLOOKUP($I377&amp;$J377&amp;AC$1,Pesos!$A:$I,9,FALSE)))</f>
        <v/>
      </c>
      <c r="BB377" s="132" t="str">
        <f>IF(AD377="","",IF(AD377="SIM",VLOOKUP($I377&amp;$J377&amp;AD$1,Pesos!$A:$I,7,FALSE),VLOOKUP($I377&amp;$J377&amp;AD$1,Pesos!$A:$I,9,FALSE)))</f>
        <v/>
      </c>
      <c r="BC377" s="132" t="str">
        <f>IF(AE377="","",IF(AE377="SIM",VLOOKUP($I377&amp;$J377&amp;AE$1,Pesos!$A:$I,7,FALSE),VLOOKUP($I377&amp;$J377&amp;AE$1,Pesos!$A:$I,9,FALSE)))</f>
        <v/>
      </c>
      <c r="BD377" s="158">
        <f>IFERROR(AF377*VLOOKUP(J377,'BD Campos'!$X$1:$Y$14,2,FALSE),"0")</f>
        <v>10.000000000000002</v>
      </c>
    </row>
    <row r="378" spans="1:56">
      <c r="A378" s="151" t="str">
        <f t="shared" si="23"/>
        <v>Jan11218MotoristaLOGÍSTICA</v>
      </c>
      <c r="B378" s="149" t="str">
        <f t="shared" si="24"/>
        <v>Jan112182LOGÍSTICAPADRÃO</v>
      </c>
      <c r="C378" s="152">
        <v>1</v>
      </c>
      <c r="D378" s="153">
        <v>46062.731125231483</v>
      </c>
      <c r="E378" s="154" t="s">
        <v>12</v>
      </c>
      <c r="F378" s="155">
        <v>11218</v>
      </c>
      <c r="G378" s="149" t="s">
        <v>574</v>
      </c>
      <c r="H378" s="154">
        <v>2</v>
      </c>
      <c r="I378" s="149" t="s">
        <v>547</v>
      </c>
      <c r="J378" s="149" t="s">
        <v>93</v>
      </c>
      <c r="K378" s="149" t="s">
        <v>315</v>
      </c>
      <c r="L378" s="156"/>
      <c r="M378" s="157">
        <v>1.4930555555555556E-3</v>
      </c>
      <c r="N378" s="131" t="s">
        <v>17</v>
      </c>
      <c r="O378" s="131" t="s">
        <v>17</v>
      </c>
      <c r="P378" s="131" t="s">
        <v>17</v>
      </c>
      <c r="Q378" s="131" t="s">
        <v>17</v>
      </c>
      <c r="R378" s="131" t="s">
        <v>17</v>
      </c>
      <c r="S378" s="131" t="s">
        <v>17</v>
      </c>
      <c r="T378" s="131" t="s">
        <v>17</v>
      </c>
      <c r="U378" s="131" t="s">
        <v>17</v>
      </c>
      <c r="V378" s="131" t="s">
        <v>17</v>
      </c>
      <c r="W378" s="131" t="s">
        <v>17</v>
      </c>
      <c r="X378" s="131" t="s">
        <v>17</v>
      </c>
      <c r="Y378" s="131" t="s">
        <v>17</v>
      </c>
      <c r="Z378" s="131" t="s">
        <v>17</v>
      </c>
      <c r="AA378" s="131"/>
      <c r="AB378" s="131"/>
      <c r="AC378" s="131"/>
      <c r="AD378" s="131"/>
      <c r="AE378" s="131"/>
      <c r="AF378" s="158">
        <f t="shared" si="26"/>
        <v>10.000000000000002</v>
      </c>
      <c r="AG378" s="159"/>
      <c r="AH378" s="155"/>
      <c r="AI378" s="155" t="s">
        <v>83</v>
      </c>
      <c r="AJ378" s="131" t="str">
        <f>IFERROR(VLOOKUP(E378&amp;F378,'Listagem dos op'!A:S,19,0),"")</f>
        <v/>
      </c>
      <c r="AK378" s="131" t="str">
        <f t="shared" si="25"/>
        <v>Jan11218</v>
      </c>
      <c r="AL378" s="154">
        <f>IF(N378="","",IF(N378="SIM",VLOOKUP($I378&amp;$J378&amp;N$1,Pesos!$A:$I,7,FALSE),VLOOKUP($I378&amp;$J378&amp;N$1,Pesos!$A:$I,9,FALSE)))</f>
        <v>0.1</v>
      </c>
      <c r="AM378" s="154">
        <f>IF(O378="","",IF(O378="SIM",VLOOKUP($I378&amp;$J378&amp;O$1,Pesos!$A:$I,7,FALSE),VLOOKUP($I378&amp;$J378&amp;O$1,Pesos!$A:$I,9,FALSE)))</f>
        <v>0.1</v>
      </c>
      <c r="AN378" s="154">
        <f>IF(P378="","",IF(P378="SIM",VLOOKUP($I378&amp;$J378&amp;P$1,Pesos!$A:$I,7,FALSE),VLOOKUP($I378&amp;$J378&amp;P$1,Pesos!$A:$I,9,FALSE)))</f>
        <v>0.1</v>
      </c>
      <c r="AO378" s="154">
        <f>IF(Q378="","",IF(Q378="SIM",VLOOKUP($I378&amp;$J378&amp;Q$1,Pesos!$A:$I,7,FALSE),VLOOKUP($I378&amp;$J378&amp;Q$1,Pesos!$A:$I,9,FALSE)))</f>
        <v>0.4</v>
      </c>
      <c r="AP378" s="154">
        <f>IF(R378="","",IF(R378="SIM",VLOOKUP($I378&amp;$J378&amp;R$1,Pesos!$A:$I,7,FALSE),VLOOKUP($I378&amp;$J378&amp;R$1,Pesos!$A:$I,9,FALSE)))</f>
        <v>1.9500000000000002</v>
      </c>
      <c r="AQ378" s="154">
        <f>IF(S378="","",IF(S378="SIM",VLOOKUP($I378&amp;$J378&amp;S$1,Pesos!$A:$I,7,FALSE),VLOOKUP($I378&amp;$J378&amp;S$1,Pesos!$A:$I,9,FALSE)))</f>
        <v>3</v>
      </c>
      <c r="AR378" s="156">
        <f>IF(T378="","",IF(T378="SIM",VLOOKUP($I378&amp;$J378&amp;T$1,Pesos!$A:$I,7,FALSE),VLOOKUP($I378&amp;$J378&amp;T$1,Pesos!$A:$I,9,FALSE)))</f>
        <v>3</v>
      </c>
      <c r="AS378" s="132">
        <f>IF(U378="","",IF(U378="SIM",VLOOKUP($I378&amp;$J378&amp;U$1,Pesos!$A:$I,7,FALSE),VLOOKUP($I378&amp;$J378&amp;U$1,Pesos!$A:$I,9,FALSE)))</f>
        <v>0.3</v>
      </c>
      <c r="AT378" s="132">
        <f>IF(V378="","",IF(V378="SIM",VLOOKUP($I378&amp;$J378&amp;V$1,Pesos!$A:$I,7,FALSE),VLOOKUP($I378&amp;$J378&amp;V$1,Pesos!$A:$I,9,FALSE)))</f>
        <v>0.3</v>
      </c>
      <c r="AU378" s="132">
        <f>IF(W378="","",IF(W378="SIM",VLOOKUP($I378&amp;$J378&amp;W$1,Pesos!$A:$I,7,FALSE),VLOOKUP($I378&amp;$J378&amp;W$1,Pesos!$A:$I,9,FALSE)))</f>
        <v>0.15</v>
      </c>
      <c r="AV378" s="132">
        <f>IF(X378="","",IF(X378="SIM",VLOOKUP($I378&amp;$J378&amp;X$1,Pesos!$A:$I,7,FALSE),VLOOKUP($I378&amp;$J378&amp;X$1,Pesos!$A:$I,9,FALSE)))</f>
        <v>0.2</v>
      </c>
      <c r="AW378" s="132">
        <f>IF(Y378="","",IF(Y378="SIM",VLOOKUP($I378&amp;$J378&amp;Y$1,Pesos!$A:$I,7,FALSE),VLOOKUP($I378&amp;$J378&amp;Y$1,Pesos!$A:$I,9,FALSE)))</f>
        <v>0.3</v>
      </c>
      <c r="AX378" s="132">
        <f>IF(Z378="","",IF(Z378="SIM",VLOOKUP($I378&amp;$J378&amp;Z$1,Pesos!$A:$I,7,FALSE),VLOOKUP($I378&amp;$J378&amp;Z$1,Pesos!$A:$I,9,FALSE)))</f>
        <v>0.1</v>
      </c>
      <c r="AY378" s="132" t="str">
        <f>IF(AA378="","",IF(AA378="SIM",VLOOKUP($I378&amp;$J378&amp;AA$1,Pesos!$A:$I,7,FALSE),VLOOKUP($I378&amp;$J378&amp;AA$1,Pesos!$A:$I,9,FALSE)))</f>
        <v/>
      </c>
      <c r="AZ378" s="132" t="str">
        <f>IF(AB378="","",IF(AB378="SIM",VLOOKUP($I378&amp;$J378&amp;AB$1,Pesos!$A:$I,7,FALSE),VLOOKUP($I378&amp;$J378&amp;AB$1,Pesos!$A:$I,9,FALSE)))</f>
        <v/>
      </c>
      <c r="BA378" s="132" t="str">
        <f>IF(AC378="","",IF(AC378="SIM",VLOOKUP($I378&amp;$J378&amp;AC$1,Pesos!$A:$I,7,FALSE),VLOOKUP($I378&amp;$J378&amp;AC$1,Pesos!$A:$I,9,FALSE)))</f>
        <v/>
      </c>
      <c r="BB378" s="132" t="str">
        <f>IF(AD378="","",IF(AD378="SIM",VLOOKUP($I378&amp;$J378&amp;AD$1,Pesos!$A:$I,7,FALSE),VLOOKUP($I378&amp;$J378&amp;AD$1,Pesos!$A:$I,9,FALSE)))</f>
        <v/>
      </c>
      <c r="BC378" s="132" t="str">
        <f>IF(AE378="","",IF(AE378="SIM",VLOOKUP($I378&amp;$J378&amp;AE$1,Pesos!$A:$I,7,FALSE),VLOOKUP($I378&amp;$J378&amp;AE$1,Pesos!$A:$I,9,FALSE)))</f>
        <v/>
      </c>
      <c r="BD378" s="158">
        <f>IFERROR(AF378*VLOOKUP(J378,'BD Campos'!$X$1:$Y$14,2,FALSE),"0")</f>
        <v>10.000000000000002</v>
      </c>
    </row>
    <row r="379" spans="1:56">
      <c r="A379" s="151" t="str">
        <f t="shared" si="23"/>
        <v>Jan11081MotoristaLOGÍSTICA</v>
      </c>
      <c r="B379" s="149" t="str">
        <f t="shared" si="24"/>
        <v>Jan110811LOGÍSTICAPADRÃO</v>
      </c>
      <c r="C379" s="152">
        <v>1</v>
      </c>
      <c r="D379" s="153">
        <v>46062.734171180557</v>
      </c>
      <c r="E379" s="154" t="s">
        <v>12</v>
      </c>
      <c r="F379" s="155">
        <v>11081</v>
      </c>
      <c r="G379" s="149" t="s">
        <v>576</v>
      </c>
      <c r="H379" s="154">
        <v>1</v>
      </c>
      <c r="I379" s="149" t="s">
        <v>480</v>
      </c>
      <c r="J379" s="149" t="s">
        <v>93</v>
      </c>
      <c r="K379" s="149" t="s">
        <v>315</v>
      </c>
      <c r="L379" s="156"/>
      <c r="M379" s="157">
        <v>9.4907407407407408E-4</v>
      </c>
      <c r="N379" s="131" t="s">
        <v>17</v>
      </c>
      <c r="O379" s="131" t="s">
        <v>17</v>
      </c>
      <c r="P379" s="131" t="s">
        <v>17</v>
      </c>
      <c r="Q379" s="131" t="s">
        <v>17</v>
      </c>
      <c r="R379" s="131" t="s">
        <v>17</v>
      </c>
      <c r="S379" s="131" t="s">
        <v>17</v>
      </c>
      <c r="T379" s="131" t="s">
        <v>17</v>
      </c>
      <c r="U379" s="131" t="s">
        <v>17</v>
      </c>
      <c r="V379" s="131" t="s">
        <v>17</v>
      </c>
      <c r="W379" s="131" t="s">
        <v>18</v>
      </c>
      <c r="X379" s="131" t="s">
        <v>17</v>
      </c>
      <c r="Y379" s="131" t="s">
        <v>17</v>
      </c>
      <c r="Z379" s="131" t="s">
        <v>17</v>
      </c>
      <c r="AA379" s="131" t="s">
        <v>18</v>
      </c>
      <c r="AB379" s="131" t="s">
        <v>17</v>
      </c>
      <c r="AC379" s="131"/>
      <c r="AD379" s="131"/>
      <c r="AE379" s="131"/>
      <c r="AF379" s="158">
        <f t="shared" si="26"/>
        <v>9.3699999999999992</v>
      </c>
      <c r="AG379" s="159"/>
      <c r="AH379" s="155"/>
      <c r="AI379" s="155" t="s">
        <v>83</v>
      </c>
      <c r="AJ379" s="131" t="str">
        <f>IFERROR(VLOOKUP(E379&amp;F379,'Listagem dos op'!A:S,19,0),"")</f>
        <v/>
      </c>
      <c r="AK379" s="131" t="str">
        <f t="shared" si="25"/>
        <v>Jan11081</v>
      </c>
      <c r="AL379" s="154">
        <f>IF(N379="","",IF(N379="SIM",VLOOKUP($I379&amp;$J379&amp;N$1,Pesos!$A:$I,7,FALSE),VLOOKUP($I379&amp;$J379&amp;N$1,Pesos!$A:$I,9,FALSE)))</f>
        <v>0.1</v>
      </c>
      <c r="AM379" s="154">
        <f>IF(O379="","",IF(O379="SIM",VLOOKUP($I379&amp;$J379&amp;O$1,Pesos!$A:$I,7,FALSE),VLOOKUP($I379&amp;$J379&amp;O$1,Pesos!$A:$I,9,FALSE)))</f>
        <v>0.1</v>
      </c>
      <c r="AN379" s="154">
        <f>IF(P379="","",IF(P379="SIM",VLOOKUP($I379&amp;$J379&amp;P$1,Pesos!$A:$I,7,FALSE),VLOOKUP($I379&amp;$J379&amp;P$1,Pesos!$A:$I,9,FALSE)))</f>
        <v>0.1</v>
      </c>
      <c r="AO379" s="154">
        <f>IF(Q379="","",IF(Q379="SIM",VLOOKUP($I379&amp;$J379&amp;Q$1,Pesos!$A:$I,7,FALSE),VLOOKUP($I379&amp;$J379&amp;Q$1,Pesos!$A:$I,9,FALSE)))</f>
        <v>0.4</v>
      </c>
      <c r="AP379" s="154">
        <f>IF(R379="","",IF(R379="SIM",VLOOKUP($I379&amp;$J379&amp;R$1,Pesos!$A:$I,7,FALSE),VLOOKUP($I379&amp;$J379&amp;R$1,Pesos!$A:$I,9,FALSE)))</f>
        <v>1.3</v>
      </c>
      <c r="AQ379" s="154">
        <f>IF(S379="","",IF(S379="SIM",VLOOKUP($I379&amp;$J379&amp;S$1,Pesos!$A:$I,7,FALSE),VLOOKUP($I379&amp;$J379&amp;S$1,Pesos!$A:$I,9,FALSE)))</f>
        <v>2</v>
      </c>
      <c r="AR379" s="156">
        <f>IF(T379="","",IF(T379="SIM",VLOOKUP($I379&amp;$J379&amp;T$1,Pesos!$A:$I,7,FALSE),VLOOKUP($I379&amp;$J379&amp;T$1,Pesos!$A:$I,9,FALSE)))</f>
        <v>2</v>
      </c>
      <c r="AS379" s="132">
        <f>IF(U379="","",IF(U379="SIM",VLOOKUP($I379&amp;$J379&amp;U$1,Pesos!$A:$I,7,FALSE),VLOOKUP($I379&amp;$J379&amp;U$1,Pesos!$A:$I,9,FALSE)))</f>
        <v>1.33</v>
      </c>
      <c r="AT379" s="132">
        <f>IF(V379="","",IF(V379="SIM",VLOOKUP($I379&amp;$J379&amp;V$1,Pesos!$A:$I,7,FALSE),VLOOKUP($I379&amp;$J379&amp;V$1,Pesos!$A:$I,9,FALSE)))</f>
        <v>1.32</v>
      </c>
      <c r="AU379" s="132">
        <f>IF(W379="","",IF(W379="SIM",VLOOKUP($I379&amp;$J379&amp;W$1,Pesos!$A:$I,7,FALSE),VLOOKUP($I379&amp;$J379&amp;W$1,Pesos!$A:$I,9,FALSE)))</f>
        <v>-1.4999999999999999E-2</v>
      </c>
      <c r="AV379" s="132">
        <f>IF(X379="","",IF(X379="SIM",VLOOKUP($I379&amp;$J379&amp;X$1,Pesos!$A:$I,7,FALSE),VLOOKUP($I379&amp;$J379&amp;X$1,Pesos!$A:$I,9,FALSE)))</f>
        <v>0.3</v>
      </c>
      <c r="AW379" s="132">
        <f>IF(Y379="","",IF(Y379="SIM",VLOOKUP($I379&amp;$J379&amp;Y$1,Pesos!$A:$I,7,FALSE),VLOOKUP($I379&amp;$J379&amp;Y$1,Pesos!$A:$I,9,FALSE)))</f>
        <v>0.15</v>
      </c>
      <c r="AX379" s="132">
        <f>IF(Z379="","",IF(Z379="SIM",VLOOKUP($I379&amp;$J379&amp;Z$1,Pesos!$A:$I,7,FALSE),VLOOKUP($I379&amp;$J379&amp;Z$1,Pesos!$A:$I,9,FALSE)))</f>
        <v>0.2</v>
      </c>
      <c r="AY379" s="132">
        <f>IF(AA379="","",IF(AA379="SIM",VLOOKUP($I379&amp;$J379&amp;AA$1,Pesos!$A:$I,7,FALSE),VLOOKUP($I379&amp;$J379&amp;AA$1,Pesos!$A:$I,9,FALSE)))</f>
        <v>-1.4999999999999999E-2</v>
      </c>
      <c r="AZ379" s="132">
        <f>IF(AB379="","",IF(AB379="SIM",VLOOKUP($I379&amp;$J379&amp;AB$1,Pesos!$A:$I,7,FALSE),VLOOKUP($I379&amp;$J379&amp;AB$1,Pesos!$A:$I,9,FALSE)))</f>
        <v>0.1</v>
      </c>
      <c r="BA379" s="132" t="str">
        <f>IF(AC379="","",IF(AC379="SIM",VLOOKUP($I379&amp;$J379&amp;AC$1,Pesos!$A:$I,7,FALSE),VLOOKUP($I379&amp;$J379&amp;AC$1,Pesos!$A:$I,9,FALSE)))</f>
        <v/>
      </c>
      <c r="BB379" s="132" t="str">
        <f>IF(AD379="","",IF(AD379="SIM",VLOOKUP($I379&amp;$J379&amp;AD$1,Pesos!$A:$I,7,FALSE),VLOOKUP($I379&amp;$J379&amp;AD$1,Pesos!$A:$I,9,FALSE)))</f>
        <v/>
      </c>
      <c r="BC379" s="132" t="str">
        <f>IF(AE379="","",IF(AE379="SIM",VLOOKUP($I379&amp;$J379&amp;AE$1,Pesos!$A:$I,7,FALSE),VLOOKUP($I379&amp;$J379&amp;AE$1,Pesos!$A:$I,9,FALSE)))</f>
        <v/>
      </c>
      <c r="BD379" s="158">
        <f>IFERROR(AF379*VLOOKUP(J379,'BD Campos'!$X$1:$Y$14,2,FALSE),"0")</f>
        <v>9.3699999999999992</v>
      </c>
    </row>
    <row r="380" spans="1:56">
      <c r="A380" s="151" t="str">
        <f t="shared" si="23"/>
        <v>Jan11081ClienteLOGÍSTICA</v>
      </c>
      <c r="B380" s="149" t="str">
        <f t="shared" si="24"/>
        <v>Jan110812LOGÍSTICAPADRÃO</v>
      </c>
      <c r="C380" s="152">
        <v>1</v>
      </c>
      <c r="D380" s="153">
        <v>46062.742384722224</v>
      </c>
      <c r="E380" s="154" t="s">
        <v>12</v>
      </c>
      <c r="F380" s="155">
        <v>11081</v>
      </c>
      <c r="G380" s="149" t="s">
        <v>576</v>
      </c>
      <c r="H380" s="154">
        <v>2</v>
      </c>
      <c r="I380" s="149" t="s">
        <v>480</v>
      </c>
      <c r="J380" s="149" t="s">
        <v>149</v>
      </c>
      <c r="K380" s="149" t="s">
        <v>315</v>
      </c>
      <c r="L380" s="156"/>
      <c r="M380" s="157">
        <v>9.3749999999999997E-3</v>
      </c>
      <c r="N380" s="131" t="s">
        <v>17</v>
      </c>
      <c r="O380" s="131" t="s">
        <v>17</v>
      </c>
      <c r="P380" s="131" t="s">
        <v>17</v>
      </c>
      <c r="Q380" s="131" t="s">
        <v>17</v>
      </c>
      <c r="R380" s="131" t="s">
        <v>17</v>
      </c>
      <c r="S380" s="131" t="s">
        <v>17</v>
      </c>
      <c r="T380" s="131" t="s">
        <v>17</v>
      </c>
      <c r="U380" s="131" t="s">
        <v>17</v>
      </c>
      <c r="V380" s="131" t="s">
        <v>17</v>
      </c>
      <c r="W380" s="131" t="s">
        <v>17</v>
      </c>
      <c r="X380" s="131" t="s">
        <v>17</v>
      </c>
      <c r="Y380" s="131" t="s">
        <v>17</v>
      </c>
      <c r="Z380" s="131" t="s">
        <v>18</v>
      </c>
      <c r="AA380" s="131" t="s">
        <v>18</v>
      </c>
      <c r="AB380" s="131" t="s">
        <v>17</v>
      </c>
      <c r="AC380" s="131"/>
      <c r="AD380" s="131"/>
      <c r="AE380" s="131"/>
      <c r="AF380" s="158">
        <f t="shared" si="26"/>
        <v>9.4750000000000014</v>
      </c>
      <c r="AG380" s="159"/>
      <c r="AH380" s="155"/>
      <c r="AI380" s="155" t="s">
        <v>83</v>
      </c>
      <c r="AJ380" s="131" t="str">
        <f>IFERROR(VLOOKUP(E380&amp;F380,'Listagem dos op'!A:S,19,0),"")</f>
        <v/>
      </c>
      <c r="AK380" s="131" t="str">
        <f t="shared" si="25"/>
        <v>Jan11081</v>
      </c>
      <c r="AL380" s="154">
        <f>IF(N380="","",IF(N380="SIM",VLOOKUP($I380&amp;$J380&amp;N$1,Pesos!$A:$I,7,FALSE),VLOOKUP($I380&amp;$J380&amp;N$1,Pesos!$A:$I,9,FALSE)))</f>
        <v>0.1</v>
      </c>
      <c r="AM380" s="154">
        <f>IF(O380="","",IF(O380="SIM",VLOOKUP($I380&amp;$J380&amp;O$1,Pesos!$A:$I,7,FALSE),VLOOKUP($I380&amp;$J380&amp;O$1,Pesos!$A:$I,9,FALSE)))</f>
        <v>0.1</v>
      </c>
      <c r="AN380" s="154">
        <f>IF(P380="","",IF(P380="SIM",VLOOKUP($I380&amp;$J380&amp;P$1,Pesos!$A:$I,7,FALSE),VLOOKUP($I380&amp;$J380&amp;P$1,Pesos!$A:$I,9,FALSE)))</f>
        <v>0.1</v>
      </c>
      <c r="AO380" s="154">
        <f>IF(Q380="","",IF(Q380="SIM",VLOOKUP($I380&amp;$J380&amp;Q$1,Pesos!$A:$I,7,FALSE),VLOOKUP($I380&amp;$J380&amp;Q$1,Pesos!$A:$I,9,FALSE)))</f>
        <v>0.4</v>
      </c>
      <c r="AP380" s="154">
        <f>IF(R380="","",IF(R380="SIM",VLOOKUP($I380&amp;$J380&amp;R$1,Pesos!$A:$I,7,FALSE),VLOOKUP($I380&amp;$J380&amp;R$1,Pesos!$A:$I,9,FALSE)))</f>
        <v>1.5</v>
      </c>
      <c r="AQ380" s="154">
        <f>IF(S380="","",IF(S380="SIM",VLOOKUP($I380&amp;$J380&amp;S$1,Pesos!$A:$I,7,FALSE),VLOOKUP($I380&amp;$J380&amp;S$1,Pesos!$A:$I,9,FALSE)))</f>
        <v>1.75</v>
      </c>
      <c r="AR380" s="156">
        <f>IF(T380="","",IF(T380="SIM",VLOOKUP($I380&amp;$J380&amp;T$1,Pesos!$A:$I,7,FALSE),VLOOKUP($I380&amp;$J380&amp;T$1,Pesos!$A:$I,9,FALSE)))</f>
        <v>1.7000000000000002</v>
      </c>
      <c r="AS380" s="132">
        <f>IF(U380="","",IF(U380="SIM",VLOOKUP($I380&amp;$J380&amp;U$1,Pesos!$A:$I,7,FALSE),VLOOKUP($I380&amp;$J380&amp;U$1,Pesos!$A:$I,9,FALSE)))</f>
        <v>1.5</v>
      </c>
      <c r="AT380" s="132">
        <f>IF(V380="","",IF(V380="SIM",VLOOKUP($I380&amp;$J380&amp;V$1,Pesos!$A:$I,7,FALSE),VLOOKUP($I380&amp;$J380&amp;V$1,Pesos!$A:$I,9,FALSE)))</f>
        <v>1.5</v>
      </c>
      <c r="AU380" s="132">
        <f>IF(W380="","",IF(W380="SIM",VLOOKUP($I380&amp;$J380&amp;W$1,Pesos!$A:$I,7,FALSE),VLOOKUP($I380&amp;$J380&amp;W$1,Pesos!$A:$I,9,FALSE)))</f>
        <v>0.3</v>
      </c>
      <c r="AV380" s="132">
        <f>IF(X380="","",IF(X380="SIM",VLOOKUP($I380&amp;$J380&amp;X$1,Pesos!$A:$I,7,FALSE),VLOOKUP($I380&amp;$J380&amp;X$1,Pesos!$A:$I,9,FALSE)))</f>
        <v>0.3</v>
      </c>
      <c r="AW380" s="132">
        <f>IF(Y380="","",IF(Y380="SIM",VLOOKUP($I380&amp;$J380&amp;Y$1,Pesos!$A:$I,7,FALSE),VLOOKUP($I380&amp;$J380&amp;Y$1,Pesos!$A:$I,9,FALSE)))</f>
        <v>0.15</v>
      </c>
      <c r="AX380" s="132">
        <f>IF(Z380="","",IF(Z380="SIM",VLOOKUP($I380&amp;$J380&amp;Z$1,Pesos!$A:$I,7,FALSE),VLOOKUP($I380&amp;$J380&amp;Z$1,Pesos!$A:$I,9,FALSE)))</f>
        <v>-1.0000000000000002E-2</v>
      </c>
      <c r="AY380" s="132">
        <f>IF(AA380="","",IF(AA380="SIM",VLOOKUP($I380&amp;$J380&amp;AA$1,Pesos!$A:$I,7,FALSE),VLOOKUP($I380&amp;$J380&amp;AA$1,Pesos!$A:$I,9,FALSE)))</f>
        <v>-1.4999999999999999E-2</v>
      </c>
      <c r="AZ380" s="132">
        <f>IF(AB380="","",IF(AB380="SIM",VLOOKUP($I380&amp;$J380&amp;AB$1,Pesos!$A:$I,7,FALSE),VLOOKUP($I380&amp;$J380&amp;AB$1,Pesos!$A:$I,9,FALSE)))</f>
        <v>0.1</v>
      </c>
      <c r="BA380" s="132" t="str">
        <f>IF(AC380="","",IF(AC380="SIM",VLOOKUP($I380&amp;$J380&amp;AC$1,Pesos!$A:$I,7,FALSE),VLOOKUP($I380&amp;$J380&amp;AC$1,Pesos!$A:$I,9,FALSE)))</f>
        <v/>
      </c>
      <c r="BB380" s="132" t="str">
        <f>IF(AD380="","",IF(AD380="SIM",VLOOKUP($I380&amp;$J380&amp;AD$1,Pesos!$A:$I,7,FALSE),VLOOKUP($I380&amp;$J380&amp;AD$1,Pesos!$A:$I,9,FALSE)))</f>
        <v/>
      </c>
      <c r="BC380" s="132" t="str">
        <f>IF(AE380="","",IF(AE380="SIM",VLOOKUP($I380&amp;$J380&amp;AE$1,Pesos!$A:$I,7,FALSE),VLOOKUP($I380&amp;$J380&amp;AE$1,Pesos!$A:$I,9,FALSE)))</f>
        <v/>
      </c>
      <c r="BD380" s="158">
        <f>IFERROR(AF380*VLOOKUP(J380,'BD Campos'!$X$1:$Y$14,2,FALSE),"0")</f>
        <v>9.4750000000000014</v>
      </c>
    </row>
    <row r="381" spans="1:56">
      <c r="A381" s="151" t="str">
        <f t="shared" si="23"/>
        <v>Jan11419MotoristaLOGÍSTICA</v>
      </c>
      <c r="B381" s="149" t="str">
        <f t="shared" si="24"/>
        <v>Jan114191LOGÍSTICAPADRÃO</v>
      </c>
      <c r="C381" s="152">
        <v>1</v>
      </c>
      <c r="D381" s="153">
        <v>46062.750515509259</v>
      </c>
      <c r="E381" s="154" t="s">
        <v>12</v>
      </c>
      <c r="F381" s="155">
        <v>11419</v>
      </c>
      <c r="G381" s="149" t="s">
        <v>577</v>
      </c>
      <c r="H381" s="154">
        <v>1</v>
      </c>
      <c r="I381" s="149" t="s">
        <v>543</v>
      </c>
      <c r="J381" s="149" t="s">
        <v>93</v>
      </c>
      <c r="K381" s="149" t="s">
        <v>315</v>
      </c>
      <c r="L381" s="156"/>
      <c r="M381" s="157">
        <v>1.5046296296296294E-3</v>
      </c>
      <c r="N381" s="131" t="s">
        <v>17</v>
      </c>
      <c r="O381" s="131" t="s">
        <v>17</v>
      </c>
      <c r="P381" s="131" t="s">
        <v>17</v>
      </c>
      <c r="Q381" s="131" t="s">
        <v>17</v>
      </c>
      <c r="R381" s="131" t="s">
        <v>17</v>
      </c>
      <c r="S381" s="131" t="s">
        <v>18</v>
      </c>
      <c r="T381" s="131" t="s">
        <v>17</v>
      </c>
      <c r="U381" s="131" t="s">
        <v>17</v>
      </c>
      <c r="V381" s="131" t="s">
        <v>18</v>
      </c>
      <c r="W381" s="131" t="s">
        <v>17</v>
      </c>
      <c r="X381" s="131" t="s">
        <v>17</v>
      </c>
      <c r="Y381" s="131" t="s">
        <v>17</v>
      </c>
      <c r="Z381" s="131" t="s">
        <v>17</v>
      </c>
      <c r="AA381" s="131" t="s">
        <v>17</v>
      </c>
      <c r="AB381" s="131"/>
      <c r="AC381" s="131"/>
      <c r="AD381" s="131"/>
      <c r="AE381" s="131"/>
      <c r="AF381" s="158">
        <f t="shared" si="26"/>
        <v>6.5875000000000004</v>
      </c>
      <c r="AG381" s="159"/>
      <c r="AH381" s="155"/>
      <c r="AI381" s="155" t="s">
        <v>83</v>
      </c>
      <c r="AJ381" s="131" t="str">
        <f>IFERROR(VLOOKUP(E381&amp;F381,'Listagem dos op'!A:S,19,0),"")</f>
        <v/>
      </c>
      <c r="AK381" s="131" t="str">
        <f t="shared" si="25"/>
        <v>Jan11419</v>
      </c>
      <c r="AL381" s="154">
        <f>IF(N381="","",IF(N381="SIM",VLOOKUP($I381&amp;$J381&amp;N$1,Pesos!$A:$I,7,FALSE),VLOOKUP($I381&amp;$J381&amp;N$1,Pesos!$A:$I,9,FALSE)))</f>
        <v>0.1</v>
      </c>
      <c r="AM381" s="154">
        <f>IF(O381="","",IF(O381="SIM",VLOOKUP($I381&amp;$J381&amp;O$1,Pesos!$A:$I,7,FALSE),VLOOKUP($I381&amp;$J381&amp;O$1,Pesos!$A:$I,9,FALSE)))</f>
        <v>0.1</v>
      </c>
      <c r="AN381" s="154">
        <f>IF(P381="","",IF(P381="SIM",VLOOKUP($I381&amp;$J381&amp;P$1,Pesos!$A:$I,7,FALSE),VLOOKUP($I381&amp;$J381&amp;P$1,Pesos!$A:$I,9,FALSE)))</f>
        <v>0.1</v>
      </c>
      <c r="AO381" s="154">
        <f>IF(Q381="","",IF(Q381="SIM",VLOOKUP($I381&amp;$J381&amp;Q$1,Pesos!$A:$I,7,FALSE),VLOOKUP($I381&amp;$J381&amp;Q$1,Pesos!$A:$I,9,FALSE)))</f>
        <v>0.4</v>
      </c>
      <c r="AP381" s="154">
        <f>IF(R381="","",IF(R381="SIM",VLOOKUP($I381&amp;$J381&amp;R$1,Pesos!$A:$I,7,FALSE),VLOOKUP($I381&amp;$J381&amp;R$1,Pesos!$A:$I,9,FALSE)))</f>
        <v>2</v>
      </c>
      <c r="AQ381" s="154">
        <f>IF(S381="","",IF(S381="SIM",VLOOKUP($I381&amp;$J381&amp;S$1,Pesos!$A:$I,7,FALSE),VLOOKUP($I381&amp;$J381&amp;S$1,Pesos!$A:$I,9,FALSE)))</f>
        <v>-0.14749999999999999</v>
      </c>
      <c r="AR381" s="156">
        <f>IF(T381="","",IF(T381="SIM",VLOOKUP($I381&amp;$J381&amp;T$1,Pesos!$A:$I,7,FALSE),VLOOKUP($I381&amp;$J381&amp;T$1,Pesos!$A:$I,9,FALSE)))</f>
        <v>2</v>
      </c>
      <c r="AS381" s="132">
        <f>IF(U381="","",IF(U381="SIM",VLOOKUP($I381&amp;$J381&amp;U$1,Pesos!$A:$I,7,FALSE),VLOOKUP($I381&amp;$J381&amp;U$1,Pesos!$A:$I,9,FALSE)))</f>
        <v>1</v>
      </c>
      <c r="AT381" s="132">
        <f>IF(V381="","",IF(V381="SIM",VLOOKUP($I381&amp;$J381&amp;V$1,Pesos!$A:$I,7,FALSE),VLOOKUP($I381&amp;$J381&amp;V$1,Pesos!$A:$I,9,FALSE)))</f>
        <v>-1.4999999999999999E-2</v>
      </c>
      <c r="AU381" s="132">
        <f>IF(W381="","",IF(W381="SIM",VLOOKUP($I381&amp;$J381&amp;W$1,Pesos!$A:$I,7,FALSE),VLOOKUP($I381&amp;$J381&amp;W$1,Pesos!$A:$I,9,FALSE)))</f>
        <v>0.3</v>
      </c>
      <c r="AV381" s="132">
        <f>IF(X381="","",IF(X381="SIM",VLOOKUP($I381&amp;$J381&amp;X$1,Pesos!$A:$I,7,FALSE),VLOOKUP($I381&amp;$J381&amp;X$1,Pesos!$A:$I,9,FALSE)))</f>
        <v>0.15</v>
      </c>
      <c r="AW381" s="132">
        <f>IF(Y381="","",IF(Y381="SIM",VLOOKUP($I381&amp;$J381&amp;Y$1,Pesos!$A:$I,7,FALSE),VLOOKUP($I381&amp;$J381&amp;Y$1,Pesos!$A:$I,9,FALSE)))</f>
        <v>0.2</v>
      </c>
      <c r="AX381" s="132">
        <f>IF(Z381="","",IF(Z381="SIM",VLOOKUP($I381&amp;$J381&amp;Z$1,Pesos!$A:$I,7,FALSE),VLOOKUP($I381&amp;$J381&amp;Z$1,Pesos!$A:$I,9,FALSE)))</f>
        <v>0.3</v>
      </c>
      <c r="AY381" s="132">
        <f>IF(AA381="","",IF(AA381="SIM",VLOOKUP($I381&amp;$J381&amp;AA$1,Pesos!$A:$I,7,FALSE),VLOOKUP($I381&amp;$J381&amp;AA$1,Pesos!$A:$I,9,FALSE)))</f>
        <v>0.1</v>
      </c>
      <c r="AZ381" s="132" t="str">
        <f>IF(AB381="","",IF(AB381="SIM",VLOOKUP($I381&amp;$J381&amp;AB$1,Pesos!$A:$I,7,FALSE),VLOOKUP($I381&amp;$J381&amp;AB$1,Pesos!$A:$I,9,FALSE)))</f>
        <v/>
      </c>
      <c r="BA381" s="132" t="str">
        <f>IF(AC381="","",IF(AC381="SIM",VLOOKUP($I381&amp;$J381&amp;AC$1,Pesos!$A:$I,7,FALSE),VLOOKUP($I381&amp;$J381&amp;AC$1,Pesos!$A:$I,9,FALSE)))</f>
        <v/>
      </c>
      <c r="BB381" s="132" t="str">
        <f>IF(AD381="","",IF(AD381="SIM",VLOOKUP($I381&amp;$J381&amp;AD$1,Pesos!$A:$I,7,FALSE),VLOOKUP($I381&amp;$J381&amp;AD$1,Pesos!$A:$I,9,FALSE)))</f>
        <v/>
      </c>
      <c r="BC381" s="132" t="str">
        <f>IF(AE381="","",IF(AE381="SIM",VLOOKUP($I381&amp;$J381&amp;AE$1,Pesos!$A:$I,7,FALSE),VLOOKUP($I381&amp;$J381&amp;AE$1,Pesos!$A:$I,9,FALSE)))</f>
        <v/>
      </c>
      <c r="BD381" s="158">
        <f>IFERROR(AF381*VLOOKUP(J381,'BD Campos'!$X$1:$Y$14,2,FALSE),"0")</f>
        <v>6.5875000000000004</v>
      </c>
    </row>
    <row r="382" spans="1:56">
      <c r="A382" s="151" t="str">
        <f t="shared" si="23"/>
        <v>Jan11419Motorista 2LOGÍSTICA</v>
      </c>
      <c r="B382" s="149" t="str">
        <f t="shared" si="24"/>
        <v>Jan114192LOGÍSTICAPADRÃO</v>
      </c>
      <c r="C382" s="152">
        <v>1</v>
      </c>
      <c r="D382" s="153">
        <v>46062.771044907407</v>
      </c>
      <c r="E382" s="154" t="s">
        <v>12</v>
      </c>
      <c r="F382" s="155">
        <v>11419</v>
      </c>
      <c r="G382" s="149" t="s">
        <v>577</v>
      </c>
      <c r="H382" s="154">
        <v>2</v>
      </c>
      <c r="I382" s="149" t="s">
        <v>480</v>
      </c>
      <c r="J382" s="149" t="s">
        <v>97</v>
      </c>
      <c r="K382" s="149" t="s">
        <v>315</v>
      </c>
      <c r="L382" s="156"/>
      <c r="M382" s="157">
        <v>1.2384259259259258E-3</v>
      </c>
      <c r="N382" s="131" t="s">
        <v>17</v>
      </c>
      <c r="O382" s="131" t="s">
        <v>17</v>
      </c>
      <c r="P382" s="131" t="s">
        <v>17</v>
      </c>
      <c r="Q382" s="131" t="s">
        <v>17</v>
      </c>
      <c r="R382" s="131" t="s">
        <v>17</v>
      </c>
      <c r="S382" s="131" t="s">
        <v>17</v>
      </c>
      <c r="T382" s="131" t="s">
        <v>18</v>
      </c>
      <c r="U382" s="131" t="s">
        <v>17</v>
      </c>
      <c r="V382" s="131" t="s">
        <v>17</v>
      </c>
      <c r="W382" s="131" t="s">
        <v>17</v>
      </c>
      <c r="X382" s="131" t="s">
        <v>17</v>
      </c>
      <c r="Y382" s="131" t="s">
        <v>17</v>
      </c>
      <c r="Z382" s="131" t="s">
        <v>17</v>
      </c>
      <c r="AA382" s="131" t="s">
        <v>17</v>
      </c>
      <c r="AB382" s="131" t="s">
        <v>17</v>
      </c>
      <c r="AC382" s="131"/>
      <c r="AD382" s="131"/>
      <c r="AE382" s="131"/>
      <c r="AF382" s="158">
        <f t="shared" si="26"/>
        <v>7.9</v>
      </c>
      <c r="AG382" s="159"/>
      <c r="AH382" s="155"/>
      <c r="AI382" s="155" t="s">
        <v>83</v>
      </c>
      <c r="AJ382" s="131" t="str">
        <f>IFERROR(VLOOKUP(E382&amp;F382,'Listagem dos op'!A:S,19,0),"")</f>
        <v/>
      </c>
      <c r="AK382" s="131" t="str">
        <f t="shared" si="25"/>
        <v>Jan11419</v>
      </c>
      <c r="AL382" s="154">
        <f>IF(N382="","",IF(N382="SIM",VLOOKUP($I382&amp;$J382&amp;N$1,Pesos!$A:$I,7,FALSE),VLOOKUP($I382&amp;$J382&amp;N$1,Pesos!$A:$I,9,FALSE)))</f>
        <v>0.1</v>
      </c>
      <c r="AM382" s="154">
        <f>IF(O382="","",IF(O382="SIM",VLOOKUP($I382&amp;$J382&amp;O$1,Pesos!$A:$I,7,FALSE),VLOOKUP($I382&amp;$J382&amp;O$1,Pesos!$A:$I,9,FALSE)))</f>
        <v>0.1</v>
      </c>
      <c r="AN382" s="154">
        <f>IF(P382="","",IF(P382="SIM",VLOOKUP($I382&amp;$J382&amp;P$1,Pesos!$A:$I,7,FALSE),VLOOKUP($I382&amp;$J382&amp;P$1,Pesos!$A:$I,9,FALSE)))</f>
        <v>0.1</v>
      </c>
      <c r="AO382" s="154">
        <f>IF(Q382="","",IF(Q382="SIM",VLOOKUP($I382&amp;$J382&amp;Q$1,Pesos!$A:$I,7,FALSE),VLOOKUP($I382&amp;$J382&amp;Q$1,Pesos!$A:$I,9,FALSE)))</f>
        <v>0.4</v>
      </c>
      <c r="AP382" s="154">
        <f>IF(R382="","",IF(R382="SIM",VLOOKUP($I382&amp;$J382&amp;R$1,Pesos!$A:$I,7,FALSE),VLOOKUP($I382&amp;$J382&amp;R$1,Pesos!$A:$I,9,FALSE)))</f>
        <v>1.3</v>
      </c>
      <c r="AQ382" s="154">
        <f>IF(S382="","",IF(S382="SIM",VLOOKUP($I382&amp;$J382&amp;S$1,Pesos!$A:$I,7,FALSE),VLOOKUP($I382&amp;$J382&amp;S$1,Pesos!$A:$I,9,FALSE)))</f>
        <v>2</v>
      </c>
      <c r="AR382" s="156">
        <f>IF(T382="","",IF(T382="SIM",VLOOKUP($I382&amp;$J382&amp;T$1,Pesos!$A:$I,7,FALSE),VLOOKUP($I382&amp;$J382&amp;T$1,Pesos!$A:$I,9,FALSE)))</f>
        <v>-0.1</v>
      </c>
      <c r="AS382" s="132">
        <f>IF(U382="","",IF(U382="SIM",VLOOKUP($I382&amp;$J382&amp;U$1,Pesos!$A:$I,7,FALSE),VLOOKUP($I382&amp;$J382&amp;U$1,Pesos!$A:$I,9,FALSE)))</f>
        <v>1.33</v>
      </c>
      <c r="AT382" s="132">
        <f>IF(V382="","",IF(V382="SIM",VLOOKUP($I382&amp;$J382&amp;V$1,Pesos!$A:$I,7,FALSE),VLOOKUP($I382&amp;$J382&amp;V$1,Pesos!$A:$I,9,FALSE)))</f>
        <v>1.32</v>
      </c>
      <c r="AU382" s="132">
        <f>IF(W382="","",IF(W382="SIM",VLOOKUP($I382&amp;$J382&amp;W$1,Pesos!$A:$I,7,FALSE),VLOOKUP($I382&amp;$J382&amp;W$1,Pesos!$A:$I,9,FALSE)))</f>
        <v>0.3</v>
      </c>
      <c r="AV382" s="132">
        <f>IF(X382="","",IF(X382="SIM",VLOOKUP($I382&amp;$J382&amp;X$1,Pesos!$A:$I,7,FALSE),VLOOKUP($I382&amp;$J382&amp;X$1,Pesos!$A:$I,9,FALSE)))</f>
        <v>0.3</v>
      </c>
      <c r="AW382" s="132">
        <f>IF(Y382="","",IF(Y382="SIM",VLOOKUP($I382&amp;$J382&amp;Y$1,Pesos!$A:$I,7,FALSE),VLOOKUP($I382&amp;$J382&amp;Y$1,Pesos!$A:$I,9,FALSE)))</f>
        <v>0.15</v>
      </c>
      <c r="AX382" s="132">
        <f>IF(Z382="","",IF(Z382="SIM",VLOOKUP($I382&amp;$J382&amp;Z$1,Pesos!$A:$I,7,FALSE),VLOOKUP($I382&amp;$J382&amp;Z$1,Pesos!$A:$I,9,FALSE)))</f>
        <v>0.2</v>
      </c>
      <c r="AY382" s="132">
        <f>IF(AA382="","",IF(AA382="SIM",VLOOKUP($I382&amp;$J382&amp;AA$1,Pesos!$A:$I,7,FALSE),VLOOKUP($I382&amp;$J382&amp;AA$1,Pesos!$A:$I,9,FALSE)))</f>
        <v>0.3</v>
      </c>
      <c r="AZ382" s="132">
        <f>IF(AB382="","",IF(AB382="SIM",VLOOKUP($I382&amp;$J382&amp;AB$1,Pesos!$A:$I,7,FALSE),VLOOKUP($I382&amp;$J382&amp;AB$1,Pesos!$A:$I,9,FALSE)))</f>
        <v>0.1</v>
      </c>
      <c r="BA382" s="132" t="str">
        <f>IF(AC382="","",IF(AC382="SIM",VLOOKUP($I382&amp;$J382&amp;AC$1,Pesos!$A:$I,7,FALSE),VLOOKUP($I382&amp;$J382&amp;AC$1,Pesos!$A:$I,9,FALSE)))</f>
        <v/>
      </c>
      <c r="BB382" s="132" t="str">
        <f>IF(AD382="","",IF(AD382="SIM",VLOOKUP($I382&amp;$J382&amp;AD$1,Pesos!$A:$I,7,FALSE),VLOOKUP($I382&amp;$J382&amp;AD$1,Pesos!$A:$I,9,FALSE)))</f>
        <v/>
      </c>
      <c r="BC382" s="132" t="str">
        <f>IF(AE382="","",IF(AE382="SIM",VLOOKUP($I382&amp;$J382&amp;AE$1,Pesos!$A:$I,7,FALSE),VLOOKUP($I382&amp;$J382&amp;AE$1,Pesos!$A:$I,9,FALSE)))</f>
        <v/>
      </c>
      <c r="BD382" s="158">
        <f>IFERROR(AF382*VLOOKUP(J382,'BD Campos'!$X$1:$Y$14,2,FALSE),"0")</f>
        <v>7.9</v>
      </c>
    </row>
    <row r="383" spans="1:56">
      <c r="A383" s="151" t="str">
        <f t="shared" si="23"/>
        <v>Jan11214ReceptivaCADASTRO</v>
      </c>
      <c r="B383" s="149" t="str">
        <f t="shared" si="24"/>
        <v>Jan112145CADASTROPADRÃO</v>
      </c>
      <c r="C383" s="152">
        <v>1</v>
      </c>
      <c r="D383" s="153">
        <v>46062.777692708332</v>
      </c>
      <c r="E383" s="154" t="s">
        <v>12</v>
      </c>
      <c r="F383" s="155">
        <v>11214</v>
      </c>
      <c r="G383" s="149" t="s">
        <v>578</v>
      </c>
      <c r="H383" s="154">
        <v>5</v>
      </c>
      <c r="I383" s="149" t="s">
        <v>80</v>
      </c>
      <c r="J383" s="149" t="s">
        <v>81</v>
      </c>
      <c r="K383" s="149" t="s">
        <v>82</v>
      </c>
      <c r="L383" s="156"/>
      <c r="M383" s="157">
        <v>4.5486111111111109E-3</v>
      </c>
      <c r="N383" s="131" t="s">
        <v>17</v>
      </c>
      <c r="O383" s="131" t="s">
        <v>17</v>
      </c>
      <c r="P383" s="131" t="s">
        <v>17</v>
      </c>
      <c r="Q383" s="131" t="s">
        <v>17</v>
      </c>
      <c r="R383" s="131" t="s">
        <v>17</v>
      </c>
      <c r="S383" s="131" t="s">
        <v>17</v>
      </c>
      <c r="T383" s="131" t="s">
        <v>17</v>
      </c>
      <c r="U383" s="131" t="s">
        <v>17</v>
      </c>
      <c r="V383" s="131" t="s">
        <v>17</v>
      </c>
      <c r="W383" s="131" t="s">
        <v>17</v>
      </c>
      <c r="X383" s="131" t="s">
        <v>18</v>
      </c>
      <c r="Y383" s="131" t="s">
        <v>17</v>
      </c>
      <c r="Z383" s="131" t="s">
        <v>17</v>
      </c>
      <c r="AA383" s="131" t="s">
        <v>17</v>
      </c>
      <c r="AB383" s="131"/>
      <c r="AC383" s="131"/>
      <c r="AD383" s="131"/>
      <c r="AE383" s="131"/>
      <c r="AF383" s="158">
        <f t="shared" si="26"/>
        <v>9.8425000000000011</v>
      </c>
      <c r="AG383" s="159"/>
      <c r="AH383" s="155"/>
      <c r="AI383" s="155" t="s">
        <v>83</v>
      </c>
      <c r="AJ383" s="131" t="str">
        <f>IFERROR(VLOOKUP(E383&amp;F383,'Listagem dos op'!A:S,19,0),"")</f>
        <v/>
      </c>
      <c r="AK383" s="131" t="str">
        <f t="shared" si="25"/>
        <v>Jan11214</v>
      </c>
      <c r="AL383" s="154">
        <f>IF(N383="","",IF(N383="SIM",VLOOKUP($I383&amp;$J383&amp;N$1,Pesos!$A:$I,7,FALSE),VLOOKUP($I383&amp;$J383&amp;N$1,Pesos!$A:$I,9,FALSE)))</f>
        <v>0.1</v>
      </c>
      <c r="AM383" s="154">
        <f>IF(O383="","",IF(O383="SIM",VLOOKUP($I383&amp;$J383&amp;O$1,Pesos!$A:$I,7,FALSE),VLOOKUP($I383&amp;$J383&amp;O$1,Pesos!$A:$I,9,FALSE)))</f>
        <v>0.1</v>
      </c>
      <c r="AN383" s="154">
        <f>IF(P383="","",IF(P383="SIM",VLOOKUP($I383&amp;$J383&amp;P$1,Pesos!$A:$I,7,FALSE),VLOOKUP($I383&amp;$J383&amp;P$1,Pesos!$A:$I,9,FALSE)))</f>
        <v>0.1</v>
      </c>
      <c r="AO383" s="154">
        <f>IF(Q383="","",IF(Q383="SIM",VLOOKUP($I383&amp;$J383&amp;Q$1,Pesos!$A:$I,7,FALSE),VLOOKUP($I383&amp;$J383&amp;Q$1,Pesos!$A:$I,9,FALSE)))</f>
        <v>1.6</v>
      </c>
      <c r="AP383" s="154">
        <f>IF(R383="","",IF(R383="SIM",VLOOKUP($I383&amp;$J383&amp;R$1,Pesos!$A:$I,7,FALSE),VLOOKUP($I383&amp;$J383&amp;R$1,Pesos!$A:$I,9,FALSE)))</f>
        <v>1.7000000000000002</v>
      </c>
      <c r="AQ383" s="154">
        <f>IF(S383="","",IF(S383="SIM",VLOOKUP($I383&amp;$J383&amp;S$1,Pesos!$A:$I,7,FALSE),VLOOKUP($I383&amp;$J383&amp;S$1,Pesos!$A:$I,9,FALSE)))</f>
        <v>1.7000000000000002</v>
      </c>
      <c r="AR383" s="156">
        <f>IF(T383="","",IF(T383="SIM",VLOOKUP($I383&amp;$J383&amp;T$1,Pesos!$A:$I,7,FALSE),VLOOKUP($I383&amp;$J383&amp;T$1,Pesos!$A:$I,9,FALSE)))</f>
        <v>1.7000000000000002</v>
      </c>
      <c r="AS383" s="132">
        <f>IF(U383="","",IF(U383="SIM",VLOOKUP($I383&amp;$J383&amp;U$1,Pesos!$A:$I,7,FALSE),VLOOKUP($I383&amp;$J383&amp;U$1,Pesos!$A:$I,9,FALSE)))</f>
        <v>1.6500000000000001</v>
      </c>
      <c r="AT383" s="132">
        <f>IF(V383="","",IF(V383="SIM",VLOOKUP($I383&amp;$J383&amp;V$1,Pesos!$A:$I,7,FALSE),VLOOKUP($I383&amp;$J383&amp;V$1,Pesos!$A:$I,9,FALSE)))</f>
        <v>0.3</v>
      </c>
      <c r="AU383" s="132">
        <f>IF(W383="","",IF(W383="SIM",VLOOKUP($I383&amp;$J383&amp;W$1,Pesos!$A:$I,7,FALSE),VLOOKUP($I383&amp;$J383&amp;W$1,Pesos!$A:$I,9,FALSE)))</f>
        <v>0.3</v>
      </c>
      <c r="AV383" s="132">
        <f>IF(X383="","",IF(X383="SIM",VLOOKUP($I383&amp;$J383&amp;X$1,Pesos!$A:$I,7,FALSE),VLOOKUP($I383&amp;$J383&amp;X$1,Pesos!$A:$I,9,FALSE)))</f>
        <v>-7.4999999999999997E-3</v>
      </c>
      <c r="AW383" s="132">
        <f>IF(Y383="","",IF(Y383="SIM",VLOOKUP($I383&amp;$J383&amp;Y$1,Pesos!$A:$I,7,FALSE),VLOOKUP($I383&amp;$J383&amp;Y$1,Pesos!$A:$I,9,FALSE)))</f>
        <v>0.2</v>
      </c>
      <c r="AX383" s="132">
        <f>IF(Z383="","",IF(Z383="SIM",VLOOKUP($I383&amp;$J383&amp;Z$1,Pesos!$A:$I,7,FALSE),VLOOKUP($I383&amp;$J383&amp;Z$1,Pesos!$A:$I,9,FALSE)))</f>
        <v>0.3</v>
      </c>
      <c r="AY383" s="132">
        <f>IF(AA383="","",IF(AA383="SIM",VLOOKUP($I383&amp;$J383&amp;AA$1,Pesos!$A:$I,7,FALSE),VLOOKUP($I383&amp;$J383&amp;AA$1,Pesos!$A:$I,9,FALSE)))</f>
        <v>0.1</v>
      </c>
      <c r="AZ383" s="132" t="str">
        <f>IF(AB383="","",IF(AB383="SIM",VLOOKUP($I383&amp;$J383&amp;AB$1,Pesos!$A:$I,7,FALSE),VLOOKUP($I383&amp;$J383&amp;AB$1,Pesos!$A:$I,9,FALSE)))</f>
        <v/>
      </c>
      <c r="BA383" s="132" t="str">
        <f>IF(AC383="","",IF(AC383="SIM",VLOOKUP($I383&amp;$J383&amp;AC$1,Pesos!$A:$I,7,FALSE),VLOOKUP($I383&amp;$J383&amp;AC$1,Pesos!$A:$I,9,FALSE)))</f>
        <v/>
      </c>
      <c r="BB383" s="132" t="str">
        <f>IF(AD383="","",IF(AD383="SIM",VLOOKUP($I383&amp;$J383&amp;AD$1,Pesos!$A:$I,7,FALSE),VLOOKUP($I383&amp;$J383&amp;AD$1,Pesos!$A:$I,9,FALSE)))</f>
        <v/>
      </c>
      <c r="BC383" s="132" t="str">
        <f>IF(AE383="","",IF(AE383="SIM",VLOOKUP($I383&amp;$J383&amp;AE$1,Pesos!$A:$I,7,FALSE),VLOOKUP($I383&amp;$J383&amp;AE$1,Pesos!$A:$I,9,FALSE)))</f>
        <v/>
      </c>
      <c r="BD383" s="158">
        <f>IFERROR(AF383*VLOOKUP(J383,'BD Campos'!$X$1:$Y$14,2,FALSE),"0")</f>
        <v>9.8425000000000011</v>
      </c>
    </row>
    <row r="384" spans="1:56">
      <c r="A384" s="151" t="str">
        <f t="shared" si="23"/>
        <v>Jan11214Receptiva 2CADASTRO</v>
      </c>
      <c r="B384" s="149" t="str">
        <f t="shared" si="24"/>
        <v>Jan112146CADASTROPADRÃO</v>
      </c>
      <c r="C384" s="152">
        <v>1</v>
      </c>
      <c r="D384" s="153">
        <v>46062.789988310185</v>
      </c>
      <c r="E384" s="154" t="s">
        <v>12</v>
      </c>
      <c r="F384" s="155">
        <v>11214</v>
      </c>
      <c r="G384" s="149" t="s">
        <v>578</v>
      </c>
      <c r="H384" s="154">
        <v>6</v>
      </c>
      <c r="I384" s="149" t="s">
        <v>80</v>
      </c>
      <c r="J384" s="149" t="s">
        <v>86</v>
      </c>
      <c r="K384" s="149" t="s">
        <v>82</v>
      </c>
      <c r="L384" s="156"/>
      <c r="M384" s="157">
        <v>3.4375E-3</v>
      </c>
      <c r="N384" s="131" t="s">
        <v>17</v>
      </c>
      <c r="O384" s="131" t="s">
        <v>18</v>
      </c>
      <c r="P384" s="131" t="s">
        <v>17</v>
      </c>
      <c r="Q384" s="131" t="s">
        <v>17</v>
      </c>
      <c r="R384" s="131" t="s">
        <v>17</v>
      </c>
      <c r="S384" s="131" t="s">
        <v>17</v>
      </c>
      <c r="T384" s="131" t="s">
        <v>17</v>
      </c>
      <c r="U384" s="131" t="s">
        <v>17</v>
      </c>
      <c r="V384" s="131" t="s">
        <v>17</v>
      </c>
      <c r="W384" s="131" t="s">
        <v>17</v>
      </c>
      <c r="X384" s="131" t="s">
        <v>18</v>
      </c>
      <c r="Y384" s="131" t="s">
        <v>17</v>
      </c>
      <c r="Z384" s="131" t="s">
        <v>17</v>
      </c>
      <c r="AA384" s="131" t="s">
        <v>17</v>
      </c>
      <c r="AB384" s="131"/>
      <c r="AC384" s="131"/>
      <c r="AD384" s="131"/>
      <c r="AE384" s="131"/>
      <c r="AF384" s="158">
        <f t="shared" si="26"/>
        <v>9.7375000000000007</v>
      </c>
      <c r="AG384" s="159"/>
      <c r="AH384" s="155"/>
      <c r="AI384" s="155" t="s">
        <v>83</v>
      </c>
      <c r="AJ384" s="131" t="str">
        <f>IFERROR(VLOOKUP(E384&amp;F384,'Listagem dos op'!A:S,19,0),"")</f>
        <v/>
      </c>
      <c r="AK384" s="131" t="str">
        <f t="shared" si="25"/>
        <v>Jan11214</v>
      </c>
      <c r="AL384" s="154">
        <f>IF(N384="","",IF(N384="SIM",VLOOKUP($I384&amp;$J384&amp;N$1,Pesos!$A:$I,7,FALSE),VLOOKUP($I384&amp;$J384&amp;N$1,Pesos!$A:$I,9,FALSE)))</f>
        <v>0.1</v>
      </c>
      <c r="AM384" s="154">
        <f>IF(O384="","",IF(O384="SIM",VLOOKUP($I384&amp;$J384&amp;O$1,Pesos!$A:$I,7,FALSE),VLOOKUP($I384&amp;$J384&amp;O$1,Pesos!$A:$I,9,FALSE)))</f>
        <v>-5.000000000000001E-3</v>
      </c>
      <c r="AN384" s="154">
        <f>IF(P384="","",IF(P384="SIM",VLOOKUP($I384&amp;$J384&amp;P$1,Pesos!$A:$I,7,FALSE),VLOOKUP($I384&amp;$J384&amp;P$1,Pesos!$A:$I,9,FALSE)))</f>
        <v>0.1</v>
      </c>
      <c r="AO384" s="154">
        <f>IF(Q384="","",IF(Q384="SIM",VLOOKUP($I384&amp;$J384&amp;Q$1,Pesos!$A:$I,7,FALSE),VLOOKUP($I384&amp;$J384&amp;Q$1,Pesos!$A:$I,9,FALSE)))</f>
        <v>1.6</v>
      </c>
      <c r="AP384" s="154">
        <f>IF(R384="","",IF(R384="SIM",VLOOKUP($I384&amp;$J384&amp;R$1,Pesos!$A:$I,7,FALSE),VLOOKUP($I384&amp;$J384&amp;R$1,Pesos!$A:$I,9,FALSE)))</f>
        <v>1.7000000000000002</v>
      </c>
      <c r="AQ384" s="154">
        <f>IF(S384="","",IF(S384="SIM",VLOOKUP($I384&amp;$J384&amp;S$1,Pesos!$A:$I,7,FALSE),VLOOKUP($I384&amp;$J384&amp;S$1,Pesos!$A:$I,9,FALSE)))</f>
        <v>1.7000000000000002</v>
      </c>
      <c r="AR384" s="156">
        <f>IF(T384="","",IF(T384="SIM",VLOOKUP($I384&amp;$J384&amp;T$1,Pesos!$A:$I,7,FALSE),VLOOKUP($I384&amp;$J384&amp;T$1,Pesos!$A:$I,9,FALSE)))</f>
        <v>1.7000000000000002</v>
      </c>
      <c r="AS384" s="132">
        <f>IF(U384="","",IF(U384="SIM",VLOOKUP($I384&amp;$J384&amp;U$1,Pesos!$A:$I,7,FALSE),VLOOKUP($I384&amp;$J384&amp;U$1,Pesos!$A:$I,9,FALSE)))</f>
        <v>1.6500000000000001</v>
      </c>
      <c r="AT384" s="132">
        <f>IF(V384="","",IF(V384="SIM",VLOOKUP($I384&amp;$J384&amp;V$1,Pesos!$A:$I,7,FALSE),VLOOKUP($I384&amp;$J384&amp;V$1,Pesos!$A:$I,9,FALSE)))</f>
        <v>0.3</v>
      </c>
      <c r="AU384" s="132">
        <f>IF(W384="","",IF(W384="SIM",VLOOKUP($I384&amp;$J384&amp;W$1,Pesos!$A:$I,7,FALSE),VLOOKUP($I384&amp;$J384&amp;W$1,Pesos!$A:$I,9,FALSE)))</f>
        <v>0.3</v>
      </c>
      <c r="AV384" s="132">
        <f>IF(X384="","",IF(X384="SIM",VLOOKUP($I384&amp;$J384&amp;X$1,Pesos!$A:$I,7,FALSE),VLOOKUP($I384&amp;$J384&amp;X$1,Pesos!$A:$I,9,FALSE)))</f>
        <v>-7.4999999999999997E-3</v>
      </c>
      <c r="AW384" s="132">
        <f>IF(Y384="","",IF(Y384="SIM",VLOOKUP($I384&amp;$J384&amp;Y$1,Pesos!$A:$I,7,FALSE),VLOOKUP($I384&amp;$J384&amp;Y$1,Pesos!$A:$I,9,FALSE)))</f>
        <v>0.2</v>
      </c>
      <c r="AX384" s="132">
        <f>IF(Z384="","",IF(Z384="SIM",VLOOKUP($I384&amp;$J384&amp;Z$1,Pesos!$A:$I,7,FALSE),VLOOKUP($I384&amp;$J384&amp;Z$1,Pesos!$A:$I,9,FALSE)))</f>
        <v>0.3</v>
      </c>
      <c r="AY384" s="132">
        <f>IF(AA384="","",IF(AA384="SIM",VLOOKUP($I384&amp;$J384&amp;AA$1,Pesos!$A:$I,7,FALSE),VLOOKUP($I384&amp;$J384&amp;AA$1,Pesos!$A:$I,9,FALSE)))</f>
        <v>0.1</v>
      </c>
      <c r="AZ384" s="132" t="str">
        <f>IF(AB384="","",IF(AB384="SIM",VLOOKUP($I384&amp;$J384&amp;AB$1,Pesos!$A:$I,7,FALSE),VLOOKUP($I384&amp;$J384&amp;AB$1,Pesos!$A:$I,9,FALSE)))</f>
        <v/>
      </c>
      <c r="BA384" s="132" t="str">
        <f>IF(AC384="","",IF(AC384="SIM",VLOOKUP($I384&amp;$J384&amp;AC$1,Pesos!$A:$I,7,FALSE),VLOOKUP($I384&amp;$J384&amp;AC$1,Pesos!$A:$I,9,FALSE)))</f>
        <v/>
      </c>
      <c r="BB384" s="132" t="str">
        <f>IF(AD384="","",IF(AD384="SIM",VLOOKUP($I384&amp;$J384&amp;AD$1,Pesos!$A:$I,7,FALSE),VLOOKUP($I384&amp;$J384&amp;AD$1,Pesos!$A:$I,9,FALSE)))</f>
        <v/>
      </c>
      <c r="BC384" s="132" t="str">
        <f>IF(AE384="","",IF(AE384="SIM",VLOOKUP($I384&amp;$J384&amp;AE$1,Pesos!$A:$I,7,FALSE),VLOOKUP($I384&amp;$J384&amp;AE$1,Pesos!$A:$I,9,FALSE)))</f>
        <v/>
      </c>
      <c r="BD384" s="158">
        <f>IFERROR(AF384*VLOOKUP(J384,'BD Campos'!$X$1:$Y$14,2,FALSE),"0")</f>
        <v>9.7375000000000007</v>
      </c>
    </row>
    <row r="385" spans="1:56">
      <c r="A385" s="151" t="str">
        <f t="shared" si="23"/>
        <v>Jan11254Receptiva 2CADASTRO</v>
      </c>
      <c r="B385" s="149" t="str">
        <f t="shared" si="24"/>
        <v>Jan112546CADASTROPADRÃO</v>
      </c>
      <c r="C385" s="152">
        <v>1</v>
      </c>
      <c r="D385" s="153">
        <v>46062.793593981478</v>
      </c>
      <c r="E385" s="154" t="s">
        <v>12</v>
      </c>
      <c r="F385" s="155">
        <v>11254</v>
      </c>
      <c r="G385" s="149" t="s">
        <v>84</v>
      </c>
      <c r="H385" s="154">
        <v>6</v>
      </c>
      <c r="I385" s="149" t="s">
        <v>80</v>
      </c>
      <c r="J385" s="149" t="s">
        <v>86</v>
      </c>
      <c r="K385" s="149" t="s">
        <v>82</v>
      </c>
      <c r="L385" s="156"/>
      <c r="M385" s="157">
        <v>1.4467592592592594E-3</v>
      </c>
      <c r="N385" s="131" t="s">
        <v>17</v>
      </c>
      <c r="O385" s="131" t="s">
        <v>17</v>
      </c>
      <c r="P385" s="131" t="s">
        <v>17</v>
      </c>
      <c r="Q385" s="131" t="s">
        <v>17</v>
      </c>
      <c r="R385" s="131" t="s">
        <v>17</v>
      </c>
      <c r="S385" s="131" t="s">
        <v>17</v>
      </c>
      <c r="T385" s="131" t="s">
        <v>17</v>
      </c>
      <c r="U385" s="131" t="s">
        <v>17</v>
      </c>
      <c r="V385" s="131" t="s">
        <v>18</v>
      </c>
      <c r="W385" s="131" t="s">
        <v>17</v>
      </c>
      <c r="X385" s="131" t="s">
        <v>17</v>
      </c>
      <c r="Y385" s="131" t="s">
        <v>17</v>
      </c>
      <c r="Z385" s="131" t="s">
        <v>17</v>
      </c>
      <c r="AA385" s="131" t="s">
        <v>17</v>
      </c>
      <c r="AB385" s="131"/>
      <c r="AC385" s="131"/>
      <c r="AD385" s="131"/>
      <c r="AE385" s="131"/>
      <c r="AF385" s="158">
        <f t="shared" si="26"/>
        <v>9.6850000000000005</v>
      </c>
      <c r="AG385" s="159"/>
      <c r="AH385" s="155"/>
      <c r="AI385" s="155" t="s">
        <v>83</v>
      </c>
      <c r="AJ385" s="131" t="str">
        <f>IFERROR(VLOOKUP(E385&amp;F385,'Listagem dos op'!A:S,19,0),"")</f>
        <v/>
      </c>
      <c r="AK385" s="131" t="str">
        <f t="shared" si="25"/>
        <v>Jan11254</v>
      </c>
      <c r="AL385" s="154">
        <f>IF(N385="","",IF(N385="SIM",VLOOKUP($I385&amp;$J385&amp;N$1,Pesos!$A:$I,7,FALSE),VLOOKUP($I385&amp;$J385&amp;N$1,Pesos!$A:$I,9,FALSE)))</f>
        <v>0.1</v>
      </c>
      <c r="AM385" s="154">
        <f>IF(O385="","",IF(O385="SIM",VLOOKUP($I385&amp;$J385&amp;O$1,Pesos!$A:$I,7,FALSE),VLOOKUP($I385&amp;$J385&amp;O$1,Pesos!$A:$I,9,FALSE)))</f>
        <v>0.1</v>
      </c>
      <c r="AN385" s="154">
        <f>IF(P385="","",IF(P385="SIM",VLOOKUP($I385&amp;$J385&amp;P$1,Pesos!$A:$I,7,FALSE),VLOOKUP($I385&amp;$J385&amp;P$1,Pesos!$A:$I,9,FALSE)))</f>
        <v>0.1</v>
      </c>
      <c r="AO385" s="154">
        <f>IF(Q385="","",IF(Q385="SIM",VLOOKUP($I385&amp;$J385&amp;Q$1,Pesos!$A:$I,7,FALSE),VLOOKUP($I385&amp;$J385&amp;Q$1,Pesos!$A:$I,9,FALSE)))</f>
        <v>1.6</v>
      </c>
      <c r="AP385" s="154">
        <f>IF(R385="","",IF(R385="SIM",VLOOKUP($I385&amp;$J385&amp;R$1,Pesos!$A:$I,7,FALSE),VLOOKUP($I385&amp;$J385&amp;R$1,Pesos!$A:$I,9,FALSE)))</f>
        <v>1.7000000000000002</v>
      </c>
      <c r="AQ385" s="154">
        <f>IF(S385="","",IF(S385="SIM",VLOOKUP($I385&amp;$J385&amp;S$1,Pesos!$A:$I,7,FALSE),VLOOKUP($I385&amp;$J385&amp;S$1,Pesos!$A:$I,9,FALSE)))</f>
        <v>1.7000000000000002</v>
      </c>
      <c r="AR385" s="156">
        <f>IF(T385="","",IF(T385="SIM",VLOOKUP($I385&amp;$J385&amp;T$1,Pesos!$A:$I,7,FALSE),VLOOKUP($I385&amp;$J385&amp;T$1,Pesos!$A:$I,9,FALSE)))</f>
        <v>1.7000000000000002</v>
      </c>
      <c r="AS385" s="132">
        <f>IF(U385="","",IF(U385="SIM",VLOOKUP($I385&amp;$J385&amp;U$1,Pesos!$A:$I,7,FALSE),VLOOKUP($I385&amp;$J385&amp;U$1,Pesos!$A:$I,9,FALSE)))</f>
        <v>1.6500000000000001</v>
      </c>
      <c r="AT385" s="132">
        <f>IF(V385="","",IF(V385="SIM",VLOOKUP($I385&amp;$J385&amp;V$1,Pesos!$A:$I,7,FALSE),VLOOKUP($I385&amp;$J385&amp;V$1,Pesos!$A:$I,9,FALSE)))</f>
        <v>-1.4999999999999999E-2</v>
      </c>
      <c r="AU385" s="132">
        <f>IF(W385="","",IF(W385="SIM",VLOOKUP($I385&amp;$J385&amp;W$1,Pesos!$A:$I,7,FALSE),VLOOKUP($I385&amp;$J385&amp;W$1,Pesos!$A:$I,9,FALSE)))</f>
        <v>0.3</v>
      </c>
      <c r="AV385" s="132">
        <f>IF(X385="","",IF(X385="SIM",VLOOKUP($I385&amp;$J385&amp;X$1,Pesos!$A:$I,7,FALSE),VLOOKUP($I385&amp;$J385&amp;X$1,Pesos!$A:$I,9,FALSE)))</f>
        <v>0.15</v>
      </c>
      <c r="AW385" s="132">
        <f>IF(Y385="","",IF(Y385="SIM",VLOOKUP($I385&amp;$J385&amp;Y$1,Pesos!$A:$I,7,FALSE),VLOOKUP($I385&amp;$J385&amp;Y$1,Pesos!$A:$I,9,FALSE)))</f>
        <v>0.2</v>
      </c>
      <c r="AX385" s="132">
        <f>IF(Z385="","",IF(Z385="SIM",VLOOKUP($I385&amp;$J385&amp;Z$1,Pesos!$A:$I,7,FALSE),VLOOKUP($I385&amp;$J385&amp;Z$1,Pesos!$A:$I,9,FALSE)))</f>
        <v>0.3</v>
      </c>
      <c r="AY385" s="132">
        <f>IF(AA385="","",IF(AA385="SIM",VLOOKUP($I385&amp;$J385&amp;AA$1,Pesos!$A:$I,7,FALSE),VLOOKUP($I385&amp;$J385&amp;AA$1,Pesos!$A:$I,9,FALSE)))</f>
        <v>0.1</v>
      </c>
      <c r="AZ385" s="132" t="str">
        <f>IF(AB385="","",IF(AB385="SIM",VLOOKUP($I385&amp;$J385&amp;AB$1,Pesos!$A:$I,7,FALSE),VLOOKUP($I385&amp;$J385&amp;AB$1,Pesos!$A:$I,9,FALSE)))</f>
        <v/>
      </c>
      <c r="BA385" s="132" t="str">
        <f>IF(AC385="","",IF(AC385="SIM",VLOOKUP($I385&amp;$J385&amp;AC$1,Pesos!$A:$I,7,FALSE),VLOOKUP($I385&amp;$J385&amp;AC$1,Pesos!$A:$I,9,FALSE)))</f>
        <v/>
      </c>
      <c r="BB385" s="132" t="str">
        <f>IF(AD385="","",IF(AD385="SIM",VLOOKUP($I385&amp;$J385&amp;AD$1,Pesos!$A:$I,7,FALSE),VLOOKUP($I385&amp;$J385&amp;AD$1,Pesos!$A:$I,9,FALSE)))</f>
        <v/>
      </c>
      <c r="BC385" s="132" t="str">
        <f>IF(AE385="","",IF(AE385="SIM",VLOOKUP($I385&amp;$J385&amp;AE$1,Pesos!$A:$I,7,FALSE),VLOOKUP($I385&amp;$J385&amp;AE$1,Pesos!$A:$I,9,FALSE)))</f>
        <v/>
      </c>
      <c r="BD385" s="158">
        <f>IFERROR(AF385*VLOOKUP(J385,'BD Campos'!$X$1:$Y$14,2,FALSE),"0")</f>
        <v>9.6850000000000005</v>
      </c>
    </row>
    <row r="386" spans="1:56">
      <c r="A386" s="151" t="str">
        <f t="shared" si="23"/>
        <v>Jan11269ReceptivaCADASTRO</v>
      </c>
      <c r="B386" s="149" t="str">
        <f t="shared" si="24"/>
        <v>Jan112695CADASTROPADRÃO</v>
      </c>
      <c r="C386" s="152">
        <v>1</v>
      </c>
      <c r="D386" s="153">
        <v>46062.826294328705</v>
      </c>
      <c r="E386" s="154" t="s">
        <v>12</v>
      </c>
      <c r="F386" s="155">
        <v>11269</v>
      </c>
      <c r="G386" s="149" t="s">
        <v>579</v>
      </c>
      <c r="H386" s="154">
        <v>5</v>
      </c>
      <c r="I386" s="149" t="s">
        <v>80</v>
      </c>
      <c r="J386" s="149" t="s">
        <v>81</v>
      </c>
      <c r="K386" s="149" t="s">
        <v>82</v>
      </c>
      <c r="L386" s="156"/>
      <c r="M386" s="157">
        <v>1.6087962962962963E-3</v>
      </c>
      <c r="N386" s="131" t="s">
        <v>17</v>
      </c>
      <c r="O386" s="131" t="s">
        <v>17</v>
      </c>
      <c r="P386" s="131" t="s">
        <v>17</v>
      </c>
      <c r="Q386" s="131" t="s">
        <v>17</v>
      </c>
      <c r="R386" s="131" t="s">
        <v>17</v>
      </c>
      <c r="S386" s="131" t="s">
        <v>17</v>
      </c>
      <c r="T386" s="131" t="s">
        <v>17</v>
      </c>
      <c r="U386" s="131" t="s">
        <v>17</v>
      </c>
      <c r="V386" s="131" t="s">
        <v>17</v>
      </c>
      <c r="W386" s="131" t="s">
        <v>17</v>
      </c>
      <c r="X386" s="131" t="s">
        <v>17</v>
      </c>
      <c r="Y386" s="131" t="s">
        <v>17</v>
      </c>
      <c r="Z386" s="131" t="s">
        <v>17</v>
      </c>
      <c r="AA386" s="131" t="s">
        <v>17</v>
      </c>
      <c r="AB386" s="131"/>
      <c r="AC386" s="131"/>
      <c r="AD386" s="131"/>
      <c r="AE386" s="131"/>
      <c r="AF386" s="158">
        <f t="shared" si="26"/>
        <v>10.000000000000002</v>
      </c>
      <c r="AG386" s="159"/>
      <c r="AH386" s="155"/>
      <c r="AI386" s="155" t="s">
        <v>83</v>
      </c>
      <c r="AJ386" s="131" t="str">
        <f>IFERROR(VLOOKUP(E386&amp;F386,'Listagem dos op'!A:S,19,0),"")</f>
        <v/>
      </c>
      <c r="AK386" s="131" t="str">
        <f t="shared" si="25"/>
        <v>Jan11269</v>
      </c>
      <c r="AL386" s="154">
        <f>IF(N386="","",IF(N386="SIM",VLOOKUP($I386&amp;$J386&amp;N$1,Pesos!$A:$I,7,FALSE),VLOOKUP($I386&amp;$J386&amp;N$1,Pesos!$A:$I,9,FALSE)))</f>
        <v>0.1</v>
      </c>
      <c r="AM386" s="154">
        <f>IF(O386="","",IF(O386="SIM",VLOOKUP($I386&amp;$J386&amp;O$1,Pesos!$A:$I,7,FALSE),VLOOKUP($I386&amp;$J386&amp;O$1,Pesos!$A:$I,9,FALSE)))</f>
        <v>0.1</v>
      </c>
      <c r="AN386" s="154">
        <f>IF(P386="","",IF(P386="SIM",VLOOKUP($I386&amp;$J386&amp;P$1,Pesos!$A:$I,7,FALSE),VLOOKUP($I386&amp;$J386&amp;P$1,Pesos!$A:$I,9,FALSE)))</f>
        <v>0.1</v>
      </c>
      <c r="AO386" s="154">
        <f>IF(Q386="","",IF(Q386="SIM",VLOOKUP($I386&amp;$J386&amp;Q$1,Pesos!$A:$I,7,FALSE),VLOOKUP($I386&amp;$J386&amp;Q$1,Pesos!$A:$I,9,FALSE)))</f>
        <v>1.6</v>
      </c>
      <c r="AP386" s="154">
        <f>IF(R386="","",IF(R386="SIM",VLOOKUP($I386&amp;$J386&amp;R$1,Pesos!$A:$I,7,FALSE),VLOOKUP($I386&amp;$J386&amp;R$1,Pesos!$A:$I,9,FALSE)))</f>
        <v>1.7000000000000002</v>
      </c>
      <c r="AQ386" s="154">
        <f>IF(S386="","",IF(S386="SIM",VLOOKUP($I386&amp;$J386&amp;S$1,Pesos!$A:$I,7,FALSE),VLOOKUP($I386&amp;$J386&amp;S$1,Pesos!$A:$I,9,FALSE)))</f>
        <v>1.7000000000000002</v>
      </c>
      <c r="AR386" s="156">
        <f>IF(T386="","",IF(T386="SIM",VLOOKUP($I386&amp;$J386&amp;T$1,Pesos!$A:$I,7,FALSE),VLOOKUP($I386&amp;$J386&amp;T$1,Pesos!$A:$I,9,FALSE)))</f>
        <v>1.7000000000000002</v>
      </c>
      <c r="AS386" s="132">
        <f>IF(U386="","",IF(U386="SIM",VLOOKUP($I386&amp;$J386&amp;U$1,Pesos!$A:$I,7,FALSE),VLOOKUP($I386&amp;$J386&amp;U$1,Pesos!$A:$I,9,FALSE)))</f>
        <v>1.6500000000000001</v>
      </c>
      <c r="AT386" s="132">
        <f>IF(V386="","",IF(V386="SIM",VLOOKUP($I386&amp;$J386&amp;V$1,Pesos!$A:$I,7,FALSE),VLOOKUP($I386&amp;$J386&amp;V$1,Pesos!$A:$I,9,FALSE)))</f>
        <v>0.3</v>
      </c>
      <c r="AU386" s="132">
        <f>IF(W386="","",IF(W386="SIM",VLOOKUP($I386&amp;$J386&amp;W$1,Pesos!$A:$I,7,FALSE),VLOOKUP($I386&amp;$J386&amp;W$1,Pesos!$A:$I,9,FALSE)))</f>
        <v>0.3</v>
      </c>
      <c r="AV386" s="132">
        <f>IF(X386="","",IF(X386="SIM",VLOOKUP($I386&amp;$J386&amp;X$1,Pesos!$A:$I,7,FALSE),VLOOKUP($I386&amp;$J386&amp;X$1,Pesos!$A:$I,9,FALSE)))</f>
        <v>0.15</v>
      </c>
      <c r="AW386" s="132">
        <f>IF(Y386="","",IF(Y386="SIM",VLOOKUP($I386&amp;$J386&amp;Y$1,Pesos!$A:$I,7,FALSE),VLOOKUP($I386&amp;$J386&amp;Y$1,Pesos!$A:$I,9,FALSE)))</f>
        <v>0.2</v>
      </c>
      <c r="AX386" s="132">
        <f>IF(Z386="","",IF(Z386="SIM",VLOOKUP($I386&amp;$J386&amp;Z$1,Pesos!$A:$I,7,FALSE),VLOOKUP($I386&amp;$J386&amp;Z$1,Pesos!$A:$I,9,FALSE)))</f>
        <v>0.3</v>
      </c>
      <c r="AY386" s="132">
        <f>IF(AA386="","",IF(AA386="SIM",VLOOKUP($I386&amp;$J386&amp;AA$1,Pesos!$A:$I,7,FALSE),VLOOKUP($I386&amp;$J386&amp;AA$1,Pesos!$A:$I,9,FALSE)))</f>
        <v>0.1</v>
      </c>
      <c r="AZ386" s="132" t="str">
        <f>IF(AB386="","",IF(AB386="SIM",VLOOKUP($I386&amp;$J386&amp;AB$1,Pesos!$A:$I,7,FALSE),VLOOKUP($I386&amp;$J386&amp;AB$1,Pesos!$A:$I,9,FALSE)))</f>
        <v/>
      </c>
      <c r="BA386" s="132" t="str">
        <f>IF(AC386="","",IF(AC386="SIM",VLOOKUP($I386&amp;$J386&amp;AC$1,Pesos!$A:$I,7,FALSE),VLOOKUP($I386&amp;$J386&amp;AC$1,Pesos!$A:$I,9,FALSE)))</f>
        <v/>
      </c>
      <c r="BB386" s="132" t="str">
        <f>IF(AD386="","",IF(AD386="SIM",VLOOKUP($I386&amp;$J386&amp;AD$1,Pesos!$A:$I,7,FALSE),VLOOKUP($I386&amp;$J386&amp;AD$1,Pesos!$A:$I,9,FALSE)))</f>
        <v/>
      </c>
      <c r="BC386" s="132" t="str">
        <f>IF(AE386="","",IF(AE386="SIM",VLOOKUP($I386&amp;$J386&amp;AE$1,Pesos!$A:$I,7,FALSE),VLOOKUP($I386&amp;$J386&amp;AE$1,Pesos!$A:$I,9,FALSE)))</f>
        <v/>
      </c>
      <c r="BD386" s="158">
        <f>IFERROR(AF386*VLOOKUP(J386,'BD Campos'!$X$1:$Y$14,2,FALSE),"0")</f>
        <v>10.000000000000002</v>
      </c>
    </row>
    <row r="387" spans="1:56">
      <c r="A387" s="151" t="str">
        <f t="shared" si="23"/>
        <v>Jan11269Receptiva 2CADASTRO</v>
      </c>
      <c r="B387" s="149" t="str">
        <f t="shared" si="24"/>
        <v>Jan112696CADASTROPADRÃO</v>
      </c>
      <c r="C387" s="152">
        <v>1</v>
      </c>
      <c r="D387" s="153">
        <v>46062.828631365737</v>
      </c>
      <c r="E387" s="154" t="s">
        <v>12</v>
      </c>
      <c r="F387" s="155">
        <v>11269</v>
      </c>
      <c r="G387" s="149" t="s">
        <v>579</v>
      </c>
      <c r="H387" s="154">
        <v>6</v>
      </c>
      <c r="I387" s="149" t="s">
        <v>80</v>
      </c>
      <c r="J387" s="149" t="s">
        <v>86</v>
      </c>
      <c r="K387" s="149" t="s">
        <v>82</v>
      </c>
      <c r="L387" s="156"/>
      <c r="M387" s="157">
        <v>1.9212962962962962E-3</v>
      </c>
      <c r="N387" s="131" t="s">
        <v>17</v>
      </c>
      <c r="O387" s="131" t="s">
        <v>17</v>
      </c>
      <c r="P387" s="131" t="s">
        <v>17</v>
      </c>
      <c r="Q387" s="131" t="s">
        <v>17</v>
      </c>
      <c r="R387" s="131" t="s">
        <v>17</v>
      </c>
      <c r="S387" s="131" t="s">
        <v>17</v>
      </c>
      <c r="T387" s="131" t="s">
        <v>17</v>
      </c>
      <c r="U387" s="131" t="s">
        <v>17</v>
      </c>
      <c r="V387" s="131" t="s">
        <v>17</v>
      </c>
      <c r="W387" s="131" t="s">
        <v>17</v>
      </c>
      <c r="X387" s="131" t="s">
        <v>17</v>
      </c>
      <c r="Y387" s="131" t="s">
        <v>17</v>
      </c>
      <c r="Z387" s="131" t="s">
        <v>17</v>
      </c>
      <c r="AA387" s="131" t="s">
        <v>17</v>
      </c>
      <c r="AB387" s="131"/>
      <c r="AC387" s="131"/>
      <c r="AD387" s="131"/>
      <c r="AE387" s="131"/>
      <c r="AF387" s="158">
        <f t="shared" ref="AF387:AF392" si="27">SUM(AL387:BC387)</f>
        <v>10.000000000000002</v>
      </c>
      <c r="AG387" s="159"/>
      <c r="AH387" s="155"/>
      <c r="AI387" s="155" t="s">
        <v>83</v>
      </c>
      <c r="AJ387" s="131" t="str">
        <f>IFERROR(VLOOKUP(E387&amp;F387,'Listagem dos op'!A:S,19,0),"")</f>
        <v/>
      </c>
      <c r="AK387" s="131" t="str">
        <f t="shared" si="25"/>
        <v>Jan11269</v>
      </c>
      <c r="AL387" s="154">
        <f>IF(N387="","",IF(N387="SIM",VLOOKUP($I387&amp;$J387&amp;N$1,Pesos!$A:$I,7,FALSE),VLOOKUP($I387&amp;$J387&amp;N$1,Pesos!$A:$I,9,FALSE)))</f>
        <v>0.1</v>
      </c>
      <c r="AM387" s="154">
        <f>IF(O387="","",IF(O387="SIM",VLOOKUP($I387&amp;$J387&amp;O$1,Pesos!$A:$I,7,FALSE),VLOOKUP($I387&amp;$J387&amp;O$1,Pesos!$A:$I,9,FALSE)))</f>
        <v>0.1</v>
      </c>
      <c r="AN387" s="154">
        <f>IF(P387="","",IF(P387="SIM",VLOOKUP($I387&amp;$J387&amp;P$1,Pesos!$A:$I,7,FALSE),VLOOKUP($I387&amp;$J387&amp;P$1,Pesos!$A:$I,9,FALSE)))</f>
        <v>0.1</v>
      </c>
      <c r="AO387" s="154">
        <f>IF(Q387="","",IF(Q387="SIM",VLOOKUP($I387&amp;$J387&amp;Q$1,Pesos!$A:$I,7,FALSE),VLOOKUP($I387&amp;$J387&amp;Q$1,Pesos!$A:$I,9,FALSE)))</f>
        <v>1.6</v>
      </c>
      <c r="AP387" s="154">
        <f>IF(R387="","",IF(R387="SIM",VLOOKUP($I387&amp;$J387&amp;R$1,Pesos!$A:$I,7,FALSE),VLOOKUP($I387&amp;$J387&amp;R$1,Pesos!$A:$I,9,FALSE)))</f>
        <v>1.7000000000000002</v>
      </c>
      <c r="AQ387" s="154">
        <f>IF(S387="","",IF(S387="SIM",VLOOKUP($I387&amp;$J387&amp;S$1,Pesos!$A:$I,7,FALSE),VLOOKUP($I387&amp;$J387&amp;S$1,Pesos!$A:$I,9,FALSE)))</f>
        <v>1.7000000000000002</v>
      </c>
      <c r="AR387" s="156">
        <f>IF(T387="","",IF(T387="SIM",VLOOKUP($I387&amp;$J387&amp;T$1,Pesos!$A:$I,7,FALSE),VLOOKUP($I387&amp;$J387&amp;T$1,Pesos!$A:$I,9,FALSE)))</f>
        <v>1.7000000000000002</v>
      </c>
      <c r="AS387" s="132">
        <f>IF(U387="","",IF(U387="SIM",VLOOKUP($I387&amp;$J387&amp;U$1,Pesos!$A:$I,7,FALSE),VLOOKUP($I387&amp;$J387&amp;U$1,Pesos!$A:$I,9,FALSE)))</f>
        <v>1.6500000000000001</v>
      </c>
      <c r="AT387" s="132">
        <f>IF(V387="","",IF(V387="SIM",VLOOKUP($I387&amp;$J387&amp;V$1,Pesos!$A:$I,7,FALSE),VLOOKUP($I387&amp;$J387&amp;V$1,Pesos!$A:$I,9,FALSE)))</f>
        <v>0.3</v>
      </c>
      <c r="AU387" s="132">
        <f>IF(W387="","",IF(W387="SIM",VLOOKUP($I387&amp;$J387&amp;W$1,Pesos!$A:$I,7,FALSE),VLOOKUP($I387&amp;$J387&amp;W$1,Pesos!$A:$I,9,FALSE)))</f>
        <v>0.3</v>
      </c>
      <c r="AV387" s="132">
        <f>IF(X387="","",IF(X387="SIM",VLOOKUP($I387&amp;$J387&amp;X$1,Pesos!$A:$I,7,FALSE),VLOOKUP($I387&amp;$J387&amp;X$1,Pesos!$A:$I,9,FALSE)))</f>
        <v>0.15</v>
      </c>
      <c r="AW387" s="132">
        <f>IF(Y387="","",IF(Y387="SIM",VLOOKUP($I387&amp;$J387&amp;Y$1,Pesos!$A:$I,7,FALSE),VLOOKUP($I387&amp;$J387&amp;Y$1,Pesos!$A:$I,9,FALSE)))</f>
        <v>0.2</v>
      </c>
      <c r="AX387" s="132">
        <f>IF(Z387="","",IF(Z387="SIM",VLOOKUP($I387&amp;$J387&amp;Z$1,Pesos!$A:$I,7,FALSE),VLOOKUP($I387&amp;$J387&amp;Z$1,Pesos!$A:$I,9,FALSE)))</f>
        <v>0.3</v>
      </c>
      <c r="AY387" s="132">
        <f>IF(AA387="","",IF(AA387="SIM",VLOOKUP($I387&amp;$J387&amp;AA$1,Pesos!$A:$I,7,FALSE),VLOOKUP($I387&amp;$J387&amp;AA$1,Pesos!$A:$I,9,FALSE)))</f>
        <v>0.1</v>
      </c>
      <c r="AZ387" s="132" t="str">
        <f>IF(AB387="","",IF(AB387="SIM",VLOOKUP($I387&amp;$J387&amp;AB$1,Pesos!$A:$I,7,FALSE),VLOOKUP($I387&amp;$J387&amp;AB$1,Pesos!$A:$I,9,FALSE)))</f>
        <v/>
      </c>
      <c r="BA387" s="132" t="str">
        <f>IF(AC387="","",IF(AC387="SIM",VLOOKUP($I387&amp;$J387&amp;AC$1,Pesos!$A:$I,7,FALSE),VLOOKUP($I387&amp;$J387&amp;AC$1,Pesos!$A:$I,9,FALSE)))</f>
        <v/>
      </c>
      <c r="BB387" s="132" t="str">
        <f>IF(AD387="","",IF(AD387="SIM",VLOOKUP($I387&amp;$J387&amp;AD$1,Pesos!$A:$I,7,FALSE),VLOOKUP($I387&amp;$J387&amp;AD$1,Pesos!$A:$I,9,FALSE)))</f>
        <v/>
      </c>
      <c r="BC387" s="132" t="str">
        <f>IF(AE387="","",IF(AE387="SIM",VLOOKUP($I387&amp;$J387&amp;AE$1,Pesos!$A:$I,7,FALSE),VLOOKUP($I387&amp;$J387&amp;AE$1,Pesos!$A:$I,9,FALSE)))</f>
        <v/>
      </c>
      <c r="BD387" s="158">
        <f>IFERROR(AF387*VLOOKUP(J387,'BD Campos'!$X$1:$Y$14,2,FALSE),"0")</f>
        <v>10.000000000000002</v>
      </c>
    </row>
    <row r="388" spans="1:56">
      <c r="A388" s="151" t="str">
        <f t="shared" si="23"/>
        <v>Jan11376ReceptivaCADASTRO</v>
      </c>
      <c r="B388" s="149" t="str">
        <f t="shared" si="24"/>
        <v>Jan113765CADASTROPADRÃO</v>
      </c>
      <c r="C388" s="152">
        <v>1</v>
      </c>
      <c r="D388" s="153">
        <v>46062.832133564814</v>
      </c>
      <c r="E388" s="154" t="s">
        <v>12</v>
      </c>
      <c r="F388" s="155">
        <v>11376</v>
      </c>
      <c r="G388" s="149" t="s">
        <v>580</v>
      </c>
      <c r="H388" s="154">
        <v>5</v>
      </c>
      <c r="I388" s="149" t="s">
        <v>80</v>
      </c>
      <c r="J388" s="149" t="s">
        <v>81</v>
      </c>
      <c r="K388" s="149" t="s">
        <v>82</v>
      </c>
      <c r="L388" s="156"/>
      <c r="M388" s="157">
        <v>2.1180555555555553E-3</v>
      </c>
      <c r="N388" s="131" t="s">
        <v>17</v>
      </c>
      <c r="O388" s="131" t="s">
        <v>17</v>
      </c>
      <c r="P388" s="131" t="s">
        <v>17</v>
      </c>
      <c r="Q388" s="131" t="s">
        <v>17</v>
      </c>
      <c r="R388" s="131" t="s">
        <v>17</v>
      </c>
      <c r="S388" s="131" t="s">
        <v>17</v>
      </c>
      <c r="T388" s="131" t="s">
        <v>17</v>
      </c>
      <c r="U388" s="131" t="s">
        <v>17</v>
      </c>
      <c r="V388" s="131" t="s">
        <v>18</v>
      </c>
      <c r="W388" s="131" t="s">
        <v>17</v>
      </c>
      <c r="X388" s="131" t="s">
        <v>17</v>
      </c>
      <c r="Y388" s="131" t="s">
        <v>17</v>
      </c>
      <c r="Z388" s="131" t="s">
        <v>17</v>
      </c>
      <c r="AA388" s="131" t="s">
        <v>17</v>
      </c>
      <c r="AB388" s="131"/>
      <c r="AC388" s="131"/>
      <c r="AD388" s="131"/>
      <c r="AE388" s="131"/>
      <c r="AF388" s="158">
        <f t="shared" si="27"/>
        <v>9.6850000000000005</v>
      </c>
      <c r="AG388" s="159"/>
      <c r="AH388" s="155"/>
      <c r="AI388" s="155" t="s">
        <v>83</v>
      </c>
      <c r="AJ388" s="131" t="str">
        <f>IFERROR(VLOOKUP(E388&amp;F388,'Listagem dos op'!A:S,19,0),"")</f>
        <v/>
      </c>
      <c r="AK388" s="131" t="str">
        <f t="shared" si="25"/>
        <v>Jan11376</v>
      </c>
      <c r="AL388" s="154">
        <f>IF(N388="","",IF(N388="SIM",VLOOKUP($I388&amp;$J388&amp;N$1,Pesos!$A:$I,7,FALSE),VLOOKUP($I388&amp;$J388&amp;N$1,Pesos!$A:$I,9,FALSE)))</f>
        <v>0.1</v>
      </c>
      <c r="AM388" s="154">
        <f>IF(O388="","",IF(O388="SIM",VLOOKUP($I388&amp;$J388&amp;O$1,Pesos!$A:$I,7,FALSE),VLOOKUP($I388&amp;$J388&amp;O$1,Pesos!$A:$I,9,FALSE)))</f>
        <v>0.1</v>
      </c>
      <c r="AN388" s="154">
        <f>IF(P388="","",IF(P388="SIM",VLOOKUP($I388&amp;$J388&amp;P$1,Pesos!$A:$I,7,FALSE),VLOOKUP($I388&amp;$J388&amp;P$1,Pesos!$A:$I,9,FALSE)))</f>
        <v>0.1</v>
      </c>
      <c r="AO388" s="154">
        <f>IF(Q388="","",IF(Q388="SIM",VLOOKUP($I388&amp;$J388&amp;Q$1,Pesos!$A:$I,7,FALSE),VLOOKUP($I388&amp;$J388&amp;Q$1,Pesos!$A:$I,9,FALSE)))</f>
        <v>1.6</v>
      </c>
      <c r="AP388" s="154">
        <f>IF(R388="","",IF(R388="SIM",VLOOKUP($I388&amp;$J388&amp;R$1,Pesos!$A:$I,7,FALSE),VLOOKUP($I388&amp;$J388&amp;R$1,Pesos!$A:$I,9,FALSE)))</f>
        <v>1.7000000000000002</v>
      </c>
      <c r="AQ388" s="154">
        <f>IF(S388="","",IF(S388="SIM",VLOOKUP($I388&amp;$J388&amp;S$1,Pesos!$A:$I,7,FALSE),VLOOKUP($I388&amp;$J388&amp;S$1,Pesos!$A:$I,9,FALSE)))</f>
        <v>1.7000000000000002</v>
      </c>
      <c r="AR388" s="156">
        <f>IF(T388="","",IF(T388="SIM",VLOOKUP($I388&amp;$J388&amp;T$1,Pesos!$A:$I,7,FALSE),VLOOKUP($I388&amp;$J388&amp;T$1,Pesos!$A:$I,9,FALSE)))</f>
        <v>1.7000000000000002</v>
      </c>
      <c r="AS388" s="132">
        <f>IF(U388="","",IF(U388="SIM",VLOOKUP($I388&amp;$J388&amp;U$1,Pesos!$A:$I,7,FALSE),VLOOKUP($I388&amp;$J388&amp;U$1,Pesos!$A:$I,9,FALSE)))</f>
        <v>1.6500000000000001</v>
      </c>
      <c r="AT388" s="132">
        <f>IF(V388="","",IF(V388="SIM",VLOOKUP($I388&amp;$J388&amp;V$1,Pesos!$A:$I,7,FALSE),VLOOKUP($I388&amp;$J388&amp;V$1,Pesos!$A:$I,9,FALSE)))</f>
        <v>-1.4999999999999999E-2</v>
      </c>
      <c r="AU388" s="132">
        <f>IF(W388="","",IF(W388="SIM",VLOOKUP($I388&amp;$J388&amp;W$1,Pesos!$A:$I,7,FALSE),VLOOKUP($I388&amp;$J388&amp;W$1,Pesos!$A:$I,9,FALSE)))</f>
        <v>0.3</v>
      </c>
      <c r="AV388" s="132">
        <f>IF(X388="","",IF(X388="SIM",VLOOKUP($I388&amp;$J388&amp;X$1,Pesos!$A:$I,7,FALSE),VLOOKUP($I388&amp;$J388&amp;X$1,Pesos!$A:$I,9,FALSE)))</f>
        <v>0.15</v>
      </c>
      <c r="AW388" s="132">
        <f>IF(Y388="","",IF(Y388="SIM",VLOOKUP($I388&amp;$J388&amp;Y$1,Pesos!$A:$I,7,FALSE),VLOOKUP($I388&amp;$J388&amp;Y$1,Pesos!$A:$I,9,FALSE)))</f>
        <v>0.2</v>
      </c>
      <c r="AX388" s="132">
        <f>IF(Z388="","",IF(Z388="SIM",VLOOKUP($I388&amp;$J388&amp;Z$1,Pesos!$A:$I,7,FALSE),VLOOKUP($I388&amp;$J388&amp;Z$1,Pesos!$A:$I,9,FALSE)))</f>
        <v>0.3</v>
      </c>
      <c r="AY388" s="132">
        <f>IF(AA388="","",IF(AA388="SIM",VLOOKUP($I388&amp;$J388&amp;AA$1,Pesos!$A:$I,7,FALSE),VLOOKUP($I388&amp;$J388&amp;AA$1,Pesos!$A:$I,9,FALSE)))</f>
        <v>0.1</v>
      </c>
      <c r="AZ388" s="132" t="str">
        <f>IF(AB388="","",IF(AB388="SIM",VLOOKUP($I388&amp;$J388&amp;AB$1,Pesos!$A:$I,7,FALSE),VLOOKUP($I388&amp;$J388&amp;AB$1,Pesos!$A:$I,9,FALSE)))</f>
        <v/>
      </c>
      <c r="BA388" s="132" t="str">
        <f>IF(AC388="","",IF(AC388="SIM",VLOOKUP($I388&amp;$J388&amp;AC$1,Pesos!$A:$I,7,FALSE),VLOOKUP($I388&amp;$J388&amp;AC$1,Pesos!$A:$I,9,FALSE)))</f>
        <v/>
      </c>
      <c r="BB388" s="132" t="str">
        <f>IF(AD388="","",IF(AD388="SIM",VLOOKUP($I388&amp;$J388&amp;AD$1,Pesos!$A:$I,7,FALSE),VLOOKUP($I388&amp;$J388&amp;AD$1,Pesos!$A:$I,9,FALSE)))</f>
        <v/>
      </c>
      <c r="BC388" s="132" t="str">
        <f>IF(AE388="","",IF(AE388="SIM",VLOOKUP($I388&amp;$J388&amp;AE$1,Pesos!$A:$I,7,FALSE),VLOOKUP($I388&amp;$J388&amp;AE$1,Pesos!$A:$I,9,FALSE)))</f>
        <v/>
      </c>
      <c r="BD388" s="158">
        <f>IFERROR(AF388*VLOOKUP(J388,'BD Campos'!$X$1:$Y$14,2,FALSE),"0")</f>
        <v>9.6850000000000005</v>
      </c>
    </row>
    <row r="389" spans="1:56">
      <c r="A389" s="151" t="str">
        <f t="shared" si="23"/>
        <v>Jan11376Receptiva 2CADASTRO</v>
      </c>
      <c r="B389" s="149" t="str">
        <f t="shared" si="24"/>
        <v>Jan113766CADASTROPADRÃO</v>
      </c>
      <c r="C389" s="152">
        <v>1</v>
      </c>
      <c r="D389" s="153">
        <v>46062.835114236113</v>
      </c>
      <c r="E389" s="154" t="s">
        <v>12</v>
      </c>
      <c r="F389" s="155">
        <v>11376</v>
      </c>
      <c r="G389" s="149" t="s">
        <v>580</v>
      </c>
      <c r="H389" s="154">
        <v>6</v>
      </c>
      <c r="I389" s="149" t="s">
        <v>80</v>
      </c>
      <c r="J389" s="149" t="s">
        <v>86</v>
      </c>
      <c r="K389" s="149" t="s">
        <v>82</v>
      </c>
      <c r="L389" s="156"/>
      <c r="M389" s="157">
        <v>1.4467592592592594E-3</v>
      </c>
      <c r="N389" s="131" t="s">
        <v>17</v>
      </c>
      <c r="O389" s="131" t="s">
        <v>17</v>
      </c>
      <c r="P389" s="131" t="s">
        <v>17</v>
      </c>
      <c r="Q389" s="131" t="s">
        <v>17</v>
      </c>
      <c r="R389" s="131" t="s">
        <v>17</v>
      </c>
      <c r="S389" s="131" t="s">
        <v>17</v>
      </c>
      <c r="T389" s="131" t="s">
        <v>17</v>
      </c>
      <c r="U389" s="131" t="s">
        <v>17</v>
      </c>
      <c r="V389" s="131" t="s">
        <v>18</v>
      </c>
      <c r="W389" s="131" t="s">
        <v>17</v>
      </c>
      <c r="X389" s="131" t="s">
        <v>17</v>
      </c>
      <c r="Y389" s="131" t="s">
        <v>17</v>
      </c>
      <c r="Z389" s="131" t="s">
        <v>17</v>
      </c>
      <c r="AA389" s="131" t="s">
        <v>17</v>
      </c>
      <c r="AB389" s="131"/>
      <c r="AC389" s="131"/>
      <c r="AD389" s="131"/>
      <c r="AE389" s="131"/>
      <c r="AF389" s="158">
        <f t="shared" si="27"/>
        <v>9.6850000000000005</v>
      </c>
      <c r="AG389" s="159"/>
      <c r="AH389" s="155"/>
      <c r="AI389" s="155" t="s">
        <v>83</v>
      </c>
      <c r="AJ389" s="131" t="str">
        <f>IFERROR(VLOOKUP(E389&amp;F389,'Listagem dos op'!A:S,19,0),"")</f>
        <v/>
      </c>
      <c r="AK389" s="131" t="str">
        <f t="shared" si="25"/>
        <v>Jan11376</v>
      </c>
      <c r="AL389" s="154">
        <f>IF(N389="","",IF(N389="SIM",VLOOKUP($I389&amp;$J389&amp;N$1,Pesos!$A:$I,7,FALSE),VLOOKUP($I389&amp;$J389&amp;N$1,Pesos!$A:$I,9,FALSE)))</f>
        <v>0.1</v>
      </c>
      <c r="AM389" s="154">
        <f>IF(O389="","",IF(O389="SIM",VLOOKUP($I389&amp;$J389&amp;O$1,Pesos!$A:$I,7,FALSE),VLOOKUP($I389&amp;$J389&amp;O$1,Pesos!$A:$I,9,FALSE)))</f>
        <v>0.1</v>
      </c>
      <c r="AN389" s="154">
        <f>IF(P389="","",IF(P389="SIM",VLOOKUP($I389&amp;$J389&amp;P$1,Pesos!$A:$I,7,FALSE),VLOOKUP($I389&amp;$J389&amp;P$1,Pesos!$A:$I,9,FALSE)))</f>
        <v>0.1</v>
      </c>
      <c r="AO389" s="154">
        <f>IF(Q389="","",IF(Q389="SIM",VLOOKUP($I389&amp;$J389&amp;Q$1,Pesos!$A:$I,7,FALSE),VLOOKUP($I389&amp;$J389&amp;Q$1,Pesos!$A:$I,9,FALSE)))</f>
        <v>1.6</v>
      </c>
      <c r="AP389" s="154">
        <f>IF(R389="","",IF(R389="SIM",VLOOKUP($I389&amp;$J389&amp;R$1,Pesos!$A:$I,7,FALSE),VLOOKUP($I389&amp;$J389&amp;R$1,Pesos!$A:$I,9,FALSE)))</f>
        <v>1.7000000000000002</v>
      </c>
      <c r="AQ389" s="154">
        <f>IF(S389="","",IF(S389="SIM",VLOOKUP($I389&amp;$J389&amp;S$1,Pesos!$A:$I,7,FALSE),VLOOKUP($I389&amp;$J389&amp;S$1,Pesos!$A:$I,9,FALSE)))</f>
        <v>1.7000000000000002</v>
      </c>
      <c r="AR389" s="156">
        <f>IF(T389="","",IF(T389="SIM",VLOOKUP($I389&amp;$J389&amp;T$1,Pesos!$A:$I,7,FALSE),VLOOKUP($I389&amp;$J389&amp;T$1,Pesos!$A:$I,9,FALSE)))</f>
        <v>1.7000000000000002</v>
      </c>
      <c r="AS389" s="132">
        <f>IF(U389="","",IF(U389="SIM",VLOOKUP($I389&amp;$J389&amp;U$1,Pesos!$A:$I,7,FALSE),VLOOKUP($I389&amp;$J389&amp;U$1,Pesos!$A:$I,9,FALSE)))</f>
        <v>1.6500000000000001</v>
      </c>
      <c r="AT389" s="132">
        <f>IF(V389="","",IF(V389="SIM",VLOOKUP($I389&amp;$J389&amp;V$1,Pesos!$A:$I,7,FALSE),VLOOKUP($I389&amp;$J389&amp;V$1,Pesos!$A:$I,9,FALSE)))</f>
        <v>-1.4999999999999999E-2</v>
      </c>
      <c r="AU389" s="132">
        <f>IF(W389="","",IF(W389="SIM",VLOOKUP($I389&amp;$J389&amp;W$1,Pesos!$A:$I,7,FALSE),VLOOKUP($I389&amp;$J389&amp;W$1,Pesos!$A:$I,9,FALSE)))</f>
        <v>0.3</v>
      </c>
      <c r="AV389" s="132">
        <f>IF(X389="","",IF(X389="SIM",VLOOKUP($I389&amp;$J389&amp;X$1,Pesos!$A:$I,7,FALSE),VLOOKUP($I389&amp;$J389&amp;X$1,Pesos!$A:$I,9,FALSE)))</f>
        <v>0.15</v>
      </c>
      <c r="AW389" s="132">
        <f>IF(Y389="","",IF(Y389="SIM",VLOOKUP($I389&amp;$J389&amp;Y$1,Pesos!$A:$I,7,FALSE),VLOOKUP($I389&amp;$J389&amp;Y$1,Pesos!$A:$I,9,FALSE)))</f>
        <v>0.2</v>
      </c>
      <c r="AX389" s="132">
        <f>IF(Z389="","",IF(Z389="SIM",VLOOKUP($I389&amp;$J389&amp;Z$1,Pesos!$A:$I,7,FALSE),VLOOKUP($I389&amp;$J389&amp;Z$1,Pesos!$A:$I,9,FALSE)))</f>
        <v>0.3</v>
      </c>
      <c r="AY389" s="132">
        <f>IF(AA389="","",IF(AA389="SIM",VLOOKUP($I389&amp;$J389&amp;AA$1,Pesos!$A:$I,7,FALSE),VLOOKUP($I389&amp;$J389&amp;AA$1,Pesos!$A:$I,9,FALSE)))</f>
        <v>0.1</v>
      </c>
      <c r="AZ389" s="132" t="str">
        <f>IF(AB389="","",IF(AB389="SIM",VLOOKUP($I389&amp;$J389&amp;AB$1,Pesos!$A:$I,7,FALSE),VLOOKUP($I389&amp;$J389&amp;AB$1,Pesos!$A:$I,9,FALSE)))</f>
        <v/>
      </c>
      <c r="BA389" s="132" t="str">
        <f>IF(AC389="","",IF(AC389="SIM",VLOOKUP($I389&amp;$J389&amp;AC$1,Pesos!$A:$I,7,FALSE),VLOOKUP($I389&amp;$J389&amp;AC$1,Pesos!$A:$I,9,FALSE)))</f>
        <v/>
      </c>
      <c r="BB389" s="132" t="str">
        <f>IF(AD389="","",IF(AD389="SIM",VLOOKUP($I389&amp;$J389&amp;AD$1,Pesos!$A:$I,7,FALSE),VLOOKUP($I389&amp;$J389&amp;AD$1,Pesos!$A:$I,9,FALSE)))</f>
        <v/>
      </c>
      <c r="BC389" s="132" t="str">
        <f>IF(AE389="","",IF(AE389="SIM",VLOOKUP($I389&amp;$J389&amp;AE$1,Pesos!$A:$I,7,FALSE),VLOOKUP($I389&amp;$J389&amp;AE$1,Pesos!$A:$I,9,FALSE)))</f>
        <v/>
      </c>
      <c r="BD389" s="158">
        <f>IFERROR(AF389*VLOOKUP(J389,'BD Campos'!$X$1:$Y$14,2,FALSE),"0")</f>
        <v>9.6850000000000005</v>
      </c>
    </row>
    <row r="390" spans="1:56">
      <c r="A390" s="122" t="str">
        <f t="shared" si="23"/>
        <v>Jan11457Receptiva 2CADASTRO</v>
      </c>
      <c r="B390" s="121" t="str">
        <f t="shared" si="24"/>
        <v>Jan114576CADASTROPADRÃO</v>
      </c>
      <c r="C390" s="123">
        <v>1</v>
      </c>
      <c r="D390" s="124">
        <v>46062.839326620371</v>
      </c>
      <c r="E390" s="120" t="s">
        <v>12</v>
      </c>
      <c r="F390" s="125">
        <v>11457</v>
      </c>
      <c r="G390" s="121" t="s">
        <v>90</v>
      </c>
      <c r="H390" s="120">
        <v>6</v>
      </c>
      <c r="I390" s="121" t="s">
        <v>80</v>
      </c>
      <c r="J390" s="121" t="s">
        <v>86</v>
      </c>
      <c r="K390" s="121" t="s">
        <v>82</v>
      </c>
      <c r="L390" s="128"/>
      <c r="M390" s="126">
        <v>2.1412037037037038E-3</v>
      </c>
      <c r="N390" s="118" t="s">
        <v>17</v>
      </c>
      <c r="O390" s="118" t="s">
        <v>17</v>
      </c>
      <c r="P390" s="118" t="s">
        <v>17</v>
      </c>
      <c r="Q390" s="118" t="s">
        <v>17</v>
      </c>
      <c r="R390" s="118" t="s">
        <v>17</v>
      </c>
      <c r="S390" s="118" t="s">
        <v>17</v>
      </c>
      <c r="T390" s="118" t="s">
        <v>17</v>
      </c>
      <c r="U390" s="118" t="s">
        <v>17</v>
      </c>
      <c r="V390" s="118" t="s">
        <v>18</v>
      </c>
      <c r="W390" s="118" t="s">
        <v>17</v>
      </c>
      <c r="X390" s="118" t="s">
        <v>18</v>
      </c>
      <c r="Y390" s="118" t="s">
        <v>17</v>
      </c>
      <c r="Z390" s="118" t="s">
        <v>17</v>
      </c>
      <c r="AA390" s="118" t="s">
        <v>17</v>
      </c>
      <c r="AB390" s="118"/>
      <c r="AC390" s="118"/>
      <c r="AD390" s="118"/>
      <c r="AE390" s="118"/>
      <c r="AF390" s="127">
        <f t="shared" si="27"/>
        <v>9.5274999999999999</v>
      </c>
      <c r="AG390" s="150"/>
      <c r="AH390" s="125"/>
      <c r="AI390" s="125" t="s">
        <v>83</v>
      </c>
      <c r="AJ390" s="118" t="str">
        <f>IFERROR(VLOOKUP(E390&amp;F390,'Listagem dos op'!A:S,19,0),"")</f>
        <v/>
      </c>
      <c r="AK390" s="118" t="str">
        <f t="shared" si="25"/>
        <v>Jan11457</v>
      </c>
      <c r="AL390" s="120">
        <f>IF(N390="","",IF(N390="SIM",VLOOKUP($I390&amp;$J390&amp;N$1,Pesos!$A:$I,7,FALSE),VLOOKUP($I390&amp;$J390&amp;N$1,Pesos!$A:$I,9,FALSE)))</f>
        <v>0.1</v>
      </c>
      <c r="AM390" s="120">
        <f>IF(O390="","",IF(O390="SIM",VLOOKUP($I390&amp;$J390&amp;O$1,Pesos!$A:$I,7,FALSE),VLOOKUP($I390&amp;$J390&amp;O$1,Pesos!$A:$I,9,FALSE)))</f>
        <v>0.1</v>
      </c>
      <c r="AN390" s="120">
        <f>IF(P390="","",IF(P390="SIM",VLOOKUP($I390&amp;$J390&amp;P$1,Pesos!$A:$I,7,FALSE),VLOOKUP($I390&amp;$J390&amp;P$1,Pesos!$A:$I,9,FALSE)))</f>
        <v>0.1</v>
      </c>
      <c r="AO390" s="120">
        <f>IF(Q390="","",IF(Q390="SIM",VLOOKUP($I390&amp;$J390&amp;Q$1,Pesos!$A:$I,7,FALSE),VLOOKUP($I390&amp;$J390&amp;Q$1,Pesos!$A:$I,9,FALSE)))</f>
        <v>1.6</v>
      </c>
      <c r="AP390" s="120">
        <f>IF(R390="","",IF(R390="SIM",VLOOKUP($I390&amp;$J390&amp;R$1,Pesos!$A:$I,7,FALSE),VLOOKUP($I390&amp;$J390&amp;R$1,Pesos!$A:$I,9,FALSE)))</f>
        <v>1.7000000000000002</v>
      </c>
      <c r="AQ390" s="120">
        <f>IF(S390="","",IF(S390="SIM",VLOOKUP($I390&amp;$J390&amp;S$1,Pesos!$A:$I,7,FALSE),VLOOKUP($I390&amp;$J390&amp;S$1,Pesos!$A:$I,9,FALSE)))</f>
        <v>1.7000000000000002</v>
      </c>
      <c r="AR390" s="128">
        <f>IF(T390="","",IF(T390="SIM",VLOOKUP($I390&amp;$J390&amp;T$1,Pesos!$A:$I,7,FALSE),VLOOKUP($I390&amp;$J390&amp;T$1,Pesos!$A:$I,9,FALSE)))</f>
        <v>1.7000000000000002</v>
      </c>
      <c r="AS390" s="119">
        <f>IF(U390="","",IF(U390="SIM",VLOOKUP($I390&amp;$J390&amp;U$1,Pesos!$A:$I,7,FALSE),VLOOKUP($I390&amp;$J390&amp;U$1,Pesos!$A:$I,9,FALSE)))</f>
        <v>1.6500000000000001</v>
      </c>
      <c r="AT390" s="119">
        <f>IF(V390="","",IF(V390="SIM",VLOOKUP($I390&amp;$J390&amp;V$1,Pesos!$A:$I,7,FALSE),VLOOKUP($I390&amp;$J390&amp;V$1,Pesos!$A:$I,9,FALSE)))</f>
        <v>-1.4999999999999999E-2</v>
      </c>
      <c r="AU390" s="119">
        <f>IF(W390="","",IF(W390="SIM",VLOOKUP($I390&amp;$J390&amp;W$1,Pesos!$A:$I,7,FALSE),VLOOKUP($I390&amp;$J390&amp;W$1,Pesos!$A:$I,9,FALSE)))</f>
        <v>0.3</v>
      </c>
      <c r="AV390" s="119">
        <f>IF(X390="","",IF(X390="SIM",VLOOKUP($I390&amp;$J390&amp;X$1,Pesos!$A:$I,7,FALSE),VLOOKUP($I390&amp;$J390&amp;X$1,Pesos!$A:$I,9,FALSE)))</f>
        <v>-7.4999999999999997E-3</v>
      </c>
      <c r="AW390" s="119">
        <f>IF(Y390="","",IF(Y390="SIM",VLOOKUP($I390&amp;$J390&amp;Y$1,Pesos!$A:$I,7,FALSE),VLOOKUP($I390&amp;$J390&amp;Y$1,Pesos!$A:$I,9,FALSE)))</f>
        <v>0.2</v>
      </c>
      <c r="AX390" s="119">
        <f>IF(Z390="","",IF(Z390="SIM",VLOOKUP($I390&amp;$J390&amp;Z$1,Pesos!$A:$I,7,FALSE),VLOOKUP($I390&amp;$J390&amp;Z$1,Pesos!$A:$I,9,FALSE)))</f>
        <v>0.3</v>
      </c>
      <c r="AY390" s="119">
        <f>IF(AA390="","",IF(AA390="SIM",VLOOKUP($I390&amp;$J390&amp;AA$1,Pesos!$A:$I,7,FALSE),VLOOKUP($I390&amp;$J390&amp;AA$1,Pesos!$A:$I,9,FALSE)))</f>
        <v>0.1</v>
      </c>
      <c r="AZ390" s="119" t="str">
        <f>IF(AB390="","",IF(AB390="SIM",VLOOKUP($I390&amp;$J390&amp;AB$1,Pesos!$A:$I,7,FALSE),VLOOKUP($I390&amp;$J390&amp;AB$1,Pesos!$A:$I,9,FALSE)))</f>
        <v/>
      </c>
      <c r="BA390" s="119" t="str">
        <f>IF(AC390="","",IF(AC390="SIM",VLOOKUP($I390&amp;$J390&amp;AC$1,Pesos!$A:$I,7,FALSE),VLOOKUP($I390&amp;$J390&amp;AC$1,Pesos!$A:$I,9,FALSE)))</f>
        <v/>
      </c>
      <c r="BB390" s="119" t="str">
        <f>IF(AD390="","",IF(AD390="SIM",VLOOKUP($I390&amp;$J390&amp;AD$1,Pesos!$A:$I,7,FALSE),VLOOKUP($I390&amp;$J390&amp;AD$1,Pesos!$A:$I,9,FALSE)))</f>
        <v/>
      </c>
      <c r="BC390" s="119" t="str">
        <f>IF(AE390="","",IF(AE390="SIM",VLOOKUP($I390&amp;$J390&amp;AE$1,Pesos!$A:$I,7,FALSE),VLOOKUP($I390&amp;$J390&amp;AE$1,Pesos!$A:$I,9,FALSE)))</f>
        <v/>
      </c>
      <c r="BD390" s="127">
        <f>IFERROR(AF390*VLOOKUP(J390,'BD Campos'!$X$1:$Y$14,2,FALSE),"0")</f>
        <v>9.5274999999999999</v>
      </c>
    </row>
    <row r="391" spans="1:56">
      <c r="A391" s="122" t="str">
        <f>E391&amp;F391&amp;J391&amp;K391&amp;""</f>
        <v>Jan11403Motorista 2DISTRIBUIÇÃO</v>
      </c>
      <c r="B391" s="121" t="str">
        <f>E391&amp;F391&amp;H391&amp;K391&amp;AI391</f>
        <v>Jan114032DISTRIBUIÇÃOPADRÃO</v>
      </c>
      <c r="C391" s="123">
        <v>1</v>
      </c>
      <c r="D391" s="124">
        <v>46065.593500462965</v>
      </c>
      <c r="E391" s="120" t="s">
        <v>12</v>
      </c>
      <c r="F391" s="125">
        <v>11403</v>
      </c>
      <c r="G391" s="121" t="s">
        <v>159</v>
      </c>
      <c r="H391" s="120">
        <v>2</v>
      </c>
      <c r="I391" s="121" t="s">
        <v>92</v>
      </c>
      <c r="J391" s="121" t="s">
        <v>97</v>
      </c>
      <c r="K391" s="121" t="s">
        <v>94</v>
      </c>
      <c r="L391" s="128">
        <v>34778947</v>
      </c>
      <c r="M391" s="126">
        <v>1.1921296296296296E-3</v>
      </c>
      <c r="N391" s="118"/>
      <c r="O391" s="118"/>
      <c r="P391" s="118"/>
      <c r="Q391" s="118"/>
      <c r="R391" s="118"/>
      <c r="S391" s="118"/>
      <c r="T391" s="118"/>
      <c r="U391" s="118"/>
      <c r="V391" s="118"/>
      <c r="W391" s="118"/>
      <c r="X391" s="118"/>
      <c r="Y391" s="118"/>
      <c r="Z391" s="118"/>
      <c r="AA391" s="118"/>
      <c r="AB391" s="118"/>
      <c r="AC391" s="118"/>
      <c r="AD391" s="118"/>
      <c r="AE391" s="118"/>
      <c r="AF391" s="127">
        <f t="shared" si="27"/>
        <v>0</v>
      </c>
      <c r="AG391" s="150" t="s">
        <v>111</v>
      </c>
      <c r="AH391" s="125" t="s">
        <v>581</v>
      </c>
      <c r="AI391" s="125" t="s">
        <v>83</v>
      </c>
      <c r="AJ391" s="118" t="str">
        <f>IFERROR(VLOOKUP(E391&amp;F391,'Listagem dos op'!A:S,19,0),"")</f>
        <v/>
      </c>
      <c r="AK391" s="118" t="str">
        <f>E391&amp;F391</f>
        <v>Jan11403</v>
      </c>
      <c r="AL391" s="120" t="str">
        <f>IF(N391="","",IF(N391="SIM",VLOOKUP($I391&amp;$J391&amp;N$1,Pesos!$A:$I,7,FALSE),VLOOKUP($I391&amp;$J391&amp;N$1,Pesos!$A:$I,9,FALSE)))</f>
        <v/>
      </c>
      <c r="AM391" s="120" t="str">
        <f>IF(O391="","",IF(O391="SIM",VLOOKUP($I391&amp;$J391&amp;O$1,Pesos!$A:$I,7,FALSE),VLOOKUP($I391&amp;$J391&amp;O$1,Pesos!$A:$I,9,FALSE)))</f>
        <v/>
      </c>
      <c r="AN391" s="120" t="str">
        <f>IF(P391="","",IF(P391="SIM",VLOOKUP($I391&amp;$J391&amp;P$1,Pesos!$A:$I,7,FALSE),VLOOKUP($I391&amp;$J391&amp;P$1,Pesos!$A:$I,9,FALSE)))</f>
        <v/>
      </c>
      <c r="AO391" s="120" t="str">
        <f>IF(Q391="","",IF(Q391="SIM",VLOOKUP($I391&amp;$J391&amp;Q$1,Pesos!$A:$I,7,FALSE),VLOOKUP($I391&amp;$J391&amp;Q$1,Pesos!$A:$I,9,FALSE)))</f>
        <v/>
      </c>
      <c r="AP391" s="120" t="str">
        <f>IF(R391="","",IF(R391="SIM",VLOOKUP($I391&amp;$J391&amp;R$1,Pesos!$A:$I,7,FALSE),VLOOKUP($I391&amp;$J391&amp;R$1,Pesos!$A:$I,9,FALSE)))</f>
        <v/>
      </c>
      <c r="AQ391" s="120" t="str">
        <f>IF(S391="","",IF(S391="SIM",VLOOKUP($I391&amp;$J391&amp;S$1,Pesos!$A:$I,7,FALSE),VLOOKUP($I391&amp;$J391&amp;S$1,Pesos!$A:$I,9,FALSE)))</f>
        <v/>
      </c>
      <c r="AR391" s="128" t="str">
        <f>IF(T391="","",IF(T391="SIM",VLOOKUP($I391&amp;$J391&amp;T$1,Pesos!$A:$I,7,FALSE),VLOOKUP($I391&amp;$J391&amp;T$1,Pesos!$A:$I,9,FALSE)))</f>
        <v/>
      </c>
      <c r="AS391" s="119" t="str">
        <f>IF(U391="","",IF(U391="SIM",VLOOKUP($I391&amp;$J391&amp;U$1,Pesos!$A:$I,7,FALSE),VLOOKUP($I391&amp;$J391&amp;U$1,Pesos!$A:$I,9,FALSE)))</f>
        <v/>
      </c>
      <c r="AT391" s="119" t="str">
        <f>IF(V391="","",IF(V391="SIM",VLOOKUP($I391&amp;$J391&amp;V$1,Pesos!$A:$I,7,FALSE),VLOOKUP($I391&amp;$J391&amp;V$1,Pesos!$A:$I,9,FALSE)))</f>
        <v/>
      </c>
      <c r="AU391" s="119" t="str">
        <f>IF(W391="","",IF(W391="SIM",VLOOKUP($I391&amp;$J391&amp;W$1,Pesos!$A:$I,7,FALSE),VLOOKUP($I391&amp;$J391&amp;W$1,Pesos!$A:$I,9,FALSE)))</f>
        <v/>
      </c>
      <c r="AV391" s="119" t="str">
        <f>IF(X391="","",IF(X391="SIM",VLOOKUP($I391&amp;$J391&amp;X$1,Pesos!$A:$I,7,FALSE),VLOOKUP($I391&amp;$J391&amp;X$1,Pesos!$A:$I,9,FALSE)))</f>
        <v/>
      </c>
      <c r="AW391" s="119" t="str">
        <f>IF(Y391="","",IF(Y391="SIM",VLOOKUP($I391&amp;$J391&amp;Y$1,Pesos!$A:$I,7,FALSE),VLOOKUP($I391&amp;$J391&amp;Y$1,Pesos!$A:$I,9,FALSE)))</f>
        <v/>
      </c>
      <c r="AX391" s="119" t="str">
        <f>IF(Z391="","",IF(Z391="SIM",VLOOKUP($I391&amp;$J391&amp;Z$1,Pesos!$A:$I,7,FALSE),VLOOKUP($I391&amp;$J391&amp;Z$1,Pesos!$A:$I,9,FALSE)))</f>
        <v/>
      </c>
      <c r="AY391" s="119" t="str">
        <f>IF(AA391="","",IF(AA391="SIM",VLOOKUP($I391&amp;$J391&amp;AA$1,Pesos!$A:$I,7,FALSE),VLOOKUP($I391&amp;$J391&amp;AA$1,Pesos!$A:$I,9,FALSE)))</f>
        <v/>
      </c>
      <c r="AZ391" s="119" t="str">
        <f>IF(AB391="","",IF(AB391="SIM",VLOOKUP($I391&amp;$J391&amp;AB$1,Pesos!$A:$I,7,FALSE),VLOOKUP($I391&amp;$J391&amp;AB$1,Pesos!$A:$I,9,FALSE)))</f>
        <v/>
      </c>
      <c r="BA391" s="119" t="str">
        <f>IF(AC391="","",IF(AC391="SIM",VLOOKUP($I391&amp;$J391&amp;AC$1,Pesos!$A:$I,7,FALSE),VLOOKUP($I391&amp;$J391&amp;AC$1,Pesos!$A:$I,9,FALSE)))</f>
        <v/>
      </c>
      <c r="BB391" s="119" t="str">
        <f>IF(AD391="","",IF(AD391="SIM",VLOOKUP($I391&amp;$J391&amp;AD$1,Pesos!$A:$I,7,FALSE),VLOOKUP($I391&amp;$J391&amp;AD$1,Pesos!$A:$I,9,FALSE)))</f>
        <v/>
      </c>
      <c r="BC391" s="119" t="str">
        <f>IF(AE391="","",IF(AE391="SIM",VLOOKUP($I391&amp;$J391&amp;AE$1,Pesos!$A:$I,7,FALSE),VLOOKUP($I391&amp;$J391&amp;AE$1,Pesos!$A:$I,9,FALSE)))</f>
        <v/>
      </c>
      <c r="BD391" s="127">
        <f>IFERROR(AF391*VLOOKUP(J391,'BD Campos'!$X$1:$Y$14,2,FALSE),"0")</f>
        <v>0</v>
      </c>
    </row>
    <row r="392" spans="1:56">
      <c r="A392" s="122" t="str">
        <f>E392&amp;F392&amp;J392&amp;K392&amp;""</f>
        <v>Jan11454Receptiva 2RECEPTIVO</v>
      </c>
      <c r="B392" s="121" t="str">
        <f>E392&amp;F392&amp;H392&amp;K392&amp;AI392</f>
        <v>Jan114542RECEPTIVOPADRÃO</v>
      </c>
      <c r="C392" s="123">
        <v>1</v>
      </c>
      <c r="D392" s="124">
        <v>46065.603686342591</v>
      </c>
      <c r="E392" s="120" t="s">
        <v>12</v>
      </c>
      <c r="F392" s="125">
        <v>11454</v>
      </c>
      <c r="G392" s="121" t="s">
        <v>189</v>
      </c>
      <c r="H392" s="120">
        <v>2</v>
      </c>
      <c r="I392" s="121" t="s">
        <v>155</v>
      </c>
      <c r="J392" s="121" t="s">
        <v>86</v>
      </c>
      <c r="K392" s="121" t="s">
        <v>156</v>
      </c>
      <c r="L392" s="128" t="s">
        <v>582</v>
      </c>
      <c r="M392" s="126"/>
      <c r="N392" s="118" t="s">
        <v>17</v>
      </c>
      <c r="O392" s="118" t="s">
        <v>17</v>
      </c>
      <c r="P392" s="118" t="s">
        <v>17</v>
      </c>
      <c r="Q392" s="118" t="s">
        <v>17</v>
      </c>
      <c r="R392" s="118" t="s">
        <v>17</v>
      </c>
      <c r="S392" s="118" t="s">
        <v>17</v>
      </c>
      <c r="T392" s="118" t="s">
        <v>17</v>
      </c>
      <c r="U392" s="118" t="s">
        <v>17</v>
      </c>
      <c r="V392" s="118" t="s">
        <v>17</v>
      </c>
      <c r="W392" s="118"/>
      <c r="X392" s="118"/>
      <c r="Y392" s="118"/>
      <c r="Z392" s="118"/>
      <c r="AA392" s="118"/>
      <c r="AB392" s="118"/>
      <c r="AC392" s="118"/>
      <c r="AD392" s="118"/>
      <c r="AE392" s="118"/>
      <c r="AF392" s="127">
        <f t="shared" si="27"/>
        <v>10.000000000000002</v>
      </c>
      <c r="AG392" s="150"/>
      <c r="AH392" s="125"/>
      <c r="AI392" s="125" t="s">
        <v>83</v>
      </c>
      <c r="AJ392" s="118" t="str">
        <f>IFERROR(VLOOKUP(E392&amp;F392,'Listagem dos op'!A:S,19,0),"")</f>
        <v/>
      </c>
      <c r="AK392" s="118" t="str">
        <f>E392&amp;F392</f>
        <v>Jan11454</v>
      </c>
      <c r="AL392" s="120">
        <f>IF(N392="","",IF(N392="SIM",VLOOKUP($I392&amp;$J392&amp;N$1,Pesos!$A:$I,7,FALSE),VLOOKUP($I392&amp;$J392&amp;N$1,Pesos!$A:$I,9,FALSE)))</f>
        <v>0.3</v>
      </c>
      <c r="AM392" s="120">
        <f>IF(O392="","",IF(O392="SIM",VLOOKUP($I392&amp;$J392&amp;O$1,Pesos!$A:$I,7,FALSE),VLOOKUP($I392&amp;$J392&amp;O$1,Pesos!$A:$I,9,FALSE)))</f>
        <v>1.3</v>
      </c>
      <c r="AN392" s="120">
        <f>IF(P392="","",IF(P392="SIM",VLOOKUP($I392&amp;$J392&amp;P$1,Pesos!$A:$I,7,FALSE),VLOOKUP($I392&amp;$J392&amp;P$1,Pesos!$A:$I,9,FALSE)))</f>
        <v>1.3</v>
      </c>
      <c r="AO392" s="120">
        <f>IF(Q392="","",IF(Q392="SIM",VLOOKUP($I392&amp;$J392&amp;Q$1,Pesos!$A:$I,7,FALSE),VLOOKUP($I392&amp;$J392&amp;Q$1,Pesos!$A:$I,9,FALSE)))</f>
        <v>1.4000000000000001</v>
      </c>
      <c r="AP392" s="120">
        <f>IF(R392="","",IF(R392="SIM",VLOOKUP($I392&amp;$J392&amp;R$1,Pesos!$A:$I,7,FALSE),VLOOKUP($I392&amp;$J392&amp;R$1,Pesos!$A:$I,9,FALSE)))</f>
        <v>1.3</v>
      </c>
      <c r="AQ392" s="120">
        <f>IF(S392="","",IF(S392="SIM",VLOOKUP($I392&amp;$J392&amp;S$1,Pesos!$A:$I,7,FALSE),VLOOKUP($I392&amp;$J392&amp;S$1,Pesos!$A:$I,9,FALSE)))</f>
        <v>1.4000000000000001</v>
      </c>
      <c r="AR392" s="128">
        <f>IF(T392="","",IF(T392="SIM",VLOOKUP($I392&amp;$J392&amp;T$1,Pesos!$A:$I,7,FALSE),VLOOKUP($I392&amp;$J392&amp;T$1,Pesos!$A:$I,9,FALSE)))</f>
        <v>1.4000000000000001</v>
      </c>
      <c r="AS392" s="119">
        <f>IF(U392="","",IF(U392="SIM",VLOOKUP($I392&amp;$J392&amp;U$1,Pesos!$A:$I,7,FALSE),VLOOKUP($I392&amp;$J392&amp;U$1,Pesos!$A:$I,9,FALSE)))</f>
        <v>1.3</v>
      </c>
      <c r="AT392" s="119">
        <f>IF(V392="","",IF(V392="SIM",VLOOKUP($I392&amp;$J392&amp;V$1,Pesos!$A:$I,7,FALSE),VLOOKUP($I392&amp;$J392&amp;V$1,Pesos!$A:$I,9,FALSE)))</f>
        <v>0.3</v>
      </c>
      <c r="AU392" s="119" t="str">
        <f>IF(W392="","",IF(W392="SIM",VLOOKUP($I392&amp;$J392&amp;W$1,Pesos!$A:$I,7,FALSE),VLOOKUP($I392&amp;$J392&amp;W$1,Pesos!$A:$I,9,FALSE)))</f>
        <v/>
      </c>
      <c r="AV392" s="119" t="str">
        <f>IF(X392="","",IF(X392="SIM",VLOOKUP($I392&amp;$J392&amp;X$1,Pesos!$A:$I,7,FALSE),VLOOKUP($I392&amp;$J392&amp;X$1,Pesos!$A:$I,9,FALSE)))</f>
        <v/>
      </c>
      <c r="AW392" s="119" t="str">
        <f>IF(Y392="","",IF(Y392="SIM",VLOOKUP($I392&amp;$J392&amp;Y$1,Pesos!$A:$I,7,FALSE),VLOOKUP($I392&amp;$J392&amp;Y$1,Pesos!$A:$I,9,FALSE)))</f>
        <v/>
      </c>
      <c r="AX392" s="119" t="str">
        <f>IF(Z392="","",IF(Z392="SIM",VLOOKUP($I392&amp;$J392&amp;Z$1,Pesos!$A:$I,7,FALSE),VLOOKUP($I392&amp;$J392&amp;Z$1,Pesos!$A:$I,9,FALSE)))</f>
        <v/>
      </c>
      <c r="AY392" s="119" t="str">
        <f>IF(AA392="","",IF(AA392="SIM",VLOOKUP($I392&amp;$J392&amp;AA$1,Pesos!$A:$I,7,FALSE),VLOOKUP($I392&amp;$J392&amp;AA$1,Pesos!$A:$I,9,FALSE)))</f>
        <v/>
      </c>
      <c r="AZ392" s="119" t="str">
        <f>IF(AB392="","",IF(AB392="SIM",VLOOKUP($I392&amp;$J392&amp;AB$1,Pesos!$A:$I,7,FALSE),VLOOKUP($I392&amp;$J392&amp;AB$1,Pesos!$A:$I,9,FALSE)))</f>
        <v/>
      </c>
      <c r="BA392" s="119" t="str">
        <f>IF(AC392="","",IF(AC392="SIM",VLOOKUP($I392&amp;$J392&amp;AC$1,Pesos!$A:$I,7,FALSE),VLOOKUP($I392&amp;$J392&amp;AC$1,Pesos!$A:$I,9,FALSE)))</f>
        <v/>
      </c>
      <c r="BB392" s="119" t="str">
        <f>IF(AD392="","",IF(AD392="SIM",VLOOKUP($I392&amp;$J392&amp;AD$1,Pesos!$A:$I,7,FALSE),VLOOKUP($I392&amp;$J392&amp;AD$1,Pesos!$A:$I,9,FALSE)))</f>
        <v/>
      </c>
      <c r="BC392" s="119" t="str">
        <f>IF(AE392="","",IF(AE392="SIM",VLOOKUP($I392&amp;$J392&amp;AE$1,Pesos!$A:$I,7,FALSE),VLOOKUP($I392&amp;$J392&amp;AE$1,Pesos!$A:$I,9,FALSE)))</f>
        <v/>
      </c>
      <c r="BD392" s="127">
        <f>IFERROR(AF392*VLOOKUP(J392,'BD Campos'!$X$1:$Y$14,2,FALSE),"0")</f>
        <v>10.000000000000002</v>
      </c>
    </row>
    <row r="1003982" ht="15.75" customHeight="1"/>
  </sheetData>
  <sheetProtection algorithmName="SHA-512" hashValue="wPe49JeQUwWzz5dZ6u8Z9Ay8aps2Gnn4p69Z0tpGorELub2B6Xj9ubaSrVBDqlelEBEmS/5n0VnwGA2j2tISgA==" saltValue="UQMHvDjVAUJr6/ND4ok06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3">
    <tabColor theme="4" tint="0.59999389629810485"/>
  </sheetPr>
  <dimension ref="A1:CI224"/>
  <sheetViews>
    <sheetView showGridLines="0" topLeftCell="B1" zoomScaleNormal="100" workbookViewId="0">
      <pane ySplit="1" topLeftCell="A69" activePane="bottomLeft" state="frozen"/>
      <selection pane="bottomLeft" activeCell="H108" sqref="H108"/>
      <selection activeCell="J1" sqref="J1"/>
    </sheetView>
  </sheetViews>
  <sheetFormatPr defaultColWidth="9.42578125" defaultRowHeight="13.15"/>
  <cols>
    <col min="1" max="1" width="12.42578125" style="11" customWidth="1"/>
    <col min="2" max="2" width="8.5703125" style="11" customWidth="1"/>
    <col min="3" max="3" width="8.5703125" style="44" hidden="1" customWidth="1"/>
    <col min="4" max="4" width="8.5703125" style="21" hidden="1" customWidth="1"/>
    <col min="5" max="5" width="8.5703125" style="11" hidden="1" customWidth="1"/>
    <col min="6" max="6" width="8.5703125" style="32" hidden="1" customWidth="1"/>
    <col min="7" max="7" width="16.42578125" style="21" customWidth="1"/>
    <col min="8" max="8" width="24" style="11" customWidth="1"/>
    <col min="9" max="9" width="16" style="11" hidden="1" customWidth="1"/>
    <col min="10" max="11" width="6.5703125" style="37" customWidth="1"/>
    <col min="12" max="12" width="11.5703125" style="11" customWidth="1"/>
    <col min="13" max="13" width="54.5703125" style="39" bestFit="1" customWidth="1"/>
    <col min="14" max="15" width="6.5703125" style="45" customWidth="1"/>
    <col min="16" max="16" width="9" style="36" bestFit="1" customWidth="1"/>
    <col min="17" max="17" width="11.42578125" style="38" bestFit="1" customWidth="1"/>
    <col min="18" max="18" width="21.5703125" style="39" customWidth="1"/>
    <col min="19" max="19" width="16.42578125" style="39" bestFit="1" customWidth="1"/>
    <col min="20" max="20" width="11.5703125" style="12" customWidth="1"/>
    <col min="21" max="21" width="6.42578125" style="39" customWidth="1"/>
    <col min="22" max="22" width="7.5703125" style="39" customWidth="1"/>
    <col min="23" max="24" width="5.5703125" style="39" customWidth="1"/>
    <col min="25" max="25" width="4.5703125" style="39" customWidth="1"/>
    <col min="26" max="26" width="8.5703125" style="39" customWidth="1"/>
    <col min="27" max="27" width="5.5703125" style="35" customWidth="1"/>
    <col min="28" max="29" width="5.5703125" style="21" customWidth="1"/>
    <col min="30" max="30" width="5.5703125" style="35" customWidth="1"/>
    <col min="31" max="31" width="5.5703125" style="21" customWidth="1"/>
    <col min="32" max="33" width="5.5703125" style="35" customWidth="1"/>
    <col min="34" max="38" width="5.5703125" style="36" customWidth="1"/>
    <col min="39" max="41" width="5.5703125" style="36" hidden="1" customWidth="1"/>
    <col min="42" max="42" width="5.5703125" style="36" customWidth="1"/>
    <col min="43" max="45" width="5.5703125" style="36" hidden="1" customWidth="1"/>
    <col min="46" max="46" width="5.5703125" style="36" customWidth="1"/>
    <col min="47" max="49" width="5.5703125" style="36" hidden="1" customWidth="1"/>
    <col min="50" max="50" width="5.5703125" style="36" customWidth="1"/>
    <col min="51" max="53" width="5.5703125" style="36" hidden="1" customWidth="1"/>
    <col min="54" max="54" width="9.42578125" style="11"/>
    <col min="55" max="55" width="7.5703125" style="37" bestFit="1" customWidth="1"/>
    <col min="56" max="57" width="6.5703125" style="37" bestFit="1" customWidth="1"/>
    <col min="58" max="58" width="7.42578125" style="37" bestFit="1" customWidth="1"/>
    <col min="59" max="59" width="8.42578125" style="39" bestFit="1" customWidth="1"/>
    <col min="60" max="60" width="6" style="39" bestFit="1" customWidth="1"/>
    <col min="61" max="62" width="7" style="39" bestFit="1" customWidth="1"/>
    <col min="63" max="63" width="8" style="39" bestFit="1" customWidth="1"/>
    <col min="64" max="64" width="9.42578125" style="37"/>
    <col min="65" max="65" width="9.5703125" style="46" hidden="1" customWidth="1"/>
    <col min="66" max="68" width="10.5703125" style="46" hidden="1" customWidth="1"/>
    <col min="69" max="69" width="9.5703125" style="46" hidden="1" customWidth="1"/>
    <col min="70" max="70" width="8.42578125" style="46" hidden="1" customWidth="1"/>
    <col min="71" max="73" width="9.5703125" style="46" hidden="1" customWidth="1"/>
    <col min="74" max="74" width="14.5703125" style="46" hidden="1" customWidth="1"/>
    <col min="75" max="75" width="8.42578125" style="46" hidden="1" customWidth="1"/>
    <col min="76" max="78" width="9.5703125" style="46" hidden="1" customWidth="1"/>
    <col min="79" max="79" width="15" style="46" hidden="1" customWidth="1"/>
    <col min="80" max="80" width="9.5703125" style="37" hidden="1" customWidth="1"/>
    <col min="81" max="83" width="10.42578125" style="37" hidden="1" customWidth="1"/>
    <col min="84" max="84" width="15.42578125" style="37" hidden="1" customWidth="1"/>
    <col min="85" max="87" width="0" style="21" hidden="1" customWidth="1"/>
    <col min="88" max="16384" width="9.42578125" style="11"/>
  </cols>
  <sheetData>
    <row r="1" spans="1:87" s="12" customFormat="1" ht="42.75" customHeight="1">
      <c r="A1" s="13" t="s">
        <v>583</v>
      </c>
      <c r="B1" s="13" t="s">
        <v>584</v>
      </c>
      <c r="C1" s="30" t="s">
        <v>585</v>
      </c>
      <c r="D1" s="20" t="s">
        <v>586</v>
      </c>
      <c r="E1" s="13" t="s">
        <v>587</v>
      </c>
      <c r="F1" s="31" t="s">
        <v>588</v>
      </c>
      <c r="G1" s="20" t="s">
        <v>589</v>
      </c>
      <c r="H1" s="13" t="s">
        <v>590</v>
      </c>
      <c r="I1" s="13" t="s">
        <v>591</v>
      </c>
      <c r="J1" s="47" t="s">
        <v>592</v>
      </c>
      <c r="K1" s="47" t="s">
        <v>5</v>
      </c>
      <c r="L1" s="48" t="s">
        <v>593</v>
      </c>
      <c r="M1" s="52" t="s">
        <v>594</v>
      </c>
      <c r="N1" s="49" t="s">
        <v>10</v>
      </c>
      <c r="O1" s="49" t="s">
        <v>595</v>
      </c>
      <c r="P1" s="49" t="s">
        <v>596</v>
      </c>
      <c r="Q1" s="49" t="s">
        <v>9</v>
      </c>
      <c r="R1" s="47" t="s">
        <v>597</v>
      </c>
      <c r="S1" s="47" t="s">
        <v>598</v>
      </c>
      <c r="T1" s="12" t="s">
        <v>8</v>
      </c>
      <c r="U1" s="47" t="s">
        <v>599</v>
      </c>
      <c r="V1" s="50" t="s">
        <v>600</v>
      </c>
      <c r="W1" s="47" t="s">
        <v>601</v>
      </c>
      <c r="X1" s="47" t="s">
        <v>602</v>
      </c>
      <c r="Y1" s="47" t="s">
        <v>603</v>
      </c>
      <c r="Z1" s="47" t="s">
        <v>604</v>
      </c>
      <c r="AA1" s="49" t="s">
        <v>605</v>
      </c>
      <c r="AB1" s="21" t="s">
        <v>606</v>
      </c>
      <c r="AC1" s="21" t="s">
        <v>607</v>
      </c>
      <c r="AD1" s="49" t="s">
        <v>608</v>
      </c>
      <c r="AE1" s="21" t="s">
        <v>609</v>
      </c>
      <c r="AF1" s="49" t="s">
        <v>610</v>
      </c>
      <c r="AG1" s="49" t="s">
        <v>611</v>
      </c>
      <c r="AH1" s="49" t="s">
        <v>612</v>
      </c>
      <c r="AI1" s="49" t="s">
        <v>613</v>
      </c>
      <c r="AJ1" s="49" t="s">
        <v>614</v>
      </c>
      <c r="AK1" s="49" t="s">
        <v>615</v>
      </c>
      <c r="AL1" s="49" t="s">
        <v>616</v>
      </c>
      <c r="AM1" s="49" t="s">
        <v>617</v>
      </c>
      <c r="AN1" s="49" t="s">
        <v>618</v>
      </c>
      <c r="AO1" s="49" t="s">
        <v>619</v>
      </c>
      <c r="AP1" s="49" t="s">
        <v>620</v>
      </c>
      <c r="AQ1" s="49" t="s">
        <v>621</v>
      </c>
      <c r="AR1" s="49" t="s">
        <v>622</v>
      </c>
      <c r="AS1" s="49" t="s">
        <v>623</v>
      </c>
      <c r="AT1" s="49" t="s">
        <v>624</v>
      </c>
      <c r="AU1" s="49" t="s">
        <v>625</v>
      </c>
      <c r="AV1" s="49" t="s">
        <v>626</v>
      </c>
      <c r="AW1" s="49" t="s">
        <v>627</v>
      </c>
      <c r="AX1" s="49" t="s">
        <v>628</v>
      </c>
      <c r="AY1" s="49" t="s">
        <v>629</v>
      </c>
      <c r="AZ1" s="49" t="s">
        <v>630</v>
      </c>
      <c r="BA1" s="49" t="s">
        <v>631</v>
      </c>
      <c r="BB1" s="48" t="s">
        <v>632</v>
      </c>
      <c r="BC1" s="47" t="s">
        <v>633</v>
      </c>
      <c r="BD1" s="47" t="s">
        <v>634</v>
      </c>
      <c r="BE1" s="47" t="s">
        <v>635</v>
      </c>
      <c r="BF1" s="47" t="s">
        <v>636</v>
      </c>
      <c r="BG1" s="47" t="s">
        <v>637</v>
      </c>
      <c r="BH1" s="47" t="s">
        <v>638</v>
      </c>
      <c r="BI1" s="47" t="s">
        <v>639</v>
      </c>
      <c r="BJ1" s="47" t="s">
        <v>640</v>
      </c>
      <c r="BK1" s="47" t="s">
        <v>641</v>
      </c>
      <c r="BL1" s="47" t="s">
        <v>642</v>
      </c>
      <c r="BM1" s="34" t="s">
        <v>643</v>
      </c>
      <c r="BN1" s="34" t="s">
        <v>644</v>
      </c>
      <c r="BO1" s="34" t="s">
        <v>645</v>
      </c>
      <c r="BP1" s="34" t="s">
        <v>646</v>
      </c>
      <c r="BQ1" s="34" t="s">
        <v>647</v>
      </c>
      <c r="BR1" s="34" t="s">
        <v>648</v>
      </c>
      <c r="BS1" s="34" t="s">
        <v>649</v>
      </c>
      <c r="BT1" s="34" t="s">
        <v>650</v>
      </c>
      <c r="BU1" s="34" t="s">
        <v>651</v>
      </c>
      <c r="BV1" s="34" t="s">
        <v>652</v>
      </c>
      <c r="BW1" s="34" t="s">
        <v>653</v>
      </c>
      <c r="BX1" s="34" t="s">
        <v>654</v>
      </c>
      <c r="BY1" s="34" t="s">
        <v>655</v>
      </c>
      <c r="BZ1" s="34" t="s">
        <v>656</v>
      </c>
      <c r="CA1" s="34" t="s">
        <v>657</v>
      </c>
      <c r="CB1" s="47" t="s">
        <v>658</v>
      </c>
      <c r="CC1" s="47" t="s">
        <v>659</v>
      </c>
      <c r="CD1" s="47" t="s">
        <v>660</v>
      </c>
      <c r="CE1" s="47" t="s">
        <v>661</v>
      </c>
      <c r="CF1" s="47" t="s">
        <v>662</v>
      </c>
      <c r="CG1" s="51" t="s">
        <v>663</v>
      </c>
      <c r="CH1" s="51" t="s">
        <v>664</v>
      </c>
      <c r="CI1" s="20" t="s">
        <v>665</v>
      </c>
    </row>
    <row r="2" spans="1:87">
      <c r="A2" s="12" t="str">
        <f>Tabela1[[#This Row],[MÊS]]&amp;Tabela1[[#This Row],[MATRICULA]]&amp;Tabela1[[#This Row],[ID]]</f>
        <v>JUL112531</v>
      </c>
      <c r="B2" s="12" t="str">
        <f>Tabela1[[#This Row],[MÊS]]&amp;Tabela1[[#This Row],[ID]]&amp;Tabela1[[#This Row],[MATRICULA]]&amp;Tabela1[[#This Row],[SETOR]]</f>
        <v>JUL111253CADASTRO</v>
      </c>
      <c r="C2" s="130" t="e">
        <f>VLOOKUP(Tabela1[[#This Row],[MATRICULA]],'BD Campos'!A:D,5,0)</f>
        <v>#REF!</v>
      </c>
      <c r="D2" s="133" t="str">
        <f ca="1">IFERROR(SUM(TODAY()-Tabela1[[#This Row],[ADMISSÃO]]),"")</f>
        <v/>
      </c>
      <c r="E2" s="11" t="str">
        <f ca="1">IFERROR(TRUNC(Tabela1[[#This Row],[TEMPO DE CASA (DIAS)]]/30),"")</f>
        <v/>
      </c>
      <c r="F2" s="32" t="str">
        <f ca="1">IFERROR(SUM(Tabela1[[#This Row],[TEMPO DE CASA (MESES)]]/12),"")</f>
        <v/>
      </c>
      <c r="G2" s="133" t="str">
        <f ca="1">IF(Tabela1[[#This Row],[TEMPO DE CASA (DIAS)]]="","SEM DADOS",IF(Tabela1[[#This Row],[TEMPO DE CASA (DIAS)]]&gt;180,"&gt; 6 MESES","&lt; 6 MESES"))</f>
        <v>SEM DADOS</v>
      </c>
      <c r="H2" s="12" t="str">
        <f t="shared" ref="H2" si="0">K2&amp;S2&amp;J2</f>
        <v>JULLarissa Cristina1</v>
      </c>
      <c r="I2" s="12" t="str">
        <f>IFERROR(VLOOKUP(Tabela1[[#This Row],[MATRICULA]],'BD Campos'!A:F,7,0),"")</f>
        <v/>
      </c>
      <c r="J2" s="11">
        <v>1</v>
      </c>
      <c r="K2" s="11" t="s">
        <v>666</v>
      </c>
      <c r="L2" s="136">
        <v>11253</v>
      </c>
      <c r="M2" s="12" t="str">
        <f>IFERROR(VLOOKUP(Tabela1[[#This Row],[MATRICULA]],'BD Campos'!A:B,2,0),"")</f>
        <v>NATHÁLIA DE SOUZA DA SILVA</v>
      </c>
      <c r="N2" s="20" t="str">
        <f>IFERROR(AVERAGE(Tabela1[[#This Row],[A1]:[A4]]),"")</f>
        <v/>
      </c>
      <c r="O2" s="20">
        <f>IFERROR(IF(Tabela1[[#This Row],[SETOR]]="RECEPTIVO","",AVERAGE(Tabela1[[#This Row],[A5]:[A6]])),"")</f>
        <v>7.6375000000000002</v>
      </c>
      <c r="P2" s="20" t="str">
        <f>IFERROR(IF(Tabela1[[#This Row],[STATUS]]="INATIVO","INATIVO",IF(Tabela1[[#This Row],[STATUS]]="QRT","INATIVO",IF(Tabela1[[#This Row],[OPERACIONAL]]&gt;7.99999,"BOM","RUIM"))),"")</f>
        <v>BOM</v>
      </c>
      <c r="Q2" s="21" t="s">
        <v>667</v>
      </c>
      <c r="R2" s="12" t="s">
        <v>82</v>
      </c>
      <c r="S2" s="12" t="s">
        <v>668</v>
      </c>
      <c r="T2" s="12" t="s">
        <v>82</v>
      </c>
      <c r="U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" s="12">
        <f>IF(AND(Tabela1[[#This Row],[SETOR]]="UTI",Tabela1[[#This Row],[M]]&lt;&gt;""),1,IF(AND(Tabela1[[#This Row],[SETOR]]="UTI (RJ)",Tabela1[[#This Row],[M]]&lt;&gt;""),1.5,0))</f>
        <v>0</v>
      </c>
      <c r="X2" s="12">
        <f>IF(AND(Tabela1[[#This Row],[SETOR]]="UTI",Tabela1[[#This Row],[PA2]]&lt;&gt;""),1,IF(AND(Tabela1[[#This Row],[SETOR]]="UTI (RJ)",Tabela1[[#This Row],[PA2]]&lt;&gt;""),0,0))</f>
        <v>0</v>
      </c>
      <c r="Y2" s="12">
        <f>IF(AND(Tabela1[[#This Row],[SETOR]]="UTI",Tabela1[[#This Row],[C]]&lt;&gt;""),1,IF(AND(Tabela1[[#This Row],[SETOR]]="UTI (RJ)",Tabela1[[#This Row],[C]]&lt;&gt;""),1.5,0))</f>
        <v>0</v>
      </c>
      <c r="Z2" s="12">
        <f>IF(AND(Tabela1[[#This Row],[SETOR]]="UTI",Tabela1[[#This Row],[PL]]&lt;&gt;""),1,IF(AND(Tabela1[[#This Row],[SETOR]]="UTI (RJ)",Tabela1[[#This Row],[PL]]&lt;&gt;""),1,0))</f>
        <v>0</v>
      </c>
      <c r="AA2" s="21" t="str">
        <f>IFERROR(VLOOKUP(Tabela1[[#This Row],[MÊS]]&amp;Tabela1[[#This Row],[MATRICULA]]&amp;"1"&amp;Tabela1[[#This Row],[SETOR]]&amp;"PADRÃO",BD!B:AF,31,0),"")</f>
        <v/>
      </c>
      <c r="AB2" s="21" t="str">
        <f>IFERROR(VLOOKUP(Tabela1[[#This Row],[MÊS]]&amp;Tabela1[[#This Row],[MATRICULA]]&amp;"2"&amp;Tabela1[[#This Row],[SETOR]]&amp;"PADRÃO",BD!B:AF,31,0),"")</f>
        <v/>
      </c>
      <c r="AC2" s="21" t="str">
        <f>IFERROR(VLOOKUP(Tabela1[[#This Row],[MÊS]]&amp;Tabela1[[#This Row],[MATRICULA]]&amp;"3"&amp;Tabela1[[#This Row],[SETOR]]&amp;"PADRÃO",BD!B:AF,31,0),"")</f>
        <v/>
      </c>
      <c r="AD2" s="21" t="str">
        <f>IFERROR(VLOOKUP(Tabela1[[#This Row],[MÊS]]&amp;Tabela1[[#This Row],[MATRICULA]]&amp;"4"&amp;Tabela1[[#This Row],[SETOR]]&amp;"PADRÃO",BD!B:AF,25,0),"")</f>
        <v/>
      </c>
      <c r="AE2" s="21">
        <f>IFERROR(VLOOKUP(Tabela1[[#This Row],[MÊS]]&amp;Tabela1[[#This Row],[MATRICULA]]&amp;"5"&amp;Tabela1[[#This Row],[SETOR]]&amp;"PADRÃO",BD!B:AF,31,0),"")</f>
        <v>7.6375000000000002</v>
      </c>
      <c r="AF2" s="21" t="str">
        <f>IFERROR(VLOOKUP(Tabela1[[#This Row],[MÊS]]&amp;Tabela1[[#This Row],[MATRICULA]]&amp;"6"&amp;Tabela1[[#This Row],[SETOR]]&amp;"PADRÃO",BD!B:AF,31,0),"")</f>
        <v/>
      </c>
      <c r="AG2" s="21" t="str">
        <f>IFERROR(VLOOKUP(Tabela1[[#This Row],[MÊS]]&amp;Tabela1[[#This Row],[MATRICULA]]&amp;"7"&amp;Tabela1[[#This Row],[SETOR]]&amp;"PADRÃO",BD!B:AF,31,0),"")</f>
        <v/>
      </c>
      <c r="AH2" s="21" t="str">
        <f>IFERROR(VLOOKUP(Tabela1[[#This Row],[MÊS]]&amp;Tabela1[[#This Row],[ID]]&amp;Tabela1[[#This Row],[MATRICULA]]&amp;"Receptiva"&amp;Tabela1[[#This Row],[SETOR]],BD!A:AF,31,0),"")</f>
        <v/>
      </c>
      <c r="AI2" s="21" t="str">
        <f>IFERROR(VLOOKUP(Tabela1[[#This Row],[MÊS]]&amp;Tabela1[[#This Row],[ID]]&amp;Tabela1[[#This Row],[MATRICULA]]&amp;"Receptiva 2"&amp;Tabela1[[#This Row],[SETOR]],BD!A:AF,31,0),"")</f>
        <v/>
      </c>
      <c r="AJ2" s="21" t="str">
        <f>IFERROR(VLOOKUP(Tabela1[[#This Row],[MÊS]]&amp;Tabela1[[#This Row],[ID]]&amp;Tabela1[[#This Row],[MATRICULA]]&amp;"Receptiva 3"&amp;Tabela1[[#This Row],[SETOR]],BD!A:AF,31,0),"")</f>
        <v/>
      </c>
      <c r="AK2" s="21" t="str">
        <f>IFERROR(VLOOKUP(Tabela1[[#This Row],[MÊS]]&amp;Tabela1[[#This Row],[ID]]&amp;Tabela1[[#This Row],[MATRICULA]]&amp;"Receptiva 4"&amp;Tabela1[[#This Row],[SETOR]],BD!A:AF,31,0),"")</f>
        <v/>
      </c>
      <c r="AL2" s="21" t="str">
        <f>IFERROR(VLOOKUP(Tabela1[[#This Row],[MÊS]]&amp;Tabela1[[#This Row],[MATRICULA]]&amp;"Motorista"&amp;Tabela1[[#This Row],[SETOR]],BD!A:AF,31,0),"")</f>
        <v/>
      </c>
      <c r="AM2" s="21" t="str">
        <f>IFERROR(VLOOKUP(Tabela1[[#This Row],[MÊS]]&amp;Tabela1[[#This Row],[ID]]&amp;Tabela1[[#This Row],[MATRICULA]]&amp;"Motorista 2"&amp;Tabela1[[#This Row],[SETOR]],BD!A:AF,26,0),"")</f>
        <v/>
      </c>
      <c r="AN2" s="21" t="str">
        <f>IFERROR(VLOOKUP(Tabela1[[#This Row],[MÊS]]&amp;Tabela1[[#This Row],[ID]]&amp;Tabela1[[#This Row],[MATRICULA]]&amp;"Motorista 3"&amp;Tabela1[[#This Row],[SETOR]],BD!A:AF,26,0),"")</f>
        <v/>
      </c>
      <c r="AO2" s="21" t="str">
        <f>IFERROR(VLOOKUP(Tabela1[[#This Row],[MÊS]]&amp;Tabela1[[#This Row],[ID]]&amp;Tabela1[[#This Row],[MATRICULA]]&amp;"Motorista 4"&amp;Tabela1[[#This Row],[SETOR]],BD!A:AF,26,0),"")</f>
        <v/>
      </c>
      <c r="AP2" s="21" t="str">
        <f>IFERROR(VLOOKUP(Tabela1[[#This Row],[MÊS]]&amp;Tabela1[[#This Row],[MATRICULA]]&amp;"Ponto de Apoio"&amp;Tabela1[[#This Row],[SETOR]],BD!A:AF,31,0),"")</f>
        <v/>
      </c>
      <c r="AQ2" s="21" t="str">
        <f>IFERROR(VLOOKUP(Tabela1[[#This Row],[MÊS]]&amp;Tabela1[[#This Row],[ID]]&amp;Tabela1[[#This Row],[MATRICULA]]&amp;"Ponto de Apoio 2"&amp;Tabela1[[#This Row],[SETOR]],BD!A:AF,26,0),"")</f>
        <v/>
      </c>
      <c r="AR2" s="36" t="str">
        <f>IFERROR(VLOOKUP(Tabela1[[#This Row],[MÊS]]&amp;Tabela1[[#This Row],[ID]]&amp;Tabela1[[#This Row],[MATRICULA]]&amp;"Ponto de Apoio 3"&amp;Tabela1[[#This Row],[SETOR]],BD!A:AF,26,0),"")</f>
        <v/>
      </c>
      <c r="AS2" s="36" t="str">
        <f>IFERROR(VLOOKUP(Tabela1[[#This Row],[MÊS]]&amp;Tabela1[[#This Row],[ID]]&amp;Tabela1[[#This Row],[MATRICULA]]&amp;"Ponto de Apoio 4"&amp;Tabela1[[#This Row],[SETOR]],BD!A:AF,26,0),"")</f>
        <v/>
      </c>
      <c r="AT2" s="21" t="str">
        <f>IFERROR(VLOOKUP(Tabela1[[#This Row],[MÊS]]&amp;Tabela1[[#This Row],[MATRICULA]]&amp;"Cliente"&amp;Tabela1[[#This Row],[SETOR]],BD!A:AF,31,0),"")</f>
        <v/>
      </c>
      <c r="AU2" s="21" t="str">
        <f>IFERROR(VLOOKUP(Tabela1[[#This Row],[MÊS]]&amp;Tabela1[[#This Row],[ID]]&amp;Tabela1[[#This Row],[MATRICULA]]&amp;"Cliente 2"&amp;Tabela1[[#This Row],[SETOR]],BD!A:AF,26,0),"")</f>
        <v/>
      </c>
      <c r="AX2" s="21" t="str">
        <f>IFERROR(VLOOKUP(Tabela1[[#This Row],[MÊS]]&amp;Tabela1[[#This Row],[MATRICULA]]&amp;"Policia"&amp;Tabela1[[#This Row],[SETOR]],BD!A:AF,31,0),"")</f>
        <v/>
      </c>
      <c r="AY2" s="21" t="str">
        <f>IFERROR(VLOOKUP(Tabela1[[#This Row],[MÊS]]&amp;Tabela1[[#This Row],[ID]]&amp;Tabela1[[#This Row],[MATRICULA]]&amp;"Policia 2"&amp;Tabela1[[#This Row],[SETOR]],BD!A:AF,26,0),"")</f>
        <v/>
      </c>
      <c r="AZ2" s="36" t="str">
        <f>IFERROR(VLOOKUP(Tabela1[[#This Row],[MÊS]]&amp;Tabela1[[#This Row],[ID]]&amp;Tabela1[[#This Row],[MATRICULA]]&amp;"Policia 3"&amp;Tabela1[[#This Row],[SETOR]],BD!A:AF,26,0),"")</f>
        <v/>
      </c>
      <c r="BA2" s="36" t="str">
        <f>IFERROR(VLOOKUP(Tabela1[[#This Row],[MÊS]]&amp;Tabela1[[#This Row],[ID]]&amp;Tabela1[[#This Row],[MATRICULA]]&amp;"Policia 4"&amp;Tabela1[[#This Row],[SETOR]],BD!A:AF,26,0),"")</f>
        <v/>
      </c>
      <c r="BB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" s="21" t="str">
        <f>IFERROR(AVERAGE(Tabela1[[#This Row],[M]:[M4]]),"")</f>
        <v/>
      </c>
      <c r="BD2" s="21" t="str">
        <f>IFERROR(AVERAGE(Tabela1[[#This Row],[C]:[C4]]),"")</f>
        <v/>
      </c>
      <c r="BE2" s="21" t="str">
        <f>IFERROR(AVERAGE(Tabela1[[#This Row],[PA2]:[PA 4]]),"")</f>
        <v/>
      </c>
      <c r="BF2" s="21" t="str">
        <f>IFERROR(AVERAGE(Tabela1[[#This Row],[PL]:[PL4]]),"")</f>
        <v/>
      </c>
      <c r="BG2" s="35" t="str">
        <f>IFERROR(VLOOKUP(Tabela1[[#This Row],[MÊS]]&amp;Tabela1[[#This Row],[MATRICULA]],#REF!,2,0),"")</f>
        <v/>
      </c>
      <c r="BH2" s="35" t="str">
        <f>IFERROR(VLOOKUP(Tabela1[[#This Row],[MÊS]]&amp;Tabela1[[#This Row],[MATRICULA]],#REF!,2,0),"")</f>
        <v/>
      </c>
      <c r="BI2" s="35" t="str">
        <f>IFERROR(VLOOKUP(Tabela1[[#This Row],[MÊS]]&amp;Tabela1[[#This Row],[MATRICULA]],#REF!,2,0),"")</f>
        <v/>
      </c>
      <c r="BJ2" s="35" t="str">
        <f>IFERROR(VLOOKUP(Tabela1[[#This Row],[MÊS]]&amp;Tabela1[[#This Row],[MATRICULA]],#REF!,2,0),"")</f>
        <v/>
      </c>
      <c r="BK2" s="35" t="str">
        <f>IFERROR(VLOOKUP(Tabela1[[#This Row],[MÊS]]&amp;Tabela1[[#This Row],[MATRICULA]],#REF!,2,0),"")</f>
        <v/>
      </c>
      <c r="BL2" s="21">
        <f>COUNTIF(Tabela1[[#This Row],[MOT2]:[RECEPTIVA]],"NÃO ENCONTRADA")</f>
        <v>0</v>
      </c>
      <c r="BM2" s="135" t="str">
        <f>IFERROR(VLOOKUP(Tabela1[[#This Row],[MÊS]]&amp;Tabela1[[#This Row],[ID]]&amp;Tabela1[[#This Row],[MATRICULA]]&amp;"Motorista"&amp;Tabela1[[#This Row],[SETOR]],BD!A:AF,13,0),"")</f>
        <v/>
      </c>
      <c r="BN2" s="135" t="str">
        <f>IFERROR(VLOOKUP(Tabela1[[#This Row],[MÊS]]&amp;Tabela1[[#This Row],[ID]]&amp;Tabela1[[#This Row],[MATRICULA]]&amp;"Motorista 2"&amp;Tabela1[[#This Row],[SETOR]],BD!A:AF,13,0),"")</f>
        <v/>
      </c>
      <c r="BO2" s="135" t="str">
        <f>IFERROR(VLOOKUP(Tabela1[[#This Row],[MÊS]]&amp;Tabela1[[#This Row],[ID]]&amp;Tabela1[[#This Row],[MATRICULA]]&amp;"Motorista 3"&amp;Tabela1[[#This Row],[SETOR]],BD!A:AF,13,0),"")</f>
        <v/>
      </c>
      <c r="BP2" s="135" t="str">
        <f>IFERROR(VLOOKUP(Tabela1[[#This Row],[MÊS]]&amp;Tabela1[[#This Row],[ID]]&amp;Tabela1[[#This Row],[MATRICULA]]&amp;"Motorista 4"&amp;Tabela1[[#This Row],[SETOR]],BD!A:AF,13,0),"")</f>
        <v/>
      </c>
      <c r="BQ2" s="135" t="str">
        <f>IFERROR(AVERAGE(Tabela1[[#This Row],[DMOT]:[DMOT4]]),"")</f>
        <v/>
      </c>
      <c r="BR2" s="135" t="str">
        <f>IFERROR(VLOOKUP(Tabela1[[#This Row],[MÊS]]&amp;Tabela1[[#This Row],[ID]]&amp;Tabela1[[#This Row],[MATRICULA]]&amp;"Ponto de Apoio"&amp;Tabela1[[#This Row],[SETOR]],BD!A:AF,13,0),"")</f>
        <v/>
      </c>
      <c r="BS2" s="135" t="str">
        <f>IFERROR(VLOOKUP(Tabela1[[#This Row],[MÊS]]&amp;Tabela1[[#This Row],[ID]]&amp;Tabela1[[#This Row],[MATRICULA]]&amp;"Ponto de Apoio 2"&amp;Tabela1[[#This Row],[SETOR]],BD!A:AF,13,0),"")</f>
        <v/>
      </c>
      <c r="BT2" s="135" t="str">
        <f>IFERROR(VLOOKUP(Tabela1[[#This Row],[MÊS]]&amp;Tabela1[[#This Row],[ID]]&amp;Tabela1[[#This Row],[MATRICULA]]&amp;"Ponto de Apoio 3"&amp;Tabela1[[#This Row],[SETOR]],BD!A:AF,13,0),"")</f>
        <v/>
      </c>
      <c r="BU2" s="135" t="str">
        <f>IFERROR(VLOOKUP(Tabela1[[#This Row],[MÊS]]&amp;Tabela1[[#This Row],[ID]]&amp;Tabela1[[#This Row],[MATRICULA]]&amp;"Ponto de Apoio 4"&amp;Tabela1[[#This Row],[SETOR]],BD!A:AF,13,0),"")</f>
        <v/>
      </c>
      <c r="BV2" s="135" t="str">
        <f>IFERROR(AVERAGE(Tabela1[[#This Row],[DPA]:[DPA 4]]),"")</f>
        <v/>
      </c>
      <c r="BW2" s="135" t="str">
        <f>IFERROR(VLOOKUP(Tabela1[[#This Row],[MÊS]]&amp;Tabela1[[#This Row],[ID]]&amp;Tabela1[[#This Row],[MATRICULA]]&amp;"Cliente"&amp;Tabela1[[#This Row],[SETOR]],BD!A:AF,13,0),"")</f>
        <v/>
      </c>
      <c r="BX2" s="135" t="str">
        <f>IFERROR(VLOOKUP(Tabela1[[#This Row],[MÊS]]&amp;Tabela1[[#This Row],[ID]]&amp;Tabela1[[#This Row],[MATRICULA]]&amp;"cliente 2"&amp;Tabela1[[#This Row],[SETOR]],BD!A:AF,13,0),"")</f>
        <v/>
      </c>
      <c r="BY2" s="135" t="str">
        <f>IFERROR(VLOOKUP(Tabela1[[#This Row],[MÊS]]&amp;Tabela1[[#This Row],[ID]]&amp;Tabela1[[#This Row],[MATRICULA]]&amp;"cliente 3"&amp;Tabela1[[#This Row],[SETOR]],BD!A:AF,13,0),"")</f>
        <v/>
      </c>
      <c r="BZ2" s="135" t="str">
        <f>IFERROR(VLOOKUP(Tabela1[[#This Row],[MÊS]]&amp;Tabela1[[#This Row],[ID]]&amp;Tabela1[[#This Row],[MATRICULA]]&amp;"cliente 4"&amp;Tabela1[[#This Row],[SETOR]],BD!A:AF,13,0),"")</f>
        <v/>
      </c>
      <c r="CA2" s="135" t="str">
        <f>IFERROR(AVERAGE(Tabela1[[#This Row],[DCLI]:[DCLI 4]]),"")</f>
        <v/>
      </c>
      <c r="CB2" s="135" t="str">
        <f>IFERROR(VLOOKUP(Tabela1[[#This Row],[MÊS]]&amp;Tabela1[[#This Row],[ID]]&amp;Tabela1[[#This Row],[MATRICULA]]&amp;"Policia"&amp;Tabela1[[#This Row],[SETOR]],BD!A:AF,13,0),"")</f>
        <v/>
      </c>
      <c r="CC2" s="135" t="str">
        <f>IFERROR(VLOOKUP(Tabela1[[#This Row],[MÊS]]&amp;Tabela1[[#This Row],[ID]]&amp;Tabela1[[#This Row],[MATRICULA]]&amp;"Policia 2"&amp;Tabela1[[#This Row],[SETOR]],BD!A:AF,13,0),"")</f>
        <v/>
      </c>
      <c r="CD2" s="135"/>
      <c r="CE2" s="135"/>
      <c r="CF2" s="135" t="str">
        <f>IFERROR((AVERAGE(Tabela1[[#This Row],[DPOL1]:[DPOL4]])),"")</f>
        <v/>
      </c>
      <c r="CG2" s="21" t="str">
        <f>IFERROR(VLOOKUP(Tabela1[[#This Row],[ID]]&amp;Tabela1[[#This Row],[MÊS]]&amp;Tabela1[[#This Row],[MATRICULA]],#REF!,2,0),"")</f>
        <v/>
      </c>
      <c r="CH2" s="21" t="str">
        <f>IFERROR(VLOOKUP(Tabela1[[#This Row],[ID]]&amp;Tabela1[[#This Row],[MÊS]]&amp;Tabela1[[#This Row],[MATRICULA]],#REF!,2,0),"")</f>
        <v/>
      </c>
      <c r="CI2" s="21" t="str">
        <f>IFERROR(VLOOKUP(Tabela1[[#This Row],[MÊS]]&amp;Tabela1[[#This Row],[MATRICULA]],#REF!,2,0),"")</f>
        <v/>
      </c>
    </row>
    <row r="3" spans="1:87">
      <c r="A3" s="12" t="str">
        <f>Tabela1[[#This Row],[MÊS]]&amp;Tabela1[[#This Row],[MATRICULA]]&amp;Tabela1[[#This Row],[ID]]</f>
        <v>JAN16001</v>
      </c>
      <c r="B3" s="12" t="str">
        <f>Tabela1[[#This Row],[MÊS]]&amp;Tabela1[[#This Row],[ID]]&amp;Tabela1[[#This Row],[MATRICULA]]&amp;Tabela1[[#This Row],[SETOR]]</f>
        <v>JAN11600CADASTRO</v>
      </c>
      <c r="C3" s="130" t="e">
        <f>VLOOKUP(Tabela1[[#This Row],[MATRICULA]],'BD Campos'!A:D,5,0)</f>
        <v>#REF!</v>
      </c>
      <c r="D3" s="133" t="str">
        <f ca="1">IFERROR(SUM(TODAY()-Tabela1[[#This Row],[ADMISSÃO]]),"")</f>
        <v/>
      </c>
      <c r="E3" s="11" t="str">
        <f ca="1">IFERROR(TRUNC(Tabela1[[#This Row],[TEMPO DE CASA (DIAS)]]/30),"")</f>
        <v/>
      </c>
      <c r="F3" s="32" t="str">
        <f ca="1">IFERROR(SUM(Tabela1[[#This Row],[TEMPO DE CASA (MESES)]]/12),"")</f>
        <v/>
      </c>
      <c r="G3" s="133" t="str">
        <f ca="1">IF(Tabela1[[#This Row],[TEMPO DE CASA (DIAS)]]="","SEM DADOS",IF(Tabela1[[#This Row],[TEMPO DE CASA (DIAS)]]&gt;180,"&gt; 6 MESES","&lt; 6 MESES"))</f>
        <v>SEM DADOS</v>
      </c>
      <c r="H3" s="12" t="str">
        <f t="shared" ref="H3:H13" si="1">K3&amp;S3&amp;J3</f>
        <v>JANLarissa Cristina1</v>
      </c>
      <c r="I3" s="12" t="str">
        <f>IFERROR(VLOOKUP(Tabela1[[#This Row],[MATRICULA]],'BD Campos'!A:F,7,0),"")</f>
        <v/>
      </c>
      <c r="J3" s="11">
        <v>1</v>
      </c>
      <c r="K3" s="11" t="s">
        <v>669</v>
      </c>
      <c r="L3" s="136">
        <v>1600</v>
      </c>
      <c r="M3" s="12" t="str">
        <f>IFERROR(VLOOKUP(Tabela1[[#This Row],[MATRICULA]],'BD Campos'!A:B,2,0),"")</f>
        <v>SIOMARA DA SILVA</v>
      </c>
      <c r="N3" s="20" t="str">
        <f>IFERROR(AVERAGE(Tabela1[[#This Row],[A1]:[A4]]),"")</f>
        <v/>
      </c>
      <c r="O3" s="20" t="str">
        <f>IFERROR(IF(Tabela1[[#This Row],[SETOR]]="RECEPTIVO","",AVERAGE(Tabela1[[#This Row],[A5]:[A6]])),"")</f>
        <v/>
      </c>
      <c r="P3" s="20" t="str">
        <f>IFERROR(IF(Tabela1[[#This Row],[STATUS]]="INATIVO","INATIVO",IF(Tabela1[[#This Row],[STATUS]]="QRT","INATIVO",IF(Tabela1[[#This Row],[OPERACIONAL]]&gt;7.99999,"BOM","RUIM"))),"")</f>
        <v>INATIVO</v>
      </c>
      <c r="Q3" s="21" t="s">
        <v>670</v>
      </c>
      <c r="R3" s="12" t="s">
        <v>82</v>
      </c>
      <c r="S3" s="12" t="s">
        <v>668</v>
      </c>
      <c r="T3" s="12" t="s">
        <v>82</v>
      </c>
      <c r="U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3" s="12">
        <f>IF(AND(Tabela1[[#This Row],[SETOR]]="UTI",Tabela1[[#This Row],[M]]&lt;&gt;""),1,IF(AND(Tabela1[[#This Row],[SETOR]]="UTI (RJ)",Tabela1[[#This Row],[M]]&lt;&gt;""),1.5,0))</f>
        <v>0</v>
      </c>
      <c r="X3" s="12">
        <f>IF(AND(Tabela1[[#This Row],[SETOR]]="UTI",Tabela1[[#This Row],[PA2]]&lt;&gt;""),1,IF(AND(Tabela1[[#This Row],[SETOR]]="UTI (RJ)",Tabela1[[#This Row],[PA2]]&lt;&gt;""),0,0))</f>
        <v>0</v>
      </c>
      <c r="Y3" s="12">
        <f>IF(AND(Tabela1[[#This Row],[SETOR]]="UTI",Tabela1[[#This Row],[C]]&lt;&gt;""),1,IF(AND(Tabela1[[#This Row],[SETOR]]="UTI (RJ)",Tabela1[[#This Row],[C]]&lt;&gt;""),1.5,0))</f>
        <v>0</v>
      </c>
      <c r="Z3" s="12">
        <f>IF(AND(Tabela1[[#This Row],[SETOR]]="UTI",Tabela1[[#This Row],[PL]]&lt;&gt;""),1,IF(AND(Tabela1[[#This Row],[SETOR]]="UTI (RJ)",Tabela1[[#This Row],[PL]]&lt;&gt;""),1,0))</f>
        <v>0</v>
      </c>
      <c r="AA3" s="21" t="str">
        <f>IFERROR(VLOOKUP(Tabela1[[#This Row],[MÊS]]&amp;Tabela1[[#This Row],[MATRICULA]]&amp;"1"&amp;Tabela1[[#This Row],[SETOR]]&amp;"PADRÃO",BD!B:AF,31,0),"")</f>
        <v/>
      </c>
      <c r="AB3" s="21" t="str">
        <f>IFERROR(VLOOKUP(Tabela1[[#This Row],[MÊS]]&amp;Tabela1[[#This Row],[MATRICULA]]&amp;"2"&amp;Tabela1[[#This Row],[SETOR]]&amp;"PADRÃO",BD!B:AF,31,0),"")</f>
        <v/>
      </c>
      <c r="AC3" s="21" t="str">
        <f>IFERROR(VLOOKUP(Tabela1[[#This Row],[MÊS]]&amp;Tabela1[[#This Row],[MATRICULA]]&amp;"3"&amp;Tabela1[[#This Row],[SETOR]]&amp;"PADRÃO",BD!B:AF,31,0),"")</f>
        <v/>
      </c>
      <c r="AD3" s="21" t="str">
        <f>IFERROR(VLOOKUP(Tabela1[[#This Row],[MÊS]]&amp;Tabela1[[#This Row],[MATRICULA]]&amp;"4"&amp;Tabela1[[#This Row],[SETOR]]&amp;"PADRÃO",BD!B:AF,25,0),"")</f>
        <v/>
      </c>
      <c r="AE3" s="21" t="str">
        <f>IFERROR(VLOOKUP(Tabela1[[#This Row],[MÊS]]&amp;Tabela1[[#This Row],[MATRICULA]]&amp;"5"&amp;Tabela1[[#This Row],[SETOR]]&amp;"PADRÃO",BD!B:AF,31,0),"")</f>
        <v/>
      </c>
      <c r="AF3" s="21" t="str">
        <f>IFERROR(VLOOKUP(Tabela1[[#This Row],[MÊS]]&amp;Tabela1[[#This Row],[MATRICULA]]&amp;"6"&amp;Tabela1[[#This Row],[SETOR]]&amp;"PADRÃO",BD!B:AF,31,0),"")</f>
        <v/>
      </c>
      <c r="AG3" s="21" t="str">
        <f>IFERROR(VLOOKUP(Tabela1[[#This Row],[MÊS]]&amp;Tabela1[[#This Row],[MATRICULA]]&amp;"7"&amp;Tabela1[[#This Row],[SETOR]]&amp;"PADRÃO",BD!B:AF,31,0),"")</f>
        <v/>
      </c>
      <c r="AH3" s="21" t="str">
        <f>IFERROR(VLOOKUP(Tabela1[[#This Row],[MÊS]]&amp;Tabela1[[#This Row],[ID]]&amp;Tabela1[[#This Row],[MATRICULA]]&amp;"Receptiva"&amp;Tabela1[[#This Row],[SETOR]],BD!A:AF,31,0),"")</f>
        <v/>
      </c>
      <c r="AI3" s="21" t="str">
        <f>IFERROR(VLOOKUP(Tabela1[[#This Row],[MÊS]]&amp;Tabela1[[#This Row],[ID]]&amp;Tabela1[[#This Row],[MATRICULA]]&amp;"Receptiva 2"&amp;Tabela1[[#This Row],[SETOR]],BD!A:AF,31,0),"")</f>
        <v/>
      </c>
      <c r="AJ3" s="21" t="str">
        <f>IFERROR(VLOOKUP(Tabela1[[#This Row],[MÊS]]&amp;Tabela1[[#This Row],[ID]]&amp;Tabela1[[#This Row],[MATRICULA]]&amp;"Receptiva 3"&amp;Tabela1[[#This Row],[SETOR]],BD!A:AF,31,0),"")</f>
        <v/>
      </c>
      <c r="AK3" s="21" t="str">
        <f>IFERROR(VLOOKUP(Tabela1[[#This Row],[MÊS]]&amp;Tabela1[[#This Row],[ID]]&amp;Tabela1[[#This Row],[MATRICULA]]&amp;"Receptiva 4"&amp;Tabela1[[#This Row],[SETOR]],BD!A:AF,31,0),"")</f>
        <v/>
      </c>
      <c r="AL3" s="21" t="str">
        <f>IFERROR(VLOOKUP(Tabela1[[#This Row],[MÊS]]&amp;Tabela1[[#This Row],[MATRICULA]]&amp;"Motorista"&amp;Tabela1[[#This Row],[SETOR]],BD!A:AF,31,0),"")</f>
        <v/>
      </c>
      <c r="AM3" s="21" t="str">
        <f>IFERROR(VLOOKUP(Tabela1[[#This Row],[MÊS]]&amp;Tabela1[[#This Row],[ID]]&amp;Tabela1[[#This Row],[MATRICULA]]&amp;"Motorista 2"&amp;Tabela1[[#This Row],[SETOR]],BD!A:AF,26,0),"")</f>
        <v/>
      </c>
      <c r="AN3" s="21" t="str">
        <f>IFERROR(VLOOKUP(Tabela1[[#This Row],[MÊS]]&amp;Tabela1[[#This Row],[ID]]&amp;Tabela1[[#This Row],[MATRICULA]]&amp;"Motorista 3"&amp;Tabela1[[#This Row],[SETOR]],BD!A:AF,26,0),"")</f>
        <v/>
      </c>
      <c r="AO3" s="21" t="str">
        <f>IFERROR(VLOOKUP(Tabela1[[#This Row],[MÊS]]&amp;Tabela1[[#This Row],[ID]]&amp;Tabela1[[#This Row],[MATRICULA]]&amp;"Motorista 4"&amp;Tabela1[[#This Row],[SETOR]],BD!A:AF,26,0),"")</f>
        <v/>
      </c>
      <c r="AP3" s="21" t="str">
        <f>IFERROR(VLOOKUP(Tabela1[[#This Row],[MÊS]]&amp;Tabela1[[#This Row],[MATRICULA]]&amp;"Ponto de Apoio"&amp;Tabela1[[#This Row],[SETOR]],BD!A:AF,31,0),"")</f>
        <v/>
      </c>
      <c r="AQ3" s="21" t="str">
        <f>IFERROR(VLOOKUP(Tabela1[[#This Row],[MÊS]]&amp;Tabela1[[#This Row],[ID]]&amp;Tabela1[[#This Row],[MATRICULA]]&amp;"Ponto de Apoio 2"&amp;Tabela1[[#This Row],[SETOR]],BD!A:AF,26,0),"")</f>
        <v/>
      </c>
      <c r="AR3" s="36" t="str">
        <f>IFERROR(VLOOKUP(Tabela1[[#This Row],[MÊS]]&amp;Tabela1[[#This Row],[ID]]&amp;Tabela1[[#This Row],[MATRICULA]]&amp;"Ponto de Apoio 3"&amp;Tabela1[[#This Row],[SETOR]],BD!A:AF,26,0),"")</f>
        <v/>
      </c>
      <c r="AS3" s="36" t="str">
        <f>IFERROR(VLOOKUP(Tabela1[[#This Row],[MÊS]]&amp;Tabela1[[#This Row],[ID]]&amp;Tabela1[[#This Row],[MATRICULA]]&amp;"Ponto de Apoio 4"&amp;Tabela1[[#This Row],[SETOR]],BD!A:AF,26,0),"")</f>
        <v/>
      </c>
      <c r="AT3" s="21" t="str">
        <f>IFERROR(VLOOKUP(Tabela1[[#This Row],[MÊS]]&amp;Tabela1[[#This Row],[MATRICULA]]&amp;"Cliente"&amp;Tabela1[[#This Row],[SETOR]],BD!A:AF,31,0),"")</f>
        <v/>
      </c>
      <c r="AU3" s="21" t="str">
        <f>IFERROR(VLOOKUP(Tabela1[[#This Row],[MÊS]]&amp;Tabela1[[#This Row],[ID]]&amp;Tabela1[[#This Row],[MATRICULA]]&amp;"Cliente 2"&amp;Tabela1[[#This Row],[SETOR]],BD!A:AF,26,0),"")</f>
        <v/>
      </c>
      <c r="AX3" s="21" t="str">
        <f>IFERROR(VLOOKUP(Tabela1[[#This Row],[MÊS]]&amp;Tabela1[[#This Row],[MATRICULA]]&amp;"Policia"&amp;Tabela1[[#This Row],[SETOR]],BD!A:AF,31,0),"")</f>
        <v/>
      </c>
      <c r="AY3" s="21" t="str">
        <f>IFERROR(VLOOKUP(Tabela1[[#This Row],[MÊS]]&amp;Tabela1[[#This Row],[ID]]&amp;Tabela1[[#This Row],[MATRICULA]]&amp;"Policia 2"&amp;Tabela1[[#This Row],[SETOR]],BD!A:AF,26,0),"")</f>
        <v/>
      </c>
      <c r="AZ3" s="36" t="str">
        <f>IFERROR(VLOOKUP(Tabela1[[#This Row],[MÊS]]&amp;Tabela1[[#This Row],[ID]]&amp;Tabela1[[#This Row],[MATRICULA]]&amp;"Policia 3"&amp;Tabela1[[#This Row],[SETOR]],BD!A:AF,26,0),"")</f>
        <v/>
      </c>
      <c r="BA3" s="36" t="str">
        <f>IFERROR(VLOOKUP(Tabela1[[#This Row],[MÊS]]&amp;Tabela1[[#This Row],[ID]]&amp;Tabela1[[#This Row],[MATRICULA]]&amp;"Policia 4"&amp;Tabela1[[#This Row],[SETOR]],BD!A:AF,26,0),"")</f>
        <v/>
      </c>
      <c r="BB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" s="21" t="str">
        <f>IFERROR(AVERAGE(Tabela1[[#This Row],[M]:[M4]]),"")</f>
        <v/>
      </c>
      <c r="BD3" s="21" t="str">
        <f>IFERROR(AVERAGE(Tabela1[[#This Row],[C]:[C4]]),"")</f>
        <v/>
      </c>
      <c r="BE3" s="21" t="str">
        <f>IFERROR(AVERAGE(Tabela1[[#This Row],[PA2]:[PA 4]]),"")</f>
        <v/>
      </c>
      <c r="BF3" s="21" t="str">
        <f>IFERROR(AVERAGE(Tabela1[[#This Row],[PL]:[PL4]]),"")</f>
        <v/>
      </c>
      <c r="BG3" s="35" t="str">
        <f>IFERROR(VLOOKUP(Tabela1[[#This Row],[MÊS]]&amp;Tabela1[[#This Row],[MATRICULA]],#REF!,2,0),"")</f>
        <v/>
      </c>
      <c r="BH3" s="35" t="str">
        <f>IFERROR(VLOOKUP(Tabela1[[#This Row],[MÊS]]&amp;Tabela1[[#This Row],[MATRICULA]],#REF!,2,0),"")</f>
        <v/>
      </c>
      <c r="BI3" s="35" t="str">
        <f>IFERROR(VLOOKUP(Tabela1[[#This Row],[MÊS]]&amp;Tabela1[[#This Row],[MATRICULA]],#REF!,2,0),"")</f>
        <v/>
      </c>
      <c r="BJ3" s="35" t="str">
        <f>IFERROR(VLOOKUP(Tabela1[[#This Row],[MÊS]]&amp;Tabela1[[#This Row],[MATRICULA]],#REF!,2,0),"")</f>
        <v/>
      </c>
      <c r="BK3" s="35" t="str">
        <f>IFERROR(VLOOKUP(Tabela1[[#This Row],[MÊS]]&amp;Tabela1[[#This Row],[MATRICULA]],#REF!,2,0),"")</f>
        <v/>
      </c>
      <c r="BL3" s="21">
        <f>COUNTIF(Tabela1[[#This Row],[MOT2]:[RECEPTIVA]],"NÃO ENCONTRADA")</f>
        <v>0</v>
      </c>
      <c r="BM3" s="135" t="str">
        <f>IFERROR(VLOOKUP(Tabela1[[#This Row],[MÊS]]&amp;Tabela1[[#This Row],[ID]]&amp;Tabela1[[#This Row],[MATRICULA]]&amp;"Motorista"&amp;Tabela1[[#This Row],[SETOR]],BD!A:AF,13,0),"")</f>
        <v/>
      </c>
      <c r="BN3" s="135" t="str">
        <f>IFERROR(VLOOKUP(Tabela1[[#This Row],[MÊS]]&amp;Tabela1[[#This Row],[ID]]&amp;Tabela1[[#This Row],[MATRICULA]]&amp;"Motorista 2"&amp;Tabela1[[#This Row],[SETOR]],BD!A:AF,13,0),"")</f>
        <v/>
      </c>
      <c r="BO3" s="135" t="str">
        <f>IFERROR(VLOOKUP(Tabela1[[#This Row],[MÊS]]&amp;Tabela1[[#This Row],[ID]]&amp;Tabela1[[#This Row],[MATRICULA]]&amp;"Motorista 3"&amp;Tabela1[[#This Row],[SETOR]],BD!A:AF,13,0),"")</f>
        <v/>
      </c>
      <c r="BP3" s="135" t="str">
        <f>IFERROR(VLOOKUP(Tabela1[[#This Row],[MÊS]]&amp;Tabela1[[#This Row],[ID]]&amp;Tabela1[[#This Row],[MATRICULA]]&amp;"Motorista 4"&amp;Tabela1[[#This Row],[SETOR]],BD!A:AF,13,0),"")</f>
        <v/>
      </c>
      <c r="BQ3" s="135" t="str">
        <f>IFERROR(AVERAGE(Tabela1[[#This Row],[DMOT]:[DMOT4]]),"")</f>
        <v/>
      </c>
      <c r="BR3" s="135" t="str">
        <f>IFERROR(VLOOKUP(Tabela1[[#This Row],[MÊS]]&amp;Tabela1[[#This Row],[ID]]&amp;Tabela1[[#This Row],[MATRICULA]]&amp;"Ponto de Apoio"&amp;Tabela1[[#This Row],[SETOR]],BD!A:AF,13,0),"")</f>
        <v/>
      </c>
      <c r="BS3" s="135" t="str">
        <f>IFERROR(VLOOKUP(Tabela1[[#This Row],[MÊS]]&amp;Tabela1[[#This Row],[ID]]&amp;Tabela1[[#This Row],[MATRICULA]]&amp;"Ponto de Apoio 2"&amp;Tabela1[[#This Row],[SETOR]],BD!A:AF,13,0),"")</f>
        <v/>
      </c>
      <c r="BT3" s="135" t="str">
        <f>IFERROR(VLOOKUP(Tabela1[[#This Row],[MÊS]]&amp;Tabela1[[#This Row],[ID]]&amp;Tabela1[[#This Row],[MATRICULA]]&amp;"Ponto de Apoio 3"&amp;Tabela1[[#This Row],[SETOR]],BD!A:AF,13,0),"")</f>
        <v/>
      </c>
      <c r="BU3" s="135" t="str">
        <f>IFERROR(VLOOKUP(Tabela1[[#This Row],[MÊS]]&amp;Tabela1[[#This Row],[ID]]&amp;Tabela1[[#This Row],[MATRICULA]]&amp;"Ponto de Apoio 4"&amp;Tabela1[[#This Row],[SETOR]],BD!A:AF,13,0),"")</f>
        <v/>
      </c>
      <c r="BV3" s="135" t="str">
        <f>IFERROR(AVERAGE(Tabela1[[#This Row],[DPA]:[DPA 4]]),"")</f>
        <v/>
      </c>
      <c r="BW3" s="135" t="str">
        <f>IFERROR(VLOOKUP(Tabela1[[#This Row],[MÊS]]&amp;Tabela1[[#This Row],[ID]]&amp;Tabela1[[#This Row],[MATRICULA]]&amp;"Cliente"&amp;Tabela1[[#This Row],[SETOR]],BD!A:AF,13,0),"")</f>
        <v/>
      </c>
      <c r="BX3" s="135" t="str">
        <f>IFERROR(VLOOKUP(Tabela1[[#This Row],[MÊS]]&amp;Tabela1[[#This Row],[ID]]&amp;Tabela1[[#This Row],[MATRICULA]]&amp;"cliente 2"&amp;Tabela1[[#This Row],[SETOR]],BD!A:AF,13,0),"")</f>
        <v/>
      </c>
      <c r="BY3" s="135" t="str">
        <f>IFERROR(VLOOKUP(Tabela1[[#This Row],[MÊS]]&amp;Tabela1[[#This Row],[ID]]&amp;Tabela1[[#This Row],[MATRICULA]]&amp;"cliente 3"&amp;Tabela1[[#This Row],[SETOR]],BD!A:AF,13,0),"")</f>
        <v/>
      </c>
      <c r="BZ3" s="135" t="str">
        <f>IFERROR(VLOOKUP(Tabela1[[#This Row],[MÊS]]&amp;Tabela1[[#This Row],[ID]]&amp;Tabela1[[#This Row],[MATRICULA]]&amp;"cliente 4"&amp;Tabela1[[#This Row],[SETOR]],BD!A:AF,13,0),"")</f>
        <v/>
      </c>
      <c r="CA3" s="135" t="str">
        <f>IFERROR(AVERAGE(Tabela1[[#This Row],[DCLI]:[DCLI 4]]),"")</f>
        <v/>
      </c>
      <c r="CB3" s="135" t="str">
        <f>IFERROR(VLOOKUP(Tabela1[[#This Row],[MÊS]]&amp;Tabela1[[#This Row],[ID]]&amp;Tabela1[[#This Row],[MATRICULA]]&amp;"Policia"&amp;Tabela1[[#This Row],[SETOR]],BD!A:AF,13,0),"")</f>
        <v/>
      </c>
      <c r="CC3" s="135" t="str">
        <f>IFERROR(VLOOKUP(Tabela1[[#This Row],[MÊS]]&amp;Tabela1[[#This Row],[ID]]&amp;Tabela1[[#This Row],[MATRICULA]]&amp;"Policia 2"&amp;Tabela1[[#This Row],[SETOR]],BD!A:AF,13,0),"")</f>
        <v/>
      </c>
      <c r="CD3" s="135"/>
      <c r="CE3" s="135"/>
      <c r="CF3" s="135" t="str">
        <f>IFERROR((AVERAGE(Tabela1[[#This Row],[DPOL1]:[DPOL4]])),"")</f>
        <v/>
      </c>
      <c r="CG3" s="21" t="str">
        <f>IFERROR(VLOOKUP(Tabela1[[#This Row],[ID]]&amp;Tabela1[[#This Row],[MÊS]]&amp;Tabela1[[#This Row],[MATRICULA]],#REF!,2,0),"")</f>
        <v/>
      </c>
      <c r="CH3" s="21" t="str">
        <f>IFERROR(VLOOKUP(Tabela1[[#This Row],[ID]]&amp;Tabela1[[#This Row],[MÊS]]&amp;Tabela1[[#This Row],[MATRICULA]],#REF!,2,0),"")</f>
        <v/>
      </c>
      <c r="CI3" s="21" t="str">
        <f>IFERROR(VLOOKUP(Tabela1[[#This Row],[MÊS]]&amp;Tabela1[[#This Row],[MATRICULA]],#REF!,2,0),"")</f>
        <v/>
      </c>
    </row>
    <row r="4" spans="1:87">
      <c r="A4" s="12" t="str">
        <f>Tabela1[[#This Row],[MÊS]]&amp;Tabela1[[#This Row],[MATRICULA]]&amp;Tabela1[[#This Row],[ID]]</f>
        <v>JAN112142</v>
      </c>
      <c r="B4" s="12" t="str">
        <f>Tabela1[[#This Row],[MÊS]]&amp;Tabela1[[#This Row],[ID]]&amp;Tabela1[[#This Row],[MATRICULA]]&amp;Tabela1[[#This Row],[SETOR]]</f>
        <v>JAN211214CADASTRO</v>
      </c>
      <c r="C4" s="130" t="e">
        <f>VLOOKUP(Tabela1[[#This Row],[MATRICULA]],'BD Campos'!A:D,5,0)</f>
        <v>#REF!</v>
      </c>
      <c r="D4" s="133" t="str">
        <f ca="1">IFERROR(SUM(TODAY()-Tabela1[[#This Row],[ADMISSÃO]]),"")</f>
        <v/>
      </c>
      <c r="E4" s="11" t="str">
        <f ca="1">IFERROR(TRUNC(Tabela1[[#This Row],[TEMPO DE CASA (DIAS)]]/30),"")</f>
        <v/>
      </c>
      <c r="F4" s="32" t="str">
        <f ca="1">IFERROR(SUM(Tabela1[[#This Row],[TEMPO DE CASA (MESES)]]/12),"")</f>
        <v/>
      </c>
      <c r="G4" s="133" t="str">
        <f ca="1">IF(Tabela1[[#This Row],[TEMPO DE CASA (DIAS)]]="","SEM DADOS",IF(Tabela1[[#This Row],[TEMPO DE CASA (DIAS)]]&gt;180,"&gt; 6 MESES","&lt; 6 MESES"))</f>
        <v>SEM DADOS</v>
      </c>
      <c r="H4" s="12" t="str">
        <f t="shared" si="1"/>
        <v>JANLarissa Cristina2</v>
      </c>
      <c r="I4" s="12" t="str">
        <f>IFERROR(VLOOKUP(Tabela1[[#This Row],[MATRICULA]],'BD Campos'!A:F,7,0),"")</f>
        <v/>
      </c>
      <c r="J4" s="11">
        <v>2</v>
      </c>
      <c r="K4" s="11" t="s">
        <v>669</v>
      </c>
      <c r="L4" s="136">
        <v>11214</v>
      </c>
      <c r="M4" s="12" t="str">
        <f>IFERROR(VLOOKUP(Tabela1[[#This Row],[MATRICULA]],'BD Campos'!A:B,2,0),"")</f>
        <v>JULIANE CRISTINA DA SILVA ASSIS COLAÇO</v>
      </c>
      <c r="N4" s="20" t="str">
        <f>IFERROR(AVERAGE(Tabela1[[#This Row],[A1]:[A4]]),"")</f>
        <v/>
      </c>
      <c r="O4" s="20">
        <f>IFERROR(IF(Tabela1[[#This Row],[SETOR]]="RECEPTIVO","",AVERAGE(Tabela1[[#This Row],[A5]:[A6]])),"")</f>
        <v>9.7900000000000009</v>
      </c>
      <c r="P4" s="20" t="str">
        <f>IFERROR(IF(Tabela1[[#This Row],[STATUS]]="INATIVO","INATIVO",IF(Tabela1[[#This Row],[STATUS]]="QRT","INATIVO",IF(Tabela1[[#This Row],[OPERACIONAL]]&gt;7.99999,"BOM","RUIM"))),"")</f>
        <v>BOM</v>
      </c>
      <c r="Q4" s="21" t="s">
        <v>667</v>
      </c>
      <c r="R4" s="12" t="s">
        <v>82</v>
      </c>
      <c r="S4" s="12" t="s">
        <v>668</v>
      </c>
      <c r="T4" s="12" t="s">
        <v>82</v>
      </c>
      <c r="U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4" s="12">
        <f>IF(AND(Tabela1[[#This Row],[SETOR]]="UTI",Tabela1[[#This Row],[M]]&lt;&gt;""),1,IF(AND(Tabela1[[#This Row],[SETOR]]="UTI (RJ)",Tabela1[[#This Row],[M]]&lt;&gt;""),1.5,0))</f>
        <v>0</v>
      </c>
      <c r="X4" s="12">
        <f>IF(AND(Tabela1[[#This Row],[SETOR]]="UTI",Tabela1[[#This Row],[PA2]]&lt;&gt;""),1,IF(AND(Tabela1[[#This Row],[SETOR]]="UTI (RJ)",Tabela1[[#This Row],[PA2]]&lt;&gt;""),0,0))</f>
        <v>0</v>
      </c>
      <c r="Y4" s="12">
        <f>IF(AND(Tabela1[[#This Row],[SETOR]]="UTI",Tabela1[[#This Row],[C]]&lt;&gt;""),1,IF(AND(Tabela1[[#This Row],[SETOR]]="UTI (RJ)",Tabela1[[#This Row],[C]]&lt;&gt;""),1.5,0))</f>
        <v>0</v>
      </c>
      <c r="Z4" s="12">
        <f>IF(AND(Tabela1[[#This Row],[SETOR]]="UTI",Tabela1[[#This Row],[PL]]&lt;&gt;""),1,IF(AND(Tabela1[[#This Row],[SETOR]]="UTI (RJ)",Tabela1[[#This Row],[PL]]&lt;&gt;""),1,0))</f>
        <v>0</v>
      </c>
      <c r="AA4" s="21" t="str">
        <f>IFERROR(VLOOKUP(Tabela1[[#This Row],[MÊS]]&amp;Tabela1[[#This Row],[MATRICULA]]&amp;"1"&amp;Tabela1[[#This Row],[SETOR]]&amp;"PADRÃO",BD!B:AF,31,0),"")</f>
        <v/>
      </c>
      <c r="AB4" s="21" t="str">
        <f>IFERROR(VLOOKUP(Tabela1[[#This Row],[MÊS]]&amp;Tabela1[[#This Row],[MATRICULA]]&amp;"2"&amp;Tabela1[[#This Row],[SETOR]]&amp;"PADRÃO",BD!B:AF,31,0),"")</f>
        <v/>
      </c>
      <c r="AC4" s="21" t="str">
        <f>IFERROR(VLOOKUP(Tabela1[[#This Row],[MÊS]]&amp;Tabela1[[#This Row],[MATRICULA]]&amp;"3"&amp;Tabela1[[#This Row],[SETOR]]&amp;"PADRÃO",BD!B:AF,31,0),"")</f>
        <v/>
      </c>
      <c r="AD4" s="21" t="str">
        <f>IFERROR(VLOOKUP(Tabela1[[#This Row],[MÊS]]&amp;Tabela1[[#This Row],[MATRICULA]]&amp;"4"&amp;Tabela1[[#This Row],[SETOR]]&amp;"PADRÃO",BD!B:AF,25,0),"")</f>
        <v/>
      </c>
      <c r="AE4" s="21">
        <f>IFERROR(VLOOKUP(Tabela1[[#This Row],[MÊS]]&amp;Tabela1[[#This Row],[MATRICULA]]&amp;"5"&amp;Tabela1[[#This Row],[SETOR]]&amp;"PADRÃO",BD!B:AF,31,0),"")</f>
        <v>9.8425000000000011</v>
      </c>
      <c r="AF4" s="21">
        <f>IFERROR(VLOOKUP(Tabela1[[#This Row],[MÊS]]&amp;Tabela1[[#This Row],[MATRICULA]]&amp;"6"&amp;Tabela1[[#This Row],[SETOR]]&amp;"PADRÃO",BD!B:AF,31,0),"")</f>
        <v>9.7375000000000007</v>
      </c>
      <c r="AG4" s="21" t="str">
        <f>IFERROR(VLOOKUP(Tabela1[[#This Row],[MÊS]]&amp;Tabela1[[#This Row],[MATRICULA]]&amp;"7"&amp;Tabela1[[#This Row],[SETOR]]&amp;"PADRÃO",BD!B:AF,31,0),"")</f>
        <v/>
      </c>
      <c r="AH4" s="21" t="str">
        <f>IFERROR(VLOOKUP(Tabela1[[#This Row],[MÊS]]&amp;Tabela1[[#This Row],[ID]]&amp;Tabela1[[#This Row],[MATRICULA]]&amp;"Receptiva"&amp;Tabela1[[#This Row],[SETOR]],BD!A:AF,31,0),"")</f>
        <v/>
      </c>
      <c r="AI4" s="21" t="str">
        <f>IFERROR(VLOOKUP(Tabela1[[#This Row],[MÊS]]&amp;Tabela1[[#This Row],[ID]]&amp;Tabela1[[#This Row],[MATRICULA]]&amp;"Receptiva 2"&amp;Tabela1[[#This Row],[SETOR]],BD!A:AF,31,0),"")</f>
        <v/>
      </c>
      <c r="AJ4" s="21" t="str">
        <f>IFERROR(VLOOKUP(Tabela1[[#This Row],[MÊS]]&amp;Tabela1[[#This Row],[ID]]&amp;Tabela1[[#This Row],[MATRICULA]]&amp;"Receptiva 3"&amp;Tabela1[[#This Row],[SETOR]],BD!A:AF,31,0),"")</f>
        <v/>
      </c>
      <c r="AK4" s="21" t="str">
        <f>IFERROR(VLOOKUP(Tabela1[[#This Row],[MÊS]]&amp;Tabela1[[#This Row],[ID]]&amp;Tabela1[[#This Row],[MATRICULA]]&amp;"Receptiva 4"&amp;Tabela1[[#This Row],[SETOR]],BD!A:AF,31,0),"")</f>
        <v/>
      </c>
      <c r="AL4" s="21" t="str">
        <f>IFERROR(VLOOKUP(Tabela1[[#This Row],[MÊS]]&amp;Tabela1[[#This Row],[MATRICULA]]&amp;"Motorista"&amp;Tabela1[[#This Row],[SETOR]],BD!A:AF,31,0),"")</f>
        <v/>
      </c>
      <c r="AM4" s="21" t="str">
        <f>IFERROR(VLOOKUP(Tabela1[[#This Row],[MÊS]]&amp;Tabela1[[#This Row],[ID]]&amp;Tabela1[[#This Row],[MATRICULA]]&amp;"Motorista 2"&amp;Tabela1[[#This Row],[SETOR]],BD!A:AF,26,0),"")</f>
        <v/>
      </c>
      <c r="AN4" s="21" t="str">
        <f>IFERROR(VLOOKUP(Tabela1[[#This Row],[MÊS]]&amp;Tabela1[[#This Row],[ID]]&amp;Tabela1[[#This Row],[MATRICULA]]&amp;"Motorista 3"&amp;Tabela1[[#This Row],[SETOR]],BD!A:AF,26,0),"")</f>
        <v/>
      </c>
      <c r="AO4" s="21" t="str">
        <f>IFERROR(VLOOKUP(Tabela1[[#This Row],[MÊS]]&amp;Tabela1[[#This Row],[ID]]&amp;Tabela1[[#This Row],[MATRICULA]]&amp;"Motorista 4"&amp;Tabela1[[#This Row],[SETOR]],BD!A:AF,26,0),"")</f>
        <v/>
      </c>
      <c r="AP4" s="21" t="str">
        <f>IFERROR(VLOOKUP(Tabela1[[#This Row],[MÊS]]&amp;Tabela1[[#This Row],[MATRICULA]]&amp;"Ponto de Apoio"&amp;Tabela1[[#This Row],[SETOR]],BD!A:AF,31,0),"")</f>
        <v/>
      </c>
      <c r="AQ4" s="21" t="str">
        <f>IFERROR(VLOOKUP(Tabela1[[#This Row],[MÊS]]&amp;Tabela1[[#This Row],[ID]]&amp;Tabela1[[#This Row],[MATRICULA]]&amp;"Ponto de Apoio 2"&amp;Tabela1[[#This Row],[SETOR]],BD!A:AF,26,0),"")</f>
        <v/>
      </c>
      <c r="AR4" s="36" t="str">
        <f>IFERROR(VLOOKUP(Tabela1[[#This Row],[MÊS]]&amp;Tabela1[[#This Row],[ID]]&amp;Tabela1[[#This Row],[MATRICULA]]&amp;"Ponto de Apoio 3"&amp;Tabela1[[#This Row],[SETOR]],BD!A:AF,26,0),"")</f>
        <v/>
      </c>
      <c r="AS4" s="36" t="str">
        <f>IFERROR(VLOOKUP(Tabela1[[#This Row],[MÊS]]&amp;Tabela1[[#This Row],[ID]]&amp;Tabela1[[#This Row],[MATRICULA]]&amp;"Ponto de Apoio 4"&amp;Tabela1[[#This Row],[SETOR]],BD!A:AF,26,0),"")</f>
        <v/>
      </c>
      <c r="AT4" s="21" t="str">
        <f>IFERROR(VLOOKUP(Tabela1[[#This Row],[MÊS]]&amp;Tabela1[[#This Row],[MATRICULA]]&amp;"Cliente"&amp;Tabela1[[#This Row],[SETOR]],BD!A:AF,31,0),"")</f>
        <v/>
      </c>
      <c r="AU4" s="21" t="str">
        <f>IFERROR(VLOOKUP(Tabela1[[#This Row],[MÊS]]&amp;Tabela1[[#This Row],[ID]]&amp;Tabela1[[#This Row],[MATRICULA]]&amp;"Cliente 2"&amp;Tabela1[[#This Row],[SETOR]],BD!A:AF,26,0),"")</f>
        <v/>
      </c>
      <c r="AX4" s="21" t="str">
        <f>IFERROR(VLOOKUP(Tabela1[[#This Row],[MÊS]]&amp;Tabela1[[#This Row],[MATRICULA]]&amp;"Policia"&amp;Tabela1[[#This Row],[SETOR]],BD!A:AF,31,0),"")</f>
        <v/>
      </c>
      <c r="AY4" s="21" t="str">
        <f>IFERROR(VLOOKUP(Tabela1[[#This Row],[MÊS]]&amp;Tabela1[[#This Row],[ID]]&amp;Tabela1[[#This Row],[MATRICULA]]&amp;"Policia 2"&amp;Tabela1[[#This Row],[SETOR]],BD!A:AF,26,0),"")</f>
        <v/>
      </c>
      <c r="AZ4" s="36" t="str">
        <f>IFERROR(VLOOKUP(Tabela1[[#This Row],[MÊS]]&amp;Tabela1[[#This Row],[ID]]&amp;Tabela1[[#This Row],[MATRICULA]]&amp;"Policia 3"&amp;Tabela1[[#This Row],[SETOR]],BD!A:AF,26,0),"")</f>
        <v/>
      </c>
      <c r="BA4" s="36" t="str">
        <f>IFERROR(VLOOKUP(Tabela1[[#This Row],[MÊS]]&amp;Tabela1[[#This Row],[ID]]&amp;Tabela1[[#This Row],[MATRICULA]]&amp;"Policia 4"&amp;Tabela1[[#This Row],[SETOR]],BD!A:AF,26,0),"")</f>
        <v/>
      </c>
      <c r="BB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" s="21" t="str">
        <f>IFERROR(AVERAGE(Tabela1[[#This Row],[M]:[M4]]),"")</f>
        <v/>
      </c>
      <c r="BD4" s="21" t="str">
        <f>IFERROR(AVERAGE(Tabela1[[#This Row],[C]:[C4]]),"")</f>
        <v/>
      </c>
      <c r="BE4" s="21" t="str">
        <f>IFERROR(AVERAGE(Tabela1[[#This Row],[PA2]:[PA 4]]),"")</f>
        <v/>
      </c>
      <c r="BF4" s="21" t="str">
        <f>IFERROR(AVERAGE(Tabela1[[#This Row],[PL]:[PL4]]),"")</f>
        <v/>
      </c>
      <c r="BG4" s="35" t="str">
        <f>IFERROR(VLOOKUP(Tabela1[[#This Row],[MÊS]]&amp;Tabela1[[#This Row],[MATRICULA]],#REF!,2,0),"")</f>
        <v/>
      </c>
      <c r="BH4" s="35" t="str">
        <f>IFERROR(VLOOKUP(Tabela1[[#This Row],[MÊS]]&amp;Tabela1[[#This Row],[MATRICULA]],#REF!,2,0),"")</f>
        <v/>
      </c>
      <c r="BI4" s="35" t="str">
        <f>IFERROR(VLOOKUP(Tabela1[[#This Row],[MÊS]]&amp;Tabela1[[#This Row],[MATRICULA]],#REF!,2,0),"")</f>
        <v/>
      </c>
      <c r="BJ4" s="35" t="str">
        <f>IFERROR(VLOOKUP(Tabela1[[#This Row],[MÊS]]&amp;Tabela1[[#This Row],[MATRICULA]],#REF!,2,0),"")</f>
        <v/>
      </c>
      <c r="BK4" s="35" t="str">
        <f>IFERROR(VLOOKUP(Tabela1[[#This Row],[MÊS]]&amp;Tabela1[[#This Row],[MATRICULA]],#REF!,2,0),"")</f>
        <v/>
      </c>
      <c r="BL4" s="21">
        <f>COUNTIF(Tabela1[[#This Row],[MOT2]:[RECEPTIVA]],"NÃO ENCONTRADA")</f>
        <v>0</v>
      </c>
      <c r="BM4" s="135" t="str">
        <f>IFERROR(VLOOKUP(Tabela1[[#This Row],[MÊS]]&amp;Tabela1[[#This Row],[ID]]&amp;Tabela1[[#This Row],[MATRICULA]]&amp;"Motorista"&amp;Tabela1[[#This Row],[SETOR]],BD!A:AF,13,0),"")</f>
        <v/>
      </c>
      <c r="BN4" s="135" t="str">
        <f>IFERROR(VLOOKUP(Tabela1[[#This Row],[MÊS]]&amp;Tabela1[[#This Row],[ID]]&amp;Tabela1[[#This Row],[MATRICULA]]&amp;"Motorista 2"&amp;Tabela1[[#This Row],[SETOR]],BD!A:AF,13,0),"")</f>
        <v/>
      </c>
      <c r="BO4" s="135" t="str">
        <f>IFERROR(VLOOKUP(Tabela1[[#This Row],[MÊS]]&amp;Tabela1[[#This Row],[ID]]&amp;Tabela1[[#This Row],[MATRICULA]]&amp;"Motorista 3"&amp;Tabela1[[#This Row],[SETOR]],BD!A:AF,13,0),"")</f>
        <v/>
      </c>
      <c r="BP4" s="135" t="str">
        <f>IFERROR(VLOOKUP(Tabela1[[#This Row],[MÊS]]&amp;Tabela1[[#This Row],[ID]]&amp;Tabela1[[#This Row],[MATRICULA]]&amp;"Motorista 4"&amp;Tabela1[[#This Row],[SETOR]],BD!A:AF,13,0),"")</f>
        <v/>
      </c>
      <c r="BQ4" s="135" t="str">
        <f>IFERROR(AVERAGE(Tabela1[[#This Row],[DMOT]:[DMOT4]]),"")</f>
        <v/>
      </c>
      <c r="BR4" s="135" t="str">
        <f>IFERROR(VLOOKUP(Tabela1[[#This Row],[MÊS]]&amp;Tabela1[[#This Row],[ID]]&amp;Tabela1[[#This Row],[MATRICULA]]&amp;"Ponto de Apoio"&amp;Tabela1[[#This Row],[SETOR]],BD!A:AF,13,0),"")</f>
        <v/>
      </c>
      <c r="BS4" s="135" t="str">
        <f>IFERROR(VLOOKUP(Tabela1[[#This Row],[MÊS]]&amp;Tabela1[[#This Row],[ID]]&amp;Tabela1[[#This Row],[MATRICULA]]&amp;"Ponto de Apoio 2"&amp;Tabela1[[#This Row],[SETOR]],BD!A:AF,13,0),"")</f>
        <v/>
      </c>
      <c r="BT4" s="135" t="str">
        <f>IFERROR(VLOOKUP(Tabela1[[#This Row],[MÊS]]&amp;Tabela1[[#This Row],[ID]]&amp;Tabela1[[#This Row],[MATRICULA]]&amp;"Ponto de Apoio 3"&amp;Tabela1[[#This Row],[SETOR]],BD!A:AF,13,0),"")</f>
        <v/>
      </c>
      <c r="BU4" s="135" t="str">
        <f>IFERROR(VLOOKUP(Tabela1[[#This Row],[MÊS]]&amp;Tabela1[[#This Row],[ID]]&amp;Tabela1[[#This Row],[MATRICULA]]&amp;"Ponto de Apoio 4"&amp;Tabela1[[#This Row],[SETOR]],BD!A:AF,13,0),"")</f>
        <v/>
      </c>
      <c r="BV4" s="135" t="str">
        <f>IFERROR(AVERAGE(Tabela1[[#This Row],[DPA]:[DPA 4]]),"")</f>
        <v/>
      </c>
      <c r="BW4" s="135" t="str">
        <f>IFERROR(VLOOKUP(Tabela1[[#This Row],[MÊS]]&amp;Tabela1[[#This Row],[ID]]&amp;Tabela1[[#This Row],[MATRICULA]]&amp;"Cliente"&amp;Tabela1[[#This Row],[SETOR]],BD!A:AF,13,0),"")</f>
        <v/>
      </c>
      <c r="BX4" s="135" t="str">
        <f>IFERROR(VLOOKUP(Tabela1[[#This Row],[MÊS]]&amp;Tabela1[[#This Row],[ID]]&amp;Tabela1[[#This Row],[MATRICULA]]&amp;"cliente 2"&amp;Tabela1[[#This Row],[SETOR]],BD!A:AF,13,0),"")</f>
        <v/>
      </c>
      <c r="BY4" s="135" t="str">
        <f>IFERROR(VLOOKUP(Tabela1[[#This Row],[MÊS]]&amp;Tabela1[[#This Row],[ID]]&amp;Tabela1[[#This Row],[MATRICULA]]&amp;"cliente 3"&amp;Tabela1[[#This Row],[SETOR]],BD!A:AF,13,0),"")</f>
        <v/>
      </c>
      <c r="BZ4" s="135" t="str">
        <f>IFERROR(VLOOKUP(Tabela1[[#This Row],[MÊS]]&amp;Tabela1[[#This Row],[ID]]&amp;Tabela1[[#This Row],[MATRICULA]]&amp;"cliente 4"&amp;Tabela1[[#This Row],[SETOR]],BD!A:AF,13,0),"")</f>
        <v/>
      </c>
      <c r="CA4" s="135" t="str">
        <f>IFERROR(AVERAGE(Tabela1[[#This Row],[DCLI]:[DCLI 4]]),"")</f>
        <v/>
      </c>
      <c r="CB4" s="135" t="str">
        <f>IFERROR(VLOOKUP(Tabela1[[#This Row],[MÊS]]&amp;Tabela1[[#This Row],[ID]]&amp;Tabela1[[#This Row],[MATRICULA]]&amp;"Policia"&amp;Tabela1[[#This Row],[SETOR]],BD!A:AF,13,0),"")</f>
        <v/>
      </c>
      <c r="CC4" s="135" t="str">
        <f>IFERROR(VLOOKUP(Tabela1[[#This Row],[MÊS]]&amp;Tabela1[[#This Row],[ID]]&amp;Tabela1[[#This Row],[MATRICULA]]&amp;"Policia 2"&amp;Tabela1[[#This Row],[SETOR]],BD!A:AF,13,0),"")</f>
        <v/>
      </c>
      <c r="CD4" s="135"/>
      <c r="CE4" s="135"/>
      <c r="CF4" s="135" t="str">
        <f>IFERROR((AVERAGE(Tabela1[[#This Row],[DPOL1]:[DPOL4]])),"")</f>
        <v/>
      </c>
      <c r="CG4" s="21" t="str">
        <f>IFERROR(VLOOKUP(Tabela1[[#This Row],[ID]]&amp;Tabela1[[#This Row],[MÊS]]&amp;Tabela1[[#This Row],[MATRICULA]],#REF!,2,0),"")</f>
        <v/>
      </c>
      <c r="CH4" s="21" t="str">
        <f>IFERROR(VLOOKUP(Tabela1[[#This Row],[ID]]&amp;Tabela1[[#This Row],[MÊS]]&amp;Tabela1[[#This Row],[MATRICULA]],#REF!,2,0),"")</f>
        <v/>
      </c>
      <c r="CI4" s="21" t="str">
        <f>IFERROR(VLOOKUP(Tabela1[[#This Row],[MÊS]]&amp;Tabela1[[#This Row],[MATRICULA]],#REF!,2,0),"")</f>
        <v/>
      </c>
    </row>
    <row r="5" spans="1:87">
      <c r="A5" s="12" t="str">
        <f>Tabela1[[#This Row],[MÊS]]&amp;Tabela1[[#This Row],[MATRICULA]]&amp;Tabela1[[#This Row],[ID]]</f>
        <v>JAN112483</v>
      </c>
      <c r="B5" s="12" t="str">
        <f>Tabela1[[#This Row],[MÊS]]&amp;Tabela1[[#This Row],[ID]]&amp;Tabela1[[#This Row],[MATRICULA]]&amp;Tabela1[[#This Row],[SETOR]]</f>
        <v>JAN311248CADASTRO</v>
      </c>
      <c r="C5" s="130" t="e">
        <f>VLOOKUP(Tabela1[[#This Row],[MATRICULA]],'BD Campos'!A:D,5,0)</f>
        <v>#REF!</v>
      </c>
      <c r="D5" s="133" t="str">
        <f ca="1">IFERROR(SUM(TODAY()-Tabela1[[#This Row],[ADMISSÃO]]),"")</f>
        <v/>
      </c>
      <c r="E5" s="11" t="str">
        <f ca="1">IFERROR(TRUNC(Tabela1[[#This Row],[TEMPO DE CASA (DIAS)]]/30),"")</f>
        <v/>
      </c>
      <c r="F5" s="32" t="str">
        <f ca="1">IFERROR(SUM(Tabela1[[#This Row],[TEMPO DE CASA (MESES)]]/12),"")</f>
        <v/>
      </c>
      <c r="G5" s="133" t="str">
        <f ca="1">IF(Tabela1[[#This Row],[TEMPO DE CASA (DIAS)]]="","SEM DADOS",IF(Tabela1[[#This Row],[TEMPO DE CASA (DIAS)]]&gt;180,"&gt; 6 MESES","&lt; 6 MESES"))</f>
        <v>SEM DADOS</v>
      </c>
      <c r="H5" s="12" t="str">
        <f t="shared" si="1"/>
        <v>JANLarissa Cristina3</v>
      </c>
      <c r="I5" s="12" t="str">
        <f>IFERROR(VLOOKUP(Tabela1[[#This Row],[MATRICULA]],'BD Campos'!A:F,7,0),"")</f>
        <v/>
      </c>
      <c r="J5" s="11">
        <v>3</v>
      </c>
      <c r="K5" s="11" t="s">
        <v>669</v>
      </c>
      <c r="L5" s="136">
        <v>11248</v>
      </c>
      <c r="M5" s="12" t="str">
        <f>IFERROR(VLOOKUP(Tabela1[[#This Row],[MATRICULA]],'BD Campos'!A:B,2,0),"")</f>
        <v>BRUNA MIRANDA PEREIRA</v>
      </c>
      <c r="N5" s="20" t="str">
        <f>IFERROR(AVERAGE(Tabela1[[#This Row],[A1]:[A4]]),"")</f>
        <v/>
      </c>
      <c r="O5" s="20" t="str">
        <f>IFERROR(IF(Tabela1[[#This Row],[SETOR]]="RECEPTIVO","",AVERAGE(Tabela1[[#This Row],[A5]:[A6]])),"")</f>
        <v/>
      </c>
      <c r="P5" s="20" t="str">
        <f>IFERROR(IF(Tabela1[[#This Row],[STATUS]]="INATIVO","INATIVO",IF(Tabela1[[#This Row],[STATUS]]="QRT","INATIVO",IF(Tabela1[[#This Row],[OPERACIONAL]]&gt;7.99999,"BOM","RUIM"))),"")</f>
        <v>INATIVO</v>
      </c>
      <c r="Q5" s="21" t="s">
        <v>670</v>
      </c>
      <c r="R5" s="12" t="s">
        <v>82</v>
      </c>
      <c r="S5" s="12" t="s">
        <v>668</v>
      </c>
      <c r="T5" s="12" t="s">
        <v>82</v>
      </c>
      <c r="U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5" s="12">
        <f>IF(AND(Tabela1[[#This Row],[SETOR]]="UTI",Tabela1[[#This Row],[M]]&lt;&gt;""),1,IF(AND(Tabela1[[#This Row],[SETOR]]="UTI (RJ)",Tabela1[[#This Row],[M]]&lt;&gt;""),1.5,0))</f>
        <v>0</v>
      </c>
      <c r="X5" s="12">
        <f>IF(AND(Tabela1[[#This Row],[SETOR]]="UTI",Tabela1[[#This Row],[PA2]]&lt;&gt;""),1,IF(AND(Tabela1[[#This Row],[SETOR]]="UTI (RJ)",Tabela1[[#This Row],[PA2]]&lt;&gt;""),0,0))</f>
        <v>0</v>
      </c>
      <c r="Y5" s="12">
        <f>IF(AND(Tabela1[[#This Row],[SETOR]]="UTI",Tabela1[[#This Row],[C]]&lt;&gt;""),1,IF(AND(Tabela1[[#This Row],[SETOR]]="UTI (RJ)",Tabela1[[#This Row],[C]]&lt;&gt;""),1.5,0))</f>
        <v>0</v>
      </c>
      <c r="Z5" s="12">
        <f>IF(AND(Tabela1[[#This Row],[SETOR]]="UTI",Tabela1[[#This Row],[PL]]&lt;&gt;""),1,IF(AND(Tabela1[[#This Row],[SETOR]]="UTI (RJ)",Tabela1[[#This Row],[PL]]&lt;&gt;""),1,0))</f>
        <v>0</v>
      </c>
      <c r="AA5" s="21" t="str">
        <f>IFERROR(VLOOKUP(Tabela1[[#This Row],[MÊS]]&amp;Tabela1[[#This Row],[MATRICULA]]&amp;"1"&amp;Tabela1[[#This Row],[SETOR]]&amp;"PADRÃO",BD!B:AF,31,0),"")</f>
        <v/>
      </c>
      <c r="AB5" s="21" t="str">
        <f>IFERROR(VLOOKUP(Tabela1[[#This Row],[MÊS]]&amp;Tabela1[[#This Row],[MATRICULA]]&amp;"2"&amp;Tabela1[[#This Row],[SETOR]]&amp;"PADRÃO",BD!B:AF,31,0),"")</f>
        <v/>
      </c>
      <c r="AC5" s="21" t="str">
        <f>IFERROR(VLOOKUP(Tabela1[[#This Row],[MÊS]]&amp;Tabela1[[#This Row],[MATRICULA]]&amp;"3"&amp;Tabela1[[#This Row],[SETOR]]&amp;"PADRÃO",BD!B:AF,31,0),"")</f>
        <v/>
      </c>
      <c r="AD5" s="21" t="str">
        <f>IFERROR(VLOOKUP(Tabela1[[#This Row],[MÊS]]&amp;Tabela1[[#This Row],[MATRICULA]]&amp;"4"&amp;Tabela1[[#This Row],[SETOR]]&amp;"PADRÃO",BD!B:AF,25,0),"")</f>
        <v/>
      </c>
      <c r="AE5" s="21" t="str">
        <f>IFERROR(VLOOKUP(Tabela1[[#This Row],[MÊS]]&amp;Tabela1[[#This Row],[MATRICULA]]&amp;"5"&amp;Tabela1[[#This Row],[SETOR]]&amp;"PADRÃO",BD!B:AF,31,0),"")</f>
        <v/>
      </c>
      <c r="AF5" s="21" t="str">
        <f>IFERROR(VLOOKUP(Tabela1[[#This Row],[MÊS]]&amp;Tabela1[[#This Row],[MATRICULA]]&amp;"6"&amp;Tabela1[[#This Row],[SETOR]]&amp;"PADRÃO",BD!B:AF,31,0),"")</f>
        <v/>
      </c>
      <c r="AG5" s="21" t="str">
        <f>IFERROR(VLOOKUP(Tabela1[[#This Row],[MÊS]]&amp;Tabela1[[#This Row],[MATRICULA]]&amp;"7"&amp;Tabela1[[#This Row],[SETOR]]&amp;"PADRÃO",BD!B:AF,31,0),"")</f>
        <v/>
      </c>
      <c r="AH5" s="21" t="str">
        <f>IFERROR(VLOOKUP(Tabela1[[#This Row],[MÊS]]&amp;Tabela1[[#This Row],[ID]]&amp;Tabela1[[#This Row],[MATRICULA]]&amp;"Receptiva"&amp;Tabela1[[#This Row],[SETOR]],BD!A:AF,31,0),"")</f>
        <v/>
      </c>
      <c r="AI5" s="21" t="str">
        <f>IFERROR(VLOOKUP(Tabela1[[#This Row],[MÊS]]&amp;Tabela1[[#This Row],[ID]]&amp;Tabela1[[#This Row],[MATRICULA]]&amp;"Receptiva 2"&amp;Tabela1[[#This Row],[SETOR]],BD!A:AF,31,0),"")</f>
        <v/>
      </c>
      <c r="AJ5" s="21" t="str">
        <f>IFERROR(VLOOKUP(Tabela1[[#This Row],[MÊS]]&amp;Tabela1[[#This Row],[ID]]&amp;Tabela1[[#This Row],[MATRICULA]]&amp;"Receptiva 3"&amp;Tabela1[[#This Row],[SETOR]],BD!A:AF,31,0),"")</f>
        <v/>
      </c>
      <c r="AK5" s="21" t="str">
        <f>IFERROR(VLOOKUP(Tabela1[[#This Row],[MÊS]]&amp;Tabela1[[#This Row],[ID]]&amp;Tabela1[[#This Row],[MATRICULA]]&amp;"Receptiva 4"&amp;Tabela1[[#This Row],[SETOR]],BD!A:AF,31,0),"")</f>
        <v/>
      </c>
      <c r="AL5" s="21" t="str">
        <f>IFERROR(VLOOKUP(Tabela1[[#This Row],[MÊS]]&amp;Tabela1[[#This Row],[MATRICULA]]&amp;"Motorista"&amp;Tabela1[[#This Row],[SETOR]],BD!A:AF,31,0),"")</f>
        <v/>
      </c>
      <c r="AM5" s="21" t="str">
        <f>IFERROR(VLOOKUP(Tabela1[[#This Row],[MÊS]]&amp;Tabela1[[#This Row],[ID]]&amp;Tabela1[[#This Row],[MATRICULA]]&amp;"Motorista 2"&amp;Tabela1[[#This Row],[SETOR]],BD!A:AF,26,0),"")</f>
        <v/>
      </c>
      <c r="AN5" s="21" t="str">
        <f>IFERROR(VLOOKUP(Tabela1[[#This Row],[MÊS]]&amp;Tabela1[[#This Row],[ID]]&amp;Tabela1[[#This Row],[MATRICULA]]&amp;"Motorista 3"&amp;Tabela1[[#This Row],[SETOR]],BD!A:AF,26,0),"")</f>
        <v/>
      </c>
      <c r="AO5" s="21" t="str">
        <f>IFERROR(VLOOKUP(Tabela1[[#This Row],[MÊS]]&amp;Tabela1[[#This Row],[ID]]&amp;Tabela1[[#This Row],[MATRICULA]]&amp;"Motorista 4"&amp;Tabela1[[#This Row],[SETOR]],BD!A:AF,26,0),"")</f>
        <v/>
      </c>
      <c r="AP5" s="21" t="str">
        <f>IFERROR(VLOOKUP(Tabela1[[#This Row],[MÊS]]&amp;Tabela1[[#This Row],[MATRICULA]]&amp;"Ponto de Apoio"&amp;Tabela1[[#This Row],[SETOR]],BD!A:AF,31,0),"")</f>
        <v/>
      </c>
      <c r="AQ5" s="21" t="str">
        <f>IFERROR(VLOOKUP(Tabela1[[#This Row],[MÊS]]&amp;Tabela1[[#This Row],[ID]]&amp;Tabela1[[#This Row],[MATRICULA]]&amp;"Ponto de Apoio 2"&amp;Tabela1[[#This Row],[SETOR]],BD!A:AF,26,0),"")</f>
        <v/>
      </c>
      <c r="AR5" s="36" t="str">
        <f>IFERROR(VLOOKUP(Tabela1[[#This Row],[MÊS]]&amp;Tabela1[[#This Row],[ID]]&amp;Tabela1[[#This Row],[MATRICULA]]&amp;"Ponto de Apoio 3"&amp;Tabela1[[#This Row],[SETOR]],BD!A:AF,26,0),"")</f>
        <v/>
      </c>
      <c r="AS5" s="36" t="str">
        <f>IFERROR(VLOOKUP(Tabela1[[#This Row],[MÊS]]&amp;Tabela1[[#This Row],[ID]]&amp;Tabela1[[#This Row],[MATRICULA]]&amp;"Ponto de Apoio 4"&amp;Tabela1[[#This Row],[SETOR]],BD!A:AF,26,0),"")</f>
        <v/>
      </c>
      <c r="AT5" s="21" t="str">
        <f>IFERROR(VLOOKUP(Tabela1[[#This Row],[MÊS]]&amp;Tabela1[[#This Row],[MATRICULA]]&amp;"Cliente"&amp;Tabela1[[#This Row],[SETOR]],BD!A:AF,31,0),"")</f>
        <v/>
      </c>
      <c r="AU5" s="21" t="str">
        <f>IFERROR(VLOOKUP(Tabela1[[#This Row],[MÊS]]&amp;Tabela1[[#This Row],[ID]]&amp;Tabela1[[#This Row],[MATRICULA]]&amp;"Cliente 2"&amp;Tabela1[[#This Row],[SETOR]],BD!A:AF,26,0),"")</f>
        <v/>
      </c>
      <c r="AX5" s="21" t="str">
        <f>IFERROR(VLOOKUP(Tabela1[[#This Row],[MÊS]]&amp;Tabela1[[#This Row],[MATRICULA]]&amp;"Policia"&amp;Tabela1[[#This Row],[SETOR]],BD!A:AF,31,0),"")</f>
        <v/>
      </c>
      <c r="AY5" s="21" t="str">
        <f>IFERROR(VLOOKUP(Tabela1[[#This Row],[MÊS]]&amp;Tabela1[[#This Row],[ID]]&amp;Tabela1[[#This Row],[MATRICULA]]&amp;"Policia 2"&amp;Tabela1[[#This Row],[SETOR]],BD!A:AF,26,0),"")</f>
        <v/>
      </c>
      <c r="AZ5" s="36" t="str">
        <f>IFERROR(VLOOKUP(Tabela1[[#This Row],[MÊS]]&amp;Tabela1[[#This Row],[ID]]&amp;Tabela1[[#This Row],[MATRICULA]]&amp;"Policia 3"&amp;Tabela1[[#This Row],[SETOR]],BD!A:AF,26,0),"")</f>
        <v/>
      </c>
      <c r="BA5" s="36" t="str">
        <f>IFERROR(VLOOKUP(Tabela1[[#This Row],[MÊS]]&amp;Tabela1[[#This Row],[ID]]&amp;Tabela1[[#This Row],[MATRICULA]]&amp;"Policia 4"&amp;Tabela1[[#This Row],[SETOR]],BD!A:AF,26,0),"")</f>
        <v/>
      </c>
      <c r="BB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" s="21" t="str">
        <f>IFERROR(AVERAGE(Tabela1[[#This Row],[M]:[M4]]),"")</f>
        <v/>
      </c>
      <c r="BD5" s="21" t="str">
        <f>IFERROR(AVERAGE(Tabela1[[#This Row],[C]:[C4]]),"")</f>
        <v/>
      </c>
      <c r="BE5" s="21" t="str">
        <f>IFERROR(AVERAGE(Tabela1[[#This Row],[PA2]:[PA 4]]),"")</f>
        <v/>
      </c>
      <c r="BF5" s="21" t="str">
        <f>IFERROR(AVERAGE(Tabela1[[#This Row],[PL]:[PL4]]),"")</f>
        <v/>
      </c>
      <c r="BG5" s="35" t="str">
        <f>IFERROR(VLOOKUP(Tabela1[[#This Row],[MÊS]]&amp;Tabela1[[#This Row],[MATRICULA]],#REF!,2,0),"")</f>
        <v/>
      </c>
      <c r="BH5" s="35" t="str">
        <f>IFERROR(VLOOKUP(Tabela1[[#This Row],[MÊS]]&amp;Tabela1[[#This Row],[MATRICULA]],#REF!,2,0),"")</f>
        <v/>
      </c>
      <c r="BI5" s="35" t="str">
        <f>IFERROR(VLOOKUP(Tabela1[[#This Row],[MÊS]]&amp;Tabela1[[#This Row],[MATRICULA]],#REF!,2,0),"")</f>
        <v/>
      </c>
      <c r="BJ5" s="35" t="str">
        <f>IFERROR(VLOOKUP(Tabela1[[#This Row],[MÊS]]&amp;Tabela1[[#This Row],[MATRICULA]],#REF!,2,0),"")</f>
        <v/>
      </c>
      <c r="BK5" s="35" t="str">
        <f>IFERROR(VLOOKUP(Tabela1[[#This Row],[MÊS]]&amp;Tabela1[[#This Row],[MATRICULA]],#REF!,2,0),"")</f>
        <v/>
      </c>
      <c r="BL5" s="21">
        <f>COUNTIF(Tabela1[[#This Row],[MOT2]:[RECEPTIVA]],"NÃO ENCONTRADA")</f>
        <v>0</v>
      </c>
      <c r="BM5" s="135" t="str">
        <f>IFERROR(VLOOKUP(Tabela1[[#This Row],[MÊS]]&amp;Tabela1[[#This Row],[ID]]&amp;Tabela1[[#This Row],[MATRICULA]]&amp;"Motorista"&amp;Tabela1[[#This Row],[SETOR]],BD!A:AF,13,0),"")</f>
        <v/>
      </c>
      <c r="BN5" s="135" t="str">
        <f>IFERROR(VLOOKUP(Tabela1[[#This Row],[MÊS]]&amp;Tabela1[[#This Row],[ID]]&amp;Tabela1[[#This Row],[MATRICULA]]&amp;"Motorista 2"&amp;Tabela1[[#This Row],[SETOR]],BD!A:AF,13,0),"")</f>
        <v/>
      </c>
      <c r="BO5" s="135" t="str">
        <f>IFERROR(VLOOKUP(Tabela1[[#This Row],[MÊS]]&amp;Tabela1[[#This Row],[ID]]&amp;Tabela1[[#This Row],[MATRICULA]]&amp;"Motorista 3"&amp;Tabela1[[#This Row],[SETOR]],BD!A:AF,13,0),"")</f>
        <v/>
      </c>
      <c r="BP5" s="135" t="str">
        <f>IFERROR(VLOOKUP(Tabela1[[#This Row],[MÊS]]&amp;Tabela1[[#This Row],[ID]]&amp;Tabela1[[#This Row],[MATRICULA]]&amp;"Motorista 4"&amp;Tabela1[[#This Row],[SETOR]],BD!A:AF,13,0),"")</f>
        <v/>
      </c>
      <c r="BQ5" s="135" t="str">
        <f>IFERROR(AVERAGE(Tabela1[[#This Row],[DMOT]:[DMOT4]]),"")</f>
        <v/>
      </c>
      <c r="BR5" s="135" t="str">
        <f>IFERROR(VLOOKUP(Tabela1[[#This Row],[MÊS]]&amp;Tabela1[[#This Row],[ID]]&amp;Tabela1[[#This Row],[MATRICULA]]&amp;"Ponto de Apoio"&amp;Tabela1[[#This Row],[SETOR]],BD!A:AF,13,0),"")</f>
        <v/>
      </c>
      <c r="BS5" s="135" t="str">
        <f>IFERROR(VLOOKUP(Tabela1[[#This Row],[MÊS]]&amp;Tabela1[[#This Row],[ID]]&amp;Tabela1[[#This Row],[MATRICULA]]&amp;"Ponto de Apoio 2"&amp;Tabela1[[#This Row],[SETOR]],BD!A:AF,13,0),"")</f>
        <v/>
      </c>
      <c r="BT5" s="135" t="str">
        <f>IFERROR(VLOOKUP(Tabela1[[#This Row],[MÊS]]&amp;Tabela1[[#This Row],[ID]]&amp;Tabela1[[#This Row],[MATRICULA]]&amp;"Ponto de Apoio 3"&amp;Tabela1[[#This Row],[SETOR]],BD!A:AF,13,0),"")</f>
        <v/>
      </c>
      <c r="BU5" s="135" t="str">
        <f>IFERROR(VLOOKUP(Tabela1[[#This Row],[MÊS]]&amp;Tabela1[[#This Row],[ID]]&amp;Tabela1[[#This Row],[MATRICULA]]&amp;"Ponto de Apoio 4"&amp;Tabela1[[#This Row],[SETOR]],BD!A:AF,13,0),"")</f>
        <v/>
      </c>
      <c r="BV5" s="135" t="str">
        <f>IFERROR(AVERAGE(Tabela1[[#This Row],[DPA]:[DPA 4]]),"")</f>
        <v/>
      </c>
      <c r="BW5" s="135" t="str">
        <f>IFERROR(VLOOKUP(Tabela1[[#This Row],[MÊS]]&amp;Tabela1[[#This Row],[ID]]&amp;Tabela1[[#This Row],[MATRICULA]]&amp;"Cliente"&amp;Tabela1[[#This Row],[SETOR]],BD!A:AF,13,0),"")</f>
        <v/>
      </c>
      <c r="BX5" s="135" t="str">
        <f>IFERROR(VLOOKUP(Tabela1[[#This Row],[MÊS]]&amp;Tabela1[[#This Row],[ID]]&amp;Tabela1[[#This Row],[MATRICULA]]&amp;"cliente 2"&amp;Tabela1[[#This Row],[SETOR]],BD!A:AF,13,0),"")</f>
        <v/>
      </c>
      <c r="BY5" s="135" t="str">
        <f>IFERROR(VLOOKUP(Tabela1[[#This Row],[MÊS]]&amp;Tabela1[[#This Row],[ID]]&amp;Tabela1[[#This Row],[MATRICULA]]&amp;"cliente 3"&amp;Tabela1[[#This Row],[SETOR]],BD!A:AF,13,0),"")</f>
        <v/>
      </c>
      <c r="BZ5" s="135" t="str">
        <f>IFERROR(VLOOKUP(Tabela1[[#This Row],[MÊS]]&amp;Tabela1[[#This Row],[ID]]&amp;Tabela1[[#This Row],[MATRICULA]]&amp;"cliente 4"&amp;Tabela1[[#This Row],[SETOR]],BD!A:AF,13,0),"")</f>
        <v/>
      </c>
      <c r="CA5" s="135" t="str">
        <f>IFERROR(AVERAGE(Tabela1[[#This Row],[DCLI]:[DCLI 4]]),"")</f>
        <v/>
      </c>
      <c r="CB5" s="135" t="str">
        <f>IFERROR(VLOOKUP(Tabela1[[#This Row],[MÊS]]&amp;Tabela1[[#This Row],[ID]]&amp;Tabela1[[#This Row],[MATRICULA]]&amp;"Policia"&amp;Tabela1[[#This Row],[SETOR]],BD!A:AF,13,0),"")</f>
        <v/>
      </c>
      <c r="CC5" s="135" t="str">
        <f>IFERROR(VLOOKUP(Tabela1[[#This Row],[MÊS]]&amp;Tabela1[[#This Row],[ID]]&amp;Tabela1[[#This Row],[MATRICULA]]&amp;"Policia 2"&amp;Tabela1[[#This Row],[SETOR]],BD!A:AF,13,0),"")</f>
        <v/>
      </c>
      <c r="CD5" s="135"/>
      <c r="CE5" s="135"/>
      <c r="CF5" s="135" t="str">
        <f>IFERROR((AVERAGE(Tabela1[[#This Row],[DPOL1]:[DPOL4]])),"")</f>
        <v/>
      </c>
      <c r="CG5" s="21" t="str">
        <f>IFERROR(VLOOKUP(Tabela1[[#This Row],[ID]]&amp;Tabela1[[#This Row],[MÊS]]&amp;Tabela1[[#This Row],[MATRICULA]],#REF!,2,0),"")</f>
        <v/>
      </c>
      <c r="CH5" s="21" t="str">
        <f>IFERROR(VLOOKUP(Tabela1[[#This Row],[ID]]&amp;Tabela1[[#This Row],[MÊS]]&amp;Tabela1[[#This Row],[MATRICULA]],#REF!,2,0),"")</f>
        <v/>
      </c>
      <c r="CI5" s="21" t="str">
        <f>IFERROR(VLOOKUP(Tabela1[[#This Row],[MÊS]]&amp;Tabela1[[#This Row],[MATRICULA]],#REF!,2,0),"")</f>
        <v/>
      </c>
    </row>
    <row r="6" spans="1:87">
      <c r="A6" s="12" t="str">
        <f>Tabela1[[#This Row],[MÊS]]&amp;Tabela1[[#This Row],[MATRICULA]]&amp;Tabela1[[#This Row],[ID]]</f>
        <v>JAN112544</v>
      </c>
      <c r="B6" s="12" t="str">
        <f>Tabela1[[#This Row],[MÊS]]&amp;Tabela1[[#This Row],[ID]]&amp;Tabela1[[#This Row],[MATRICULA]]&amp;Tabela1[[#This Row],[SETOR]]</f>
        <v>JAN411254CADASTRO</v>
      </c>
      <c r="C6" s="130" t="e">
        <f>VLOOKUP(Tabela1[[#This Row],[MATRICULA]],'BD Campos'!A:D,5,0)</f>
        <v>#REF!</v>
      </c>
      <c r="D6" s="133" t="str">
        <f ca="1">IFERROR(SUM(TODAY()-Tabela1[[#This Row],[ADMISSÃO]]),"")</f>
        <v/>
      </c>
      <c r="E6" s="11" t="str">
        <f ca="1">IFERROR(TRUNC(Tabela1[[#This Row],[TEMPO DE CASA (DIAS)]]/30),"")</f>
        <v/>
      </c>
      <c r="F6" s="32" t="str">
        <f ca="1">IFERROR(SUM(Tabela1[[#This Row],[TEMPO DE CASA (MESES)]]/12),"")</f>
        <v/>
      </c>
      <c r="G6" s="133" t="str">
        <f ca="1">IF(Tabela1[[#This Row],[TEMPO DE CASA (DIAS)]]="","SEM DADOS",IF(Tabela1[[#This Row],[TEMPO DE CASA (DIAS)]]&gt;180,"&gt; 6 MESES","&lt; 6 MESES"))</f>
        <v>SEM DADOS</v>
      </c>
      <c r="H6" s="12" t="str">
        <f t="shared" si="1"/>
        <v>JANLarissa Cristina4</v>
      </c>
      <c r="I6" s="12" t="str">
        <f>IFERROR(VLOOKUP(Tabela1[[#This Row],[MATRICULA]],'BD Campos'!A:F,7,0),"")</f>
        <v/>
      </c>
      <c r="J6" s="11">
        <v>4</v>
      </c>
      <c r="K6" s="11" t="s">
        <v>669</v>
      </c>
      <c r="L6" s="136">
        <v>11254</v>
      </c>
      <c r="M6" s="12" t="str">
        <f>IFERROR(VLOOKUP(Tabela1[[#This Row],[MATRICULA]],'BD Campos'!A:B,2,0),"")</f>
        <v>NATALIA DE SOUZA TORRES</v>
      </c>
      <c r="N6" s="20" t="str">
        <f>IFERROR(AVERAGE(Tabela1[[#This Row],[A1]:[A4]]),"")</f>
        <v/>
      </c>
      <c r="O6" s="20">
        <f>IFERROR(IF(Tabela1[[#This Row],[SETOR]]="RECEPTIVO","",AVERAGE(Tabela1[[#This Row],[A5]:[A6]])),"")</f>
        <v>9.8425000000000011</v>
      </c>
      <c r="P6" s="20" t="str">
        <f>IFERROR(IF(Tabela1[[#This Row],[STATUS]]="INATIVO","INATIVO",IF(Tabela1[[#This Row],[STATUS]]="QRT","INATIVO",IF(Tabela1[[#This Row],[OPERACIONAL]]&gt;7.99999,"BOM","RUIM"))),"")</f>
        <v>BOM</v>
      </c>
      <c r="Q6" s="21" t="s">
        <v>667</v>
      </c>
      <c r="R6" s="12" t="s">
        <v>82</v>
      </c>
      <c r="S6" s="12" t="s">
        <v>668</v>
      </c>
      <c r="T6" s="12" t="s">
        <v>82</v>
      </c>
      <c r="U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" s="12">
        <f>IF(AND(Tabela1[[#This Row],[SETOR]]="UTI",Tabela1[[#This Row],[M]]&lt;&gt;""),1,IF(AND(Tabela1[[#This Row],[SETOR]]="UTI (RJ)",Tabela1[[#This Row],[M]]&lt;&gt;""),1.5,0))</f>
        <v>0</v>
      </c>
      <c r="X6" s="12">
        <f>IF(AND(Tabela1[[#This Row],[SETOR]]="UTI",Tabela1[[#This Row],[PA2]]&lt;&gt;""),1,IF(AND(Tabela1[[#This Row],[SETOR]]="UTI (RJ)",Tabela1[[#This Row],[PA2]]&lt;&gt;""),0,0))</f>
        <v>0</v>
      </c>
      <c r="Y6" s="12">
        <f>IF(AND(Tabela1[[#This Row],[SETOR]]="UTI",Tabela1[[#This Row],[C]]&lt;&gt;""),1,IF(AND(Tabela1[[#This Row],[SETOR]]="UTI (RJ)",Tabela1[[#This Row],[C]]&lt;&gt;""),1.5,0))</f>
        <v>0</v>
      </c>
      <c r="Z6" s="12">
        <f>IF(AND(Tabela1[[#This Row],[SETOR]]="UTI",Tabela1[[#This Row],[PL]]&lt;&gt;""),1,IF(AND(Tabela1[[#This Row],[SETOR]]="UTI (RJ)",Tabela1[[#This Row],[PL]]&lt;&gt;""),1,0))</f>
        <v>0</v>
      </c>
      <c r="AA6" s="21" t="str">
        <f>IFERROR(VLOOKUP(Tabela1[[#This Row],[MÊS]]&amp;Tabela1[[#This Row],[MATRICULA]]&amp;"1"&amp;Tabela1[[#This Row],[SETOR]]&amp;"PADRÃO",BD!B:AF,31,0),"")</f>
        <v/>
      </c>
      <c r="AB6" s="21" t="str">
        <f>IFERROR(VLOOKUP(Tabela1[[#This Row],[MÊS]]&amp;Tabela1[[#This Row],[MATRICULA]]&amp;"2"&amp;Tabela1[[#This Row],[SETOR]]&amp;"PADRÃO",BD!B:AF,31,0),"")</f>
        <v/>
      </c>
      <c r="AC6" s="21" t="str">
        <f>IFERROR(VLOOKUP(Tabela1[[#This Row],[MÊS]]&amp;Tabela1[[#This Row],[MATRICULA]]&amp;"3"&amp;Tabela1[[#This Row],[SETOR]]&amp;"PADRÃO",BD!B:AF,31,0),"")</f>
        <v/>
      </c>
      <c r="AD6" s="21" t="str">
        <f>IFERROR(VLOOKUP(Tabela1[[#This Row],[MÊS]]&amp;Tabela1[[#This Row],[MATRICULA]]&amp;"4"&amp;Tabela1[[#This Row],[SETOR]]&amp;"PADRÃO",BD!B:AF,25,0),"")</f>
        <v/>
      </c>
      <c r="AE6" s="21">
        <f>IFERROR(VLOOKUP(Tabela1[[#This Row],[MÊS]]&amp;Tabela1[[#This Row],[MATRICULA]]&amp;"5"&amp;Tabela1[[#This Row],[SETOR]]&amp;"PADRÃO",BD!B:AF,31,0),"")</f>
        <v>10.000000000000002</v>
      </c>
      <c r="AF6" s="21">
        <f>IFERROR(VLOOKUP(Tabela1[[#This Row],[MÊS]]&amp;Tabela1[[#This Row],[MATRICULA]]&amp;"6"&amp;Tabela1[[#This Row],[SETOR]]&amp;"PADRÃO",BD!B:AF,31,0),"")</f>
        <v>9.6850000000000005</v>
      </c>
      <c r="AG6" s="21" t="str">
        <f>IFERROR(VLOOKUP(Tabela1[[#This Row],[MÊS]]&amp;Tabela1[[#This Row],[MATRICULA]]&amp;"7"&amp;Tabela1[[#This Row],[SETOR]]&amp;"PADRÃO",BD!B:AF,31,0),"")</f>
        <v/>
      </c>
      <c r="AH6" s="21" t="str">
        <f>IFERROR(VLOOKUP(Tabela1[[#This Row],[MÊS]]&amp;Tabela1[[#This Row],[ID]]&amp;Tabela1[[#This Row],[MATRICULA]]&amp;"Receptiva"&amp;Tabela1[[#This Row],[SETOR]],BD!A:AF,31,0),"")</f>
        <v/>
      </c>
      <c r="AI6" s="21" t="str">
        <f>IFERROR(VLOOKUP(Tabela1[[#This Row],[MÊS]]&amp;Tabela1[[#This Row],[ID]]&amp;Tabela1[[#This Row],[MATRICULA]]&amp;"Receptiva 2"&amp;Tabela1[[#This Row],[SETOR]],BD!A:AF,31,0),"")</f>
        <v/>
      </c>
      <c r="AJ6" s="21" t="str">
        <f>IFERROR(VLOOKUP(Tabela1[[#This Row],[MÊS]]&amp;Tabela1[[#This Row],[ID]]&amp;Tabela1[[#This Row],[MATRICULA]]&amp;"Receptiva 3"&amp;Tabela1[[#This Row],[SETOR]],BD!A:AF,31,0),"")</f>
        <v/>
      </c>
      <c r="AK6" s="21" t="str">
        <f>IFERROR(VLOOKUP(Tabela1[[#This Row],[MÊS]]&amp;Tabela1[[#This Row],[ID]]&amp;Tabela1[[#This Row],[MATRICULA]]&amp;"Receptiva 4"&amp;Tabela1[[#This Row],[SETOR]],BD!A:AF,31,0),"")</f>
        <v/>
      </c>
      <c r="AL6" s="21" t="str">
        <f>IFERROR(VLOOKUP(Tabela1[[#This Row],[MÊS]]&amp;Tabela1[[#This Row],[MATRICULA]]&amp;"Motorista"&amp;Tabela1[[#This Row],[SETOR]],BD!A:AF,31,0),"")</f>
        <v/>
      </c>
      <c r="AM6" s="21" t="str">
        <f>IFERROR(VLOOKUP(Tabela1[[#This Row],[MÊS]]&amp;Tabela1[[#This Row],[ID]]&amp;Tabela1[[#This Row],[MATRICULA]]&amp;"Motorista 2"&amp;Tabela1[[#This Row],[SETOR]],BD!A:AF,26,0),"")</f>
        <v/>
      </c>
      <c r="AN6" s="21" t="str">
        <f>IFERROR(VLOOKUP(Tabela1[[#This Row],[MÊS]]&amp;Tabela1[[#This Row],[ID]]&amp;Tabela1[[#This Row],[MATRICULA]]&amp;"Motorista 3"&amp;Tabela1[[#This Row],[SETOR]],BD!A:AF,26,0),"")</f>
        <v/>
      </c>
      <c r="AO6" s="21" t="str">
        <f>IFERROR(VLOOKUP(Tabela1[[#This Row],[MÊS]]&amp;Tabela1[[#This Row],[ID]]&amp;Tabela1[[#This Row],[MATRICULA]]&amp;"Motorista 4"&amp;Tabela1[[#This Row],[SETOR]],BD!A:AF,26,0),"")</f>
        <v/>
      </c>
      <c r="AP6" s="21" t="str">
        <f>IFERROR(VLOOKUP(Tabela1[[#This Row],[MÊS]]&amp;Tabela1[[#This Row],[MATRICULA]]&amp;"Ponto de Apoio"&amp;Tabela1[[#This Row],[SETOR]],BD!A:AF,31,0),"")</f>
        <v/>
      </c>
      <c r="AQ6" s="21" t="str">
        <f>IFERROR(VLOOKUP(Tabela1[[#This Row],[MÊS]]&amp;Tabela1[[#This Row],[ID]]&amp;Tabela1[[#This Row],[MATRICULA]]&amp;"Ponto de Apoio 2"&amp;Tabela1[[#This Row],[SETOR]],BD!A:AF,26,0),"")</f>
        <v/>
      </c>
      <c r="AR6" s="36" t="str">
        <f>IFERROR(VLOOKUP(Tabela1[[#This Row],[MÊS]]&amp;Tabela1[[#This Row],[ID]]&amp;Tabela1[[#This Row],[MATRICULA]]&amp;"Ponto de Apoio 3"&amp;Tabela1[[#This Row],[SETOR]],BD!A:AF,26,0),"")</f>
        <v/>
      </c>
      <c r="AS6" s="36" t="str">
        <f>IFERROR(VLOOKUP(Tabela1[[#This Row],[MÊS]]&amp;Tabela1[[#This Row],[ID]]&amp;Tabela1[[#This Row],[MATRICULA]]&amp;"Ponto de Apoio 4"&amp;Tabela1[[#This Row],[SETOR]],BD!A:AF,26,0),"")</f>
        <v/>
      </c>
      <c r="AT6" s="21" t="str">
        <f>IFERROR(VLOOKUP(Tabela1[[#This Row],[MÊS]]&amp;Tabela1[[#This Row],[MATRICULA]]&amp;"Cliente"&amp;Tabela1[[#This Row],[SETOR]],BD!A:AF,31,0),"")</f>
        <v/>
      </c>
      <c r="AU6" s="21" t="str">
        <f>IFERROR(VLOOKUP(Tabela1[[#This Row],[MÊS]]&amp;Tabela1[[#This Row],[ID]]&amp;Tabela1[[#This Row],[MATRICULA]]&amp;"Cliente 2"&amp;Tabela1[[#This Row],[SETOR]],BD!A:AF,26,0),"")</f>
        <v/>
      </c>
      <c r="AX6" s="21" t="str">
        <f>IFERROR(VLOOKUP(Tabela1[[#This Row],[MÊS]]&amp;Tabela1[[#This Row],[MATRICULA]]&amp;"Policia"&amp;Tabela1[[#This Row],[SETOR]],BD!A:AF,31,0),"")</f>
        <v/>
      </c>
      <c r="AY6" s="21" t="str">
        <f>IFERROR(VLOOKUP(Tabela1[[#This Row],[MÊS]]&amp;Tabela1[[#This Row],[ID]]&amp;Tabela1[[#This Row],[MATRICULA]]&amp;"Policia 2"&amp;Tabela1[[#This Row],[SETOR]],BD!A:AF,26,0),"")</f>
        <v/>
      </c>
      <c r="AZ6" s="36" t="str">
        <f>IFERROR(VLOOKUP(Tabela1[[#This Row],[MÊS]]&amp;Tabela1[[#This Row],[ID]]&amp;Tabela1[[#This Row],[MATRICULA]]&amp;"Policia 3"&amp;Tabela1[[#This Row],[SETOR]],BD!A:AF,26,0),"")</f>
        <v/>
      </c>
      <c r="BA6" s="36" t="str">
        <f>IFERROR(VLOOKUP(Tabela1[[#This Row],[MÊS]]&amp;Tabela1[[#This Row],[ID]]&amp;Tabela1[[#This Row],[MATRICULA]]&amp;"Policia 4"&amp;Tabela1[[#This Row],[SETOR]],BD!A:AF,26,0),"")</f>
        <v/>
      </c>
      <c r="BB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" s="21" t="str">
        <f>IFERROR(AVERAGE(Tabela1[[#This Row],[M]:[M4]]),"")</f>
        <v/>
      </c>
      <c r="BD6" s="21" t="str">
        <f>IFERROR(AVERAGE(Tabela1[[#This Row],[C]:[C4]]),"")</f>
        <v/>
      </c>
      <c r="BE6" s="21" t="str">
        <f>IFERROR(AVERAGE(Tabela1[[#This Row],[PA2]:[PA 4]]),"")</f>
        <v/>
      </c>
      <c r="BF6" s="21" t="str">
        <f>IFERROR(AVERAGE(Tabela1[[#This Row],[PL]:[PL4]]),"")</f>
        <v/>
      </c>
      <c r="BG6" s="35" t="str">
        <f>IFERROR(VLOOKUP(Tabela1[[#This Row],[MÊS]]&amp;Tabela1[[#This Row],[MATRICULA]],#REF!,2,0),"")</f>
        <v/>
      </c>
      <c r="BH6" s="35" t="str">
        <f>IFERROR(VLOOKUP(Tabela1[[#This Row],[MÊS]]&amp;Tabela1[[#This Row],[MATRICULA]],#REF!,2,0),"")</f>
        <v/>
      </c>
      <c r="BI6" s="35" t="str">
        <f>IFERROR(VLOOKUP(Tabela1[[#This Row],[MÊS]]&amp;Tabela1[[#This Row],[MATRICULA]],#REF!,2,0),"")</f>
        <v/>
      </c>
      <c r="BJ6" s="35" t="str">
        <f>IFERROR(VLOOKUP(Tabela1[[#This Row],[MÊS]]&amp;Tabela1[[#This Row],[MATRICULA]],#REF!,2,0),"")</f>
        <v/>
      </c>
      <c r="BK6" s="35" t="str">
        <f>IFERROR(VLOOKUP(Tabela1[[#This Row],[MÊS]]&amp;Tabela1[[#This Row],[MATRICULA]],#REF!,2,0),"")</f>
        <v/>
      </c>
      <c r="BL6" s="21">
        <f>COUNTIF(Tabela1[[#This Row],[MOT2]:[RECEPTIVA]],"NÃO ENCONTRADA")</f>
        <v>0</v>
      </c>
      <c r="BM6" s="135" t="str">
        <f>IFERROR(VLOOKUP(Tabela1[[#This Row],[MÊS]]&amp;Tabela1[[#This Row],[ID]]&amp;Tabela1[[#This Row],[MATRICULA]]&amp;"Motorista"&amp;Tabela1[[#This Row],[SETOR]],BD!A:AF,13,0),"")</f>
        <v/>
      </c>
      <c r="BN6" s="135" t="str">
        <f>IFERROR(VLOOKUP(Tabela1[[#This Row],[MÊS]]&amp;Tabela1[[#This Row],[ID]]&amp;Tabela1[[#This Row],[MATRICULA]]&amp;"Motorista 2"&amp;Tabela1[[#This Row],[SETOR]],BD!A:AF,13,0),"")</f>
        <v/>
      </c>
      <c r="BO6" s="135" t="str">
        <f>IFERROR(VLOOKUP(Tabela1[[#This Row],[MÊS]]&amp;Tabela1[[#This Row],[ID]]&amp;Tabela1[[#This Row],[MATRICULA]]&amp;"Motorista 3"&amp;Tabela1[[#This Row],[SETOR]],BD!A:AF,13,0),"")</f>
        <v/>
      </c>
      <c r="BP6" s="135" t="str">
        <f>IFERROR(VLOOKUP(Tabela1[[#This Row],[MÊS]]&amp;Tabela1[[#This Row],[ID]]&amp;Tabela1[[#This Row],[MATRICULA]]&amp;"Motorista 4"&amp;Tabela1[[#This Row],[SETOR]],BD!A:AF,13,0),"")</f>
        <v/>
      </c>
      <c r="BQ6" s="135" t="str">
        <f>IFERROR(AVERAGE(Tabela1[[#This Row],[DMOT]:[DMOT4]]),"")</f>
        <v/>
      </c>
      <c r="BR6" s="135" t="str">
        <f>IFERROR(VLOOKUP(Tabela1[[#This Row],[MÊS]]&amp;Tabela1[[#This Row],[ID]]&amp;Tabela1[[#This Row],[MATRICULA]]&amp;"Ponto de Apoio"&amp;Tabela1[[#This Row],[SETOR]],BD!A:AF,13,0),"")</f>
        <v/>
      </c>
      <c r="BS6" s="135" t="str">
        <f>IFERROR(VLOOKUP(Tabela1[[#This Row],[MÊS]]&amp;Tabela1[[#This Row],[ID]]&amp;Tabela1[[#This Row],[MATRICULA]]&amp;"Ponto de Apoio 2"&amp;Tabela1[[#This Row],[SETOR]],BD!A:AF,13,0),"")</f>
        <v/>
      </c>
      <c r="BT6" s="135" t="str">
        <f>IFERROR(VLOOKUP(Tabela1[[#This Row],[MÊS]]&amp;Tabela1[[#This Row],[ID]]&amp;Tabela1[[#This Row],[MATRICULA]]&amp;"Ponto de Apoio 3"&amp;Tabela1[[#This Row],[SETOR]],BD!A:AF,13,0),"")</f>
        <v/>
      </c>
      <c r="BU6" s="135" t="str">
        <f>IFERROR(VLOOKUP(Tabela1[[#This Row],[MÊS]]&amp;Tabela1[[#This Row],[ID]]&amp;Tabela1[[#This Row],[MATRICULA]]&amp;"Ponto de Apoio 4"&amp;Tabela1[[#This Row],[SETOR]],BD!A:AF,13,0),"")</f>
        <v/>
      </c>
      <c r="BV6" s="135" t="str">
        <f>IFERROR(AVERAGE(Tabela1[[#This Row],[DPA]:[DPA 4]]),"")</f>
        <v/>
      </c>
      <c r="BW6" s="135" t="str">
        <f>IFERROR(VLOOKUP(Tabela1[[#This Row],[MÊS]]&amp;Tabela1[[#This Row],[ID]]&amp;Tabela1[[#This Row],[MATRICULA]]&amp;"Cliente"&amp;Tabela1[[#This Row],[SETOR]],BD!A:AF,13,0),"")</f>
        <v/>
      </c>
      <c r="BX6" s="135" t="str">
        <f>IFERROR(VLOOKUP(Tabela1[[#This Row],[MÊS]]&amp;Tabela1[[#This Row],[ID]]&amp;Tabela1[[#This Row],[MATRICULA]]&amp;"cliente 2"&amp;Tabela1[[#This Row],[SETOR]],BD!A:AF,13,0),"")</f>
        <v/>
      </c>
      <c r="BY6" s="135" t="str">
        <f>IFERROR(VLOOKUP(Tabela1[[#This Row],[MÊS]]&amp;Tabela1[[#This Row],[ID]]&amp;Tabela1[[#This Row],[MATRICULA]]&amp;"cliente 3"&amp;Tabela1[[#This Row],[SETOR]],BD!A:AF,13,0),"")</f>
        <v/>
      </c>
      <c r="BZ6" s="135" t="str">
        <f>IFERROR(VLOOKUP(Tabela1[[#This Row],[MÊS]]&amp;Tabela1[[#This Row],[ID]]&amp;Tabela1[[#This Row],[MATRICULA]]&amp;"cliente 4"&amp;Tabela1[[#This Row],[SETOR]],BD!A:AF,13,0),"")</f>
        <v/>
      </c>
      <c r="CA6" s="135" t="str">
        <f>IFERROR(AVERAGE(Tabela1[[#This Row],[DCLI]:[DCLI 4]]),"")</f>
        <v/>
      </c>
      <c r="CB6" s="135" t="str">
        <f>IFERROR(VLOOKUP(Tabela1[[#This Row],[MÊS]]&amp;Tabela1[[#This Row],[ID]]&amp;Tabela1[[#This Row],[MATRICULA]]&amp;"Policia"&amp;Tabela1[[#This Row],[SETOR]],BD!A:AF,13,0),"")</f>
        <v/>
      </c>
      <c r="CC6" s="135" t="str">
        <f>IFERROR(VLOOKUP(Tabela1[[#This Row],[MÊS]]&amp;Tabela1[[#This Row],[ID]]&amp;Tabela1[[#This Row],[MATRICULA]]&amp;"Policia 2"&amp;Tabela1[[#This Row],[SETOR]],BD!A:AF,13,0),"")</f>
        <v/>
      </c>
      <c r="CD6" s="135"/>
      <c r="CE6" s="135"/>
      <c r="CF6" s="135" t="str">
        <f>IFERROR((AVERAGE(Tabela1[[#This Row],[DPOL1]:[DPOL4]])),"")</f>
        <v/>
      </c>
      <c r="CG6" s="21" t="str">
        <f>IFERROR(VLOOKUP(Tabela1[[#This Row],[ID]]&amp;Tabela1[[#This Row],[MÊS]]&amp;Tabela1[[#This Row],[MATRICULA]],#REF!,2,0),"")</f>
        <v/>
      </c>
      <c r="CH6" s="21" t="str">
        <f>IFERROR(VLOOKUP(Tabela1[[#This Row],[ID]]&amp;Tabela1[[#This Row],[MÊS]]&amp;Tabela1[[#This Row],[MATRICULA]],#REF!,2,0),"")</f>
        <v/>
      </c>
      <c r="CI6" s="21" t="str">
        <f>IFERROR(VLOOKUP(Tabela1[[#This Row],[MÊS]]&amp;Tabela1[[#This Row],[MATRICULA]],#REF!,2,0),"")</f>
        <v/>
      </c>
    </row>
    <row r="7" spans="1:87">
      <c r="A7" s="12" t="str">
        <f>Tabela1[[#This Row],[MÊS]]&amp;Tabela1[[#This Row],[MATRICULA]]&amp;Tabela1[[#This Row],[ID]]</f>
        <v>JAN107095</v>
      </c>
      <c r="B7" s="12" t="str">
        <f>Tabela1[[#This Row],[MÊS]]&amp;Tabela1[[#This Row],[ID]]&amp;Tabela1[[#This Row],[MATRICULA]]&amp;Tabela1[[#This Row],[SETOR]]</f>
        <v>JAN510709CADASTRO</v>
      </c>
      <c r="C7" s="130" t="e">
        <f>VLOOKUP(Tabela1[[#This Row],[MATRICULA]],'BD Campos'!A:D,5,0)</f>
        <v>#REF!</v>
      </c>
      <c r="D7" s="133" t="str">
        <f ca="1">IFERROR(SUM(TODAY()-Tabela1[[#This Row],[ADMISSÃO]]),"")</f>
        <v/>
      </c>
      <c r="E7" s="11" t="str">
        <f ca="1">IFERROR(TRUNC(Tabela1[[#This Row],[TEMPO DE CASA (DIAS)]]/30),"")</f>
        <v/>
      </c>
      <c r="F7" s="32" t="str">
        <f ca="1">IFERROR(SUM(Tabela1[[#This Row],[TEMPO DE CASA (MESES)]]/12),"")</f>
        <v/>
      </c>
      <c r="G7" s="133" t="str">
        <f ca="1">IF(Tabela1[[#This Row],[TEMPO DE CASA (DIAS)]]="","SEM DADOS",IF(Tabela1[[#This Row],[TEMPO DE CASA (DIAS)]]&gt;180,"&gt; 6 MESES","&lt; 6 MESES"))</f>
        <v>SEM DADOS</v>
      </c>
      <c r="H7" s="12" t="str">
        <f t="shared" si="1"/>
        <v>JANLarissa Cristina5</v>
      </c>
      <c r="I7" s="12" t="str">
        <f>IFERROR(VLOOKUP(Tabela1[[#This Row],[MATRICULA]],'BD Campos'!A:F,7,0),"")</f>
        <v/>
      </c>
      <c r="J7" s="11">
        <v>5</v>
      </c>
      <c r="K7" s="11" t="s">
        <v>669</v>
      </c>
      <c r="L7" s="136">
        <v>10709</v>
      </c>
      <c r="M7" s="12" t="str">
        <f>IFERROR(VLOOKUP(Tabela1[[#This Row],[MATRICULA]],'BD Campos'!A:B,2,0),"")</f>
        <v>KELLY CRISTINA OLIVEIRA SANTOS</v>
      </c>
      <c r="N7" s="20" t="str">
        <f>IFERROR(AVERAGE(Tabela1[[#This Row],[A1]:[A4]]),"")</f>
        <v/>
      </c>
      <c r="O7" s="20">
        <f>IFERROR(IF(Tabela1[[#This Row],[SETOR]]="RECEPTIVO","",AVERAGE(Tabela1[[#This Row],[A5]:[A6]])),"")</f>
        <v>10.000000000000002</v>
      </c>
      <c r="P7" s="20" t="str">
        <f>IFERROR(IF(Tabela1[[#This Row],[STATUS]]="INATIVO","INATIVO",IF(Tabela1[[#This Row],[STATUS]]="QRT","INATIVO",IF(Tabela1[[#This Row],[OPERACIONAL]]&gt;7.99999,"BOM","RUIM"))),"")</f>
        <v>BOM</v>
      </c>
      <c r="Q7" s="21" t="s">
        <v>667</v>
      </c>
      <c r="R7" s="12" t="s">
        <v>82</v>
      </c>
      <c r="S7" s="12" t="s">
        <v>668</v>
      </c>
      <c r="T7" s="12" t="s">
        <v>82</v>
      </c>
      <c r="U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7" s="12">
        <f>IF(AND(Tabela1[[#This Row],[SETOR]]="UTI",Tabela1[[#This Row],[M]]&lt;&gt;""),1,IF(AND(Tabela1[[#This Row],[SETOR]]="UTI (RJ)",Tabela1[[#This Row],[M]]&lt;&gt;""),1.5,0))</f>
        <v>0</v>
      </c>
      <c r="X7" s="12">
        <f>IF(AND(Tabela1[[#This Row],[SETOR]]="UTI",Tabela1[[#This Row],[PA2]]&lt;&gt;""),1,IF(AND(Tabela1[[#This Row],[SETOR]]="UTI (RJ)",Tabela1[[#This Row],[PA2]]&lt;&gt;""),0,0))</f>
        <v>0</v>
      </c>
      <c r="Y7" s="12">
        <f>IF(AND(Tabela1[[#This Row],[SETOR]]="UTI",Tabela1[[#This Row],[C]]&lt;&gt;""),1,IF(AND(Tabela1[[#This Row],[SETOR]]="UTI (RJ)",Tabela1[[#This Row],[C]]&lt;&gt;""),1.5,0))</f>
        <v>0</v>
      </c>
      <c r="Z7" s="12">
        <f>IF(AND(Tabela1[[#This Row],[SETOR]]="UTI",Tabela1[[#This Row],[PL]]&lt;&gt;""),1,IF(AND(Tabela1[[#This Row],[SETOR]]="UTI (RJ)",Tabela1[[#This Row],[PL]]&lt;&gt;""),1,0))</f>
        <v>0</v>
      </c>
      <c r="AA7" s="21" t="str">
        <f>IFERROR(VLOOKUP(Tabela1[[#This Row],[MÊS]]&amp;Tabela1[[#This Row],[MATRICULA]]&amp;"1"&amp;Tabela1[[#This Row],[SETOR]]&amp;"PADRÃO",BD!B:AF,31,0),"")</f>
        <v/>
      </c>
      <c r="AB7" s="21" t="str">
        <f>IFERROR(VLOOKUP(Tabela1[[#This Row],[MÊS]]&amp;Tabela1[[#This Row],[MATRICULA]]&amp;"2"&amp;Tabela1[[#This Row],[SETOR]]&amp;"PADRÃO",BD!B:AF,31,0),"")</f>
        <v/>
      </c>
      <c r="AC7" s="21" t="str">
        <f>IFERROR(VLOOKUP(Tabela1[[#This Row],[MÊS]]&amp;Tabela1[[#This Row],[MATRICULA]]&amp;"3"&amp;Tabela1[[#This Row],[SETOR]]&amp;"PADRÃO",BD!B:AF,31,0),"")</f>
        <v/>
      </c>
      <c r="AD7" s="21" t="str">
        <f>IFERROR(VLOOKUP(Tabela1[[#This Row],[MÊS]]&amp;Tabela1[[#This Row],[MATRICULA]]&amp;"4"&amp;Tabela1[[#This Row],[SETOR]]&amp;"PADRÃO",BD!B:AF,25,0),"")</f>
        <v/>
      </c>
      <c r="AE7" s="21">
        <f>IFERROR(VLOOKUP(Tabela1[[#This Row],[MÊS]]&amp;Tabela1[[#This Row],[MATRICULA]]&amp;"5"&amp;Tabela1[[#This Row],[SETOR]]&amp;"PADRÃO",BD!B:AF,31,0),"")</f>
        <v>10.000000000000002</v>
      </c>
      <c r="AF7" s="21">
        <f>IFERROR(VLOOKUP(Tabela1[[#This Row],[MÊS]]&amp;Tabela1[[#This Row],[MATRICULA]]&amp;"6"&amp;Tabela1[[#This Row],[SETOR]]&amp;"PADRÃO",BD!B:AF,31,0),"")</f>
        <v>10.000000000000002</v>
      </c>
      <c r="AG7" s="21" t="str">
        <f>IFERROR(VLOOKUP(Tabela1[[#This Row],[MÊS]]&amp;Tabela1[[#This Row],[MATRICULA]]&amp;"7"&amp;Tabela1[[#This Row],[SETOR]]&amp;"PADRÃO",BD!B:AF,31,0),"")</f>
        <v/>
      </c>
      <c r="AH7" s="21" t="str">
        <f>IFERROR(VLOOKUP(Tabela1[[#This Row],[MÊS]]&amp;Tabela1[[#This Row],[ID]]&amp;Tabela1[[#This Row],[MATRICULA]]&amp;"Receptiva"&amp;Tabela1[[#This Row],[SETOR]],BD!A:AF,31,0),"")</f>
        <v/>
      </c>
      <c r="AI7" s="21" t="str">
        <f>IFERROR(VLOOKUP(Tabela1[[#This Row],[MÊS]]&amp;Tabela1[[#This Row],[ID]]&amp;Tabela1[[#This Row],[MATRICULA]]&amp;"Receptiva 2"&amp;Tabela1[[#This Row],[SETOR]],BD!A:AF,31,0),"")</f>
        <v/>
      </c>
      <c r="AJ7" s="21" t="str">
        <f>IFERROR(VLOOKUP(Tabela1[[#This Row],[MÊS]]&amp;Tabela1[[#This Row],[ID]]&amp;Tabela1[[#This Row],[MATRICULA]]&amp;"Receptiva 3"&amp;Tabela1[[#This Row],[SETOR]],BD!A:AF,31,0),"")</f>
        <v/>
      </c>
      <c r="AK7" s="21" t="str">
        <f>IFERROR(VLOOKUP(Tabela1[[#This Row],[MÊS]]&amp;Tabela1[[#This Row],[ID]]&amp;Tabela1[[#This Row],[MATRICULA]]&amp;"Receptiva 4"&amp;Tabela1[[#This Row],[SETOR]],BD!A:AF,31,0),"")</f>
        <v/>
      </c>
      <c r="AL7" s="21" t="str">
        <f>IFERROR(VLOOKUP(Tabela1[[#This Row],[MÊS]]&amp;Tabela1[[#This Row],[MATRICULA]]&amp;"Motorista"&amp;Tabela1[[#This Row],[SETOR]],BD!A:AF,31,0),"")</f>
        <v/>
      </c>
      <c r="AM7" s="21" t="str">
        <f>IFERROR(VLOOKUP(Tabela1[[#This Row],[MÊS]]&amp;Tabela1[[#This Row],[ID]]&amp;Tabela1[[#This Row],[MATRICULA]]&amp;"Motorista 2"&amp;Tabela1[[#This Row],[SETOR]],BD!A:AF,26,0),"")</f>
        <v/>
      </c>
      <c r="AN7" s="21" t="str">
        <f>IFERROR(VLOOKUP(Tabela1[[#This Row],[MÊS]]&amp;Tabela1[[#This Row],[ID]]&amp;Tabela1[[#This Row],[MATRICULA]]&amp;"Motorista 3"&amp;Tabela1[[#This Row],[SETOR]],BD!A:AF,26,0),"")</f>
        <v/>
      </c>
      <c r="AO7" s="21" t="str">
        <f>IFERROR(VLOOKUP(Tabela1[[#This Row],[MÊS]]&amp;Tabela1[[#This Row],[ID]]&amp;Tabela1[[#This Row],[MATRICULA]]&amp;"Motorista 4"&amp;Tabela1[[#This Row],[SETOR]],BD!A:AF,26,0),"")</f>
        <v/>
      </c>
      <c r="AP7" s="21" t="str">
        <f>IFERROR(VLOOKUP(Tabela1[[#This Row],[MÊS]]&amp;Tabela1[[#This Row],[MATRICULA]]&amp;"Ponto de Apoio"&amp;Tabela1[[#This Row],[SETOR]],BD!A:AF,31,0),"")</f>
        <v/>
      </c>
      <c r="AQ7" s="21" t="str">
        <f>IFERROR(VLOOKUP(Tabela1[[#This Row],[MÊS]]&amp;Tabela1[[#This Row],[ID]]&amp;Tabela1[[#This Row],[MATRICULA]]&amp;"Ponto de Apoio 2"&amp;Tabela1[[#This Row],[SETOR]],BD!A:AF,26,0),"")</f>
        <v/>
      </c>
      <c r="AR7" s="36" t="str">
        <f>IFERROR(VLOOKUP(Tabela1[[#This Row],[MÊS]]&amp;Tabela1[[#This Row],[ID]]&amp;Tabela1[[#This Row],[MATRICULA]]&amp;"Ponto de Apoio 3"&amp;Tabela1[[#This Row],[SETOR]],BD!A:AF,26,0),"")</f>
        <v/>
      </c>
      <c r="AS7" s="36" t="str">
        <f>IFERROR(VLOOKUP(Tabela1[[#This Row],[MÊS]]&amp;Tabela1[[#This Row],[ID]]&amp;Tabela1[[#This Row],[MATRICULA]]&amp;"Ponto de Apoio 4"&amp;Tabela1[[#This Row],[SETOR]],BD!A:AF,26,0),"")</f>
        <v/>
      </c>
      <c r="AT7" s="21" t="str">
        <f>IFERROR(VLOOKUP(Tabela1[[#This Row],[MÊS]]&amp;Tabela1[[#This Row],[MATRICULA]]&amp;"Cliente"&amp;Tabela1[[#This Row],[SETOR]],BD!A:AF,31,0),"")</f>
        <v/>
      </c>
      <c r="AU7" s="21" t="str">
        <f>IFERROR(VLOOKUP(Tabela1[[#This Row],[MÊS]]&amp;Tabela1[[#This Row],[ID]]&amp;Tabela1[[#This Row],[MATRICULA]]&amp;"Cliente 2"&amp;Tabela1[[#This Row],[SETOR]],BD!A:AF,26,0),"")</f>
        <v/>
      </c>
      <c r="AX7" s="21" t="str">
        <f>IFERROR(VLOOKUP(Tabela1[[#This Row],[MÊS]]&amp;Tabela1[[#This Row],[MATRICULA]]&amp;"Policia"&amp;Tabela1[[#This Row],[SETOR]],BD!A:AF,31,0),"")</f>
        <v/>
      </c>
      <c r="AY7" s="21" t="str">
        <f>IFERROR(VLOOKUP(Tabela1[[#This Row],[MÊS]]&amp;Tabela1[[#This Row],[ID]]&amp;Tabela1[[#This Row],[MATRICULA]]&amp;"Policia 2"&amp;Tabela1[[#This Row],[SETOR]],BD!A:AF,26,0),"")</f>
        <v/>
      </c>
      <c r="AZ7" s="36" t="str">
        <f>IFERROR(VLOOKUP(Tabela1[[#This Row],[MÊS]]&amp;Tabela1[[#This Row],[ID]]&amp;Tabela1[[#This Row],[MATRICULA]]&amp;"Policia 3"&amp;Tabela1[[#This Row],[SETOR]],BD!A:AF,26,0),"")</f>
        <v/>
      </c>
      <c r="BA7" s="36" t="str">
        <f>IFERROR(VLOOKUP(Tabela1[[#This Row],[MÊS]]&amp;Tabela1[[#This Row],[ID]]&amp;Tabela1[[#This Row],[MATRICULA]]&amp;"Policia 4"&amp;Tabela1[[#This Row],[SETOR]],BD!A:AF,26,0),"")</f>
        <v/>
      </c>
      <c r="BB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7" s="21" t="str">
        <f>IFERROR(AVERAGE(Tabela1[[#This Row],[M]:[M4]]),"")</f>
        <v/>
      </c>
      <c r="BD7" s="21" t="str">
        <f>IFERROR(AVERAGE(Tabela1[[#This Row],[C]:[C4]]),"")</f>
        <v/>
      </c>
      <c r="BE7" s="21" t="str">
        <f>IFERROR(AVERAGE(Tabela1[[#This Row],[PA2]:[PA 4]]),"")</f>
        <v/>
      </c>
      <c r="BF7" s="21" t="str">
        <f>IFERROR(AVERAGE(Tabela1[[#This Row],[PL]:[PL4]]),"")</f>
        <v/>
      </c>
      <c r="BG7" s="35" t="str">
        <f>IFERROR(VLOOKUP(Tabela1[[#This Row],[MÊS]]&amp;Tabela1[[#This Row],[MATRICULA]],#REF!,2,0),"")</f>
        <v/>
      </c>
      <c r="BH7" s="35" t="str">
        <f>IFERROR(VLOOKUP(Tabela1[[#This Row],[MÊS]]&amp;Tabela1[[#This Row],[MATRICULA]],#REF!,2,0),"")</f>
        <v/>
      </c>
      <c r="BI7" s="35" t="str">
        <f>IFERROR(VLOOKUP(Tabela1[[#This Row],[MÊS]]&amp;Tabela1[[#This Row],[MATRICULA]],#REF!,2,0),"")</f>
        <v/>
      </c>
      <c r="BJ7" s="35" t="str">
        <f>IFERROR(VLOOKUP(Tabela1[[#This Row],[MÊS]]&amp;Tabela1[[#This Row],[MATRICULA]],#REF!,2,0),"")</f>
        <v/>
      </c>
      <c r="BK7" s="35" t="str">
        <f>IFERROR(VLOOKUP(Tabela1[[#This Row],[MÊS]]&amp;Tabela1[[#This Row],[MATRICULA]],#REF!,2,0),"")</f>
        <v/>
      </c>
      <c r="BL7" s="21">
        <f>COUNTIF(Tabela1[[#This Row],[MOT2]:[RECEPTIVA]],"NÃO ENCONTRADA")</f>
        <v>0</v>
      </c>
      <c r="BM7" s="135" t="str">
        <f>IFERROR(VLOOKUP(Tabela1[[#This Row],[MÊS]]&amp;Tabela1[[#This Row],[ID]]&amp;Tabela1[[#This Row],[MATRICULA]]&amp;"Motorista"&amp;Tabela1[[#This Row],[SETOR]],BD!A:AF,13,0),"")</f>
        <v/>
      </c>
      <c r="BN7" s="135" t="str">
        <f>IFERROR(VLOOKUP(Tabela1[[#This Row],[MÊS]]&amp;Tabela1[[#This Row],[ID]]&amp;Tabela1[[#This Row],[MATRICULA]]&amp;"Motorista 2"&amp;Tabela1[[#This Row],[SETOR]],BD!A:AF,13,0),"")</f>
        <v/>
      </c>
      <c r="BO7" s="135" t="str">
        <f>IFERROR(VLOOKUP(Tabela1[[#This Row],[MÊS]]&amp;Tabela1[[#This Row],[ID]]&amp;Tabela1[[#This Row],[MATRICULA]]&amp;"Motorista 3"&amp;Tabela1[[#This Row],[SETOR]],BD!A:AF,13,0),"")</f>
        <v/>
      </c>
      <c r="BP7" s="135" t="str">
        <f>IFERROR(VLOOKUP(Tabela1[[#This Row],[MÊS]]&amp;Tabela1[[#This Row],[ID]]&amp;Tabela1[[#This Row],[MATRICULA]]&amp;"Motorista 4"&amp;Tabela1[[#This Row],[SETOR]],BD!A:AF,13,0),"")</f>
        <v/>
      </c>
      <c r="BQ7" s="135" t="str">
        <f>IFERROR(AVERAGE(Tabela1[[#This Row],[DMOT]:[DMOT4]]),"")</f>
        <v/>
      </c>
      <c r="BR7" s="135" t="str">
        <f>IFERROR(VLOOKUP(Tabela1[[#This Row],[MÊS]]&amp;Tabela1[[#This Row],[ID]]&amp;Tabela1[[#This Row],[MATRICULA]]&amp;"Ponto de Apoio"&amp;Tabela1[[#This Row],[SETOR]],BD!A:AF,13,0),"")</f>
        <v/>
      </c>
      <c r="BS7" s="135" t="str">
        <f>IFERROR(VLOOKUP(Tabela1[[#This Row],[MÊS]]&amp;Tabela1[[#This Row],[ID]]&amp;Tabela1[[#This Row],[MATRICULA]]&amp;"Ponto de Apoio 2"&amp;Tabela1[[#This Row],[SETOR]],BD!A:AF,13,0),"")</f>
        <v/>
      </c>
      <c r="BT7" s="135" t="str">
        <f>IFERROR(VLOOKUP(Tabela1[[#This Row],[MÊS]]&amp;Tabela1[[#This Row],[ID]]&amp;Tabela1[[#This Row],[MATRICULA]]&amp;"Ponto de Apoio 3"&amp;Tabela1[[#This Row],[SETOR]],BD!A:AF,13,0),"")</f>
        <v/>
      </c>
      <c r="BU7" s="135" t="str">
        <f>IFERROR(VLOOKUP(Tabela1[[#This Row],[MÊS]]&amp;Tabela1[[#This Row],[ID]]&amp;Tabela1[[#This Row],[MATRICULA]]&amp;"Ponto de Apoio 4"&amp;Tabela1[[#This Row],[SETOR]],BD!A:AF,13,0),"")</f>
        <v/>
      </c>
      <c r="BV7" s="135" t="str">
        <f>IFERROR(AVERAGE(Tabela1[[#This Row],[DPA]:[DPA 4]]),"")</f>
        <v/>
      </c>
      <c r="BW7" s="135" t="str">
        <f>IFERROR(VLOOKUP(Tabela1[[#This Row],[MÊS]]&amp;Tabela1[[#This Row],[ID]]&amp;Tabela1[[#This Row],[MATRICULA]]&amp;"Cliente"&amp;Tabela1[[#This Row],[SETOR]],BD!A:AF,13,0),"")</f>
        <v/>
      </c>
      <c r="BX7" s="135" t="str">
        <f>IFERROR(VLOOKUP(Tabela1[[#This Row],[MÊS]]&amp;Tabela1[[#This Row],[ID]]&amp;Tabela1[[#This Row],[MATRICULA]]&amp;"cliente 2"&amp;Tabela1[[#This Row],[SETOR]],BD!A:AF,13,0),"")</f>
        <v/>
      </c>
      <c r="BY7" s="135" t="str">
        <f>IFERROR(VLOOKUP(Tabela1[[#This Row],[MÊS]]&amp;Tabela1[[#This Row],[ID]]&amp;Tabela1[[#This Row],[MATRICULA]]&amp;"cliente 3"&amp;Tabela1[[#This Row],[SETOR]],BD!A:AF,13,0),"")</f>
        <v/>
      </c>
      <c r="BZ7" s="135" t="str">
        <f>IFERROR(VLOOKUP(Tabela1[[#This Row],[MÊS]]&amp;Tabela1[[#This Row],[ID]]&amp;Tabela1[[#This Row],[MATRICULA]]&amp;"cliente 4"&amp;Tabela1[[#This Row],[SETOR]],BD!A:AF,13,0),"")</f>
        <v/>
      </c>
      <c r="CA7" s="135" t="str">
        <f>IFERROR(AVERAGE(Tabela1[[#This Row],[DCLI]:[DCLI 4]]),"")</f>
        <v/>
      </c>
      <c r="CB7" s="135" t="str">
        <f>IFERROR(VLOOKUP(Tabela1[[#This Row],[MÊS]]&amp;Tabela1[[#This Row],[ID]]&amp;Tabela1[[#This Row],[MATRICULA]]&amp;"Policia"&amp;Tabela1[[#This Row],[SETOR]],BD!A:AF,13,0),"")</f>
        <v/>
      </c>
      <c r="CC7" s="135" t="str">
        <f>IFERROR(VLOOKUP(Tabela1[[#This Row],[MÊS]]&amp;Tabela1[[#This Row],[ID]]&amp;Tabela1[[#This Row],[MATRICULA]]&amp;"Policia 2"&amp;Tabela1[[#This Row],[SETOR]],BD!A:AF,13,0),"")</f>
        <v/>
      </c>
      <c r="CD7" s="135"/>
      <c r="CE7" s="135"/>
      <c r="CF7" s="135" t="str">
        <f>IFERROR((AVERAGE(Tabela1[[#This Row],[DPOL1]:[DPOL4]])),"")</f>
        <v/>
      </c>
      <c r="CG7" s="21" t="str">
        <f>IFERROR(VLOOKUP(Tabela1[[#This Row],[ID]]&amp;Tabela1[[#This Row],[MÊS]]&amp;Tabela1[[#This Row],[MATRICULA]],#REF!,2,0),"")</f>
        <v/>
      </c>
      <c r="CH7" s="21" t="str">
        <f>IFERROR(VLOOKUP(Tabela1[[#This Row],[ID]]&amp;Tabela1[[#This Row],[MÊS]]&amp;Tabela1[[#This Row],[MATRICULA]],#REF!,2,0),"")</f>
        <v/>
      </c>
      <c r="CI7" s="21" t="str">
        <f>IFERROR(VLOOKUP(Tabela1[[#This Row],[MÊS]]&amp;Tabela1[[#This Row],[MATRICULA]],#REF!,2,0),"")</f>
        <v/>
      </c>
    </row>
    <row r="8" spans="1:87">
      <c r="A8" s="12" t="str">
        <f>Tabela1[[#This Row],[MÊS]]&amp;Tabela1[[#This Row],[MATRICULA]]&amp;Tabela1[[#This Row],[ID]]</f>
        <v>JAN112696</v>
      </c>
      <c r="B8" s="12" t="str">
        <f>Tabela1[[#This Row],[MÊS]]&amp;Tabela1[[#This Row],[ID]]&amp;Tabela1[[#This Row],[MATRICULA]]&amp;Tabela1[[#This Row],[SETOR]]</f>
        <v>JAN611269CADASTRO</v>
      </c>
      <c r="C8" s="130" t="e">
        <f>VLOOKUP(Tabela1[[#This Row],[MATRICULA]],'BD Campos'!A:D,5,0)</f>
        <v>#REF!</v>
      </c>
      <c r="D8" s="133" t="str">
        <f ca="1">IFERROR(SUM(TODAY()-Tabela1[[#This Row],[ADMISSÃO]]),"")</f>
        <v/>
      </c>
      <c r="E8" s="11" t="str">
        <f ca="1">IFERROR(TRUNC(Tabela1[[#This Row],[TEMPO DE CASA (DIAS)]]/30),"")</f>
        <v/>
      </c>
      <c r="F8" s="32" t="str">
        <f ca="1">IFERROR(SUM(Tabela1[[#This Row],[TEMPO DE CASA (MESES)]]/12),"")</f>
        <v/>
      </c>
      <c r="G8" s="133" t="str">
        <f ca="1">IF(Tabela1[[#This Row],[TEMPO DE CASA (DIAS)]]="","SEM DADOS",IF(Tabela1[[#This Row],[TEMPO DE CASA (DIAS)]]&gt;180,"&gt; 6 MESES","&lt; 6 MESES"))</f>
        <v>SEM DADOS</v>
      </c>
      <c r="H8" s="12" t="str">
        <f t="shared" si="1"/>
        <v>JANLarissa Cristina6</v>
      </c>
      <c r="I8" s="12" t="str">
        <f>IFERROR(VLOOKUP(Tabela1[[#This Row],[MATRICULA]],'BD Campos'!A:F,7,0),"")</f>
        <v/>
      </c>
      <c r="J8" s="11">
        <v>6</v>
      </c>
      <c r="K8" s="11" t="s">
        <v>669</v>
      </c>
      <c r="L8" s="136">
        <v>11269</v>
      </c>
      <c r="M8" s="12" t="str">
        <f>IFERROR(VLOOKUP(Tabela1[[#This Row],[MATRICULA]],'BD Campos'!A:B,2,0),"")</f>
        <v>JULIANA DELL AQUILA</v>
      </c>
      <c r="N8" s="20" t="str">
        <f>IFERROR(AVERAGE(Tabela1[[#This Row],[A1]:[A4]]),"")</f>
        <v/>
      </c>
      <c r="O8" s="20">
        <f>IFERROR(IF(Tabela1[[#This Row],[SETOR]]="RECEPTIVO","",AVERAGE(Tabela1[[#This Row],[A5]:[A6]])),"")</f>
        <v>10.000000000000002</v>
      </c>
      <c r="P8" s="20" t="str">
        <f>IFERROR(IF(Tabela1[[#This Row],[STATUS]]="INATIVO","INATIVO",IF(Tabela1[[#This Row],[STATUS]]="QRT","INATIVO",IF(Tabela1[[#This Row],[OPERACIONAL]]&gt;7.99999,"BOM","RUIM"))),"")</f>
        <v>BOM</v>
      </c>
      <c r="Q8" s="21" t="s">
        <v>667</v>
      </c>
      <c r="R8" s="12" t="s">
        <v>82</v>
      </c>
      <c r="S8" s="12" t="s">
        <v>668</v>
      </c>
      <c r="T8" s="12" t="s">
        <v>82</v>
      </c>
      <c r="U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8" s="12">
        <f>IF(AND(Tabela1[[#This Row],[SETOR]]="UTI",Tabela1[[#This Row],[M]]&lt;&gt;""),1,IF(AND(Tabela1[[#This Row],[SETOR]]="UTI (RJ)",Tabela1[[#This Row],[M]]&lt;&gt;""),1.5,0))</f>
        <v>0</v>
      </c>
      <c r="X8" s="12">
        <f>IF(AND(Tabela1[[#This Row],[SETOR]]="UTI",Tabela1[[#This Row],[PA2]]&lt;&gt;""),1,IF(AND(Tabela1[[#This Row],[SETOR]]="UTI (RJ)",Tabela1[[#This Row],[PA2]]&lt;&gt;""),0,0))</f>
        <v>0</v>
      </c>
      <c r="Y8" s="12">
        <f>IF(AND(Tabela1[[#This Row],[SETOR]]="UTI",Tabela1[[#This Row],[C]]&lt;&gt;""),1,IF(AND(Tabela1[[#This Row],[SETOR]]="UTI (RJ)",Tabela1[[#This Row],[C]]&lt;&gt;""),1.5,0))</f>
        <v>0</v>
      </c>
      <c r="Z8" s="12">
        <f>IF(AND(Tabela1[[#This Row],[SETOR]]="UTI",Tabela1[[#This Row],[PL]]&lt;&gt;""),1,IF(AND(Tabela1[[#This Row],[SETOR]]="UTI (RJ)",Tabela1[[#This Row],[PL]]&lt;&gt;""),1,0))</f>
        <v>0</v>
      </c>
      <c r="AA8" s="21" t="str">
        <f>IFERROR(VLOOKUP(Tabela1[[#This Row],[MÊS]]&amp;Tabela1[[#This Row],[MATRICULA]]&amp;"1"&amp;Tabela1[[#This Row],[SETOR]]&amp;"PADRÃO",BD!B:AF,31,0),"")</f>
        <v/>
      </c>
      <c r="AB8" s="21" t="str">
        <f>IFERROR(VLOOKUP(Tabela1[[#This Row],[MÊS]]&amp;Tabela1[[#This Row],[MATRICULA]]&amp;"2"&amp;Tabela1[[#This Row],[SETOR]]&amp;"PADRÃO",BD!B:AF,31,0),"")</f>
        <v/>
      </c>
      <c r="AC8" s="21" t="str">
        <f>IFERROR(VLOOKUP(Tabela1[[#This Row],[MÊS]]&amp;Tabela1[[#This Row],[MATRICULA]]&amp;"3"&amp;Tabela1[[#This Row],[SETOR]]&amp;"PADRÃO",BD!B:AF,31,0),"")</f>
        <v/>
      </c>
      <c r="AD8" s="21" t="str">
        <f>IFERROR(VLOOKUP(Tabela1[[#This Row],[MÊS]]&amp;Tabela1[[#This Row],[MATRICULA]]&amp;"4"&amp;Tabela1[[#This Row],[SETOR]]&amp;"PADRÃO",BD!B:AF,25,0),"")</f>
        <v/>
      </c>
      <c r="AE8" s="21">
        <f>IFERROR(VLOOKUP(Tabela1[[#This Row],[MÊS]]&amp;Tabela1[[#This Row],[MATRICULA]]&amp;"5"&amp;Tabela1[[#This Row],[SETOR]]&amp;"PADRÃO",BD!B:AF,31,0),"")</f>
        <v>10.000000000000002</v>
      </c>
      <c r="AF8" s="21">
        <f>IFERROR(VLOOKUP(Tabela1[[#This Row],[MÊS]]&amp;Tabela1[[#This Row],[MATRICULA]]&amp;"6"&amp;Tabela1[[#This Row],[SETOR]]&amp;"PADRÃO",BD!B:AF,31,0),"")</f>
        <v>10.000000000000002</v>
      </c>
      <c r="AG8" s="21" t="str">
        <f>IFERROR(VLOOKUP(Tabela1[[#This Row],[MÊS]]&amp;Tabela1[[#This Row],[MATRICULA]]&amp;"7"&amp;Tabela1[[#This Row],[SETOR]]&amp;"PADRÃO",BD!B:AF,31,0),"")</f>
        <v/>
      </c>
      <c r="AH8" s="21" t="str">
        <f>IFERROR(VLOOKUP(Tabela1[[#This Row],[MÊS]]&amp;Tabela1[[#This Row],[ID]]&amp;Tabela1[[#This Row],[MATRICULA]]&amp;"Receptiva"&amp;Tabela1[[#This Row],[SETOR]],BD!A:AF,31,0),"")</f>
        <v/>
      </c>
      <c r="AI8" s="21" t="str">
        <f>IFERROR(VLOOKUP(Tabela1[[#This Row],[MÊS]]&amp;Tabela1[[#This Row],[ID]]&amp;Tabela1[[#This Row],[MATRICULA]]&amp;"Receptiva 2"&amp;Tabela1[[#This Row],[SETOR]],BD!A:AF,31,0),"")</f>
        <v/>
      </c>
      <c r="AJ8" s="21" t="str">
        <f>IFERROR(VLOOKUP(Tabela1[[#This Row],[MÊS]]&amp;Tabela1[[#This Row],[ID]]&amp;Tabela1[[#This Row],[MATRICULA]]&amp;"Receptiva 3"&amp;Tabela1[[#This Row],[SETOR]],BD!A:AF,31,0),"")</f>
        <v/>
      </c>
      <c r="AK8" s="21" t="str">
        <f>IFERROR(VLOOKUP(Tabela1[[#This Row],[MÊS]]&amp;Tabela1[[#This Row],[ID]]&amp;Tabela1[[#This Row],[MATRICULA]]&amp;"Receptiva 4"&amp;Tabela1[[#This Row],[SETOR]],BD!A:AF,31,0),"")</f>
        <v/>
      </c>
      <c r="AL8" s="21" t="str">
        <f>IFERROR(VLOOKUP(Tabela1[[#This Row],[MÊS]]&amp;Tabela1[[#This Row],[MATRICULA]]&amp;"Motorista"&amp;Tabela1[[#This Row],[SETOR]],BD!A:AF,31,0),"")</f>
        <v/>
      </c>
      <c r="AM8" s="21" t="str">
        <f>IFERROR(VLOOKUP(Tabela1[[#This Row],[MÊS]]&amp;Tabela1[[#This Row],[ID]]&amp;Tabela1[[#This Row],[MATRICULA]]&amp;"Motorista 2"&amp;Tabela1[[#This Row],[SETOR]],BD!A:AF,26,0),"")</f>
        <v/>
      </c>
      <c r="AN8" s="21" t="str">
        <f>IFERROR(VLOOKUP(Tabela1[[#This Row],[MÊS]]&amp;Tabela1[[#This Row],[ID]]&amp;Tabela1[[#This Row],[MATRICULA]]&amp;"Motorista 3"&amp;Tabela1[[#This Row],[SETOR]],BD!A:AF,26,0),"")</f>
        <v/>
      </c>
      <c r="AO8" s="21" t="str">
        <f>IFERROR(VLOOKUP(Tabela1[[#This Row],[MÊS]]&amp;Tabela1[[#This Row],[ID]]&amp;Tabela1[[#This Row],[MATRICULA]]&amp;"Motorista 4"&amp;Tabela1[[#This Row],[SETOR]],BD!A:AF,26,0),"")</f>
        <v/>
      </c>
      <c r="AP8" s="21" t="str">
        <f>IFERROR(VLOOKUP(Tabela1[[#This Row],[MÊS]]&amp;Tabela1[[#This Row],[MATRICULA]]&amp;"Ponto de Apoio"&amp;Tabela1[[#This Row],[SETOR]],BD!A:AF,31,0),"")</f>
        <v/>
      </c>
      <c r="AQ8" s="21" t="str">
        <f>IFERROR(VLOOKUP(Tabela1[[#This Row],[MÊS]]&amp;Tabela1[[#This Row],[ID]]&amp;Tabela1[[#This Row],[MATRICULA]]&amp;"Ponto de Apoio 2"&amp;Tabela1[[#This Row],[SETOR]],BD!A:AF,26,0),"")</f>
        <v/>
      </c>
      <c r="AR8" s="36" t="str">
        <f>IFERROR(VLOOKUP(Tabela1[[#This Row],[MÊS]]&amp;Tabela1[[#This Row],[ID]]&amp;Tabela1[[#This Row],[MATRICULA]]&amp;"Ponto de Apoio 3"&amp;Tabela1[[#This Row],[SETOR]],BD!A:AF,26,0),"")</f>
        <v/>
      </c>
      <c r="AS8" s="36" t="str">
        <f>IFERROR(VLOOKUP(Tabela1[[#This Row],[MÊS]]&amp;Tabela1[[#This Row],[ID]]&amp;Tabela1[[#This Row],[MATRICULA]]&amp;"Ponto de Apoio 4"&amp;Tabela1[[#This Row],[SETOR]],BD!A:AF,26,0),"")</f>
        <v/>
      </c>
      <c r="AT8" s="21" t="str">
        <f>IFERROR(VLOOKUP(Tabela1[[#This Row],[MÊS]]&amp;Tabela1[[#This Row],[MATRICULA]]&amp;"Cliente"&amp;Tabela1[[#This Row],[SETOR]],BD!A:AF,31,0),"")</f>
        <v/>
      </c>
      <c r="AU8" s="21" t="str">
        <f>IFERROR(VLOOKUP(Tabela1[[#This Row],[MÊS]]&amp;Tabela1[[#This Row],[ID]]&amp;Tabela1[[#This Row],[MATRICULA]]&amp;"Cliente 2"&amp;Tabela1[[#This Row],[SETOR]],BD!A:AF,26,0),"")</f>
        <v/>
      </c>
      <c r="AX8" s="21" t="str">
        <f>IFERROR(VLOOKUP(Tabela1[[#This Row],[MÊS]]&amp;Tabela1[[#This Row],[MATRICULA]]&amp;"Policia"&amp;Tabela1[[#This Row],[SETOR]],BD!A:AF,31,0),"")</f>
        <v/>
      </c>
      <c r="AY8" s="21" t="str">
        <f>IFERROR(VLOOKUP(Tabela1[[#This Row],[MÊS]]&amp;Tabela1[[#This Row],[ID]]&amp;Tabela1[[#This Row],[MATRICULA]]&amp;"Policia 2"&amp;Tabela1[[#This Row],[SETOR]],BD!A:AF,26,0),"")</f>
        <v/>
      </c>
      <c r="AZ8" s="36" t="str">
        <f>IFERROR(VLOOKUP(Tabela1[[#This Row],[MÊS]]&amp;Tabela1[[#This Row],[ID]]&amp;Tabela1[[#This Row],[MATRICULA]]&amp;"Policia 3"&amp;Tabela1[[#This Row],[SETOR]],BD!A:AF,26,0),"")</f>
        <v/>
      </c>
      <c r="BA8" s="36" t="str">
        <f>IFERROR(VLOOKUP(Tabela1[[#This Row],[MÊS]]&amp;Tabela1[[#This Row],[ID]]&amp;Tabela1[[#This Row],[MATRICULA]]&amp;"Policia 4"&amp;Tabela1[[#This Row],[SETOR]],BD!A:AF,26,0),"")</f>
        <v/>
      </c>
      <c r="BB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8" s="21" t="str">
        <f>IFERROR(AVERAGE(Tabela1[[#This Row],[M]:[M4]]),"")</f>
        <v/>
      </c>
      <c r="BD8" s="21" t="str">
        <f>IFERROR(AVERAGE(Tabela1[[#This Row],[C]:[C4]]),"")</f>
        <v/>
      </c>
      <c r="BE8" s="21" t="str">
        <f>IFERROR(AVERAGE(Tabela1[[#This Row],[PA2]:[PA 4]]),"")</f>
        <v/>
      </c>
      <c r="BF8" s="21" t="str">
        <f>IFERROR(AVERAGE(Tabela1[[#This Row],[PL]:[PL4]]),"")</f>
        <v/>
      </c>
      <c r="BG8" s="35" t="str">
        <f>IFERROR(VLOOKUP(Tabela1[[#This Row],[MÊS]]&amp;Tabela1[[#This Row],[MATRICULA]],#REF!,2,0),"")</f>
        <v/>
      </c>
      <c r="BH8" s="35" t="str">
        <f>IFERROR(VLOOKUP(Tabela1[[#This Row],[MÊS]]&amp;Tabela1[[#This Row],[MATRICULA]],#REF!,2,0),"")</f>
        <v/>
      </c>
      <c r="BI8" s="35" t="str">
        <f>IFERROR(VLOOKUP(Tabela1[[#This Row],[MÊS]]&amp;Tabela1[[#This Row],[MATRICULA]],#REF!,2,0),"")</f>
        <v/>
      </c>
      <c r="BJ8" s="35" t="str">
        <f>IFERROR(VLOOKUP(Tabela1[[#This Row],[MÊS]]&amp;Tabela1[[#This Row],[MATRICULA]],#REF!,2,0),"")</f>
        <v/>
      </c>
      <c r="BK8" s="35" t="str">
        <f>IFERROR(VLOOKUP(Tabela1[[#This Row],[MÊS]]&amp;Tabela1[[#This Row],[MATRICULA]],#REF!,2,0),"")</f>
        <v/>
      </c>
      <c r="BL8" s="21">
        <f>COUNTIF(Tabela1[[#This Row],[MOT2]:[RECEPTIVA]],"NÃO ENCONTRADA")</f>
        <v>0</v>
      </c>
      <c r="BM8" s="135" t="str">
        <f>IFERROR(VLOOKUP(Tabela1[[#This Row],[MÊS]]&amp;Tabela1[[#This Row],[ID]]&amp;Tabela1[[#This Row],[MATRICULA]]&amp;"Motorista"&amp;Tabela1[[#This Row],[SETOR]],BD!A:AF,13,0),"")</f>
        <v/>
      </c>
      <c r="BN8" s="135" t="str">
        <f>IFERROR(VLOOKUP(Tabela1[[#This Row],[MÊS]]&amp;Tabela1[[#This Row],[ID]]&amp;Tabela1[[#This Row],[MATRICULA]]&amp;"Motorista 2"&amp;Tabela1[[#This Row],[SETOR]],BD!A:AF,13,0),"")</f>
        <v/>
      </c>
      <c r="BO8" s="135" t="str">
        <f>IFERROR(VLOOKUP(Tabela1[[#This Row],[MÊS]]&amp;Tabela1[[#This Row],[ID]]&amp;Tabela1[[#This Row],[MATRICULA]]&amp;"Motorista 3"&amp;Tabela1[[#This Row],[SETOR]],BD!A:AF,13,0),"")</f>
        <v/>
      </c>
      <c r="BP8" s="135" t="str">
        <f>IFERROR(VLOOKUP(Tabela1[[#This Row],[MÊS]]&amp;Tabela1[[#This Row],[ID]]&amp;Tabela1[[#This Row],[MATRICULA]]&amp;"Motorista 4"&amp;Tabela1[[#This Row],[SETOR]],BD!A:AF,13,0),"")</f>
        <v/>
      </c>
      <c r="BQ8" s="135" t="str">
        <f>IFERROR(AVERAGE(Tabela1[[#This Row],[DMOT]:[DMOT4]]),"")</f>
        <v/>
      </c>
      <c r="BR8" s="135" t="str">
        <f>IFERROR(VLOOKUP(Tabela1[[#This Row],[MÊS]]&amp;Tabela1[[#This Row],[ID]]&amp;Tabela1[[#This Row],[MATRICULA]]&amp;"Ponto de Apoio"&amp;Tabela1[[#This Row],[SETOR]],BD!A:AF,13,0),"")</f>
        <v/>
      </c>
      <c r="BS8" s="135" t="str">
        <f>IFERROR(VLOOKUP(Tabela1[[#This Row],[MÊS]]&amp;Tabela1[[#This Row],[ID]]&amp;Tabela1[[#This Row],[MATRICULA]]&amp;"Ponto de Apoio 2"&amp;Tabela1[[#This Row],[SETOR]],BD!A:AF,13,0),"")</f>
        <v/>
      </c>
      <c r="BT8" s="135" t="str">
        <f>IFERROR(VLOOKUP(Tabela1[[#This Row],[MÊS]]&amp;Tabela1[[#This Row],[ID]]&amp;Tabela1[[#This Row],[MATRICULA]]&amp;"Ponto de Apoio 3"&amp;Tabela1[[#This Row],[SETOR]],BD!A:AF,13,0),"")</f>
        <v/>
      </c>
      <c r="BU8" s="135" t="str">
        <f>IFERROR(VLOOKUP(Tabela1[[#This Row],[MÊS]]&amp;Tabela1[[#This Row],[ID]]&amp;Tabela1[[#This Row],[MATRICULA]]&amp;"Ponto de Apoio 4"&amp;Tabela1[[#This Row],[SETOR]],BD!A:AF,13,0),"")</f>
        <v/>
      </c>
      <c r="BV8" s="135" t="str">
        <f>IFERROR(AVERAGE(Tabela1[[#This Row],[DPA]:[DPA 4]]),"")</f>
        <v/>
      </c>
      <c r="BW8" s="135" t="str">
        <f>IFERROR(VLOOKUP(Tabela1[[#This Row],[MÊS]]&amp;Tabela1[[#This Row],[ID]]&amp;Tabela1[[#This Row],[MATRICULA]]&amp;"Cliente"&amp;Tabela1[[#This Row],[SETOR]],BD!A:AF,13,0),"")</f>
        <v/>
      </c>
      <c r="BX8" s="135" t="str">
        <f>IFERROR(VLOOKUP(Tabela1[[#This Row],[MÊS]]&amp;Tabela1[[#This Row],[ID]]&amp;Tabela1[[#This Row],[MATRICULA]]&amp;"cliente 2"&amp;Tabela1[[#This Row],[SETOR]],BD!A:AF,13,0),"")</f>
        <v/>
      </c>
      <c r="BY8" s="135" t="str">
        <f>IFERROR(VLOOKUP(Tabela1[[#This Row],[MÊS]]&amp;Tabela1[[#This Row],[ID]]&amp;Tabela1[[#This Row],[MATRICULA]]&amp;"cliente 3"&amp;Tabela1[[#This Row],[SETOR]],BD!A:AF,13,0),"")</f>
        <v/>
      </c>
      <c r="BZ8" s="135" t="str">
        <f>IFERROR(VLOOKUP(Tabela1[[#This Row],[MÊS]]&amp;Tabela1[[#This Row],[ID]]&amp;Tabela1[[#This Row],[MATRICULA]]&amp;"cliente 4"&amp;Tabela1[[#This Row],[SETOR]],BD!A:AF,13,0),"")</f>
        <v/>
      </c>
      <c r="CA8" s="135" t="str">
        <f>IFERROR(AVERAGE(Tabela1[[#This Row],[DCLI]:[DCLI 4]]),"")</f>
        <v/>
      </c>
      <c r="CB8" s="135" t="str">
        <f>IFERROR(VLOOKUP(Tabela1[[#This Row],[MÊS]]&amp;Tabela1[[#This Row],[ID]]&amp;Tabela1[[#This Row],[MATRICULA]]&amp;"Policia"&amp;Tabela1[[#This Row],[SETOR]],BD!A:AF,13,0),"")</f>
        <v/>
      </c>
      <c r="CC8" s="135" t="str">
        <f>IFERROR(VLOOKUP(Tabela1[[#This Row],[MÊS]]&amp;Tabela1[[#This Row],[ID]]&amp;Tabela1[[#This Row],[MATRICULA]]&amp;"Policia 2"&amp;Tabela1[[#This Row],[SETOR]],BD!A:AF,13,0),"")</f>
        <v/>
      </c>
      <c r="CD8" s="135"/>
      <c r="CE8" s="135"/>
      <c r="CF8" s="135" t="str">
        <f>IFERROR((AVERAGE(Tabela1[[#This Row],[DPOL1]:[DPOL4]])),"")</f>
        <v/>
      </c>
      <c r="CG8" s="21" t="str">
        <f>IFERROR(VLOOKUP(Tabela1[[#This Row],[ID]]&amp;Tabela1[[#This Row],[MÊS]]&amp;Tabela1[[#This Row],[MATRICULA]],#REF!,2,0),"")</f>
        <v/>
      </c>
      <c r="CH8" s="21" t="str">
        <f>IFERROR(VLOOKUP(Tabela1[[#This Row],[ID]]&amp;Tabela1[[#This Row],[MÊS]]&amp;Tabela1[[#This Row],[MATRICULA]],#REF!,2,0),"")</f>
        <v/>
      </c>
      <c r="CI8" s="21" t="str">
        <f>IFERROR(VLOOKUP(Tabela1[[#This Row],[MÊS]]&amp;Tabela1[[#This Row],[MATRICULA]],#REF!,2,0),"")</f>
        <v/>
      </c>
    </row>
    <row r="9" spans="1:87">
      <c r="A9" s="12" t="str">
        <f>Tabela1[[#This Row],[MÊS]]&amp;Tabela1[[#This Row],[MATRICULA]]&amp;Tabela1[[#This Row],[ID]]</f>
        <v>JAN110107</v>
      </c>
      <c r="B9" s="12" t="str">
        <f>Tabela1[[#This Row],[MÊS]]&amp;Tabela1[[#This Row],[ID]]&amp;Tabela1[[#This Row],[MATRICULA]]&amp;Tabela1[[#This Row],[SETOR]]</f>
        <v>JAN711010CADASTRO</v>
      </c>
      <c r="C9" s="130" t="e">
        <f>VLOOKUP(Tabela1[[#This Row],[MATRICULA]],'BD Campos'!A:D,5,0)</f>
        <v>#REF!</v>
      </c>
      <c r="D9" s="133" t="str">
        <f ca="1">IFERROR(SUM(TODAY()-Tabela1[[#This Row],[ADMISSÃO]]),"")</f>
        <v/>
      </c>
      <c r="E9" s="11" t="str">
        <f ca="1">IFERROR(TRUNC(Tabela1[[#This Row],[TEMPO DE CASA (DIAS)]]/30),"")</f>
        <v/>
      </c>
      <c r="F9" s="32" t="str">
        <f ca="1">IFERROR(SUM(Tabela1[[#This Row],[TEMPO DE CASA (MESES)]]/12),"")</f>
        <v/>
      </c>
      <c r="G9" s="133" t="str">
        <f ca="1">IF(Tabela1[[#This Row],[TEMPO DE CASA (DIAS)]]="","SEM DADOS",IF(Tabela1[[#This Row],[TEMPO DE CASA (DIAS)]]&gt;180,"&gt; 6 MESES","&lt; 6 MESES"))</f>
        <v>SEM DADOS</v>
      </c>
      <c r="H9" s="12" t="str">
        <f t="shared" si="1"/>
        <v>JANLarissa Cristina7</v>
      </c>
      <c r="I9" s="12" t="str">
        <f>IFERROR(VLOOKUP(Tabela1[[#This Row],[MATRICULA]],'BD Campos'!A:F,7,0),"")</f>
        <v/>
      </c>
      <c r="J9" s="11">
        <v>7</v>
      </c>
      <c r="K9" s="11" t="s">
        <v>669</v>
      </c>
      <c r="L9" s="136">
        <v>11010</v>
      </c>
      <c r="M9" s="12" t="str">
        <f>IFERROR(VLOOKUP(Tabela1[[#This Row],[MATRICULA]],'BD Campos'!A:B,2,0),"")</f>
        <v>CAIO DAS VIRGENS MELO</v>
      </c>
      <c r="N9" s="20" t="str">
        <f>IFERROR(AVERAGE(Tabela1[[#This Row],[A1]:[A4]]),"")</f>
        <v/>
      </c>
      <c r="O9" s="20">
        <f>IFERROR(IF(Tabela1[[#This Row],[SETOR]]="RECEPTIVO","",AVERAGE(Tabela1[[#This Row],[A5]:[A6]])),"")</f>
        <v>9.9475000000000016</v>
      </c>
      <c r="P9" s="20" t="str">
        <f>IFERROR(IF(Tabela1[[#This Row],[STATUS]]="INATIVO","INATIVO",IF(Tabela1[[#This Row],[STATUS]]="QRT","INATIVO",IF(Tabela1[[#This Row],[OPERACIONAL]]&gt;7.99999,"BOM","RUIM"))),"")</f>
        <v>BOM</v>
      </c>
      <c r="Q9" s="21" t="s">
        <v>667</v>
      </c>
      <c r="R9" s="12" t="s">
        <v>82</v>
      </c>
      <c r="S9" s="12" t="s">
        <v>668</v>
      </c>
      <c r="T9" s="12" t="s">
        <v>82</v>
      </c>
      <c r="U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9" s="12">
        <f>IF(AND(Tabela1[[#This Row],[SETOR]]="UTI",Tabela1[[#This Row],[M]]&lt;&gt;""),1,IF(AND(Tabela1[[#This Row],[SETOR]]="UTI (RJ)",Tabela1[[#This Row],[M]]&lt;&gt;""),1.5,0))</f>
        <v>0</v>
      </c>
      <c r="X9" s="12">
        <f>IF(AND(Tabela1[[#This Row],[SETOR]]="UTI",Tabela1[[#This Row],[PA2]]&lt;&gt;""),1,IF(AND(Tabela1[[#This Row],[SETOR]]="UTI (RJ)",Tabela1[[#This Row],[PA2]]&lt;&gt;""),0,0))</f>
        <v>0</v>
      </c>
      <c r="Y9" s="12">
        <f>IF(AND(Tabela1[[#This Row],[SETOR]]="UTI",Tabela1[[#This Row],[C]]&lt;&gt;""),1,IF(AND(Tabela1[[#This Row],[SETOR]]="UTI (RJ)",Tabela1[[#This Row],[C]]&lt;&gt;""),1.5,0))</f>
        <v>0</v>
      </c>
      <c r="Z9" s="12">
        <f>IF(AND(Tabela1[[#This Row],[SETOR]]="UTI",Tabela1[[#This Row],[PL]]&lt;&gt;""),1,IF(AND(Tabela1[[#This Row],[SETOR]]="UTI (RJ)",Tabela1[[#This Row],[PL]]&lt;&gt;""),1,0))</f>
        <v>0</v>
      </c>
      <c r="AA9" s="21" t="str">
        <f>IFERROR(VLOOKUP(Tabela1[[#This Row],[MÊS]]&amp;Tabela1[[#This Row],[MATRICULA]]&amp;"1"&amp;Tabela1[[#This Row],[SETOR]]&amp;"PADRÃO",BD!B:AF,31,0),"")</f>
        <v/>
      </c>
      <c r="AB9" s="21" t="str">
        <f>IFERROR(VLOOKUP(Tabela1[[#This Row],[MÊS]]&amp;Tabela1[[#This Row],[MATRICULA]]&amp;"2"&amp;Tabela1[[#This Row],[SETOR]]&amp;"PADRÃO",BD!B:AF,31,0),"")</f>
        <v/>
      </c>
      <c r="AC9" s="21" t="str">
        <f>IFERROR(VLOOKUP(Tabela1[[#This Row],[MÊS]]&amp;Tabela1[[#This Row],[MATRICULA]]&amp;"3"&amp;Tabela1[[#This Row],[SETOR]]&amp;"PADRÃO",BD!B:AF,31,0),"")</f>
        <v/>
      </c>
      <c r="AD9" s="21" t="str">
        <f>IFERROR(VLOOKUP(Tabela1[[#This Row],[MÊS]]&amp;Tabela1[[#This Row],[MATRICULA]]&amp;"4"&amp;Tabela1[[#This Row],[SETOR]]&amp;"PADRÃO",BD!B:AF,25,0),"")</f>
        <v/>
      </c>
      <c r="AE9" s="21">
        <f>IFERROR(VLOOKUP(Tabela1[[#This Row],[MÊS]]&amp;Tabela1[[#This Row],[MATRICULA]]&amp;"5"&amp;Tabela1[[#This Row],[SETOR]]&amp;"PADRÃO",BD!B:AF,31,0),"")</f>
        <v>10.000000000000002</v>
      </c>
      <c r="AF9" s="21">
        <f>IFERROR(VLOOKUP(Tabela1[[#This Row],[MÊS]]&amp;Tabela1[[#This Row],[MATRICULA]]&amp;"6"&amp;Tabela1[[#This Row],[SETOR]]&amp;"PADRÃO",BD!B:AF,31,0),"")</f>
        <v>9.8950000000000014</v>
      </c>
      <c r="AG9" s="21" t="str">
        <f>IFERROR(VLOOKUP(Tabela1[[#This Row],[MÊS]]&amp;Tabela1[[#This Row],[MATRICULA]]&amp;"7"&amp;Tabela1[[#This Row],[SETOR]]&amp;"PADRÃO",BD!B:AF,31,0),"")</f>
        <v/>
      </c>
      <c r="AH9" s="21" t="str">
        <f>IFERROR(VLOOKUP(Tabela1[[#This Row],[MÊS]]&amp;Tabela1[[#This Row],[ID]]&amp;Tabela1[[#This Row],[MATRICULA]]&amp;"Receptiva"&amp;Tabela1[[#This Row],[SETOR]],BD!A:AF,31,0),"")</f>
        <v/>
      </c>
      <c r="AI9" s="21" t="str">
        <f>IFERROR(VLOOKUP(Tabela1[[#This Row],[MÊS]]&amp;Tabela1[[#This Row],[ID]]&amp;Tabela1[[#This Row],[MATRICULA]]&amp;"Receptiva 2"&amp;Tabela1[[#This Row],[SETOR]],BD!A:AF,31,0),"")</f>
        <v/>
      </c>
      <c r="AJ9" s="21" t="str">
        <f>IFERROR(VLOOKUP(Tabela1[[#This Row],[MÊS]]&amp;Tabela1[[#This Row],[ID]]&amp;Tabela1[[#This Row],[MATRICULA]]&amp;"Receptiva 3"&amp;Tabela1[[#This Row],[SETOR]],BD!A:AF,31,0),"")</f>
        <v/>
      </c>
      <c r="AK9" s="21" t="str">
        <f>IFERROR(VLOOKUP(Tabela1[[#This Row],[MÊS]]&amp;Tabela1[[#This Row],[ID]]&amp;Tabela1[[#This Row],[MATRICULA]]&amp;"Receptiva 4"&amp;Tabela1[[#This Row],[SETOR]],BD!A:AF,31,0),"")</f>
        <v/>
      </c>
      <c r="AL9" s="21" t="str">
        <f>IFERROR(VLOOKUP(Tabela1[[#This Row],[MÊS]]&amp;Tabela1[[#This Row],[MATRICULA]]&amp;"Motorista"&amp;Tabela1[[#This Row],[SETOR]],BD!A:AF,31,0),"")</f>
        <v/>
      </c>
      <c r="AM9" s="21" t="str">
        <f>IFERROR(VLOOKUP(Tabela1[[#This Row],[MÊS]]&amp;Tabela1[[#This Row],[ID]]&amp;Tabela1[[#This Row],[MATRICULA]]&amp;"Motorista 2"&amp;Tabela1[[#This Row],[SETOR]],BD!A:AF,26,0),"")</f>
        <v/>
      </c>
      <c r="AN9" s="21" t="str">
        <f>IFERROR(VLOOKUP(Tabela1[[#This Row],[MÊS]]&amp;Tabela1[[#This Row],[ID]]&amp;Tabela1[[#This Row],[MATRICULA]]&amp;"Motorista 3"&amp;Tabela1[[#This Row],[SETOR]],BD!A:AF,26,0),"")</f>
        <v/>
      </c>
      <c r="AO9" s="21" t="str">
        <f>IFERROR(VLOOKUP(Tabela1[[#This Row],[MÊS]]&amp;Tabela1[[#This Row],[ID]]&amp;Tabela1[[#This Row],[MATRICULA]]&amp;"Motorista 4"&amp;Tabela1[[#This Row],[SETOR]],BD!A:AF,26,0),"")</f>
        <v/>
      </c>
      <c r="AP9" s="21" t="str">
        <f>IFERROR(VLOOKUP(Tabela1[[#This Row],[MÊS]]&amp;Tabela1[[#This Row],[MATRICULA]]&amp;"Ponto de Apoio"&amp;Tabela1[[#This Row],[SETOR]],BD!A:AF,31,0),"")</f>
        <v/>
      </c>
      <c r="AQ9" s="21" t="str">
        <f>IFERROR(VLOOKUP(Tabela1[[#This Row],[MÊS]]&amp;Tabela1[[#This Row],[ID]]&amp;Tabela1[[#This Row],[MATRICULA]]&amp;"Ponto de Apoio 2"&amp;Tabela1[[#This Row],[SETOR]],BD!A:AF,26,0),"")</f>
        <v/>
      </c>
      <c r="AR9" s="36" t="str">
        <f>IFERROR(VLOOKUP(Tabela1[[#This Row],[MÊS]]&amp;Tabela1[[#This Row],[ID]]&amp;Tabela1[[#This Row],[MATRICULA]]&amp;"Ponto de Apoio 3"&amp;Tabela1[[#This Row],[SETOR]],BD!A:AF,26,0),"")</f>
        <v/>
      </c>
      <c r="AS9" s="36" t="str">
        <f>IFERROR(VLOOKUP(Tabela1[[#This Row],[MÊS]]&amp;Tabela1[[#This Row],[ID]]&amp;Tabela1[[#This Row],[MATRICULA]]&amp;"Ponto de Apoio 4"&amp;Tabela1[[#This Row],[SETOR]],BD!A:AF,26,0),"")</f>
        <v/>
      </c>
      <c r="AT9" s="21" t="str">
        <f>IFERROR(VLOOKUP(Tabela1[[#This Row],[MÊS]]&amp;Tabela1[[#This Row],[MATRICULA]]&amp;"Cliente"&amp;Tabela1[[#This Row],[SETOR]],BD!A:AF,31,0),"")</f>
        <v/>
      </c>
      <c r="AU9" s="21" t="str">
        <f>IFERROR(VLOOKUP(Tabela1[[#This Row],[MÊS]]&amp;Tabela1[[#This Row],[ID]]&amp;Tabela1[[#This Row],[MATRICULA]]&amp;"Cliente 2"&amp;Tabela1[[#This Row],[SETOR]],BD!A:AF,26,0),"")</f>
        <v/>
      </c>
      <c r="AX9" s="21" t="str">
        <f>IFERROR(VLOOKUP(Tabela1[[#This Row],[MÊS]]&amp;Tabela1[[#This Row],[MATRICULA]]&amp;"Policia"&amp;Tabela1[[#This Row],[SETOR]],BD!A:AF,31,0),"")</f>
        <v/>
      </c>
      <c r="AY9" s="21" t="str">
        <f>IFERROR(VLOOKUP(Tabela1[[#This Row],[MÊS]]&amp;Tabela1[[#This Row],[ID]]&amp;Tabela1[[#This Row],[MATRICULA]]&amp;"Policia 2"&amp;Tabela1[[#This Row],[SETOR]],BD!A:AF,26,0),"")</f>
        <v/>
      </c>
      <c r="AZ9" s="36" t="str">
        <f>IFERROR(VLOOKUP(Tabela1[[#This Row],[MÊS]]&amp;Tabela1[[#This Row],[ID]]&amp;Tabela1[[#This Row],[MATRICULA]]&amp;"Policia 3"&amp;Tabela1[[#This Row],[SETOR]],BD!A:AF,26,0),"")</f>
        <v/>
      </c>
      <c r="BA9" s="36" t="str">
        <f>IFERROR(VLOOKUP(Tabela1[[#This Row],[MÊS]]&amp;Tabela1[[#This Row],[ID]]&amp;Tabela1[[#This Row],[MATRICULA]]&amp;"Policia 4"&amp;Tabela1[[#This Row],[SETOR]],BD!A:AF,26,0),"")</f>
        <v/>
      </c>
      <c r="BB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9" s="21" t="str">
        <f>IFERROR(AVERAGE(Tabela1[[#This Row],[M]:[M4]]),"")</f>
        <v/>
      </c>
      <c r="BD9" s="21" t="str">
        <f>IFERROR(AVERAGE(Tabela1[[#This Row],[C]:[C4]]),"")</f>
        <v/>
      </c>
      <c r="BE9" s="21" t="str">
        <f>IFERROR(AVERAGE(Tabela1[[#This Row],[PA2]:[PA 4]]),"")</f>
        <v/>
      </c>
      <c r="BF9" s="21" t="str">
        <f>IFERROR(AVERAGE(Tabela1[[#This Row],[PL]:[PL4]]),"")</f>
        <v/>
      </c>
      <c r="BG9" s="35" t="str">
        <f>IFERROR(VLOOKUP(Tabela1[[#This Row],[MÊS]]&amp;Tabela1[[#This Row],[MATRICULA]],#REF!,2,0),"")</f>
        <v/>
      </c>
      <c r="BH9" s="35" t="str">
        <f>IFERROR(VLOOKUP(Tabela1[[#This Row],[MÊS]]&amp;Tabela1[[#This Row],[MATRICULA]],#REF!,2,0),"")</f>
        <v/>
      </c>
      <c r="BI9" s="35" t="str">
        <f>IFERROR(VLOOKUP(Tabela1[[#This Row],[MÊS]]&amp;Tabela1[[#This Row],[MATRICULA]],#REF!,2,0),"")</f>
        <v/>
      </c>
      <c r="BJ9" s="35" t="str">
        <f>IFERROR(VLOOKUP(Tabela1[[#This Row],[MÊS]]&amp;Tabela1[[#This Row],[MATRICULA]],#REF!,2,0),"")</f>
        <v/>
      </c>
      <c r="BK9" s="35" t="str">
        <f>IFERROR(VLOOKUP(Tabela1[[#This Row],[MÊS]]&amp;Tabela1[[#This Row],[MATRICULA]],#REF!,2,0),"")</f>
        <v/>
      </c>
      <c r="BL9" s="21">
        <f>COUNTIF(Tabela1[[#This Row],[MOT2]:[RECEPTIVA]],"NÃO ENCONTRADA")</f>
        <v>0</v>
      </c>
      <c r="BM9" s="135" t="str">
        <f>IFERROR(VLOOKUP(Tabela1[[#This Row],[MÊS]]&amp;Tabela1[[#This Row],[ID]]&amp;Tabela1[[#This Row],[MATRICULA]]&amp;"Motorista"&amp;Tabela1[[#This Row],[SETOR]],BD!A:AF,13,0),"")</f>
        <v/>
      </c>
      <c r="BN9" s="135" t="str">
        <f>IFERROR(VLOOKUP(Tabela1[[#This Row],[MÊS]]&amp;Tabela1[[#This Row],[ID]]&amp;Tabela1[[#This Row],[MATRICULA]]&amp;"Motorista 2"&amp;Tabela1[[#This Row],[SETOR]],BD!A:AF,13,0),"")</f>
        <v/>
      </c>
      <c r="BO9" s="135" t="str">
        <f>IFERROR(VLOOKUP(Tabela1[[#This Row],[MÊS]]&amp;Tabela1[[#This Row],[ID]]&amp;Tabela1[[#This Row],[MATRICULA]]&amp;"Motorista 3"&amp;Tabela1[[#This Row],[SETOR]],BD!A:AF,13,0),"")</f>
        <v/>
      </c>
      <c r="BP9" s="135" t="str">
        <f>IFERROR(VLOOKUP(Tabela1[[#This Row],[MÊS]]&amp;Tabela1[[#This Row],[ID]]&amp;Tabela1[[#This Row],[MATRICULA]]&amp;"Motorista 4"&amp;Tabela1[[#This Row],[SETOR]],BD!A:AF,13,0),"")</f>
        <v/>
      </c>
      <c r="BQ9" s="135" t="str">
        <f>IFERROR(AVERAGE(Tabela1[[#This Row],[DMOT]:[DMOT4]]),"")</f>
        <v/>
      </c>
      <c r="BR9" s="135" t="str">
        <f>IFERROR(VLOOKUP(Tabela1[[#This Row],[MÊS]]&amp;Tabela1[[#This Row],[ID]]&amp;Tabela1[[#This Row],[MATRICULA]]&amp;"Ponto de Apoio"&amp;Tabela1[[#This Row],[SETOR]],BD!A:AF,13,0),"")</f>
        <v/>
      </c>
      <c r="BS9" s="135" t="str">
        <f>IFERROR(VLOOKUP(Tabela1[[#This Row],[MÊS]]&amp;Tabela1[[#This Row],[ID]]&amp;Tabela1[[#This Row],[MATRICULA]]&amp;"Ponto de Apoio 2"&amp;Tabela1[[#This Row],[SETOR]],BD!A:AF,13,0),"")</f>
        <v/>
      </c>
      <c r="BT9" s="135" t="str">
        <f>IFERROR(VLOOKUP(Tabela1[[#This Row],[MÊS]]&amp;Tabela1[[#This Row],[ID]]&amp;Tabela1[[#This Row],[MATRICULA]]&amp;"Ponto de Apoio 3"&amp;Tabela1[[#This Row],[SETOR]],BD!A:AF,13,0),"")</f>
        <v/>
      </c>
      <c r="BU9" s="135" t="str">
        <f>IFERROR(VLOOKUP(Tabela1[[#This Row],[MÊS]]&amp;Tabela1[[#This Row],[ID]]&amp;Tabela1[[#This Row],[MATRICULA]]&amp;"Ponto de Apoio 4"&amp;Tabela1[[#This Row],[SETOR]],BD!A:AF,13,0),"")</f>
        <v/>
      </c>
      <c r="BV9" s="135" t="str">
        <f>IFERROR(AVERAGE(Tabela1[[#This Row],[DPA]:[DPA 4]]),"")</f>
        <v/>
      </c>
      <c r="BW9" s="135" t="str">
        <f>IFERROR(VLOOKUP(Tabela1[[#This Row],[MÊS]]&amp;Tabela1[[#This Row],[ID]]&amp;Tabela1[[#This Row],[MATRICULA]]&amp;"Cliente"&amp;Tabela1[[#This Row],[SETOR]],BD!A:AF,13,0),"")</f>
        <v/>
      </c>
      <c r="BX9" s="135" t="str">
        <f>IFERROR(VLOOKUP(Tabela1[[#This Row],[MÊS]]&amp;Tabela1[[#This Row],[ID]]&amp;Tabela1[[#This Row],[MATRICULA]]&amp;"cliente 2"&amp;Tabela1[[#This Row],[SETOR]],BD!A:AF,13,0),"")</f>
        <v/>
      </c>
      <c r="BY9" s="135" t="str">
        <f>IFERROR(VLOOKUP(Tabela1[[#This Row],[MÊS]]&amp;Tabela1[[#This Row],[ID]]&amp;Tabela1[[#This Row],[MATRICULA]]&amp;"cliente 3"&amp;Tabela1[[#This Row],[SETOR]],BD!A:AF,13,0),"")</f>
        <v/>
      </c>
      <c r="BZ9" s="135" t="str">
        <f>IFERROR(VLOOKUP(Tabela1[[#This Row],[MÊS]]&amp;Tabela1[[#This Row],[ID]]&amp;Tabela1[[#This Row],[MATRICULA]]&amp;"cliente 4"&amp;Tabela1[[#This Row],[SETOR]],BD!A:AF,13,0),"")</f>
        <v/>
      </c>
      <c r="CA9" s="135" t="str">
        <f>IFERROR(AVERAGE(Tabela1[[#This Row],[DCLI]:[DCLI 4]]),"")</f>
        <v/>
      </c>
      <c r="CB9" s="135" t="str">
        <f>IFERROR(VLOOKUP(Tabela1[[#This Row],[MÊS]]&amp;Tabela1[[#This Row],[ID]]&amp;Tabela1[[#This Row],[MATRICULA]]&amp;"Policia"&amp;Tabela1[[#This Row],[SETOR]],BD!A:AF,13,0),"")</f>
        <v/>
      </c>
      <c r="CC9" s="135" t="str">
        <f>IFERROR(VLOOKUP(Tabela1[[#This Row],[MÊS]]&amp;Tabela1[[#This Row],[ID]]&amp;Tabela1[[#This Row],[MATRICULA]]&amp;"Policia 2"&amp;Tabela1[[#This Row],[SETOR]],BD!A:AF,13,0),"")</f>
        <v/>
      </c>
      <c r="CD9" s="135"/>
      <c r="CE9" s="135"/>
      <c r="CF9" s="135" t="str">
        <f>IFERROR((AVERAGE(Tabela1[[#This Row],[DPOL1]:[DPOL4]])),"")</f>
        <v/>
      </c>
      <c r="CG9" s="21" t="str">
        <f>IFERROR(VLOOKUP(Tabela1[[#This Row],[ID]]&amp;Tabela1[[#This Row],[MÊS]]&amp;Tabela1[[#This Row],[MATRICULA]],#REF!,2,0),"")</f>
        <v/>
      </c>
      <c r="CH9" s="21" t="str">
        <f>IFERROR(VLOOKUP(Tabela1[[#This Row],[ID]]&amp;Tabela1[[#This Row],[MÊS]]&amp;Tabela1[[#This Row],[MATRICULA]],#REF!,2,0),"")</f>
        <v/>
      </c>
      <c r="CI9" s="21" t="str">
        <f>IFERROR(VLOOKUP(Tabela1[[#This Row],[MÊS]]&amp;Tabela1[[#This Row],[MATRICULA]],#REF!,2,0),"")</f>
        <v/>
      </c>
    </row>
    <row r="10" spans="1:87">
      <c r="A10" s="12" t="str">
        <f>Tabela1[[#This Row],[MÊS]]&amp;Tabela1[[#This Row],[MATRICULA]]&amp;Tabela1[[#This Row],[ID]]</f>
        <v>JAN113768</v>
      </c>
      <c r="B10" s="12" t="str">
        <f>Tabela1[[#This Row],[MÊS]]&amp;Tabela1[[#This Row],[ID]]&amp;Tabela1[[#This Row],[MATRICULA]]&amp;Tabela1[[#This Row],[SETOR]]</f>
        <v>JAN811376CADASTRO</v>
      </c>
      <c r="C10" s="130" t="e">
        <f>VLOOKUP(Tabela1[[#This Row],[MATRICULA]],'BD Campos'!A:D,5,0)</f>
        <v>#REF!</v>
      </c>
      <c r="D10" s="133" t="str">
        <f ca="1">IFERROR(SUM(TODAY()-Tabela1[[#This Row],[ADMISSÃO]]),"")</f>
        <v/>
      </c>
      <c r="E10" s="11" t="str">
        <f ca="1">IFERROR(TRUNC(Tabela1[[#This Row],[TEMPO DE CASA (DIAS)]]/30),"")</f>
        <v/>
      </c>
      <c r="F10" s="32" t="str">
        <f ca="1">IFERROR(SUM(Tabela1[[#This Row],[TEMPO DE CASA (MESES)]]/12),"")</f>
        <v/>
      </c>
      <c r="G10" s="133" t="str">
        <f ca="1">IF(Tabela1[[#This Row],[TEMPO DE CASA (DIAS)]]="","SEM DADOS",IF(Tabela1[[#This Row],[TEMPO DE CASA (DIAS)]]&gt;180,"&gt; 6 MESES","&lt; 6 MESES"))</f>
        <v>SEM DADOS</v>
      </c>
      <c r="H10" s="12" t="str">
        <f t="shared" si="1"/>
        <v>JANLarissa Cristina8</v>
      </c>
      <c r="I10" s="12" t="str">
        <f>IFERROR(VLOOKUP(Tabela1[[#This Row],[MATRICULA]],'BD Campos'!A:F,7,0),"")</f>
        <v/>
      </c>
      <c r="J10" s="11">
        <v>8</v>
      </c>
      <c r="K10" s="11" t="s">
        <v>669</v>
      </c>
      <c r="L10" s="136">
        <v>11376</v>
      </c>
      <c r="M10" s="12" t="str">
        <f>IFERROR(VLOOKUP(Tabela1[[#This Row],[MATRICULA]],'BD Campos'!A:B,2,0),"")</f>
        <v>ELOANE CARVALHO DA SILVA</v>
      </c>
      <c r="N10" s="20" t="str">
        <f>IFERROR(AVERAGE(Tabela1[[#This Row],[A1]:[A4]]),"")</f>
        <v/>
      </c>
      <c r="O10" s="20">
        <f>IFERROR(IF(Tabela1[[#This Row],[SETOR]]="RECEPTIVO","",AVERAGE(Tabela1[[#This Row],[A5]:[A6]])),"")</f>
        <v>9.6850000000000005</v>
      </c>
      <c r="P10" s="20" t="str">
        <f>IFERROR(IF(Tabela1[[#This Row],[STATUS]]="INATIVO","INATIVO",IF(Tabela1[[#This Row],[STATUS]]="QRT","INATIVO",IF(Tabela1[[#This Row],[OPERACIONAL]]&gt;7.99999,"BOM","RUIM"))),"")</f>
        <v>BOM</v>
      </c>
      <c r="Q10" s="21" t="s">
        <v>667</v>
      </c>
      <c r="R10" s="12" t="s">
        <v>82</v>
      </c>
      <c r="S10" s="12" t="s">
        <v>668</v>
      </c>
      <c r="T10" s="12" t="s">
        <v>82</v>
      </c>
      <c r="U1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0" s="12">
        <f>IF(AND(Tabela1[[#This Row],[SETOR]]="UTI",Tabela1[[#This Row],[M]]&lt;&gt;""),1,IF(AND(Tabela1[[#This Row],[SETOR]]="UTI (RJ)",Tabela1[[#This Row],[M]]&lt;&gt;""),1.5,0))</f>
        <v>0</v>
      </c>
      <c r="X10" s="12">
        <f>IF(AND(Tabela1[[#This Row],[SETOR]]="UTI",Tabela1[[#This Row],[PA2]]&lt;&gt;""),1,IF(AND(Tabela1[[#This Row],[SETOR]]="UTI (RJ)",Tabela1[[#This Row],[PA2]]&lt;&gt;""),0,0))</f>
        <v>0</v>
      </c>
      <c r="Y10" s="12">
        <f>IF(AND(Tabela1[[#This Row],[SETOR]]="UTI",Tabela1[[#This Row],[C]]&lt;&gt;""),1,IF(AND(Tabela1[[#This Row],[SETOR]]="UTI (RJ)",Tabela1[[#This Row],[C]]&lt;&gt;""),1.5,0))</f>
        <v>0</v>
      </c>
      <c r="Z10" s="12">
        <f>IF(AND(Tabela1[[#This Row],[SETOR]]="UTI",Tabela1[[#This Row],[PL]]&lt;&gt;""),1,IF(AND(Tabela1[[#This Row],[SETOR]]="UTI (RJ)",Tabela1[[#This Row],[PL]]&lt;&gt;""),1,0))</f>
        <v>0</v>
      </c>
      <c r="AA10" s="21" t="str">
        <f>IFERROR(VLOOKUP(Tabela1[[#This Row],[MÊS]]&amp;Tabela1[[#This Row],[MATRICULA]]&amp;"1"&amp;Tabela1[[#This Row],[SETOR]]&amp;"PADRÃO",BD!B:AF,31,0),"")</f>
        <v/>
      </c>
      <c r="AB10" s="21" t="str">
        <f>IFERROR(VLOOKUP(Tabela1[[#This Row],[MÊS]]&amp;Tabela1[[#This Row],[MATRICULA]]&amp;"2"&amp;Tabela1[[#This Row],[SETOR]]&amp;"PADRÃO",BD!B:AF,31,0),"")</f>
        <v/>
      </c>
      <c r="AC10" s="21" t="str">
        <f>IFERROR(VLOOKUP(Tabela1[[#This Row],[MÊS]]&amp;Tabela1[[#This Row],[MATRICULA]]&amp;"3"&amp;Tabela1[[#This Row],[SETOR]]&amp;"PADRÃO",BD!B:AF,31,0),"")</f>
        <v/>
      </c>
      <c r="AD10" s="21" t="str">
        <f>IFERROR(VLOOKUP(Tabela1[[#This Row],[MÊS]]&amp;Tabela1[[#This Row],[MATRICULA]]&amp;"4"&amp;Tabela1[[#This Row],[SETOR]]&amp;"PADRÃO",BD!B:AF,25,0),"")</f>
        <v/>
      </c>
      <c r="AE10" s="21">
        <f>IFERROR(VLOOKUP(Tabela1[[#This Row],[MÊS]]&amp;Tabela1[[#This Row],[MATRICULA]]&amp;"5"&amp;Tabela1[[#This Row],[SETOR]]&amp;"PADRÃO",BD!B:AF,31,0),"")</f>
        <v>9.6850000000000005</v>
      </c>
      <c r="AF10" s="21">
        <f>IFERROR(VLOOKUP(Tabela1[[#This Row],[MÊS]]&amp;Tabela1[[#This Row],[MATRICULA]]&amp;"6"&amp;Tabela1[[#This Row],[SETOR]]&amp;"PADRÃO",BD!B:AF,31,0),"")</f>
        <v>9.6850000000000005</v>
      </c>
      <c r="AG10" s="21" t="str">
        <f>IFERROR(VLOOKUP(Tabela1[[#This Row],[MÊS]]&amp;Tabela1[[#This Row],[MATRICULA]]&amp;"7"&amp;Tabela1[[#This Row],[SETOR]]&amp;"PADRÃO",BD!B:AF,31,0),"")</f>
        <v/>
      </c>
      <c r="AH10" s="21" t="str">
        <f>IFERROR(VLOOKUP(Tabela1[[#This Row],[MÊS]]&amp;Tabela1[[#This Row],[ID]]&amp;Tabela1[[#This Row],[MATRICULA]]&amp;"Receptiva"&amp;Tabela1[[#This Row],[SETOR]],BD!A:AF,31,0),"")</f>
        <v/>
      </c>
      <c r="AI10" s="21" t="str">
        <f>IFERROR(VLOOKUP(Tabela1[[#This Row],[MÊS]]&amp;Tabela1[[#This Row],[ID]]&amp;Tabela1[[#This Row],[MATRICULA]]&amp;"Receptiva 2"&amp;Tabela1[[#This Row],[SETOR]],BD!A:AF,31,0),"")</f>
        <v/>
      </c>
      <c r="AJ10" s="21" t="str">
        <f>IFERROR(VLOOKUP(Tabela1[[#This Row],[MÊS]]&amp;Tabela1[[#This Row],[ID]]&amp;Tabela1[[#This Row],[MATRICULA]]&amp;"Receptiva 3"&amp;Tabela1[[#This Row],[SETOR]],BD!A:AF,31,0),"")</f>
        <v/>
      </c>
      <c r="AK10" s="21" t="str">
        <f>IFERROR(VLOOKUP(Tabela1[[#This Row],[MÊS]]&amp;Tabela1[[#This Row],[ID]]&amp;Tabela1[[#This Row],[MATRICULA]]&amp;"Receptiva 4"&amp;Tabela1[[#This Row],[SETOR]],BD!A:AF,31,0),"")</f>
        <v/>
      </c>
      <c r="AL10" s="21" t="str">
        <f>IFERROR(VLOOKUP(Tabela1[[#This Row],[MÊS]]&amp;Tabela1[[#This Row],[MATRICULA]]&amp;"Motorista"&amp;Tabela1[[#This Row],[SETOR]],BD!A:AF,31,0),"")</f>
        <v/>
      </c>
      <c r="AM10" s="21" t="str">
        <f>IFERROR(VLOOKUP(Tabela1[[#This Row],[MÊS]]&amp;Tabela1[[#This Row],[ID]]&amp;Tabela1[[#This Row],[MATRICULA]]&amp;"Motorista 2"&amp;Tabela1[[#This Row],[SETOR]],BD!A:AF,26,0),"")</f>
        <v/>
      </c>
      <c r="AN10" s="21" t="str">
        <f>IFERROR(VLOOKUP(Tabela1[[#This Row],[MÊS]]&amp;Tabela1[[#This Row],[ID]]&amp;Tabela1[[#This Row],[MATRICULA]]&amp;"Motorista 3"&amp;Tabela1[[#This Row],[SETOR]],BD!A:AF,26,0),"")</f>
        <v/>
      </c>
      <c r="AO10" s="21" t="str">
        <f>IFERROR(VLOOKUP(Tabela1[[#This Row],[MÊS]]&amp;Tabela1[[#This Row],[ID]]&amp;Tabela1[[#This Row],[MATRICULA]]&amp;"Motorista 4"&amp;Tabela1[[#This Row],[SETOR]],BD!A:AF,26,0),"")</f>
        <v/>
      </c>
      <c r="AP10" s="21" t="str">
        <f>IFERROR(VLOOKUP(Tabela1[[#This Row],[MÊS]]&amp;Tabela1[[#This Row],[MATRICULA]]&amp;"Ponto de Apoio"&amp;Tabela1[[#This Row],[SETOR]],BD!A:AF,31,0),"")</f>
        <v/>
      </c>
      <c r="AQ10" s="21" t="str">
        <f>IFERROR(VLOOKUP(Tabela1[[#This Row],[MÊS]]&amp;Tabela1[[#This Row],[ID]]&amp;Tabela1[[#This Row],[MATRICULA]]&amp;"Ponto de Apoio 2"&amp;Tabela1[[#This Row],[SETOR]],BD!A:AF,26,0),"")</f>
        <v/>
      </c>
      <c r="AR10" s="36" t="str">
        <f>IFERROR(VLOOKUP(Tabela1[[#This Row],[MÊS]]&amp;Tabela1[[#This Row],[ID]]&amp;Tabela1[[#This Row],[MATRICULA]]&amp;"Ponto de Apoio 3"&amp;Tabela1[[#This Row],[SETOR]],BD!A:AF,26,0),"")</f>
        <v/>
      </c>
      <c r="AS10" s="36" t="str">
        <f>IFERROR(VLOOKUP(Tabela1[[#This Row],[MÊS]]&amp;Tabela1[[#This Row],[ID]]&amp;Tabela1[[#This Row],[MATRICULA]]&amp;"Ponto de Apoio 4"&amp;Tabela1[[#This Row],[SETOR]],BD!A:AF,26,0),"")</f>
        <v/>
      </c>
      <c r="AT10" s="21" t="str">
        <f>IFERROR(VLOOKUP(Tabela1[[#This Row],[MÊS]]&amp;Tabela1[[#This Row],[MATRICULA]]&amp;"Cliente"&amp;Tabela1[[#This Row],[SETOR]],BD!A:AF,31,0),"")</f>
        <v/>
      </c>
      <c r="AU10" s="21" t="str">
        <f>IFERROR(VLOOKUP(Tabela1[[#This Row],[MÊS]]&amp;Tabela1[[#This Row],[ID]]&amp;Tabela1[[#This Row],[MATRICULA]]&amp;"Cliente 2"&amp;Tabela1[[#This Row],[SETOR]],BD!A:AF,26,0),"")</f>
        <v/>
      </c>
      <c r="AX10" s="21" t="str">
        <f>IFERROR(VLOOKUP(Tabela1[[#This Row],[MÊS]]&amp;Tabela1[[#This Row],[MATRICULA]]&amp;"Policia"&amp;Tabela1[[#This Row],[SETOR]],BD!A:AF,31,0),"")</f>
        <v/>
      </c>
      <c r="AY10" s="21" t="str">
        <f>IFERROR(VLOOKUP(Tabela1[[#This Row],[MÊS]]&amp;Tabela1[[#This Row],[ID]]&amp;Tabela1[[#This Row],[MATRICULA]]&amp;"Policia 2"&amp;Tabela1[[#This Row],[SETOR]],BD!A:AF,26,0),"")</f>
        <v/>
      </c>
      <c r="AZ10" s="36" t="str">
        <f>IFERROR(VLOOKUP(Tabela1[[#This Row],[MÊS]]&amp;Tabela1[[#This Row],[ID]]&amp;Tabela1[[#This Row],[MATRICULA]]&amp;"Policia 3"&amp;Tabela1[[#This Row],[SETOR]],BD!A:AF,26,0),"")</f>
        <v/>
      </c>
      <c r="BA10" s="36" t="str">
        <f>IFERROR(VLOOKUP(Tabela1[[#This Row],[MÊS]]&amp;Tabela1[[#This Row],[ID]]&amp;Tabela1[[#This Row],[MATRICULA]]&amp;"Policia 4"&amp;Tabela1[[#This Row],[SETOR]],BD!A:AF,26,0),"")</f>
        <v/>
      </c>
      <c r="BB1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0" s="21" t="str">
        <f>IFERROR(AVERAGE(Tabela1[[#This Row],[M]:[M4]]),"")</f>
        <v/>
      </c>
      <c r="BD10" s="21" t="str">
        <f>IFERROR(AVERAGE(Tabela1[[#This Row],[C]:[C4]]),"")</f>
        <v/>
      </c>
      <c r="BE10" s="21" t="str">
        <f>IFERROR(AVERAGE(Tabela1[[#This Row],[PA2]:[PA 4]]),"")</f>
        <v/>
      </c>
      <c r="BF10" s="21" t="str">
        <f>IFERROR(AVERAGE(Tabela1[[#This Row],[PL]:[PL4]]),"")</f>
        <v/>
      </c>
      <c r="BG10" s="35" t="str">
        <f>IFERROR(VLOOKUP(Tabela1[[#This Row],[MÊS]]&amp;Tabela1[[#This Row],[MATRICULA]],#REF!,2,0),"")</f>
        <v/>
      </c>
      <c r="BH10" s="35" t="str">
        <f>IFERROR(VLOOKUP(Tabela1[[#This Row],[MÊS]]&amp;Tabela1[[#This Row],[MATRICULA]],#REF!,2,0),"")</f>
        <v/>
      </c>
      <c r="BI10" s="35" t="str">
        <f>IFERROR(VLOOKUP(Tabela1[[#This Row],[MÊS]]&amp;Tabela1[[#This Row],[MATRICULA]],#REF!,2,0),"")</f>
        <v/>
      </c>
      <c r="BJ10" s="35" t="str">
        <f>IFERROR(VLOOKUP(Tabela1[[#This Row],[MÊS]]&amp;Tabela1[[#This Row],[MATRICULA]],#REF!,2,0),"")</f>
        <v/>
      </c>
      <c r="BK10" s="35" t="str">
        <f>IFERROR(VLOOKUP(Tabela1[[#This Row],[MÊS]]&amp;Tabela1[[#This Row],[MATRICULA]],#REF!,2,0),"")</f>
        <v/>
      </c>
      <c r="BL10" s="21">
        <f>COUNTIF(Tabela1[[#This Row],[MOT2]:[RECEPTIVA]],"NÃO ENCONTRADA")</f>
        <v>0</v>
      </c>
      <c r="BM10" s="135" t="str">
        <f>IFERROR(VLOOKUP(Tabela1[[#This Row],[MÊS]]&amp;Tabela1[[#This Row],[ID]]&amp;Tabela1[[#This Row],[MATRICULA]]&amp;"Motorista"&amp;Tabela1[[#This Row],[SETOR]],BD!A:AF,13,0),"")</f>
        <v/>
      </c>
      <c r="BN10" s="135" t="str">
        <f>IFERROR(VLOOKUP(Tabela1[[#This Row],[MÊS]]&amp;Tabela1[[#This Row],[ID]]&amp;Tabela1[[#This Row],[MATRICULA]]&amp;"Motorista 2"&amp;Tabela1[[#This Row],[SETOR]],BD!A:AF,13,0),"")</f>
        <v/>
      </c>
      <c r="BO10" s="135" t="str">
        <f>IFERROR(VLOOKUP(Tabela1[[#This Row],[MÊS]]&amp;Tabela1[[#This Row],[ID]]&amp;Tabela1[[#This Row],[MATRICULA]]&amp;"Motorista 3"&amp;Tabela1[[#This Row],[SETOR]],BD!A:AF,13,0),"")</f>
        <v/>
      </c>
      <c r="BP10" s="135" t="str">
        <f>IFERROR(VLOOKUP(Tabela1[[#This Row],[MÊS]]&amp;Tabela1[[#This Row],[ID]]&amp;Tabela1[[#This Row],[MATRICULA]]&amp;"Motorista 4"&amp;Tabela1[[#This Row],[SETOR]],BD!A:AF,13,0),"")</f>
        <v/>
      </c>
      <c r="BQ10" s="135" t="str">
        <f>IFERROR(AVERAGE(Tabela1[[#This Row],[DMOT]:[DMOT4]]),"")</f>
        <v/>
      </c>
      <c r="BR10" s="135" t="str">
        <f>IFERROR(VLOOKUP(Tabela1[[#This Row],[MÊS]]&amp;Tabela1[[#This Row],[ID]]&amp;Tabela1[[#This Row],[MATRICULA]]&amp;"Ponto de Apoio"&amp;Tabela1[[#This Row],[SETOR]],BD!A:AF,13,0),"")</f>
        <v/>
      </c>
      <c r="BS10" s="135" t="str">
        <f>IFERROR(VLOOKUP(Tabela1[[#This Row],[MÊS]]&amp;Tabela1[[#This Row],[ID]]&amp;Tabela1[[#This Row],[MATRICULA]]&amp;"Ponto de Apoio 2"&amp;Tabela1[[#This Row],[SETOR]],BD!A:AF,13,0),"")</f>
        <v/>
      </c>
      <c r="BT10" s="135" t="str">
        <f>IFERROR(VLOOKUP(Tabela1[[#This Row],[MÊS]]&amp;Tabela1[[#This Row],[ID]]&amp;Tabela1[[#This Row],[MATRICULA]]&amp;"Ponto de Apoio 3"&amp;Tabela1[[#This Row],[SETOR]],BD!A:AF,13,0),"")</f>
        <v/>
      </c>
      <c r="BU10" s="135" t="str">
        <f>IFERROR(VLOOKUP(Tabela1[[#This Row],[MÊS]]&amp;Tabela1[[#This Row],[ID]]&amp;Tabela1[[#This Row],[MATRICULA]]&amp;"Ponto de Apoio 4"&amp;Tabela1[[#This Row],[SETOR]],BD!A:AF,13,0),"")</f>
        <v/>
      </c>
      <c r="BV10" s="135" t="str">
        <f>IFERROR(AVERAGE(Tabela1[[#This Row],[DPA]:[DPA 4]]),"")</f>
        <v/>
      </c>
      <c r="BW10" s="135" t="str">
        <f>IFERROR(VLOOKUP(Tabela1[[#This Row],[MÊS]]&amp;Tabela1[[#This Row],[ID]]&amp;Tabela1[[#This Row],[MATRICULA]]&amp;"Cliente"&amp;Tabela1[[#This Row],[SETOR]],BD!A:AF,13,0),"")</f>
        <v/>
      </c>
      <c r="BX10" s="135" t="str">
        <f>IFERROR(VLOOKUP(Tabela1[[#This Row],[MÊS]]&amp;Tabela1[[#This Row],[ID]]&amp;Tabela1[[#This Row],[MATRICULA]]&amp;"cliente 2"&amp;Tabela1[[#This Row],[SETOR]],BD!A:AF,13,0),"")</f>
        <v/>
      </c>
      <c r="BY10" s="135" t="str">
        <f>IFERROR(VLOOKUP(Tabela1[[#This Row],[MÊS]]&amp;Tabela1[[#This Row],[ID]]&amp;Tabela1[[#This Row],[MATRICULA]]&amp;"cliente 3"&amp;Tabela1[[#This Row],[SETOR]],BD!A:AF,13,0),"")</f>
        <v/>
      </c>
      <c r="BZ10" s="135" t="str">
        <f>IFERROR(VLOOKUP(Tabela1[[#This Row],[MÊS]]&amp;Tabela1[[#This Row],[ID]]&amp;Tabela1[[#This Row],[MATRICULA]]&amp;"cliente 4"&amp;Tabela1[[#This Row],[SETOR]],BD!A:AF,13,0),"")</f>
        <v/>
      </c>
      <c r="CA10" s="135" t="str">
        <f>IFERROR(AVERAGE(Tabela1[[#This Row],[DCLI]:[DCLI 4]]),"")</f>
        <v/>
      </c>
      <c r="CB10" s="135" t="str">
        <f>IFERROR(VLOOKUP(Tabela1[[#This Row],[MÊS]]&amp;Tabela1[[#This Row],[ID]]&amp;Tabela1[[#This Row],[MATRICULA]]&amp;"Policia"&amp;Tabela1[[#This Row],[SETOR]],BD!A:AF,13,0),"")</f>
        <v/>
      </c>
      <c r="CC10" s="135" t="str">
        <f>IFERROR(VLOOKUP(Tabela1[[#This Row],[MÊS]]&amp;Tabela1[[#This Row],[ID]]&amp;Tabela1[[#This Row],[MATRICULA]]&amp;"Policia 2"&amp;Tabela1[[#This Row],[SETOR]],BD!A:AF,13,0),"")</f>
        <v/>
      </c>
      <c r="CD10" s="135"/>
      <c r="CE10" s="135"/>
      <c r="CF10" s="135" t="str">
        <f>IFERROR((AVERAGE(Tabela1[[#This Row],[DPOL1]:[DPOL4]])),"")</f>
        <v/>
      </c>
      <c r="CG10" s="21" t="str">
        <f>IFERROR(VLOOKUP(Tabela1[[#This Row],[ID]]&amp;Tabela1[[#This Row],[MÊS]]&amp;Tabela1[[#This Row],[MATRICULA]],#REF!,2,0),"")</f>
        <v/>
      </c>
      <c r="CH10" s="21" t="str">
        <f>IFERROR(VLOOKUP(Tabela1[[#This Row],[ID]]&amp;Tabela1[[#This Row],[MÊS]]&amp;Tabela1[[#This Row],[MATRICULA]],#REF!,2,0),"")</f>
        <v/>
      </c>
      <c r="CI10" s="21" t="str">
        <f>IFERROR(VLOOKUP(Tabela1[[#This Row],[MÊS]]&amp;Tabela1[[#This Row],[MATRICULA]],#REF!,2,0),"")</f>
        <v/>
      </c>
    </row>
    <row r="11" spans="1:87">
      <c r="A11" s="12" t="str">
        <f>Tabela1[[#This Row],[MÊS]]&amp;Tabela1[[#This Row],[MATRICULA]]&amp;Tabela1[[#This Row],[ID]]</f>
        <v>JAN114159</v>
      </c>
      <c r="B11" s="12" t="str">
        <f>Tabela1[[#This Row],[MÊS]]&amp;Tabela1[[#This Row],[ID]]&amp;Tabela1[[#This Row],[MATRICULA]]&amp;Tabela1[[#This Row],[SETOR]]</f>
        <v>JAN911415CADASTRO</v>
      </c>
      <c r="C11" s="130" t="e">
        <f>VLOOKUP(Tabela1[[#This Row],[MATRICULA]],'BD Campos'!A:D,5,0)</f>
        <v>#REF!</v>
      </c>
      <c r="D11" s="133" t="str">
        <f ca="1">IFERROR(SUM(TODAY()-Tabela1[[#This Row],[ADMISSÃO]]),"")</f>
        <v/>
      </c>
      <c r="E11" s="11" t="str">
        <f ca="1">IFERROR(TRUNC(Tabela1[[#This Row],[TEMPO DE CASA (DIAS)]]/30),"")</f>
        <v/>
      </c>
      <c r="F11" s="32" t="str">
        <f ca="1">IFERROR(SUM(Tabela1[[#This Row],[TEMPO DE CASA (MESES)]]/12),"")</f>
        <v/>
      </c>
      <c r="G11" s="133" t="str">
        <f ca="1">IF(Tabela1[[#This Row],[TEMPO DE CASA (DIAS)]]="","SEM DADOS",IF(Tabela1[[#This Row],[TEMPO DE CASA (DIAS)]]&gt;180,"&gt; 6 MESES","&lt; 6 MESES"))</f>
        <v>SEM DADOS</v>
      </c>
      <c r="H11" s="12" t="str">
        <f t="shared" si="1"/>
        <v>JANLarissa Cristina9</v>
      </c>
      <c r="I11" s="12" t="str">
        <f>IFERROR(VLOOKUP(Tabela1[[#This Row],[MATRICULA]],'BD Campos'!A:F,7,0),"")</f>
        <v/>
      </c>
      <c r="J11" s="11">
        <v>9</v>
      </c>
      <c r="K11" s="11" t="s">
        <v>669</v>
      </c>
      <c r="L11" s="136">
        <v>11415</v>
      </c>
      <c r="M11" s="12" t="str">
        <f>IFERROR(VLOOKUP(Tabela1[[#This Row],[MATRICULA]],'BD Campos'!A:B,2,0),"")</f>
        <v>LOREN KELLY FREITAS PINHEIRO</v>
      </c>
      <c r="N11" s="20" t="str">
        <f>IFERROR(AVERAGE(Tabela1[[#This Row],[A1]:[A4]]),"")</f>
        <v/>
      </c>
      <c r="O11" s="20">
        <f>IFERROR(IF(Tabela1[[#This Row],[SETOR]]="RECEPTIVO","",AVERAGE(Tabela1[[#This Row],[A5]:[A6]])),"")</f>
        <v>10.000000000000002</v>
      </c>
      <c r="P11" s="20" t="str">
        <f>IFERROR(IF(Tabela1[[#This Row],[STATUS]]="INATIVO","INATIVO",IF(Tabela1[[#This Row],[STATUS]]="QRT","INATIVO",IF(Tabela1[[#This Row],[OPERACIONAL]]&gt;7.99999,"BOM","RUIM"))),"")</f>
        <v>BOM</v>
      </c>
      <c r="Q11" s="21" t="s">
        <v>667</v>
      </c>
      <c r="R11" s="12" t="s">
        <v>82</v>
      </c>
      <c r="S11" s="12" t="s">
        <v>668</v>
      </c>
      <c r="T11" s="12" t="s">
        <v>82</v>
      </c>
      <c r="U1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1" s="12">
        <f>IF(AND(Tabela1[[#This Row],[SETOR]]="UTI",Tabela1[[#This Row],[M]]&lt;&gt;""),1,IF(AND(Tabela1[[#This Row],[SETOR]]="UTI (RJ)",Tabela1[[#This Row],[M]]&lt;&gt;""),1.5,0))</f>
        <v>0</v>
      </c>
      <c r="X11" s="12">
        <f>IF(AND(Tabela1[[#This Row],[SETOR]]="UTI",Tabela1[[#This Row],[PA2]]&lt;&gt;""),1,IF(AND(Tabela1[[#This Row],[SETOR]]="UTI (RJ)",Tabela1[[#This Row],[PA2]]&lt;&gt;""),0,0))</f>
        <v>0</v>
      </c>
      <c r="Y11" s="12">
        <f>IF(AND(Tabela1[[#This Row],[SETOR]]="UTI",Tabela1[[#This Row],[C]]&lt;&gt;""),1,IF(AND(Tabela1[[#This Row],[SETOR]]="UTI (RJ)",Tabela1[[#This Row],[C]]&lt;&gt;""),1.5,0))</f>
        <v>0</v>
      </c>
      <c r="Z11" s="12">
        <f>IF(AND(Tabela1[[#This Row],[SETOR]]="UTI",Tabela1[[#This Row],[PL]]&lt;&gt;""),1,IF(AND(Tabela1[[#This Row],[SETOR]]="UTI (RJ)",Tabela1[[#This Row],[PL]]&lt;&gt;""),1,0))</f>
        <v>0</v>
      </c>
      <c r="AA11" s="21" t="str">
        <f>IFERROR(VLOOKUP(Tabela1[[#This Row],[MÊS]]&amp;Tabela1[[#This Row],[MATRICULA]]&amp;"1"&amp;Tabela1[[#This Row],[SETOR]]&amp;"PADRÃO",BD!B:AF,31,0),"")</f>
        <v/>
      </c>
      <c r="AB11" s="21" t="str">
        <f>IFERROR(VLOOKUP(Tabela1[[#This Row],[MÊS]]&amp;Tabela1[[#This Row],[MATRICULA]]&amp;"2"&amp;Tabela1[[#This Row],[SETOR]]&amp;"PADRÃO",BD!B:AF,31,0),"")</f>
        <v/>
      </c>
      <c r="AC11" s="21" t="str">
        <f>IFERROR(VLOOKUP(Tabela1[[#This Row],[MÊS]]&amp;Tabela1[[#This Row],[MATRICULA]]&amp;"3"&amp;Tabela1[[#This Row],[SETOR]]&amp;"PADRÃO",BD!B:AF,31,0),"")</f>
        <v/>
      </c>
      <c r="AD11" s="21" t="str">
        <f>IFERROR(VLOOKUP(Tabela1[[#This Row],[MÊS]]&amp;Tabela1[[#This Row],[MATRICULA]]&amp;"4"&amp;Tabela1[[#This Row],[SETOR]]&amp;"PADRÃO",BD!B:AF,25,0),"")</f>
        <v/>
      </c>
      <c r="AE11" s="21">
        <f>IFERROR(VLOOKUP(Tabela1[[#This Row],[MÊS]]&amp;Tabela1[[#This Row],[MATRICULA]]&amp;"5"&amp;Tabela1[[#This Row],[SETOR]]&amp;"PADRÃO",BD!B:AF,31,0),"")</f>
        <v>10.000000000000002</v>
      </c>
      <c r="AF11" s="21">
        <f>IFERROR(VLOOKUP(Tabela1[[#This Row],[MÊS]]&amp;Tabela1[[#This Row],[MATRICULA]]&amp;"6"&amp;Tabela1[[#This Row],[SETOR]]&amp;"PADRÃO",BD!B:AF,31,0),"")</f>
        <v>10.000000000000002</v>
      </c>
      <c r="AG11" s="21" t="str">
        <f>IFERROR(VLOOKUP(Tabela1[[#This Row],[MÊS]]&amp;Tabela1[[#This Row],[MATRICULA]]&amp;"7"&amp;Tabela1[[#This Row],[SETOR]]&amp;"PADRÃO",BD!B:AF,31,0),"")</f>
        <v/>
      </c>
      <c r="AH11" s="21" t="str">
        <f>IFERROR(VLOOKUP(Tabela1[[#This Row],[MÊS]]&amp;Tabela1[[#This Row],[ID]]&amp;Tabela1[[#This Row],[MATRICULA]]&amp;"Receptiva"&amp;Tabela1[[#This Row],[SETOR]],BD!A:AF,31,0),"")</f>
        <v/>
      </c>
      <c r="AI11" s="21" t="str">
        <f>IFERROR(VLOOKUP(Tabela1[[#This Row],[MÊS]]&amp;Tabela1[[#This Row],[ID]]&amp;Tabela1[[#This Row],[MATRICULA]]&amp;"Receptiva 2"&amp;Tabela1[[#This Row],[SETOR]],BD!A:AF,31,0),"")</f>
        <v/>
      </c>
      <c r="AJ11" s="21" t="str">
        <f>IFERROR(VLOOKUP(Tabela1[[#This Row],[MÊS]]&amp;Tabela1[[#This Row],[ID]]&amp;Tabela1[[#This Row],[MATRICULA]]&amp;"Receptiva 3"&amp;Tabela1[[#This Row],[SETOR]],BD!A:AF,31,0),"")</f>
        <v/>
      </c>
      <c r="AK11" s="21" t="str">
        <f>IFERROR(VLOOKUP(Tabela1[[#This Row],[MÊS]]&amp;Tabela1[[#This Row],[ID]]&amp;Tabela1[[#This Row],[MATRICULA]]&amp;"Receptiva 4"&amp;Tabela1[[#This Row],[SETOR]],BD!A:AF,31,0),"")</f>
        <v/>
      </c>
      <c r="AL11" s="21" t="str">
        <f>IFERROR(VLOOKUP(Tabela1[[#This Row],[MÊS]]&amp;Tabela1[[#This Row],[MATRICULA]]&amp;"Motorista"&amp;Tabela1[[#This Row],[SETOR]],BD!A:AF,31,0),"")</f>
        <v/>
      </c>
      <c r="AM11" s="21" t="str">
        <f>IFERROR(VLOOKUP(Tabela1[[#This Row],[MÊS]]&amp;Tabela1[[#This Row],[ID]]&amp;Tabela1[[#This Row],[MATRICULA]]&amp;"Motorista 2"&amp;Tabela1[[#This Row],[SETOR]],BD!A:AF,26,0),"")</f>
        <v/>
      </c>
      <c r="AN11" s="21" t="str">
        <f>IFERROR(VLOOKUP(Tabela1[[#This Row],[MÊS]]&amp;Tabela1[[#This Row],[ID]]&amp;Tabela1[[#This Row],[MATRICULA]]&amp;"Motorista 3"&amp;Tabela1[[#This Row],[SETOR]],BD!A:AF,26,0),"")</f>
        <v/>
      </c>
      <c r="AO11" s="21" t="str">
        <f>IFERROR(VLOOKUP(Tabela1[[#This Row],[MÊS]]&amp;Tabela1[[#This Row],[ID]]&amp;Tabela1[[#This Row],[MATRICULA]]&amp;"Motorista 4"&amp;Tabela1[[#This Row],[SETOR]],BD!A:AF,26,0),"")</f>
        <v/>
      </c>
      <c r="AP11" s="21" t="str">
        <f>IFERROR(VLOOKUP(Tabela1[[#This Row],[MÊS]]&amp;Tabela1[[#This Row],[MATRICULA]]&amp;"Ponto de Apoio"&amp;Tabela1[[#This Row],[SETOR]],BD!A:AF,31,0),"")</f>
        <v/>
      </c>
      <c r="AQ11" s="21" t="str">
        <f>IFERROR(VLOOKUP(Tabela1[[#This Row],[MÊS]]&amp;Tabela1[[#This Row],[ID]]&amp;Tabela1[[#This Row],[MATRICULA]]&amp;"Ponto de Apoio 2"&amp;Tabela1[[#This Row],[SETOR]],BD!A:AF,26,0),"")</f>
        <v/>
      </c>
      <c r="AR11" s="36" t="str">
        <f>IFERROR(VLOOKUP(Tabela1[[#This Row],[MÊS]]&amp;Tabela1[[#This Row],[ID]]&amp;Tabela1[[#This Row],[MATRICULA]]&amp;"Ponto de Apoio 3"&amp;Tabela1[[#This Row],[SETOR]],BD!A:AF,26,0),"")</f>
        <v/>
      </c>
      <c r="AS11" s="36" t="str">
        <f>IFERROR(VLOOKUP(Tabela1[[#This Row],[MÊS]]&amp;Tabela1[[#This Row],[ID]]&amp;Tabela1[[#This Row],[MATRICULA]]&amp;"Ponto de Apoio 4"&amp;Tabela1[[#This Row],[SETOR]],BD!A:AF,26,0),"")</f>
        <v/>
      </c>
      <c r="AT11" s="21" t="str">
        <f>IFERROR(VLOOKUP(Tabela1[[#This Row],[MÊS]]&amp;Tabela1[[#This Row],[MATRICULA]]&amp;"Cliente"&amp;Tabela1[[#This Row],[SETOR]],BD!A:AF,31,0),"")</f>
        <v/>
      </c>
      <c r="AU11" s="21" t="str">
        <f>IFERROR(VLOOKUP(Tabela1[[#This Row],[MÊS]]&amp;Tabela1[[#This Row],[ID]]&amp;Tabela1[[#This Row],[MATRICULA]]&amp;"Cliente 2"&amp;Tabela1[[#This Row],[SETOR]],BD!A:AF,26,0),"")</f>
        <v/>
      </c>
      <c r="AX11" s="21" t="str">
        <f>IFERROR(VLOOKUP(Tabela1[[#This Row],[MÊS]]&amp;Tabela1[[#This Row],[MATRICULA]]&amp;"Policia"&amp;Tabela1[[#This Row],[SETOR]],BD!A:AF,31,0),"")</f>
        <v/>
      </c>
      <c r="AY11" s="21" t="str">
        <f>IFERROR(VLOOKUP(Tabela1[[#This Row],[MÊS]]&amp;Tabela1[[#This Row],[ID]]&amp;Tabela1[[#This Row],[MATRICULA]]&amp;"Policia 2"&amp;Tabela1[[#This Row],[SETOR]],BD!A:AF,26,0),"")</f>
        <v/>
      </c>
      <c r="AZ11" s="36" t="str">
        <f>IFERROR(VLOOKUP(Tabela1[[#This Row],[MÊS]]&amp;Tabela1[[#This Row],[ID]]&amp;Tabela1[[#This Row],[MATRICULA]]&amp;"Policia 3"&amp;Tabela1[[#This Row],[SETOR]],BD!A:AF,26,0),"")</f>
        <v/>
      </c>
      <c r="BA11" s="36" t="str">
        <f>IFERROR(VLOOKUP(Tabela1[[#This Row],[MÊS]]&amp;Tabela1[[#This Row],[ID]]&amp;Tabela1[[#This Row],[MATRICULA]]&amp;"Policia 4"&amp;Tabela1[[#This Row],[SETOR]],BD!A:AF,26,0),"")</f>
        <v/>
      </c>
      <c r="BB1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1" s="21" t="str">
        <f>IFERROR(AVERAGE(Tabela1[[#This Row],[M]:[M4]]),"")</f>
        <v/>
      </c>
      <c r="BD11" s="21" t="str">
        <f>IFERROR(AVERAGE(Tabela1[[#This Row],[C]:[C4]]),"")</f>
        <v/>
      </c>
      <c r="BE11" s="21" t="str">
        <f>IFERROR(AVERAGE(Tabela1[[#This Row],[PA2]:[PA 4]]),"")</f>
        <v/>
      </c>
      <c r="BF11" s="21" t="str">
        <f>IFERROR(AVERAGE(Tabela1[[#This Row],[PL]:[PL4]]),"")</f>
        <v/>
      </c>
      <c r="BG11" s="35" t="str">
        <f>IFERROR(VLOOKUP(Tabela1[[#This Row],[MÊS]]&amp;Tabela1[[#This Row],[MATRICULA]],#REF!,2,0),"")</f>
        <v/>
      </c>
      <c r="BH11" s="35" t="str">
        <f>IFERROR(VLOOKUP(Tabela1[[#This Row],[MÊS]]&amp;Tabela1[[#This Row],[MATRICULA]],#REF!,2,0),"")</f>
        <v/>
      </c>
      <c r="BI11" s="35" t="str">
        <f>IFERROR(VLOOKUP(Tabela1[[#This Row],[MÊS]]&amp;Tabela1[[#This Row],[MATRICULA]],#REF!,2,0),"")</f>
        <v/>
      </c>
      <c r="BJ11" s="35" t="str">
        <f>IFERROR(VLOOKUP(Tabela1[[#This Row],[MÊS]]&amp;Tabela1[[#This Row],[MATRICULA]],#REF!,2,0),"")</f>
        <v/>
      </c>
      <c r="BK11" s="35" t="str">
        <f>IFERROR(VLOOKUP(Tabela1[[#This Row],[MÊS]]&amp;Tabela1[[#This Row],[MATRICULA]],#REF!,2,0),"")</f>
        <v/>
      </c>
      <c r="BL11" s="21">
        <f>COUNTIF(Tabela1[[#This Row],[MOT2]:[RECEPTIVA]],"NÃO ENCONTRADA")</f>
        <v>0</v>
      </c>
      <c r="BM11" s="135" t="str">
        <f>IFERROR(VLOOKUP(Tabela1[[#This Row],[MÊS]]&amp;Tabela1[[#This Row],[ID]]&amp;Tabela1[[#This Row],[MATRICULA]]&amp;"Motorista"&amp;Tabela1[[#This Row],[SETOR]],BD!A:AF,13,0),"")</f>
        <v/>
      </c>
      <c r="BN11" s="135" t="str">
        <f>IFERROR(VLOOKUP(Tabela1[[#This Row],[MÊS]]&amp;Tabela1[[#This Row],[ID]]&amp;Tabela1[[#This Row],[MATRICULA]]&amp;"Motorista 2"&amp;Tabela1[[#This Row],[SETOR]],BD!A:AF,13,0),"")</f>
        <v/>
      </c>
      <c r="BO11" s="135" t="str">
        <f>IFERROR(VLOOKUP(Tabela1[[#This Row],[MÊS]]&amp;Tabela1[[#This Row],[ID]]&amp;Tabela1[[#This Row],[MATRICULA]]&amp;"Motorista 3"&amp;Tabela1[[#This Row],[SETOR]],BD!A:AF,13,0),"")</f>
        <v/>
      </c>
      <c r="BP11" s="135" t="str">
        <f>IFERROR(VLOOKUP(Tabela1[[#This Row],[MÊS]]&amp;Tabela1[[#This Row],[ID]]&amp;Tabela1[[#This Row],[MATRICULA]]&amp;"Motorista 4"&amp;Tabela1[[#This Row],[SETOR]],BD!A:AF,13,0),"")</f>
        <v/>
      </c>
      <c r="BQ11" s="135" t="str">
        <f>IFERROR(AVERAGE(Tabela1[[#This Row],[DMOT]:[DMOT4]]),"")</f>
        <v/>
      </c>
      <c r="BR11" s="135" t="str">
        <f>IFERROR(VLOOKUP(Tabela1[[#This Row],[MÊS]]&amp;Tabela1[[#This Row],[ID]]&amp;Tabela1[[#This Row],[MATRICULA]]&amp;"Ponto de Apoio"&amp;Tabela1[[#This Row],[SETOR]],BD!A:AF,13,0),"")</f>
        <v/>
      </c>
      <c r="BS11" s="135" t="str">
        <f>IFERROR(VLOOKUP(Tabela1[[#This Row],[MÊS]]&amp;Tabela1[[#This Row],[ID]]&amp;Tabela1[[#This Row],[MATRICULA]]&amp;"Ponto de Apoio 2"&amp;Tabela1[[#This Row],[SETOR]],BD!A:AF,13,0),"")</f>
        <v/>
      </c>
      <c r="BT11" s="135" t="str">
        <f>IFERROR(VLOOKUP(Tabela1[[#This Row],[MÊS]]&amp;Tabela1[[#This Row],[ID]]&amp;Tabela1[[#This Row],[MATRICULA]]&amp;"Ponto de Apoio 3"&amp;Tabela1[[#This Row],[SETOR]],BD!A:AF,13,0),"")</f>
        <v/>
      </c>
      <c r="BU11" s="135" t="str">
        <f>IFERROR(VLOOKUP(Tabela1[[#This Row],[MÊS]]&amp;Tabela1[[#This Row],[ID]]&amp;Tabela1[[#This Row],[MATRICULA]]&amp;"Ponto de Apoio 4"&amp;Tabela1[[#This Row],[SETOR]],BD!A:AF,13,0),"")</f>
        <v/>
      </c>
      <c r="BV11" s="135" t="str">
        <f>IFERROR(AVERAGE(Tabela1[[#This Row],[DPA]:[DPA 4]]),"")</f>
        <v/>
      </c>
      <c r="BW11" s="135" t="str">
        <f>IFERROR(VLOOKUP(Tabela1[[#This Row],[MÊS]]&amp;Tabela1[[#This Row],[ID]]&amp;Tabela1[[#This Row],[MATRICULA]]&amp;"Cliente"&amp;Tabela1[[#This Row],[SETOR]],BD!A:AF,13,0),"")</f>
        <v/>
      </c>
      <c r="BX11" s="135" t="str">
        <f>IFERROR(VLOOKUP(Tabela1[[#This Row],[MÊS]]&amp;Tabela1[[#This Row],[ID]]&amp;Tabela1[[#This Row],[MATRICULA]]&amp;"cliente 2"&amp;Tabela1[[#This Row],[SETOR]],BD!A:AF,13,0),"")</f>
        <v/>
      </c>
      <c r="BY11" s="135" t="str">
        <f>IFERROR(VLOOKUP(Tabela1[[#This Row],[MÊS]]&amp;Tabela1[[#This Row],[ID]]&amp;Tabela1[[#This Row],[MATRICULA]]&amp;"cliente 3"&amp;Tabela1[[#This Row],[SETOR]],BD!A:AF,13,0),"")</f>
        <v/>
      </c>
      <c r="BZ11" s="135" t="str">
        <f>IFERROR(VLOOKUP(Tabela1[[#This Row],[MÊS]]&amp;Tabela1[[#This Row],[ID]]&amp;Tabela1[[#This Row],[MATRICULA]]&amp;"cliente 4"&amp;Tabela1[[#This Row],[SETOR]],BD!A:AF,13,0),"")</f>
        <v/>
      </c>
      <c r="CA11" s="135" t="str">
        <f>IFERROR(AVERAGE(Tabela1[[#This Row],[DCLI]:[DCLI 4]]),"")</f>
        <v/>
      </c>
      <c r="CB11" s="135" t="str">
        <f>IFERROR(VLOOKUP(Tabela1[[#This Row],[MÊS]]&amp;Tabela1[[#This Row],[ID]]&amp;Tabela1[[#This Row],[MATRICULA]]&amp;"Policia"&amp;Tabela1[[#This Row],[SETOR]],BD!A:AF,13,0),"")</f>
        <v/>
      </c>
      <c r="CC11" s="135" t="str">
        <f>IFERROR(VLOOKUP(Tabela1[[#This Row],[MÊS]]&amp;Tabela1[[#This Row],[ID]]&amp;Tabela1[[#This Row],[MATRICULA]]&amp;"Policia 2"&amp;Tabela1[[#This Row],[SETOR]],BD!A:AF,13,0),"")</f>
        <v/>
      </c>
      <c r="CD11" s="135"/>
      <c r="CE11" s="135"/>
      <c r="CF11" s="135" t="str">
        <f>IFERROR((AVERAGE(Tabela1[[#This Row],[DPOL1]:[DPOL4]])),"")</f>
        <v/>
      </c>
      <c r="CG11" s="21" t="str">
        <f>IFERROR(VLOOKUP(Tabela1[[#This Row],[ID]]&amp;Tabela1[[#This Row],[MÊS]]&amp;Tabela1[[#This Row],[MATRICULA]],#REF!,2,0),"")</f>
        <v/>
      </c>
      <c r="CH11" s="21" t="str">
        <f>IFERROR(VLOOKUP(Tabela1[[#This Row],[ID]]&amp;Tabela1[[#This Row],[MÊS]]&amp;Tabela1[[#This Row],[MATRICULA]],#REF!,2,0),"")</f>
        <v/>
      </c>
      <c r="CI11" s="21" t="str">
        <f>IFERROR(VLOOKUP(Tabela1[[#This Row],[MÊS]]&amp;Tabela1[[#This Row],[MATRICULA]],#REF!,2,0),"")</f>
        <v/>
      </c>
    </row>
    <row r="12" spans="1:87">
      <c r="A12" s="12" t="str">
        <f>Tabela1[[#This Row],[MÊS]]&amp;Tabela1[[#This Row],[MATRICULA]]&amp;Tabela1[[#This Row],[ID]]</f>
        <v>JAN1143010</v>
      </c>
      <c r="B12" s="12" t="str">
        <f>Tabela1[[#This Row],[MÊS]]&amp;Tabela1[[#This Row],[ID]]&amp;Tabela1[[#This Row],[MATRICULA]]&amp;Tabela1[[#This Row],[SETOR]]</f>
        <v>JAN1011430CADASTRO</v>
      </c>
      <c r="C12" s="130" t="e">
        <f>VLOOKUP(Tabela1[[#This Row],[MATRICULA]],'BD Campos'!A:D,5,0)</f>
        <v>#REF!</v>
      </c>
      <c r="D12" s="133" t="str">
        <f ca="1">IFERROR(SUM(TODAY()-Tabela1[[#This Row],[ADMISSÃO]]),"")</f>
        <v/>
      </c>
      <c r="E12" s="11" t="str">
        <f ca="1">IFERROR(TRUNC(Tabela1[[#This Row],[TEMPO DE CASA (DIAS)]]/30),"")</f>
        <v/>
      </c>
      <c r="F12" s="32" t="str">
        <f ca="1">IFERROR(SUM(Tabela1[[#This Row],[TEMPO DE CASA (MESES)]]/12),"")</f>
        <v/>
      </c>
      <c r="G12" s="133" t="str">
        <f ca="1">IF(Tabela1[[#This Row],[TEMPO DE CASA (DIAS)]]="","SEM DADOS",IF(Tabela1[[#This Row],[TEMPO DE CASA (DIAS)]]&gt;180,"&gt; 6 MESES","&lt; 6 MESES"))</f>
        <v>SEM DADOS</v>
      </c>
      <c r="H12" s="12" t="str">
        <f t="shared" si="1"/>
        <v>JANLarissa Cristina10</v>
      </c>
      <c r="I12" s="12" t="str">
        <f>IFERROR(VLOOKUP(Tabela1[[#This Row],[MATRICULA]],'BD Campos'!A:F,7,0),"")</f>
        <v/>
      </c>
      <c r="J12" s="11">
        <v>10</v>
      </c>
      <c r="K12" s="11" t="s">
        <v>669</v>
      </c>
      <c r="L12" s="136">
        <v>11430</v>
      </c>
      <c r="M12" s="12" t="str">
        <f>IFERROR(VLOOKUP(Tabela1[[#This Row],[MATRICULA]],'BD Campos'!A:B,2,0),"")</f>
        <v>LARISSA GONCALVES</v>
      </c>
      <c r="N12" s="20" t="str">
        <f>IFERROR(AVERAGE(Tabela1[[#This Row],[A1]:[A4]]),"")</f>
        <v/>
      </c>
      <c r="O12" s="20">
        <f>IFERROR(IF(Tabela1[[#This Row],[SETOR]]="RECEPTIVO","",AVERAGE(Tabela1[[#This Row],[A5]:[A6]])),"")</f>
        <v>7.9000000000000012</v>
      </c>
      <c r="P12" s="20" t="str">
        <f>IFERROR(IF(Tabela1[[#This Row],[STATUS]]="INATIVO","INATIVO",IF(Tabela1[[#This Row],[STATUS]]="QRT","INATIVO",IF(Tabela1[[#This Row],[OPERACIONAL]]&gt;7.99999,"BOM","RUIM"))),"")</f>
        <v>BOM</v>
      </c>
      <c r="Q12" s="21" t="s">
        <v>667</v>
      </c>
      <c r="R12" s="12" t="s">
        <v>82</v>
      </c>
      <c r="S12" s="12" t="s">
        <v>668</v>
      </c>
      <c r="T12" s="12" t="s">
        <v>82</v>
      </c>
      <c r="U1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2" s="12">
        <f>IF(AND(Tabela1[[#This Row],[SETOR]]="UTI",Tabela1[[#This Row],[M]]&lt;&gt;""),1,IF(AND(Tabela1[[#This Row],[SETOR]]="UTI (RJ)",Tabela1[[#This Row],[M]]&lt;&gt;""),1.5,0))</f>
        <v>0</v>
      </c>
      <c r="X12" s="12">
        <f>IF(AND(Tabela1[[#This Row],[SETOR]]="UTI",Tabela1[[#This Row],[PA2]]&lt;&gt;""),1,IF(AND(Tabela1[[#This Row],[SETOR]]="UTI (RJ)",Tabela1[[#This Row],[PA2]]&lt;&gt;""),0,0))</f>
        <v>0</v>
      </c>
      <c r="Y12" s="12">
        <f>IF(AND(Tabela1[[#This Row],[SETOR]]="UTI",Tabela1[[#This Row],[C]]&lt;&gt;""),1,IF(AND(Tabela1[[#This Row],[SETOR]]="UTI (RJ)",Tabela1[[#This Row],[C]]&lt;&gt;""),1.5,0))</f>
        <v>0</v>
      </c>
      <c r="Z12" s="12">
        <f>IF(AND(Tabela1[[#This Row],[SETOR]]="UTI",Tabela1[[#This Row],[PL]]&lt;&gt;""),1,IF(AND(Tabela1[[#This Row],[SETOR]]="UTI (RJ)",Tabela1[[#This Row],[PL]]&lt;&gt;""),1,0))</f>
        <v>0</v>
      </c>
      <c r="AA12" s="21" t="str">
        <f>IFERROR(VLOOKUP(Tabela1[[#This Row],[MÊS]]&amp;Tabela1[[#This Row],[MATRICULA]]&amp;"1"&amp;Tabela1[[#This Row],[SETOR]]&amp;"PADRÃO",BD!B:AF,31,0),"")</f>
        <v/>
      </c>
      <c r="AB12" s="21" t="str">
        <f>IFERROR(VLOOKUP(Tabela1[[#This Row],[MÊS]]&amp;Tabela1[[#This Row],[MATRICULA]]&amp;"2"&amp;Tabela1[[#This Row],[SETOR]]&amp;"PADRÃO",BD!B:AF,31,0),"")</f>
        <v/>
      </c>
      <c r="AC12" s="21" t="str">
        <f>IFERROR(VLOOKUP(Tabela1[[#This Row],[MÊS]]&amp;Tabela1[[#This Row],[MATRICULA]]&amp;"3"&amp;Tabela1[[#This Row],[SETOR]]&amp;"PADRÃO",BD!B:AF,31,0),"")</f>
        <v/>
      </c>
      <c r="AD12" s="21" t="str">
        <f>IFERROR(VLOOKUP(Tabela1[[#This Row],[MÊS]]&amp;Tabela1[[#This Row],[MATRICULA]]&amp;"4"&amp;Tabela1[[#This Row],[SETOR]]&amp;"PADRÃO",BD!B:AF,25,0),"")</f>
        <v/>
      </c>
      <c r="AE12" s="21">
        <f>IFERROR(VLOOKUP(Tabela1[[#This Row],[MÊS]]&amp;Tabela1[[#This Row],[MATRICULA]]&amp;"5"&amp;Tabela1[[#This Row],[SETOR]]&amp;"PADRÃO",BD!B:AF,31,0),"")</f>
        <v>7.9000000000000012</v>
      </c>
      <c r="AF12" s="21">
        <f>IFERROR(VLOOKUP(Tabela1[[#This Row],[MÊS]]&amp;Tabela1[[#This Row],[MATRICULA]]&amp;"6"&amp;Tabela1[[#This Row],[SETOR]]&amp;"PADRÃO",BD!B:AF,31,0),"")</f>
        <v>7.9000000000000012</v>
      </c>
      <c r="AG12" s="21" t="str">
        <f>IFERROR(VLOOKUP(Tabela1[[#This Row],[MÊS]]&amp;Tabela1[[#This Row],[MATRICULA]]&amp;"7"&amp;Tabela1[[#This Row],[SETOR]]&amp;"PADRÃO",BD!B:AF,31,0),"")</f>
        <v/>
      </c>
      <c r="AH12" s="21" t="str">
        <f>IFERROR(VLOOKUP(Tabela1[[#This Row],[MÊS]]&amp;Tabela1[[#This Row],[ID]]&amp;Tabela1[[#This Row],[MATRICULA]]&amp;"Receptiva"&amp;Tabela1[[#This Row],[SETOR]],BD!A:AF,31,0),"")</f>
        <v/>
      </c>
      <c r="AI12" s="21" t="str">
        <f>IFERROR(VLOOKUP(Tabela1[[#This Row],[MÊS]]&amp;Tabela1[[#This Row],[ID]]&amp;Tabela1[[#This Row],[MATRICULA]]&amp;"Receptiva 2"&amp;Tabela1[[#This Row],[SETOR]],BD!A:AF,31,0),"")</f>
        <v/>
      </c>
      <c r="AJ12" s="21" t="str">
        <f>IFERROR(VLOOKUP(Tabela1[[#This Row],[MÊS]]&amp;Tabela1[[#This Row],[ID]]&amp;Tabela1[[#This Row],[MATRICULA]]&amp;"Receptiva 3"&amp;Tabela1[[#This Row],[SETOR]],BD!A:AF,31,0),"")</f>
        <v/>
      </c>
      <c r="AK12" s="21" t="str">
        <f>IFERROR(VLOOKUP(Tabela1[[#This Row],[MÊS]]&amp;Tabela1[[#This Row],[ID]]&amp;Tabela1[[#This Row],[MATRICULA]]&amp;"Receptiva 4"&amp;Tabela1[[#This Row],[SETOR]],BD!A:AF,31,0),"")</f>
        <v/>
      </c>
      <c r="AL12" s="21" t="str">
        <f>IFERROR(VLOOKUP(Tabela1[[#This Row],[MÊS]]&amp;Tabela1[[#This Row],[MATRICULA]]&amp;"Motorista"&amp;Tabela1[[#This Row],[SETOR]],BD!A:AF,31,0),"")</f>
        <v/>
      </c>
      <c r="AM12" s="21" t="str">
        <f>IFERROR(VLOOKUP(Tabela1[[#This Row],[MÊS]]&amp;Tabela1[[#This Row],[ID]]&amp;Tabela1[[#This Row],[MATRICULA]]&amp;"Motorista 2"&amp;Tabela1[[#This Row],[SETOR]],BD!A:AF,26,0),"")</f>
        <v/>
      </c>
      <c r="AN12" s="21" t="str">
        <f>IFERROR(VLOOKUP(Tabela1[[#This Row],[MÊS]]&amp;Tabela1[[#This Row],[ID]]&amp;Tabela1[[#This Row],[MATRICULA]]&amp;"Motorista 3"&amp;Tabela1[[#This Row],[SETOR]],BD!A:AF,26,0),"")</f>
        <v/>
      </c>
      <c r="AO12" s="21" t="str">
        <f>IFERROR(VLOOKUP(Tabela1[[#This Row],[MÊS]]&amp;Tabela1[[#This Row],[ID]]&amp;Tabela1[[#This Row],[MATRICULA]]&amp;"Motorista 4"&amp;Tabela1[[#This Row],[SETOR]],BD!A:AF,26,0),"")</f>
        <v/>
      </c>
      <c r="AP12" s="21" t="str">
        <f>IFERROR(VLOOKUP(Tabela1[[#This Row],[MÊS]]&amp;Tabela1[[#This Row],[MATRICULA]]&amp;"Ponto de Apoio"&amp;Tabela1[[#This Row],[SETOR]],BD!A:AF,31,0),"")</f>
        <v/>
      </c>
      <c r="AQ12" s="21" t="str">
        <f>IFERROR(VLOOKUP(Tabela1[[#This Row],[MÊS]]&amp;Tabela1[[#This Row],[ID]]&amp;Tabela1[[#This Row],[MATRICULA]]&amp;"Ponto de Apoio 2"&amp;Tabela1[[#This Row],[SETOR]],BD!A:AF,26,0),"")</f>
        <v/>
      </c>
      <c r="AR12" s="36" t="str">
        <f>IFERROR(VLOOKUP(Tabela1[[#This Row],[MÊS]]&amp;Tabela1[[#This Row],[ID]]&amp;Tabela1[[#This Row],[MATRICULA]]&amp;"Ponto de Apoio 3"&amp;Tabela1[[#This Row],[SETOR]],BD!A:AF,26,0),"")</f>
        <v/>
      </c>
      <c r="AS12" s="36" t="str">
        <f>IFERROR(VLOOKUP(Tabela1[[#This Row],[MÊS]]&amp;Tabela1[[#This Row],[ID]]&amp;Tabela1[[#This Row],[MATRICULA]]&amp;"Ponto de Apoio 4"&amp;Tabela1[[#This Row],[SETOR]],BD!A:AF,26,0),"")</f>
        <v/>
      </c>
      <c r="AT12" s="21" t="str">
        <f>IFERROR(VLOOKUP(Tabela1[[#This Row],[MÊS]]&amp;Tabela1[[#This Row],[MATRICULA]]&amp;"Cliente"&amp;Tabela1[[#This Row],[SETOR]],BD!A:AF,31,0),"")</f>
        <v/>
      </c>
      <c r="AU12" s="21" t="str">
        <f>IFERROR(VLOOKUP(Tabela1[[#This Row],[MÊS]]&amp;Tabela1[[#This Row],[ID]]&amp;Tabela1[[#This Row],[MATRICULA]]&amp;"Cliente 2"&amp;Tabela1[[#This Row],[SETOR]],BD!A:AF,26,0),"")</f>
        <v/>
      </c>
      <c r="AX12" s="21" t="str">
        <f>IFERROR(VLOOKUP(Tabela1[[#This Row],[MÊS]]&amp;Tabela1[[#This Row],[MATRICULA]]&amp;"Policia"&amp;Tabela1[[#This Row],[SETOR]],BD!A:AF,31,0),"")</f>
        <v/>
      </c>
      <c r="AY12" s="21" t="str">
        <f>IFERROR(VLOOKUP(Tabela1[[#This Row],[MÊS]]&amp;Tabela1[[#This Row],[ID]]&amp;Tabela1[[#This Row],[MATRICULA]]&amp;"Policia 2"&amp;Tabela1[[#This Row],[SETOR]],BD!A:AF,26,0),"")</f>
        <v/>
      </c>
      <c r="AZ12" s="36" t="str">
        <f>IFERROR(VLOOKUP(Tabela1[[#This Row],[MÊS]]&amp;Tabela1[[#This Row],[ID]]&amp;Tabela1[[#This Row],[MATRICULA]]&amp;"Policia 3"&amp;Tabela1[[#This Row],[SETOR]],BD!A:AF,26,0),"")</f>
        <v/>
      </c>
      <c r="BA12" s="36" t="str">
        <f>IFERROR(VLOOKUP(Tabela1[[#This Row],[MÊS]]&amp;Tabela1[[#This Row],[ID]]&amp;Tabela1[[#This Row],[MATRICULA]]&amp;"Policia 4"&amp;Tabela1[[#This Row],[SETOR]],BD!A:AF,26,0),"")</f>
        <v/>
      </c>
      <c r="BB1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2" s="21" t="str">
        <f>IFERROR(AVERAGE(Tabela1[[#This Row],[M]:[M4]]),"")</f>
        <v/>
      </c>
      <c r="BD12" s="21" t="str">
        <f>IFERROR(AVERAGE(Tabela1[[#This Row],[C]:[C4]]),"")</f>
        <v/>
      </c>
      <c r="BE12" s="21" t="str">
        <f>IFERROR(AVERAGE(Tabela1[[#This Row],[PA2]:[PA 4]]),"")</f>
        <v/>
      </c>
      <c r="BF12" s="21" t="str">
        <f>IFERROR(AVERAGE(Tabela1[[#This Row],[PL]:[PL4]]),"")</f>
        <v/>
      </c>
      <c r="BG12" s="35" t="str">
        <f>IFERROR(VLOOKUP(Tabela1[[#This Row],[MÊS]]&amp;Tabela1[[#This Row],[MATRICULA]],#REF!,2,0),"")</f>
        <v/>
      </c>
      <c r="BH12" s="35" t="str">
        <f>IFERROR(VLOOKUP(Tabela1[[#This Row],[MÊS]]&amp;Tabela1[[#This Row],[MATRICULA]],#REF!,2,0),"")</f>
        <v/>
      </c>
      <c r="BI12" s="35" t="str">
        <f>IFERROR(VLOOKUP(Tabela1[[#This Row],[MÊS]]&amp;Tabela1[[#This Row],[MATRICULA]],#REF!,2,0),"")</f>
        <v/>
      </c>
      <c r="BJ12" s="35" t="str">
        <f>IFERROR(VLOOKUP(Tabela1[[#This Row],[MÊS]]&amp;Tabela1[[#This Row],[MATRICULA]],#REF!,2,0),"")</f>
        <v/>
      </c>
      <c r="BK12" s="35" t="str">
        <f>IFERROR(VLOOKUP(Tabela1[[#This Row],[MÊS]]&amp;Tabela1[[#This Row],[MATRICULA]],#REF!,2,0),"")</f>
        <v/>
      </c>
      <c r="BL12" s="21">
        <f>COUNTIF(Tabela1[[#This Row],[MOT2]:[RECEPTIVA]],"NÃO ENCONTRADA")</f>
        <v>0</v>
      </c>
      <c r="BM12" s="135" t="str">
        <f>IFERROR(VLOOKUP(Tabela1[[#This Row],[MÊS]]&amp;Tabela1[[#This Row],[ID]]&amp;Tabela1[[#This Row],[MATRICULA]]&amp;"Motorista"&amp;Tabela1[[#This Row],[SETOR]],BD!A:AF,13,0),"")</f>
        <v/>
      </c>
      <c r="BN12" s="135" t="str">
        <f>IFERROR(VLOOKUP(Tabela1[[#This Row],[MÊS]]&amp;Tabela1[[#This Row],[ID]]&amp;Tabela1[[#This Row],[MATRICULA]]&amp;"Motorista 2"&amp;Tabela1[[#This Row],[SETOR]],BD!A:AF,13,0),"")</f>
        <v/>
      </c>
      <c r="BO12" s="135" t="str">
        <f>IFERROR(VLOOKUP(Tabela1[[#This Row],[MÊS]]&amp;Tabela1[[#This Row],[ID]]&amp;Tabela1[[#This Row],[MATRICULA]]&amp;"Motorista 3"&amp;Tabela1[[#This Row],[SETOR]],BD!A:AF,13,0),"")</f>
        <v/>
      </c>
      <c r="BP12" s="135" t="str">
        <f>IFERROR(VLOOKUP(Tabela1[[#This Row],[MÊS]]&amp;Tabela1[[#This Row],[ID]]&amp;Tabela1[[#This Row],[MATRICULA]]&amp;"Motorista 4"&amp;Tabela1[[#This Row],[SETOR]],BD!A:AF,13,0),"")</f>
        <v/>
      </c>
      <c r="BQ12" s="135" t="str">
        <f>IFERROR(AVERAGE(Tabela1[[#This Row],[DMOT]:[DMOT4]]),"")</f>
        <v/>
      </c>
      <c r="BR12" s="135" t="str">
        <f>IFERROR(VLOOKUP(Tabela1[[#This Row],[MÊS]]&amp;Tabela1[[#This Row],[ID]]&amp;Tabela1[[#This Row],[MATRICULA]]&amp;"Ponto de Apoio"&amp;Tabela1[[#This Row],[SETOR]],BD!A:AF,13,0),"")</f>
        <v/>
      </c>
      <c r="BS12" s="135" t="str">
        <f>IFERROR(VLOOKUP(Tabela1[[#This Row],[MÊS]]&amp;Tabela1[[#This Row],[ID]]&amp;Tabela1[[#This Row],[MATRICULA]]&amp;"Ponto de Apoio 2"&amp;Tabela1[[#This Row],[SETOR]],BD!A:AF,13,0),"")</f>
        <v/>
      </c>
      <c r="BT12" s="135" t="str">
        <f>IFERROR(VLOOKUP(Tabela1[[#This Row],[MÊS]]&amp;Tabela1[[#This Row],[ID]]&amp;Tabela1[[#This Row],[MATRICULA]]&amp;"Ponto de Apoio 3"&amp;Tabela1[[#This Row],[SETOR]],BD!A:AF,13,0),"")</f>
        <v/>
      </c>
      <c r="BU12" s="135" t="str">
        <f>IFERROR(VLOOKUP(Tabela1[[#This Row],[MÊS]]&amp;Tabela1[[#This Row],[ID]]&amp;Tabela1[[#This Row],[MATRICULA]]&amp;"Ponto de Apoio 4"&amp;Tabela1[[#This Row],[SETOR]],BD!A:AF,13,0),"")</f>
        <v/>
      </c>
      <c r="BV12" s="135" t="str">
        <f>IFERROR(AVERAGE(Tabela1[[#This Row],[DPA]:[DPA 4]]),"")</f>
        <v/>
      </c>
      <c r="BW12" s="135" t="str">
        <f>IFERROR(VLOOKUP(Tabela1[[#This Row],[MÊS]]&amp;Tabela1[[#This Row],[ID]]&amp;Tabela1[[#This Row],[MATRICULA]]&amp;"Cliente"&amp;Tabela1[[#This Row],[SETOR]],BD!A:AF,13,0),"")</f>
        <v/>
      </c>
      <c r="BX12" s="135" t="str">
        <f>IFERROR(VLOOKUP(Tabela1[[#This Row],[MÊS]]&amp;Tabela1[[#This Row],[ID]]&amp;Tabela1[[#This Row],[MATRICULA]]&amp;"cliente 2"&amp;Tabela1[[#This Row],[SETOR]],BD!A:AF,13,0),"")</f>
        <v/>
      </c>
      <c r="BY12" s="135" t="str">
        <f>IFERROR(VLOOKUP(Tabela1[[#This Row],[MÊS]]&amp;Tabela1[[#This Row],[ID]]&amp;Tabela1[[#This Row],[MATRICULA]]&amp;"cliente 3"&amp;Tabela1[[#This Row],[SETOR]],BD!A:AF,13,0),"")</f>
        <v/>
      </c>
      <c r="BZ12" s="135" t="str">
        <f>IFERROR(VLOOKUP(Tabela1[[#This Row],[MÊS]]&amp;Tabela1[[#This Row],[ID]]&amp;Tabela1[[#This Row],[MATRICULA]]&amp;"cliente 4"&amp;Tabela1[[#This Row],[SETOR]],BD!A:AF,13,0),"")</f>
        <v/>
      </c>
      <c r="CA12" s="135" t="str">
        <f>IFERROR(AVERAGE(Tabela1[[#This Row],[DCLI]:[DCLI 4]]),"")</f>
        <v/>
      </c>
      <c r="CB12" s="135" t="str">
        <f>IFERROR(VLOOKUP(Tabela1[[#This Row],[MÊS]]&amp;Tabela1[[#This Row],[ID]]&amp;Tabela1[[#This Row],[MATRICULA]]&amp;"Policia"&amp;Tabela1[[#This Row],[SETOR]],BD!A:AF,13,0),"")</f>
        <v/>
      </c>
      <c r="CC12" s="135" t="str">
        <f>IFERROR(VLOOKUP(Tabela1[[#This Row],[MÊS]]&amp;Tabela1[[#This Row],[ID]]&amp;Tabela1[[#This Row],[MATRICULA]]&amp;"Policia 2"&amp;Tabela1[[#This Row],[SETOR]],BD!A:AF,13,0),"")</f>
        <v/>
      </c>
      <c r="CD12" s="135"/>
      <c r="CE12" s="135"/>
      <c r="CF12" s="135" t="str">
        <f>IFERROR((AVERAGE(Tabela1[[#This Row],[DPOL1]:[DPOL4]])),"")</f>
        <v/>
      </c>
      <c r="CG12" s="21" t="str">
        <f>IFERROR(VLOOKUP(Tabela1[[#This Row],[ID]]&amp;Tabela1[[#This Row],[MÊS]]&amp;Tabela1[[#This Row],[MATRICULA]],#REF!,2,0),"")</f>
        <v/>
      </c>
      <c r="CH12" s="21" t="str">
        <f>IFERROR(VLOOKUP(Tabela1[[#This Row],[ID]]&amp;Tabela1[[#This Row],[MÊS]]&amp;Tabela1[[#This Row],[MATRICULA]],#REF!,2,0),"")</f>
        <v/>
      </c>
      <c r="CI12" s="21" t="str">
        <f>IFERROR(VLOOKUP(Tabela1[[#This Row],[MÊS]]&amp;Tabela1[[#This Row],[MATRICULA]],#REF!,2,0),"")</f>
        <v/>
      </c>
    </row>
    <row r="13" spans="1:87">
      <c r="A13" s="12" t="str">
        <f>Tabela1[[#This Row],[MÊS]]&amp;Tabela1[[#This Row],[MATRICULA]]&amp;Tabela1[[#This Row],[ID]]</f>
        <v>JAN1145711</v>
      </c>
      <c r="B13" s="12" t="str">
        <f>Tabela1[[#This Row],[MÊS]]&amp;Tabela1[[#This Row],[ID]]&amp;Tabela1[[#This Row],[MATRICULA]]&amp;Tabela1[[#This Row],[SETOR]]</f>
        <v>JAN1111457CADASTRO</v>
      </c>
      <c r="C13" s="130" t="e">
        <f>VLOOKUP(Tabela1[[#This Row],[MATRICULA]],'BD Campos'!A:D,5,0)</f>
        <v>#REF!</v>
      </c>
      <c r="D13" s="133" t="str">
        <f ca="1">IFERROR(SUM(TODAY()-Tabela1[[#This Row],[ADMISSÃO]]),"")</f>
        <v/>
      </c>
      <c r="E13" s="11" t="str">
        <f ca="1">IFERROR(TRUNC(Tabela1[[#This Row],[TEMPO DE CASA (DIAS)]]/30),"")</f>
        <v/>
      </c>
      <c r="F13" s="32" t="str">
        <f ca="1">IFERROR(SUM(Tabela1[[#This Row],[TEMPO DE CASA (MESES)]]/12),"")</f>
        <v/>
      </c>
      <c r="G13" s="133" t="str">
        <f ca="1">IF(Tabela1[[#This Row],[TEMPO DE CASA (DIAS)]]="","SEM DADOS",IF(Tabela1[[#This Row],[TEMPO DE CASA (DIAS)]]&gt;180,"&gt; 6 MESES","&lt; 6 MESES"))</f>
        <v>SEM DADOS</v>
      </c>
      <c r="H13" s="12" t="str">
        <f t="shared" si="1"/>
        <v>JANLarissa Cristina11</v>
      </c>
      <c r="I13" s="12" t="str">
        <f>IFERROR(VLOOKUP(Tabela1[[#This Row],[MATRICULA]],'BD Campos'!A:F,7,0),"")</f>
        <v/>
      </c>
      <c r="J13" s="11">
        <v>11</v>
      </c>
      <c r="K13" s="11" t="s">
        <v>669</v>
      </c>
      <c r="L13" s="136">
        <v>11457</v>
      </c>
      <c r="M13" s="12" t="str">
        <f>IFERROR(VLOOKUP(Tabela1[[#This Row],[MATRICULA]],'BD Campos'!A:B,2,0),"")</f>
        <v>DAYANE RODRIGUES DE LARA</v>
      </c>
      <c r="N13" s="20" t="str">
        <f>IFERROR(AVERAGE(Tabela1[[#This Row],[A1]:[A4]]),"")</f>
        <v/>
      </c>
      <c r="O13" s="20">
        <f>IFERROR(IF(Tabela1[[#This Row],[SETOR]]="RECEPTIVO","",AVERAGE(Tabela1[[#This Row],[A5]:[A6]])),"")</f>
        <v>9.7637500000000017</v>
      </c>
      <c r="P13" s="20" t="str">
        <f>IFERROR(IF(Tabela1[[#This Row],[STATUS]]="INATIVO","INATIVO",IF(Tabela1[[#This Row],[STATUS]]="QRT","INATIVO",IF(Tabela1[[#This Row],[OPERACIONAL]]&gt;7.99999,"BOM","RUIM"))),"")</f>
        <v>BOM</v>
      </c>
      <c r="Q13" s="21" t="s">
        <v>667</v>
      </c>
      <c r="R13" s="12" t="s">
        <v>82</v>
      </c>
      <c r="S13" s="12" t="s">
        <v>668</v>
      </c>
      <c r="T13" s="12" t="s">
        <v>82</v>
      </c>
      <c r="U1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3" s="12">
        <f>IF(AND(Tabela1[[#This Row],[SETOR]]="UTI",Tabela1[[#This Row],[M]]&lt;&gt;""),1,IF(AND(Tabela1[[#This Row],[SETOR]]="UTI (RJ)",Tabela1[[#This Row],[M]]&lt;&gt;""),1.5,0))</f>
        <v>0</v>
      </c>
      <c r="X13" s="12">
        <f>IF(AND(Tabela1[[#This Row],[SETOR]]="UTI",Tabela1[[#This Row],[PA2]]&lt;&gt;""),1,IF(AND(Tabela1[[#This Row],[SETOR]]="UTI (RJ)",Tabela1[[#This Row],[PA2]]&lt;&gt;""),0,0))</f>
        <v>0</v>
      </c>
      <c r="Y13" s="12">
        <f>IF(AND(Tabela1[[#This Row],[SETOR]]="UTI",Tabela1[[#This Row],[C]]&lt;&gt;""),1,IF(AND(Tabela1[[#This Row],[SETOR]]="UTI (RJ)",Tabela1[[#This Row],[C]]&lt;&gt;""),1.5,0))</f>
        <v>0</v>
      </c>
      <c r="Z13" s="12">
        <f>IF(AND(Tabela1[[#This Row],[SETOR]]="UTI",Tabela1[[#This Row],[PL]]&lt;&gt;""),1,IF(AND(Tabela1[[#This Row],[SETOR]]="UTI (RJ)",Tabela1[[#This Row],[PL]]&lt;&gt;""),1,0))</f>
        <v>0</v>
      </c>
      <c r="AA13" s="21" t="str">
        <f>IFERROR(VLOOKUP(Tabela1[[#This Row],[MÊS]]&amp;Tabela1[[#This Row],[MATRICULA]]&amp;"1"&amp;Tabela1[[#This Row],[SETOR]]&amp;"PADRÃO",BD!B:AF,31,0),"")</f>
        <v/>
      </c>
      <c r="AB13" s="21" t="str">
        <f>IFERROR(VLOOKUP(Tabela1[[#This Row],[MÊS]]&amp;Tabela1[[#This Row],[MATRICULA]]&amp;"2"&amp;Tabela1[[#This Row],[SETOR]]&amp;"PADRÃO",BD!B:AF,31,0),"")</f>
        <v/>
      </c>
      <c r="AC13" s="21" t="str">
        <f>IFERROR(VLOOKUP(Tabela1[[#This Row],[MÊS]]&amp;Tabela1[[#This Row],[MATRICULA]]&amp;"3"&amp;Tabela1[[#This Row],[SETOR]]&amp;"PADRÃO",BD!B:AF,31,0),"")</f>
        <v/>
      </c>
      <c r="AD13" s="21" t="str">
        <f>IFERROR(VLOOKUP(Tabela1[[#This Row],[MÊS]]&amp;Tabela1[[#This Row],[MATRICULA]]&amp;"4"&amp;Tabela1[[#This Row],[SETOR]]&amp;"PADRÃO",BD!B:AF,25,0),"")</f>
        <v/>
      </c>
      <c r="AE13" s="21">
        <f>IFERROR(VLOOKUP(Tabela1[[#This Row],[MÊS]]&amp;Tabela1[[#This Row],[MATRICULA]]&amp;"5"&amp;Tabela1[[#This Row],[SETOR]]&amp;"PADRÃO",BD!B:AF,31,0),"")</f>
        <v>10.000000000000002</v>
      </c>
      <c r="AF13" s="21">
        <f>IFERROR(VLOOKUP(Tabela1[[#This Row],[MÊS]]&amp;Tabela1[[#This Row],[MATRICULA]]&amp;"6"&amp;Tabela1[[#This Row],[SETOR]]&amp;"PADRÃO",BD!B:AF,31,0),"")</f>
        <v>9.5274999999999999</v>
      </c>
      <c r="AG13" s="21" t="str">
        <f>IFERROR(VLOOKUP(Tabela1[[#This Row],[MÊS]]&amp;Tabela1[[#This Row],[MATRICULA]]&amp;"7"&amp;Tabela1[[#This Row],[SETOR]]&amp;"PADRÃO",BD!B:AF,31,0),"")</f>
        <v/>
      </c>
      <c r="AH13" s="21" t="str">
        <f>IFERROR(VLOOKUP(Tabela1[[#This Row],[MÊS]]&amp;Tabela1[[#This Row],[ID]]&amp;Tabela1[[#This Row],[MATRICULA]]&amp;"Receptiva"&amp;Tabela1[[#This Row],[SETOR]],BD!A:AF,31,0),"")</f>
        <v/>
      </c>
      <c r="AI13" s="21" t="str">
        <f>IFERROR(VLOOKUP(Tabela1[[#This Row],[MÊS]]&amp;Tabela1[[#This Row],[ID]]&amp;Tabela1[[#This Row],[MATRICULA]]&amp;"Receptiva 2"&amp;Tabela1[[#This Row],[SETOR]],BD!A:AF,31,0),"")</f>
        <v/>
      </c>
      <c r="AJ13" s="21" t="str">
        <f>IFERROR(VLOOKUP(Tabela1[[#This Row],[MÊS]]&amp;Tabela1[[#This Row],[ID]]&amp;Tabela1[[#This Row],[MATRICULA]]&amp;"Receptiva 3"&amp;Tabela1[[#This Row],[SETOR]],BD!A:AF,31,0),"")</f>
        <v/>
      </c>
      <c r="AK13" s="21" t="str">
        <f>IFERROR(VLOOKUP(Tabela1[[#This Row],[MÊS]]&amp;Tabela1[[#This Row],[ID]]&amp;Tabela1[[#This Row],[MATRICULA]]&amp;"Receptiva 4"&amp;Tabela1[[#This Row],[SETOR]],BD!A:AF,31,0),"")</f>
        <v/>
      </c>
      <c r="AL13" s="21" t="str">
        <f>IFERROR(VLOOKUP(Tabela1[[#This Row],[MÊS]]&amp;Tabela1[[#This Row],[MATRICULA]]&amp;"Motorista"&amp;Tabela1[[#This Row],[SETOR]],BD!A:AF,31,0),"")</f>
        <v/>
      </c>
      <c r="AM13" s="21" t="str">
        <f>IFERROR(VLOOKUP(Tabela1[[#This Row],[MÊS]]&amp;Tabela1[[#This Row],[ID]]&amp;Tabela1[[#This Row],[MATRICULA]]&amp;"Motorista 2"&amp;Tabela1[[#This Row],[SETOR]],BD!A:AF,26,0),"")</f>
        <v/>
      </c>
      <c r="AN13" s="21" t="str">
        <f>IFERROR(VLOOKUP(Tabela1[[#This Row],[MÊS]]&amp;Tabela1[[#This Row],[ID]]&amp;Tabela1[[#This Row],[MATRICULA]]&amp;"Motorista 3"&amp;Tabela1[[#This Row],[SETOR]],BD!A:AF,26,0),"")</f>
        <v/>
      </c>
      <c r="AO13" s="21" t="str">
        <f>IFERROR(VLOOKUP(Tabela1[[#This Row],[MÊS]]&amp;Tabela1[[#This Row],[ID]]&amp;Tabela1[[#This Row],[MATRICULA]]&amp;"Motorista 4"&amp;Tabela1[[#This Row],[SETOR]],BD!A:AF,26,0),"")</f>
        <v/>
      </c>
      <c r="AP13" s="21" t="str">
        <f>IFERROR(VLOOKUP(Tabela1[[#This Row],[MÊS]]&amp;Tabela1[[#This Row],[MATRICULA]]&amp;"Ponto de Apoio"&amp;Tabela1[[#This Row],[SETOR]],BD!A:AF,31,0),"")</f>
        <v/>
      </c>
      <c r="AQ13" s="21" t="str">
        <f>IFERROR(VLOOKUP(Tabela1[[#This Row],[MÊS]]&amp;Tabela1[[#This Row],[ID]]&amp;Tabela1[[#This Row],[MATRICULA]]&amp;"Ponto de Apoio 2"&amp;Tabela1[[#This Row],[SETOR]],BD!A:AF,26,0),"")</f>
        <v/>
      </c>
      <c r="AR13" s="36" t="str">
        <f>IFERROR(VLOOKUP(Tabela1[[#This Row],[MÊS]]&amp;Tabela1[[#This Row],[ID]]&amp;Tabela1[[#This Row],[MATRICULA]]&amp;"Ponto de Apoio 3"&amp;Tabela1[[#This Row],[SETOR]],BD!A:AF,26,0),"")</f>
        <v/>
      </c>
      <c r="AS13" s="36" t="str">
        <f>IFERROR(VLOOKUP(Tabela1[[#This Row],[MÊS]]&amp;Tabela1[[#This Row],[ID]]&amp;Tabela1[[#This Row],[MATRICULA]]&amp;"Ponto de Apoio 4"&amp;Tabela1[[#This Row],[SETOR]],BD!A:AF,26,0),"")</f>
        <v/>
      </c>
      <c r="AT13" s="21" t="str">
        <f>IFERROR(VLOOKUP(Tabela1[[#This Row],[MÊS]]&amp;Tabela1[[#This Row],[MATRICULA]]&amp;"Cliente"&amp;Tabela1[[#This Row],[SETOR]],BD!A:AF,31,0),"")</f>
        <v/>
      </c>
      <c r="AU13" s="21" t="str">
        <f>IFERROR(VLOOKUP(Tabela1[[#This Row],[MÊS]]&amp;Tabela1[[#This Row],[ID]]&amp;Tabela1[[#This Row],[MATRICULA]]&amp;"Cliente 2"&amp;Tabela1[[#This Row],[SETOR]],BD!A:AF,26,0),"")</f>
        <v/>
      </c>
      <c r="AX13" s="21" t="str">
        <f>IFERROR(VLOOKUP(Tabela1[[#This Row],[MÊS]]&amp;Tabela1[[#This Row],[MATRICULA]]&amp;"Policia"&amp;Tabela1[[#This Row],[SETOR]],BD!A:AF,31,0),"")</f>
        <v/>
      </c>
      <c r="AY13" s="21" t="str">
        <f>IFERROR(VLOOKUP(Tabela1[[#This Row],[MÊS]]&amp;Tabela1[[#This Row],[ID]]&amp;Tabela1[[#This Row],[MATRICULA]]&amp;"Policia 2"&amp;Tabela1[[#This Row],[SETOR]],BD!A:AF,26,0),"")</f>
        <v/>
      </c>
      <c r="AZ13" s="36" t="str">
        <f>IFERROR(VLOOKUP(Tabela1[[#This Row],[MÊS]]&amp;Tabela1[[#This Row],[ID]]&amp;Tabela1[[#This Row],[MATRICULA]]&amp;"Policia 3"&amp;Tabela1[[#This Row],[SETOR]],BD!A:AF,26,0),"")</f>
        <v/>
      </c>
      <c r="BA13" s="36" t="str">
        <f>IFERROR(VLOOKUP(Tabela1[[#This Row],[MÊS]]&amp;Tabela1[[#This Row],[ID]]&amp;Tabela1[[#This Row],[MATRICULA]]&amp;"Policia 4"&amp;Tabela1[[#This Row],[SETOR]],BD!A:AF,26,0),"")</f>
        <v/>
      </c>
      <c r="BB1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3" s="21" t="str">
        <f>IFERROR(AVERAGE(Tabela1[[#This Row],[M]:[M4]]),"")</f>
        <v/>
      </c>
      <c r="BD13" s="21" t="str">
        <f>IFERROR(AVERAGE(Tabela1[[#This Row],[C]:[C4]]),"")</f>
        <v/>
      </c>
      <c r="BE13" s="21" t="str">
        <f>IFERROR(AVERAGE(Tabela1[[#This Row],[PA2]:[PA 4]]),"")</f>
        <v/>
      </c>
      <c r="BF13" s="21" t="str">
        <f>IFERROR(AVERAGE(Tabela1[[#This Row],[PL]:[PL4]]),"")</f>
        <v/>
      </c>
      <c r="BG13" s="35" t="str">
        <f>IFERROR(VLOOKUP(Tabela1[[#This Row],[MÊS]]&amp;Tabela1[[#This Row],[MATRICULA]],#REF!,2,0),"")</f>
        <v/>
      </c>
      <c r="BH13" s="35" t="str">
        <f>IFERROR(VLOOKUP(Tabela1[[#This Row],[MÊS]]&amp;Tabela1[[#This Row],[MATRICULA]],#REF!,2,0),"")</f>
        <v/>
      </c>
      <c r="BI13" s="35" t="str">
        <f>IFERROR(VLOOKUP(Tabela1[[#This Row],[MÊS]]&amp;Tabela1[[#This Row],[MATRICULA]],#REF!,2,0),"")</f>
        <v/>
      </c>
      <c r="BJ13" s="35" t="str">
        <f>IFERROR(VLOOKUP(Tabela1[[#This Row],[MÊS]]&amp;Tabela1[[#This Row],[MATRICULA]],#REF!,2,0),"")</f>
        <v/>
      </c>
      <c r="BK13" s="35" t="str">
        <f>IFERROR(VLOOKUP(Tabela1[[#This Row],[MÊS]]&amp;Tabela1[[#This Row],[MATRICULA]],#REF!,2,0),"")</f>
        <v/>
      </c>
      <c r="BL13" s="21">
        <f>COUNTIF(Tabela1[[#This Row],[MOT2]:[RECEPTIVA]],"NÃO ENCONTRADA")</f>
        <v>0</v>
      </c>
      <c r="BM13" s="135" t="str">
        <f>IFERROR(VLOOKUP(Tabela1[[#This Row],[MÊS]]&amp;Tabela1[[#This Row],[ID]]&amp;Tabela1[[#This Row],[MATRICULA]]&amp;"Motorista"&amp;Tabela1[[#This Row],[SETOR]],BD!A:AF,13,0),"")</f>
        <v/>
      </c>
      <c r="BN13" s="135" t="str">
        <f>IFERROR(VLOOKUP(Tabela1[[#This Row],[MÊS]]&amp;Tabela1[[#This Row],[ID]]&amp;Tabela1[[#This Row],[MATRICULA]]&amp;"Motorista 2"&amp;Tabela1[[#This Row],[SETOR]],BD!A:AF,13,0),"")</f>
        <v/>
      </c>
      <c r="BO13" s="135" t="str">
        <f>IFERROR(VLOOKUP(Tabela1[[#This Row],[MÊS]]&amp;Tabela1[[#This Row],[ID]]&amp;Tabela1[[#This Row],[MATRICULA]]&amp;"Motorista 3"&amp;Tabela1[[#This Row],[SETOR]],BD!A:AF,13,0),"")</f>
        <v/>
      </c>
      <c r="BP13" s="135" t="str">
        <f>IFERROR(VLOOKUP(Tabela1[[#This Row],[MÊS]]&amp;Tabela1[[#This Row],[ID]]&amp;Tabela1[[#This Row],[MATRICULA]]&amp;"Motorista 4"&amp;Tabela1[[#This Row],[SETOR]],BD!A:AF,13,0),"")</f>
        <v/>
      </c>
      <c r="BQ13" s="135" t="str">
        <f>IFERROR(AVERAGE(Tabela1[[#This Row],[DMOT]:[DMOT4]]),"")</f>
        <v/>
      </c>
      <c r="BR13" s="135" t="str">
        <f>IFERROR(VLOOKUP(Tabela1[[#This Row],[MÊS]]&amp;Tabela1[[#This Row],[ID]]&amp;Tabela1[[#This Row],[MATRICULA]]&amp;"Ponto de Apoio"&amp;Tabela1[[#This Row],[SETOR]],BD!A:AF,13,0),"")</f>
        <v/>
      </c>
      <c r="BS13" s="135" t="str">
        <f>IFERROR(VLOOKUP(Tabela1[[#This Row],[MÊS]]&amp;Tabela1[[#This Row],[ID]]&amp;Tabela1[[#This Row],[MATRICULA]]&amp;"Ponto de Apoio 2"&amp;Tabela1[[#This Row],[SETOR]],BD!A:AF,13,0),"")</f>
        <v/>
      </c>
      <c r="BT13" s="135" t="str">
        <f>IFERROR(VLOOKUP(Tabela1[[#This Row],[MÊS]]&amp;Tabela1[[#This Row],[ID]]&amp;Tabela1[[#This Row],[MATRICULA]]&amp;"Ponto de Apoio 3"&amp;Tabela1[[#This Row],[SETOR]],BD!A:AF,13,0),"")</f>
        <v/>
      </c>
      <c r="BU13" s="135" t="str">
        <f>IFERROR(VLOOKUP(Tabela1[[#This Row],[MÊS]]&amp;Tabela1[[#This Row],[ID]]&amp;Tabela1[[#This Row],[MATRICULA]]&amp;"Ponto de Apoio 4"&amp;Tabela1[[#This Row],[SETOR]],BD!A:AF,13,0),"")</f>
        <v/>
      </c>
      <c r="BV13" s="135" t="str">
        <f>IFERROR(AVERAGE(Tabela1[[#This Row],[DPA]:[DPA 4]]),"")</f>
        <v/>
      </c>
      <c r="BW13" s="135" t="str">
        <f>IFERROR(VLOOKUP(Tabela1[[#This Row],[MÊS]]&amp;Tabela1[[#This Row],[ID]]&amp;Tabela1[[#This Row],[MATRICULA]]&amp;"Cliente"&amp;Tabela1[[#This Row],[SETOR]],BD!A:AF,13,0),"")</f>
        <v/>
      </c>
      <c r="BX13" s="135" t="str">
        <f>IFERROR(VLOOKUP(Tabela1[[#This Row],[MÊS]]&amp;Tabela1[[#This Row],[ID]]&amp;Tabela1[[#This Row],[MATRICULA]]&amp;"cliente 2"&amp;Tabela1[[#This Row],[SETOR]],BD!A:AF,13,0),"")</f>
        <v/>
      </c>
      <c r="BY13" s="135" t="str">
        <f>IFERROR(VLOOKUP(Tabela1[[#This Row],[MÊS]]&amp;Tabela1[[#This Row],[ID]]&amp;Tabela1[[#This Row],[MATRICULA]]&amp;"cliente 3"&amp;Tabela1[[#This Row],[SETOR]],BD!A:AF,13,0),"")</f>
        <v/>
      </c>
      <c r="BZ13" s="135" t="str">
        <f>IFERROR(VLOOKUP(Tabela1[[#This Row],[MÊS]]&amp;Tabela1[[#This Row],[ID]]&amp;Tabela1[[#This Row],[MATRICULA]]&amp;"cliente 4"&amp;Tabela1[[#This Row],[SETOR]],BD!A:AF,13,0),"")</f>
        <v/>
      </c>
      <c r="CA13" s="135" t="str">
        <f>IFERROR(AVERAGE(Tabela1[[#This Row],[DCLI]:[DCLI 4]]),"")</f>
        <v/>
      </c>
      <c r="CB13" s="135" t="str">
        <f>IFERROR(VLOOKUP(Tabela1[[#This Row],[MÊS]]&amp;Tabela1[[#This Row],[ID]]&amp;Tabela1[[#This Row],[MATRICULA]]&amp;"Policia"&amp;Tabela1[[#This Row],[SETOR]],BD!A:AF,13,0),"")</f>
        <v/>
      </c>
      <c r="CC13" s="135" t="str">
        <f>IFERROR(VLOOKUP(Tabela1[[#This Row],[MÊS]]&amp;Tabela1[[#This Row],[ID]]&amp;Tabela1[[#This Row],[MATRICULA]]&amp;"Policia 2"&amp;Tabela1[[#This Row],[SETOR]],BD!A:AF,13,0),"")</f>
        <v/>
      </c>
      <c r="CD13" s="135"/>
      <c r="CE13" s="135"/>
      <c r="CF13" s="135" t="str">
        <f>IFERROR((AVERAGE(Tabela1[[#This Row],[DPOL1]:[DPOL4]])),"")</f>
        <v/>
      </c>
      <c r="CG13" s="21" t="str">
        <f>IFERROR(VLOOKUP(Tabela1[[#This Row],[ID]]&amp;Tabela1[[#This Row],[MÊS]]&amp;Tabela1[[#This Row],[MATRICULA]],#REF!,2,0),"")</f>
        <v/>
      </c>
      <c r="CH13" s="21" t="str">
        <f>IFERROR(VLOOKUP(Tabela1[[#This Row],[ID]]&amp;Tabela1[[#This Row],[MÊS]]&amp;Tabela1[[#This Row],[MATRICULA]],#REF!,2,0),"")</f>
        <v/>
      </c>
      <c r="CI13" s="21" t="str">
        <f>IFERROR(VLOOKUP(Tabela1[[#This Row],[MÊS]]&amp;Tabela1[[#This Row],[MATRICULA]],#REF!,2,0),"")</f>
        <v/>
      </c>
    </row>
    <row r="14" spans="1:87">
      <c r="A14" s="12" t="str">
        <f>Tabela1[[#This Row],[MÊS]]&amp;Tabela1[[#This Row],[MATRICULA]]&amp;Tabela1[[#This Row],[ID]]</f>
        <v>JAN103531</v>
      </c>
      <c r="B14" s="12" t="str">
        <f>Tabela1[[#This Row],[MÊS]]&amp;Tabela1[[#This Row],[ID]]&amp;Tabela1[[#This Row],[MATRICULA]]&amp;Tabela1[[#This Row],[SETOR]]</f>
        <v>JAN110353CHECKLIST</v>
      </c>
      <c r="C14" s="130" t="e">
        <f>VLOOKUP(Tabela1[[#This Row],[MATRICULA]],'BD Campos'!A:D,5,0)</f>
        <v>#REF!</v>
      </c>
      <c r="D14" s="133" t="str">
        <f ca="1">IFERROR(SUM(TODAY()-Tabela1[[#This Row],[ADMISSÃO]]),"")</f>
        <v/>
      </c>
      <c r="E14" s="11" t="str">
        <f ca="1">IFERROR(TRUNC(Tabela1[[#This Row],[TEMPO DE CASA (DIAS)]]/30),"")</f>
        <v/>
      </c>
      <c r="F14" s="32" t="str">
        <f ca="1">IFERROR(SUM(Tabela1[[#This Row],[TEMPO DE CASA (MESES)]]/12),"")</f>
        <v/>
      </c>
      <c r="G14" s="133" t="str">
        <f ca="1">IF(Tabela1[[#This Row],[TEMPO DE CASA (DIAS)]]="","SEM DADOS",IF(Tabela1[[#This Row],[TEMPO DE CASA (DIAS)]]&gt;180,"&gt; 6 MESES","&lt; 6 MESES"))</f>
        <v>SEM DADOS</v>
      </c>
      <c r="H14" s="12" t="str">
        <f t="shared" ref="H14:H18" si="2">K14&amp;S14&amp;J14</f>
        <v>JANCarlos Eduardo1</v>
      </c>
      <c r="I14" s="12" t="str">
        <f>IFERROR(VLOOKUP(Tabela1[[#This Row],[MATRICULA]],'BD Campos'!A:F,7,0),"")</f>
        <v/>
      </c>
      <c r="J14" s="11">
        <v>1</v>
      </c>
      <c r="K14" s="11" t="s">
        <v>669</v>
      </c>
      <c r="L14" s="136">
        <v>10353</v>
      </c>
      <c r="M14" s="12" t="str">
        <f>IFERROR(VLOOKUP(Tabela1[[#This Row],[MATRICULA]],'BD Campos'!A:B,2,0),"")</f>
        <v>HELOISA CLARA DOS SANTOS</v>
      </c>
      <c r="N14" s="20" t="str">
        <f>IFERROR(AVERAGE(Tabela1[[#This Row],[A1]:[A4]]),"")</f>
        <v/>
      </c>
      <c r="O14" s="20">
        <f>IFERROR(IF(Tabela1[[#This Row],[SETOR]]="RECEPTIVO","",AVERAGE(Tabela1[[#This Row],[A5]:[A6]])),"")</f>
        <v>10.000000000000004</v>
      </c>
      <c r="P14" s="20" t="str">
        <f>IFERROR(IF(Tabela1[[#This Row],[STATUS]]="INATIVO","INATIVO",IF(Tabela1[[#This Row],[STATUS]]="QRT","INATIVO",IF(Tabela1[[#This Row],[OPERACIONAL]]&gt;7.99999,"BOM","RUIM"))),"")</f>
        <v>BOM</v>
      </c>
      <c r="Q14" s="21" t="s">
        <v>667</v>
      </c>
      <c r="R14" s="12" t="s">
        <v>115</v>
      </c>
      <c r="S14" s="12" t="s">
        <v>671</v>
      </c>
      <c r="T14" s="12" t="s">
        <v>115</v>
      </c>
      <c r="U1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" s="12">
        <f>IF(AND(Tabela1[[#This Row],[SETOR]]="UTI",Tabela1[[#This Row],[M]]&lt;&gt;""),1,IF(AND(Tabela1[[#This Row],[SETOR]]="UTI (RJ)",Tabela1[[#This Row],[M]]&lt;&gt;""),1.5,0))</f>
        <v>0</v>
      </c>
      <c r="X14" s="12">
        <f>IF(AND(Tabela1[[#This Row],[SETOR]]="UTI",Tabela1[[#This Row],[PA2]]&lt;&gt;""),1,IF(AND(Tabela1[[#This Row],[SETOR]]="UTI (RJ)",Tabela1[[#This Row],[PA2]]&lt;&gt;""),0,0))</f>
        <v>0</v>
      </c>
      <c r="Y14" s="12">
        <f>IF(AND(Tabela1[[#This Row],[SETOR]]="UTI",Tabela1[[#This Row],[C]]&lt;&gt;""),1,IF(AND(Tabela1[[#This Row],[SETOR]]="UTI (RJ)",Tabela1[[#This Row],[C]]&lt;&gt;""),1.5,0))</f>
        <v>0</v>
      </c>
      <c r="Z14" s="12">
        <f>IF(AND(Tabela1[[#This Row],[SETOR]]="UTI",Tabela1[[#This Row],[PL]]&lt;&gt;""),1,IF(AND(Tabela1[[#This Row],[SETOR]]="UTI (RJ)",Tabela1[[#This Row],[PL]]&lt;&gt;""),1,0))</f>
        <v>0</v>
      </c>
      <c r="AA14" s="21" t="str">
        <f>IFERROR(VLOOKUP(Tabela1[[#This Row],[MÊS]]&amp;Tabela1[[#This Row],[MATRICULA]]&amp;"1"&amp;Tabela1[[#This Row],[SETOR]]&amp;"PADRÃO",BD!B:AF,31,0),"")</f>
        <v/>
      </c>
      <c r="AB14" s="21" t="str">
        <f>IFERROR(VLOOKUP(Tabela1[[#This Row],[MÊS]]&amp;Tabela1[[#This Row],[MATRICULA]]&amp;"2"&amp;Tabela1[[#This Row],[SETOR]]&amp;"PADRÃO",BD!B:AF,31,0),"")</f>
        <v/>
      </c>
      <c r="AC14" s="21" t="str">
        <f>IFERROR(VLOOKUP(Tabela1[[#This Row],[MÊS]]&amp;Tabela1[[#This Row],[MATRICULA]]&amp;"3"&amp;Tabela1[[#This Row],[SETOR]]&amp;"PADRÃO",BD!B:AF,31,0),"")</f>
        <v/>
      </c>
      <c r="AD14" s="21" t="str">
        <f>IFERROR(VLOOKUP(Tabela1[[#This Row],[MÊS]]&amp;Tabela1[[#This Row],[MATRICULA]]&amp;"4"&amp;Tabela1[[#This Row],[SETOR]]&amp;"PADRÃO",BD!B:AF,25,0),"")</f>
        <v/>
      </c>
      <c r="AE14" s="21">
        <f>IFERROR(VLOOKUP(Tabela1[[#This Row],[MÊS]]&amp;Tabela1[[#This Row],[MATRICULA]]&amp;"5"&amp;Tabela1[[#This Row],[SETOR]]&amp;"PADRÃO",BD!B:AF,31,0),"")</f>
        <v>10.000000000000004</v>
      </c>
      <c r="AF14" s="21">
        <f>IFERROR(VLOOKUP(Tabela1[[#This Row],[MÊS]]&amp;Tabela1[[#This Row],[MATRICULA]]&amp;"6"&amp;Tabela1[[#This Row],[SETOR]]&amp;"PADRÃO",BD!B:AF,31,0),"")</f>
        <v>10.000000000000004</v>
      </c>
      <c r="AG14" s="21" t="str">
        <f>IFERROR(VLOOKUP(Tabela1[[#This Row],[MÊS]]&amp;Tabela1[[#This Row],[MATRICULA]]&amp;"7"&amp;Tabela1[[#This Row],[SETOR]]&amp;"PADRÃO",BD!B:AF,31,0),"")</f>
        <v/>
      </c>
      <c r="AH14" s="21" t="str">
        <f>IFERROR(VLOOKUP(Tabela1[[#This Row],[MÊS]]&amp;Tabela1[[#This Row],[ID]]&amp;Tabela1[[#This Row],[MATRICULA]]&amp;"Receptiva"&amp;Tabela1[[#This Row],[SETOR]],BD!A:AF,31,0),"")</f>
        <v/>
      </c>
      <c r="AI14" s="21" t="str">
        <f>IFERROR(VLOOKUP(Tabela1[[#This Row],[MÊS]]&amp;Tabela1[[#This Row],[ID]]&amp;Tabela1[[#This Row],[MATRICULA]]&amp;"Receptiva 2"&amp;Tabela1[[#This Row],[SETOR]],BD!A:AF,31,0),"")</f>
        <v/>
      </c>
      <c r="AJ14" s="21" t="str">
        <f>IFERROR(VLOOKUP(Tabela1[[#This Row],[MÊS]]&amp;Tabela1[[#This Row],[ID]]&amp;Tabela1[[#This Row],[MATRICULA]]&amp;"Receptiva 3"&amp;Tabela1[[#This Row],[SETOR]],BD!A:AF,31,0),"")</f>
        <v/>
      </c>
      <c r="AK14" s="21" t="str">
        <f>IFERROR(VLOOKUP(Tabela1[[#This Row],[MÊS]]&amp;Tabela1[[#This Row],[ID]]&amp;Tabela1[[#This Row],[MATRICULA]]&amp;"Receptiva 4"&amp;Tabela1[[#This Row],[SETOR]],BD!A:AF,31,0),"")</f>
        <v/>
      </c>
      <c r="AL14" s="21" t="str">
        <f>IFERROR(VLOOKUP(Tabela1[[#This Row],[MÊS]]&amp;Tabela1[[#This Row],[MATRICULA]]&amp;"Motorista"&amp;Tabela1[[#This Row],[SETOR]],BD!A:AF,31,0),"")</f>
        <v/>
      </c>
      <c r="AM14" s="21" t="str">
        <f>IFERROR(VLOOKUP(Tabela1[[#This Row],[MÊS]]&amp;Tabela1[[#This Row],[ID]]&amp;Tabela1[[#This Row],[MATRICULA]]&amp;"Motorista 2"&amp;Tabela1[[#This Row],[SETOR]],BD!A:AF,26,0),"")</f>
        <v/>
      </c>
      <c r="AN14" s="21" t="str">
        <f>IFERROR(VLOOKUP(Tabela1[[#This Row],[MÊS]]&amp;Tabela1[[#This Row],[ID]]&amp;Tabela1[[#This Row],[MATRICULA]]&amp;"Motorista 3"&amp;Tabela1[[#This Row],[SETOR]],BD!A:AF,26,0),"")</f>
        <v/>
      </c>
      <c r="AO14" s="21" t="str">
        <f>IFERROR(VLOOKUP(Tabela1[[#This Row],[MÊS]]&amp;Tabela1[[#This Row],[ID]]&amp;Tabela1[[#This Row],[MATRICULA]]&amp;"Motorista 4"&amp;Tabela1[[#This Row],[SETOR]],BD!A:AF,26,0),"")</f>
        <v/>
      </c>
      <c r="AP14" s="21" t="str">
        <f>IFERROR(VLOOKUP(Tabela1[[#This Row],[MÊS]]&amp;Tabela1[[#This Row],[MATRICULA]]&amp;"Ponto de Apoio"&amp;Tabela1[[#This Row],[SETOR]],BD!A:AF,31,0),"")</f>
        <v/>
      </c>
      <c r="AQ14" s="21" t="str">
        <f>IFERROR(VLOOKUP(Tabela1[[#This Row],[MÊS]]&amp;Tabela1[[#This Row],[ID]]&amp;Tabela1[[#This Row],[MATRICULA]]&amp;"Ponto de Apoio 2"&amp;Tabela1[[#This Row],[SETOR]],BD!A:AF,26,0),"")</f>
        <v/>
      </c>
      <c r="AR14" s="36" t="str">
        <f>IFERROR(VLOOKUP(Tabela1[[#This Row],[MÊS]]&amp;Tabela1[[#This Row],[ID]]&amp;Tabela1[[#This Row],[MATRICULA]]&amp;"Ponto de Apoio 3"&amp;Tabela1[[#This Row],[SETOR]],BD!A:AF,26,0),"")</f>
        <v/>
      </c>
      <c r="AS14" s="36" t="str">
        <f>IFERROR(VLOOKUP(Tabela1[[#This Row],[MÊS]]&amp;Tabela1[[#This Row],[ID]]&amp;Tabela1[[#This Row],[MATRICULA]]&amp;"Ponto de Apoio 4"&amp;Tabela1[[#This Row],[SETOR]],BD!A:AF,26,0),"")</f>
        <v/>
      </c>
      <c r="AT14" s="21" t="str">
        <f>IFERROR(VLOOKUP(Tabela1[[#This Row],[MÊS]]&amp;Tabela1[[#This Row],[MATRICULA]]&amp;"Cliente"&amp;Tabela1[[#This Row],[SETOR]],BD!A:AF,31,0),"")</f>
        <v/>
      </c>
      <c r="AU14" s="21" t="str">
        <f>IFERROR(VLOOKUP(Tabela1[[#This Row],[MÊS]]&amp;Tabela1[[#This Row],[ID]]&amp;Tabela1[[#This Row],[MATRICULA]]&amp;"Cliente 2"&amp;Tabela1[[#This Row],[SETOR]],BD!A:AF,26,0),"")</f>
        <v/>
      </c>
      <c r="AX14" s="21" t="str">
        <f>IFERROR(VLOOKUP(Tabela1[[#This Row],[MÊS]]&amp;Tabela1[[#This Row],[MATRICULA]]&amp;"Policia"&amp;Tabela1[[#This Row],[SETOR]],BD!A:AF,31,0),"")</f>
        <v/>
      </c>
      <c r="AY14" s="21" t="str">
        <f>IFERROR(VLOOKUP(Tabela1[[#This Row],[MÊS]]&amp;Tabela1[[#This Row],[ID]]&amp;Tabela1[[#This Row],[MATRICULA]]&amp;"Policia 2"&amp;Tabela1[[#This Row],[SETOR]],BD!A:AF,26,0),"")</f>
        <v/>
      </c>
      <c r="AZ14" s="36" t="str">
        <f>IFERROR(VLOOKUP(Tabela1[[#This Row],[MÊS]]&amp;Tabela1[[#This Row],[ID]]&amp;Tabela1[[#This Row],[MATRICULA]]&amp;"Policia 3"&amp;Tabela1[[#This Row],[SETOR]],BD!A:AF,26,0),"")</f>
        <v/>
      </c>
      <c r="BA14" s="36" t="str">
        <f>IFERROR(VLOOKUP(Tabela1[[#This Row],[MÊS]]&amp;Tabela1[[#This Row],[ID]]&amp;Tabela1[[#This Row],[MATRICULA]]&amp;"Policia 4"&amp;Tabela1[[#This Row],[SETOR]],BD!A:AF,26,0),"")</f>
        <v/>
      </c>
      <c r="BB1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4" s="21" t="str">
        <f>IFERROR(AVERAGE(Tabela1[[#This Row],[M]:[M4]]),"")</f>
        <v/>
      </c>
      <c r="BD14" s="21" t="str">
        <f>IFERROR(AVERAGE(Tabela1[[#This Row],[C]:[C4]]),"")</f>
        <v/>
      </c>
      <c r="BE14" s="21" t="str">
        <f>IFERROR(AVERAGE(Tabela1[[#This Row],[PA2]:[PA 4]]),"")</f>
        <v/>
      </c>
      <c r="BF14" s="21" t="str">
        <f>IFERROR(AVERAGE(Tabela1[[#This Row],[PL]:[PL4]]),"")</f>
        <v/>
      </c>
      <c r="BG14" s="35" t="str">
        <f>IFERROR(VLOOKUP(Tabela1[[#This Row],[MÊS]]&amp;Tabela1[[#This Row],[MATRICULA]],#REF!,2,0),"")</f>
        <v/>
      </c>
      <c r="BH14" s="35" t="str">
        <f>IFERROR(VLOOKUP(Tabela1[[#This Row],[MÊS]]&amp;Tabela1[[#This Row],[MATRICULA]],#REF!,2,0),"")</f>
        <v/>
      </c>
      <c r="BI14" s="35" t="str">
        <f>IFERROR(VLOOKUP(Tabela1[[#This Row],[MÊS]]&amp;Tabela1[[#This Row],[MATRICULA]],#REF!,2,0),"")</f>
        <v/>
      </c>
      <c r="BJ14" s="35" t="str">
        <f>IFERROR(VLOOKUP(Tabela1[[#This Row],[MÊS]]&amp;Tabela1[[#This Row],[MATRICULA]],#REF!,2,0),"")</f>
        <v/>
      </c>
      <c r="BK14" s="35" t="str">
        <f>IFERROR(VLOOKUP(Tabela1[[#This Row],[MÊS]]&amp;Tabela1[[#This Row],[MATRICULA]],#REF!,2,0),"")</f>
        <v/>
      </c>
      <c r="BL14" s="21">
        <f>COUNTIF(Tabela1[[#This Row],[MOT2]:[RECEPTIVA]],"NÃO ENCONTRADA")</f>
        <v>0</v>
      </c>
      <c r="BM14" s="135" t="str">
        <f>IFERROR(VLOOKUP(Tabela1[[#This Row],[MÊS]]&amp;Tabela1[[#This Row],[ID]]&amp;Tabela1[[#This Row],[MATRICULA]]&amp;"Motorista"&amp;Tabela1[[#This Row],[SETOR]],BD!A:AF,13,0),"")</f>
        <v/>
      </c>
      <c r="BN14" s="135" t="str">
        <f>IFERROR(VLOOKUP(Tabela1[[#This Row],[MÊS]]&amp;Tabela1[[#This Row],[ID]]&amp;Tabela1[[#This Row],[MATRICULA]]&amp;"Motorista 2"&amp;Tabela1[[#This Row],[SETOR]],BD!A:AF,13,0),"")</f>
        <v/>
      </c>
      <c r="BO14" s="135" t="str">
        <f>IFERROR(VLOOKUP(Tabela1[[#This Row],[MÊS]]&amp;Tabela1[[#This Row],[ID]]&amp;Tabela1[[#This Row],[MATRICULA]]&amp;"Motorista 3"&amp;Tabela1[[#This Row],[SETOR]],BD!A:AF,13,0),"")</f>
        <v/>
      </c>
      <c r="BP14" s="135" t="str">
        <f>IFERROR(VLOOKUP(Tabela1[[#This Row],[MÊS]]&amp;Tabela1[[#This Row],[ID]]&amp;Tabela1[[#This Row],[MATRICULA]]&amp;"Motorista 4"&amp;Tabela1[[#This Row],[SETOR]],BD!A:AF,13,0),"")</f>
        <v/>
      </c>
      <c r="BQ14" s="135" t="str">
        <f>IFERROR(AVERAGE(Tabela1[[#This Row],[DMOT]:[DMOT4]]),"")</f>
        <v/>
      </c>
      <c r="BR14" s="135" t="str">
        <f>IFERROR(VLOOKUP(Tabela1[[#This Row],[MÊS]]&amp;Tabela1[[#This Row],[ID]]&amp;Tabela1[[#This Row],[MATRICULA]]&amp;"Ponto de Apoio"&amp;Tabela1[[#This Row],[SETOR]],BD!A:AF,13,0),"")</f>
        <v/>
      </c>
      <c r="BS14" s="135" t="str">
        <f>IFERROR(VLOOKUP(Tabela1[[#This Row],[MÊS]]&amp;Tabela1[[#This Row],[ID]]&amp;Tabela1[[#This Row],[MATRICULA]]&amp;"Ponto de Apoio 2"&amp;Tabela1[[#This Row],[SETOR]],BD!A:AF,13,0),"")</f>
        <v/>
      </c>
      <c r="BT14" s="135" t="str">
        <f>IFERROR(VLOOKUP(Tabela1[[#This Row],[MÊS]]&amp;Tabela1[[#This Row],[ID]]&amp;Tabela1[[#This Row],[MATRICULA]]&amp;"Ponto de Apoio 3"&amp;Tabela1[[#This Row],[SETOR]],BD!A:AF,13,0),"")</f>
        <v/>
      </c>
      <c r="BU14" s="135" t="str">
        <f>IFERROR(VLOOKUP(Tabela1[[#This Row],[MÊS]]&amp;Tabela1[[#This Row],[ID]]&amp;Tabela1[[#This Row],[MATRICULA]]&amp;"Ponto de Apoio 4"&amp;Tabela1[[#This Row],[SETOR]],BD!A:AF,13,0),"")</f>
        <v/>
      </c>
      <c r="BV14" s="135" t="str">
        <f>IFERROR(AVERAGE(Tabela1[[#This Row],[DPA]:[DPA 4]]),"")</f>
        <v/>
      </c>
      <c r="BW14" s="135" t="str">
        <f>IFERROR(VLOOKUP(Tabela1[[#This Row],[MÊS]]&amp;Tabela1[[#This Row],[ID]]&amp;Tabela1[[#This Row],[MATRICULA]]&amp;"Cliente"&amp;Tabela1[[#This Row],[SETOR]],BD!A:AF,13,0),"")</f>
        <v/>
      </c>
      <c r="BX14" s="135" t="str">
        <f>IFERROR(VLOOKUP(Tabela1[[#This Row],[MÊS]]&amp;Tabela1[[#This Row],[ID]]&amp;Tabela1[[#This Row],[MATRICULA]]&amp;"cliente 2"&amp;Tabela1[[#This Row],[SETOR]],BD!A:AF,13,0),"")</f>
        <v/>
      </c>
      <c r="BY14" s="135" t="str">
        <f>IFERROR(VLOOKUP(Tabela1[[#This Row],[MÊS]]&amp;Tabela1[[#This Row],[ID]]&amp;Tabela1[[#This Row],[MATRICULA]]&amp;"cliente 3"&amp;Tabela1[[#This Row],[SETOR]],BD!A:AF,13,0),"")</f>
        <v/>
      </c>
      <c r="BZ14" s="135" t="str">
        <f>IFERROR(VLOOKUP(Tabela1[[#This Row],[MÊS]]&amp;Tabela1[[#This Row],[ID]]&amp;Tabela1[[#This Row],[MATRICULA]]&amp;"cliente 4"&amp;Tabela1[[#This Row],[SETOR]],BD!A:AF,13,0),"")</f>
        <v/>
      </c>
      <c r="CA14" s="135" t="str">
        <f>IFERROR(AVERAGE(Tabela1[[#This Row],[DCLI]:[DCLI 4]]),"")</f>
        <v/>
      </c>
      <c r="CB14" s="135" t="str">
        <f>IFERROR(VLOOKUP(Tabela1[[#This Row],[MÊS]]&amp;Tabela1[[#This Row],[ID]]&amp;Tabela1[[#This Row],[MATRICULA]]&amp;"Policia"&amp;Tabela1[[#This Row],[SETOR]],BD!A:AF,13,0),"")</f>
        <v/>
      </c>
      <c r="CC14" s="135" t="str">
        <f>IFERROR(VLOOKUP(Tabela1[[#This Row],[MÊS]]&amp;Tabela1[[#This Row],[ID]]&amp;Tabela1[[#This Row],[MATRICULA]]&amp;"Policia 2"&amp;Tabela1[[#This Row],[SETOR]],BD!A:AF,13,0),"")</f>
        <v/>
      </c>
      <c r="CD14" s="135"/>
      <c r="CE14" s="135"/>
      <c r="CF14" s="135" t="str">
        <f>IFERROR((AVERAGE(Tabela1[[#This Row],[DPOL1]:[DPOL4]])),"")</f>
        <v/>
      </c>
      <c r="CG14" s="21" t="str">
        <f>IFERROR(VLOOKUP(Tabela1[[#This Row],[ID]]&amp;Tabela1[[#This Row],[MÊS]]&amp;Tabela1[[#This Row],[MATRICULA]],#REF!,2,0),"")</f>
        <v/>
      </c>
      <c r="CH14" s="21" t="str">
        <f>IFERROR(VLOOKUP(Tabela1[[#This Row],[ID]]&amp;Tabela1[[#This Row],[MÊS]]&amp;Tabela1[[#This Row],[MATRICULA]],#REF!,2,0),"")</f>
        <v/>
      </c>
      <c r="CI14" s="21" t="str">
        <f>IFERROR(VLOOKUP(Tabela1[[#This Row],[MÊS]]&amp;Tabela1[[#This Row],[MATRICULA]],#REF!,2,0),"")</f>
        <v/>
      </c>
    </row>
    <row r="15" spans="1:87">
      <c r="A15" s="12" t="str">
        <f>Tabela1[[#This Row],[MÊS]]&amp;Tabela1[[#This Row],[MATRICULA]]&amp;Tabela1[[#This Row],[ID]]</f>
        <v>JAN111602</v>
      </c>
      <c r="B15" s="12" t="str">
        <f>Tabela1[[#This Row],[MÊS]]&amp;Tabela1[[#This Row],[ID]]&amp;Tabela1[[#This Row],[MATRICULA]]&amp;Tabela1[[#This Row],[SETOR]]</f>
        <v>JAN211160CHECKLIST</v>
      </c>
      <c r="C15" s="130" t="e">
        <f>VLOOKUP(Tabela1[[#This Row],[MATRICULA]],'BD Campos'!A:D,5,0)</f>
        <v>#REF!</v>
      </c>
      <c r="D15" s="133" t="str">
        <f ca="1">IFERROR(SUM(TODAY()-Tabela1[[#This Row],[ADMISSÃO]]),"")</f>
        <v/>
      </c>
      <c r="E15" s="11" t="str">
        <f ca="1">IFERROR(TRUNC(Tabela1[[#This Row],[TEMPO DE CASA (DIAS)]]/30),"")</f>
        <v/>
      </c>
      <c r="F15" s="32" t="str">
        <f ca="1">IFERROR(SUM(Tabela1[[#This Row],[TEMPO DE CASA (MESES)]]/12),"")</f>
        <v/>
      </c>
      <c r="G15" s="133" t="str">
        <f ca="1">IF(Tabela1[[#This Row],[TEMPO DE CASA (DIAS)]]="","SEM DADOS",IF(Tabela1[[#This Row],[TEMPO DE CASA (DIAS)]]&gt;180,"&gt; 6 MESES","&lt; 6 MESES"))</f>
        <v>SEM DADOS</v>
      </c>
      <c r="H15" s="12" t="str">
        <f t="shared" si="2"/>
        <v>JANCarlos Eduardo2</v>
      </c>
      <c r="I15" s="12" t="str">
        <f>IFERROR(VLOOKUP(Tabela1[[#This Row],[MATRICULA]],'BD Campos'!A:F,7,0),"")</f>
        <v/>
      </c>
      <c r="J15" s="11">
        <v>2</v>
      </c>
      <c r="K15" s="11" t="s">
        <v>669</v>
      </c>
      <c r="L15" s="136">
        <v>11160</v>
      </c>
      <c r="M15" s="12" t="str">
        <f>IFERROR(VLOOKUP(Tabela1[[#This Row],[MATRICULA]],'BD Campos'!A:B,2,0),"")</f>
        <v xml:space="preserve">CAROLINA MEURER </v>
      </c>
      <c r="N15" s="20" t="str">
        <f>IFERROR(AVERAGE(Tabela1[[#This Row],[A1]:[A4]]),"")</f>
        <v/>
      </c>
      <c r="O15" s="20">
        <f>IFERROR(IF(Tabela1[[#This Row],[SETOR]]="RECEPTIVO","",AVERAGE(Tabela1[[#This Row],[A5]:[A6]])),"")</f>
        <v>10.000000000000004</v>
      </c>
      <c r="P15" s="20" t="str">
        <f>IFERROR(IF(Tabela1[[#This Row],[STATUS]]="INATIVO","INATIVO",IF(Tabela1[[#This Row],[STATUS]]="QRT","INATIVO",IF(Tabela1[[#This Row],[OPERACIONAL]]&gt;7.99999,"BOM","RUIM"))),"")</f>
        <v>BOM</v>
      </c>
      <c r="Q15" s="21" t="s">
        <v>667</v>
      </c>
      <c r="R15" s="12" t="s">
        <v>115</v>
      </c>
      <c r="S15" s="12" t="s">
        <v>671</v>
      </c>
      <c r="T15" s="12" t="s">
        <v>115</v>
      </c>
      <c r="U1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" s="12">
        <f>IF(AND(Tabela1[[#This Row],[SETOR]]="UTI",Tabela1[[#This Row],[M]]&lt;&gt;""),1,IF(AND(Tabela1[[#This Row],[SETOR]]="UTI (RJ)",Tabela1[[#This Row],[M]]&lt;&gt;""),1.5,0))</f>
        <v>0</v>
      </c>
      <c r="X15" s="12">
        <f>IF(AND(Tabela1[[#This Row],[SETOR]]="UTI",Tabela1[[#This Row],[PA2]]&lt;&gt;""),1,IF(AND(Tabela1[[#This Row],[SETOR]]="UTI (RJ)",Tabela1[[#This Row],[PA2]]&lt;&gt;""),0,0))</f>
        <v>0</v>
      </c>
      <c r="Y15" s="12">
        <f>IF(AND(Tabela1[[#This Row],[SETOR]]="UTI",Tabela1[[#This Row],[C]]&lt;&gt;""),1,IF(AND(Tabela1[[#This Row],[SETOR]]="UTI (RJ)",Tabela1[[#This Row],[C]]&lt;&gt;""),1.5,0))</f>
        <v>0</v>
      </c>
      <c r="Z15" s="12">
        <f>IF(AND(Tabela1[[#This Row],[SETOR]]="UTI",Tabela1[[#This Row],[PL]]&lt;&gt;""),1,IF(AND(Tabela1[[#This Row],[SETOR]]="UTI (RJ)",Tabela1[[#This Row],[PL]]&lt;&gt;""),1,0))</f>
        <v>0</v>
      </c>
      <c r="AA15" s="21" t="str">
        <f>IFERROR(VLOOKUP(Tabela1[[#This Row],[MÊS]]&amp;Tabela1[[#This Row],[MATRICULA]]&amp;"1"&amp;Tabela1[[#This Row],[SETOR]]&amp;"PADRÃO",BD!B:AF,31,0),"")</f>
        <v/>
      </c>
      <c r="AB15" s="21" t="str">
        <f>IFERROR(VLOOKUP(Tabela1[[#This Row],[MÊS]]&amp;Tabela1[[#This Row],[MATRICULA]]&amp;"2"&amp;Tabela1[[#This Row],[SETOR]]&amp;"PADRÃO",BD!B:AF,31,0),"")</f>
        <v/>
      </c>
      <c r="AC15" s="21" t="str">
        <f>IFERROR(VLOOKUP(Tabela1[[#This Row],[MÊS]]&amp;Tabela1[[#This Row],[MATRICULA]]&amp;"3"&amp;Tabela1[[#This Row],[SETOR]]&amp;"PADRÃO",BD!B:AF,31,0),"")</f>
        <v/>
      </c>
      <c r="AD15" s="21" t="str">
        <f>IFERROR(VLOOKUP(Tabela1[[#This Row],[MÊS]]&amp;Tabela1[[#This Row],[MATRICULA]]&amp;"4"&amp;Tabela1[[#This Row],[SETOR]]&amp;"PADRÃO",BD!B:AF,25,0),"")</f>
        <v/>
      </c>
      <c r="AE15" s="21">
        <f>IFERROR(VLOOKUP(Tabela1[[#This Row],[MÊS]]&amp;Tabela1[[#This Row],[MATRICULA]]&amp;"5"&amp;Tabela1[[#This Row],[SETOR]]&amp;"PADRÃO",BD!B:AF,31,0),"")</f>
        <v>10.000000000000004</v>
      </c>
      <c r="AF15" s="21">
        <f>IFERROR(VLOOKUP(Tabela1[[#This Row],[MÊS]]&amp;Tabela1[[#This Row],[MATRICULA]]&amp;"6"&amp;Tabela1[[#This Row],[SETOR]]&amp;"PADRÃO",BD!B:AF,31,0),"")</f>
        <v>10.000000000000004</v>
      </c>
      <c r="AG15" s="21" t="str">
        <f>IFERROR(VLOOKUP(Tabela1[[#This Row],[MÊS]]&amp;Tabela1[[#This Row],[MATRICULA]]&amp;"7"&amp;Tabela1[[#This Row],[SETOR]]&amp;"PADRÃO",BD!B:AF,31,0),"")</f>
        <v/>
      </c>
      <c r="AH15" s="21" t="str">
        <f>IFERROR(VLOOKUP(Tabela1[[#This Row],[MÊS]]&amp;Tabela1[[#This Row],[ID]]&amp;Tabela1[[#This Row],[MATRICULA]]&amp;"Receptiva"&amp;Tabela1[[#This Row],[SETOR]],BD!A:AF,31,0),"")</f>
        <v/>
      </c>
      <c r="AI15" s="21" t="str">
        <f>IFERROR(VLOOKUP(Tabela1[[#This Row],[MÊS]]&amp;Tabela1[[#This Row],[ID]]&amp;Tabela1[[#This Row],[MATRICULA]]&amp;"Receptiva 2"&amp;Tabela1[[#This Row],[SETOR]],BD!A:AF,31,0),"")</f>
        <v/>
      </c>
      <c r="AJ15" s="21" t="str">
        <f>IFERROR(VLOOKUP(Tabela1[[#This Row],[MÊS]]&amp;Tabela1[[#This Row],[ID]]&amp;Tabela1[[#This Row],[MATRICULA]]&amp;"Receptiva 3"&amp;Tabela1[[#This Row],[SETOR]],BD!A:AF,31,0),"")</f>
        <v/>
      </c>
      <c r="AK15" s="21" t="str">
        <f>IFERROR(VLOOKUP(Tabela1[[#This Row],[MÊS]]&amp;Tabela1[[#This Row],[ID]]&amp;Tabela1[[#This Row],[MATRICULA]]&amp;"Receptiva 4"&amp;Tabela1[[#This Row],[SETOR]],BD!A:AF,31,0),"")</f>
        <v/>
      </c>
      <c r="AL15" s="21" t="str">
        <f>IFERROR(VLOOKUP(Tabela1[[#This Row],[MÊS]]&amp;Tabela1[[#This Row],[MATRICULA]]&amp;"Motorista"&amp;Tabela1[[#This Row],[SETOR]],BD!A:AF,31,0),"")</f>
        <v/>
      </c>
      <c r="AM15" s="21" t="str">
        <f>IFERROR(VLOOKUP(Tabela1[[#This Row],[MÊS]]&amp;Tabela1[[#This Row],[ID]]&amp;Tabela1[[#This Row],[MATRICULA]]&amp;"Motorista 2"&amp;Tabela1[[#This Row],[SETOR]],BD!A:AF,26,0),"")</f>
        <v/>
      </c>
      <c r="AN15" s="21" t="str">
        <f>IFERROR(VLOOKUP(Tabela1[[#This Row],[MÊS]]&amp;Tabela1[[#This Row],[ID]]&amp;Tabela1[[#This Row],[MATRICULA]]&amp;"Motorista 3"&amp;Tabela1[[#This Row],[SETOR]],BD!A:AF,26,0),"")</f>
        <v/>
      </c>
      <c r="AO15" s="21" t="str">
        <f>IFERROR(VLOOKUP(Tabela1[[#This Row],[MÊS]]&amp;Tabela1[[#This Row],[ID]]&amp;Tabela1[[#This Row],[MATRICULA]]&amp;"Motorista 4"&amp;Tabela1[[#This Row],[SETOR]],BD!A:AF,26,0),"")</f>
        <v/>
      </c>
      <c r="AP15" s="21" t="str">
        <f>IFERROR(VLOOKUP(Tabela1[[#This Row],[MÊS]]&amp;Tabela1[[#This Row],[MATRICULA]]&amp;"Ponto de Apoio"&amp;Tabela1[[#This Row],[SETOR]],BD!A:AF,31,0),"")</f>
        <v/>
      </c>
      <c r="AQ15" s="21" t="str">
        <f>IFERROR(VLOOKUP(Tabela1[[#This Row],[MÊS]]&amp;Tabela1[[#This Row],[ID]]&amp;Tabela1[[#This Row],[MATRICULA]]&amp;"Ponto de Apoio 2"&amp;Tabela1[[#This Row],[SETOR]],BD!A:AF,26,0),"")</f>
        <v/>
      </c>
      <c r="AR15" s="36" t="str">
        <f>IFERROR(VLOOKUP(Tabela1[[#This Row],[MÊS]]&amp;Tabela1[[#This Row],[ID]]&amp;Tabela1[[#This Row],[MATRICULA]]&amp;"Ponto de Apoio 3"&amp;Tabela1[[#This Row],[SETOR]],BD!A:AF,26,0),"")</f>
        <v/>
      </c>
      <c r="AS15" s="36" t="str">
        <f>IFERROR(VLOOKUP(Tabela1[[#This Row],[MÊS]]&amp;Tabela1[[#This Row],[ID]]&amp;Tabela1[[#This Row],[MATRICULA]]&amp;"Ponto de Apoio 4"&amp;Tabela1[[#This Row],[SETOR]],BD!A:AF,26,0),"")</f>
        <v/>
      </c>
      <c r="AT15" s="21" t="str">
        <f>IFERROR(VLOOKUP(Tabela1[[#This Row],[MÊS]]&amp;Tabela1[[#This Row],[MATRICULA]]&amp;"Cliente"&amp;Tabela1[[#This Row],[SETOR]],BD!A:AF,31,0),"")</f>
        <v/>
      </c>
      <c r="AU15" s="21" t="str">
        <f>IFERROR(VLOOKUP(Tabela1[[#This Row],[MÊS]]&amp;Tabela1[[#This Row],[ID]]&amp;Tabela1[[#This Row],[MATRICULA]]&amp;"Cliente 2"&amp;Tabela1[[#This Row],[SETOR]],BD!A:AF,26,0),"")</f>
        <v/>
      </c>
      <c r="AX15" s="21" t="str">
        <f>IFERROR(VLOOKUP(Tabela1[[#This Row],[MÊS]]&amp;Tabela1[[#This Row],[MATRICULA]]&amp;"Policia"&amp;Tabela1[[#This Row],[SETOR]],BD!A:AF,31,0),"")</f>
        <v/>
      </c>
      <c r="AY15" s="21" t="str">
        <f>IFERROR(VLOOKUP(Tabela1[[#This Row],[MÊS]]&amp;Tabela1[[#This Row],[ID]]&amp;Tabela1[[#This Row],[MATRICULA]]&amp;"Policia 2"&amp;Tabela1[[#This Row],[SETOR]],BD!A:AF,26,0),"")</f>
        <v/>
      </c>
      <c r="AZ15" s="36" t="str">
        <f>IFERROR(VLOOKUP(Tabela1[[#This Row],[MÊS]]&amp;Tabela1[[#This Row],[ID]]&amp;Tabela1[[#This Row],[MATRICULA]]&amp;"Policia 3"&amp;Tabela1[[#This Row],[SETOR]],BD!A:AF,26,0),"")</f>
        <v/>
      </c>
      <c r="BA15" s="36" t="str">
        <f>IFERROR(VLOOKUP(Tabela1[[#This Row],[MÊS]]&amp;Tabela1[[#This Row],[ID]]&amp;Tabela1[[#This Row],[MATRICULA]]&amp;"Policia 4"&amp;Tabela1[[#This Row],[SETOR]],BD!A:AF,26,0),"")</f>
        <v/>
      </c>
      <c r="BB1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5" s="21" t="str">
        <f>IFERROR(AVERAGE(Tabela1[[#This Row],[M]:[M4]]),"")</f>
        <v/>
      </c>
      <c r="BD15" s="21" t="str">
        <f>IFERROR(AVERAGE(Tabela1[[#This Row],[C]:[C4]]),"")</f>
        <v/>
      </c>
      <c r="BE15" s="21" t="str">
        <f>IFERROR(AVERAGE(Tabela1[[#This Row],[PA2]:[PA 4]]),"")</f>
        <v/>
      </c>
      <c r="BF15" s="21" t="str">
        <f>IFERROR(AVERAGE(Tabela1[[#This Row],[PL]:[PL4]]),"")</f>
        <v/>
      </c>
      <c r="BG15" s="35" t="str">
        <f>IFERROR(VLOOKUP(Tabela1[[#This Row],[MÊS]]&amp;Tabela1[[#This Row],[MATRICULA]],#REF!,2,0),"")</f>
        <v/>
      </c>
      <c r="BH15" s="35" t="str">
        <f>IFERROR(VLOOKUP(Tabela1[[#This Row],[MÊS]]&amp;Tabela1[[#This Row],[MATRICULA]],#REF!,2,0),"")</f>
        <v/>
      </c>
      <c r="BI15" s="35" t="str">
        <f>IFERROR(VLOOKUP(Tabela1[[#This Row],[MÊS]]&amp;Tabela1[[#This Row],[MATRICULA]],#REF!,2,0),"")</f>
        <v/>
      </c>
      <c r="BJ15" s="35" t="str">
        <f>IFERROR(VLOOKUP(Tabela1[[#This Row],[MÊS]]&amp;Tabela1[[#This Row],[MATRICULA]],#REF!,2,0),"")</f>
        <v/>
      </c>
      <c r="BK15" s="35" t="str">
        <f>IFERROR(VLOOKUP(Tabela1[[#This Row],[MÊS]]&amp;Tabela1[[#This Row],[MATRICULA]],#REF!,2,0),"")</f>
        <v/>
      </c>
      <c r="BL15" s="21">
        <f>COUNTIF(Tabela1[[#This Row],[MOT2]:[RECEPTIVA]],"NÃO ENCONTRADA")</f>
        <v>0</v>
      </c>
      <c r="BM15" s="135" t="str">
        <f>IFERROR(VLOOKUP(Tabela1[[#This Row],[MÊS]]&amp;Tabela1[[#This Row],[ID]]&amp;Tabela1[[#This Row],[MATRICULA]]&amp;"Motorista"&amp;Tabela1[[#This Row],[SETOR]],BD!A:AF,13,0),"")</f>
        <v/>
      </c>
      <c r="BN15" s="135" t="str">
        <f>IFERROR(VLOOKUP(Tabela1[[#This Row],[MÊS]]&amp;Tabela1[[#This Row],[ID]]&amp;Tabela1[[#This Row],[MATRICULA]]&amp;"Motorista 2"&amp;Tabela1[[#This Row],[SETOR]],BD!A:AF,13,0),"")</f>
        <v/>
      </c>
      <c r="BO15" s="135" t="str">
        <f>IFERROR(VLOOKUP(Tabela1[[#This Row],[MÊS]]&amp;Tabela1[[#This Row],[ID]]&amp;Tabela1[[#This Row],[MATRICULA]]&amp;"Motorista 3"&amp;Tabela1[[#This Row],[SETOR]],BD!A:AF,13,0),"")</f>
        <v/>
      </c>
      <c r="BP15" s="135" t="str">
        <f>IFERROR(VLOOKUP(Tabela1[[#This Row],[MÊS]]&amp;Tabela1[[#This Row],[ID]]&amp;Tabela1[[#This Row],[MATRICULA]]&amp;"Motorista 4"&amp;Tabela1[[#This Row],[SETOR]],BD!A:AF,13,0),"")</f>
        <v/>
      </c>
      <c r="BQ15" s="135" t="str">
        <f>IFERROR(AVERAGE(Tabela1[[#This Row],[DMOT]:[DMOT4]]),"")</f>
        <v/>
      </c>
      <c r="BR15" s="135" t="str">
        <f>IFERROR(VLOOKUP(Tabela1[[#This Row],[MÊS]]&amp;Tabela1[[#This Row],[ID]]&amp;Tabela1[[#This Row],[MATRICULA]]&amp;"Ponto de Apoio"&amp;Tabela1[[#This Row],[SETOR]],BD!A:AF,13,0),"")</f>
        <v/>
      </c>
      <c r="BS15" s="135" t="str">
        <f>IFERROR(VLOOKUP(Tabela1[[#This Row],[MÊS]]&amp;Tabela1[[#This Row],[ID]]&amp;Tabela1[[#This Row],[MATRICULA]]&amp;"Ponto de Apoio 2"&amp;Tabela1[[#This Row],[SETOR]],BD!A:AF,13,0),"")</f>
        <v/>
      </c>
      <c r="BT15" s="135" t="str">
        <f>IFERROR(VLOOKUP(Tabela1[[#This Row],[MÊS]]&amp;Tabela1[[#This Row],[ID]]&amp;Tabela1[[#This Row],[MATRICULA]]&amp;"Ponto de Apoio 3"&amp;Tabela1[[#This Row],[SETOR]],BD!A:AF,13,0),"")</f>
        <v/>
      </c>
      <c r="BU15" s="135" t="str">
        <f>IFERROR(VLOOKUP(Tabela1[[#This Row],[MÊS]]&amp;Tabela1[[#This Row],[ID]]&amp;Tabela1[[#This Row],[MATRICULA]]&amp;"Ponto de Apoio 4"&amp;Tabela1[[#This Row],[SETOR]],BD!A:AF,13,0),"")</f>
        <v/>
      </c>
      <c r="BV15" s="135" t="str">
        <f>IFERROR(AVERAGE(Tabela1[[#This Row],[DPA]:[DPA 4]]),"")</f>
        <v/>
      </c>
      <c r="BW15" s="135" t="str">
        <f>IFERROR(VLOOKUP(Tabela1[[#This Row],[MÊS]]&amp;Tabela1[[#This Row],[ID]]&amp;Tabela1[[#This Row],[MATRICULA]]&amp;"Cliente"&amp;Tabela1[[#This Row],[SETOR]],BD!A:AF,13,0),"")</f>
        <v/>
      </c>
      <c r="BX15" s="135" t="str">
        <f>IFERROR(VLOOKUP(Tabela1[[#This Row],[MÊS]]&amp;Tabela1[[#This Row],[ID]]&amp;Tabela1[[#This Row],[MATRICULA]]&amp;"cliente 2"&amp;Tabela1[[#This Row],[SETOR]],BD!A:AF,13,0),"")</f>
        <v/>
      </c>
      <c r="BY15" s="135" t="str">
        <f>IFERROR(VLOOKUP(Tabela1[[#This Row],[MÊS]]&amp;Tabela1[[#This Row],[ID]]&amp;Tabela1[[#This Row],[MATRICULA]]&amp;"cliente 3"&amp;Tabela1[[#This Row],[SETOR]],BD!A:AF,13,0),"")</f>
        <v/>
      </c>
      <c r="BZ15" s="135" t="str">
        <f>IFERROR(VLOOKUP(Tabela1[[#This Row],[MÊS]]&amp;Tabela1[[#This Row],[ID]]&amp;Tabela1[[#This Row],[MATRICULA]]&amp;"cliente 4"&amp;Tabela1[[#This Row],[SETOR]],BD!A:AF,13,0),"")</f>
        <v/>
      </c>
      <c r="CA15" s="135" t="str">
        <f>IFERROR(AVERAGE(Tabela1[[#This Row],[DCLI]:[DCLI 4]]),"")</f>
        <v/>
      </c>
      <c r="CB15" s="135" t="str">
        <f>IFERROR(VLOOKUP(Tabela1[[#This Row],[MÊS]]&amp;Tabela1[[#This Row],[ID]]&amp;Tabela1[[#This Row],[MATRICULA]]&amp;"Policia"&amp;Tabela1[[#This Row],[SETOR]],BD!A:AF,13,0),"")</f>
        <v/>
      </c>
      <c r="CC15" s="135" t="str">
        <f>IFERROR(VLOOKUP(Tabela1[[#This Row],[MÊS]]&amp;Tabela1[[#This Row],[ID]]&amp;Tabela1[[#This Row],[MATRICULA]]&amp;"Policia 2"&amp;Tabela1[[#This Row],[SETOR]],BD!A:AF,13,0),"")</f>
        <v/>
      </c>
      <c r="CD15" s="135"/>
      <c r="CE15" s="135"/>
      <c r="CF15" s="135" t="str">
        <f>IFERROR((AVERAGE(Tabela1[[#This Row],[DPOL1]:[DPOL4]])),"")</f>
        <v/>
      </c>
      <c r="CG15" s="21" t="str">
        <f>IFERROR(VLOOKUP(Tabela1[[#This Row],[ID]]&amp;Tabela1[[#This Row],[MÊS]]&amp;Tabela1[[#This Row],[MATRICULA]],#REF!,2,0),"")</f>
        <v/>
      </c>
      <c r="CH15" s="21" t="str">
        <f>IFERROR(VLOOKUP(Tabela1[[#This Row],[ID]]&amp;Tabela1[[#This Row],[MÊS]]&amp;Tabela1[[#This Row],[MATRICULA]],#REF!,2,0),"")</f>
        <v/>
      </c>
      <c r="CI15" s="21" t="str">
        <f>IFERROR(VLOOKUP(Tabela1[[#This Row],[MÊS]]&amp;Tabela1[[#This Row],[MATRICULA]],#REF!,2,0),"")</f>
        <v/>
      </c>
    </row>
    <row r="16" spans="1:87">
      <c r="A16" s="12" t="str">
        <f>Tabela1[[#This Row],[MÊS]]&amp;Tabela1[[#This Row],[MATRICULA]]&amp;Tabela1[[#This Row],[ID]]</f>
        <v>JAN113653</v>
      </c>
      <c r="B16" s="12" t="str">
        <f>Tabela1[[#This Row],[MÊS]]&amp;Tabela1[[#This Row],[ID]]&amp;Tabela1[[#This Row],[MATRICULA]]&amp;Tabela1[[#This Row],[SETOR]]</f>
        <v>JAN311365CHECKLIST</v>
      </c>
      <c r="C16" s="130" t="e">
        <f>VLOOKUP(Tabela1[[#This Row],[MATRICULA]],'BD Campos'!A:D,5,0)</f>
        <v>#REF!</v>
      </c>
      <c r="D16" s="133" t="str">
        <f ca="1">IFERROR(SUM(TODAY()-Tabela1[[#This Row],[ADMISSÃO]]),"")</f>
        <v/>
      </c>
      <c r="E16" s="11" t="str">
        <f ca="1">IFERROR(TRUNC(Tabela1[[#This Row],[TEMPO DE CASA (DIAS)]]/30),"")</f>
        <v/>
      </c>
      <c r="F16" s="32" t="str">
        <f ca="1">IFERROR(SUM(Tabela1[[#This Row],[TEMPO DE CASA (MESES)]]/12),"")</f>
        <v/>
      </c>
      <c r="G16" s="133" t="str">
        <f ca="1">IF(Tabela1[[#This Row],[TEMPO DE CASA (DIAS)]]="","SEM DADOS",IF(Tabela1[[#This Row],[TEMPO DE CASA (DIAS)]]&gt;180,"&gt; 6 MESES","&lt; 6 MESES"))</f>
        <v>SEM DADOS</v>
      </c>
      <c r="H16" s="12" t="str">
        <f t="shared" si="2"/>
        <v>JANCarlos Eduardo3</v>
      </c>
      <c r="I16" s="12" t="str">
        <f>IFERROR(VLOOKUP(Tabela1[[#This Row],[MATRICULA]],'BD Campos'!A:F,7,0),"")</f>
        <v/>
      </c>
      <c r="J16" s="11">
        <v>3</v>
      </c>
      <c r="K16" s="11" t="s">
        <v>669</v>
      </c>
      <c r="L16" s="136">
        <v>11365</v>
      </c>
      <c r="M16" s="12" t="str">
        <f>IFERROR(VLOOKUP(Tabela1[[#This Row],[MATRICULA]],'BD Campos'!A:B,2,0),"")</f>
        <v>FELIPE DALPRA</v>
      </c>
      <c r="N16" s="20" t="str">
        <f>IFERROR(AVERAGE(Tabela1[[#This Row],[A1]:[A4]]),"")</f>
        <v/>
      </c>
      <c r="O16" s="20">
        <f>IFERROR(IF(Tabela1[[#This Row],[SETOR]]="RECEPTIVO","",AVERAGE(Tabela1[[#This Row],[A5]:[A6]])),"")</f>
        <v>10.000000000000004</v>
      </c>
      <c r="P16" s="20" t="str">
        <f>IFERROR(IF(Tabela1[[#This Row],[STATUS]]="INATIVO","INATIVO",IF(Tabela1[[#This Row],[STATUS]]="QRT","INATIVO",IF(Tabela1[[#This Row],[OPERACIONAL]]&gt;7.99999,"BOM","RUIM"))),"")</f>
        <v>BOM</v>
      </c>
      <c r="Q16" s="21" t="s">
        <v>667</v>
      </c>
      <c r="R16" s="12" t="s">
        <v>115</v>
      </c>
      <c r="S16" s="12" t="s">
        <v>671</v>
      </c>
      <c r="T16" s="12" t="s">
        <v>115</v>
      </c>
      <c r="U1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6" s="12">
        <f>IF(AND(Tabela1[[#This Row],[SETOR]]="UTI",Tabela1[[#This Row],[M]]&lt;&gt;""),1,IF(AND(Tabela1[[#This Row],[SETOR]]="UTI (RJ)",Tabela1[[#This Row],[M]]&lt;&gt;""),1.5,0))</f>
        <v>0</v>
      </c>
      <c r="X16" s="12">
        <f>IF(AND(Tabela1[[#This Row],[SETOR]]="UTI",Tabela1[[#This Row],[PA2]]&lt;&gt;""),1,IF(AND(Tabela1[[#This Row],[SETOR]]="UTI (RJ)",Tabela1[[#This Row],[PA2]]&lt;&gt;""),0,0))</f>
        <v>0</v>
      </c>
      <c r="Y16" s="12">
        <f>IF(AND(Tabela1[[#This Row],[SETOR]]="UTI",Tabela1[[#This Row],[C]]&lt;&gt;""),1,IF(AND(Tabela1[[#This Row],[SETOR]]="UTI (RJ)",Tabela1[[#This Row],[C]]&lt;&gt;""),1.5,0))</f>
        <v>0</v>
      </c>
      <c r="Z16" s="12">
        <f>IF(AND(Tabela1[[#This Row],[SETOR]]="UTI",Tabela1[[#This Row],[PL]]&lt;&gt;""),1,IF(AND(Tabela1[[#This Row],[SETOR]]="UTI (RJ)",Tabela1[[#This Row],[PL]]&lt;&gt;""),1,0))</f>
        <v>0</v>
      </c>
      <c r="AA16" s="21" t="str">
        <f>IFERROR(VLOOKUP(Tabela1[[#This Row],[MÊS]]&amp;Tabela1[[#This Row],[MATRICULA]]&amp;"1"&amp;Tabela1[[#This Row],[SETOR]]&amp;"PADRÃO",BD!B:AF,31,0),"")</f>
        <v/>
      </c>
      <c r="AB16" s="21" t="str">
        <f>IFERROR(VLOOKUP(Tabela1[[#This Row],[MÊS]]&amp;Tabela1[[#This Row],[MATRICULA]]&amp;"2"&amp;Tabela1[[#This Row],[SETOR]]&amp;"PADRÃO",BD!B:AF,31,0),"")</f>
        <v/>
      </c>
      <c r="AC16" s="21" t="str">
        <f>IFERROR(VLOOKUP(Tabela1[[#This Row],[MÊS]]&amp;Tabela1[[#This Row],[MATRICULA]]&amp;"3"&amp;Tabela1[[#This Row],[SETOR]]&amp;"PADRÃO",BD!B:AF,31,0),"")</f>
        <v/>
      </c>
      <c r="AD16" s="21" t="str">
        <f>IFERROR(VLOOKUP(Tabela1[[#This Row],[MÊS]]&amp;Tabela1[[#This Row],[MATRICULA]]&amp;"4"&amp;Tabela1[[#This Row],[SETOR]]&amp;"PADRÃO",BD!B:AF,25,0),"")</f>
        <v/>
      </c>
      <c r="AE16" s="21">
        <f>IFERROR(VLOOKUP(Tabela1[[#This Row],[MÊS]]&amp;Tabela1[[#This Row],[MATRICULA]]&amp;"5"&amp;Tabela1[[#This Row],[SETOR]]&amp;"PADRÃO",BD!B:AF,31,0),"")</f>
        <v>10.000000000000004</v>
      </c>
      <c r="AF16" s="21">
        <f>IFERROR(VLOOKUP(Tabela1[[#This Row],[MÊS]]&amp;Tabela1[[#This Row],[MATRICULA]]&amp;"6"&amp;Tabela1[[#This Row],[SETOR]]&amp;"PADRÃO",BD!B:AF,31,0),"")</f>
        <v>10.000000000000004</v>
      </c>
      <c r="AG16" s="21" t="str">
        <f>IFERROR(VLOOKUP(Tabela1[[#This Row],[MÊS]]&amp;Tabela1[[#This Row],[MATRICULA]]&amp;"7"&amp;Tabela1[[#This Row],[SETOR]]&amp;"PADRÃO",BD!B:AF,31,0),"")</f>
        <v/>
      </c>
      <c r="AH16" s="21" t="str">
        <f>IFERROR(VLOOKUP(Tabela1[[#This Row],[MÊS]]&amp;Tabela1[[#This Row],[ID]]&amp;Tabela1[[#This Row],[MATRICULA]]&amp;"Receptiva"&amp;Tabela1[[#This Row],[SETOR]],BD!A:AF,31,0),"")</f>
        <v/>
      </c>
      <c r="AI16" s="21" t="str">
        <f>IFERROR(VLOOKUP(Tabela1[[#This Row],[MÊS]]&amp;Tabela1[[#This Row],[ID]]&amp;Tabela1[[#This Row],[MATRICULA]]&amp;"Receptiva 2"&amp;Tabela1[[#This Row],[SETOR]],BD!A:AF,31,0),"")</f>
        <v/>
      </c>
      <c r="AJ16" s="21" t="str">
        <f>IFERROR(VLOOKUP(Tabela1[[#This Row],[MÊS]]&amp;Tabela1[[#This Row],[ID]]&amp;Tabela1[[#This Row],[MATRICULA]]&amp;"Receptiva 3"&amp;Tabela1[[#This Row],[SETOR]],BD!A:AF,31,0),"")</f>
        <v/>
      </c>
      <c r="AK16" s="21" t="str">
        <f>IFERROR(VLOOKUP(Tabela1[[#This Row],[MÊS]]&amp;Tabela1[[#This Row],[ID]]&amp;Tabela1[[#This Row],[MATRICULA]]&amp;"Receptiva 4"&amp;Tabela1[[#This Row],[SETOR]],BD!A:AF,31,0),"")</f>
        <v/>
      </c>
      <c r="AL16" s="21" t="str">
        <f>IFERROR(VLOOKUP(Tabela1[[#This Row],[MÊS]]&amp;Tabela1[[#This Row],[MATRICULA]]&amp;"Motorista"&amp;Tabela1[[#This Row],[SETOR]],BD!A:AF,31,0),"")</f>
        <v/>
      </c>
      <c r="AM16" s="21" t="str">
        <f>IFERROR(VLOOKUP(Tabela1[[#This Row],[MÊS]]&amp;Tabela1[[#This Row],[ID]]&amp;Tabela1[[#This Row],[MATRICULA]]&amp;"Motorista 2"&amp;Tabela1[[#This Row],[SETOR]],BD!A:AF,26,0),"")</f>
        <v/>
      </c>
      <c r="AN16" s="21" t="str">
        <f>IFERROR(VLOOKUP(Tabela1[[#This Row],[MÊS]]&amp;Tabela1[[#This Row],[ID]]&amp;Tabela1[[#This Row],[MATRICULA]]&amp;"Motorista 3"&amp;Tabela1[[#This Row],[SETOR]],BD!A:AF,26,0),"")</f>
        <v/>
      </c>
      <c r="AO16" s="21" t="str">
        <f>IFERROR(VLOOKUP(Tabela1[[#This Row],[MÊS]]&amp;Tabela1[[#This Row],[ID]]&amp;Tabela1[[#This Row],[MATRICULA]]&amp;"Motorista 4"&amp;Tabela1[[#This Row],[SETOR]],BD!A:AF,26,0),"")</f>
        <v/>
      </c>
      <c r="AP16" s="21" t="str">
        <f>IFERROR(VLOOKUP(Tabela1[[#This Row],[MÊS]]&amp;Tabela1[[#This Row],[MATRICULA]]&amp;"Ponto de Apoio"&amp;Tabela1[[#This Row],[SETOR]],BD!A:AF,31,0),"")</f>
        <v/>
      </c>
      <c r="AQ16" s="21" t="str">
        <f>IFERROR(VLOOKUP(Tabela1[[#This Row],[MÊS]]&amp;Tabela1[[#This Row],[ID]]&amp;Tabela1[[#This Row],[MATRICULA]]&amp;"Ponto de Apoio 2"&amp;Tabela1[[#This Row],[SETOR]],BD!A:AF,26,0),"")</f>
        <v/>
      </c>
      <c r="AR16" s="36" t="str">
        <f>IFERROR(VLOOKUP(Tabela1[[#This Row],[MÊS]]&amp;Tabela1[[#This Row],[ID]]&amp;Tabela1[[#This Row],[MATRICULA]]&amp;"Ponto de Apoio 3"&amp;Tabela1[[#This Row],[SETOR]],BD!A:AF,26,0),"")</f>
        <v/>
      </c>
      <c r="AS16" s="36" t="str">
        <f>IFERROR(VLOOKUP(Tabela1[[#This Row],[MÊS]]&amp;Tabela1[[#This Row],[ID]]&amp;Tabela1[[#This Row],[MATRICULA]]&amp;"Ponto de Apoio 4"&amp;Tabela1[[#This Row],[SETOR]],BD!A:AF,26,0),"")</f>
        <v/>
      </c>
      <c r="AT16" s="21" t="str">
        <f>IFERROR(VLOOKUP(Tabela1[[#This Row],[MÊS]]&amp;Tabela1[[#This Row],[MATRICULA]]&amp;"Cliente"&amp;Tabela1[[#This Row],[SETOR]],BD!A:AF,31,0),"")</f>
        <v/>
      </c>
      <c r="AU16" s="21" t="str">
        <f>IFERROR(VLOOKUP(Tabela1[[#This Row],[MÊS]]&amp;Tabela1[[#This Row],[ID]]&amp;Tabela1[[#This Row],[MATRICULA]]&amp;"Cliente 2"&amp;Tabela1[[#This Row],[SETOR]],BD!A:AF,26,0),"")</f>
        <v/>
      </c>
      <c r="AX16" s="21" t="str">
        <f>IFERROR(VLOOKUP(Tabela1[[#This Row],[MÊS]]&amp;Tabela1[[#This Row],[MATRICULA]]&amp;"Policia"&amp;Tabela1[[#This Row],[SETOR]],BD!A:AF,31,0),"")</f>
        <v/>
      </c>
      <c r="AY16" s="21" t="str">
        <f>IFERROR(VLOOKUP(Tabela1[[#This Row],[MÊS]]&amp;Tabela1[[#This Row],[ID]]&amp;Tabela1[[#This Row],[MATRICULA]]&amp;"Policia 2"&amp;Tabela1[[#This Row],[SETOR]],BD!A:AF,26,0),"")</f>
        <v/>
      </c>
      <c r="AZ16" s="36" t="str">
        <f>IFERROR(VLOOKUP(Tabela1[[#This Row],[MÊS]]&amp;Tabela1[[#This Row],[ID]]&amp;Tabela1[[#This Row],[MATRICULA]]&amp;"Policia 3"&amp;Tabela1[[#This Row],[SETOR]],BD!A:AF,26,0),"")</f>
        <v/>
      </c>
      <c r="BA16" s="36" t="str">
        <f>IFERROR(VLOOKUP(Tabela1[[#This Row],[MÊS]]&amp;Tabela1[[#This Row],[ID]]&amp;Tabela1[[#This Row],[MATRICULA]]&amp;"Policia 4"&amp;Tabela1[[#This Row],[SETOR]],BD!A:AF,26,0),"")</f>
        <v/>
      </c>
      <c r="BB1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6" s="21" t="str">
        <f>IFERROR(AVERAGE(Tabela1[[#This Row],[M]:[M4]]),"")</f>
        <v/>
      </c>
      <c r="BD16" s="21" t="str">
        <f>IFERROR(AVERAGE(Tabela1[[#This Row],[C]:[C4]]),"")</f>
        <v/>
      </c>
      <c r="BE16" s="21" t="str">
        <f>IFERROR(AVERAGE(Tabela1[[#This Row],[PA2]:[PA 4]]),"")</f>
        <v/>
      </c>
      <c r="BF16" s="21" t="str">
        <f>IFERROR(AVERAGE(Tabela1[[#This Row],[PL]:[PL4]]),"")</f>
        <v/>
      </c>
      <c r="BG16" s="35" t="str">
        <f>IFERROR(VLOOKUP(Tabela1[[#This Row],[MÊS]]&amp;Tabela1[[#This Row],[MATRICULA]],#REF!,2,0),"")</f>
        <v/>
      </c>
      <c r="BH16" s="35" t="str">
        <f>IFERROR(VLOOKUP(Tabela1[[#This Row],[MÊS]]&amp;Tabela1[[#This Row],[MATRICULA]],#REF!,2,0),"")</f>
        <v/>
      </c>
      <c r="BI16" s="35" t="str">
        <f>IFERROR(VLOOKUP(Tabela1[[#This Row],[MÊS]]&amp;Tabela1[[#This Row],[MATRICULA]],#REF!,2,0),"")</f>
        <v/>
      </c>
      <c r="BJ16" s="35" t="str">
        <f>IFERROR(VLOOKUP(Tabela1[[#This Row],[MÊS]]&amp;Tabela1[[#This Row],[MATRICULA]],#REF!,2,0),"")</f>
        <v/>
      </c>
      <c r="BK16" s="35" t="str">
        <f>IFERROR(VLOOKUP(Tabela1[[#This Row],[MÊS]]&amp;Tabela1[[#This Row],[MATRICULA]],#REF!,2,0),"")</f>
        <v/>
      </c>
      <c r="BL16" s="21">
        <f>COUNTIF(Tabela1[[#This Row],[MOT2]:[RECEPTIVA]],"NÃO ENCONTRADA")</f>
        <v>0</v>
      </c>
      <c r="BM16" s="135" t="str">
        <f>IFERROR(VLOOKUP(Tabela1[[#This Row],[MÊS]]&amp;Tabela1[[#This Row],[ID]]&amp;Tabela1[[#This Row],[MATRICULA]]&amp;"Motorista"&amp;Tabela1[[#This Row],[SETOR]],BD!A:AF,13,0),"")</f>
        <v/>
      </c>
      <c r="BN16" s="135" t="str">
        <f>IFERROR(VLOOKUP(Tabela1[[#This Row],[MÊS]]&amp;Tabela1[[#This Row],[ID]]&amp;Tabela1[[#This Row],[MATRICULA]]&amp;"Motorista 2"&amp;Tabela1[[#This Row],[SETOR]],BD!A:AF,13,0),"")</f>
        <v/>
      </c>
      <c r="BO16" s="135" t="str">
        <f>IFERROR(VLOOKUP(Tabela1[[#This Row],[MÊS]]&amp;Tabela1[[#This Row],[ID]]&amp;Tabela1[[#This Row],[MATRICULA]]&amp;"Motorista 3"&amp;Tabela1[[#This Row],[SETOR]],BD!A:AF,13,0),"")</f>
        <v/>
      </c>
      <c r="BP16" s="135" t="str">
        <f>IFERROR(VLOOKUP(Tabela1[[#This Row],[MÊS]]&amp;Tabela1[[#This Row],[ID]]&amp;Tabela1[[#This Row],[MATRICULA]]&amp;"Motorista 4"&amp;Tabela1[[#This Row],[SETOR]],BD!A:AF,13,0),"")</f>
        <v/>
      </c>
      <c r="BQ16" s="135" t="str">
        <f>IFERROR(AVERAGE(Tabela1[[#This Row],[DMOT]:[DMOT4]]),"")</f>
        <v/>
      </c>
      <c r="BR16" s="135" t="str">
        <f>IFERROR(VLOOKUP(Tabela1[[#This Row],[MÊS]]&amp;Tabela1[[#This Row],[ID]]&amp;Tabela1[[#This Row],[MATRICULA]]&amp;"Ponto de Apoio"&amp;Tabela1[[#This Row],[SETOR]],BD!A:AF,13,0),"")</f>
        <v/>
      </c>
      <c r="BS16" s="135" t="str">
        <f>IFERROR(VLOOKUP(Tabela1[[#This Row],[MÊS]]&amp;Tabela1[[#This Row],[ID]]&amp;Tabela1[[#This Row],[MATRICULA]]&amp;"Ponto de Apoio 2"&amp;Tabela1[[#This Row],[SETOR]],BD!A:AF,13,0),"")</f>
        <v/>
      </c>
      <c r="BT16" s="135" t="str">
        <f>IFERROR(VLOOKUP(Tabela1[[#This Row],[MÊS]]&amp;Tabela1[[#This Row],[ID]]&amp;Tabela1[[#This Row],[MATRICULA]]&amp;"Ponto de Apoio 3"&amp;Tabela1[[#This Row],[SETOR]],BD!A:AF,13,0),"")</f>
        <v/>
      </c>
      <c r="BU16" s="135" t="str">
        <f>IFERROR(VLOOKUP(Tabela1[[#This Row],[MÊS]]&amp;Tabela1[[#This Row],[ID]]&amp;Tabela1[[#This Row],[MATRICULA]]&amp;"Ponto de Apoio 4"&amp;Tabela1[[#This Row],[SETOR]],BD!A:AF,13,0),"")</f>
        <v/>
      </c>
      <c r="BV16" s="135" t="str">
        <f>IFERROR(AVERAGE(Tabela1[[#This Row],[DPA]:[DPA 4]]),"")</f>
        <v/>
      </c>
      <c r="BW16" s="135" t="str">
        <f>IFERROR(VLOOKUP(Tabela1[[#This Row],[MÊS]]&amp;Tabela1[[#This Row],[ID]]&amp;Tabela1[[#This Row],[MATRICULA]]&amp;"Cliente"&amp;Tabela1[[#This Row],[SETOR]],BD!A:AF,13,0),"")</f>
        <v/>
      </c>
      <c r="BX16" s="135" t="str">
        <f>IFERROR(VLOOKUP(Tabela1[[#This Row],[MÊS]]&amp;Tabela1[[#This Row],[ID]]&amp;Tabela1[[#This Row],[MATRICULA]]&amp;"cliente 2"&amp;Tabela1[[#This Row],[SETOR]],BD!A:AF,13,0),"")</f>
        <v/>
      </c>
      <c r="BY16" s="135" t="str">
        <f>IFERROR(VLOOKUP(Tabela1[[#This Row],[MÊS]]&amp;Tabela1[[#This Row],[ID]]&amp;Tabela1[[#This Row],[MATRICULA]]&amp;"cliente 3"&amp;Tabela1[[#This Row],[SETOR]],BD!A:AF,13,0),"")</f>
        <v/>
      </c>
      <c r="BZ16" s="135" t="str">
        <f>IFERROR(VLOOKUP(Tabela1[[#This Row],[MÊS]]&amp;Tabela1[[#This Row],[ID]]&amp;Tabela1[[#This Row],[MATRICULA]]&amp;"cliente 4"&amp;Tabela1[[#This Row],[SETOR]],BD!A:AF,13,0),"")</f>
        <v/>
      </c>
      <c r="CA16" s="135" t="str">
        <f>IFERROR(AVERAGE(Tabela1[[#This Row],[DCLI]:[DCLI 4]]),"")</f>
        <v/>
      </c>
      <c r="CB16" s="135" t="str">
        <f>IFERROR(VLOOKUP(Tabela1[[#This Row],[MÊS]]&amp;Tabela1[[#This Row],[ID]]&amp;Tabela1[[#This Row],[MATRICULA]]&amp;"Policia"&amp;Tabela1[[#This Row],[SETOR]],BD!A:AF,13,0),"")</f>
        <v/>
      </c>
      <c r="CC16" s="135" t="str">
        <f>IFERROR(VLOOKUP(Tabela1[[#This Row],[MÊS]]&amp;Tabela1[[#This Row],[ID]]&amp;Tabela1[[#This Row],[MATRICULA]]&amp;"Policia 2"&amp;Tabela1[[#This Row],[SETOR]],BD!A:AF,13,0),"")</f>
        <v/>
      </c>
      <c r="CD16" s="135"/>
      <c r="CE16" s="135"/>
      <c r="CF16" s="135" t="str">
        <f>IFERROR((AVERAGE(Tabela1[[#This Row],[DPOL1]:[DPOL4]])),"")</f>
        <v/>
      </c>
      <c r="CG16" s="21" t="str">
        <f>IFERROR(VLOOKUP(Tabela1[[#This Row],[ID]]&amp;Tabela1[[#This Row],[MÊS]]&amp;Tabela1[[#This Row],[MATRICULA]],#REF!,2,0),"")</f>
        <v/>
      </c>
      <c r="CH16" s="21" t="str">
        <f>IFERROR(VLOOKUP(Tabela1[[#This Row],[ID]]&amp;Tabela1[[#This Row],[MÊS]]&amp;Tabela1[[#This Row],[MATRICULA]],#REF!,2,0),"")</f>
        <v/>
      </c>
      <c r="CI16" s="21" t="str">
        <f>IFERROR(VLOOKUP(Tabela1[[#This Row],[MÊS]]&amp;Tabela1[[#This Row],[MATRICULA]],#REF!,2,0),"")</f>
        <v/>
      </c>
    </row>
    <row r="17" spans="1:87">
      <c r="A17" s="12" t="str">
        <f>Tabela1[[#This Row],[MÊS]]&amp;Tabela1[[#This Row],[MATRICULA]]&amp;Tabela1[[#This Row],[ID]]</f>
        <v>JAN111824</v>
      </c>
      <c r="B17" s="12" t="str">
        <f>Tabela1[[#This Row],[MÊS]]&amp;Tabela1[[#This Row],[ID]]&amp;Tabela1[[#This Row],[MATRICULA]]&amp;Tabela1[[#This Row],[SETOR]]</f>
        <v>JAN411182CHECKLIST</v>
      </c>
      <c r="C17" s="130" t="e">
        <f>VLOOKUP(Tabela1[[#This Row],[MATRICULA]],'BD Campos'!A:D,5,0)</f>
        <v>#REF!</v>
      </c>
      <c r="D17" s="133" t="str">
        <f ca="1">IFERROR(SUM(TODAY()-Tabela1[[#This Row],[ADMISSÃO]]),"")</f>
        <v/>
      </c>
      <c r="E17" s="11" t="str">
        <f ca="1">IFERROR(TRUNC(Tabela1[[#This Row],[TEMPO DE CASA (DIAS)]]/30),"")</f>
        <v/>
      </c>
      <c r="F17" s="32" t="str">
        <f ca="1">IFERROR(SUM(Tabela1[[#This Row],[TEMPO DE CASA (MESES)]]/12),"")</f>
        <v/>
      </c>
      <c r="G17" s="133" t="str">
        <f ca="1">IF(Tabela1[[#This Row],[TEMPO DE CASA (DIAS)]]="","SEM DADOS",IF(Tabela1[[#This Row],[TEMPO DE CASA (DIAS)]]&gt;180,"&gt; 6 MESES","&lt; 6 MESES"))</f>
        <v>SEM DADOS</v>
      </c>
      <c r="H17" s="12" t="str">
        <f t="shared" si="2"/>
        <v>JANCarlos Eduardo4</v>
      </c>
      <c r="I17" s="12" t="str">
        <f>IFERROR(VLOOKUP(Tabela1[[#This Row],[MATRICULA]],'BD Campos'!A:F,7,0),"")</f>
        <v/>
      </c>
      <c r="J17" s="11">
        <v>4</v>
      </c>
      <c r="K17" s="11" t="s">
        <v>669</v>
      </c>
      <c r="L17" s="136">
        <v>11182</v>
      </c>
      <c r="M17" s="12" t="str">
        <f>IFERROR(VLOOKUP(Tabela1[[#This Row],[MATRICULA]],'BD Campos'!A:B,2,0),"")</f>
        <v>WILLIAN BURG</v>
      </c>
      <c r="N17" s="20" t="str">
        <f>IFERROR(AVERAGE(Tabela1[[#This Row],[A1]:[A4]]),"")</f>
        <v/>
      </c>
      <c r="O17" s="20" t="str">
        <f>IFERROR(IF(Tabela1[[#This Row],[SETOR]]="RECEPTIVO","",AVERAGE(Tabela1[[#This Row],[A5]:[A6]])),"")</f>
        <v/>
      </c>
      <c r="P17" s="20" t="str">
        <f>IFERROR(IF(Tabela1[[#This Row],[STATUS]]="INATIVO","INATIVO",IF(Tabela1[[#This Row],[STATUS]]="QRT","INATIVO",IF(Tabela1[[#This Row],[OPERACIONAL]]&gt;7.99999,"BOM","RUIM"))),"")</f>
        <v>INATIVO</v>
      </c>
      <c r="Q17" s="21" t="s">
        <v>670</v>
      </c>
      <c r="R17" s="12" t="s">
        <v>115</v>
      </c>
      <c r="S17" s="12" t="s">
        <v>671</v>
      </c>
      <c r="T17" s="12" t="s">
        <v>115</v>
      </c>
      <c r="U1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7" s="12">
        <f>IF(AND(Tabela1[[#This Row],[SETOR]]="UTI",Tabela1[[#This Row],[M]]&lt;&gt;""),1,IF(AND(Tabela1[[#This Row],[SETOR]]="UTI (RJ)",Tabela1[[#This Row],[M]]&lt;&gt;""),1.5,0))</f>
        <v>0</v>
      </c>
      <c r="X17" s="12">
        <f>IF(AND(Tabela1[[#This Row],[SETOR]]="UTI",Tabela1[[#This Row],[PA2]]&lt;&gt;""),1,IF(AND(Tabela1[[#This Row],[SETOR]]="UTI (RJ)",Tabela1[[#This Row],[PA2]]&lt;&gt;""),0,0))</f>
        <v>0</v>
      </c>
      <c r="Y17" s="12">
        <f>IF(AND(Tabela1[[#This Row],[SETOR]]="UTI",Tabela1[[#This Row],[C]]&lt;&gt;""),1,IF(AND(Tabela1[[#This Row],[SETOR]]="UTI (RJ)",Tabela1[[#This Row],[C]]&lt;&gt;""),1.5,0))</f>
        <v>0</v>
      </c>
      <c r="Z17" s="12">
        <f>IF(AND(Tabela1[[#This Row],[SETOR]]="UTI",Tabela1[[#This Row],[PL]]&lt;&gt;""),1,IF(AND(Tabela1[[#This Row],[SETOR]]="UTI (RJ)",Tabela1[[#This Row],[PL]]&lt;&gt;""),1,0))</f>
        <v>0</v>
      </c>
      <c r="AA17" s="21" t="str">
        <f>IFERROR(VLOOKUP(Tabela1[[#This Row],[MÊS]]&amp;Tabela1[[#This Row],[MATRICULA]]&amp;"1"&amp;Tabela1[[#This Row],[SETOR]]&amp;"PADRÃO",BD!B:AF,31,0),"")</f>
        <v/>
      </c>
      <c r="AB17" s="21" t="str">
        <f>IFERROR(VLOOKUP(Tabela1[[#This Row],[MÊS]]&amp;Tabela1[[#This Row],[MATRICULA]]&amp;"2"&amp;Tabela1[[#This Row],[SETOR]]&amp;"PADRÃO",BD!B:AF,31,0),"")</f>
        <v/>
      </c>
      <c r="AC17" s="21" t="str">
        <f>IFERROR(VLOOKUP(Tabela1[[#This Row],[MÊS]]&amp;Tabela1[[#This Row],[MATRICULA]]&amp;"3"&amp;Tabela1[[#This Row],[SETOR]]&amp;"PADRÃO",BD!B:AF,31,0),"")</f>
        <v/>
      </c>
      <c r="AD17" s="21" t="str">
        <f>IFERROR(VLOOKUP(Tabela1[[#This Row],[MÊS]]&amp;Tabela1[[#This Row],[MATRICULA]]&amp;"4"&amp;Tabela1[[#This Row],[SETOR]]&amp;"PADRÃO",BD!B:AF,25,0),"")</f>
        <v/>
      </c>
      <c r="AE17" s="21" t="str">
        <f>IFERROR(VLOOKUP(Tabela1[[#This Row],[MÊS]]&amp;Tabela1[[#This Row],[MATRICULA]]&amp;"5"&amp;Tabela1[[#This Row],[SETOR]]&amp;"PADRÃO",BD!B:AF,31,0),"")</f>
        <v/>
      </c>
      <c r="AF17" s="21" t="str">
        <f>IFERROR(VLOOKUP(Tabela1[[#This Row],[MÊS]]&amp;Tabela1[[#This Row],[MATRICULA]]&amp;"6"&amp;Tabela1[[#This Row],[SETOR]]&amp;"PADRÃO",BD!B:AF,31,0),"")</f>
        <v/>
      </c>
      <c r="AG17" s="21" t="str">
        <f>IFERROR(VLOOKUP(Tabela1[[#This Row],[MÊS]]&amp;Tabela1[[#This Row],[MATRICULA]]&amp;"7"&amp;Tabela1[[#This Row],[SETOR]]&amp;"PADRÃO",BD!B:AF,31,0),"")</f>
        <v/>
      </c>
      <c r="AH17" s="21" t="str">
        <f>IFERROR(VLOOKUP(Tabela1[[#This Row],[MÊS]]&amp;Tabela1[[#This Row],[ID]]&amp;Tabela1[[#This Row],[MATRICULA]]&amp;"Receptiva"&amp;Tabela1[[#This Row],[SETOR]],BD!A:AF,31,0),"")</f>
        <v/>
      </c>
      <c r="AI17" s="21" t="str">
        <f>IFERROR(VLOOKUP(Tabela1[[#This Row],[MÊS]]&amp;Tabela1[[#This Row],[ID]]&amp;Tabela1[[#This Row],[MATRICULA]]&amp;"Receptiva 2"&amp;Tabela1[[#This Row],[SETOR]],BD!A:AF,31,0),"")</f>
        <v/>
      </c>
      <c r="AJ17" s="21" t="str">
        <f>IFERROR(VLOOKUP(Tabela1[[#This Row],[MÊS]]&amp;Tabela1[[#This Row],[ID]]&amp;Tabela1[[#This Row],[MATRICULA]]&amp;"Receptiva 3"&amp;Tabela1[[#This Row],[SETOR]],BD!A:AF,31,0),"")</f>
        <v/>
      </c>
      <c r="AK17" s="21" t="str">
        <f>IFERROR(VLOOKUP(Tabela1[[#This Row],[MÊS]]&amp;Tabela1[[#This Row],[ID]]&amp;Tabela1[[#This Row],[MATRICULA]]&amp;"Receptiva 4"&amp;Tabela1[[#This Row],[SETOR]],BD!A:AF,31,0),"")</f>
        <v/>
      </c>
      <c r="AL17" s="21" t="str">
        <f>IFERROR(VLOOKUP(Tabela1[[#This Row],[MÊS]]&amp;Tabela1[[#This Row],[MATRICULA]]&amp;"Motorista"&amp;Tabela1[[#This Row],[SETOR]],BD!A:AF,31,0),"")</f>
        <v/>
      </c>
      <c r="AM17" s="21" t="str">
        <f>IFERROR(VLOOKUP(Tabela1[[#This Row],[MÊS]]&amp;Tabela1[[#This Row],[ID]]&amp;Tabela1[[#This Row],[MATRICULA]]&amp;"Motorista 2"&amp;Tabela1[[#This Row],[SETOR]],BD!A:AF,26,0),"")</f>
        <v/>
      </c>
      <c r="AN17" s="21" t="str">
        <f>IFERROR(VLOOKUP(Tabela1[[#This Row],[MÊS]]&amp;Tabela1[[#This Row],[ID]]&amp;Tabela1[[#This Row],[MATRICULA]]&amp;"Motorista 3"&amp;Tabela1[[#This Row],[SETOR]],BD!A:AF,26,0),"")</f>
        <v/>
      </c>
      <c r="AO17" s="21" t="str">
        <f>IFERROR(VLOOKUP(Tabela1[[#This Row],[MÊS]]&amp;Tabela1[[#This Row],[ID]]&amp;Tabela1[[#This Row],[MATRICULA]]&amp;"Motorista 4"&amp;Tabela1[[#This Row],[SETOR]],BD!A:AF,26,0),"")</f>
        <v/>
      </c>
      <c r="AP17" s="21" t="str">
        <f>IFERROR(VLOOKUP(Tabela1[[#This Row],[MÊS]]&amp;Tabela1[[#This Row],[MATRICULA]]&amp;"Ponto de Apoio"&amp;Tabela1[[#This Row],[SETOR]],BD!A:AF,31,0),"")</f>
        <v/>
      </c>
      <c r="AQ17" s="21" t="str">
        <f>IFERROR(VLOOKUP(Tabela1[[#This Row],[MÊS]]&amp;Tabela1[[#This Row],[ID]]&amp;Tabela1[[#This Row],[MATRICULA]]&amp;"Ponto de Apoio 2"&amp;Tabela1[[#This Row],[SETOR]],BD!A:AF,26,0),"")</f>
        <v/>
      </c>
      <c r="AR17" s="36" t="str">
        <f>IFERROR(VLOOKUP(Tabela1[[#This Row],[MÊS]]&amp;Tabela1[[#This Row],[ID]]&amp;Tabela1[[#This Row],[MATRICULA]]&amp;"Ponto de Apoio 3"&amp;Tabela1[[#This Row],[SETOR]],BD!A:AF,26,0),"")</f>
        <v/>
      </c>
      <c r="AS17" s="36" t="str">
        <f>IFERROR(VLOOKUP(Tabela1[[#This Row],[MÊS]]&amp;Tabela1[[#This Row],[ID]]&amp;Tabela1[[#This Row],[MATRICULA]]&amp;"Ponto de Apoio 4"&amp;Tabela1[[#This Row],[SETOR]],BD!A:AF,26,0),"")</f>
        <v/>
      </c>
      <c r="AT17" s="21" t="str">
        <f>IFERROR(VLOOKUP(Tabela1[[#This Row],[MÊS]]&amp;Tabela1[[#This Row],[MATRICULA]]&amp;"Cliente"&amp;Tabela1[[#This Row],[SETOR]],BD!A:AF,31,0),"")</f>
        <v/>
      </c>
      <c r="AU17" s="21" t="str">
        <f>IFERROR(VLOOKUP(Tabela1[[#This Row],[MÊS]]&amp;Tabela1[[#This Row],[ID]]&amp;Tabela1[[#This Row],[MATRICULA]]&amp;"Cliente 2"&amp;Tabela1[[#This Row],[SETOR]],BD!A:AF,26,0),"")</f>
        <v/>
      </c>
      <c r="AX17" s="21" t="str">
        <f>IFERROR(VLOOKUP(Tabela1[[#This Row],[MÊS]]&amp;Tabela1[[#This Row],[MATRICULA]]&amp;"Policia"&amp;Tabela1[[#This Row],[SETOR]],BD!A:AF,31,0),"")</f>
        <v/>
      </c>
      <c r="AY17" s="21" t="str">
        <f>IFERROR(VLOOKUP(Tabela1[[#This Row],[MÊS]]&amp;Tabela1[[#This Row],[ID]]&amp;Tabela1[[#This Row],[MATRICULA]]&amp;"Policia 2"&amp;Tabela1[[#This Row],[SETOR]],BD!A:AF,26,0),"")</f>
        <v/>
      </c>
      <c r="AZ17" s="36" t="str">
        <f>IFERROR(VLOOKUP(Tabela1[[#This Row],[MÊS]]&amp;Tabela1[[#This Row],[ID]]&amp;Tabela1[[#This Row],[MATRICULA]]&amp;"Policia 3"&amp;Tabela1[[#This Row],[SETOR]],BD!A:AF,26,0),"")</f>
        <v/>
      </c>
      <c r="BA17" s="36" t="str">
        <f>IFERROR(VLOOKUP(Tabela1[[#This Row],[MÊS]]&amp;Tabela1[[#This Row],[ID]]&amp;Tabela1[[#This Row],[MATRICULA]]&amp;"Policia 4"&amp;Tabela1[[#This Row],[SETOR]],BD!A:AF,26,0),"")</f>
        <v/>
      </c>
      <c r="BB1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" s="21" t="str">
        <f>IFERROR(AVERAGE(Tabela1[[#This Row],[M]:[M4]]),"")</f>
        <v/>
      </c>
      <c r="BD17" s="21" t="str">
        <f>IFERROR(AVERAGE(Tabela1[[#This Row],[C]:[C4]]),"")</f>
        <v/>
      </c>
      <c r="BE17" s="21" t="str">
        <f>IFERROR(AVERAGE(Tabela1[[#This Row],[PA2]:[PA 4]]),"")</f>
        <v/>
      </c>
      <c r="BF17" s="21" t="str">
        <f>IFERROR(AVERAGE(Tabela1[[#This Row],[PL]:[PL4]]),"")</f>
        <v/>
      </c>
      <c r="BG17" s="35" t="str">
        <f>IFERROR(VLOOKUP(Tabela1[[#This Row],[MÊS]]&amp;Tabela1[[#This Row],[MATRICULA]],#REF!,2,0),"")</f>
        <v/>
      </c>
      <c r="BH17" s="35" t="str">
        <f>IFERROR(VLOOKUP(Tabela1[[#This Row],[MÊS]]&amp;Tabela1[[#This Row],[MATRICULA]],#REF!,2,0),"")</f>
        <v/>
      </c>
      <c r="BI17" s="35" t="str">
        <f>IFERROR(VLOOKUP(Tabela1[[#This Row],[MÊS]]&amp;Tabela1[[#This Row],[MATRICULA]],#REF!,2,0),"")</f>
        <v/>
      </c>
      <c r="BJ17" s="35" t="str">
        <f>IFERROR(VLOOKUP(Tabela1[[#This Row],[MÊS]]&amp;Tabela1[[#This Row],[MATRICULA]],#REF!,2,0),"")</f>
        <v/>
      </c>
      <c r="BK17" s="35" t="str">
        <f>IFERROR(VLOOKUP(Tabela1[[#This Row],[MÊS]]&amp;Tabela1[[#This Row],[MATRICULA]],#REF!,2,0),"")</f>
        <v/>
      </c>
      <c r="BL17" s="21">
        <f>COUNTIF(Tabela1[[#This Row],[MOT2]:[RECEPTIVA]],"NÃO ENCONTRADA")</f>
        <v>0</v>
      </c>
      <c r="BM17" s="135" t="str">
        <f>IFERROR(VLOOKUP(Tabela1[[#This Row],[MÊS]]&amp;Tabela1[[#This Row],[ID]]&amp;Tabela1[[#This Row],[MATRICULA]]&amp;"Motorista"&amp;Tabela1[[#This Row],[SETOR]],BD!A:AF,13,0),"")</f>
        <v/>
      </c>
      <c r="BN17" s="135" t="str">
        <f>IFERROR(VLOOKUP(Tabela1[[#This Row],[MÊS]]&amp;Tabela1[[#This Row],[ID]]&amp;Tabela1[[#This Row],[MATRICULA]]&amp;"Motorista 2"&amp;Tabela1[[#This Row],[SETOR]],BD!A:AF,13,0),"")</f>
        <v/>
      </c>
      <c r="BO17" s="135" t="str">
        <f>IFERROR(VLOOKUP(Tabela1[[#This Row],[MÊS]]&amp;Tabela1[[#This Row],[ID]]&amp;Tabela1[[#This Row],[MATRICULA]]&amp;"Motorista 3"&amp;Tabela1[[#This Row],[SETOR]],BD!A:AF,13,0),"")</f>
        <v/>
      </c>
      <c r="BP17" s="135" t="str">
        <f>IFERROR(VLOOKUP(Tabela1[[#This Row],[MÊS]]&amp;Tabela1[[#This Row],[ID]]&amp;Tabela1[[#This Row],[MATRICULA]]&amp;"Motorista 4"&amp;Tabela1[[#This Row],[SETOR]],BD!A:AF,13,0),"")</f>
        <v/>
      </c>
      <c r="BQ17" s="135" t="str">
        <f>IFERROR(AVERAGE(Tabela1[[#This Row],[DMOT]:[DMOT4]]),"")</f>
        <v/>
      </c>
      <c r="BR17" s="135" t="str">
        <f>IFERROR(VLOOKUP(Tabela1[[#This Row],[MÊS]]&amp;Tabela1[[#This Row],[ID]]&amp;Tabela1[[#This Row],[MATRICULA]]&amp;"Ponto de Apoio"&amp;Tabela1[[#This Row],[SETOR]],BD!A:AF,13,0),"")</f>
        <v/>
      </c>
      <c r="BS17" s="135" t="str">
        <f>IFERROR(VLOOKUP(Tabela1[[#This Row],[MÊS]]&amp;Tabela1[[#This Row],[ID]]&amp;Tabela1[[#This Row],[MATRICULA]]&amp;"Ponto de Apoio 2"&amp;Tabela1[[#This Row],[SETOR]],BD!A:AF,13,0),"")</f>
        <v/>
      </c>
      <c r="BT17" s="135" t="str">
        <f>IFERROR(VLOOKUP(Tabela1[[#This Row],[MÊS]]&amp;Tabela1[[#This Row],[ID]]&amp;Tabela1[[#This Row],[MATRICULA]]&amp;"Ponto de Apoio 3"&amp;Tabela1[[#This Row],[SETOR]],BD!A:AF,13,0),"")</f>
        <v/>
      </c>
      <c r="BU17" s="135" t="str">
        <f>IFERROR(VLOOKUP(Tabela1[[#This Row],[MÊS]]&amp;Tabela1[[#This Row],[ID]]&amp;Tabela1[[#This Row],[MATRICULA]]&amp;"Ponto de Apoio 4"&amp;Tabela1[[#This Row],[SETOR]],BD!A:AF,13,0),"")</f>
        <v/>
      </c>
      <c r="BV17" s="135" t="str">
        <f>IFERROR(AVERAGE(Tabela1[[#This Row],[DPA]:[DPA 4]]),"")</f>
        <v/>
      </c>
      <c r="BW17" s="135" t="str">
        <f>IFERROR(VLOOKUP(Tabela1[[#This Row],[MÊS]]&amp;Tabela1[[#This Row],[ID]]&amp;Tabela1[[#This Row],[MATRICULA]]&amp;"Cliente"&amp;Tabela1[[#This Row],[SETOR]],BD!A:AF,13,0),"")</f>
        <v/>
      </c>
      <c r="BX17" s="135" t="str">
        <f>IFERROR(VLOOKUP(Tabela1[[#This Row],[MÊS]]&amp;Tabela1[[#This Row],[ID]]&amp;Tabela1[[#This Row],[MATRICULA]]&amp;"cliente 2"&amp;Tabela1[[#This Row],[SETOR]],BD!A:AF,13,0),"")</f>
        <v/>
      </c>
      <c r="BY17" s="135" t="str">
        <f>IFERROR(VLOOKUP(Tabela1[[#This Row],[MÊS]]&amp;Tabela1[[#This Row],[ID]]&amp;Tabela1[[#This Row],[MATRICULA]]&amp;"cliente 3"&amp;Tabela1[[#This Row],[SETOR]],BD!A:AF,13,0),"")</f>
        <v/>
      </c>
      <c r="BZ17" s="135" t="str">
        <f>IFERROR(VLOOKUP(Tabela1[[#This Row],[MÊS]]&amp;Tabela1[[#This Row],[ID]]&amp;Tabela1[[#This Row],[MATRICULA]]&amp;"cliente 4"&amp;Tabela1[[#This Row],[SETOR]],BD!A:AF,13,0),"")</f>
        <v/>
      </c>
      <c r="CA17" s="135" t="str">
        <f>IFERROR(AVERAGE(Tabela1[[#This Row],[DCLI]:[DCLI 4]]),"")</f>
        <v/>
      </c>
      <c r="CB17" s="135" t="str">
        <f>IFERROR(VLOOKUP(Tabela1[[#This Row],[MÊS]]&amp;Tabela1[[#This Row],[ID]]&amp;Tabela1[[#This Row],[MATRICULA]]&amp;"Policia"&amp;Tabela1[[#This Row],[SETOR]],BD!A:AF,13,0),"")</f>
        <v/>
      </c>
      <c r="CC17" s="135" t="str">
        <f>IFERROR(VLOOKUP(Tabela1[[#This Row],[MÊS]]&amp;Tabela1[[#This Row],[ID]]&amp;Tabela1[[#This Row],[MATRICULA]]&amp;"Policia 2"&amp;Tabela1[[#This Row],[SETOR]],BD!A:AF,13,0),"")</f>
        <v/>
      </c>
      <c r="CD17" s="135"/>
      <c r="CE17" s="135"/>
      <c r="CF17" s="135" t="str">
        <f>IFERROR((AVERAGE(Tabela1[[#This Row],[DPOL1]:[DPOL4]])),"")</f>
        <v/>
      </c>
      <c r="CG17" s="21" t="str">
        <f>IFERROR(VLOOKUP(Tabela1[[#This Row],[ID]]&amp;Tabela1[[#This Row],[MÊS]]&amp;Tabela1[[#This Row],[MATRICULA]],#REF!,2,0),"")</f>
        <v/>
      </c>
      <c r="CH17" s="21" t="str">
        <f>IFERROR(VLOOKUP(Tabela1[[#This Row],[ID]]&amp;Tabela1[[#This Row],[MÊS]]&amp;Tabela1[[#This Row],[MATRICULA]],#REF!,2,0),"")</f>
        <v/>
      </c>
      <c r="CI17" s="21" t="str">
        <f>IFERROR(VLOOKUP(Tabela1[[#This Row],[MÊS]]&amp;Tabela1[[#This Row],[MATRICULA]],#REF!,2,0),"")</f>
        <v/>
      </c>
    </row>
    <row r="18" spans="1:87">
      <c r="A18" s="12" t="str">
        <f>Tabela1[[#This Row],[MÊS]]&amp;Tabela1[[#This Row],[MATRICULA]]&amp;Tabela1[[#This Row],[ID]]</f>
        <v>JAN42255</v>
      </c>
      <c r="B18" s="12" t="str">
        <f>Tabela1[[#This Row],[MÊS]]&amp;Tabela1[[#This Row],[ID]]&amp;Tabela1[[#This Row],[MATRICULA]]&amp;Tabela1[[#This Row],[SETOR]]</f>
        <v>JAN54225CHECKLIST</v>
      </c>
      <c r="C18" s="130" t="e">
        <f>VLOOKUP(Tabela1[[#This Row],[MATRICULA]],'BD Campos'!A:D,5,0)</f>
        <v>#REF!</v>
      </c>
      <c r="D18" s="133" t="str">
        <f ca="1">IFERROR(SUM(TODAY()-Tabela1[[#This Row],[ADMISSÃO]]),"")</f>
        <v/>
      </c>
      <c r="E18" s="11" t="str">
        <f ca="1">IFERROR(TRUNC(Tabela1[[#This Row],[TEMPO DE CASA (DIAS)]]/30),"")</f>
        <v/>
      </c>
      <c r="F18" s="32" t="str">
        <f ca="1">IFERROR(SUM(Tabela1[[#This Row],[TEMPO DE CASA (MESES)]]/12),"")</f>
        <v/>
      </c>
      <c r="G18" s="133" t="str">
        <f ca="1">IF(Tabela1[[#This Row],[TEMPO DE CASA (DIAS)]]="","SEM DADOS",IF(Tabela1[[#This Row],[TEMPO DE CASA (DIAS)]]&gt;180,"&gt; 6 MESES","&lt; 6 MESES"))</f>
        <v>SEM DADOS</v>
      </c>
      <c r="H18" s="12" t="str">
        <f t="shared" si="2"/>
        <v>JANCarlos Eduardo5</v>
      </c>
      <c r="I18" s="12" t="str">
        <f>IFERROR(VLOOKUP(Tabela1[[#This Row],[MATRICULA]],'BD Campos'!A:F,7,0),"")</f>
        <v/>
      </c>
      <c r="J18" s="11">
        <v>5</v>
      </c>
      <c r="K18" s="11" t="s">
        <v>669</v>
      </c>
      <c r="L18" s="136">
        <v>4225</v>
      </c>
      <c r="M18" s="12" t="str">
        <f>IFERROR(VLOOKUP(Tabela1[[#This Row],[MATRICULA]],'BD Campos'!A:B,2,0),"")</f>
        <v>LUCAS RODRIGUES SEGURA GIMENEZ ALMEIDA DA SILVA</v>
      </c>
      <c r="N18" s="20" t="str">
        <f>IFERROR(AVERAGE(Tabela1[[#This Row],[A1]:[A4]]),"")</f>
        <v/>
      </c>
      <c r="O18" s="20">
        <f>IFERROR(IF(Tabela1[[#This Row],[SETOR]]="RECEPTIVO","",AVERAGE(Tabela1[[#This Row],[A5]:[A6]])),"")</f>
        <v>10.000000000000004</v>
      </c>
      <c r="P18" s="20" t="str">
        <f>IFERROR(IF(Tabela1[[#This Row],[STATUS]]="INATIVO","INATIVO",IF(Tabela1[[#This Row],[STATUS]]="QRT","INATIVO",IF(Tabela1[[#This Row],[OPERACIONAL]]&gt;7.99999,"BOM","RUIM"))),"")</f>
        <v>BOM</v>
      </c>
      <c r="Q18" s="21" t="s">
        <v>667</v>
      </c>
      <c r="R18" s="12" t="s">
        <v>115</v>
      </c>
      <c r="S18" s="12" t="s">
        <v>671</v>
      </c>
      <c r="T18" s="12" t="s">
        <v>115</v>
      </c>
      <c r="U1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" s="12">
        <f>IF(AND(Tabela1[[#This Row],[SETOR]]="UTI",Tabela1[[#This Row],[M]]&lt;&gt;""),1,IF(AND(Tabela1[[#This Row],[SETOR]]="UTI (RJ)",Tabela1[[#This Row],[M]]&lt;&gt;""),1.5,0))</f>
        <v>0</v>
      </c>
      <c r="X18" s="12">
        <f>IF(AND(Tabela1[[#This Row],[SETOR]]="UTI",Tabela1[[#This Row],[PA2]]&lt;&gt;""),1,IF(AND(Tabela1[[#This Row],[SETOR]]="UTI (RJ)",Tabela1[[#This Row],[PA2]]&lt;&gt;""),0,0))</f>
        <v>0</v>
      </c>
      <c r="Y18" s="12">
        <f>IF(AND(Tabela1[[#This Row],[SETOR]]="UTI",Tabela1[[#This Row],[C]]&lt;&gt;""),1,IF(AND(Tabela1[[#This Row],[SETOR]]="UTI (RJ)",Tabela1[[#This Row],[C]]&lt;&gt;""),1.5,0))</f>
        <v>0</v>
      </c>
      <c r="Z18" s="12">
        <f>IF(AND(Tabela1[[#This Row],[SETOR]]="UTI",Tabela1[[#This Row],[PL]]&lt;&gt;""),1,IF(AND(Tabela1[[#This Row],[SETOR]]="UTI (RJ)",Tabela1[[#This Row],[PL]]&lt;&gt;""),1,0))</f>
        <v>0</v>
      </c>
      <c r="AA18" s="21" t="str">
        <f>IFERROR(VLOOKUP(Tabela1[[#This Row],[MÊS]]&amp;Tabela1[[#This Row],[MATRICULA]]&amp;"1"&amp;Tabela1[[#This Row],[SETOR]]&amp;"PADRÃO",BD!B:AF,31,0),"")</f>
        <v/>
      </c>
      <c r="AB18" s="21" t="str">
        <f>IFERROR(VLOOKUP(Tabela1[[#This Row],[MÊS]]&amp;Tabela1[[#This Row],[MATRICULA]]&amp;"2"&amp;Tabela1[[#This Row],[SETOR]]&amp;"PADRÃO",BD!B:AF,31,0),"")</f>
        <v/>
      </c>
      <c r="AC18" s="21" t="str">
        <f>IFERROR(VLOOKUP(Tabela1[[#This Row],[MÊS]]&amp;Tabela1[[#This Row],[MATRICULA]]&amp;"3"&amp;Tabela1[[#This Row],[SETOR]]&amp;"PADRÃO",BD!B:AF,31,0),"")</f>
        <v/>
      </c>
      <c r="AD18" s="21" t="str">
        <f>IFERROR(VLOOKUP(Tabela1[[#This Row],[MÊS]]&amp;Tabela1[[#This Row],[MATRICULA]]&amp;"4"&amp;Tabela1[[#This Row],[SETOR]]&amp;"PADRÃO",BD!B:AF,25,0),"")</f>
        <v/>
      </c>
      <c r="AE18" s="21">
        <f>IFERROR(VLOOKUP(Tabela1[[#This Row],[MÊS]]&amp;Tabela1[[#This Row],[MATRICULA]]&amp;"5"&amp;Tabela1[[#This Row],[SETOR]]&amp;"PADRÃO",BD!B:AF,31,0),"")</f>
        <v>10.000000000000004</v>
      </c>
      <c r="AF18" s="21">
        <f>IFERROR(VLOOKUP(Tabela1[[#This Row],[MÊS]]&amp;Tabela1[[#This Row],[MATRICULA]]&amp;"6"&amp;Tabela1[[#This Row],[SETOR]]&amp;"PADRÃO",BD!B:AF,31,0),"")</f>
        <v>10.000000000000004</v>
      </c>
      <c r="AG18" s="21" t="str">
        <f>IFERROR(VLOOKUP(Tabela1[[#This Row],[MÊS]]&amp;Tabela1[[#This Row],[MATRICULA]]&amp;"7"&amp;Tabela1[[#This Row],[SETOR]]&amp;"PADRÃO",BD!B:AF,31,0),"")</f>
        <v/>
      </c>
      <c r="AH18" s="21" t="str">
        <f>IFERROR(VLOOKUP(Tabela1[[#This Row],[MÊS]]&amp;Tabela1[[#This Row],[ID]]&amp;Tabela1[[#This Row],[MATRICULA]]&amp;"Receptiva"&amp;Tabela1[[#This Row],[SETOR]],BD!A:AF,31,0),"")</f>
        <v/>
      </c>
      <c r="AI18" s="21" t="str">
        <f>IFERROR(VLOOKUP(Tabela1[[#This Row],[MÊS]]&amp;Tabela1[[#This Row],[ID]]&amp;Tabela1[[#This Row],[MATRICULA]]&amp;"Receptiva 2"&amp;Tabela1[[#This Row],[SETOR]],BD!A:AF,31,0),"")</f>
        <v/>
      </c>
      <c r="AJ18" s="21" t="str">
        <f>IFERROR(VLOOKUP(Tabela1[[#This Row],[MÊS]]&amp;Tabela1[[#This Row],[ID]]&amp;Tabela1[[#This Row],[MATRICULA]]&amp;"Receptiva 3"&amp;Tabela1[[#This Row],[SETOR]],BD!A:AF,31,0),"")</f>
        <v/>
      </c>
      <c r="AK18" s="21" t="str">
        <f>IFERROR(VLOOKUP(Tabela1[[#This Row],[MÊS]]&amp;Tabela1[[#This Row],[ID]]&amp;Tabela1[[#This Row],[MATRICULA]]&amp;"Receptiva 4"&amp;Tabela1[[#This Row],[SETOR]],BD!A:AF,31,0),"")</f>
        <v/>
      </c>
      <c r="AL18" s="21" t="str">
        <f>IFERROR(VLOOKUP(Tabela1[[#This Row],[MÊS]]&amp;Tabela1[[#This Row],[MATRICULA]]&amp;"Motorista"&amp;Tabela1[[#This Row],[SETOR]],BD!A:AF,31,0),"")</f>
        <v/>
      </c>
      <c r="AM18" s="21" t="str">
        <f>IFERROR(VLOOKUP(Tabela1[[#This Row],[MÊS]]&amp;Tabela1[[#This Row],[ID]]&amp;Tabela1[[#This Row],[MATRICULA]]&amp;"Motorista 2"&amp;Tabela1[[#This Row],[SETOR]],BD!A:AF,26,0),"")</f>
        <v/>
      </c>
      <c r="AN18" s="21" t="str">
        <f>IFERROR(VLOOKUP(Tabela1[[#This Row],[MÊS]]&amp;Tabela1[[#This Row],[ID]]&amp;Tabela1[[#This Row],[MATRICULA]]&amp;"Motorista 3"&amp;Tabela1[[#This Row],[SETOR]],BD!A:AF,26,0),"")</f>
        <v/>
      </c>
      <c r="AO18" s="21" t="str">
        <f>IFERROR(VLOOKUP(Tabela1[[#This Row],[MÊS]]&amp;Tabela1[[#This Row],[ID]]&amp;Tabela1[[#This Row],[MATRICULA]]&amp;"Motorista 4"&amp;Tabela1[[#This Row],[SETOR]],BD!A:AF,26,0),"")</f>
        <v/>
      </c>
      <c r="AP18" s="21" t="str">
        <f>IFERROR(VLOOKUP(Tabela1[[#This Row],[MÊS]]&amp;Tabela1[[#This Row],[MATRICULA]]&amp;"Ponto de Apoio"&amp;Tabela1[[#This Row],[SETOR]],BD!A:AF,31,0),"")</f>
        <v/>
      </c>
      <c r="AQ18" s="21" t="str">
        <f>IFERROR(VLOOKUP(Tabela1[[#This Row],[MÊS]]&amp;Tabela1[[#This Row],[ID]]&amp;Tabela1[[#This Row],[MATRICULA]]&amp;"Ponto de Apoio 2"&amp;Tabela1[[#This Row],[SETOR]],BD!A:AF,26,0),"")</f>
        <v/>
      </c>
      <c r="AR18" s="36" t="str">
        <f>IFERROR(VLOOKUP(Tabela1[[#This Row],[MÊS]]&amp;Tabela1[[#This Row],[ID]]&amp;Tabela1[[#This Row],[MATRICULA]]&amp;"Ponto de Apoio 3"&amp;Tabela1[[#This Row],[SETOR]],BD!A:AF,26,0),"")</f>
        <v/>
      </c>
      <c r="AS18" s="36" t="str">
        <f>IFERROR(VLOOKUP(Tabela1[[#This Row],[MÊS]]&amp;Tabela1[[#This Row],[ID]]&amp;Tabela1[[#This Row],[MATRICULA]]&amp;"Ponto de Apoio 4"&amp;Tabela1[[#This Row],[SETOR]],BD!A:AF,26,0),"")</f>
        <v/>
      </c>
      <c r="AT18" s="21" t="str">
        <f>IFERROR(VLOOKUP(Tabela1[[#This Row],[MÊS]]&amp;Tabela1[[#This Row],[MATRICULA]]&amp;"Cliente"&amp;Tabela1[[#This Row],[SETOR]],BD!A:AF,31,0),"")</f>
        <v/>
      </c>
      <c r="AU18" s="21" t="str">
        <f>IFERROR(VLOOKUP(Tabela1[[#This Row],[MÊS]]&amp;Tabela1[[#This Row],[ID]]&amp;Tabela1[[#This Row],[MATRICULA]]&amp;"Cliente 2"&amp;Tabela1[[#This Row],[SETOR]],BD!A:AF,26,0),"")</f>
        <v/>
      </c>
      <c r="AX18" s="21" t="str">
        <f>IFERROR(VLOOKUP(Tabela1[[#This Row],[MÊS]]&amp;Tabela1[[#This Row],[MATRICULA]]&amp;"Policia"&amp;Tabela1[[#This Row],[SETOR]],BD!A:AF,31,0),"")</f>
        <v/>
      </c>
      <c r="AY18" s="21" t="str">
        <f>IFERROR(VLOOKUP(Tabela1[[#This Row],[MÊS]]&amp;Tabela1[[#This Row],[ID]]&amp;Tabela1[[#This Row],[MATRICULA]]&amp;"Policia 2"&amp;Tabela1[[#This Row],[SETOR]],BD!A:AF,26,0),"")</f>
        <v/>
      </c>
      <c r="AZ18" s="36" t="str">
        <f>IFERROR(VLOOKUP(Tabela1[[#This Row],[MÊS]]&amp;Tabela1[[#This Row],[ID]]&amp;Tabela1[[#This Row],[MATRICULA]]&amp;"Policia 3"&amp;Tabela1[[#This Row],[SETOR]],BD!A:AF,26,0),"")</f>
        <v/>
      </c>
      <c r="BA18" s="36" t="str">
        <f>IFERROR(VLOOKUP(Tabela1[[#This Row],[MÊS]]&amp;Tabela1[[#This Row],[ID]]&amp;Tabela1[[#This Row],[MATRICULA]]&amp;"Policia 4"&amp;Tabela1[[#This Row],[SETOR]],BD!A:AF,26,0),"")</f>
        <v/>
      </c>
      <c r="BB1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" s="21" t="str">
        <f>IFERROR(AVERAGE(Tabela1[[#This Row],[M]:[M4]]),"")</f>
        <v/>
      </c>
      <c r="BD18" s="21" t="str">
        <f>IFERROR(AVERAGE(Tabela1[[#This Row],[C]:[C4]]),"")</f>
        <v/>
      </c>
      <c r="BE18" s="21" t="str">
        <f>IFERROR(AVERAGE(Tabela1[[#This Row],[PA2]:[PA 4]]),"")</f>
        <v/>
      </c>
      <c r="BF18" s="21" t="str">
        <f>IFERROR(AVERAGE(Tabela1[[#This Row],[PL]:[PL4]]),"")</f>
        <v/>
      </c>
      <c r="BG18" s="35" t="str">
        <f>IFERROR(VLOOKUP(Tabela1[[#This Row],[MÊS]]&amp;Tabela1[[#This Row],[MATRICULA]],#REF!,2,0),"")</f>
        <v/>
      </c>
      <c r="BH18" s="35" t="str">
        <f>IFERROR(VLOOKUP(Tabela1[[#This Row],[MÊS]]&amp;Tabela1[[#This Row],[MATRICULA]],#REF!,2,0),"")</f>
        <v/>
      </c>
      <c r="BI18" s="35" t="str">
        <f>IFERROR(VLOOKUP(Tabela1[[#This Row],[MÊS]]&amp;Tabela1[[#This Row],[MATRICULA]],#REF!,2,0),"")</f>
        <v/>
      </c>
      <c r="BJ18" s="35" t="str">
        <f>IFERROR(VLOOKUP(Tabela1[[#This Row],[MÊS]]&amp;Tabela1[[#This Row],[MATRICULA]],#REF!,2,0),"")</f>
        <v/>
      </c>
      <c r="BK18" s="35" t="str">
        <f>IFERROR(VLOOKUP(Tabela1[[#This Row],[MÊS]]&amp;Tabela1[[#This Row],[MATRICULA]],#REF!,2,0),"")</f>
        <v/>
      </c>
      <c r="BL18" s="21">
        <f>COUNTIF(Tabela1[[#This Row],[MOT2]:[RECEPTIVA]],"NÃO ENCONTRADA")</f>
        <v>0</v>
      </c>
      <c r="BM18" s="135" t="str">
        <f>IFERROR(VLOOKUP(Tabela1[[#This Row],[MÊS]]&amp;Tabela1[[#This Row],[ID]]&amp;Tabela1[[#This Row],[MATRICULA]]&amp;"Motorista"&amp;Tabela1[[#This Row],[SETOR]],BD!A:AF,13,0),"")</f>
        <v/>
      </c>
      <c r="BN18" s="135" t="str">
        <f>IFERROR(VLOOKUP(Tabela1[[#This Row],[MÊS]]&amp;Tabela1[[#This Row],[ID]]&amp;Tabela1[[#This Row],[MATRICULA]]&amp;"Motorista 2"&amp;Tabela1[[#This Row],[SETOR]],BD!A:AF,13,0),"")</f>
        <v/>
      </c>
      <c r="BO18" s="135" t="str">
        <f>IFERROR(VLOOKUP(Tabela1[[#This Row],[MÊS]]&amp;Tabela1[[#This Row],[ID]]&amp;Tabela1[[#This Row],[MATRICULA]]&amp;"Motorista 3"&amp;Tabela1[[#This Row],[SETOR]],BD!A:AF,13,0),"")</f>
        <v/>
      </c>
      <c r="BP18" s="135" t="str">
        <f>IFERROR(VLOOKUP(Tabela1[[#This Row],[MÊS]]&amp;Tabela1[[#This Row],[ID]]&amp;Tabela1[[#This Row],[MATRICULA]]&amp;"Motorista 4"&amp;Tabela1[[#This Row],[SETOR]],BD!A:AF,13,0),"")</f>
        <v/>
      </c>
      <c r="BQ18" s="135" t="str">
        <f>IFERROR(AVERAGE(Tabela1[[#This Row],[DMOT]:[DMOT4]]),"")</f>
        <v/>
      </c>
      <c r="BR18" s="135" t="str">
        <f>IFERROR(VLOOKUP(Tabela1[[#This Row],[MÊS]]&amp;Tabela1[[#This Row],[ID]]&amp;Tabela1[[#This Row],[MATRICULA]]&amp;"Ponto de Apoio"&amp;Tabela1[[#This Row],[SETOR]],BD!A:AF,13,0),"")</f>
        <v/>
      </c>
      <c r="BS18" s="135" t="str">
        <f>IFERROR(VLOOKUP(Tabela1[[#This Row],[MÊS]]&amp;Tabela1[[#This Row],[ID]]&amp;Tabela1[[#This Row],[MATRICULA]]&amp;"Ponto de Apoio 2"&amp;Tabela1[[#This Row],[SETOR]],BD!A:AF,13,0),"")</f>
        <v/>
      </c>
      <c r="BT18" s="135" t="str">
        <f>IFERROR(VLOOKUP(Tabela1[[#This Row],[MÊS]]&amp;Tabela1[[#This Row],[ID]]&amp;Tabela1[[#This Row],[MATRICULA]]&amp;"Ponto de Apoio 3"&amp;Tabela1[[#This Row],[SETOR]],BD!A:AF,13,0),"")</f>
        <v/>
      </c>
      <c r="BU18" s="135" t="str">
        <f>IFERROR(VLOOKUP(Tabela1[[#This Row],[MÊS]]&amp;Tabela1[[#This Row],[ID]]&amp;Tabela1[[#This Row],[MATRICULA]]&amp;"Ponto de Apoio 4"&amp;Tabela1[[#This Row],[SETOR]],BD!A:AF,13,0),"")</f>
        <v/>
      </c>
      <c r="BV18" s="135" t="str">
        <f>IFERROR(AVERAGE(Tabela1[[#This Row],[DPA]:[DPA 4]]),"")</f>
        <v/>
      </c>
      <c r="BW18" s="135" t="str">
        <f>IFERROR(VLOOKUP(Tabela1[[#This Row],[MÊS]]&amp;Tabela1[[#This Row],[ID]]&amp;Tabela1[[#This Row],[MATRICULA]]&amp;"Cliente"&amp;Tabela1[[#This Row],[SETOR]],BD!A:AF,13,0),"")</f>
        <v/>
      </c>
      <c r="BX18" s="135" t="str">
        <f>IFERROR(VLOOKUP(Tabela1[[#This Row],[MÊS]]&amp;Tabela1[[#This Row],[ID]]&amp;Tabela1[[#This Row],[MATRICULA]]&amp;"cliente 2"&amp;Tabela1[[#This Row],[SETOR]],BD!A:AF,13,0),"")</f>
        <v/>
      </c>
      <c r="BY18" s="135" t="str">
        <f>IFERROR(VLOOKUP(Tabela1[[#This Row],[MÊS]]&amp;Tabela1[[#This Row],[ID]]&amp;Tabela1[[#This Row],[MATRICULA]]&amp;"cliente 3"&amp;Tabela1[[#This Row],[SETOR]],BD!A:AF,13,0),"")</f>
        <v/>
      </c>
      <c r="BZ18" s="135" t="str">
        <f>IFERROR(VLOOKUP(Tabela1[[#This Row],[MÊS]]&amp;Tabela1[[#This Row],[ID]]&amp;Tabela1[[#This Row],[MATRICULA]]&amp;"cliente 4"&amp;Tabela1[[#This Row],[SETOR]],BD!A:AF,13,0),"")</f>
        <v/>
      </c>
      <c r="CA18" s="135" t="str">
        <f>IFERROR(AVERAGE(Tabela1[[#This Row],[DCLI]:[DCLI 4]]),"")</f>
        <v/>
      </c>
      <c r="CB18" s="135" t="str">
        <f>IFERROR(VLOOKUP(Tabela1[[#This Row],[MÊS]]&amp;Tabela1[[#This Row],[ID]]&amp;Tabela1[[#This Row],[MATRICULA]]&amp;"Policia"&amp;Tabela1[[#This Row],[SETOR]],BD!A:AF,13,0),"")</f>
        <v/>
      </c>
      <c r="CC18" s="135" t="str">
        <f>IFERROR(VLOOKUP(Tabela1[[#This Row],[MÊS]]&amp;Tabela1[[#This Row],[ID]]&amp;Tabela1[[#This Row],[MATRICULA]]&amp;"Policia 2"&amp;Tabela1[[#This Row],[SETOR]],BD!A:AF,13,0),"")</f>
        <v/>
      </c>
      <c r="CD18" s="135"/>
      <c r="CE18" s="135"/>
      <c r="CF18" s="135" t="str">
        <f>IFERROR((AVERAGE(Tabela1[[#This Row],[DPOL1]:[DPOL4]])),"")</f>
        <v/>
      </c>
      <c r="CG18" s="21" t="str">
        <f>IFERROR(VLOOKUP(Tabela1[[#This Row],[ID]]&amp;Tabela1[[#This Row],[MÊS]]&amp;Tabela1[[#This Row],[MATRICULA]],#REF!,2,0),"")</f>
        <v/>
      </c>
      <c r="CH18" s="21" t="str">
        <f>IFERROR(VLOOKUP(Tabela1[[#This Row],[ID]]&amp;Tabela1[[#This Row],[MÊS]]&amp;Tabela1[[#This Row],[MATRICULA]],#REF!,2,0),"")</f>
        <v/>
      </c>
      <c r="CI18" s="21" t="str">
        <f>IFERROR(VLOOKUP(Tabela1[[#This Row],[MÊS]]&amp;Tabela1[[#This Row],[MATRICULA]],#REF!,2,0),"")</f>
        <v/>
      </c>
    </row>
    <row r="19" spans="1:87">
      <c r="A19" s="12" t="str">
        <f>Tabela1[[#This Row],[MÊS]]&amp;Tabela1[[#This Row],[MATRICULA]]&amp;Tabela1[[#This Row],[ID]]</f>
        <v>JAN114356</v>
      </c>
      <c r="B19" s="12" t="str">
        <f>Tabela1[[#This Row],[MÊS]]&amp;Tabela1[[#This Row],[ID]]&amp;Tabela1[[#This Row],[MATRICULA]]&amp;Tabela1[[#This Row],[SETOR]]</f>
        <v>JAN611435RECEPTIVO</v>
      </c>
      <c r="C19" s="130" t="e">
        <f>VLOOKUP(Tabela1[[#This Row],[MATRICULA]],'BD Campos'!A:D,5,0)</f>
        <v>#REF!</v>
      </c>
      <c r="D19" s="133" t="str">
        <f ca="1">IFERROR(SUM(TODAY()-Tabela1[[#This Row],[ADMISSÃO]]),"")</f>
        <v/>
      </c>
      <c r="E19" s="11" t="str">
        <f ca="1">IFERROR(TRUNC(Tabela1[[#This Row],[TEMPO DE CASA (DIAS)]]/30),"")</f>
        <v/>
      </c>
      <c r="F19" s="32" t="str">
        <f ca="1">IFERROR(SUM(Tabela1[[#This Row],[TEMPO DE CASA (MESES)]]/12),"")</f>
        <v/>
      </c>
      <c r="G19" s="133" t="str">
        <f ca="1">IF(Tabela1[[#This Row],[TEMPO DE CASA (DIAS)]]="","SEM DADOS",IF(Tabela1[[#This Row],[TEMPO DE CASA (DIAS)]]&gt;180,"&gt; 6 MESES","&lt; 6 MESES"))</f>
        <v>SEM DADOS</v>
      </c>
      <c r="H19" s="12" t="str">
        <f>K19&amp;S19&amp;J19</f>
        <v>JANCarlos Eduardo6</v>
      </c>
      <c r="I19" s="12" t="str">
        <f>IFERROR(VLOOKUP(Tabela1[[#This Row],[MATRICULA]],'BD Campos'!A:F,7,0),"")</f>
        <v/>
      </c>
      <c r="J19" s="11">
        <v>6</v>
      </c>
      <c r="K19" s="11" t="s">
        <v>669</v>
      </c>
      <c r="L19" s="136">
        <v>11435</v>
      </c>
      <c r="M19" s="12" t="str">
        <f>IFERROR(VLOOKUP(Tabela1[[#This Row],[MATRICULA]],'BD Campos'!A:B,2,0),"")</f>
        <v>GUSTAVO ANTONIO DA COSTA PEREIRA</v>
      </c>
      <c r="N19" s="20">
        <f>IFERROR(AVERAGE(Tabela1[[#This Row],[A1]:[A4]]),"")</f>
        <v>10.000000000000002</v>
      </c>
      <c r="O19" s="20" t="str">
        <f>IFERROR(IF(Tabela1[[#This Row],[SETOR]]="RECEPTIVO","",AVERAGE(Tabela1[[#This Row],[A5]:[A6]])),"")</f>
        <v/>
      </c>
      <c r="P19" s="20" t="str">
        <f>IFERROR(IF(Tabela1[[#This Row],[STATUS]]="INATIVO","INATIVO",IF(Tabela1[[#This Row],[STATUS]]="QRT","INATIVO",IF(Tabela1[[#This Row],[OPERACIONAL]]&gt;7.99999,"BOM","RUIM"))),"")</f>
        <v>BOM</v>
      </c>
      <c r="Q19" s="21" t="s">
        <v>667</v>
      </c>
      <c r="R19" s="12" t="s">
        <v>672</v>
      </c>
      <c r="S19" s="12" t="s">
        <v>671</v>
      </c>
      <c r="T19" s="12" t="s">
        <v>156</v>
      </c>
      <c r="U1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" s="12">
        <f>IF(AND(Tabela1[[#This Row],[SETOR]]="UTI",Tabela1[[#This Row],[M]]&lt;&gt;""),1,IF(AND(Tabela1[[#This Row],[SETOR]]="UTI (RJ)",Tabela1[[#This Row],[M]]&lt;&gt;""),1.5,0))</f>
        <v>0</v>
      </c>
      <c r="X19" s="12">
        <f>IF(AND(Tabela1[[#This Row],[SETOR]]="UTI",Tabela1[[#This Row],[PA2]]&lt;&gt;""),1,IF(AND(Tabela1[[#This Row],[SETOR]]="UTI (RJ)",Tabela1[[#This Row],[PA2]]&lt;&gt;""),0,0))</f>
        <v>0</v>
      </c>
      <c r="Y19" s="12">
        <f>IF(AND(Tabela1[[#This Row],[SETOR]]="UTI",Tabela1[[#This Row],[C]]&lt;&gt;""),1,IF(AND(Tabela1[[#This Row],[SETOR]]="UTI (RJ)",Tabela1[[#This Row],[C]]&lt;&gt;""),1.5,0))</f>
        <v>0</v>
      </c>
      <c r="Z19" s="12">
        <f>IF(AND(Tabela1[[#This Row],[SETOR]]="UTI",Tabela1[[#This Row],[PL]]&lt;&gt;""),1,IF(AND(Tabela1[[#This Row],[SETOR]]="UTI (RJ)",Tabela1[[#This Row],[PL]]&lt;&gt;""),1,0))</f>
        <v>0</v>
      </c>
      <c r="AA19" s="21">
        <f>IFERROR(VLOOKUP(Tabela1[[#This Row],[MÊS]]&amp;Tabela1[[#This Row],[MATRICULA]]&amp;"1"&amp;Tabela1[[#This Row],[SETOR]]&amp;"PADRÃO",BD!B:AF,31,0),"")</f>
        <v>10.000000000000002</v>
      </c>
      <c r="AB19" s="21">
        <f>IFERROR(VLOOKUP(Tabela1[[#This Row],[MÊS]]&amp;Tabela1[[#This Row],[MATRICULA]]&amp;"2"&amp;Tabela1[[#This Row],[SETOR]]&amp;"PADRÃO",BD!B:AF,31,0),"")</f>
        <v>10.000000000000002</v>
      </c>
      <c r="AC19" s="21" t="str">
        <f>IFERROR(VLOOKUP(Tabela1[[#This Row],[MÊS]]&amp;Tabela1[[#This Row],[MATRICULA]]&amp;"3"&amp;Tabela1[[#This Row],[SETOR]]&amp;"PADRÃO",BD!B:AF,31,0),"")</f>
        <v/>
      </c>
      <c r="AD19" s="21" t="str">
        <f>IFERROR(VLOOKUP(Tabela1[[#This Row],[MÊS]]&amp;Tabela1[[#This Row],[MATRICULA]]&amp;"4"&amp;Tabela1[[#This Row],[SETOR]]&amp;"PADRÃO",BD!B:AF,25,0),"")</f>
        <v/>
      </c>
      <c r="AE19" s="21" t="str">
        <f>IFERROR(VLOOKUP(Tabela1[[#This Row],[MÊS]]&amp;Tabela1[[#This Row],[MATRICULA]]&amp;"5"&amp;Tabela1[[#This Row],[SETOR]]&amp;"PADRÃO",BD!B:AF,31,0),"")</f>
        <v/>
      </c>
      <c r="AF19" s="21" t="str">
        <f>IFERROR(VLOOKUP(Tabela1[[#This Row],[MÊS]]&amp;Tabela1[[#This Row],[MATRICULA]]&amp;"6"&amp;Tabela1[[#This Row],[SETOR]]&amp;"PADRÃO",BD!B:AF,31,0),"")</f>
        <v/>
      </c>
      <c r="AG19" s="21" t="str">
        <f>IFERROR(VLOOKUP(Tabela1[[#This Row],[MÊS]]&amp;Tabela1[[#This Row],[MATRICULA]]&amp;"7"&amp;Tabela1[[#This Row],[SETOR]]&amp;"PADRÃO",BD!B:AF,31,0),"")</f>
        <v/>
      </c>
      <c r="AH19" s="21" t="str">
        <f>IFERROR(VLOOKUP(Tabela1[[#This Row],[MÊS]]&amp;Tabela1[[#This Row],[ID]]&amp;Tabela1[[#This Row],[MATRICULA]]&amp;"Receptiva"&amp;Tabela1[[#This Row],[SETOR]],BD!A:AF,31,0),"")</f>
        <v/>
      </c>
      <c r="AI19" s="21" t="str">
        <f>IFERROR(VLOOKUP(Tabela1[[#This Row],[MÊS]]&amp;Tabela1[[#This Row],[ID]]&amp;Tabela1[[#This Row],[MATRICULA]]&amp;"Receptiva 2"&amp;Tabela1[[#This Row],[SETOR]],BD!A:AF,31,0),"")</f>
        <v/>
      </c>
      <c r="AJ19" s="21" t="str">
        <f>IFERROR(VLOOKUP(Tabela1[[#This Row],[MÊS]]&amp;Tabela1[[#This Row],[ID]]&amp;Tabela1[[#This Row],[MATRICULA]]&amp;"Receptiva 3"&amp;Tabela1[[#This Row],[SETOR]],BD!A:AF,31,0),"")</f>
        <v/>
      </c>
      <c r="AK19" s="21" t="str">
        <f>IFERROR(VLOOKUP(Tabela1[[#This Row],[MÊS]]&amp;Tabela1[[#This Row],[ID]]&amp;Tabela1[[#This Row],[MATRICULA]]&amp;"Receptiva 4"&amp;Tabela1[[#This Row],[SETOR]],BD!A:AF,31,0),"")</f>
        <v/>
      </c>
      <c r="AL19" s="21" t="str">
        <f>IFERROR(VLOOKUP(Tabela1[[#This Row],[MÊS]]&amp;Tabela1[[#This Row],[MATRICULA]]&amp;"Motorista"&amp;Tabela1[[#This Row],[SETOR]],BD!A:AF,31,0),"")</f>
        <v/>
      </c>
      <c r="AM19" s="21" t="str">
        <f>IFERROR(VLOOKUP(Tabela1[[#This Row],[MÊS]]&amp;Tabela1[[#This Row],[ID]]&amp;Tabela1[[#This Row],[MATRICULA]]&amp;"Motorista 2"&amp;Tabela1[[#This Row],[SETOR]],BD!A:AF,26,0),"")</f>
        <v/>
      </c>
      <c r="AN19" s="21" t="str">
        <f>IFERROR(VLOOKUP(Tabela1[[#This Row],[MÊS]]&amp;Tabela1[[#This Row],[ID]]&amp;Tabela1[[#This Row],[MATRICULA]]&amp;"Motorista 3"&amp;Tabela1[[#This Row],[SETOR]],BD!A:AF,26,0),"")</f>
        <v/>
      </c>
      <c r="AO19" s="21" t="str">
        <f>IFERROR(VLOOKUP(Tabela1[[#This Row],[MÊS]]&amp;Tabela1[[#This Row],[ID]]&amp;Tabela1[[#This Row],[MATRICULA]]&amp;"Motorista 4"&amp;Tabela1[[#This Row],[SETOR]],BD!A:AF,26,0),"")</f>
        <v/>
      </c>
      <c r="AP19" s="21" t="str">
        <f>IFERROR(VLOOKUP(Tabela1[[#This Row],[MÊS]]&amp;Tabela1[[#This Row],[MATRICULA]]&amp;"Ponto de Apoio"&amp;Tabela1[[#This Row],[SETOR]],BD!A:AF,31,0),"")</f>
        <v/>
      </c>
      <c r="AQ19" s="21" t="str">
        <f>IFERROR(VLOOKUP(Tabela1[[#This Row],[MÊS]]&amp;Tabela1[[#This Row],[ID]]&amp;Tabela1[[#This Row],[MATRICULA]]&amp;"Ponto de Apoio 2"&amp;Tabela1[[#This Row],[SETOR]],BD!A:AF,26,0),"")</f>
        <v/>
      </c>
      <c r="AR19" s="36" t="str">
        <f>IFERROR(VLOOKUP(Tabela1[[#This Row],[MÊS]]&amp;Tabela1[[#This Row],[ID]]&amp;Tabela1[[#This Row],[MATRICULA]]&amp;"Ponto de Apoio 3"&amp;Tabela1[[#This Row],[SETOR]],BD!A:AF,26,0),"")</f>
        <v/>
      </c>
      <c r="AS19" s="36" t="str">
        <f>IFERROR(VLOOKUP(Tabela1[[#This Row],[MÊS]]&amp;Tabela1[[#This Row],[ID]]&amp;Tabela1[[#This Row],[MATRICULA]]&amp;"Ponto de Apoio 4"&amp;Tabela1[[#This Row],[SETOR]],BD!A:AF,26,0),"")</f>
        <v/>
      </c>
      <c r="AT19" s="21" t="str">
        <f>IFERROR(VLOOKUP(Tabela1[[#This Row],[MÊS]]&amp;Tabela1[[#This Row],[MATRICULA]]&amp;"Cliente"&amp;Tabela1[[#This Row],[SETOR]],BD!A:AF,31,0),"")</f>
        <v/>
      </c>
      <c r="AU19" s="21" t="str">
        <f>IFERROR(VLOOKUP(Tabela1[[#This Row],[MÊS]]&amp;Tabela1[[#This Row],[ID]]&amp;Tabela1[[#This Row],[MATRICULA]]&amp;"Cliente 2"&amp;Tabela1[[#This Row],[SETOR]],BD!A:AF,26,0),"")</f>
        <v/>
      </c>
      <c r="AX19" s="21" t="str">
        <f>IFERROR(VLOOKUP(Tabela1[[#This Row],[MÊS]]&amp;Tabela1[[#This Row],[MATRICULA]]&amp;"Policia"&amp;Tabela1[[#This Row],[SETOR]],BD!A:AF,31,0),"")</f>
        <v/>
      </c>
      <c r="AY19" s="21" t="str">
        <f>IFERROR(VLOOKUP(Tabela1[[#This Row],[MÊS]]&amp;Tabela1[[#This Row],[ID]]&amp;Tabela1[[#This Row],[MATRICULA]]&amp;"Policia 2"&amp;Tabela1[[#This Row],[SETOR]],BD!A:AF,26,0),"")</f>
        <v/>
      </c>
      <c r="AZ19" s="36" t="str">
        <f>IFERROR(VLOOKUP(Tabela1[[#This Row],[MÊS]]&amp;Tabela1[[#This Row],[ID]]&amp;Tabela1[[#This Row],[MATRICULA]]&amp;"Policia 3"&amp;Tabela1[[#This Row],[SETOR]],BD!A:AF,26,0),"")</f>
        <v/>
      </c>
      <c r="BA19" s="36" t="str">
        <f>IFERROR(VLOOKUP(Tabela1[[#This Row],[MÊS]]&amp;Tabela1[[#This Row],[ID]]&amp;Tabela1[[#This Row],[MATRICULA]]&amp;"Policia 4"&amp;Tabela1[[#This Row],[SETOR]],BD!A:AF,26,0),"")</f>
        <v/>
      </c>
      <c r="BB1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" s="21" t="str">
        <f>IFERROR(AVERAGE(Tabela1[[#This Row],[M]:[M4]]),"")</f>
        <v/>
      </c>
      <c r="BD19" s="21" t="str">
        <f>IFERROR(AVERAGE(Tabela1[[#This Row],[C]:[C4]]),"")</f>
        <v/>
      </c>
      <c r="BE19" s="21" t="str">
        <f>IFERROR(AVERAGE(Tabela1[[#This Row],[PA2]:[PA 4]]),"")</f>
        <v/>
      </c>
      <c r="BF19" s="21" t="str">
        <f>IFERROR(AVERAGE(Tabela1[[#This Row],[PL]:[PL4]]),"")</f>
        <v/>
      </c>
      <c r="BG19" s="35" t="str">
        <f>IFERROR(VLOOKUP(Tabela1[[#This Row],[MÊS]]&amp;Tabela1[[#This Row],[MATRICULA]],#REF!,2,0),"")</f>
        <v/>
      </c>
      <c r="BH19" s="35" t="str">
        <f>IFERROR(VLOOKUP(Tabela1[[#This Row],[MÊS]]&amp;Tabela1[[#This Row],[MATRICULA]],#REF!,2,0),"")</f>
        <v/>
      </c>
      <c r="BI19" s="35" t="str">
        <f>IFERROR(VLOOKUP(Tabela1[[#This Row],[MÊS]]&amp;Tabela1[[#This Row],[MATRICULA]],#REF!,2,0),"")</f>
        <v/>
      </c>
      <c r="BJ19" s="35" t="str">
        <f>IFERROR(VLOOKUP(Tabela1[[#This Row],[MÊS]]&amp;Tabela1[[#This Row],[MATRICULA]],#REF!,2,0),"")</f>
        <v/>
      </c>
      <c r="BK19" s="35" t="str">
        <f>IFERROR(VLOOKUP(Tabela1[[#This Row],[MÊS]]&amp;Tabela1[[#This Row],[MATRICULA]],#REF!,2,0),"")</f>
        <v/>
      </c>
      <c r="BL19" s="21">
        <f>COUNTIF(Tabela1[[#This Row],[MOT2]:[RECEPTIVA]],"NÃO ENCONTRADA")</f>
        <v>0</v>
      </c>
      <c r="BM19" s="135" t="str">
        <f>IFERROR(VLOOKUP(Tabela1[[#This Row],[MÊS]]&amp;Tabela1[[#This Row],[ID]]&amp;Tabela1[[#This Row],[MATRICULA]]&amp;"Motorista"&amp;Tabela1[[#This Row],[SETOR]],BD!A:AF,13,0),"")</f>
        <v/>
      </c>
      <c r="BN19" s="135" t="str">
        <f>IFERROR(VLOOKUP(Tabela1[[#This Row],[MÊS]]&amp;Tabela1[[#This Row],[ID]]&amp;Tabela1[[#This Row],[MATRICULA]]&amp;"Motorista 2"&amp;Tabela1[[#This Row],[SETOR]],BD!A:AF,13,0),"")</f>
        <v/>
      </c>
      <c r="BO19" s="135" t="str">
        <f>IFERROR(VLOOKUP(Tabela1[[#This Row],[MÊS]]&amp;Tabela1[[#This Row],[ID]]&amp;Tabela1[[#This Row],[MATRICULA]]&amp;"Motorista 3"&amp;Tabela1[[#This Row],[SETOR]],BD!A:AF,13,0),"")</f>
        <v/>
      </c>
      <c r="BP19" s="135" t="str">
        <f>IFERROR(VLOOKUP(Tabela1[[#This Row],[MÊS]]&amp;Tabela1[[#This Row],[ID]]&amp;Tabela1[[#This Row],[MATRICULA]]&amp;"Motorista 4"&amp;Tabela1[[#This Row],[SETOR]],BD!A:AF,13,0),"")</f>
        <v/>
      </c>
      <c r="BQ19" s="135" t="str">
        <f>IFERROR(AVERAGE(Tabela1[[#This Row],[DMOT]:[DMOT4]]),"")</f>
        <v/>
      </c>
      <c r="BR19" s="135" t="str">
        <f>IFERROR(VLOOKUP(Tabela1[[#This Row],[MÊS]]&amp;Tabela1[[#This Row],[ID]]&amp;Tabela1[[#This Row],[MATRICULA]]&amp;"Ponto de Apoio"&amp;Tabela1[[#This Row],[SETOR]],BD!A:AF,13,0),"")</f>
        <v/>
      </c>
      <c r="BS19" s="135" t="str">
        <f>IFERROR(VLOOKUP(Tabela1[[#This Row],[MÊS]]&amp;Tabela1[[#This Row],[ID]]&amp;Tabela1[[#This Row],[MATRICULA]]&amp;"Ponto de Apoio 2"&amp;Tabela1[[#This Row],[SETOR]],BD!A:AF,13,0),"")</f>
        <v/>
      </c>
      <c r="BT19" s="135" t="str">
        <f>IFERROR(VLOOKUP(Tabela1[[#This Row],[MÊS]]&amp;Tabela1[[#This Row],[ID]]&amp;Tabela1[[#This Row],[MATRICULA]]&amp;"Ponto de Apoio 3"&amp;Tabela1[[#This Row],[SETOR]],BD!A:AF,13,0),"")</f>
        <v/>
      </c>
      <c r="BU19" s="135" t="str">
        <f>IFERROR(VLOOKUP(Tabela1[[#This Row],[MÊS]]&amp;Tabela1[[#This Row],[ID]]&amp;Tabela1[[#This Row],[MATRICULA]]&amp;"Ponto de Apoio 4"&amp;Tabela1[[#This Row],[SETOR]],BD!A:AF,13,0),"")</f>
        <v/>
      </c>
      <c r="BV19" s="135" t="str">
        <f>IFERROR(AVERAGE(Tabela1[[#This Row],[DPA]:[DPA 4]]),"")</f>
        <v/>
      </c>
      <c r="BW19" s="135" t="str">
        <f>IFERROR(VLOOKUP(Tabela1[[#This Row],[MÊS]]&amp;Tabela1[[#This Row],[ID]]&amp;Tabela1[[#This Row],[MATRICULA]]&amp;"Cliente"&amp;Tabela1[[#This Row],[SETOR]],BD!A:AF,13,0),"")</f>
        <v/>
      </c>
      <c r="BX19" s="135" t="str">
        <f>IFERROR(VLOOKUP(Tabela1[[#This Row],[MÊS]]&amp;Tabela1[[#This Row],[ID]]&amp;Tabela1[[#This Row],[MATRICULA]]&amp;"cliente 2"&amp;Tabela1[[#This Row],[SETOR]],BD!A:AF,13,0),"")</f>
        <v/>
      </c>
      <c r="BY19" s="135" t="str">
        <f>IFERROR(VLOOKUP(Tabela1[[#This Row],[MÊS]]&amp;Tabela1[[#This Row],[ID]]&amp;Tabela1[[#This Row],[MATRICULA]]&amp;"cliente 3"&amp;Tabela1[[#This Row],[SETOR]],BD!A:AF,13,0),"")</f>
        <v/>
      </c>
      <c r="BZ19" s="135" t="str">
        <f>IFERROR(VLOOKUP(Tabela1[[#This Row],[MÊS]]&amp;Tabela1[[#This Row],[ID]]&amp;Tabela1[[#This Row],[MATRICULA]]&amp;"cliente 4"&amp;Tabela1[[#This Row],[SETOR]],BD!A:AF,13,0),"")</f>
        <v/>
      </c>
      <c r="CA19" s="135" t="str">
        <f>IFERROR(AVERAGE(Tabela1[[#This Row],[DCLI]:[DCLI 4]]),"")</f>
        <v/>
      </c>
      <c r="CB19" s="135" t="str">
        <f>IFERROR(VLOOKUP(Tabela1[[#This Row],[MÊS]]&amp;Tabela1[[#This Row],[ID]]&amp;Tabela1[[#This Row],[MATRICULA]]&amp;"Policia"&amp;Tabela1[[#This Row],[SETOR]],BD!A:AF,13,0),"")</f>
        <v/>
      </c>
      <c r="CC19" s="135" t="str">
        <f>IFERROR(VLOOKUP(Tabela1[[#This Row],[MÊS]]&amp;Tabela1[[#This Row],[ID]]&amp;Tabela1[[#This Row],[MATRICULA]]&amp;"Policia 2"&amp;Tabela1[[#This Row],[SETOR]],BD!A:AF,13,0),"")</f>
        <v/>
      </c>
      <c r="CD19" s="135"/>
      <c r="CE19" s="135"/>
      <c r="CF19" s="135" t="str">
        <f>IFERROR((AVERAGE(Tabela1[[#This Row],[DPOL1]:[DPOL4]])),"")</f>
        <v/>
      </c>
      <c r="CG19" s="21" t="str">
        <f>IFERROR(VLOOKUP(Tabela1[[#This Row],[ID]]&amp;Tabela1[[#This Row],[MÊS]]&amp;Tabela1[[#This Row],[MATRICULA]],#REF!,2,0),"")</f>
        <v/>
      </c>
      <c r="CH19" s="21" t="str">
        <f>IFERROR(VLOOKUP(Tabela1[[#This Row],[ID]]&amp;Tabela1[[#This Row],[MÊS]]&amp;Tabela1[[#This Row],[MATRICULA]],#REF!,2,0),"")</f>
        <v/>
      </c>
      <c r="CI19" s="21" t="str">
        <f>IFERROR(VLOOKUP(Tabela1[[#This Row],[MÊS]]&amp;Tabela1[[#This Row],[MATRICULA]],#REF!,2,0),"")</f>
        <v/>
      </c>
    </row>
    <row r="20" spans="1:87">
      <c r="A20" s="12" t="str">
        <f>Tabela1[[#This Row],[MÊS]]&amp;Tabela1[[#This Row],[MATRICULA]]&amp;Tabela1[[#This Row],[ID]]</f>
        <v>JAN114347</v>
      </c>
      <c r="B20" s="12" t="str">
        <f>Tabela1[[#This Row],[MÊS]]&amp;Tabela1[[#This Row],[ID]]&amp;Tabela1[[#This Row],[MATRICULA]]&amp;Tabela1[[#This Row],[SETOR]]</f>
        <v>JAN711434RECEPTIVO</v>
      </c>
      <c r="C20" s="130" t="e">
        <f>VLOOKUP(Tabela1[[#This Row],[MATRICULA]],'BD Campos'!A:D,5,0)</f>
        <v>#REF!</v>
      </c>
      <c r="D20" s="133" t="str">
        <f ca="1">IFERROR(SUM(TODAY()-Tabela1[[#This Row],[ADMISSÃO]]),"")</f>
        <v/>
      </c>
      <c r="E20" s="11" t="str">
        <f ca="1">IFERROR(TRUNC(Tabela1[[#This Row],[TEMPO DE CASA (DIAS)]]/30),"")</f>
        <v/>
      </c>
      <c r="F20" s="32" t="str">
        <f ca="1">IFERROR(SUM(Tabela1[[#This Row],[TEMPO DE CASA (MESES)]]/12),"")</f>
        <v/>
      </c>
      <c r="G20" s="133" t="str">
        <f ca="1">IF(Tabela1[[#This Row],[TEMPO DE CASA (DIAS)]]="","SEM DADOS",IF(Tabela1[[#This Row],[TEMPO DE CASA (DIAS)]]&gt;180,"&gt; 6 MESES","&lt; 6 MESES"))</f>
        <v>SEM DADOS</v>
      </c>
      <c r="H20" s="12" t="str">
        <f>K20&amp;S20&amp;J20</f>
        <v>JANCarlos Eduardo7</v>
      </c>
      <c r="I20" s="12" t="str">
        <f>IFERROR(VLOOKUP(Tabela1[[#This Row],[MATRICULA]],'BD Campos'!A:F,7,0),"")</f>
        <v/>
      </c>
      <c r="J20" s="11">
        <v>7</v>
      </c>
      <c r="K20" s="11" t="s">
        <v>669</v>
      </c>
      <c r="L20" s="136">
        <v>11434</v>
      </c>
      <c r="M20" s="12" t="str">
        <f>IFERROR(VLOOKUP(Tabela1[[#This Row],[MATRICULA]],'BD Campos'!A:B,2,0),"")</f>
        <v>OTAVIO GABRIEL VALENTE DA SILVA</v>
      </c>
      <c r="N20" s="20">
        <f>IFERROR(AVERAGE(Tabela1[[#This Row],[A1]:[A4]]),"")</f>
        <v>7.0600000000000005</v>
      </c>
      <c r="O20" s="20" t="str">
        <f>IFERROR(IF(Tabela1[[#This Row],[SETOR]]="RECEPTIVO","",AVERAGE(Tabela1[[#This Row],[A5]:[A6]])),"")</f>
        <v/>
      </c>
      <c r="P20" s="20" t="str">
        <f>IFERROR(IF(Tabela1[[#This Row],[STATUS]]="INATIVO","INATIVO",IF(Tabela1[[#This Row],[STATUS]]="QRT","INATIVO",IF(Tabela1[[#This Row],[OPERACIONAL]]&gt;7.99999,"BOM","RUIM"))),"")</f>
        <v>RUIM</v>
      </c>
      <c r="Q20" s="21" t="s">
        <v>667</v>
      </c>
      <c r="R20" s="12" t="s">
        <v>672</v>
      </c>
      <c r="S20" s="12" t="s">
        <v>671</v>
      </c>
      <c r="T20" s="12" t="s">
        <v>156</v>
      </c>
      <c r="U2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" s="12">
        <f>IF(AND(Tabela1[[#This Row],[SETOR]]="UTI",Tabela1[[#This Row],[M]]&lt;&gt;""),1,IF(AND(Tabela1[[#This Row],[SETOR]]="UTI (RJ)",Tabela1[[#This Row],[M]]&lt;&gt;""),1.5,0))</f>
        <v>0</v>
      </c>
      <c r="X20" s="12">
        <f>IF(AND(Tabela1[[#This Row],[SETOR]]="UTI",Tabela1[[#This Row],[PA2]]&lt;&gt;""),1,IF(AND(Tabela1[[#This Row],[SETOR]]="UTI (RJ)",Tabela1[[#This Row],[PA2]]&lt;&gt;""),0,0))</f>
        <v>0</v>
      </c>
      <c r="Y20" s="12">
        <f>IF(AND(Tabela1[[#This Row],[SETOR]]="UTI",Tabela1[[#This Row],[C]]&lt;&gt;""),1,IF(AND(Tabela1[[#This Row],[SETOR]]="UTI (RJ)",Tabela1[[#This Row],[C]]&lt;&gt;""),1.5,0))</f>
        <v>0</v>
      </c>
      <c r="Z20" s="12">
        <f>IF(AND(Tabela1[[#This Row],[SETOR]]="UTI",Tabela1[[#This Row],[PL]]&lt;&gt;""),1,IF(AND(Tabela1[[#This Row],[SETOR]]="UTI (RJ)",Tabela1[[#This Row],[PL]]&lt;&gt;""),1,0))</f>
        <v>0</v>
      </c>
      <c r="AA20" s="21">
        <f>IFERROR(VLOOKUP(Tabela1[[#This Row],[MÊS]]&amp;Tabela1[[#This Row],[MATRICULA]]&amp;"1"&amp;Tabela1[[#This Row],[SETOR]]&amp;"PADRÃO",BD!B:AF,31,0),"")</f>
        <v>5.4850000000000003</v>
      </c>
      <c r="AB20" s="21">
        <f>IFERROR(VLOOKUP(Tabela1[[#This Row],[MÊS]]&amp;Tabela1[[#This Row],[MATRICULA]]&amp;"2"&amp;Tabela1[[#This Row],[SETOR]]&amp;"PADRÃO",BD!B:AF,31,0),"")</f>
        <v>8.6350000000000016</v>
      </c>
      <c r="AC20" s="21" t="str">
        <f>IFERROR(VLOOKUP(Tabela1[[#This Row],[MÊS]]&amp;Tabela1[[#This Row],[MATRICULA]]&amp;"3"&amp;Tabela1[[#This Row],[SETOR]]&amp;"PADRÃO",BD!B:AF,31,0),"")</f>
        <v/>
      </c>
      <c r="AD20" s="21" t="str">
        <f>IFERROR(VLOOKUP(Tabela1[[#This Row],[MÊS]]&amp;Tabela1[[#This Row],[MATRICULA]]&amp;"4"&amp;Tabela1[[#This Row],[SETOR]]&amp;"PADRÃO",BD!B:AF,25,0),"")</f>
        <v/>
      </c>
      <c r="AE20" s="21" t="str">
        <f>IFERROR(VLOOKUP(Tabela1[[#This Row],[MÊS]]&amp;Tabela1[[#This Row],[MATRICULA]]&amp;"5"&amp;Tabela1[[#This Row],[SETOR]]&amp;"PADRÃO",BD!B:AF,31,0),"")</f>
        <v/>
      </c>
      <c r="AF20" s="21" t="str">
        <f>IFERROR(VLOOKUP(Tabela1[[#This Row],[MÊS]]&amp;Tabela1[[#This Row],[MATRICULA]]&amp;"6"&amp;Tabela1[[#This Row],[SETOR]]&amp;"PADRÃO",BD!B:AF,31,0),"")</f>
        <v/>
      </c>
      <c r="AG20" s="21" t="str">
        <f>IFERROR(VLOOKUP(Tabela1[[#This Row],[MÊS]]&amp;Tabela1[[#This Row],[MATRICULA]]&amp;"7"&amp;Tabela1[[#This Row],[SETOR]]&amp;"PADRÃO",BD!B:AF,31,0),"")</f>
        <v/>
      </c>
      <c r="AH20" s="21" t="str">
        <f>IFERROR(VLOOKUP(Tabela1[[#This Row],[MÊS]]&amp;Tabela1[[#This Row],[ID]]&amp;Tabela1[[#This Row],[MATRICULA]]&amp;"Receptiva"&amp;Tabela1[[#This Row],[SETOR]],BD!A:AF,31,0),"")</f>
        <v/>
      </c>
      <c r="AI20" s="21" t="str">
        <f>IFERROR(VLOOKUP(Tabela1[[#This Row],[MÊS]]&amp;Tabela1[[#This Row],[ID]]&amp;Tabela1[[#This Row],[MATRICULA]]&amp;"Receptiva 2"&amp;Tabela1[[#This Row],[SETOR]],BD!A:AF,31,0),"")</f>
        <v/>
      </c>
      <c r="AJ20" s="21" t="str">
        <f>IFERROR(VLOOKUP(Tabela1[[#This Row],[MÊS]]&amp;Tabela1[[#This Row],[ID]]&amp;Tabela1[[#This Row],[MATRICULA]]&amp;"Receptiva 3"&amp;Tabela1[[#This Row],[SETOR]],BD!A:AF,31,0),"")</f>
        <v/>
      </c>
      <c r="AK20" s="21" t="str">
        <f>IFERROR(VLOOKUP(Tabela1[[#This Row],[MÊS]]&amp;Tabela1[[#This Row],[ID]]&amp;Tabela1[[#This Row],[MATRICULA]]&amp;"Receptiva 4"&amp;Tabela1[[#This Row],[SETOR]],BD!A:AF,31,0),"")</f>
        <v/>
      </c>
      <c r="AL20" s="21" t="str">
        <f>IFERROR(VLOOKUP(Tabela1[[#This Row],[MÊS]]&amp;Tabela1[[#This Row],[MATRICULA]]&amp;"Motorista"&amp;Tabela1[[#This Row],[SETOR]],BD!A:AF,31,0),"")</f>
        <v/>
      </c>
      <c r="AM20" s="21" t="str">
        <f>IFERROR(VLOOKUP(Tabela1[[#This Row],[MÊS]]&amp;Tabela1[[#This Row],[ID]]&amp;Tabela1[[#This Row],[MATRICULA]]&amp;"Motorista 2"&amp;Tabela1[[#This Row],[SETOR]],BD!A:AF,26,0),"")</f>
        <v/>
      </c>
      <c r="AN20" s="21" t="str">
        <f>IFERROR(VLOOKUP(Tabela1[[#This Row],[MÊS]]&amp;Tabela1[[#This Row],[ID]]&amp;Tabela1[[#This Row],[MATRICULA]]&amp;"Motorista 3"&amp;Tabela1[[#This Row],[SETOR]],BD!A:AF,26,0),"")</f>
        <v/>
      </c>
      <c r="AO20" s="21" t="str">
        <f>IFERROR(VLOOKUP(Tabela1[[#This Row],[MÊS]]&amp;Tabela1[[#This Row],[ID]]&amp;Tabela1[[#This Row],[MATRICULA]]&amp;"Motorista 4"&amp;Tabela1[[#This Row],[SETOR]],BD!A:AF,26,0),"")</f>
        <v/>
      </c>
      <c r="AP20" s="21" t="str">
        <f>IFERROR(VLOOKUP(Tabela1[[#This Row],[MÊS]]&amp;Tabela1[[#This Row],[MATRICULA]]&amp;"Ponto de Apoio"&amp;Tabela1[[#This Row],[SETOR]],BD!A:AF,31,0),"")</f>
        <v/>
      </c>
      <c r="AQ20" s="21" t="str">
        <f>IFERROR(VLOOKUP(Tabela1[[#This Row],[MÊS]]&amp;Tabela1[[#This Row],[ID]]&amp;Tabela1[[#This Row],[MATRICULA]]&amp;"Ponto de Apoio 2"&amp;Tabela1[[#This Row],[SETOR]],BD!A:AF,26,0),"")</f>
        <v/>
      </c>
      <c r="AR20" s="36" t="str">
        <f>IFERROR(VLOOKUP(Tabela1[[#This Row],[MÊS]]&amp;Tabela1[[#This Row],[ID]]&amp;Tabela1[[#This Row],[MATRICULA]]&amp;"Ponto de Apoio 3"&amp;Tabela1[[#This Row],[SETOR]],BD!A:AF,26,0),"")</f>
        <v/>
      </c>
      <c r="AS20" s="36" t="str">
        <f>IFERROR(VLOOKUP(Tabela1[[#This Row],[MÊS]]&amp;Tabela1[[#This Row],[ID]]&amp;Tabela1[[#This Row],[MATRICULA]]&amp;"Ponto de Apoio 4"&amp;Tabela1[[#This Row],[SETOR]],BD!A:AF,26,0),"")</f>
        <v/>
      </c>
      <c r="AT20" s="21" t="str">
        <f>IFERROR(VLOOKUP(Tabela1[[#This Row],[MÊS]]&amp;Tabela1[[#This Row],[MATRICULA]]&amp;"Cliente"&amp;Tabela1[[#This Row],[SETOR]],BD!A:AF,31,0),"")</f>
        <v/>
      </c>
      <c r="AU20" s="21" t="str">
        <f>IFERROR(VLOOKUP(Tabela1[[#This Row],[MÊS]]&amp;Tabela1[[#This Row],[ID]]&amp;Tabela1[[#This Row],[MATRICULA]]&amp;"Cliente 2"&amp;Tabela1[[#This Row],[SETOR]],BD!A:AF,26,0),"")</f>
        <v/>
      </c>
      <c r="AX20" s="21" t="str">
        <f>IFERROR(VLOOKUP(Tabela1[[#This Row],[MÊS]]&amp;Tabela1[[#This Row],[MATRICULA]]&amp;"Policia"&amp;Tabela1[[#This Row],[SETOR]],BD!A:AF,31,0),"")</f>
        <v/>
      </c>
      <c r="AY20" s="21" t="str">
        <f>IFERROR(VLOOKUP(Tabela1[[#This Row],[MÊS]]&amp;Tabela1[[#This Row],[ID]]&amp;Tabela1[[#This Row],[MATRICULA]]&amp;"Policia 2"&amp;Tabela1[[#This Row],[SETOR]],BD!A:AF,26,0),"")</f>
        <v/>
      </c>
      <c r="AZ20" s="36" t="str">
        <f>IFERROR(VLOOKUP(Tabela1[[#This Row],[MÊS]]&amp;Tabela1[[#This Row],[ID]]&amp;Tabela1[[#This Row],[MATRICULA]]&amp;"Policia 3"&amp;Tabela1[[#This Row],[SETOR]],BD!A:AF,26,0),"")</f>
        <v/>
      </c>
      <c r="BA20" s="36" t="str">
        <f>IFERROR(VLOOKUP(Tabela1[[#This Row],[MÊS]]&amp;Tabela1[[#This Row],[ID]]&amp;Tabela1[[#This Row],[MATRICULA]]&amp;"Policia 4"&amp;Tabela1[[#This Row],[SETOR]],BD!A:AF,26,0),"")</f>
        <v/>
      </c>
      <c r="BB2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" s="21" t="str">
        <f>IFERROR(AVERAGE(Tabela1[[#This Row],[M]:[M4]]),"")</f>
        <v/>
      </c>
      <c r="BD20" s="21" t="str">
        <f>IFERROR(AVERAGE(Tabela1[[#This Row],[C]:[C4]]),"")</f>
        <v/>
      </c>
      <c r="BE20" s="21" t="str">
        <f>IFERROR(AVERAGE(Tabela1[[#This Row],[PA2]:[PA 4]]),"")</f>
        <v/>
      </c>
      <c r="BF20" s="21" t="str">
        <f>IFERROR(AVERAGE(Tabela1[[#This Row],[PL]:[PL4]]),"")</f>
        <v/>
      </c>
      <c r="BG20" s="35" t="str">
        <f>IFERROR(VLOOKUP(Tabela1[[#This Row],[MÊS]]&amp;Tabela1[[#This Row],[MATRICULA]],#REF!,2,0),"")</f>
        <v/>
      </c>
      <c r="BH20" s="35" t="str">
        <f>IFERROR(VLOOKUP(Tabela1[[#This Row],[MÊS]]&amp;Tabela1[[#This Row],[MATRICULA]],#REF!,2,0),"")</f>
        <v/>
      </c>
      <c r="BI20" s="35" t="str">
        <f>IFERROR(VLOOKUP(Tabela1[[#This Row],[MÊS]]&amp;Tabela1[[#This Row],[MATRICULA]],#REF!,2,0),"")</f>
        <v/>
      </c>
      <c r="BJ20" s="35" t="str">
        <f>IFERROR(VLOOKUP(Tabela1[[#This Row],[MÊS]]&amp;Tabela1[[#This Row],[MATRICULA]],#REF!,2,0),"")</f>
        <v/>
      </c>
      <c r="BK20" s="35" t="str">
        <f>IFERROR(VLOOKUP(Tabela1[[#This Row],[MÊS]]&amp;Tabela1[[#This Row],[MATRICULA]],#REF!,2,0),"")</f>
        <v/>
      </c>
      <c r="BL20" s="21">
        <f>COUNTIF(Tabela1[[#This Row],[MOT2]:[RECEPTIVA]],"NÃO ENCONTRADA")</f>
        <v>0</v>
      </c>
      <c r="BM20" s="135" t="str">
        <f>IFERROR(VLOOKUP(Tabela1[[#This Row],[MÊS]]&amp;Tabela1[[#This Row],[ID]]&amp;Tabela1[[#This Row],[MATRICULA]]&amp;"Motorista"&amp;Tabela1[[#This Row],[SETOR]],BD!A:AF,13,0),"")</f>
        <v/>
      </c>
      <c r="BN20" s="135" t="str">
        <f>IFERROR(VLOOKUP(Tabela1[[#This Row],[MÊS]]&amp;Tabela1[[#This Row],[ID]]&amp;Tabela1[[#This Row],[MATRICULA]]&amp;"Motorista 2"&amp;Tabela1[[#This Row],[SETOR]],BD!A:AF,13,0),"")</f>
        <v/>
      </c>
      <c r="BO20" s="135" t="str">
        <f>IFERROR(VLOOKUP(Tabela1[[#This Row],[MÊS]]&amp;Tabela1[[#This Row],[ID]]&amp;Tabela1[[#This Row],[MATRICULA]]&amp;"Motorista 3"&amp;Tabela1[[#This Row],[SETOR]],BD!A:AF,13,0),"")</f>
        <v/>
      </c>
      <c r="BP20" s="135" t="str">
        <f>IFERROR(VLOOKUP(Tabela1[[#This Row],[MÊS]]&amp;Tabela1[[#This Row],[ID]]&amp;Tabela1[[#This Row],[MATRICULA]]&amp;"Motorista 4"&amp;Tabela1[[#This Row],[SETOR]],BD!A:AF,13,0),"")</f>
        <v/>
      </c>
      <c r="BQ20" s="135" t="str">
        <f>IFERROR(AVERAGE(Tabela1[[#This Row],[DMOT]:[DMOT4]]),"")</f>
        <v/>
      </c>
      <c r="BR20" s="135" t="str">
        <f>IFERROR(VLOOKUP(Tabela1[[#This Row],[MÊS]]&amp;Tabela1[[#This Row],[ID]]&amp;Tabela1[[#This Row],[MATRICULA]]&amp;"Ponto de Apoio"&amp;Tabela1[[#This Row],[SETOR]],BD!A:AF,13,0),"")</f>
        <v/>
      </c>
      <c r="BS20" s="135" t="str">
        <f>IFERROR(VLOOKUP(Tabela1[[#This Row],[MÊS]]&amp;Tabela1[[#This Row],[ID]]&amp;Tabela1[[#This Row],[MATRICULA]]&amp;"Ponto de Apoio 2"&amp;Tabela1[[#This Row],[SETOR]],BD!A:AF,13,0),"")</f>
        <v/>
      </c>
      <c r="BT20" s="135" t="str">
        <f>IFERROR(VLOOKUP(Tabela1[[#This Row],[MÊS]]&amp;Tabela1[[#This Row],[ID]]&amp;Tabela1[[#This Row],[MATRICULA]]&amp;"Ponto de Apoio 3"&amp;Tabela1[[#This Row],[SETOR]],BD!A:AF,13,0),"")</f>
        <v/>
      </c>
      <c r="BU20" s="135" t="str">
        <f>IFERROR(VLOOKUP(Tabela1[[#This Row],[MÊS]]&amp;Tabela1[[#This Row],[ID]]&amp;Tabela1[[#This Row],[MATRICULA]]&amp;"Ponto de Apoio 4"&amp;Tabela1[[#This Row],[SETOR]],BD!A:AF,13,0),"")</f>
        <v/>
      </c>
      <c r="BV20" s="135" t="str">
        <f>IFERROR(AVERAGE(Tabela1[[#This Row],[DPA]:[DPA 4]]),"")</f>
        <v/>
      </c>
      <c r="BW20" s="135" t="str">
        <f>IFERROR(VLOOKUP(Tabela1[[#This Row],[MÊS]]&amp;Tabela1[[#This Row],[ID]]&amp;Tabela1[[#This Row],[MATRICULA]]&amp;"Cliente"&amp;Tabela1[[#This Row],[SETOR]],BD!A:AF,13,0),"")</f>
        <v/>
      </c>
      <c r="BX20" s="135" t="str">
        <f>IFERROR(VLOOKUP(Tabela1[[#This Row],[MÊS]]&amp;Tabela1[[#This Row],[ID]]&amp;Tabela1[[#This Row],[MATRICULA]]&amp;"cliente 2"&amp;Tabela1[[#This Row],[SETOR]],BD!A:AF,13,0),"")</f>
        <v/>
      </c>
      <c r="BY20" s="135" t="str">
        <f>IFERROR(VLOOKUP(Tabela1[[#This Row],[MÊS]]&amp;Tabela1[[#This Row],[ID]]&amp;Tabela1[[#This Row],[MATRICULA]]&amp;"cliente 3"&amp;Tabela1[[#This Row],[SETOR]],BD!A:AF,13,0),"")</f>
        <v/>
      </c>
      <c r="BZ20" s="135" t="str">
        <f>IFERROR(VLOOKUP(Tabela1[[#This Row],[MÊS]]&amp;Tabela1[[#This Row],[ID]]&amp;Tabela1[[#This Row],[MATRICULA]]&amp;"cliente 4"&amp;Tabela1[[#This Row],[SETOR]],BD!A:AF,13,0),"")</f>
        <v/>
      </c>
      <c r="CA20" s="135" t="str">
        <f>IFERROR(AVERAGE(Tabela1[[#This Row],[DCLI]:[DCLI 4]]),"")</f>
        <v/>
      </c>
      <c r="CB20" s="135" t="str">
        <f>IFERROR(VLOOKUP(Tabela1[[#This Row],[MÊS]]&amp;Tabela1[[#This Row],[ID]]&amp;Tabela1[[#This Row],[MATRICULA]]&amp;"Policia"&amp;Tabela1[[#This Row],[SETOR]],BD!A:AF,13,0),"")</f>
        <v/>
      </c>
      <c r="CC20" s="135" t="str">
        <f>IFERROR(VLOOKUP(Tabela1[[#This Row],[MÊS]]&amp;Tabela1[[#This Row],[ID]]&amp;Tabela1[[#This Row],[MATRICULA]]&amp;"Policia 2"&amp;Tabela1[[#This Row],[SETOR]],BD!A:AF,13,0),"")</f>
        <v/>
      </c>
      <c r="CD20" s="135"/>
      <c r="CE20" s="135"/>
      <c r="CF20" s="135" t="str">
        <f>IFERROR((AVERAGE(Tabela1[[#This Row],[DPOL1]:[DPOL4]])),"")</f>
        <v/>
      </c>
      <c r="CG20" s="21" t="str">
        <f>IFERROR(VLOOKUP(Tabela1[[#This Row],[ID]]&amp;Tabela1[[#This Row],[MÊS]]&amp;Tabela1[[#This Row],[MATRICULA]],#REF!,2,0),"")</f>
        <v/>
      </c>
      <c r="CH20" s="21" t="str">
        <f>IFERROR(VLOOKUP(Tabela1[[#This Row],[ID]]&amp;Tabela1[[#This Row],[MÊS]]&amp;Tabela1[[#This Row],[MATRICULA]],#REF!,2,0),"")</f>
        <v/>
      </c>
      <c r="CI20" s="21" t="str">
        <f>IFERROR(VLOOKUP(Tabela1[[#This Row],[MÊS]]&amp;Tabela1[[#This Row],[MATRICULA]],#REF!,2,0),"")</f>
        <v/>
      </c>
    </row>
    <row r="21" spans="1:87">
      <c r="A21" s="12" t="str">
        <f>Tabela1[[#This Row],[MÊS]]&amp;Tabela1[[#This Row],[MATRICULA]]&amp;Tabela1[[#This Row],[ID]]</f>
        <v>JAN113558</v>
      </c>
      <c r="B21" s="12" t="str">
        <f>Tabela1[[#This Row],[MÊS]]&amp;Tabela1[[#This Row],[ID]]&amp;Tabela1[[#This Row],[MATRICULA]]&amp;Tabela1[[#This Row],[SETOR]]</f>
        <v>JAN811355RECEPTIVO</v>
      </c>
      <c r="C21" s="130" t="e">
        <f>VLOOKUP(Tabela1[[#This Row],[MATRICULA]],'BD Campos'!A:D,5,0)</f>
        <v>#REF!</v>
      </c>
      <c r="D21" s="133" t="str">
        <f ca="1">IFERROR(SUM(TODAY()-Tabela1[[#This Row],[ADMISSÃO]]),"")</f>
        <v/>
      </c>
      <c r="E21" s="11" t="str">
        <f ca="1">IFERROR(TRUNC(Tabela1[[#This Row],[TEMPO DE CASA (DIAS)]]/30),"")</f>
        <v/>
      </c>
      <c r="F21" s="32" t="str">
        <f ca="1">IFERROR(SUM(Tabela1[[#This Row],[TEMPO DE CASA (MESES)]]/12),"")</f>
        <v/>
      </c>
      <c r="G21" s="133" t="str">
        <f ca="1">IF(Tabela1[[#This Row],[TEMPO DE CASA (DIAS)]]="","SEM DADOS",IF(Tabela1[[#This Row],[TEMPO DE CASA (DIAS)]]&gt;180,"&gt; 6 MESES","&lt; 6 MESES"))</f>
        <v>SEM DADOS</v>
      </c>
      <c r="H21" s="12" t="str">
        <f>K21&amp;S21&amp;J21</f>
        <v>JANCarlos Eduardo8</v>
      </c>
      <c r="I21" s="12" t="str">
        <f>IFERROR(VLOOKUP(Tabela1[[#This Row],[MATRICULA]],'BD Campos'!A:F,7,0),"")</f>
        <v/>
      </c>
      <c r="J21" s="11">
        <v>8</v>
      </c>
      <c r="K21" s="11" t="s">
        <v>669</v>
      </c>
      <c r="L21" s="136">
        <v>11355</v>
      </c>
      <c r="M21" s="12" t="str">
        <f>IFERROR(VLOOKUP(Tabela1[[#This Row],[MATRICULA]],'BD Campos'!A:B,2,0),"")</f>
        <v>DANIELE CRISTINE GONÇALVES</v>
      </c>
      <c r="N21" s="20" t="str">
        <f>IFERROR(AVERAGE(Tabela1[[#This Row],[A1]:[A4]]),"")</f>
        <v/>
      </c>
      <c r="O21" s="20" t="str">
        <f>IFERROR(IF(Tabela1[[#This Row],[SETOR]]="RECEPTIVO","",AVERAGE(Tabela1[[#This Row],[A5]:[A6]])),"")</f>
        <v/>
      </c>
      <c r="P21" s="20" t="str">
        <f>IFERROR(IF(Tabela1[[#This Row],[STATUS]]="INATIVO","INATIVO",IF(Tabela1[[#This Row],[STATUS]]="QRT","INATIVO",IF(Tabela1[[#This Row],[OPERACIONAL]]&gt;7.99999,"BOM","RUIM"))),"")</f>
        <v>INATIVO</v>
      </c>
      <c r="Q21" s="21" t="s">
        <v>670</v>
      </c>
      <c r="R21" s="12" t="s">
        <v>672</v>
      </c>
      <c r="S21" s="12" t="s">
        <v>671</v>
      </c>
      <c r="T21" s="12" t="s">
        <v>156</v>
      </c>
      <c r="U2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21" s="12">
        <f>IF(AND(Tabela1[[#This Row],[SETOR]]="UTI",Tabela1[[#This Row],[M]]&lt;&gt;""),1,IF(AND(Tabela1[[#This Row],[SETOR]]="UTI (RJ)",Tabela1[[#This Row],[M]]&lt;&gt;""),1.5,0))</f>
        <v>0</v>
      </c>
      <c r="X21" s="12">
        <f>IF(AND(Tabela1[[#This Row],[SETOR]]="UTI",Tabela1[[#This Row],[PA2]]&lt;&gt;""),1,IF(AND(Tabela1[[#This Row],[SETOR]]="UTI (RJ)",Tabela1[[#This Row],[PA2]]&lt;&gt;""),0,0))</f>
        <v>0</v>
      </c>
      <c r="Y21" s="12">
        <f>IF(AND(Tabela1[[#This Row],[SETOR]]="UTI",Tabela1[[#This Row],[C]]&lt;&gt;""),1,IF(AND(Tabela1[[#This Row],[SETOR]]="UTI (RJ)",Tabela1[[#This Row],[C]]&lt;&gt;""),1.5,0))</f>
        <v>0</v>
      </c>
      <c r="Z21" s="12">
        <f>IF(AND(Tabela1[[#This Row],[SETOR]]="UTI",Tabela1[[#This Row],[PL]]&lt;&gt;""),1,IF(AND(Tabela1[[#This Row],[SETOR]]="UTI (RJ)",Tabela1[[#This Row],[PL]]&lt;&gt;""),1,0))</f>
        <v>0</v>
      </c>
      <c r="AA21" s="21" t="str">
        <f>IFERROR(VLOOKUP(Tabela1[[#This Row],[MÊS]]&amp;Tabela1[[#This Row],[MATRICULA]]&amp;"1"&amp;Tabela1[[#This Row],[SETOR]]&amp;"PADRÃO",BD!B:AF,31,0),"")</f>
        <v/>
      </c>
      <c r="AB21" s="21" t="str">
        <f>IFERROR(VLOOKUP(Tabela1[[#This Row],[MÊS]]&amp;Tabela1[[#This Row],[MATRICULA]]&amp;"2"&amp;Tabela1[[#This Row],[SETOR]]&amp;"PADRÃO",BD!B:AF,31,0),"")</f>
        <v/>
      </c>
      <c r="AC21" s="21" t="str">
        <f>IFERROR(VLOOKUP(Tabela1[[#This Row],[MÊS]]&amp;Tabela1[[#This Row],[MATRICULA]]&amp;"3"&amp;Tabela1[[#This Row],[SETOR]]&amp;"PADRÃO",BD!B:AF,31,0),"")</f>
        <v/>
      </c>
      <c r="AD21" s="21" t="str">
        <f>IFERROR(VLOOKUP(Tabela1[[#This Row],[MÊS]]&amp;Tabela1[[#This Row],[MATRICULA]]&amp;"4"&amp;Tabela1[[#This Row],[SETOR]]&amp;"PADRÃO",BD!B:AF,25,0),"")</f>
        <v/>
      </c>
      <c r="AE21" s="21" t="str">
        <f>IFERROR(VLOOKUP(Tabela1[[#This Row],[MÊS]]&amp;Tabela1[[#This Row],[MATRICULA]]&amp;"5"&amp;Tabela1[[#This Row],[SETOR]]&amp;"PADRÃO",BD!B:AF,31,0),"")</f>
        <v/>
      </c>
      <c r="AF21" s="21" t="str">
        <f>IFERROR(VLOOKUP(Tabela1[[#This Row],[MÊS]]&amp;Tabela1[[#This Row],[MATRICULA]]&amp;"6"&amp;Tabela1[[#This Row],[SETOR]]&amp;"PADRÃO",BD!B:AF,31,0),"")</f>
        <v/>
      </c>
      <c r="AG21" s="21" t="str">
        <f>IFERROR(VLOOKUP(Tabela1[[#This Row],[MÊS]]&amp;Tabela1[[#This Row],[MATRICULA]]&amp;"7"&amp;Tabela1[[#This Row],[SETOR]]&amp;"PADRÃO",BD!B:AF,31,0),"")</f>
        <v/>
      </c>
      <c r="AH21" s="21" t="str">
        <f>IFERROR(VLOOKUP(Tabela1[[#This Row],[MÊS]]&amp;Tabela1[[#This Row],[ID]]&amp;Tabela1[[#This Row],[MATRICULA]]&amp;"Receptiva"&amp;Tabela1[[#This Row],[SETOR]],BD!A:AF,31,0),"")</f>
        <v/>
      </c>
      <c r="AI21" s="21" t="str">
        <f>IFERROR(VLOOKUP(Tabela1[[#This Row],[MÊS]]&amp;Tabela1[[#This Row],[ID]]&amp;Tabela1[[#This Row],[MATRICULA]]&amp;"Receptiva 2"&amp;Tabela1[[#This Row],[SETOR]],BD!A:AF,31,0),"")</f>
        <v/>
      </c>
      <c r="AJ21" s="21" t="str">
        <f>IFERROR(VLOOKUP(Tabela1[[#This Row],[MÊS]]&amp;Tabela1[[#This Row],[ID]]&amp;Tabela1[[#This Row],[MATRICULA]]&amp;"Receptiva 3"&amp;Tabela1[[#This Row],[SETOR]],BD!A:AF,31,0),"")</f>
        <v/>
      </c>
      <c r="AK21" s="21" t="str">
        <f>IFERROR(VLOOKUP(Tabela1[[#This Row],[MÊS]]&amp;Tabela1[[#This Row],[ID]]&amp;Tabela1[[#This Row],[MATRICULA]]&amp;"Receptiva 4"&amp;Tabela1[[#This Row],[SETOR]],BD!A:AF,31,0),"")</f>
        <v/>
      </c>
      <c r="AL21" s="21" t="str">
        <f>IFERROR(VLOOKUP(Tabela1[[#This Row],[MÊS]]&amp;Tabela1[[#This Row],[MATRICULA]]&amp;"Motorista"&amp;Tabela1[[#This Row],[SETOR]],BD!A:AF,31,0),"")</f>
        <v/>
      </c>
      <c r="AM21" s="21" t="str">
        <f>IFERROR(VLOOKUP(Tabela1[[#This Row],[MÊS]]&amp;Tabela1[[#This Row],[ID]]&amp;Tabela1[[#This Row],[MATRICULA]]&amp;"Motorista 2"&amp;Tabela1[[#This Row],[SETOR]],BD!A:AF,26,0),"")</f>
        <v/>
      </c>
      <c r="AN21" s="21" t="str">
        <f>IFERROR(VLOOKUP(Tabela1[[#This Row],[MÊS]]&amp;Tabela1[[#This Row],[ID]]&amp;Tabela1[[#This Row],[MATRICULA]]&amp;"Motorista 3"&amp;Tabela1[[#This Row],[SETOR]],BD!A:AF,26,0),"")</f>
        <v/>
      </c>
      <c r="AO21" s="21" t="str">
        <f>IFERROR(VLOOKUP(Tabela1[[#This Row],[MÊS]]&amp;Tabela1[[#This Row],[ID]]&amp;Tabela1[[#This Row],[MATRICULA]]&amp;"Motorista 4"&amp;Tabela1[[#This Row],[SETOR]],BD!A:AF,26,0),"")</f>
        <v/>
      </c>
      <c r="AP21" s="21" t="str">
        <f>IFERROR(VLOOKUP(Tabela1[[#This Row],[MÊS]]&amp;Tabela1[[#This Row],[MATRICULA]]&amp;"Ponto de Apoio"&amp;Tabela1[[#This Row],[SETOR]],BD!A:AF,31,0),"")</f>
        <v/>
      </c>
      <c r="AQ21" s="21" t="str">
        <f>IFERROR(VLOOKUP(Tabela1[[#This Row],[MÊS]]&amp;Tabela1[[#This Row],[ID]]&amp;Tabela1[[#This Row],[MATRICULA]]&amp;"Ponto de Apoio 2"&amp;Tabela1[[#This Row],[SETOR]],BD!A:AF,26,0),"")</f>
        <v/>
      </c>
      <c r="AR21" s="36" t="str">
        <f>IFERROR(VLOOKUP(Tabela1[[#This Row],[MÊS]]&amp;Tabela1[[#This Row],[ID]]&amp;Tabela1[[#This Row],[MATRICULA]]&amp;"Ponto de Apoio 3"&amp;Tabela1[[#This Row],[SETOR]],BD!A:AF,26,0),"")</f>
        <v/>
      </c>
      <c r="AS21" s="36" t="str">
        <f>IFERROR(VLOOKUP(Tabela1[[#This Row],[MÊS]]&amp;Tabela1[[#This Row],[ID]]&amp;Tabela1[[#This Row],[MATRICULA]]&amp;"Ponto de Apoio 4"&amp;Tabela1[[#This Row],[SETOR]],BD!A:AF,26,0),"")</f>
        <v/>
      </c>
      <c r="AT21" s="21" t="str">
        <f>IFERROR(VLOOKUP(Tabela1[[#This Row],[MÊS]]&amp;Tabela1[[#This Row],[MATRICULA]]&amp;"Cliente"&amp;Tabela1[[#This Row],[SETOR]],BD!A:AF,31,0),"")</f>
        <v/>
      </c>
      <c r="AU21" s="21" t="str">
        <f>IFERROR(VLOOKUP(Tabela1[[#This Row],[MÊS]]&amp;Tabela1[[#This Row],[ID]]&amp;Tabela1[[#This Row],[MATRICULA]]&amp;"Cliente 2"&amp;Tabela1[[#This Row],[SETOR]],BD!A:AF,26,0),"")</f>
        <v/>
      </c>
      <c r="AX21" s="21" t="str">
        <f>IFERROR(VLOOKUP(Tabela1[[#This Row],[MÊS]]&amp;Tabela1[[#This Row],[MATRICULA]]&amp;"Policia"&amp;Tabela1[[#This Row],[SETOR]],BD!A:AF,31,0),"")</f>
        <v/>
      </c>
      <c r="AY21" s="21" t="str">
        <f>IFERROR(VLOOKUP(Tabela1[[#This Row],[MÊS]]&amp;Tabela1[[#This Row],[ID]]&amp;Tabela1[[#This Row],[MATRICULA]]&amp;"Policia 2"&amp;Tabela1[[#This Row],[SETOR]],BD!A:AF,26,0),"")</f>
        <v/>
      </c>
      <c r="AZ21" s="36" t="str">
        <f>IFERROR(VLOOKUP(Tabela1[[#This Row],[MÊS]]&amp;Tabela1[[#This Row],[ID]]&amp;Tabela1[[#This Row],[MATRICULA]]&amp;"Policia 3"&amp;Tabela1[[#This Row],[SETOR]],BD!A:AF,26,0),"")</f>
        <v/>
      </c>
      <c r="BA21" s="36" t="str">
        <f>IFERROR(VLOOKUP(Tabela1[[#This Row],[MÊS]]&amp;Tabela1[[#This Row],[ID]]&amp;Tabela1[[#This Row],[MATRICULA]]&amp;"Policia 4"&amp;Tabela1[[#This Row],[SETOR]],BD!A:AF,26,0),"")</f>
        <v/>
      </c>
      <c r="BB2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" s="21" t="str">
        <f>IFERROR(AVERAGE(Tabela1[[#This Row],[M]:[M4]]),"")</f>
        <v/>
      </c>
      <c r="BD21" s="21" t="str">
        <f>IFERROR(AVERAGE(Tabela1[[#This Row],[C]:[C4]]),"")</f>
        <v/>
      </c>
      <c r="BE21" s="21" t="str">
        <f>IFERROR(AVERAGE(Tabela1[[#This Row],[PA2]:[PA 4]]),"")</f>
        <v/>
      </c>
      <c r="BF21" s="21" t="str">
        <f>IFERROR(AVERAGE(Tabela1[[#This Row],[PL]:[PL4]]),"")</f>
        <v/>
      </c>
      <c r="BG21" s="35" t="str">
        <f>IFERROR(VLOOKUP(Tabela1[[#This Row],[MÊS]]&amp;Tabela1[[#This Row],[MATRICULA]],#REF!,2,0),"")</f>
        <v/>
      </c>
      <c r="BH21" s="35" t="str">
        <f>IFERROR(VLOOKUP(Tabela1[[#This Row],[MÊS]]&amp;Tabela1[[#This Row],[MATRICULA]],#REF!,2,0),"")</f>
        <v/>
      </c>
      <c r="BI21" s="35" t="str">
        <f>IFERROR(VLOOKUP(Tabela1[[#This Row],[MÊS]]&amp;Tabela1[[#This Row],[MATRICULA]],#REF!,2,0),"")</f>
        <v/>
      </c>
      <c r="BJ21" s="35" t="str">
        <f>IFERROR(VLOOKUP(Tabela1[[#This Row],[MÊS]]&amp;Tabela1[[#This Row],[MATRICULA]],#REF!,2,0),"")</f>
        <v/>
      </c>
      <c r="BK21" s="35" t="str">
        <f>IFERROR(VLOOKUP(Tabela1[[#This Row],[MÊS]]&amp;Tabela1[[#This Row],[MATRICULA]],#REF!,2,0),"")</f>
        <v/>
      </c>
      <c r="BL21" s="21">
        <f>COUNTIF(Tabela1[[#This Row],[MOT2]:[RECEPTIVA]],"NÃO ENCONTRADA")</f>
        <v>0</v>
      </c>
      <c r="BM21" s="135" t="str">
        <f>IFERROR(VLOOKUP(Tabela1[[#This Row],[MÊS]]&amp;Tabela1[[#This Row],[ID]]&amp;Tabela1[[#This Row],[MATRICULA]]&amp;"Motorista"&amp;Tabela1[[#This Row],[SETOR]],BD!A:AF,13,0),"")</f>
        <v/>
      </c>
      <c r="BN21" s="135" t="str">
        <f>IFERROR(VLOOKUP(Tabela1[[#This Row],[MÊS]]&amp;Tabela1[[#This Row],[ID]]&amp;Tabela1[[#This Row],[MATRICULA]]&amp;"Motorista 2"&amp;Tabela1[[#This Row],[SETOR]],BD!A:AF,13,0),"")</f>
        <v/>
      </c>
      <c r="BO21" s="135" t="str">
        <f>IFERROR(VLOOKUP(Tabela1[[#This Row],[MÊS]]&amp;Tabela1[[#This Row],[ID]]&amp;Tabela1[[#This Row],[MATRICULA]]&amp;"Motorista 3"&amp;Tabela1[[#This Row],[SETOR]],BD!A:AF,13,0),"")</f>
        <v/>
      </c>
      <c r="BP21" s="135" t="str">
        <f>IFERROR(VLOOKUP(Tabela1[[#This Row],[MÊS]]&amp;Tabela1[[#This Row],[ID]]&amp;Tabela1[[#This Row],[MATRICULA]]&amp;"Motorista 4"&amp;Tabela1[[#This Row],[SETOR]],BD!A:AF,13,0),"")</f>
        <v/>
      </c>
      <c r="BQ21" s="135" t="str">
        <f>IFERROR(AVERAGE(Tabela1[[#This Row],[DMOT]:[DMOT4]]),"")</f>
        <v/>
      </c>
      <c r="BR21" s="135" t="str">
        <f>IFERROR(VLOOKUP(Tabela1[[#This Row],[MÊS]]&amp;Tabela1[[#This Row],[ID]]&amp;Tabela1[[#This Row],[MATRICULA]]&amp;"Ponto de Apoio"&amp;Tabela1[[#This Row],[SETOR]],BD!A:AF,13,0),"")</f>
        <v/>
      </c>
      <c r="BS21" s="135" t="str">
        <f>IFERROR(VLOOKUP(Tabela1[[#This Row],[MÊS]]&amp;Tabela1[[#This Row],[ID]]&amp;Tabela1[[#This Row],[MATRICULA]]&amp;"Ponto de Apoio 2"&amp;Tabela1[[#This Row],[SETOR]],BD!A:AF,13,0),"")</f>
        <v/>
      </c>
      <c r="BT21" s="135" t="str">
        <f>IFERROR(VLOOKUP(Tabela1[[#This Row],[MÊS]]&amp;Tabela1[[#This Row],[ID]]&amp;Tabela1[[#This Row],[MATRICULA]]&amp;"Ponto de Apoio 3"&amp;Tabela1[[#This Row],[SETOR]],BD!A:AF,13,0),"")</f>
        <v/>
      </c>
      <c r="BU21" s="135" t="str">
        <f>IFERROR(VLOOKUP(Tabela1[[#This Row],[MÊS]]&amp;Tabela1[[#This Row],[ID]]&amp;Tabela1[[#This Row],[MATRICULA]]&amp;"Ponto de Apoio 4"&amp;Tabela1[[#This Row],[SETOR]],BD!A:AF,13,0),"")</f>
        <v/>
      </c>
      <c r="BV21" s="135" t="str">
        <f>IFERROR(AVERAGE(Tabela1[[#This Row],[DPA]:[DPA 4]]),"")</f>
        <v/>
      </c>
      <c r="BW21" s="135" t="str">
        <f>IFERROR(VLOOKUP(Tabela1[[#This Row],[MÊS]]&amp;Tabela1[[#This Row],[ID]]&amp;Tabela1[[#This Row],[MATRICULA]]&amp;"Cliente"&amp;Tabela1[[#This Row],[SETOR]],BD!A:AF,13,0),"")</f>
        <v/>
      </c>
      <c r="BX21" s="135" t="str">
        <f>IFERROR(VLOOKUP(Tabela1[[#This Row],[MÊS]]&amp;Tabela1[[#This Row],[ID]]&amp;Tabela1[[#This Row],[MATRICULA]]&amp;"cliente 2"&amp;Tabela1[[#This Row],[SETOR]],BD!A:AF,13,0),"")</f>
        <v/>
      </c>
      <c r="BY21" s="135" t="str">
        <f>IFERROR(VLOOKUP(Tabela1[[#This Row],[MÊS]]&amp;Tabela1[[#This Row],[ID]]&amp;Tabela1[[#This Row],[MATRICULA]]&amp;"cliente 3"&amp;Tabela1[[#This Row],[SETOR]],BD!A:AF,13,0),"")</f>
        <v/>
      </c>
      <c r="BZ21" s="135" t="str">
        <f>IFERROR(VLOOKUP(Tabela1[[#This Row],[MÊS]]&amp;Tabela1[[#This Row],[ID]]&amp;Tabela1[[#This Row],[MATRICULA]]&amp;"cliente 4"&amp;Tabela1[[#This Row],[SETOR]],BD!A:AF,13,0),"")</f>
        <v/>
      </c>
      <c r="CA21" s="135" t="str">
        <f>IFERROR(AVERAGE(Tabela1[[#This Row],[DCLI]:[DCLI 4]]),"")</f>
        <v/>
      </c>
      <c r="CB21" s="135" t="str">
        <f>IFERROR(VLOOKUP(Tabela1[[#This Row],[MÊS]]&amp;Tabela1[[#This Row],[ID]]&amp;Tabela1[[#This Row],[MATRICULA]]&amp;"Policia"&amp;Tabela1[[#This Row],[SETOR]],BD!A:AF,13,0),"")</f>
        <v/>
      </c>
      <c r="CC21" s="135" t="str">
        <f>IFERROR(VLOOKUP(Tabela1[[#This Row],[MÊS]]&amp;Tabela1[[#This Row],[ID]]&amp;Tabela1[[#This Row],[MATRICULA]]&amp;"Policia 2"&amp;Tabela1[[#This Row],[SETOR]],BD!A:AF,13,0),"")</f>
        <v/>
      </c>
      <c r="CD21" s="135"/>
      <c r="CE21" s="135"/>
      <c r="CF21" s="135" t="str">
        <f>IFERROR((AVERAGE(Tabela1[[#This Row],[DPOL1]:[DPOL4]])),"")</f>
        <v/>
      </c>
      <c r="CG21" s="21" t="str">
        <f>IFERROR(VLOOKUP(Tabela1[[#This Row],[ID]]&amp;Tabela1[[#This Row],[MÊS]]&amp;Tabela1[[#This Row],[MATRICULA]],#REF!,2,0),"")</f>
        <v/>
      </c>
      <c r="CH21" s="21" t="str">
        <f>IFERROR(VLOOKUP(Tabela1[[#This Row],[ID]]&amp;Tabela1[[#This Row],[MÊS]]&amp;Tabela1[[#This Row],[MATRICULA]],#REF!,2,0),"")</f>
        <v/>
      </c>
      <c r="CI21" s="21" t="str">
        <f>IFERROR(VLOOKUP(Tabela1[[#This Row],[MÊS]]&amp;Tabela1[[#This Row],[MATRICULA]],#REF!,2,0),"")</f>
        <v/>
      </c>
    </row>
    <row r="22" spans="1:87">
      <c r="A22" s="12" t="str">
        <f>Tabela1[[#This Row],[MÊS]]&amp;Tabela1[[#This Row],[MATRICULA]]&amp;Tabela1[[#This Row],[ID]]</f>
        <v>JAN115189</v>
      </c>
      <c r="B22" s="12" t="str">
        <f>Tabela1[[#This Row],[MÊS]]&amp;Tabela1[[#This Row],[ID]]&amp;Tabela1[[#This Row],[MATRICULA]]&amp;Tabela1[[#This Row],[SETOR]]</f>
        <v>JAN911518RECEPTIVO</v>
      </c>
      <c r="C22" s="130" t="e">
        <f>VLOOKUP(Tabela1[[#This Row],[MATRICULA]],'BD Campos'!A:D,5,0)</f>
        <v>#REF!</v>
      </c>
      <c r="D22" s="133" t="str">
        <f ca="1">IFERROR(SUM(TODAY()-Tabela1[[#This Row],[ADMISSÃO]]),"")</f>
        <v/>
      </c>
      <c r="E22" s="11" t="str">
        <f ca="1">IFERROR(TRUNC(Tabela1[[#This Row],[TEMPO DE CASA (DIAS)]]/30),"")</f>
        <v/>
      </c>
      <c r="F22" s="32" t="str">
        <f ca="1">IFERROR(SUM(Tabela1[[#This Row],[TEMPO DE CASA (MESES)]]/12),"")</f>
        <v/>
      </c>
      <c r="G22" s="133" t="str">
        <f ca="1">IF(Tabela1[[#This Row],[TEMPO DE CASA (DIAS)]]="","SEM DADOS",IF(Tabela1[[#This Row],[TEMPO DE CASA (DIAS)]]&gt;180,"&gt; 6 MESES","&lt; 6 MESES"))</f>
        <v>SEM DADOS</v>
      </c>
      <c r="H22" s="12" t="str">
        <f>K22&amp;S22&amp;J22</f>
        <v>JANCarlos Eduardo9</v>
      </c>
      <c r="I22" s="12" t="str">
        <f>IFERROR(VLOOKUP(Tabela1[[#This Row],[MATRICULA]],'BD Campos'!A:F,7,0),"")</f>
        <v/>
      </c>
      <c r="J22" s="11">
        <v>9</v>
      </c>
      <c r="K22" s="11" t="s">
        <v>669</v>
      </c>
      <c r="L22" s="136">
        <v>11518</v>
      </c>
      <c r="M22" s="12" t="str">
        <f>IFERROR(VLOOKUP(Tabela1[[#This Row],[MATRICULA]],'BD Campos'!A:B,2,0),"")</f>
        <v>SELMA VITORIA BATISTA VIEIRA</v>
      </c>
      <c r="N22" s="20" t="str">
        <f>IFERROR(AVERAGE(Tabela1[[#This Row],[A1]:[A4]]),"")</f>
        <v/>
      </c>
      <c r="O22" s="20" t="str">
        <f>IFERROR(IF(Tabela1[[#This Row],[SETOR]]="RECEPTIVO","",AVERAGE(Tabela1[[#This Row],[A5]:[A6]])),"")</f>
        <v/>
      </c>
      <c r="P22" s="20" t="str">
        <f>IFERROR(IF(Tabela1[[#This Row],[STATUS]]="INATIVO","INATIVO",IF(Tabela1[[#This Row],[STATUS]]="QRT","INATIVO",IF(Tabela1[[#This Row],[OPERACIONAL]]&gt;7.99999,"BOM","RUIM"))),"")</f>
        <v>INATIVO</v>
      </c>
      <c r="Q22" s="21" t="s">
        <v>670</v>
      </c>
      <c r="R22" s="12" t="s">
        <v>672</v>
      </c>
      <c r="S22" s="12" t="s">
        <v>671</v>
      </c>
      <c r="T22" s="12" t="s">
        <v>156</v>
      </c>
      <c r="U2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2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22" s="12">
        <f>IF(AND(Tabela1[[#This Row],[SETOR]]="UTI",Tabela1[[#This Row],[M]]&lt;&gt;""),1,IF(AND(Tabela1[[#This Row],[SETOR]]="UTI (RJ)",Tabela1[[#This Row],[M]]&lt;&gt;""),1.5,0))</f>
        <v>0</v>
      </c>
      <c r="X22" s="12">
        <f>IF(AND(Tabela1[[#This Row],[SETOR]]="UTI",Tabela1[[#This Row],[PA2]]&lt;&gt;""),1,IF(AND(Tabela1[[#This Row],[SETOR]]="UTI (RJ)",Tabela1[[#This Row],[PA2]]&lt;&gt;""),0,0))</f>
        <v>0</v>
      </c>
      <c r="Y22" s="12">
        <f>IF(AND(Tabela1[[#This Row],[SETOR]]="UTI",Tabela1[[#This Row],[C]]&lt;&gt;""),1,IF(AND(Tabela1[[#This Row],[SETOR]]="UTI (RJ)",Tabela1[[#This Row],[C]]&lt;&gt;""),1.5,0))</f>
        <v>0</v>
      </c>
      <c r="Z22" s="12">
        <f>IF(AND(Tabela1[[#This Row],[SETOR]]="UTI",Tabela1[[#This Row],[PL]]&lt;&gt;""),1,IF(AND(Tabela1[[#This Row],[SETOR]]="UTI (RJ)",Tabela1[[#This Row],[PL]]&lt;&gt;""),1,0))</f>
        <v>0</v>
      </c>
      <c r="AA22" s="21" t="str">
        <f>IFERROR(VLOOKUP(Tabela1[[#This Row],[MÊS]]&amp;Tabela1[[#This Row],[MATRICULA]]&amp;"1"&amp;Tabela1[[#This Row],[SETOR]]&amp;"PADRÃO",BD!B:AF,31,0),"")</f>
        <v/>
      </c>
      <c r="AB22" s="21" t="str">
        <f>IFERROR(VLOOKUP(Tabela1[[#This Row],[MÊS]]&amp;Tabela1[[#This Row],[MATRICULA]]&amp;"2"&amp;Tabela1[[#This Row],[SETOR]]&amp;"PADRÃO",BD!B:AF,31,0),"")</f>
        <v/>
      </c>
      <c r="AC22" s="21" t="str">
        <f>IFERROR(VLOOKUP(Tabela1[[#This Row],[MÊS]]&amp;Tabela1[[#This Row],[MATRICULA]]&amp;"3"&amp;Tabela1[[#This Row],[SETOR]]&amp;"PADRÃO",BD!B:AF,31,0),"")</f>
        <v/>
      </c>
      <c r="AD22" s="21" t="str">
        <f>IFERROR(VLOOKUP(Tabela1[[#This Row],[MÊS]]&amp;Tabela1[[#This Row],[MATRICULA]]&amp;"4"&amp;Tabela1[[#This Row],[SETOR]]&amp;"PADRÃO",BD!B:AF,25,0),"")</f>
        <v/>
      </c>
      <c r="AE22" s="21" t="str">
        <f>IFERROR(VLOOKUP(Tabela1[[#This Row],[MÊS]]&amp;Tabela1[[#This Row],[MATRICULA]]&amp;"5"&amp;Tabela1[[#This Row],[SETOR]]&amp;"PADRÃO",BD!B:AF,31,0),"")</f>
        <v/>
      </c>
      <c r="AF22" s="21" t="str">
        <f>IFERROR(VLOOKUP(Tabela1[[#This Row],[MÊS]]&amp;Tabela1[[#This Row],[MATRICULA]]&amp;"6"&amp;Tabela1[[#This Row],[SETOR]]&amp;"PADRÃO",BD!B:AF,31,0),"")</f>
        <v/>
      </c>
      <c r="AG22" s="21" t="str">
        <f>IFERROR(VLOOKUP(Tabela1[[#This Row],[MÊS]]&amp;Tabela1[[#This Row],[MATRICULA]]&amp;"7"&amp;Tabela1[[#This Row],[SETOR]]&amp;"PADRÃO",BD!B:AF,31,0),"")</f>
        <v/>
      </c>
      <c r="AH22" s="21" t="str">
        <f>IFERROR(VLOOKUP(Tabela1[[#This Row],[MÊS]]&amp;Tabela1[[#This Row],[ID]]&amp;Tabela1[[#This Row],[MATRICULA]]&amp;"Receptiva"&amp;Tabela1[[#This Row],[SETOR]],BD!A:AF,31,0),"")</f>
        <v/>
      </c>
      <c r="AI22" s="21" t="str">
        <f>IFERROR(VLOOKUP(Tabela1[[#This Row],[MÊS]]&amp;Tabela1[[#This Row],[ID]]&amp;Tabela1[[#This Row],[MATRICULA]]&amp;"Receptiva 2"&amp;Tabela1[[#This Row],[SETOR]],BD!A:AF,31,0),"")</f>
        <v/>
      </c>
      <c r="AJ22" s="21" t="str">
        <f>IFERROR(VLOOKUP(Tabela1[[#This Row],[MÊS]]&amp;Tabela1[[#This Row],[ID]]&amp;Tabela1[[#This Row],[MATRICULA]]&amp;"Receptiva 3"&amp;Tabela1[[#This Row],[SETOR]],BD!A:AF,31,0),"")</f>
        <v/>
      </c>
      <c r="AK22" s="21" t="str">
        <f>IFERROR(VLOOKUP(Tabela1[[#This Row],[MÊS]]&amp;Tabela1[[#This Row],[ID]]&amp;Tabela1[[#This Row],[MATRICULA]]&amp;"Receptiva 4"&amp;Tabela1[[#This Row],[SETOR]],BD!A:AF,31,0),"")</f>
        <v/>
      </c>
      <c r="AL22" s="21" t="str">
        <f>IFERROR(VLOOKUP(Tabela1[[#This Row],[MÊS]]&amp;Tabela1[[#This Row],[MATRICULA]]&amp;"Motorista"&amp;Tabela1[[#This Row],[SETOR]],BD!A:AF,31,0),"")</f>
        <v/>
      </c>
      <c r="AM22" s="21" t="str">
        <f>IFERROR(VLOOKUP(Tabela1[[#This Row],[MÊS]]&amp;Tabela1[[#This Row],[ID]]&amp;Tabela1[[#This Row],[MATRICULA]]&amp;"Motorista 2"&amp;Tabela1[[#This Row],[SETOR]],BD!A:AF,26,0),"")</f>
        <v/>
      </c>
      <c r="AN22" s="21" t="str">
        <f>IFERROR(VLOOKUP(Tabela1[[#This Row],[MÊS]]&amp;Tabela1[[#This Row],[ID]]&amp;Tabela1[[#This Row],[MATRICULA]]&amp;"Motorista 3"&amp;Tabela1[[#This Row],[SETOR]],BD!A:AF,26,0),"")</f>
        <v/>
      </c>
      <c r="AO22" s="21" t="str">
        <f>IFERROR(VLOOKUP(Tabela1[[#This Row],[MÊS]]&amp;Tabela1[[#This Row],[ID]]&amp;Tabela1[[#This Row],[MATRICULA]]&amp;"Motorista 4"&amp;Tabela1[[#This Row],[SETOR]],BD!A:AF,26,0),"")</f>
        <v/>
      </c>
      <c r="AP22" s="21" t="str">
        <f>IFERROR(VLOOKUP(Tabela1[[#This Row],[MÊS]]&amp;Tabela1[[#This Row],[MATRICULA]]&amp;"Ponto de Apoio"&amp;Tabela1[[#This Row],[SETOR]],BD!A:AF,31,0),"")</f>
        <v/>
      </c>
      <c r="AQ22" s="21" t="str">
        <f>IFERROR(VLOOKUP(Tabela1[[#This Row],[MÊS]]&amp;Tabela1[[#This Row],[ID]]&amp;Tabela1[[#This Row],[MATRICULA]]&amp;"Ponto de Apoio 2"&amp;Tabela1[[#This Row],[SETOR]],BD!A:AF,26,0),"")</f>
        <v/>
      </c>
      <c r="AR22" s="36" t="str">
        <f>IFERROR(VLOOKUP(Tabela1[[#This Row],[MÊS]]&amp;Tabela1[[#This Row],[ID]]&amp;Tabela1[[#This Row],[MATRICULA]]&amp;"Ponto de Apoio 3"&amp;Tabela1[[#This Row],[SETOR]],BD!A:AF,26,0),"")</f>
        <v/>
      </c>
      <c r="AS22" s="36" t="str">
        <f>IFERROR(VLOOKUP(Tabela1[[#This Row],[MÊS]]&amp;Tabela1[[#This Row],[ID]]&amp;Tabela1[[#This Row],[MATRICULA]]&amp;"Ponto de Apoio 4"&amp;Tabela1[[#This Row],[SETOR]],BD!A:AF,26,0),"")</f>
        <v/>
      </c>
      <c r="AT22" s="21" t="str">
        <f>IFERROR(VLOOKUP(Tabela1[[#This Row],[MÊS]]&amp;Tabela1[[#This Row],[MATRICULA]]&amp;"Cliente"&amp;Tabela1[[#This Row],[SETOR]],BD!A:AF,31,0),"")</f>
        <v/>
      </c>
      <c r="AU22" s="21" t="str">
        <f>IFERROR(VLOOKUP(Tabela1[[#This Row],[MÊS]]&amp;Tabela1[[#This Row],[ID]]&amp;Tabela1[[#This Row],[MATRICULA]]&amp;"Cliente 2"&amp;Tabela1[[#This Row],[SETOR]],BD!A:AF,26,0),"")</f>
        <v/>
      </c>
      <c r="AX22" s="21" t="str">
        <f>IFERROR(VLOOKUP(Tabela1[[#This Row],[MÊS]]&amp;Tabela1[[#This Row],[MATRICULA]]&amp;"Policia"&amp;Tabela1[[#This Row],[SETOR]],BD!A:AF,31,0),"")</f>
        <v/>
      </c>
      <c r="AY22" s="21" t="str">
        <f>IFERROR(VLOOKUP(Tabela1[[#This Row],[MÊS]]&amp;Tabela1[[#This Row],[ID]]&amp;Tabela1[[#This Row],[MATRICULA]]&amp;"Policia 2"&amp;Tabela1[[#This Row],[SETOR]],BD!A:AF,26,0),"")</f>
        <v/>
      </c>
      <c r="AZ22" s="36" t="str">
        <f>IFERROR(VLOOKUP(Tabela1[[#This Row],[MÊS]]&amp;Tabela1[[#This Row],[ID]]&amp;Tabela1[[#This Row],[MATRICULA]]&amp;"Policia 3"&amp;Tabela1[[#This Row],[SETOR]],BD!A:AF,26,0),"")</f>
        <v/>
      </c>
      <c r="BA22" s="36" t="str">
        <f>IFERROR(VLOOKUP(Tabela1[[#This Row],[MÊS]]&amp;Tabela1[[#This Row],[ID]]&amp;Tabela1[[#This Row],[MATRICULA]]&amp;"Policia 4"&amp;Tabela1[[#This Row],[SETOR]],BD!A:AF,26,0),"")</f>
        <v/>
      </c>
      <c r="BB2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2" s="21" t="str">
        <f>IFERROR(AVERAGE(Tabela1[[#This Row],[M]:[M4]]),"")</f>
        <v/>
      </c>
      <c r="BD22" s="21" t="str">
        <f>IFERROR(AVERAGE(Tabela1[[#This Row],[C]:[C4]]),"")</f>
        <v/>
      </c>
      <c r="BE22" s="21" t="str">
        <f>IFERROR(AVERAGE(Tabela1[[#This Row],[PA2]:[PA 4]]),"")</f>
        <v/>
      </c>
      <c r="BF22" s="21" t="str">
        <f>IFERROR(AVERAGE(Tabela1[[#This Row],[PL]:[PL4]]),"")</f>
        <v/>
      </c>
      <c r="BG22" s="35" t="str">
        <f>IFERROR(VLOOKUP(Tabela1[[#This Row],[MÊS]]&amp;Tabela1[[#This Row],[MATRICULA]],#REF!,2,0),"")</f>
        <v/>
      </c>
      <c r="BH22" s="35" t="str">
        <f>IFERROR(VLOOKUP(Tabela1[[#This Row],[MÊS]]&amp;Tabela1[[#This Row],[MATRICULA]],#REF!,2,0),"")</f>
        <v/>
      </c>
      <c r="BI22" s="35" t="str">
        <f>IFERROR(VLOOKUP(Tabela1[[#This Row],[MÊS]]&amp;Tabela1[[#This Row],[MATRICULA]],#REF!,2,0),"")</f>
        <v/>
      </c>
      <c r="BJ22" s="35" t="str">
        <f>IFERROR(VLOOKUP(Tabela1[[#This Row],[MÊS]]&amp;Tabela1[[#This Row],[MATRICULA]],#REF!,2,0),"")</f>
        <v/>
      </c>
      <c r="BK22" s="35" t="str">
        <f>IFERROR(VLOOKUP(Tabela1[[#This Row],[MÊS]]&amp;Tabela1[[#This Row],[MATRICULA]],#REF!,2,0),"")</f>
        <v/>
      </c>
      <c r="BL22" s="21">
        <f>COUNTIF(Tabela1[[#This Row],[MOT2]:[RECEPTIVA]],"NÃO ENCONTRADA")</f>
        <v>0</v>
      </c>
      <c r="BM22" s="135" t="str">
        <f>IFERROR(VLOOKUP(Tabela1[[#This Row],[MÊS]]&amp;Tabela1[[#This Row],[ID]]&amp;Tabela1[[#This Row],[MATRICULA]]&amp;"Motorista"&amp;Tabela1[[#This Row],[SETOR]],BD!A:AF,13,0),"")</f>
        <v/>
      </c>
      <c r="BN22" s="135" t="str">
        <f>IFERROR(VLOOKUP(Tabela1[[#This Row],[MÊS]]&amp;Tabela1[[#This Row],[ID]]&amp;Tabela1[[#This Row],[MATRICULA]]&amp;"Motorista 2"&amp;Tabela1[[#This Row],[SETOR]],BD!A:AF,13,0),"")</f>
        <v/>
      </c>
      <c r="BO22" s="135" t="str">
        <f>IFERROR(VLOOKUP(Tabela1[[#This Row],[MÊS]]&amp;Tabela1[[#This Row],[ID]]&amp;Tabela1[[#This Row],[MATRICULA]]&amp;"Motorista 3"&amp;Tabela1[[#This Row],[SETOR]],BD!A:AF,13,0),"")</f>
        <v/>
      </c>
      <c r="BP22" s="135" t="str">
        <f>IFERROR(VLOOKUP(Tabela1[[#This Row],[MÊS]]&amp;Tabela1[[#This Row],[ID]]&amp;Tabela1[[#This Row],[MATRICULA]]&amp;"Motorista 4"&amp;Tabela1[[#This Row],[SETOR]],BD!A:AF,13,0),"")</f>
        <v/>
      </c>
      <c r="BQ22" s="135" t="str">
        <f>IFERROR(AVERAGE(Tabela1[[#This Row],[DMOT]:[DMOT4]]),"")</f>
        <v/>
      </c>
      <c r="BR22" s="135" t="str">
        <f>IFERROR(VLOOKUP(Tabela1[[#This Row],[MÊS]]&amp;Tabela1[[#This Row],[ID]]&amp;Tabela1[[#This Row],[MATRICULA]]&amp;"Ponto de Apoio"&amp;Tabela1[[#This Row],[SETOR]],BD!A:AF,13,0),"")</f>
        <v/>
      </c>
      <c r="BS22" s="135" t="str">
        <f>IFERROR(VLOOKUP(Tabela1[[#This Row],[MÊS]]&amp;Tabela1[[#This Row],[ID]]&amp;Tabela1[[#This Row],[MATRICULA]]&amp;"Ponto de Apoio 2"&amp;Tabela1[[#This Row],[SETOR]],BD!A:AF,13,0),"")</f>
        <v/>
      </c>
      <c r="BT22" s="135" t="str">
        <f>IFERROR(VLOOKUP(Tabela1[[#This Row],[MÊS]]&amp;Tabela1[[#This Row],[ID]]&amp;Tabela1[[#This Row],[MATRICULA]]&amp;"Ponto de Apoio 3"&amp;Tabela1[[#This Row],[SETOR]],BD!A:AF,13,0),"")</f>
        <v/>
      </c>
      <c r="BU22" s="135" t="str">
        <f>IFERROR(VLOOKUP(Tabela1[[#This Row],[MÊS]]&amp;Tabela1[[#This Row],[ID]]&amp;Tabela1[[#This Row],[MATRICULA]]&amp;"Ponto de Apoio 4"&amp;Tabela1[[#This Row],[SETOR]],BD!A:AF,13,0),"")</f>
        <v/>
      </c>
      <c r="BV22" s="135" t="str">
        <f>IFERROR(AVERAGE(Tabela1[[#This Row],[DPA]:[DPA 4]]),"")</f>
        <v/>
      </c>
      <c r="BW22" s="135" t="str">
        <f>IFERROR(VLOOKUP(Tabela1[[#This Row],[MÊS]]&amp;Tabela1[[#This Row],[ID]]&amp;Tabela1[[#This Row],[MATRICULA]]&amp;"Cliente"&amp;Tabela1[[#This Row],[SETOR]],BD!A:AF,13,0),"")</f>
        <v/>
      </c>
      <c r="BX22" s="135" t="str">
        <f>IFERROR(VLOOKUP(Tabela1[[#This Row],[MÊS]]&amp;Tabela1[[#This Row],[ID]]&amp;Tabela1[[#This Row],[MATRICULA]]&amp;"cliente 2"&amp;Tabela1[[#This Row],[SETOR]],BD!A:AF,13,0),"")</f>
        <v/>
      </c>
      <c r="BY22" s="135" t="str">
        <f>IFERROR(VLOOKUP(Tabela1[[#This Row],[MÊS]]&amp;Tabela1[[#This Row],[ID]]&amp;Tabela1[[#This Row],[MATRICULA]]&amp;"cliente 3"&amp;Tabela1[[#This Row],[SETOR]],BD!A:AF,13,0),"")</f>
        <v/>
      </c>
      <c r="BZ22" s="135" t="str">
        <f>IFERROR(VLOOKUP(Tabela1[[#This Row],[MÊS]]&amp;Tabela1[[#This Row],[ID]]&amp;Tabela1[[#This Row],[MATRICULA]]&amp;"cliente 4"&amp;Tabela1[[#This Row],[SETOR]],BD!A:AF,13,0),"")</f>
        <v/>
      </c>
      <c r="CA22" s="135" t="str">
        <f>IFERROR(AVERAGE(Tabela1[[#This Row],[DCLI]:[DCLI 4]]),"")</f>
        <v/>
      </c>
      <c r="CB22" s="135" t="str">
        <f>IFERROR(VLOOKUP(Tabela1[[#This Row],[MÊS]]&amp;Tabela1[[#This Row],[ID]]&amp;Tabela1[[#This Row],[MATRICULA]]&amp;"Policia"&amp;Tabela1[[#This Row],[SETOR]],BD!A:AF,13,0),"")</f>
        <v/>
      </c>
      <c r="CC22" s="135" t="str">
        <f>IFERROR(VLOOKUP(Tabela1[[#This Row],[MÊS]]&amp;Tabela1[[#This Row],[ID]]&amp;Tabela1[[#This Row],[MATRICULA]]&amp;"Policia 2"&amp;Tabela1[[#This Row],[SETOR]],BD!A:AF,13,0),"")</f>
        <v/>
      </c>
      <c r="CD22" s="135"/>
      <c r="CE22" s="135"/>
      <c r="CF22" s="135" t="str">
        <f>IFERROR((AVERAGE(Tabela1[[#This Row],[DPOL1]:[DPOL4]])),"")</f>
        <v/>
      </c>
      <c r="CG22" s="21" t="str">
        <f>IFERROR(VLOOKUP(Tabela1[[#This Row],[ID]]&amp;Tabela1[[#This Row],[MÊS]]&amp;Tabela1[[#This Row],[MATRICULA]],#REF!,2,0),"")</f>
        <v/>
      </c>
      <c r="CH22" s="21" t="str">
        <f>IFERROR(VLOOKUP(Tabela1[[#This Row],[ID]]&amp;Tabela1[[#This Row],[MÊS]]&amp;Tabela1[[#This Row],[MATRICULA]],#REF!,2,0),"")</f>
        <v/>
      </c>
      <c r="CI22" s="21" t="str">
        <f>IFERROR(VLOOKUP(Tabela1[[#This Row],[MÊS]]&amp;Tabela1[[#This Row],[MATRICULA]],#REF!,2,0),"")</f>
        <v/>
      </c>
    </row>
    <row r="23" spans="1:87">
      <c r="A23" s="12" t="str">
        <f>Tabela1[[#This Row],[MÊS]]&amp;Tabela1[[#This Row],[MATRICULA]]&amp;Tabela1[[#This Row],[ID]]</f>
        <v>JAN109101</v>
      </c>
      <c r="B23" s="12" t="str">
        <f>Tabela1[[#This Row],[MÊS]]&amp;Tabela1[[#This Row],[ID]]&amp;Tabela1[[#This Row],[MATRICULA]]&amp;Tabela1[[#This Row],[SETOR]]</f>
        <v>JAN110910DISTRIBUIÇÃO</v>
      </c>
      <c r="C23" s="130" t="e">
        <f>VLOOKUP(Tabela1[[#This Row],[MATRICULA]],'BD Campos'!A:D,5,0)</f>
        <v>#REF!</v>
      </c>
      <c r="D23" s="133" t="str">
        <f ca="1">IFERROR(SUM(TODAY()-Tabela1[[#This Row],[ADMISSÃO]]),"")</f>
        <v/>
      </c>
      <c r="E23" s="11" t="str">
        <f ca="1">IFERROR(TRUNC(Tabela1[[#This Row],[TEMPO DE CASA (DIAS)]]/30),"")</f>
        <v/>
      </c>
      <c r="F23" s="32" t="str">
        <f ca="1">IFERROR(SUM(Tabela1[[#This Row],[TEMPO DE CASA (MESES)]]/12),"")</f>
        <v/>
      </c>
      <c r="G23" s="133" t="str">
        <f ca="1">IF(Tabela1[[#This Row],[TEMPO DE CASA (DIAS)]]="","SEM DADOS",IF(Tabela1[[#This Row],[TEMPO DE CASA (DIAS)]]&gt;180,"&gt; 6 MESES","&lt; 6 MESES"))</f>
        <v>SEM DADOS</v>
      </c>
      <c r="H23" s="12" t="str">
        <f t="shared" ref="H23:H36" si="3">K23&amp;S23&amp;J23</f>
        <v>JANThayssa de Almeida1</v>
      </c>
      <c r="I23" s="12" t="str">
        <f>IFERROR(VLOOKUP(Tabela1[[#This Row],[MATRICULA]],'BD Campos'!A:F,7,0),"")</f>
        <v/>
      </c>
      <c r="J23" s="11">
        <v>1</v>
      </c>
      <c r="K23" s="11" t="s">
        <v>669</v>
      </c>
      <c r="L23" s="136">
        <v>10910</v>
      </c>
      <c r="M23" s="12" t="str">
        <f>IFERROR(VLOOKUP(Tabela1[[#This Row],[MATRICULA]],'BD Campos'!A:B,2,0),"")</f>
        <v>JACKELINE MUNIZ DA SILVA</v>
      </c>
      <c r="N23" s="20" t="str">
        <f>IFERROR(AVERAGE(Tabela1[[#This Row],[A1]:[A4]]),"")</f>
        <v/>
      </c>
      <c r="O23" s="20" t="str">
        <f>IFERROR(IF(Tabela1[[#This Row],[SETOR]]="RECEPTIVO","",AVERAGE(Tabela1[[#This Row],[A5]:[A6]])),"")</f>
        <v/>
      </c>
      <c r="P23" s="20" t="str">
        <f>IFERROR(IF(Tabela1[[#This Row],[STATUS]]="INATIVO","INATIVO",IF(Tabela1[[#This Row],[STATUS]]="QRT","INATIVO",IF(Tabela1[[#This Row],[OPERACIONAL]]&gt;7.99999,"BOM","RUIM"))),"")</f>
        <v>INATIVO</v>
      </c>
      <c r="Q23" s="21" t="s">
        <v>670</v>
      </c>
      <c r="R23" s="12" t="s">
        <v>94</v>
      </c>
      <c r="S23" s="12" t="s">
        <v>673</v>
      </c>
      <c r="T23" s="12" t="s">
        <v>94</v>
      </c>
      <c r="U2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3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23" s="12">
        <f>IF(AND(Tabela1[[#This Row],[SETOR]]="UTI",Tabela1[[#This Row],[M]]&lt;&gt;""),1,IF(AND(Tabela1[[#This Row],[SETOR]]="UTI (RJ)",Tabela1[[#This Row],[M]]&lt;&gt;""),1.5,0))</f>
        <v>0</v>
      </c>
      <c r="X23" s="12">
        <f>IF(AND(Tabela1[[#This Row],[SETOR]]="UTI",Tabela1[[#This Row],[PA2]]&lt;&gt;""),1,IF(AND(Tabela1[[#This Row],[SETOR]]="UTI (RJ)",Tabela1[[#This Row],[PA2]]&lt;&gt;""),0,0))</f>
        <v>0</v>
      </c>
      <c r="Y23" s="12">
        <f>IF(AND(Tabela1[[#This Row],[SETOR]]="UTI",Tabela1[[#This Row],[C]]&lt;&gt;""),1,IF(AND(Tabela1[[#This Row],[SETOR]]="UTI (RJ)",Tabela1[[#This Row],[C]]&lt;&gt;""),1.5,0))</f>
        <v>0</v>
      </c>
      <c r="Z23" s="12">
        <f>IF(AND(Tabela1[[#This Row],[SETOR]]="UTI",Tabela1[[#This Row],[PL]]&lt;&gt;""),1,IF(AND(Tabela1[[#This Row],[SETOR]]="UTI (RJ)",Tabela1[[#This Row],[PL]]&lt;&gt;""),1,0))</f>
        <v>0</v>
      </c>
      <c r="AA23" s="21" t="str">
        <f>IFERROR(VLOOKUP(Tabela1[[#This Row],[MÊS]]&amp;Tabela1[[#This Row],[MATRICULA]]&amp;"1"&amp;Tabela1[[#This Row],[SETOR]]&amp;"PADRÃO",BD!B:AF,31,0),"")</f>
        <v/>
      </c>
      <c r="AB23" s="21" t="str">
        <f>IFERROR(VLOOKUP(Tabela1[[#This Row],[MÊS]]&amp;Tabela1[[#This Row],[MATRICULA]]&amp;"2"&amp;Tabela1[[#This Row],[SETOR]]&amp;"PADRÃO",BD!B:AF,31,0),"")</f>
        <v/>
      </c>
      <c r="AC23" s="21" t="str">
        <f>IFERROR(VLOOKUP(Tabela1[[#This Row],[MÊS]]&amp;Tabela1[[#This Row],[MATRICULA]]&amp;"3"&amp;Tabela1[[#This Row],[SETOR]]&amp;"PADRÃO",BD!B:AF,31,0),"")</f>
        <v/>
      </c>
      <c r="AD23" s="21" t="str">
        <f>IFERROR(VLOOKUP(Tabela1[[#This Row],[MÊS]]&amp;Tabela1[[#This Row],[MATRICULA]]&amp;"4"&amp;Tabela1[[#This Row],[SETOR]]&amp;"PADRÃO",BD!B:AF,25,0),"")</f>
        <v/>
      </c>
      <c r="AE23" s="21" t="str">
        <f>IFERROR(VLOOKUP(Tabela1[[#This Row],[MÊS]]&amp;Tabela1[[#This Row],[MATRICULA]]&amp;"5"&amp;Tabela1[[#This Row],[SETOR]]&amp;"PADRÃO",BD!B:AF,31,0),"")</f>
        <v/>
      </c>
      <c r="AF23" s="21" t="str">
        <f>IFERROR(VLOOKUP(Tabela1[[#This Row],[MÊS]]&amp;Tabela1[[#This Row],[MATRICULA]]&amp;"6"&amp;Tabela1[[#This Row],[SETOR]]&amp;"PADRÃO",BD!B:AF,31,0),"")</f>
        <v/>
      </c>
      <c r="AG23" s="21" t="str">
        <f>IFERROR(VLOOKUP(Tabela1[[#This Row],[MÊS]]&amp;Tabela1[[#This Row],[MATRICULA]]&amp;"7"&amp;Tabela1[[#This Row],[SETOR]]&amp;"PADRÃO",BD!B:AF,31,0),"")</f>
        <v/>
      </c>
      <c r="AH23" s="21" t="str">
        <f>IFERROR(VLOOKUP(Tabela1[[#This Row],[MÊS]]&amp;Tabela1[[#This Row],[ID]]&amp;Tabela1[[#This Row],[MATRICULA]]&amp;"Receptiva"&amp;Tabela1[[#This Row],[SETOR]],BD!A:AF,31,0),"")</f>
        <v/>
      </c>
      <c r="AI23" s="21" t="str">
        <f>IFERROR(VLOOKUP(Tabela1[[#This Row],[MÊS]]&amp;Tabela1[[#This Row],[ID]]&amp;Tabela1[[#This Row],[MATRICULA]]&amp;"Receptiva 2"&amp;Tabela1[[#This Row],[SETOR]],BD!A:AF,31,0),"")</f>
        <v/>
      </c>
      <c r="AJ23" s="21" t="str">
        <f>IFERROR(VLOOKUP(Tabela1[[#This Row],[MÊS]]&amp;Tabela1[[#This Row],[ID]]&amp;Tabela1[[#This Row],[MATRICULA]]&amp;"Receptiva 3"&amp;Tabela1[[#This Row],[SETOR]],BD!A:AF,31,0),"")</f>
        <v/>
      </c>
      <c r="AK23" s="21" t="str">
        <f>IFERROR(VLOOKUP(Tabela1[[#This Row],[MÊS]]&amp;Tabela1[[#This Row],[ID]]&amp;Tabela1[[#This Row],[MATRICULA]]&amp;"Receptiva 4"&amp;Tabela1[[#This Row],[SETOR]],BD!A:AF,31,0),"")</f>
        <v/>
      </c>
      <c r="AL23" s="21" t="str">
        <f>IFERROR(VLOOKUP(Tabela1[[#This Row],[MÊS]]&amp;Tabela1[[#This Row],[MATRICULA]]&amp;"Motorista"&amp;Tabela1[[#This Row],[SETOR]],BD!A:AF,31,0),"")</f>
        <v/>
      </c>
      <c r="AM23" s="21" t="str">
        <f>IFERROR(VLOOKUP(Tabela1[[#This Row],[MÊS]]&amp;Tabela1[[#This Row],[ID]]&amp;Tabela1[[#This Row],[MATRICULA]]&amp;"Motorista 2"&amp;Tabela1[[#This Row],[SETOR]],BD!A:AF,26,0),"")</f>
        <v/>
      </c>
      <c r="AN23" s="21" t="str">
        <f>IFERROR(VLOOKUP(Tabela1[[#This Row],[MÊS]]&amp;Tabela1[[#This Row],[ID]]&amp;Tabela1[[#This Row],[MATRICULA]]&amp;"Motorista 3"&amp;Tabela1[[#This Row],[SETOR]],BD!A:AF,26,0),"")</f>
        <v/>
      </c>
      <c r="AO23" s="21" t="str">
        <f>IFERROR(VLOOKUP(Tabela1[[#This Row],[MÊS]]&amp;Tabela1[[#This Row],[ID]]&amp;Tabela1[[#This Row],[MATRICULA]]&amp;"Motorista 4"&amp;Tabela1[[#This Row],[SETOR]],BD!A:AF,26,0),"")</f>
        <v/>
      </c>
      <c r="AP23" s="21" t="str">
        <f>IFERROR(VLOOKUP(Tabela1[[#This Row],[MÊS]]&amp;Tabela1[[#This Row],[MATRICULA]]&amp;"Ponto de Apoio"&amp;Tabela1[[#This Row],[SETOR]],BD!A:AF,31,0),"")</f>
        <v/>
      </c>
      <c r="AQ23" s="21" t="str">
        <f>IFERROR(VLOOKUP(Tabela1[[#This Row],[MÊS]]&amp;Tabela1[[#This Row],[ID]]&amp;Tabela1[[#This Row],[MATRICULA]]&amp;"Ponto de Apoio 2"&amp;Tabela1[[#This Row],[SETOR]],BD!A:AF,26,0),"")</f>
        <v/>
      </c>
      <c r="AR23" s="36" t="str">
        <f>IFERROR(VLOOKUP(Tabela1[[#This Row],[MÊS]]&amp;Tabela1[[#This Row],[ID]]&amp;Tabela1[[#This Row],[MATRICULA]]&amp;"Ponto de Apoio 3"&amp;Tabela1[[#This Row],[SETOR]],BD!A:AF,26,0),"")</f>
        <v/>
      </c>
      <c r="AS23" s="36" t="str">
        <f>IFERROR(VLOOKUP(Tabela1[[#This Row],[MÊS]]&amp;Tabela1[[#This Row],[ID]]&amp;Tabela1[[#This Row],[MATRICULA]]&amp;"Ponto de Apoio 4"&amp;Tabela1[[#This Row],[SETOR]],BD!A:AF,26,0),"")</f>
        <v/>
      </c>
      <c r="AT23" s="21" t="str">
        <f>IFERROR(VLOOKUP(Tabela1[[#This Row],[MÊS]]&amp;Tabela1[[#This Row],[MATRICULA]]&amp;"Cliente"&amp;Tabela1[[#This Row],[SETOR]],BD!A:AF,31,0),"")</f>
        <v/>
      </c>
      <c r="AU23" s="21" t="str">
        <f>IFERROR(VLOOKUP(Tabela1[[#This Row],[MÊS]]&amp;Tabela1[[#This Row],[ID]]&amp;Tabela1[[#This Row],[MATRICULA]]&amp;"Cliente 2"&amp;Tabela1[[#This Row],[SETOR]],BD!A:AF,26,0),"")</f>
        <v/>
      </c>
      <c r="AX23" s="21" t="str">
        <f>IFERROR(VLOOKUP(Tabela1[[#This Row],[MÊS]]&amp;Tabela1[[#This Row],[MATRICULA]]&amp;"Policia"&amp;Tabela1[[#This Row],[SETOR]],BD!A:AF,31,0),"")</f>
        <v/>
      </c>
      <c r="AY23" s="21" t="str">
        <f>IFERROR(VLOOKUP(Tabela1[[#This Row],[MÊS]]&amp;Tabela1[[#This Row],[ID]]&amp;Tabela1[[#This Row],[MATRICULA]]&amp;"Policia 2"&amp;Tabela1[[#This Row],[SETOR]],BD!A:AF,26,0),"")</f>
        <v/>
      </c>
      <c r="AZ23" s="36" t="str">
        <f>IFERROR(VLOOKUP(Tabela1[[#This Row],[MÊS]]&amp;Tabela1[[#This Row],[ID]]&amp;Tabela1[[#This Row],[MATRICULA]]&amp;"Policia 3"&amp;Tabela1[[#This Row],[SETOR]],BD!A:AF,26,0),"")</f>
        <v/>
      </c>
      <c r="BA23" s="36" t="str">
        <f>IFERROR(VLOOKUP(Tabela1[[#This Row],[MÊS]]&amp;Tabela1[[#This Row],[ID]]&amp;Tabela1[[#This Row],[MATRICULA]]&amp;"Policia 4"&amp;Tabela1[[#This Row],[SETOR]],BD!A:AF,26,0),"")</f>
        <v/>
      </c>
      <c r="BB2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3" s="21" t="str">
        <f>IFERROR(AVERAGE(Tabela1[[#This Row],[M]:[M4]]),"")</f>
        <v/>
      </c>
      <c r="BD23" s="21" t="str">
        <f>IFERROR(AVERAGE(Tabela1[[#This Row],[C]:[C4]]),"")</f>
        <v/>
      </c>
      <c r="BE23" s="21" t="str">
        <f>IFERROR(AVERAGE(Tabela1[[#This Row],[PA2]:[PA 4]]),"")</f>
        <v/>
      </c>
      <c r="BF23" s="21" t="str">
        <f>IFERROR(AVERAGE(Tabela1[[#This Row],[PL]:[PL4]]),"")</f>
        <v/>
      </c>
      <c r="BG23" s="35" t="str">
        <f>IFERROR(VLOOKUP(Tabela1[[#This Row],[MÊS]]&amp;Tabela1[[#This Row],[MATRICULA]],#REF!,2,0),"")</f>
        <v/>
      </c>
      <c r="BH23" s="35" t="str">
        <f>IFERROR(VLOOKUP(Tabela1[[#This Row],[MÊS]]&amp;Tabela1[[#This Row],[MATRICULA]],#REF!,2,0),"")</f>
        <v/>
      </c>
      <c r="BI23" s="35" t="str">
        <f>IFERROR(VLOOKUP(Tabela1[[#This Row],[MÊS]]&amp;Tabela1[[#This Row],[MATRICULA]],#REF!,2,0),"")</f>
        <v/>
      </c>
      <c r="BJ23" s="35" t="str">
        <f>IFERROR(VLOOKUP(Tabela1[[#This Row],[MÊS]]&amp;Tabela1[[#This Row],[MATRICULA]],#REF!,2,0),"")</f>
        <v/>
      </c>
      <c r="BK23" s="35" t="str">
        <f>IFERROR(VLOOKUP(Tabela1[[#This Row],[MÊS]]&amp;Tabela1[[#This Row],[MATRICULA]],#REF!,2,0),"")</f>
        <v/>
      </c>
      <c r="BL23" s="21">
        <f>COUNTIF(Tabela1[[#This Row],[MOT2]:[RECEPTIVA]],"NÃO ENCONTRADA")</f>
        <v>0</v>
      </c>
      <c r="BM23" s="135" t="str">
        <f>IFERROR(VLOOKUP(Tabela1[[#This Row],[MÊS]]&amp;Tabela1[[#This Row],[ID]]&amp;Tabela1[[#This Row],[MATRICULA]]&amp;"Motorista"&amp;Tabela1[[#This Row],[SETOR]],BD!A:AF,13,0),"")</f>
        <v/>
      </c>
      <c r="BN23" s="135" t="str">
        <f>IFERROR(VLOOKUP(Tabela1[[#This Row],[MÊS]]&amp;Tabela1[[#This Row],[ID]]&amp;Tabela1[[#This Row],[MATRICULA]]&amp;"Motorista 2"&amp;Tabela1[[#This Row],[SETOR]],BD!A:AF,13,0),"")</f>
        <v/>
      </c>
      <c r="BO23" s="135" t="str">
        <f>IFERROR(VLOOKUP(Tabela1[[#This Row],[MÊS]]&amp;Tabela1[[#This Row],[ID]]&amp;Tabela1[[#This Row],[MATRICULA]]&amp;"Motorista 3"&amp;Tabela1[[#This Row],[SETOR]],BD!A:AF,13,0),"")</f>
        <v/>
      </c>
      <c r="BP23" s="135" t="str">
        <f>IFERROR(VLOOKUP(Tabela1[[#This Row],[MÊS]]&amp;Tabela1[[#This Row],[ID]]&amp;Tabela1[[#This Row],[MATRICULA]]&amp;"Motorista 4"&amp;Tabela1[[#This Row],[SETOR]],BD!A:AF,13,0),"")</f>
        <v/>
      </c>
      <c r="BQ23" s="135" t="str">
        <f>IFERROR(AVERAGE(Tabela1[[#This Row],[DMOT]:[DMOT4]]),"")</f>
        <v/>
      </c>
      <c r="BR23" s="135" t="str">
        <f>IFERROR(VLOOKUP(Tabela1[[#This Row],[MÊS]]&amp;Tabela1[[#This Row],[ID]]&amp;Tabela1[[#This Row],[MATRICULA]]&amp;"Ponto de Apoio"&amp;Tabela1[[#This Row],[SETOR]],BD!A:AF,13,0),"")</f>
        <v/>
      </c>
      <c r="BS23" s="135" t="str">
        <f>IFERROR(VLOOKUP(Tabela1[[#This Row],[MÊS]]&amp;Tabela1[[#This Row],[ID]]&amp;Tabela1[[#This Row],[MATRICULA]]&amp;"Ponto de Apoio 2"&amp;Tabela1[[#This Row],[SETOR]],BD!A:AF,13,0),"")</f>
        <v/>
      </c>
      <c r="BT23" s="135" t="str">
        <f>IFERROR(VLOOKUP(Tabela1[[#This Row],[MÊS]]&amp;Tabela1[[#This Row],[ID]]&amp;Tabela1[[#This Row],[MATRICULA]]&amp;"Ponto de Apoio 3"&amp;Tabela1[[#This Row],[SETOR]],BD!A:AF,13,0),"")</f>
        <v/>
      </c>
      <c r="BU23" s="135" t="str">
        <f>IFERROR(VLOOKUP(Tabela1[[#This Row],[MÊS]]&amp;Tabela1[[#This Row],[ID]]&amp;Tabela1[[#This Row],[MATRICULA]]&amp;"Ponto de Apoio 4"&amp;Tabela1[[#This Row],[SETOR]],BD!A:AF,13,0),"")</f>
        <v/>
      </c>
      <c r="BV23" s="135" t="str">
        <f>IFERROR(AVERAGE(Tabela1[[#This Row],[DPA]:[DPA 4]]),"")</f>
        <v/>
      </c>
      <c r="BW23" s="135" t="str">
        <f>IFERROR(VLOOKUP(Tabela1[[#This Row],[MÊS]]&amp;Tabela1[[#This Row],[ID]]&amp;Tabela1[[#This Row],[MATRICULA]]&amp;"Cliente"&amp;Tabela1[[#This Row],[SETOR]],BD!A:AF,13,0),"")</f>
        <v/>
      </c>
      <c r="BX23" s="135" t="str">
        <f>IFERROR(VLOOKUP(Tabela1[[#This Row],[MÊS]]&amp;Tabela1[[#This Row],[ID]]&amp;Tabela1[[#This Row],[MATRICULA]]&amp;"cliente 2"&amp;Tabela1[[#This Row],[SETOR]],BD!A:AF,13,0),"")</f>
        <v/>
      </c>
      <c r="BY23" s="135" t="str">
        <f>IFERROR(VLOOKUP(Tabela1[[#This Row],[MÊS]]&amp;Tabela1[[#This Row],[ID]]&amp;Tabela1[[#This Row],[MATRICULA]]&amp;"cliente 3"&amp;Tabela1[[#This Row],[SETOR]],BD!A:AF,13,0),"")</f>
        <v/>
      </c>
      <c r="BZ23" s="135" t="str">
        <f>IFERROR(VLOOKUP(Tabela1[[#This Row],[MÊS]]&amp;Tabela1[[#This Row],[ID]]&amp;Tabela1[[#This Row],[MATRICULA]]&amp;"cliente 4"&amp;Tabela1[[#This Row],[SETOR]],BD!A:AF,13,0),"")</f>
        <v/>
      </c>
      <c r="CA23" s="135" t="str">
        <f>IFERROR(AVERAGE(Tabela1[[#This Row],[DCLI]:[DCLI 4]]),"")</f>
        <v/>
      </c>
      <c r="CB23" s="135" t="str">
        <f>IFERROR(VLOOKUP(Tabela1[[#This Row],[MÊS]]&amp;Tabela1[[#This Row],[ID]]&amp;Tabela1[[#This Row],[MATRICULA]]&amp;"Policia"&amp;Tabela1[[#This Row],[SETOR]],BD!A:AF,13,0),"")</f>
        <v/>
      </c>
      <c r="CC23" s="135" t="str">
        <f>IFERROR(VLOOKUP(Tabela1[[#This Row],[MÊS]]&amp;Tabela1[[#This Row],[ID]]&amp;Tabela1[[#This Row],[MATRICULA]]&amp;"Policia 2"&amp;Tabela1[[#This Row],[SETOR]],BD!A:AF,13,0),"")</f>
        <v/>
      </c>
      <c r="CD23" s="135"/>
      <c r="CE23" s="135"/>
      <c r="CF23" s="135" t="str">
        <f>IFERROR((AVERAGE(Tabela1[[#This Row],[DPOL1]:[DPOL4]])),"")</f>
        <v/>
      </c>
      <c r="CG23" s="21" t="str">
        <f>IFERROR(VLOOKUP(Tabela1[[#This Row],[ID]]&amp;Tabela1[[#This Row],[MÊS]]&amp;Tabela1[[#This Row],[MATRICULA]],#REF!,2,0),"")</f>
        <v/>
      </c>
      <c r="CH23" s="21" t="str">
        <f>IFERROR(VLOOKUP(Tabela1[[#This Row],[ID]]&amp;Tabela1[[#This Row],[MÊS]]&amp;Tabela1[[#This Row],[MATRICULA]],#REF!,2,0),"")</f>
        <v/>
      </c>
      <c r="CI23" s="21" t="str">
        <f>IFERROR(VLOOKUP(Tabela1[[#This Row],[MÊS]]&amp;Tabela1[[#This Row],[MATRICULA]],#REF!,2,0),"")</f>
        <v/>
      </c>
    </row>
    <row r="24" spans="1:87">
      <c r="A24" s="12" t="str">
        <f>Tabela1[[#This Row],[MÊS]]&amp;Tabela1[[#This Row],[MATRICULA]]&amp;Tabela1[[#This Row],[ID]]</f>
        <v>JAN113472</v>
      </c>
      <c r="B24" s="12" t="str">
        <f>Tabela1[[#This Row],[MÊS]]&amp;Tabela1[[#This Row],[ID]]&amp;Tabela1[[#This Row],[MATRICULA]]&amp;Tabela1[[#This Row],[SETOR]]</f>
        <v>JAN211347DISTRIBUIÇÃO</v>
      </c>
      <c r="C24" s="130" t="e">
        <f>VLOOKUP(Tabela1[[#This Row],[MATRICULA]],'BD Campos'!A:D,5,0)</f>
        <v>#REF!</v>
      </c>
      <c r="D24" s="133" t="str">
        <f ca="1">IFERROR(SUM(TODAY()-Tabela1[[#This Row],[ADMISSÃO]]),"")</f>
        <v/>
      </c>
      <c r="E24" s="11" t="str">
        <f ca="1">IFERROR(TRUNC(Tabela1[[#This Row],[TEMPO DE CASA (DIAS)]]/30),"")</f>
        <v/>
      </c>
      <c r="F24" s="32" t="str">
        <f ca="1">IFERROR(SUM(Tabela1[[#This Row],[TEMPO DE CASA (MESES)]]/12),"")</f>
        <v/>
      </c>
      <c r="G24" s="133" t="str">
        <f ca="1">IF(Tabela1[[#This Row],[TEMPO DE CASA (DIAS)]]="","SEM DADOS",IF(Tabela1[[#This Row],[TEMPO DE CASA (DIAS)]]&gt;180,"&gt; 6 MESES","&lt; 6 MESES"))</f>
        <v>SEM DADOS</v>
      </c>
      <c r="H24" s="12" t="str">
        <f t="shared" si="3"/>
        <v>JANThayssa de Almeida2</v>
      </c>
      <c r="I24" s="12" t="str">
        <f>IFERROR(VLOOKUP(Tabela1[[#This Row],[MATRICULA]],'BD Campos'!A:F,7,0),"")</f>
        <v/>
      </c>
      <c r="J24" s="11">
        <v>2</v>
      </c>
      <c r="K24" s="11" t="s">
        <v>669</v>
      </c>
      <c r="L24" s="136">
        <v>11347</v>
      </c>
      <c r="M24" s="12" t="str">
        <f>IFERROR(VLOOKUP(Tabela1[[#This Row],[MATRICULA]],'BD Campos'!A:B,2,0),"")</f>
        <v>JESSICA KARLA SCHUSTERSCHITZ COUTINHO</v>
      </c>
      <c r="N24" s="20">
        <f>IFERROR(AVERAGE(Tabela1[[#This Row],[A1]:[A4]]),"")</f>
        <v>4.1074999999999999</v>
      </c>
      <c r="O24" s="20" t="str">
        <f>IFERROR(IF(Tabela1[[#This Row],[SETOR]]="RECEPTIVO","",AVERAGE(Tabela1[[#This Row],[A5]:[A6]])),"")</f>
        <v/>
      </c>
      <c r="P24" s="20" t="str">
        <f>IFERROR(IF(Tabela1[[#This Row],[STATUS]]="INATIVO","INATIVO",IF(Tabela1[[#This Row],[STATUS]]="QRT","INATIVO",IF(Tabela1[[#This Row],[OPERACIONAL]]&gt;7.99999,"BOM","RUIM"))),"")</f>
        <v>RUIM</v>
      </c>
      <c r="Q24" s="21" t="s">
        <v>667</v>
      </c>
      <c r="R24" s="12" t="s">
        <v>94</v>
      </c>
      <c r="S24" s="12" t="s">
        <v>673</v>
      </c>
      <c r="T24" s="12" t="s">
        <v>94</v>
      </c>
      <c r="U2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4" s="12">
        <f>IF(AND(Tabela1[[#This Row],[SETOR]]="UTI",Tabela1[[#This Row],[M]]&lt;&gt;""),1,IF(AND(Tabela1[[#This Row],[SETOR]]="UTI (RJ)",Tabela1[[#This Row],[M]]&lt;&gt;""),1.5,0))</f>
        <v>0</v>
      </c>
      <c r="X24" s="12">
        <f>IF(AND(Tabela1[[#This Row],[SETOR]]="UTI",Tabela1[[#This Row],[PA2]]&lt;&gt;""),1,IF(AND(Tabela1[[#This Row],[SETOR]]="UTI (RJ)",Tabela1[[#This Row],[PA2]]&lt;&gt;""),0,0))</f>
        <v>0</v>
      </c>
      <c r="Y24" s="12">
        <f>IF(AND(Tabela1[[#This Row],[SETOR]]="UTI",Tabela1[[#This Row],[C]]&lt;&gt;""),1,IF(AND(Tabela1[[#This Row],[SETOR]]="UTI (RJ)",Tabela1[[#This Row],[C]]&lt;&gt;""),1.5,0))</f>
        <v>0</v>
      </c>
      <c r="Z24" s="12">
        <f>IF(AND(Tabela1[[#This Row],[SETOR]]="UTI",Tabela1[[#This Row],[PL]]&lt;&gt;""),1,IF(AND(Tabela1[[#This Row],[SETOR]]="UTI (RJ)",Tabela1[[#This Row],[PL]]&lt;&gt;""),1,0))</f>
        <v>0</v>
      </c>
      <c r="AA24" s="21">
        <f>IFERROR(VLOOKUP(Tabela1[[#This Row],[MÊS]]&amp;Tabela1[[#This Row],[MATRICULA]]&amp;"1"&amp;Tabela1[[#This Row],[SETOR]]&amp;"PADRÃO",BD!B:AF,31,0),"")</f>
        <v>8.2149999999999999</v>
      </c>
      <c r="AB24" s="21">
        <f>IFERROR(VLOOKUP(Tabela1[[#This Row],[MÊS]]&amp;Tabela1[[#This Row],[MATRICULA]]&amp;"2"&amp;Tabela1[[#This Row],[SETOR]]&amp;"PADRÃO",BD!B:AF,31,0),"")</f>
        <v>0</v>
      </c>
      <c r="AC24" s="21" t="str">
        <f>IFERROR(VLOOKUP(Tabela1[[#This Row],[MÊS]]&amp;Tabela1[[#This Row],[MATRICULA]]&amp;"3"&amp;Tabela1[[#This Row],[SETOR]]&amp;"PADRÃO",BD!B:AF,31,0),"")</f>
        <v/>
      </c>
      <c r="AD24" s="21" t="str">
        <f>IFERROR(VLOOKUP(Tabela1[[#This Row],[MÊS]]&amp;Tabela1[[#This Row],[MATRICULA]]&amp;"4"&amp;Tabela1[[#This Row],[SETOR]]&amp;"PADRÃO",BD!B:AF,25,0),"")</f>
        <v/>
      </c>
      <c r="AE24" s="21" t="str">
        <f>IFERROR(VLOOKUP(Tabela1[[#This Row],[MÊS]]&amp;Tabela1[[#This Row],[MATRICULA]]&amp;"5"&amp;Tabela1[[#This Row],[SETOR]]&amp;"PADRÃO",BD!B:AF,31,0),"")</f>
        <v/>
      </c>
      <c r="AF24" s="21" t="str">
        <f>IFERROR(VLOOKUP(Tabela1[[#This Row],[MÊS]]&amp;Tabela1[[#This Row],[MATRICULA]]&amp;"6"&amp;Tabela1[[#This Row],[SETOR]]&amp;"PADRÃO",BD!B:AF,31,0),"")</f>
        <v/>
      </c>
      <c r="AG24" s="21" t="str">
        <f>IFERROR(VLOOKUP(Tabela1[[#This Row],[MÊS]]&amp;Tabela1[[#This Row],[MATRICULA]]&amp;"7"&amp;Tabela1[[#This Row],[SETOR]]&amp;"PADRÃO",BD!B:AF,31,0),"")</f>
        <v/>
      </c>
      <c r="AH24" s="21" t="str">
        <f>IFERROR(VLOOKUP(Tabela1[[#This Row],[MÊS]]&amp;Tabela1[[#This Row],[ID]]&amp;Tabela1[[#This Row],[MATRICULA]]&amp;"Receptiva"&amp;Tabela1[[#This Row],[SETOR]],BD!A:AF,31,0),"")</f>
        <v/>
      </c>
      <c r="AI24" s="21" t="str">
        <f>IFERROR(VLOOKUP(Tabela1[[#This Row],[MÊS]]&amp;Tabela1[[#This Row],[ID]]&amp;Tabela1[[#This Row],[MATRICULA]]&amp;"Receptiva 2"&amp;Tabela1[[#This Row],[SETOR]],BD!A:AF,31,0),"")</f>
        <v/>
      </c>
      <c r="AJ24" s="21" t="str">
        <f>IFERROR(VLOOKUP(Tabela1[[#This Row],[MÊS]]&amp;Tabela1[[#This Row],[ID]]&amp;Tabela1[[#This Row],[MATRICULA]]&amp;"Receptiva 3"&amp;Tabela1[[#This Row],[SETOR]],BD!A:AF,31,0),"")</f>
        <v/>
      </c>
      <c r="AK24" s="21" t="str">
        <f>IFERROR(VLOOKUP(Tabela1[[#This Row],[MÊS]]&amp;Tabela1[[#This Row],[ID]]&amp;Tabela1[[#This Row],[MATRICULA]]&amp;"Receptiva 4"&amp;Tabela1[[#This Row],[SETOR]],BD!A:AF,31,0),"")</f>
        <v/>
      </c>
      <c r="AL24" s="21">
        <f>IFERROR(VLOOKUP(Tabela1[[#This Row],[MÊS]]&amp;Tabela1[[#This Row],[MATRICULA]]&amp;"Motorista"&amp;Tabela1[[#This Row],[SETOR]],BD!A:AF,31,0),"")</f>
        <v>0</v>
      </c>
      <c r="AM24" s="21" t="str">
        <f>IFERROR(VLOOKUP(Tabela1[[#This Row],[MÊS]]&amp;Tabela1[[#This Row],[ID]]&amp;Tabela1[[#This Row],[MATRICULA]]&amp;"Motorista 2"&amp;Tabela1[[#This Row],[SETOR]],BD!A:AF,26,0),"")</f>
        <v/>
      </c>
      <c r="AN24" s="21" t="str">
        <f>IFERROR(VLOOKUP(Tabela1[[#This Row],[MÊS]]&amp;Tabela1[[#This Row],[ID]]&amp;Tabela1[[#This Row],[MATRICULA]]&amp;"Motorista 3"&amp;Tabela1[[#This Row],[SETOR]],BD!A:AF,26,0),"")</f>
        <v/>
      </c>
      <c r="AO24" s="21" t="str">
        <f>IFERROR(VLOOKUP(Tabela1[[#This Row],[MÊS]]&amp;Tabela1[[#This Row],[ID]]&amp;Tabela1[[#This Row],[MATRICULA]]&amp;"Motorista 4"&amp;Tabela1[[#This Row],[SETOR]],BD!A:AF,26,0),"")</f>
        <v/>
      </c>
      <c r="AP24" s="21" t="str">
        <f>IFERROR(VLOOKUP(Tabela1[[#This Row],[MÊS]]&amp;Tabela1[[#This Row],[MATRICULA]]&amp;"Ponto de Apoio"&amp;Tabela1[[#This Row],[SETOR]],BD!A:AF,31,0),"")</f>
        <v/>
      </c>
      <c r="AQ24" s="21" t="str">
        <f>IFERROR(VLOOKUP(Tabela1[[#This Row],[MÊS]]&amp;Tabela1[[#This Row],[ID]]&amp;Tabela1[[#This Row],[MATRICULA]]&amp;"Ponto de Apoio 2"&amp;Tabela1[[#This Row],[SETOR]],BD!A:AF,26,0),"")</f>
        <v/>
      </c>
      <c r="AR24" s="36" t="str">
        <f>IFERROR(VLOOKUP(Tabela1[[#This Row],[MÊS]]&amp;Tabela1[[#This Row],[ID]]&amp;Tabela1[[#This Row],[MATRICULA]]&amp;"Ponto de Apoio 3"&amp;Tabela1[[#This Row],[SETOR]],BD!A:AF,26,0),"")</f>
        <v/>
      </c>
      <c r="AS24" s="36" t="str">
        <f>IFERROR(VLOOKUP(Tabela1[[#This Row],[MÊS]]&amp;Tabela1[[#This Row],[ID]]&amp;Tabela1[[#This Row],[MATRICULA]]&amp;"Ponto de Apoio 4"&amp;Tabela1[[#This Row],[SETOR]],BD!A:AF,26,0),"")</f>
        <v/>
      </c>
      <c r="AT24" s="21" t="str">
        <f>IFERROR(VLOOKUP(Tabela1[[#This Row],[MÊS]]&amp;Tabela1[[#This Row],[MATRICULA]]&amp;"Cliente"&amp;Tabela1[[#This Row],[SETOR]],BD!A:AF,31,0),"")</f>
        <v/>
      </c>
      <c r="AU24" s="21" t="str">
        <f>IFERROR(VLOOKUP(Tabela1[[#This Row],[MÊS]]&amp;Tabela1[[#This Row],[ID]]&amp;Tabela1[[#This Row],[MATRICULA]]&amp;"Cliente 2"&amp;Tabela1[[#This Row],[SETOR]],BD!A:AF,26,0),"")</f>
        <v/>
      </c>
      <c r="AX24" s="21" t="str">
        <f>IFERROR(VLOOKUP(Tabela1[[#This Row],[MÊS]]&amp;Tabela1[[#This Row],[MATRICULA]]&amp;"Policia"&amp;Tabela1[[#This Row],[SETOR]],BD!A:AF,31,0),"")</f>
        <v/>
      </c>
      <c r="AY24" s="21" t="str">
        <f>IFERROR(VLOOKUP(Tabela1[[#This Row],[MÊS]]&amp;Tabela1[[#This Row],[ID]]&amp;Tabela1[[#This Row],[MATRICULA]]&amp;"Policia 2"&amp;Tabela1[[#This Row],[SETOR]],BD!A:AF,26,0),"")</f>
        <v/>
      </c>
      <c r="AZ24" s="36" t="str">
        <f>IFERROR(VLOOKUP(Tabela1[[#This Row],[MÊS]]&amp;Tabela1[[#This Row],[ID]]&amp;Tabela1[[#This Row],[MATRICULA]]&amp;"Policia 3"&amp;Tabela1[[#This Row],[SETOR]],BD!A:AF,26,0),"")</f>
        <v/>
      </c>
      <c r="BA24" s="36" t="str">
        <f>IFERROR(VLOOKUP(Tabela1[[#This Row],[MÊS]]&amp;Tabela1[[#This Row],[ID]]&amp;Tabela1[[#This Row],[MATRICULA]]&amp;"Policia 4"&amp;Tabela1[[#This Row],[SETOR]],BD!A:AF,26,0),"")</f>
        <v/>
      </c>
      <c r="BB2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4" s="21">
        <f>IFERROR(AVERAGE(Tabela1[[#This Row],[M]:[M4]]),"")</f>
        <v>0</v>
      </c>
      <c r="BD24" s="21" t="str">
        <f>IFERROR(AVERAGE(Tabela1[[#This Row],[C]:[C4]]),"")</f>
        <v/>
      </c>
      <c r="BE24" s="21" t="str">
        <f>IFERROR(AVERAGE(Tabela1[[#This Row],[PA2]:[PA 4]]),"")</f>
        <v/>
      </c>
      <c r="BF24" s="21" t="str">
        <f>IFERROR(AVERAGE(Tabela1[[#This Row],[PL]:[PL4]]),"")</f>
        <v/>
      </c>
      <c r="BG24" s="35" t="str">
        <f>IFERROR(VLOOKUP(Tabela1[[#This Row],[MÊS]]&amp;Tabela1[[#This Row],[MATRICULA]],#REF!,2,0),"")</f>
        <v/>
      </c>
      <c r="BH24" s="35" t="str">
        <f>IFERROR(VLOOKUP(Tabela1[[#This Row],[MÊS]]&amp;Tabela1[[#This Row],[MATRICULA]],#REF!,2,0),"")</f>
        <v/>
      </c>
      <c r="BI24" s="35" t="str">
        <f>IFERROR(VLOOKUP(Tabela1[[#This Row],[MÊS]]&amp;Tabela1[[#This Row],[MATRICULA]],#REF!,2,0),"")</f>
        <v/>
      </c>
      <c r="BJ24" s="35" t="str">
        <f>IFERROR(VLOOKUP(Tabela1[[#This Row],[MÊS]]&amp;Tabela1[[#This Row],[MATRICULA]],#REF!,2,0),"")</f>
        <v/>
      </c>
      <c r="BK24" s="35" t="str">
        <f>IFERROR(VLOOKUP(Tabela1[[#This Row],[MÊS]]&amp;Tabela1[[#This Row],[MATRICULA]],#REF!,2,0),"")</f>
        <v/>
      </c>
      <c r="BL24" s="21">
        <f>COUNTIF(Tabela1[[#This Row],[MOT2]:[RECEPTIVA]],"NÃO ENCONTRADA")</f>
        <v>0</v>
      </c>
      <c r="BM24" s="135" t="str">
        <f>IFERROR(VLOOKUP(Tabela1[[#This Row],[MÊS]]&amp;Tabela1[[#This Row],[ID]]&amp;Tabela1[[#This Row],[MATRICULA]]&amp;"Motorista"&amp;Tabela1[[#This Row],[SETOR]],BD!A:AF,13,0),"")</f>
        <v/>
      </c>
      <c r="BN24" s="135" t="str">
        <f>IFERROR(VLOOKUP(Tabela1[[#This Row],[MÊS]]&amp;Tabela1[[#This Row],[ID]]&amp;Tabela1[[#This Row],[MATRICULA]]&amp;"Motorista 2"&amp;Tabela1[[#This Row],[SETOR]],BD!A:AF,13,0),"")</f>
        <v/>
      </c>
      <c r="BO24" s="135" t="str">
        <f>IFERROR(VLOOKUP(Tabela1[[#This Row],[MÊS]]&amp;Tabela1[[#This Row],[ID]]&amp;Tabela1[[#This Row],[MATRICULA]]&amp;"Motorista 3"&amp;Tabela1[[#This Row],[SETOR]],BD!A:AF,13,0),"")</f>
        <v/>
      </c>
      <c r="BP24" s="135" t="str">
        <f>IFERROR(VLOOKUP(Tabela1[[#This Row],[MÊS]]&amp;Tabela1[[#This Row],[ID]]&amp;Tabela1[[#This Row],[MATRICULA]]&amp;"Motorista 4"&amp;Tabela1[[#This Row],[SETOR]],BD!A:AF,13,0),"")</f>
        <v/>
      </c>
      <c r="BQ24" s="135" t="str">
        <f>IFERROR(AVERAGE(Tabela1[[#This Row],[DMOT]:[DMOT4]]),"")</f>
        <v/>
      </c>
      <c r="BR24" s="135" t="str">
        <f>IFERROR(VLOOKUP(Tabela1[[#This Row],[MÊS]]&amp;Tabela1[[#This Row],[ID]]&amp;Tabela1[[#This Row],[MATRICULA]]&amp;"Ponto de Apoio"&amp;Tabela1[[#This Row],[SETOR]],BD!A:AF,13,0),"")</f>
        <v/>
      </c>
      <c r="BS24" s="135" t="str">
        <f>IFERROR(VLOOKUP(Tabela1[[#This Row],[MÊS]]&amp;Tabela1[[#This Row],[ID]]&amp;Tabela1[[#This Row],[MATRICULA]]&amp;"Ponto de Apoio 2"&amp;Tabela1[[#This Row],[SETOR]],BD!A:AF,13,0),"")</f>
        <v/>
      </c>
      <c r="BT24" s="135" t="str">
        <f>IFERROR(VLOOKUP(Tabela1[[#This Row],[MÊS]]&amp;Tabela1[[#This Row],[ID]]&amp;Tabela1[[#This Row],[MATRICULA]]&amp;"Ponto de Apoio 3"&amp;Tabela1[[#This Row],[SETOR]],BD!A:AF,13,0),"")</f>
        <v/>
      </c>
      <c r="BU24" s="135" t="str">
        <f>IFERROR(VLOOKUP(Tabela1[[#This Row],[MÊS]]&amp;Tabela1[[#This Row],[ID]]&amp;Tabela1[[#This Row],[MATRICULA]]&amp;"Ponto de Apoio 4"&amp;Tabela1[[#This Row],[SETOR]],BD!A:AF,13,0),"")</f>
        <v/>
      </c>
      <c r="BV24" s="135" t="str">
        <f>IFERROR(AVERAGE(Tabela1[[#This Row],[DPA]:[DPA 4]]),"")</f>
        <v/>
      </c>
      <c r="BW24" s="135" t="str">
        <f>IFERROR(VLOOKUP(Tabela1[[#This Row],[MÊS]]&amp;Tabela1[[#This Row],[ID]]&amp;Tabela1[[#This Row],[MATRICULA]]&amp;"Cliente"&amp;Tabela1[[#This Row],[SETOR]],BD!A:AF,13,0),"")</f>
        <v/>
      </c>
      <c r="BX24" s="135" t="str">
        <f>IFERROR(VLOOKUP(Tabela1[[#This Row],[MÊS]]&amp;Tabela1[[#This Row],[ID]]&amp;Tabela1[[#This Row],[MATRICULA]]&amp;"cliente 2"&amp;Tabela1[[#This Row],[SETOR]],BD!A:AF,13,0),"")</f>
        <v/>
      </c>
      <c r="BY24" s="135" t="str">
        <f>IFERROR(VLOOKUP(Tabela1[[#This Row],[MÊS]]&amp;Tabela1[[#This Row],[ID]]&amp;Tabela1[[#This Row],[MATRICULA]]&amp;"cliente 3"&amp;Tabela1[[#This Row],[SETOR]],BD!A:AF,13,0),"")</f>
        <v/>
      </c>
      <c r="BZ24" s="135" t="str">
        <f>IFERROR(VLOOKUP(Tabela1[[#This Row],[MÊS]]&amp;Tabela1[[#This Row],[ID]]&amp;Tabela1[[#This Row],[MATRICULA]]&amp;"cliente 4"&amp;Tabela1[[#This Row],[SETOR]],BD!A:AF,13,0),"")</f>
        <v/>
      </c>
      <c r="CA24" s="135" t="str">
        <f>IFERROR(AVERAGE(Tabela1[[#This Row],[DCLI]:[DCLI 4]]),"")</f>
        <v/>
      </c>
      <c r="CB24" s="135" t="str">
        <f>IFERROR(VLOOKUP(Tabela1[[#This Row],[MÊS]]&amp;Tabela1[[#This Row],[ID]]&amp;Tabela1[[#This Row],[MATRICULA]]&amp;"Policia"&amp;Tabela1[[#This Row],[SETOR]],BD!A:AF,13,0),"")</f>
        <v/>
      </c>
      <c r="CC24" s="135" t="str">
        <f>IFERROR(VLOOKUP(Tabela1[[#This Row],[MÊS]]&amp;Tabela1[[#This Row],[ID]]&amp;Tabela1[[#This Row],[MATRICULA]]&amp;"Policia 2"&amp;Tabela1[[#This Row],[SETOR]],BD!A:AF,13,0),"")</f>
        <v/>
      </c>
      <c r="CD24" s="135"/>
      <c r="CE24" s="135"/>
      <c r="CF24" s="135" t="str">
        <f>IFERROR((AVERAGE(Tabela1[[#This Row],[DPOL1]:[DPOL4]])),"")</f>
        <v/>
      </c>
      <c r="CG24" s="21" t="str">
        <f>IFERROR(VLOOKUP(Tabela1[[#This Row],[ID]]&amp;Tabela1[[#This Row],[MÊS]]&amp;Tabela1[[#This Row],[MATRICULA]],#REF!,2,0),"")</f>
        <v/>
      </c>
      <c r="CH24" s="21" t="str">
        <f>IFERROR(VLOOKUP(Tabela1[[#This Row],[ID]]&amp;Tabela1[[#This Row],[MÊS]]&amp;Tabela1[[#This Row],[MATRICULA]],#REF!,2,0),"")</f>
        <v/>
      </c>
      <c r="CI24" s="21" t="str">
        <f>IFERROR(VLOOKUP(Tabela1[[#This Row],[MÊS]]&amp;Tabela1[[#This Row],[MATRICULA]],#REF!,2,0),"")</f>
        <v/>
      </c>
    </row>
    <row r="25" spans="1:87">
      <c r="A25" s="12" t="str">
        <f>Tabela1[[#This Row],[MÊS]]&amp;Tabela1[[#This Row],[MATRICULA]]&amp;Tabela1[[#This Row],[ID]]</f>
        <v>JAN109143</v>
      </c>
      <c r="B25" s="12" t="str">
        <f>Tabela1[[#This Row],[MÊS]]&amp;Tabela1[[#This Row],[ID]]&amp;Tabela1[[#This Row],[MATRICULA]]&amp;Tabela1[[#This Row],[SETOR]]</f>
        <v>JAN310914DISTRIBUIÇÃO</v>
      </c>
      <c r="C25" s="130" t="e">
        <f>VLOOKUP(Tabela1[[#This Row],[MATRICULA]],'BD Campos'!A:D,5,0)</f>
        <v>#REF!</v>
      </c>
      <c r="D25" s="133" t="str">
        <f ca="1">IFERROR(SUM(TODAY()-Tabela1[[#This Row],[ADMISSÃO]]),"")</f>
        <v/>
      </c>
      <c r="E25" s="11" t="str">
        <f ca="1">IFERROR(TRUNC(Tabela1[[#This Row],[TEMPO DE CASA (DIAS)]]/30),"")</f>
        <v/>
      </c>
      <c r="F25" s="32" t="str">
        <f ca="1">IFERROR(SUM(Tabela1[[#This Row],[TEMPO DE CASA (MESES)]]/12),"")</f>
        <v/>
      </c>
      <c r="G25" s="133" t="str">
        <f ca="1">IF(Tabela1[[#This Row],[TEMPO DE CASA (DIAS)]]="","SEM DADOS",IF(Tabela1[[#This Row],[TEMPO DE CASA (DIAS)]]&gt;180,"&gt; 6 MESES","&lt; 6 MESES"))</f>
        <v>SEM DADOS</v>
      </c>
      <c r="H25" s="12" t="str">
        <f t="shared" si="3"/>
        <v>JANThayssa de Almeida3</v>
      </c>
      <c r="I25" s="12" t="str">
        <f>IFERROR(VLOOKUP(Tabela1[[#This Row],[MATRICULA]],'BD Campos'!A:F,7,0),"")</f>
        <v/>
      </c>
      <c r="J25" s="11">
        <v>3</v>
      </c>
      <c r="K25" s="11" t="s">
        <v>669</v>
      </c>
      <c r="L25" s="136">
        <v>10914</v>
      </c>
      <c r="M25" s="12" t="str">
        <f>IFERROR(VLOOKUP(Tabela1[[#This Row],[MATRICULA]],'BD Campos'!A:B,2,0),"")</f>
        <v>NATHALYE CHRYSTINE BARBOSA DA COSTA</v>
      </c>
      <c r="N25" s="20">
        <f>IFERROR(AVERAGE(Tabela1[[#This Row],[A1]:[A4]]),"")</f>
        <v>2.9944999999999999</v>
      </c>
      <c r="O25" s="20" t="str">
        <f>IFERROR(IF(Tabela1[[#This Row],[SETOR]]="RECEPTIVO","",AVERAGE(Tabela1[[#This Row],[A5]:[A6]])),"")</f>
        <v/>
      </c>
      <c r="P25" s="20" t="str">
        <f>IFERROR(IF(Tabela1[[#This Row],[STATUS]]="INATIVO","INATIVO",IF(Tabela1[[#This Row],[STATUS]]="QRT","INATIVO",IF(Tabela1[[#This Row],[OPERACIONAL]]&gt;7.99999,"BOM","RUIM"))),"")</f>
        <v>RUIM</v>
      </c>
      <c r="Q25" s="21" t="s">
        <v>667</v>
      </c>
      <c r="R25" s="12" t="s">
        <v>94</v>
      </c>
      <c r="S25" s="12" t="s">
        <v>673</v>
      </c>
      <c r="T25" s="12" t="s">
        <v>94</v>
      </c>
      <c r="U2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5" s="12">
        <f>IF(AND(Tabela1[[#This Row],[SETOR]]="UTI",Tabela1[[#This Row],[M]]&lt;&gt;""),1,IF(AND(Tabela1[[#This Row],[SETOR]]="UTI (RJ)",Tabela1[[#This Row],[M]]&lt;&gt;""),1.5,0))</f>
        <v>0</v>
      </c>
      <c r="X25" s="12">
        <f>IF(AND(Tabela1[[#This Row],[SETOR]]="UTI",Tabela1[[#This Row],[PA2]]&lt;&gt;""),1,IF(AND(Tabela1[[#This Row],[SETOR]]="UTI (RJ)",Tabela1[[#This Row],[PA2]]&lt;&gt;""),0,0))</f>
        <v>0</v>
      </c>
      <c r="Y25" s="12">
        <f>IF(AND(Tabela1[[#This Row],[SETOR]]="UTI",Tabela1[[#This Row],[C]]&lt;&gt;""),1,IF(AND(Tabela1[[#This Row],[SETOR]]="UTI (RJ)",Tabela1[[#This Row],[C]]&lt;&gt;""),1.5,0))</f>
        <v>0</v>
      </c>
      <c r="Z25" s="12">
        <f>IF(AND(Tabela1[[#This Row],[SETOR]]="UTI",Tabela1[[#This Row],[PL]]&lt;&gt;""),1,IF(AND(Tabela1[[#This Row],[SETOR]]="UTI (RJ)",Tabela1[[#This Row],[PL]]&lt;&gt;""),1,0))</f>
        <v>0</v>
      </c>
      <c r="AA25" s="21">
        <f>IFERROR(VLOOKUP(Tabela1[[#This Row],[MÊS]]&amp;Tabela1[[#This Row],[MATRICULA]]&amp;"1"&amp;Tabela1[[#This Row],[SETOR]]&amp;"PADRÃO",BD!B:AF,31,0),"")</f>
        <v>5.9889999999999999</v>
      </c>
      <c r="AB25" s="21">
        <f>IFERROR(VLOOKUP(Tabela1[[#This Row],[MÊS]]&amp;Tabela1[[#This Row],[MATRICULA]]&amp;"2"&amp;Tabela1[[#This Row],[SETOR]]&amp;"PADRÃO",BD!B:AF,31,0),"")</f>
        <v>0</v>
      </c>
      <c r="AC25" s="21" t="str">
        <f>IFERROR(VLOOKUP(Tabela1[[#This Row],[MÊS]]&amp;Tabela1[[#This Row],[MATRICULA]]&amp;"3"&amp;Tabela1[[#This Row],[SETOR]]&amp;"PADRÃO",BD!B:AF,31,0),"")</f>
        <v/>
      </c>
      <c r="AD25" s="21" t="str">
        <f>IFERROR(VLOOKUP(Tabela1[[#This Row],[MÊS]]&amp;Tabela1[[#This Row],[MATRICULA]]&amp;"4"&amp;Tabela1[[#This Row],[SETOR]]&amp;"PADRÃO",BD!B:AF,25,0),"")</f>
        <v/>
      </c>
      <c r="AE25" s="21" t="str">
        <f>IFERROR(VLOOKUP(Tabela1[[#This Row],[MÊS]]&amp;Tabela1[[#This Row],[MATRICULA]]&amp;"5"&amp;Tabela1[[#This Row],[SETOR]]&amp;"PADRÃO",BD!B:AF,31,0),"")</f>
        <v/>
      </c>
      <c r="AF25" s="21" t="str">
        <f>IFERROR(VLOOKUP(Tabela1[[#This Row],[MÊS]]&amp;Tabela1[[#This Row],[MATRICULA]]&amp;"6"&amp;Tabela1[[#This Row],[SETOR]]&amp;"PADRÃO",BD!B:AF,31,0),"")</f>
        <v/>
      </c>
      <c r="AG25" s="21" t="str">
        <f>IFERROR(VLOOKUP(Tabela1[[#This Row],[MÊS]]&amp;Tabela1[[#This Row],[MATRICULA]]&amp;"7"&amp;Tabela1[[#This Row],[SETOR]]&amp;"PADRÃO",BD!B:AF,31,0),"")</f>
        <v/>
      </c>
      <c r="AH25" s="21" t="str">
        <f>IFERROR(VLOOKUP(Tabela1[[#This Row],[MÊS]]&amp;Tabela1[[#This Row],[ID]]&amp;Tabela1[[#This Row],[MATRICULA]]&amp;"Receptiva"&amp;Tabela1[[#This Row],[SETOR]],BD!A:AF,31,0),"")</f>
        <v/>
      </c>
      <c r="AI25" s="21" t="str">
        <f>IFERROR(VLOOKUP(Tabela1[[#This Row],[MÊS]]&amp;Tabela1[[#This Row],[ID]]&amp;Tabela1[[#This Row],[MATRICULA]]&amp;"Receptiva 2"&amp;Tabela1[[#This Row],[SETOR]],BD!A:AF,31,0),"")</f>
        <v/>
      </c>
      <c r="AJ25" s="21" t="str">
        <f>IFERROR(VLOOKUP(Tabela1[[#This Row],[MÊS]]&amp;Tabela1[[#This Row],[ID]]&amp;Tabela1[[#This Row],[MATRICULA]]&amp;"Receptiva 3"&amp;Tabela1[[#This Row],[SETOR]],BD!A:AF,31,0),"")</f>
        <v/>
      </c>
      <c r="AK25" s="21" t="str">
        <f>IFERROR(VLOOKUP(Tabela1[[#This Row],[MÊS]]&amp;Tabela1[[#This Row],[ID]]&amp;Tabela1[[#This Row],[MATRICULA]]&amp;"Receptiva 4"&amp;Tabela1[[#This Row],[SETOR]],BD!A:AF,31,0),"")</f>
        <v/>
      </c>
      <c r="AL25" s="21">
        <f>IFERROR(VLOOKUP(Tabela1[[#This Row],[MÊS]]&amp;Tabela1[[#This Row],[MATRICULA]]&amp;"Motorista"&amp;Tabela1[[#This Row],[SETOR]],BD!A:AF,31,0),"")</f>
        <v>0</v>
      </c>
      <c r="AM25" s="21" t="str">
        <f>IFERROR(VLOOKUP(Tabela1[[#This Row],[MÊS]]&amp;Tabela1[[#This Row],[ID]]&amp;Tabela1[[#This Row],[MATRICULA]]&amp;"Motorista 2"&amp;Tabela1[[#This Row],[SETOR]],BD!A:AF,26,0),"")</f>
        <v/>
      </c>
      <c r="AN25" s="21" t="str">
        <f>IFERROR(VLOOKUP(Tabela1[[#This Row],[MÊS]]&amp;Tabela1[[#This Row],[ID]]&amp;Tabela1[[#This Row],[MATRICULA]]&amp;"Motorista 3"&amp;Tabela1[[#This Row],[SETOR]],BD!A:AF,26,0),"")</f>
        <v/>
      </c>
      <c r="AO25" s="21" t="str">
        <f>IFERROR(VLOOKUP(Tabela1[[#This Row],[MÊS]]&amp;Tabela1[[#This Row],[ID]]&amp;Tabela1[[#This Row],[MATRICULA]]&amp;"Motorista 4"&amp;Tabela1[[#This Row],[SETOR]],BD!A:AF,26,0),"")</f>
        <v/>
      </c>
      <c r="AP25" s="21" t="str">
        <f>IFERROR(VLOOKUP(Tabela1[[#This Row],[MÊS]]&amp;Tabela1[[#This Row],[MATRICULA]]&amp;"Ponto de Apoio"&amp;Tabela1[[#This Row],[SETOR]],BD!A:AF,31,0),"")</f>
        <v/>
      </c>
      <c r="AQ25" s="21" t="str">
        <f>IFERROR(VLOOKUP(Tabela1[[#This Row],[MÊS]]&amp;Tabela1[[#This Row],[ID]]&amp;Tabela1[[#This Row],[MATRICULA]]&amp;"Ponto de Apoio 2"&amp;Tabela1[[#This Row],[SETOR]],BD!A:AF,26,0),"")</f>
        <v/>
      </c>
      <c r="AR25" s="36" t="str">
        <f>IFERROR(VLOOKUP(Tabela1[[#This Row],[MÊS]]&amp;Tabela1[[#This Row],[ID]]&amp;Tabela1[[#This Row],[MATRICULA]]&amp;"Ponto de Apoio 3"&amp;Tabela1[[#This Row],[SETOR]],BD!A:AF,26,0),"")</f>
        <v/>
      </c>
      <c r="AS25" s="36" t="str">
        <f>IFERROR(VLOOKUP(Tabela1[[#This Row],[MÊS]]&amp;Tabela1[[#This Row],[ID]]&amp;Tabela1[[#This Row],[MATRICULA]]&amp;"Ponto de Apoio 4"&amp;Tabela1[[#This Row],[SETOR]],BD!A:AF,26,0),"")</f>
        <v/>
      </c>
      <c r="AT25" s="21" t="str">
        <f>IFERROR(VLOOKUP(Tabela1[[#This Row],[MÊS]]&amp;Tabela1[[#This Row],[MATRICULA]]&amp;"Cliente"&amp;Tabela1[[#This Row],[SETOR]],BD!A:AF,31,0),"")</f>
        <v/>
      </c>
      <c r="AU25" s="21" t="str">
        <f>IFERROR(VLOOKUP(Tabela1[[#This Row],[MÊS]]&amp;Tabela1[[#This Row],[ID]]&amp;Tabela1[[#This Row],[MATRICULA]]&amp;"Cliente 2"&amp;Tabela1[[#This Row],[SETOR]],BD!A:AF,26,0),"")</f>
        <v/>
      </c>
      <c r="AX25" s="21" t="str">
        <f>IFERROR(VLOOKUP(Tabela1[[#This Row],[MÊS]]&amp;Tabela1[[#This Row],[MATRICULA]]&amp;"Policia"&amp;Tabela1[[#This Row],[SETOR]],BD!A:AF,31,0),"")</f>
        <v/>
      </c>
      <c r="AY25" s="21" t="str">
        <f>IFERROR(VLOOKUP(Tabela1[[#This Row],[MÊS]]&amp;Tabela1[[#This Row],[ID]]&amp;Tabela1[[#This Row],[MATRICULA]]&amp;"Policia 2"&amp;Tabela1[[#This Row],[SETOR]],BD!A:AF,26,0),"")</f>
        <v/>
      </c>
      <c r="AZ25" s="36" t="str">
        <f>IFERROR(VLOOKUP(Tabela1[[#This Row],[MÊS]]&amp;Tabela1[[#This Row],[ID]]&amp;Tabela1[[#This Row],[MATRICULA]]&amp;"Policia 3"&amp;Tabela1[[#This Row],[SETOR]],BD!A:AF,26,0),"")</f>
        <v/>
      </c>
      <c r="BA25" s="36" t="str">
        <f>IFERROR(VLOOKUP(Tabela1[[#This Row],[MÊS]]&amp;Tabela1[[#This Row],[ID]]&amp;Tabela1[[#This Row],[MATRICULA]]&amp;"Policia 4"&amp;Tabela1[[#This Row],[SETOR]],BD!A:AF,26,0),"")</f>
        <v/>
      </c>
      <c r="BB2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5" s="21">
        <f>IFERROR(AVERAGE(Tabela1[[#This Row],[M]:[M4]]),"")</f>
        <v>0</v>
      </c>
      <c r="BD25" s="21" t="str">
        <f>IFERROR(AVERAGE(Tabela1[[#This Row],[C]:[C4]]),"")</f>
        <v/>
      </c>
      <c r="BE25" s="21" t="str">
        <f>IFERROR(AVERAGE(Tabela1[[#This Row],[PA2]:[PA 4]]),"")</f>
        <v/>
      </c>
      <c r="BF25" s="21" t="str">
        <f>IFERROR(AVERAGE(Tabela1[[#This Row],[PL]:[PL4]]),"")</f>
        <v/>
      </c>
      <c r="BG25" s="35" t="str">
        <f>IFERROR(VLOOKUP(Tabela1[[#This Row],[MÊS]]&amp;Tabela1[[#This Row],[MATRICULA]],#REF!,2,0),"")</f>
        <v/>
      </c>
      <c r="BH25" s="35" t="str">
        <f>IFERROR(VLOOKUP(Tabela1[[#This Row],[MÊS]]&amp;Tabela1[[#This Row],[MATRICULA]],#REF!,2,0),"")</f>
        <v/>
      </c>
      <c r="BI25" s="35" t="str">
        <f>IFERROR(VLOOKUP(Tabela1[[#This Row],[MÊS]]&amp;Tabela1[[#This Row],[MATRICULA]],#REF!,2,0),"")</f>
        <v/>
      </c>
      <c r="BJ25" s="35" t="str">
        <f>IFERROR(VLOOKUP(Tabela1[[#This Row],[MÊS]]&amp;Tabela1[[#This Row],[MATRICULA]],#REF!,2,0),"")</f>
        <v/>
      </c>
      <c r="BK25" s="35" t="str">
        <f>IFERROR(VLOOKUP(Tabela1[[#This Row],[MÊS]]&amp;Tabela1[[#This Row],[MATRICULA]],#REF!,2,0),"")</f>
        <v/>
      </c>
      <c r="BL25" s="21">
        <f>COUNTIF(Tabela1[[#This Row],[MOT2]:[RECEPTIVA]],"NÃO ENCONTRADA")</f>
        <v>0</v>
      </c>
      <c r="BM25" s="135" t="str">
        <f>IFERROR(VLOOKUP(Tabela1[[#This Row],[MÊS]]&amp;Tabela1[[#This Row],[ID]]&amp;Tabela1[[#This Row],[MATRICULA]]&amp;"Motorista"&amp;Tabela1[[#This Row],[SETOR]],BD!A:AF,13,0),"")</f>
        <v/>
      </c>
      <c r="BN25" s="135" t="str">
        <f>IFERROR(VLOOKUP(Tabela1[[#This Row],[MÊS]]&amp;Tabela1[[#This Row],[ID]]&amp;Tabela1[[#This Row],[MATRICULA]]&amp;"Motorista 2"&amp;Tabela1[[#This Row],[SETOR]],BD!A:AF,13,0),"")</f>
        <v/>
      </c>
      <c r="BO25" s="135" t="str">
        <f>IFERROR(VLOOKUP(Tabela1[[#This Row],[MÊS]]&amp;Tabela1[[#This Row],[ID]]&amp;Tabela1[[#This Row],[MATRICULA]]&amp;"Motorista 3"&amp;Tabela1[[#This Row],[SETOR]],BD!A:AF,13,0),"")</f>
        <v/>
      </c>
      <c r="BP25" s="135" t="str">
        <f>IFERROR(VLOOKUP(Tabela1[[#This Row],[MÊS]]&amp;Tabela1[[#This Row],[ID]]&amp;Tabela1[[#This Row],[MATRICULA]]&amp;"Motorista 4"&amp;Tabela1[[#This Row],[SETOR]],BD!A:AF,13,0),"")</f>
        <v/>
      </c>
      <c r="BQ25" s="135" t="str">
        <f>IFERROR(AVERAGE(Tabela1[[#This Row],[DMOT]:[DMOT4]]),"")</f>
        <v/>
      </c>
      <c r="BR25" s="135" t="str">
        <f>IFERROR(VLOOKUP(Tabela1[[#This Row],[MÊS]]&amp;Tabela1[[#This Row],[ID]]&amp;Tabela1[[#This Row],[MATRICULA]]&amp;"Ponto de Apoio"&amp;Tabela1[[#This Row],[SETOR]],BD!A:AF,13,0),"")</f>
        <v/>
      </c>
      <c r="BS25" s="135" t="str">
        <f>IFERROR(VLOOKUP(Tabela1[[#This Row],[MÊS]]&amp;Tabela1[[#This Row],[ID]]&amp;Tabela1[[#This Row],[MATRICULA]]&amp;"Ponto de Apoio 2"&amp;Tabela1[[#This Row],[SETOR]],BD!A:AF,13,0),"")</f>
        <v/>
      </c>
      <c r="BT25" s="135" t="str">
        <f>IFERROR(VLOOKUP(Tabela1[[#This Row],[MÊS]]&amp;Tabela1[[#This Row],[ID]]&amp;Tabela1[[#This Row],[MATRICULA]]&amp;"Ponto de Apoio 3"&amp;Tabela1[[#This Row],[SETOR]],BD!A:AF,13,0),"")</f>
        <v/>
      </c>
      <c r="BU25" s="135" t="str">
        <f>IFERROR(VLOOKUP(Tabela1[[#This Row],[MÊS]]&amp;Tabela1[[#This Row],[ID]]&amp;Tabela1[[#This Row],[MATRICULA]]&amp;"Ponto de Apoio 4"&amp;Tabela1[[#This Row],[SETOR]],BD!A:AF,13,0),"")</f>
        <v/>
      </c>
      <c r="BV25" s="135" t="str">
        <f>IFERROR(AVERAGE(Tabela1[[#This Row],[DPA]:[DPA 4]]),"")</f>
        <v/>
      </c>
      <c r="BW25" s="135" t="str">
        <f>IFERROR(VLOOKUP(Tabela1[[#This Row],[MÊS]]&amp;Tabela1[[#This Row],[ID]]&amp;Tabela1[[#This Row],[MATRICULA]]&amp;"Cliente"&amp;Tabela1[[#This Row],[SETOR]],BD!A:AF,13,0),"")</f>
        <v/>
      </c>
      <c r="BX25" s="135" t="str">
        <f>IFERROR(VLOOKUP(Tabela1[[#This Row],[MÊS]]&amp;Tabela1[[#This Row],[ID]]&amp;Tabela1[[#This Row],[MATRICULA]]&amp;"cliente 2"&amp;Tabela1[[#This Row],[SETOR]],BD!A:AF,13,0),"")</f>
        <v/>
      </c>
      <c r="BY25" s="135" t="str">
        <f>IFERROR(VLOOKUP(Tabela1[[#This Row],[MÊS]]&amp;Tabela1[[#This Row],[ID]]&amp;Tabela1[[#This Row],[MATRICULA]]&amp;"cliente 3"&amp;Tabela1[[#This Row],[SETOR]],BD!A:AF,13,0),"")</f>
        <v/>
      </c>
      <c r="BZ25" s="135" t="str">
        <f>IFERROR(VLOOKUP(Tabela1[[#This Row],[MÊS]]&amp;Tabela1[[#This Row],[ID]]&amp;Tabela1[[#This Row],[MATRICULA]]&amp;"cliente 4"&amp;Tabela1[[#This Row],[SETOR]],BD!A:AF,13,0),"")</f>
        <v/>
      </c>
      <c r="CA25" s="135" t="str">
        <f>IFERROR(AVERAGE(Tabela1[[#This Row],[DCLI]:[DCLI 4]]),"")</f>
        <v/>
      </c>
      <c r="CB25" s="135" t="str">
        <f>IFERROR(VLOOKUP(Tabela1[[#This Row],[MÊS]]&amp;Tabela1[[#This Row],[ID]]&amp;Tabela1[[#This Row],[MATRICULA]]&amp;"Policia"&amp;Tabela1[[#This Row],[SETOR]],BD!A:AF,13,0),"")</f>
        <v/>
      </c>
      <c r="CC25" s="135" t="str">
        <f>IFERROR(VLOOKUP(Tabela1[[#This Row],[MÊS]]&amp;Tabela1[[#This Row],[ID]]&amp;Tabela1[[#This Row],[MATRICULA]]&amp;"Policia 2"&amp;Tabela1[[#This Row],[SETOR]],BD!A:AF,13,0),"")</f>
        <v/>
      </c>
      <c r="CD25" s="135"/>
      <c r="CE25" s="135"/>
      <c r="CF25" s="135" t="str">
        <f>IFERROR((AVERAGE(Tabela1[[#This Row],[DPOL1]:[DPOL4]])),"")</f>
        <v/>
      </c>
      <c r="CG25" s="21" t="str">
        <f>IFERROR(VLOOKUP(Tabela1[[#This Row],[ID]]&amp;Tabela1[[#This Row],[MÊS]]&amp;Tabela1[[#This Row],[MATRICULA]],#REF!,2,0),"")</f>
        <v/>
      </c>
      <c r="CH25" s="21" t="str">
        <f>IFERROR(VLOOKUP(Tabela1[[#This Row],[ID]]&amp;Tabela1[[#This Row],[MÊS]]&amp;Tabela1[[#This Row],[MATRICULA]],#REF!,2,0),"")</f>
        <v/>
      </c>
      <c r="CI25" s="21" t="str">
        <f>IFERROR(VLOOKUP(Tabela1[[#This Row],[MÊS]]&amp;Tabela1[[#This Row],[MATRICULA]],#REF!,2,0),"")</f>
        <v/>
      </c>
    </row>
    <row r="26" spans="1:87">
      <c r="A26" s="12" t="str">
        <f>Tabela1[[#This Row],[MÊS]]&amp;Tabela1[[#This Row],[MATRICULA]]&amp;Tabela1[[#This Row],[ID]]</f>
        <v>JAN112284</v>
      </c>
      <c r="B26" s="12" t="str">
        <f>Tabela1[[#This Row],[MÊS]]&amp;Tabela1[[#This Row],[ID]]&amp;Tabela1[[#This Row],[MATRICULA]]&amp;Tabela1[[#This Row],[SETOR]]</f>
        <v>JAN411228DISTRIBUIÇÃO</v>
      </c>
      <c r="C26" s="130" t="e">
        <f>VLOOKUP(Tabela1[[#This Row],[MATRICULA]],'BD Campos'!A:D,5,0)</f>
        <v>#REF!</v>
      </c>
      <c r="D26" s="133" t="str">
        <f ca="1">IFERROR(SUM(TODAY()-Tabela1[[#This Row],[ADMISSÃO]]),"")</f>
        <v/>
      </c>
      <c r="E26" s="11" t="str">
        <f ca="1">IFERROR(TRUNC(Tabela1[[#This Row],[TEMPO DE CASA (DIAS)]]/30),"")</f>
        <v/>
      </c>
      <c r="F26" s="32" t="str">
        <f ca="1">IFERROR(SUM(Tabela1[[#This Row],[TEMPO DE CASA (MESES)]]/12),"")</f>
        <v/>
      </c>
      <c r="G26" s="133" t="str">
        <f ca="1">IF(Tabela1[[#This Row],[TEMPO DE CASA (DIAS)]]="","SEM DADOS",IF(Tabela1[[#This Row],[TEMPO DE CASA (DIAS)]]&gt;180,"&gt; 6 MESES","&lt; 6 MESES"))</f>
        <v>SEM DADOS</v>
      </c>
      <c r="H26" s="12" t="str">
        <f t="shared" si="3"/>
        <v>JANThayssa de Almeida4</v>
      </c>
      <c r="I26" s="12" t="str">
        <f>IFERROR(VLOOKUP(Tabela1[[#This Row],[MATRICULA]],'BD Campos'!A:F,7,0),"")</f>
        <v/>
      </c>
      <c r="J26" s="11">
        <v>4</v>
      </c>
      <c r="K26" s="11" t="s">
        <v>669</v>
      </c>
      <c r="L26" s="136">
        <v>11228</v>
      </c>
      <c r="M26" s="12" t="str">
        <f>IFERROR(VLOOKUP(Tabela1[[#This Row],[MATRICULA]],'BD Campos'!A:B,2,0),"")</f>
        <v>ORLANYS ARREAZA</v>
      </c>
      <c r="N26" s="20">
        <f>IFERROR(AVERAGE(Tabela1[[#This Row],[A1]:[A4]]),"")</f>
        <v>0</v>
      </c>
      <c r="O26" s="20" t="str">
        <f>IFERROR(IF(Tabela1[[#This Row],[SETOR]]="RECEPTIVO","",AVERAGE(Tabela1[[#This Row],[A5]:[A6]])),"")</f>
        <v/>
      </c>
      <c r="P26" s="20" t="str">
        <f>IFERROR(IF(Tabela1[[#This Row],[STATUS]]="INATIVO","INATIVO",IF(Tabela1[[#This Row],[STATUS]]="QRT","INATIVO",IF(Tabela1[[#This Row],[OPERACIONAL]]&gt;7.99999,"BOM","RUIM"))),"")</f>
        <v>RUIM</v>
      </c>
      <c r="Q26" s="21" t="s">
        <v>667</v>
      </c>
      <c r="R26" s="12" t="s">
        <v>94</v>
      </c>
      <c r="S26" s="12" t="s">
        <v>673</v>
      </c>
      <c r="T26" s="12" t="s">
        <v>94</v>
      </c>
      <c r="U2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6" s="12">
        <f>IF(AND(Tabela1[[#This Row],[SETOR]]="UTI",Tabela1[[#This Row],[M]]&lt;&gt;""),1,IF(AND(Tabela1[[#This Row],[SETOR]]="UTI (RJ)",Tabela1[[#This Row],[M]]&lt;&gt;""),1.5,0))</f>
        <v>0</v>
      </c>
      <c r="X26" s="12">
        <f>IF(AND(Tabela1[[#This Row],[SETOR]]="UTI",Tabela1[[#This Row],[PA2]]&lt;&gt;""),1,IF(AND(Tabela1[[#This Row],[SETOR]]="UTI (RJ)",Tabela1[[#This Row],[PA2]]&lt;&gt;""),0,0))</f>
        <v>0</v>
      </c>
      <c r="Y26" s="12">
        <f>IF(AND(Tabela1[[#This Row],[SETOR]]="UTI",Tabela1[[#This Row],[C]]&lt;&gt;""),1,IF(AND(Tabela1[[#This Row],[SETOR]]="UTI (RJ)",Tabela1[[#This Row],[C]]&lt;&gt;""),1.5,0))</f>
        <v>0</v>
      </c>
      <c r="Z26" s="12">
        <f>IF(AND(Tabela1[[#This Row],[SETOR]]="UTI",Tabela1[[#This Row],[PL]]&lt;&gt;""),1,IF(AND(Tabela1[[#This Row],[SETOR]]="UTI (RJ)",Tabela1[[#This Row],[PL]]&lt;&gt;""),1,0))</f>
        <v>0</v>
      </c>
      <c r="AA26" s="21">
        <f>IFERROR(VLOOKUP(Tabela1[[#This Row],[MÊS]]&amp;Tabela1[[#This Row],[MATRICULA]]&amp;"1"&amp;Tabela1[[#This Row],[SETOR]]&amp;"PADRÃO",BD!B:AF,31,0),"")</f>
        <v>0</v>
      </c>
      <c r="AB26" s="21">
        <f>IFERROR(VLOOKUP(Tabela1[[#This Row],[MÊS]]&amp;Tabela1[[#This Row],[MATRICULA]]&amp;"2"&amp;Tabela1[[#This Row],[SETOR]]&amp;"PADRÃO",BD!B:AF,31,0),"")</f>
        <v>0</v>
      </c>
      <c r="AC26" s="21" t="str">
        <f>IFERROR(VLOOKUP(Tabela1[[#This Row],[MÊS]]&amp;Tabela1[[#This Row],[MATRICULA]]&amp;"3"&amp;Tabela1[[#This Row],[SETOR]]&amp;"PADRÃO",BD!B:AF,31,0),"")</f>
        <v/>
      </c>
      <c r="AD26" s="21" t="str">
        <f>IFERROR(VLOOKUP(Tabela1[[#This Row],[MÊS]]&amp;Tabela1[[#This Row],[MATRICULA]]&amp;"4"&amp;Tabela1[[#This Row],[SETOR]]&amp;"PADRÃO",BD!B:AF,25,0),"")</f>
        <v/>
      </c>
      <c r="AE26" s="21" t="str">
        <f>IFERROR(VLOOKUP(Tabela1[[#This Row],[MÊS]]&amp;Tabela1[[#This Row],[MATRICULA]]&amp;"5"&amp;Tabela1[[#This Row],[SETOR]]&amp;"PADRÃO",BD!B:AF,31,0),"")</f>
        <v/>
      </c>
      <c r="AF26" s="21" t="str">
        <f>IFERROR(VLOOKUP(Tabela1[[#This Row],[MÊS]]&amp;Tabela1[[#This Row],[MATRICULA]]&amp;"6"&amp;Tabela1[[#This Row],[SETOR]]&amp;"PADRÃO",BD!B:AF,31,0),"")</f>
        <v/>
      </c>
      <c r="AG26" s="21" t="str">
        <f>IFERROR(VLOOKUP(Tabela1[[#This Row],[MÊS]]&amp;Tabela1[[#This Row],[MATRICULA]]&amp;"7"&amp;Tabela1[[#This Row],[SETOR]]&amp;"PADRÃO",BD!B:AF,31,0),"")</f>
        <v/>
      </c>
      <c r="AH26" s="21" t="str">
        <f>IFERROR(VLOOKUP(Tabela1[[#This Row],[MÊS]]&amp;Tabela1[[#This Row],[ID]]&amp;Tabela1[[#This Row],[MATRICULA]]&amp;"Receptiva"&amp;Tabela1[[#This Row],[SETOR]],BD!A:AF,31,0),"")</f>
        <v/>
      </c>
      <c r="AI26" s="21" t="str">
        <f>IFERROR(VLOOKUP(Tabela1[[#This Row],[MÊS]]&amp;Tabela1[[#This Row],[ID]]&amp;Tabela1[[#This Row],[MATRICULA]]&amp;"Receptiva 2"&amp;Tabela1[[#This Row],[SETOR]],BD!A:AF,31,0),"")</f>
        <v/>
      </c>
      <c r="AJ26" s="21" t="str">
        <f>IFERROR(VLOOKUP(Tabela1[[#This Row],[MÊS]]&amp;Tabela1[[#This Row],[ID]]&amp;Tabela1[[#This Row],[MATRICULA]]&amp;"Receptiva 3"&amp;Tabela1[[#This Row],[SETOR]],BD!A:AF,31,0),"")</f>
        <v/>
      </c>
      <c r="AK26" s="21" t="str">
        <f>IFERROR(VLOOKUP(Tabela1[[#This Row],[MÊS]]&amp;Tabela1[[#This Row],[ID]]&amp;Tabela1[[#This Row],[MATRICULA]]&amp;"Receptiva 4"&amp;Tabela1[[#This Row],[SETOR]],BD!A:AF,31,0),"")</f>
        <v/>
      </c>
      <c r="AL26" s="21">
        <f>IFERROR(VLOOKUP(Tabela1[[#This Row],[MÊS]]&amp;Tabela1[[#This Row],[MATRICULA]]&amp;"Motorista"&amp;Tabela1[[#This Row],[SETOR]],BD!A:AF,31,0),"")</f>
        <v>0</v>
      </c>
      <c r="AM26" s="21" t="str">
        <f>IFERROR(VLOOKUP(Tabela1[[#This Row],[MÊS]]&amp;Tabela1[[#This Row],[ID]]&amp;Tabela1[[#This Row],[MATRICULA]]&amp;"Motorista 2"&amp;Tabela1[[#This Row],[SETOR]],BD!A:AF,26,0),"")</f>
        <v/>
      </c>
      <c r="AN26" s="21" t="str">
        <f>IFERROR(VLOOKUP(Tabela1[[#This Row],[MÊS]]&amp;Tabela1[[#This Row],[ID]]&amp;Tabela1[[#This Row],[MATRICULA]]&amp;"Motorista 3"&amp;Tabela1[[#This Row],[SETOR]],BD!A:AF,26,0),"")</f>
        <v/>
      </c>
      <c r="AO26" s="21" t="str">
        <f>IFERROR(VLOOKUP(Tabela1[[#This Row],[MÊS]]&amp;Tabela1[[#This Row],[ID]]&amp;Tabela1[[#This Row],[MATRICULA]]&amp;"Motorista 4"&amp;Tabela1[[#This Row],[SETOR]],BD!A:AF,26,0),"")</f>
        <v/>
      </c>
      <c r="AP26" s="21" t="str">
        <f>IFERROR(VLOOKUP(Tabela1[[#This Row],[MÊS]]&amp;Tabela1[[#This Row],[MATRICULA]]&amp;"Ponto de Apoio"&amp;Tabela1[[#This Row],[SETOR]],BD!A:AF,31,0),"")</f>
        <v/>
      </c>
      <c r="AQ26" s="21" t="str">
        <f>IFERROR(VLOOKUP(Tabela1[[#This Row],[MÊS]]&amp;Tabela1[[#This Row],[ID]]&amp;Tabela1[[#This Row],[MATRICULA]]&amp;"Ponto de Apoio 2"&amp;Tabela1[[#This Row],[SETOR]],BD!A:AF,26,0),"")</f>
        <v/>
      </c>
      <c r="AR26" s="36" t="str">
        <f>IFERROR(VLOOKUP(Tabela1[[#This Row],[MÊS]]&amp;Tabela1[[#This Row],[ID]]&amp;Tabela1[[#This Row],[MATRICULA]]&amp;"Ponto de Apoio 3"&amp;Tabela1[[#This Row],[SETOR]],BD!A:AF,26,0),"")</f>
        <v/>
      </c>
      <c r="AS26" s="36" t="str">
        <f>IFERROR(VLOOKUP(Tabela1[[#This Row],[MÊS]]&amp;Tabela1[[#This Row],[ID]]&amp;Tabela1[[#This Row],[MATRICULA]]&amp;"Ponto de Apoio 4"&amp;Tabela1[[#This Row],[SETOR]],BD!A:AF,26,0),"")</f>
        <v/>
      </c>
      <c r="AT26" s="21" t="str">
        <f>IFERROR(VLOOKUP(Tabela1[[#This Row],[MÊS]]&amp;Tabela1[[#This Row],[MATRICULA]]&amp;"Cliente"&amp;Tabela1[[#This Row],[SETOR]],BD!A:AF,31,0),"")</f>
        <v/>
      </c>
      <c r="AU26" s="21" t="str">
        <f>IFERROR(VLOOKUP(Tabela1[[#This Row],[MÊS]]&amp;Tabela1[[#This Row],[ID]]&amp;Tabela1[[#This Row],[MATRICULA]]&amp;"Cliente 2"&amp;Tabela1[[#This Row],[SETOR]],BD!A:AF,26,0),"")</f>
        <v/>
      </c>
      <c r="AX26" s="21" t="str">
        <f>IFERROR(VLOOKUP(Tabela1[[#This Row],[MÊS]]&amp;Tabela1[[#This Row],[MATRICULA]]&amp;"Policia"&amp;Tabela1[[#This Row],[SETOR]],BD!A:AF,31,0),"")</f>
        <v/>
      </c>
      <c r="AY26" s="21" t="str">
        <f>IFERROR(VLOOKUP(Tabela1[[#This Row],[MÊS]]&amp;Tabela1[[#This Row],[ID]]&amp;Tabela1[[#This Row],[MATRICULA]]&amp;"Policia 2"&amp;Tabela1[[#This Row],[SETOR]],BD!A:AF,26,0),"")</f>
        <v/>
      </c>
      <c r="AZ26" s="36" t="str">
        <f>IFERROR(VLOOKUP(Tabela1[[#This Row],[MÊS]]&amp;Tabela1[[#This Row],[ID]]&amp;Tabela1[[#This Row],[MATRICULA]]&amp;"Policia 3"&amp;Tabela1[[#This Row],[SETOR]],BD!A:AF,26,0),"")</f>
        <v/>
      </c>
      <c r="BA26" s="36" t="str">
        <f>IFERROR(VLOOKUP(Tabela1[[#This Row],[MÊS]]&amp;Tabela1[[#This Row],[ID]]&amp;Tabela1[[#This Row],[MATRICULA]]&amp;"Policia 4"&amp;Tabela1[[#This Row],[SETOR]],BD!A:AF,26,0),"")</f>
        <v/>
      </c>
      <c r="BB2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6" s="21">
        <f>IFERROR(AVERAGE(Tabela1[[#This Row],[M]:[M4]]),"")</f>
        <v>0</v>
      </c>
      <c r="BD26" s="21" t="str">
        <f>IFERROR(AVERAGE(Tabela1[[#This Row],[C]:[C4]]),"")</f>
        <v/>
      </c>
      <c r="BE26" s="21" t="str">
        <f>IFERROR(AVERAGE(Tabela1[[#This Row],[PA2]:[PA 4]]),"")</f>
        <v/>
      </c>
      <c r="BF26" s="21" t="str">
        <f>IFERROR(AVERAGE(Tabela1[[#This Row],[PL]:[PL4]]),"")</f>
        <v/>
      </c>
      <c r="BG26" s="35" t="str">
        <f>IFERROR(VLOOKUP(Tabela1[[#This Row],[MÊS]]&amp;Tabela1[[#This Row],[MATRICULA]],#REF!,2,0),"")</f>
        <v/>
      </c>
      <c r="BH26" s="35" t="str">
        <f>IFERROR(VLOOKUP(Tabela1[[#This Row],[MÊS]]&amp;Tabela1[[#This Row],[MATRICULA]],#REF!,2,0),"")</f>
        <v/>
      </c>
      <c r="BI26" s="35" t="str">
        <f>IFERROR(VLOOKUP(Tabela1[[#This Row],[MÊS]]&amp;Tabela1[[#This Row],[MATRICULA]],#REF!,2,0),"")</f>
        <v/>
      </c>
      <c r="BJ26" s="35" t="str">
        <f>IFERROR(VLOOKUP(Tabela1[[#This Row],[MÊS]]&amp;Tabela1[[#This Row],[MATRICULA]],#REF!,2,0),"")</f>
        <v/>
      </c>
      <c r="BK26" s="35" t="str">
        <f>IFERROR(VLOOKUP(Tabela1[[#This Row],[MÊS]]&amp;Tabela1[[#This Row],[MATRICULA]],#REF!,2,0),"")</f>
        <v/>
      </c>
      <c r="BL26" s="21">
        <f>COUNTIF(Tabela1[[#This Row],[MOT2]:[RECEPTIVA]],"NÃO ENCONTRADA")</f>
        <v>0</v>
      </c>
      <c r="BM26" s="135" t="str">
        <f>IFERROR(VLOOKUP(Tabela1[[#This Row],[MÊS]]&amp;Tabela1[[#This Row],[ID]]&amp;Tabela1[[#This Row],[MATRICULA]]&amp;"Motorista"&amp;Tabela1[[#This Row],[SETOR]],BD!A:AF,13,0),"")</f>
        <v/>
      </c>
      <c r="BN26" s="135" t="str">
        <f>IFERROR(VLOOKUP(Tabela1[[#This Row],[MÊS]]&amp;Tabela1[[#This Row],[ID]]&amp;Tabela1[[#This Row],[MATRICULA]]&amp;"Motorista 2"&amp;Tabela1[[#This Row],[SETOR]],BD!A:AF,13,0),"")</f>
        <v/>
      </c>
      <c r="BO26" s="135" t="str">
        <f>IFERROR(VLOOKUP(Tabela1[[#This Row],[MÊS]]&amp;Tabela1[[#This Row],[ID]]&amp;Tabela1[[#This Row],[MATRICULA]]&amp;"Motorista 3"&amp;Tabela1[[#This Row],[SETOR]],BD!A:AF,13,0),"")</f>
        <v/>
      </c>
      <c r="BP26" s="135" t="str">
        <f>IFERROR(VLOOKUP(Tabela1[[#This Row],[MÊS]]&amp;Tabela1[[#This Row],[ID]]&amp;Tabela1[[#This Row],[MATRICULA]]&amp;"Motorista 4"&amp;Tabela1[[#This Row],[SETOR]],BD!A:AF,13,0),"")</f>
        <v/>
      </c>
      <c r="BQ26" s="135" t="str">
        <f>IFERROR(AVERAGE(Tabela1[[#This Row],[DMOT]:[DMOT4]]),"")</f>
        <v/>
      </c>
      <c r="BR26" s="135" t="str">
        <f>IFERROR(VLOOKUP(Tabela1[[#This Row],[MÊS]]&amp;Tabela1[[#This Row],[ID]]&amp;Tabela1[[#This Row],[MATRICULA]]&amp;"Ponto de Apoio"&amp;Tabela1[[#This Row],[SETOR]],BD!A:AF,13,0),"")</f>
        <v/>
      </c>
      <c r="BS26" s="135" t="str">
        <f>IFERROR(VLOOKUP(Tabela1[[#This Row],[MÊS]]&amp;Tabela1[[#This Row],[ID]]&amp;Tabela1[[#This Row],[MATRICULA]]&amp;"Ponto de Apoio 2"&amp;Tabela1[[#This Row],[SETOR]],BD!A:AF,13,0),"")</f>
        <v/>
      </c>
      <c r="BT26" s="135" t="str">
        <f>IFERROR(VLOOKUP(Tabela1[[#This Row],[MÊS]]&amp;Tabela1[[#This Row],[ID]]&amp;Tabela1[[#This Row],[MATRICULA]]&amp;"Ponto de Apoio 3"&amp;Tabela1[[#This Row],[SETOR]],BD!A:AF,13,0),"")</f>
        <v/>
      </c>
      <c r="BU26" s="135" t="str">
        <f>IFERROR(VLOOKUP(Tabela1[[#This Row],[MÊS]]&amp;Tabela1[[#This Row],[ID]]&amp;Tabela1[[#This Row],[MATRICULA]]&amp;"Ponto de Apoio 4"&amp;Tabela1[[#This Row],[SETOR]],BD!A:AF,13,0),"")</f>
        <v/>
      </c>
      <c r="BV26" s="135" t="str">
        <f>IFERROR(AVERAGE(Tabela1[[#This Row],[DPA]:[DPA 4]]),"")</f>
        <v/>
      </c>
      <c r="BW26" s="135" t="str">
        <f>IFERROR(VLOOKUP(Tabela1[[#This Row],[MÊS]]&amp;Tabela1[[#This Row],[ID]]&amp;Tabela1[[#This Row],[MATRICULA]]&amp;"Cliente"&amp;Tabela1[[#This Row],[SETOR]],BD!A:AF,13,0),"")</f>
        <v/>
      </c>
      <c r="BX26" s="135" t="str">
        <f>IFERROR(VLOOKUP(Tabela1[[#This Row],[MÊS]]&amp;Tabela1[[#This Row],[ID]]&amp;Tabela1[[#This Row],[MATRICULA]]&amp;"cliente 2"&amp;Tabela1[[#This Row],[SETOR]],BD!A:AF,13,0),"")</f>
        <v/>
      </c>
      <c r="BY26" s="135" t="str">
        <f>IFERROR(VLOOKUP(Tabela1[[#This Row],[MÊS]]&amp;Tabela1[[#This Row],[ID]]&amp;Tabela1[[#This Row],[MATRICULA]]&amp;"cliente 3"&amp;Tabela1[[#This Row],[SETOR]],BD!A:AF,13,0),"")</f>
        <v/>
      </c>
      <c r="BZ26" s="135" t="str">
        <f>IFERROR(VLOOKUP(Tabela1[[#This Row],[MÊS]]&amp;Tabela1[[#This Row],[ID]]&amp;Tabela1[[#This Row],[MATRICULA]]&amp;"cliente 4"&amp;Tabela1[[#This Row],[SETOR]],BD!A:AF,13,0),"")</f>
        <v/>
      </c>
      <c r="CA26" s="135" t="str">
        <f>IFERROR(AVERAGE(Tabela1[[#This Row],[DCLI]:[DCLI 4]]),"")</f>
        <v/>
      </c>
      <c r="CB26" s="135" t="str">
        <f>IFERROR(VLOOKUP(Tabela1[[#This Row],[MÊS]]&amp;Tabela1[[#This Row],[ID]]&amp;Tabela1[[#This Row],[MATRICULA]]&amp;"Policia"&amp;Tabela1[[#This Row],[SETOR]],BD!A:AF,13,0),"")</f>
        <v/>
      </c>
      <c r="CC26" s="135" t="str">
        <f>IFERROR(VLOOKUP(Tabela1[[#This Row],[MÊS]]&amp;Tabela1[[#This Row],[ID]]&amp;Tabela1[[#This Row],[MATRICULA]]&amp;"Policia 2"&amp;Tabela1[[#This Row],[SETOR]],BD!A:AF,13,0),"")</f>
        <v/>
      </c>
      <c r="CD26" s="135"/>
      <c r="CE26" s="135"/>
      <c r="CF26" s="135" t="str">
        <f>IFERROR((AVERAGE(Tabela1[[#This Row],[DPOL1]:[DPOL4]])),"")</f>
        <v/>
      </c>
      <c r="CG26" s="21" t="str">
        <f>IFERROR(VLOOKUP(Tabela1[[#This Row],[ID]]&amp;Tabela1[[#This Row],[MÊS]]&amp;Tabela1[[#This Row],[MATRICULA]],#REF!,2,0),"")</f>
        <v/>
      </c>
      <c r="CH26" s="21" t="str">
        <f>IFERROR(VLOOKUP(Tabela1[[#This Row],[ID]]&amp;Tabela1[[#This Row],[MÊS]]&amp;Tabela1[[#This Row],[MATRICULA]],#REF!,2,0),"")</f>
        <v/>
      </c>
      <c r="CI26" s="21" t="str">
        <f>IFERROR(VLOOKUP(Tabela1[[#This Row],[MÊS]]&amp;Tabela1[[#This Row],[MATRICULA]],#REF!,2,0),"")</f>
        <v/>
      </c>
    </row>
    <row r="27" spans="1:87">
      <c r="A27" s="12" t="str">
        <f>Tabela1[[#This Row],[MÊS]]&amp;Tabela1[[#This Row],[MATRICULA]]&amp;Tabela1[[#This Row],[ID]]</f>
        <v>JAN111595</v>
      </c>
      <c r="B27" s="12" t="str">
        <f>Tabela1[[#This Row],[MÊS]]&amp;Tabela1[[#This Row],[ID]]&amp;Tabela1[[#This Row],[MATRICULA]]&amp;Tabela1[[#This Row],[SETOR]]</f>
        <v>JAN511159DISTRIBUIÇÃO</v>
      </c>
      <c r="C27" s="130" t="e">
        <f>VLOOKUP(Tabela1[[#This Row],[MATRICULA]],'BD Campos'!A:D,5,0)</f>
        <v>#REF!</v>
      </c>
      <c r="D27" s="133" t="str">
        <f ca="1">IFERROR(SUM(TODAY()-Tabela1[[#This Row],[ADMISSÃO]]),"")</f>
        <v/>
      </c>
      <c r="E27" s="11" t="str">
        <f ca="1">IFERROR(TRUNC(Tabela1[[#This Row],[TEMPO DE CASA (DIAS)]]/30),"")</f>
        <v/>
      </c>
      <c r="F27" s="32" t="str">
        <f ca="1">IFERROR(SUM(Tabela1[[#This Row],[TEMPO DE CASA (MESES)]]/12),"")</f>
        <v/>
      </c>
      <c r="G27" s="133" t="str">
        <f ca="1">IF(Tabela1[[#This Row],[TEMPO DE CASA (DIAS)]]="","SEM DADOS",IF(Tabela1[[#This Row],[TEMPO DE CASA (DIAS)]]&gt;180,"&gt; 6 MESES","&lt; 6 MESES"))</f>
        <v>SEM DADOS</v>
      </c>
      <c r="H27" s="12" t="str">
        <f t="shared" si="3"/>
        <v>JANThayssa de Almeida5</v>
      </c>
      <c r="I27" s="12" t="str">
        <f>IFERROR(VLOOKUP(Tabela1[[#This Row],[MATRICULA]],'BD Campos'!A:F,7,0),"")</f>
        <v/>
      </c>
      <c r="J27" s="11">
        <v>5</v>
      </c>
      <c r="K27" s="11" t="s">
        <v>669</v>
      </c>
      <c r="L27" s="136">
        <v>11159</v>
      </c>
      <c r="M27" s="12" t="str">
        <f>IFERROR(VLOOKUP(Tabela1[[#This Row],[MATRICULA]],'BD Campos'!A:B,2,0),"")</f>
        <v>TALIA MARIA DE SOUZA</v>
      </c>
      <c r="N27" s="20">
        <f>IFERROR(AVERAGE(Tabela1[[#This Row],[A1]:[A4]]),"")</f>
        <v>0</v>
      </c>
      <c r="O27" s="20" t="str">
        <f>IFERROR(IF(Tabela1[[#This Row],[SETOR]]="RECEPTIVO","",AVERAGE(Tabela1[[#This Row],[A5]:[A6]])),"")</f>
        <v/>
      </c>
      <c r="P27" s="20" t="str">
        <f>IFERROR(IF(Tabela1[[#This Row],[STATUS]]="INATIVO","INATIVO",IF(Tabela1[[#This Row],[STATUS]]="QRT","INATIVO",IF(Tabela1[[#This Row],[OPERACIONAL]]&gt;7.99999,"BOM","RUIM"))),"")</f>
        <v>RUIM</v>
      </c>
      <c r="Q27" s="21" t="s">
        <v>667</v>
      </c>
      <c r="R27" s="12" t="s">
        <v>94</v>
      </c>
      <c r="S27" s="12" t="s">
        <v>673</v>
      </c>
      <c r="T27" s="12" t="s">
        <v>94</v>
      </c>
      <c r="U2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7" s="12">
        <f>IF(AND(Tabela1[[#This Row],[SETOR]]="UTI",Tabela1[[#This Row],[M]]&lt;&gt;""),1,IF(AND(Tabela1[[#This Row],[SETOR]]="UTI (RJ)",Tabela1[[#This Row],[M]]&lt;&gt;""),1.5,0))</f>
        <v>0</v>
      </c>
      <c r="X27" s="12">
        <f>IF(AND(Tabela1[[#This Row],[SETOR]]="UTI",Tabela1[[#This Row],[PA2]]&lt;&gt;""),1,IF(AND(Tabela1[[#This Row],[SETOR]]="UTI (RJ)",Tabela1[[#This Row],[PA2]]&lt;&gt;""),0,0))</f>
        <v>0</v>
      </c>
      <c r="Y27" s="12">
        <f>IF(AND(Tabela1[[#This Row],[SETOR]]="UTI",Tabela1[[#This Row],[C]]&lt;&gt;""),1,IF(AND(Tabela1[[#This Row],[SETOR]]="UTI (RJ)",Tabela1[[#This Row],[C]]&lt;&gt;""),1.5,0))</f>
        <v>0</v>
      </c>
      <c r="Z27" s="12">
        <f>IF(AND(Tabela1[[#This Row],[SETOR]]="UTI",Tabela1[[#This Row],[PL]]&lt;&gt;""),1,IF(AND(Tabela1[[#This Row],[SETOR]]="UTI (RJ)",Tabela1[[#This Row],[PL]]&lt;&gt;""),1,0))</f>
        <v>0</v>
      </c>
      <c r="AA27" s="21">
        <f>IFERROR(VLOOKUP(Tabela1[[#This Row],[MÊS]]&amp;Tabela1[[#This Row],[MATRICULA]]&amp;"1"&amp;Tabela1[[#This Row],[SETOR]]&amp;"PADRÃO",BD!B:AF,31,0),"")</f>
        <v>0</v>
      </c>
      <c r="AB27" s="21">
        <f>IFERROR(VLOOKUP(Tabela1[[#This Row],[MÊS]]&amp;Tabela1[[#This Row],[MATRICULA]]&amp;"2"&amp;Tabela1[[#This Row],[SETOR]]&amp;"PADRÃO",BD!B:AF,31,0),"")</f>
        <v>0</v>
      </c>
      <c r="AC27" s="21" t="str">
        <f>IFERROR(VLOOKUP(Tabela1[[#This Row],[MÊS]]&amp;Tabela1[[#This Row],[MATRICULA]]&amp;"3"&amp;Tabela1[[#This Row],[SETOR]]&amp;"PADRÃO",BD!B:AF,31,0),"")</f>
        <v/>
      </c>
      <c r="AD27" s="21" t="str">
        <f>IFERROR(VLOOKUP(Tabela1[[#This Row],[MÊS]]&amp;Tabela1[[#This Row],[MATRICULA]]&amp;"4"&amp;Tabela1[[#This Row],[SETOR]]&amp;"PADRÃO",BD!B:AF,25,0),"")</f>
        <v/>
      </c>
      <c r="AE27" s="21" t="str">
        <f>IFERROR(VLOOKUP(Tabela1[[#This Row],[MÊS]]&amp;Tabela1[[#This Row],[MATRICULA]]&amp;"5"&amp;Tabela1[[#This Row],[SETOR]]&amp;"PADRÃO",BD!B:AF,31,0),"")</f>
        <v/>
      </c>
      <c r="AF27" s="21" t="str">
        <f>IFERROR(VLOOKUP(Tabela1[[#This Row],[MÊS]]&amp;Tabela1[[#This Row],[MATRICULA]]&amp;"6"&amp;Tabela1[[#This Row],[SETOR]]&amp;"PADRÃO",BD!B:AF,31,0),"")</f>
        <v/>
      </c>
      <c r="AG27" s="21" t="str">
        <f>IFERROR(VLOOKUP(Tabela1[[#This Row],[MÊS]]&amp;Tabela1[[#This Row],[MATRICULA]]&amp;"7"&amp;Tabela1[[#This Row],[SETOR]]&amp;"PADRÃO",BD!B:AF,31,0),"")</f>
        <v/>
      </c>
      <c r="AH27" s="21" t="str">
        <f>IFERROR(VLOOKUP(Tabela1[[#This Row],[MÊS]]&amp;Tabela1[[#This Row],[ID]]&amp;Tabela1[[#This Row],[MATRICULA]]&amp;"Receptiva"&amp;Tabela1[[#This Row],[SETOR]],BD!A:AF,31,0),"")</f>
        <v/>
      </c>
      <c r="AI27" s="21" t="str">
        <f>IFERROR(VLOOKUP(Tabela1[[#This Row],[MÊS]]&amp;Tabela1[[#This Row],[ID]]&amp;Tabela1[[#This Row],[MATRICULA]]&amp;"Receptiva 2"&amp;Tabela1[[#This Row],[SETOR]],BD!A:AF,31,0),"")</f>
        <v/>
      </c>
      <c r="AJ27" s="21" t="str">
        <f>IFERROR(VLOOKUP(Tabela1[[#This Row],[MÊS]]&amp;Tabela1[[#This Row],[ID]]&amp;Tabela1[[#This Row],[MATRICULA]]&amp;"Receptiva 3"&amp;Tabela1[[#This Row],[SETOR]],BD!A:AF,31,0),"")</f>
        <v/>
      </c>
      <c r="AK27" s="21" t="str">
        <f>IFERROR(VLOOKUP(Tabela1[[#This Row],[MÊS]]&amp;Tabela1[[#This Row],[ID]]&amp;Tabela1[[#This Row],[MATRICULA]]&amp;"Receptiva 4"&amp;Tabela1[[#This Row],[SETOR]],BD!A:AF,31,0),"")</f>
        <v/>
      </c>
      <c r="AL27" s="21" t="str">
        <f>IFERROR(VLOOKUP(Tabela1[[#This Row],[MÊS]]&amp;Tabela1[[#This Row],[MATRICULA]]&amp;"Motorista"&amp;Tabela1[[#This Row],[SETOR]],BD!A:AF,31,0),"")</f>
        <v/>
      </c>
      <c r="AM27" s="21" t="str">
        <f>IFERROR(VLOOKUP(Tabela1[[#This Row],[MÊS]]&amp;Tabela1[[#This Row],[ID]]&amp;Tabela1[[#This Row],[MATRICULA]]&amp;"Motorista 2"&amp;Tabela1[[#This Row],[SETOR]],BD!A:AF,26,0),"")</f>
        <v/>
      </c>
      <c r="AN27" s="21" t="str">
        <f>IFERROR(VLOOKUP(Tabela1[[#This Row],[MÊS]]&amp;Tabela1[[#This Row],[ID]]&amp;Tabela1[[#This Row],[MATRICULA]]&amp;"Motorista 3"&amp;Tabela1[[#This Row],[SETOR]],BD!A:AF,26,0),"")</f>
        <v/>
      </c>
      <c r="AO27" s="21" t="str">
        <f>IFERROR(VLOOKUP(Tabela1[[#This Row],[MÊS]]&amp;Tabela1[[#This Row],[ID]]&amp;Tabela1[[#This Row],[MATRICULA]]&amp;"Motorista 4"&amp;Tabela1[[#This Row],[SETOR]],BD!A:AF,26,0),"")</f>
        <v/>
      </c>
      <c r="AP27" s="21" t="str">
        <f>IFERROR(VLOOKUP(Tabela1[[#This Row],[MÊS]]&amp;Tabela1[[#This Row],[MATRICULA]]&amp;"Ponto de Apoio"&amp;Tabela1[[#This Row],[SETOR]],BD!A:AF,31,0),"")</f>
        <v/>
      </c>
      <c r="AQ27" s="21" t="str">
        <f>IFERROR(VLOOKUP(Tabela1[[#This Row],[MÊS]]&amp;Tabela1[[#This Row],[ID]]&amp;Tabela1[[#This Row],[MATRICULA]]&amp;"Ponto de Apoio 2"&amp;Tabela1[[#This Row],[SETOR]],BD!A:AF,26,0),"")</f>
        <v/>
      </c>
      <c r="AR27" s="36" t="str">
        <f>IFERROR(VLOOKUP(Tabela1[[#This Row],[MÊS]]&amp;Tabela1[[#This Row],[ID]]&amp;Tabela1[[#This Row],[MATRICULA]]&amp;"Ponto de Apoio 3"&amp;Tabela1[[#This Row],[SETOR]],BD!A:AF,26,0),"")</f>
        <v/>
      </c>
      <c r="AS27" s="36" t="str">
        <f>IFERROR(VLOOKUP(Tabela1[[#This Row],[MÊS]]&amp;Tabela1[[#This Row],[ID]]&amp;Tabela1[[#This Row],[MATRICULA]]&amp;"Ponto de Apoio 4"&amp;Tabela1[[#This Row],[SETOR]],BD!A:AF,26,0),"")</f>
        <v/>
      </c>
      <c r="AT27" s="21" t="str">
        <f>IFERROR(VLOOKUP(Tabela1[[#This Row],[MÊS]]&amp;Tabela1[[#This Row],[MATRICULA]]&amp;"Cliente"&amp;Tabela1[[#This Row],[SETOR]],BD!A:AF,31,0),"")</f>
        <v/>
      </c>
      <c r="AU27" s="21" t="str">
        <f>IFERROR(VLOOKUP(Tabela1[[#This Row],[MÊS]]&amp;Tabela1[[#This Row],[ID]]&amp;Tabela1[[#This Row],[MATRICULA]]&amp;"Cliente 2"&amp;Tabela1[[#This Row],[SETOR]],BD!A:AF,26,0),"")</f>
        <v/>
      </c>
      <c r="AX27" s="21" t="str">
        <f>IFERROR(VLOOKUP(Tabela1[[#This Row],[MÊS]]&amp;Tabela1[[#This Row],[MATRICULA]]&amp;"Policia"&amp;Tabela1[[#This Row],[SETOR]],BD!A:AF,31,0),"")</f>
        <v/>
      </c>
      <c r="AY27" s="21" t="str">
        <f>IFERROR(VLOOKUP(Tabela1[[#This Row],[MÊS]]&amp;Tabela1[[#This Row],[ID]]&amp;Tabela1[[#This Row],[MATRICULA]]&amp;"Policia 2"&amp;Tabela1[[#This Row],[SETOR]],BD!A:AF,26,0),"")</f>
        <v/>
      </c>
      <c r="AZ27" s="36" t="str">
        <f>IFERROR(VLOOKUP(Tabela1[[#This Row],[MÊS]]&amp;Tabela1[[#This Row],[ID]]&amp;Tabela1[[#This Row],[MATRICULA]]&amp;"Policia 3"&amp;Tabela1[[#This Row],[SETOR]],BD!A:AF,26,0),"")</f>
        <v/>
      </c>
      <c r="BA27" s="36" t="str">
        <f>IFERROR(VLOOKUP(Tabela1[[#This Row],[MÊS]]&amp;Tabela1[[#This Row],[ID]]&amp;Tabela1[[#This Row],[MATRICULA]]&amp;"Policia 4"&amp;Tabela1[[#This Row],[SETOR]],BD!A:AF,26,0),"")</f>
        <v/>
      </c>
      <c r="BB2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7" s="21" t="str">
        <f>IFERROR(AVERAGE(Tabela1[[#This Row],[M]:[M4]]),"")</f>
        <v/>
      </c>
      <c r="BD27" s="21" t="str">
        <f>IFERROR(AVERAGE(Tabela1[[#This Row],[C]:[C4]]),"")</f>
        <v/>
      </c>
      <c r="BE27" s="21" t="str">
        <f>IFERROR(AVERAGE(Tabela1[[#This Row],[PA2]:[PA 4]]),"")</f>
        <v/>
      </c>
      <c r="BF27" s="21" t="str">
        <f>IFERROR(AVERAGE(Tabela1[[#This Row],[PL]:[PL4]]),"")</f>
        <v/>
      </c>
      <c r="BG27" s="35" t="str">
        <f>IFERROR(VLOOKUP(Tabela1[[#This Row],[MÊS]]&amp;Tabela1[[#This Row],[MATRICULA]],#REF!,2,0),"")</f>
        <v/>
      </c>
      <c r="BH27" s="35" t="str">
        <f>IFERROR(VLOOKUP(Tabela1[[#This Row],[MÊS]]&amp;Tabela1[[#This Row],[MATRICULA]],#REF!,2,0),"")</f>
        <v/>
      </c>
      <c r="BI27" s="35" t="str">
        <f>IFERROR(VLOOKUP(Tabela1[[#This Row],[MÊS]]&amp;Tabela1[[#This Row],[MATRICULA]],#REF!,2,0),"")</f>
        <v/>
      </c>
      <c r="BJ27" s="35" t="str">
        <f>IFERROR(VLOOKUP(Tabela1[[#This Row],[MÊS]]&amp;Tabela1[[#This Row],[MATRICULA]],#REF!,2,0),"")</f>
        <v/>
      </c>
      <c r="BK27" s="35" t="str">
        <f>IFERROR(VLOOKUP(Tabela1[[#This Row],[MÊS]]&amp;Tabela1[[#This Row],[MATRICULA]],#REF!,2,0),"")</f>
        <v/>
      </c>
      <c r="BL27" s="21">
        <f>COUNTIF(Tabela1[[#This Row],[MOT2]:[RECEPTIVA]],"NÃO ENCONTRADA")</f>
        <v>0</v>
      </c>
      <c r="BM27" s="135" t="str">
        <f>IFERROR(VLOOKUP(Tabela1[[#This Row],[MÊS]]&amp;Tabela1[[#This Row],[ID]]&amp;Tabela1[[#This Row],[MATRICULA]]&amp;"Motorista"&amp;Tabela1[[#This Row],[SETOR]],BD!A:AF,13,0),"")</f>
        <v/>
      </c>
      <c r="BN27" s="135" t="str">
        <f>IFERROR(VLOOKUP(Tabela1[[#This Row],[MÊS]]&amp;Tabela1[[#This Row],[ID]]&amp;Tabela1[[#This Row],[MATRICULA]]&amp;"Motorista 2"&amp;Tabela1[[#This Row],[SETOR]],BD!A:AF,13,0),"")</f>
        <v/>
      </c>
      <c r="BO27" s="135" t="str">
        <f>IFERROR(VLOOKUP(Tabela1[[#This Row],[MÊS]]&amp;Tabela1[[#This Row],[ID]]&amp;Tabela1[[#This Row],[MATRICULA]]&amp;"Motorista 3"&amp;Tabela1[[#This Row],[SETOR]],BD!A:AF,13,0),"")</f>
        <v/>
      </c>
      <c r="BP27" s="135" t="str">
        <f>IFERROR(VLOOKUP(Tabela1[[#This Row],[MÊS]]&amp;Tabela1[[#This Row],[ID]]&amp;Tabela1[[#This Row],[MATRICULA]]&amp;"Motorista 4"&amp;Tabela1[[#This Row],[SETOR]],BD!A:AF,13,0),"")</f>
        <v/>
      </c>
      <c r="BQ27" s="135" t="str">
        <f>IFERROR(AVERAGE(Tabela1[[#This Row],[DMOT]:[DMOT4]]),"")</f>
        <v/>
      </c>
      <c r="BR27" s="135" t="str">
        <f>IFERROR(VLOOKUP(Tabela1[[#This Row],[MÊS]]&amp;Tabela1[[#This Row],[ID]]&amp;Tabela1[[#This Row],[MATRICULA]]&amp;"Ponto de Apoio"&amp;Tabela1[[#This Row],[SETOR]],BD!A:AF,13,0),"")</f>
        <v/>
      </c>
      <c r="BS27" s="135" t="str">
        <f>IFERROR(VLOOKUP(Tabela1[[#This Row],[MÊS]]&amp;Tabela1[[#This Row],[ID]]&amp;Tabela1[[#This Row],[MATRICULA]]&amp;"Ponto de Apoio 2"&amp;Tabela1[[#This Row],[SETOR]],BD!A:AF,13,0),"")</f>
        <v/>
      </c>
      <c r="BT27" s="135" t="str">
        <f>IFERROR(VLOOKUP(Tabela1[[#This Row],[MÊS]]&amp;Tabela1[[#This Row],[ID]]&amp;Tabela1[[#This Row],[MATRICULA]]&amp;"Ponto de Apoio 3"&amp;Tabela1[[#This Row],[SETOR]],BD!A:AF,13,0),"")</f>
        <v/>
      </c>
      <c r="BU27" s="135" t="str">
        <f>IFERROR(VLOOKUP(Tabela1[[#This Row],[MÊS]]&amp;Tabela1[[#This Row],[ID]]&amp;Tabela1[[#This Row],[MATRICULA]]&amp;"Ponto de Apoio 4"&amp;Tabela1[[#This Row],[SETOR]],BD!A:AF,13,0),"")</f>
        <v/>
      </c>
      <c r="BV27" s="135" t="str">
        <f>IFERROR(AVERAGE(Tabela1[[#This Row],[DPA]:[DPA 4]]),"")</f>
        <v/>
      </c>
      <c r="BW27" s="135" t="str">
        <f>IFERROR(VLOOKUP(Tabela1[[#This Row],[MÊS]]&amp;Tabela1[[#This Row],[ID]]&amp;Tabela1[[#This Row],[MATRICULA]]&amp;"Cliente"&amp;Tabela1[[#This Row],[SETOR]],BD!A:AF,13,0),"")</f>
        <v/>
      </c>
      <c r="BX27" s="135" t="str">
        <f>IFERROR(VLOOKUP(Tabela1[[#This Row],[MÊS]]&amp;Tabela1[[#This Row],[ID]]&amp;Tabela1[[#This Row],[MATRICULA]]&amp;"cliente 2"&amp;Tabela1[[#This Row],[SETOR]],BD!A:AF,13,0),"")</f>
        <v/>
      </c>
      <c r="BY27" s="135" t="str">
        <f>IFERROR(VLOOKUP(Tabela1[[#This Row],[MÊS]]&amp;Tabela1[[#This Row],[ID]]&amp;Tabela1[[#This Row],[MATRICULA]]&amp;"cliente 3"&amp;Tabela1[[#This Row],[SETOR]],BD!A:AF,13,0),"")</f>
        <v/>
      </c>
      <c r="BZ27" s="135" t="str">
        <f>IFERROR(VLOOKUP(Tabela1[[#This Row],[MÊS]]&amp;Tabela1[[#This Row],[ID]]&amp;Tabela1[[#This Row],[MATRICULA]]&amp;"cliente 4"&amp;Tabela1[[#This Row],[SETOR]],BD!A:AF,13,0),"")</f>
        <v/>
      </c>
      <c r="CA27" s="135" t="str">
        <f>IFERROR(AVERAGE(Tabela1[[#This Row],[DCLI]:[DCLI 4]]),"")</f>
        <v/>
      </c>
      <c r="CB27" s="135" t="str">
        <f>IFERROR(VLOOKUP(Tabela1[[#This Row],[MÊS]]&amp;Tabela1[[#This Row],[ID]]&amp;Tabela1[[#This Row],[MATRICULA]]&amp;"Policia"&amp;Tabela1[[#This Row],[SETOR]],BD!A:AF,13,0),"")</f>
        <v/>
      </c>
      <c r="CC27" s="135" t="str">
        <f>IFERROR(VLOOKUP(Tabela1[[#This Row],[MÊS]]&amp;Tabela1[[#This Row],[ID]]&amp;Tabela1[[#This Row],[MATRICULA]]&amp;"Policia 2"&amp;Tabela1[[#This Row],[SETOR]],BD!A:AF,13,0),"")</f>
        <v/>
      </c>
      <c r="CD27" s="135"/>
      <c r="CE27" s="135"/>
      <c r="CF27" s="135" t="str">
        <f>IFERROR((AVERAGE(Tabela1[[#This Row],[DPOL1]:[DPOL4]])),"")</f>
        <v/>
      </c>
      <c r="CG27" s="21" t="str">
        <f>IFERROR(VLOOKUP(Tabela1[[#This Row],[ID]]&amp;Tabela1[[#This Row],[MÊS]]&amp;Tabela1[[#This Row],[MATRICULA]],#REF!,2,0),"")</f>
        <v/>
      </c>
      <c r="CH27" s="21" t="str">
        <f>IFERROR(VLOOKUP(Tabela1[[#This Row],[ID]]&amp;Tabela1[[#This Row],[MÊS]]&amp;Tabela1[[#This Row],[MATRICULA]],#REF!,2,0),"")</f>
        <v/>
      </c>
      <c r="CI27" s="21" t="str">
        <f>IFERROR(VLOOKUP(Tabela1[[#This Row],[MÊS]]&amp;Tabela1[[#This Row],[MATRICULA]],#REF!,2,0),"")</f>
        <v/>
      </c>
    </row>
    <row r="28" spans="1:87">
      <c r="A28" s="12" t="str">
        <f>Tabela1[[#This Row],[MÊS]]&amp;Tabela1[[#This Row],[MATRICULA]]&amp;Tabela1[[#This Row],[ID]]</f>
        <v>JAN114146</v>
      </c>
      <c r="B28" s="12" t="str">
        <f>Tabela1[[#This Row],[MÊS]]&amp;Tabela1[[#This Row],[ID]]&amp;Tabela1[[#This Row],[MATRICULA]]&amp;Tabela1[[#This Row],[SETOR]]</f>
        <v>JAN611414DISTRIBUIÇÃO</v>
      </c>
      <c r="C28" s="130" t="e">
        <f>VLOOKUP(Tabela1[[#This Row],[MATRICULA]],'BD Campos'!A:D,5,0)</f>
        <v>#REF!</v>
      </c>
      <c r="D28" s="133" t="str">
        <f ca="1">IFERROR(SUM(TODAY()-Tabela1[[#This Row],[ADMISSÃO]]),"")</f>
        <v/>
      </c>
      <c r="E28" s="11" t="str">
        <f ca="1">IFERROR(TRUNC(Tabela1[[#This Row],[TEMPO DE CASA (DIAS)]]/30),"")</f>
        <v/>
      </c>
      <c r="F28" s="32" t="str">
        <f ca="1">IFERROR(SUM(Tabela1[[#This Row],[TEMPO DE CASA (MESES)]]/12),"")</f>
        <v/>
      </c>
      <c r="G28" s="133" t="str">
        <f ca="1">IF(Tabela1[[#This Row],[TEMPO DE CASA (DIAS)]]="","SEM DADOS",IF(Tabela1[[#This Row],[TEMPO DE CASA (DIAS)]]&gt;180,"&gt; 6 MESES","&lt; 6 MESES"))</f>
        <v>SEM DADOS</v>
      </c>
      <c r="H28" s="12" t="str">
        <f t="shared" si="3"/>
        <v>JANThayssa de Almeida6</v>
      </c>
      <c r="I28" s="12" t="str">
        <f>IFERROR(VLOOKUP(Tabela1[[#This Row],[MATRICULA]],'BD Campos'!A:F,7,0),"")</f>
        <v/>
      </c>
      <c r="J28" s="11">
        <v>6</v>
      </c>
      <c r="K28" s="11" t="s">
        <v>669</v>
      </c>
      <c r="L28" s="136">
        <v>11414</v>
      </c>
      <c r="M28" s="12" t="str">
        <f>IFERROR(VLOOKUP(Tabela1[[#This Row],[MATRICULA]],'BD Campos'!A:B,2,0),"")</f>
        <v>NICOLAS DO NASCIMENTO CARVALHO</v>
      </c>
      <c r="N28" s="20">
        <f>IFERROR(AVERAGE(Tabela1[[#This Row],[A1]:[A4]]),"")</f>
        <v>9.2387499999999996</v>
      </c>
      <c r="O28" s="20" t="str">
        <f>IFERROR(IF(Tabela1[[#This Row],[SETOR]]="RECEPTIVO","",AVERAGE(Tabela1[[#This Row],[A5]:[A6]])),"")</f>
        <v/>
      </c>
      <c r="P28" s="20" t="str">
        <f>IFERROR(IF(Tabela1[[#This Row],[STATUS]]="INATIVO","INATIVO",IF(Tabela1[[#This Row],[STATUS]]="QRT","INATIVO",IF(Tabela1[[#This Row],[OPERACIONAL]]&gt;7.99999,"BOM","RUIM"))),"")</f>
        <v>BOM</v>
      </c>
      <c r="Q28" s="21" t="s">
        <v>667</v>
      </c>
      <c r="R28" s="12" t="s">
        <v>94</v>
      </c>
      <c r="S28" s="12" t="s">
        <v>673</v>
      </c>
      <c r="T28" s="12" t="s">
        <v>94</v>
      </c>
      <c r="U2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8" s="12">
        <f>IF(AND(Tabela1[[#This Row],[SETOR]]="UTI",Tabela1[[#This Row],[M]]&lt;&gt;""),1,IF(AND(Tabela1[[#This Row],[SETOR]]="UTI (RJ)",Tabela1[[#This Row],[M]]&lt;&gt;""),1.5,0))</f>
        <v>0</v>
      </c>
      <c r="X28" s="12">
        <f>IF(AND(Tabela1[[#This Row],[SETOR]]="UTI",Tabela1[[#This Row],[PA2]]&lt;&gt;""),1,IF(AND(Tabela1[[#This Row],[SETOR]]="UTI (RJ)",Tabela1[[#This Row],[PA2]]&lt;&gt;""),0,0))</f>
        <v>0</v>
      </c>
      <c r="Y28" s="12">
        <f>IF(AND(Tabela1[[#This Row],[SETOR]]="UTI",Tabela1[[#This Row],[C]]&lt;&gt;""),1,IF(AND(Tabela1[[#This Row],[SETOR]]="UTI (RJ)",Tabela1[[#This Row],[C]]&lt;&gt;""),1.5,0))</f>
        <v>0</v>
      </c>
      <c r="Z28" s="12">
        <f>IF(AND(Tabela1[[#This Row],[SETOR]]="UTI",Tabela1[[#This Row],[PL]]&lt;&gt;""),1,IF(AND(Tabela1[[#This Row],[SETOR]]="UTI (RJ)",Tabela1[[#This Row],[PL]]&lt;&gt;""),1,0))</f>
        <v>0</v>
      </c>
      <c r="AA28" s="21">
        <f>IFERROR(VLOOKUP(Tabela1[[#This Row],[MÊS]]&amp;Tabela1[[#This Row],[MATRICULA]]&amp;"1"&amp;Tabela1[[#This Row],[SETOR]]&amp;"PADRÃO",BD!B:AF,31,0),"")</f>
        <v>8.8974999999999991</v>
      </c>
      <c r="AB28" s="21">
        <f>IFERROR(VLOOKUP(Tabela1[[#This Row],[MÊS]]&amp;Tabela1[[#This Row],[MATRICULA]]&amp;"2"&amp;Tabela1[[#This Row],[SETOR]]&amp;"PADRÃO",BD!B:AF,31,0),"")</f>
        <v>9.58</v>
      </c>
      <c r="AC28" s="21" t="str">
        <f>IFERROR(VLOOKUP(Tabela1[[#This Row],[MÊS]]&amp;Tabela1[[#This Row],[MATRICULA]]&amp;"3"&amp;Tabela1[[#This Row],[SETOR]]&amp;"PADRÃO",BD!B:AF,31,0),"")</f>
        <v/>
      </c>
      <c r="AD28" s="21" t="str">
        <f>IFERROR(VLOOKUP(Tabela1[[#This Row],[MÊS]]&amp;Tabela1[[#This Row],[MATRICULA]]&amp;"4"&amp;Tabela1[[#This Row],[SETOR]]&amp;"PADRÃO",BD!B:AF,25,0),"")</f>
        <v/>
      </c>
      <c r="AE28" s="21" t="str">
        <f>IFERROR(VLOOKUP(Tabela1[[#This Row],[MÊS]]&amp;Tabela1[[#This Row],[MATRICULA]]&amp;"5"&amp;Tabela1[[#This Row],[SETOR]]&amp;"PADRÃO",BD!B:AF,31,0),"")</f>
        <v/>
      </c>
      <c r="AF28" s="21" t="str">
        <f>IFERROR(VLOOKUP(Tabela1[[#This Row],[MÊS]]&amp;Tabela1[[#This Row],[MATRICULA]]&amp;"6"&amp;Tabela1[[#This Row],[SETOR]]&amp;"PADRÃO",BD!B:AF,31,0),"")</f>
        <v/>
      </c>
      <c r="AG28" s="21" t="str">
        <f>IFERROR(VLOOKUP(Tabela1[[#This Row],[MÊS]]&amp;Tabela1[[#This Row],[MATRICULA]]&amp;"7"&amp;Tabela1[[#This Row],[SETOR]]&amp;"PADRÃO",BD!B:AF,31,0),"")</f>
        <v/>
      </c>
      <c r="AH28" s="21" t="str">
        <f>IFERROR(VLOOKUP(Tabela1[[#This Row],[MÊS]]&amp;Tabela1[[#This Row],[ID]]&amp;Tabela1[[#This Row],[MATRICULA]]&amp;"Receptiva"&amp;Tabela1[[#This Row],[SETOR]],BD!A:AF,31,0),"")</f>
        <v/>
      </c>
      <c r="AI28" s="21" t="str">
        <f>IFERROR(VLOOKUP(Tabela1[[#This Row],[MÊS]]&amp;Tabela1[[#This Row],[ID]]&amp;Tabela1[[#This Row],[MATRICULA]]&amp;"Receptiva 2"&amp;Tabela1[[#This Row],[SETOR]],BD!A:AF,31,0),"")</f>
        <v/>
      </c>
      <c r="AJ28" s="21" t="str">
        <f>IFERROR(VLOOKUP(Tabela1[[#This Row],[MÊS]]&amp;Tabela1[[#This Row],[ID]]&amp;Tabela1[[#This Row],[MATRICULA]]&amp;"Receptiva 3"&amp;Tabela1[[#This Row],[SETOR]],BD!A:AF,31,0),"")</f>
        <v/>
      </c>
      <c r="AK28" s="21" t="str">
        <f>IFERROR(VLOOKUP(Tabela1[[#This Row],[MÊS]]&amp;Tabela1[[#This Row],[ID]]&amp;Tabela1[[#This Row],[MATRICULA]]&amp;"Receptiva 4"&amp;Tabela1[[#This Row],[SETOR]],BD!A:AF,31,0),"")</f>
        <v/>
      </c>
      <c r="AL28" s="21">
        <f>IFERROR(VLOOKUP(Tabela1[[#This Row],[MÊS]]&amp;Tabela1[[#This Row],[MATRICULA]]&amp;"Motorista"&amp;Tabela1[[#This Row],[SETOR]],BD!A:AF,31,0),"")</f>
        <v>0</v>
      </c>
      <c r="AM28" s="21" t="str">
        <f>IFERROR(VLOOKUP(Tabela1[[#This Row],[MÊS]]&amp;Tabela1[[#This Row],[ID]]&amp;Tabela1[[#This Row],[MATRICULA]]&amp;"Motorista 2"&amp;Tabela1[[#This Row],[SETOR]],BD!A:AF,26,0),"")</f>
        <v/>
      </c>
      <c r="AN28" s="21" t="str">
        <f>IFERROR(VLOOKUP(Tabela1[[#This Row],[MÊS]]&amp;Tabela1[[#This Row],[ID]]&amp;Tabela1[[#This Row],[MATRICULA]]&amp;"Motorista 3"&amp;Tabela1[[#This Row],[SETOR]],BD!A:AF,26,0),"")</f>
        <v/>
      </c>
      <c r="AO28" s="21" t="str">
        <f>IFERROR(VLOOKUP(Tabela1[[#This Row],[MÊS]]&amp;Tabela1[[#This Row],[ID]]&amp;Tabela1[[#This Row],[MATRICULA]]&amp;"Motorista 4"&amp;Tabela1[[#This Row],[SETOR]],BD!A:AF,26,0),"")</f>
        <v/>
      </c>
      <c r="AP28" s="21" t="str">
        <f>IFERROR(VLOOKUP(Tabela1[[#This Row],[MÊS]]&amp;Tabela1[[#This Row],[MATRICULA]]&amp;"Ponto de Apoio"&amp;Tabela1[[#This Row],[SETOR]],BD!A:AF,31,0),"")</f>
        <v/>
      </c>
      <c r="AQ28" s="21" t="str">
        <f>IFERROR(VLOOKUP(Tabela1[[#This Row],[MÊS]]&amp;Tabela1[[#This Row],[ID]]&amp;Tabela1[[#This Row],[MATRICULA]]&amp;"Ponto de Apoio 2"&amp;Tabela1[[#This Row],[SETOR]],BD!A:AF,26,0),"")</f>
        <v/>
      </c>
      <c r="AR28" s="36" t="str">
        <f>IFERROR(VLOOKUP(Tabela1[[#This Row],[MÊS]]&amp;Tabela1[[#This Row],[ID]]&amp;Tabela1[[#This Row],[MATRICULA]]&amp;"Ponto de Apoio 3"&amp;Tabela1[[#This Row],[SETOR]],BD!A:AF,26,0),"")</f>
        <v/>
      </c>
      <c r="AS28" s="36" t="str">
        <f>IFERROR(VLOOKUP(Tabela1[[#This Row],[MÊS]]&amp;Tabela1[[#This Row],[ID]]&amp;Tabela1[[#This Row],[MATRICULA]]&amp;"Ponto de Apoio 4"&amp;Tabela1[[#This Row],[SETOR]],BD!A:AF,26,0),"")</f>
        <v/>
      </c>
      <c r="AT28" s="21" t="str">
        <f>IFERROR(VLOOKUP(Tabela1[[#This Row],[MÊS]]&amp;Tabela1[[#This Row],[MATRICULA]]&amp;"Cliente"&amp;Tabela1[[#This Row],[SETOR]],BD!A:AF,31,0),"")</f>
        <v/>
      </c>
      <c r="AU28" s="21" t="str">
        <f>IFERROR(VLOOKUP(Tabela1[[#This Row],[MÊS]]&amp;Tabela1[[#This Row],[ID]]&amp;Tabela1[[#This Row],[MATRICULA]]&amp;"Cliente 2"&amp;Tabela1[[#This Row],[SETOR]],BD!A:AF,26,0),"")</f>
        <v/>
      </c>
      <c r="AX28" s="21" t="str">
        <f>IFERROR(VLOOKUP(Tabela1[[#This Row],[MÊS]]&amp;Tabela1[[#This Row],[MATRICULA]]&amp;"Policia"&amp;Tabela1[[#This Row],[SETOR]],BD!A:AF,31,0),"")</f>
        <v/>
      </c>
      <c r="AY28" s="21" t="str">
        <f>IFERROR(VLOOKUP(Tabela1[[#This Row],[MÊS]]&amp;Tabela1[[#This Row],[ID]]&amp;Tabela1[[#This Row],[MATRICULA]]&amp;"Policia 2"&amp;Tabela1[[#This Row],[SETOR]],BD!A:AF,26,0),"")</f>
        <v/>
      </c>
      <c r="AZ28" s="36" t="str">
        <f>IFERROR(VLOOKUP(Tabela1[[#This Row],[MÊS]]&amp;Tabela1[[#This Row],[ID]]&amp;Tabela1[[#This Row],[MATRICULA]]&amp;"Policia 3"&amp;Tabela1[[#This Row],[SETOR]],BD!A:AF,26,0),"")</f>
        <v/>
      </c>
      <c r="BA28" s="36" t="str">
        <f>IFERROR(VLOOKUP(Tabela1[[#This Row],[MÊS]]&amp;Tabela1[[#This Row],[ID]]&amp;Tabela1[[#This Row],[MATRICULA]]&amp;"Policia 4"&amp;Tabela1[[#This Row],[SETOR]],BD!A:AF,26,0),"")</f>
        <v/>
      </c>
      <c r="BB2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8" s="21">
        <f>IFERROR(AVERAGE(Tabela1[[#This Row],[M]:[M4]]),"")</f>
        <v>0</v>
      </c>
      <c r="BD28" s="21" t="str">
        <f>IFERROR(AVERAGE(Tabela1[[#This Row],[C]:[C4]]),"")</f>
        <v/>
      </c>
      <c r="BE28" s="21" t="str">
        <f>IFERROR(AVERAGE(Tabela1[[#This Row],[PA2]:[PA 4]]),"")</f>
        <v/>
      </c>
      <c r="BF28" s="21" t="str">
        <f>IFERROR(AVERAGE(Tabela1[[#This Row],[PL]:[PL4]]),"")</f>
        <v/>
      </c>
      <c r="BG28" s="35" t="str">
        <f>IFERROR(VLOOKUP(Tabela1[[#This Row],[MÊS]]&amp;Tabela1[[#This Row],[MATRICULA]],#REF!,2,0),"")</f>
        <v/>
      </c>
      <c r="BH28" s="35" t="str">
        <f>IFERROR(VLOOKUP(Tabela1[[#This Row],[MÊS]]&amp;Tabela1[[#This Row],[MATRICULA]],#REF!,2,0),"")</f>
        <v/>
      </c>
      <c r="BI28" s="35" t="str">
        <f>IFERROR(VLOOKUP(Tabela1[[#This Row],[MÊS]]&amp;Tabela1[[#This Row],[MATRICULA]],#REF!,2,0),"")</f>
        <v/>
      </c>
      <c r="BJ28" s="35" t="str">
        <f>IFERROR(VLOOKUP(Tabela1[[#This Row],[MÊS]]&amp;Tabela1[[#This Row],[MATRICULA]],#REF!,2,0),"")</f>
        <v/>
      </c>
      <c r="BK28" s="35" t="str">
        <f>IFERROR(VLOOKUP(Tabela1[[#This Row],[MÊS]]&amp;Tabela1[[#This Row],[MATRICULA]],#REF!,2,0),"")</f>
        <v/>
      </c>
      <c r="BL28" s="21">
        <f>COUNTIF(Tabela1[[#This Row],[MOT2]:[RECEPTIVA]],"NÃO ENCONTRADA")</f>
        <v>0</v>
      </c>
      <c r="BM28" s="135" t="str">
        <f>IFERROR(VLOOKUP(Tabela1[[#This Row],[MÊS]]&amp;Tabela1[[#This Row],[ID]]&amp;Tabela1[[#This Row],[MATRICULA]]&amp;"Motorista"&amp;Tabela1[[#This Row],[SETOR]],BD!A:AF,13,0),"")</f>
        <v/>
      </c>
      <c r="BN28" s="135" t="str">
        <f>IFERROR(VLOOKUP(Tabela1[[#This Row],[MÊS]]&amp;Tabela1[[#This Row],[ID]]&amp;Tabela1[[#This Row],[MATRICULA]]&amp;"Motorista 2"&amp;Tabela1[[#This Row],[SETOR]],BD!A:AF,13,0),"")</f>
        <v/>
      </c>
      <c r="BO28" s="135" t="str">
        <f>IFERROR(VLOOKUP(Tabela1[[#This Row],[MÊS]]&amp;Tabela1[[#This Row],[ID]]&amp;Tabela1[[#This Row],[MATRICULA]]&amp;"Motorista 3"&amp;Tabela1[[#This Row],[SETOR]],BD!A:AF,13,0),"")</f>
        <v/>
      </c>
      <c r="BP28" s="135" t="str">
        <f>IFERROR(VLOOKUP(Tabela1[[#This Row],[MÊS]]&amp;Tabela1[[#This Row],[ID]]&amp;Tabela1[[#This Row],[MATRICULA]]&amp;"Motorista 4"&amp;Tabela1[[#This Row],[SETOR]],BD!A:AF,13,0),"")</f>
        <v/>
      </c>
      <c r="BQ28" s="135" t="str">
        <f>IFERROR(AVERAGE(Tabela1[[#This Row],[DMOT]:[DMOT4]]),"")</f>
        <v/>
      </c>
      <c r="BR28" s="135" t="str">
        <f>IFERROR(VLOOKUP(Tabela1[[#This Row],[MÊS]]&amp;Tabela1[[#This Row],[ID]]&amp;Tabela1[[#This Row],[MATRICULA]]&amp;"Ponto de Apoio"&amp;Tabela1[[#This Row],[SETOR]],BD!A:AF,13,0),"")</f>
        <v/>
      </c>
      <c r="BS28" s="135" t="str">
        <f>IFERROR(VLOOKUP(Tabela1[[#This Row],[MÊS]]&amp;Tabela1[[#This Row],[ID]]&amp;Tabela1[[#This Row],[MATRICULA]]&amp;"Ponto de Apoio 2"&amp;Tabela1[[#This Row],[SETOR]],BD!A:AF,13,0),"")</f>
        <v/>
      </c>
      <c r="BT28" s="135" t="str">
        <f>IFERROR(VLOOKUP(Tabela1[[#This Row],[MÊS]]&amp;Tabela1[[#This Row],[ID]]&amp;Tabela1[[#This Row],[MATRICULA]]&amp;"Ponto de Apoio 3"&amp;Tabela1[[#This Row],[SETOR]],BD!A:AF,13,0),"")</f>
        <v/>
      </c>
      <c r="BU28" s="135" t="str">
        <f>IFERROR(VLOOKUP(Tabela1[[#This Row],[MÊS]]&amp;Tabela1[[#This Row],[ID]]&amp;Tabela1[[#This Row],[MATRICULA]]&amp;"Ponto de Apoio 4"&amp;Tabela1[[#This Row],[SETOR]],BD!A:AF,13,0),"")</f>
        <v/>
      </c>
      <c r="BV28" s="135" t="str">
        <f>IFERROR(AVERAGE(Tabela1[[#This Row],[DPA]:[DPA 4]]),"")</f>
        <v/>
      </c>
      <c r="BW28" s="135" t="str">
        <f>IFERROR(VLOOKUP(Tabela1[[#This Row],[MÊS]]&amp;Tabela1[[#This Row],[ID]]&amp;Tabela1[[#This Row],[MATRICULA]]&amp;"Cliente"&amp;Tabela1[[#This Row],[SETOR]],BD!A:AF,13,0),"")</f>
        <v/>
      </c>
      <c r="BX28" s="135" t="str">
        <f>IFERROR(VLOOKUP(Tabela1[[#This Row],[MÊS]]&amp;Tabela1[[#This Row],[ID]]&amp;Tabela1[[#This Row],[MATRICULA]]&amp;"cliente 2"&amp;Tabela1[[#This Row],[SETOR]],BD!A:AF,13,0),"")</f>
        <v/>
      </c>
      <c r="BY28" s="135" t="str">
        <f>IFERROR(VLOOKUP(Tabela1[[#This Row],[MÊS]]&amp;Tabela1[[#This Row],[ID]]&amp;Tabela1[[#This Row],[MATRICULA]]&amp;"cliente 3"&amp;Tabela1[[#This Row],[SETOR]],BD!A:AF,13,0),"")</f>
        <v/>
      </c>
      <c r="BZ28" s="135" t="str">
        <f>IFERROR(VLOOKUP(Tabela1[[#This Row],[MÊS]]&amp;Tabela1[[#This Row],[ID]]&amp;Tabela1[[#This Row],[MATRICULA]]&amp;"cliente 4"&amp;Tabela1[[#This Row],[SETOR]],BD!A:AF,13,0),"")</f>
        <v/>
      </c>
      <c r="CA28" s="135" t="str">
        <f>IFERROR(AVERAGE(Tabela1[[#This Row],[DCLI]:[DCLI 4]]),"")</f>
        <v/>
      </c>
      <c r="CB28" s="135" t="str">
        <f>IFERROR(VLOOKUP(Tabela1[[#This Row],[MÊS]]&amp;Tabela1[[#This Row],[ID]]&amp;Tabela1[[#This Row],[MATRICULA]]&amp;"Policia"&amp;Tabela1[[#This Row],[SETOR]],BD!A:AF,13,0),"")</f>
        <v/>
      </c>
      <c r="CC28" s="135" t="str">
        <f>IFERROR(VLOOKUP(Tabela1[[#This Row],[MÊS]]&amp;Tabela1[[#This Row],[ID]]&amp;Tabela1[[#This Row],[MATRICULA]]&amp;"Policia 2"&amp;Tabela1[[#This Row],[SETOR]],BD!A:AF,13,0),"")</f>
        <v/>
      </c>
      <c r="CD28" s="135"/>
      <c r="CE28" s="135"/>
      <c r="CF28" s="135" t="str">
        <f>IFERROR((AVERAGE(Tabela1[[#This Row],[DPOL1]:[DPOL4]])),"")</f>
        <v/>
      </c>
      <c r="CG28" s="21" t="str">
        <f>IFERROR(VLOOKUP(Tabela1[[#This Row],[ID]]&amp;Tabela1[[#This Row],[MÊS]]&amp;Tabela1[[#This Row],[MATRICULA]],#REF!,2,0),"")</f>
        <v/>
      </c>
      <c r="CH28" s="21" t="str">
        <f>IFERROR(VLOOKUP(Tabela1[[#This Row],[ID]]&amp;Tabela1[[#This Row],[MÊS]]&amp;Tabela1[[#This Row],[MATRICULA]],#REF!,2,0),"")</f>
        <v/>
      </c>
      <c r="CI28" s="21" t="str">
        <f>IFERROR(VLOOKUP(Tabela1[[#This Row],[MÊS]]&amp;Tabela1[[#This Row],[MATRICULA]],#REF!,2,0),"")</f>
        <v/>
      </c>
    </row>
    <row r="29" spans="1:87">
      <c r="A29" s="12" t="str">
        <f>Tabela1[[#This Row],[MÊS]]&amp;Tabela1[[#This Row],[MATRICULA]]&amp;Tabela1[[#This Row],[ID]]</f>
        <v>JAN114107</v>
      </c>
      <c r="B29" s="12" t="str">
        <f>Tabela1[[#This Row],[MÊS]]&amp;Tabela1[[#This Row],[ID]]&amp;Tabela1[[#This Row],[MATRICULA]]&amp;Tabela1[[#This Row],[SETOR]]</f>
        <v>JAN711410DISTRIBUIÇÃO</v>
      </c>
      <c r="C29" s="130" t="e">
        <f>VLOOKUP(Tabela1[[#This Row],[MATRICULA]],'BD Campos'!A:D,5,0)</f>
        <v>#REF!</v>
      </c>
      <c r="D29" s="133" t="str">
        <f ca="1">IFERROR(SUM(TODAY()-Tabela1[[#This Row],[ADMISSÃO]]),"")</f>
        <v/>
      </c>
      <c r="E29" s="11" t="str">
        <f ca="1">IFERROR(TRUNC(Tabela1[[#This Row],[TEMPO DE CASA (DIAS)]]/30),"")</f>
        <v/>
      </c>
      <c r="F29" s="32" t="str">
        <f ca="1">IFERROR(SUM(Tabela1[[#This Row],[TEMPO DE CASA (MESES)]]/12),"")</f>
        <v/>
      </c>
      <c r="G29" s="133" t="str">
        <f ca="1">IF(Tabela1[[#This Row],[TEMPO DE CASA (DIAS)]]="","SEM DADOS",IF(Tabela1[[#This Row],[TEMPO DE CASA (DIAS)]]&gt;180,"&gt; 6 MESES","&lt; 6 MESES"))</f>
        <v>SEM DADOS</v>
      </c>
      <c r="H29" s="12" t="str">
        <f t="shared" si="3"/>
        <v>JANThayssa de Almeida7</v>
      </c>
      <c r="I29" s="12" t="str">
        <f>IFERROR(VLOOKUP(Tabela1[[#This Row],[MATRICULA]],'BD Campos'!A:F,7,0),"")</f>
        <v/>
      </c>
      <c r="J29" s="11">
        <v>7</v>
      </c>
      <c r="K29" s="11" t="s">
        <v>669</v>
      </c>
      <c r="L29" s="136">
        <v>11410</v>
      </c>
      <c r="M29" s="12" t="str">
        <f>IFERROR(VLOOKUP(Tabela1[[#This Row],[MATRICULA]],'BD Campos'!A:B,2,0),"")</f>
        <v>MARIA VITÓRIA OLIVEIRA SILVA</v>
      </c>
      <c r="N29" s="20">
        <f>IFERROR(AVERAGE(Tabela1[[#This Row],[A1]:[A4]]),"")</f>
        <v>4.2912499999999998</v>
      </c>
      <c r="O29" s="20" t="str">
        <f>IFERROR(IF(Tabela1[[#This Row],[SETOR]]="RECEPTIVO","",AVERAGE(Tabela1[[#This Row],[A5]:[A6]])),"")</f>
        <v/>
      </c>
      <c r="P29" s="20" t="str">
        <f>IFERROR(IF(Tabela1[[#This Row],[STATUS]]="INATIVO","INATIVO",IF(Tabela1[[#This Row],[STATUS]]="QRT","INATIVO",IF(Tabela1[[#This Row],[OPERACIONAL]]&gt;7.99999,"BOM","RUIM"))),"")</f>
        <v>RUIM</v>
      </c>
      <c r="Q29" s="21" t="s">
        <v>667</v>
      </c>
      <c r="R29" s="12" t="s">
        <v>94</v>
      </c>
      <c r="S29" s="12" t="s">
        <v>673</v>
      </c>
      <c r="T29" s="12" t="s">
        <v>94</v>
      </c>
      <c r="U2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9" s="12">
        <f>IF(AND(Tabela1[[#This Row],[SETOR]]="UTI",Tabela1[[#This Row],[M]]&lt;&gt;""),1,IF(AND(Tabela1[[#This Row],[SETOR]]="UTI (RJ)",Tabela1[[#This Row],[M]]&lt;&gt;""),1.5,0))</f>
        <v>0</v>
      </c>
      <c r="X29" s="12">
        <f>IF(AND(Tabela1[[#This Row],[SETOR]]="UTI",Tabela1[[#This Row],[PA2]]&lt;&gt;""),1,IF(AND(Tabela1[[#This Row],[SETOR]]="UTI (RJ)",Tabela1[[#This Row],[PA2]]&lt;&gt;""),0,0))</f>
        <v>0</v>
      </c>
      <c r="Y29" s="12">
        <f>IF(AND(Tabela1[[#This Row],[SETOR]]="UTI",Tabela1[[#This Row],[C]]&lt;&gt;""),1,IF(AND(Tabela1[[#This Row],[SETOR]]="UTI (RJ)",Tabela1[[#This Row],[C]]&lt;&gt;""),1.5,0))</f>
        <v>0</v>
      </c>
      <c r="Z29" s="12">
        <f>IF(AND(Tabela1[[#This Row],[SETOR]]="UTI",Tabela1[[#This Row],[PL]]&lt;&gt;""),1,IF(AND(Tabela1[[#This Row],[SETOR]]="UTI (RJ)",Tabela1[[#This Row],[PL]]&lt;&gt;""),1,0))</f>
        <v>0</v>
      </c>
      <c r="AA29" s="21">
        <f>IFERROR(VLOOKUP(Tabela1[[#This Row],[MÊS]]&amp;Tabela1[[#This Row],[MATRICULA]]&amp;"1"&amp;Tabela1[[#This Row],[SETOR]]&amp;"PADRÃO",BD!B:AF,31,0),"")</f>
        <v>8.5824999999999996</v>
      </c>
      <c r="AB29" s="21">
        <f>IFERROR(VLOOKUP(Tabela1[[#This Row],[MÊS]]&amp;Tabela1[[#This Row],[MATRICULA]]&amp;"2"&amp;Tabela1[[#This Row],[SETOR]]&amp;"PADRÃO",BD!B:AF,31,0),"")</f>
        <v>0</v>
      </c>
      <c r="AC29" s="21" t="str">
        <f>IFERROR(VLOOKUP(Tabela1[[#This Row],[MÊS]]&amp;Tabela1[[#This Row],[MATRICULA]]&amp;"3"&amp;Tabela1[[#This Row],[SETOR]]&amp;"PADRÃO",BD!B:AF,31,0),"")</f>
        <v/>
      </c>
      <c r="AD29" s="21" t="str">
        <f>IFERROR(VLOOKUP(Tabela1[[#This Row],[MÊS]]&amp;Tabela1[[#This Row],[MATRICULA]]&amp;"4"&amp;Tabela1[[#This Row],[SETOR]]&amp;"PADRÃO",BD!B:AF,25,0),"")</f>
        <v/>
      </c>
      <c r="AE29" s="21" t="str">
        <f>IFERROR(VLOOKUP(Tabela1[[#This Row],[MÊS]]&amp;Tabela1[[#This Row],[MATRICULA]]&amp;"5"&amp;Tabela1[[#This Row],[SETOR]]&amp;"PADRÃO",BD!B:AF,31,0),"")</f>
        <v/>
      </c>
      <c r="AF29" s="21" t="str">
        <f>IFERROR(VLOOKUP(Tabela1[[#This Row],[MÊS]]&amp;Tabela1[[#This Row],[MATRICULA]]&amp;"6"&amp;Tabela1[[#This Row],[SETOR]]&amp;"PADRÃO",BD!B:AF,31,0),"")</f>
        <v/>
      </c>
      <c r="AG29" s="21" t="str">
        <f>IFERROR(VLOOKUP(Tabela1[[#This Row],[MÊS]]&amp;Tabela1[[#This Row],[MATRICULA]]&amp;"7"&amp;Tabela1[[#This Row],[SETOR]]&amp;"PADRÃO",BD!B:AF,31,0),"")</f>
        <v/>
      </c>
      <c r="AH29" s="21" t="str">
        <f>IFERROR(VLOOKUP(Tabela1[[#This Row],[MÊS]]&amp;Tabela1[[#This Row],[ID]]&amp;Tabela1[[#This Row],[MATRICULA]]&amp;"Receptiva"&amp;Tabela1[[#This Row],[SETOR]],BD!A:AF,31,0),"")</f>
        <v/>
      </c>
      <c r="AI29" s="21" t="str">
        <f>IFERROR(VLOOKUP(Tabela1[[#This Row],[MÊS]]&amp;Tabela1[[#This Row],[ID]]&amp;Tabela1[[#This Row],[MATRICULA]]&amp;"Receptiva 2"&amp;Tabela1[[#This Row],[SETOR]],BD!A:AF,31,0),"")</f>
        <v/>
      </c>
      <c r="AJ29" s="21" t="str">
        <f>IFERROR(VLOOKUP(Tabela1[[#This Row],[MÊS]]&amp;Tabela1[[#This Row],[ID]]&amp;Tabela1[[#This Row],[MATRICULA]]&amp;"Receptiva 3"&amp;Tabela1[[#This Row],[SETOR]],BD!A:AF,31,0),"")</f>
        <v/>
      </c>
      <c r="AK29" s="21" t="str">
        <f>IFERROR(VLOOKUP(Tabela1[[#This Row],[MÊS]]&amp;Tabela1[[#This Row],[ID]]&amp;Tabela1[[#This Row],[MATRICULA]]&amp;"Receptiva 4"&amp;Tabela1[[#This Row],[SETOR]],BD!A:AF,31,0),"")</f>
        <v/>
      </c>
      <c r="AL29" s="21">
        <f>IFERROR(VLOOKUP(Tabela1[[#This Row],[MÊS]]&amp;Tabela1[[#This Row],[MATRICULA]]&amp;"Motorista"&amp;Tabela1[[#This Row],[SETOR]],BD!A:AF,31,0),"")</f>
        <v>0</v>
      </c>
      <c r="AM29" s="21" t="str">
        <f>IFERROR(VLOOKUP(Tabela1[[#This Row],[MÊS]]&amp;Tabela1[[#This Row],[ID]]&amp;Tabela1[[#This Row],[MATRICULA]]&amp;"Motorista 2"&amp;Tabela1[[#This Row],[SETOR]],BD!A:AF,26,0),"")</f>
        <v/>
      </c>
      <c r="AN29" s="21" t="str">
        <f>IFERROR(VLOOKUP(Tabela1[[#This Row],[MÊS]]&amp;Tabela1[[#This Row],[ID]]&amp;Tabela1[[#This Row],[MATRICULA]]&amp;"Motorista 3"&amp;Tabela1[[#This Row],[SETOR]],BD!A:AF,26,0),"")</f>
        <v/>
      </c>
      <c r="AO29" s="21" t="str">
        <f>IFERROR(VLOOKUP(Tabela1[[#This Row],[MÊS]]&amp;Tabela1[[#This Row],[ID]]&amp;Tabela1[[#This Row],[MATRICULA]]&amp;"Motorista 4"&amp;Tabela1[[#This Row],[SETOR]],BD!A:AF,26,0),"")</f>
        <v/>
      </c>
      <c r="AP29" s="21" t="str">
        <f>IFERROR(VLOOKUP(Tabela1[[#This Row],[MÊS]]&amp;Tabela1[[#This Row],[MATRICULA]]&amp;"Ponto de Apoio"&amp;Tabela1[[#This Row],[SETOR]],BD!A:AF,31,0),"")</f>
        <v/>
      </c>
      <c r="AQ29" s="21" t="str">
        <f>IFERROR(VLOOKUP(Tabela1[[#This Row],[MÊS]]&amp;Tabela1[[#This Row],[ID]]&amp;Tabela1[[#This Row],[MATRICULA]]&amp;"Ponto de Apoio 2"&amp;Tabela1[[#This Row],[SETOR]],BD!A:AF,26,0),"")</f>
        <v/>
      </c>
      <c r="AR29" s="36" t="str">
        <f>IFERROR(VLOOKUP(Tabela1[[#This Row],[MÊS]]&amp;Tabela1[[#This Row],[ID]]&amp;Tabela1[[#This Row],[MATRICULA]]&amp;"Ponto de Apoio 3"&amp;Tabela1[[#This Row],[SETOR]],BD!A:AF,26,0),"")</f>
        <v/>
      </c>
      <c r="AS29" s="36" t="str">
        <f>IFERROR(VLOOKUP(Tabela1[[#This Row],[MÊS]]&amp;Tabela1[[#This Row],[ID]]&amp;Tabela1[[#This Row],[MATRICULA]]&amp;"Ponto de Apoio 4"&amp;Tabela1[[#This Row],[SETOR]],BD!A:AF,26,0),"")</f>
        <v/>
      </c>
      <c r="AT29" s="21" t="str">
        <f>IFERROR(VLOOKUP(Tabela1[[#This Row],[MÊS]]&amp;Tabela1[[#This Row],[MATRICULA]]&amp;"Cliente"&amp;Tabela1[[#This Row],[SETOR]],BD!A:AF,31,0),"")</f>
        <v/>
      </c>
      <c r="AU29" s="21" t="str">
        <f>IFERROR(VLOOKUP(Tabela1[[#This Row],[MÊS]]&amp;Tabela1[[#This Row],[ID]]&amp;Tabela1[[#This Row],[MATRICULA]]&amp;"Cliente 2"&amp;Tabela1[[#This Row],[SETOR]],BD!A:AF,26,0),"")</f>
        <v/>
      </c>
      <c r="AX29" s="21" t="str">
        <f>IFERROR(VLOOKUP(Tabela1[[#This Row],[MÊS]]&amp;Tabela1[[#This Row],[MATRICULA]]&amp;"Policia"&amp;Tabela1[[#This Row],[SETOR]],BD!A:AF,31,0),"")</f>
        <v/>
      </c>
      <c r="AY29" s="21" t="str">
        <f>IFERROR(VLOOKUP(Tabela1[[#This Row],[MÊS]]&amp;Tabela1[[#This Row],[ID]]&amp;Tabela1[[#This Row],[MATRICULA]]&amp;"Policia 2"&amp;Tabela1[[#This Row],[SETOR]],BD!A:AF,26,0),"")</f>
        <v/>
      </c>
      <c r="AZ29" s="36" t="str">
        <f>IFERROR(VLOOKUP(Tabela1[[#This Row],[MÊS]]&amp;Tabela1[[#This Row],[ID]]&amp;Tabela1[[#This Row],[MATRICULA]]&amp;"Policia 3"&amp;Tabela1[[#This Row],[SETOR]],BD!A:AF,26,0),"")</f>
        <v/>
      </c>
      <c r="BA29" s="36" t="str">
        <f>IFERROR(VLOOKUP(Tabela1[[#This Row],[MÊS]]&amp;Tabela1[[#This Row],[ID]]&amp;Tabela1[[#This Row],[MATRICULA]]&amp;"Policia 4"&amp;Tabela1[[#This Row],[SETOR]],BD!A:AF,26,0),"")</f>
        <v/>
      </c>
      <c r="BB2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9" s="21">
        <f>IFERROR(AVERAGE(Tabela1[[#This Row],[M]:[M4]]),"")</f>
        <v>0</v>
      </c>
      <c r="BD29" s="21" t="str">
        <f>IFERROR(AVERAGE(Tabela1[[#This Row],[C]:[C4]]),"")</f>
        <v/>
      </c>
      <c r="BE29" s="21" t="str">
        <f>IFERROR(AVERAGE(Tabela1[[#This Row],[PA2]:[PA 4]]),"")</f>
        <v/>
      </c>
      <c r="BF29" s="21" t="str">
        <f>IFERROR(AVERAGE(Tabela1[[#This Row],[PL]:[PL4]]),"")</f>
        <v/>
      </c>
      <c r="BG29" s="35" t="str">
        <f>IFERROR(VLOOKUP(Tabela1[[#This Row],[MÊS]]&amp;Tabela1[[#This Row],[MATRICULA]],#REF!,2,0),"")</f>
        <v/>
      </c>
      <c r="BH29" s="35" t="str">
        <f>IFERROR(VLOOKUP(Tabela1[[#This Row],[MÊS]]&amp;Tabela1[[#This Row],[MATRICULA]],#REF!,2,0),"")</f>
        <v/>
      </c>
      <c r="BI29" s="35" t="str">
        <f>IFERROR(VLOOKUP(Tabela1[[#This Row],[MÊS]]&amp;Tabela1[[#This Row],[MATRICULA]],#REF!,2,0),"")</f>
        <v/>
      </c>
      <c r="BJ29" s="35" t="str">
        <f>IFERROR(VLOOKUP(Tabela1[[#This Row],[MÊS]]&amp;Tabela1[[#This Row],[MATRICULA]],#REF!,2,0),"")</f>
        <v/>
      </c>
      <c r="BK29" s="35" t="str">
        <f>IFERROR(VLOOKUP(Tabela1[[#This Row],[MÊS]]&amp;Tabela1[[#This Row],[MATRICULA]],#REF!,2,0),"")</f>
        <v/>
      </c>
      <c r="BL29" s="21">
        <f>COUNTIF(Tabela1[[#This Row],[MOT2]:[RECEPTIVA]],"NÃO ENCONTRADA")</f>
        <v>0</v>
      </c>
      <c r="BM29" s="135" t="str">
        <f>IFERROR(VLOOKUP(Tabela1[[#This Row],[MÊS]]&amp;Tabela1[[#This Row],[ID]]&amp;Tabela1[[#This Row],[MATRICULA]]&amp;"Motorista"&amp;Tabela1[[#This Row],[SETOR]],BD!A:AF,13,0),"")</f>
        <v/>
      </c>
      <c r="BN29" s="135" t="str">
        <f>IFERROR(VLOOKUP(Tabela1[[#This Row],[MÊS]]&amp;Tabela1[[#This Row],[ID]]&amp;Tabela1[[#This Row],[MATRICULA]]&amp;"Motorista 2"&amp;Tabela1[[#This Row],[SETOR]],BD!A:AF,13,0),"")</f>
        <v/>
      </c>
      <c r="BO29" s="135" t="str">
        <f>IFERROR(VLOOKUP(Tabela1[[#This Row],[MÊS]]&amp;Tabela1[[#This Row],[ID]]&amp;Tabela1[[#This Row],[MATRICULA]]&amp;"Motorista 3"&amp;Tabela1[[#This Row],[SETOR]],BD!A:AF,13,0),"")</f>
        <v/>
      </c>
      <c r="BP29" s="135" t="str">
        <f>IFERROR(VLOOKUP(Tabela1[[#This Row],[MÊS]]&amp;Tabela1[[#This Row],[ID]]&amp;Tabela1[[#This Row],[MATRICULA]]&amp;"Motorista 4"&amp;Tabela1[[#This Row],[SETOR]],BD!A:AF,13,0),"")</f>
        <v/>
      </c>
      <c r="BQ29" s="135" t="str">
        <f>IFERROR(AVERAGE(Tabela1[[#This Row],[DMOT]:[DMOT4]]),"")</f>
        <v/>
      </c>
      <c r="BR29" s="135" t="str">
        <f>IFERROR(VLOOKUP(Tabela1[[#This Row],[MÊS]]&amp;Tabela1[[#This Row],[ID]]&amp;Tabela1[[#This Row],[MATRICULA]]&amp;"Ponto de Apoio"&amp;Tabela1[[#This Row],[SETOR]],BD!A:AF,13,0),"")</f>
        <v/>
      </c>
      <c r="BS29" s="135" t="str">
        <f>IFERROR(VLOOKUP(Tabela1[[#This Row],[MÊS]]&amp;Tabela1[[#This Row],[ID]]&amp;Tabela1[[#This Row],[MATRICULA]]&amp;"Ponto de Apoio 2"&amp;Tabela1[[#This Row],[SETOR]],BD!A:AF,13,0),"")</f>
        <v/>
      </c>
      <c r="BT29" s="135" t="str">
        <f>IFERROR(VLOOKUP(Tabela1[[#This Row],[MÊS]]&amp;Tabela1[[#This Row],[ID]]&amp;Tabela1[[#This Row],[MATRICULA]]&amp;"Ponto de Apoio 3"&amp;Tabela1[[#This Row],[SETOR]],BD!A:AF,13,0),"")</f>
        <v/>
      </c>
      <c r="BU29" s="135" t="str">
        <f>IFERROR(VLOOKUP(Tabela1[[#This Row],[MÊS]]&amp;Tabela1[[#This Row],[ID]]&amp;Tabela1[[#This Row],[MATRICULA]]&amp;"Ponto de Apoio 4"&amp;Tabela1[[#This Row],[SETOR]],BD!A:AF,13,0),"")</f>
        <v/>
      </c>
      <c r="BV29" s="135" t="str">
        <f>IFERROR(AVERAGE(Tabela1[[#This Row],[DPA]:[DPA 4]]),"")</f>
        <v/>
      </c>
      <c r="BW29" s="135" t="str">
        <f>IFERROR(VLOOKUP(Tabela1[[#This Row],[MÊS]]&amp;Tabela1[[#This Row],[ID]]&amp;Tabela1[[#This Row],[MATRICULA]]&amp;"Cliente"&amp;Tabela1[[#This Row],[SETOR]],BD!A:AF,13,0),"")</f>
        <v/>
      </c>
      <c r="BX29" s="135" t="str">
        <f>IFERROR(VLOOKUP(Tabela1[[#This Row],[MÊS]]&amp;Tabela1[[#This Row],[ID]]&amp;Tabela1[[#This Row],[MATRICULA]]&amp;"cliente 2"&amp;Tabela1[[#This Row],[SETOR]],BD!A:AF,13,0),"")</f>
        <v/>
      </c>
      <c r="BY29" s="135" t="str">
        <f>IFERROR(VLOOKUP(Tabela1[[#This Row],[MÊS]]&amp;Tabela1[[#This Row],[ID]]&amp;Tabela1[[#This Row],[MATRICULA]]&amp;"cliente 3"&amp;Tabela1[[#This Row],[SETOR]],BD!A:AF,13,0),"")</f>
        <v/>
      </c>
      <c r="BZ29" s="135" t="str">
        <f>IFERROR(VLOOKUP(Tabela1[[#This Row],[MÊS]]&amp;Tabela1[[#This Row],[ID]]&amp;Tabela1[[#This Row],[MATRICULA]]&amp;"cliente 4"&amp;Tabela1[[#This Row],[SETOR]],BD!A:AF,13,0),"")</f>
        <v/>
      </c>
      <c r="CA29" s="135" t="str">
        <f>IFERROR(AVERAGE(Tabela1[[#This Row],[DCLI]:[DCLI 4]]),"")</f>
        <v/>
      </c>
      <c r="CB29" s="135" t="str">
        <f>IFERROR(VLOOKUP(Tabela1[[#This Row],[MÊS]]&amp;Tabela1[[#This Row],[ID]]&amp;Tabela1[[#This Row],[MATRICULA]]&amp;"Policia"&amp;Tabela1[[#This Row],[SETOR]],BD!A:AF,13,0),"")</f>
        <v/>
      </c>
      <c r="CC29" s="135" t="str">
        <f>IFERROR(VLOOKUP(Tabela1[[#This Row],[MÊS]]&amp;Tabela1[[#This Row],[ID]]&amp;Tabela1[[#This Row],[MATRICULA]]&amp;"Policia 2"&amp;Tabela1[[#This Row],[SETOR]],BD!A:AF,13,0),"")</f>
        <v/>
      </c>
      <c r="CD29" s="135"/>
      <c r="CE29" s="135"/>
      <c r="CF29" s="135" t="str">
        <f>IFERROR((AVERAGE(Tabela1[[#This Row],[DPOL1]:[DPOL4]])),"")</f>
        <v/>
      </c>
      <c r="CG29" s="21" t="str">
        <f>IFERROR(VLOOKUP(Tabela1[[#This Row],[ID]]&amp;Tabela1[[#This Row],[MÊS]]&amp;Tabela1[[#This Row],[MATRICULA]],#REF!,2,0),"")</f>
        <v/>
      </c>
      <c r="CH29" s="21" t="str">
        <f>IFERROR(VLOOKUP(Tabela1[[#This Row],[ID]]&amp;Tabela1[[#This Row],[MÊS]]&amp;Tabela1[[#This Row],[MATRICULA]],#REF!,2,0),"")</f>
        <v/>
      </c>
      <c r="CI29" s="21" t="str">
        <f>IFERROR(VLOOKUP(Tabela1[[#This Row],[MÊS]]&amp;Tabela1[[#This Row],[MATRICULA]],#REF!,2,0),"")</f>
        <v/>
      </c>
    </row>
    <row r="30" spans="1:87">
      <c r="A30" s="12" t="str">
        <f>Tabela1[[#This Row],[MÊS]]&amp;Tabela1[[#This Row],[MATRICULA]]&amp;Tabela1[[#This Row],[ID]]</f>
        <v>JAN109848</v>
      </c>
      <c r="B30" s="12" t="str">
        <f>Tabela1[[#This Row],[MÊS]]&amp;Tabela1[[#This Row],[ID]]&amp;Tabela1[[#This Row],[MATRICULA]]&amp;Tabela1[[#This Row],[SETOR]]</f>
        <v>JAN810984DISTRIBUIÇÃO</v>
      </c>
      <c r="C30" s="130" t="e">
        <f>VLOOKUP(Tabela1[[#This Row],[MATRICULA]],'BD Campos'!A:D,5,0)</f>
        <v>#REF!</v>
      </c>
      <c r="D30" s="133" t="str">
        <f ca="1">IFERROR(SUM(TODAY()-Tabela1[[#This Row],[ADMISSÃO]]),"")</f>
        <v/>
      </c>
      <c r="E30" s="11" t="str">
        <f ca="1">IFERROR(TRUNC(Tabela1[[#This Row],[TEMPO DE CASA (DIAS)]]/30),"")</f>
        <v/>
      </c>
      <c r="F30" s="32" t="str">
        <f ca="1">IFERROR(SUM(Tabela1[[#This Row],[TEMPO DE CASA (MESES)]]/12),"")</f>
        <v/>
      </c>
      <c r="G30" s="133" t="str">
        <f ca="1">IF(Tabela1[[#This Row],[TEMPO DE CASA (DIAS)]]="","SEM DADOS",IF(Tabela1[[#This Row],[TEMPO DE CASA (DIAS)]]&gt;180,"&gt; 6 MESES","&lt; 6 MESES"))</f>
        <v>SEM DADOS</v>
      </c>
      <c r="H30" s="12" t="str">
        <f t="shared" si="3"/>
        <v>JANThayssa de Almeida8</v>
      </c>
      <c r="I30" s="12" t="str">
        <f>IFERROR(VLOOKUP(Tabela1[[#This Row],[MATRICULA]],'BD Campos'!A:F,7,0),"")</f>
        <v/>
      </c>
      <c r="J30" s="11">
        <v>8</v>
      </c>
      <c r="K30" s="11" t="s">
        <v>669</v>
      </c>
      <c r="L30" s="136">
        <v>10984</v>
      </c>
      <c r="M30" s="12" t="str">
        <f>IFERROR(VLOOKUP(Tabela1[[#This Row],[MATRICULA]],'BD Campos'!A:B,2,0),"")</f>
        <v>MATHEUS EDUARDO DA SILVA</v>
      </c>
      <c r="N30" s="20">
        <f>IFERROR(AVERAGE(Tabela1[[#This Row],[A1]:[A4]]),"")</f>
        <v>0</v>
      </c>
      <c r="O30" s="20" t="str">
        <f>IFERROR(IF(Tabela1[[#This Row],[SETOR]]="RECEPTIVO","",AVERAGE(Tabela1[[#This Row],[A5]:[A6]])),"")</f>
        <v/>
      </c>
      <c r="P30" s="20" t="str">
        <f>IFERROR(IF(Tabela1[[#This Row],[STATUS]]="INATIVO","INATIVO",IF(Tabela1[[#This Row],[STATUS]]="QRT","INATIVO",IF(Tabela1[[#This Row],[OPERACIONAL]]&gt;7.99999,"BOM","RUIM"))),"")</f>
        <v>RUIM</v>
      </c>
      <c r="Q30" s="21" t="s">
        <v>667</v>
      </c>
      <c r="R30" s="12" t="s">
        <v>94</v>
      </c>
      <c r="S30" s="12" t="s">
        <v>673</v>
      </c>
      <c r="T30" s="12" t="s">
        <v>94</v>
      </c>
      <c r="U3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0" s="12">
        <f>IF(AND(Tabela1[[#This Row],[SETOR]]="UTI",Tabela1[[#This Row],[M]]&lt;&gt;""),1,IF(AND(Tabela1[[#This Row],[SETOR]]="UTI (RJ)",Tabela1[[#This Row],[M]]&lt;&gt;""),1.5,0))</f>
        <v>0</v>
      </c>
      <c r="X30" s="12">
        <f>IF(AND(Tabela1[[#This Row],[SETOR]]="UTI",Tabela1[[#This Row],[PA2]]&lt;&gt;""),1,IF(AND(Tabela1[[#This Row],[SETOR]]="UTI (RJ)",Tabela1[[#This Row],[PA2]]&lt;&gt;""),0,0))</f>
        <v>0</v>
      </c>
      <c r="Y30" s="12">
        <f>IF(AND(Tabela1[[#This Row],[SETOR]]="UTI",Tabela1[[#This Row],[C]]&lt;&gt;""),1,IF(AND(Tabela1[[#This Row],[SETOR]]="UTI (RJ)",Tabela1[[#This Row],[C]]&lt;&gt;""),1.5,0))</f>
        <v>0</v>
      </c>
      <c r="Z30" s="12">
        <f>IF(AND(Tabela1[[#This Row],[SETOR]]="UTI",Tabela1[[#This Row],[PL]]&lt;&gt;""),1,IF(AND(Tabela1[[#This Row],[SETOR]]="UTI (RJ)",Tabela1[[#This Row],[PL]]&lt;&gt;""),1,0))</f>
        <v>0</v>
      </c>
      <c r="AA30" s="21">
        <f>IFERROR(VLOOKUP(Tabela1[[#This Row],[MÊS]]&amp;Tabela1[[#This Row],[MATRICULA]]&amp;"1"&amp;Tabela1[[#This Row],[SETOR]]&amp;"PADRÃO",BD!B:AF,31,0),"")</f>
        <v>0</v>
      </c>
      <c r="AB30" s="21">
        <f>IFERROR(VLOOKUP(Tabela1[[#This Row],[MÊS]]&amp;Tabela1[[#This Row],[MATRICULA]]&amp;"2"&amp;Tabela1[[#This Row],[SETOR]]&amp;"PADRÃO",BD!B:AF,31,0),"")</f>
        <v>0</v>
      </c>
      <c r="AC30" s="21" t="str">
        <f>IFERROR(VLOOKUP(Tabela1[[#This Row],[MÊS]]&amp;Tabela1[[#This Row],[MATRICULA]]&amp;"3"&amp;Tabela1[[#This Row],[SETOR]]&amp;"PADRÃO",BD!B:AF,31,0),"")</f>
        <v/>
      </c>
      <c r="AD30" s="21" t="str">
        <f>IFERROR(VLOOKUP(Tabela1[[#This Row],[MÊS]]&amp;Tabela1[[#This Row],[MATRICULA]]&amp;"4"&amp;Tabela1[[#This Row],[SETOR]]&amp;"PADRÃO",BD!B:AF,25,0),"")</f>
        <v/>
      </c>
      <c r="AE30" s="21" t="str">
        <f>IFERROR(VLOOKUP(Tabela1[[#This Row],[MÊS]]&amp;Tabela1[[#This Row],[MATRICULA]]&amp;"5"&amp;Tabela1[[#This Row],[SETOR]]&amp;"PADRÃO",BD!B:AF,31,0),"")</f>
        <v/>
      </c>
      <c r="AF30" s="21" t="str">
        <f>IFERROR(VLOOKUP(Tabela1[[#This Row],[MÊS]]&amp;Tabela1[[#This Row],[MATRICULA]]&amp;"6"&amp;Tabela1[[#This Row],[SETOR]]&amp;"PADRÃO",BD!B:AF,31,0),"")</f>
        <v/>
      </c>
      <c r="AG30" s="21" t="str">
        <f>IFERROR(VLOOKUP(Tabela1[[#This Row],[MÊS]]&amp;Tabela1[[#This Row],[MATRICULA]]&amp;"7"&amp;Tabela1[[#This Row],[SETOR]]&amp;"PADRÃO",BD!B:AF,31,0),"")</f>
        <v/>
      </c>
      <c r="AH30" s="21" t="str">
        <f>IFERROR(VLOOKUP(Tabela1[[#This Row],[MÊS]]&amp;Tabela1[[#This Row],[ID]]&amp;Tabela1[[#This Row],[MATRICULA]]&amp;"Receptiva"&amp;Tabela1[[#This Row],[SETOR]],BD!A:AF,31,0),"")</f>
        <v/>
      </c>
      <c r="AI30" s="21" t="str">
        <f>IFERROR(VLOOKUP(Tabela1[[#This Row],[MÊS]]&amp;Tabela1[[#This Row],[ID]]&amp;Tabela1[[#This Row],[MATRICULA]]&amp;"Receptiva 2"&amp;Tabela1[[#This Row],[SETOR]],BD!A:AF,31,0),"")</f>
        <v/>
      </c>
      <c r="AJ30" s="21" t="str">
        <f>IFERROR(VLOOKUP(Tabela1[[#This Row],[MÊS]]&amp;Tabela1[[#This Row],[ID]]&amp;Tabela1[[#This Row],[MATRICULA]]&amp;"Receptiva 3"&amp;Tabela1[[#This Row],[SETOR]],BD!A:AF,31,0),"")</f>
        <v/>
      </c>
      <c r="AK30" s="21" t="str">
        <f>IFERROR(VLOOKUP(Tabela1[[#This Row],[MÊS]]&amp;Tabela1[[#This Row],[ID]]&amp;Tabela1[[#This Row],[MATRICULA]]&amp;"Receptiva 4"&amp;Tabela1[[#This Row],[SETOR]],BD!A:AF,31,0),"")</f>
        <v/>
      </c>
      <c r="AL30" s="21" t="str">
        <f>IFERROR(VLOOKUP(Tabela1[[#This Row],[MÊS]]&amp;Tabela1[[#This Row],[MATRICULA]]&amp;"Motorista"&amp;Tabela1[[#This Row],[SETOR]],BD!A:AF,31,0),"")</f>
        <v/>
      </c>
      <c r="AM30" s="21" t="str">
        <f>IFERROR(VLOOKUP(Tabela1[[#This Row],[MÊS]]&amp;Tabela1[[#This Row],[ID]]&amp;Tabela1[[#This Row],[MATRICULA]]&amp;"Motorista 2"&amp;Tabela1[[#This Row],[SETOR]],BD!A:AF,26,0),"")</f>
        <v/>
      </c>
      <c r="AN30" s="21" t="str">
        <f>IFERROR(VLOOKUP(Tabela1[[#This Row],[MÊS]]&amp;Tabela1[[#This Row],[ID]]&amp;Tabela1[[#This Row],[MATRICULA]]&amp;"Motorista 3"&amp;Tabela1[[#This Row],[SETOR]],BD!A:AF,26,0),"")</f>
        <v/>
      </c>
      <c r="AO30" s="21" t="str">
        <f>IFERROR(VLOOKUP(Tabela1[[#This Row],[MÊS]]&amp;Tabela1[[#This Row],[ID]]&amp;Tabela1[[#This Row],[MATRICULA]]&amp;"Motorista 4"&amp;Tabela1[[#This Row],[SETOR]],BD!A:AF,26,0),"")</f>
        <v/>
      </c>
      <c r="AP30" s="21" t="str">
        <f>IFERROR(VLOOKUP(Tabela1[[#This Row],[MÊS]]&amp;Tabela1[[#This Row],[MATRICULA]]&amp;"Ponto de Apoio"&amp;Tabela1[[#This Row],[SETOR]],BD!A:AF,31,0),"")</f>
        <v/>
      </c>
      <c r="AQ30" s="21" t="str">
        <f>IFERROR(VLOOKUP(Tabela1[[#This Row],[MÊS]]&amp;Tabela1[[#This Row],[ID]]&amp;Tabela1[[#This Row],[MATRICULA]]&amp;"Ponto de Apoio 2"&amp;Tabela1[[#This Row],[SETOR]],BD!A:AF,26,0),"")</f>
        <v/>
      </c>
      <c r="AR30" s="36" t="str">
        <f>IFERROR(VLOOKUP(Tabela1[[#This Row],[MÊS]]&amp;Tabela1[[#This Row],[ID]]&amp;Tabela1[[#This Row],[MATRICULA]]&amp;"Ponto de Apoio 3"&amp;Tabela1[[#This Row],[SETOR]],BD!A:AF,26,0),"")</f>
        <v/>
      </c>
      <c r="AS30" s="36" t="str">
        <f>IFERROR(VLOOKUP(Tabela1[[#This Row],[MÊS]]&amp;Tabela1[[#This Row],[ID]]&amp;Tabela1[[#This Row],[MATRICULA]]&amp;"Ponto de Apoio 4"&amp;Tabela1[[#This Row],[SETOR]],BD!A:AF,26,0),"")</f>
        <v/>
      </c>
      <c r="AT30" s="21" t="str">
        <f>IFERROR(VLOOKUP(Tabela1[[#This Row],[MÊS]]&amp;Tabela1[[#This Row],[MATRICULA]]&amp;"Cliente"&amp;Tabela1[[#This Row],[SETOR]],BD!A:AF,31,0),"")</f>
        <v/>
      </c>
      <c r="AU30" s="21" t="str">
        <f>IFERROR(VLOOKUP(Tabela1[[#This Row],[MÊS]]&amp;Tabela1[[#This Row],[ID]]&amp;Tabela1[[#This Row],[MATRICULA]]&amp;"Cliente 2"&amp;Tabela1[[#This Row],[SETOR]],BD!A:AF,26,0),"")</f>
        <v/>
      </c>
      <c r="AX30" s="21" t="str">
        <f>IFERROR(VLOOKUP(Tabela1[[#This Row],[MÊS]]&amp;Tabela1[[#This Row],[MATRICULA]]&amp;"Policia"&amp;Tabela1[[#This Row],[SETOR]],BD!A:AF,31,0),"")</f>
        <v/>
      </c>
      <c r="AY30" s="21" t="str">
        <f>IFERROR(VLOOKUP(Tabela1[[#This Row],[MÊS]]&amp;Tabela1[[#This Row],[ID]]&amp;Tabela1[[#This Row],[MATRICULA]]&amp;"Policia 2"&amp;Tabela1[[#This Row],[SETOR]],BD!A:AF,26,0),"")</f>
        <v/>
      </c>
      <c r="AZ30" s="36" t="str">
        <f>IFERROR(VLOOKUP(Tabela1[[#This Row],[MÊS]]&amp;Tabela1[[#This Row],[ID]]&amp;Tabela1[[#This Row],[MATRICULA]]&amp;"Policia 3"&amp;Tabela1[[#This Row],[SETOR]],BD!A:AF,26,0),"")</f>
        <v/>
      </c>
      <c r="BA30" s="36" t="str">
        <f>IFERROR(VLOOKUP(Tabela1[[#This Row],[MÊS]]&amp;Tabela1[[#This Row],[ID]]&amp;Tabela1[[#This Row],[MATRICULA]]&amp;"Policia 4"&amp;Tabela1[[#This Row],[SETOR]],BD!A:AF,26,0),"")</f>
        <v/>
      </c>
      <c r="BB3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0" s="21" t="str">
        <f>IFERROR(AVERAGE(Tabela1[[#This Row],[M]:[M4]]),"")</f>
        <v/>
      </c>
      <c r="BD30" s="21" t="str">
        <f>IFERROR(AVERAGE(Tabela1[[#This Row],[C]:[C4]]),"")</f>
        <v/>
      </c>
      <c r="BE30" s="21" t="str">
        <f>IFERROR(AVERAGE(Tabela1[[#This Row],[PA2]:[PA 4]]),"")</f>
        <v/>
      </c>
      <c r="BF30" s="21" t="str">
        <f>IFERROR(AVERAGE(Tabela1[[#This Row],[PL]:[PL4]]),"")</f>
        <v/>
      </c>
      <c r="BG30" s="35" t="str">
        <f>IFERROR(VLOOKUP(Tabela1[[#This Row],[MÊS]]&amp;Tabela1[[#This Row],[MATRICULA]],#REF!,2,0),"")</f>
        <v/>
      </c>
      <c r="BH30" s="35" t="str">
        <f>IFERROR(VLOOKUP(Tabela1[[#This Row],[MÊS]]&amp;Tabela1[[#This Row],[MATRICULA]],#REF!,2,0),"")</f>
        <v/>
      </c>
      <c r="BI30" s="35" t="str">
        <f>IFERROR(VLOOKUP(Tabela1[[#This Row],[MÊS]]&amp;Tabela1[[#This Row],[MATRICULA]],#REF!,2,0),"")</f>
        <v/>
      </c>
      <c r="BJ30" s="35" t="str">
        <f>IFERROR(VLOOKUP(Tabela1[[#This Row],[MÊS]]&amp;Tabela1[[#This Row],[MATRICULA]],#REF!,2,0),"")</f>
        <v/>
      </c>
      <c r="BK30" s="35" t="str">
        <f>IFERROR(VLOOKUP(Tabela1[[#This Row],[MÊS]]&amp;Tabela1[[#This Row],[MATRICULA]],#REF!,2,0),"")</f>
        <v/>
      </c>
      <c r="BL30" s="21">
        <f>COUNTIF(Tabela1[[#This Row],[MOT2]:[RECEPTIVA]],"NÃO ENCONTRADA")</f>
        <v>0</v>
      </c>
      <c r="BM30" s="135" t="str">
        <f>IFERROR(VLOOKUP(Tabela1[[#This Row],[MÊS]]&amp;Tabela1[[#This Row],[ID]]&amp;Tabela1[[#This Row],[MATRICULA]]&amp;"Motorista"&amp;Tabela1[[#This Row],[SETOR]],BD!A:AF,13,0),"")</f>
        <v/>
      </c>
      <c r="BN30" s="135" t="str">
        <f>IFERROR(VLOOKUP(Tabela1[[#This Row],[MÊS]]&amp;Tabela1[[#This Row],[ID]]&amp;Tabela1[[#This Row],[MATRICULA]]&amp;"Motorista 2"&amp;Tabela1[[#This Row],[SETOR]],BD!A:AF,13,0),"")</f>
        <v/>
      </c>
      <c r="BO30" s="135" t="str">
        <f>IFERROR(VLOOKUP(Tabela1[[#This Row],[MÊS]]&amp;Tabela1[[#This Row],[ID]]&amp;Tabela1[[#This Row],[MATRICULA]]&amp;"Motorista 3"&amp;Tabela1[[#This Row],[SETOR]],BD!A:AF,13,0),"")</f>
        <v/>
      </c>
      <c r="BP30" s="135" t="str">
        <f>IFERROR(VLOOKUP(Tabela1[[#This Row],[MÊS]]&amp;Tabela1[[#This Row],[ID]]&amp;Tabela1[[#This Row],[MATRICULA]]&amp;"Motorista 4"&amp;Tabela1[[#This Row],[SETOR]],BD!A:AF,13,0),"")</f>
        <v/>
      </c>
      <c r="BQ30" s="135" t="str">
        <f>IFERROR(AVERAGE(Tabela1[[#This Row],[DMOT]:[DMOT4]]),"")</f>
        <v/>
      </c>
      <c r="BR30" s="135" t="str">
        <f>IFERROR(VLOOKUP(Tabela1[[#This Row],[MÊS]]&amp;Tabela1[[#This Row],[ID]]&amp;Tabela1[[#This Row],[MATRICULA]]&amp;"Ponto de Apoio"&amp;Tabela1[[#This Row],[SETOR]],BD!A:AF,13,0),"")</f>
        <v/>
      </c>
      <c r="BS30" s="135" t="str">
        <f>IFERROR(VLOOKUP(Tabela1[[#This Row],[MÊS]]&amp;Tabela1[[#This Row],[ID]]&amp;Tabela1[[#This Row],[MATRICULA]]&amp;"Ponto de Apoio 2"&amp;Tabela1[[#This Row],[SETOR]],BD!A:AF,13,0),"")</f>
        <v/>
      </c>
      <c r="BT30" s="135" t="str">
        <f>IFERROR(VLOOKUP(Tabela1[[#This Row],[MÊS]]&amp;Tabela1[[#This Row],[ID]]&amp;Tabela1[[#This Row],[MATRICULA]]&amp;"Ponto de Apoio 3"&amp;Tabela1[[#This Row],[SETOR]],BD!A:AF,13,0),"")</f>
        <v/>
      </c>
      <c r="BU30" s="135" t="str">
        <f>IFERROR(VLOOKUP(Tabela1[[#This Row],[MÊS]]&amp;Tabela1[[#This Row],[ID]]&amp;Tabela1[[#This Row],[MATRICULA]]&amp;"Ponto de Apoio 4"&amp;Tabela1[[#This Row],[SETOR]],BD!A:AF,13,0),"")</f>
        <v/>
      </c>
      <c r="BV30" s="135" t="str">
        <f>IFERROR(AVERAGE(Tabela1[[#This Row],[DPA]:[DPA 4]]),"")</f>
        <v/>
      </c>
      <c r="BW30" s="135" t="str">
        <f>IFERROR(VLOOKUP(Tabela1[[#This Row],[MÊS]]&amp;Tabela1[[#This Row],[ID]]&amp;Tabela1[[#This Row],[MATRICULA]]&amp;"Cliente"&amp;Tabela1[[#This Row],[SETOR]],BD!A:AF,13,0),"")</f>
        <v/>
      </c>
      <c r="BX30" s="135" t="str">
        <f>IFERROR(VLOOKUP(Tabela1[[#This Row],[MÊS]]&amp;Tabela1[[#This Row],[ID]]&amp;Tabela1[[#This Row],[MATRICULA]]&amp;"cliente 2"&amp;Tabela1[[#This Row],[SETOR]],BD!A:AF,13,0),"")</f>
        <v/>
      </c>
      <c r="BY30" s="135" t="str">
        <f>IFERROR(VLOOKUP(Tabela1[[#This Row],[MÊS]]&amp;Tabela1[[#This Row],[ID]]&amp;Tabela1[[#This Row],[MATRICULA]]&amp;"cliente 3"&amp;Tabela1[[#This Row],[SETOR]],BD!A:AF,13,0),"")</f>
        <v/>
      </c>
      <c r="BZ30" s="135" t="str">
        <f>IFERROR(VLOOKUP(Tabela1[[#This Row],[MÊS]]&amp;Tabela1[[#This Row],[ID]]&amp;Tabela1[[#This Row],[MATRICULA]]&amp;"cliente 4"&amp;Tabela1[[#This Row],[SETOR]],BD!A:AF,13,0),"")</f>
        <v/>
      </c>
      <c r="CA30" s="135" t="str">
        <f>IFERROR(AVERAGE(Tabela1[[#This Row],[DCLI]:[DCLI 4]]),"")</f>
        <v/>
      </c>
      <c r="CB30" s="135" t="str">
        <f>IFERROR(VLOOKUP(Tabela1[[#This Row],[MÊS]]&amp;Tabela1[[#This Row],[ID]]&amp;Tabela1[[#This Row],[MATRICULA]]&amp;"Policia"&amp;Tabela1[[#This Row],[SETOR]],BD!A:AF,13,0),"")</f>
        <v/>
      </c>
      <c r="CC30" s="135" t="str">
        <f>IFERROR(VLOOKUP(Tabela1[[#This Row],[MÊS]]&amp;Tabela1[[#This Row],[ID]]&amp;Tabela1[[#This Row],[MATRICULA]]&amp;"Policia 2"&amp;Tabela1[[#This Row],[SETOR]],BD!A:AF,13,0),"")</f>
        <v/>
      </c>
      <c r="CD30" s="135"/>
      <c r="CE30" s="135"/>
      <c r="CF30" s="135" t="str">
        <f>IFERROR((AVERAGE(Tabela1[[#This Row],[DPOL1]:[DPOL4]])),"")</f>
        <v/>
      </c>
      <c r="CG30" s="21" t="str">
        <f>IFERROR(VLOOKUP(Tabela1[[#This Row],[ID]]&amp;Tabela1[[#This Row],[MÊS]]&amp;Tabela1[[#This Row],[MATRICULA]],#REF!,2,0),"")</f>
        <v/>
      </c>
      <c r="CH30" s="21" t="str">
        <f>IFERROR(VLOOKUP(Tabela1[[#This Row],[ID]]&amp;Tabela1[[#This Row],[MÊS]]&amp;Tabela1[[#This Row],[MATRICULA]],#REF!,2,0),"")</f>
        <v/>
      </c>
      <c r="CI30" s="21" t="str">
        <f>IFERROR(VLOOKUP(Tabela1[[#This Row],[MÊS]]&amp;Tabela1[[#This Row],[MATRICULA]],#REF!,2,0),"")</f>
        <v/>
      </c>
    </row>
    <row r="31" spans="1:87">
      <c r="A31" s="12" t="str">
        <f>Tabela1[[#This Row],[MÊS]]&amp;Tabela1[[#This Row],[MATRICULA]]&amp;Tabela1[[#This Row],[ID]]</f>
        <v>JAN114369</v>
      </c>
      <c r="B31" s="12" t="str">
        <f>Tabela1[[#This Row],[MÊS]]&amp;Tabela1[[#This Row],[ID]]&amp;Tabela1[[#This Row],[MATRICULA]]&amp;Tabela1[[#This Row],[SETOR]]</f>
        <v>JAN911436DISTRIBUIÇÃO</v>
      </c>
      <c r="C31" s="130" t="e">
        <f>VLOOKUP(Tabela1[[#This Row],[MATRICULA]],'BD Campos'!A:D,5,0)</f>
        <v>#REF!</v>
      </c>
      <c r="D31" s="133" t="str">
        <f ca="1">IFERROR(SUM(TODAY()-Tabela1[[#This Row],[ADMISSÃO]]),"")</f>
        <v/>
      </c>
      <c r="E31" s="11" t="str">
        <f ca="1">IFERROR(TRUNC(Tabela1[[#This Row],[TEMPO DE CASA (DIAS)]]/30),"")</f>
        <v/>
      </c>
      <c r="F31" s="32" t="str">
        <f ca="1">IFERROR(SUM(Tabela1[[#This Row],[TEMPO DE CASA (MESES)]]/12),"")</f>
        <v/>
      </c>
      <c r="G31" s="133" t="str">
        <f ca="1">IF(Tabela1[[#This Row],[TEMPO DE CASA (DIAS)]]="","SEM DADOS",IF(Tabela1[[#This Row],[TEMPO DE CASA (DIAS)]]&gt;180,"&gt; 6 MESES","&lt; 6 MESES"))</f>
        <v>SEM DADOS</v>
      </c>
      <c r="H31" s="12" t="str">
        <f t="shared" si="3"/>
        <v>JANThayssa de Almeida9</v>
      </c>
      <c r="I31" s="12" t="str">
        <f>IFERROR(VLOOKUP(Tabela1[[#This Row],[MATRICULA]],'BD Campos'!A:F,7,0),"")</f>
        <v/>
      </c>
      <c r="J31" s="11">
        <v>9</v>
      </c>
      <c r="K31" s="11" t="s">
        <v>669</v>
      </c>
      <c r="L31" s="136">
        <v>11436</v>
      </c>
      <c r="M31" s="12" t="str">
        <f>IFERROR(VLOOKUP(Tabela1[[#This Row],[MATRICULA]],'BD Campos'!A:B,2,0),"")</f>
        <v>LARISSA DE SOUZA MELO</v>
      </c>
      <c r="N31" s="20">
        <f>IFERROR(AVERAGE(Tabela1[[#This Row],[A1]:[A4]]),"")</f>
        <v>8.634999999999998</v>
      </c>
      <c r="O31" s="20" t="str">
        <f>IFERROR(IF(Tabela1[[#This Row],[SETOR]]="RECEPTIVO","",AVERAGE(Tabela1[[#This Row],[A5]:[A6]])),"")</f>
        <v/>
      </c>
      <c r="P31" s="20" t="str">
        <f>IFERROR(IF(Tabela1[[#This Row],[STATUS]]="INATIVO","INATIVO",IF(Tabela1[[#This Row],[STATUS]]="QRT","INATIVO",IF(Tabela1[[#This Row],[OPERACIONAL]]&gt;7.99999,"BOM","RUIM"))),"")</f>
        <v>BOM</v>
      </c>
      <c r="Q31" s="21" t="s">
        <v>667</v>
      </c>
      <c r="R31" s="12" t="s">
        <v>94</v>
      </c>
      <c r="S31" s="12" t="s">
        <v>673</v>
      </c>
      <c r="T31" s="12" t="s">
        <v>94</v>
      </c>
      <c r="U3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1" s="12">
        <f>IF(AND(Tabela1[[#This Row],[SETOR]]="UTI",Tabela1[[#This Row],[M]]&lt;&gt;""),1,IF(AND(Tabela1[[#This Row],[SETOR]]="UTI (RJ)",Tabela1[[#This Row],[M]]&lt;&gt;""),1.5,0))</f>
        <v>0</v>
      </c>
      <c r="X31" s="12">
        <f>IF(AND(Tabela1[[#This Row],[SETOR]]="UTI",Tabela1[[#This Row],[PA2]]&lt;&gt;""),1,IF(AND(Tabela1[[#This Row],[SETOR]]="UTI (RJ)",Tabela1[[#This Row],[PA2]]&lt;&gt;""),0,0))</f>
        <v>0</v>
      </c>
      <c r="Y31" s="12">
        <f>IF(AND(Tabela1[[#This Row],[SETOR]]="UTI",Tabela1[[#This Row],[C]]&lt;&gt;""),1,IF(AND(Tabela1[[#This Row],[SETOR]]="UTI (RJ)",Tabela1[[#This Row],[C]]&lt;&gt;""),1.5,0))</f>
        <v>0</v>
      </c>
      <c r="Z31" s="12">
        <f>IF(AND(Tabela1[[#This Row],[SETOR]]="UTI",Tabela1[[#This Row],[PL]]&lt;&gt;""),1,IF(AND(Tabela1[[#This Row],[SETOR]]="UTI (RJ)",Tabela1[[#This Row],[PL]]&lt;&gt;""),1,0))</f>
        <v>0</v>
      </c>
      <c r="AA31" s="21">
        <f>IFERROR(VLOOKUP(Tabela1[[#This Row],[MÊS]]&amp;Tabela1[[#This Row],[MATRICULA]]&amp;"1"&amp;Tabela1[[#This Row],[SETOR]]&amp;"PADRÃO",BD!B:AF,31,0),"")</f>
        <v>8.4774999999999991</v>
      </c>
      <c r="AB31" s="21">
        <f>IFERROR(VLOOKUP(Tabela1[[#This Row],[MÊS]]&amp;Tabela1[[#This Row],[MATRICULA]]&amp;"2"&amp;Tabela1[[#This Row],[SETOR]]&amp;"PADRÃO",BD!B:AF,31,0),"")</f>
        <v>8.7924999999999986</v>
      </c>
      <c r="AC31" s="21" t="str">
        <f>IFERROR(VLOOKUP(Tabela1[[#This Row],[MÊS]]&amp;Tabela1[[#This Row],[MATRICULA]]&amp;"3"&amp;Tabela1[[#This Row],[SETOR]]&amp;"PADRÃO",BD!B:AF,31,0),"")</f>
        <v/>
      </c>
      <c r="AD31" s="21" t="str">
        <f>IFERROR(VLOOKUP(Tabela1[[#This Row],[MÊS]]&amp;Tabela1[[#This Row],[MATRICULA]]&amp;"4"&amp;Tabela1[[#This Row],[SETOR]]&amp;"PADRÃO",BD!B:AF,25,0),"")</f>
        <v/>
      </c>
      <c r="AE31" s="21" t="str">
        <f>IFERROR(VLOOKUP(Tabela1[[#This Row],[MÊS]]&amp;Tabela1[[#This Row],[MATRICULA]]&amp;"5"&amp;Tabela1[[#This Row],[SETOR]]&amp;"PADRÃO",BD!B:AF,31,0),"")</f>
        <v/>
      </c>
      <c r="AF31" s="21" t="str">
        <f>IFERROR(VLOOKUP(Tabela1[[#This Row],[MÊS]]&amp;Tabela1[[#This Row],[MATRICULA]]&amp;"6"&amp;Tabela1[[#This Row],[SETOR]]&amp;"PADRÃO",BD!B:AF,31,0),"")</f>
        <v/>
      </c>
      <c r="AG31" s="21" t="str">
        <f>IFERROR(VLOOKUP(Tabela1[[#This Row],[MÊS]]&amp;Tabela1[[#This Row],[MATRICULA]]&amp;"7"&amp;Tabela1[[#This Row],[SETOR]]&amp;"PADRÃO",BD!B:AF,31,0),"")</f>
        <v/>
      </c>
      <c r="AH31" s="21" t="str">
        <f>IFERROR(VLOOKUP(Tabela1[[#This Row],[MÊS]]&amp;Tabela1[[#This Row],[ID]]&amp;Tabela1[[#This Row],[MATRICULA]]&amp;"Receptiva"&amp;Tabela1[[#This Row],[SETOR]],BD!A:AF,31,0),"")</f>
        <v/>
      </c>
      <c r="AI31" s="21" t="str">
        <f>IFERROR(VLOOKUP(Tabela1[[#This Row],[MÊS]]&amp;Tabela1[[#This Row],[ID]]&amp;Tabela1[[#This Row],[MATRICULA]]&amp;"Receptiva 2"&amp;Tabela1[[#This Row],[SETOR]],BD!A:AF,31,0),"")</f>
        <v/>
      </c>
      <c r="AJ31" s="21" t="str">
        <f>IFERROR(VLOOKUP(Tabela1[[#This Row],[MÊS]]&amp;Tabela1[[#This Row],[ID]]&amp;Tabela1[[#This Row],[MATRICULA]]&amp;"Receptiva 3"&amp;Tabela1[[#This Row],[SETOR]],BD!A:AF,31,0),"")</f>
        <v/>
      </c>
      <c r="AK31" s="21" t="str">
        <f>IFERROR(VLOOKUP(Tabela1[[#This Row],[MÊS]]&amp;Tabela1[[#This Row],[ID]]&amp;Tabela1[[#This Row],[MATRICULA]]&amp;"Receptiva 4"&amp;Tabela1[[#This Row],[SETOR]],BD!A:AF,31,0),"")</f>
        <v/>
      </c>
      <c r="AL31" s="21">
        <f>IFERROR(VLOOKUP(Tabela1[[#This Row],[MÊS]]&amp;Tabela1[[#This Row],[MATRICULA]]&amp;"Motorista"&amp;Tabela1[[#This Row],[SETOR]],BD!A:AF,31,0),"")</f>
        <v>0</v>
      </c>
      <c r="AM31" s="21" t="str">
        <f>IFERROR(VLOOKUP(Tabela1[[#This Row],[MÊS]]&amp;Tabela1[[#This Row],[ID]]&amp;Tabela1[[#This Row],[MATRICULA]]&amp;"Motorista 2"&amp;Tabela1[[#This Row],[SETOR]],BD!A:AF,26,0),"")</f>
        <v/>
      </c>
      <c r="AN31" s="21" t="str">
        <f>IFERROR(VLOOKUP(Tabela1[[#This Row],[MÊS]]&amp;Tabela1[[#This Row],[ID]]&amp;Tabela1[[#This Row],[MATRICULA]]&amp;"Motorista 3"&amp;Tabela1[[#This Row],[SETOR]],BD!A:AF,26,0),"")</f>
        <v/>
      </c>
      <c r="AO31" s="21" t="str">
        <f>IFERROR(VLOOKUP(Tabela1[[#This Row],[MÊS]]&amp;Tabela1[[#This Row],[ID]]&amp;Tabela1[[#This Row],[MATRICULA]]&amp;"Motorista 4"&amp;Tabela1[[#This Row],[SETOR]],BD!A:AF,26,0),"")</f>
        <v/>
      </c>
      <c r="AP31" s="21" t="str">
        <f>IFERROR(VLOOKUP(Tabela1[[#This Row],[MÊS]]&amp;Tabela1[[#This Row],[MATRICULA]]&amp;"Ponto de Apoio"&amp;Tabela1[[#This Row],[SETOR]],BD!A:AF,31,0),"")</f>
        <v/>
      </c>
      <c r="AQ31" s="21" t="str">
        <f>IFERROR(VLOOKUP(Tabela1[[#This Row],[MÊS]]&amp;Tabela1[[#This Row],[ID]]&amp;Tabela1[[#This Row],[MATRICULA]]&amp;"Ponto de Apoio 2"&amp;Tabela1[[#This Row],[SETOR]],BD!A:AF,26,0),"")</f>
        <v/>
      </c>
      <c r="AR31" s="36" t="str">
        <f>IFERROR(VLOOKUP(Tabela1[[#This Row],[MÊS]]&amp;Tabela1[[#This Row],[ID]]&amp;Tabela1[[#This Row],[MATRICULA]]&amp;"Ponto de Apoio 3"&amp;Tabela1[[#This Row],[SETOR]],BD!A:AF,26,0),"")</f>
        <v/>
      </c>
      <c r="AS31" s="36" t="str">
        <f>IFERROR(VLOOKUP(Tabela1[[#This Row],[MÊS]]&amp;Tabela1[[#This Row],[ID]]&amp;Tabela1[[#This Row],[MATRICULA]]&amp;"Ponto de Apoio 4"&amp;Tabela1[[#This Row],[SETOR]],BD!A:AF,26,0),"")</f>
        <v/>
      </c>
      <c r="AT31" s="21" t="str">
        <f>IFERROR(VLOOKUP(Tabela1[[#This Row],[MÊS]]&amp;Tabela1[[#This Row],[MATRICULA]]&amp;"Cliente"&amp;Tabela1[[#This Row],[SETOR]],BD!A:AF,31,0),"")</f>
        <v/>
      </c>
      <c r="AU31" s="21" t="str">
        <f>IFERROR(VLOOKUP(Tabela1[[#This Row],[MÊS]]&amp;Tabela1[[#This Row],[ID]]&amp;Tabela1[[#This Row],[MATRICULA]]&amp;"Cliente 2"&amp;Tabela1[[#This Row],[SETOR]],BD!A:AF,26,0),"")</f>
        <v/>
      </c>
      <c r="AX31" s="21" t="str">
        <f>IFERROR(VLOOKUP(Tabela1[[#This Row],[MÊS]]&amp;Tabela1[[#This Row],[MATRICULA]]&amp;"Policia"&amp;Tabela1[[#This Row],[SETOR]],BD!A:AF,31,0),"")</f>
        <v/>
      </c>
      <c r="AY31" s="21" t="str">
        <f>IFERROR(VLOOKUP(Tabela1[[#This Row],[MÊS]]&amp;Tabela1[[#This Row],[ID]]&amp;Tabela1[[#This Row],[MATRICULA]]&amp;"Policia 2"&amp;Tabela1[[#This Row],[SETOR]],BD!A:AF,26,0),"")</f>
        <v/>
      </c>
      <c r="AZ31" s="36" t="str">
        <f>IFERROR(VLOOKUP(Tabela1[[#This Row],[MÊS]]&amp;Tabela1[[#This Row],[ID]]&amp;Tabela1[[#This Row],[MATRICULA]]&amp;"Policia 3"&amp;Tabela1[[#This Row],[SETOR]],BD!A:AF,26,0),"")</f>
        <v/>
      </c>
      <c r="BA31" s="36" t="str">
        <f>IFERROR(VLOOKUP(Tabela1[[#This Row],[MÊS]]&amp;Tabela1[[#This Row],[ID]]&amp;Tabela1[[#This Row],[MATRICULA]]&amp;"Policia 4"&amp;Tabela1[[#This Row],[SETOR]],BD!A:AF,26,0),"")</f>
        <v/>
      </c>
      <c r="BB3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1" s="21">
        <f>IFERROR(AVERAGE(Tabela1[[#This Row],[M]:[M4]]),"")</f>
        <v>0</v>
      </c>
      <c r="BD31" s="21" t="str">
        <f>IFERROR(AVERAGE(Tabela1[[#This Row],[C]:[C4]]),"")</f>
        <v/>
      </c>
      <c r="BE31" s="21" t="str">
        <f>IFERROR(AVERAGE(Tabela1[[#This Row],[PA2]:[PA 4]]),"")</f>
        <v/>
      </c>
      <c r="BF31" s="21" t="str">
        <f>IFERROR(AVERAGE(Tabela1[[#This Row],[PL]:[PL4]]),"")</f>
        <v/>
      </c>
      <c r="BG31" s="35" t="str">
        <f>IFERROR(VLOOKUP(Tabela1[[#This Row],[MÊS]]&amp;Tabela1[[#This Row],[MATRICULA]],#REF!,2,0),"")</f>
        <v/>
      </c>
      <c r="BH31" s="35" t="str">
        <f>IFERROR(VLOOKUP(Tabela1[[#This Row],[MÊS]]&amp;Tabela1[[#This Row],[MATRICULA]],#REF!,2,0),"")</f>
        <v/>
      </c>
      <c r="BI31" s="35" t="str">
        <f>IFERROR(VLOOKUP(Tabela1[[#This Row],[MÊS]]&amp;Tabela1[[#This Row],[MATRICULA]],#REF!,2,0),"")</f>
        <v/>
      </c>
      <c r="BJ31" s="35" t="str">
        <f>IFERROR(VLOOKUP(Tabela1[[#This Row],[MÊS]]&amp;Tabela1[[#This Row],[MATRICULA]],#REF!,2,0),"")</f>
        <v/>
      </c>
      <c r="BK31" s="35" t="str">
        <f>IFERROR(VLOOKUP(Tabela1[[#This Row],[MÊS]]&amp;Tabela1[[#This Row],[MATRICULA]],#REF!,2,0),"")</f>
        <v/>
      </c>
      <c r="BL31" s="21">
        <f>COUNTIF(Tabela1[[#This Row],[MOT2]:[RECEPTIVA]],"NÃO ENCONTRADA")</f>
        <v>0</v>
      </c>
      <c r="BM31" s="135" t="str">
        <f>IFERROR(VLOOKUP(Tabela1[[#This Row],[MÊS]]&amp;Tabela1[[#This Row],[ID]]&amp;Tabela1[[#This Row],[MATRICULA]]&amp;"Motorista"&amp;Tabela1[[#This Row],[SETOR]],BD!A:AF,13,0),"")</f>
        <v/>
      </c>
      <c r="BN31" s="135" t="str">
        <f>IFERROR(VLOOKUP(Tabela1[[#This Row],[MÊS]]&amp;Tabela1[[#This Row],[ID]]&amp;Tabela1[[#This Row],[MATRICULA]]&amp;"Motorista 2"&amp;Tabela1[[#This Row],[SETOR]],BD!A:AF,13,0),"")</f>
        <v/>
      </c>
      <c r="BO31" s="135" t="str">
        <f>IFERROR(VLOOKUP(Tabela1[[#This Row],[MÊS]]&amp;Tabela1[[#This Row],[ID]]&amp;Tabela1[[#This Row],[MATRICULA]]&amp;"Motorista 3"&amp;Tabela1[[#This Row],[SETOR]],BD!A:AF,13,0),"")</f>
        <v/>
      </c>
      <c r="BP31" s="135" t="str">
        <f>IFERROR(VLOOKUP(Tabela1[[#This Row],[MÊS]]&amp;Tabela1[[#This Row],[ID]]&amp;Tabela1[[#This Row],[MATRICULA]]&amp;"Motorista 4"&amp;Tabela1[[#This Row],[SETOR]],BD!A:AF,13,0),"")</f>
        <v/>
      </c>
      <c r="BQ31" s="135" t="str">
        <f>IFERROR(AVERAGE(Tabela1[[#This Row],[DMOT]:[DMOT4]]),"")</f>
        <v/>
      </c>
      <c r="BR31" s="135" t="str">
        <f>IFERROR(VLOOKUP(Tabela1[[#This Row],[MÊS]]&amp;Tabela1[[#This Row],[ID]]&amp;Tabela1[[#This Row],[MATRICULA]]&amp;"Ponto de Apoio"&amp;Tabela1[[#This Row],[SETOR]],BD!A:AF,13,0),"")</f>
        <v/>
      </c>
      <c r="BS31" s="135" t="str">
        <f>IFERROR(VLOOKUP(Tabela1[[#This Row],[MÊS]]&amp;Tabela1[[#This Row],[ID]]&amp;Tabela1[[#This Row],[MATRICULA]]&amp;"Ponto de Apoio 2"&amp;Tabela1[[#This Row],[SETOR]],BD!A:AF,13,0),"")</f>
        <v/>
      </c>
      <c r="BT31" s="135" t="str">
        <f>IFERROR(VLOOKUP(Tabela1[[#This Row],[MÊS]]&amp;Tabela1[[#This Row],[ID]]&amp;Tabela1[[#This Row],[MATRICULA]]&amp;"Ponto de Apoio 3"&amp;Tabela1[[#This Row],[SETOR]],BD!A:AF,13,0),"")</f>
        <v/>
      </c>
      <c r="BU31" s="135" t="str">
        <f>IFERROR(VLOOKUP(Tabela1[[#This Row],[MÊS]]&amp;Tabela1[[#This Row],[ID]]&amp;Tabela1[[#This Row],[MATRICULA]]&amp;"Ponto de Apoio 4"&amp;Tabela1[[#This Row],[SETOR]],BD!A:AF,13,0),"")</f>
        <v/>
      </c>
      <c r="BV31" s="135" t="str">
        <f>IFERROR(AVERAGE(Tabela1[[#This Row],[DPA]:[DPA 4]]),"")</f>
        <v/>
      </c>
      <c r="BW31" s="135" t="str">
        <f>IFERROR(VLOOKUP(Tabela1[[#This Row],[MÊS]]&amp;Tabela1[[#This Row],[ID]]&amp;Tabela1[[#This Row],[MATRICULA]]&amp;"Cliente"&amp;Tabela1[[#This Row],[SETOR]],BD!A:AF,13,0),"")</f>
        <v/>
      </c>
      <c r="BX31" s="135" t="str">
        <f>IFERROR(VLOOKUP(Tabela1[[#This Row],[MÊS]]&amp;Tabela1[[#This Row],[ID]]&amp;Tabela1[[#This Row],[MATRICULA]]&amp;"cliente 2"&amp;Tabela1[[#This Row],[SETOR]],BD!A:AF,13,0),"")</f>
        <v/>
      </c>
      <c r="BY31" s="135" t="str">
        <f>IFERROR(VLOOKUP(Tabela1[[#This Row],[MÊS]]&amp;Tabela1[[#This Row],[ID]]&amp;Tabela1[[#This Row],[MATRICULA]]&amp;"cliente 3"&amp;Tabela1[[#This Row],[SETOR]],BD!A:AF,13,0),"")</f>
        <v/>
      </c>
      <c r="BZ31" s="135" t="str">
        <f>IFERROR(VLOOKUP(Tabela1[[#This Row],[MÊS]]&amp;Tabela1[[#This Row],[ID]]&amp;Tabela1[[#This Row],[MATRICULA]]&amp;"cliente 4"&amp;Tabela1[[#This Row],[SETOR]],BD!A:AF,13,0),"")</f>
        <v/>
      </c>
      <c r="CA31" s="135" t="str">
        <f>IFERROR(AVERAGE(Tabela1[[#This Row],[DCLI]:[DCLI 4]]),"")</f>
        <v/>
      </c>
      <c r="CB31" s="135" t="str">
        <f>IFERROR(VLOOKUP(Tabela1[[#This Row],[MÊS]]&amp;Tabela1[[#This Row],[ID]]&amp;Tabela1[[#This Row],[MATRICULA]]&amp;"Policia"&amp;Tabela1[[#This Row],[SETOR]],BD!A:AF,13,0),"")</f>
        <v/>
      </c>
      <c r="CC31" s="135" t="str">
        <f>IFERROR(VLOOKUP(Tabela1[[#This Row],[MÊS]]&amp;Tabela1[[#This Row],[ID]]&amp;Tabela1[[#This Row],[MATRICULA]]&amp;"Policia 2"&amp;Tabela1[[#This Row],[SETOR]],BD!A:AF,13,0),"")</f>
        <v/>
      </c>
      <c r="CD31" s="135"/>
      <c r="CE31" s="135"/>
      <c r="CF31" s="135" t="str">
        <f>IFERROR((AVERAGE(Tabela1[[#This Row],[DPOL1]:[DPOL4]])),"")</f>
        <v/>
      </c>
      <c r="CG31" s="21" t="str">
        <f>IFERROR(VLOOKUP(Tabela1[[#This Row],[ID]]&amp;Tabela1[[#This Row],[MÊS]]&amp;Tabela1[[#This Row],[MATRICULA]],#REF!,2,0),"")</f>
        <v/>
      </c>
      <c r="CH31" s="21" t="str">
        <f>IFERROR(VLOOKUP(Tabela1[[#This Row],[ID]]&amp;Tabela1[[#This Row],[MÊS]]&amp;Tabela1[[#This Row],[MATRICULA]],#REF!,2,0),"")</f>
        <v/>
      </c>
      <c r="CI31" s="21" t="str">
        <f>IFERROR(VLOOKUP(Tabela1[[#This Row],[MÊS]]&amp;Tabela1[[#This Row],[MATRICULA]],#REF!,2,0),"")</f>
        <v/>
      </c>
    </row>
    <row r="32" spans="1:87">
      <c r="A32" s="12" t="str">
        <f>Tabela1[[#This Row],[MÊS]]&amp;Tabela1[[#This Row],[MATRICULA]]&amp;Tabela1[[#This Row],[ID]]</f>
        <v>JAN1143810</v>
      </c>
      <c r="B32" s="12" t="str">
        <f>Tabela1[[#This Row],[MÊS]]&amp;Tabela1[[#This Row],[ID]]&amp;Tabela1[[#This Row],[MATRICULA]]&amp;Tabela1[[#This Row],[SETOR]]</f>
        <v>JAN1011438DISTRIBUIÇÃO</v>
      </c>
      <c r="C32" s="130" t="e">
        <f>VLOOKUP(Tabela1[[#This Row],[MATRICULA]],'BD Campos'!A:D,5,0)</f>
        <v>#REF!</v>
      </c>
      <c r="D32" s="133" t="str">
        <f ca="1">IFERROR(SUM(TODAY()-Tabela1[[#This Row],[ADMISSÃO]]),"")</f>
        <v/>
      </c>
      <c r="E32" s="11" t="str">
        <f ca="1">IFERROR(TRUNC(Tabela1[[#This Row],[TEMPO DE CASA (DIAS)]]/30),"")</f>
        <v/>
      </c>
      <c r="F32" s="32" t="str">
        <f ca="1">IFERROR(SUM(Tabela1[[#This Row],[TEMPO DE CASA (MESES)]]/12),"")</f>
        <v/>
      </c>
      <c r="G32" s="133" t="str">
        <f ca="1">IF(Tabela1[[#This Row],[TEMPO DE CASA (DIAS)]]="","SEM DADOS",IF(Tabela1[[#This Row],[TEMPO DE CASA (DIAS)]]&gt;180,"&gt; 6 MESES","&lt; 6 MESES"))</f>
        <v>SEM DADOS</v>
      </c>
      <c r="H32" s="12" t="str">
        <f t="shared" si="3"/>
        <v>JANThayssa de Almeida10</v>
      </c>
      <c r="I32" s="12" t="str">
        <f>IFERROR(VLOOKUP(Tabela1[[#This Row],[MATRICULA]],'BD Campos'!A:F,7,0),"")</f>
        <v/>
      </c>
      <c r="J32" s="11">
        <v>10</v>
      </c>
      <c r="K32" s="11" t="s">
        <v>669</v>
      </c>
      <c r="L32" s="136">
        <v>11438</v>
      </c>
      <c r="M32" s="12" t="str">
        <f>IFERROR(VLOOKUP(Tabela1[[#This Row],[MATRICULA]],'BD Campos'!A:B,2,0),"")</f>
        <v>FLAVYA FERNANDES DE OLIVEIRA</v>
      </c>
      <c r="N32" s="20">
        <f>IFERROR(AVERAGE(Tabela1[[#This Row],[A1]:[A4]]),"")</f>
        <v>0</v>
      </c>
      <c r="O32" s="20" t="str">
        <f>IFERROR(IF(Tabela1[[#This Row],[SETOR]]="RECEPTIVO","",AVERAGE(Tabela1[[#This Row],[A5]:[A6]])),"")</f>
        <v/>
      </c>
      <c r="P32" s="20" t="str">
        <f>IFERROR(IF(Tabela1[[#This Row],[STATUS]]="INATIVO","INATIVO",IF(Tabela1[[#This Row],[STATUS]]="QRT","INATIVO",IF(Tabela1[[#This Row],[OPERACIONAL]]&gt;7.99999,"BOM","RUIM"))),"")</f>
        <v>RUIM</v>
      </c>
      <c r="Q32" s="21" t="s">
        <v>667</v>
      </c>
      <c r="R32" s="12" t="s">
        <v>94</v>
      </c>
      <c r="S32" s="12" t="s">
        <v>673</v>
      </c>
      <c r="T32" s="12" t="s">
        <v>94</v>
      </c>
      <c r="U3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2" s="12">
        <f>IF(AND(Tabela1[[#This Row],[SETOR]]="UTI",Tabela1[[#This Row],[M]]&lt;&gt;""),1,IF(AND(Tabela1[[#This Row],[SETOR]]="UTI (RJ)",Tabela1[[#This Row],[M]]&lt;&gt;""),1.5,0))</f>
        <v>0</v>
      </c>
      <c r="X32" s="12">
        <f>IF(AND(Tabela1[[#This Row],[SETOR]]="UTI",Tabela1[[#This Row],[PA2]]&lt;&gt;""),1,IF(AND(Tabela1[[#This Row],[SETOR]]="UTI (RJ)",Tabela1[[#This Row],[PA2]]&lt;&gt;""),0,0))</f>
        <v>0</v>
      </c>
      <c r="Y32" s="12">
        <f>IF(AND(Tabela1[[#This Row],[SETOR]]="UTI",Tabela1[[#This Row],[C]]&lt;&gt;""),1,IF(AND(Tabela1[[#This Row],[SETOR]]="UTI (RJ)",Tabela1[[#This Row],[C]]&lt;&gt;""),1.5,0))</f>
        <v>0</v>
      </c>
      <c r="Z32" s="12">
        <f>IF(AND(Tabela1[[#This Row],[SETOR]]="UTI",Tabela1[[#This Row],[PL]]&lt;&gt;""),1,IF(AND(Tabela1[[#This Row],[SETOR]]="UTI (RJ)",Tabela1[[#This Row],[PL]]&lt;&gt;""),1,0))</f>
        <v>0</v>
      </c>
      <c r="AA32" s="21">
        <f>IFERROR(VLOOKUP(Tabela1[[#This Row],[MÊS]]&amp;Tabela1[[#This Row],[MATRICULA]]&amp;"1"&amp;Tabela1[[#This Row],[SETOR]]&amp;"PADRÃO",BD!B:AF,31,0),"")</f>
        <v>0</v>
      </c>
      <c r="AB32" s="21">
        <f>IFERROR(VLOOKUP(Tabela1[[#This Row],[MÊS]]&amp;Tabela1[[#This Row],[MATRICULA]]&amp;"2"&amp;Tabela1[[#This Row],[SETOR]]&amp;"PADRÃO",BD!B:AF,31,0),"")</f>
        <v>0</v>
      </c>
      <c r="AC32" s="21" t="str">
        <f>IFERROR(VLOOKUP(Tabela1[[#This Row],[MÊS]]&amp;Tabela1[[#This Row],[MATRICULA]]&amp;"3"&amp;Tabela1[[#This Row],[SETOR]]&amp;"PADRÃO",BD!B:AF,31,0),"")</f>
        <v/>
      </c>
      <c r="AD32" s="21" t="str">
        <f>IFERROR(VLOOKUP(Tabela1[[#This Row],[MÊS]]&amp;Tabela1[[#This Row],[MATRICULA]]&amp;"4"&amp;Tabela1[[#This Row],[SETOR]]&amp;"PADRÃO",BD!B:AF,25,0),"")</f>
        <v/>
      </c>
      <c r="AE32" s="21" t="str">
        <f>IFERROR(VLOOKUP(Tabela1[[#This Row],[MÊS]]&amp;Tabela1[[#This Row],[MATRICULA]]&amp;"5"&amp;Tabela1[[#This Row],[SETOR]]&amp;"PADRÃO",BD!B:AF,31,0),"")</f>
        <v/>
      </c>
      <c r="AF32" s="21" t="str">
        <f>IFERROR(VLOOKUP(Tabela1[[#This Row],[MÊS]]&amp;Tabela1[[#This Row],[MATRICULA]]&amp;"6"&amp;Tabela1[[#This Row],[SETOR]]&amp;"PADRÃO",BD!B:AF,31,0),"")</f>
        <v/>
      </c>
      <c r="AG32" s="21" t="str">
        <f>IFERROR(VLOOKUP(Tabela1[[#This Row],[MÊS]]&amp;Tabela1[[#This Row],[MATRICULA]]&amp;"7"&amp;Tabela1[[#This Row],[SETOR]]&amp;"PADRÃO",BD!B:AF,31,0),"")</f>
        <v/>
      </c>
      <c r="AH32" s="21" t="str">
        <f>IFERROR(VLOOKUP(Tabela1[[#This Row],[MÊS]]&amp;Tabela1[[#This Row],[ID]]&amp;Tabela1[[#This Row],[MATRICULA]]&amp;"Receptiva"&amp;Tabela1[[#This Row],[SETOR]],BD!A:AF,31,0),"")</f>
        <v/>
      </c>
      <c r="AI32" s="21" t="str">
        <f>IFERROR(VLOOKUP(Tabela1[[#This Row],[MÊS]]&amp;Tabela1[[#This Row],[ID]]&amp;Tabela1[[#This Row],[MATRICULA]]&amp;"Receptiva 2"&amp;Tabela1[[#This Row],[SETOR]],BD!A:AF,31,0),"")</f>
        <v/>
      </c>
      <c r="AJ32" s="21" t="str">
        <f>IFERROR(VLOOKUP(Tabela1[[#This Row],[MÊS]]&amp;Tabela1[[#This Row],[ID]]&amp;Tabela1[[#This Row],[MATRICULA]]&amp;"Receptiva 3"&amp;Tabela1[[#This Row],[SETOR]],BD!A:AF,31,0),"")</f>
        <v/>
      </c>
      <c r="AK32" s="21" t="str">
        <f>IFERROR(VLOOKUP(Tabela1[[#This Row],[MÊS]]&amp;Tabela1[[#This Row],[ID]]&amp;Tabela1[[#This Row],[MATRICULA]]&amp;"Receptiva 4"&amp;Tabela1[[#This Row],[SETOR]],BD!A:AF,31,0),"")</f>
        <v/>
      </c>
      <c r="AL32" s="21">
        <f>IFERROR(VLOOKUP(Tabela1[[#This Row],[MÊS]]&amp;Tabela1[[#This Row],[MATRICULA]]&amp;"Motorista"&amp;Tabela1[[#This Row],[SETOR]],BD!A:AF,31,0),"")</f>
        <v>0</v>
      </c>
      <c r="AM32" s="21" t="str">
        <f>IFERROR(VLOOKUP(Tabela1[[#This Row],[MÊS]]&amp;Tabela1[[#This Row],[ID]]&amp;Tabela1[[#This Row],[MATRICULA]]&amp;"Motorista 2"&amp;Tabela1[[#This Row],[SETOR]],BD!A:AF,26,0),"")</f>
        <v/>
      </c>
      <c r="AN32" s="21" t="str">
        <f>IFERROR(VLOOKUP(Tabela1[[#This Row],[MÊS]]&amp;Tabela1[[#This Row],[ID]]&amp;Tabela1[[#This Row],[MATRICULA]]&amp;"Motorista 3"&amp;Tabela1[[#This Row],[SETOR]],BD!A:AF,26,0),"")</f>
        <v/>
      </c>
      <c r="AO32" s="21" t="str">
        <f>IFERROR(VLOOKUP(Tabela1[[#This Row],[MÊS]]&amp;Tabela1[[#This Row],[ID]]&amp;Tabela1[[#This Row],[MATRICULA]]&amp;"Motorista 4"&amp;Tabela1[[#This Row],[SETOR]],BD!A:AF,26,0),"")</f>
        <v/>
      </c>
      <c r="AP32" s="21" t="str">
        <f>IFERROR(VLOOKUP(Tabela1[[#This Row],[MÊS]]&amp;Tabela1[[#This Row],[MATRICULA]]&amp;"Ponto de Apoio"&amp;Tabela1[[#This Row],[SETOR]],BD!A:AF,31,0),"")</f>
        <v/>
      </c>
      <c r="AQ32" s="21" t="str">
        <f>IFERROR(VLOOKUP(Tabela1[[#This Row],[MÊS]]&amp;Tabela1[[#This Row],[ID]]&amp;Tabela1[[#This Row],[MATRICULA]]&amp;"Ponto de Apoio 2"&amp;Tabela1[[#This Row],[SETOR]],BD!A:AF,26,0),"")</f>
        <v/>
      </c>
      <c r="AR32" s="36" t="str">
        <f>IFERROR(VLOOKUP(Tabela1[[#This Row],[MÊS]]&amp;Tabela1[[#This Row],[ID]]&amp;Tabela1[[#This Row],[MATRICULA]]&amp;"Ponto de Apoio 3"&amp;Tabela1[[#This Row],[SETOR]],BD!A:AF,26,0),"")</f>
        <v/>
      </c>
      <c r="AS32" s="36" t="str">
        <f>IFERROR(VLOOKUP(Tabela1[[#This Row],[MÊS]]&amp;Tabela1[[#This Row],[ID]]&amp;Tabela1[[#This Row],[MATRICULA]]&amp;"Ponto de Apoio 4"&amp;Tabela1[[#This Row],[SETOR]],BD!A:AF,26,0),"")</f>
        <v/>
      </c>
      <c r="AT32" s="21" t="str">
        <f>IFERROR(VLOOKUP(Tabela1[[#This Row],[MÊS]]&amp;Tabela1[[#This Row],[MATRICULA]]&amp;"Cliente"&amp;Tabela1[[#This Row],[SETOR]],BD!A:AF,31,0),"")</f>
        <v/>
      </c>
      <c r="AU32" s="21" t="str">
        <f>IFERROR(VLOOKUP(Tabela1[[#This Row],[MÊS]]&amp;Tabela1[[#This Row],[ID]]&amp;Tabela1[[#This Row],[MATRICULA]]&amp;"Cliente 2"&amp;Tabela1[[#This Row],[SETOR]],BD!A:AF,26,0),"")</f>
        <v/>
      </c>
      <c r="AX32" s="21" t="str">
        <f>IFERROR(VLOOKUP(Tabela1[[#This Row],[MÊS]]&amp;Tabela1[[#This Row],[MATRICULA]]&amp;"Policia"&amp;Tabela1[[#This Row],[SETOR]],BD!A:AF,31,0),"")</f>
        <v/>
      </c>
      <c r="AY32" s="21" t="str">
        <f>IFERROR(VLOOKUP(Tabela1[[#This Row],[MÊS]]&amp;Tabela1[[#This Row],[ID]]&amp;Tabela1[[#This Row],[MATRICULA]]&amp;"Policia 2"&amp;Tabela1[[#This Row],[SETOR]],BD!A:AF,26,0),"")</f>
        <v/>
      </c>
      <c r="AZ32" s="36" t="str">
        <f>IFERROR(VLOOKUP(Tabela1[[#This Row],[MÊS]]&amp;Tabela1[[#This Row],[ID]]&amp;Tabela1[[#This Row],[MATRICULA]]&amp;"Policia 3"&amp;Tabela1[[#This Row],[SETOR]],BD!A:AF,26,0),"")</f>
        <v/>
      </c>
      <c r="BA32" s="36" t="str">
        <f>IFERROR(VLOOKUP(Tabela1[[#This Row],[MÊS]]&amp;Tabela1[[#This Row],[ID]]&amp;Tabela1[[#This Row],[MATRICULA]]&amp;"Policia 4"&amp;Tabela1[[#This Row],[SETOR]],BD!A:AF,26,0),"")</f>
        <v/>
      </c>
      <c r="BB3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2" s="21">
        <f>IFERROR(AVERAGE(Tabela1[[#This Row],[M]:[M4]]),"")</f>
        <v>0</v>
      </c>
      <c r="BD32" s="21" t="str">
        <f>IFERROR(AVERAGE(Tabela1[[#This Row],[C]:[C4]]),"")</f>
        <v/>
      </c>
      <c r="BE32" s="21" t="str">
        <f>IFERROR(AVERAGE(Tabela1[[#This Row],[PA2]:[PA 4]]),"")</f>
        <v/>
      </c>
      <c r="BF32" s="21" t="str">
        <f>IFERROR(AVERAGE(Tabela1[[#This Row],[PL]:[PL4]]),"")</f>
        <v/>
      </c>
      <c r="BG32" s="35" t="str">
        <f>IFERROR(VLOOKUP(Tabela1[[#This Row],[MÊS]]&amp;Tabela1[[#This Row],[MATRICULA]],#REF!,2,0),"")</f>
        <v/>
      </c>
      <c r="BH32" s="35" t="str">
        <f>IFERROR(VLOOKUP(Tabela1[[#This Row],[MÊS]]&amp;Tabela1[[#This Row],[MATRICULA]],#REF!,2,0),"")</f>
        <v/>
      </c>
      <c r="BI32" s="35" t="str">
        <f>IFERROR(VLOOKUP(Tabela1[[#This Row],[MÊS]]&amp;Tabela1[[#This Row],[MATRICULA]],#REF!,2,0),"")</f>
        <v/>
      </c>
      <c r="BJ32" s="35" t="str">
        <f>IFERROR(VLOOKUP(Tabela1[[#This Row],[MÊS]]&amp;Tabela1[[#This Row],[MATRICULA]],#REF!,2,0),"")</f>
        <v/>
      </c>
      <c r="BK32" s="35" t="str">
        <f>IFERROR(VLOOKUP(Tabela1[[#This Row],[MÊS]]&amp;Tabela1[[#This Row],[MATRICULA]],#REF!,2,0),"")</f>
        <v/>
      </c>
      <c r="BL32" s="21">
        <f>COUNTIF(Tabela1[[#This Row],[MOT2]:[RECEPTIVA]],"NÃO ENCONTRADA")</f>
        <v>0</v>
      </c>
      <c r="BM32" s="135" t="str">
        <f>IFERROR(VLOOKUP(Tabela1[[#This Row],[MÊS]]&amp;Tabela1[[#This Row],[ID]]&amp;Tabela1[[#This Row],[MATRICULA]]&amp;"Motorista"&amp;Tabela1[[#This Row],[SETOR]],BD!A:AF,13,0),"")</f>
        <v/>
      </c>
      <c r="BN32" s="135" t="str">
        <f>IFERROR(VLOOKUP(Tabela1[[#This Row],[MÊS]]&amp;Tabela1[[#This Row],[ID]]&amp;Tabela1[[#This Row],[MATRICULA]]&amp;"Motorista 2"&amp;Tabela1[[#This Row],[SETOR]],BD!A:AF,13,0),"")</f>
        <v/>
      </c>
      <c r="BO32" s="135" t="str">
        <f>IFERROR(VLOOKUP(Tabela1[[#This Row],[MÊS]]&amp;Tabela1[[#This Row],[ID]]&amp;Tabela1[[#This Row],[MATRICULA]]&amp;"Motorista 3"&amp;Tabela1[[#This Row],[SETOR]],BD!A:AF,13,0),"")</f>
        <v/>
      </c>
      <c r="BP32" s="135" t="str">
        <f>IFERROR(VLOOKUP(Tabela1[[#This Row],[MÊS]]&amp;Tabela1[[#This Row],[ID]]&amp;Tabela1[[#This Row],[MATRICULA]]&amp;"Motorista 4"&amp;Tabela1[[#This Row],[SETOR]],BD!A:AF,13,0),"")</f>
        <v/>
      </c>
      <c r="BQ32" s="135" t="str">
        <f>IFERROR(AVERAGE(Tabela1[[#This Row],[DMOT]:[DMOT4]]),"")</f>
        <v/>
      </c>
      <c r="BR32" s="135" t="str">
        <f>IFERROR(VLOOKUP(Tabela1[[#This Row],[MÊS]]&amp;Tabela1[[#This Row],[ID]]&amp;Tabela1[[#This Row],[MATRICULA]]&amp;"Ponto de Apoio"&amp;Tabela1[[#This Row],[SETOR]],BD!A:AF,13,0),"")</f>
        <v/>
      </c>
      <c r="BS32" s="135" t="str">
        <f>IFERROR(VLOOKUP(Tabela1[[#This Row],[MÊS]]&amp;Tabela1[[#This Row],[ID]]&amp;Tabela1[[#This Row],[MATRICULA]]&amp;"Ponto de Apoio 2"&amp;Tabela1[[#This Row],[SETOR]],BD!A:AF,13,0),"")</f>
        <v/>
      </c>
      <c r="BT32" s="135" t="str">
        <f>IFERROR(VLOOKUP(Tabela1[[#This Row],[MÊS]]&amp;Tabela1[[#This Row],[ID]]&amp;Tabela1[[#This Row],[MATRICULA]]&amp;"Ponto de Apoio 3"&amp;Tabela1[[#This Row],[SETOR]],BD!A:AF,13,0),"")</f>
        <v/>
      </c>
      <c r="BU32" s="135" t="str">
        <f>IFERROR(VLOOKUP(Tabela1[[#This Row],[MÊS]]&amp;Tabela1[[#This Row],[ID]]&amp;Tabela1[[#This Row],[MATRICULA]]&amp;"Ponto de Apoio 4"&amp;Tabela1[[#This Row],[SETOR]],BD!A:AF,13,0),"")</f>
        <v/>
      </c>
      <c r="BV32" s="135" t="str">
        <f>IFERROR(AVERAGE(Tabela1[[#This Row],[DPA]:[DPA 4]]),"")</f>
        <v/>
      </c>
      <c r="BW32" s="135" t="str">
        <f>IFERROR(VLOOKUP(Tabela1[[#This Row],[MÊS]]&amp;Tabela1[[#This Row],[ID]]&amp;Tabela1[[#This Row],[MATRICULA]]&amp;"Cliente"&amp;Tabela1[[#This Row],[SETOR]],BD!A:AF,13,0),"")</f>
        <v/>
      </c>
      <c r="BX32" s="135" t="str">
        <f>IFERROR(VLOOKUP(Tabela1[[#This Row],[MÊS]]&amp;Tabela1[[#This Row],[ID]]&amp;Tabela1[[#This Row],[MATRICULA]]&amp;"cliente 2"&amp;Tabela1[[#This Row],[SETOR]],BD!A:AF,13,0),"")</f>
        <v/>
      </c>
      <c r="BY32" s="135" t="str">
        <f>IFERROR(VLOOKUP(Tabela1[[#This Row],[MÊS]]&amp;Tabela1[[#This Row],[ID]]&amp;Tabela1[[#This Row],[MATRICULA]]&amp;"cliente 3"&amp;Tabela1[[#This Row],[SETOR]],BD!A:AF,13,0),"")</f>
        <v/>
      </c>
      <c r="BZ32" s="135" t="str">
        <f>IFERROR(VLOOKUP(Tabela1[[#This Row],[MÊS]]&amp;Tabela1[[#This Row],[ID]]&amp;Tabela1[[#This Row],[MATRICULA]]&amp;"cliente 4"&amp;Tabela1[[#This Row],[SETOR]],BD!A:AF,13,0),"")</f>
        <v/>
      </c>
      <c r="CA32" s="135" t="str">
        <f>IFERROR(AVERAGE(Tabela1[[#This Row],[DCLI]:[DCLI 4]]),"")</f>
        <v/>
      </c>
      <c r="CB32" s="135" t="str">
        <f>IFERROR(VLOOKUP(Tabela1[[#This Row],[MÊS]]&amp;Tabela1[[#This Row],[ID]]&amp;Tabela1[[#This Row],[MATRICULA]]&amp;"Policia"&amp;Tabela1[[#This Row],[SETOR]],BD!A:AF,13,0),"")</f>
        <v/>
      </c>
      <c r="CC32" s="135" t="str">
        <f>IFERROR(VLOOKUP(Tabela1[[#This Row],[MÊS]]&amp;Tabela1[[#This Row],[ID]]&amp;Tabela1[[#This Row],[MATRICULA]]&amp;"Policia 2"&amp;Tabela1[[#This Row],[SETOR]],BD!A:AF,13,0),"")</f>
        <v/>
      </c>
      <c r="CD32" s="135"/>
      <c r="CE32" s="135"/>
      <c r="CF32" s="135" t="str">
        <f>IFERROR((AVERAGE(Tabela1[[#This Row],[DPOL1]:[DPOL4]])),"")</f>
        <v/>
      </c>
      <c r="CG32" s="21" t="str">
        <f>IFERROR(VLOOKUP(Tabela1[[#This Row],[ID]]&amp;Tabela1[[#This Row],[MÊS]]&amp;Tabela1[[#This Row],[MATRICULA]],#REF!,2,0),"")</f>
        <v/>
      </c>
      <c r="CH32" s="21" t="str">
        <f>IFERROR(VLOOKUP(Tabela1[[#This Row],[ID]]&amp;Tabela1[[#This Row],[MÊS]]&amp;Tabela1[[#This Row],[MATRICULA]],#REF!,2,0),"")</f>
        <v/>
      </c>
      <c r="CI32" s="21" t="str">
        <f>IFERROR(VLOOKUP(Tabela1[[#This Row],[MÊS]]&amp;Tabela1[[#This Row],[MATRICULA]],#REF!,2,0),"")</f>
        <v/>
      </c>
    </row>
    <row r="33" spans="1:87">
      <c r="A33" s="12" t="str">
        <f>Tabela1[[#This Row],[MÊS]]&amp;Tabela1[[#This Row],[MATRICULA]]&amp;Tabela1[[#This Row],[ID]]</f>
        <v>JAN1132511</v>
      </c>
      <c r="B33" s="12" t="str">
        <f>Tabela1[[#This Row],[MÊS]]&amp;Tabela1[[#This Row],[ID]]&amp;Tabela1[[#This Row],[MATRICULA]]&amp;Tabela1[[#This Row],[SETOR]]</f>
        <v>JAN1111325DISTRIBUIÇÃO</v>
      </c>
      <c r="C33" s="130" t="e">
        <f>VLOOKUP(Tabela1[[#This Row],[MATRICULA]],'BD Campos'!A:D,5,0)</f>
        <v>#REF!</v>
      </c>
      <c r="D33" s="133" t="str">
        <f ca="1">IFERROR(SUM(TODAY()-Tabela1[[#This Row],[ADMISSÃO]]),"")</f>
        <v/>
      </c>
      <c r="E33" s="11" t="str">
        <f ca="1">IFERROR(TRUNC(Tabela1[[#This Row],[TEMPO DE CASA (DIAS)]]/30),"")</f>
        <v/>
      </c>
      <c r="F33" s="32" t="str">
        <f ca="1">IFERROR(SUM(Tabela1[[#This Row],[TEMPO DE CASA (MESES)]]/12),"")</f>
        <v/>
      </c>
      <c r="G33" s="133" t="str">
        <f ca="1">IF(Tabela1[[#This Row],[TEMPO DE CASA (DIAS)]]="","SEM DADOS",IF(Tabela1[[#This Row],[TEMPO DE CASA (DIAS)]]&gt;180,"&gt; 6 MESES","&lt; 6 MESES"))</f>
        <v>SEM DADOS</v>
      </c>
      <c r="H33" s="12" t="str">
        <f t="shared" si="3"/>
        <v>JANThayssa de Almeida11</v>
      </c>
      <c r="I33" s="12" t="str">
        <f>IFERROR(VLOOKUP(Tabela1[[#This Row],[MATRICULA]],'BD Campos'!A:F,7,0),"")</f>
        <v/>
      </c>
      <c r="J33" s="11">
        <v>11</v>
      </c>
      <c r="K33" s="11" t="s">
        <v>669</v>
      </c>
      <c r="L33" s="136">
        <v>11325</v>
      </c>
      <c r="M33" s="12" t="str">
        <f>IFERROR(VLOOKUP(Tabela1[[#This Row],[MATRICULA]],'BD Campos'!A:B,2,0),"")</f>
        <v>ISAAK LOPES VISNHESKI</v>
      </c>
      <c r="N33" s="20">
        <f>IFERROR(AVERAGE(Tabela1[[#This Row],[A1]:[A4]]),"")</f>
        <v>8.8449999999999989</v>
      </c>
      <c r="O33" s="20" t="str">
        <f>IFERROR(IF(Tabela1[[#This Row],[SETOR]]="RECEPTIVO","",AVERAGE(Tabela1[[#This Row],[A5]:[A6]])),"")</f>
        <v/>
      </c>
      <c r="P33" s="20" t="str">
        <f>IFERROR(IF(Tabela1[[#This Row],[STATUS]]="INATIVO","INATIVO",IF(Tabela1[[#This Row],[STATUS]]="QRT","INATIVO",IF(Tabela1[[#This Row],[OPERACIONAL]]&gt;7.99999,"BOM","RUIM"))),"")</f>
        <v>BOM</v>
      </c>
      <c r="Q33" s="21" t="s">
        <v>667</v>
      </c>
      <c r="R33" s="12" t="s">
        <v>94</v>
      </c>
      <c r="S33" s="12" t="s">
        <v>673</v>
      </c>
      <c r="T33" s="12" t="s">
        <v>94</v>
      </c>
      <c r="U3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3" s="12">
        <f>IF(AND(Tabela1[[#This Row],[SETOR]]="UTI",Tabela1[[#This Row],[M]]&lt;&gt;""),1,IF(AND(Tabela1[[#This Row],[SETOR]]="UTI (RJ)",Tabela1[[#This Row],[M]]&lt;&gt;""),1.5,0))</f>
        <v>0</v>
      </c>
      <c r="X33" s="12">
        <f>IF(AND(Tabela1[[#This Row],[SETOR]]="UTI",Tabela1[[#This Row],[PA2]]&lt;&gt;""),1,IF(AND(Tabela1[[#This Row],[SETOR]]="UTI (RJ)",Tabela1[[#This Row],[PA2]]&lt;&gt;""),0,0))</f>
        <v>0</v>
      </c>
      <c r="Y33" s="12">
        <f>IF(AND(Tabela1[[#This Row],[SETOR]]="UTI",Tabela1[[#This Row],[C]]&lt;&gt;""),1,IF(AND(Tabela1[[#This Row],[SETOR]]="UTI (RJ)",Tabela1[[#This Row],[C]]&lt;&gt;""),1.5,0))</f>
        <v>0</v>
      </c>
      <c r="Z33" s="12">
        <f>IF(AND(Tabela1[[#This Row],[SETOR]]="UTI",Tabela1[[#This Row],[PL]]&lt;&gt;""),1,IF(AND(Tabela1[[#This Row],[SETOR]]="UTI (RJ)",Tabela1[[#This Row],[PL]]&lt;&gt;""),1,0))</f>
        <v>0</v>
      </c>
      <c r="AA33" s="21">
        <f>IFERROR(VLOOKUP(Tabela1[[#This Row],[MÊS]]&amp;Tabela1[[#This Row],[MATRICULA]]&amp;"1"&amp;Tabela1[[#This Row],[SETOR]]&amp;"PADRÃO",BD!B:AF,31,0),"")</f>
        <v>8.7924999999999986</v>
      </c>
      <c r="AB33" s="21">
        <f>IFERROR(VLOOKUP(Tabela1[[#This Row],[MÊS]]&amp;Tabela1[[#This Row],[MATRICULA]]&amp;"2"&amp;Tabela1[[#This Row],[SETOR]]&amp;"PADRÃO",BD!B:AF,31,0),"")</f>
        <v>8.8974999999999991</v>
      </c>
      <c r="AC33" s="21" t="str">
        <f>IFERROR(VLOOKUP(Tabela1[[#This Row],[MÊS]]&amp;Tabela1[[#This Row],[MATRICULA]]&amp;"3"&amp;Tabela1[[#This Row],[SETOR]]&amp;"PADRÃO",BD!B:AF,31,0),"")</f>
        <v/>
      </c>
      <c r="AD33" s="21" t="str">
        <f>IFERROR(VLOOKUP(Tabela1[[#This Row],[MÊS]]&amp;Tabela1[[#This Row],[MATRICULA]]&amp;"4"&amp;Tabela1[[#This Row],[SETOR]]&amp;"PADRÃO",BD!B:AF,25,0),"")</f>
        <v/>
      </c>
      <c r="AE33" s="21" t="str">
        <f>IFERROR(VLOOKUP(Tabela1[[#This Row],[MÊS]]&amp;Tabela1[[#This Row],[MATRICULA]]&amp;"5"&amp;Tabela1[[#This Row],[SETOR]]&amp;"PADRÃO",BD!B:AF,31,0),"")</f>
        <v/>
      </c>
      <c r="AF33" s="21" t="str">
        <f>IFERROR(VLOOKUP(Tabela1[[#This Row],[MÊS]]&amp;Tabela1[[#This Row],[MATRICULA]]&amp;"6"&amp;Tabela1[[#This Row],[SETOR]]&amp;"PADRÃO",BD!B:AF,31,0),"")</f>
        <v/>
      </c>
      <c r="AG33" s="21" t="str">
        <f>IFERROR(VLOOKUP(Tabela1[[#This Row],[MÊS]]&amp;Tabela1[[#This Row],[MATRICULA]]&amp;"7"&amp;Tabela1[[#This Row],[SETOR]]&amp;"PADRÃO",BD!B:AF,31,0),"")</f>
        <v/>
      </c>
      <c r="AH33" s="21" t="str">
        <f>IFERROR(VLOOKUP(Tabela1[[#This Row],[MÊS]]&amp;Tabela1[[#This Row],[ID]]&amp;Tabela1[[#This Row],[MATRICULA]]&amp;"Receptiva"&amp;Tabela1[[#This Row],[SETOR]],BD!A:AF,31,0),"")</f>
        <v/>
      </c>
      <c r="AI33" s="21" t="str">
        <f>IFERROR(VLOOKUP(Tabela1[[#This Row],[MÊS]]&amp;Tabela1[[#This Row],[ID]]&amp;Tabela1[[#This Row],[MATRICULA]]&amp;"Receptiva 2"&amp;Tabela1[[#This Row],[SETOR]],BD!A:AF,31,0),"")</f>
        <v/>
      </c>
      <c r="AJ33" s="21" t="str">
        <f>IFERROR(VLOOKUP(Tabela1[[#This Row],[MÊS]]&amp;Tabela1[[#This Row],[ID]]&amp;Tabela1[[#This Row],[MATRICULA]]&amp;"Receptiva 3"&amp;Tabela1[[#This Row],[SETOR]],BD!A:AF,31,0),"")</f>
        <v/>
      </c>
      <c r="AK33" s="21" t="str">
        <f>IFERROR(VLOOKUP(Tabela1[[#This Row],[MÊS]]&amp;Tabela1[[#This Row],[ID]]&amp;Tabela1[[#This Row],[MATRICULA]]&amp;"Receptiva 4"&amp;Tabela1[[#This Row],[SETOR]],BD!A:AF,31,0),"")</f>
        <v/>
      </c>
      <c r="AL33" s="21">
        <f>IFERROR(VLOOKUP(Tabela1[[#This Row],[MÊS]]&amp;Tabela1[[#This Row],[MATRICULA]]&amp;"Motorista"&amp;Tabela1[[#This Row],[SETOR]],BD!A:AF,31,0),"")</f>
        <v>0</v>
      </c>
      <c r="AM33" s="21" t="str">
        <f>IFERROR(VLOOKUP(Tabela1[[#This Row],[MÊS]]&amp;Tabela1[[#This Row],[ID]]&amp;Tabela1[[#This Row],[MATRICULA]]&amp;"Motorista 2"&amp;Tabela1[[#This Row],[SETOR]],BD!A:AF,26,0),"")</f>
        <v/>
      </c>
      <c r="AN33" s="21" t="str">
        <f>IFERROR(VLOOKUP(Tabela1[[#This Row],[MÊS]]&amp;Tabela1[[#This Row],[ID]]&amp;Tabela1[[#This Row],[MATRICULA]]&amp;"Motorista 3"&amp;Tabela1[[#This Row],[SETOR]],BD!A:AF,26,0),"")</f>
        <v/>
      </c>
      <c r="AO33" s="21" t="str">
        <f>IFERROR(VLOOKUP(Tabela1[[#This Row],[MÊS]]&amp;Tabela1[[#This Row],[ID]]&amp;Tabela1[[#This Row],[MATRICULA]]&amp;"Motorista 4"&amp;Tabela1[[#This Row],[SETOR]],BD!A:AF,26,0),"")</f>
        <v/>
      </c>
      <c r="AP33" s="21" t="str">
        <f>IFERROR(VLOOKUP(Tabela1[[#This Row],[MÊS]]&amp;Tabela1[[#This Row],[MATRICULA]]&amp;"Ponto de Apoio"&amp;Tabela1[[#This Row],[SETOR]],BD!A:AF,31,0),"")</f>
        <v/>
      </c>
      <c r="AQ33" s="21" t="str">
        <f>IFERROR(VLOOKUP(Tabela1[[#This Row],[MÊS]]&amp;Tabela1[[#This Row],[ID]]&amp;Tabela1[[#This Row],[MATRICULA]]&amp;"Ponto de Apoio 2"&amp;Tabela1[[#This Row],[SETOR]],BD!A:AF,26,0),"")</f>
        <v/>
      </c>
      <c r="AR33" s="36" t="str">
        <f>IFERROR(VLOOKUP(Tabela1[[#This Row],[MÊS]]&amp;Tabela1[[#This Row],[ID]]&amp;Tabela1[[#This Row],[MATRICULA]]&amp;"Ponto de Apoio 3"&amp;Tabela1[[#This Row],[SETOR]],BD!A:AF,26,0),"")</f>
        <v/>
      </c>
      <c r="AS33" s="36" t="str">
        <f>IFERROR(VLOOKUP(Tabela1[[#This Row],[MÊS]]&amp;Tabela1[[#This Row],[ID]]&amp;Tabela1[[#This Row],[MATRICULA]]&amp;"Ponto de Apoio 4"&amp;Tabela1[[#This Row],[SETOR]],BD!A:AF,26,0),"")</f>
        <v/>
      </c>
      <c r="AT33" s="21" t="str">
        <f>IFERROR(VLOOKUP(Tabela1[[#This Row],[MÊS]]&amp;Tabela1[[#This Row],[MATRICULA]]&amp;"Cliente"&amp;Tabela1[[#This Row],[SETOR]],BD!A:AF,31,0),"")</f>
        <v/>
      </c>
      <c r="AU33" s="21" t="str">
        <f>IFERROR(VLOOKUP(Tabela1[[#This Row],[MÊS]]&amp;Tabela1[[#This Row],[ID]]&amp;Tabela1[[#This Row],[MATRICULA]]&amp;"Cliente 2"&amp;Tabela1[[#This Row],[SETOR]],BD!A:AF,26,0),"")</f>
        <v/>
      </c>
      <c r="AX33" s="21" t="str">
        <f>IFERROR(VLOOKUP(Tabela1[[#This Row],[MÊS]]&amp;Tabela1[[#This Row],[MATRICULA]]&amp;"Policia"&amp;Tabela1[[#This Row],[SETOR]],BD!A:AF,31,0),"")</f>
        <v/>
      </c>
      <c r="AY33" s="21" t="str">
        <f>IFERROR(VLOOKUP(Tabela1[[#This Row],[MÊS]]&amp;Tabela1[[#This Row],[ID]]&amp;Tabela1[[#This Row],[MATRICULA]]&amp;"Policia 2"&amp;Tabela1[[#This Row],[SETOR]],BD!A:AF,26,0),"")</f>
        <v/>
      </c>
      <c r="AZ33" s="36" t="str">
        <f>IFERROR(VLOOKUP(Tabela1[[#This Row],[MÊS]]&amp;Tabela1[[#This Row],[ID]]&amp;Tabela1[[#This Row],[MATRICULA]]&amp;"Policia 3"&amp;Tabela1[[#This Row],[SETOR]],BD!A:AF,26,0),"")</f>
        <v/>
      </c>
      <c r="BA33" s="36" t="str">
        <f>IFERROR(VLOOKUP(Tabela1[[#This Row],[MÊS]]&amp;Tabela1[[#This Row],[ID]]&amp;Tabela1[[#This Row],[MATRICULA]]&amp;"Policia 4"&amp;Tabela1[[#This Row],[SETOR]],BD!A:AF,26,0),"")</f>
        <v/>
      </c>
      <c r="BB3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3" s="21">
        <f>IFERROR(AVERAGE(Tabela1[[#This Row],[M]:[M4]]),"")</f>
        <v>0</v>
      </c>
      <c r="BD33" s="21" t="str">
        <f>IFERROR(AVERAGE(Tabela1[[#This Row],[C]:[C4]]),"")</f>
        <v/>
      </c>
      <c r="BE33" s="21" t="str">
        <f>IFERROR(AVERAGE(Tabela1[[#This Row],[PA2]:[PA 4]]),"")</f>
        <v/>
      </c>
      <c r="BF33" s="21" t="str">
        <f>IFERROR(AVERAGE(Tabela1[[#This Row],[PL]:[PL4]]),"")</f>
        <v/>
      </c>
      <c r="BG33" s="35" t="str">
        <f>IFERROR(VLOOKUP(Tabela1[[#This Row],[MÊS]]&amp;Tabela1[[#This Row],[MATRICULA]],#REF!,2,0),"")</f>
        <v/>
      </c>
      <c r="BH33" s="35" t="str">
        <f>IFERROR(VLOOKUP(Tabela1[[#This Row],[MÊS]]&amp;Tabela1[[#This Row],[MATRICULA]],#REF!,2,0),"")</f>
        <v/>
      </c>
      <c r="BI33" s="35" t="str">
        <f>IFERROR(VLOOKUP(Tabela1[[#This Row],[MÊS]]&amp;Tabela1[[#This Row],[MATRICULA]],#REF!,2,0),"")</f>
        <v/>
      </c>
      <c r="BJ33" s="35" t="str">
        <f>IFERROR(VLOOKUP(Tabela1[[#This Row],[MÊS]]&amp;Tabela1[[#This Row],[MATRICULA]],#REF!,2,0),"")</f>
        <v/>
      </c>
      <c r="BK33" s="35" t="str">
        <f>IFERROR(VLOOKUP(Tabela1[[#This Row],[MÊS]]&amp;Tabela1[[#This Row],[MATRICULA]],#REF!,2,0),"")</f>
        <v/>
      </c>
      <c r="BL33" s="21">
        <f>COUNTIF(Tabela1[[#This Row],[MOT2]:[RECEPTIVA]],"NÃO ENCONTRADA")</f>
        <v>0</v>
      </c>
      <c r="BM33" s="135" t="str">
        <f>IFERROR(VLOOKUP(Tabela1[[#This Row],[MÊS]]&amp;Tabela1[[#This Row],[ID]]&amp;Tabela1[[#This Row],[MATRICULA]]&amp;"Motorista"&amp;Tabela1[[#This Row],[SETOR]],BD!A:AF,13,0),"")</f>
        <v/>
      </c>
      <c r="BN33" s="135" t="str">
        <f>IFERROR(VLOOKUP(Tabela1[[#This Row],[MÊS]]&amp;Tabela1[[#This Row],[ID]]&amp;Tabela1[[#This Row],[MATRICULA]]&amp;"Motorista 2"&amp;Tabela1[[#This Row],[SETOR]],BD!A:AF,13,0),"")</f>
        <v/>
      </c>
      <c r="BO33" s="135" t="str">
        <f>IFERROR(VLOOKUP(Tabela1[[#This Row],[MÊS]]&amp;Tabela1[[#This Row],[ID]]&amp;Tabela1[[#This Row],[MATRICULA]]&amp;"Motorista 3"&amp;Tabela1[[#This Row],[SETOR]],BD!A:AF,13,0),"")</f>
        <v/>
      </c>
      <c r="BP33" s="135" t="str">
        <f>IFERROR(VLOOKUP(Tabela1[[#This Row],[MÊS]]&amp;Tabela1[[#This Row],[ID]]&amp;Tabela1[[#This Row],[MATRICULA]]&amp;"Motorista 4"&amp;Tabela1[[#This Row],[SETOR]],BD!A:AF,13,0),"")</f>
        <v/>
      </c>
      <c r="BQ33" s="135" t="str">
        <f>IFERROR(AVERAGE(Tabela1[[#This Row],[DMOT]:[DMOT4]]),"")</f>
        <v/>
      </c>
      <c r="BR33" s="135" t="str">
        <f>IFERROR(VLOOKUP(Tabela1[[#This Row],[MÊS]]&amp;Tabela1[[#This Row],[ID]]&amp;Tabela1[[#This Row],[MATRICULA]]&amp;"Ponto de Apoio"&amp;Tabela1[[#This Row],[SETOR]],BD!A:AF,13,0),"")</f>
        <v/>
      </c>
      <c r="BS33" s="135" t="str">
        <f>IFERROR(VLOOKUP(Tabela1[[#This Row],[MÊS]]&amp;Tabela1[[#This Row],[ID]]&amp;Tabela1[[#This Row],[MATRICULA]]&amp;"Ponto de Apoio 2"&amp;Tabela1[[#This Row],[SETOR]],BD!A:AF,13,0),"")</f>
        <v/>
      </c>
      <c r="BT33" s="135" t="str">
        <f>IFERROR(VLOOKUP(Tabela1[[#This Row],[MÊS]]&amp;Tabela1[[#This Row],[ID]]&amp;Tabela1[[#This Row],[MATRICULA]]&amp;"Ponto de Apoio 3"&amp;Tabela1[[#This Row],[SETOR]],BD!A:AF,13,0),"")</f>
        <v/>
      </c>
      <c r="BU33" s="135" t="str">
        <f>IFERROR(VLOOKUP(Tabela1[[#This Row],[MÊS]]&amp;Tabela1[[#This Row],[ID]]&amp;Tabela1[[#This Row],[MATRICULA]]&amp;"Ponto de Apoio 4"&amp;Tabela1[[#This Row],[SETOR]],BD!A:AF,13,0),"")</f>
        <v/>
      </c>
      <c r="BV33" s="135" t="str">
        <f>IFERROR(AVERAGE(Tabela1[[#This Row],[DPA]:[DPA 4]]),"")</f>
        <v/>
      </c>
      <c r="BW33" s="135" t="str">
        <f>IFERROR(VLOOKUP(Tabela1[[#This Row],[MÊS]]&amp;Tabela1[[#This Row],[ID]]&amp;Tabela1[[#This Row],[MATRICULA]]&amp;"Cliente"&amp;Tabela1[[#This Row],[SETOR]],BD!A:AF,13,0),"")</f>
        <v/>
      </c>
      <c r="BX33" s="135" t="str">
        <f>IFERROR(VLOOKUP(Tabela1[[#This Row],[MÊS]]&amp;Tabela1[[#This Row],[ID]]&amp;Tabela1[[#This Row],[MATRICULA]]&amp;"cliente 2"&amp;Tabela1[[#This Row],[SETOR]],BD!A:AF,13,0),"")</f>
        <v/>
      </c>
      <c r="BY33" s="135" t="str">
        <f>IFERROR(VLOOKUP(Tabela1[[#This Row],[MÊS]]&amp;Tabela1[[#This Row],[ID]]&amp;Tabela1[[#This Row],[MATRICULA]]&amp;"cliente 3"&amp;Tabela1[[#This Row],[SETOR]],BD!A:AF,13,0),"")</f>
        <v/>
      </c>
      <c r="BZ33" s="135" t="str">
        <f>IFERROR(VLOOKUP(Tabela1[[#This Row],[MÊS]]&amp;Tabela1[[#This Row],[ID]]&amp;Tabela1[[#This Row],[MATRICULA]]&amp;"cliente 4"&amp;Tabela1[[#This Row],[SETOR]],BD!A:AF,13,0),"")</f>
        <v/>
      </c>
      <c r="CA33" s="135" t="str">
        <f>IFERROR(AVERAGE(Tabela1[[#This Row],[DCLI]:[DCLI 4]]),"")</f>
        <v/>
      </c>
      <c r="CB33" s="135" t="str">
        <f>IFERROR(VLOOKUP(Tabela1[[#This Row],[MÊS]]&amp;Tabela1[[#This Row],[ID]]&amp;Tabela1[[#This Row],[MATRICULA]]&amp;"Policia"&amp;Tabela1[[#This Row],[SETOR]],BD!A:AF,13,0),"")</f>
        <v/>
      </c>
      <c r="CC33" s="135" t="str">
        <f>IFERROR(VLOOKUP(Tabela1[[#This Row],[MÊS]]&amp;Tabela1[[#This Row],[ID]]&amp;Tabela1[[#This Row],[MATRICULA]]&amp;"Policia 2"&amp;Tabela1[[#This Row],[SETOR]],BD!A:AF,13,0),"")</f>
        <v/>
      </c>
      <c r="CD33" s="135"/>
      <c r="CE33" s="135"/>
      <c r="CF33" s="135" t="str">
        <f>IFERROR((AVERAGE(Tabela1[[#This Row],[DPOL1]:[DPOL4]])),"")</f>
        <v/>
      </c>
      <c r="CG33" s="21" t="str">
        <f>IFERROR(VLOOKUP(Tabela1[[#This Row],[ID]]&amp;Tabela1[[#This Row],[MÊS]]&amp;Tabela1[[#This Row],[MATRICULA]],#REF!,2,0),"")</f>
        <v/>
      </c>
      <c r="CH33" s="21" t="str">
        <f>IFERROR(VLOOKUP(Tabela1[[#This Row],[ID]]&amp;Tabela1[[#This Row],[MÊS]]&amp;Tabela1[[#This Row],[MATRICULA]],#REF!,2,0),"")</f>
        <v/>
      </c>
      <c r="CI33" s="21" t="str">
        <f>IFERROR(VLOOKUP(Tabela1[[#This Row],[MÊS]]&amp;Tabela1[[#This Row],[MATRICULA]],#REF!,2,0),"")</f>
        <v/>
      </c>
    </row>
    <row r="34" spans="1:87">
      <c r="A34" s="12" t="str">
        <f>Tabela1[[#This Row],[MÊS]]&amp;Tabela1[[#This Row],[MATRICULA]]&amp;Tabela1[[#This Row],[ID]]</f>
        <v>JAN1093212</v>
      </c>
      <c r="B34" s="12" t="str">
        <f>Tabela1[[#This Row],[MÊS]]&amp;Tabela1[[#This Row],[ID]]&amp;Tabela1[[#This Row],[MATRICULA]]&amp;Tabela1[[#This Row],[SETOR]]</f>
        <v>JAN1210932DISTRIBUIÇÃO</v>
      </c>
      <c r="C34" s="130" t="e">
        <f>VLOOKUP(Tabela1[[#This Row],[MATRICULA]],'BD Campos'!A:D,5,0)</f>
        <v>#REF!</v>
      </c>
      <c r="D34" s="133" t="str">
        <f ca="1">IFERROR(SUM(TODAY()-Tabela1[[#This Row],[ADMISSÃO]]),"")</f>
        <v/>
      </c>
      <c r="E34" s="11" t="str">
        <f ca="1">IFERROR(TRUNC(Tabela1[[#This Row],[TEMPO DE CASA (DIAS)]]/30),"")</f>
        <v/>
      </c>
      <c r="F34" s="32" t="str">
        <f ca="1">IFERROR(SUM(Tabela1[[#This Row],[TEMPO DE CASA (MESES)]]/12),"")</f>
        <v/>
      </c>
      <c r="G34" s="133" t="str">
        <f ca="1">IF(Tabela1[[#This Row],[TEMPO DE CASA (DIAS)]]="","SEM DADOS",IF(Tabela1[[#This Row],[TEMPO DE CASA (DIAS)]]&gt;180,"&gt; 6 MESES","&lt; 6 MESES"))</f>
        <v>SEM DADOS</v>
      </c>
      <c r="H34" s="12" t="str">
        <f t="shared" si="3"/>
        <v>JANThayssa de Almeida12</v>
      </c>
      <c r="I34" s="12" t="str">
        <f>IFERROR(VLOOKUP(Tabela1[[#This Row],[MATRICULA]],'BD Campos'!A:F,7,0),"")</f>
        <v/>
      </c>
      <c r="J34" s="11">
        <v>12</v>
      </c>
      <c r="K34" s="11" t="s">
        <v>669</v>
      </c>
      <c r="L34" s="136">
        <v>10932</v>
      </c>
      <c r="M34" s="12" t="str">
        <f>IFERROR(VLOOKUP(Tabela1[[#This Row],[MATRICULA]],'BD Campos'!A:B,2,0),"")</f>
        <v>LETICIA GONÇALVES</v>
      </c>
      <c r="N34" s="20">
        <f>IFERROR(AVERAGE(Tabela1[[#This Row],[A1]:[A4]]),"")</f>
        <v>7.7424999999999997</v>
      </c>
      <c r="O34" s="20" t="str">
        <f>IFERROR(IF(Tabela1[[#This Row],[SETOR]]="RECEPTIVO","",AVERAGE(Tabela1[[#This Row],[A5]:[A6]])),"")</f>
        <v/>
      </c>
      <c r="P34" s="20" t="str">
        <f>IFERROR(IF(Tabela1[[#This Row],[STATUS]]="INATIVO","INATIVO",IF(Tabela1[[#This Row],[STATUS]]="QRT","INATIVO",IF(Tabela1[[#This Row],[OPERACIONAL]]&gt;7.99999,"BOM","RUIM"))),"")</f>
        <v>RUIM</v>
      </c>
      <c r="Q34" s="21" t="s">
        <v>667</v>
      </c>
      <c r="R34" s="12" t="s">
        <v>94</v>
      </c>
      <c r="S34" s="12" t="s">
        <v>673</v>
      </c>
      <c r="T34" s="12" t="s">
        <v>94</v>
      </c>
      <c r="U3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4" s="12">
        <f>IF(AND(Tabela1[[#This Row],[SETOR]]="UTI",Tabela1[[#This Row],[M]]&lt;&gt;""),1,IF(AND(Tabela1[[#This Row],[SETOR]]="UTI (RJ)",Tabela1[[#This Row],[M]]&lt;&gt;""),1.5,0))</f>
        <v>0</v>
      </c>
      <c r="X34" s="12">
        <f>IF(AND(Tabela1[[#This Row],[SETOR]]="UTI",Tabela1[[#This Row],[PA2]]&lt;&gt;""),1,IF(AND(Tabela1[[#This Row],[SETOR]]="UTI (RJ)",Tabela1[[#This Row],[PA2]]&lt;&gt;""),0,0))</f>
        <v>0</v>
      </c>
      <c r="Y34" s="12">
        <f>IF(AND(Tabela1[[#This Row],[SETOR]]="UTI",Tabela1[[#This Row],[C]]&lt;&gt;""),1,IF(AND(Tabela1[[#This Row],[SETOR]]="UTI (RJ)",Tabela1[[#This Row],[C]]&lt;&gt;""),1.5,0))</f>
        <v>0</v>
      </c>
      <c r="Z34" s="12">
        <f>IF(AND(Tabela1[[#This Row],[SETOR]]="UTI",Tabela1[[#This Row],[PL]]&lt;&gt;""),1,IF(AND(Tabela1[[#This Row],[SETOR]]="UTI (RJ)",Tabela1[[#This Row],[PL]]&lt;&gt;""),1,0))</f>
        <v>0</v>
      </c>
      <c r="AA34" s="21">
        <f>IFERROR(VLOOKUP(Tabela1[[#This Row],[MÊS]]&amp;Tabela1[[#This Row],[MATRICULA]]&amp;"1"&amp;Tabela1[[#This Row],[SETOR]]&amp;"PADRÃO",BD!B:AF,31,0),"")</f>
        <v>8.6875</v>
      </c>
      <c r="AB34" s="21">
        <f>IFERROR(VLOOKUP(Tabela1[[#This Row],[MÊS]]&amp;Tabela1[[#This Row],[MATRICULA]]&amp;"2"&amp;Tabela1[[#This Row],[SETOR]]&amp;"PADRÃO",BD!B:AF,31,0),"")</f>
        <v>6.7974999999999994</v>
      </c>
      <c r="AC34" s="21" t="str">
        <f>IFERROR(VLOOKUP(Tabela1[[#This Row],[MÊS]]&amp;Tabela1[[#This Row],[MATRICULA]]&amp;"3"&amp;Tabela1[[#This Row],[SETOR]]&amp;"PADRÃO",BD!B:AF,31,0),"")</f>
        <v/>
      </c>
      <c r="AD34" s="21" t="str">
        <f>IFERROR(VLOOKUP(Tabela1[[#This Row],[MÊS]]&amp;Tabela1[[#This Row],[MATRICULA]]&amp;"4"&amp;Tabela1[[#This Row],[SETOR]]&amp;"PADRÃO",BD!B:AF,25,0),"")</f>
        <v/>
      </c>
      <c r="AE34" s="21" t="str">
        <f>IFERROR(VLOOKUP(Tabela1[[#This Row],[MÊS]]&amp;Tabela1[[#This Row],[MATRICULA]]&amp;"5"&amp;Tabela1[[#This Row],[SETOR]]&amp;"PADRÃO",BD!B:AF,31,0),"")</f>
        <v/>
      </c>
      <c r="AF34" s="21" t="str">
        <f>IFERROR(VLOOKUP(Tabela1[[#This Row],[MÊS]]&amp;Tabela1[[#This Row],[MATRICULA]]&amp;"6"&amp;Tabela1[[#This Row],[SETOR]]&amp;"PADRÃO",BD!B:AF,31,0),"")</f>
        <v/>
      </c>
      <c r="AG34" s="21" t="str">
        <f>IFERROR(VLOOKUP(Tabela1[[#This Row],[MÊS]]&amp;Tabela1[[#This Row],[MATRICULA]]&amp;"7"&amp;Tabela1[[#This Row],[SETOR]]&amp;"PADRÃO",BD!B:AF,31,0),"")</f>
        <v/>
      </c>
      <c r="AH34" s="21" t="str">
        <f>IFERROR(VLOOKUP(Tabela1[[#This Row],[MÊS]]&amp;Tabela1[[#This Row],[ID]]&amp;Tabela1[[#This Row],[MATRICULA]]&amp;"Receptiva"&amp;Tabela1[[#This Row],[SETOR]],BD!A:AF,31,0),"")</f>
        <v/>
      </c>
      <c r="AI34" s="21" t="str">
        <f>IFERROR(VLOOKUP(Tabela1[[#This Row],[MÊS]]&amp;Tabela1[[#This Row],[ID]]&amp;Tabela1[[#This Row],[MATRICULA]]&amp;"Receptiva 2"&amp;Tabela1[[#This Row],[SETOR]],BD!A:AF,31,0),"")</f>
        <v/>
      </c>
      <c r="AJ34" s="21" t="str">
        <f>IFERROR(VLOOKUP(Tabela1[[#This Row],[MÊS]]&amp;Tabela1[[#This Row],[ID]]&amp;Tabela1[[#This Row],[MATRICULA]]&amp;"Receptiva 3"&amp;Tabela1[[#This Row],[SETOR]],BD!A:AF,31,0),"")</f>
        <v/>
      </c>
      <c r="AK34" s="21" t="str">
        <f>IFERROR(VLOOKUP(Tabela1[[#This Row],[MÊS]]&amp;Tabela1[[#This Row],[ID]]&amp;Tabela1[[#This Row],[MATRICULA]]&amp;"Receptiva 4"&amp;Tabela1[[#This Row],[SETOR]],BD!A:AF,31,0),"")</f>
        <v/>
      </c>
      <c r="AL34" s="21">
        <f>IFERROR(VLOOKUP(Tabela1[[#This Row],[MÊS]]&amp;Tabela1[[#This Row],[MATRICULA]]&amp;"Motorista"&amp;Tabela1[[#This Row],[SETOR]],BD!A:AF,31,0),"")</f>
        <v>0</v>
      </c>
      <c r="AM34" s="21" t="str">
        <f>IFERROR(VLOOKUP(Tabela1[[#This Row],[MÊS]]&amp;Tabela1[[#This Row],[ID]]&amp;Tabela1[[#This Row],[MATRICULA]]&amp;"Motorista 2"&amp;Tabela1[[#This Row],[SETOR]],BD!A:AF,26,0),"")</f>
        <v/>
      </c>
      <c r="AN34" s="21" t="str">
        <f>IFERROR(VLOOKUP(Tabela1[[#This Row],[MÊS]]&amp;Tabela1[[#This Row],[ID]]&amp;Tabela1[[#This Row],[MATRICULA]]&amp;"Motorista 3"&amp;Tabela1[[#This Row],[SETOR]],BD!A:AF,26,0),"")</f>
        <v/>
      </c>
      <c r="AO34" s="21" t="str">
        <f>IFERROR(VLOOKUP(Tabela1[[#This Row],[MÊS]]&amp;Tabela1[[#This Row],[ID]]&amp;Tabela1[[#This Row],[MATRICULA]]&amp;"Motorista 4"&amp;Tabela1[[#This Row],[SETOR]],BD!A:AF,26,0),"")</f>
        <v/>
      </c>
      <c r="AP34" s="21" t="str">
        <f>IFERROR(VLOOKUP(Tabela1[[#This Row],[MÊS]]&amp;Tabela1[[#This Row],[MATRICULA]]&amp;"Ponto de Apoio"&amp;Tabela1[[#This Row],[SETOR]],BD!A:AF,31,0),"")</f>
        <v/>
      </c>
      <c r="AQ34" s="21" t="str">
        <f>IFERROR(VLOOKUP(Tabela1[[#This Row],[MÊS]]&amp;Tabela1[[#This Row],[ID]]&amp;Tabela1[[#This Row],[MATRICULA]]&amp;"Ponto de Apoio 2"&amp;Tabela1[[#This Row],[SETOR]],BD!A:AF,26,0),"")</f>
        <v/>
      </c>
      <c r="AR34" s="36" t="str">
        <f>IFERROR(VLOOKUP(Tabela1[[#This Row],[MÊS]]&amp;Tabela1[[#This Row],[ID]]&amp;Tabela1[[#This Row],[MATRICULA]]&amp;"Ponto de Apoio 3"&amp;Tabela1[[#This Row],[SETOR]],BD!A:AF,26,0),"")</f>
        <v/>
      </c>
      <c r="AS34" s="36" t="str">
        <f>IFERROR(VLOOKUP(Tabela1[[#This Row],[MÊS]]&amp;Tabela1[[#This Row],[ID]]&amp;Tabela1[[#This Row],[MATRICULA]]&amp;"Ponto de Apoio 4"&amp;Tabela1[[#This Row],[SETOR]],BD!A:AF,26,0),"")</f>
        <v/>
      </c>
      <c r="AT34" s="21" t="str">
        <f>IFERROR(VLOOKUP(Tabela1[[#This Row],[MÊS]]&amp;Tabela1[[#This Row],[MATRICULA]]&amp;"Cliente"&amp;Tabela1[[#This Row],[SETOR]],BD!A:AF,31,0),"")</f>
        <v/>
      </c>
      <c r="AU34" s="21" t="str">
        <f>IFERROR(VLOOKUP(Tabela1[[#This Row],[MÊS]]&amp;Tabela1[[#This Row],[ID]]&amp;Tabela1[[#This Row],[MATRICULA]]&amp;"Cliente 2"&amp;Tabela1[[#This Row],[SETOR]],BD!A:AF,26,0),"")</f>
        <v/>
      </c>
      <c r="AX34" s="21" t="str">
        <f>IFERROR(VLOOKUP(Tabela1[[#This Row],[MÊS]]&amp;Tabela1[[#This Row],[MATRICULA]]&amp;"Policia"&amp;Tabela1[[#This Row],[SETOR]],BD!A:AF,31,0),"")</f>
        <v/>
      </c>
      <c r="AY34" s="21" t="str">
        <f>IFERROR(VLOOKUP(Tabela1[[#This Row],[MÊS]]&amp;Tabela1[[#This Row],[ID]]&amp;Tabela1[[#This Row],[MATRICULA]]&amp;"Policia 2"&amp;Tabela1[[#This Row],[SETOR]],BD!A:AF,26,0),"")</f>
        <v/>
      </c>
      <c r="AZ34" s="36" t="str">
        <f>IFERROR(VLOOKUP(Tabela1[[#This Row],[MÊS]]&amp;Tabela1[[#This Row],[ID]]&amp;Tabela1[[#This Row],[MATRICULA]]&amp;"Policia 3"&amp;Tabela1[[#This Row],[SETOR]],BD!A:AF,26,0),"")</f>
        <v/>
      </c>
      <c r="BA34" s="36" t="str">
        <f>IFERROR(VLOOKUP(Tabela1[[#This Row],[MÊS]]&amp;Tabela1[[#This Row],[ID]]&amp;Tabela1[[#This Row],[MATRICULA]]&amp;"Policia 4"&amp;Tabela1[[#This Row],[SETOR]],BD!A:AF,26,0),"")</f>
        <v/>
      </c>
      <c r="BB3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4" s="21">
        <f>IFERROR(AVERAGE(Tabela1[[#This Row],[M]:[M4]]),"")</f>
        <v>0</v>
      </c>
      <c r="BD34" s="21" t="str">
        <f>IFERROR(AVERAGE(Tabela1[[#This Row],[C]:[C4]]),"")</f>
        <v/>
      </c>
      <c r="BE34" s="21" t="str">
        <f>IFERROR(AVERAGE(Tabela1[[#This Row],[PA2]:[PA 4]]),"")</f>
        <v/>
      </c>
      <c r="BF34" s="21" t="str">
        <f>IFERROR(AVERAGE(Tabela1[[#This Row],[PL]:[PL4]]),"")</f>
        <v/>
      </c>
      <c r="BG34" s="35" t="str">
        <f>IFERROR(VLOOKUP(Tabela1[[#This Row],[MÊS]]&amp;Tabela1[[#This Row],[MATRICULA]],#REF!,2,0),"")</f>
        <v/>
      </c>
      <c r="BH34" s="35" t="str">
        <f>IFERROR(VLOOKUP(Tabela1[[#This Row],[MÊS]]&amp;Tabela1[[#This Row],[MATRICULA]],#REF!,2,0),"")</f>
        <v/>
      </c>
      <c r="BI34" s="35" t="str">
        <f>IFERROR(VLOOKUP(Tabela1[[#This Row],[MÊS]]&amp;Tabela1[[#This Row],[MATRICULA]],#REF!,2,0),"")</f>
        <v/>
      </c>
      <c r="BJ34" s="35" t="str">
        <f>IFERROR(VLOOKUP(Tabela1[[#This Row],[MÊS]]&amp;Tabela1[[#This Row],[MATRICULA]],#REF!,2,0),"")</f>
        <v/>
      </c>
      <c r="BK34" s="35" t="str">
        <f>IFERROR(VLOOKUP(Tabela1[[#This Row],[MÊS]]&amp;Tabela1[[#This Row],[MATRICULA]],#REF!,2,0),"")</f>
        <v/>
      </c>
      <c r="BL34" s="21">
        <f>COUNTIF(Tabela1[[#This Row],[MOT2]:[RECEPTIVA]],"NÃO ENCONTRADA")</f>
        <v>0</v>
      </c>
      <c r="BM34" s="135" t="str">
        <f>IFERROR(VLOOKUP(Tabela1[[#This Row],[MÊS]]&amp;Tabela1[[#This Row],[ID]]&amp;Tabela1[[#This Row],[MATRICULA]]&amp;"Motorista"&amp;Tabela1[[#This Row],[SETOR]],BD!A:AF,13,0),"")</f>
        <v/>
      </c>
      <c r="BN34" s="135" t="str">
        <f>IFERROR(VLOOKUP(Tabela1[[#This Row],[MÊS]]&amp;Tabela1[[#This Row],[ID]]&amp;Tabela1[[#This Row],[MATRICULA]]&amp;"Motorista 2"&amp;Tabela1[[#This Row],[SETOR]],BD!A:AF,13,0),"")</f>
        <v/>
      </c>
      <c r="BO34" s="135" t="str">
        <f>IFERROR(VLOOKUP(Tabela1[[#This Row],[MÊS]]&amp;Tabela1[[#This Row],[ID]]&amp;Tabela1[[#This Row],[MATRICULA]]&amp;"Motorista 3"&amp;Tabela1[[#This Row],[SETOR]],BD!A:AF,13,0),"")</f>
        <v/>
      </c>
      <c r="BP34" s="135" t="str">
        <f>IFERROR(VLOOKUP(Tabela1[[#This Row],[MÊS]]&amp;Tabela1[[#This Row],[ID]]&amp;Tabela1[[#This Row],[MATRICULA]]&amp;"Motorista 4"&amp;Tabela1[[#This Row],[SETOR]],BD!A:AF,13,0),"")</f>
        <v/>
      </c>
      <c r="BQ34" s="135" t="str">
        <f>IFERROR(AVERAGE(Tabela1[[#This Row],[DMOT]:[DMOT4]]),"")</f>
        <v/>
      </c>
      <c r="BR34" s="135" t="str">
        <f>IFERROR(VLOOKUP(Tabela1[[#This Row],[MÊS]]&amp;Tabela1[[#This Row],[ID]]&amp;Tabela1[[#This Row],[MATRICULA]]&amp;"Ponto de Apoio"&amp;Tabela1[[#This Row],[SETOR]],BD!A:AF,13,0),"")</f>
        <v/>
      </c>
      <c r="BS34" s="135" t="str">
        <f>IFERROR(VLOOKUP(Tabela1[[#This Row],[MÊS]]&amp;Tabela1[[#This Row],[ID]]&amp;Tabela1[[#This Row],[MATRICULA]]&amp;"Ponto de Apoio 2"&amp;Tabela1[[#This Row],[SETOR]],BD!A:AF,13,0),"")</f>
        <v/>
      </c>
      <c r="BT34" s="135" t="str">
        <f>IFERROR(VLOOKUP(Tabela1[[#This Row],[MÊS]]&amp;Tabela1[[#This Row],[ID]]&amp;Tabela1[[#This Row],[MATRICULA]]&amp;"Ponto de Apoio 3"&amp;Tabela1[[#This Row],[SETOR]],BD!A:AF,13,0),"")</f>
        <v/>
      </c>
      <c r="BU34" s="135" t="str">
        <f>IFERROR(VLOOKUP(Tabela1[[#This Row],[MÊS]]&amp;Tabela1[[#This Row],[ID]]&amp;Tabela1[[#This Row],[MATRICULA]]&amp;"Ponto de Apoio 4"&amp;Tabela1[[#This Row],[SETOR]],BD!A:AF,13,0),"")</f>
        <v/>
      </c>
      <c r="BV34" s="135" t="str">
        <f>IFERROR(AVERAGE(Tabela1[[#This Row],[DPA]:[DPA 4]]),"")</f>
        <v/>
      </c>
      <c r="BW34" s="135" t="str">
        <f>IFERROR(VLOOKUP(Tabela1[[#This Row],[MÊS]]&amp;Tabela1[[#This Row],[ID]]&amp;Tabela1[[#This Row],[MATRICULA]]&amp;"Cliente"&amp;Tabela1[[#This Row],[SETOR]],BD!A:AF,13,0),"")</f>
        <v/>
      </c>
      <c r="BX34" s="135" t="str">
        <f>IFERROR(VLOOKUP(Tabela1[[#This Row],[MÊS]]&amp;Tabela1[[#This Row],[ID]]&amp;Tabela1[[#This Row],[MATRICULA]]&amp;"cliente 2"&amp;Tabela1[[#This Row],[SETOR]],BD!A:AF,13,0),"")</f>
        <v/>
      </c>
      <c r="BY34" s="135" t="str">
        <f>IFERROR(VLOOKUP(Tabela1[[#This Row],[MÊS]]&amp;Tabela1[[#This Row],[ID]]&amp;Tabela1[[#This Row],[MATRICULA]]&amp;"cliente 3"&amp;Tabela1[[#This Row],[SETOR]],BD!A:AF,13,0),"")</f>
        <v/>
      </c>
      <c r="BZ34" s="135" t="str">
        <f>IFERROR(VLOOKUP(Tabela1[[#This Row],[MÊS]]&amp;Tabela1[[#This Row],[ID]]&amp;Tabela1[[#This Row],[MATRICULA]]&amp;"cliente 4"&amp;Tabela1[[#This Row],[SETOR]],BD!A:AF,13,0),"")</f>
        <v/>
      </c>
      <c r="CA34" s="135" t="str">
        <f>IFERROR(AVERAGE(Tabela1[[#This Row],[DCLI]:[DCLI 4]]),"")</f>
        <v/>
      </c>
      <c r="CB34" s="135" t="str">
        <f>IFERROR(VLOOKUP(Tabela1[[#This Row],[MÊS]]&amp;Tabela1[[#This Row],[ID]]&amp;Tabela1[[#This Row],[MATRICULA]]&amp;"Policia"&amp;Tabela1[[#This Row],[SETOR]],BD!A:AF,13,0),"")</f>
        <v/>
      </c>
      <c r="CC34" s="135" t="str">
        <f>IFERROR(VLOOKUP(Tabela1[[#This Row],[MÊS]]&amp;Tabela1[[#This Row],[ID]]&amp;Tabela1[[#This Row],[MATRICULA]]&amp;"Policia 2"&amp;Tabela1[[#This Row],[SETOR]],BD!A:AF,13,0),"")</f>
        <v/>
      </c>
      <c r="CD34" s="135"/>
      <c r="CE34" s="135"/>
      <c r="CF34" s="135" t="str">
        <f>IFERROR((AVERAGE(Tabela1[[#This Row],[DPOL1]:[DPOL4]])),"")</f>
        <v/>
      </c>
      <c r="CG34" s="21" t="str">
        <f>IFERROR(VLOOKUP(Tabela1[[#This Row],[ID]]&amp;Tabela1[[#This Row],[MÊS]]&amp;Tabela1[[#This Row],[MATRICULA]],#REF!,2,0),"")</f>
        <v/>
      </c>
      <c r="CH34" s="21" t="str">
        <f>IFERROR(VLOOKUP(Tabela1[[#This Row],[ID]]&amp;Tabela1[[#This Row],[MÊS]]&amp;Tabela1[[#This Row],[MATRICULA]],#REF!,2,0),"")</f>
        <v/>
      </c>
      <c r="CI34" s="21" t="str">
        <f>IFERROR(VLOOKUP(Tabela1[[#This Row],[MÊS]]&amp;Tabela1[[#This Row],[MATRICULA]],#REF!,2,0),"")</f>
        <v/>
      </c>
    </row>
    <row r="35" spans="1:87">
      <c r="A35" s="12" t="str">
        <f>Tabela1[[#This Row],[MÊS]]&amp;Tabela1[[#This Row],[MATRICULA]]&amp;Tabela1[[#This Row],[ID]]</f>
        <v>JAN1144813</v>
      </c>
      <c r="B35" s="12" t="str">
        <f>Tabela1[[#This Row],[MÊS]]&amp;Tabela1[[#This Row],[ID]]&amp;Tabela1[[#This Row],[MATRICULA]]&amp;Tabela1[[#This Row],[SETOR]]</f>
        <v>JAN1311448DISTRIBUIÇÃO</v>
      </c>
      <c r="C35" s="130" t="e">
        <f>VLOOKUP(Tabela1[[#This Row],[MATRICULA]],'BD Campos'!A:D,5,0)</f>
        <v>#REF!</v>
      </c>
      <c r="D35" s="133" t="str">
        <f ca="1">IFERROR(SUM(TODAY()-Tabela1[[#This Row],[ADMISSÃO]]),"")</f>
        <v/>
      </c>
      <c r="E35" s="11" t="str">
        <f ca="1">IFERROR(TRUNC(Tabela1[[#This Row],[TEMPO DE CASA (DIAS)]]/30),"")</f>
        <v/>
      </c>
      <c r="F35" s="32" t="str">
        <f ca="1">IFERROR(SUM(Tabela1[[#This Row],[TEMPO DE CASA (MESES)]]/12),"")</f>
        <v/>
      </c>
      <c r="G35" s="133" t="str">
        <f ca="1">IF(Tabela1[[#This Row],[TEMPO DE CASA (DIAS)]]="","SEM DADOS",IF(Tabela1[[#This Row],[TEMPO DE CASA (DIAS)]]&gt;180,"&gt; 6 MESES","&lt; 6 MESES"))</f>
        <v>SEM DADOS</v>
      </c>
      <c r="H35" s="12" t="str">
        <f t="shared" si="3"/>
        <v>JANThayssa de Almeida13</v>
      </c>
      <c r="I35" s="12" t="str">
        <f>IFERROR(VLOOKUP(Tabela1[[#This Row],[MATRICULA]],'BD Campos'!A:F,7,0),"")</f>
        <v/>
      </c>
      <c r="J35" s="11">
        <v>13</v>
      </c>
      <c r="K35" s="11" t="s">
        <v>669</v>
      </c>
      <c r="L35" s="136">
        <v>11448</v>
      </c>
      <c r="M35" s="12" t="str">
        <f>IFERROR(VLOOKUP(Tabela1[[#This Row],[MATRICULA]],'BD Campos'!A:B,2,0),"")</f>
        <v>GABRIEL CARVALHO STRAUSS</v>
      </c>
      <c r="N35" s="20">
        <f>IFERROR(AVERAGE(Tabela1[[#This Row],[A1]:[A4]]),"")</f>
        <v>0</v>
      </c>
      <c r="O35" s="20" t="str">
        <f>IFERROR(IF(Tabela1[[#This Row],[SETOR]]="RECEPTIVO","",AVERAGE(Tabela1[[#This Row],[A5]:[A6]])),"")</f>
        <v/>
      </c>
      <c r="P35" s="20" t="str">
        <f>IFERROR(IF(Tabela1[[#This Row],[STATUS]]="INATIVO","INATIVO",IF(Tabela1[[#This Row],[STATUS]]="QRT","INATIVO",IF(Tabela1[[#This Row],[OPERACIONAL]]&gt;7.99999,"BOM","RUIM"))),"")</f>
        <v>RUIM</v>
      </c>
      <c r="Q35" s="21" t="s">
        <v>667</v>
      </c>
      <c r="R35" s="12" t="s">
        <v>94</v>
      </c>
      <c r="S35" s="12" t="s">
        <v>673</v>
      </c>
      <c r="T35" s="12" t="s">
        <v>94</v>
      </c>
      <c r="U3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5" s="12">
        <f>IF(AND(Tabela1[[#This Row],[SETOR]]="UTI",Tabela1[[#This Row],[M]]&lt;&gt;""),1,IF(AND(Tabela1[[#This Row],[SETOR]]="UTI (RJ)",Tabela1[[#This Row],[M]]&lt;&gt;""),1.5,0))</f>
        <v>0</v>
      </c>
      <c r="X35" s="12">
        <f>IF(AND(Tabela1[[#This Row],[SETOR]]="UTI",Tabela1[[#This Row],[PA2]]&lt;&gt;""),1,IF(AND(Tabela1[[#This Row],[SETOR]]="UTI (RJ)",Tabela1[[#This Row],[PA2]]&lt;&gt;""),0,0))</f>
        <v>0</v>
      </c>
      <c r="Y35" s="12">
        <f>IF(AND(Tabela1[[#This Row],[SETOR]]="UTI",Tabela1[[#This Row],[C]]&lt;&gt;""),1,IF(AND(Tabela1[[#This Row],[SETOR]]="UTI (RJ)",Tabela1[[#This Row],[C]]&lt;&gt;""),1.5,0))</f>
        <v>0</v>
      </c>
      <c r="Z35" s="12">
        <f>IF(AND(Tabela1[[#This Row],[SETOR]]="UTI",Tabela1[[#This Row],[PL]]&lt;&gt;""),1,IF(AND(Tabela1[[#This Row],[SETOR]]="UTI (RJ)",Tabela1[[#This Row],[PL]]&lt;&gt;""),1,0))</f>
        <v>0</v>
      </c>
      <c r="AA35" s="21">
        <f>IFERROR(VLOOKUP(Tabela1[[#This Row],[MÊS]]&amp;Tabela1[[#This Row],[MATRICULA]]&amp;"1"&amp;Tabela1[[#This Row],[SETOR]]&amp;"PADRÃO",BD!B:AF,31,0),"")</f>
        <v>0</v>
      </c>
      <c r="AB35" s="21">
        <f>IFERROR(VLOOKUP(Tabela1[[#This Row],[MÊS]]&amp;Tabela1[[#This Row],[MATRICULA]]&amp;"2"&amp;Tabela1[[#This Row],[SETOR]]&amp;"PADRÃO",BD!B:AF,31,0),"")</f>
        <v>0</v>
      </c>
      <c r="AC35" s="21" t="str">
        <f>IFERROR(VLOOKUP(Tabela1[[#This Row],[MÊS]]&amp;Tabela1[[#This Row],[MATRICULA]]&amp;"3"&amp;Tabela1[[#This Row],[SETOR]]&amp;"PADRÃO",BD!B:AF,31,0),"")</f>
        <v/>
      </c>
      <c r="AD35" s="21" t="str">
        <f>IFERROR(VLOOKUP(Tabela1[[#This Row],[MÊS]]&amp;Tabela1[[#This Row],[MATRICULA]]&amp;"4"&amp;Tabela1[[#This Row],[SETOR]]&amp;"PADRÃO",BD!B:AF,25,0),"")</f>
        <v/>
      </c>
      <c r="AE35" s="21" t="str">
        <f>IFERROR(VLOOKUP(Tabela1[[#This Row],[MÊS]]&amp;Tabela1[[#This Row],[MATRICULA]]&amp;"5"&amp;Tabela1[[#This Row],[SETOR]]&amp;"PADRÃO",BD!B:AF,31,0),"")</f>
        <v/>
      </c>
      <c r="AF35" s="21" t="str">
        <f>IFERROR(VLOOKUP(Tabela1[[#This Row],[MÊS]]&amp;Tabela1[[#This Row],[MATRICULA]]&amp;"6"&amp;Tabela1[[#This Row],[SETOR]]&amp;"PADRÃO",BD!B:AF,31,0),"")</f>
        <v/>
      </c>
      <c r="AG35" s="21" t="str">
        <f>IFERROR(VLOOKUP(Tabela1[[#This Row],[MÊS]]&amp;Tabela1[[#This Row],[MATRICULA]]&amp;"7"&amp;Tabela1[[#This Row],[SETOR]]&amp;"PADRÃO",BD!B:AF,31,0),"")</f>
        <v/>
      </c>
      <c r="AH35" s="21" t="str">
        <f>IFERROR(VLOOKUP(Tabela1[[#This Row],[MÊS]]&amp;Tabela1[[#This Row],[ID]]&amp;Tabela1[[#This Row],[MATRICULA]]&amp;"Receptiva"&amp;Tabela1[[#This Row],[SETOR]],BD!A:AF,31,0),"")</f>
        <v/>
      </c>
      <c r="AI35" s="21" t="str">
        <f>IFERROR(VLOOKUP(Tabela1[[#This Row],[MÊS]]&amp;Tabela1[[#This Row],[ID]]&amp;Tabela1[[#This Row],[MATRICULA]]&amp;"Receptiva 2"&amp;Tabela1[[#This Row],[SETOR]],BD!A:AF,31,0),"")</f>
        <v/>
      </c>
      <c r="AJ35" s="21" t="str">
        <f>IFERROR(VLOOKUP(Tabela1[[#This Row],[MÊS]]&amp;Tabela1[[#This Row],[ID]]&amp;Tabela1[[#This Row],[MATRICULA]]&amp;"Receptiva 3"&amp;Tabela1[[#This Row],[SETOR]],BD!A:AF,31,0),"")</f>
        <v/>
      </c>
      <c r="AK35" s="21" t="str">
        <f>IFERROR(VLOOKUP(Tabela1[[#This Row],[MÊS]]&amp;Tabela1[[#This Row],[ID]]&amp;Tabela1[[#This Row],[MATRICULA]]&amp;"Receptiva 4"&amp;Tabela1[[#This Row],[SETOR]],BD!A:AF,31,0),"")</f>
        <v/>
      </c>
      <c r="AL35" s="21" t="str">
        <f>IFERROR(VLOOKUP(Tabela1[[#This Row],[MÊS]]&amp;Tabela1[[#This Row],[MATRICULA]]&amp;"Motorista"&amp;Tabela1[[#This Row],[SETOR]],BD!A:AF,31,0),"")</f>
        <v/>
      </c>
      <c r="AM35" s="21" t="str">
        <f>IFERROR(VLOOKUP(Tabela1[[#This Row],[MÊS]]&amp;Tabela1[[#This Row],[ID]]&amp;Tabela1[[#This Row],[MATRICULA]]&amp;"Motorista 2"&amp;Tabela1[[#This Row],[SETOR]],BD!A:AF,26,0),"")</f>
        <v/>
      </c>
      <c r="AN35" s="21" t="str">
        <f>IFERROR(VLOOKUP(Tabela1[[#This Row],[MÊS]]&amp;Tabela1[[#This Row],[ID]]&amp;Tabela1[[#This Row],[MATRICULA]]&amp;"Motorista 3"&amp;Tabela1[[#This Row],[SETOR]],BD!A:AF,26,0),"")</f>
        <v/>
      </c>
      <c r="AO35" s="21" t="str">
        <f>IFERROR(VLOOKUP(Tabela1[[#This Row],[MÊS]]&amp;Tabela1[[#This Row],[ID]]&amp;Tabela1[[#This Row],[MATRICULA]]&amp;"Motorista 4"&amp;Tabela1[[#This Row],[SETOR]],BD!A:AF,26,0),"")</f>
        <v/>
      </c>
      <c r="AP35" s="21" t="str">
        <f>IFERROR(VLOOKUP(Tabela1[[#This Row],[MÊS]]&amp;Tabela1[[#This Row],[MATRICULA]]&amp;"Ponto de Apoio"&amp;Tabela1[[#This Row],[SETOR]],BD!A:AF,31,0),"")</f>
        <v/>
      </c>
      <c r="AQ35" s="21" t="str">
        <f>IFERROR(VLOOKUP(Tabela1[[#This Row],[MÊS]]&amp;Tabela1[[#This Row],[ID]]&amp;Tabela1[[#This Row],[MATRICULA]]&amp;"Ponto de Apoio 2"&amp;Tabela1[[#This Row],[SETOR]],BD!A:AF,26,0),"")</f>
        <v/>
      </c>
      <c r="AR35" s="36" t="str">
        <f>IFERROR(VLOOKUP(Tabela1[[#This Row],[MÊS]]&amp;Tabela1[[#This Row],[ID]]&amp;Tabela1[[#This Row],[MATRICULA]]&amp;"Ponto de Apoio 3"&amp;Tabela1[[#This Row],[SETOR]],BD!A:AF,26,0),"")</f>
        <v/>
      </c>
      <c r="AS35" s="36" t="str">
        <f>IFERROR(VLOOKUP(Tabela1[[#This Row],[MÊS]]&amp;Tabela1[[#This Row],[ID]]&amp;Tabela1[[#This Row],[MATRICULA]]&amp;"Ponto de Apoio 4"&amp;Tabela1[[#This Row],[SETOR]],BD!A:AF,26,0),"")</f>
        <v/>
      </c>
      <c r="AT35" s="21" t="str">
        <f>IFERROR(VLOOKUP(Tabela1[[#This Row],[MÊS]]&amp;Tabela1[[#This Row],[MATRICULA]]&amp;"Cliente"&amp;Tabela1[[#This Row],[SETOR]],BD!A:AF,31,0),"")</f>
        <v/>
      </c>
      <c r="AU35" s="21" t="str">
        <f>IFERROR(VLOOKUP(Tabela1[[#This Row],[MÊS]]&amp;Tabela1[[#This Row],[ID]]&amp;Tabela1[[#This Row],[MATRICULA]]&amp;"Cliente 2"&amp;Tabela1[[#This Row],[SETOR]],BD!A:AF,26,0),"")</f>
        <v/>
      </c>
      <c r="AX35" s="21" t="str">
        <f>IFERROR(VLOOKUP(Tabela1[[#This Row],[MÊS]]&amp;Tabela1[[#This Row],[MATRICULA]]&amp;"Policia"&amp;Tabela1[[#This Row],[SETOR]],BD!A:AF,31,0),"")</f>
        <v/>
      </c>
      <c r="AY35" s="21" t="str">
        <f>IFERROR(VLOOKUP(Tabela1[[#This Row],[MÊS]]&amp;Tabela1[[#This Row],[ID]]&amp;Tabela1[[#This Row],[MATRICULA]]&amp;"Policia 2"&amp;Tabela1[[#This Row],[SETOR]],BD!A:AF,26,0),"")</f>
        <v/>
      </c>
      <c r="AZ35" s="36" t="str">
        <f>IFERROR(VLOOKUP(Tabela1[[#This Row],[MÊS]]&amp;Tabela1[[#This Row],[ID]]&amp;Tabela1[[#This Row],[MATRICULA]]&amp;"Policia 3"&amp;Tabela1[[#This Row],[SETOR]],BD!A:AF,26,0),"")</f>
        <v/>
      </c>
      <c r="BA35" s="36" t="str">
        <f>IFERROR(VLOOKUP(Tabela1[[#This Row],[MÊS]]&amp;Tabela1[[#This Row],[ID]]&amp;Tabela1[[#This Row],[MATRICULA]]&amp;"Policia 4"&amp;Tabela1[[#This Row],[SETOR]],BD!A:AF,26,0),"")</f>
        <v/>
      </c>
      <c r="BB3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5" s="21" t="str">
        <f>IFERROR(AVERAGE(Tabela1[[#This Row],[M]:[M4]]),"")</f>
        <v/>
      </c>
      <c r="BD35" s="21" t="str">
        <f>IFERROR(AVERAGE(Tabela1[[#This Row],[C]:[C4]]),"")</f>
        <v/>
      </c>
      <c r="BE35" s="21" t="str">
        <f>IFERROR(AVERAGE(Tabela1[[#This Row],[PA2]:[PA 4]]),"")</f>
        <v/>
      </c>
      <c r="BF35" s="21" t="str">
        <f>IFERROR(AVERAGE(Tabela1[[#This Row],[PL]:[PL4]]),"")</f>
        <v/>
      </c>
      <c r="BG35" s="35" t="str">
        <f>IFERROR(VLOOKUP(Tabela1[[#This Row],[MÊS]]&amp;Tabela1[[#This Row],[MATRICULA]],#REF!,2,0),"")</f>
        <v/>
      </c>
      <c r="BH35" s="35" t="str">
        <f>IFERROR(VLOOKUP(Tabela1[[#This Row],[MÊS]]&amp;Tabela1[[#This Row],[MATRICULA]],#REF!,2,0),"")</f>
        <v/>
      </c>
      <c r="BI35" s="35" t="str">
        <f>IFERROR(VLOOKUP(Tabela1[[#This Row],[MÊS]]&amp;Tabela1[[#This Row],[MATRICULA]],#REF!,2,0),"")</f>
        <v/>
      </c>
      <c r="BJ35" s="35" t="str">
        <f>IFERROR(VLOOKUP(Tabela1[[#This Row],[MÊS]]&amp;Tabela1[[#This Row],[MATRICULA]],#REF!,2,0),"")</f>
        <v/>
      </c>
      <c r="BK35" s="35" t="str">
        <f>IFERROR(VLOOKUP(Tabela1[[#This Row],[MÊS]]&amp;Tabela1[[#This Row],[MATRICULA]],#REF!,2,0),"")</f>
        <v/>
      </c>
      <c r="BL35" s="21">
        <f>COUNTIF(Tabela1[[#This Row],[MOT2]:[RECEPTIVA]],"NÃO ENCONTRADA")</f>
        <v>0</v>
      </c>
      <c r="BM35" s="135" t="str">
        <f>IFERROR(VLOOKUP(Tabela1[[#This Row],[MÊS]]&amp;Tabela1[[#This Row],[ID]]&amp;Tabela1[[#This Row],[MATRICULA]]&amp;"Motorista"&amp;Tabela1[[#This Row],[SETOR]],BD!A:AF,13,0),"")</f>
        <v/>
      </c>
      <c r="BN35" s="135" t="str">
        <f>IFERROR(VLOOKUP(Tabela1[[#This Row],[MÊS]]&amp;Tabela1[[#This Row],[ID]]&amp;Tabela1[[#This Row],[MATRICULA]]&amp;"Motorista 2"&amp;Tabela1[[#This Row],[SETOR]],BD!A:AF,13,0),"")</f>
        <v/>
      </c>
      <c r="BO35" s="135" t="str">
        <f>IFERROR(VLOOKUP(Tabela1[[#This Row],[MÊS]]&amp;Tabela1[[#This Row],[ID]]&amp;Tabela1[[#This Row],[MATRICULA]]&amp;"Motorista 3"&amp;Tabela1[[#This Row],[SETOR]],BD!A:AF,13,0),"")</f>
        <v/>
      </c>
      <c r="BP35" s="135" t="str">
        <f>IFERROR(VLOOKUP(Tabela1[[#This Row],[MÊS]]&amp;Tabela1[[#This Row],[ID]]&amp;Tabela1[[#This Row],[MATRICULA]]&amp;"Motorista 4"&amp;Tabela1[[#This Row],[SETOR]],BD!A:AF,13,0),"")</f>
        <v/>
      </c>
      <c r="BQ35" s="135" t="str">
        <f>IFERROR(AVERAGE(Tabela1[[#This Row],[DMOT]:[DMOT4]]),"")</f>
        <v/>
      </c>
      <c r="BR35" s="135" t="str">
        <f>IFERROR(VLOOKUP(Tabela1[[#This Row],[MÊS]]&amp;Tabela1[[#This Row],[ID]]&amp;Tabela1[[#This Row],[MATRICULA]]&amp;"Ponto de Apoio"&amp;Tabela1[[#This Row],[SETOR]],BD!A:AF,13,0),"")</f>
        <v/>
      </c>
      <c r="BS35" s="135" t="str">
        <f>IFERROR(VLOOKUP(Tabela1[[#This Row],[MÊS]]&amp;Tabela1[[#This Row],[ID]]&amp;Tabela1[[#This Row],[MATRICULA]]&amp;"Ponto de Apoio 2"&amp;Tabela1[[#This Row],[SETOR]],BD!A:AF,13,0),"")</f>
        <v/>
      </c>
      <c r="BT35" s="135" t="str">
        <f>IFERROR(VLOOKUP(Tabela1[[#This Row],[MÊS]]&amp;Tabela1[[#This Row],[ID]]&amp;Tabela1[[#This Row],[MATRICULA]]&amp;"Ponto de Apoio 3"&amp;Tabela1[[#This Row],[SETOR]],BD!A:AF,13,0),"")</f>
        <v/>
      </c>
      <c r="BU35" s="135" t="str">
        <f>IFERROR(VLOOKUP(Tabela1[[#This Row],[MÊS]]&amp;Tabela1[[#This Row],[ID]]&amp;Tabela1[[#This Row],[MATRICULA]]&amp;"Ponto de Apoio 4"&amp;Tabela1[[#This Row],[SETOR]],BD!A:AF,13,0),"")</f>
        <v/>
      </c>
      <c r="BV35" s="135" t="str">
        <f>IFERROR(AVERAGE(Tabela1[[#This Row],[DPA]:[DPA 4]]),"")</f>
        <v/>
      </c>
      <c r="BW35" s="135" t="str">
        <f>IFERROR(VLOOKUP(Tabela1[[#This Row],[MÊS]]&amp;Tabela1[[#This Row],[ID]]&amp;Tabela1[[#This Row],[MATRICULA]]&amp;"Cliente"&amp;Tabela1[[#This Row],[SETOR]],BD!A:AF,13,0),"")</f>
        <v/>
      </c>
      <c r="BX35" s="135" t="str">
        <f>IFERROR(VLOOKUP(Tabela1[[#This Row],[MÊS]]&amp;Tabela1[[#This Row],[ID]]&amp;Tabela1[[#This Row],[MATRICULA]]&amp;"cliente 2"&amp;Tabela1[[#This Row],[SETOR]],BD!A:AF,13,0),"")</f>
        <v/>
      </c>
      <c r="BY35" s="135" t="str">
        <f>IFERROR(VLOOKUP(Tabela1[[#This Row],[MÊS]]&amp;Tabela1[[#This Row],[ID]]&amp;Tabela1[[#This Row],[MATRICULA]]&amp;"cliente 3"&amp;Tabela1[[#This Row],[SETOR]],BD!A:AF,13,0),"")</f>
        <v/>
      </c>
      <c r="BZ35" s="135" t="str">
        <f>IFERROR(VLOOKUP(Tabela1[[#This Row],[MÊS]]&amp;Tabela1[[#This Row],[ID]]&amp;Tabela1[[#This Row],[MATRICULA]]&amp;"cliente 4"&amp;Tabela1[[#This Row],[SETOR]],BD!A:AF,13,0),"")</f>
        <v/>
      </c>
      <c r="CA35" s="135" t="str">
        <f>IFERROR(AVERAGE(Tabela1[[#This Row],[DCLI]:[DCLI 4]]),"")</f>
        <v/>
      </c>
      <c r="CB35" s="135" t="str">
        <f>IFERROR(VLOOKUP(Tabela1[[#This Row],[MÊS]]&amp;Tabela1[[#This Row],[ID]]&amp;Tabela1[[#This Row],[MATRICULA]]&amp;"Policia"&amp;Tabela1[[#This Row],[SETOR]],BD!A:AF,13,0),"")</f>
        <v/>
      </c>
      <c r="CC35" s="135" t="str">
        <f>IFERROR(VLOOKUP(Tabela1[[#This Row],[MÊS]]&amp;Tabela1[[#This Row],[ID]]&amp;Tabela1[[#This Row],[MATRICULA]]&amp;"Policia 2"&amp;Tabela1[[#This Row],[SETOR]],BD!A:AF,13,0),"")</f>
        <v/>
      </c>
      <c r="CD35" s="135"/>
      <c r="CE35" s="135"/>
      <c r="CF35" s="135" t="str">
        <f>IFERROR((AVERAGE(Tabela1[[#This Row],[DPOL1]:[DPOL4]])),"")</f>
        <v/>
      </c>
      <c r="CG35" s="21" t="str">
        <f>IFERROR(VLOOKUP(Tabela1[[#This Row],[ID]]&amp;Tabela1[[#This Row],[MÊS]]&amp;Tabela1[[#This Row],[MATRICULA]],#REF!,2,0),"")</f>
        <v/>
      </c>
      <c r="CH35" s="21" t="str">
        <f>IFERROR(VLOOKUP(Tabela1[[#This Row],[ID]]&amp;Tabela1[[#This Row],[MÊS]]&amp;Tabela1[[#This Row],[MATRICULA]],#REF!,2,0),"")</f>
        <v/>
      </c>
      <c r="CI35" s="21" t="str">
        <f>IFERROR(VLOOKUP(Tabela1[[#This Row],[MÊS]]&amp;Tabela1[[#This Row],[MATRICULA]],#REF!,2,0),"")</f>
        <v/>
      </c>
    </row>
    <row r="36" spans="1:87">
      <c r="A36" s="12" t="str">
        <f>Tabela1[[#This Row],[MÊS]]&amp;Tabela1[[#This Row],[MATRICULA]]&amp;Tabela1[[#This Row],[ID]]</f>
        <v>JAN1152014</v>
      </c>
      <c r="B36" s="12" t="str">
        <f>Tabela1[[#This Row],[MÊS]]&amp;Tabela1[[#This Row],[ID]]&amp;Tabela1[[#This Row],[MATRICULA]]&amp;Tabela1[[#This Row],[SETOR]]</f>
        <v>JAN1411520DISTRIBUIÇÃO</v>
      </c>
      <c r="C36" s="130" t="e">
        <f>VLOOKUP(Tabela1[[#This Row],[MATRICULA]],'BD Campos'!A:D,5,0)</f>
        <v>#REF!</v>
      </c>
      <c r="D36" s="133" t="str">
        <f ca="1">IFERROR(SUM(TODAY()-Tabela1[[#This Row],[ADMISSÃO]]),"")</f>
        <v/>
      </c>
      <c r="E36" s="11" t="str">
        <f ca="1">IFERROR(TRUNC(Tabela1[[#This Row],[TEMPO DE CASA (DIAS)]]/30),"")</f>
        <v/>
      </c>
      <c r="F36" s="32" t="str">
        <f ca="1">IFERROR(SUM(Tabela1[[#This Row],[TEMPO DE CASA (MESES)]]/12),"")</f>
        <v/>
      </c>
      <c r="G36" s="133" t="str">
        <f ca="1">IF(Tabela1[[#This Row],[TEMPO DE CASA (DIAS)]]="","SEM DADOS",IF(Tabela1[[#This Row],[TEMPO DE CASA (DIAS)]]&gt;180,"&gt; 6 MESES","&lt; 6 MESES"))</f>
        <v>SEM DADOS</v>
      </c>
      <c r="H36" s="12" t="str">
        <f t="shared" si="3"/>
        <v>JANThayssa de Almeida14</v>
      </c>
      <c r="I36" s="12" t="str">
        <f>IFERROR(VLOOKUP(Tabela1[[#This Row],[MATRICULA]],'BD Campos'!A:F,7,0),"")</f>
        <v/>
      </c>
      <c r="J36" s="11">
        <v>14</v>
      </c>
      <c r="K36" s="11" t="s">
        <v>669</v>
      </c>
      <c r="L36" s="136">
        <v>11520</v>
      </c>
      <c r="M36" s="12" t="str">
        <f>IFERROR(VLOOKUP(Tabela1[[#This Row],[MATRICULA]],'BD Campos'!A:B,2,0),"")</f>
        <v>JENIFFER  JULIANA DA ROCHA</v>
      </c>
      <c r="N36" s="20">
        <f>IFERROR(AVERAGE(Tabela1[[#This Row],[A1]:[A4]]),"")</f>
        <v>8.2044999999999995</v>
      </c>
      <c r="O36" s="20" t="str">
        <f>IFERROR(IF(Tabela1[[#This Row],[SETOR]]="RECEPTIVO","",AVERAGE(Tabela1[[#This Row],[A5]:[A6]])),"")</f>
        <v/>
      </c>
      <c r="P36" s="20" t="str">
        <f>IFERROR(IF(Tabela1[[#This Row],[STATUS]]="INATIVO","INATIVO",IF(Tabela1[[#This Row],[STATUS]]="QRT","INATIVO",IF(Tabela1[[#This Row],[OPERACIONAL]]&gt;7.99999,"BOM","RUIM"))),"")</f>
        <v>BOM</v>
      </c>
      <c r="Q36" s="21" t="s">
        <v>667</v>
      </c>
      <c r="R36" s="12" t="s">
        <v>94</v>
      </c>
      <c r="S36" s="12" t="s">
        <v>673</v>
      </c>
      <c r="T36" s="12" t="s">
        <v>94</v>
      </c>
      <c r="U3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6" s="12">
        <f>IF(AND(Tabela1[[#This Row],[SETOR]]="UTI",Tabela1[[#This Row],[M]]&lt;&gt;""),1,IF(AND(Tabela1[[#This Row],[SETOR]]="UTI (RJ)",Tabela1[[#This Row],[M]]&lt;&gt;""),1.5,0))</f>
        <v>0</v>
      </c>
      <c r="X36" s="12">
        <f>IF(AND(Tabela1[[#This Row],[SETOR]]="UTI",Tabela1[[#This Row],[PA2]]&lt;&gt;""),1,IF(AND(Tabela1[[#This Row],[SETOR]]="UTI (RJ)",Tabela1[[#This Row],[PA2]]&lt;&gt;""),0,0))</f>
        <v>0</v>
      </c>
      <c r="Y36" s="12">
        <f>IF(AND(Tabela1[[#This Row],[SETOR]]="UTI",Tabela1[[#This Row],[C]]&lt;&gt;""),1,IF(AND(Tabela1[[#This Row],[SETOR]]="UTI (RJ)",Tabela1[[#This Row],[C]]&lt;&gt;""),1.5,0))</f>
        <v>0</v>
      </c>
      <c r="Z36" s="12">
        <f>IF(AND(Tabela1[[#This Row],[SETOR]]="UTI",Tabela1[[#This Row],[PL]]&lt;&gt;""),1,IF(AND(Tabela1[[#This Row],[SETOR]]="UTI (RJ)",Tabela1[[#This Row],[PL]]&lt;&gt;""),1,0))</f>
        <v>0</v>
      </c>
      <c r="AA36" s="21">
        <f>IFERROR(VLOOKUP(Tabela1[[#This Row],[MÊS]]&amp;Tabela1[[#This Row],[MATRICULA]]&amp;"1"&amp;Tabela1[[#This Row],[SETOR]]&amp;"PADRÃO",BD!B:AF,31,0),"")</f>
        <v>6.4089999999999989</v>
      </c>
      <c r="AB36" s="21">
        <f>IFERROR(VLOOKUP(Tabela1[[#This Row],[MÊS]]&amp;Tabela1[[#This Row],[MATRICULA]]&amp;"2"&amp;Tabela1[[#This Row],[SETOR]]&amp;"PADRÃO",BD!B:AF,31,0),"")</f>
        <v>10.000000000000002</v>
      </c>
      <c r="AC36" s="21" t="str">
        <f>IFERROR(VLOOKUP(Tabela1[[#This Row],[MÊS]]&amp;Tabela1[[#This Row],[MATRICULA]]&amp;"3"&amp;Tabela1[[#This Row],[SETOR]]&amp;"PADRÃO",BD!B:AF,31,0),"")</f>
        <v/>
      </c>
      <c r="AD36" s="21" t="str">
        <f>IFERROR(VLOOKUP(Tabela1[[#This Row],[MÊS]]&amp;Tabela1[[#This Row],[MATRICULA]]&amp;"4"&amp;Tabela1[[#This Row],[SETOR]]&amp;"PADRÃO",BD!B:AF,25,0),"")</f>
        <v/>
      </c>
      <c r="AE36" s="21" t="str">
        <f>IFERROR(VLOOKUP(Tabela1[[#This Row],[MÊS]]&amp;Tabela1[[#This Row],[MATRICULA]]&amp;"5"&amp;Tabela1[[#This Row],[SETOR]]&amp;"PADRÃO",BD!B:AF,31,0),"")</f>
        <v/>
      </c>
      <c r="AF36" s="21" t="str">
        <f>IFERROR(VLOOKUP(Tabela1[[#This Row],[MÊS]]&amp;Tabela1[[#This Row],[MATRICULA]]&amp;"6"&amp;Tabela1[[#This Row],[SETOR]]&amp;"PADRÃO",BD!B:AF,31,0),"")</f>
        <v/>
      </c>
      <c r="AG36" s="21" t="str">
        <f>IFERROR(VLOOKUP(Tabela1[[#This Row],[MÊS]]&amp;Tabela1[[#This Row],[MATRICULA]]&amp;"7"&amp;Tabela1[[#This Row],[SETOR]]&amp;"PADRÃO",BD!B:AF,31,0),"")</f>
        <v/>
      </c>
      <c r="AH36" s="21" t="str">
        <f>IFERROR(VLOOKUP(Tabela1[[#This Row],[MÊS]]&amp;Tabela1[[#This Row],[ID]]&amp;Tabela1[[#This Row],[MATRICULA]]&amp;"Receptiva"&amp;Tabela1[[#This Row],[SETOR]],BD!A:AF,31,0),"")</f>
        <v/>
      </c>
      <c r="AI36" s="21" t="str">
        <f>IFERROR(VLOOKUP(Tabela1[[#This Row],[MÊS]]&amp;Tabela1[[#This Row],[ID]]&amp;Tabela1[[#This Row],[MATRICULA]]&amp;"Receptiva 2"&amp;Tabela1[[#This Row],[SETOR]],BD!A:AF,31,0),"")</f>
        <v/>
      </c>
      <c r="AJ36" s="21" t="str">
        <f>IFERROR(VLOOKUP(Tabela1[[#This Row],[MÊS]]&amp;Tabela1[[#This Row],[ID]]&amp;Tabela1[[#This Row],[MATRICULA]]&amp;"Receptiva 3"&amp;Tabela1[[#This Row],[SETOR]],BD!A:AF,31,0),"")</f>
        <v/>
      </c>
      <c r="AK36" s="21" t="str">
        <f>IFERROR(VLOOKUP(Tabela1[[#This Row],[MÊS]]&amp;Tabela1[[#This Row],[ID]]&amp;Tabela1[[#This Row],[MATRICULA]]&amp;"Receptiva 4"&amp;Tabela1[[#This Row],[SETOR]],BD!A:AF,31,0),"")</f>
        <v/>
      </c>
      <c r="AL36" s="21">
        <f>IFERROR(VLOOKUP(Tabela1[[#This Row],[MÊS]]&amp;Tabela1[[#This Row],[MATRICULA]]&amp;"Motorista"&amp;Tabela1[[#This Row],[SETOR]],BD!A:AF,31,0),"")</f>
        <v>0</v>
      </c>
      <c r="AM36" s="21" t="str">
        <f>IFERROR(VLOOKUP(Tabela1[[#This Row],[MÊS]]&amp;Tabela1[[#This Row],[ID]]&amp;Tabela1[[#This Row],[MATRICULA]]&amp;"Motorista 2"&amp;Tabela1[[#This Row],[SETOR]],BD!A:AF,26,0),"")</f>
        <v/>
      </c>
      <c r="AN36" s="21" t="str">
        <f>IFERROR(VLOOKUP(Tabela1[[#This Row],[MÊS]]&amp;Tabela1[[#This Row],[ID]]&amp;Tabela1[[#This Row],[MATRICULA]]&amp;"Motorista 3"&amp;Tabela1[[#This Row],[SETOR]],BD!A:AF,26,0),"")</f>
        <v/>
      </c>
      <c r="AO36" s="21" t="str">
        <f>IFERROR(VLOOKUP(Tabela1[[#This Row],[MÊS]]&amp;Tabela1[[#This Row],[ID]]&amp;Tabela1[[#This Row],[MATRICULA]]&amp;"Motorista 4"&amp;Tabela1[[#This Row],[SETOR]],BD!A:AF,26,0),"")</f>
        <v/>
      </c>
      <c r="AP36" s="21" t="str">
        <f>IFERROR(VLOOKUP(Tabela1[[#This Row],[MÊS]]&amp;Tabela1[[#This Row],[MATRICULA]]&amp;"Ponto de Apoio"&amp;Tabela1[[#This Row],[SETOR]],BD!A:AF,31,0),"")</f>
        <v/>
      </c>
      <c r="AQ36" s="21" t="str">
        <f>IFERROR(VLOOKUP(Tabela1[[#This Row],[MÊS]]&amp;Tabela1[[#This Row],[ID]]&amp;Tabela1[[#This Row],[MATRICULA]]&amp;"Ponto de Apoio 2"&amp;Tabela1[[#This Row],[SETOR]],BD!A:AF,26,0),"")</f>
        <v/>
      </c>
      <c r="AR36" s="36" t="str">
        <f>IFERROR(VLOOKUP(Tabela1[[#This Row],[MÊS]]&amp;Tabela1[[#This Row],[ID]]&amp;Tabela1[[#This Row],[MATRICULA]]&amp;"Ponto de Apoio 3"&amp;Tabela1[[#This Row],[SETOR]],BD!A:AF,26,0),"")</f>
        <v/>
      </c>
      <c r="AS36" s="36" t="str">
        <f>IFERROR(VLOOKUP(Tabela1[[#This Row],[MÊS]]&amp;Tabela1[[#This Row],[ID]]&amp;Tabela1[[#This Row],[MATRICULA]]&amp;"Ponto de Apoio 4"&amp;Tabela1[[#This Row],[SETOR]],BD!A:AF,26,0),"")</f>
        <v/>
      </c>
      <c r="AT36" s="21" t="str">
        <f>IFERROR(VLOOKUP(Tabela1[[#This Row],[MÊS]]&amp;Tabela1[[#This Row],[MATRICULA]]&amp;"Cliente"&amp;Tabela1[[#This Row],[SETOR]],BD!A:AF,31,0),"")</f>
        <v/>
      </c>
      <c r="AU36" s="21" t="str">
        <f>IFERROR(VLOOKUP(Tabela1[[#This Row],[MÊS]]&amp;Tabela1[[#This Row],[ID]]&amp;Tabela1[[#This Row],[MATRICULA]]&amp;"Cliente 2"&amp;Tabela1[[#This Row],[SETOR]],BD!A:AF,26,0),"")</f>
        <v/>
      </c>
      <c r="AX36" s="21" t="str">
        <f>IFERROR(VLOOKUP(Tabela1[[#This Row],[MÊS]]&amp;Tabela1[[#This Row],[MATRICULA]]&amp;"Policia"&amp;Tabela1[[#This Row],[SETOR]],BD!A:AF,31,0),"")</f>
        <v/>
      </c>
      <c r="AY36" s="21" t="str">
        <f>IFERROR(VLOOKUP(Tabela1[[#This Row],[MÊS]]&amp;Tabela1[[#This Row],[ID]]&amp;Tabela1[[#This Row],[MATRICULA]]&amp;"Policia 2"&amp;Tabela1[[#This Row],[SETOR]],BD!A:AF,26,0),"")</f>
        <v/>
      </c>
      <c r="AZ36" s="36" t="str">
        <f>IFERROR(VLOOKUP(Tabela1[[#This Row],[MÊS]]&amp;Tabela1[[#This Row],[ID]]&amp;Tabela1[[#This Row],[MATRICULA]]&amp;"Policia 3"&amp;Tabela1[[#This Row],[SETOR]],BD!A:AF,26,0),"")</f>
        <v/>
      </c>
      <c r="BA36" s="36" t="str">
        <f>IFERROR(VLOOKUP(Tabela1[[#This Row],[MÊS]]&amp;Tabela1[[#This Row],[ID]]&amp;Tabela1[[#This Row],[MATRICULA]]&amp;"Policia 4"&amp;Tabela1[[#This Row],[SETOR]],BD!A:AF,26,0),"")</f>
        <v/>
      </c>
      <c r="BB3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6" s="21">
        <f>IFERROR(AVERAGE(Tabela1[[#This Row],[M]:[M4]]),"")</f>
        <v>0</v>
      </c>
      <c r="BD36" s="21" t="str">
        <f>IFERROR(AVERAGE(Tabela1[[#This Row],[C]:[C4]]),"")</f>
        <v/>
      </c>
      <c r="BE36" s="21" t="str">
        <f>IFERROR(AVERAGE(Tabela1[[#This Row],[PA2]:[PA 4]]),"")</f>
        <v/>
      </c>
      <c r="BF36" s="21" t="str">
        <f>IFERROR(AVERAGE(Tabela1[[#This Row],[PL]:[PL4]]),"")</f>
        <v/>
      </c>
      <c r="BG36" s="35" t="str">
        <f>IFERROR(VLOOKUP(Tabela1[[#This Row],[MÊS]]&amp;Tabela1[[#This Row],[MATRICULA]],#REF!,2,0),"")</f>
        <v/>
      </c>
      <c r="BH36" s="35" t="str">
        <f>IFERROR(VLOOKUP(Tabela1[[#This Row],[MÊS]]&amp;Tabela1[[#This Row],[MATRICULA]],#REF!,2,0),"")</f>
        <v/>
      </c>
      <c r="BI36" s="35" t="str">
        <f>IFERROR(VLOOKUP(Tabela1[[#This Row],[MÊS]]&amp;Tabela1[[#This Row],[MATRICULA]],#REF!,2,0),"")</f>
        <v/>
      </c>
      <c r="BJ36" s="35" t="str">
        <f>IFERROR(VLOOKUP(Tabela1[[#This Row],[MÊS]]&amp;Tabela1[[#This Row],[MATRICULA]],#REF!,2,0),"")</f>
        <v/>
      </c>
      <c r="BK36" s="35" t="str">
        <f>IFERROR(VLOOKUP(Tabela1[[#This Row],[MÊS]]&amp;Tabela1[[#This Row],[MATRICULA]],#REF!,2,0),"")</f>
        <v/>
      </c>
      <c r="BL36" s="21">
        <f>COUNTIF(Tabela1[[#This Row],[MOT2]:[RECEPTIVA]],"NÃO ENCONTRADA")</f>
        <v>0</v>
      </c>
      <c r="BM36" s="135" t="str">
        <f>IFERROR(VLOOKUP(Tabela1[[#This Row],[MÊS]]&amp;Tabela1[[#This Row],[ID]]&amp;Tabela1[[#This Row],[MATRICULA]]&amp;"Motorista"&amp;Tabela1[[#This Row],[SETOR]],BD!A:AF,13,0),"")</f>
        <v/>
      </c>
      <c r="BN36" s="135" t="str">
        <f>IFERROR(VLOOKUP(Tabela1[[#This Row],[MÊS]]&amp;Tabela1[[#This Row],[ID]]&amp;Tabela1[[#This Row],[MATRICULA]]&amp;"Motorista 2"&amp;Tabela1[[#This Row],[SETOR]],BD!A:AF,13,0),"")</f>
        <v/>
      </c>
      <c r="BO36" s="135" t="str">
        <f>IFERROR(VLOOKUP(Tabela1[[#This Row],[MÊS]]&amp;Tabela1[[#This Row],[ID]]&amp;Tabela1[[#This Row],[MATRICULA]]&amp;"Motorista 3"&amp;Tabela1[[#This Row],[SETOR]],BD!A:AF,13,0),"")</f>
        <v/>
      </c>
      <c r="BP36" s="135" t="str">
        <f>IFERROR(VLOOKUP(Tabela1[[#This Row],[MÊS]]&amp;Tabela1[[#This Row],[ID]]&amp;Tabela1[[#This Row],[MATRICULA]]&amp;"Motorista 4"&amp;Tabela1[[#This Row],[SETOR]],BD!A:AF,13,0),"")</f>
        <v/>
      </c>
      <c r="BQ36" s="135" t="str">
        <f>IFERROR(AVERAGE(Tabela1[[#This Row],[DMOT]:[DMOT4]]),"")</f>
        <v/>
      </c>
      <c r="BR36" s="135" t="str">
        <f>IFERROR(VLOOKUP(Tabela1[[#This Row],[MÊS]]&amp;Tabela1[[#This Row],[ID]]&amp;Tabela1[[#This Row],[MATRICULA]]&amp;"Ponto de Apoio"&amp;Tabela1[[#This Row],[SETOR]],BD!A:AF,13,0),"")</f>
        <v/>
      </c>
      <c r="BS36" s="135" t="str">
        <f>IFERROR(VLOOKUP(Tabela1[[#This Row],[MÊS]]&amp;Tabela1[[#This Row],[ID]]&amp;Tabela1[[#This Row],[MATRICULA]]&amp;"Ponto de Apoio 2"&amp;Tabela1[[#This Row],[SETOR]],BD!A:AF,13,0),"")</f>
        <v/>
      </c>
      <c r="BT36" s="135" t="str">
        <f>IFERROR(VLOOKUP(Tabela1[[#This Row],[MÊS]]&amp;Tabela1[[#This Row],[ID]]&amp;Tabela1[[#This Row],[MATRICULA]]&amp;"Ponto de Apoio 3"&amp;Tabela1[[#This Row],[SETOR]],BD!A:AF,13,0),"")</f>
        <v/>
      </c>
      <c r="BU36" s="135" t="str">
        <f>IFERROR(VLOOKUP(Tabela1[[#This Row],[MÊS]]&amp;Tabela1[[#This Row],[ID]]&amp;Tabela1[[#This Row],[MATRICULA]]&amp;"Ponto de Apoio 4"&amp;Tabela1[[#This Row],[SETOR]],BD!A:AF,13,0),"")</f>
        <v/>
      </c>
      <c r="BV36" s="135" t="str">
        <f>IFERROR(AVERAGE(Tabela1[[#This Row],[DPA]:[DPA 4]]),"")</f>
        <v/>
      </c>
      <c r="BW36" s="135" t="str">
        <f>IFERROR(VLOOKUP(Tabela1[[#This Row],[MÊS]]&amp;Tabela1[[#This Row],[ID]]&amp;Tabela1[[#This Row],[MATRICULA]]&amp;"Cliente"&amp;Tabela1[[#This Row],[SETOR]],BD!A:AF,13,0),"")</f>
        <v/>
      </c>
      <c r="BX36" s="135" t="str">
        <f>IFERROR(VLOOKUP(Tabela1[[#This Row],[MÊS]]&amp;Tabela1[[#This Row],[ID]]&amp;Tabela1[[#This Row],[MATRICULA]]&amp;"cliente 2"&amp;Tabela1[[#This Row],[SETOR]],BD!A:AF,13,0),"")</f>
        <v/>
      </c>
      <c r="BY36" s="135" t="str">
        <f>IFERROR(VLOOKUP(Tabela1[[#This Row],[MÊS]]&amp;Tabela1[[#This Row],[ID]]&amp;Tabela1[[#This Row],[MATRICULA]]&amp;"cliente 3"&amp;Tabela1[[#This Row],[SETOR]],BD!A:AF,13,0),"")</f>
        <v/>
      </c>
      <c r="BZ36" s="135" t="str">
        <f>IFERROR(VLOOKUP(Tabela1[[#This Row],[MÊS]]&amp;Tabela1[[#This Row],[ID]]&amp;Tabela1[[#This Row],[MATRICULA]]&amp;"cliente 4"&amp;Tabela1[[#This Row],[SETOR]],BD!A:AF,13,0),"")</f>
        <v/>
      </c>
      <c r="CA36" s="135" t="str">
        <f>IFERROR(AVERAGE(Tabela1[[#This Row],[DCLI]:[DCLI 4]]),"")</f>
        <v/>
      </c>
      <c r="CB36" s="135" t="str">
        <f>IFERROR(VLOOKUP(Tabela1[[#This Row],[MÊS]]&amp;Tabela1[[#This Row],[ID]]&amp;Tabela1[[#This Row],[MATRICULA]]&amp;"Policia"&amp;Tabela1[[#This Row],[SETOR]],BD!A:AF,13,0),"")</f>
        <v/>
      </c>
      <c r="CC36" s="135" t="str">
        <f>IFERROR(VLOOKUP(Tabela1[[#This Row],[MÊS]]&amp;Tabela1[[#This Row],[ID]]&amp;Tabela1[[#This Row],[MATRICULA]]&amp;"Policia 2"&amp;Tabela1[[#This Row],[SETOR]],BD!A:AF,13,0),"")</f>
        <v/>
      </c>
      <c r="CD36" s="135"/>
      <c r="CE36" s="135"/>
      <c r="CF36" s="135" t="str">
        <f>IFERROR((AVERAGE(Tabela1[[#This Row],[DPOL1]:[DPOL4]])),"")</f>
        <v/>
      </c>
      <c r="CG36" s="21" t="str">
        <f>IFERROR(VLOOKUP(Tabela1[[#This Row],[ID]]&amp;Tabela1[[#This Row],[MÊS]]&amp;Tabela1[[#This Row],[MATRICULA]],#REF!,2,0),"")</f>
        <v/>
      </c>
      <c r="CH36" s="21" t="str">
        <f>IFERROR(VLOOKUP(Tabela1[[#This Row],[ID]]&amp;Tabela1[[#This Row],[MÊS]]&amp;Tabela1[[#This Row],[MATRICULA]],#REF!,2,0),"")</f>
        <v/>
      </c>
      <c r="CI36" s="21" t="str">
        <f>IFERROR(VLOOKUP(Tabela1[[#This Row],[MÊS]]&amp;Tabela1[[#This Row],[MATRICULA]],#REF!,2,0),"")</f>
        <v/>
      </c>
    </row>
    <row r="37" spans="1:87">
      <c r="A37" s="12" t="str">
        <f>Tabela1[[#This Row],[MÊS]]&amp;Tabela1[[#This Row],[MATRICULA]]&amp;Tabela1[[#This Row],[ID]]</f>
        <v>JAN113731</v>
      </c>
      <c r="B37" s="12" t="str">
        <f>Tabela1[[#This Row],[MÊS]]&amp;Tabela1[[#This Row],[ID]]&amp;Tabela1[[#This Row],[MATRICULA]]&amp;Tabela1[[#This Row],[SETOR]]</f>
        <v>JAN111373DISTRIBUIÇÃO</v>
      </c>
      <c r="C37" s="130" t="e">
        <f>VLOOKUP(Tabela1[[#This Row],[MATRICULA]],'BD Campos'!A:D,5,0)</f>
        <v>#REF!</v>
      </c>
      <c r="D37" s="133" t="str">
        <f ca="1">IFERROR(SUM(TODAY()-Tabela1[[#This Row],[ADMISSÃO]]),"")</f>
        <v/>
      </c>
      <c r="E37" s="11" t="str">
        <f ca="1">IFERROR(TRUNC(Tabela1[[#This Row],[TEMPO DE CASA (DIAS)]]/30),"")</f>
        <v/>
      </c>
      <c r="F37" s="32" t="str">
        <f ca="1">IFERROR(SUM(Tabela1[[#This Row],[TEMPO DE CASA (MESES)]]/12),"")</f>
        <v/>
      </c>
      <c r="G37" s="133" t="str">
        <f ca="1">IF(Tabela1[[#This Row],[TEMPO DE CASA (DIAS)]]="","SEM DADOS",IF(Tabela1[[#This Row],[TEMPO DE CASA (DIAS)]]&gt;180,"&gt; 6 MESES","&lt; 6 MESES"))</f>
        <v>SEM DADOS</v>
      </c>
      <c r="H37" s="12" t="str">
        <f t="shared" ref="H37:H45" si="4">K37&amp;S37&amp;J37</f>
        <v>JANAmanda Carla1</v>
      </c>
      <c r="I37" s="12" t="str">
        <f>IFERROR(VLOOKUP(Tabela1[[#This Row],[MATRICULA]],'BD Campos'!A:F,7,0),"")</f>
        <v/>
      </c>
      <c r="J37" s="11">
        <v>1</v>
      </c>
      <c r="K37" s="11" t="s">
        <v>669</v>
      </c>
      <c r="L37" s="136">
        <v>11373</v>
      </c>
      <c r="M37" s="12" t="str">
        <f>IFERROR(VLOOKUP(Tabela1[[#This Row],[MATRICULA]],'BD Campos'!A:B,2,0),"")</f>
        <v>TAINARA STEFANI BARBOSA MANUEL</v>
      </c>
      <c r="N37" s="20">
        <f>IFERROR(AVERAGE(Tabela1[[#This Row],[A1]:[A4]]),"")</f>
        <v>8.1362500000000004</v>
      </c>
      <c r="O37" s="20" t="str">
        <f>IFERROR(IF(Tabela1[[#This Row],[SETOR]]="RECEPTIVO","",AVERAGE(Tabela1[[#This Row],[A5]:[A6]])),"")</f>
        <v/>
      </c>
      <c r="P37" s="20" t="str">
        <f>IFERROR(IF(Tabela1[[#This Row],[STATUS]]="INATIVO","INATIVO",IF(Tabela1[[#This Row],[STATUS]]="QRT","INATIVO",IF(Tabela1[[#This Row],[OPERACIONAL]]&gt;7.99999,"BOM","RUIM"))),"")</f>
        <v>BOM</v>
      </c>
      <c r="Q37" s="21" t="s">
        <v>667</v>
      </c>
      <c r="R37" s="12" t="s">
        <v>94</v>
      </c>
      <c r="S37" s="12" t="s">
        <v>674</v>
      </c>
      <c r="T37" s="12" t="s">
        <v>94</v>
      </c>
      <c r="U3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7" s="12">
        <f>IF(AND(Tabela1[[#This Row],[SETOR]]="UTI",Tabela1[[#This Row],[M]]&lt;&gt;""),1,IF(AND(Tabela1[[#This Row],[SETOR]]="UTI (RJ)",Tabela1[[#This Row],[M]]&lt;&gt;""),1.5,0))</f>
        <v>0</v>
      </c>
      <c r="X37" s="12">
        <f>IF(AND(Tabela1[[#This Row],[SETOR]]="UTI",Tabela1[[#This Row],[PA2]]&lt;&gt;""),1,IF(AND(Tabela1[[#This Row],[SETOR]]="UTI (RJ)",Tabela1[[#This Row],[PA2]]&lt;&gt;""),0,0))</f>
        <v>0</v>
      </c>
      <c r="Y37" s="12">
        <f>IF(AND(Tabela1[[#This Row],[SETOR]]="UTI",Tabela1[[#This Row],[C]]&lt;&gt;""),1,IF(AND(Tabela1[[#This Row],[SETOR]]="UTI (RJ)",Tabela1[[#This Row],[C]]&lt;&gt;""),1.5,0))</f>
        <v>0</v>
      </c>
      <c r="Z37" s="12">
        <f>IF(AND(Tabela1[[#This Row],[SETOR]]="UTI",Tabela1[[#This Row],[PL]]&lt;&gt;""),1,IF(AND(Tabela1[[#This Row],[SETOR]]="UTI (RJ)",Tabela1[[#This Row],[PL]]&lt;&gt;""),1,0))</f>
        <v>0</v>
      </c>
      <c r="AA37" s="21">
        <f>IFERROR(VLOOKUP(Tabela1[[#This Row],[MÊS]]&amp;Tabela1[[#This Row],[MATRICULA]]&amp;"1"&amp;Tabela1[[#This Row],[SETOR]]&amp;"PADRÃO",BD!B:AF,31,0),"")</f>
        <v>9.8949999999999996</v>
      </c>
      <c r="AB37" s="21">
        <f>IFERROR(VLOOKUP(Tabela1[[#This Row],[MÊS]]&amp;Tabela1[[#This Row],[MATRICULA]]&amp;"2"&amp;Tabela1[[#This Row],[SETOR]]&amp;"PADRÃO",BD!B:AF,31,0),"")</f>
        <v>6.3774999999999995</v>
      </c>
      <c r="AC37" s="21" t="str">
        <f>IFERROR(VLOOKUP(Tabela1[[#This Row],[MÊS]]&amp;Tabela1[[#This Row],[MATRICULA]]&amp;"3"&amp;Tabela1[[#This Row],[SETOR]]&amp;"PADRÃO",BD!B:AF,31,0),"")</f>
        <v/>
      </c>
      <c r="AD37" s="21" t="str">
        <f>IFERROR(VLOOKUP(Tabela1[[#This Row],[MÊS]]&amp;Tabela1[[#This Row],[MATRICULA]]&amp;"4"&amp;Tabela1[[#This Row],[SETOR]]&amp;"PADRÃO",BD!B:AF,25,0),"")</f>
        <v/>
      </c>
      <c r="AE37" s="21" t="str">
        <f>IFERROR(VLOOKUP(Tabela1[[#This Row],[MÊS]]&amp;Tabela1[[#This Row],[MATRICULA]]&amp;"5"&amp;Tabela1[[#This Row],[SETOR]]&amp;"PADRÃO",BD!B:AF,31,0),"")</f>
        <v/>
      </c>
      <c r="AF37" s="21" t="str">
        <f>IFERROR(VLOOKUP(Tabela1[[#This Row],[MÊS]]&amp;Tabela1[[#This Row],[MATRICULA]]&amp;"6"&amp;Tabela1[[#This Row],[SETOR]]&amp;"PADRÃO",BD!B:AF,31,0),"")</f>
        <v/>
      </c>
      <c r="AG37" s="21" t="str">
        <f>IFERROR(VLOOKUP(Tabela1[[#This Row],[MÊS]]&amp;Tabela1[[#This Row],[MATRICULA]]&amp;"7"&amp;Tabela1[[#This Row],[SETOR]]&amp;"PADRÃO",BD!B:AF,31,0),"")</f>
        <v/>
      </c>
      <c r="AH37" s="21" t="str">
        <f>IFERROR(VLOOKUP(Tabela1[[#This Row],[MÊS]]&amp;Tabela1[[#This Row],[ID]]&amp;Tabela1[[#This Row],[MATRICULA]]&amp;"Receptiva"&amp;Tabela1[[#This Row],[SETOR]],BD!A:AF,31,0),"")</f>
        <v/>
      </c>
      <c r="AI37" s="21" t="str">
        <f>IFERROR(VLOOKUP(Tabela1[[#This Row],[MÊS]]&amp;Tabela1[[#This Row],[ID]]&amp;Tabela1[[#This Row],[MATRICULA]]&amp;"Receptiva 2"&amp;Tabela1[[#This Row],[SETOR]],BD!A:AF,31,0),"")</f>
        <v/>
      </c>
      <c r="AJ37" s="21" t="str">
        <f>IFERROR(VLOOKUP(Tabela1[[#This Row],[MÊS]]&amp;Tabela1[[#This Row],[ID]]&amp;Tabela1[[#This Row],[MATRICULA]]&amp;"Receptiva 3"&amp;Tabela1[[#This Row],[SETOR]],BD!A:AF,31,0),"")</f>
        <v/>
      </c>
      <c r="AK37" s="21" t="str">
        <f>IFERROR(VLOOKUP(Tabela1[[#This Row],[MÊS]]&amp;Tabela1[[#This Row],[ID]]&amp;Tabela1[[#This Row],[MATRICULA]]&amp;"Receptiva 4"&amp;Tabela1[[#This Row],[SETOR]],BD!A:AF,31,0),"")</f>
        <v/>
      </c>
      <c r="AL37" s="21">
        <f>IFERROR(VLOOKUP(Tabela1[[#This Row],[MÊS]]&amp;Tabela1[[#This Row],[MATRICULA]]&amp;"Motorista"&amp;Tabela1[[#This Row],[SETOR]],BD!A:AF,31,0),"")</f>
        <v>0</v>
      </c>
      <c r="AM37" s="21" t="str">
        <f>IFERROR(VLOOKUP(Tabela1[[#This Row],[MÊS]]&amp;Tabela1[[#This Row],[ID]]&amp;Tabela1[[#This Row],[MATRICULA]]&amp;"Motorista 2"&amp;Tabela1[[#This Row],[SETOR]],BD!A:AF,26,0),"")</f>
        <v/>
      </c>
      <c r="AN37" s="21" t="str">
        <f>IFERROR(VLOOKUP(Tabela1[[#This Row],[MÊS]]&amp;Tabela1[[#This Row],[ID]]&amp;Tabela1[[#This Row],[MATRICULA]]&amp;"Motorista 3"&amp;Tabela1[[#This Row],[SETOR]],BD!A:AF,26,0),"")</f>
        <v/>
      </c>
      <c r="AO37" s="21" t="str">
        <f>IFERROR(VLOOKUP(Tabela1[[#This Row],[MÊS]]&amp;Tabela1[[#This Row],[ID]]&amp;Tabela1[[#This Row],[MATRICULA]]&amp;"Motorista 4"&amp;Tabela1[[#This Row],[SETOR]],BD!A:AF,26,0),"")</f>
        <v/>
      </c>
      <c r="AP37" s="21" t="str">
        <f>IFERROR(VLOOKUP(Tabela1[[#This Row],[MÊS]]&amp;Tabela1[[#This Row],[MATRICULA]]&amp;"Ponto de Apoio"&amp;Tabela1[[#This Row],[SETOR]],BD!A:AF,31,0),"")</f>
        <v/>
      </c>
      <c r="AQ37" s="21" t="str">
        <f>IFERROR(VLOOKUP(Tabela1[[#This Row],[MÊS]]&amp;Tabela1[[#This Row],[ID]]&amp;Tabela1[[#This Row],[MATRICULA]]&amp;"Ponto de Apoio 2"&amp;Tabela1[[#This Row],[SETOR]],BD!A:AF,26,0),"")</f>
        <v/>
      </c>
      <c r="AR37" s="36" t="str">
        <f>IFERROR(VLOOKUP(Tabela1[[#This Row],[MÊS]]&amp;Tabela1[[#This Row],[ID]]&amp;Tabela1[[#This Row],[MATRICULA]]&amp;"Ponto de Apoio 3"&amp;Tabela1[[#This Row],[SETOR]],BD!A:AF,26,0),"")</f>
        <v/>
      </c>
      <c r="AS37" s="36" t="str">
        <f>IFERROR(VLOOKUP(Tabela1[[#This Row],[MÊS]]&amp;Tabela1[[#This Row],[ID]]&amp;Tabela1[[#This Row],[MATRICULA]]&amp;"Ponto de Apoio 4"&amp;Tabela1[[#This Row],[SETOR]],BD!A:AF,26,0),"")</f>
        <v/>
      </c>
      <c r="AT37" s="21" t="str">
        <f>IFERROR(VLOOKUP(Tabela1[[#This Row],[MÊS]]&amp;Tabela1[[#This Row],[MATRICULA]]&amp;"Cliente"&amp;Tabela1[[#This Row],[SETOR]],BD!A:AF,31,0),"")</f>
        <v/>
      </c>
      <c r="AU37" s="21" t="str">
        <f>IFERROR(VLOOKUP(Tabela1[[#This Row],[MÊS]]&amp;Tabela1[[#This Row],[ID]]&amp;Tabela1[[#This Row],[MATRICULA]]&amp;"Cliente 2"&amp;Tabela1[[#This Row],[SETOR]],BD!A:AF,26,0),"")</f>
        <v/>
      </c>
      <c r="AX37" s="21" t="str">
        <f>IFERROR(VLOOKUP(Tabela1[[#This Row],[MÊS]]&amp;Tabela1[[#This Row],[MATRICULA]]&amp;"Policia"&amp;Tabela1[[#This Row],[SETOR]],BD!A:AF,31,0),"")</f>
        <v/>
      </c>
      <c r="AY37" s="21" t="str">
        <f>IFERROR(VLOOKUP(Tabela1[[#This Row],[MÊS]]&amp;Tabela1[[#This Row],[ID]]&amp;Tabela1[[#This Row],[MATRICULA]]&amp;"Policia 2"&amp;Tabela1[[#This Row],[SETOR]],BD!A:AF,26,0),"")</f>
        <v/>
      </c>
      <c r="AZ37" s="36" t="str">
        <f>IFERROR(VLOOKUP(Tabela1[[#This Row],[MÊS]]&amp;Tabela1[[#This Row],[ID]]&amp;Tabela1[[#This Row],[MATRICULA]]&amp;"Policia 3"&amp;Tabela1[[#This Row],[SETOR]],BD!A:AF,26,0),"")</f>
        <v/>
      </c>
      <c r="BA37" s="36" t="str">
        <f>IFERROR(VLOOKUP(Tabela1[[#This Row],[MÊS]]&amp;Tabela1[[#This Row],[ID]]&amp;Tabela1[[#This Row],[MATRICULA]]&amp;"Policia 4"&amp;Tabela1[[#This Row],[SETOR]],BD!A:AF,26,0),"")</f>
        <v/>
      </c>
      <c r="BB3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7" s="21">
        <f>IFERROR(AVERAGE(Tabela1[[#This Row],[M]:[M4]]),"")</f>
        <v>0</v>
      </c>
      <c r="BD37" s="21" t="str">
        <f>IFERROR(AVERAGE(Tabela1[[#This Row],[C]:[C4]]),"")</f>
        <v/>
      </c>
      <c r="BE37" s="21" t="str">
        <f>IFERROR(AVERAGE(Tabela1[[#This Row],[PA2]:[PA 4]]),"")</f>
        <v/>
      </c>
      <c r="BF37" s="21" t="str">
        <f>IFERROR(AVERAGE(Tabela1[[#This Row],[PL]:[PL4]]),"")</f>
        <v/>
      </c>
      <c r="BG37" s="35" t="str">
        <f>IFERROR(VLOOKUP(Tabela1[[#This Row],[MÊS]]&amp;Tabela1[[#This Row],[MATRICULA]],#REF!,2,0),"")</f>
        <v/>
      </c>
      <c r="BH37" s="35" t="str">
        <f>IFERROR(VLOOKUP(Tabela1[[#This Row],[MÊS]]&amp;Tabela1[[#This Row],[MATRICULA]],#REF!,2,0),"")</f>
        <v/>
      </c>
      <c r="BI37" s="35" t="str">
        <f>IFERROR(VLOOKUP(Tabela1[[#This Row],[MÊS]]&amp;Tabela1[[#This Row],[MATRICULA]],#REF!,2,0),"")</f>
        <v/>
      </c>
      <c r="BJ37" s="35" t="str">
        <f>IFERROR(VLOOKUP(Tabela1[[#This Row],[MÊS]]&amp;Tabela1[[#This Row],[MATRICULA]],#REF!,2,0),"")</f>
        <v/>
      </c>
      <c r="BK37" s="35" t="str">
        <f>IFERROR(VLOOKUP(Tabela1[[#This Row],[MÊS]]&amp;Tabela1[[#This Row],[MATRICULA]],#REF!,2,0),"")</f>
        <v/>
      </c>
      <c r="BL37" s="21">
        <f>COUNTIF(Tabela1[[#This Row],[MOT2]:[RECEPTIVA]],"NÃO ENCONTRADA")</f>
        <v>0</v>
      </c>
      <c r="BM37" s="135" t="str">
        <f>IFERROR(VLOOKUP(Tabela1[[#This Row],[MÊS]]&amp;Tabela1[[#This Row],[ID]]&amp;Tabela1[[#This Row],[MATRICULA]]&amp;"Motorista"&amp;Tabela1[[#This Row],[SETOR]],BD!A:AF,13,0),"")</f>
        <v/>
      </c>
      <c r="BN37" s="135" t="str">
        <f>IFERROR(VLOOKUP(Tabela1[[#This Row],[MÊS]]&amp;Tabela1[[#This Row],[ID]]&amp;Tabela1[[#This Row],[MATRICULA]]&amp;"Motorista 2"&amp;Tabela1[[#This Row],[SETOR]],BD!A:AF,13,0),"")</f>
        <v/>
      </c>
      <c r="BO37" s="135" t="str">
        <f>IFERROR(VLOOKUP(Tabela1[[#This Row],[MÊS]]&amp;Tabela1[[#This Row],[ID]]&amp;Tabela1[[#This Row],[MATRICULA]]&amp;"Motorista 3"&amp;Tabela1[[#This Row],[SETOR]],BD!A:AF,13,0),"")</f>
        <v/>
      </c>
      <c r="BP37" s="135" t="str">
        <f>IFERROR(VLOOKUP(Tabela1[[#This Row],[MÊS]]&amp;Tabela1[[#This Row],[ID]]&amp;Tabela1[[#This Row],[MATRICULA]]&amp;"Motorista 4"&amp;Tabela1[[#This Row],[SETOR]],BD!A:AF,13,0),"")</f>
        <v/>
      </c>
      <c r="BQ37" s="135" t="str">
        <f>IFERROR(AVERAGE(Tabela1[[#This Row],[DMOT]:[DMOT4]]),"")</f>
        <v/>
      </c>
      <c r="BR37" s="135" t="str">
        <f>IFERROR(VLOOKUP(Tabela1[[#This Row],[MÊS]]&amp;Tabela1[[#This Row],[ID]]&amp;Tabela1[[#This Row],[MATRICULA]]&amp;"Ponto de Apoio"&amp;Tabela1[[#This Row],[SETOR]],BD!A:AF,13,0),"")</f>
        <v/>
      </c>
      <c r="BS37" s="135" t="str">
        <f>IFERROR(VLOOKUP(Tabela1[[#This Row],[MÊS]]&amp;Tabela1[[#This Row],[ID]]&amp;Tabela1[[#This Row],[MATRICULA]]&amp;"Ponto de Apoio 2"&amp;Tabela1[[#This Row],[SETOR]],BD!A:AF,13,0),"")</f>
        <v/>
      </c>
      <c r="BT37" s="135" t="str">
        <f>IFERROR(VLOOKUP(Tabela1[[#This Row],[MÊS]]&amp;Tabela1[[#This Row],[ID]]&amp;Tabela1[[#This Row],[MATRICULA]]&amp;"Ponto de Apoio 3"&amp;Tabela1[[#This Row],[SETOR]],BD!A:AF,13,0),"")</f>
        <v/>
      </c>
      <c r="BU37" s="135" t="str">
        <f>IFERROR(VLOOKUP(Tabela1[[#This Row],[MÊS]]&amp;Tabela1[[#This Row],[ID]]&amp;Tabela1[[#This Row],[MATRICULA]]&amp;"Ponto de Apoio 4"&amp;Tabela1[[#This Row],[SETOR]],BD!A:AF,13,0),"")</f>
        <v/>
      </c>
      <c r="BV37" s="135" t="str">
        <f>IFERROR(AVERAGE(Tabela1[[#This Row],[DPA]:[DPA 4]]),"")</f>
        <v/>
      </c>
      <c r="BW37" s="135" t="str">
        <f>IFERROR(VLOOKUP(Tabela1[[#This Row],[MÊS]]&amp;Tabela1[[#This Row],[ID]]&amp;Tabela1[[#This Row],[MATRICULA]]&amp;"Cliente"&amp;Tabela1[[#This Row],[SETOR]],BD!A:AF,13,0),"")</f>
        <v/>
      </c>
      <c r="BX37" s="135" t="str">
        <f>IFERROR(VLOOKUP(Tabela1[[#This Row],[MÊS]]&amp;Tabela1[[#This Row],[ID]]&amp;Tabela1[[#This Row],[MATRICULA]]&amp;"cliente 2"&amp;Tabela1[[#This Row],[SETOR]],BD!A:AF,13,0),"")</f>
        <v/>
      </c>
      <c r="BY37" s="135" t="str">
        <f>IFERROR(VLOOKUP(Tabela1[[#This Row],[MÊS]]&amp;Tabela1[[#This Row],[ID]]&amp;Tabela1[[#This Row],[MATRICULA]]&amp;"cliente 3"&amp;Tabela1[[#This Row],[SETOR]],BD!A:AF,13,0),"")</f>
        <v/>
      </c>
      <c r="BZ37" s="135" t="str">
        <f>IFERROR(VLOOKUP(Tabela1[[#This Row],[MÊS]]&amp;Tabela1[[#This Row],[ID]]&amp;Tabela1[[#This Row],[MATRICULA]]&amp;"cliente 4"&amp;Tabela1[[#This Row],[SETOR]],BD!A:AF,13,0),"")</f>
        <v/>
      </c>
      <c r="CA37" s="135" t="str">
        <f>IFERROR(AVERAGE(Tabela1[[#This Row],[DCLI]:[DCLI 4]]),"")</f>
        <v/>
      </c>
      <c r="CB37" s="135" t="str">
        <f>IFERROR(VLOOKUP(Tabela1[[#This Row],[MÊS]]&amp;Tabela1[[#This Row],[ID]]&amp;Tabela1[[#This Row],[MATRICULA]]&amp;"Policia"&amp;Tabela1[[#This Row],[SETOR]],BD!A:AF,13,0),"")</f>
        <v/>
      </c>
      <c r="CC37" s="135" t="str">
        <f>IFERROR(VLOOKUP(Tabela1[[#This Row],[MÊS]]&amp;Tabela1[[#This Row],[ID]]&amp;Tabela1[[#This Row],[MATRICULA]]&amp;"Policia 2"&amp;Tabela1[[#This Row],[SETOR]],BD!A:AF,13,0),"")</f>
        <v/>
      </c>
      <c r="CD37" s="135"/>
      <c r="CE37" s="135"/>
      <c r="CF37" s="135" t="str">
        <f>IFERROR((AVERAGE(Tabela1[[#This Row],[DPOL1]:[DPOL4]])),"")</f>
        <v/>
      </c>
      <c r="CG37" s="21" t="str">
        <f>IFERROR(VLOOKUP(Tabela1[[#This Row],[ID]]&amp;Tabela1[[#This Row],[MÊS]]&amp;Tabela1[[#This Row],[MATRICULA]],#REF!,2,0),"")</f>
        <v/>
      </c>
      <c r="CH37" s="21" t="str">
        <f>IFERROR(VLOOKUP(Tabela1[[#This Row],[ID]]&amp;Tabela1[[#This Row],[MÊS]]&amp;Tabela1[[#This Row],[MATRICULA]],#REF!,2,0),"")</f>
        <v/>
      </c>
      <c r="CI37" s="21" t="str">
        <f>IFERROR(VLOOKUP(Tabela1[[#This Row],[MÊS]]&amp;Tabela1[[#This Row],[MATRICULA]],#REF!,2,0),"")</f>
        <v/>
      </c>
    </row>
    <row r="38" spans="1:87">
      <c r="A38" s="12" t="str">
        <f>Tabela1[[#This Row],[MÊS]]&amp;Tabela1[[#This Row],[MATRICULA]]&amp;Tabela1[[#This Row],[ID]]</f>
        <v>JAN109412</v>
      </c>
      <c r="B38" s="12" t="str">
        <f>Tabela1[[#This Row],[MÊS]]&amp;Tabela1[[#This Row],[ID]]&amp;Tabela1[[#This Row],[MATRICULA]]&amp;Tabela1[[#This Row],[SETOR]]</f>
        <v>JAN210941DISTRIBUIÇÃO</v>
      </c>
      <c r="C38" s="130" t="e">
        <f>VLOOKUP(Tabela1[[#This Row],[MATRICULA]],'BD Campos'!A:D,5,0)</f>
        <v>#REF!</v>
      </c>
      <c r="D38" s="133" t="str">
        <f ca="1">IFERROR(SUM(TODAY()-Tabela1[[#This Row],[ADMISSÃO]]),"")</f>
        <v/>
      </c>
      <c r="E38" s="11" t="str">
        <f ca="1">IFERROR(TRUNC(Tabela1[[#This Row],[TEMPO DE CASA (DIAS)]]/30),"")</f>
        <v/>
      </c>
      <c r="F38" s="32" t="str">
        <f ca="1">IFERROR(SUM(Tabela1[[#This Row],[TEMPO DE CASA (MESES)]]/12),"")</f>
        <v/>
      </c>
      <c r="G38" s="133" t="str">
        <f ca="1">IF(Tabela1[[#This Row],[TEMPO DE CASA (DIAS)]]="","SEM DADOS",IF(Tabela1[[#This Row],[TEMPO DE CASA (DIAS)]]&gt;180,"&gt; 6 MESES","&lt; 6 MESES"))</f>
        <v>SEM DADOS</v>
      </c>
      <c r="H38" s="12" t="str">
        <f t="shared" si="4"/>
        <v>JANAmanda Carla2</v>
      </c>
      <c r="I38" s="12" t="str">
        <f>IFERROR(VLOOKUP(Tabela1[[#This Row],[MATRICULA]],'BD Campos'!A:F,7,0),"")</f>
        <v/>
      </c>
      <c r="J38" s="11">
        <v>2</v>
      </c>
      <c r="K38" s="11" t="s">
        <v>669</v>
      </c>
      <c r="L38" s="136">
        <v>10941</v>
      </c>
      <c r="M38" s="12" t="str">
        <f>IFERROR(VLOOKUP(Tabela1[[#This Row],[MATRICULA]],'BD Campos'!A:B,2,0),"")</f>
        <v>THAIS SILVA CARVALHO</v>
      </c>
      <c r="N38" s="20">
        <f>IFERROR(AVERAGE(Tabela1[[#This Row],[A1]:[A4]]),"")</f>
        <v>0</v>
      </c>
      <c r="O38" s="20" t="str">
        <f>IFERROR(IF(Tabela1[[#This Row],[SETOR]]="RECEPTIVO","",AVERAGE(Tabela1[[#This Row],[A5]:[A6]])),"")</f>
        <v/>
      </c>
      <c r="P38" s="20" t="str">
        <f>IFERROR(IF(Tabela1[[#This Row],[STATUS]]="INATIVO","INATIVO",IF(Tabela1[[#This Row],[STATUS]]="QRT","INATIVO",IF(Tabela1[[#This Row],[OPERACIONAL]]&gt;7.99999,"BOM","RUIM"))),"")</f>
        <v>RUIM</v>
      </c>
      <c r="Q38" s="21" t="s">
        <v>667</v>
      </c>
      <c r="R38" s="12" t="s">
        <v>94</v>
      </c>
      <c r="S38" s="12" t="s">
        <v>674</v>
      </c>
      <c r="T38" s="12" t="s">
        <v>94</v>
      </c>
      <c r="U3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8" s="12">
        <f>IF(AND(Tabela1[[#This Row],[SETOR]]="UTI",Tabela1[[#This Row],[M]]&lt;&gt;""),1,IF(AND(Tabela1[[#This Row],[SETOR]]="UTI (RJ)",Tabela1[[#This Row],[M]]&lt;&gt;""),1.5,0))</f>
        <v>0</v>
      </c>
      <c r="X38" s="12">
        <f>IF(AND(Tabela1[[#This Row],[SETOR]]="UTI",Tabela1[[#This Row],[PA2]]&lt;&gt;""),1,IF(AND(Tabela1[[#This Row],[SETOR]]="UTI (RJ)",Tabela1[[#This Row],[PA2]]&lt;&gt;""),0,0))</f>
        <v>0</v>
      </c>
      <c r="Y38" s="12">
        <f>IF(AND(Tabela1[[#This Row],[SETOR]]="UTI",Tabela1[[#This Row],[C]]&lt;&gt;""),1,IF(AND(Tabela1[[#This Row],[SETOR]]="UTI (RJ)",Tabela1[[#This Row],[C]]&lt;&gt;""),1.5,0))</f>
        <v>0</v>
      </c>
      <c r="Z38" s="12">
        <f>IF(AND(Tabela1[[#This Row],[SETOR]]="UTI",Tabela1[[#This Row],[PL]]&lt;&gt;""),1,IF(AND(Tabela1[[#This Row],[SETOR]]="UTI (RJ)",Tabela1[[#This Row],[PL]]&lt;&gt;""),1,0))</f>
        <v>0</v>
      </c>
      <c r="AA38" s="21">
        <f>IFERROR(VLOOKUP(Tabela1[[#This Row],[MÊS]]&amp;Tabela1[[#This Row],[MATRICULA]]&amp;"1"&amp;Tabela1[[#This Row],[SETOR]]&amp;"PADRÃO",BD!B:AF,31,0),"")</f>
        <v>0</v>
      </c>
      <c r="AB38" s="21">
        <f>IFERROR(VLOOKUP(Tabela1[[#This Row],[MÊS]]&amp;Tabela1[[#This Row],[MATRICULA]]&amp;"2"&amp;Tabela1[[#This Row],[SETOR]]&amp;"PADRÃO",BD!B:AF,31,0),"")</f>
        <v>0</v>
      </c>
      <c r="AC38" s="21" t="str">
        <f>IFERROR(VLOOKUP(Tabela1[[#This Row],[MÊS]]&amp;Tabela1[[#This Row],[MATRICULA]]&amp;"3"&amp;Tabela1[[#This Row],[SETOR]]&amp;"PADRÃO",BD!B:AF,31,0),"")</f>
        <v/>
      </c>
      <c r="AD38" s="21" t="str">
        <f>IFERROR(VLOOKUP(Tabela1[[#This Row],[MÊS]]&amp;Tabela1[[#This Row],[MATRICULA]]&amp;"4"&amp;Tabela1[[#This Row],[SETOR]]&amp;"PADRÃO",BD!B:AF,25,0),"")</f>
        <v/>
      </c>
      <c r="AE38" s="21" t="str">
        <f>IFERROR(VLOOKUP(Tabela1[[#This Row],[MÊS]]&amp;Tabela1[[#This Row],[MATRICULA]]&amp;"5"&amp;Tabela1[[#This Row],[SETOR]]&amp;"PADRÃO",BD!B:AF,31,0),"")</f>
        <v/>
      </c>
      <c r="AF38" s="21" t="str">
        <f>IFERROR(VLOOKUP(Tabela1[[#This Row],[MÊS]]&amp;Tabela1[[#This Row],[MATRICULA]]&amp;"6"&amp;Tabela1[[#This Row],[SETOR]]&amp;"PADRÃO",BD!B:AF,31,0),"")</f>
        <v/>
      </c>
      <c r="AG38" s="21" t="str">
        <f>IFERROR(VLOOKUP(Tabela1[[#This Row],[MÊS]]&amp;Tabela1[[#This Row],[MATRICULA]]&amp;"7"&amp;Tabela1[[#This Row],[SETOR]]&amp;"PADRÃO",BD!B:AF,31,0),"")</f>
        <v/>
      </c>
      <c r="AH38" s="21" t="str">
        <f>IFERROR(VLOOKUP(Tabela1[[#This Row],[MÊS]]&amp;Tabela1[[#This Row],[ID]]&amp;Tabela1[[#This Row],[MATRICULA]]&amp;"Receptiva"&amp;Tabela1[[#This Row],[SETOR]],BD!A:AF,31,0),"")</f>
        <v/>
      </c>
      <c r="AI38" s="21" t="str">
        <f>IFERROR(VLOOKUP(Tabela1[[#This Row],[MÊS]]&amp;Tabela1[[#This Row],[ID]]&amp;Tabela1[[#This Row],[MATRICULA]]&amp;"Receptiva 2"&amp;Tabela1[[#This Row],[SETOR]],BD!A:AF,31,0),"")</f>
        <v/>
      </c>
      <c r="AJ38" s="21" t="str">
        <f>IFERROR(VLOOKUP(Tabela1[[#This Row],[MÊS]]&amp;Tabela1[[#This Row],[ID]]&amp;Tabela1[[#This Row],[MATRICULA]]&amp;"Receptiva 3"&amp;Tabela1[[#This Row],[SETOR]],BD!A:AF,31,0),"")</f>
        <v/>
      </c>
      <c r="AK38" s="21" t="str">
        <f>IFERROR(VLOOKUP(Tabela1[[#This Row],[MÊS]]&amp;Tabela1[[#This Row],[ID]]&amp;Tabela1[[#This Row],[MATRICULA]]&amp;"Receptiva 4"&amp;Tabela1[[#This Row],[SETOR]],BD!A:AF,31,0),"")</f>
        <v/>
      </c>
      <c r="AL38" s="21" t="str">
        <f>IFERROR(VLOOKUP(Tabela1[[#This Row],[MÊS]]&amp;Tabela1[[#This Row],[MATRICULA]]&amp;"Motorista"&amp;Tabela1[[#This Row],[SETOR]],BD!A:AF,31,0),"")</f>
        <v/>
      </c>
      <c r="AM38" s="21" t="str">
        <f>IFERROR(VLOOKUP(Tabela1[[#This Row],[MÊS]]&amp;Tabela1[[#This Row],[ID]]&amp;Tabela1[[#This Row],[MATRICULA]]&amp;"Motorista 2"&amp;Tabela1[[#This Row],[SETOR]],BD!A:AF,26,0),"")</f>
        <v/>
      </c>
      <c r="AN38" s="21" t="str">
        <f>IFERROR(VLOOKUP(Tabela1[[#This Row],[MÊS]]&amp;Tabela1[[#This Row],[ID]]&amp;Tabela1[[#This Row],[MATRICULA]]&amp;"Motorista 3"&amp;Tabela1[[#This Row],[SETOR]],BD!A:AF,26,0),"")</f>
        <v/>
      </c>
      <c r="AO38" s="21" t="str">
        <f>IFERROR(VLOOKUP(Tabela1[[#This Row],[MÊS]]&amp;Tabela1[[#This Row],[ID]]&amp;Tabela1[[#This Row],[MATRICULA]]&amp;"Motorista 4"&amp;Tabela1[[#This Row],[SETOR]],BD!A:AF,26,0),"")</f>
        <v/>
      </c>
      <c r="AP38" s="21" t="str">
        <f>IFERROR(VLOOKUP(Tabela1[[#This Row],[MÊS]]&amp;Tabela1[[#This Row],[MATRICULA]]&amp;"Ponto de Apoio"&amp;Tabela1[[#This Row],[SETOR]],BD!A:AF,31,0),"")</f>
        <v/>
      </c>
      <c r="AQ38" s="21" t="str">
        <f>IFERROR(VLOOKUP(Tabela1[[#This Row],[MÊS]]&amp;Tabela1[[#This Row],[ID]]&amp;Tabela1[[#This Row],[MATRICULA]]&amp;"Ponto de Apoio 2"&amp;Tabela1[[#This Row],[SETOR]],BD!A:AF,26,0),"")</f>
        <v/>
      </c>
      <c r="AR38" s="36" t="str">
        <f>IFERROR(VLOOKUP(Tabela1[[#This Row],[MÊS]]&amp;Tabela1[[#This Row],[ID]]&amp;Tabela1[[#This Row],[MATRICULA]]&amp;"Ponto de Apoio 3"&amp;Tabela1[[#This Row],[SETOR]],BD!A:AF,26,0),"")</f>
        <v/>
      </c>
      <c r="AS38" s="36" t="str">
        <f>IFERROR(VLOOKUP(Tabela1[[#This Row],[MÊS]]&amp;Tabela1[[#This Row],[ID]]&amp;Tabela1[[#This Row],[MATRICULA]]&amp;"Ponto de Apoio 4"&amp;Tabela1[[#This Row],[SETOR]],BD!A:AF,26,0),"")</f>
        <v/>
      </c>
      <c r="AT38" s="21" t="str">
        <f>IFERROR(VLOOKUP(Tabela1[[#This Row],[MÊS]]&amp;Tabela1[[#This Row],[MATRICULA]]&amp;"Cliente"&amp;Tabela1[[#This Row],[SETOR]],BD!A:AF,31,0),"")</f>
        <v/>
      </c>
      <c r="AU38" s="21" t="str">
        <f>IFERROR(VLOOKUP(Tabela1[[#This Row],[MÊS]]&amp;Tabela1[[#This Row],[ID]]&amp;Tabela1[[#This Row],[MATRICULA]]&amp;"Cliente 2"&amp;Tabela1[[#This Row],[SETOR]],BD!A:AF,26,0),"")</f>
        <v/>
      </c>
      <c r="AX38" s="21" t="str">
        <f>IFERROR(VLOOKUP(Tabela1[[#This Row],[MÊS]]&amp;Tabela1[[#This Row],[MATRICULA]]&amp;"Policia"&amp;Tabela1[[#This Row],[SETOR]],BD!A:AF,31,0),"")</f>
        <v/>
      </c>
      <c r="AY38" s="21" t="str">
        <f>IFERROR(VLOOKUP(Tabela1[[#This Row],[MÊS]]&amp;Tabela1[[#This Row],[ID]]&amp;Tabela1[[#This Row],[MATRICULA]]&amp;"Policia 2"&amp;Tabela1[[#This Row],[SETOR]],BD!A:AF,26,0),"")</f>
        <v/>
      </c>
      <c r="AZ38" s="36" t="str">
        <f>IFERROR(VLOOKUP(Tabela1[[#This Row],[MÊS]]&amp;Tabela1[[#This Row],[ID]]&amp;Tabela1[[#This Row],[MATRICULA]]&amp;"Policia 3"&amp;Tabela1[[#This Row],[SETOR]],BD!A:AF,26,0),"")</f>
        <v/>
      </c>
      <c r="BA38" s="36" t="str">
        <f>IFERROR(VLOOKUP(Tabela1[[#This Row],[MÊS]]&amp;Tabela1[[#This Row],[ID]]&amp;Tabela1[[#This Row],[MATRICULA]]&amp;"Policia 4"&amp;Tabela1[[#This Row],[SETOR]],BD!A:AF,26,0),"")</f>
        <v/>
      </c>
      <c r="BB3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8" s="21" t="str">
        <f>IFERROR(AVERAGE(Tabela1[[#This Row],[M]:[M4]]),"")</f>
        <v/>
      </c>
      <c r="BD38" s="21" t="str">
        <f>IFERROR(AVERAGE(Tabela1[[#This Row],[C]:[C4]]),"")</f>
        <v/>
      </c>
      <c r="BE38" s="21" t="str">
        <f>IFERROR(AVERAGE(Tabela1[[#This Row],[PA2]:[PA 4]]),"")</f>
        <v/>
      </c>
      <c r="BF38" s="21" t="str">
        <f>IFERROR(AVERAGE(Tabela1[[#This Row],[PL]:[PL4]]),"")</f>
        <v/>
      </c>
      <c r="BG38" s="35" t="str">
        <f>IFERROR(VLOOKUP(Tabela1[[#This Row],[MÊS]]&amp;Tabela1[[#This Row],[MATRICULA]],#REF!,2,0),"")</f>
        <v/>
      </c>
      <c r="BH38" s="35" t="str">
        <f>IFERROR(VLOOKUP(Tabela1[[#This Row],[MÊS]]&amp;Tabela1[[#This Row],[MATRICULA]],#REF!,2,0),"")</f>
        <v/>
      </c>
      <c r="BI38" s="35" t="str">
        <f>IFERROR(VLOOKUP(Tabela1[[#This Row],[MÊS]]&amp;Tabela1[[#This Row],[MATRICULA]],#REF!,2,0),"")</f>
        <v/>
      </c>
      <c r="BJ38" s="35" t="str">
        <f>IFERROR(VLOOKUP(Tabela1[[#This Row],[MÊS]]&amp;Tabela1[[#This Row],[MATRICULA]],#REF!,2,0),"")</f>
        <v/>
      </c>
      <c r="BK38" s="35" t="str">
        <f>IFERROR(VLOOKUP(Tabela1[[#This Row],[MÊS]]&amp;Tabela1[[#This Row],[MATRICULA]],#REF!,2,0),"")</f>
        <v/>
      </c>
      <c r="BL38" s="21">
        <f>COUNTIF(Tabela1[[#This Row],[MOT2]:[RECEPTIVA]],"NÃO ENCONTRADA")</f>
        <v>0</v>
      </c>
      <c r="BM38" s="135" t="str">
        <f>IFERROR(VLOOKUP(Tabela1[[#This Row],[MÊS]]&amp;Tabela1[[#This Row],[ID]]&amp;Tabela1[[#This Row],[MATRICULA]]&amp;"Motorista"&amp;Tabela1[[#This Row],[SETOR]],BD!A:AF,13,0),"")</f>
        <v/>
      </c>
      <c r="BN38" s="135" t="str">
        <f>IFERROR(VLOOKUP(Tabela1[[#This Row],[MÊS]]&amp;Tabela1[[#This Row],[ID]]&amp;Tabela1[[#This Row],[MATRICULA]]&amp;"Motorista 2"&amp;Tabela1[[#This Row],[SETOR]],BD!A:AF,13,0),"")</f>
        <v/>
      </c>
      <c r="BO38" s="135" t="str">
        <f>IFERROR(VLOOKUP(Tabela1[[#This Row],[MÊS]]&amp;Tabela1[[#This Row],[ID]]&amp;Tabela1[[#This Row],[MATRICULA]]&amp;"Motorista 3"&amp;Tabela1[[#This Row],[SETOR]],BD!A:AF,13,0),"")</f>
        <v/>
      </c>
      <c r="BP38" s="135" t="str">
        <f>IFERROR(VLOOKUP(Tabela1[[#This Row],[MÊS]]&amp;Tabela1[[#This Row],[ID]]&amp;Tabela1[[#This Row],[MATRICULA]]&amp;"Motorista 4"&amp;Tabela1[[#This Row],[SETOR]],BD!A:AF,13,0),"")</f>
        <v/>
      </c>
      <c r="BQ38" s="135" t="str">
        <f>IFERROR(AVERAGE(Tabela1[[#This Row],[DMOT]:[DMOT4]]),"")</f>
        <v/>
      </c>
      <c r="BR38" s="135" t="str">
        <f>IFERROR(VLOOKUP(Tabela1[[#This Row],[MÊS]]&amp;Tabela1[[#This Row],[ID]]&amp;Tabela1[[#This Row],[MATRICULA]]&amp;"Ponto de Apoio"&amp;Tabela1[[#This Row],[SETOR]],BD!A:AF,13,0),"")</f>
        <v/>
      </c>
      <c r="BS38" s="135" t="str">
        <f>IFERROR(VLOOKUP(Tabela1[[#This Row],[MÊS]]&amp;Tabela1[[#This Row],[ID]]&amp;Tabela1[[#This Row],[MATRICULA]]&amp;"Ponto de Apoio 2"&amp;Tabela1[[#This Row],[SETOR]],BD!A:AF,13,0),"")</f>
        <v/>
      </c>
      <c r="BT38" s="135" t="str">
        <f>IFERROR(VLOOKUP(Tabela1[[#This Row],[MÊS]]&amp;Tabela1[[#This Row],[ID]]&amp;Tabela1[[#This Row],[MATRICULA]]&amp;"Ponto de Apoio 3"&amp;Tabela1[[#This Row],[SETOR]],BD!A:AF,13,0),"")</f>
        <v/>
      </c>
      <c r="BU38" s="135" t="str">
        <f>IFERROR(VLOOKUP(Tabela1[[#This Row],[MÊS]]&amp;Tabela1[[#This Row],[ID]]&amp;Tabela1[[#This Row],[MATRICULA]]&amp;"Ponto de Apoio 4"&amp;Tabela1[[#This Row],[SETOR]],BD!A:AF,13,0),"")</f>
        <v/>
      </c>
      <c r="BV38" s="135" t="str">
        <f>IFERROR(AVERAGE(Tabela1[[#This Row],[DPA]:[DPA 4]]),"")</f>
        <v/>
      </c>
      <c r="BW38" s="135" t="str">
        <f>IFERROR(VLOOKUP(Tabela1[[#This Row],[MÊS]]&amp;Tabela1[[#This Row],[ID]]&amp;Tabela1[[#This Row],[MATRICULA]]&amp;"Cliente"&amp;Tabela1[[#This Row],[SETOR]],BD!A:AF,13,0),"")</f>
        <v/>
      </c>
      <c r="BX38" s="135" t="str">
        <f>IFERROR(VLOOKUP(Tabela1[[#This Row],[MÊS]]&amp;Tabela1[[#This Row],[ID]]&amp;Tabela1[[#This Row],[MATRICULA]]&amp;"cliente 2"&amp;Tabela1[[#This Row],[SETOR]],BD!A:AF,13,0),"")</f>
        <v/>
      </c>
      <c r="BY38" s="135" t="str">
        <f>IFERROR(VLOOKUP(Tabela1[[#This Row],[MÊS]]&amp;Tabela1[[#This Row],[ID]]&amp;Tabela1[[#This Row],[MATRICULA]]&amp;"cliente 3"&amp;Tabela1[[#This Row],[SETOR]],BD!A:AF,13,0),"")</f>
        <v/>
      </c>
      <c r="BZ38" s="135" t="str">
        <f>IFERROR(VLOOKUP(Tabela1[[#This Row],[MÊS]]&amp;Tabela1[[#This Row],[ID]]&amp;Tabela1[[#This Row],[MATRICULA]]&amp;"cliente 4"&amp;Tabela1[[#This Row],[SETOR]],BD!A:AF,13,0),"")</f>
        <v/>
      </c>
      <c r="CA38" s="135" t="str">
        <f>IFERROR(AVERAGE(Tabela1[[#This Row],[DCLI]:[DCLI 4]]),"")</f>
        <v/>
      </c>
      <c r="CB38" s="135" t="str">
        <f>IFERROR(VLOOKUP(Tabela1[[#This Row],[MÊS]]&amp;Tabela1[[#This Row],[ID]]&amp;Tabela1[[#This Row],[MATRICULA]]&amp;"Policia"&amp;Tabela1[[#This Row],[SETOR]],BD!A:AF,13,0),"")</f>
        <v/>
      </c>
      <c r="CC38" s="135" t="str">
        <f>IFERROR(VLOOKUP(Tabela1[[#This Row],[MÊS]]&amp;Tabela1[[#This Row],[ID]]&amp;Tabela1[[#This Row],[MATRICULA]]&amp;"Policia 2"&amp;Tabela1[[#This Row],[SETOR]],BD!A:AF,13,0),"")</f>
        <v/>
      </c>
      <c r="CD38" s="135"/>
      <c r="CE38" s="135"/>
      <c r="CF38" s="135" t="str">
        <f>IFERROR((AVERAGE(Tabela1[[#This Row],[DPOL1]:[DPOL4]])),"")</f>
        <v/>
      </c>
      <c r="CG38" s="21" t="str">
        <f>IFERROR(VLOOKUP(Tabela1[[#This Row],[ID]]&amp;Tabela1[[#This Row],[MÊS]]&amp;Tabela1[[#This Row],[MATRICULA]],#REF!,2,0),"")</f>
        <v/>
      </c>
      <c r="CH38" s="21" t="str">
        <f>IFERROR(VLOOKUP(Tabela1[[#This Row],[ID]]&amp;Tabela1[[#This Row],[MÊS]]&amp;Tabela1[[#This Row],[MATRICULA]],#REF!,2,0),"")</f>
        <v/>
      </c>
      <c r="CI38" s="21" t="str">
        <f>IFERROR(VLOOKUP(Tabela1[[#This Row],[MÊS]]&amp;Tabela1[[#This Row],[MATRICULA]],#REF!,2,0),"")</f>
        <v/>
      </c>
    </row>
    <row r="39" spans="1:87">
      <c r="A39" s="12" t="str">
        <f>Tabela1[[#This Row],[MÊS]]&amp;Tabela1[[#This Row],[MATRICULA]]&amp;Tabela1[[#This Row],[ID]]</f>
        <v>JAN111123</v>
      </c>
      <c r="B39" s="12" t="str">
        <f>Tabela1[[#This Row],[MÊS]]&amp;Tabela1[[#This Row],[ID]]&amp;Tabela1[[#This Row],[MATRICULA]]&amp;Tabela1[[#This Row],[SETOR]]</f>
        <v>JAN311112DISTRIBUIÇÃO</v>
      </c>
      <c r="C39" s="130" t="e">
        <f>VLOOKUP(Tabela1[[#This Row],[MATRICULA]],'BD Campos'!A:D,5,0)</f>
        <v>#REF!</v>
      </c>
      <c r="D39" s="133" t="str">
        <f ca="1">IFERROR(SUM(TODAY()-Tabela1[[#This Row],[ADMISSÃO]]),"")</f>
        <v/>
      </c>
      <c r="E39" s="11" t="str">
        <f ca="1">IFERROR(TRUNC(Tabela1[[#This Row],[TEMPO DE CASA (DIAS)]]/30),"")</f>
        <v/>
      </c>
      <c r="F39" s="32" t="str">
        <f ca="1">IFERROR(SUM(Tabela1[[#This Row],[TEMPO DE CASA (MESES)]]/12),"")</f>
        <v/>
      </c>
      <c r="G39" s="133" t="str">
        <f ca="1">IF(Tabela1[[#This Row],[TEMPO DE CASA (DIAS)]]="","SEM DADOS",IF(Tabela1[[#This Row],[TEMPO DE CASA (DIAS)]]&gt;180,"&gt; 6 MESES","&lt; 6 MESES"))</f>
        <v>SEM DADOS</v>
      </c>
      <c r="H39" s="12" t="str">
        <f t="shared" si="4"/>
        <v>JANAmanda Carla3</v>
      </c>
      <c r="I39" s="12" t="str">
        <f>IFERROR(VLOOKUP(Tabela1[[#This Row],[MATRICULA]],'BD Campos'!A:F,7,0),"")</f>
        <v/>
      </c>
      <c r="J39" s="11">
        <v>3</v>
      </c>
      <c r="K39" s="11" t="s">
        <v>669</v>
      </c>
      <c r="L39" s="136">
        <v>11112</v>
      </c>
      <c r="M39" s="12" t="str">
        <f>IFERROR(VLOOKUP(Tabela1[[#This Row],[MATRICULA]],'BD Campos'!A:B,2,0),"")</f>
        <v>THAISA MACHADO COELHO</v>
      </c>
      <c r="N39" s="20">
        <f>IFERROR(AVERAGE(Tabela1[[#This Row],[A1]:[A4]]),"")</f>
        <v>7.6899999999999995</v>
      </c>
      <c r="O39" s="20" t="str">
        <f>IFERROR(IF(Tabela1[[#This Row],[SETOR]]="RECEPTIVO","",AVERAGE(Tabela1[[#This Row],[A5]:[A6]])),"")</f>
        <v/>
      </c>
      <c r="P39" s="20" t="str">
        <f>IFERROR(IF(Tabela1[[#This Row],[STATUS]]="INATIVO","INATIVO",IF(Tabela1[[#This Row],[STATUS]]="QRT","INATIVO",IF(Tabela1[[#This Row],[OPERACIONAL]]&gt;7.99999,"BOM","RUIM"))),"")</f>
        <v>RUIM</v>
      </c>
      <c r="Q39" s="21" t="s">
        <v>667</v>
      </c>
      <c r="R39" s="12" t="s">
        <v>94</v>
      </c>
      <c r="S39" s="12" t="s">
        <v>674</v>
      </c>
      <c r="T39" s="12" t="s">
        <v>94</v>
      </c>
      <c r="U3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3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39" s="12">
        <f>IF(AND(Tabela1[[#This Row],[SETOR]]="UTI",Tabela1[[#This Row],[M]]&lt;&gt;""),1,IF(AND(Tabela1[[#This Row],[SETOR]]="UTI (RJ)",Tabela1[[#This Row],[M]]&lt;&gt;""),1.5,0))</f>
        <v>0</v>
      </c>
      <c r="X39" s="12">
        <f>IF(AND(Tabela1[[#This Row],[SETOR]]="UTI",Tabela1[[#This Row],[PA2]]&lt;&gt;""),1,IF(AND(Tabela1[[#This Row],[SETOR]]="UTI (RJ)",Tabela1[[#This Row],[PA2]]&lt;&gt;""),0,0))</f>
        <v>0</v>
      </c>
      <c r="Y39" s="12">
        <f>IF(AND(Tabela1[[#This Row],[SETOR]]="UTI",Tabela1[[#This Row],[C]]&lt;&gt;""),1,IF(AND(Tabela1[[#This Row],[SETOR]]="UTI (RJ)",Tabela1[[#This Row],[C]]&lt;&gt;""),1.5,0))</f>
        <v>0</v>
      </c>
      <c r="Z39" s="12">
        <f>IF(AND(Tabela1[[#This Row],[SETOR]]="UTI",Tabela1[[#This Row],[PL]]&lt;&gt;""),1,IF(AND(Tabela1[[#This Row],[SETOR]]="UTI (RJ)",Tabela1[[#This Row],[PL]]&lt;&gt;""),1,0))</f>
        <v>0</v>
      </c>
      <c r="AA39" s="21">
        <f>IFERROR(VLOOKUP(Tabela1[[#This Row],[MÊS]]&amp;Tabela1[[#This Row],[MATRICULA]]&amp;"1"&amp;Tabela1[[#This Row],[SETOR]]&amp;"PADRÃO",BD!B:AF,31,0),"")</f>
        <v>7.5849999999999991</v>
      </c>
      <c r="AB39" s="21">
        <f>IFERROR(VLOOKUP(Tabela1[[#This Row],[MÊS]]&amp;Tabela1[[#This Row],[MATRICULA]]&amp;"2"&amp;Tabela1[[#This Row],[SETOR]]&amp;"PADRÃO",BD!B:AF,31,0),"")</f>
        <v>7.794999999999999</v>
      </c>
      <c r="AC39" s="21" t="str">
        <f>IFERROR(VLOOKUP(Tabela1[[#This Row],[MÊS]]&amp;Tabela1[[#This Row],[MATRICULA]]&amp;"3"&amp;Tabela1[[#This Row],[SETOR]]&amp;"PADRÃO",BD!B:AF,31,0),"")</f>
        <v/>
      </c>
      <c r="AD39" s="21" t="str">
        <f>IFERROR(VLOOKUP(Tabela1[[#This Row],[MÊS]]&amp;Tabela1[[#This Row],[MATRICULA]]&amp;"4"&amp;Tabela1[[#This Row],[SETOR]]&amp;"PADRÃO",BD!B:AF,25,0),"")</f>
        <v/>
      </c>
      <c r="AE39" s="21" t="str">
        <f>IFERROR(VLOOKUP(Tabela1[[#This Row],[MÊS]]&amp;Tabela1[[#This Row],[MATRICULA]]&amp;"5"&amp;Tabela1[[#This Row],[SETOR]]&amp;"PADRÃO",BD!B:AF,31,0),"")</f>
        <v/>
      </c>
      <c r="AF39" s="21" t="str">
        <f>IFERROR(VLOOKUP(Tabela1[[#This Row],[MÊS]]&amp;Tabela1[[#This Row],[MATRICULA]]&amp;"6"&amp;Tabela1[[#This Row],[SETOR]]&amp;"PADRÃO",BD!B:AF,31,0),"")</f>
        <v/>
      </c>
      <c r="AG39" s="21" t="str">
        <f>IFERROR(VLOOKUP(Tabela1[[#This Row],[MÊS]]&amp;Tabela1[[#This Row],[MATRICULA]]&amp;"7"&amp;Tabela1[[#This Row],[SETOR]]&amp;"PADRÃO",BD!B:AF,31,0),"")</f>
        <v/>
      </c>
      <c r="AH39" s="21" t="str">
        <f>IFERROR(VLOOKUP(Tabela1[[#This Row],[MÊS]]&amp;Tabela1[[#This Row],[ID]]&amp;Tabela1[[#This Row],[MATRICULA]]&amp;"Receptiva"&amp;Tabela1[[#This Row],[SETOR]],BD!A:AF,31,0),"")</f>
        <v/>
      </c>
      <c r="AI39" s="21" t="str">
        <f>IFERROR(VLOOKUP(Tabela1[[#This Row],[MÊS]]&amp;Tabela1[[#This Row],[ID]]&amp;Tabela1[[#This Row],[MATRICULA]]&amp;"Receptiva 2"&amp;Tabela1[[#This Row],[SETOR]],BD!A:AF,31,0),"")</f>
        <v/>
      </c>
      <c r="AJ39" s="21" t="str">
        <f>IFERROR(VLOOKUP(Tabela1[[#This Row],[MÊS]]&amp;Tabela1[[#This Row],[ID]]&amp;Tabela1[[#This Row],[MATRICULA]]&amp;"Receptiva 3"&amp;Tabela1[[#This Row],[SETOR]],BD!A:AF,31,0),"")</f>
        <v/>
      </c>
      <c r="AK39" s="21" t="str">
        <f>IFERROR(VLOOKUP(Tabela1[[#This Row],[MÊS]]&amp;Tabela1[[#This Row],[ID]]&amp;Tabela1[[#This Row],[MATRICULA]]&amp;"Receptiva 4"&amp;Tabela1[[#This Row],[SETOR]],BD!A:AF,31,0),"")</f>
        <v/>
      </c>
      <c r="AL39" s="21">
        <f>IFERROR(VLOOKUP(Tabela1[[#This Row],[MÊS]]&amp;Tabela1[[#This Row],[MATRICULA]]&amp;"Motorista"&amp;Tabela1[[#This Row],[SETOR]],BD!A:AF,31,0),"")</f>
        <v>0</v>
      </c>
      <c r="AM39" s="21" t="str">
        <f>IFERROR(VLOOKUP(Tabela1[[#This Row],[MÊS]]&amp;Tabela1[[#This Row],[ID]]&amp;Tabela1[[#This Row],[MATRICULA]]&amp;"Motorista 2"&amp;Tabela1[[#This Row],[SETOR]],BD!A:AF,26,0),"")</f>
        <v/>
      </c>
      <c r="AN39" s="21" t="str">
        <f>IFERROR(VLOOKUP(Tabela1[[#This Row],[MÊS]]&amp;Tabela1[[#This Row],[ID]]&amp;Tabela1[[#This Row],[MATRICULA]]&amp;"Motorista 3"&amp;Tabela1[[#This Row],[SETOR]],BD!A:AF,26,0),"")</f>
        <v/>
      </c>
      <c r="AO39" s="21" t="str">
        <f>IFERROR(VLOOKUP(Tabela1[[#This Row],[MÊS]]&amp;Tabela1[[#This Row],[ID]]&amp;Tabela1[[#This Row],[MATRICULA]]&amp;"Motorista 4"&amp;Tabela1[[#This Row],[SETOR]],BD!A:AF,26,0),"")</f>
        <v/>
      </c>
      <c r="AP39" s="21" t="str">
        <f>IFERROR(VLOOKUP(Tabela1[[#This Row],[MÊS]]&amp;Tabela1[[#This Row],[MATRICULA]]&amp;"Ponto de Apoio"&amp;Tabela1[[#This Row],[SETOR]],BD!A:AF,31,0),"")</f>
        <v/>
      </c>
      <c r="AQ39" s="21" t="str">
        <f>IFERROR(VLOOKUP(Tabela1[[#This Row],[MÊS]]&amp;Tabela1[[#This Row],[ID]]&amp;Tabela1[[#This Row],[MATRICULA]]&amp;"Ponto de Apoio 2"&amp;Tabela1[[#This Row],[SETOR]],BD!A:AF,26,0),"")</f>
        <v/>
      </c>
      <c r="AR39" s="36" t="str">
        <f>IFERROR(VLOOKUP(Tabela1[[#This Row],[MÊS]]&amp;Tabela1[[#This Row],[ID]]&amp;Tabela1[[#This Row],[MATRICULA]]&amp;"Ponto de Apoio 3"&amp;Tabela1[[#This Row],[SETOR]],BD!A:AF,26,0),"")</f>
        <v/>
      </c>
      <c r="AS39" s="36" t="str">
        <f>IFERROR(VLOOKUP(Tabela1[[#This Row],[MÊS]]&amp;Tabela1[[#This Row],[ID]]&amp;Tabela1[[#This Row],[MATRICULA]]&amp;"Ponto de Apoio 4"&amp;Tabela1[[#This Row],[SETOR]],BD!A:AF,26,0),"")</f>
        <v/>
      </c>
      <c r="AT39" s="21" t="str">
        <f>IFERROR(VLOOKUP(Tabela1[[#This Row],[MÊS]]&amp;Tabela1[[#This Row],[MATRICULA]]&amp;"Cliente"&amp;Tabela1[[#This Row],[SETOR]],BD!A:AF,31,0),"")</f>
        <v/>
      </c>
      <c r="AU39" s="21" t="str">
        <f>IFERROR(VLOOKUP(Tabela1[[#This Row],[MÊS]]&amp;Tabela1[[#This Row],[ID]]&amp;Tabela1[[#This Row],[MATRICULA]]&amp;"Cliente 2"&amp;Tabela1[[#This Row],[SETOR]],BD!A:AF,26,0),"")</f>
        <v/>
      </c>
      <c r="AX39" s="21" t="str">
        <f>IFERROR(VLOOKUP(Tabela1[[#This Row],[MÊS]]&amp;Tabela1[[#This Row],[MATRICULA]]&amp;"Policia"&amp;Tabela1[[#This Row],[SETOR]],BD!A:AF,31,0),"")</f>
        <v/>
      </c>
      <c r="AY39" s="21" t="str">
        <f>IFERROR(VLOOKUP(Tabela1[[#This Row],[MÊS]]&amp;Tabela1[[#This Row],[ID]]&amp;Tabela1[[#This Row],[MATRICULA]]&amp;"Policia 2"&amp;Tabela1[[#This Row],[SETOR]],BD!A:AF,26,0),"")</f>
        <v/>
      </c>
      <c r="AZ39" s="36" t="str">
        <f>IFERROR(VLOOKUP(Tabela1[[#This Row],[MÊS]]&amp;Tabela1[[#This Row],[ID]]&amp;Tabela1[[#This Row],[MATRICULA]]&amp;"Policia 3"&amp;Tabela1[[#This Row],[SETOR]],BD!A:AF,26,0),"")</f>
        <v/>
      </c>
      <c r="BA39" s="36" t="str">
        <f>IFERROR(VLOOKUP(Tabela1[[#This Row],[MÊS]]&amp;Tabela1[[#This Row],[ID]]&amp;Tabela1[[#This Row],[MATRICULA]]&amp;"Policia 4"&amp;Tabela1[[#This Row],[SETOR]],BD!A:AF,26,0),"")</f>
        <v/>
      </c>
      <c r="BB3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39" s="21">
        <f>IFERROR(AVERAGE(Tabela1[[#This Row],[M]:[M4]]),"")</f>
        <v>0</v>
      </c>
      <c r="BD39" s="21" t="str">
        <f>IFERROR(AVERAGE(Tabela1[[#This Row],[C]:[C4]]),"")</f>
        <v/>
      </c>
      <c r="BE39" s="21" t="str">
        <f>IFERROR(AVERAGE(Tabela1[[#This Row],[PA2]:[PA 4]]),"")</f>
        <v/>
      </c>
      <c r="BF39" s="21" t="str">
        <f>IFERROR(AVERAGE(Tabela1[[#This Row],[PL]:[PL4]]),"")</f>
        <v/>
      </c>
      <c r="BG39" s="35" t="str">
        <f>IFERROR(VLOOKUP(Tabela1[[#This Row],[MÊS]]&amp;Tabela1[[#This Row],[MATRICULA]],#REF!,2,0),"")</f>
        <v/>
      </c>
      <c r="BH39" s="35" t="str">
        <f>IFERROR(VLOOKUP(Tabela1[[#This Row],[MÊS]]&amp;Tabela1[[#This Row],[MATRICULA]],#REF!,2,0),"")</f>
        <v/>
      </c>
      <c r="BI39" s="35" t="str">
        <f>IFERROR(VLOOKUP(Tabela1[[#This Row],[MÊS]]&amp;Tabela1[[#This Row],[MATRICULA]],#REF!,2,0),"")</f>
        <v/>
      </c>
      <c r="BJ39" s="35" t="str">
        <f>IFERROR(VLOOKUP(Tabela1[[#This Row],[MÊS]]&amp;Tabela1[[#This Row],[MATRICULA]],#REF!,2,0),"")</f>
        <v/>
      </c>
      <c r="BK39" s="35" t="str">
        <f>IFERROR(VLOOKUP(Tabela1[[#This Row],[MÊS]]&amp;Tabela1[[#This Row],[MATRICULA]],#REF!,2,0),"")</f>
        <v/>
      </c>
      <c r="BL39" s="21">
        <f>COUNTIF(Tabela1[[#This Row],[MOT2]:[RECEPTIVA]],"NÃO ENCONTRADA")</f>
        <v>0</v>
      </c>
      <c r="BM39" s="135" t="str">
        <f>IFERROR(VLOOKUP(Tabela1[[#This Row],[MÊS]]&amp;Tabela1[[#This Row],[ID]]&amp;Tabela1[[#This Row],[MATRICULA]]&amp;"Motorista"&amp;Tabela1[[#This Row],[SETOR]],BD!A:AF,13,0),"")</f>
        <v/>
      </c>
      <c r="BN39" s="135" t="str">
        <f>IFERROR(VLOOKUP(Tabela1[[#This Row],[MÊS]]&amp;Tabela1[[#This Row],[ID]]&amp;Tabela1[[#This Row],[MATRICULA]]&amp;"Motorista 2"&amp;Tabela1[[#This Row],[SETOR]],BD!A:AF,13,0),"")</f>
        <v/>
      </c>
      <c r="BO39" s="135" t="str">
        <f>IFERROR(VLOOKUP(Tabela1[[#This Row],[MÊS]]&amp;Tabela1[[#This Row],[ID]]&amp;Tabela1[[#This Row],[MATRICULA]]&amp;"Motorista 3"&amp;Tabela1[[#This Row],[SETOR]],BD!A:AF,13,0),"")</f>
        <v/>
      </c>
      <c r="BP39" s="135" t="str">
        <f>IFERROR(VLOOKUP(Tabela1[[#This Row],[MÊS]]&amp;Tabela1[[#This Row],[ID]]&amp;Tabela1[[#This Row],[MATRICULA]]&amp;"Motorista 4"&amp;Tabela1[[#This Row],[SETOR]],BD!A:AF,13,0),"")</f>
        <v/>
      </c>
      <c r="BQ39" s="135" t="str">
        <f>IFERROR(AVERAGE(Tabela1[[#This Row],[DMOT]:[DMOT4]]),"")</f>
        <v/>
      </c>
      <c r="BR39" s="135" t="str">
        <f>IFERROR(VLOOKUP(Tabela1[[#This Row],[MÊS]]&amp;Tabela1[[#This Row],[ID]]&amp;Tabela1[[#This Row],[MATRICULA]]&amp;"Ponto de Apoio"&amp;Tabela1[[#This Row],[SETOR]],BD!A:AF,13,0),"")</f>
        <v/>
      </c>
      <c r="BS39" s="135" t="str">
        <f>IFERROR(VLOOKUP(Tabela1[[#This Row],[MÊS]]&amp;Tabela1[[#This Row],[ID]]&amp;Tabela1[[#This Row],[MATRICULA]]&amp;"Ponto de Apoio 2"&amp;Tabela1[[#This Row],[SETOR]],BD!A:AF,13,0),"")</f>
        <v/>
      </c>
      <c r="BT39" s="135" t="str">
        <f>IFERROR(VLOOKUP(Tabela1[[#This Row],[MÊS]]&amp;Tabela1[[#This Row],[ID]]&amp;Tabela1[[#This Row],[MATRICULA]]&amp;"Ponto de Apoio 3"&amp;Tabela1[[#This Row],[SETOR]],BD!A:AF,13,0),"")</f>
        <v/>
      </c>
      <c r="BU39" s="135" t="str">
        <f>IFERROR(VLOOKUP(Tabela1[[#This Row],[MÊS]]&amp;Tabela1[[#This Row],[ID]]&amp;Tabela1[[#This Row],[MATRICULA]]&amp;"Ponto de Apoio 4"&amp;Tabela1[[#This Row],[SETOR]],BD!A:AF,13,0),"")</f>
        <v/>
      </c>
      <c r="BV39" s="135" t="str">
        <f>IFERROR(AVERAGE(Tabela1[[#This Row],[DPA]:[DPA 4]]),"")</f>
        <v/>
      </c>
      <c r="BW39" s="135" t="str">
        <f>IFERROR(VLOOKUP(Tabela1[[#This Row],[MÊS]]&amp;Tabela1[[#This Row],[ID]]&amp;Tabela1[[#This Row],[MATRICULA]]&amp;"Cliente"&amp;Tabela1[[#This Row],[SETOR]],BD!A:AF,13,0),"")</f>
        <v/>
      </c>
      <c r="BX39" s="135" t="str">
        <f>IFERROR(VLOOKUP(Tabela1[[#This Row],[MÊS]]&amp;Tabela1[[#This Row],[ID]]&amp;Tabela1[[#This Row],[MATRICULA]]&amp;"cliente 2"&amp;Tabela1[[#This Row],[SETOR]],BD!A:AF,13,0),"")</f>
        <v/>
      </c>
      <c r="BY39" s="135" t="str">
        <f>IFERROR(VLOOKUP(Tabela1[[#This Row],[MÊS]]&amp;Tabela1[[#This Row],[ID]]&amp;Tabela1[[#This Row],[MATRICULA]]&amp;"cliente 3"&amp;Tabela1[[#This Row],[SETOR]],BD!A:AF,13,0),"")</f>
        <v/>
      </c>
      <c r="BZ39" s="135" t="str">
        <f>IFERROR(VLOOKUP(Tabela1[[#This Row],[MÊS]]&amp;Tabela1[[#This Row],[ID]]&amp;Tabela1[[#This Row],[MATRICULA]]&amp;"cliente 4"&amp;Tabela1[[#This Row],[SETOR]],BD!A:AF,13,0),"")</f>
        <v/>
      </c>
      <c r="CA39" s="135" t="str">
        <f>IFERROR(AVERAGE(Tabela1[[#This Row],[DCLI]:[DCLI 4]]),"")</f>
        <v/>
      </c>
      <c r="CB39" s="135" t="str">
        <f>IFERROR(VLOOKUP(Tabela1[[#This Row],[MÊS]]&amp;Tabela1[[#This Row],[ID]]&amp;Tabela1[[#This Row],[MATRICULA]]&amp;"Policia"&amp;Tabela1[[#This Row],[SETOR]],BD!A:AF,13,0),"")</f>
        <v/>
      </c>
      <c r="CC39" s="135" t="str">
        <f>IFERROR(VLOOKUP(Tabela1[[#This Row],[MÊS]]&amp;Tabela1[[#This Row],[ID]]&amp;Tabela1[[#This Row],[MATRICULA]]&amp;"Policia 2"&amp;Tabela1[[#This Row],[SETOR]],BD!A:AF,13,0),"")</f>
        <v/>
      </c>
      <c r="CD39" s="135"/>
      <c r="CE39" s="135"/>
      <c r="CF39" s="135" t="str">
        <f>IFERROR((AVERAGE(Tabela1[[#This Row],[DPOL1]:[DPOL4]])),"")</f>
        <v/>
      </c>
      <c r="CG39" s="21" t="str">
        <f>IFERROR(VLOOKUP(Tabela1[[#This Row],[ID]]&amp;Tabela1[[#This Row],[MÊS]]&amp;Tabela1[[#This Row],[MATRICULA]],#REF!,2,0),"")</f>
        <v/>
      </c>
      <c r="CH39" s="21" t="str">
        <f>IFERROR(VLOOKUP(Tabela1[[#This Row],[ID]]&amp;Tabela1[[#This Row],[MÊS]]&amp;Tabela1[[#This Row],[MATRICULA]],#REF!,2,0),"")</f>
        <v/>
      </c>
      <c r="CI39" s="21" t="str">
        <f>IFERROR(VLOOKUP(Tabela1[[#This Row],[MÊS]]&amp;Tabela1[[#This Row],[MATRICULA]],#REF!,2,0),"")</f>
        <v/>
      </c>
    </row>
    <row r="40" spans="1:87">
      <c r="A40" s="12" t="str">
        <f>Tabela1[[#This Row],[MÊS]]&amp;Tabela1[[#This Row],[MATRICULA]]&amp;Tabela1[[#This Row],[ID]]</f>
        <v>JAN110704</v>
      </c>
      <c r="B40" s="12" t="str">
        <f>Tabela1[[#This Row],[MÊS]]&amp;Tabela1[[#This Row],[ID]]&amp;Tabela1[[#This Row],[MATRICULA]]&amp;Tabela1[[#This Row],[SETOR]]</f>
        <v>JAN411070DISTRIBUIÇÃO</v>
      </c>
      <c r="C40" s="130" t="e">
        <f>VLOOKUP(Tabela1[[#This Row],[MATRICULA]],'BD Campos'!A:D,5,0)</f>
        <v>#REF!</v>
      </c>
      <c r="D40" s="133" t="str">
        <f ca="1">IFERROR(SUM(TODAY()-Tabela1[[#This Row],[ADMISSÃO]]),"")</f>
        <v/>
      </c>
      <c r="E40" s="11" t="str">
        <f ca="1">IFERROR(TRUNC(Tabela1[[#This Row],[TEMPO DE CASA (DIAS)]]/30),"")</f>
        <v/>
      </c>
      <c r="F40" s="32" t="str">
        <f ca="1">IFERROR(SUM(Tabela1[[#This Row],[TEMPO DE CASA (MESES)]]/12),"")</f>
        <v/>
      </c>
      <c r="G40" s="133" t="str">
        <f ca="1">IF(Tabela1[[#This Row],[TEMPO DE CASA (DIAS)]]="","SEM DADOS",IF(Tabela1[[#This Row],[TEMPO DE CASA (DIAS)]]&gt;180,"&gt; 6 MESES","&lt; 6 MESES"))</f>
        <v>SEM DADOS</v>
      </c>
      <c r="H40" s="12" t="str">
        <f t="shared" si="4"/>
        <v>JANAmanda Carla4</v>
      </c>
      <c r="I40" s="12" t="str">
        <f>IFERROR(VLOOKUP(Tabela1[[#This Row],[MATRICULA]],'BD Campos'!A:F,7,0),"")</f>
        <v/>
      </c>
      <c r="J40" s="11">
        <v>4</v>
      </c>
      <c r="K40" s="11" t="s">
        <v>669</v>
      </c>
      <c r="L40" s="136">
        <v>11070</v>
      </c>
      <c r="M40" s="12" t="str">
        <f>IFERROR(VLOOKUP(Tabela1[[#This Row],[MATRICULA]],'BD Campos'!A:B,2,0),"")</f>
        <v>SAMARA SOARES LOTH</v>
      </c>
      <c r="N40" s="20">
        <f>IFERROR(AVERAGE(Tabela1[[#This Row],[A1]:[A4]]),"")</f>
        <v>0</v>
      </c>
      <c r="O40" s="20" t="str">
        <f>IFERROR(IF(Tabela1[[#This Row],[SETOR]]="RECEPTIVO","",AVERAGE(Tabela1[[#This Row],[A5]:[A6]])),"")</f>
        <v/>
      </c>
      <c r="P40" s="20" t="str">
        <f>IFERROR(IF(Tabela1[[#This Row],[STATUS]]="INATIVO","INATIVO",IF(Tabela1[[#This Row],[STATUS]]="QRT","INATIVO",IF(Tabela1[[#This Row],[OPERACIONAL]]&gt;7.99999,"BOM","RUIM"))),"")</f>
        <v>RUIM</v>
      </c>
      <c r="Q40" s="21" t="s">
        <v>667</v>
      </c>
      <c r="R40" s="12" t="s">
        <v>94</v>
      </c>
      <c r="S40" s="12" t="s">
        <v>674</v>
      </c>
      <c r="T40" s="12" t="s">
        <v>94</v>
      </c>
      <c r="U4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40" s="12">
        <f>IF(AND(Tabela1[[#This Row],[SETOR]]="UTI",Tabela1[[#This Row],[M]]&lt;&gt;""),1,IF(AND(Tabela1[[#This Row],[SETOR]]="UTI (RJ)",Tabela1[[#This Row],[M]]&lt;&gt;""),1.5,0))</f>
        <v>0</v>
      </c>
      <c r="X40" s="12">
        <f>IF(AND(Tabela1[[#This Row],[SETOR]]="UTI",Tabela1[[#This Row],[PA2]]&lt;&gt;""),1,IF(AND(Tabela1[[#This Row],[SETOR]]="UTI (RJ)",Tabela1[[#This Row],[PA2]]&lt;&gt;""),0,0))</f>
        <v>0</v>
      </c>
      <c r="Y40" s="12">
        <f>IF(AND(Tabela1[[#This Row],[SETOR]]="UTI",Tabela1[[#This Row],[C]]&lt;&gt;""),1,IF(AND(Tabela1[[#This Row],[SETOR]]="UTI (RJ)",Tabela1[[#This Row],[C]]&lt;&gt;""),1.5,0))</f>
        <v>0</v>
      </c>
      <c r="Z40" s="12">
        <f>IF(AND(Tabela1[[#This Row],[SETOR]]="UTI",Tabela1[[#This Row],[PL]]&lt;&gt;""),1,IF(AND(Tabela1[[#This Row],[SETOR]]="UTI (RJ)",Tabela1[[#This Row],[PL]]&lt;&gt;""),1,0))</f>
        <v>0</v>
      </c>
      <c r="AA40" s="21">
        <f>IFERROR(VLOOKUP(Tabela1[[#This Row],[MÊS]]&amp;Tabela1[[#This Row],[MATRICULA]]&amp;"1"&amp;Tabela1[[#This Row],[SETOR]]&amp;"PADRÃO",BD!B:AF,31,0),"")</f>
        <v>0</v>
      </c>
      <c r="AB40" s="21">
        <f>IFERROR(VLOOKUP(Tabela1[[#This Row],[MÊS]]&amp;Tabela1[[#This Row],[MATRICULA]]&amp;"2"&amp;Tabela1[[#This Row],[SETOR]]&amp;"PADRÃO",BD!B:AF,31,0),"")</f>
        <v>0</v>
      </c>
      <c r="AC40" s="21" t="str">
        <f>IFERROR(VLOOKUP(Tabela1[[#This Row],[MÊS]]&amp;Tabela1[[#This Row],[MATRICULA]]&amp;"3"&amp;Tabela1[[#This Row],[SETOR]]&amp;"PADRÃO",BD!B:AF,31,0),"")</f>
        <v/>
      </c>
      <c r="AD40" s="21" t="str">
        <f>IFERROR(VLOOKUP(Tabela1[[#This Row],[MÊS]]&amp;Tabela1[[#This Row],[MATRICULA]]&amp;"4"&amp;Tabela1[[#This Row],[SETOR]]&amp;"PADRÃO",BD!B:AF,25,0),"")</f>
        <v/>
      </c>
      <c r="AE40" s="21" t="str">
        <f>IFERROR(VLOOKUP(Tabela1[[#This Row],[MÊS]]&amp;Tabela1[[#This Row],[MATRICULA]]&amp;"5"&amp;Tabela1[[#This Row],[SETOR]]&amp;"PADRÃO",BD!B:AF,31,0),"")</f>
        <v/>
      </c>
      <c r="AF40" s="21" t="str">
        <f>IFERROR(VLOOKUP(Tabela1[[#This Row],[MÊS]]&amp;Tabela1[[#This Row],[MATRICULA]]&amp;"6"&amp;Tabela1[[#This Row],[SETOR]]&amp;"PADRÃO",BD!B:AF,31,0),"")</f>
        <v/>
      </c>
      <c r="AG40" s="21" t="str">
        <f>IFERROR(VLOOKUP(Tabela1[[#This Row],[MÊS]]&amp;Tabela1[[#This Row],[MATRICULA]]&amp;"7"&amp;Tabela1[[#This Row],[SETOR]]&amp;"PADRÃO",BD!B:AF,31,0),"")</f>
        <v/>
      </c>
      <c r="AH40" s="21" t="str">
        <f>IFERROR(VLOOKUP(Tabela1[[#This Row],[MÊS]]&amp;Tabela1[[#This Row],[ID]]&amp;Tabela1[[#This Row],[MATRICULA]]&amp;"Receptiva"&amp;Tabela1[[#This Row],[SETOR]],BD!A:AF,31,0),"")</f>
        <v/>
      </c>
      <c r="AI40" s="21" t="str">
        <f>IFERROR(VLOOKUP(Tabela1[[#This Row],[MÊS]]&amp;Tabela1[[#This Row],[ID]]&amp;Tabela1[[#This Row],[MATRICULA]]&amp;"Receptiva 2"&amp;Tabela1[[#This Row],[SETOR]],BD!A:AF,31,0),"")</f>
        <v/>
      </c>
      <c r="AJ40" s="21" t="str">
        <f>IFERROR(VLOOKUP(Tabela1[[#This Row],[MÊS]]&amp;Tabela1[[#This Row],[ID]]&amp;Tabela1[[#This Row],[MATRICULA]]&amp;"Receptiva 3"&amp;Tabela1[[#This Row],[SETOR]],BD!A:AF,31,0),"")</f>
        <v/>
      </c>
      <c r="AK40" s="21" t="str">
        <f>IFERROR(VLOOKUP(Tabela1[[#This Row],[MÊS]]&amp;Tabela1[[#This Row],[ID]]&amp;Tabela1[[#This Row],[MATRICULA]]&amp;"Receptiva 4"&amp;Tabela1[[#This Row],[SETOR]],BD!A:AF,31,0),"")</f>
        <v/>
      </c>
      <c r="AL40" s="21">
        <f>IFERROR(VLOOKUP(Tabela1[[#This Row],[MÊS]]&amp;Tabela1[[#This Row],[MATRICULA]]&amp;"Motorista"&amp;Tabela1[[#This Row],[SETOR]],BD!A:AF,31,0),"")</f>
        <v>0</v>
      </c>
      <c r="AM40" s="21" t="str">
        <f>IFERROR(VLOOKUP(Tabela1[[#This Row],[MÊS]]&amp;Tabela1[[#This Row],[ID]]&amp;Tabela1[[#This Row],[MATRICULA]]&amp;"Motorista 2"&amp;Tabela1[[#This Row],[SETOR]],BD!A:AF,26,0),"")</f>
        <v/>
      </c>
      <c r="AN40" s="21" t="str">
        <f>IFERROR(VLOOKUP(Tabela1[[#This Row],[MÊS]]&amp;Tabela1[[#This Row],[ID]]&amp;Tabela1[[#This Row],[MATRICULA]]&amp;"Motorista 3"&amp;Tabela1[[#This Row],[SETOR]],BD!A:AF,26,0),"")</f>
        <v/>
      </c>
      <c r="AO40" s="21" t="str">
        <f>IFERROR(VLOOKUP(Tabela1[[#This Row],[MÊS]]&amp;Tabela1[[#This Row],[ID]]&amp;Tabela1[[#This Row],[MATRICULA]]&amp;"Motorista 4"&amp;Tabela1[[#This Row],[SETOR]],BD!A:AF,26,0),"")</f>
        <v/>
      </c>
      <c r="AP40" s="21" t="str">
        <f>IFERROR(VLOOKUP(Tabela1[[#This Row],[MÊS]]&amp;Tabela1[[#This Row],[MATRICULA]]&amp;"Ponto de Apoio"&amp;Tabela1[[#This Row],[SETOR]],BD!A:AF,31,0),"")</f>
        <v/>
      </c>
      <c r="AQ40" s="21" t="str">
        <f>IFERROR(VLOOKUP(Tabela1[[#This Row],[MÊS]]&amp;Tabela1[[#This Row],[ID]]&amp;Tabela1[[#This Row],[MATRICULA]]&amp;"Ponto de Apoio 2"&amp;Tabela1[[#This Row],[SETOR]],BD!A:AF,26,0),"")</f>
        <v/>
      </c>
      <c r="AR40" s="36" t="str">
        <f>IFERROR(VLOOKUP(Tabela1[[#This Row],[MÊS]]&amp;Tabela1[[#This Row],[ID]]&amp;Tabela1[[#This Row],[MATRICULA]]&amp;"Ponto de Apoio 3"&amp;Tabela1[[#This Row],[SETOR]],BD!A:AF,26,0),"")</f>
        <v/>
      </c>
      <c r="AS40" s="36" t="str">
        <f>IFERROR(VLOOKUP(Tabela1[[#This Row],[MÊS]]&amp;Tabela1[[#This Row],[ID]]&amp;Tabela1[[#This Row],[MATRICULA]]&amp;"Ponto de Apoio 4"&amp;Tabela1[[#This Row],[SETOR]],BD!A:AF,26,0),"")</f>
        <v/>
      </c>
      <c r="AT40" s="21" t="str">
        <f>IFERROR(VLOOKUP(Tabela1[[#This Row],[MÊS]]&amp;Tabela1[[#This Row],[MATRICULA]]&amp;"Cliente"&amp;Tabela1[[#This Row],[SETOR]],BD!A:AF,31,0),"")</f>
        <v/>
      </c>
      <c r="AU40" s="21" t="str">
        <f>IFERROR(VLOOKUP(Tabela1[[#This Row],[MÊS]]&amp;Tabela1[[#This Row],[ID]]&amp;Tabela1[[#This Row],[MATRICULA]]&amp;"Cliente 2"&amp;Tabela1[[#This Row],[SETOR]],BD!A:AF,26,0),"")</f>
        <v/>
      </c>
      <c r="AX40" s="21" t="str">
        <f>IFERROR(VLOOKUP(Tabela1[[#This Row],[MÊS]]&amp;Tabela1[[#This Row],[MATRICULA]]&amp;"Policia"&amp;Tabela1[[#This Row],[SETOR]],BD!A:AF,31,0),"")</f>
        <v/>
      </c>
      <c r="AY40" s="21" t="str">
        <f>IFERROR(VLOOKUP(Tabela1[[#This Row],[MÊS]]&amp;Tabela1[[#This Row],[ID]]&amp;Tabela1[[#This Row],[MATRICULA]]&amp;"Policia 2"&amp;Tabela1[[#This Row],[SETOR]],BD!A:AF,26,0),"")</f>
        <v/>
      </c>
      <c r="AZ40" s="36" t="str">
        <f>IFERROR(VLOOKUP(Tabela1[[#This Row],[MÊS]]&amp;Tabela1[[#This Row],[ID]]&amp;Tabela1[[#This Row],[MATRICULA]]&amp;"Policia 3"&amp;Tabela1[[#This Row],[SETOR]],BD!A:AF,26,0),"")</f>
        <v/>
      </c>
      <c r="BA40" s="36" t="str">
        <f>IFERROR(VLOOKUP(Tabela1[[#This Row],[MÊS]]&amp;Tabela1[[#This Row],[ID]]&amp;Tabela1[[#This Row],[MATRICULA]]&amp;"Policia 4"&amp;Tabela1[[#This Row],[SETOR]],BD!A:AF,26,0),"")</f>
        <v/>
      </c>
      <c r="BB4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0" s="21">
        <f>IFERROR(AVERAGE(Tabela1[[#This Row],[M]:[M4]]),"")</f>
        <v>0</v>
      </c>
      <c r="BD40" s="21" t="str">
        <f>IFERROR(AVERAGE(Tabela1[[#This Row],[C]:[C4]]),"")</f>
        <v/>
      </c>
      <c r="BE40" s="21" t="str">
        <f>IFERROR(AVERAGE(Tabela1[[#This Row],[PA2]:[PA 4]]),"")</f>
        <v/>
      </c>
      <c r="BF40" s="21" t="str">
        <f>IFERROR(AVERAGE(Tabela1[[#This Row],[PL]:[PL4]]),"")</f>
        <v/>
      </c>
      <c r="BG40" s="35" t="str">
        <f>IFERROR(VLOOKUP(Tabela1[[#This Row],[MÊS]]&amp;Tabela1[[#This Row],[MATRICULA]],#REF!,2,0),"")</f>
        <v/>
      </c>
      <c r="BH40" s="35" t="str">
        <f>IFERROR(VLOOKUP(Tabela1[[#This Row],[MÊS]]&amp;Tabela1[[#This Row],[MATRICULA]],#REF!,2,0),"")</f>
        <v/>
      </c>
      <c r="BI40" s="35" t="str">
        <f>IFERROR(VLOOKUP(Tabela1[[#This Row],[MÊS]]&amp;Tabela1[[#This Row],[MATRICULA]],#REF!,2,0),"")</f>
        <v/>
      </c>
      <c r="BJ40" s="35" t="str">
        <f>IFERROR(VLOOKUP(Tabela1[[#This Row],[MÊS]]&amp;Tabela1[[#This Row],[MATRICULA]],#REF!,2,0),"")</f>
        <v/>
      </c>
      <c r="BK40" s="35" t="str">
        <f>IFERROR(VLOOKUP(Tabela1[[#This Row],[MÊS]]&amp;Tabela1[[#This Row],[MATRICULA]],#REF!,2,0),"")</f>
        <v/>
      </c>
      <c r="BL40" s="21">
        <f>COUNTIF(Tabela1[[#This Row],[MOT2]:[RECEPTIVA]],"NÃO ENCONTRADA")</f>
        <v>0</v>
      </c>
      <c r="BM40" s="135" t="str">
        <f>IFERROR(VLOOKUP(Tabela1[[#This Row],[MÊS]]&amp;Tabela1[[#This Row],[ID]]&amp;Tabela1[[#This Row],[MATRICULA]]&amp;"Motorista"&amp;Tabela1[[#This Row],[SETOR]],BD!A:AF,13,0),"")</f>
        <v/>
      </c>
      <c r="BN40" s="135" t="str">
        <f>IFERROR(VLOOKUP(Tabela1[[#This Row],[MÊS]]&amp;Tabela1[[#This Row],[ID]]&amp;Tabela1[[#This Row],[MATRICULA]]&amp;"Motorista 2"&amp;Tabela1[[#This Row],[SETOR]],BD!A:AF,13,0),"")</f>
        <v/>
      </c>
      <c r="BO40" s="135" t="str">
        <f>IFERROR(VLOOKUP(Tabela1[[#This Row],[MÊS]]&amp;Tabela1[[#This Row],[ID]]&amp;Tabela1[[#This Row],[MATRICULA]]&amp;"Motorista 3"&amp;Tabela1[[#This Row],[SETOR]],BD!A:AF,13,0),"")</f>
        <v/>
      </c>
      <c r="BP40" s="135" t="str">
        <f>IFERROR(VLOOKUP(Tabela1[[#This Row],[MÊS]]&amp;Tabela1[[#This Row],[ID]]&amp;Tabela1[[#This Row],[MATRICULA]]&amp;"Motorista 4"&amp;Tabela1[[#This Row],[SETOR]],BD!A:AF,13,0),"")</f>
        <v/>
      </c>
      <c r="BQ40" s="135" t="str">
        <f>IFERROR(AVERAGE(Tabela1[[#This Row],[DMOT]:[DMOT4]]),"")</f>
        <v/>
      </c>
      <c r="BR40" s="135" t="str">
        <f>IFERROR(VLOOKUP(Tabela1[[#This Row],[MÊS]]&amp;Tabela1[[#This Row],[ID]]&amp;Tabela1[[#This Row],[MATRICULA]]&amp;"Ponto de Apoio"&amp;Tabela1[[#This Row],[SETOR]],BD!A:AF,13,0),"")</f>
        <v/>
      </c>
      <c r="BS40" s="135" t="str">
        <f>IFERROR(VLOOKUP(Tabela1[[#This Row],[MÊS]]&amp;Tabela1[[#This Row],[ID]]&amp;Tabela1[[#This Row],[MATRICULA]]&amp;"Ponto de Apoio 2"&amp;Tabela1[[#This Row],[SETOR]],BD!A:AF,13,0),"")</f>
        <v/>
      </c>
      <c r="BT40" s="135" t="str">
        <f>IFERROR(VLOOKUP(Tabela1[[#This Row],[MÊS]]&amp;Tabela1[[#This Row],[ID]]&amp;Tabela1[[#This Row],[MATRICULA]]&amp;"Ponto de Apoio 3"&amp;Tabela1[[#This Row],[SETOR]],BD!A:AF,13,0),"")</f>
        <v/>
      </c>
      <c r="BU40" s="135" t="str">
        <f>IFERROR(VLOOKUP(Tabela1[[#This Row],[MÊS]]&amp;Tabela1[[#This Row],[ID]]&amp;Tabela1[[#This Row],[MATRICULA]]&amp;"Ponto de Apoio 4"&amp;Tabela1[[#This Row],[SETOR]],BD!A:AF,13,0),"")</f>
        <v/>
      </c>
      <c r="BV40" s="135" t="str">
        <f>IFERROR(AVERAGE(Tabela1[[#This Row],[DPA]:[DPA 4]]),"")</f>
        <v/>
      </c>
      <c r="BW40" s="135" t="str">
        <f>IFERROR(VLOOKUP(Tabela1[[#This Row],[MÊS]]&amp;Tabela1[[#This Row],[ID]]&amp;Tabela1[[#This Row],[MATRICULA]]&amp;"Cliente"&amp;Tabela1[[#This Row],[SETOR]],BD!A:AF,13,0),"")</f>
        <v/>
      </c>
      <c r="BX40" s="135" t="str">
        <f>IFERROR(VLOOKUP(Tabela1[[#This Row],[MÊS]]&amp;Tabela1[[#This Row],[ID]]&amp;Tabela1[[#This Row],[MATRICULA]]&amp;"cliente 2"&amp;Tabela1[[#This Row],[SETOR]],BD!A:AF,13,0),"")</f>
        <v/>
      </c>
      <c r="BY40" s="135" t="str">
        <f>IFERROR(VLOOKUP(Tabela1[[#This Row],[MÊS]]&amp;Tabela1[[#This Row],[ID]]&amp;Tabela1[[#This Row],[MATRICULA]]&amp;"cliente 3"&amp;Tabela1[[#This Row],[SETOR]],BD!A:AF,13,0),"")</f>
        <v/>
      </c>
      <c r="BZ40" s="135" t="str">
        <f>IFERROR(VLOOKUP(Tabela1[[#This Row],[MÊS]]&amp;Tabela1[[#This Row],[ID]]&amp;Tabela1[[#This Row],[MATRICULA]]&amp;"cliente 4"&amp;Tabela1[[#This Row],[SETOR]],BD!A:AF,13,0),"")</f>
        <v/>
      </c>
      <c r="CA40" s="135" t="str">
        <f>IFERROR(AVERAGE(Tabela1[[#This Row],[DCLI]:[DCLI 4]]),"")</f>
        <v/>
      </c>
      <c r="CB40" s="135" t="str">
        <f>IFERROR(VLOOKUP(Tabela1[[#This Row],[MÊS]]&amp;Tabela1[[#This Row],[ID]]&amp;Tabela1[[#This Row],[MATRICULA]]&amp;"Policia"&amp;Tabela1[[#This Row],[SETOR]],BD!A:AF,13,0),"")</f>
        <v/>
      </c>
      <c r="CC40" s="135" t="str">
        <f>IFERROR(VLOOKUP(Tabela1[[#This Row],[MÊS]]&amp;Tabela1[[#This Row],[ID]]&amp;Tabela1[[#This Row],[MATRICULA]]&amp;"Policia 2"&amp;Tabela1[[#This Row],[SETOR]],BD!A:AF,13,0),"")</f>
        <v/>
      </c>
      <c r="CD40" s="135"/>
      <c r="CE40" s="135"/>
      <c r="CF40" s="135" t="str">
        <f>IFERROR((AVERAGE(Tabela1[[#This Row],[DPOL1]:[DPOL4]])),"")</f>
        <v/>
      </c>
      <c r="CG40" s="21" t="str">
        <f>IFERROR(VLOOKUP(Tabela1[[#This Row],[ID]]&amp;Tabela1[[#This Row],[MÊS]]&amp;Tabela1[[#This Row],[MATRICULA]],#REF!,2,0),"")</f>
        <v/>
      </c>
      <c r="CH40" s="21" t="str">
        <f>IFERROR(VLOOKUP(Tabela1[[#This Row],[ID]]&amp;Tabela1[[#This Row],[MÊS]]&amp;Tabela1[[#This Row],[MATRICULA]],#REF!,2,0),"")</f>
        <v/>
      </c>
      <c r="CI40" s="21" t="str">
        <f>IFERROR(VLOOKUP(Tabela1[[#This Row],[MÊS]]&amp;Tabela1[[#This Row],[MATRICULA]],#REF!,2,0),"")</f>
        <v/>
      </c>
    </row>
    <row r="41" spans="1:87">
      <c r="A41" s="12" t="str">
        <f>Tabela1[[#This Row],[MÊS]]&amp;Tabela1[[#This Row],[MATRICULA]]&amp;Tabela1[[#This Row],[ID]]</f>
        <v>JAN112335</v>
      </c>
      <c r="B41" s="12" t="str">
        <f>Tabela1[[#This Row],[MÊS]]&amp;Tabela1[[#This Row],[ID]]&amp;Tabela1[[#This Row],[MATRICULA]]&amp;Tabela1[[#This Row],[SETOR]]</f>
        <v>JAN511233DISTRIBUIÇÃO</v>
      </c>
      <c r="C41" s="130" t="e">
        <f>VLOOKUP(Tabela1[[#This Row],[MATRICULA]],'BD Campos'!A:D,5,0)</f>
        <v>#REF!</v>
      </c>
      <c r="D41" s="133" t="str">
        <f ca="1">IFERROR(SUM(TODAY()-Tabela1[[#This Row],[ADMISSÃO]]),"")</f>
        <v/>
      </c>
      <c r="E41" s="11" t="str">
        <f ca="1">IFERROR(TRUNC(Tabela1[[#This Row],[TEMPO DE CASA (DIAS)]]/30),"")</f>
        <v/>
      </c>
      <c r="F41" s="32" t="str">
        <f ca="1">IFERROR(SUM(Tabela1[[#This Row],[TEMPO DE CASA (MESES)]]/12),"")</f>
        <v/>
      </c>
      <c r="G41" s="133" t="str">
        <f ca="1">IF(Tabela1[[#This Row],[TEMPO DE CASA (DIAS)]]="","SEM DADOS",IF(Tabela1[[#This Row],[TEMPO DE CASA (DIAS)]]&gt;180,"&gt; 6 MESES","&lt; 6 MESES"))</f>
        <v>SEM DADOS</v>
      </c>
      <c r="H41" s="12" t="str">
        <f t="shared" si="4"/>
        <v>JANAmanda Carla5</v>
      </c>
      <c r="I41" s="12" t="str">
        <f>IFERROR(VLOOKUP(Tabela1[[#This Row],[MATRICULA]],'BD Campos'!A:F,7,0),"")</f>
        <v/>
      </c>
      <c r="J41" s="11">
        <v>5</v>
      </c>
      <c r="K41" s="11" t="s">
        <v>669</v>
      </c>
      <c r="L41" s="136">
        <v>11233</v>
      </c>
      <c r="M41" s="12" t="str">
        <f>IFERROR(VLOOKUP(Tabela1[[#This Row],[MATRICULA]],'BD Campos'!A:B,2,0),"")</f>
        <v>RUAN RICHELI DA SILVA</v>
      </c>
      <c r="N41" s="20">
        <f>IFERROR(AVERAGE(Tabela1[[#This Row],[A1]:[A4]]),"")</f>
        <v>7.3907499999999997</v>
      </c>
      <c r="O41" s="20" t="str">
        <f>IFERROR(IF(Tabela1[[#This Row],[SETOR]]="RECEPTIVO","",AVERAGE(Tabela1[[#This Row],[A5]:[A6]])),"")</f>
        <v/>
      </c>
      <c r="P41" s="20" t="str">
        <f>IFERROR(IF(Tabela1[[#This Row],[STATUS]]="INATIVO","INATIVO",IF(Tabela1[[#This Row],[STATUS]]="QRT","INATIVO",IF(Tabela1[[#This Row],[OPERACIONAL]]&gt;7.99999,"BOM","RUIM"))),"")</f>
        <v>RUIM</v>
      </c>
      <c r="Q41" s="21" t="s">
        <v>667</v>
      </c>
      <c r="R41" s="12" t="s">
        <v>94</v>
      </c>
      <c r="S41" s="12" t="s">
        <v>674</v>
      </c>
      <c r="T41" s="12" t="s">
        <v>94</v>
      </c>
      <c r="U4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41" s="12">
        <f>IF(AND(Tabela1[[#This Row],[SETOR]]="UTI",Tabela1[[#This Row],[M]]&lt;&gt;""),1,IF(AND(Tabela1[[#This Row],[SETOR]]="UTI (RJ)",Tabela1[[#This Row],[M]]&lt;&gt;""),1.5,0))</f>
        <v>0</v>
      </c>
      <c r="X41" s="12">
        <f>IF(AND(Tabela1[[#This Row],[SETOR]]="UTI",Tabela1[[#This Row],[PA2]]&lt;&gt;""),1,IF(AND(Tabela1[[#This Row],[SETOR]]="UTI (RJ)",Tabela1[[#This Row],[PA2]]&lt;&gt;""),0,0))</f>
        <v>0</v>
      </c>
      <c r="Y41" s="12">
        <f>IF(AND(Tabela1[[#This Row],[SETOR]]="UTI",Tabela1[[#This Row],[C]]&lt;&gt;""),1,IF(AND(Tabela1[[#This Row],[SETOR]]="UTI (RJ)",Tabela1[[#This Row],[C]]&lt;&gt;""),1.5,0))</f>
        <v>0</v>
      </c>
      <c r="Z41" s="12">
        <f>IF(AND(Tabela1[[#This Row],[SETOR]]="UTI",Tabela1[[#This Row],[PL]]&lt;&gt;""),1,IF(AND(Tabela1[[#This Row],[SETOR]]="UTI (RJ)",Tabela1[[#This Row],[PL]]&lt;&gt;""),1,0))</f>
        <v>0</v>
      </c>
      <c r="AA41" s="21">
        <f>IFERROR(VLOOKUP(Tabela1[[#This Row],[MÊS]]&amp;Tabela1[[#This Row],[MATRICULA]]&amp;"1"&amp;Tabela1[[#This Row],[SETOR]]&amp;"PADRÃO",BD!B:AF,31,0),"")</f>
        <v>8.5824999999999996</v>
      </c>
      <c r="AB41" s="21">
        <f>IFERROR(VLOOKUP(Tabela1[[#This Row],[MÊS]]&amp;Tabela1[[#This Row],[MATRICULA]]&amp;"2"&amp;Tabela1[[#This Row],[SETOR]]&amp;"PADRÃO",BD!B:AF,31,0),"")</f>
        <v>6.1989999999999998</v>
      </c>
      <c r="AC41" s="21" t="str">
        <f>IFERROR(VLOOKUP(Tabela1[[#This Row],[MÊS]]&amp;Tabela1[[#This Row],[MATRICULA]]&amp;"3"&amp;Tabela1[[#This Row],[SETOR]]&amp;"PADRÃO",BD!B:AF,31,0),"")</f>
        <v/>
      </c>
      <c r="AD41" s="21" t="str">
        <f>IFERROR(VLOOKUP(Tabela1[[#This Row],[MÊS]]&amp;Tabela1[[#This Row],[MATRICULA]]&amp;"4"&amp;Tabela1[[#This Row],[SETOR]]&amp;"PADRÃO",BD!B:AF,25,0),"")</f>
        <v/>
      </c>
      <c r="AE41" s="21" t="str">
        <f>IFERROR(VLOOKUP(Tabela1[[#This Row],[MÊS]]&amp;Tabela1[[#This Row],[MATRICULA]]&amp;"5"&amp;Tabela1[[#This Row],[SETOR]]&amp;"PADRÃO",BD!B:AF,31,0),"")</f>
        <v/>
      </c>
      <c r="AF41" s="21" t="str">
        <f>IFERROR(VLOOKUP(Tabela1[[#This Row],[MÊS]]&amp;Tabela1[[#This Row],[MATRICULA]]&amp;"6"&amp;Tabela1[[#This Row],[SETOR]]&amp;"PADRÃO",BD!B:AF,31,0),"")</f>
        <v/>
      </c>
      <c r="AG41" s="21" t="str">
        <f>IFERROR(VLOOKUP(Tabela1[[#This Row],[MÊS]]&amp;Tabela1[[#This Row],[MATRICULA]]&amp;"7"&amp;Tabela1[[#This Row],[SETOR]]&amp;"PADRÃO",BD!B:AF,31,0),"")</f>
        <v/>
      </c>
      <c r="AH41" s="21" t="str">
        <f>IFERROR(VLOOKUP(Tabela1[[#This Row],[MÊS]]&amp;Tabela1[[#This Row],[ID]]&amp;Tabela1[[#This Row],[MATRICULA]]&amp;"Receptiva"&amp;Tabela1[[#This Row],[SETOR]],BD!A:AF,31,0),"")</f>
        <v/>
      </c>
      <c r="AI41" s="21" t="str">
        <f>IFERROR(VLOOKUP(Tabela1[[#This Row],[MÊS]]&amp;Tabela1[[#This Row],[ID]]&amp;Tabela1[[#This Row],[MATRICULA]]&amp;"Receptiva 2"&amp;Tabela1[[#This Row],[SETOR]],BD!A:AF,31,0),"")</f>
        <v/>
      </c>
      <c r="AJ41" s="21" t="str">
        <f>IFERROR(VLOOKUP(Tabela1[[#This Row],[MÊS]]&amp;Tabela1[[#This Row],[ID]]&amp;Tabela1[[#This Row],[MATRICULA]]&amp;"Receptiva 3"&amp;Tabela1[[#This Row],[SETOR]],BD!A:AF,31,0),"")</f>
        <v/>
      </c>
      <c r="AK41" s="21" t="str">
        <f>IFERROR(VLOOKUP(Tabela1[[#This Row],[MÊS]]&amp;Tabela1[[#This Row],[ID]]&amp;Tabela1[[#This Row],[MATRICULA]]&amp;"Receptiva 4"&amp;Tabela1[[#This Row],[SETOR]],BD!A:AF,31,0),"")</f>
        <v/>
      </c>
      <c r="AL41" s="21">
        <f>IFERROR(VLOOKUP(Tabela1[[#This Row],[MÊS]]&amp;Tabela1[[#This Row],[MATRICULA]]&amp;"Motorista"&amp;Tabela1[[#This Row],[SETOR]],BD!A:AF,31,0),"")</f>
        <v>0</v>
      </c>
      <c r="AM41" s="21" t="str">
        <f>IFERROR(VLOOKUP(Tabela1[[#This Row],[MÊS]]&amp;Tabela1[[#This Row],[ID]]&amp;Tabela1[[#This Row],[MATRICULA]]&amp;"Motorista 2"&amp;Tabela1[[#This Row],[SETOR]],BD!A:AF,26,0),"")</f>
        <v/>
      </c>
      <c r="AN41" s="21" t="str">
        <f>IFERROR(VLOOKUP(Tabela1[[#This Row],[MÊS]]&amp;Tabela1[[#This Row],[ID]]&amp;Tabela1[[#This Row],[MATRICULA]]&amp;"Motorista 3"&amp;Tabela1[[#This Row],[SETOR]],BD!A:AF,26,0),"")</f>
        <v/>
      </c>
      <c r="AO41" s="21" t="str">
        <f>IFERROR(VLOOKUP(Tabela1[[#This Row],[MÊS]]&amp;Tabela1[[#This Row],[ID]]&amp;Tabela1[[#This Row],[MATRICULA]]&amp;"Motorista 4"&amp;Tabela1[[#This Row],[SETOR]],BD!A:AF,26,0),"")</f>
        <v/>
      </c>
      <c r="AP41" s="21" t="str">
        <f>IFERROR(VLOOKUP(Tabela1[[#This Row],[MÊS]]&amp;Tabela1[[#This Row],[MATRICULA]]&amp;"Ponto de Apoio"&amp;Tabela1[[#This Row],[SETOR]],BD!A:AF,31,0),"")</f>
        <v/>
      </c>
      <c r="AQ41" s="21" t="str">
        <f>IFERROR(VLOOKUP(Tabela1[[#This Row],[MÊS]]&amp;Tabela1[[#This Row],[ID]]&amp;Tabela1[[#This Row],[MATRICULA]]&amp;"Ponto de Apoio 2"&amp;Tabela1[[#This Row],[SETOR]],BD!A:AF,26,0),"")</f>
        <v/>
      </c>
      <c r="AR41" s="36" t="str">
        <f>IFERROR(VLOOKUP(Tabela1[[#This Row],[MÊS]]&amp;Tabela1[[#This Row],[ID]]&amp;Tabela1[[#This Row],[MATRICULA]]&amp;"Ponto de Apoio 3"&amp;Tabela1[[#This Row],[SETOR]],BD!A:AF,26,0),"")</f>
        <v/>
      </c>
      <c r="AS41" s="36" t="str">
        <f>IFERROR(VLOOKUP(Tabela1[[#This Row],[MÊS]]&amp;Tabela1[[#This Row],[ID]]&amp;Tabela1[[#This Row],[MATRICULA]]&amp;"Ponto de Apoio 4"&amp;Tabela1[[#This Row],[SETOR]],BD!A:AF,26,0),"")</f>
        <v/>
      </c>
      <c r="AT41" s="21" t="str">
        <f>IFERROR(VLOOKUP(Tabela1[[#This Row],[MÊS]]&amp;Tabela1[[#This Row],[MATRICULA]]&amp;"Cliente"&amp;Tabela1[[#This Row],[SETOR]],BD!A:AF,31,0),"")</f>
        <v/>
      </c>
      <c r="AU41" s="21" t="str">
        <f>IFERROR(VLOOKUP(Tabela1[[#This Row],[MÊS]]&amp;Tabela1[[#This Row],[ID]]&amp;Tabela1[[#This Row],[MATRICULA]]&amp;"Cliente 2"&amp;Tabela1[[#This Row],[SETOR]],BD!A:AF,26,0),"")</f>
        <v/>
      </c>
      <c r="AX41" s="21" t="str">
        <f>IFERROR(VLOOKUP(Tabela1[[#This Row],[MÊS]]&amp;Tabela1[[#This Row],[MATRICULA]]&amp;"Policia"&amp;Tabela1[[#This Row],[SETOR]],BD!A:AF,31,0),"")</f>
        <v/>
      </c>
      <c r="AY41" s="21" t="str">
        <f>IFERROR(VLOOKUP(Tabela1[[#This Row],[MÊS]]&amp;Tabela1[[#This Row],[ID]]&amp;Tabela1[[#This Row],[MATRICULA]]&amp;"Policia 2"&amp;Tabela1[[#This Row],[SETOR]],BD!A:AF,26,0),"")</f>
        <v/>
      </c>
      <c r="AZ41" s="36" t="str">
        <f>IFERROR(VLOOKUP(Tabela1[[#This Row],[MÊS]]&amp;Tabela1[[#This Row],[ID]]&amp;Tabela1[[#This Row],[MATRICULA]]&amp;"Policia 3"&amp;Tabela1[[#This Row],[SETOR]],BD!A:AF,26,0),"")</f>
        <v/>
      </c>
      <c r="BA41" s="36" t="str">
        <f>IFERROR(VLOOKUP(Tabela1[[#This Row],[MÊS]]&amp;Tabela1[[#This Row],[ID]]&amp;Tabela1[[#This Row],[MATRICULA]]&amp;"Policia 4"&amp;Tabela1[[#This Row],[SETOR]],BD!A:AF,26,0),"")</f>
        <v/>
      </c>
      <c r="BB4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1" s="21">
        <f>IFERROR(AVERAGE(Tabela1[[#This Row],[M]:[M4]]),"")</f>
        <v>0</v>
      </c>
      <c r="BD41" s="21" t="str">
        <f>IFERROR(AVERAGE(Tabela1[[#This Row],[C]:[C4]]),"")</f>
        <v/>
      </c>
      <c r="BE41" s="21" t="str">
        <f>IFERROR(AVERAGE(Tabela1[[#This Row],[PA2]:[PA 4]]),"")</f>
        <v/>
      </c>
      <c r="BF41" s="21" t="str">
        <f>IFERROR(AVERAGE(Tabela1[[#This Row],[PL]:[PL4]]),"")</f>
        <v/>
      </c>
      <c r="BG41" s="35" t="str">
        <f>IFERROR(VLOOKUP(Tabela1[[#This Row],[MÊS]]&amp;Tabela1[[#This Row],[MATRICULA]],#REF!,2,0),"")</f>
        <v/>
      </c>
      <c r="BH41" s="35" t="str">
        <f>IFERROR(VLOOKUP(Tabela1[[#This Row],[MÊS]]&amp;Tabela1[[#This Row],[MATRICULA]],#REF!,2,0),"")</f>
        <v/>
      </c>
      <c r="BI41" s="35" t="str">
        <f>IFERROR(VLOOKUP(Tabela1[[#This Row],[MÊS]]&amp;Tabela1[[#This Row],[MATRICULA]],#REF!,2,0),"")</f>
        <v/>
      </c>
      <c r="BJ41" s="35" t="str">
        <f>IFERROR(VLOOKUP(Tabela1[[#This Row],[MÊS]]&amp;Tabela1[[#This Row],[MATRICULA]],#REF!,2,0),"")</f>
        <v/>
      </c>
      <c r="BK41" s="35" t="str">
        <f>IFERROR(VLOOKUP(Tabela1[[#This Row],[MÊS]]&amp;Tabela1[[#This Row],[MATRICULA]],#REF!,2,0),"")</f>
        <v/>
      </c>
      <c r="BL41" s="21">
        <f>COUNTIF(Tabela1[[#This Row],[MOT2]:[RECEPTIVA]],"NÃO ENCONTRADA")</f>
        <v>0</v>
      </c>
      <c r="BM41" s="135" t="str">
        <f>IFERROR(VLOOKUP(Tabela1[[#This Row],[MÊS]]&amp;Tabela1[[#This Row],[ID]]&amp;Tabela1[[#This Row],[MATRICULA]]&amp;"Motorista"&amp;Tabela1[[#This Row],[SETOR]],BD!A:AF,13,0),"")</f>
        <v/>
      </c>
      <c r="BN41" s="135" t="str">
        <f>IFERROR(VLOOKUP(Tabela1[[#This Row],[MÊS]]&amp;Tabela1[[#This Row],[ID]]&amp;Tabela1[[#This Row],[MATRICULA]]&amp;"Motorista 2"&amp;Tabela1[[#This Row],[SETOR]],BD!A:AF,13,0),"")</f>
        <v/>
      </c>
      <c r="BO41" s="135" t="str">
        <f>IFERROR(VLOOKUP(Tabela1[[#This Row],[MÊS]]&amp;Tabela1[[#This Row],[ID]]&amp;Tabela1[[#This Row],[MATRICULA]]&amp;"Motorista 3"&amp;Tabela1[[#This Row],[SETOR]],BD!A:AF,13,0),"")</f>
        <v/>
      </c>
      <c r="BP41" s="135" t="str">
        <f>IFERROR(VLOOKUP(Tabela1[[#This Row],[MÊS]]&amp;Tabela1[[#This Row],[ID]]&amp;Tabela1[[#This Row],[MATRICULA]]&amp;"Motorista 4"&amp;Tabela1[[#This Row],[SETOR]],BD!A:AF,13,0),"")</f>
        <v/>
      </c>
      <c r="BQ41" s="135" t="str">
        <f>IFERROR(AVERAGE(Tabela1[[#This Row],[DMOT]:[DMOT4]]),"")</f>
        <v/>
      </c>
      <c r="BR41" s="135" t="str">
        <f>IFERROR(VLOOKUP(Tabela1[[#This Row],[MÊS]]&amp;Tabela1[[#This Row],[ID]]&amp;Tabela1[[#This Row],[MATRICULA]]&amp;"Ponto de Apoio"&amp;Tabela1[[#This Row],[SETOR]],BD!A:AF,13,0),"")</f>
        <v/>
      </c>
      <c r="BS41" s="135" t="str">
        <f>IFERROR(VLOOKUP(Tabela1[[#This Row],[MÊS]]&amp;Tabela1[[#This Row],[ID]]&amp;Tabela1[[#This Row],[MATRICULA]]&amp;"Ponto de Apoio 2"&amp;Tabela1[[#This Row],[SETOR]],BD!A:AF,13,0),"")</f>
        <v/>
      </c>
      <c r="BT41" s="135" t="str">
        <f>IFERROR(VLOOKUP(Tabela1[[#This Row],[MÊS]]&amp;Tabela1[[#This Row],[ID]]&amp;Tabela1[[#This Row],[MATRICULA]]&amp;"Ponto de Apoio 3"&amp;Tabela1[[#This Row],[SETOR]],BD!A:AF,13,0),"")</f>
        <v/>
      </c>
      <c r="BU41" s="135" t="str">
        <f>IFERROR(VLOOKUP(Tabela1[[#This Row],[MÊS]]&amp;Tabela1[[#This Row],[ID]]&amp;Tabela1[[#This Row],[MATRICULA]]&amp;"Ponto de Apoio 4"&amp;Tabela1[[#This Row],[SETOR]],BD!A:AF,13,0),"")</f>
        <v/>
      </c>
      <c r="BV41" s="135" t="str">
        <f>IFERROR(AVERAGE(Tabela1[[#This Row],[DPA]:[DPA 4]]),"")</f>
        <v/>
      </c>
      <c r="BW41" s="135" t="str">
        <f>IFERROR(VLOOKUP(Tabela1[[#This Row],[MÊS]]&amp;Tabela1[[#This Row],[ID]]&amp;Tabela1[[#This Row],[MATRICULA]]&amp;"Cliente"&amp;Tabela1[[#This Row],[SETOR]],BD!A:AF,13,0),"")</f>
        <v/>
      </c>
      <c r="BX41" s="135" t="str">
        <f>IFERROR(VLOOKUP(Tabela1[[#This Row],[MÊS]]&amp;Tabela1[[#This Row],[ID]]&amp;Tabela1[[#This Row],[MATRICULA]]&amp;"cliente 2"&amp;Tabela1[[#This Row],[SETOR]],BD!A:AF,13,0),"")</f>
        <v/>
      </c>
      <c r="BY41" s="135" t="str">
        <f>IFERROR(VLOOKUP(Tabela1[[#This Row],[MÊS]]&amp;Tabela1[[#This Row],[ID]]&amp;Tabela1[[#This Row],[MATRICULA]]&amp;"cliente 3"&amp;Tabela1[[#This Row],[SETOR]],BD!A:AF,13,0),"")</f>
        <v/>
      </c>
      <c r="BZ41" s="135" t="str">
        <f>IFERROR(VLOOKUP(Tabela1[[#This Row],[MÊS]]&amp;Tabela1[[#This Row],[ID]]&amp;Tabela1[[#This Row],[MATRICULA]]&amp;"cliente 4"&amp;Tabela1[[#This Row],[SETOR]],BD!A:AF,13,0),"")</f>
        <v/>
      </c>
      <c r="CA41" s="135" t="str">
        <f>IFERROR(AVERAGE(Tabela1[[#This Row],[DCLI]:[DCLI 4]]),"")</f>
        <v/>
      </c>
      <c r="CB41" s="135" t="str">
        <f>IFERROR(VLOOKUP(Tabela1[[#This Row],[MÊS]]&amp;Tabela1[[#This Row],[ID]]&amp;Tabela1[[#This Row],[MATRICULA]]&amp;"Policia"&amp;Tabela1[[#This Row],[SETOR]],BD!A:AF,13,0),"")</f>
        <v/>
      </c>
      <c r="CC41" s="135" t="str">
        <f>IFERROR(VLOOKUP(Tabela1[[#This Row],[MÊS]]&amp;Tabela1[[#This Row],[ID]]&amp;Tabela1[[#This Row],[MATRICULA]]&amp;"Policia 2"&amp;Tabela1[[#This Row],[SETOR]],BD!A:AF,13,0),"")</f>
        <v/>
      </c>
      <c r="CD41" s="135"/>
      <c r="CE41" s="135"/>
      <c r="CF41" s="135" t="str">
        <f>IFERROR((AVERAGE(Tabela1[[#This Row],[DPOL1]:[DPOL4]])),"")</f>
        <v/>
      </c>
      <c r="CG41" s="21" t="str">
        <f>IFERROR(VLOOKUP(Tabela1[[#This Row],[ID]]&amp;Tabela1[[#This Row],[MÊS]]&amp;Tabela1[[#This Row],[MATRICULA]],#REF!,2,0),"")</f>
        <v/>
      </c>
      <c r="CH41" s="21" t="str">
        <f>IFERROR(VLOOKUP(Tabela1[[#This Row],[ID]]&amp;Tabela1[[#This Row],[MÊS]]&amp;Tabela1[[#This Row],[MATRICULA]],#REF!,2,0),"")</f>
        <v/>
      </c>
      <c r="CI41" s="21" t="str">
        <f>IFERROR(VLOOKUP(Tabela1[[#This Row],[MÊS]]&amp;Tabela1[[#This Row],[MATRICULA]],#REF!,2,0),"")</f>
        <v/>
      </c>
    </row>
    <row r="42" spans="1:87">
      <c r="A42" s="12" t="str">
        <f>Tabela1[[#This Row],[MÊS]]&amp;Tabela1[[#This Row],[MATRICULA]]&amp;Tabela1[[#This Row],[ID]]</f>
        <v>JAN114406</v>
      </c>
      <c r="B42" s="12" t="str">
        <f>Tabela1[[#This Row],[MÊS]]&amp;Tabela1[[#This Row],[ID]]&amp;Tabela1[[#This Row],[MATRICULA]]&amp;Tabela1[[#This Row],[SETOR]]</f>
        <v>JAN611440DISTRIBUIÇÃO</v>
      </c>
      <c r="C42" s="130" t="e">
        <f>VLOOKUP(Tabela1[[#This Row],[MATRICULA]],'BD Campos'!A:D,5,0)</f>
        <v>#REF!</v>
      </c>
      <c r="D42" s="133" t="str">
        <f ca="1">IFERROR(SUM(TODAY()-Tabela1[[#This Row],[ADMISSÃO]]),"")</f>
        <v/>
      </c>
      <c r="E42" s="11" t="str">
        <f ca="1">IFERROR(TRUNC(Tabela1[[#This Row],[TEMPO DE CASA (DIAS)]]/30),"")</f>
        <v/>
      </c>
      <c r="F42" s="32" t="str">
        <f ca="1">IFERROR(SUM(Tabela1[[#This Row],[TEMPO DE CASA (MESES)]]/12),"")</f>
        <v/>
      </c>
      <c r="G42" s="133" t="str">
        <f ca="1">IF(Tabela1[[#This Row],[TEMPO DE CASA (DIAS)]]="","SEM DADOS",IF(Tabela1[[#This Row],[TEMPO DE CASA (DIAS)]]&gt;180,"&gt; 6 MESES","&lt; 6 MESES"))</f>
        <v>SEM DADOS</v>
      </c>
      <c r="H42" s="12" t="str">
        <f t="shared" si="4"/>
        <v>JANAmanda Carla6</v>
      </c>
      <c r="I42" s="12" t="str">
        <f>IFERROR(VLOOKUP(Tabela1[[#This Row],[MATRICULA]],'BD Campos'!A:F,7,0),"")</f>
        <v/>
      </c>
      <c r="J42" s="11">
        <v>6</v>
      </c>
      <c r="K42" s="11" t="s">
        <v>669</v>
      </c>
      <c r="L42" s="136">
        <v>11440</v>
      </c>
      <c r="M42" s="12" t="str">
        <f>IFERROR(VLOOKUP(Tabela1[[#This Row],[MATRICULA]],'BD Campos'!A:B,2,0),"")</f>
        <v>NATALIA BRYCH</v>
      </c>
      <c r="N42" s="20">
        <f>IFERROR(AVERAGE(Tabela1[[#This Row],[A1]:[A4]]),"")</f>
        <v>5.50075</v>
      </c>
      <c r="O42" s="20" t="str">
        <f>IFERROR(IF(Tabela1[[#This Row],[SETOR]]="RECEPTIVO","",AVERAGE(Tabela1[[#This Row],[A5]:[A6]])),"")</f>
        <v/>
      </c>
      <c r="P42" s="20" t="str">
        <f>IFERROR(IF(Tabela1[[#This Row],[STATUS]]="INATIVO","INATIVO",IF(Tabela1[[#This Row],[STATUS]]="QRT","INATIVO",IF(Tabela1[[#This Row],[OPERACIONAL]]&gt;7.99999,"BOM","RUIM"))),"")</f>
        <v>RUIM</v>
      </c>
      <c r="Q42" s="21" t="s">
        <v>667</v>
      </c>
      <c r="R42" s="12" t="s">
        <v>94</v>
      </c>
      <c r="S42" s="12" t="s">
        <v>674</v>
      </c>
      <c r="T42" s="12" t="s">
        <v>94</v>
      </c>
      <c r="U4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42" s="12">
        <f>IF(AND(Tabela1[[#This Row],[SETOR]]="UTI",Tabela1[[#This Row],[M]]&lt;&gt;""),1,IF(AND(Tabela1[[#This Row],[SETOR]]="UTI (RJ)",Tabela1[[#This Row],[M]]&lt;&gt;""),1.5,0))</f>
        <v>0</v>
      </c>
      <c r="X42" s="12">
        <f>IF(AND(Tabela1[[#This Row],[SETOR]]="UTI",Tabela1[[#This Row],[PA2]]&lt;&gt;""),1,IF(AND(Tabela1[[#This Row],[SETOR]]="UTI (RJ)",Tabela1[[#This Row],[PA2]]&lt;&gt;""),0,0))</f>
        <v>0</v>
      </c>
      <c r="Y42" s="12">
        <f>IF(AND(Tabela1[[#This Row],[SETOR]]="UTI",Tabela1[[#This Row],[C]]&lt;&gt;""),1,IF(AND(Tabela1[[#This Row],[SETOR]]="UTI (RJ)",Tabela1[[#This Row],[C]]&lt;&gt;""),1.5,0))</f>
        <v>0</v>
      </c>
      <c r="Z42" s="12">
        <f>IF(AND(Tabela1[[#This Row],[SETOR]]="UTI",Tabela1[[#This Row],[PL]]&lt;&gt;""),1,IF(AND(Tabela1[[#This Row],[SETOR]]="UTI (RJ)",Tabela1[[#This Row],[PL]]&lt;&gt;""),1,0))</f>
        <v>0</v>
      </c>
      <c r="AA42" s="21">
        <f>IFERROR(VLOOKUP(Tabela1[[#This Row],[MÊS]]&amp;Tabela1[[#This Row],[MATRICULA]]&amp;"1"&amp;Tabela1[[#This Row],[SETOR]]&amp;"PADRÃO",BD!B:AF,31,0),"")</f>
        <v>7.6164999999999994</v>
      </c>
      <c r="AB42" s="21">
        <f>IFERROR(VLOOKUP(Tabela1[[#This Row],[MÊS]]&amp;Tabela1[[#This Row],[MATRICULA]]&amp;"2"&amp;Tabela1[[#This Row],[SETOR]]&amp;"PADRÃO",BD!B:AF,31,0),"")</f>
        <v>3.3849999999999998</v>
      </c>
      <c r="AC42" s="21" t="str">
        <f>IFERROR(VLOOKUP(Tabela1[[#This Row],[MÊS]]&amp;Tabela1[[#This Row],[MATRICULA]]&amp;"3"&amp;Tabela1[[#This Row],[SETOR]]&amp;"PADRÃO",BD!B:AF,31,0),"")</f>
        <v/>
      </c>
      <c r="AD42" s="21" t="str">
        <f>IFERROR(VLOOKUP(Tabela1[[#This Row],[MÊS]]&amp;Tabela1[[#This Row],[MATRICULA]]&amp;"4"&amp;Tabela1[[#This Row],[SETOR]]&amp;"PADRÃO",BD!B:AF,25,0),"")</f>
        <v/>
      </c>
      <c r="AE42" s="21" t="str">
        <f>IFERROR(VLOOKUP(Tabela1[[#This Row],[MÊS]]&amp;Tabela1[[#This Row],[MATRICULA]]&amp;"5"&amp;Tabela1[[#This Row],[SETOR]]&amp;"PADRÃO",BD!B:AF,31,0),"")</f>
        <v/>
      </c>
      <c r="AF42" s="21" t="str">
        <f>IFERROR(VLOOKUP(Tabela1[[#This Row],[MÊS]]&amp;Tabela1[[#This Row],[MATRICULA]]&amp;"6"&amp;Tabela1[[#This Row],[SETOR]]&amp;"PADRÃO",BD!B:AF,31,0),"")</f>
        <v/>
      </c>
      <c r="AG42" s="21" t="str">
        <f>IFERROR(VLOOKUP(Tabela1[[#This Row],[MÊS]]&amp;Tabela1[[#This Row],[MATRICULA]]&amp;"7"&amp;Tabela1[[#This Row],[SETOR]]&amp;"PADRÃO",BD!B:AF,31,0),"")</f>
        <v/>
      </c>
      <c r="AH42" s="21" t="str">
        <f>IFERROR(VLOOKUP(Tabela1[[#This Row],[MÊS]]&amp;Tabela1[[#This Row],[ID]]&amp;Tabela1[[#This Row],[MATRICULA]]&amp;"Receptiva"&amp;Tabela1[[#This Row],[SETOR]],BD!A:AF,31,0),"")</f>
        <v/>
      </c>
      <c r="AI42" s="21" t="str">
        <f>IFERROR(VLOOKUP(Tabela1[[#This Row],[MÊS]]&amp;Tabela1[[#This Row],[ID]]&amp;Tabela1[[#This Row],[MATRICULA]]&amp;"Receptiva 2"&amp;Tabela1[[#This Row],[SETOR]],BD!A:AF,31,0),"")</f>
        <v/>
      </c>
      <c r="AJ42" s="21" t="str">
        <f>IFERROR(VLOOKUP(Tabela1[[#This Row],[MÊS]]&amp;Tabela1[[#This Row],[ID]]&amp;Tabela1[[#This Row],[MATRICULA]]&amp;"Receptiva 3"&amp;Tabela1[[#This Row],[SETOR]],BD!A:AF,31,0),"")</f>
        <v/>
      </c>
      <c r="AK42" s="21" t="str">
        <f>IFERROR(VLOOKUP(Tabela1[[#This Row],[MÊS]]&amp;Tabela1[[#This Row],[ID]]&amp;Tabela1[[#This Row],[MATRICULA]]&amp;"Receptiva 4"&amp;Tabela1[[#This Row],[SETOR]],BD!A:AF,31,0),"")</f>
        <v/>
      </c>
      <c r="AL42" s="21">
        <f>IFERROR(VLOOKUP(Tabela1[[#This Row],[MÊS]]&amp;Tabela1[[#This Row],[MATRICULA]]&amp;"Motorista"&amp;Tabela1[[#This Row],[SETOR]],BD!A:AF,31,0),"")</f>
        <v>0</v>
      </c>
      <c r="AM42" s="21" t="str">
        <f>IFERROR(VLOOKUP(Tabela1[[#This Row],[MÊS]]&amp;Tabela1[[#This Row],[ID]]&amp;Tabela1[[#This Row],[MATRICULA]]&amp;"Motorista 2"&amp;Tabela1[[#This Row],[SETOR]],BD!A:AF,26,0),"")</f>
        <v/>
      </c>
      <c r="AN42" s="21" t="str">
        <f>IFERROR(VLOOKUP(Tabela1[[#This Row],[MÊS]]&amp;Tabela1[[#This Row],[ID]]&amp;Tabela1[[#This Row],[MATRICULA]]&amp;"Motorista 3"&amp;Tabela1[[#This Row],[SETOR]],BD!A:AF,26,0),"")</f>
        <v/>
      </c>
      <c r="AO42" s="21" t="str">
        <f>IFERROR(VLOOKUP(Tabela1[[#This Row],[MÊS]]&amp;Tabela1[[#This Row],[ID]]&amp;Tabela1[[#This Row],[MATRICULA]]&amp;"Motorista 4"&amp;Tabela1[[#This Row],[SETOR]],BD!A:AF,26,0),"")</f>
        <v/>
      </c>
      <c r="AP42" s="21" t="str">
        <f>IFERROR(VLOOKUP(Tabela1[[#This Row],[MÊS]]&amp;Tabela1[[#This Row],[MATRICULA]]&amp;"Ponto de Apoio"&amp;Tabela1[[#This Row],[SETOR]],BD!A:AF,31,0),"")</f>
        <v/>
      </c>
      <c r="AQ42" s="21" t="str">
        <f>IFERROR(VLOOKUP(Tabela1[[#This Row],[MÊS]]&amp;Tabela1[[#This Row],[ID]]&amp;Tabela1[[#This Row],[MATRICULA]]&amp;"Ponto de Apoio 2"&amp;Tabela1[[#This Row],[SETOR]],BD!A:AF,26,0),"")</f>
        <v/>
      </c>
      <c r="AR42" s="36" t="str">
        <f>IFERROR(VLOOKUP(Tabela1[[#This Row],[MÊS]]&amp;Tabela1[[#This Row],[ID]]&amp;Tabela1[[#This Row],[MATRICULA]]&amp;"Ponto de Apoio 3"&amp;Tabela1[[#This Row],[SETOR]],BD!A:AF,26,0),"")</f>
        <v/>
      </c>
      <c r="AS42" s="36" t="str">
        <f>IFERROR(VLOOKUP(Tabela1[[#This Row],[MÊS]]&amp;Tabela1[[#This Row],[ID]]&amp;Tabela1[[#This Row],[MATRICULA]]&amp;"Ponto de Apoio 4"&amp;Tabela1[[#This Row],[SETOR]],BD!A:AF,26,0),"")</f>
        <v/>
      </c>
      <c r="AT42" s="21">
        <f>IFERROR(VLOOKUP(Tabela1[[#This Row],[MÊS]]&amp;Tabela1[[#This Row],[MATRICULA]]&amp;"Cliente"&amp;Tabela1[[#This Row],[SETOR]],BD!A:AF,31,0),"")</f>
        <v>0</v>
      </c>
      <c r="AU42" s="21" t="str">
        <f>IFERROR(VLOOKUP(Tabela1[[#This Row],[MÊS]]&amp;Tabela1[[#This Row],[ID]]&amp;Tabela1[[#This Row],[MATRICULA]]&amp;"Cliente 2"&amp;Tabela1[[#This Row],[SETOR]],BD!A:AF,26,0),"")</f>
        <v/>
      </c>
      <c r="AX42" s="21" t="str">
        <f>IFERROR(VLOOKUP(Tabela1[[#This Row],[MÊS]]&amp;Tabela1[[#This Row],[MATRICULA]]&amp;"Policia"&amp;Tabela1[[#This Row],[SETOR]],BD!A:AF,31,0),"")</f>
        <v/>
      </c>
      <c r="AY42" s="21" t="str">
        <f>IFERROR(VLOOKUP(Tabela1[[#This Row],[MÊS]]&amp;Tabela1[[#This Row],[ID]]&amp;Tabela1[[#This Row],[MATRICULA]]&amp;"Policia 2"&amp;Tabela1[[#This Row],[SETOR]],BD!A:AF,26,0),"")</f>
        <v/>
      </c>
      <c r="AZ42" s="36" t="str">
        <f>IFERROR(VLOOKUP(Tabela1[[#This Row],[MÊS]]&amp;Tabela1[[#This Row],[ID]]&amp;Tabela1[[#This Row],[MATRICULA]]&amp;"Policia 3"&amp;Tabela1[[#This Row],[SETOR]],BD!A:AF,26,0),"")</f>
        <v/>
      </c>
      <c r="BA42" s="36" t="str">
        <f>IFERROR(VLOOKUP(Tabela1[[#This Row],[MÊS]]&amp;Tabela1[[#This Row],[ID]]&amp;Tabela1[[#This Row],[MATRICULA]]&amp;"Policia 4"&amp;Tabela1[[#This Row],[SETOR]],BD!A:AF,26,0),"")</f>
        <v/>
      </c>
      <c r="BB4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2" s="21">
        <f>IFERROR(AVERAGE(Tabela1[[#This Row],[M]:[M4]]),"")</f>
        <v>0</v>
      </c>
      <c r="BD42" s="21">
        <f>IFERROR(AVERAGE(Tabela1[[#This Row],[C]:[C4]]),"")</f>
        <v>0</v>
      </c>
      <c r="BE42" s="21" t="str">
        <f>IFERROR(AVERAGE(Tabela1[[#This Row],[PA2]:[PA 4]]),"")</f>
        <v/>
      </c>
      <c r="BF42" s="21" t="str">
        <f>IFERROR(AVERAGE(Tabela1[[#This Row],[PL]:[PL4]]),"")</f>
        <v/>
      </c>
      <c r="BG42" s="35" t="str">
        <f>IFERROR(VLOOKUP(Tabela1[[#This Row],[MÊS]]&amp;Tabela1[[#This Row],[MATRICULA]],#REF!,2,0),"")</f>
        <v/>
      </c>
      <c r="BH42" s="35" t="str">
        <f>IFERROR(VLOOKUP(Tabela1[[#This Row],[MÊS]]&amp;Tabela1[[#This Row],[MATRICULA]],#REF!,2,0),"")</f>
        <v/>
      </c>
      <c r="BI42" s="35" t="str">
        <f>IFERROR(VLOOKUP(Tabela1[[#This Row],[MÊS]]&amp;Tabela1[[#This Row],[MATRICULA]],#REF!,2,0),"")</f>
        <v/>
      </c>
      <c r="BJ42" s="35" t="str">
        <f>IFERROR(VLOOKUP(Tabela1[[#This Row],[MÊS]]&amp;Tabela1[[#This Row],[MATRICULA]],#REF!,2,0),"")</f>
        <v/>
      </c>
      <c r="BK42" s="35" t="str">
        <f>IFERROR(VLOOKUP(Tabela1[[#This Row],[MÊS]]&amp;Tabela1[[#This Row],[MATRICULA]],#REF!,2,0),"")</f>
        <v/>
      </c>
      <c r="BL42" s="21">
        <f>COUNTIF(Tabela1[[#This Row],[MOT2]:[RECEPTIVA]],"NÃO ENCONTRADA")</f>
        <v>0</v>
      </c>
      <c r="BM42" s="135" t="str">
        <f>IFERROR(VLOOKUP(Tabela1[[#This Row],[MÊS]]&amp;Tabela1[[#This Row],[ID]]&amp;Tabela1[[#This Row],[MATRICULA]]&amp;"Motorista"&amp;Tabela1[[#This Row],[SETOR]],BD!A:AF,13,0),"")</f>
        <v/>
      </c>
      <c r="BN42" s="135" t="str">
        <f>IFERROR(VLOOKUP(Tabela1[[#This Row],[MÊS]]&amp;Tabela1[[#This Row],[ID]]&amp;Tabela1[[#This Row],[MATRICULA]]&amp;"Motorista 2"&amp;Tabela1[[#This Row],[SETOR]],BD!A:AF,13,0),"")</f>
        <v/>
      </c>
      <c r="BO42" s="135" t="str">
        <f>IFERROR(VLOOKUP(Tabela1[[#This Row],[MÊS]]&amp;Tabela1[[#This Row],[ID]]&amp;Tabela1[[#This Row],[MATRICULA]]&amp;"Motorista 3"&amp;Tabela1[[#This Row],[SETOR]],BD!A:AF,13,0),"")</f>
        <v/>
      </c>
      <c r="BP42" s="135" t="str">
        <f>IFERROR(VLOOKUP(Tabela1[[#This Row],[MÊS]]&amp;Tabela1[[#This Row],[ID]]&amp;Tabela1[[#This Row],[MATRICULA]]&amp;"Motorista 4"&amp;Tabela1[[#This Row],[SETOR]],BD!A:AF,13,0),"")</f>
        <v/>
      </c>
      <c r="BQ42" s="135" t="str">
        <f>IFERROR(AVERAGE(Tabela1[[#This Row],[DMOT]:[DMOT4]]),"")</f>
        <v/>
      </c>
      <c r="BR42" s="135" t="str">
        <f>IFERROR(VLOOKUP(Tabela1[[#This Row],[MÊS]]&amp;Tabela1[[#This Row],[ID]]&amp;Tabela1[[#This Row],[MATRICULA]]&amp;"Ponto de Apoio"&amp;Tabela1[[#This Row],[SETOR]],BD!A:AF,13,0),"")</f>
        <v/>
      </c>
      <c r="BS42" s="135" t="str">
        <f>IFERROR(VLOOKUP(Tabela1[[#This Row],[MÊS]]&amp;Tabela1[[#This Row],[ID]]&amp;Tabela1[[#This Row],[MATRICULA]]&amp;"Ponto de Apoio 2"&amp;Tabela1[[#This Row],[SETOR]],BD!A:AF,13,0),"")</f>
        <v/>
      </c>
      <c r="BT42" s="135" t="str">
        <f>IFERROR(VLOOKUP(Tabela1[[#This Row],[MÊS]]&amp;Tabela1[[#This Row],[ID]]&amp;Tabela1[[#This Row],[MATRICULA]]&amp;"Ponto de Apoio 3"&amp;Tabela1[[#This Row],[SETOR]],BD!A:AF,13,0),"")</f>
        <v/>
      </c>
      <c r="BU42" s="135" t="str">
        <f>IFERROR(VLOOKUP(Tabela1[[#This Row],[MÊS]]&amp;Tabela1[[#This Row],[ID]]&amp;Tabela1[[#This Row],[MATRICULA]]&amp;"Ponto de Apoio 4"&amp;Tabela1[[#This Row],[SETOR]],BD!A:AF,13,0),"")</f>
        <v/>
      </c>
      <c r="BV42" s="135" t="str">
        <f>IFERROR(AVERAGE(Tabela1[[#This Row],[DPA]:[DPA 4]]),"")</f>
        <v/>
      </c>
      <c r="BW42" s="135" t="str">
        <f>IFERROR(VLOOKUP(Tabela1[[#This Row],[MÊS]]&amp;Tabela1[[#This Row],[ID]]&amp;Tabela1[[#This Row],[MATRICULA]]&amp;"Cliente"&amp;Tabela1[[#This Row],[SETOR]],BD!A:AF,13,0),"")</f>
        <v/>
      </c>
      <c r="BX42" s="135" t="str">
        <f>IFERROR(VLOOKUP(Tabela1[[#This Row],[MÊS]]&amp;Tabela1[[#This Row],[ID]]&amp;Tabela1[[#This Row],[MATRICULA]]&amp;"cliente 2"&amp;Tabela1[[#This Row],[SETOR]],BD!A:AF,13,0),"")</f>
        <v/>
      </c>
      <c r="BY42" s="135" t="str">
        <f>IFERROR(VLOOKUP(Tabela1[[#This Row],[MÊS]]&amp;Tabela1[[#This Row],[ID]]&amp;Tabela1[[#This Row],[MATRICULA]]&amp;"cliente 3"&amp;Tabela1[[#This Row],[SETOR]],BD!A:AF,13,0),"")</f>
        <v/>
      </c>
      <c r="BZ42" s="135" t="str">
        <f>IFERROR(VLOOKUP(Tabela1[[#This Row],[MÊS]]&amp;Tabela1[[#This Row],[ID]]&amp;Tabela1[[#This Row],[MATRICULA]]&amp;"cliente 4"&amp;Tabela1[[#This Row],[SETOR]],BD!A:AF,13,0),"")</f>
        <v/>
      </c>
      <c r="CA42" s="135" t="str">
        <f>IFERROR(AVERAGE(Tabela1[[#This Row],[DCLI]:[DCLI 4]]),"")</f>
        <v/>
      </c>
      <c r="CB42" s="135" t="str">
        <f>IFERROR(VLOOKUP(Tabela1[[#This Row],[MÊS]]&amp;Tabela1[[#This Row],[ID]]&amp;Tabela1[[#This Row],[MATRICULA]]&amp;"Policia"&amp;Tabela1[[#This Row],[SETOR]],BD!A:AF,13,0),"")</f>
        <v/>
      </c>
      <c r="CC42" s="135" t="str">
        <f>IFERROR(VLOOKUP(Tabela1[[#This Row],[MÊS]]&amp;Tabela1[[#This Row],[ID]]&amp;Tabela1[[#This Row],[MATRICULA]]&amp;"Policia 2"&amp;Tabela1[[#This Row],[SETOR]],BD!A:AF,13,0),"")</f>
        <v/>
      </c>
      <c r="CD42" s="135"/>
      <c r="CE42" s="135"/>
      <c r="CF42" s="135" t="str">
        <f>IFERROR((AVERAGE(Tabela1[[#This Row],[DPOL1]:[DPOL4]])),"")</f>
        <v/>
      </c>
      <c r="CG42" s="21" t="str">
        <f>IFERROR(VLOOKUP(Tabela1[[#This Row],[ID]]&amp;Tabela1[[#This Row],[MÊS]]&amp;Tabela1[[#This Row],[MATRICULA]],#REF!,2,0),"")</f>
        <v/>
      </c>
      <c r="CH42" s="21" t="str">
        <f>IFERROR(VLOOKUP(Tabela1[[#This Row],[ID]]&amp;Tabela1[[#This Row],[MÊS]]&amp;Tabela1[[#This Row],[MATRICULA]],#REF!,2,0),"")</f>
        <v/>
      </c>
      <c r="CI42" s="21" t="str">
        <f>IFERROR(VLOOKUP(Tabela1[[#This Row],[MÊS]]&amp;Tabela1[[#This Row],[MATRICULA]],#REF!,2,0),"")</f>
        <v/>
      </c>
    </row>
    <row r="43" spans="1:87">
      <c r="A43" s="12" t="str">
        <f>Tabela1[[#This Row],[MÊS]]&amp;Tabela1[[#This Row],[MATRICULA]]&amp;Tabela1[[#This Row],[ID]]</f>
        <v>JAN112037</v>
      </c>
      <c r="B43" s="12" t="str">
        <f>Tabela1[[#This Row],[MÊS]]&amp;Tabela1[[#This Row],[ID]]&amp;Tabela1[[#This Row],[MATRICULA]]&amp;Tabela1[[#This Row],[SETOR]]</f>
        <v>JAN711203DISTRIBUIÇÃO</v>
      </c>
      <c r="C43" s="130" t="e">
        <f>VLOOKUP(Tabela1[[#This Row],[MATRICULA]],'BD Campos'!A:D,5,0)</f>
        <v>#REF!</v>
      </c>
      <c r="D43" s="133" t="str">
        <f ca="1">IFERROR(SUM(TODAY()-Tabela1[[#This Row],[ADMISSÃO]]),"")</f>
        <v/>
      </c>
      <c r="E43" s="11" t="str">
        <f ca="1">IFERROR(TRUNC(Tabela1[[#This Row],[TEMPO DE CASA (DIAS)]]/30),"")</f>
        <v/>
      </c>
      <c r="F43" s="32" t="str">
        <f ca="1">IFERROR(SUM(Tabela1[[#This Row],[TEMPO DE CASA (MESES)]]/12),"")</f>
        <v/>
      </c>
      <c r="G43" s="133" t="str">
        <f ca="1">IF(Tabela1[[#This Row],[TEMPO DE CASA (DIAS)]]="","SEM DADOS",IF(Tabela1[[#This Row],[TEMPO DE CASA (DIAS)]]&gt;180,"&gt; 6 MESES","&lt; 6 MESES"))</f>
        <v>SEM DADOS</v>
      </c>
      <c r="H43" s="12" t="str">
        <f t="shared" si="4"/>
        <v>JANAmanda Carla7</v>
      </c>
      <c r="I43" s="12" t="str">
        <f>IFERROR(VLOOKUP(Tabela1[[#This Row],[MATRICULA]],'BD Campos'!A:F,7,0),"")</f>
        <v/>
      </c>
      <c r="J43" s="11">
        <v>7</v>
      </c>
      <c r="K43" s="11" t="s">
        <v>669</v>
      </c>
      <c r="L43" s="136">
        <v>11203</v>
      </c>
      <c r="M43" s="12" t="str">
        <f>IFERROR(VLOOKUP(Tabela1[[#This Row],[MATRICULA]],'BD Campos'!A:B,2,0),"")</f>
        <v>GLEDSON GONÇALVES DOS SANTOS</v>
      </c>
      <c r="N43" s="20">
        <f>IFERROR(AVERAGE(Tabela1[[#This Row],[A1]:[A4]]),"")</f>
        <v>0</v>
      </c>
      <c r="O43" s="20" t="str">
        <f>IFERROR(IF(Tabela1[[#This Row],[SETOR]]="RECEPTIVO","",AVERAGE(Tabela1[[#This Row],[A5]:[A6]])),"")</f>
        <v/>
      </c>
      <c r="P43" s="20" t="str">
        <f>IFERROR(IF(Tabela1[[#This Row],[STATUS]]="INATIVO","INATIVO",IF(Tabela1[[#This Row],[STATUS]]="QRT","INATIVO",IF(Tabela1[[#This Row],[OPERACIONAL]]&gt;7.99999,"BOM","RUIM"))),"")</f>
        <v>RUIM</v>
      </c>
      <c r="Q43" s="21" t="s">
        <v>667</v>
      </c>
      <c r="R43" s="12" t="s">
        <v>94</v>
      </c>
      <c r="S43" s="12" t="s">
        <v>674</v>
      </c>
      <c r="T43" s="12" t="s">
        <v>94</v>
      </c>
      <c r="U4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43" s="12">
        <f>IF(AND(Tabela1[[#This Row],[SETOR]]="UTI",Tabela1[[#This Row],[M]]&lt;&gt;""),1,IF(AND(Tabela1[[#This Row],[SETOR]]="UTI (RJ)",Tabela1[[#This Row],[M]]&lt;&gt;""),1.5,0))</f>
        <v>0</v>
      </c>
      <c r="X43" s="12">
        <f>IF(AND(Tabela1[[#This Row],[SETOR]]="UTI",Tabela1[[#This Row],[PA2]]&lt;&gt;""),1,IF(AND(Tabela1[[#This Row],[SETOR]]="UTI (RJ)",Tabela1[[#This Row],[PA2]]&lt;&gt;""),0,0))</f>
        <v>0</v>
      </c>
      <c r="Y43" s="12">
        <f>IF(AND(Tabela1[[#This Row],[SETOR]]="UTI",Tabela1[[#This Row],[C]]&lt;&gt;""),1,IF(AND(Tabela1[[#This Row],[SETOR]]="UTI (RJ)",Tabela1[[#This Row],[C]]&lt;&gt;""),1.5,0))</f>
        <v>0</v>
      </c>
      <c r="Z43" s="12">
        <f>IF(AND(Tabela1[[#This Row],[SETOR]]="UTI",Tabela1[[#This Row],[PL]]&lt;&gt;""),1,IF(AND(Tabela1[[#This Row],[SETOR]]="UTI (RJ)",Tabela1[[#This Row],[PL]]&lt;&gt;""),1,0))</f>
        <v>0</v>
      </c>
      <c r="AA43" s="21">
        <f>IFERROR(VLOOKUP(Tabela1[[#This Row],[MÊS]]&amp;Tabela1[[#This Row],[MATRICULA]]&amp;"1"&amp;Tabela1[[#This Row],[SETOR]]&amp;"PADRÃO",BD!B:AF,31,0),"")</f>
        <v>0</v>
      </c>
      <c r="AB43" s="21">
        <f>IFERROR(VLOOKUP(Tabela1[[#This Row],[MÊS]]&amp;Tabela1[[#This Row],[MATRICULA]]&amp;"2"&amp;Tabela1[[#This Row],[SETOR]]&amp;"PADRÃO",BD!B:AF,31,0),"")</f>
        <v>0</v>
      </c>
      <c r="AC43" s="21" t="str">
        <f>IFERROR(VLOOKUP(Tabela1[[#This Row],[MÊS]]&amp;Tabela1[[#This Row],[MATRICULA]]&amp;"3"&amp;Tabela1[[#This Row],[SETOR]]&amp;"PADRÃO",BD!B:AF,31,0),"")</f>
        <v/>
      </c>
      <c r="AD43" s="21" t="str">
        <f>IFERROR(VLOOKUP(Tabela1[[#This Row],[MÊS]]&amp;Tabela1[[#This Row],[MATRICULA]]&amp;"4"&amp;Tabela1[[#This Row],[SETOR]]&amp;"PADRÃO",BD!B:AF,25,0),"")</f>
        <v/>
      </c>
      <c r="AE43" s="21" t="str">
        <f>IFERROR(VLOOKUP(Tabela1[[#This Row],[MÊS]]&amp;Tabela1[[#This Row],[MATRICULA]]&amp;"5"&amp;Tabela1[[#This Row],[SETOR]]&amp;"PADRÃO",BD!B:AF,31,0),"")</f>
        <v/>
      </c>
      <c r="AF43" s="21" t="str">
        <f>IFERROR(VLOOKUP(Tabela1[[#This Row],[MÊS]]&amp;Tabela1[[#This Row],[MATRICULA]]&amp;"6"&amp;Tabela1[[#This Row],[SETOR]]&amp;"PADRÃO",BD!B:AF,31,0),"")</f>
        <v/>
      </c>
      <c r="AG43" s="21" t="str">
        <f>IFERROR(VLOOKUP(Tabela1[[#This Row],[MÊS]]&amp;Tabela1[[#This Row],[MATRICULA]]&amp;"7"&amp;Tabela1[[#This Row],[SETOR]]&amp;"PADRÃO",BD!B:AF,31,0),"")</f>
        <v/>
      </c>
      <c r="AH43" s="21" t="str">
        <f>IFERROR(VLOOKUP(Tabela1[[#This Row],[MÊS]]&amp;Tabela1[[#This Row],[ID]]&amp;Tabela1[[#This Row],[MATRICULA]]&amp;"Receptiva"&amp;Tabela1[[#This Row],[SETOR]],BD!A:AF,31,0),"")</f>
        <v/>
      </c>
      <c r="AI43" s="21" t="str">
        <f>IFERROR(VLOOKUP(Tabela1[[#This Row],[MÊS]]&amp;Tabela1[[#This Row],[ID]]&amp;Tabela1[[#This Row],[MATRICULA]]&amp;"Receptiva 2"&amp;Tabela1[[#This Row],[SETOR]],BD!A:AF,31,0),"")</f>
        <v/>
      </c>
      <c r="AJ43" s="21" t="str">
        <f>IFERROR(VLOOKUP(Tabela1[[#This Row],[MÊS]]&amp;Tabela1[[#This Row],[ID]]&amp;Tabela1[[#This Row],[MATRICULA]]&amp;"Receptiva 3"&amp;Tabela1[[#This Row],[SETOR]],BD!A:AF,31,0),"")</f>
        <v/>
      </c>
      <c r="AK43" s="21" t="str">
        <f>IFERROR(VLOOKUP(Tabela1[[#This Row],[MÊS]]&amp;Tabela1[[#This Row],[ID]]&amp;Tabela1[[#This Row],[MATRICULA]]&amp;"Receptiva 4"&amp;Tabela1[[#This Row],[SETOR]],BD!A:AF,31,0),"")</f>
        <v/>
      </c>
      <c r="AL43" s="21" t="str">
        <f>IFERROR(VLOOKUP(Tabela1[[#This Row],[MÊS]]&amp;Tabela1[[#This Row],[MATRICULA]]&amp;"Motorista"&amp;Tabela1[[#This Row],[SETOR]],BD!A:AF,31,0),"")</f>
        <v/>
      </c>
      <c r="AM43" s="21" t="str">
        <f>IFERROR(VLOOKUP(Tabela1[[#This Row],[MÊS]]&amp;Tabela1[[#This Row],[ID]]&amp;Tabela1[[#This Row],[MATRICULA]]&amp;"Motorista 2"&amp;Tabela1[[#This Row],[SETOR]],BD!A:AF,26,0),"")</f>
        <v/>
      </c>
      <c r="AN43" s="21" t="str">
        <f>IFERROR(VLOOKUP(Tabela1[[#This Row],[MÊS]]&amp;Tabela1[[#This Row],[ID]]&amp;Tabela1[[#This Row],[MATRICULA]]&amp;"Motorista 3"&amp;Tabela1[[#This Row],[SETOR]],BD!A:AF,26,0),"")</f>
        <v/>
      </c>
      <c r="AO43" s="21" t="str">
        <f>IFERROR(VLOOKUP(Tabela1[[#This Row],[MÊS]]&amp;Tabela1[[#This Row],[ID]]&amp;Tabela1[[#This Row],[MATRICULA]]&amp;"Motorista 4"&amp;Tabela1[[#This Row],[SETOR]],BD!A:AF,26,0),"")</f>
        <v/>
      </c>
      <c r="AP43" s="21" t="str">
        <f>IFERROR(VLOOKUP(Tabela1[[#This Row],[MÊS]]&amp;Tabela1[[#This Row],[MATRICULA]]&amp;"Ponto de Apoio"&amp;Tabela1[[#This Row],[SETOR]],BD!A:AF,31,0),"")</f>
        <v/>
      </c>
      <c r="AQ43" s="21" t="str">
        <f>IFERROR(VLOOKUP(Tabela1[[#This Row],[MÊS]]&amp;Tabela1[[#This Row],[ID]]&amp;Tabela1[[#This Row],[MATRICULA]]&amp;"Ponto de Apoio 2"&amp;Tabela1[[#This Row],[SETOR]],BD!A:AF,26,0),"")</f>
        <v/>
      </c>
      <c r="AR43" s="36" t="str">
        <f>IFERROR(VLOOKUP(Tabela1[[#This Row],[MÊS]]&amp;Tabela1[[#This Row],[ID]]&amp;Tabela1[[#This Row],[MATRICULA]]&amp;"Ponto de Apoio 3"&amp;Tabela1[[#This Row],[SETOR]],BD!A:AF,26,0),"")</f>
        <v/>
      </c>
      <c r="AS43" s="36" t="str">
        <f>IFERROR(VLOOKUP(Tabela1[[#This Row],[MÊS]]&amp;Tabela1[[#This Row],[ID]]&amp;Tabela1[[#This Row],[MATRICULA]]&amp;"Ponto de Apoio 4"&amp;Tabela1[[#This Row],[SETOR]],BD!A:AF,26,0),"")</f>
        <v/>
      </c>
      <c r="AT43" s="21" t="str">
        <f>IFERROR(VLOOKUP(Tabela1[[#This Row],[MÊS]]&amp;Tabela1[[#This Row],[MATRICULA]]&amp;"Cliente"&amp;Tabela1[[#This Row],[SETOR]],BD!A:AF,31,0),"")</f>
        <v/>
      </c>
      <c r="AU43" s="21" t="str">
        <f>IFERROR(VLOOKUP(Tabela1[[#This Row],[MÊS]]&amp;Tabela1[[#This Row],[ID]]&amp;Tabela1[[#This Row],[MATRICULA]]&amp;"Cliente 2"&amp;Tabela1[[#This Row],[SETOR]],BD!A:AF,26,0),"")</f>
        <v/>
      </c>
      <c r="AX43" s="21" t="str">
        <f>IFERROR(VLOOKUP(Tabela1[[#This Row],[MÊS]]&amp;Tabela1[[#This Row],[MATRICULA]]&amp;"Policia"&amp;Tabela1[[#This Row],[SETOR]],BD!A:AF,31,0),"")</f>
        <v/>
      </c>
      <c r="AY43" s="21" t="str">
        <f>IFERROR(VLOOKUP(Tabela1[[#This Row],[MÊS]]&amp;Tabela1[[#This Row],[ID]]&amp;Tabela1[[#This Row],[MATRICULA]]&amp;"Policia 2"&amp;Tabela1[[#This Row],[SETOR]],BD!A:AF,26,0),"")</f>
        <v/>
      </c>
      <c r="AZ43" s="36" t="str">
        <f>IFERROR(VLOOKUP(Tabela1[[#This Row],[MÊS]]&amp;Tabela1[[#This Row],[ID]]&amp;Tabela1[[#This Row],[MATRICULA]]&amp;"Policia 3"&amp;Tabela1[[#This Row],[SETOR]],BD!A:AF,26,0),"")</f>
        <v/>
      </c>
      <c r="BA43" s="36" t="str">
        <f>IFERROR(VLOOKUP(Tabela1[[#This Row],[MÊS]]&amp;Tabela1[[#This Row],[ID]]&amp;Tabela1[[#This Row],[MATRICULA]]&amp;"Policia 4"&amp;Tabela1[[#This Row],[SETOR]],BD!A:AF,26,0),"")</f>
        <v/>
      </c>
      <c r="BB4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3" s="21" t="str">
        <f>IFERROR(AVERAGE(Tabela1[[#This Row],[M]:[M4]]),"")</f>
        <v/>
      </c>
      <c r="BD43" s="21" t="str">
        <f>IFERROR(AVERAGE(Tabela1[[#This Row],[C]:[C4]]),"")</f>
        <v/>
      </c>
      <c r="BE43" s="21" t="str">
        <f>IFERROR(AVERAGE(Tabela1[[#This Row],[PA2]:[PA 4]]),"")</f>
        <v/>
      </c>
      <c r="BF43" s="21" t="str">
        <f>IFERROR(AVERAGE(Tabela1[[#This Row],[PL]:[PL4]]),"")</f>
        <v/>
      </c>
      <c r="BG43" s="35" t="str">
        <f>IFERROR(VLOOKUP(Tabela1[[#This Row],[MÊS]]&amp;Tabela1[[#This Row],[MATRICULA]],#REF!,2,0),"")</f>
        <v/>
      </c>
      <c r="BH43" s="35" t="str">
        <f>IFERROR(VLOOKUP(Tabela1[[#This Row],[MÊS]]&amp;Tabela1[[#This Row],[MATRICULA]],#REF!,2,0),"")</f>
        <v/>
      </c>
      <c r="BI43" s="35" t="str">
        <f>IFERROR(VLOOKUP(Tabela1[[#This Row],[MÊS]]&amp;Tabela1[[#This Row],[MATRICULA]],#REF!,2,0),"")</f>
        <v/>
      </c>
      <c r="BJ43" s="35" t="str">
        <f>IFERROR(VLOOKUP(Tabela1[[#This Row],[MÊS]]&amp;Tabela1[[#This Row],[MATRICULA]],#REF!,2,0),"")</f>
        <v/>
      </c>
      <c r="BK43" s="35" t="str">
        <f>IFERROR(VLOOKUP(Tabela1[[#This Row],[MÊS]]&amp;Tabela1[[#This Row],[MATRICULA]],#REF!,2,0),"")</f>
        <v/>
      </c>
      <c r="BL43" s="21">
        <f>COUNTIF(Tabela1[[#This Row],[MOT2]:[RECEPTIVA]],"NÃO ENCONTRADA")</f>
        <v>0</v>
      </c>
      <c r="BM43" s="135" t="str">
        <f>IFERROR(VLOOKUP(Tabela1[[#This Row],[MÊS]]&amp;Tabela1[[#This Row],[ID]]&amp;Tabela1[[#This Row],[MATRICULA]]&amp;"Motorista"&amp;Tabela1[[#This Row],[SETOR]],BD!A:AF,13,0),"")</f>
        <v/>
      </c>
      <c r="BN43" s="135" t="str">
        <f>IFERROR(VLOOKUP(Tabela1[[#This Row],[MÊS]]&amp;Tabela1[[#This Row],[ID]]&amp;Tabela1[[#This Row],[MATRICULA]]&amp;"Motorista 2"&amp;Tabela1[[#This Row],[SETOR]],BD!A:AF,13,0),"")</f>
        <v/>
      </c>
      <c r="BO43" s="135" t="str">
        <f>IFERROR(VLOOKUP(Tabela1[[#This Row],[MÊS]]&amp;Tabela1[[#This Row],[ID]]&amp;Tabela1[[#This Row],[MATRICULA]]&amp;"Motorista 3"&amp;Tabela1[[#This Row],[SETOR]],BD!A:AF,13,0),"")</f>
        <v/>
      </c>
      <c r="BP43" s="135" t="str">
        <f>IFERROR(VLOOKUP(Tabela1[[#This Row],[MÊS]]&amp;Tabela1[[#This Row],[ID]]&amp;Tabela1[[#This Row],[MATRICULA]]&amp;"Motorista 4"&amp;Tabela1[[#This Row],[SETOR]],BD!A:AF,13,0),"")</f>
        <v/>
      </c>
      <c r="BQ43" s="135" t="str">
        <f>IFERROR(AVERAGE(Tabela1[[#This Row],[DMOT]:[DMOT4]]),"")</f>
        <v/>
      </c>
      <c r="BR43" s="135" t="str">
        <f>IFERROR(VLOOKUP(Tabela1[[#This Row],[MÊS]]&amp;Tabela1[[#This Row],[ID]]&amp;Tabela1[[#This Row],[MATRICULA]]&amp;"Ponto de Apoio"&amp;Tabela1[[#This Row],[SETOR]],BD!A:AF,13,0),"")</f>
        <v/>
      </c>
      <c r="BS43" s="135" t="str">
        <f>IFERROR(VLOOKUP(Tabela1[[#This Row],[MÊS]]&amp;Tabela1[[#This Row],[ID]]&amp;Tabela1[[#This Row],[MATRICULA]]&amp;"Ponto de Apoio 2"&amp;Tabela1[[#This Row],[SETOR]],BD!A:AF,13,0),"")</f>
        <v/>
      </c>
      <c r="BT43" s="135" t="str">
        <f>IFERROR(VLOOKUP(Tabela1[[#This Row],[MÊS]]&amp;Tabela1[[#This Row],[ID]]&amp;Tabela1[[#This Row],[MATRICULA]]&amp;"Ponto de Apoio 3"&amp;Tabela1[[#This Row],[SETOR]],BD!A:AF,13,0),"")</f>
        <v/>
      </c>
      <c r="BU43" s="135" t="str">
        <f>IFERROR(VLOOKUP(Tabela1[[#This Row],[MÊS]]&amp;Tabela1[[#This Row],[ID]]&amp;Tabela1[[#This Row],[MATRICULA]]&amp;"Ponto de Apoio 4"&amp;Tabela1[[#This Row],[SETOR]],BD!A:AF,13,0),"")</f>
        <v/>
      </c>
      <c r="BV43" s="135" t="str">
        <f>IFERROR(AVERAGE(Tabela1[[#This Row],[DPA]:[DPA 4]]),"")</f>
        <v/>
      </c>
      <c r="BW43" s="135" t="str">
        <f>IFERROR(VLOOKUP(Tabela1[[#This Row],[MÊS]]&amp;Tabela1[[#This Row],[ID]]&amp;Tabela1[[#This Row],[MATRICULA]]&amp;"Cliente"&amp;Tabela1[[#This Row],[SETOR]],BD!A:AF,13,0),"")</f>
        <v/>
      </c>
      <c r="BX43" s="135" t="str">
        <f>IFERROR(VLOOKUP(Tabela1[[#This Row],[MÊS]]&amp;Tabela1[[#This Row],[ID]]&amp;Tabela1[[#This Row],[MATRICULA]]&amp;"cliente 2"&amp;Tabela1[[#This Row],[SETOR]],BD!A:AF,13,0),"")</f>
        <v/>
      </c>
      <c r="BY43" s="135" t="str">
        <f>IFERROR(VLOOKUP(Tabela1[[#This Row],[MÊS]]&amp;Tabela1[[#This Row],[ID]]&amp;Tabela1[[#This Row],[MATRICULA]]&amp;"cliente 3"&amp;Tabela1[[#This Row],[SETOR]],BD!A:AF,13,0),"")</f>
        <v/>
      </c>
      <c r="BZ43" s="135" t="str">
        <f>IFERROR(VLOOKUP(Tabela1[[#This Row],[MÊS]]&amp;Tabela1[[#This Row],[ID]]&amp;Tabela1[[#This Row],[MATRICULA]]&amp;"cliente 4"&amp;Tabela1[[#This Row],[SETOR]],BD!A:AF,13,0),"")</f>
        <v/>
      </c>
      <c r="CA43" s="135" t="str">
        <f>IFERROR(AVERAGE(Tabela1[[#This Row],[DCLI]:[DCLI 4]]),"")</f>
        <v/>
      </c>
      <c r="CB43" s="135" t="str">
        <f>IFERROR(VLOOKUP(Tabela1[[#This Row],[MÊS]]&amp;Tabela1[[#This Row],[ID]]&amp;Tabela1[[#This Row],[MATRICULA]]&amp;"Policia"&amp;Tabela1[[#This Row],[SETOR]],BD!A:AF,13,0),"")</f>
        <v/>
      </c>
      <c r="CC43" s="135" t="str">
        <f>IFERROR(VLOOKUP(Tabela1[[#This Row],[MÊS]]&amp;Tabela1[[#This Row],[ID]]&amp;Tabela1[[#This Row],[MATRICULA]]&amp;"Policia 2"&amp;Tabela1[[#This Row],[SETOR]],BD!A:AF,13,0),"")</f>
        <v/>
      </c>
      <c r="CD43" s="135"/>
      <c r="CE43" s="135"/>
      <c r="CF43" s="135" t="str">
        <f>IFERROR((AVERAGE(Tabela1[[#This Row],[DPOL1]:[DPOL4]])),"")</f>
        <v/>
      </c>
      <c r="CG43" s="21" t="str">
        <f>IFERROR(VLOOKUP(Tabela1[[#This Row],[ID]]&amp;Tabela1[[#This Row],[MÊS]]&amp;Tabela1[[#This Row],[MATRICULA]],#REF!,2,0),"")</f>
        <v/>
      </c>
      <c r="CH43" s="21" t="str">
        <f>IFERROR(VLOOKUP(Tabela1[[#This Row],[ID]]&amp;Tabela1[[#This Row],[MÊS]]&amp;Tabela1[[#This Row],[MATRICULA]],#REF!,2,0),"")</f>
        <v/>
      </c>
      <c r="CI43" s="21" t="str">
        <f>IFERROR(VLOOKUP(Tabela1[[#This Row],[MÊS]]&amp;Tabela1[[#This Row],[MATRICULA]],#REF!,2,0),"")</f>
        <v/>
      </c>
    </row>
    <row r="44" spans="1:87">
      <c r="A44" s="12" t="str">
        <f>Tabela1[[#This Row],[MÊS]]&amp;Tabela1[[#This Row],[MATRICULA]]&amp;Tabela1[[#This Row],[ID]]</f>
        <v>JAN110778</v>
      </c>
      <c r="B44" s="12" t="str">
        <f>Tabela1[[#This Row],[MÊS]]&amp;Tabela1[[#This Row],[ID]]&amp;Tabela1[[#This Row],[MATRICULA]]&amp;Tabela1[[#This Row],[SETOR]]</f>
        <v>JAN811077DISTRIBUIÇÃO</v>
      </c>
      <c r="C44" s="130" t="e">
        <f>VLOOKUP(Tabela1[[#This Row],[MATRICULA]],'BD Campos'!A:D,5,0)</f>
        <v>#REF!</v>
      </c>
      <c r="D44" s="133" t="str">
        <f ca="1">IFERROR(SUM(TODAY()-Tabela1[[#This Row],[ADMISSÃO]]),"")</f>
        <v/>
      </c>
      <c r="E44" s="11" t="str">
        <f ca="1">IFERROR(TRUNC(Tabela1[[#This Row],[TEMPO DE CASA (DIAS)]]/30),"")</f>
        <v/>
      </c>
      <c r="F44" s="32" t="str">
        <f ca="1">IFERROR(SUM(Tabela1[[#This Row],[TEMPO DE CASA (MESES)]]/12),"")</f>
        <v/>
      </c>
      <c r="G44" s="133" t="str">
        <f ca="1">IF(Tabela1[[#This Row],[TEMPO DE CASA (DIAS)]]="","SEM DADOS",IF(Tabela1[[#This Row],[TEMPO DE CASA (DIAS)]]&gt;180,"&gt; 6 MESES","&lt; 6 MESES"))</f>
        <v>SEM DADOS</v>
      </c>
      <c r="H44" s="12" t="str">
        <f t="shared" si="4"/>
        <v>JANAmanda Carla8</v>
      </c>
      <c r="I44" s="12" t="str">
        <f>IFERROR(VLOOKUP(Tabela1[[#This Row],[MATRICULA]],'BD Campos'!A:F,7,0),"")</f>
        <v/>
      </c>
      <c r="J44" s="11">
        <v>8</v>
      </c>
      <c r="K44" s="11" t="s">
        <v>669</v>
      </c>
      <c r="L44" s="136">
        <v>11077</v>
      </c>
      <c r="M44" s="12" t="str">
        <f>IFERROR(VLOOKUP(Tabela1[[#This Row],[MATRICULA]],'BD Campos'!A:B,2,0),"")</f>
        <v>PATRICK MIRANDA NUNES</v>
      </c>
      <c r="N44" s="20">
        <f>IFERROR(AVERAGE(Tabela1[[#This Row],[A1]:[A4]]),"")</f>
        <v>8.057500000000001</v>
      </c>
      <c r="O44" s="20" t="str">
        <f>IFERROR(IF(Tabela1[[#This Row],[SETOR]]="RECEPTIVO","",AVERAGE(Tabela1[[#This Row],[A5]:[A6]])),"")</f>
        <v/>
      </c>
      <c r="P44" s="20" t="str">
        <f>IFERROR(IF(Tabela1[[#This Row],[STATUS]]="INATIVO","INATIVO",IF(Tabela1[[#This Row],[STATUS]]="QRT","INATIVO",IF(Tabela1[[#This Row],[OPERACIONAL]]&gt;7.99999,"BOM","RUIM"))),"")</f>
        <v>BOM</v>
      </c>
      <c r="Q44" s="21" t="s">
        <v>667</v>
      </c>
      <c r="R44" s="12" t="s">
        <v>94</v>
      </c>
      <c r="S44" s="12" t="s">
        <v>674</v>
      </c>
      <c r="T44" s="12" t="s">
        <v>94</v>
      </c>
      <c r="U4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44" s="12">
        <f>IF(AND(Tabela1[[#This Row],[SETOR]]="UTI",Tabela1[[#This Row],[M]]&lt;&gt;""),1,IF(AND(Tabela1[[#This Row],[SETOR]]="UTI (RJ)",Tabela1[[#This Row],[M]]&lt;&gt;""),1.5,0))</f>
        <v>0</v>
      </c>
      <c r="X44" s="12">
        <f>IF(AND(Tabela1[[#This Row],[SETOR]]="UTI",Tabela1[[#This Row],[PA2]]&lt;&gt;""),1,IF(AND(Tabela1[[#This Row],[SETOR]]="UTI (RJ)",Tabela1[[#This Row],[PA2]]&lt;&gt;""),0,0))</f>
        <v>0</v>
      </c>
      <c r="Y44" s="12">
        <f>IF(AND(Tabela1[[#This Row],[SETOR]]="UTI",Tabela1[[#This Row],[C]]&lt;&gt;""),1,IF(AND(Tabela1[[#This Row],[SETOR]]="UTI (RJ)",Tabela1[[#This Row],[C]]&lt;&gt;""),1.5,0))</f>
        <v>0</v>
      </c>
      <c r="Z44" s="12">
        <f>IF(AND(Tabela1[[#This Row],[SETOR]]="UTI",Tabela1[[#This Row],[PL]]&lt;&gt;""),1,IF(AND(Tabela1[[#This Row],[SETOR]]="UTI (RJ)",Tabela1[[#This Row],[PL]]&lt;&gt;""),1,0))</f>
        <v>0</v>
      </c>
      <c r="AA44" s="21">
        <f>IFERROR(VLOOKUP(Tabela1[[#This Row],[MÊS]]&amp;Tabela1[[#This Row],[MATRICULA]]&amp;"1"&amp;Tabela1[[#This Row],[SETOR]]&amp;"PADRÃO",BD!B:AF,31,0),"")</f>
        <v>8.2149999999999999</v>
      </c>
      <c r="AB44" s="21">
        <f>IFERROR(VLOOKUP(Tabela1[[#This Row],[MÊS]]&amp;Tabela1[[#This Row],[MATRICULA]]&amp;"2"&amp;Tabela1[[#This Row],[SETOR]]&amp;"PADRÃO",BD!B:AF,31,0),"")</f>
        <v>7.9</v>
      </c>
      <c r="AC44" s="21" t="str">
        <f>IFERROR(VLOOKUP(Tabela1[[#This Row],[MÊS]]&amp;Tabela1[[#This Row],[MATRICULA]]&amp;"3"&amp;Tabela1[[#This Row],[SETOR]]&amp;"PADRÃO",BD!B:AF,31,0),"")</f>
        <v/>
      </c>
      <c r="AD44" s="21" t="str">
        <f>IFERROR(VLOOKUP(Tabela1[[#This Row],[MÊS]]&amp;Tabela1[[#This Row],[MATRICULA]]&amp;"4"&amp;Tabela1[[#This Row],[SETOR]]&amp;"PADRÃO",BD!B:AF,25,0),"")</f>
        <v/>
      </c>
      <c r="AE44" s="21" t="str">
        <f>IFERROR(VLOOKUP(Tabela1[[#This Row],[MÊS]]&amp;Tabela1[[#This Row],[MATRICULA]]&amp;"5"&amp;Tabela1[[#This Row],[SETOR]]&amp;"PADRÃO",BD!B:AF,31,0),"")</f>
        <v/>
      </c>
      <c r="AF44" s="21" t="str">
        <f>IFERROR(VLOOKUP(Tabela1[[#This Row],[MÊS]]&amp;Tabela1[[#This Row],[MATRICULA]]&amp;"6"&amp;Tabela1[[#This Row],[SETOR]]&amp;"PADRÃO",BD!B:AF,31,0),"")</f>
        <v/>
      </c>
      <c r="AG44" s="21" t="str">
        <f>IFERROR(VLOOKUP(Tabela1[[#This Row],[MÊS]]&amp;Tabela1[[#This Row],[MATRICULA]]&amp;"7"&amp;Tabela1[[#This Row],[SETOR]]&amp;"PADRÃO",BD!B:AF,31,0),"")</f>
        <v/>
      </c>
      <c r="AH44" s="21" t="str">
        <f>IFERROR(VLOOKUP(Tabela1[[#This Row],[MÊS]]&amp;Tabela1[[#This Row],[ID]]&amp;Tabela1[[#This Row],[MATRICULA]]&amp;"Receptiva"&amp;Tabela1[[#This Row],[SETOR]],BD!A:AF,31,0),"")</f>
        <v/>
      </c>
      <c r="AI44" s="21" t="str">
        <f>IFERROR(VLOOKUP(Tabela1[[#This Row],[MÊS]]&amp;Tabela1[[#This Row],[ID]]&amp;Tabela1[[#This Row],[MATRICULA]]&amp;"Receptiva 2"&amp;Tabela1[[#This Row],[SETOR]],BD!A:AF,31,0),"")</f>
        <v/>
      </c>
      <c r="AJ44" s="21" t="str">
        <f>IFERROR(VLOOKUP(Tabela1[[#This Row],[MÊS]]&amp;Tabela1[[#This Row],[ID]]&amp;Tabela1[[#This Row],[MATRICULA]]&amp;"Receptiva 3"&amp;Tabela1[[#This Row],[SETOR]],BD!A:AF,31,0),"")</f>
        <v/>
      </c>
      <c r="AK44" s="21" t="str">
        <f>IFERROR(VLOOKUP(Tabela1[[#This Row],[MÊS]]&amp;Tabela1[[#This Row],[ID]]&amp;Tabela1[[#This Row],[MATRICULA]]&amp;"Receptiva 4"&amp;Tabela1[[#This Row],[SETOR]],BD!A:AF,31,0),"")</f>
        <v/>
      </c>
      <c r="AL44" s="21">
        <f>IFERROR(VLOOKUP(Tabela1[[#This Row],[MÊS]]&amp;Tabela1[[#This Row],[MATRICULA]]&amp;"Motorista"&amp;Tabela1[[#This Row],[SETOR]],BD!A:AF,31,0),"")</f>
        <v>0</v>
      </c>
      <c r="AM44" s="21" t="str">
        <f>IFERROR(VLOOKUP(Tabela1[[#This Row],[MÊS]]&amp;Tabela1[[#This Row],[ID]]&amp;Tabela1[[#This Row],[MATRICULA]]&amp;"Motorista 2"&amp;Tabela1[[#This Row],[SETOR]],BD!A:AF,26,0),"")</f>
        <v/>
      </c>
      <c r="AN44" s="21" t="str">
        <f>IFERROR(VLOOKUP(Tabela1[[#This Row],[MÊS]]&amp;Tabela1[[#This Row],[ID]]&amp;Tabela1[[#This Row],[MATRICULA]]&amp;"Motorista 3"&amp;Tabela1[[#This Row],[SETOR]],BD!A:AF,26,0),"")</f>
        <v/>
      </c>
      <c r="AO44" s="21" t="str">
        <f>IFERROR(VLOOKUP(Tabela1[[#This Row],[MÊS]]&amp;Tabela1[[#This Row],[ID]]&amp;Tabela1[[#This Row],[MATRICULA]]&amp;"Motorista 4"&amp;Tabela1[[#This Row],[SETOR]],BD!A:AF,26,0),"")</f>
        <v/>
      </c>
      <c r="AP44" s="21" t="str">
        <f>IFERROR(VLOOKUP(Tabela1[[#This Row],[MÊS]]&amp;Tabela1[[#This Row],[MATRICULA]]&amp;"Ponto de Apoio"&amp;Tabela1[[#This Row],[SETOR]],BD!A:AF,31,0),"")</f>
        <v/>
      </c>
      <c r="AQ44" s="21" t="str">
        <f>IFERROR(VLOOKUP(Tabela1[[#This Row],[MÊS]]&amp;Tabela1[[#This Row],[ID]]&amp;Tabela1[[#This Row],[MATRICULA]]&amp;"Ponto de Apoio 2"&amp;Tabela1[[#This Row],[SETOR]],BD!A:AF,26,0),"")</f>
        <v/>
      </c>
      <c r="AR44" s="36" t="str">
        <f>IFERROR(VLOOKUP(Tabela1[[#This Row],[MÊS]]&amp;Tabela1[[#This Row],[ID]]&amp;Tabela1[[#This Row],[MATRICULA]]&amp;"Ponto de Apoio 3"&amp;Tabela1[[#This Row],[SETOR]],BD!A:AF,26,0),"")</f>
        <v/>
      </c>
      <c r="AS44" s="36" t="str">
        <f>IFERROR(VLOOKUP(Tabela1[[#This Row],[MÊS]]&amp;Tabela1[[#This Row],[ID]]&amp;Tabela1[[#This Row],[MATRICULA]]&amp;"Ponto de Apoio 4"&amp;Tabela1[[#This Row],[SETOR]],BD!A:AF,26,0),"")</f>
        <v/>
      </c>
      <c r="AT44" s="21" t="str">
        <f>IFERROR(VLOOKUP(Tabela1[[#This Row],[MÊS]]&amp;Tabela1[[#This Row],[MATRICULA]]&amp;"Cliente"&amp;Tabela1[[#This Row],[SETOR]],BD!A:AF,31,0),"")</f>
        <v/>
      </c>
      <c r="AU44" s="21" t="str">
        <f>IFERROR(VLOOKUP(Tabela1[[#This Row],[MÊS]]&amp;Tabela1[[#This Row],[ID]]&amp;Tabela1[[#This Row],[MATRICULA]]&amp;"Cliente 2"&amp;Tabela1[[#This Row],[SETOR]],BD!A:AF,26,0),"")</f>
        <v/>
      </c>
      <c r="AX44" s="21" t="str">
        <f>IFERROR(VLOOKUP(Tabela1[[#This Row],[MÊS]]&amp;Tabela1[[#This Row],[MATRICULA]]&amp;"Policia"&amp;Tabela1[[#This Row],[SETOR]],BD!A:AF,31,0),"")</f>
        <v/>
      </c>
      <c r="AY44" s="21" t="str">
        <f>IFERROR(VLOOKUP(Tabela1[[#This Row],[MÊS]]&amp;Tabela1[[#This Row],[ID]]&amp;Tabela1[[#This Row],[MATRICULA]]&amp;"Policia 2"&amp;Tabela1[[#This Row],[SETOR]],BD!A:AF,26,0),"")</f>
        <v/>
      </c>
      <c r="AZ44" s="36" t="str">
        <f>IFERROR(VLOOKUP(Tabela1[[#This Row],[MÊS]]&amp;Tabela1[[#This Row],[ID]]&amp;Tabela1[[#This Row],[MATRICULA]]&amp;"Policia 3"&amp;Tabela1[[#This Row],[SETOR]],BD!A:AF,26,0),"")</f>
        <v/>
      </c>
      <c r="BA44" s="36" t="str">
        <f>IFERROR(VLOOKUP(Tabela1[[#This Row],[MÊS]]&amp;Tabela1[[#This Row],[ID]]&amp;Tabela1[[#This Row],[MATRICULA]]&amp;"Policia 4"&amp;Tabela1[[#This Row],[SETOR]],BD!A:AF,26,0),"")</f>
        <v/>
      </c>
      <c r="BB4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4" s="21">
        <f>IFERROR(AVERAGE(Tabela1[[#This Row],[M]:[M4]]),"")</f>
        <v>0</v>
      </c>
      <c r="BD44" s="21" t="str">
        <f>IFERROR(AVERAGE(Tabela1[[#This Row],[C]:[C4]]),"")</f>
        <v/>
      </c>
      <c r="BE44" s="21" t="str">
        <f>IFERROR(AVERAGE(Tabela1[[#This Row],[PA2]:[PA 4]]),"")</f>
        <v/>
      </c>
      <c r="BF44" s="21" t="str">
        <f>IFERROR(AVERAGE(Tabela1[[#This Row],[PL]:[PL4]]),"")</f>
        <v/>
      </c>
      <c r="BG44" s="35" t="str">
        <f>IFERROR(VLOOKUP(Tabela1[[#This Row],[MÊS]]&amp;Tabela1[[#This Row],[MATRICULA]],#REF!,2,0),"")</f>
        <v/>
      </c>
      <c r="BH44" s="35" t="str">
        <f>IFERROR(VLOOKUP(Tabela1[[#This Row],[MÊS]]&amp;Tabela1[[#This Row],[MATRICULA]],#REF!,2,0),"")</f>
        <v/>
      </c>
      <c r="BI44" s="35" t="str">
        <f>IFERROR(VLOOKUP(Tabela1[[#This Row],[MÊS]]&amp;Tabela1[[#This Row],[MATRICULA]],#REF!,2,0),"")</f>
        <v/>
      </c>
      <c r="BJ44" s="35" t="str">
        <f>IFERROR(VLOOKUP(Tabela1[[#This Row],[MÊS]]&amp;Tabela1[[#This Row],[MATRICULA]],#REF!,2,0),"")</f>
        <v/>
      </c>
      <c r="BK44" s="35" t="str">
        <f>IFERROR(VLOOKUP(Tabela1[[#This Row],[MÊS]]&amp;Tabela1[[#This Row],[MATRICULA]],#REF!,2,0),"")</f>
        <v/>
      </c>
      <c r="BL44" s="21">
        <f>COUNTIF(Tabela1[[#This Row],[MOT2]:[RECEPTIVA]],"NÃO ENCONTRADA")</f>
        <v>0</v>
      </c>
      <c r="BM44" s="135" t="str">
        <f>IFERROR(VLOOKUP(Tabela1[[#This Row],[MÊS]]&amp;Tabela1[[#This Row],[ID]]&amp;Tabela1[[#This Row],[MATRICULA]]&amp;"Motorista"&amp;Tabela1[[#This Row],[SETOR]],BD!A:AF,13,0),"")</f>
        <v/>
      </c>
      <c r="BN44" s="135" t="str">
        <f>IFERROR(VLOOKUP(Tabela1[[#This Row],[MÊS]]&amp;Tabela1[[#This Row],[ID]]&amp;Tabela1[[#This Row],[MATRICULA]]&amp;"Motorista 2"&amp;Tabela1[[#This Row],[SETOR]],BD!A:AF,13,0),"")</f>
        <v/>
      </c>
      <c r="BO44" s="135" t="str">
        <f>IFERROR(VLOOKUP(Tabela1[[#This Row],[MÊS]]&amp;Tabela1[[#This Row],[ID]]&amp;Tabela1[[#This Row],[MATRICULA]]&amp;"Motorista 3"&amp;Tabela1[[#This Row],[SETOR]],BD!A:AF,13,0),"")</f>
        <v/>
      </c>
      <c r="BP44" s="135" t="str">
        <f>IFERROR(VLOOKUP(Tabela1[[#This Row],[MÊS]]&amp;Tabela1[[#This Row],[ID]]&amp;Tabela1[[#This Row],[MATRICULA]]&amp;"Motorista 4"&amp;Tabela1[[#This Row],[SETOR]],BD!A:AF,13,0),"")</f>
        <v/>
      </c>
      <c r="BQ44" s="135" t="str">
        <f>IFERROR(AVERAGE(Tabela1[[#This Row],[DMOT]:[DMOT4]]),"")</f>
        <v/>
      </c>
      <c r="BR44" s="135" t="str">
        <f>IFERROR(VLOOKUP(Tabela1[[#This Row],[MÊS]]&amp;Tabela1[[#This Row],[ID]]&amp;Tabela1[[#This Row],[MATRICULA]]&amp;"Ponto de Apoio"&amp;Tabela1[[#This Row],[SETOR]],BD!A:AF,13,0),"")</f>
        <v/>
      </c>
      <c r="BS44" s="135" t="str">
        <f>IFERROR(VLOOKUP(Tabela1[[#This Row],[MÊS]]&amp;Tabela1[[#This Row],[ID]]&amp;Tabela1[[#This Row],[MATRICULA]]&amp;"Ponto de Apoio 2"&amp;Tabela1[[#This Row],[SETOR]],BD!A:AF,13,0),"")</f>
        <v/>
      </c>
      <c r="BT44" s="135" t="str">
        <f>IFERROR(VLOOKUP(Tabela1[[#This Row],[MÊS]]&amp;Tabela1[[#This Row],[ID]]&amp;Tabela1[[#This Row],[MATRICULA]]&amp;"Ponto de Apoio 3"&amp;Tabela1[[#This Row],[SETOR]],BD!A:AF,13,0),"")</f>
        <v/>
      </c>
      <c r="BU44" s="135" t="str">
        <f>IFERROR(VLOOKUP(Tabela1[[#This Row],[MÊS]]&amp;Tabela1[[#This Row],[ID]]&amp;Tabela1[[#This Row],[MATRICULA]]&amp;"Ponto de Apoio 4"&amp;Tabela1[[#This Row],[SETOR]],BD!A:AF,13,0),"")</f>
        <v/>
      </c>
      <c r="BV44" s="135" t="str">
        <f>IFERROR(AVERAGE(Tabela1[[#This Row],[DPA]:[DPA 4]]),"")</f>
        <v/>
      </c>
      <c r="BW44" s="135" t="str">
        <f>IFERROR(VLOOKUP(Tabela1[[#This Row],[MÊS]]&amp;Tabela1[[#This Row],[ID]]&amp;Tabela1[[#This Row],[MATRICULA]]&amp;"Cliente"&amp;Tabela1[[#This Row],[SETOR]],BD!A:AF,13,0),"")</f>
        <v/>
      </c>
      <c r="BX44" s="135" t="str">
        <f>IFERROR(VLOOKUP(Tabela1[[#This Row],[MÊS]]&amp;Tabela1[[#This Row],[ID]]&amp;Tabela1[[#This Row],[MATRICULA]]&amp;"cliente 2"&amp;Tabela1[[#This Row],[SETOR]],BD!A:AF,13,0),"")</f>
        <v/>
      </c>
      <c r="BY44" s="135" t="str">
        <f>IFERROR(VLOOKUP(Tabela1[[#This Row],[MÊS]]&amp;Tabela1[[#This Row],[ID]]&amp;Tabela1[[#This Row],[MATRICULA]]&amp;"cliente 3"&amp;Tabela1[[#This Row],[SETOR]],BD!A:AF,13,0),"")</f>
        <v/>
      </c>
      <c r="BZ44" s="135" t="str">
        <f>IFERROR(VLOOKUP(Tabela1[[#This Row],[MÊS]]&amp;Tabela1[[#This Row],[ID]]&amp;Tabela1[[#This Row],[MATRICULA]]&amp;"cliente 4"&amp;Tabela1[[#This Row],[SETOR]],BD!A:AF,13,0),"")</f>
        <v/>
      </c>
      <c r="CA44" s="135" t="str">
        <f>IFERROR(AVERAGE(Tabela1[[#This Row],[DCLI]:[DCLI 4]]),"")</f>
        <v/>
      </c>
      <c r="CB44" s="135" t="str">
        <f>IFERROR(VLOOKUP(Tabela1[[#This Row],[MÊS]]&amp;Tabela1[[#This Row],[ID]]&amp;Tabela1[[#This Row],[MATRICULA]]&amp;"Policia"&amp;Tabela1[[#This Row],[SETOR]],BD!A:AF,13,0),"")</f>
        <v/>
      </c>
      <c r="CC44" s="135" t="str">
        <f>IFERROR(VLOOKUP(Tabela1[[#This Row],[MÊS]]&amp;Tabela1[[#This Row],[ID]]&amp;Tabela1[[#This Row],[MATRICULA]]&amp;"Policia 2"&amp;Tabela1[[#This Row],[SETOR]],BD!A:AF,13,0),"")</f>
        <v/>
      </c>
      <c r="CD44" s="135"/>
      <c r="CE44" s="135"/>
      <c r="CF44" s="135" t="str">
        <f>IFERROR((AVERAGE(Tabela1[[#This Row],[DPOL1]:[DPOL4]])),"")</f>
        <v/>
      </c>
      <c r="CG44" s="21" t="str">
        <f>IFERROR(VLOOKUP(Tabela1[[#This Row],[ID]]&amp;Tabela1[[#This Row],[MÊS]]&amp;Tabela1[[#This Row],[MATRICULA]],#REF!,2,0),"")</f>
        <v/>
      </c>
      <c r="CH44" s="21" t="str">
        <f>IFERROR(VLOOKUP(Tabela1[[#This Row],[ID]]&amp;Tabela1[[#This Row],[MÊS]]&amp;Tabela1[[#This Row],[MATRICULA]],#REF!,2,0),"")</f>
        <v/>
      </c>
      <c r="CI44" s="21" t="str">
        <f>IFERROR(VLOOKUP(Tabela1[[#This Row],[MÊS]]&amp;Tabela1[[#This Row],[MATRICULA]],#REF!,2,0),"")</f>
        <v/>
      </c>
    </row>
    <row r="45" spans="1:87">
      <c r="A45" s="12" t="str">
        <f>Tabela1[[#This Row],[MÊS]]&amp;Tabela1[[#This Row],[MATRICULA]]&amp;Tabela1[[#This Row],[ID]]</f>
        <v>JAN110389</v>
      </c>
      <c r="B45" s="12" t="str">
        <f>Tabela1[[#This Row],[MÊS]]&amp;Tabela1[[#This Row],[ID]]&amp;Tabela1[[#This Row],[MATRICULA]]&amp;Tabela1[[#This Row],[SETOR]]</f>
        <v>JAN911038DISTRIBUIÇÃO</v>
      </c>
      <c r="C45" s="130" t="e">
        <f>VLOOKUP(Tabela1[[#This Row],[MATRICULA]],'BD Campos'!A:D,5,0)</f>
        <v>#REF!</v>
      </c>
      <c r="D45" s="133" t="str">
        <f ca="1">IFERROR(SUM(TODAY()-Tabela1[[#This Row],[ADMISSÃO]]),"")</f>
        <v/>
      </c>
      <c r="E45" s="11" t="str">
        <f ca="1">IFERROR(TRUNC(Tabela1[[#This Row],[TEMPO DE CASA (DIAS)]]/30),"")</f>
        <v/>
      </c>
      <c r="F45" s="32" t="str">
        <f ca="1">IFERROR(SUM(Tabela1[[#This Row],[TEMPO DE CASA (MESES)]]/12),"")</f>
        <v/>
      </c>
      <c r="G45" s="133" t="str">
        <f ca="1">IF(Tabela1[[#This Row],[TEMPO DE CASA (DIAS)]]="","SEM DADOS",IF(Tabela1[[#This Row],[TEMPO DE CASA (DIAS)]]&gt;180,"&gt; 6 MESES","&lt; 6 MESES"))</f>
        <v>SEM DADOS</v>
      </c>
      <c r="H45" s="12" t="str">
        <f t="shared" si="4"/>
        <v>JANAmanda Carla9</v>
      </c>
      <c r="I45" s="12" t="str">
        <f>IFERROR(VLOOKUP(Tabela1[[#This Row],[MATRICULA]],'BD Campos'!A:F,7,0),"")</f>
        <v/>
      </c>
      <c r="J45" s="11">
        <v>9</v>
      </c>
      <c r="K45" s="11" t="s">
        <v>669</v>
      </c>
      <c r="L45" s="136">
        <v>11038</v>
      </c>
      <c r="M45" s="12" t="str">
        <f>IFERROR(VLOOKUP(Tabela1[[#This Row],[MATRICULA]],'BD Campos'!A:B,2,0),"")</f>
        <v>ISABELLY DAFINNY MOZAMBITE DE ARAUJO </v>
      </c>
      <c r="N45" s="20">
        <f>IFERROR(AVERAGE(Tabela1[[#This Row],[A1]:[A4]]),"")</f>
        <v>8.7925000000000004</v>
      </c>
      <c r="O45" s="20" t="str">
        <f>IFERROR(IF(Tabela1[[#This Row],[SETOR]]="RECEPTIVO","",AVERAGE(Tabela1[[#This Row],[A5]:[A6]])),"")</f>
        <v/>
      </c>
      <c r="P45" s="20" t="str">
        <f>IFERROR(IF(Tabela1[[#This Row],[STATUS]]="INATIVO","INATIVO",IF(Tabela1[[#This Row],[STATUS]]="QRT","INATIVO",IF(Tabela1[[#This Row],[OPERACIONAL]]&gt;7.99999,"BOM","RUIM"))),"")</f>
        <v>BOM</v>
      </c>
      <c r="Q45" s="21" t="s">
        <v>667</v>
      </c>
      <c r="R45" s="12" t="s">
        <v>94</v>
      </c>
      <c r="S45" s="12" t="s">
        <v>674</v>
      </c>
      <c r="T45" s="12" t="s">
        <v>94</v>
      </c>
      <c r="U4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45" s="12">
        <f>IF(AND(Tabela1[[#This Row],[SETOR]]="UTI",Tabela1[[#This Row],[M]]&lt;&gt;""),1,IF(AND(Tabela1[[#This Row],[SETOR]]="UTI (RJ)",Tabela1[[#This Row],[M]]&lt;&gt;""),1.5,0))</f>
        <v>0</v>
      </c>
      <c r="X45" s="12">
        <f>IF(AND(Tabela1[[#This Row],[SETOR]]="UTI",Tabela1[[#This Row],[PA2]]&lt;&gt;""),1,IF(AND(Tabela1[[#This Row],[SETOR]]="UTI (RJ)",Tabela1[[#This Row],[PA2]]&lt;&gt;""),0,0))</f>
        <v>0</v>
      </c>
      <c r="Y45" s="12">
        <f>IF(AND(Tabela1[[#This Row],[SETOR]]="UTI",Tabela1[[#This Row],[C]]&lt;&gt;""),1,IF(AND(Tabela1[[#This Row],[SETOR]]="UTI (RJ)",Tabela1[[#This Row],[C]]&lt;&gt;""),1.5,0))</f>
        <v>0</v>
      </c>
      <c r="Z45" s="12">
        <f>IF(AND(Tabela1[[#This Row],[SETOR]]="UTI",Tabela1[[#This Row],[PL]]&lt;&gt;""),1,IF(AND(Tabela1[[#This Row],[SETOR]]="UTI (RJ)",Tabela1[[#This Row],[PL]]&lt;&gt;""),1,0))</f>
        <v>0</v>
      </c>
      <c r="AA45" s="21">
        <f>IFERROR(VLOOKUP(Tabela1[[#This Row],[MÊS]]&amp;Tabela1[[#This Row],[MATRICULA]]&amp;"1"&amp;Tabela1[[#This Row],[SETOR]]&amp;"PADRÃO",BD!B:AF,31,0),"")</f>
        <v>8.8974999999999991</v>
      </c>
      <c r="AB45" s="21">
        <f>IFERROR(VLOOKUP(Tabela1[[#This Row],[MÊS]]&amp;Tabela1[[#This Row],[MATRICULA]]&amp;"2"&amp;Tabela1[[#This Row],[SETOR]]&amp;"PADRÃO",BD!B:AF,31,0),"")</f>
        <v>8.6875</v>
      </c>
      <c r="AC45" s="21" t="str">
        <f>IFERROR(VLOOKUP(Tabela1[[#This Row],[MÊS]]&amp;Tabela1[[#This Row],[MATRICULA]]&amp;"3"&amp;Tabela1[[#This Row],[SETOR]]&amp;"PADRÃO",BD!B:AF,31,0),"")</f>
        <v/>
      </c>
      <c r="AD45" s="21" t="str">
        <f>IFERROR(VLOOKUP(Tabela1[[#This Row],[MÊS]]&amp;Tabela1[[#This Row],[MATRICULA]]&amp;"4"&amp;Tabela1[[#This Row],[SETOR]]&amp;"PADRÃO",BD!B:AF,25,0),"")</f>
        <v/>
      </c>
      <c r="AE45" s="21" t="str">
        <f>IFERROR(VLOOKUP(Tabela1[[#This Row],[MÊS]]&amp;Tabela1[[#This Row],[MATRICULA]]&amp;"5"&amp;Tabela1[[#This Row],[SETOR]]&amp;"PADRÃO",BD!B:AF,31,0),"")</f>
        <v/>
      </c>
      <c r="AF45" s="21" t="str">
        <f>IFERROR(VLOOKUP(Tabela1[[#This Row],[MÊS]]&amp;Tabela1[[#This Row],[MATRICULA]]&amp;"6"&amp;Tabela1[[#This Row],[SETOR]]&amp;"PADRÃO",BD!B:AF,31,0),"")</f>
        <v/>
      </c>
      <c r="AG45" s="21" t="str">
        <f>IFERROR(VLOOKUP(Tabela1[[#This Row],[MÊS]]&amp;Tabela1[[#This Row],[MATRICULA]]&amp;"7"&amp;Tabela1[[#This Row],[SETOR]]&amp;"PADRÃO",BD!B:AF,31,0),"")</f>
        <v/>
      </c>
      <c r="AH45" s="21" t="str">
        <f>IFERROR(VLOOKUP(Tabela1[[#This Row],[MÊS]]&amp;Tabela1[[#This Row],[ID]]&amp;Tabela1[[#This Row],[MATRICULA]]&amp;"Receptiva"&amp;Tabela1[[#This Row],[SETOR]],BD!A:AF,31,0),"")</f>
        <v/>
      </c>
      <c r="AI45" s="21" t="str">
        <f>IFERROR(VLOOKUP(Tabela1[[#This Row],[MÊS]]&amp;Tabela1[[#This Row],[ID]]&amp;Tabela1[[#This Row],[MATRICULA]]&amp;"Receptiva 2"&amp;Tabela1[[#This Row],[SETOR]],BD!A:AF,31,0),"")</f>
        <v/>
      </c>
      <c r="AJ45" s="21" t="str">
        <f>IFERROR(VLOOKUP(Tabela1[[#This Row],[MÊS]]&amp;Tabela1[[#This Row],[ID]]&amp;Tabela1[[#This Row],[MATRICULA]]&amp;"Receptiva 3"&amp;Tabela1[[#This Row],[SETOR]],BD!A:AF,31,0),"")</f>
        <v/>
      </c>
      <c r="AK45" s="21" t="str">
        <f>IFERROR(VLOOKUP(Tabela1[[#This Row],[MÊS]]&amp;Tabela1[[#This Row],[ID]]&amp;Tabela1[[#This Row],[MATRICULA]]&amp;"Receptiva 4"&amp;Tabela1[[#This Row],[SETOR]],BD!A:AF,31,0),"")</f>
        <v/>
      </c>
      <c r="AL45" s="21">
        <f>IFERROR(VLOOKUP(Tabela1[[#This Row],[MÊS]]&amp;Tabela1[[#This Row],[MATRICULA]]&amp;"Motorista"&amp;Tabela1[[#This Row],[SETOR]],BD!A:AF,31,0),"")</f>
        <v>0</v>
      </c>
      <c r="AM45" s="21" t="str">
        <f>IFERROR(VLOOKUP(Tabela1[[#This Row],[MÊS]]&amp;Tabela1[[#This Row],[ID]]&amp;Tabela1[[#This Row],[MATRICULA]]&amp;"Motorista 2"&amp;Tabela1[[#This Row],[SETOR]],BD!A:AF,26,0),"")</f>
        <v/>
      </c>
      <c r="AN45" s="21" t="str">
        <f>IFERROR(VLOOKUP(Tabela1[[#This Row],[MÊS]]&amp;Tabela1[[#This Row],[ID]]&amp;Tabela1[[#This Row],[MATRICULA]]&amp;"Motorista 3"&amp;Tabela1[[#This Row],[SETOR]],BD!A:AF,26,0),"")</f>
        <v/>
      </c>
      <c r="AO45" s="21" t="str">
        <f>IFERROR(VLOOKUP(Tabela1[[#This Row],[MÊS]]&amp;Tabela1[[#This Row],[ID]]&amp;Tabela1[[#This Row],[MATRICULA]]&amp;"Motorista 4"&amp;Tabela1[[#This Row],[SETOR]],BD!A:AF,26,0),"")</f>
        <v/>
      </c>
      <c r="AP45" s="21" t="str">
        <f>IFERROR(VLOOKUP(Tabela1[[#This Row],[MÊS]]&amp;Tabela1[[#This Row],[MATRICULA]]&amp;"Ponto de Apoio"&amp;Tabela1[[#This Row],[SETOR]],BD!A:AF,31,0),"")</f>
        <v/>
      </c>
      <c r="AQ45" s="21" t="str">
        <f>IFERROR(VLOOKUP(Tabela1[[#This Row],[MÊS]]&amp;Tabela1[[#This Row],[ID]]&amp;Tabela1[[#This Row],[MATRICULA]]&amp;"Ponto de Apoio 2"&amp;Tabela1[[#This Row],[SETOR]],BD!A:AF,26,0),"")</f>
        <v/>
      </c>
      <c r="AR45" s="36" t="str">
        <f>IFERROR(VLOOKUP(Tabela1[[#This Row],[MÊS]]&amp;Tabela1[[#This Row],[ID]]&amp;Tabela1[[#This Row],[MATRICULA]]&amp;"Ponto de Apoio 3"&amp;Tabela1[[#This Row],[SETOR]],BD!A:AF,26,0),"")</f>
        <v/>
      </c>
      <c r="AS45" s="36" t="str">
        <f>IFERROR(VLOOKUP(Tabela1[[#This Row],[MÊS]]&amp;Tabela1[[#This Row],[ID]]&amp;Tabela1[[#This Row],[MATRICULA]]&amp;"Ponto de Apoio 4"&amp;Tabela1[[#This Row],[SETOR]],BD!A:AF,26,0),"")</f>
        <v/>
      </c>
      <c r="AT45" s="21" t="str">
        <f>IFERROR(VLOOKUP(Tabela1[[#This Row],[MÊS]]&amp;Tabela1[[#This Row],[MATRICULA]]&amp;"Cliente"&amp;Tabela1[[#This Row],[SETOR]],BD!A:AF,31,0),"")</f>
        <v/>
      </c>
      <c r="AU45" s="21" t="str">
        <f>IFERROR(VLOOKUP(Tabela1[[#This Row],[MÊS]]&amp;Tabela1[[#This Row],[ID]]&amp;Tabela1[[#This Row],[MATRICULA]]&amp;"Cliente 2"&amp;Tabela1[[#This Row],[SETOR]],BD!A:AF,26,0),"")</f>
        <v/>
      </c>
      <c r="AX45" s="21" t="str">
        <f>IFERROR(VLOOKUP(Tabela1[[#This Row],[MÊS]]&amp;Tabela1[[#This Row],[MATRICULA]]&amp;"Policia"&amp;Tabela1[[#This Row],[SETOR]],BD!A:AF,31,0),"")</f>
        <v/>
      </c>
      <c r="AY45" s="21" t="str">
        <f>IFERROR(VLOOKUP(Tabela1[[#This Row],[MÊS]]&amp;Tabela1[[#This Row],[ID]]&amp;Tabela1[[#This Row],[MATRICULA]]&amp;"Policia 2"&amp;Tabela1[[#This Row],[SETOR]],BD!A:AF,26,0),"")</f>
        <v/>
      </c>
      <c r="AZ45" s="36" t="str">
        <f>IFERROR(VLOOKUP(Tabela1[[#This Row],[MÊS]]&amp;Tabela1[[#This Row],[ID]]&amp;Tabela1[[#This Row],[MATRICULA]]&amp;"Policia 3"&amp;Tabela1[[#This Row],[SETOR]],BD!A:AF,26,0),"")</f>
        <v/>
      </c>
      <c r="BA45" s="36" t="str">
        <f>IFERROR(VLOOKUP(Tabela1[[#This Row],[MÊS]]&amp;Tabela1[[#This Row],[ID]]&amp;Tabela1[[#This Row],[MATRICULA]]&amp;"Policia 4"&amp;Tabela1[[#This Row],[SETOR]],BD!A:AF,26,0),"")</f>
        <v/>
      </c>
      <c r="BB4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5" s="21">
        <f>IFERROR(AVERAGE(Tabela1[[#This Row],[M]:[M4]]),"")</f>
        <v>0</v>
      </c>
      <c r="BD45" s="21" t="str">
        <f>IFERROR(AVERAGE(Tabela1[[#This Row],[C]:[C4]]),"")</f>
        <v/>
      </c>
      <c r="BE45" s="21" t="str">
        <f>IFERROR(AVERAGE(Tabela1[[#This Row],[PA2]:[PA 4]]),"")</f>
        <v/>
      </c>
      <c r="BF45" s="21" t="str">
        <f>IFERROR(AVERAGE(Tabela1[[#This Row],[PL]:[PL4]]),"")</f>
        <v/>
      </c>
      <c r="BG45" s="35" t="str">
        <f>IFERROR(VLOOKUP(Tabela1[[#This Row],[MÊS]]&amp;Tabela1[[#This Row],[MATRICULA]],#REF!,2,0),"")</f>
        <v/>
      </c>
      <c r="BH45" s="35" t="str">
        <f>IFERROR(VLOOKUP(Tabela1[[#This Row],[MÊS]]&amp;Tabela1[[#This Row],[MATRICULA]],#REF!,2,0),"")</f>
        <v/>
      </c>
      <c r="BI45" s="35" t="str">
        <f>IFERROR(VLOOKUP(Tabela1[[#This Row],[MÊS]]&amp;Tabela1[[#This Row],[MATRICULA]],#REF!,2,0),"")</f>
        <v/>
      </c>
      <c r="BJ45" s="35" t="str">
        <f>IFERROR(VLOOKUP(Tabela1[[#This Row],[MÊS]]&amp;Tabela1[[#This Row],[MATRICULA]],#REF!,2,0),"")</f>
        <v/>
      </c>
      <c r="BK45" s="35" t="str">
        <f>IFERROR(VLOOKUP(Tabela1[[#This Row],[MÊS]]&amp;Tabela1[[#This Row],[MATRICULA]],#REF!,2,0),"")</f>
        <v/>
      </c>
      <c r="BL45" s="21">
        <f>COUNTIF(Tabela1[[#This Row],[MOT2]:[RECEPTIVA]],"NÃO ENCONTRADA")</f>
        <v>0</v>
      </c>
      <c r="BM45" s="135" t="str">
        <f>IFERROR(VLOOKUP(Tabela1[[#This Row],[MÊS]]&amp;Tabela1[[#This Row],[ID]]&amp;Tabela1[[#This Row],[MATRICULA]]&amp;"Motorista"&amp;Tabela1[[#This Row],[SETOR]],BD!A:AF,13,0),"")</f>
        <v/>
      </c>
      <c r="BN45" s="135" t="str">
        <f>IFERROR(VLOOKUP(Tabela1[[#This Row],[MÊS]]&amp;Tabela1[[#This Row],[ID]]&amp;Tabela1[[#This Row],[MATRICULA]]&amp;"Motorista 2"&amp;Tabela1[[#This Row],[SETOR]],BD!A:AF,13,0),"")</f>
        <v/>
      </c>
      <c r="BO45" s="135" t="str">
        <f>IFERROR(VLOOKUP(Tabela1[[#This Row],[MÊS]]&amp;Tabela1[[#This Row],[ID]]&amp;Tabela1[[#This Row],[MATRICULA]]&amp;"Motorista 3"&amp;Tabela1[[#This Row],[SETOR]],BD!A:AF,13,0),"")</f>
        <v/>
      </c>
      <c r="BP45" s="135" t="str">
        <f>IFERROR(VLOOKUP(Tabela1[[#This Row],[MÊS]]&amp;Tabela1[[#This Row],[ID]]&amp;Tabela1[[#This Row],[MATRICULA]]&amp;"Motorista 4"&amp;Tabela1[[#This Row],[SETOR]],BD!A:AF,13,0),"")</f>
        <v/>
      </c>
      <c r="BQ45" s="135" t="str">
        <f>IFERROR(AVERAGE(Tabela1[[#This Row],[DMOT]:[DMOT4]]),"")</f>
        <v/>
      </c>
      <c r="BR45" s="135" t="str">
        <f>IFERROR(VLOOKUP(Tabela1[[#This Row],[MÊS]]&amp;Tabela1[[#This Row],[ID]]&amp;Tabela1[[#This Row],[MATRICULA]]&amp;"Ponto de Apoio"&amp;Tabela1[[#This Row],[SETOR]],BD!A:AF,13,0),"")</f>
        <v/>
      </c>
      <c r="BS45" s="135" t="str">
        <f>IFERROR(VLOOKUP(Tabela1[[#This Row],[MÊS]]&amp;Tabela1[[#This Row],[ID]]&amp;Tabela1[[#This Row],[MATRICULA]]&amp;"Ponto de Apoio 2"&amp;Tabela1[[#This Row],[SETOR]],BD!A:AF,13,0),"")</f>
        <v/>
      </c>
      <c r="BT45" s="135" t="str">
        <f>IFERROR(VLOOKUP(Tabela1[[#This Row],[MÊS]]&amp;Tabela1[[#This Row],[ID]]&amp;Tabela1[[#This Row],[MATRICULA]]&amp;"Ponto de Apoio 3"&amp;Tabela1[[#This Row],[SETOR]],BD!A:AF,13,0),"")</f>
        <v/>
      </c>
      <c r="BU45" s="135" t="str">
        <f>IFERROR(VLOOKUP(Tabela1[[#This Row],[MÊS]]&amp;Tabela1[[#This Row],[ID]]&amp;Tabela1[[#This Row],[MATRICULA]]&amp;"Ponto de Apoio 4"&amp;Tabela1[[#This Row],[SETOR]],BD!A:AF,13,0),"")</f>
        <v/>
      </c>
      <c r="BV45" s="135" t="str">
        <f>IFERROR(AVERAGE(Tabela1[[#This Row],[DPA]:[DPA 4]]),"")</f>
        <v/>
      </c>
      <c r="BW45" s="135" t="str">
        <f>IFERROR(VLOOKUP(Tabela1[[#This Row],[MÊS]]&amp;Tabela1[[#This Row],[ID]]&amp;Tabela1[[#This Row],[MATRICULA]]&amp;"Cliente"&amp;Tabela1[[#This Row],[SETOR]],BD!A:AF,13,0),"")</f>
        <v/>
      </c>
      <c r="BX45" s="135" t="str">
        <f>IFERROR(VLOOKUP(Tabela1[[#This Row],[MÊS]]&amp;Tabela1[[#This Row],[ID]]&amp;Tabela1[[#This Row],[MATRICULA]]&amp;"cliente 2"&amp;Tabela1[[#This Row],[SETOR]],BD!A:AF,13,0),"")</f>
        <v/>
      </c>
      <c r="BY45" s="135" t="str">
        <f>IFERROR(VLOOKUP(Tabela1[[#This Row],[MÊS]]&amp;Tabela1[[#This Row],[ID]]&amp;Tabela1[[#This Row],[MATRICULA]]&amp;"cliente 3"&amp;Tabela1[[#This Row],[SETOR]],BD!A:AF,13,0),"")</f>
        <v/>
      </c>
      <c r="BZ45" s="135" t="str">
        <f>IFERROR(VLOOKUP(Tabela1[[#This Row],[MÊS]]&amp;Tabela1[[#This Row],[ID]]&amp;Tabela1[[#This Row],[MATRICULA]]&amp;"cliente 4"&amp;Tabela1[[#This Row],[SETOR]],BD!A:AF,13,0),"")</f>
        <v/>
      </c>
      <c r="CA45" s="135" t="str">
        <f>IFERROR(AVERAGE(Tabela1[[#This Row],[DCLI]:[DCLI 4]]),"")</f>
        <v/>
      </c>
      <c r="CB45" s="135" t="str">
        <f>IFERROR(VLOOKUP(Tabela1[[#This Row],[MÊS]]&amp;Tabela1[[#This Row],[ID]]&amp;Tabela1[[#This Row],[MATRICULA]]&amp;"Policia"&amp;Tabela1[[#This Row],[SETOR]],BD!A:AF,13,0),"")</f>
        <v/>
      </c>
      <c r="CC45" s="135" t="str">
        <f>IFERROR(VLOOKUP(Tabela1[[#This Row],[MÊS]]&amp;Tabela1[[#This Row],[ID]]&amp;Tabela1[[#This Row],[MATRICULA]]&amp;"Policia 2"&amp;Tabela1[[#This Row],[SETOR]],BD!A:AF,13,0),"")</f>
        <v/>
      </c>
      <c r="CD45" s="135"/>
      <c r="CE45" s="135"/>
      <c r="CF45" s="135" t="str">
        <f>IFERROR((AVERAGE(Tabela1[[#This Row],[DPOL1]:[DPOL4]])),"")</f>
        <v/>
      </c>
      <c r="CG45" s="21" t="str">
        <f>IFERROR(VLOOKUP(Tabela1[[#This Row],[ID]]&amp;Tabela1[[#This Row],[MÊS]]&amp;Tabela1[[#This Row],[MATRICULA]],#REF!,2,0),"")</f>
        <v/>
      </c>
      <c r="CH45" s="21" t="str">
        <f>IFERROR(VLOOKUP(Tabela1[[#This Row],[ID]]&amp;Tabela1[[#This Row],[MÊS]]&amp;Tabela1[[#This Row],[MATRICULA]],#REF!,2,0),"")</f>
        <v/>
      </c>
      <c r="CI45" s="21" t="str">
        <f>IFERROR(VLOOKUP(Tabela1[[#This Row],[MÊS]]&amp;Tabela1[[#This Row],[MATRICULA]],#REF!,2,0),"")</f>
        <v/>
      </c>
    </row>
    <row r="46" spans="1:87">
      <c r="A46" s="12" t="str">
        <f>Tabela1[[#This Row],[MÊS]]&amp;Tabela1[[#This Row],[MATRICULA]]&amp;Tabela1[[#This Row],[ID]]</f>
        <v>JAN13081</v>
      </c>
      <c r="B46" s="12" t="str">
        <f>Tabela1[[#This Row],[MÊS]]&amp;Tabela1[[#This Row],[ID]]&amp;Tabela1[[#This Row],[MATRICULA]]&amp;Tabela1[[#This Row],[SETOR]]</f>
        <v>JAN11308DISTRIBUIÇÃO</v>
      </c>
      <c r="C46" s="130" t="e">
        <f>VLOOKUP(Tabela1[[#This Row],[MATRICULA]],'BD Campos'!A:D,5,0)</f>
        <v>#REF!</v>
      </c>
      <c r="D46" s="133" t="str">
        <f ca="1">IFERROR(SUM(TODAY()-Tabela1[[#This Row],[ADMISSÃO]]),"")</f>
        <v/>
      </c>
      <c r="E46" s="11" t="str">
        <f ca="1">IFERROR(TRUNC(Tabela1[[#This Row],[TEMPO DE CASA (DIAS)]]/30),"")</f>
        <v/>
      </c>
      <c r="F46" s="32" t="str">
        <f ca="1">IFERROR(SUM(Tabela1[[#This Row],[TEMPO DE CASA (MESES)]]/12),"")</f>
        <v/>
      </c>
      <c r="G46" s="133" t="str">
        <f ca="1">IF(Tabela1[[#This Row],[TEMPO DE CASA (DIAS)]]="","SEM DADOS",IF(Tabela1[[#This Row],[TEMPO DE CASA (DIAS)]]&gt;180,"&gt; 6 MESES","&lt; 6 MESES"))</f>
        <v>SEM DADOS</v>
      </c>
      <c r="H46" s="12" t="str">
        <f t="shared" ref="H46:H54" si="5">K46&amp;S46&amp;J46</f>
        <v>JANDouglas de Aguiar1</v>
      </c>
      <c r="I46" s="12" t="str">
        <f>IFERROR(VLOOKUP(Tabela1[[#This Row],[MATRICULA]],'BD Campos'!A:F,7,0),"")</f>
        <v/>
      </c>
      <c r="J46" s="11">
        <v>1</v>
      </c>
      <c r="K46" s="11" t="s">
        <v>669</v>
      </c>
      <c r="L46" s="136">
        <v>1308</v>
      </c>
      <c r="M46" s="12" t="str">
        <f>IFERROR(VLOOKUP(Tabela1[[#This Row],[MATRICULA]],'BD Campos'!A:B,2,0),"")</f>
        <v>BRUNO DA SILVA</v>
      </c>
      <c r="N46" s="20" t="str">
        <f>IFERROR(AVERAGE(Tabela1[[#This Row],[A1]:[A4]]),"")</f>
        <v/>
      </c>
      <c r="O46" s="20" t="str">
        <f>IFERROR(IF(Tabela1[[#This Row],[SETOR]]="RECEPTIVO","",AVERAGE(Tabela1[[#This Row],[A5]:[A6]])),"")</f>
        <v/>
      </c>
      <c r="P46" s="20" t="str">
        <f>IFERROR(IF(Tabela1[[#This Row],[STATUS]]="INATIVO","INATIVO",IF(Tabela1[[#This Row],[STATUS]]="QRT","INATIVO",IF(Tabela1[[#This Row],[OPERACIONAL]]&gt;7.99999,"BOM","RUIM"))),"")</f>
        <v>INATIVO</v>
      </c>
      <c r="Q46" s="21" t="s">
        <v>670</v>
      </c>
      <c r="R46" s="12" t="s">
        <v>94</v>
      </c>
      <c r="S46" s="12" t="s">
        <v>675</v>
      </c>
      <c r="T46" s="12" t="s">
        <v>94</v>
      </c>
      <c r="U4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6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46" s="12">
        <f>IF(AND(Tabela1[[#This Row],[SETOR]]="UTI",Tabela1[[#This Row],[M]]&lt;&gt;""),1,IF(AND(Tabela1[[#This Row],[SETOR]]="UTI (RJ)",Tabela1[[#This Row],[M]]&lt;&gt;""),1.5,0))</f>
        <v>0</v>
      </c>
      <c r="X46" s="12">
        <f>IF(AND(Tabela1[[#This Row],[SETOR]]="UTI",Tabela1[[#This Row],[PA2]]&lt;&gt;""),1,IF(AND(Tabela1[[#This Row],[SETOR]]="UTI (RJ)",Tabela1[[#This Row],[PA2]]&lt;&gt;""),0,0))</f>
        <v>0</v>
      </c>
      <c r="Y46" s="12">
        <f>IF(AND(Tabela1[[#This Row],[SETOR]]="UTI",Tabela1[[#This Row],[C]]&lt;&gt;""),1,IF(AND(Tabela1[[#This Row],[SETOR]]="UTI (RJ)",Tabela1[[#This Row],[C]]&lt;&gt;""),1.5,0))</f>
        <v>0</v>
      </c>
      <c r="Z46" s="12">
        <f>IF(AND(Tabela1[[#This Row],[SETOR]]="UTI",Tabela1[[#This Row],[PL]]&lt;&gt;""),1,IF(AND(Tabela1[[#This Row],[SETOR]]="UTI (RJ)",Tabela1[[#This Row],[PL]]&lt;&gt;""),1,0))</f>
        <v>0</v>
      </c>
      <c r="AA46" s="21" t="str">
        <f>IFERROR(VLOOKUP(Tabela1[[#This Row],[MÊS]]&amp;Tabela1[[#This Row],[MATRICULA]]&amp;"1"&amp;Tabela1[[#This Row],[SETOR]]&amp;"PADRÃO",BD!B:AF,31,0),"")</f>
        <v/>
      </c>
      <c r="AB46" s="21" t="str">
        <f>IFERROR(VLOOKUP(Tabela1[[#This Row],[MÊS]]&amp;Tabela1[[#This Row],[MATRICULA]]&amp;"2"&amp;Tabela1[[#This Row],[SETOR]]&amp;"PADRÃO",BD!B:AF,31,0),"")</f>
        <v/>
      </c>
      <c r="AC46" s="21" t="str">
        <f>IFERROR(VLOOKUP(Tabela1[[#This Row],[MÊS]]&amp;Tabela1[[#This Row],[MATRICULA]]&amp;"3"&amp;Tabela1[[#This Row],[SETOR]]&amp;"PADRÃO",BD!B:AF,31,0),"")</f>
        <v/>
      </c>
      <c r="AD46" s="21" t="str">
        <f>IFERROR(VLOOKUP(Tabela1[[#This Row],[MÊS]]&amp;Tabela1[[#This Row],[MATRICULA]]&amp;"4"&amp;Tabela1[[#This Row],[SETOR]]&amp;"PADRÃO",BD!B:AF,25,0),"")</f>
        <v/>
      </c>
      <c r="AE46" s="21" t="str">
        <f>IFERROR(VLOOKUP(Tabela1[[#This Row],[MÊS]]&amp;Tabela1[[#This Row],[MATRICULA]]&amp;"5"&amp;Tabela1[[#This Row],[SETOR]]&amp;"PADRÃO",BD!B:AF,31,0),"")</f>
        <v/>
      </c>
      <c r="AF46" s="21" t="str">
        <f>IFERROR(VLOOKUP(Tabela1[[#This Row],[MÊS]]&amp;Tabela1[[#This Row],[MATRICULA]]&amp;"6"&amp;Tabela1[[#This Row],[SETOR]]&amp;"PADRÃO",BD!B:AF,31,0),"")</f>
        <v/>
      </c>
      <c r="AG46" s="21" t="str">
        <f>IFERROR(VLOOKUP(Tabela1[[#This Row],[MÊS]]&amp;Tabela1[[#This Row],[MATRICULA]]&amp;"7"&amp;Tabela1[[#This Row],[SETOR]]&amp;"PADRÃO",BD!B:AF,31,0),"")</f>
        <v/>
      </c>
      <c r="AH46" s="21" t="str">
        <f>IFERROR(VLOOKUP(Tabela1[[#This Row],[MÊS]]&amp;Tabela1[[#This Row],[ID]]&amp;Tabela1[[#This Row],[MATRICULA]]&amp;"Receptiva"&amp;Tabela1[[#This Row],[SETOR]],BD!A:AF,31,0),"")</f>
        <v/>
      </c>
      <c r="AI46" s="21" t="str">
        <f>IFERROR(VLOOKUP(Tabela1[[#This Row],[MÊS]]&amp;Tabela1[[#This Row],[ID]]&amp;Tabela1[[#This Row],[MATRICULA]]&amp;"Receptiva 2"&amp;Tabela1[[#This Row],[SETOR]],BD!A:AF,31,0),"")</f>
        <v/>
      </c>
      <c r="AJ46" s="21" t="str">
        <f>IFERROR(VLOOKUP(Tabela1[[#This Row],[MÊS]]&amp;Tabela1[[#This Row],[ID]]&amp;Tabela1[[#This Row],[MATRICULA]]&amp;"Receptiva 3"&amp;Tabela1[[#This Row],[SETOR]],BD!A:AF,31,0),"")</f>
        <v/>
      </c>
      <c r="AK46" s="21" t="str">
        <f>IFERROR(VLOOKUP(Tabela1[[#This Row],[MÊS]]&amp;Tabela1[[#This Row],[ID]]&amp;Tabela1[[#This Row],[MATRICULA]]&amp;"Receptiva 4"&amp;Tabela1[[#This Row],[SETOR]],BD!A:AF,31,0),"")</f>
        <v/>
      </c>
      <c r="AL46" s="21" t="str">
        <f>IFERROR(VLOOKUP(Tabela1[[#This Row],[MÊS]]&amp;Tabela1[[#This Row],[MATRICULA]]&amp;"Motorista"&amp;Tabela1[[#This Row],[SETOR]],BD!A:AF,31,0),"")</f>
        <v/>
      </c>
      <c r="AM46" s="21" t="str">
        <f>IFERROR(VLOOKUP(Tabela1[[#This Row],[MÊS]]&amp;Tabela1[[#This Row],[ID]]&amp;Tabela1[[#This Row],[MATRICULA]]&amp;"Motorista 2"&amp;Tabela1[[#This Row],[SETOR]],BD!A:AF,26,0),"")</f>
        <v/>
      </c>
      <c r="AN46" s="21" t="str">
        <f>IFERROR(VLOOKUP(Tabela1[[#This Row],[MÊS]]&amp;Tabela1[[#This Row],[ID]]&amp;Tabela1[[#This Row],[MATRICULA]]&amp;"Motorista 3"&amp;Tabela1[[#This Row],[SETOR]],BD!A:AF,26,0),"")</f>
        <v/>
      </c>
      <c r="AO46" s="21" t="str">
        <f>IFERROR(VLOOKUP(Tabela1[[#This Row],[MÊS]]&amp;Tabela1[[#This Row],[ID]]&amp;Tabela1[[#This Row],[MATRICULA]]&amp;"Motorista 4"&amp;Tabela1[[#This Row],[SETOR]],BD!A:AF,26,0),"")</f>
        <v/>
      </c>
      <c r="AP46" s="21" t="str">
        <f>IFERROR(VLOOKUP(Tabela1[[#This Row],[MÊS]]&amp;Tabela1[[#This Row],[MATRICULA]]&amp;"Ponto de Apoio"&amp;Tabela1[[#This Row],[SETOR]],BD!A:AF,31,0),"")</f>
        <v/>
      </c>
      <c r="AQ46" s="21" t="str">
        <f>IFERROR(VLOOKUP(Tabela1[[#This Row],[MÊS]]&amp;Tabela1[[#This Row],[ID]]&amp;Tabela1[[#This Row],[MATRICULA]]&amp;"Ponto de Apoio 2"&amp;Tabela1[[#This Row],[SETOR]],BD!A:AF,26,0),"")</f>
        <v/>
      </c>
      <c r="AR46" s="36" t="str">
        <f>IFERROR(VLOOKUP(Tabela1[[#This Row],[MÊS]]&amp;Tabela1[[#This Row],[ID]]&amp;Tabela1[[#This Row],[MATRICULA]]&amp;"Ponto de Apoio 3"&amp;Tabela1[[#This Row],[SETOR]],BD!A:AF,26,0),"")</f>
        <v/>
      </c>
      <c r="AS46" s="36" t="str">
        <f>IFERROR(VLOOKUP(Tabela1[[#This Row],[MÊS]]&amp;Tabela1[[#This Row],[ID]]&amp;Tabela1[[#This Row],[MATRICULA]]&amp;"Ponto de Apoio 4"&amp;Tabela1[[#This Row],[SETOR]],BD!A:AF,26,0),"")</f>
        <v/>
      </c>
      <c r="AT46" s="21" t="str">
        <f>IFERROR(VLOOKUP(Tabela1[[#This Row],[MÊS]]&amp;Tabela1[[#This Row],[MATRICULA]]&amp;"Cliente"&amp;Tabela1[[#This Row],[SETOR]],BD!A:AF,31,0),"")</f>
        <v/>
      </c>
      <c r="AU46" s="21" t="str">
        <f>IFERROR(VLOOKUP(Tabela1[[#This Row],[MÊS]]&amp;Tabela1[[#This Row],[ID]]&amp;Tabela1[[#This Row],[MATRICULA]]&amp;"Cliente 2"&amp;Tabela1[[#This Row],[SETOR]],BD!A:AF,26,0),"")</f>
        <v/>
      </c>
      <c r="AX46" s="21" t="str">
        <f>IFERROR(VLOOKUP(Tabela1[[#This Row],[MÊS]]&amp;Tabela1[[#This Row],[MATRICULA]]&amp;"Policia"&amp;Tabela1[[#This Row],[SETOR]],BD!A:AF,31,0),"")</f>
        <v/>
      </c>
      <c r="AY46" s="21" t="str">
        <f>IFERROR(VLOOKUP(Tabela1[[#This Row],[MÊS]]&amp;Tabela1[[#This Row],[ID]]&amp;Tabela1[[#This Row],[MATRICULA]]&amp;"Policia 2"&amp;Tabela1[[#This Row],[SETOR]],BD!A:AF,26,0),"")</f>
        <v/>
      </c>
      <c r="AZ46" s="36" t="str">
        <f>IFERROR(VLOOKUP(Tabela1[[#This Row],[MÊS]]&amp;Tabela1[[#This Row],[ID]]&amp;Tabela1[[#This Row],[MATRICULA]]&amp;"Policia 3"&amp;Tabela1[[#This Row],[SETOR]],BD!A:AF,26,0),"")</f>
        <v/>
      </c>
      <c r="BA46" s="36" t="str">
        <f>IFERROR(VLOOKUP(Tabela1[[#This Row],[MÊS]]&amp;Tabela1[[#This Row],[ID]]&amp;Tabela1[[#This Row],[MATRICULA]]&amp;"Policia 4"&amp;Tabela1[[#This Row],[SETOR]],BD!A:AF,26,0),"")</f>
        <v/>
      </c>
      <c r="BB4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6" s="21" t="str">
        <f>IFERROR(AVERAGE(Tabela1[[#This Row],[M]:[M4]]),"")</f>
        <v/>
      </c>
      <c r="BD46" s="21" t="str">
        <f>IFERROR(AVERAGE(Tabela1[[#This Row],[C]:[C4]]),"")</f>
        <v/>
      </c>
      <c r="BE46" s="21" t="str">
        <f>IFERROR(AVERAGE(Tabela1[[#This Row],[PA2]:[PA 4]]),"")</f>
        <v/>
      </c>
      <c r="BF46" s="21" t="str">
        <f>IFERROR(AVERAGE(Tabela1[[#This Row],[PL]:[PL4]]),"")</f>
        <v/>
      </c>
      <c r="BG46" s="35" t="str">
        <f>IFERROR(VLOOKUP(Tabela1[[#This Row],[MÊS]]&amp;Tabela1[[#This Row],[MATRICULA]],#REF!,2,0),"")</f>
        <v/>
      </c>
      <c r="BH46" s="35" t="str">
        <f>IFERROR(VLOOKUP(Tabela1[[#This Row],[MÊS]]&amp;Tabela1[[#This Row],[MATRICULA]],#REF!,2,0),"")</f>
        <v/>
      </c>
      <c r="BI46" s="35" t="str">
        <f>IFERROR(VLOOKUP(Tabela1[[#This Row],[MÊS]]&amp;Tabela1[[#This Row],[MATRICULA]],#REF!,2,0),"")</f>
        <v/>
      </c>
      <c r="BJ46" s="35" t="str">
        <f>IFERROR(VLOOKUP(Tabela1[[#This Row],[MÊS]]&amp;Tabela1[[#This Row],[MATRICULA]],#REF!,2,0),"")</f>
        <v/>
      </c>
      <c r="BK46" s="35" t="str">
        <f>IFERROR(VLOOKUP(Tabela1[[#This Row],[MÊS]]&amp;Tabela1[[#This Row],[MATRICULA]],#REF!,2,0),"")</f>
        <v/>
      </c>
      <c r="BL46" s="21">
        <f>COUNTIF(Tabela1[[#This Row],[MOT2]:[RECEPTIVA]],"NÃO ENCONTRADA")</f>
        <v>0</v>
      </c>
      <c r="BM46" s="135" t="str">
        <f>IFERROR(VLOOKUP(Tabela1[[#This Row],[MÊS]]&amp;Tabela1[[#This Row],[ID]]&amp;Tabela1[[#This Row],[MATRICULA]]&amp;"Motorista"&amp;Tabela1[[#This Row],[SETOR]],BD!A:AF,13,0),"")</f>
        <v/>
      </c>
      <c r="BN46" s="135" t="str">
        <f>IFERROR(VLOOKUP(Tabela1[[#This Row],[MÊS]]&amp;Tabela1[[#This Row],[ID]]&amp;Tabela1[[#This Row],[MATRICULA]]&amp;"Motorista 2"&amp;Tabela1[[#This Row],[SETOR]],BD!A:AF,13,0),"")</f>
        <v/>
      </c>
      <c r="BO46" s="135" t="str">
        <f>IFERROR(VLOOKUP(Tabela1[[#This Row],[MÊS]]&amp;Tabela1[[#This Row],[ID]]&amp;Tabela1[[#This Row],[MATRICULA]]&amp;"Motorista 3"&amp;Tabela1[[#This Row],[SETOR]],BD!A:AF,13,0),"")</f>
        <v/>
      </c>
      <c r="BP46" s="135" t="str">
        <f>IFERROR(VLOOKUP(Tabela1[[#This Row],[MÊS]]&amp;Tabela1[[#This Row],[ID]]&amp;Tabela1[[#This Row],[MATRICULA]]&amp;"Motorista 4"&amp;Tabela1[[#This Row],[SETOR]],BD!A:AF,13,0),"")</f>
        <v/>
      </c>
      <c r="BQ46" s="135" t="str">
        <f>IFERROR(AVERAGE(Tabela1[[#This Row],[DMOT]:[DMOT4]]),"")</f>
        <v/>
      </c>
      <c r="BR46" s="135" t="str">
        <f>IFERROR(VLOOKUP(Tabela1[[#This Row],[MÊS]]&amp;Tabela1[[#This Row],[ID]]&amp;Tabela1[[#This Row],[MATRICULA]]&amp;"Ponto de Apoio"&amp;Tabela1[[#This Row],[SETOR]],BD!A:AF,13,0),"")</f>
        <v/>
      </c>
      <c r="BS46" s="135" t="str">
        <f>IFERROR(VLOOKUP(Tabela1[[#This Row],[MÊS]]&amp;Tabela1[[#This Row],[ID]]&amp;Tabela1[[#This Row],[MATRICULA]]&amp;"Ponto de Apoio 2"&amp;Tabela1[[#This Row],[SETOR]],BD!A:AF,13,0),"")</f>
        <v/>
      </c>
      <c r="BT46" s="135" t="str">
        <f>IFERROR(VLOOKUP(Tabela1[[#This Row],[MÊS]]&amp;Tabela1[[#This Row],[ID]]&amp;Tabela1[[#This Row],[MATRICULA]]&amp;"Ponto de Apoio 3"&amp;Tabela1[[#This Row],[SETOR]],BD!A:AF,13,0),"")</f>
        <v/>
      </c>
      <c r="BU46" s="135" t="str">
        <f>IFERROR(VLOOKUP(Tabela1[[#This Row],[MÊS]]&amp;Tabela1[[#This Row],[ID]]&amp;Tabela1[[#This Row],[MATRICULA]]&amp;"Ponto de Apoio 4"&amp;Tabela1[[#This Row],[SETOR]],BD!A:AF,13,0),"")</f>
        <v/>
      </c>
      <c r="BV46" s="135" t="str">
        <f>IFERROR(AVERAGE(Tabela1[[#This Row],[DPA]:[DPA 4]]),"")</f>
        <v/>
      </c>
      <c r="BW46" s="135" t="str">
        <f>IFERROR(VLOOKUP(Tabela1[[#This Row],[MÊS]]&amp;Tabela1[[#This Row],[ID]]&amp;Tabela1[[#This Row],[MATRICULA]]&amp;"Cliente"&amp;Tabela1[[#This Row],[SETOR]],BD!A:AF,13,0),"")</f>
        <v/>
      </c>
      <c r="BX46" s="135" t="str">
        <f>IFERROR(VLOOKUP(Tabela1[[#This Row],[MÊS]]&amp;Tabela1[[#This Row],[ID]]&amp;Tabela1[[#This Row],[MATRICULA]]&amp;"cliente 2"&amp;Tabela1[[#This Row],[SETOR]],BD!A:AF,13,0),"")</f>
        <v/>
      </c>
      <c r="BY46" s="135" t="str">
        <f>IFERROR(VLOOKUP(Tabela1[[#This Row],[MÊS]]&amp;Tabela1[[#This Row],[ID]]&amp;Tabela1[[#This Row],[MATRICULA]]&amp;"cliente 3"&amp;Tabela1[[#This Row],[SETOR]],BD!A:AF,13,0),"")</f>
        <v/>
      </c>
      <c r="BZ46" s="135" t="str">
        <f>IFERROR(VLOOKUP(Tabela1[[#This Row],[MÊS]]&amp;Tabela1[[#This Row],[ID]]&amp;Tabela1[[#This Row],[MATRICULA]]&amp;"cliente 4"&amp;Tabela1[[#This Row],[SETOR]],BD!A:AF,13,0),"")</f>
        <v/>
      </c>
      <c r="CA46" s="135" t="str">
        <f>IFERROR(AVERAGE(Tabela1[[#This Row],[DCLI]:[DCLI 4]]),"")</f>
        <v/>
      </c>
      <c r="CB46" s="135" t="str">
        <f>IFERROR(VLOOKUP(Tabela1[[#This Row],[MÊS]]&amp;Tabela1[[#This Row],[ID]]&amp;Tabela1[[#This Row],[MATRICULA]]&amp;"Policia"&amp;Tabela1[[#This Row],[SETOR]],BD!A:AF,13,0),"")</f>
        <v/>
      </c>
      <c r="CC46" s="135" t="str">
        <f>IFERROR(VLOOKUP(Tabela1[[#This Row],[MÊS]]&amp;Tabela1[[#This Row],[ID]]&amp;Tabela1[[#This Row],[MATRICULA]]&amp;"Policia 2"&amp;Tabela1[[#This Row],[SETOR]],BD!A:AF,13,0),"")</f>
        <v/>
      </c>
      <c r="CD46" s="135"/>
      <c r="CE46" s="135"/>
      <c r="CF46" s="135" t="str">
        <f>IFERROR((AVERAGE(Tabela1[[#This Row],[DPOL1]:[DPOL4]])),"")</f>
        <v/>
      </c>
      <c r="CG46" s="21" t="str">
        <f>IFERROR(VLOOKUP(Tabela1[[#This Row],[ID]]&amp;Tabela1[[#This Row],[MÊS]]&amp;Tabela1[[#This Row],[MATRICULA]],#REF!,2,0),"")</f>
        <v/>
      </c>
      <c r="CH46" s="21" t="str">
        <f>IFERROR(VLOOKUP(Tabela1[[#This Row],[ID]]&amp;Tabela1[[#This Row],[MÊS]]&amp;Tabela1[[#This Row],[MATRICULA]],#REF!,2,0),"")</f>
        <v/>
      </c>
      <c r="CI46" s="21" t="str">
        <f>IFERROR(VLOOKUP(Tabela1[[#This Row],[MÊS]]&amp;Tabela1[[#This Row],[MATRICULA]],#REF!,2,0),"")</f>
        <v/>
      </c>
    </row>
    <row r="47" spans="1:87">
      <c r="A47" s="12" t="str">
        <f>Tabela1[[#This Row],[MÊS]]&amp;Tabela1[[#This Row],[MATRICULA]]&amp;Tabela1[[#This Row],[ID]]</f>
        <v>JAN112082</v>
      </c>
      <c r="B47" s="12" t="str">
        <f>Tabela1[[#This Row],[MÊS]]&amp;Tabela1[[#This Row],[ID]]&amp;Tabela1[[#This Row],[MATRICULA]]&amp;Tabela1[[#This Row],[SETOR]]</f>
        <v>JAN211208DISTRIBUIÇÃO</v>
      </c>
      <c r="C47" s="130" t="e">
        <f>VLOOKUP(Tabela1[[#This Row],[MATRICULA]],'BD Campos'!A:D,5,0)</f>
        <v>#REF!</v>
      </c>
      <c r="D47" s="133" t="str">
        <f ca="1">IFERROR(SUM(TODAY()-Tabela1[[#This Row],[ADMISSÃO]]),"")</f>
        <v/>
      </c>
      <c r="E47" s="11" t="str">
        <f ca="1">IFERROR(TRUNC(Tabela1[[#This Row],[TEMPO DE CASA (DIAS)]]/30),"")</f>
        <v/>
      </c>
      <c r="F47" s="32" t="str">
        <f ca="1">IFERROR(SUM(Tabela1[[#This Row],[TEMPO DE CASA (MESES)]]/12),"")</f>
        <v/>
      </c>
      <c r="G47" s="133" t="str">
        <f ca="1">IF(Tabela1[[#This Row],[TEMPO DE CASA (DIAS)]]="","SEM DADOS",IF(Tabela1[[#This Row],[TEMPO DE CASA (DIAS)]]&gt;180,"&gt; 6 MESES","&lt; 6 MESES"))</f>
        <v>SEM DADOS</v>
      </c>
      <c r="H47" s="12" t="str">
        <f t="shared" si="5"/>
        <v>JANDouglas de Aguiar2</v>
      </c>
      <c r="I47" s="12" t="str">
        <f>IFERROR(VLOOKUP(Tabela1[[#This Row],[MATRICULA]],'BD Campos'!A:F,7,0),"")</f>
        <v/>
      </c>
      <c r="J47" s="11">
        <v>2</v>
      </c>
      <c r="K47" s="11" t="s">
        <v>669</v>
      </c>
      <c r="L47" s="136">
        <v>11208</v>
      </c>
      <c r="M47" s="12" t="str">
        <f>IFERROR(VLOOKUP(Tabela1[[#This Row],[MATRICULA]],'BD Campos'!A:B,2,0),"")</f>
        <v>CAMILA LAMIN</v>
      </c>
      <c r="N47" s="20" t="str">
        <f>IFERROR(AVERAGE(Tabela1[[#This Row],[A1]:[A4]]),"")</f>
        <v/>
      </c>
      <c r="O47" s="20" t="str">
        <f>IFERROR(IF(Tabela1[[#This Row],[SETOR]]="RECEPTIVO","",AVERAGE(Tabela1[[#This Row],[A5]:[A6]])),"")</f>
        <v/>
      </c>
      <c r="P47" s="20" t="str">
        <f>IFERROR(IF(Tabela1[[#This Row],[STATUS]]="INATIVO","INATIVO",IF(Tabela1[[#This Row],[STATUS]]="QRT","INATIVO",IF(Tabela1[[#This Row],[OPERACIONAL]]&gt;7.99999,"BOM","RUIM"))),"")</f>
        <v>INATIVO</v>
      </c>
      <c r="Q47" s="21" t="s">
        <v>670</v>
      </c>
      <c r="R47" s="12" t="s">
        <v>94</v>
      </c>
      <c r="S47" s="12" t="s">
        <v>675</v>
      </c>
      <c r="T47" s="12" t="s">
        <v>94</v>
      </c>
      <c r="U4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7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47" s="12">
        <f>IF(AND(Tabela1[[#This Row],[SETOR]]="UTI",Tabela1[[#This Row],[M]]&lt;&gt;""),1,IF(AND(Tabela1[[#This Row],[SETOR]]="UTI (RJ)",Tabela1[[#This Row],[M]]&lt;&gt;""),1.5,0))</f>
        <v>0</v>
      </c>
      <c r="X47" s="12">
        <f>IF(AND(Tabela1[[#This Row],[SETOR]]="UTI",Tabela1[[#This Row],[PA2]]&lt;&gt;""),1,IF(AND(Tabela1[[#This Row],[SETOR]]="UTI (RJ)",Tabela1[[#This Row],[PA2]]&lt;&gt;""),0,0))</f>
        <v>0</v>
      </c>
      <c r="Y47" s="12">
        <f>IF(AND(Tabela1[[#This Row],[SETOR]]="UTI",Tabela1[[#This Row],[C]]&lt;&gt;""),1,IF(AND(Tabela1[[#This Row],[SETOR]]="UTI (RJ)",Tabela1[[#This Row],[C]]&lt;&gt;""),1.5,0))</f>
        <v>0</v>
      </c>
      <c r="Z47" s="12">
        <f>IF(AND(Tabela1[[#This Row],[SETOR]]="UTI",Tabela1[[#This Row],[PL]]&lt;&gt;""),1,IF(AND(Tabela1[[#This Row],[SETOR]]="UTI (RJ)",Tabela1[[#This Row],[PL]]&lt;&gt;""),1,0))</f>
        <v>0</v>
      </c>
      <c r="AA47" s="21" t="str">
        <f>IFERROR(VLOOKUP(Tabela1[[#This Row],[MÊS]]&amp;Tabela1[[#This Row],[MATRICULA]]&amp;"1"&amp;Tabela1[[#This Row],[SETOR]]&amp;"PADRÃO",BD!B:AF,31,0),"")</f>
        <v/>
      </c>
      <c r="AB47" s="21" t="str">
        <f>IFERROR(VLOOKUP(Tabela1[[#This Row],[MÊS]]&amp;Tabela1[[#This Row],[MATRICULA]]&amp;"2"&amp;Tabela1[[#This Row],[SETOR]]&amp;"PADRÃO",BD!B:AF,31,0),"")</f>
        <v/>
      </c>
      <c r="AC47" s="21" t="str">
        <f>IFERROR(VLOOKUP(Tabela1[[#This Row],[MÊS]]&amp;Tabela1[[#This Row],[MATRICULA]]&amp;"3"&amp;Tabela1[[#This Row],[SETOR]]&amp;"PADRÃO",BD!B:AF,31,0),"")</f>
        <v/>
      </c>
      <c r="AD47" s="21" t="str">
        <f>IFERROR(VLOOKUP(Tabela1[[#This Row],[MÊS]]&amp;Tabela1[[#This Row],[MATRICULA]]&amp;"4"&amp;Tabela1[[#This Row],[SETOR]]&amp;"PADRÃO",BD!B:AF,25,0),"")</f>
        <v/>
      </c>
      <c r="AE47" s="21" t="str">
        <f>IFERROR(VLOOKUP(Tabela1[[#This Row],[MÊS]]&amp;Tabela1[[#This Row],[MATRICULA]]&amp;"5"&amp;Tabela1[[#This Row],[SETOR]]&amp;"PADRÃO",BD!B:AF,31,0),"")</f>
        <v/>
      </c>
      <c r="AF47" s="21" t="str">
        <f>IFERROR(VLOOKUP(Tabela1[[#This Row],[MÊS]]&amp;Tabela1[[#This Row],[MATRICULA]]&amp;"6"&amp;Tabela1[[#This Row],[SETOR]]&amp;"PADRÃO",BD!B:AF,31,0),"")</f>
        <v/>
      </c>
      <c r="AG47" s="21" t="str">
        <f>IFERROR(VLOOKUP(Tabela1[[#This Row],[MÊS]]&amp;Tabela1[[#This Row],[MATRICULA]]&amp;"7"&amp;Tabela1[[#This Row],[SETOR]]&amp;"PADRÃO",BD!B:AF,31,0),"")</f>
        <v/>
      </c>
      <c r="AH47" s="21" t="str">
        <f>IFERROR(VLOOKUP(Tabela1[[#This Row],[MÊS]]&amp;Tabela1[[#This Row],[ID]]&amp;Tabela1[[#This Row],[MATRICULA]]&amp;"Receptiva"&amp;Tabela1[[#This Row],[SETOR]],BD!A:AF,31,0),"")</f>
        <v/>
      </c>
      <c r="AI47" s="21" t="str">
        <f>IFERROR(VLOOKUP(Tabela1[[#This Row],[MÊS]]&amp;Tabela1[[#This Row],[ID]]&amp;Tabela1[[#This Row],[MATRICULA]]&amp;"Receptiva 2"&amp;Tabela1[[#This Row],[SETOR]],BD!A:AF,31,0),"")</f>
        <v/>
      </c>
      <c r="AJ47" s="21" t="str">
        <f>IFERROR(VLOOKUP(Tabela1[[#This Row],[MÊS]]&amp;Tabela1[[#This Row],[ID]]&amp;Tabela1[[#This Row],[MATRICULA]]&amp;"Receptiva 3"&amp;Tabela1[[#This Row],[SETOR]],BD!A:AF,31,0),"")</f>
        <v/>
      </c>
      <c r="AK47" s="21" t="str">
        <f>IFERROR(VLOOKUP(Tabela1[[#This Row],[MÊS]]&amp;Tabela1[[#This Row],[ID]]&amp;Tabela1[[#This Row],[MATRICULA]]&amp;"Receptiva 4"&amp;Tabela1[[#This Row],[SETOR]],BD!A:AF,31,0),"")</f>
        <v/>
      </c>
      <c r="AL47" s="21" t="str">
        <f>IFERROR(VLOOKUP(Tabela1[[#This Row],[MÊS]]&amp;Tabela1[[#This Row],[MATRICULA]]&amp;"Motorista"&amp;Tabela1[[#This Row],[SETOR]],BD!A:AF,31,0),"")</f>
        <v/>
      </c>
      <c r="AM47" s="21" t="str">
        <f>IFERROR(VLOOKUP(Tabela1[[#This Row],[MÊS]]&amp;Tabela1[[#This Row],[ID]]&amp;Tabela1[[#This Row],[MATRICULA]]&amp;"Motorista 2"&amp;Tabela1[[#This Row],[SETOR]],BD!A:AF,26,0),"")</f>
        <v/>
      </c>
      <c r="AN47" s="21" t="str">
        <f>IFERROR(VLOOKUP(Tabela1[[#This Row],[MÊS]]&amp;Tabela1[[#This Row],[ID]]&amp;Tabela1[[#This Row],[MATRICULA]]&amp;"Motorista 3"&amp;Tabela1[[#This Row],[SETOR]],BD!A:AF,26,0),"")</f>
        <v/>
      </c>
      <c r="AO47" s="21" t="str">
        <f>IFERROR(VLOOKUP(Tabela1[[#This Row],[MÊS]]&amp;Tabela1[[#This Row],[ID]]&amp;Tabela1[[#This Row],[MATRICULA]]&amp;"Motorista 4"&amp;Tabela1[[#This Row],[SETOR]],BD!A:AF,26,0),"")</f>
        <v/>
      </c>
      <c r="AP47" s="21" t="str">
        <f>IFERROR(VLOOKUP(Tabela1[[#This Row],[MÊS]]&amp;Tabela1[[#This Row],[MATRICULA]]&amp;"Ponto de Apoio"&amp;Tabela1[[#This Row],[SETOR]],BD!A:AF,31,0),"")</f>
        <v/>
      </c>
      <c r="AQ47" s="21" t="str">
        <f>IFERROR(VLOOKUP(Tabela1[[#This Row],[MÊS]]&amp;Tabela1[[#This Row],[ID]]&amp;Tabela1[[#This Row],[MATRICULA]]&amp;"Ponto de Apoio 2"&amp;Tabela1[[#This Row],[SETOR]],BD!A:AF,26,0),"")</f>
        <v/>
      </c>
      <c r="AR47" s="36" t="str">
        <f>IFERROR(VLOOKUP(Tabela1[[#This Row],[MÊS]]&amp;Tabela1[[#This Row],[ID]]&amp;Tabela1[[#This Row],[MATRICULA]]&amp;"Ponto de Apoio 3"&amp;Tabela1[[#This Row],[SETOR]],BD!A:AF,26,0),"")</f>
        <v/>
      </c>
      <c r="AS47" s="36" t="str">
        <f>IFERROR(VLOOKUP(Tabela1[[#This Row],[MÊS]]&amp;Tabela1[[#This Row],[ID]]&amp;Tabela1[[#This Row],[MATRICULA]]&amp;"Ponto de Apoio 4"&amp;Tabela1[[#This Row],[SETOR]],BD!A:AF,26,0),"")</f>
        <v/>
      </c>
      <c r="AT47" s="21" t="str">
        <f>IFERROR(VLOOKUP(Tabela1[[#This Row],[MÊS]]&amp;Tabela1[[#This Row],[MATRICULA]]&amp;"Cliente"&amp;Tabela1[[#This Row],[SETOR]],BD!A:AF,31,0),"")</f>
        <v/>
      </c>
      <c r="AU47" s="21" t="str">
        <f>IFERROR(VLOOKUP(Tabela1[[#This Row],[MÊS]]&amp;Tabela1[[#This Row],[ID]]&amp;Tabela1[[#This Row],[MATRICULA]]&amp;"Cliente 2"&amp;Tabela1[[#This Row],[SETOR]],BD!A:AF,26,0),"")</f>
        <v/>
      </c>
      <c r="AX47" s="21" t="str">
        <f>IFERROR(VLOOKUP(Tabela1[[#This Row],[MÊS]]&amp;Tabela1[[#This Row],[MATRICULA]]&amp;"Policia"&amp;Tabela1[[#This Row],[SETOR]],BD!A:AF,31,0),"")</f>
        <v/>
      </c>
      <c r="AY47" s="21" t="str">
        <f>IFERROR(VLOOKUP(Tabela1[[#This Row],[MÊS]]&amp;Tabela1[[#This Row],[ID]]&amp;Tabela1[[#This Row],[MATRICULA]]&amp;"Policia 2"&amp;Tabela1[[#This Row],[SETOR]],BD!A:AF,26,0),"")</f>
        <v/>
      </c>
      <c r="AZ47" s="36" t="str">
        <f>IFERROR(VLOOKUP(Tabela1[[#This Row],[MÊS]]&amp;Tabela1[[#This Row],[ID]]&amp;Tabela1[[#This Row],[MATRICULA]]&amp;"Policia 3"&amp;Tabela1[[#This Row],[SETOR]],BD!A:AF,26,0),"")</f>
        <v/>
      </c>
      <c r="BA47" s="36" t="str">
        <f>IFERROR(VLOOKUP(Tabela1[[#This Row],[MÊS]]&amp;Tabela1[[#This Row],[ID]]&amp;Tabela1[[#This Row],[MATRICULA]]&amp;"Policia 4"&amp;Tabela1[[#This Row],[SETOR]],BD!A:AF,26,0),"")</f>
        <v/>
      </c>
      <c r="BB4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7" s="21" t="str">
        <f>IFERROR(AVERAGE(Tabela1[[#This Row],[M]:[M4]]),"")</f>
        <v/>
      </c>
      <c r="BD47" s="21" t="str">
        <f>IFERROR(AVERAGE(Tabela1[[#This Row],[C]:[C4]]),"")</f>
        <v/>
      </c>
      <c r="BE47" s="21" t="str">
        <f>IFERROR(AVERAGE(Tabela1[[#This Row],[PA2]:[PA 4]]),"")</f>
        <v/>
      </c>
      <c r="BF47" s="21" t="str">
        <f>IFERROR(AVERAGE(Tabela1[[#This Row],[PL]:[PL4]]),"")</f>
        <v/>
      </c>
      <c r="BG47" s="35" t="str">
        <f>IFERROR(VLOOKUP(Tabela1[[#This Row],[MÊS]]&amp;Tabela1[[#This Row],[MATRICULA]],#REF!,2,0),"")</f>
        <v/>
      </c>
      <c r="BH47" s="35" t="str">
        <f>IFERROR(VLOOKUP(Tabela1[[#This Row],[MÊS]]&amp;Tabela1[[#This Row],[MATRICULA]],#REF!,2,0),"")</f>
        <v/>
      </c>
      <c r="BI47" s="35" t="str">
        <f>IFERROR(VLOOKUP(Tabela1[[#This Row],[MÊS]]&amp;Tabela1[[#This Row],[MATRICULA]],#REF!,2,0),"")</f>
        <v/>
      </c>
      <c r="BJ47" s="35" t="str">
        <f>IFERROR(VLOOKUP(Tabela1[[#This Row],[MÊS]]&amp;Tabela1[[#This Row],[MATRICULA]],#REF!,2,0),"")</f>
        <v/>
      </c>
      <c r="BK47" s="35" t="str">
        <f>IFERROR(VLOOKUP(Tabela1[[#This Row],[MÊS]]&amp;Tabela1[[#This Row],[MATRICULA]],#REF!,2,0),"")</f>
        <v/>
      </c>
      <c r="BL47" s="21">
        <f>COUNTIF(Tabela1[[#This Row],[MOT2]:[RECEPTIVA]],"NÃO ENCONTRADA")</f>
        <v>0</v>
      </c>
      <c r="BM47" s="135" t="str">
        <f>IFERROR(VLOOKUP(Tabela1[[#This Row],[MÊS]]&amp;Tabela1[[#This Row],[ID]]&amp;Tabela1[[#This Row],[MATRICULA]]&amp;"Motorista"&amp;Tabela1[[#This Row],[SETOR]],BD!A:AF,13,0),"")</f>
        <v/>
      </c>
      <c r="BN47" s="135" t="str">
        <f>IFERROR(VLOOKUP(Tabela1[[#This Row],[MÊS]]&amp;Tabela1[[#This Row],[ID]]&amp;Tabela1[[#This Row],[MATRICULA]]&amp;"Motorista 2"&amp;Tabela1[[#This Row],[SETOR]],BD!A:AF,13,0),"")</f>
        <v/>
      </c>
      <c r="BO47" s="135" t="str">
        <f>IFERROR(VLOOKUP(Tabela1[[#This Row],[MÊS]]&amp;Tabela1[[#This Row],[ID]]&amp;Tabela1[[#This Row],[MATRICULA]]&amp;"Motorista 3"&amp;Tabela1[[#This Row],[SETOR]],BD!A:AF,13,0),"")</f>
        <v/>
      </c>
      <c r="BP47" s="135" t="str">
        <f>IFERROR(VLOOKUP(Tabela1[[#This Row],[MÊS]]&amp;Tabela1[[#This Row],[ID]]&amp;Tabela1[[#This Row],[MATRICULA]]&amp;"Motorista 4"&amp;Tabela1[[#This Row],[SETOR]],BD!A:AF,13,0),"")</f>
        <v/>
      </c>
      <c r="BQ47" s="135" t="str">
        <f>IFERROR(AVERAGE(Tabela1[[#This Row],[DMOT]:[DMOT4]]),"")</f>
        <v/>
      </c>
      <c r="BR47" s="135" t="str">
        <f>IFERROR(VLOOKUP(Tabela1[[#This Row],[MÊS]]&amp;Tabela1[[#This Row],[ID]]&amp;Tabela1[[#This Row],[MATRICULA]]&amp;"Ponto de Apoio"&amp;Tabela1[[#This Row],[SETOR]],BD!A:AF,13,0),"")</f>
        <v/>
      </c>
      <c r="BS47" s="135" t="str">
        <f>IFERROR(VLOOKUP(Tabela1[[#This Row],[MÊS]]&amp;Tabela1[[#This Row],[ID]]&amp;Tabela1[[#This Row],[MATRICULA]]&amp;"Ponto de Apoio 2"&amp;Tabela1[[#This Row],[SETOR]],BD!A:AF,13,0),"")</f>
        <v/>
      </c>
      <c r="BT47" s="135" t="str">
        <f>IFERROR(VLOOKUP(Tabela1[[#This Row],[MÊS]]&amp;Tabela1[[#This Row],[ID]]&amp;Tabela1[[#This Row],[MATRICULA]]&amp;"Ponto de Apoio 3"&amp;Tabela1[[#This Row],[SETOR]],BD!A:AF,13,0),"")</f>
        <v/>
      </c>
      <c r="BU47" s="135" t="str">
        <f>IFERROR(VLOOKUP(Tabela1[[#This Row],[MÊS]]&amp;Tabela1[[#This Row],[ID]]&amp;Tabela1[[#This Row],[MATRICULA]]&amp;"Ponto de Apoio 4"&amp;Tabela1[[#This Row],[SETOR]],BD!A:AF,13,0),"")</f>
        <v/>
      </c>
      <c r="BV47" s="135" t="str">
        <f>IFERROR(AVERAGE(Tabela1[[#This Row],[DPA]:[DPA 4]]),"")</f>
        <v/>
      </c>
      <c r="BW47" s="135" t="str">
        <f>IFERROR(VLOOKUP(Tabela1[[#This Row],[MÊS]]&amp;Tabela1[[#This Row],[ID]]&amp;Tabela1[[#This Row],[MATRICULA]]&amp;"Cliente"&amp;Tabela1[[#This Row],[SETOR]],BD!A:AF,13,0),"")</f>
        <v/>
      </c>
      <c r="BX47" s="135" t="str">
        <f>IFERROR(VLOOKUP(Tabela1[[#This Row],[MÊS]]&amp;Tabela1[[#This Row],[ID]]&amp;Tabela1[[#This Row],[MATRICULA]]&amp;"cliente 2"&amp;Tabela1[[#This Row],[SETOR]],BD!A:AF,13,0),"")</f>
        <v/>
      </c>
      <c r="BY47" s="135" t="str">
        <f>IFERROR(VLOOKUP(Tabela1[[#This Row],[MÊS]]&amp;Tabela1[[#This Row],[ID]]&amp;Tabela1[[#This Row],[MATRICULA]]&amp;"cliente 3"&amp;Tabela1[[#This Row],[SETOR]],BD!A:AF,13,0),"")</f>
        <v/>
      </c>
      <c r="BZ47" s="135" t="str">
        <f>IFERROR(VLOOKUP(Tabela1[[#This Row],[MÊS]]&amp;Tabela1[[#This Row],[ID]]&amp;Tabela1[[#This Row],[MATRICULA]]&amp;"cliente 4"&amp;Tabela1[[#This Row],[SETOR]],BD!A:AF,13,0),"")</f>
        <v/>
      </c>
      <c r="CA47" s="135" t="str">
        <f>IFERROR(AVERAGE(Tabela1[[#This Row],[DCLI]:[DCLI 4]]),"")</f>
        <v/>
      </c>
      <c r="CB47" s="135" t="str">
        <f>IFERROR(VLOOKUP(Tabela1[[#This Row],[MÊS]]&amp;Tabela1[[#This Row],[ID]]&amp;Tabela1[[#This Row],[MATRICULA]]&amp;"Policia"&amp;Tabela1[[#This Row],[SETOR]],BD!A:AF,13,0),"")</f>
        <v/>
      </c>
      <c r="CC47" s="135" t="str">
        <f>IFERROR(VLOOKUP(Tabela1[[#This Row],[MÊS]]&amp;Tabela1[[#This Row],[ID]]&amp;Tabela1[[#This Row],[MATRICULA]]&amp;"Policia 2"&amp;Tabela1[[#This Row],[SETOR]],BD!A:AF,13,0),"")</f>
        <v/>
      </c>
      <c r="CD47" s="135"/>
      <c r="CE47" s="135"/>
      <c r="CF47" s="135" t="str">
        <f>IFERROR((AVERAGE(Tabela1[[#This Row],[DPOL1]:[DPOL4]])),"")</f>
        <v/>
      </c>
      <c r="CG47" s="21" t="str">
        <f>IFERROR(VLOOKUP(Tabela1[[#This Row],[ID]]&amp;Tabela1[[#This Row],[MÊS]]&amp;Tabela1[[#This Row],[MATRICULA]],#REF!,2,0),"")</f>
        <v/>
      </c>
      <c r="CH47" s="21" t="str">
        <f>IFERROR(VLOOKUP(Tabela1[[#This Row],[ID]]&amp;Tabela1[[#This Row],[MÊS]]&amp;Tabela1[[#This Row],[MATRICULA]],#REF!,2,0),"")</f>
        <v/>
      </c>
      <c r="CI47" s="21" t="str">
        <f>IFERROR(VLOOKUP(Tabela1[[#This Row],[MÊS]]&amp;Tabela1[[#This Row],[MATRICULA]],#REF!,2,0),"")</f>
        <v/>
      </c>
    </row>
    <row r="48" spans="1:87">
      <c r="A48" s="12" t="str">
        <f>Tabela1[[#This Row],[MÊS]]&amp;Tabela1[[#This Row],[MATRICULA]]&amp;Tabela1[[#This Row],[ID]]</f>
        <v>JAN114033</v>
      </c>
      <c r="B48" s="12" t="str">
        <f>Tabela1[[#This Row],[MÊS]]&amp;Tabela1[[#This Row],[ID]]&amp;Tabela1[[#This Row],[MATRICULA]]&amp;Tabela1[[#This Row],[SETOR]]</f>
        <v>JAN311403DISTRIBUIÇÃO</v>
      </c>
      <c r="C48" s="130" t="e">
        <f>VLOOKUP(Tabela1[[#This Row],[MATRICULA]],'BD Campos'!A:D,5,0)</f>
        <v>#REF!</v>
      </c>
      <c r="D48" s="133" t="str">
        <f ca="1">IFERROR(SUM(TODAY()-Tabela1[[#This Row],[ADMISSÃO]]),"")</f>
        <v/>
      </c>
      <c r="E48" s="11" t="str">
        <f ca="1">IFERROR(TRUNC(Tabela1[[#This Row],[TEMPO DE CASA (DIAS)]]/30),"")</f>
        <v/>
      </c>
      <c r="F48" s="32" t="str">
        <f ca="1">IFERROR(SUM(Tabela1[[#This Row],[TEMPO DE CASA (MESES)]]/12),"")</f>
        <v/>
      </c>
      <c r="G48" s="133" t="str">
        <f ca="1">IF(Tabela1[[#This Row],[TEMPO DE CASA (DIAS)]]="","SEM DADOS",IF(Tabela1[[#This Row],[TEMPO DE CASA (DIAS)]]&gt;180,"&gt; 6 MESES","&lt; 6 MESES"))</f>
        <v>SEM DADOS</v>
      </c>
      <c r="H48" s="12" t="str">
        <f t="shared" si="5"/>
        <v>JANDouglas de Aguiar3</v>
      </c>
      <c r="I48" s="12" t="str">
        <f>IFERROR(VLOOKUP(Tabela1[[#This Row],[MATRICULA]],'BD Campos'!A:F,7,0),"")</f>
        <v/>
      </c>
      <c r="J48" s="11">
        <v>3</v>
      </c>
      <c r="K48" s="11" t="s">
        <v>669</v>
      </c>
      <c r="L48" s="136">
        <v>11403</v>
      </c>
      <c r="M48" s="12" t="str">
        <f>IFERROR(VLOOKUP(Tabela1[[#This Row],[MATRICULA]],'BD Campos'!A:B,2,0),"")</f>
        <v>EVERTON PINTO DA SILVA</v>
      </c>
      <c r="N48" s="20">
        <f>IFERROR(AVERAGE(Tabela1[[#This Row],[A1]:[A4]]),"")</f>
        <v>3.3987499999999997</v>
      </c>
      <c r="O48" s="20" t="str">
        <f>IFERROR(IF(Tabela1[[#This Row],[SETOR]]="RECEPTIVO","",AVERAGE(Tabela1[[#This Row],[A5]:[A6]])),"")</f>
        <v/>
      </c>
      <c r="P48" s="20" t="str">
        <f>IFERROR(IF(Tabela1[[#This Row],[STATUS]]="INATIVO","INATIVO",IF(Tabela1[[#This Row],[STATUS]]="QRT","INATIVO",IF(Tabela1[[#This Row],[OPERACIONAL]]&gt;7.99999,"BOM","RUIM"))),"")</f>
        <v>RUIM</v>
      </c>
      <c r="Q48" s="21" t="s">
        <v>667</v>
      </c>
      <c r="R48" s="12" t="s">
        <v>94</v>
      </c>
      <c r="S48" s="12" t="s">
        <v>675</v>
      </c>
      <c r="T48" s="12" t="s">
        <v>94</v>
      </c>
      <c r="U4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48" s="12">
        <f>IF(AND(Tabela1[[#This Row],[SETOR]]="UTI",Tabela1[[#This Row],[M]]&lt;&gt;""),1,IF(AND(Tabela1[[#This Row],[SETOR]]="UTI (RJ)",Tabela1[[#This Row],[M]]&lt;&gt;""),1.5,0))</f>
        <v>0</v>
      </c>
      <c r="X48" s="12">
        <f>IF(AND(Tabela1[[#This Row],[SETOR]]="UTI",Tabela1[[#This Row],[PA2]]&lt;&gt;""),1,IF(AND(Tabela1[[#This Row],[SETOR]]="UTI (RJ)",Tabela1[[#This Row],[PA2]]&lt;&gt;""),0,0))</f>
        <v>0</v>
      </c>
      <c r="Y48" s="12">
        <f>IF(AND(Tabela1[[#This Row],[SETOR]]="UTI",Tabela1[[#This Row],[C]]&lt;&gt;""),1,IF(AND(Tabela1[[#This Row],[SETOR]]="UTI (RJ)",Tabela1[[#This Row],[C]]&lt;&gt;""),1.5,0))</f>
        <v>0</v>
      </c>
      <c r="Z48" s="12">
        <f>IF(AND(Tabela1[[#This Row],[SETOR]]="UTI",Tabela1[[#This Row],[PL]]&lt;&gt;""),1,IF(AND(Tabela1[[#This Row],[SETOR]]="UTI (RJ)",Tabela1[[#This Row],[PL]]&lt;&gt;""),1,0))</f>
        <v>0</v>
      </c>
      <c r="AA48" s="21">
        <f>IFERROR(VLOOKUP(Tabela1[[#This Row],[MÊS]]&amp;Tabela1[[#This Row],[MATRICULA]]&amp;"1"&amp;Tabela1[[#This Row],[SETOR]]&amp;"PADRÃO",BD!B:AF,31,0),"")</f>
        <v>6.7974999999999994</v>
      </c>
      <c r="AB48" s="21">
        <f>IFERROR(VLOOKUP(Tabela1[[#This Row],[MÊS]]&amp;Tabela1[[#This Row],[MATRICULA]]&amp;"2"&amp;Tabela1[[#This Row],[SETOR]]&amp;"PADRÃO",BD!B:AF,31,0),"")</f>
        <v>0</v>
      </c>
      <c r="AC48" s="21" t="str">
        <f>IFERROR(VLOOKUP(Tabela1[[#This Row],[MÊS]]&amp;Tabela1[[#This Row],[MATRICULA]]&amp;"3"&amp;Tabela1[[#This Row],[SETOR]]&amp;"PADRÃO",BD!B:AF,31,0),"")</f>
        <v/>
      </c>
      <c r="AD48" s="21" t="str">
        <f>IFERROR(VLOOKUP(Tabela1[[#This Row],[MÊS]]&amp;Tabela1[[#This Row],[MATRICULA]]&amp;"4"&amp;Tabela1[[#This Row],[SETOR]]&amp;"PADRÃO",BD!B:AF,25,0),"")</f>
        <v/>
      </c>
      <c r="AE48" s="21" t="str">
        <f>IFERROR(VLOOKUP(Tabela1[[#This Row],[MÊS]]&amp;Tabela1[[#This Row],[MATRICULA]]&amp;"5"&amp;Tabela1[[#This Row],[SETOR]]&amp;"PADRÃO",BD!B:AF,31,0),"")</f>
        <v/>
      </c>
      <c r="AF48" s="21" t="str">
        <f>IFERROR(VLOOKUP(Tabela1[[#This Row],[MÊS]]&amp;Tabela1[[#This Row],[MATRICULA]]&amp;"6"&amp;Tabela1[[#This Row],[SETOR]]&amp;"PADRÃO",BD!B:AF,31,0),"")</f>
        <v/>
      </c>
      <c r="AG48" s="21" t="str">
        <f>IFERROR(VLOOKUP(Tabela1[[#This Row],[MÊS]]&amp;Tabela1[[#This Row],[MATRICULA]]&amp;"7"&amp;Tabela1[[#This Row],[SETOR]]&amp;"PADRÃO",BD!B:AF,31,0),"")</f>
        <v/>
      </c>
      <c r="AH48" s="21" t="str">
        <f>IFERROR(VLOOKUP(Tabela1[[#This Row],[MÊS]]&amp;Tabela1[[#This Row],[ID]]&amp;Tabela1[[#This Row],[MATRICULA]]&amp;"Receptiva"&amp;Tabela1[[#This Row],[SETOR]],BD!A:AF,31,0),"")</f>
        <v/>
      </c>
      <c r="AI48" s="21" t="str">
        <f>IFERROR(VLOOKUP(Tabela1[[#This Row],[MÊS]]&amp;Tabela1[[#This Row],[ID]]&amp;Tabela1[[#This Row],[MATRICULA]]&amp;"Receptiva 2"&amp;Tabela1[[#This Row],[SETOR]],BD!A:AF,31,0),"")</f>
        <v/>
      </c>
      <c r="AJ48" s="21" t="str">
        <f>IFERROR(VLOOKUP(Tabela1[[#This Row],[MÊS]]&amp;Tabela1[[#This Row],[ID]]&amp;Tabela1[[#This Row],[MATRICULA]]&amp;"Receptiva 3"&amp;Tabela1[[#This Row],[SETOR]],BD!A:AF,31,0),"")</f>
        <v/>
      </c>
      <c r="AK48" s="21" t="str">
        <f>IFERROR(VLOOKUP(Tabela1[[#This Row],[MÊS]]&amp;Tabela1[[#This Row],[ID]]&amp;Tabela1[[#This Row],[MATRICULA]]&amp;"Receptiva 4"&amp;Tabela1[[#This Row],[SETOR]],BD!A:AF,31,0),"")</f>
        <v/>
      </c>
      <c r="AL48" s="21">
        <f>IFERROR(VLOOKUP(Tabela1[[#This Row],[MÊS]]&amp;Tabela1[[#This Row],[MATRICULA]]&amp;"Motorista"&amp;Tabela1[[#This Row],[SETOR]],BD!A:AF,31,0),"")</f>
        <v>0</v>
      </c>
      <c r="AM48" s="21" t="str">
        <f>IFERROR(VLOOKUP(Tabela1[[#This Row],[MÊS]]&amp;Tabela1[[#This Row],[ID]]&amp;Tabela1[[#This Row],[MATRICULA]]&amp;"Motorista 2"&amp;Tabela1[[#This Row],[SETOR]],BD!A:AF,26,0),"")</f>
        <v/>
      </c>
      <c r="AN48" s="21" t="str">
        <f>IFERROR(VLOOKUP(Tabela1[[#This Row],[MÊS]]&amp;Tabela1[[#This Row],[ID]]&amp;Tabela1[[#This Row],[MATRICULA]]&amp;"Motorista 3"&amp;Tabela1[[#This Row],[SETOR]],BD!A:AF,26,0),"")</f>
        <v/>
      </c>
      <c r="AO48" s="21" t="str">
        <f>IFERROR(VLOOKUP(Tabela1[[#This Row],[MÊS]]&amp;Tabela1[[#This Row],[ID]]&amp;Tabela1[[#This Row],[MATRICULA]]&amp;"Motorista 4"&amp;Tabela1[[#This Row],[SETOR]],BD!A:AF,26,0),"")</f>
        <v/>
      </c>
      <c r="AP48" s="21" t="str">
        <f>IFERROR(VLOOKUP(Tabela1[[#This Row],[MÊS]]&amp;Tabela1[[#This Row],[MATRICULA]]&amp;"Ponto de Apoio"&amp;Tabela1[[#This Row],[SETOR]],BD!A:AF,31,0),"")</f>
        <v/>
      </c>
      <c r="AQ48" s="21" t="str">
        <f>IFERROR(VLOOKUP(Tabela1[[#This Row],[MÊS]]&amp;Tabela1[[#This Row],[ID]]&amp;Tabela1[[#This Row],[MATRICULA]]&amp;"Ponto de Apoio 2"&amp;Tabela1[[#This Row],[SETOR]],BD!A:AF,26,0),"")</f>
        <v/>
      </c>
      <c r="AR48" s="36" t="str">
        <f>IFERROR(VLOOKUP(Tabela1[[#This Row],[MÊS]]&amp;Tabela1[[#This Row],[ID]]&amp;Tabela1[[#This Row],[MATRICULA]]&amp;"Ponto de Apoio 3"&amp;Tabela1[[#This Row],[SETOR]],BD!A:AF,26,0),"")</f>
        <v/>
      </c>
      <c r="AS48" s="36" t="str">
        <f>IFERROR(VLOOKUP(Tabela1[[#This Row],[MÊS]]&amp;Tabela1[[#This Row],[ID]]&amp;Tabela1[[#This Row],[MATRICULA]]&amp;"Ponto de Apoio 4"&amp;Tabela1[[#This Row],[SETOR]],BD!A:AF,26,0),"")</f>
        <v/>
      </c>
      <c r="AT48" s="21" t="str">
        <f>IFERROR(VLOOKUP(Tabela1[[#This Row],[MÊS]]&amp;Tabela1[[#This Row],[MATRICULA]]&amp;"Cliente"&amp;Tabela1[[#This Row],[SETOR]],BD!A:AF,31,0),"")</f>
        <v/>
      </c>
      <c r="AU48" s="21" t="str">
        <f>IFERROR(VLOOKUP(Tabela1[[#This Row],[MÊS]]&amp;Tabela1[[#This Row],[ID]]&amp;Tabela1[[#This Row],[MATRICULA]]&amp;"Cliente 2"&amp;Tabela1[[#This Row],[SETOR]],BD!A:AF,26,0),"")</f>
        <v/>
      </c>
      <c r="AX48" s="21" t="str">
        <f>IFERROR(VLOOKUP(Tabela1[[#This Row],[MÊS]]&amp;Tabela1[[#This Row],[MATRICULA]]&amp;"Policia"&amp;Tabela1[[#This Row],[SETOR]],BD!A:AF,31,0),"")</f>
        <v/>
      </c>
      <c r="AY48" s="21" t="str">
        <f>IFERROR(VLOOKUP(Tabela1[[#This Row],[MÊS]]&amp;Tabela1[[#This Row],[ID]]&amp;Tabela1[[#This Row],[MATRICULA]]&amp;"Policia 2"&amp;Tabela1[[#This Row],[SETOR]],BD!A:AF,26,0),"")</f>
        <v/>
      </c>
      <c r="AZ48" s="36" t="str">
        <f>IFERROR(VLOOKUP(Tabela1[[#This Row],[MÊS]]&amp;Tabela1[[#This Row],[ID]]&amp;Tabela1[[#This Row],[MATRICULA]]&amp;"Policia 3"&amp;Tabela1[[#This Row],[SETOR]],BD!A:AF,26,0),"")</f>
        <v/>
      </c>
      <c r="BA48" s="36" t="str">
        <f>IFERROR(VLOOKUP(Tabela1[[#This Row],[MÊS]]&amp;Tabela1[[#This Row],[ID]]&amp;Tabela1[[#This Row],[MATRICULA]]&amp;"Policia 4"&amp;Tabela1[[#This Row],[SETOR]],BD!A:AF,26,0),"")</f>
        <v/>
      </c>
      <c r="BB4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8" s="21">
        <f>IFERROR(AVERAGE(Tabela1[[#This Row],[M]:[M4]]),"")</f>
        <v>0</v>
      </c>
      <c r="BD48" s="21" t="str">
        <f>IFERROR(AVERAGE(Tabela1[[#This Row],[C]:[C4]]),"")</f>
        <v/>
      </c>
      <c r="BE48" s="21" t="str">
        <f>IFERROR(AVERAGE(Tabela1[[#This Row],[PA2]:[PA 4]]),"")</f>
        <v/>
      </c>
      <c r="BF48" s="21" t="str">
        <f>IFERROR(AVERAGE(Tabela1[[#This Row],[PL]:[PL4]]),"")</f>
        <v/>
      </c>
      <c r="BG48" s="35" t="str">
        <f>IFERROR(VLOOKUP(Tabela1[[#This Row],[MÊS]]&amp;Tabela1[[#This Row],[MATRICULA]],#REF!,2,0),"")</f>
        <v/>
      </c>
      <c r="BH48" s="35" t="str">
        <f>IFERROR(VLOOKUP(Tabela1[[#This Row],[MÊS]]&amp;Tabela1[[#This Row],[MATRICULA]],#REF!,2,0),"")</f>
        <v/>
      </c>
      <c r="BI48" s="35" t="str">
        <f>IFERROR(VLOOKUP(Tabela1[[#This Row],[MÊS]]&amp;Tabela1[[#This Row],[MATRICULA]],#REF!,2,0),"")</f>
        <v/>
      </c>
      <c r="BJ48" s="35" t="str">
        <f>IFERROR(VLOOKUP(Tabela1[[#This Row],[MÊS]]&amp;Tabela1[[#This Row],[MATRICULA]],#REF!,2,0),"")</f>
        <v/>
      </c>
      <c r="BK48" s="35" t="str">
        <f>IFERROR(VLOOKUP(Tabela1[[#This Row],[MÊS]]&amp;Tabela1[[#This Row],[MATRICULA]],#REF!,2,0),"")</f>
        <v/>
      </c>
      <c r="BL48" s="21">
        <f>COUNTIF(Tabela1[[#This Row],[MOT2]:[RECEPTIVA]],"NÃO ENCONTRADA")</f>
        <v>0</v>
      </c>
      <c r="BM48" s="135" t="str">
        <f>IFERROR(VLOOKUP(Tabela1[[#This Row],[MÊS]]&amp;Tabela1[[#This Row],[ID]]&amp;Tabela1[[#This Row],[MATRICULA]]&amp;"Motorista"&amp;Tabela1[[#This Row],[SETOR]],BD!A:AF,13,0),"")</f>
        <v/>
      </c>
      <c r="BN48" s="135" t="str">
        <f>IFERROR(VLOOKUP(Tabela1[[#This Row],[MÊS]]&amp;Tabela1[[#This Row],[ID]]&amp;Tabela1[[#This Row],[MATRICULA]]&amp;"Motorista 2"&amp;Tabela1[[#This Row],[SETOR]],BD!A:AF,13,0),"")</f>
        <v/>
      </c>
      <c r="BO48" s="135" t="str">
        <f>IFERROR(VLOOKUP(Tabela1[[#This Row],[MÊS]]&amp;Tabela1[[#This Row],[ID]]&amp;Tabela1[[#This Row],[MATRICULA]]&amp;"Motorista 3"&amp;Tabela1[[#This Row],[SETOR]],BD!A:AF,13,0),"")</f>
        <v/>
      </c>
      <c r="BP48" s="135" t="str">
        <f>IFERROR(VLOOKUP(Tabela1[[#This Row],[MÊS]]&amp;Tabela1[[#This Row],[ID]]&amp;Tabela1[[#This Row],[MATRICULA]]&amp;"Motorista 4"&amp;Tabela1[[#This Row],[SETOR]],BD!A:AF,13,0),"")</f>
        <v/>
      </c>
      <c r="BQ48" s="135" t="str">
        <f>IFERROR(AVERAGE(Tabela1[[#This Row],[DMOT]:[DMOT4]]),"")</f>
        <v/>
      </c>
      <c r="BR48" s="135" t="str">
        <f>IFERROR(VLOOKUP(Tabela1[[#This Row],[MÊS]]&amp;Tabela1[[#This Row],[ID]]&amp;Tabela1[[#This Row],[MATRICULA]]&amp;"Ponto de Apoio"&amp;Tabela1[[#This Row],[SETOR]],BD!A:AF,13,0),"")</f>
        <v/>
      </c>
      <c r="BS48" s="135" t="str">
        <f>IFERROR(VLOOKUP(Tabela1[[#This Row],[MÊS]]&amp;Tabela1[[#This Row],[ID]]&amp;Tabela1[[#This Row],[MATRICULA]]&amp;"Ponto de Apoio 2"&amp;Tabela1[[#This Row],[SETOR]],BD!A:AF,13,0),"")</f>
        <v/>
      </c>
      <c r="BT48" s="135" t="str">
        <f>IFERROR(VLOOKUP(Tabela1[[#This Row],[MÊS]]&amp;Tabela1[[#This Row],[ID]]&amp;Tabela1[[#This Row],[MATRICULA]]&amp;"Ponto de Apoio 3"&amp;Tabela1[[#This Row],[SETOR]],BD!A:AF,13,0),"")</f>
        <v/>
      </c>
      <c r="BU48" s="135" t="str">
        <f>IFERROR(VLOOKUP(Tabela1[[#This Row],[MÊS]]&amp;Tabela1[[#This Row],[ID]]&amp;Tabela1[[#This Row],[MATRICULA]]&amp;"Ponto de Apoio 4"&amp;Tabela1[[#This Row],[SETOR]],BD!A:AF,13,0),"")</f>
        <v/>
      </c>
      <c r="BV48" s="135" t="str">
        <f>IFERROR(AVERAGE(Tabela1[[#This Row],[DPA]:[DPA 4]]),"")</f>
        <v/>
      </c>
      <c r="BW48" s="135" t="str">
        <f>IFERROR(VLOOKUP(Tabela1[[#This Row],[MÊS]]&amp;Tabela1[[#This Row],[ID]]&amp;Tabela1[[#This Row],[MATRICULA]]&amp;"Cliente"&amp;Tabela1[[#This Row],[SETOR]],BD!A:AF,13,0),"")</f>
        <v/>
      </c>
      <c r="BX48" s="135" t="str">
        <f>IFERROR(VLOOKUP(Tabela1[[#This Row],[MÊS]]&amp;Tabela1[[#This Row],[ID]]&amp;Tabela1[[#This Row],[MATRICULA]]&amp;"cliente 2"&amp;Tabela1[[#This Row],[SETOR]],BD!A:AF,13,0),"")</f>
        <v/>
      </c>
      <c r="BY48" s="135" t="str">
        <f>IFERROR(VLOOKUP(Tabela1[[#This Row],[MÊS]]&amp;Tabela1[[#This Row],[ID]]&amp;Tabela1[[#This Row],[MATRICULA]]&amp;"cliente 3"&amp;Tabela1[[#This Row],[SETOR]],BD!A:AF,13,0),"")</f>
        <v/>
      </c>
      <c r="BZ48" s="135" t="str">
        <f>IFERROR(VLOOKUP(Tabela1[[#This Row],[MÊS]]&amp;Tabela1[[#This Row],[ID]]&amp;Tabela1[[#This Row],[MATRICULA]]&amp;"cliente 4"&amp;Tabela1[[#This Row],[SETOR]],BD!A:AF,13,0),"")</f>
        <v/>
      </c>
      <c r="CA48" s="135" t="str">
        <f>IFERROR(AVERAGE(Tabela1[[#This Row],[DCLI]:[DCLI 4]]),"")</f>
        <v/>
      </c>
      <c r="CB48" s="135" t="str">
        <f>IFERROR(VLOOKUP(Tabela1[[#This Row],[MÊS]]&amp;Tabela1[[#This Row],[ID]]&amp;Tabela1[[#This Row],[MATRICULA]]&amp;"Policia"&amp;Tabela1[[#This Row],[SETOR]],BD!A:AF,13,0),"")</f>
        <v/>
      </c>
      <c r="CC48" s="135" t="str">
        <f>IFERROR(VLOOKUP(Tabela1[[#This Row],[MÊS]]&amp;Tabela1[[#This Row],[ID]]&amp;Tabela1[[#This Row],[MATRICULA]]&amp;"Policia 2"&amp;Tabela1[[#This Row],[SETOR]],BD!A:AF,13,0),"")</f>
        <v/>
      </c>
      <c r="CD48" s="135"/>
      <c r="CE48" s="135"/>
      <c r="CF48" s="135" t="str">
        <f>IFERROR((AVERAGE(Tabela1[[#This Row],[DPOL1]:[DPOL4]])),"")</f>
        <v/>
      </c>
      <c r="CG48" s="21" t="str">
        <f>IFERROR(VLOOKUP(Tabela1[[#This Row],[ID]]&amp;Tabela1[[#This Row],[MÊS]]&amp;Tabela1[[#This Row],[MATRICULA]],#REF!,2,0),"")</f>
        <v/>
      </c>
      <c r="CH48" s="21" t="str">
        <f>IFERROR(VLOOKUP(Tabela1[[#This Row],[ID]]&amp;Tabela1[[#This Row],[MÊS]]&amp;Tabela1[[#This Row],[MATRICULA]],#REF!,2,0),"")</f>
        <v/>
      </c>
      <c r="CI48" s="21" t="str">
        <f>IFERROR(VLOOKUP(Tabela1[[#This Row],[MÊS]]&amp;Tabela1[[#This Row],[MATRICULA]],#REF!,2,0),"")</f>
        <v/>
      </c>
    </row>
    <row r="49" spans="1:87">
      <c r="A49" s="12" t="str">
        <f>Tabela1[[#This Row],[MÊS]]&amp;Tabela1[[#This Row],[MATRICULA]]&amp;Tabela1[[#This Row],[ID]]</f>
        <v>JAN109574</v>
      </c>
      <c r="B49" s="12" t="str">
        <f>Tabela1[[#This Row],[MÊS]]&amp;Tabela1[[#This Row],[ID]]&amp;Tabela1[[#This Row],[MATRICULA]]&amp;Tabela1[[#This Row],[SETOR]]</f>
        <v>JAN410957DISTRIBUIÇÃO</v>
      </c>
      <c r="C49" s="130" t="e">
        <f>VLOOKUP(Tabela1[[#This Row],[MATRICULA]],'BD Campos'!A:D,5,0)</f>
        <v>#REF!</v>
      </c>
      <c r="D49" s="133" t="str">
        <f ca="1">IFERROR(SUM(TODAY()-Tabela1[[#This Row],[ADMISSÃO]]),"")</f>
        <v/>
      </c>
      <c r="E49" s="11" t="str">
        <f ca="1">IFERROR(TRUNC(Tabela1[[#This Row],[TEMPO DE CASA (DIAS)]]/30),"")</f>
        <v/>
      </c>
      <c r="F49" s="32" t="str">
        <f ca="1">IFERROR(SUM(Tabela1[[#This Row],[TEMPO DE CASA (MESES)]]/12),"")</f>
        <v/>
      </c>
      <c r="G49" s="133" t="str">
        <f ca="1">IF(Tabela1[[#This Row],[TEMPO DE CASA (DIAS)]]="","SEM DADOS",IF(Tabela1[[#This Row],[TEMPO DE CASA (DIAS)]]&gt;180,"&gt; 6 MESES","&lt; 6 MESES"))</f>
        <v>SEM DADOS</v>
      </c>
      <c r="H49" s="12" t="str">
        <f t="shared" si="5"/>
        <v>JANDouglas de Aguiar4</v>
      </c>
      <c r="I49" s="12" t="str">
        <f>IFERROR(VLOOKUP(Tabela1[[#This Row],[MATRICULA]],'BD Campos'!A:F,7,0),"")</f>
        <v/>
      </c>
      <c r="J49" s="11">
        <v>4</v>
      </c>
      <c r="K49" s="11" t="s">
        <v>669</v>
      </c>
      <c r="L49" s="136">
        <v>10957</v>
      </c>
      <c r="M49" s="12" t="str">
        <f>IFERROR(VLOOKUP(Tabela1[[#This Row],[MATRICULA]],'BD Campos'!A:B,2,0),"")</f>
        <v>LIANA GUESSER DOS SANTOS</v>
      </c>
      <c r="N49" s="20" t="str">
        <f>IFERROR(AVERAGE(Tabela1[[#This Row],[A1]:[A4]]),"")</f>
        <v/>
      </c>
      <c r="O49" s="20" t="str">
        <f>IFERROR(IF(Tabela1[[#This Row],[SETOR]]="RECEPTIVO","",AVERAGE(Tabela1[[#This Row],[A5]:[A6]])),"")</f>
        <v/>
      </c>
      <c r="P49" s="20" t="str">
        <f>IFERROR(IF(Tabela1[[#This Row],[STATUS]]="INATIVO","INATIVO",IF(Tabela1[[#This Row],[STATUS]]="QRT","INATIVO",IF(Tabela1[[#This Row],[OPERACIONAL]]&gt;7.99999,"BOM","RUIM"))),"")</f>
        <v>INATIVO</v>
      </c>
      <c r="Q49" s="21" t="s">
        <v>670</v>
      </c>
      <c r="R49" s="12" t="s">
        <v>94</v>
      </c>
      <c r="S49" s="12" t="s">
        <v>675</v>
      </c>
      <c r="T49" s="12" t="s">
        <v>94</v>
      </c>
      <c r="U4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49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49" s="12">
        <f>IF(AND(Tabela1[[#This Row],[SETOR]]="UTI",Tabela1[[#This Row],[M]]&lt;&gt;""),1,IF(AND(Tabela1[[#This Row],[SETOR]]="UTI (RJ)",Tabela1[[#This Row],[M]]&lt;&gt;""),1.5,0))</f>
        <v>0</v>
      </c>
      <c r="X49" s="12">
        <f>IF(AND(Tabela1[[#This Row],[SETOR]]="UTI",Tabela1[[#This Row],[PA2]]&lt;&gt;""),1,IF(AND(Tabela1[[#This Row],[SETOR]]="UTI (RJ)",Tabela1[[#This Row],[PA2]]&lt;&gt;""),0,0))</f>
        <v>0</v>
      </c>
      <c r="Y49" s="12">
        <f>IF(AND(Tabela1[[#This Row],[SETOR]]="UTI",Tabela1[[#This Row],[C]]&lt;&gt;""),1,IF(AND(Tabela1[[#This Row],[SETOR]]="UTI (RJ)",Tabela1[[#This Row],[C]]&lt;&gt;""),1.5,0))</f>
        <v>0</v>
      </c>
      <c r="Z49" s="12">
        <f>IF(AND(Tabela1[[#This Row],[SETOR]]="UTI",Tabela1[[#This Row],[PL]]&lt;&gt;""),1,IF(AND(Tabela1[[#This Row],[SETOR]]="UTI (RJ)",Tabela1[[#This Row],[PL]]&lt;&gt;""),1,0))</f>
        <v>0</v>
      </c>
      <c r="AA49" s="21" t="str">
        <f>IFERROR(VLOOKUP(Tabela1[[#This Row],[MÊS]]&amp;Tabela1[[#This Row],[MATRICULA]]&amp;"1"&amp;Tabela1[[#This Row],[SETOR]]&amp;"PADRÃO",BD!B:AF,31,0),"")</f>
        <v/>
      </c>
      <c r="AB49" s="21" t="str">
        <f>IFERROR(VLOOKUP(Tabela1[[#This Row],[MÊS]]&amp;Tabela1[[#This Row],[MATRICULA]]&amp;"2"&amp;Tabela1[[#This Row],[SETOR]]&amp;"PADRÃO",BD!B:AF,31,0),"")</f>
        <v/>
      </c>
      <c r="AC49" s="21" t="str">
        <f>IFERROR(VLOOKUP(Tabela1[[#This Row],[MÊS]]&amp;Tabela1[[#This Row],[MATRICULA]]&amp;"3"&amp;Tabela1[[#This Row],[SETOR]]&amp;"PADRÃO",BD!B:AF,31,0),"")</f>
        <v/>
      </c>
      <c r="AD49" s="21" t="str">
        <f>IFERROR(VLOOKUP(Tabela1[[#This Row],[MÊS]]&amp;Tabela1[[#This Row],[MATRICULA]]&amp;"4"&amp;Tabela1[[#This Row],[SETOR]]&amp;"PADRÃO",BD!B:AF,25,0),"")</f>
        <v/>
      </c>
      <c r="AE49" s="21" t="str">
        <f>IFERROR(VLOOKUP(Tabela1[[#This Row],[MÊS]]&amp;Tabela1[[#This Row],[MATRICULA]]&amp;"5"&amp;Tabela1[[#This Row],[SETOR]]&amp;"PADRÃO",BD!B:AF,31,0),"")</f>
        <v/>
      </c>
      <c r="AF49" s="21" t="str">
        <f>IFERROR(VLOOKUP(Tabela1[[#This Row],[MÊS]]&amp;Tabela1[[#This Row],[MATRICULA]]&amp;"6"&amp;Tabela1[[#This Row],[SETOR]]&amp;"PADRÃO",BD!B:AF,31,0),"")</f>
        <v/>
      </c>
      <c r="AG49" s="21" t="str">
        <f>IFERROR(VLOOKUP(Tabela1[[#This Row],[MÊS]]&amp;Tabela1[[#This Row],[MATRICULA]]&amp;"7"&amp;Tabela1[[#This Row],[SETOR]]&amp;"PADRÃO",BD!B:AF,31,0),"")</f>
        <v/>
      </c>
      <c r="AH49" s="21" t="str">
        <f>IFERROR(VLOOKUP(Tabela1[[#This Row],[MÊS]]&amp;Tabela1[[#This Row],[ID]]&amp;Tabela1[[#This Row],[MATRICULA]]&amp;"Receptiva"&amp;Tabela1[[#This Row],[SETOR]],BD!A:AF,31,0),"")</f>
        <v/>
      </c>
      <c r="AI49" s="21" t="str">
        <f>IFERROR(VLOOKUP(Tabela1[[#This Row],[MÊS]]&amp;Tabela1[[#This Row],[ID]]&amp;Tabela1[[#This Row],[MATRICULA]]&amp;"Receptiva 2"&amp;Tabela1[[#This Row],[SETOR]],BD!A:AF,31,0),"")</f>
        <v/>
      </c>
      <c r="AJ49" s="21" t="str">
        <f>IFERROR(VLOOKUP(Tabela1[[#This Row],[MÊS]]&amp;Tabela1[[#This Row],[ID]]&amp;Tabela1[[#This Row],[MATRICULA]]&amp;"Receptiva 3"&amp;Tabela1[[#This Row],[SETOR]],BD!A:AF,31,0),"")</f>
        <v/>
      </c>
      <c r="AK49" s="21" t="str">
        <f>IFERROR(VLOOKUP(Tabela1[[#This Row],[MÊS]]&amp;Tabela1[[#This Row],[ID]]&amp;Tabela1[[#This Row],[MATRICULA]]&amp;"Receptiva 4"&amp;Tabela1[[#This Row],[SETOR]],BD!A:AF,31,0),"")</f>
        <v/>
      </c>
      <c r="AL49" s="21" t="str">
        <f>IFERROR(VLOOKUP(Tabela1[[#This Row],[MÊS]]&amp;Tabela1[[#This Row],[MATRICULA]]&amp;"Motorista"&amp;Tabela1[[#This Row],[SETOR]],BD!A:AF,31,0),"")</f>
        <v/>
      </c>
      <c r="AM49" s="21" t="str">
        <f>IFERROR(VLOOKUP(Tabela1[[#This Row],[MÊS]]&amp;Tabela1[[#This Row],[ID]]&amp;Tabela1[[#This Row],[MATRICULA]]&amp;"Motorista 2"&amp;Tabela1[[#This Row],[SETOR]],BD!A:AF,26,0),"")</f>
        <v/>
      </c>
      <c r="AN49" s="21" t="str">
        <f>IFERROR(VLOOKUP(Tabela1[[#This Row],[MÊS]]&amp;Tabela1[[#This Row],[ID]]&amp;Tabela1[[#This Row],[MATRICULA]]&amp;"Motorista 3"&amp;Tabela1[[#This Row],[SETOR]],BD!A:AF,26,0),"")</f>
        <v/>
      </c>
      <c r="AO49" s="21" t="str">
        <f>IFERROR(VLOOKUP(Tabela1[[#This Row],[MÊS]]&amp;Tabela1[[#This Row],[ID]]&amp;Tabela1[[#This Row],[MATRICULA]]&amp;"Motorista 4"&amp;Tabela1[[#This Row],[SETOR]],BD!A:AF,26,0),"")</f>
        <v/>
      </c>
      <c r="AP49" s="21" t="str">
        <f>IFERROR(VLOOKUP(Tabela1[[#This Row],[MÊS]]&amp;Tabela1[[#This Row],[MATRICULA]]&amp;"Ponto de Apoio"&amp;Tabela1[[#This Row],[SETOR]],BD!A:AF,31,0),"")</f>
        <v/>
      </c>
      <c r="AQ49" s="21" t="str">
        <f>IFERROR(VLOOKUP(Tabela1[[#This Row],[MÊS]]&amp;Tabela1[[#This Row],[ID]]&amp;Tabela1[[#This Row],[MATRICULA]]&amp;"Ponto de Apoio 2"&amp;Tabela1[[#This Row],[SETOR]],BD!A:AF,26,0),"")</f>
        <v/>
      </c>
      <c r="AR49" s="36" t="str">
        <f>IFERROR(VLOOKUP(Tabela1[[#This Row],[MÊS]]&amp;Tabela1[[#This Row],[ID]]&amp;Tabela1[[#This Row],[MATRICULA]]&amp;"Ponto de Apoio 3"&amp;Tabela1[[#This Row],[SETOR]],BD!A:AF,26,0),"")</f>
        <v/>
      </c>
      <c r="AS49" s="36" t="str">
        <f>IFERROR(VLOOKUP(Tabela1[[#This Row],[MÊS]]&amp;Tabela1[[#This Row],[ID]]&amp;Tabela1[[#This Row],[MATRICULA]]&amp;"Ponto de Apoio 4"&amp;Tabela1[[#This Row],[SETOR]],BD!A:AF,26,0),"")</f>
        <v/>
      </c>
      <c r="AT49" s="21" t="str">
        <f>IFERROR(VLOOKUP(Tabela1[[#This Row],[MÊS]]&amp;Tabela1[[#This Row],[MATRICULA]]&amp;"Cliente"&amp;Tabela1[[#This Row],[SETOR]],BD!A:AF,31,0),"")</f>
        <v/>
      </c>
      <c r="AU49" s="21" t="str">
        <f>IFERROR(VLOOKUP(Tabela1[[#This Row],[MÊS]]&amp;Tabela1[[#This Row],[ID]]&amp;Tabela1[[#This Row],[MATRICULA]]&amp;"Cliente 2"&amp;Tabela1[[#This Row],[SETOR]],BD!A:AF,26,0),"")</f>
        <v/>
      </c>
      <c r="AX49" s="21" t="str">
        <f>IFERROR(VLOOKUP(Tabela1[[#This Row],[MÊS]]&amp;Tabela1[[#This Row],[MATRICULA]]&amp;"Policia"&amp;Tabela1[[#This Row],[SETOR]],BD!A:AF,31,0),"")</f>
        <v/>
      </c>
      <c r="AY49" s="21" t="str">
        <f>IFERROR(VLOOKUP(Tabela1[[#This Row],[MÊS]]&amp;Tabela1[[#This Row],[ID]]&amp;Tabela1[[#This Row],[MATRICULA]]&amp;"Policia 2"&amp;Tabela1[[#This Row],[SETOR]],BD!A:AF,26,0),"")</f>
        <v/>
      </c>
      <c r="AZ49" s="36" t="str">
        <f>IFERROR(VLOOKUP(Tabela1[[#This Row],[MÊS]]&amp;Tabela1[[#This Row],[ID]]&amp;Tabela1[[#This Row],[MATRICULA]]&amp;"Policia 3"&amp;Tabela1[[#This Row],[SETOR]],BD!A:AF,26,0),"")</f>
        <v/>
      </c>
      <c r="BA49" s="36" t="str">
        <f>IFERROR(VLOOKUP(Tabela1[[#This Row],[MÊS]]&amp;Tabela1[[#This Row],[ID]]&amp;Tabela1[[#This Row],[MATRICULA]]&amp;"Policia 4"&amp;Tabela1[[#This Row],[SETOR]],BD!A:AF,26,0),"")</f>
        <v/>
      </c>
      <c r="BB4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49" s="21" t="str">
        <f>IFERROR(AVERAGE(Tabela1[[#This Row],[M]:[M4]]),"")</f>
        <v/>
      </c>
      <c r="BD49" s="21" t="str">
        <f>IFERROR(AVERAGE(Tabela1[[#This Row],[C]:[C4]]),"")</f>
        <v/>
      </c>
      <c r="BE49" s="21" t="str">
        <f>IFERROR(AVERAGE(Tabela1[[#This Row],[PA2]:[PA 4]]),"")</f>
        <v/>
      </c>
      <c r="BF49" s="21" t="str">
        <f>IFERROR(AVERAGE(Tabela1[[#This Row],[PL]:[PL4]]),"")</f>
        <v/>
      </c>
      <c r="BG49" s="35" t="str">
        <f>IFERROR(VLOOKUP(Tabela1[[#This Row],[MÊS]]&amp;Tabela1[[#This Row],[MATRICULA]],#REF!,2,0),"")</f>
        <v/>
      </c>
      <c r="BH49" s="35" t="str">
        <f>IFERROR(VLOOKUP(Tabela1[[#This Row],[MÊS]]&amp;Tabela1[[#This Row],[MATRICULA]],#REF!,2,0),"")</f>
        <v/>
      </c>
      <c r="BI49" s="35" t="str">
        <f>IFERROR(VLOOKUP(Tabela1[[#This Row],[MÊS]]&amp;Tabela1[[#This Row],[MATRICULA]],#REF!,2,0),"")</f>
        <v/>
      </c>
      <c r="BJ49" s="35" t="str">
        <f>IFERROR(VLOOKUP(Tabela1[[#This Row],[MÊS]]&amp;Tabela1[[#This Row],[MATRICULA]],#REF!,2,0),"")</f>
        <v/>
      </c>
      <c r="BK49" s="35" t="str">
        <f>IFERROR(VLOOKUP(Tabela1[[#This Row],[MÊS]]&amp;Tabela1[[#This Row],[MATRICULA]],#REF!,2,0),"")</f>
        <v/>
      </c>
      <c r="BL49" s="21">
        <f>COUNTIF(Tabela1[[#This Row],[MOT2]:[RECEPTIVA]],"NÃO ENCONTRADA")</f>
        <v>0</v>
      </c>
      <c r="BM49" s="135" t="str">
        <f>IFERROR(VLOOKUP(Tabela1[[#This Row],[MÊS]]&amp;Tabela1[[#This Row],[ID]]&amp;Tabela1[[#This Row],[MATRICULA]]&amp;"Motorista"&amp;Tabela1[[#This Row],[SETOR]],BD!A:AF,13,0),"")</f>
        <v/>
      </c>
      <c r="BN49" s="135" t="str">
        <f>IFERROR(VLOOKUP(Tabela1[[#This Row],[MÊS]]&amp;Tabela1[[#This Row],[ID]]&amp;Tabela1[[#This Row],[MATRICULA]]&amp;"Motorista 2"&amp;Tabela1[[#This Row],[SETOR]],BD!A:AF,13,0),"")</f>
        <v/>
      </c>
      <c r="BO49" s="135" t="str">
        <f>IFERROR(VLOOKUP(Tabela1[[#This Row],[MÊS]]&amp;Tabela1[[#This Row],[ID]]&amp;Tabela1[[#This Row],[MATRICULA]]&amp;"Motorista 3"&amp;Tabela1[[#This Row],[SETOR]],BD!A:AF,13,0),"")</f>
        <v/>
      </c>
      <c r="BP49" s="135" t="str">
        <f>IFERROR(VLOOKUP(Tabela1[[#This Row],[MÊS]]&amp;Tabela1[[#This Row],[ID]]&amp;Tabela1[[#This Row],[MATRICULA]]&amp;"Motorista 4"&amp;Tabela1[[#This Row],[SETOR]],BD!A:AF,13,0),"")</f>
        <v/>
      </c>
      <c r="BQ49" s="135" t="str">
        <f>IFERROR(AVERAGE(Tabela1[[#This Row],[DMOT]:[DMOT4]]),"")</f>
        <v/>
      </c>
      <c r="BR49" s="135" t="str">
        <f>IFERROR(VLOOKUP(Tabela1[[#This Row],[MÊS]]&amp;Tabela1[[#This Row],[ID]]&amp;Tabela1[[#This Row],[MATRICULA]]&amp;"Ponto de Apoio"&amp;Tabela1[[#This Row],[SETOR]],BD!A:AF,13,0),"")</f>
        <v/>
      </c>
      <c r="BS49" s="135" t="str">
        <f>IFERROR(VLOOKUP(Tabela1[[#This Row],[MÊS]]&amp;Tabela1[[#This Row],[ID]]&amp;Tabela1[[#This Row],[MATRICULA]]&amp;"Ponto de Apoio 2"&amp;Tabela1[[#This Row],[SETOR]],BD!A:AF,13,0),"")</f>
        <v/>
      </c>
      <c r="BT49" s="135" t="str">
        <f>IFERROR(VLOOKUP(Tabela1[[#This Row],[MÊS]]&amp;Tabela1[[#This Row],[ID]]&amp;Tabela1[[#This Row],[MATRICULA]]&amp;"Ponto de Apoio 3"&amp;Tabela1[[#This Row],[SETOR]],BD!A:AF,13,0),"")</f>
        <v/>
      </c>
      <c r="BU49" s="135" t="str">
        <f>IFERROR(VLOOKUP(Tabela1[[#This Row],[MÊS]]&amp;Tabela1[[#This Row],[ID]]&amp;Tabela1[[#This Row],[MATRICULA]]&amp;"Ponto de Apoio 4"&amp;Tabela1[[#This Row],[SETOR]],BD!A:AF,13,0),"")</f>
        <v/>
      </c>
      <c r="BV49" s="135" t="str">
        <f>IFERROR(AVERAGE(Tabela1[[#This Row],[DPA]:[DPA 4]]),"")</f>
        <v/>
      </c>
      <c r="BW49" s="135" t="str">
        <f>IFERROR(VLOOKUP(Tabela1[[#This Row],[MÊS]]&amp;Tabela1[[#This Row],[ID]]&amp;Tabela1[[#This Row],[MATRICULA]]&amp;"Cliente"&amp;Tabela1[[#This Row],[SETOR]],BD!A:AF,13,0),"")</f>
        <v/>
      </c>
      <c r="BX49" s="135" t="str">
        <f>IFERROR(VLOOKUP(Tabela1[[#This Row],[MÊS]]&amp;Tabela1[[#This Row],[ID]]&amp;Tabela1[[#This Row],[MATRICULA]]&amp;"cliente 2"&amp;Tabela1[[#This Row],[SETOR]],BD!A:AF,13,0),"")</f>
        <v/>
      </c>
      <c r="BY49" s="135" t="str">
        <f>IFERROR(VLOOKUP(Tabela1[[#This Row],[MÊS]]&amp;Tabela1[[#This Row],[ID]]&amp;Tabela1[[#This Row],[MATRICULA]]&amp;"cliente 3"&amp;Tabela1[[#This Row],[SETOR]],BD!A:AF,13,0),"")</f>
        <v/>
      </c>
      <c r="BZ49" s="135" t="str">
        <f>IFERROR(VLOOKUP(Tabela1[[#This Row],[MÊS]]&amp;Tabela1[[#This Row],[ID]]&amp;Tabela1[[#This Row],[MATRICULA]]&amp;"cliente 4"&amp;Tabela1[[#This Row],[SETOR]],BD!A:AF,13,0),"")</f>
        <v/>
      </c>
      <c r="CA49" s="135" t="str">
        <f>IFERROR(AVERAGE(Tabela1[[#This Row],[DCLI]:[DCLI 4]]),"")</f>
        <v/>
      </c>
      <c r="CB49" s="135" t="str">
        <f>IFERROR(VLOOKUP(Tabela1[[#This Row],[MÊS]]&amp;Tabela1[[#This Row],[ID]]&amp;Tabela1[[#This Row],[MATRICULA]]&amp;"Policia"&amp;Tabela1[[#This Row],[SETOR]],BD!A:AF,13,0),"")</f>
        <v/>
      </c>
      <c r="CC49" s="135" t="str">
        <f>IFERROR(VLOOKUP(Tabela1[[#This Row],[MÊS]]&amp;Tabela1[[#This Row],[ID]]&amp;Tabela1[[#This Row],[MATRICULA]]&amp;"Policia 2"&amp;Tabela1[[#This Row],[SETOR]],BD!A:AF,13,0),"")</f>
        <v/>
      </c>
      <c r="CD49" s="135"/>
      <c r="CE49" s="135"/>
      <c r="CF49" s="135" t="str">
        <f>IFERROR((AVERAGE(Tabela1[[#This Row],[DPOL1]:[DPOL4]])),"")</f>
        <v/>
      </c>
      <c r="CG49" s="21" t="str">
        <f>IFERROR(VLOOKUP(Tabela1[[#This Row],[ID]]&amp;Tabela1[[#This Row],[MÊS]]&amp;Tabela1[[#This Row],[MATRICULA]],#REF!,2,0),"")</f>
        <v/>
      </c>
      <c r="CH49" s="21" t="str">
        <f>IFERROR(VLOOKUP(Tabela1[[#This Row],[ID]]&amp;Tabela1[[#This Row],[MÊS]]&amp;Tabela1[[#This Row],[MATRICULA]],#REF!,2,0),"")</f>
        <v/>
      </c>
      <c r="CI49" s="21" t="str">
        <f>IFERROR(VLOOKUP(Tabela1[[#This Row],[MÊS]]&amp;Tabela1[[#This Row],[MATRICULA]],#REF!,2,0),"")</f>
        <v/>
      </c>
    </row>
    <row r="50" spans="1:87">
      <c r="A50" s="12" t="str">
        <f>Tabela1[[#This Row],[MÊS]]&amp;Tabela1[[#This Row],[MATRICULA]]&amp;Tabela1[[#This Row],[ID]]</f>
        <v>JAN114595</v>
      </c>
      <c r="B50" s="12" t="str">
        <f>Tabela1[[#This Row],[MÊS]]&amp;Tabela1[[#This Row],[ID]]&amp;Tabela1[[#This Row],[MATRICULA]]&amp;Tabela1[[#This Row],[SETOR]]</f>
        <v>JAN511459DISTRIBUIÇÃO</v>
      </c>
      <c r="C50" s="130" t="e">
        <f>VLOOKUP(Tabela1[[#This Row],[MATRICULA]],'BD Campos'!A:D,5,0)</f>
        <v>#REF!</v>
      </c>
      <c r="D50" s="133" t="str">
        <f ca="1">IFERROR(SUM(TODAY()-Tabela1[[#This Row],[ADMISSÃO]]),"")</f>
        <v/>
      </c>
      <c r="E50" s="11" t="str">
        <f ca="1">IFERROR(TRUNC(Tabela1[[#This Row],[TEMPO DE CASA (DIAS)]]/30),"")</f>
        <v/>
      </c>
      <c r="F50" s="32" t="str">
        <f ca="1">IFERROR(SUM(Tabela1[[#This Row],[TEMPO DE CASA (MESES)]]/12),"")</f>
        <v/>
      </c>
      <c r="G50" s="133" t="str">
        <f ca="1">IF(Tabela1[[#This Row],[TEMPO DE CASA (DIAS)]]="","SEM DADOS",IF(Tabela1[[#This Row],[TEMPO DE CASA (DIAS)]]&gt;180,"&gt; 6 MESES","&lt; 6 MESES"))</f>
        <v>SEM DADOS</v>
      </c>
      <c r="H50" s="12" t="str">
        <f t="shared" si="5"/>
        <v>JANDouglas de Aguiar5</v>
      </c>
      <c r="I50" s="12" t="str">
        <f>IFERROR(VLOOKUP(Tabela1[[#This Row],[MATRICULA]],'BD Campos'!A:F,7,0),"")</f>
        <v/>
      </c>
      <c r="J50" s="11">
        <v>5</v>
      </c>
      <c r="K50" s="11" t="s">
        <v>669</v>
      </c>
      <c r="L50" s="136">
        <v>11459</v>
      </c>
      <c r="M50" s="12" t="str">
        <f>IFERROR(VLOOKUP(Tabela1[[#This Row],[MATRICULA]],'BD Campos'!A:B,2,0),"")</f>
        <v>LUCIANY CRISTINA LIMA FURTADO DE SOUZA</v>
      </c>
      <c r="N50" s="20">
        <f>IFERROR(AVERAGE(Tabela1[[#This Row],[A1]:[A4]]),"")</f>
        <v>4.9913999999999987</v>
      </c>
      <c r="O50" s="20" t="str">
        <f>IFERROR(IF(Tabela1[[#This Row],[SETOR]]="RECEPTIVO","",AVERAGE(Tabela1[[#This Row],[A5]:[A6]])),"")</f>
        <v/>
      </c>
      <c r="P50" s="20" t="str">
        <f>IFERROR(IF(Tabela1[[#This Row],[STATUS]]="INATIVO","INATIVO",IF(Tabela1[[#This Row],[STATUS]]="QRT","INATIVO",IF(Tabela1[[#This Row],[OPERACIONAL]]&gt;7.99999,"BOM","RUIM"))),"")</f>
        <v>RUIM</v>
      </c>
      <c r="Q50" s="21" t="s">
        <v>667</v>
      </c>
      <c r="R50" s="12" t="s">
        <v>94</v>
      </c>
      <c r="S50" s="12" t="s">
        <v>675</v>
      </c>
      <c r="T50" s="12" t="s">
        <v>94</v>
      </c>
      <c r="U5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0" s="12">
        <f>IF(AND(Tabela1[[#This Row],[SETOR]]="UTI",Tabela1[[#This Row],[M]]&lt;&gt;""),1,IF(AND(Tabela1[[#This Row],[SETOR]]="UTI (RJ)",Tabela1[[#This Row],[M]]&lt;&gt;""),1.5,0))</f>
        <v>0</v>
      </c>
      <c r="X50" s="12">
        <f>IF(AND(Tabela1[[#This Row],[SETOR]]="UTI",Tabela1[[#This Row],[PA2]]&lt;&gt;""),1,IF(AND(Tabela1[[#This Row],[SETOR]]="UTI (RJ)",Tabela1[[#This Row],[PA2]]&lt;&gt;""),0,0))</f>
        <v>0</v>
      </c>
      <c r="Y50" s="12">
        <f>IF(AND(Tabela1[[#This Row],[SETOR]]="UTI",Tabela1[[#This Row],[C]]&lt;&gt;""),1,IF(AND(Tabela1[[#This Row],[SETOR]]="UTI (RJ)",Tabela1[[#This Row],[C]]&lt;&gt;""),1.5,0))</f>
        <v>0</v>
      </c>
      <c r="Z50" s="12">
        <f>IF(AND(Tabela1[[#This Row],[SETOR]]="UTI",Tabela1[[#This Row],[PL]]&lt;&gt;""),1,IF(AND(Tabela1[[#This Row],[SETOR]]="UTI (RJ)",Tabela1[[#This Row],[PL]]&lt;&gt;""),1,0))</f>
        <v>0</v>
      </c>
      <c r="AA50" s="21">
        <f>IFERROR(VLOOKUP(Tabela1[[#This Row],[MÊS]]&amp;Tabela1[[#This Row],[MATRICULA]]&amp;"1"&amp;Tabela1[[#This Row],[SETOR]]&amp;"PADRÃO",BD!B:AF,31,0),"")</f>
        <v>4.2039999999999988</v>
      </c>
      <c r="AB50" s="21">
        <f>IFERROR(VLOOKUP(Tabela1[[#This Row],[MÊS]]&amp;Tabela1[[#This Row],[MATRICULA]]&amp;"2"&amp;Tabela1[[#This Row],[SETOR]]&amp;"PADRÃO",BD!B:AF,31,0),"")</f>
        <v>5.7787999999999995</v>
      </c>
      <c r="AC50" s="21" t="str">
        <f>IFERROR(VLOOKUP(Tabela1[[#This Row],[MÊS]]&amp;Tabela1[[#This Row],[MATRICULA]]&amp;"3"&amp;Tabela1[[#This Row],[SETOR]]&amp;"PADRÃO",BD!B:AF,31,0),"")</f>
        <v/>
      </c>
      <c r="AD50" s="21" t="str">
        <f>IFERROR(VLOOKUP(Tabela1[[#This Row],[MÊS]]&amp;Tabela1[[#This Row],[MATRICULA]]&amp;"4"&amp;Tabela1[[#This Row],[SETOR]]&amp;"PADRÃO",BD!B:AF,25,0),"")</f>
        <v/>
      </c>
      <c r="AE50" s="21" t="str">
        <f>IFERROR(VLOOKUP(Tabela1[[#This Row],[MÊS]]&amp;Tabela1[[#This Row],[MATRICULA]]&amp;"5"&amp;Tabela1[[#This Row],[SETOR]]&amp;"PADRÃO",BD!B:AF,31,0),"")</f>
        <v/>
      </c>
      <c r="AF50" s="21" t="str">
        <f>IFERROR(VLOOKUP(Tabela1[[#This Row],[MÊS]]&amp;Tabela1[[#This Row],[MATRICULA]]&amp;"6"&amp;Tabela1[[#This Row],[SETOR]]&amp;"PADRÃO",BD!B:AF,31,0),"")</f>
        <v/>
      </c>
      <c r="AG50" s="21" t="str">
        <f>IFERROR(VLOOKUP(Tabela1[[#This Row],[MÊS]]&amp;Tabela1[[#This Row],[MATRICULA]]&amp;"7"&amp;Tabela1[[#This Row],[SETOR]]&amp;"PADRÃO",BD!B:AF,31,0),"")</f>
        <v/>
      </c>
      <c r="AH50" s="21" t="str">
        <f>IFERROR(VLOOKUP(Tabela1[[#This Row],[MÊS]]&amp;Tabela1[[#This Row],[ID]]&amp;Tabela1[[#This Row],[MATRICULA]]&amp;"Receptiva"&amp;Tabela1[[#This Row],[SETOR]],BD!A:AF,31,0),"")</f>
        <v/>
      </c>
      <c r="AI50" s="21" t="str">
        <f>IFERROR(VLOOKUP(Tabela1[[#This Row],[MÊS]]&amp;Tabela1[[#This Row],[ID]]&amp;Tabela1[[#This Row],[MATRICULA]]&amp;"Receptiva 2"&amp;Tabela1[[#This Row],[SETOR]],BD!A:AF,31,0),"")</f>
        <v/>
      </c>
      <c r="AJ50" s="21" t="str">
        <f>IFERROR(VLOOKUP(Tabela1[[#This Row],[MÊS]]&amp;Tabela1[[#This Row],[ID]]&amp;Tabela1[[#This Row],[MATRICULA]]&amp;"Receptiva 3"&amp;Tabela1[[#This Row],[SETOR]],BD!A:AF,31,0),"")</f>
        <v/>
      </c>
      <c r="AK50" s="21" t="str">
        <f>IFERROR(VLOOKUP(Tabela1[[#This Row],[MÊS]]&amp;Tabela1[[#This Row],[ID]]&amp;Tabela1[[#This Row],[MATRICULA]]&amp;"Receptiva 4"&amp;Tabela1[[#This Row],[SETOR]],BD!A:AF,31,0),"")</f>
        <v/>
      </c>
      <c r="AL50" s="21">
        <f>IFERROR(VLOOKUP(Tabela1[[#This Row],[MÊS]]&amp;Tabela1[[#This Row],[MATRICULA]]&amp;"Motorista"&amp;Tabela1[[#This Row],[SETOR]],BD!A:AF,31,0),"")</f>
        <v>0</v>
      </c>
      <c r="AM50" s="21" t="str">
        <f>IFERROR(VLOOKUP(Tabela1[[#This Row],[MÊS]]&amp;Tabela1[[#This Row],[ID]]&amp;Tabela1[[#This Row],[MATRICULA]]&amp;"Motorista 2"&amp;Tabela1[[#This Row],[SETOR]],BD!A:AF,26,0),"")</f>
        <v/>
      </c>
      <c r="AN50" s="21" t="str">
        <f>IFERROR(VLOOKUP(Tabela1[[#This Row],[MÊS]]&amp;Tabela1[[#This Row],[ID]]&amp;Tabela1[[#This Row],[MATRICULA]]&amp;"Motorista 3"&amp;Tabela1[[#This Row],[SETOR]],BD!A:AF,26,0),"")</f>
        <v/>
      </c>
      <c r="AO50" s="21" t="str">
        <f>IFERROR(VLOOKUP(Tabela1[[#This Row],[MÊS]]&amp;Tabela1[[#This Row],[ID]]&amp;Tabela1[[#This Row],[MATRICULA]]&amp;"Motorista 4"&amp;Tabela1[[#This Row],[SETOR]],BD!A:AF,26,0),"")</f>
        <v/>
      </c>
      <c r="AP50" s="21" t="str">
        <f>IFERROR(VLOOKUP(Tabela1[[#This Row],[MÊS]]&amp;Tabela1[[#This Row],[MATRICULA]]&amp;"Ponto de Apoio"&amp;Tabela1[[#This Row],[SETOR]],BD!A:AF,31,0),"")</f>
        <v/>
      </c>
      <c r="AQ50" s="21" t="str">
        <f>IFERROR(VLOOKUP(Tabela1[[#This Row],[MÊS]]&amp;Tabela1[[#This Row],[ID]]&amp;Tabela1[[#This Row],[MATRICULA]]&amp;"Ponto de Apoio 2"&amp;Tabela1[[#This Row],[SETOR]],BD!A:AF,26,0),"")</f>
        <v/>
      </c>
      <c r="AR50" s="36" t="str">
        <f>IFERROR(VLOOKUP(Tabela1[[#This Row],[MÊS]]&amp;Tabela1[[#This Row],[ID]]&amp;Tabela1[[#This Row],[MATRICULA]]&amp;"Ponto de Apoio 3"&amp;Tabela1[[#This Row],[SETOR]],BD!A:AF,26,0),"")</f>
        <v/>
      </c>
      <c r="AS50" s="36" t="str">
        <f>IFERROR(VLOOKUP(Tabela1[[#This Row],[MÊS]]&amp;Tabela1[[#This Row],[ID]]&amp;Tabela1[[#This Row],[MATRICULA]]&amp;"Ponto de Apoio 4"&amp;Tabela1[[#This Row],[SETOR]],BD!A:AF,26,0),"")</f>
        <v/>
      </c>
      <c r="AT50" s="21" t="str">
        <f>IFERROR(VLOOKUP(Tabela1[[#This Row],[MÊS]]&amp;Tabela1[[#This Row],[MATRICULA]]&amp;"Cliente"&amp;Tabela1[[#This Row],[SETOR]],BD!A:AF,31,0),"")</f>
        <v/>
      </c>
      <c r="AU50" s="21" t="str">
        <f>IFERROR(VLOOKUP(Tabela1[[#This Row],[MÊS]]&amp;Tabela1[[#This Row],[ID]]&amp;Tabela1[[#This Row],[MATRICULA]]&amp;"Cliente 2"&amp;Tabela1[[#This Row],[SETOR]],BD!A:AF,26,0),"")</f>
        <v/>
      </c>
      <c r="AX50" s="21" t="str">
        <f>IFERROR(VLOOKUP(Tabela1[[#This Row],[MÊS]]&amp;Tabela1[[#This Row],[MATRICULA]]&amp;"Policia"&amp;Tabela1[[#This Row],[SETOR]],BD!A:AF,31,0),"")</f>
        <v/>
      </c>
      <c r="AY50" s="21" t="str">
        <f>IFERROR(VLOOKUP(Tabela1[[#This Row],[MÊS]]&amp;Tabela1[[#This Row],[ID]]&amp;Tabela1[[#This Row],[MATRICULA]]&amp;"Policia 2"&amp;Tabela1[[#This Row],[SETOR]],BD!A:AF,26,0),"")</f>
        <v/>
      </c>
      <c r="AZ50" s="36" t="str">
        <f>IFERROR(VLOOKUP(Tabela1[[#This Row],[MÊS]]&amp;Tabela1[[#This Row],[ID]]&amp;Tabela1[[#This Row],[MATRICULA]]&amp;"Policia 3"&amp;Tabela1[[#This Row],[SETOR]],BD!A:AF,26,0),"")</f>
        <v/>
      </c>
      <c r="BA50" s="36" t="str">
        <f>IFERROR(VLOOKUP(Tabela1[[#This Row],[MÊS]]&amp;Tabela1[[#This Row],[ID]]&amp;Tabela1[[#This Row],[MATRICULA]]&amp;"Policia 4"&amp;Tabela1[[#This Row],[SETOR]],BD!A:AF,26,0),"")</f>
        <v/>
      </c>
      <c r="BB5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0" s="21">
        <f>IFERROR(AVERAGE(Tabela1[[#This Row],[M]:[M4]]),"")</f>
        <v>0</v>
      </c>
      <c r="BD50" s="21" t="str">
        <f>IFERROR(AVERAGE(Tabela1[[#This Row],[C]:[C4]]),"")</f>
        <v/>
      </c>
      <c r="BE50" s="21" t="str">
        <f>IFERROR(AVERAGE(Tabela1[[#This Row],[PA2]:[PA 4]]),"")</f>
        <v/>
      </c>
      <c r="BF50" s="21" t="str">
        <f>IFERROR(AVERAGE(Tabela1[[#This Row],[PL]:[PL4]]),"")</f>
        <v/>
      </c>
      <c r="BG50" s="35" t="str">
        <f>IFERROR(VLOOKUP(Tabela1[[#This Row],[MÊS]]&amp;Tabela1[[#This Row],[MATRICULA]],#REF!,2,0),"")</f>
        <v/>
      </c>
      <c r="BH50" s="35" t="str">
        <f>IFERROR(VLOOKUP(Tabela1[[#This Row],[MÊS]]&amp;Tabela1[[#This Row],[MATRICULA]],#REF!,2,0),"")</f>
        <v/>
      </c>
      <c r="BI50" s="35" t="str">
        <f>IFERROR(VLOOKUP(Tabela1[[#This Row],[MÊS]]&amp;Tabela1[[#This Row],[MATRICULA]],#REF!,2,0),"")</f>
        <v/>
      </c>
      <c r="BJ50" s="35" t="str">
        <f>IFERROR(VLOOKUP(Tabela1[[#This Row],[MÊS]]&amp;Tabela1[[#This Row],[MATRICULA]],#REF!,2,0),"")</f>
        <v/>
      </c>
      <c r="BK50" s="35" t="str">
        <f>IFERROR(VLOOKUP(Tabela1[[#This Row],[MÊS]]&amp;Tabela1[[#This Row],[MATRICULA]],#REF!,2,0),"")</f>
        <v/>
      </c>
      <c r="BL50" s="21">
        <f>COUNTIF(Tabela1[[#This Row],[MOT2]:[RECEPTIVA]],"NÃO ENCONTRADA")</f>
        <v>0</v>
      </c>
      <c r="BM50" s="135" t="str">
        <f>IFERROR(VLOOKUP(Tabela1[[#This Row],[MÊS]]&amp;Tabela1[[#This Row],[ID]]&amp;Tabela1[[#This Row],[MATRICULA]]&amp;"Motorista"&amp;Tabela1[[#This Row],[SETOR]],BD!A:AF,13,0),"")</f>
        <v/>
      </c>
      <c r="BN50" s="135" t="str">
        <f>IFERROR(VLOOKUP(Tabela1[[#This Row],[MÊS]]&amp;Tabela1[[#This Row],[ID]]&amp;Tabela1[[#This Row],[MATRICULA]]&amp;"Motorista 2"&amp;Tabela1[[#This Row],[SETOR]],BD!A:AF,13,0),"")</f>
        <v/>
      </c>
      <c r="BO50" s="135" t="str">
        <f>IFERROR(VLOOKUP(Tabela1[[#This Row],[MÊS]]&amp;Tabela1[[#This Row],[ID]]&amp;Tabela1[[#This Row],[MATRICULA]]&amp;"Motorista 3"&amp;Tabela1[[#This Row],[SETOR]],BD!A:AF,13,0),"")</f>
        <v/>
      </c>
      <c r="BP50" s="135" t="str">
        <f>IFERROR(VLOOKUP(Tabela1[[#This Row],[MÊS]]&amp;Tabela1[[#This Row],[ID]]&amp;Tabela1[[#This Row],[MATRICULA]]&amp;"Motorista 4"&amp;Tabela1[[#This Row],[SETOR]],BD!A:AF,13,0),"")</f>
        <v/>
      </c>
      <c r="BQ50" s="135" t="str">
        <f>IFERROR(AVERAGE(Tabela1[[#This Row],[DMOT]:[DMOT4]]),"")</f>
        <v/>
      </c>
      <c r="BR50" s="135" t="str">
        <f>IFERROR(VLOOKUP(Tabela1[[#This Row],[MÊS]]&amp;Tabela1[[#This Row],[ID]]&amp;Tabela1[[#This Row],[MATRICULA]]&amp;"Ponto de Apoio"&amp;Tabela1[[#This Row],[SETOR]],BD!A:AF,13,0),"")</f>
        <v/>
      </c>
      <c r="BS50" s="135" t="str">
        <f>IFERROR(VLOOKUP(Tabela1[[#This Row],[MÊS]]&amp;Tabela1[[#This Row],[ID]]&amp;Tabela1[[#This Row],[MATRICULA]]&amp;"Ponto de Apoio 2"&amp;Tabela1[[#This Row],[SETOR]],BD!A:AF,13,0),"")</f>
        <v/>
      </c>
      <c r="BT50" s="135" t="str">
        <f>IFERROR(VLOOKUP(Tabela1[[#This Row],[MÊS]]&amp;Tabela1[[#This Row],[ID]]&amp;Tabela1[[#This Row],[MATRICULA]]&amp;"Ponto de Apoio 3"&amp;Tabela1[[#This Row],[SETOR]],BD!A:AF,13,0),"")</f>
        <v/>
      </c>
      <c r="BU50" s="135" t="str">
        <f>IFERROR(VLOOKUP(Tabela1[[#This Row],[MÊS]]&amp;Tabela1[[#This Row],[ID]]&amp;Tabela1[[#This Row],[MATRICULA]]&amp;"Ponto de Apoio 4"&amp;Tabela1[[#This Row],[SETOR]],BD!A:AF,13,0),"")</f>
        <v/>
      </c>
      <c r="BV50" s="135" t="str">
        <f>IFERROR(AVERAGE(Tabela1[[#This Row],[DPA]:[DPA 4]]),"")</f>
        <v/>
      </c>
      <c r="BW50" s="135" t="str">
        <f>IFERROR(VLOOKUP(Tabela1[[#This Row],[MÊS]]&amp;Tabela1[[#This Row],[ID]]&amp;Tabela1[[#This Row],[MATRICULA]]&amp;"Cliente"&amp;Tabela1[[#This Row],[SETOR]],BD!A:AF,13,0),"")</f>
        <v/>
      </c>
      <c r="BX50" s="135" t="str">
        <f>IFERROR(VLOOKUP(Tabela1[[#This Row],[MÊS]]&amp;Tabela1[[#This Row],[ID]]&amp;Tabela1[[#This Row],[MATRICULA]]&amp;"cliente 2"&amp;Tabela1[[#This Row],[SETOR]],BD!A:AF,13,0),"")</f>
        <v/>
      </c>
      <c r="BY50" s="135" t="str">
        <f>IFERROR(VLOOKUP(Tabela1[[#This Row],[MÊS]]&amp;Tabela1[[#This Row],[ID]]&amp;Tabela1[[#This Row],[MATRICULA]]&amp;"cliente 3"&amp;Tabela1[[#This Row],[SETOR]],BD!A:AF,13,0),"")</f>
        <v/>
      </c>
      <c r="BZ50" s="135" t="str">
        <f>IFERROR(VLOOKUP(Tabela1[[#This Row],[MÊS]]&amp;Tabela1[[#This Row],[ID]]&amp;Tabela1[[#This Row],[MATRICULA]]&amp;"cliente 4"&amp;Tabela1[[#This Row],[SETOR]],BD!A:AF,13,0),"")</f>
        <v/>
      </c>
      <c r="CA50" s="135" t="str">
        <f>IFERROR(AVERAGE(Tabela1[[#This Row],[DCLI]:[DCLI 4]]),"")</f>
        <v/>
      </c>
      <c r="CB50" s="135" t="str">
        <f>IFERROR(VLOOKUP(Tabela1[[#This Row],[MÊS]]&amp;Tabela1[[#This Row],[ID]]&amp;Tabela1[[#This Row],[MATRICULA]]&amp;"Policia"&amp;Tabela1[[#This Row],[SETOR]],BD!A:AF,13,0),"")</f>
        <v/>
      </c>
      <c r="CC50" s="135" t="str">
        <f>IFERROR(VLOOKUP(Tabela1[[#This Row],[MÊS]]&amp;Tabela1[[#This Row],[ID]]&amp;Tabela1[[#This Row],[MATRICULA]]&amp;"Policia 2"&amp;Tabela1[[#This Row],[SETOR]],BD!A:AF,13,0),"")</f>
        <v/>
      </c>
      <c r="CD50" s="135"/>
      <c r="CE50" s="135"/>
      <c r="CF50" s="135" t="str">
        <f>IFERROR((AVERAGE(Tabela1[[#This Row],[DPOL1]:[DPOL4]])),"")</f>
        <v/>
      </c>
      <c r="CG50" s="21" t="str">
        <f>IFERROR(VLOOKUP(Tabela1[[#This Row],[ID]]&amp;Tabela1[[#This Row],[MÊS]]&amp;Tabela1[[#This Row],[MATRICULA]],#REF!,2,0),"")</f>
        <v/>
      </c>
      <c r="CH50" s="21" t="str">
        <f>IFERROR(VLOOKUP(Tabela1[[#This Row],[ID]]&amp;Tabela1[[#This Row],[MÊS]]&amp;Tabela1[[#This Row],[MATRICULA]],#REF!,2,0),"")</f>
        <v/>
      </c>
      <c r="CI50" s="21" t="str">
        <f>IFERROR(VLOOKUP(Tabela1[[#This Row],[MÊS]]&amp;Tabela1[[#This Row],[MATRICULA]],#REF!,2,0),"")</f>
        <v/>
      </c>
    </row>
    <row r="51" spans="1:87">
      <c r="A51" s="12" t="str">
        <f>Tabela1[[#This Row],[MÊS]]&amp;Tabela1[[#This Row],[MATRICULA]]&amp;Tabela1[[#This Row],[ID]]</f>
        <v>JAN114496</v>
      </c>
      <c r="B51" s="12" t="str">
        <f>Tabela1[[#This Row],[MÊS]]&amp;Tabela1[[#This Row],[ID]]&amp;Tabela1[[#This Row],[MATRICULA]]&amp;Tabela1[[#This Row],[SETOR]]</f>
        <v>JAN611449DISTRIBUIÇÃO</v>
      </c>
      <c r="C51" s="130" t="e">
        <f>VLOOKUP(Tabela1[[#This Row],[MATRICULA]],'BD Campos'!A:D,5,0)</f>
        <v>#REF!</v>
      </c>
      <c r="D51" s="133" t="str">
        <f ca="1">IFERROR(SUM(TODAY()-Tabela1[[#This Row],[ADMISSÃO]]),"")</f>
        <v/>
      </c>
      <c r="E51" s="11" t="str">
        <f ca="1">IFERROR(TRUNC(Tabela1[[#This Row],[TEMPO DE CASA (DIAS)]]/30),"")</f>
        <v/>
      </c>
      <c r="F51" s="32" t="str">
        <f ca="1">IFERROR(SUM(Tabela1[[#This Row],[TEMPO DE CASA (MESES)]]/12),"")</f>
        <v/>
      </c>
      <c r="G51" s="133" t="str">
        <f ca="1">IF(Tabela1[[#This Row],[TEMPO DE CASA (DIAS)]]="","SEM DADOS",IF(Tabela1[[#This Row],[TEMPO DE CASA (DIAS)]]&gt;180,"&gt; 6 MESES","&lt; 6 MESES"))</f>
        <v>SEM DADOS</v>
      </c>
      <c r="H51" s="12" t="str">
        <f t="shared" si="5"/>
        <v>JANDouglas de Aguiar6</v>
      </c>
      <c r="I51" s="12" t="str">
        <f>IFERROR(VLOOKUP(Tabela1[[#This Row],[MATRICULA]],'BD Campos'!A:F,7,0),"")</f>
        <v/>
      </c>
      <c r="J51" s="11">
        <v>6</v>
      </c>
      <c r="K51" s="11" t="s">
        <v>669</v>
      </c>
      <c r="L51" s="136">
        <v>11449</v>
      </c>
      <c r="M51" s="12" t="str">
        <f>IFERROR(VLOOKUP(Tabela1[[#This Row],[MATRICULA]],'BD Campos'!A:B,2,0),"")</f>
        <v>MARIANE SILVA DOS SANTOS</v>
      </c>
      <c r="N51" s="20">
        <f>IFERROR(AVERAGE(Tabela1[[#This Row],[A1]:[A4]]),"")</f>
        <v>8.057500000000001</v>
      </c>
      <c r="O51" s="20" t="str">
        <f>IFERROR(IF(Tabela1[[#This Row],[SETOR]]="RECEPTIVO","",AVERAGE(Tabela1[[#This Row],[A5]:[A6]])),"")</f>
        <v/>
      </c>
      <c r="P51" s="20" t="str">
        <f>IFERROR(IF(Tabela1[[#This Row],[STATUS]]="INATIVO","INATIVO",IF(Tabela1[[#This Row],[STATUS]]="QRT","INATIVO",IF(Tabela1[[#This Row],[OPERACIONAL]]&gt;7.99999,"BOM","RUIM"))),"")</f>
        <v>BOM</v>
      </c>
      <c r="Q51" s="21" t="s">
        <v>667</v>
      </c>
      <c r="R51" s="12" t="s">
        <v>94</v>
      </c>
      <c r="S51" s="12" t="s">
        <v>675</v>
      </c>
      <c r="T51" s="12" t="s">
        <v>94</v>
      </c>
      <c r="U5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1" s="12">
        <f>IF(AND(Tabela1[[#This Row],[SETOR]]="UTI",Tabela1[[#This Row],[M]]&lt;&gt;""),1,IF(AND(Tabela1[[#This Row],[SETOR]]="UTI (RJ)",Tabela1[[#This Row],[M]]&lt;&gt;""),1.5,0))</f>
        <v>0</v>
      </c>
      <c r="X51" s="12">
        <f>IF(AND(Tabela1[[#This Row],[SETOR]]="UTI",Tabela1[[#This Row],[PA2]]&lt;&gt;""),1,IF(AND(Tabela1[[#This Row],[SETOR]]="UTI (RJ)",Tabela1[[#This Row],[PA2]]&lt;&gt;""),0,0))</f>
        <v>0</v>
      </c>
      <c r="Y51" s="12">
        <f>IF(AND(Tabela1[[#This Row],[SETOR]]="UTI",Tabela1[[#This Row],[C]]&lt;&gt;""),1,IF(AND(Tabela1[[#This Row],[SETOR]]="UTI (RJ)",Tabela1[[#This Row],[C]]&lt;&gt;""),1.5,0))</f>
        <v>0</v>
      </c>
      <c r="Z51" s="12">
        <f>IF(AND(Tabela1[[#This Row],[SETOR]]="UTI",Tabela1[[#This Row],[PL]]&lt;&gt;""),1,IF(AND(Tabela1[[#This Row],[SETOR]]="UTI (RJ)",Tabela1[[#This Row],[PL]]&lt;&gt;""),1,0))</f>
        <v>0</v>
      </c>
      <c r="AA51" s="21">
        <f>IFERROR(VLOOKUP(Tabela1[[#This Row],[MÊS]]&amp;Tabela1[[#This Row],[MATRICULA]]&amp;"1"&amp;Tabela1[[#This Row],[SETOR]]&amp;"PADRÃO",BD!B:AF,31,0),"")</f>
        <v>7.9</v>
      </c>
      <c r="AB51" s="21">
        <f>IFERROR(VLOOKUP(Tabela1[[#This Row],[MÊS]]&amp;Tabela1[[#This Row],[MATRICULA]]&amp;"2"&amp;Tabela1[[#This Row],[SETOR]]&amp;"PADRÃO",BD!B:AF,31,0),"")</f>
        <v>8.2149999999999999</v>
      </c>
      <c r="AC51" s="21" t="str">
        <f>IFERROR(VLOOKUP(Tabela1[[#This Row],[MÊS]]&amp;Tabela1[[#This Row],[MATRICULA]]&amp;"3"&amp;Tabela1[[#This Row],[SETOR]]&amp;"PADRÃO",BD!B:AF,31,0),"")</f>
        <v/>
      </c>
      <c r="AD51" s="21" t="str">
        <f>IFERROR(VLOOKUP(Tabela1[[#This Row],[MÊS]]&amp;Tabela1[[#This Row],[MATRICULA]]&amp;"4"&amp;Tabela1[[#This Row],[SETOR]]&amp;"PADRÃO",BD!B:AF,25,0),"")</f>
        <v/>
      </c>
      <c r="AE51" s="21" t="str">
        <f>IFERROR(VLOOKUP(Tabela1[[#This Row],[MÊS]]&amp;Tabela1[[#This Row],[MATRICULA]]&amp;"5"&amp;Tabela1[[#This Row],[SETOR]]&amp;"PADRÃO",BD!B:AF,31,0),"")</f>
        <v/>
      </c>
      <c r="AF51" s="21" t="str">
        <f>IFERROR(VLOOKUP(Tabela1[[#This Row],[MÊS]]&amp;Tabela1[[#This Row],[MATRICULA]]&amp;"6"&amp;Tabela1[[#This Row],[SETOR]]&amp;"PADRÃO",BD!B:AF,31,0),"")</f>
        <v/>
      </c>
      <c r="AG51" s="21" t="str">
        <f>IFERROR(VLOOKUP(Tabela1[[#This Row],[MÊS]]&amp;Tabela1[[#This Row],[MATRICULA]]&amp;"7"&amp;Tabela1[[#This Row],[SETOR]]&amp;"PADRÃO",BD!B:AF,31,0),"")</f>
        <v/>
      </c>
      <c r="AH51" s="21" t="str">
        <f>IFERROR(VLOOKUP(Tabela1[[#This Row],[MÊS]]&amp;Tabela1[[#This Row],[ID]]&amp;Tabela1[[#This Row],[MATRICULA]]&amp;"Receptiva"&amp;Tabela1[[#This Row],[SETOR]],BD!A:AF,31,0),"")</f>
        <v/>
      </c>
      <c r="AI51" s="21" t="str">
        <f>IFERROR(VLOOKUP(Tabela1[[#This Row],[MÊS]]&amp;Tabela1[[#This Row],[ID]]&amp;Tabela1[[#This Row],[MATRICULA]]&amp;"Receptiva 2"&amp;Tabela1[[#This Row],[SETOR]],BD!A:AF,31,0),"")</f>
        <v/>
      </c>
      <c r="AJ51" s="21" t="str">
        <f>IFERROR(VLOOKUP(Tabela1[[#This Row],[MÊS]]&amp;Tabela1[[#This Row],[ID]]&amp;Tabela1[[#This Row],[MATRICULA]]&amp;"Receptiva 3"&amp;Tabela1[[#This Row],[SETOR]],BD!A:AF,31,0),"")</f>
        <v/>
      </c>
      <c r="AK51" s="21" t="str">
        <f>IFERROR(VLOOKUP(Tabela1[[#This Row],[MÊS]]&amp;Tabela1[[#This Row],[ID]]&amp;Tabela1[[#This Row],[MATRICULA]]&amp;"Receptiva 4"&amp;Tabela1[[#This Row],[SETOR]],BD!A:AF,31,0),"")</f>
        <v/>
      </c>
      <c r="AL51" s="21">
        <f>IFERROR(VLOOKUP(Tabela1[[#This Row],[MÊS]]&amp;Tabela1[[#This Row],[MATRICULA]]&amp;"Motorista"&amp;Tabela1[[#This Row],[SETOR]],BD!A:AF,31,0),"")</f>
        <v>0</v>
      </c>
      <c r="AM51" s="21" t="str">
        <f>IFERROR(VLOOKUP(Tabela1[[#This Row],[MÊS]]&amp;Tabela1[[#This Row],[ID]]&amp;Tabela1[[#This Row],[MATRICULA]]&amp;"Motorista 2"&amp;Tabela1[[#This Row],[SETOR]],BD!A:AF,26,0),"")</f>
        <v/>
      </c>
      <c r="AN51" s="21" t="str">
        <f>IFERROR(VLOOKUP(Tabela1[[#This Row],[MÊS]]&amp;Tabela1[[#This Row],[ID]]&amp;Tabela1[[#This Row],[MATRICULA]]&amp;"Motorista 3"&amp;Tabela1[[#This Row],[SETOR]],BD!A:AF,26,0),"")</f>
        <v/>
      </c>
      <c r="AO51" s="21" t="str">
        <f>IFERROR(VLOOKUP(Tabela1[[#This Row],[MÊS]]&amp;Tabela1[[#This Row],[ID]]&amp;Tabela1[[#This Row],[MATRICULA]]&amp;"Motorista 4"&amp;Tabela1[[#This Row],[SETOR]],BD!A:AF,26,0),"")</f>
        <v/>
      </c>
      <c r="AP51" s="21" t="str">
        <f>IFERROR(VLOOKUP(Tabela1[[#This Row],[MÊS]]&amp;Tabela1[[#This Row],[MATRICULA]]&amp;"Ponto de Apoio"&amp;Tabela1[[#This Row],[SETOR]],BD!A:AF,31,0),"")</f>
        <v/>
      </c>
      <c r="AQ51" s="21" t="str">
        <f>IFERROR(VLOOKUP(Tabela1[[#This Row],[MÊS]]&amp;Tabela1[[#This Row],[ID]]&amp;Tabela1[[#This Row],[MATRICULA]]&amp;"Ponto de Apoio 2"&amp;Tabela1[[#This Row],[SETOR]],BD!A:AF,26,0),"")</f>
        <v/>
      </c>
      <c r="AR51" s="36" t="str">
        <f>IFERROR(VLOOKUP(Tabela1[[#This Row],[MÊS]]&amp;Tabela1[[#This Row],[ID]]&amp;Tabela1[[#This Row],[MATRICULA]]&amp;"Ponto de Apoio 3"&amp;Tabela1[[#This Row],[SETOR]],BD!A:AF,26,0),"")</f>
        <v/>
      </c>
      <c r="AS51" s="36" t="str">
        <f>IFERROR(VLOOKUP(Tabela1[[#This Row],[MÊS]]&amp;Tabela1[[#This Row],[ID]]&amp;Tabela1[[#This Row],[MATRICULA]]&amp;"Ponto de Apoio 4"&amp;Tabela1[[#This Row],[SETOR]],BD!A:AF,26,0),"")</f>
        <v/>
      </c>
      <c r="AT51" s="21" t="str">
        <f>IFERROR(VLOOKUP(Tabela1[[#This Row],[MÊS]]&amp;Tabela1[[#This Row],[MATRICULA]]&amp;"Cliente"&amp;Tabela1[[#This Row],[SETOR]],BD!A:AF,31,0),"")</f>
        <v/>
      </c>
      <c r="AU51" s="21" t="str">
        <f>IFERROR(VLOOKUP(Tabela1[[#This Row],[MÊS]]&amp;Tabela1[[#This Row],[ID]]&amp;Tabela1[[#This Row],[MATRICULA]]&amp;"Cliente 2"&amp;Tabela1[[#This Row],[SETOR]],BD!A:AF,26,0),"")</f>
        <v/>
      </c>
      <c r="AX51" s="21" t="str">
        <f>IFERROR(VLOOKUP(Tabela1[[#This Row],[MÊS]]&amp;Tabela1[[#This Row],[MATRICULA]]&amp;"Policia"&amp;Tabela1[[#This Row],[SETOR]],BD!A:AF,31,0),"")</f>
        <v/>
      </c>
      <c r="AY51" s="21" t="str">
        <f>IFERROR(VLOOKUP(Tabela1[[#This Row],[MÊS]]&amp;Tabela1[[#This Row],[ID]]&amp;Tabela1[[#This Row],[MATRICULA]]&amp;"Policia 2"&amp;Tabela1[[#This Row],[SETOR]],BD!A:AF,26,0),"")</f>
        <v/>
      </c>
      <c r="AZ51" s="36" t="str">
        <f>IFERROR(VLOOKUP(Tabela1[[#This Row],[MÊS]]&amp;Tabela1[[#This Row],[ID]]&amp;Tabela1[[#This Row],[MATRICULA]]&amp;"Policia 3"&amp;Tabela1[[#This Row],[SETOR]],BD!A:AF,26,0),"")</f>
        <v/>
      </c>
      <c r="BA51" s="36" t="str">
        <f>IFERROR(VLOOKUP(Tabela1[[#This Row],[MÊS]]&amp;Tabela1[[#This Row],[ID]]&amp;Tabela1[[#This Row],[MATRICULA]]&amp;"Policia 4"&amp;Tabela1[[#This Row],[SETOR]],BD!A:AF,26,0),"")</f>
        <v/>
      </c>
      <c r="BB5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1" s="21">
        <f>IFERROR(AVERAGE(Tabela1[[#This Row],[M]:[M4]]),"")</f>
        <v>0</v>
      </c>
      <c r="BD51" s="21" t="str">
        <f>IFERROR(AVERAGE(Tabela1[[#This Row],[C]:[C4]]),"")</f>
        <v/>
      </c>
      <c r="BE51" s="21" t="str">
        <f>IFERROR(AVERAGE(Tabela1[[#This Row],[PA2]:[PA 4]]),"")</f>
        <v/>
      </c>
      <c r="BF51" s="21" t="str">
        <f>IFERROR(AVERAGE(Tabela1[[#This Row],[PL]:[PL4]]),"")</f>
        <v/>
      </c>
      <c r="BG51" s="35" t="str">
        <f>IFERROR(VLOOKUP(Tabela1[[#This Row],[MÊS]]&amp;Tabela1[[#This Row],[MATRICULA]],#REF!,2,0),"")</f>
        <v/>
      </c>
      <c r="BH51" s="35" t="str">
        <f>IFERROR(VLOOKUP(Tabela1[[#This Row],[MÊS]]&amp;Tabela1[[#This Row],[MATRICULA]],#REF!,2,0),"")</f>
        <v/>
      </c>
      <c r="BI51" s="35" t="str">
        <f>IFERROR(VLOOKUP(Tabela1[[#This Row],[MÊS]]&amp;Tabela1[[#This Row],[MATRICULA]],#REF!,2,0),"")</f>
        <v/>
      </c>
      <c r="BJ51" s="35" t="str">
        <f>IFERROR(VLOOKUP(Tabela1[[#This Row],[MÊS]]&amp;Tabela1[[#This Row],[MATRICULA]],#REF!,2,0),"")</f>
        <v/>
      </c>
      <c r="BK51" s="35" t="str">
        <f>IFERROR(VLOOKUP(Tabela1[[#This Row],[MÊS]]&amp;Tabela1[[#This Row],[MATRICULA]],#REF!,2,0),"")</f>
        <v/>
      </c>
      <c r="BL51" s="21">
        <f>COUNTIF(Tabela1[[#This Row],[MOT2]:[RECEPTIVA]],"NÃO ENCONTRADA")</f>
        <v>0</v>
      </c>
      <c r="BM51" s="135" t="str">
        <f>IFERROR(VLOOKUP(Tabela1[[#This Row],[MÊS]]&amp;Tabela1[[#This Row],[ID]]&amp;Tabela1[[#This Row],[MATRICULA]]&amp;"Motorista"&amp;Tabela1[[#This Row],[SETOR]],BD!A:AF,13,0),"")</f>
        <v/>
      </c>
      <c r="BN51" s="135" t="str">
        <f>IFERROR(VLOOKUP(Tabela1[[#This Row],[MÊS]]&amp;Tabela1[[#This Row],[ID]]&amp;Tabela1[[#This Row],[MATRICULA]]&amp;"Motorista 2"&amp;Tabela1[[#This Row],[SETOR]],BD!A:AF,13,0),"")</f>
        <v/>
      </c>
      <c r="BO51" s="135" t="str">
        <f>IFERROR(VLOOKUP(Tabela1[[#This Row],[MÊS]]&amp;Tabela1[[#This Row],[ID]]&amp;Tabela1[[#This Row],[MATRICULA]]&amp;"Motorista 3"&amp;Tabela1[[#This Row],[SETOR]],BD!A:AF,13,0),"")</f>
        <v/>
      </c>
      <c r="BP51" s="135" t="str">
        <f>IFERROR(VLOOKUP(Tabela1[[#This Row],[MÊS]]&amp;Tabela1[[#This Row],[ID]]&amp;Tabela1[[#This Row],[MATRICULA]]&amp;"Motorista 4"&amp;Tabela1[[#This Row],[SETOR]],BD!A:AF,13,0),"")</f>
        <v/>
      </c>
      <c r="BQ51" s="135" t="str">
        <f>IFERROR(AVERAGE(Tabela1[[#This Row],[DMOT]:[DMOT4]]),"")</f>
        <v/>
      </c>
      <c r="BR51" s="135" t="str">
        <f>IFERROR(VLOOKUP(Tabela1[[#This Row],[MÊS]]&amp;Tabela1[[#This Row],[ID]]&amp;Tabela1[[#This Row],[MATRICULA]]&amp;"Ponto de Apoio"&amp;Tabela1[[#This Row],[SETOR]],BD!A:AF,13,0),"")</f>
        <v/>
      </c>
      <c r="BS51" s="135" t="str">
        <f>IFERROR(VLOOKUP(Tabela1[[#This Row],[MÊS]]&amp;Tabela1[[#This Row],[ID]]&amp;Tabela1[[#This Row],[MATRICULA]]&amp;"Ponto de Apoio 2"&amp;Tabela1[[#This Row],[SETOR]],BD!A:AF,13,0),"")</f>
        <v/>
      </c>
      <c r="BT51" s="135" t="str">
        <f>IFERROR(VLOOKUP(Tabela1[[#This Row],[MÊS]]&amp;Tabela1[[#This Row],[ID]]&amp;Tabela1[[#This Row],[MATRICULA]]&amp;"Ponto de Apoio 3"&amp;Tabela1[[#This Row],[SETOR]],BD!A:AF,13,0),"")</f>
        <v/>
      </c>
      <c r="BU51" s="135" t="str">
        <f>IFERROR(VLOOKUP(Tabela1[[#This Row],[MÊS]]&amp;Tabela1[[#This Row],[ID]]&amp;Tabela1[[#This Row],[MATRICULA]]&amp;"Ponto de Apoio 4"&amp;Tabela1[[#This Row],[SETOR]],BD!A:AF,13,0),"")</f>
        <v/>
      </c>
      <c r="BV51" s="135" t="str">
        <f>IFERROR(AVERAGE(Tabela1[[#This Row],[DPA]:[DPA 4]]),"")</f>
        <v/>
      </c>
      <c r="BW51" s="135" t="str">
        <f>IFERROR(VLOOKUP(Tabela1[[#This Row],[MÊS]]&amp;Tabela1[[#This Row],[ID]]&amp;Tabela1[[#This Row],[MATRICULA]]&amp;"Cliente"&amp;Tabela1[[#This Row],[SETOR]],BD!A:AF,13,0),"")</f>
        <v/>
      </c>
      <c r="BX51" s="135" t="str">
        <f>IFERROR(VLOOKUP(Tabela1[[#This Row],[MÊS]]&amp;Tabela1[[#This Row],[ID]]&amp;Tabela1[[#This Row],[MATRICULA]]&amp;"cliente 2"&amp;Tabela1[[#This Row],[SETOR]],BD!A:AF,13,0),"")</f>
        <v/>
      </c>
      <c r="BY51" s="135" t="str">
        <f>IFERROR(VLOOKUP(Tabela1[[#This Row],[MÊS]]&amp;Tabela1[[#This Row],[ID]]&amp;Tabela1[[#This Row],[MATRICULA]]&amp;"cliente 3"&amp;Tabela1[[#This Row],[SETOR]],BD!A:AF,13,0),"")</f>
        <v/>
      </c>
      <c r="BZ51" s="135" t="str">
        <f>IFERROR(VLOOKUP(Tabela1[[#This Row],[MÊS]]&amp;Tabela1[[#This Row],[ID]]&amp;Tabela1[[#This Row],[MATRICULA]]&amp;"cliente 4"&amp;Tabela1[[#This Row],[SETOR]],BD!A:AF,13,0),"")</f>
        <v/>
      </c>
      <c r="CA51" s="135" t="str">
        <f>IFERROR(AVERAGE(Tabela1[[#This Row],[DCLI]:[DCLI 4]]),"")</f>
        <v/>
      </c>
      <c r="CB51" s="135" t="str">
        <f>IFERROR(VLOOKUP(Tabela1[[#This Row],[MÊS]]&amp;Tabela1[[#This Row],[ID]]&amp;Tabela1[[#This Row],[MATRICULA]]&amp;"Policia"&amp;Tabela1[[#This Row],[SETOR]],BD!A:AF,13,0),"")</f>
        <v/>
      </c>
      <c r="CC51" s="135" t="str">
        <f>IFERROR(VLOOKUP(Tabela1[[#This Row],[MÊS]]&amp;Tabela1[[#This Row],[ID]]&amp;Tabela1[[#This Row],[MATRICULA]]&amp;"Policia 2"&amp;Tabela1[[#This Row],[SETOR]],BD!A:AF,13,0),"")</f>
        <v/>
      </c>
      <c r="CD51" s="135"/>
      <c r="CE51" s="135"/>
      <c r="CF51" s="135" t="str">
        <f>IFERROR((AVERAGE(Tabela1[[#This Row],[DPOL1]:[DPOL4]])),"")</f>
        <v/>
      </c>
      <c r="CG51" s="21" t="str">
        <f>IFERROR(VLOOKUP(Tabela1[[#This Row],[ID]]&amp;Tabela1[[#This Row],[MÊS]]&amp;Tabela1[[#This Row],[MATRICULA]],#REF!,2,0),"")</f>
        <v/>
      </c>
      <c r="CH51" s="21" t="str">
        <f>IFERROR(VLOOKUP(Tabela1[[#This Row],[ID]]&amp;Tabela1[[#This Row],[MÊS]]&amp;Tabela1[[#This Row],[MATRICULA]],#REF!,2,0),"")</f>
        <v/>
      </c>
      <c r="CI51" s="21" t="str">
        <f>IFERROR(VLOOKUP(Tabela1[[#This Row],[MÊS]]&amp;Tabela1[[#This Row],[MATRICULA]],#REF!,2,0),"")</f>
        <v/>
      </c>
    </row>
    <row r="52" spans="1:87">
      <c r="A52" s="12" t="str">
        <f>Tabela1[[#This Row],[MÊS]]&amp;Tabela1[[#This Row],[MATRICULA]]&amp;Tabela1[[#This Row],[ID]]</f>
        <v>JAN112267</v>
      </c>
      <c r="B52" s="12" t="str">
        <f>Tabela1[[#This Row],[MÊS]]&amp;Tabela1[[#This Row],[ID]]&amp;Tabela1[[#This Row],[MATRICULA]]&amp;Tabela1[[#This Row],[SETOR]]</f>
        <v>JAN711226DISTRIBUIÇÃO</v>
      </c>
      <c r="C52" s="130" t="e">
        <f>VLOOKUP(Tabela1[[#This Row],[MATRICULA]],'BD Campos'!A:D,5,0)</f>
        <v>#REF!</v>
      </c>
      <c r="D52" s="133" t="str">
        <f ca="1">IFERROR(SUM(TODAY()-Tabela1[[#This Row],[ADMISSÃO]]),"")</f>
        <v/>
      </c>
      <c r="E52" s="11" t="str">
        <f ca="1">IFERROR(TRUNC(Tabela1[[#This Row],[TEMPO DE CASA (DIAS)]]/30),"")</f>
        <v/>
      </c>
      <c r="F52" s="32" t="str">
        <f ca="1">IFERROR(SUM(Tabela1[[#This Row],[TEMPO DE CASA (MESES)]]/12),"")</f>
        <v/>
      </c>
      <c r="G52" s="133" t="str">
        <f ca="1">IF(Tabela1[[#This Row],[TEMPO DE CASA (DIAS)]]="","SEM DADOS",IF(Tabela1[[#This Row],[TEMPO DE CASA (DIAS)]]&gt;180,"&gt; 6 MESES","&lt; 6 MESES"))</f>
        <v>SEM DADOS</v>
      </c>
      <c r="H52" s="12" t="str">
        <f t="shared" si="5"/>
        <v>JANDouglas de Aguiar7</v>
      </c>
      <c r="I52" s="12" t="str">
        <f>IFERROR(VLOOKUP(Tabela1[[#This Row],[MATRICULA]],'BD Campos'!A:F,7,0),"")</f>
        <v/>
      </c>
      <c r="J52" s="11">
        <v>7</v>
      </c>
      <c r="K52" s="11" t="s">
        <v>669</v>
      </c>
      <c r="L52" s="136">
        <v>11226</v>
      </c>
      <c r="M52" s="12" t="str">
        <f>IFERROR(VLOOKUP(Tabela1[[#This Row],[MATRICULA]],'BD Campos'!A:B,2,0),"")</f>
        <v>SCARLET MEROLI FERREIRA DE OLIVEIRA</v>
      </c>
      <c r="N52" s="20">
        <f>IFERROR(AVERAGE(Tabela1[[#This Row],[A1]:[A4]]),"")</f>
        <v>0</v>
      </c>
      <c r="O52" s="20" t="str">
        <f>IFERROR(IF(Tabela1[[#This Row],[SETOR]]="RECEPTIVO","",AVERAGE(Tabela1[[#This Row],[A5]:[A6]])),"")</f>
        <v/>
      </c>
      <c r="P52" s="20" t="str">
        <f>IFERROR(IF(Tabela1[[#This Row],[STATUS]]="INATIVO","INATIVO",IF(Tabela1[[#This Row],[STATUS]]="QRT","INATIVO",IF(Tabela1[[#This Row],[OPERACIONAL]]&gt;7.99999,"BOM","RUIM"))),"")</f>
        <v>RUIM</v>
      </c>
      <c r="Q52" s="21" t="s">
        <v>667</v>
      </c>
      <c r="R52" s="12" t="s">
        <v>94</v>
      </c>
      <c r="S52" s="12" t="s">
        <v>675</v>
      </c>
      <c r="T52" s="12" t="s">
        <v>94</v>
      </c>
      <c r="U5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2" s="12">
        <f>IF(AND(Tabela1[[#This Row],[SETOR]]="UTI",Tabela1[[#This Row],[M]]&lt;&gt;""),1,IF(AND(Tabela1[[#This Row],[SETOR]]="UTI (RJ)",Tabela1[[#This Row],[M]]&lt;&gt;""),1.5,0))</f>
        <v>0</v>
      </c>
      <c r="X52" s="12">
        <f>IF(AND(Tabela1[[#This Row],[SETOR]]="UTI",Tabela1[[#This Row],[PA2]]&lt;&gt;""),1,IF(AND(Tabela1[[#This Row],[SETOR]]="UTI (RJ)",Tabela1[[#This Row],[PA2]]&lt;&gt;""),0,0))</f>
        <v>0</v>
      </c>
      <c r="Y52" s="12">
        <f>IF(AND(Tabela1[[#This Row],[SETOR]]="UTI",Tabela1[[#This Row],[C]]&lt;&gt;""),1,IF(AND(Tabela1[[#This Row],[SETOR]]="UTI (RJ)",Tabela1[[#This Row],[C]]&lt;&gt;""),1.5,0))</f>
        <v>0</v>
      </c>
      <c r="Z52" s="12">
        <f>IF(AND(Tabela1[[#This Row],[SETOR]]="UTI",Tabela1[[#This Row],[PL]]&lt;&gt;""),1,IF(AND(Tabela1[[#This Row],[SETOR]]="UTI (RJ)",Tabela1[[#This Row],[PL]]&lt;&gt;""),1,0))</f>
        <v>0</v>
      </c>
      <c r="AA52" s="21">
        <f>IFERROR(VLOOKUP(Tabela1[[#This Row],[MÊS]]&amp;Tabela1[[#This Row],[MATRICULA]]&amp;"1"&amp;Tabela1[[#This Row],[SETOR]]&amp;"PADRÃO",BD!B:AF,31,0),"")</f>
        <v>0</v>
      </c>
      <c r="AB52" s="21">
        <f>IFERROR(VLOOKUP(Tabela1[[#This Row],[MÊS]]&amp;Tabela1[[#This Row],[MATRICULA]]&amp;"2"&amp;Tabela1[[#This Row],[SETOR]]&amp;"PADRÃO",BD!B:AF,31,0),"")</f>
        <v>0</v>
      </c>
      <c r="AC52" s="21" t="str">
        <f>IFERROR(VLOOKUP(Tabela1[[#This Row],[MÊS]]&amp;Tabela1[[#This Row],[MATRICULA]]&amp;"3"&amp;Tabela1[[#This Row],[SETOR]]&amp;"PADRÃO",BD!B:AF,31,0),"")</f>
        <v/>
      </c>
      <c r="AD52" s="21" t="str">
        <f>IFERROR(VLOOKUP(Tabela1[[#This Row],[MÊS]]&amp;Tabela1[[#This Row],[MATRICULA]]&amp;"4"&amp;Tabela1[[#This Row],[SETOR]]&amp;"PADRÃO",BD!B:AF,25,0),"")</f>
        <v/>
      </c>
      <c r="AE52" s="21" t="str">
        <f>IFERROR(VLOOKUP(Tabela1[[#This Row],[MÊS]]&amp;Tabela1[[#This Row],[MATRICULA]]&amp;"5"&amp;Tabela1[[#This Row],[SETOR]]&amp;"PADRÃO",BD!B:AF,31,0),"")</f>
        <v/>
      </c>
      <c r="AF52" s="21" t="str">
        <f>IFERROR(VLOOKUP(Tabela1[[#This Row],[MÊS]]&amp;Tabela1[[#This Row],[MATRICULA]]&amp;"6"&amp;Tabela1[[#This Row],[SETOR]]&amp;"PADRÃO",BD!B:AF,31,0),"")</f>
        <v/>
      </c>
      <c r="AG52" s="21" t="str">
        <f>IFERROR(VLOOKUP(Tabela1[[#This Row],[MÊS]]&amp;Tabela1[[#This Row],[MATRICULA]]&amp;"7"&amp;Tabela1[[#This Row],[SETOR]]&amp;"PADRÃO",BD!B:AF,31,0),"")</f>
        <v/>
      </c>
      <c r="AH52" s="21" t="str">
        <f>IFERROR(VLOOKUP(Tabela1[[#This Row],[MÊS]]&amp;Tabela1[[#This Row],[ID]]&amp;Tabela1[[#This Row],[MATRICULA]]&amp;"Receptiva"&amp;Tabela1[[#This Row],[SETOR]],BD!A:AF,31,0),"")</f>
        <v/>
      </c>
      <c r="AI52" s="21" t="str">
        <f>IFERROR(VLOOKUP(Tabela1[[#This Row],[MÊS]]&amp;Tabela1[[#This Row],[ID]]&amp;Tabela1[[#This Row],[MATRICULA]]&amp;"Receptiva 2"&amp;Tabela1[[#This Row],[SETOR]],BD!A:AF,31,0),"")</f>
        <v/>
      </c>
      <c r="AJ52" s="21" t="str">
        <f>IFERROR(VLOOKUP(Tabela1[[#This Row],[MÊS]]&amp;Tabela1[[#This Row],[ID]]&amp;Tabela1[[#This Row],[MATRICULA]]&amp;"Receptiva 3"&amp;Tabela1[[#This Row],[SETOR]],BD!A:AF,31,0),"")</f>
        <v/>
      </c>
      <c r="AK52" s="21" t="str">
        <f>IFERROR(VLOOKUP(Tabela1[[#This Row],[MÊS]]&amp;Tabela1[[#This Row],[ID]]&amp;Tabela1[[#This Row],[MATRICULA]]&amp;"Receptiva 4"&amp;Tabela1[[#This Row],[SETOR]],BD!A:AF,31,0),"")</f>
        <v/>
      </c>
      <c r="AL52" s="21" t="str">
        <f>IFERROR(VLOOKUP(Tabela1[[#This Row],[MÊS]]&amp;Tabela1[[#This Row],[MATRICULA]]&amp;"Motorista"&amp;Tabela1[[#This Row],[SETOR]],BD!A:AF,31,0),"")</f>
        <v/>
      </c>
      <c r="AM52" s="21" t="str">
        <f>IFERROR(VLOOKUP(Tabela1[[#This Row],[MÊS]]&amp;Tabela1[[#This Row],[ID]]&amp;Tabela1[[#This Row],[MATRICULA]]&amp;"Motorista 2"&amp;Tabela1[[#This Row],[SETOR]],BD!A:AF,26,0),"")</f>
        <v/>
      </c>
      <c r="AN52" s="21" t="str">
        <f>IFERROR(VLOOKUP(Tabela1[[#This Row],[MÊS]]&amp;Tabela1[[#This Row],[ID]]&amp;Tabela1[[#This Row],[MATRICULA]]&amp;"Motorista 3"&amp;Tabela1[[#This Row],[SETOR]],BD!A:AF,26,0),"")</f>
        <v/>
      </c>
      <c r="AO52" s="21" t="str">
        <f>IFERROR(VLOOKUP(Tabela1[[#This Row],[MÊS]]&amp;Tabela1[[#This Row],[ID]]&amp;Tabela1[[#This Row],[MATRICULA]]&amp;"Motorista 4"&amp;Tabela1[[#This Row],[SETOR]],BD!A:AF,26,0),"")</f>
        <v/>
      </c>
      <c r="AP52" s="21" t="str">
        <f>IFERROR(VLOOKUP(Tabela1[[#This Row],[MÊS]]&amp;Tabela1[[#This Row],[MATRICULA]]&amp;"Ponto de Apoio"&amp;Tabela1[[#This Row],[SETOR]],BD!A:AF,31,0),"")</f>
        <v/>
      </c>
      <c r="AQ52" s="21" t="str">
        <f>IFERROR(VLOOKUP(Tabela1[[#This Row],[MÊS]]&amp;Tabela1[[#This Row],[ID]]&amp;Tabela1[[#This Row],[MATRICULA]]&amp;"Ponto de Apoio 2"&amp;Tabela1[[#This Row],[SETOR]],BD!A:AF,26,0),"")</f>
        <v/>
      </c>
      <c r="AR52" s="36" t="str">
        <f>IFERROR(VLOOKUP(Tabela1[[#This Row],[MÊS]]&amp;Tabela1[[#This Row],[ID]]&amp;Tabela1[[#This Row],[MATRICULA]]&amp;"Ponto de Apoio 3"&amp;Tabela1[[#This Row],[SETOR]],BD!A:AF,26,0),"")</f>
        <v/>
      </c>
      <c r="AS52" s="36" t="str">
        <f>IFERROR(VLOOKUP(Tabela1[[#This Row],[MÊS]]&amp;Tabela1[[#This Row],[ID]]&amp;Tabela1[[#This Row],[MATRICULA]]&amp;"Ponto de Apoio 4"&amp;Tabela1[[#This Row],[SETOR]],BD!A:AF,26,0),"")</f>
        <v/>
      </c>
      <c r="AT52" s="21" t="str">
        <f>IFERROR(VLOOKUP(Tabela1[[#This Row],[MÊS]]&amp;Tabela1[[#This Row],[MATRICULA]]&amp;"Cliente"&amp;Tabela1[[#This Row],[SETOR]],BD!A:AF,31,0),"")</f>
        <v/>
      </c>
      <c r="AU52" s="21" t="str">
        <f>IFERROR(VLOOKUP(Tabela1[[#This Row],[MÊS]]&amp;Tabela1[[#This Row],[ID]]&amp;Tabela1[[#This Row],[MATRICULA]]&amp;"Cliente 2"&amp;Tabela1[[#This Row],[SETOR]],BD!A:AF,26,0),"")</f>
        <v/>
      </c>
      <c r="AX52" s="21" t="str">
        <f>IFERROR(VLOOKUP(Tabela1[[#This Row],[MÊS]]&amp;Tabela1[[#This Row],[MATRICULA]]&amp;"Policia"&amp;Tabela1[[#This Row],[SETOR]],BD!A:AF,31,0),"")</f>
        <v/>
      </c>
      <c r="AY52" s="21" t="str">
        <f>IFERROR(VLOOKUP(Tabela1[[#This Row],[MÊS]]&amp;Tabela1[[#This Row],[ID]]&amp;Tabela1[[#This Row],[MATRICULA]]&amp;"Policia 2"&amp;Tabela1[[#This Row],[SETOR]],BD!A:AF,26,0),"")</f>
        <v/>
      </c>
      <c r="AZ52" s="36" t="str">
        <f>IFERROR(VLOOKUP(Tabela1[[#This Row],[MÊS]]&amp;Tabela1[[#This Row],[ID]]&amp;Tabela1[[#This Row],[MATRICULA]]&amp;"Policia 3"&amp;Tabela1[[#This Row],[SETOR]],BD!A:AF,26,0),"")</f>
        <v/>
      </c>
      <c r="BA52" s="36" t="str">
        <f>IFERROR(VLOOKUP(Tabela1[[#This Row],[MÊS]]&amp;Tabela1[[#This Row],[ID]]&amp;Tabela1[[#This Row],[MATRICULA]]&amp;"Policia 4"&amp;Tabela1[[#This Row],[SETOR]],BD!A:AF,26,0),"")</f>
        <v/>
      </c>
      <c r="BB5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2" s="21" t="str">
        <f>IFERROR(AVERAGE(Tabela1[[#This Row],[M]:[M4]]),"")</f>
        <v/>
      </c>
      <c r="BD52" s="21" t="str">
        <f>IFERROR(AVERAGE(Tabela1[[#This Row],[C]:[C4]]),"")</f>
        <v/>
      </c>
      <c r="BE52" s="21" t="str">
        <f>IFERROR(AVERAGE(Tabela1[[#This Row],[PA2]:[PA 4]]),"")</f>
        <v/>
      </c>
      <c r="BF52" s="21" t="str">
        <f>IFERROR(AVERAGE(Tabela1[[#This Row],[PL]:[PL4]]),"")</f>
        <v/>
      </c>
      <c r="BG52" s="35" t="str">
        <f>IFERROR(VLOOKUP(Tabela1[[#This Row],[MÊS]]&amp;Tabela1[[#This Row],[MATRICULA]],#REF!,2,0),"")</f>
        <v/>
      </c>
      <c r="BH52" s="35" t="str">
        <f>IFERROR(VLOOKUP(Tabela1[[#This Row],[MÊS]]&amp;Tabela1[[#This Row],[MATRICULA]],#REF!,2,0),"")</f>
        <v/>
      </c>
      <c r="BI52" s="35" t="str">
        <f>IFERROR(VLOOKUP(Tabela1[[#This Row],[MÊS]]&amp;Tabela1[[#This Row],[MATRICULA]],#REF!,2,0),"")</f>
        <v/>
      </c>
      <c r="BJ52" s="35" t="str">
        <f>IFERROR(VLOOKUP(Tabela1[[#This Row],[MÊS]]&amp;Tabela1[[#This Row],[MATRICULA]],#REF!,2,0),"")</f>
        <v/>
      </c>
      <c r="BK52" s="35" t="str">
        <f>IFERROR(VLOOKUP(Tabela1[[#This Row],[MÊS]]&amp;Tabela1[[#This Row],[MATRICULA]],#REF!,2,0),"")</f>
        <v/>
      </c>
      <c r="BL52" s="21">
        <f>COUNTIF(Tabela1[[#This Row],[MOT2]:[RECEPTIVA]],"NÃO ENCONTRADA")</f>
        <v>0</v>
      </c>
      <c r="BM52" s="135" t="str">
        <f>IFERROR(VLOOKUP(Tabela1[[#This Row],[MÊS]]&amp;Tabela1[[#This Row],[ID]]&amp;Tabela1[[#This Row],[MATRICULA]]&amp;"Motorista"&amp;Tabela1[[#This Row],[SETOR]],BD!A:AF,13,0),"")</f>
        <v/>
      </c>
      <c r="BN52" s="135" t="str">
        <f>IFERROR(VLOOKUP(Tabela1[[#This Row],[MÊS]]&amp;Tabela1[[#This Row],[ID]]&amp;Tabela1[[#This Row],[MATRICULA]]&amp;"Motorista 2"&amp;Tabela1[[#This Row],[SETOR]],BD!A:AF,13,0),"")</f>
        <v/>
      </c>
      <c r="BO52" s="135" t="str">
        <f>IFERROR(VLOOKUP(Tabela1[[#This Row],[MÊS]]&amp;Tabela1[[#This Row],[ID]]&amp;Tabela1[[#This Row],[MATRICULA]]&amp;"Motorista 3"&amp;Tabela1[[#This Row],[SETOR]],BD!A:AF,13,0),"")</f>
        <v/>
      </c>
      <c r="BP52" s="135" t="str">
        <f>IFERROR(VLOOKUP(Tabela1[[#This Row],[MÊS]]&amp;Tabela1[[#This Row],[ID]]&amp;Tabela1[[#This Row],[MATRICULA]]&amp;"Motorista 4"&amp;Tabela1[[#This Row],[SETOR]],BD!A:AF,13,0),"")</f>
        <v/>
      </c>
      <c r="BQ52" s="135" t="str">
        <f>IFERROR(AVERAGE(Tabela1[[#This Row],[DMOT]:[DMOT4]]),"")</f>
        <v/>
      </c>
      <c r="BR52" s="135" t="str">
        <f>IFERROR(VLOOKUP(Tabela1[[#This Row],[MÊS]]&amp;Tabela1[[#This Row],[ID]]&amp;Tabela1[[#This Row],[MATRICULA]]&amp;"Ponto de Apoio"&amp;Tabela1[[#This Row],[SETOR]],BD!A:AF,13,0),"")</f>
        <v/>
      </c>
      <c r="BS52" s="135" t="str">
        <f>IFERROR(VLOOKUP(Tabela1[[#This Row],[MÊS]]&amp;Tabela1[[#This Row],[ID]]&amp;Tabela1[[#This Row],[MATRICULA]]&amp;"Ponto de Apoio 2"&amp;Tabela1[[#This Row],[SETOR]],BD!A:AF,13,0),"")</f>
        <v/>
      </c>
      <c r="BT52" s="135" t="str">
        <f>IFERROR(VLOOKUP(Tabela1[[#This Row],[MÊS]]&amp;Tabela1[[#This Row],[ID]]&amp;Tabela1[[#This Row],[MATRICULA]]&amp;"Ponto de Apoio 3"&amp;Tabela1[[#This Row],[SETOR]],BD!A:AF,13,0),"")</f>
        <v/>
      </c>
      <c r="BU52" s="135" t="str">
        <f>IFERROR(VLOOKUP(Tabela1[[#This Row],[MÊS]]&amp;Tabela1[[#This Row],[ID]]&amp;Tabela1[[#This Row],[MATRICULA]]&amp;"Ponto de Apoio 4"&amp;Tabela1[[#This Row],[SETOR]],BD!A:AF,13,0),"")</f>
        <v/>
      </c>
      <c r="BV52" s="135" t="str">
        <f>IFERROR(AVERAGE(Tabela1[[#This Row],[DPA]:[DPA 4]]),"")</f>
        <v/>
      </c>
      <c r="BW52" s="135" t="str">
        <f>IFERROR(VLOOKUP(Tabela1[[#This Row],[MÊS]]&amp;Tabela1[[#This Row],[ID]]&amp;Tabela1[[#This Row],[MATRICULA]]&amp;"Cliente"&amp;Tabela1[[#This Row],[SETOR]],BD!A:AF,13,0),"")</f>
        <v/>
      </c>
      <c r="BX52" s="135" t="str">
        <f>IFERROR(VLOOKUP(Tabela1[[#This Row],[MÊS]]&amp;Tabela1[[#This Row],[ID]]&amp;Tabela1[[#This Row],[MATRICULA]]&amp;"cliente 2"&amp;Tabela1[[#This Row],[SETOR]],BD!A:AF,13,0),"")</f>
        <v/>
      </c>
      <c r="BY52" s="135" t="str">
        <f>IFERROR(VLOOKUP(Tabela1[[#This Row],[MÊS]]&amp;Tabela1[[#This Row],[ID]]&amp;Tabela1[[#This Row],[MATRICULA]]&amp;"cliente 3"&amp;Tabela1[[#This Row],[SETOR]],BD!A:AF,13,0),"")</f>
        <v/>
      </c>
      <c r="BZ52" s="135" t="str">
        <f>IFERROR(VLOOKUP(Tabela1[[#This Row],[MÊS]]&amp;Tabela1[[#This Row],[ID]]&amp;Tabela1[[#This Row],[MATRICULA]]&amp;"cliente 4"&amp;Tabela1[[#This Row],[SETOR]],BD!A:AF,13,0),"")</f>
        <v/>
      </c>
      <c r="CA52" s="135" t="str">
        <f>IFERROR(AVERAGE(Tabela1[[#This Row],[DCLI]:[DCLI 4]]),"")</f>
        <v/>
      </c>
      <c r="CB52" s="135" t="str">
        <f>IFERROR(VLOOKUP(Tabela1[[#This Row],[MÊS]]&amp;Tabela1[[#This Row],[ID]]&amp;Tabela1[[#This Row],[MATRICULA]]&amp;"Policia"&amp;Tabela1[[#This Row],[SETOR]],BD!A:AF,13,0),"")</f>
        <v/>
      </c>
      <c r="CC52" s="135" t="str">
        <f>IFERROR(VLOOKUP(Tabela1[[#This Row],[MÊS]]&amp;Tabela1[[#This Row],[ID]]&amp;Tabela1[[#This Row],[MATRICULA]]&amp;"Policia 2"&amp;Tabela1[[#This Row],[SETOR]],BD!A:AF,13,0),"")</f>
        <v/>
      </c>
      <c r="CD52" s="135"/>
      <c r="CE52" s="135"/>
      <c r="CF52" s="135" t="str">
        <f>IFERROR((AVERAGE(Tabela1[[#This Row],[DPOL1]:[DPOL4]])),"")</f>
        <v/>
      </c>
      <c r="CG52" s="21" t="str">
        <f>IFERROR(VLOOKUP(Tabela1[[#This Row],[ID]]&amp;Tabela1[[#This Row],[MÊS]]&amp;Tabela1[[#This Row],[MATRICULA]],#REF!,2,0),"")</f>
        <v/>
      </c>
      <c r="CH52" s="21" t="str">
        <f>IFERROR(VLOOKUP(Tabela1[[#This Row],[ID]]&amp;Tabela1[[#This Row],[MÊS]]&amp;Tabela1[[#This Row],[MATRICULA]],#REF!,2,0),"")</f>
        <v/>
      </c>
      <c r="CI52" s="21" t="str">
        <f>IFERROR(VLOOKUP(Tabela1[[#This Row],[MÊS]]&amp;Tabela1[[#This Row],[MATRICULA]],#REF!,2,0),"")</f>
        <v/>
      </c>
    </row>
    <row r="53" spans="1:87">
      <c r="A53" s="12" t="str">
        <f>Tabela1[[#This Row],[MÊS]]&amp;Tabela1[[#This Row],[MATRICULA]]&amp;Tabela1[[#This Row],[ID]]</f>
        <v>JAN110508</v>
      </c>
      <c r="B53" s="12" t="str">
        <f>Tabela1[[#This Row],[MÊS]]&amp;Tabela1[[#This Row],[ID]]&amp;Tabela1[[#This Row],[MATRICULA]]&amp;Tabela1[[#This Row],[SETOR]]</f>
        <v>JAN811050DISTRIBUIÇÃO</v>
      </c>
      <c r="C53" s="130" t="e">
        <f>VLOOKUP(Tabela1[[#This Row],[MATRICULA]],'BD Campos'!A:D,5,0)</f>
        <v>#REF!</v>
      </c>
      <c r="D53" s="133" t="str">
        <f ca="1">IFERROR(SUM(TODAY()-Tabela1[[#This Row],[ADMISSÃO]]),"")</f>
        <v/>
      </c>
      <c r="E53" s="11" t="str">
        <f ca="1">IFERROR(TRUNC(Tabela1[[#This Row],[TEMPO DE CASA (DIAS)]]/30),"")</f>
        <v/>
      </c>
      <c r="F53" s="32" t="str">
        <f ca="1">IFERROR(SUM(Tabela1[[#This Row],[TEMPO DE CASA (MESES)]]/12),"")</f>
        <v/>
      </c>
      <c r="G53" s="133" t="str">
        <f ca="1">IF(Tabela1[[#This Row],[TEMPO DE CASA (DIAS)]]="","SEM DADOS",IF(Tabela1[[#This Row],[TEMPO DE CASA (DIAS)]]&gt;180,"&gt; 6 MESES","&lt; 6 MESES"))</f>
        <v>SEM DADOS</v>
      </c>
      <c r="H53" s="12" t="str">
        <f t="shared" si="5"/>
        <v>JANDouglas de Aguiar8</v>
      </c>
      <c r="I53" s="12" t="str">
        <f>IFERROR(VLOOKUP(Tabela1[[#This Row],[MATRICULA]],'BD Campos'!A:F,7,0),"")</f>
        <v/>
      </c>
      <c r="J53" s="11">
        <v>8</v>
      </c>
      <c r="K53" s="11" t="s">
        <v>669</v>
      </c>
      <c r="L53" s="136">
        <v>11050</v>
      </c>
      <c r="M53" s="12" t="str">
        <f>IFERROR(VLOOKUP(Tabela1[[#This Row],[MATRICULA]],'BD Campos'!A:B,2,0),"")</f>
        <v>STEFANE MOURA SANTOS</v>
      </c>
      <c r="N53" s="20">
        <f>IFERROR(AVERAGE(Tabela1[[#This Row],[A1]:[A4]]),"")</f>
        <v>8.0206499999999998</v>
      </c>
      <c r="O53" s="20" t="str">
        <f>IFERROR(IF(Tabela1[[#This Row],[SETOR]]="RECEPTIVO","",AVERAGE(Tabela1[[#This Row],[A5]:[A6]])),"")</f>
        <v/>
      </c>
      <c r="P53" s="20" t="str">
        <f>IFERROR(IF(Tabela1[[#This Row],[STATUS]]="INATIVO","INATIVO",IF(Tabela1[[#This Row],[STATUS]]="QRT","INATIVO",IF(Tabela1[[#This Row],[OPERACIONAL]]&gt;7.99999,"BOM","RUIM"))),"")</f>
        <v>BOM</v>
      </c>
      <c r="Q53" s="21" t="s">
        <v>667</v>
      </c>
      <c r="R53" s="12" t="s">
        <v>94</v>
      </c>
      <c r="S53" s="12" t="s">
        <v>675</v>
      </c>
      <c r="T53" s="12" t="s">
        <v>94</v>
      </c>
      <c r="U5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3" s="12">
        <f>IF(AND(Tabela1[[#This Row],[SETOR]]="UTI",Tabela1[[#This Row],[M]]&lt;&gt;""),1,IF(AND(Tabela1[[#This Row],[SETOR]]="UTI (RJ)",Tabela1[[#This Row],[M]]&lt;&gt;""),1.5,0))</f>
        <v>0</v>
      </c>
      <c r="X53" s="12">
        <f>IF(AND(Tabela1[[#This Row],[SETOR]]="UTI",Tabela1[[#This Row],[PA2]]&lt;&gt;""),1,IF(AND(Tabela1[[#This Row],[SETOR]]="UTI (RJ)",Tabela1[[#This Row],[PA2]]&lt;&gt;""),0,0))</f>
        <v>0</v>
      </c>
      <c r="Y53" s="12">
        <f>IF(AND(Tabela1[[#This Row],[SETOR]]="UTI",Tabela1[[#This Row],[C]]&lt;&gt;""),1,IF(AND(Tabela1[[#This Row],[SETOR]]="UTI (RJ)",Tabela1[[#This Row],[C]]&lt;&gt;""),1.5,0))</f>
        <v>0</v>
      </c>
      <c r="Z53" s="12">
        <f>IF(AND(Tabela1[[#This Row],[SETOR]]="UTI",Tabela1[[#This Row],[PL]]&lt;&gt;""),1,IF(AND(Tabela1[[#This Row],[SETOR]]="UTI (RJ)",Tabela1[[#This Row],[PL]]&lt;&gt;""),1,0))</f>
        <v>0</v>
      </c>
      <c r="AA53" s="21">
        <f>IFERROR(VLOOKUP(Tabela1[[#This Row],[MÊS]]&amp;Tabela1[[#This Row],[MATRICULA]]&amp;"1"&amp;Tabela1[[#This Row],[SETOR]]&amp;"PADRÃO",BD!B:AF,31,0),"")</f>
        <v>8.8974999999999991</v>
      </c>
      <c r="AB53" s="21">
        <f>IFERROR(VLOOKUP(Tabela1[[#This Row],[MÊS]]&amp;Tabela1[[#This Row],[MATRICULA]]&amp;"2"&amp;Tabela1[[#This Row],[SETOR]]&amp;"PADRÃO",BD!B:AF,31,0),"")</f>
        <v>7.1437999999999997</v>
      </c>
      <c r="AC53" s="21" t="str">
        <f>IFERROR(VLOOKUP(Tabela1[[#This Row],[MÊS]]&amp;Tabela1[[#This Row],[MATRICULA]]&amp;"3"&amp;Tabela1[[#This Row],[SETOR]]&amp;"PADRÃO",BD!B:AF,31,0),"")</f>
        <v/>
      </c>
      <c r="AD53" s="21" t="str">
        <f>IFERROR(VLOOKUP(Tabela1[[#This Row],[MÊS]]&amp;Tabela1[[#This Row],[MATRICULA]]&amp;"4"&amp;Tabela1[[#This Row],[SETOR]]&amp;"PADRÃO",BD!B:AF,25,0),"")</f>
        <v/>
      </c>
      <c r="AE53" s="21" t="str">
        <f>IFERROR(VLOOKUP(Tabela1[[#This Row],[MÊS]]&amp;Tabela1[[#This Row],[MATRICULA]]&amp;"5"&amp;Tabela1[[#This Row],[SETOR]]&amp;"PADRÃO",BD!B:AF,31,0),"")</f>
        <v/>
      </c>
      <c r="AF53" s="21" t="str">
        <f>IFERROR(VLOOKUP(Tabela1[[#This Row],[MÊS]]&amp;Tabela1[[#This Row],[MATRICULA]]&amp;"6"&amp;Tabela1[[#This Row],[SETOR]]&amp;"PADRÃO",BD!B:AF,31,0),"")</f>
        <v/>
      </c>
      <c r="AG53" s="21" t="str">
        <f>IFERROR(VLOOKUP(Tabela1[[#This Row],[MÊS]]&amp;Tabela1[[#This Row],[MATRICULA]]&amp;"7"&amp;Tabela1[[#This Row],[SETOR]]&amp;"PADRÃO",BD!B:AF,31,0),"")</f>
        <v/>
      </c>
      <c r="AH53" s="21" t="str">
        <f>IFERROR(VLOOKUP(Tabela1[[#This Row],[MÊS]]&amp;Tabela1[[#This Row],[ID]]&amp;Tabela1[[#This Row],[MATRICULA]]&amp;"Receptiva"&amp;Tabela1[[#This Row],[SETOR]],BD!A:AF,31,0),"")</f>
        <v/>
      </c>
      <c r="AI53" s="21" t="str">
        <f>IFERROR(VLOOKUP(Tabela1[[#This Row],[MÊS]]&amp;Tabela1[[#This Row],[ID]]&amp;Tabela1[[#This Row],[MATRICULA]]&amp;"Receptiva 2"&amp;Tabela1[[#This Row],[SETOR]],BD!A:AF,31,0),"")</f>
        <v/>
      </c>
      <c r="AJ53" s="21" t="str">
        <f>IFERROR(VLOOKUP(Tabela1[[#This Row],[MÊS]]&amp;Tabela1[[#This Row],[ID]]&amp;Tabela1[[#This Row],[MATRICULA]]&amp;"Receptiva 3"&amp;Tabela1[[#This Row],[SETOR]],BD!A:AF,31,0),"")</f>
        <v/>
      </c>
      <c r="AK53" s="21" t="str">
        <f>IFERROR(VLOOKUP(Tabela1[[#This Row],[MÊS]]&amp;Tabela1[[#This Row],[ID]]&amp;Tabela1[[#This Row],[MATRICULA]]&amp;"Receptiva 4"&amp;Tabela1[[#This Row],[SETOR]],BD!A:AF,31,0),"")</f>
        <v/>
      </c>
      <c r="AL53" s="21">
        <f>IFERROR(VLOOKUP(Tabela1[[#This Row],[MÊS]]&amp;Tabela1[[#This Row],[MATRICULA]]&amp;"Motorista"&amp;Tabela1[[#This Row],[SETOR]],BD!A:AF,31,0),"")</f>
        <v>0</v>
      </c>
      <c r="AM53" s="21" t="str">
        <f>IFERROR(VLOOKUP(Tabela1[[#This Row],[MÊS]]&amp;Tabela1[[#This Row],[ID]]&amp;Tabela1[[#This Row],[MATRICULA]]&amp;"Motorista 2"&amp;Tabela1[[#This Row],[SETOR]],BD!A:AF,26,0),"")</f>
        <v/>
      </c>
      <c r="AN53" s="21" t="str">
        <f>IFERROR(VLOOKUP(Tabela1[[#This Row],[MÊS]]&amp;Tabela1[[#This Row],[ID]]&amp;Tabela1[[#This Row],[MATRICULA]]&amp;"Motorista 3"&amp;Tabela1[[#This Row],[SETOR]],BD!A:AF,26,0),"")</f>
        <v/>
      </c>
      <c r="AO53" s="21" t="str">
        <f>IFERROR(VLOOKUP(Tabela1[[#This Row],[MÊS]]&amp;Tabela1[[#This Row],[ID]]&amp;Tabela1[[#This Row],[MATRICULA]]&amp;"Motorista 4"&amp;Tabela1[[#This Row],[SETOR]],BD!A:AF,26,0),"")</f>
        <v/>
      </c>
      <c r="AP53" s="21" t="str">
        <f>IFERROR(VLOOKUP(Tabela1[[#This Row],[MÊS]]&amp;Tabela1[[#This Row],[MATRICULA]]&amp;"Ponto de Apoio"&amp;Tabela1[[#This Row],[SETOR]],BD!A:AF,31,0),"")</f>
        <v/>
      </c>
      <c r="AQ53" s="21" t="str">
        <f>IFERROR(VLOOKUP(Tabela1[[#This Row],[MÊS]]&amp;Tabela1[[#This Row],[ID]]&amp;Tabela1[[#This Row],[MATRICULA]]&amp;"Ponto de Apoio 2"&amp;Tabela1[[#This Row],[SETOR]],BD!A:AF,26,0),"")</f>
        <v/>
      </c>
      <c r="AR53" s="36" t="str">
        <f>IFERROR(VLOOKUP(Tabela1[[#This Row],[MÊS]]&amp;Tabela1[[#This Row],[ID]]&amp;Tabela1[[#This Row],[MATRICULA]]&amp;"Ponto de Apoio 3"&amp;Tabela1[[#This Row],[SETOR]],BD!A:AF,26,0),"")</f>
        <v/>
      </c>
      <c r="AS53" s="36" t="str">
        <f>IFERROR(VLOOKUP(Tabela1[[#This Row],[MÊS]]&amp;Tabela1[[#This Row],[ID]]&amp;Tabela1[[#This Row],[MATRICULA]]&amp;"Ponto de Apoio 4"&amp;Tabela1[[#This Row],[SETOR]],BD!A:AF,26,0),"")</f>
        <v/>
      </c>
      <c r="AT53" s="21" t="str">
        <f>IFERROR(VLOOKUP(Tabela1[[#This Row],[MÊS]]&amp;Tabela1[[#This Row],[MATRICULA]]&amp;"Cliente"&amp;Tabela1[[#This Row],[SETOR]],BD!A:AF,31,0),"")</f>
        <v/>
      </c>
      <c r="AU53" s="21" t="str">
        <f>IFERROR(VLOOKUP(Tabela1[[#This Row],[MÊS]]&amp;Tabela1[[#This Row],[ID]]&amp;Tabela1[[#This Row],[MATRICULA]]&amp;"Cliente 2"&amp;Tabela1[[#This Row],[SETOR]],BD!A:AF,26,0),"")</f>
        <v/>
      </c>
      <c r="AX53" s="21" t="str">
        <f>IFERROR(VLOOKUP(Tabela1[[#This Row],[MÊS]]&amp;Tabela1[[#This Row],[MATRICULA]]&amp;"Policia"&amp;Tabela1[[#This Row],[SETOR]],BD!A:AF,31,0),"")</f>
        <v/>
      </c>
      <c r="AY53" s="21" t="str">
        <f>IFERROR(VLOOKUP(Tabela1[[#This Row],[MÊS]]&amp;Tabela1[[#This Row],[ID]]&amp;Tabela1[[#This Row],[MATRICULA]]&amp;"Policia 2"&amp;Tabela1[[#This Row],[SETOR]],BD!A:AF,26,0),"")</f>
        <v/>
      </c>
      <c r="AZ53" s="36" t="str">
        <f>IFERROR(VLOOKUP(Tabela1[[#This Row],[MÊS]]&amp;Tabela1[[#This Row],[ID]]&amp;Tabela1[[#This Row],[MATRICULA]]&amp;"Policia 3"&amp;Tabela1[[#This Row],[SETOR]],BD!A:AF,26,0),"")</f>
        <v/>
      </c>
      <c r="BA53" s="36" t="str">
        <f>IFERROR(VLOOKUP(Tabela1[[#This Row],[MÊS]]&amp;Tabela1[[#This Row],[ID]]&amp;Tabela1[[#This Row],[MATRICULA]]&amp;"Policia 4"&amp;Tabela1[[#This Row],[SETOR]],BD!A:AF,26,0),"")</f>
        <v/>
      </c>
      <c r="BB5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3" s="21">
        <f>IFERROR(AVERAGE(Tabela1[[#This Row],[M]:[M4]]),"")</f>
        <v>0</v>
      </c>
      <c r="BD53" s="21" t="str">
        <f>IFERROR(AVERAGE(Tabela1[[#This Row],[C]:[C4]]),"")</f>
        <v/>
      </c>
      <c r="BE53" s="21" t="str">
        <f>IFERROR(AVERAGE(Tabela1[[#This Row],[PA2]:[PA 4]]),"")</f>
        <v/>
      </c>
      <c r="BF53" s="21" t="str">
        <f>IFERROR(AVERAGE(Tabela1[[#This Row],[PL]:[PL4]]),"")</f>
        <v/>
      </c>
      <c r="BG53" s="35" t="str">
        <f>IFERROR(VLOOKUP(Tabela1[[#This Row],[MÊS]]&amp;Tabela1[[#This Row],[MATRICULA]],#REF!,2,0),"")</f>
        <v/>
      </c>
      <c r="BH53" s="35" t="str">
        <f>IFERROR(VLOOKUP(Tabela1[[#This Row],[MÊS]]&amp;Tabela1[[#This Row],[MATRICULA]],#REF!,2,0),"")</f>
        <v/>
      </c>
      <c r="BI53" s="35" t="str">
        <f>IFERROR(VLOOKUP(Tabela1[[#This Row],[MÊS]]&amp;Tabela1[[#This Row],[MATRICULA]],#REF!,2,0),"")</f>
        <v/>
      </c>
      <c r="BJ53" s="35" t="str">
        <f>IFERROR(VLOOKUP(Tabela1[[#This Row],[MÊS]]&amp;Tabela1[[#This Row],[MATRICULA]],#REF!,2,0),"")</f>
        <v/>
      </c>
      <c r="BK53" s="35" t="str">
        <f>IFERROR(VLOOKUP(Tabela1[[#This Row],[MÊS]]&amp;Tabela1[[#This Row],[MATRICULA]],#REF!,2,0),"")</f>
        <v/>
      </c>
      <c r="BL53" s="21">
        <f>COUNTIF(Tabela1[[#This Row],[MOT2]:[RECEPTIVA]],"NÃO ENCONTRADA")</f>
        <v>0</v>
      </c>
      <c r="BM53" s="135" t="str">
        <f>IFERROR(VLOOKUP(Tabela1[[#This Row],[MÊS]]&amp;Tabela1[[#This Row],[ID]]&amp;Tabela1[[#This Row],[MATRICULA]]&amp;"Motorista"&amp;Tabela1[[#This Row],[SETOR]],BD!A:AF,13,0),"")</f>
        <v/>
      </c>
      <c r="BN53" s="135" t="str">
        <f>IFERROR(VLOOKUP(Tabela1[[#This Row],[MÊS]]&amp;Tabela1[[#This Row],[ID]]&amp;Tabela1[[#This Row],[MATRICULA]]&amp;"Motorista 2"&amp;Tabela1[[#This Row],[SETOR]],BD!A:AF,13,0),"")</f>
        <v/>
      </c>
      <c r="BO53" s="135" t="str">
        <f>IFERROR(VLOOKUP(Tabela1[[#This Row],[MÊS]]&amp;Tabela1[[#This Row],[ID]]&amp;Tabela1[[#This Row],[MATRICULA]]&amp;"Motorista 3"&amp;Tabela1[[#This Row],[SETOR]],BD!A:AF,13,0),"")</f>
        <v/>
      </c>
      <c r="BP53" s="135" t="str">
        <f>IFERROR(VLOOKUP(Tabela1[[#This Row],[MÊS]]&amp;Tabela1[[#This Row],[ID]]&amp;Tabela1[[#This Row],[MATRICULA]]&amp;"Motorista 4"&amp;Tabela1[[#This Row],[SETOR]],BD!A:AF,13,0),"")</f>
        <v/>
      </c>
      <c r="BQ53" s="135" t="str">
        <f>IFERROR(AVERAGE(Tabela1[[#This Row],[DMOT]:[DMOT4]]),"")</f>
        <v/>
      </c>
      <c r="BR53" s="135" t="str">
        <f>IFERROR(VLOOKUP(Tabela1[[#This Row],[MÊS]]&amp;Tabela1[[#This Row],[ID]]&amp;Tabela1[[#This Row],[MATRICULA]]&amp;"Ponto de Apoio"&amp;Tabela1[[#This Row],[SETOR]],BD!A:AF,13,0),"")</f>
        <v/>
      </c>
      <c r="BS53" s="135" t="str">
        <f>IFERROR(VLOOKUP(Tabela1[[#This Row],[MÊS]]&amp;Tabela1[[#This Row],[ID]]&amp;Tabela1[[#This Row],[MATRICULA]]&amp;"Ponto de Apoio 2"&amp;Tabela1[[#This Row],[SETOR]],BD!A:AF,13,0),"")</f>
        <v/>
      </c>
      <c r="BT53" s="135" t="str">
        <f>IFERROR(VLOOKUP(Tabela1[[#This Row],[MÊS]]&amp;Tabela1[[#This Row],[ID]]&amp;Tabela1[[#This Row],[MATRICULA]]&amp;"Ponto de Apoio 3"&amp;Tabela1[[#This Row],[SETOR]],BD!A:AF,13,0),"")</f>
        <v/>
      </c>
      <c r="BU53" s="135" t="str">
        <f>IFERROR(VLOOKUP(Tabela1[[#This Row],[MÊS]]&amp;Tabela1[[#This Row],[ID]]&amp;Tabela1[[#This Row],[MATRICULA]]&amp;"Ponto de Apoio 4"&amp;Tabela1[[#This Row],[SETOR]],BD!A:AF,13,0),"")</f>
        <v/>
      </c>
      <c r="BV53" s="135" t="str">
        <f>IFERROR(AVERAGE(Tabela1[[#This Row],[DPA]:[DPA 4]]),"")</f>
        <v/>
      </c>
      <c r="BW53" s="135" t="str">
        <f>IFERROR(VLOOKUP(Tabela1[[#This Row],[MÊS]]&amp;Tabela1[[#This Row],[ID]]&amp;Tabela1[[#This Row],[MATRICULA]]&amp;"Cliente"&amp;Tabela1[[#This Row],[SETOR]],BD!A:AF,13,0),"")</f>
        <v/>
      </c>
      <c r="BX53" s="135" t="str">
        <f>IFERROR(VLOOKUP(Tabela1[[#This Row],[MÊS]]&amp;Tabela1[[#This Row],[ID]]&amp;Tabela1[[#This Row],[MATRICULA]]&amp;"cliente 2"&amp;Tabela1[[#This Row],[SETOR]],BD!A:AF,13,0),"")</f>
        <v/>
      </c>
      <c r="BY53" s="135" t="str">
        <f>IFERROR(VLOOKUP(Tabela1[[#This Row],[MÊS]]&amp;Tabela1[[#This Row],[ID]]&amp;Tabela1[[#This Row],[MATRICULA]]&amp;"cliente 3"&amp;Tabela1[[#This Row],[SETOR]],BD!A:AF,13,0),"")</f>
        <v/>
      </c>
      <c r="BZ53" s="135" t="str">
        <f>IFERROR(VLOOKUP(Tabela1[[#This Row],[MÊS]]&amp;Tabela1[[#This Row],[ID]]&amp;Tabela1[[#This Row],[MATRICULA]]&amp;"cliente 4"&amp;Tabela1[[#This Row],[SETOR]],BD!A:AF,13,0),"")</f>
        <v/>
      </c>
      <c r="CA53" s="135" t="str">
        <f>IFERROR(AVERAGE(Tabela1[[#This Row],[DCLI]:[DCLI 4]]),"")</f>
        <v/>
      </c>
      <c r="CB53" s="135" t="str">
        <f>IFERROR(VLOOKUP(Tabela1[[#This Row],[MÊS]]&amp;Tabela1[[#This Row],[ID]]&amp;Tabela1[[#This Row],[MATRICULA]]&amp;"Policia"&amp;Tabela1[[#This Row],[SETOR]],BD!A:AF,13,0),"")</f>
        <v/>
      </c>
      <c r="CC53" s="135" t="str">
        <f>IFERROR(VLOOKUP(Tabela1[[#This Row],[MÊS]]&amp;Tabela1[[#This Row],[ID]]&amp;Tabela1[[#This Row],[MATRICULA]]&amp;"Policia 2"&amp;Tabela1[[#This Row],[SETOR]],BD!A:AF,13,0),"")</f>
        <v/>
      </c>
      <c r="CD53" s="135"/>
      <c r="CE53" s="135"/>
      <c r="CF53" s="135" t="str">
        <f>IFERROR((AVERAGE(Tabela1[[#This Row],[DPOL1]:[DPOL4]])),"")</f>
        <v/>
      </c>
      <c r="CG53" s="21" t="str">
        <f>IFERROR(VLOOKUP(Tabela1[[#This Row],[ID]]&amp;Tabela1[[#This Row],[MÊS]]&amp;Tabela1[[#This Row],[MATRICULA]],#REF!,2,0),"")</f>
        <v/>
      </c>
      <c r="CH53" s="21" t="str">
        <f>IFERROR(VLOOKUP(Tabela1[[#This Row],[ID]]&amp;Tabela1[[#This Row],[MÊS]]&amp;Tabela1[[#This Row],[MATRICULA]],#REF!,2,0),"")</f>
        <v/>
      </c>
      <c r="CI53" s="21" t="str">
        <f>IFERROR(VLOOKUP(Tabela1[[#This Row],[MÊS]]&amp;Tabela1[[#This Row],[MATRICULA]],#REF!,2,0),"")</f>
        <v/>
      </c>
    </row>
    <row r="54" spans="1:87">
      <c r="A54" s="12" t="str">
        <f>Tabela1[[#This Row],[MÊS]]&amp;Tabela1[[#This Row],[MATRICULA]]&amp;Tabela1[[#This Row],[ID]]</f>
        <v>JAN114559</v>
      </c>
      <c r="B54" s="12" t="str">
        <f>Tabela1[[#This Row],[MÊS]]&amp;Tabela1[[#This Row],[ID]]&amp;Tabela1[[#This Row],[MATRICULA]]&amp;Tabela1[[#This Row],[SETOR]]</f>
        <v>JAN911455RECEPTIVO</v>
      </c>
      <c r="C54" s="130" t="e">
        <f>VLOOKUP(Tabela1[[#This Row],[MATRICULA]],'BD Campos'!A:D,5,0)</f>
        <v>#REF!</v>
      </c>
      <c r="D54" s="133" t="str">
        <f ca="1">IFERROR(SUM(TODAY()-Tabela1[[#This Row],[ADMISSÃO]]),"")</f>
        <v/>
      </c>
      <c r="E54" s="11" t="str">
        <f ca="1">IFERROR(TRUNC(Tabela1[[#This Row],[TEMPO DE CASA (DIAS)]]/30),"")</f>
        <v/>
      </c>
      <c r="F54" s="32" t="str">
        <f ca="1">IFERROR(SUM(Tabela1[[#This Row],[TEMPO DE CASA (MESES)]]/12),"")</f>
        <v/>
      </c>
      <c r="G54" s="133" t="str">
        <f ca="1">IF(Tabela1[[#This Row],[TEMPO DE CASA (DIAS)]]="","SEM DADOS",IF(Tabela1[[#This Row],[TEMPO DE CASA (DIAS)]]&gt;180,"&gt; 6 MESES","&lt; 6 MESES"))</f>
        <v>SEM DADOS</v>
      </c>
      <c r="H54" s="12" t="str">
        <f t="shared" si="5"/>
        <v>JANDouglas de Aguiar9</v>
      </c>
      <c r="I54" s="12" t="str">
        <f>IFERROR(VLOOKUP(Tabela1[[#This Row],[MATRICULA]],'BD Campos'!A:F,7,0),"")</f>
        <v/>
      </c>
      <c r="J54" s="11">
        <v>9</v>
      </c>
      <c r="K54" s="11" t="s">
        <v>669</v>
      </c>
      <c r="L54" s="136">
        <v>11455</v>
      </c>
      <c r="M54" s="12" t="str">
        <f>IFERROR(VLOOKUP(Tabela1[[#This Row],[MATRICULA]],'BD Campos'!A:B,2,0),"")</f>
        <v>FELIPE BRYAN MATOSA RODRIGUES</v>
      </c>
      <c r="N54" s="20">
        <f>IFERROR(AVERAGE(Tabela1[[#This Row],[A1]:[A4]]),"")</f>
        <v>6.0100000000000016</v>
      </c>
      <c r="O54" s="20" t="str">
        <f>IFERROR(IF(Tabela1[[#This Row],[SETOR]]="RECEPTIVO","",AVERAGE(Tabela1[[#This Row],[A5]:[A6]])),"")</f>
        <v/>
      </c>
      <c r="P54" s="20" t="str">
        <f>IFERROR(IF(Tabela1[[#This Row],[STATUS]]="INATIVO","INATIVO",IF(Tabela1[[#This Row],[STATUS]]="QRT","INATIVO",IF(Tabela1[[#This Row],[OPERACIONAL]]&gt;7.99999,"BOM","RUIM"))),"")</f>
        <v>RUIM</v>
      </c>
      <c r="Q54" s="21" t="s">
        <v>667</v>
      </c>
      <c r="R54" s="12" t="s">
        <v>672</v>
      </c>
      <c r="S54" s="12" t="s">
        <v>675</v>
      </c>
      <c r="T54" s="12" t="s">
        <v>156</v>
      </c>
      <c r="U5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4" s="12">
        <f>IF(AND(Tabela1[[#This Row],[SETOR]]="UTI",Tabela1[[#This Row],[M]]&lt;&gt;""),1,IF(AND(Tabela1[[#This Row],[SETOR]]="UTI (RJ)",Tabela1[[#This Row],[M]]&lt;&gt;""),1.5,0))</f>
        <v>0</v>
      </c>
      <c r="X54" s="12">
        <f>IF(AND(Tabela1[[#This Row],[SETOR]]="UTI",Tabela1[[#This Row],[PA2]]&lt;&gt;""),1,IF(AND(Tabela1[[#This Row],[SETOR]]="UTI (RJ)",Tabela1[[#This Row],[PA2]]&lt;&gt;""),0,0))</f>
        <v>0</v>
      </c>
      <c r="Y54" s="12">
        <f>IF(AND(Tabela1[[#This Row],[SETOR]]="UTI",Tabela1[[#This Row],[C]]&lt;&gt;""),1,IF(AND(Tabela1[[#This Row],[SETOR]]="UTI (RJ)",Tabela1[[#This Row],[C]]&lt;&gt;""),1.5,0))</f>
        <v>0</v>
      </c>
      <c r="Z54" s="12">
        <f>IF(AND(Tabela1[[#This Row],[SETOR]]="UTI",Tabela1[[#This Row],[PL]]&lt;&gt;""),1,IF(AND(Tabela1[[#This Row],[SETOR]]="UTI (RJ)",Tabela1[[#This Row],[PL]]&lt;&gt;""),1,0))</f>
        <v>0</v>
      </c>
      <c r="AA54" s="21">
        <f>IFERROR(VLOOKUP(Tabela1[[#This Row],[MÊS]]&amp;Tabela1[[#This Row],[MATRICULA]]&amp;"1"&amp;Tabela1[[#This Row],[SETOR]]&amp;"PADRÃO",BD!B:AF,31,0),"")</f>
        <v>4.0150000000000015</v>
      </c>
      <c r="AB54" s="21">
        <f>IFERROR(VLOOKUP(Tabela1[[#This Row],[MÊS]]&amp;Tabela1[[#This Row],[MATRICULA]]&amp;"2"&amp;Tabela1[[#This Row],[SETOR]]&amp;"PADRÃO",BD!B:AF,31,0),"")</f>
        <v>8.0050000000000008</v>
      </c>
      <c r="AC54" s="21" t="str">
        <f>IFERROR(VLOOKUP(Tabela1[[#This Row],[MÊS]]&amp;Tabela1[[#This Row],[MATRICULA]]&amp;"3"&amp;Tabela1[[#This Row],[SETOR]]&amp;"PADRÃO",BD!B:AF,31,0),"")</f>
        <v/>
      </c>
      <c r="AD54" s="21" t="str">
        <f>IFERROR(VLOOKUP(Tabela1[[#This Row],[MÊS]]&amp;Tabela1[[#This Row],[MATRICULA]]&amp;"4"&amp;Tabela1[[#This Row],[SETOR]]&amp;"PADRÃO",BD!B:AF,25,0),"")</f>
        <v/>
      </c>
      <c r="AE54" s="21" t="str">
        <f>IFERROR(VLOOKUP(Tabela1[[#This Row],[MÊS]]&amp;Tabela1[[#This Row],[MATRICULA]]&amp;"5"&amp;Tabela1[[#This Row],[SETOR]]&amp;"PADRÃO",BD!B:AF,31,0),"")</f>
        <v/>
      </c>
      <c r="AF54" s="21" t="str">
        <f>IFERROR(VLOOKUP(Tabela1[[#This Row],[MÊS]]&amp;Tabela1[[#This Row],[MATRICULA]]&amp;"6"&amp;Tabela1[[#This Row],[SETOR]]&amp;"PADRÃO",BD!B:AF,31,0),"")</f>
        <v/>
      </c>
      <c r="AG54" s="21" t="str">
        <f>IFERROR(VLOOKUP(Tabela1[[#This Row],[MÊS]]&amp;Tabela1[[#This Row],[MATRICULA]]&amp;"7"&amp;Tabela1[[#This Row],[SETOR]]&amp;"PADRÃO",BD!B:AF,31,0),"")</f>
        <v/>
      </c>
      <c r="AH54" s="21" t="str">
        <f>IFERROR(VLOOKUP(Tabela1[[#This Row],[MÊS]]&amp;Tabela1[[#This Row],[ID]]&amp;Tabela1[[#This Row],[MATRICULA]]&amp;"Receptiva"&amp;Tabela1[[#This Row],[SETOR]],BD!A:AF,31,0),"")</f>
        <v/>
      </c>
      <c r="AI54" s="21" t="str">
        <f>IFERROR(VLOOKUP(Tabela1[[#This Row],[MÊS]]&amp;Tabela1[[#This Row],[ID]]&amp;Tabela1[[#This Row],[MATRICULA]]&amp;"Receptiva 2"&amp;Tabela1[[#This Row],[SETOR]],BD!A:AF,31,0),"")</f>
        <v/>
      </c>
      <c r="AJ54" s="21" t="str">
        <f>IFERROR(VLOOKUP(Tabela1[[#This Row],[MÊS]]&amp;Tabela1[[#This Row],[ID]]&amp;Tabela1[[#This Row],[MATRICULA]]&amp;"Receptiva 3"&amp;Tabela1[[#This Row],[SETOR]],BD!A:AF,31,0),"")</f>
        <v/>
      </c>
      <c r="AK54" s="21" t="str">
        <f>IFERROR(VLOOKUP(Tabela1[[#This Row],[MÊS]]&amp;Tabela1[[#This Row],[ID]]&amp;Tabela1[[#This Row],[MATRICULA]]&amp;"Receptiva 4"&amp;Tabela1[[#This Row],[SETOR]],BD!A:AF,31,0),"")</f>
        <v/>
      </c>
      <c r="AL54" s="21" t="str">
        <f>IFERROR(VLOOKUP(Tabela1[[#This Row],[MÊS]]&amp;Tabela1[[#This Row],[MATRICULA]]&amp;"Motorista"&amp;Tabela1[[#This Row],[SETOR]],BD!A:AF,31,0),"")</f>
        <v/>
      </c>
      <c r="AM54" s="21" t="str">
        <f>IFERROR(VLOOKUP(Tabela1[[#This Row],[MÊS]]&amp;Tabela1[[#This Row],[ID]]&amp;Tabela1[[#This Row],[MATRICULA]]&amp;"Motorista 2"&amp;Tabela1[[#This Row],[SETOR]],BD!A:AF,26,0),"")</f>
        <v/>
      </c>
      <c r="AN54" s="21" t="str">
        <f>IFERROR(VLOOKUP(Tabela1[[#This Row],[MÊS]]&amp;Tabela1[[#This Row],[ID]]&amp;Tabela1[[#This Row],[MATRICULA]]&amp;"Motorista 3"&amp;Tabela1[[#This Row],[SETOR]],BD!A:AF,26,0),"")</f>
        <v/>
      </c>
      <c r="AO54" s="21" t="str">
        <f>IFERROR(VLOOKUP(Tabela1[[#This Row],[MÊS]]&amp;Tabela1[[#This Row],[ID]]&amp;Tabela1[[#This Row],[MATRICULA]]&amp;"Motorista 4"&amp;Tabela1[[#This Row],[SETOR]],BD!A:AF,26,0),"")</f>
        <v/>
      </c>
      <c r="AP54" s="21" t="str">
        <f>IFERROR(VLOOKUP(Tabela1[[#This Row],[MÊS]]&amp;Tabela1[[#This Row],[MATRICULA]]&amp;"Ponto de Apoio"&amp;Tabela1[[#This Row],[SETOR]],BD!A:AF,31,0),"")</f>
        <v/>
      </c>
      <c r="AQ54" s="21" t="str">
        <f>IFERROR(VLOOKUP(Tabela1[[#This Row],[MÊS]]&amp;Tabela1[[#This Row],[ID]]&amp;Tabela1[[#This Row],[MATRICULA]]&amp;"Ponto de Apoio 2"&amp;Tabela1[[#This Row],[SETOR]],BD!A:AF,26,0),"")</f>
        <v/>
      </c>
      <c r="AR54" s="36" t="str">
        <f>IFERROR(VLOOKUP(Tabela1[[#This Row],[MÊS]]&amp;Tabela1[[#This Row],[ID]]&amp;Tabela1[[#This Row],[MATRICULA]]&amp;"Ponto de Apoio 3"&amp;Tabela1[[#This Row],[SETOR]],BD!A:AF,26,0),"")</f>
        <v/>
      </c>
      <c r="AS54" s="36" t="str">
        <f>IFERROR(VLOOKUP(Tabela1[[#This Row],[MÊS]]&amp;Tabela1[[#This Row],[ID]]&amp;Tabela1[[#This Row],[MATRICULA]]&amp;"Ponto de Apoio 4"&amp;Tabela1[[#This Row],[SETOR]],BD!A:AF,26,0),"")</f>
        <v/>
      </c>
      <c r="AT54" s="21" t="str">
        <f>IFERROR(VLOOKUP(Tabela1[[#This Row],[MÊS]]&amp;Tabela1[[#This Row],[MATRICULA]]&amp;"Cliente"&amp;Tabela1[[#This Row],[SETOR]],BD!A:AF,31,0),"")</f>
        <v/>
      </c>
      <c r="AU54" s="21" t="str">
        <f>IFERROR(VLOOKUP(Tabela1[[#This Row],[MÊS]]&amp;Tabela1[[#This Row],[ID]]&amp;Tabela1[[#This Row],[MATRICULA]]&amp;"Cliente 2"&amp;Tabela1[[#This Row],[SETOR]],BD!A:AF,26,0),"")</f>
        <v/>
      </c>
      <c r="AX54" s="21" t="str">
        <f>IFERROR(VLOOKUP(Tabela1[[#This Row],[MÊS]]&amp;Tabela1[[#This Row],[MATRICULA]]&amp;"Policia"&amp;Tabela1[[#This Row],[SETOR]],BD!A:AF,31,0),"")</f>
        <v/>
      </c>
      <c r="AY54" s="21" t="str">
        <f>IFERROR(VLOOKUP(Tabela1[[#This Row],[MÊS]]&amp;Tabela1[[#This Row],[ID]]&amp;Tabela1[[#This Row],[MATRICULA]]&amp;"Policia 2"&amp;Tabela1[[#This Row],[SETOR]],BD!A:AF,26,0),"")</f>
        <v/>
      </c>
      <c r="AZ54" s="36" t="str">
        <f>IFERROR(VLOOKUP(Tabela1[[#This Row],[MÊS]]&amp;Tabela1[[#This Row],[ID]]&amp;Tabela1[[#This Row],[MATRICULA]]&amp;"Policia 3"&amp;Tabela1[[#This Row],[SETOR]],BD!A:AF,26,0),"")</f>
        <v/>
      </c>
      <c r="BA54" s="36" t="str">
        <f>IFERROR(VLOOKUP(Tabela1[[#This Row],[MÊS]]&amp;Tabela1[[#This Row],[ID]]&amp;Tabela1[[#This Row],[MATRICULA]]&amp;"Policia 4"&amp;Tabela1[[#This Row],[SETOR]],BD!A:AF,26,0),"")</f>
        <v/>
      </c>
      <c r="BB5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4" s="21" t="str">
        <f>IFERROR(AVERAGE(Tabela1[[#This Row],[M]:[M4]]),"")</f>
        <v/>
      </c>
      <c r="BD54" s="21" t="str">
        <f>IFERROR(AVERAGE(Tabela1[[#This Row],[C]:[C4]]),"")</f>
        <v/>
      </c>
      <c r="BE54" s="21" t="str">
        <f>IFERROR(AVERAGE(Tabela1[[#This Row],[PA2]:[PA 4]]),"")</f>
        <v/>
      </c>
      <c r="BF54" s="21" t="str">
        <f>IFERROR(AVERAGE(Tabela1[[#This Row],[PL]:[PL4]]),"")</f>
        <v/>
      </c>
      <c r="BG54" s="35" t="str">
        <f>IFERROR(VLOOKUP(Tabela1[[#This Row],[MÊS]]&amp;Tabela1[[#This Row],[MATRICULA]],#REF!,2,0),"")</f>
        <v/>
      </c>
      <c r="BH54" s="35" t="str">
        <f>IFERROR(VLOOKUP(Tabela1[[#This Row],[MÊS]]&amp;Tabela1[[#This Row],[MATRICULA]],#REF!,2,0),"")</f>
        <v/>
      </c>
      <c r="BI54" s="35" t="str">
        <f>IFERROR(VLOOKUP(Tabela1[[#This Row],[MÊS]]&amp;Tabela1[[#This Row],[MATRICULA]],#REF!,2,0),"")</f>
        <v/>
      </c>
      <c r="BJ54" s="35" t="str">
        <f>IFERROR(VLOOKUP(Tabela1[[#This Row],[MÊS]]&amp;Tabela1[[#This Row],[MATRICULA]],#REF!,2,0),"")</f>
        <v/>
      </c>
      <c r="BK54" s="35" t="str">
        <f>IFERROR(VLOOKUP(Tabela1[[#This Row],[MÊS]]&amp;Tabela1[[#This Row],[MATRICULA]],#REF!,2,0),"")</f>
        <v/>
      </c>
      <c r="BL54" s="21">
        <f>COUNTIF(Tabela1[[#This Row],[MOT2]:[RECEPTIVA]],"NÃO ENCONTRADA")</f>
        <v>0</v>
      </c>
      <c r="BM54" s="135" t="str">
        <f>IFERROR(VLOOKUP(Tabela1[[#This Row],[MÊS]]&amp;Tabela1[[#This Row],[ID]]&amp;Tabela1[[#This Row],[MATRICULA]]&amp;"Motorista"&amp;Tabela1[[#This Row],[SETOR]],BD!A:AF,13,0),"")</f>
        <v/>
      </c>
      <c r="BN54" s="135" t="str">
        <f>IFERROR(VLOOKUP(Tabela1[[#This Row],[MÊS]]&amp;Tabela1[[#This Row],[ID]]&amp;Tabela1[[#This Row],[MATRICULA]]&amp;"Motorista 2"&amp;Tabela1[[#This Row],[SETOR]],BD!A:AF,13,0),"")</f>
        <v/>
      </c>
      <c r="BO54" s="135" t="str">
        <f>IFERROR(VLOOKUP(Tabela1[[#This Row],[MÊS]]&amp;Tabela1[[#This Row],[ID]]&amp;Tabela1[[#This Row],[MATRICULA]]&amp;"Motorista 3"&amp;Tabela1[[#This Row],[SETOR]],BD!A:AF,13,0),"")</f>
        <v/>
      </c>
      <c r="BP54" s="135" t="str">
        <f>IFERROR(VLOOKUP(Tabela1[[#This Row],[MÊS]]&amp;Tabela1[[#This Row],[ID]]&amp;Tabela1[[#This Row],[MATRICULA]]&amp;"Motorista 4"&amp;Tabela1[[#This Row],[SETOR]],BD!A:AF,13,0),"")</f>
        <v/>
      </c>
      <c r="BQ54" s="135" t="str">
        <f>IFERROR(AVERAGE(Tabela1[[#This Row],[DMOT]:[DMOT4]]),"")</f>
        <v/>
      </c>
      <c r="BR54" s="135" t="str">
        <f>IFERROR(VLOOKUP(Tabela1[[#This Row],[MÊS]]&amp;Tabela1[[#This Row],[ID]]&amp;Tabela1[[#This Row],[MATRICULA]]&amp;"Ponto de Apoio"&amp;Tabela1[[#This Row],[SETOR]],BD!A:AF,13,0),"")</f>
        <v/>
      </c>
      <c r="BS54" s="135" t="str">
        <f>IFERROR(VLOOKUP(Tabela1[[#This Row],[MÊS]]&amp;Tabela1[[#This Row],[ID]]&amp;Tabela1[[#This Row],[MATRICULA]]&amp;"Ponto de Apoio 2"&amp;Tabela1[[#This Row],[SETOR]],BD!A:AF,13,0),"")</f>
        <v/>
      </c>
      <c r="BT54" s="135" t="str">
        <f>IFERROR(VLOOKUP(Tabela1[[#This Row],[MÊS]]&amp;Tabela1[[#This Row],[ID]]&amp;Tabela1[[#This Row],[MATRICULA]]&amp;"Ponto de Apoio 3"&amp;Tabela1[[#This Row],[SETOR]],BD!A:AF,13,0),"")</f>
        <v/>
      </c>
      <c r="BU54" s="135" t="str">
        <f>IFERROR(VLOOKUP(Tabela1[[#This Row],[MÊS]]&amp;Tabela1[[#This Row],[ID]]&amp;Tabela1[[#This Row],[MATRICULA]]&amp;"Ponto de Apoio 4"&amp;Tabela1[[#This Row],[SETOR]],BD!A:AF,13,0),"")</f>
        <v/>
      </c>
      <c r="BV54" s="135" t="str">
        <f>IFERROR(AVERAGE(Tabela1[[#This Row],[DPA]:[DPA 4]]),"")</f>
        <v/>
      </c>
      <c r="BW54" s="135" t="str">
        <f>IFERROR(VLOOKUP(Tabela1[[#This Row],[MÊS]]&amp;Tabela1[[#This Row],[ID]]&amp;Tabela1[[#This Row],[MATRICULA]]&amp;"Cliente"&amp;Tabela1[[#This Row],[SETOR]],BD!A:AF,13,0),"")</f>
        <v/>
      </c>
      <c r="BX54" s="135" t="str">
        <f>IFERROR(VLOOKUP(Tabela1[[#This Row],[MÊS]]&amp;Tabela1[[#This Row],[ID]]&amp;Tabela1[[#This Row],[MATRICULA]]&amp;"cliente 2"&amp;Tabela1[[#This Row],[SETOR]],BD!A:AF,13,0),"")</f>
        <v/>
      </c>
      <c r="BY54" s="135" t="str">
        <f>IFERROR(VLOOKUP(Tabela1[[#This Row],[MÊS]]&amp;Tabela1[[#This Row],[ID]]&amp;Tabela1[[#This Row],[MATRICULA]]&amp;"cliente 3"&amp;Tabela1[[#This Row],[SETOR]],BD!A:AF,13,0),"")</f>
        <v/>
      </c>
      <c r="BZ54" s="135" t="str">
        <f>IFERROR(VLOOKUP(Tabela1[[#This Row],[MÊS]]&amp;Tabela1[[#This Row],[ID]]&amp;Tabela1[[#This Row],[MATRICULA]]&amp;"cliente 4"&amp;Tabela1[[#This Row],[SETOR]],BD!A:AF,13,0),"")</f>
        <v/>
      </c>
      <c r="CA54" s="135" t="str">
        <f>IFERROR(AVERAGE(Tabela1[[#This Row],[DCLI]:[DCLI 4]]),"")</f>
        <v/>
      </c>
      <c r="CB54" s="135" t="str">
        <f>IFERROR(VLOOKUP(Tabela1[[#This Row],[MÊS]]&amp;Tabela1[[#This Row],[ID]]&amp;Tabela1[[#This Row],[MATRICULA]]&amp;"Policia"&amp;Tabela1[[#This Row],[SETOR]],BD!A:AF,13,0),"")</f>
        <v/>
      </c>
      <c r="CC54" s="135" t="str">
        <f>IFERROR(VLOOKUP(Tabela1[[#This Row],[MÊS]]&amp;Tabela1[[#This Row],[ID]]&amp;Tabela1[[#This Row],[MATRICULA]]&amp;"Policia 2"&amp;Tabela1[[#This Row],[SETOR]],BD!A:AF,13,0),"")</f>
        <v/>
      </c>
      <c r="CD54" s="135"/>
      <c r="CE54" s="135"/>
      <c r="CF54" s="135" t="str">
        <f>IFERROR((AVERAGE(Tabela1[[#This Row],[DPOL1]:[DPOL4]])),"")</f>
        <v/>
      </c>
      <c r="CG54" s="21" t="str">
        <f>IFERROR(VLOOKUP(Tabela1[[#This Row],[ID]]&amp;Tabela1[[#This Row],[MÊS]]&amp;Tabela1[[#This Row],[MATRICULA]],#REF!,2,0),"")</f>
        <v/>
      </c>
      <c r="CH54" s="21" t="str">
        <f>IFERROR(VLOOKUP(Tabela1[[#This Row],[ID]]&amp;Tabela1[[#This Row],[MÊS]]&amp;Tabela1[[#This Row],[MATRICULA]],#REF!,2,0),"")</f>
        <v/>
      </c>
      <c r="CI54" s="21" t="str">
        <f>IFERROR(VLOOKUP(Tabela1[[#This Row],[MÊS]]&amp;Tabela1[[#This Row],[MATRICULA]],#REF!,2,0),"")</f>
        <v/>
      </c>
    </row>
    <row r="55" spans="1:87">
      <c r="A55" s="12" t="str">
        <f>Tabela1[[#This Row],[MÊS]]&amp;Tabela1[[#This Row],[MATRICULA]]&amp;Tabela1[[#This Row],[ID]]</f>
        <v>JAN113691</v>
      </c>
      <c r="B55" s="12" t="str">
        <f>Tabela1[[#This Row],[MÊS]]&amp;Tabela1[[#This Row],[ID]]&amp;Tabela1[[#This Row],[MATRICULA]]&amp;Tabela1[[#This Row],[SETOR]]</f>
        <v>JAN111369DISTRIBUIÇÃO</v>
      </c>
      <c r="C55" s="130" t="e">
        <f>VLOOKUP(Tabela1[[#This Row],[MATRICULA]],'BD Campos'!A:D,5,0)</f>
        <v>#REF!</v>
      </c>
      <c r="D55" s="133" t="str">
        <f ca="1">IFERROR(SUM(TODAY()-Tabela1[[#This Row],[ADMISSÃO]]),"")</f>
        <v/>
      </c>
      <c r="E55" s="11" t="str">
        <f ca="1">IFERROR(TRUNC(Tabela1[[#This Row],[TEMPO DE CASA (DIAS)]]/30),"")</f>
        <v/>
      </c>
      <c r="F55" s="32" t="str">
        <f ca="1">IFERROR(SUM(Tabela1[[#This Row],[TEMPO DE CASA (MESES)]]/12),"")</f>
        <v/>
      </c>
      <c r="G55" s="133" t="str">
        <f ca="1">IF(Tabela1[[#This Row],[TEMPO DE CASA (DIAS)]]="","SEM DADOS",IF(Tabela1[[#This Row],[TEMPO DE CASA (DIAS)]]&gt;180,"&gt; 6 MESES","&lt; 6 MESES"))</f>
        <v>SEM DADOS</v>
      </c>
      <c r="H55" s="12" t="str">
        <f t="shared" ref="H55:H62" si="6">K55&amp;S55&amp;J55</f>
        <v>JANBruna Vieira1</v>
      </c>
      <c r="I55" s="12" t="str">
        <f>IFERROR(VLOOKUP(Tabela1[[#This Row],[MATRICULA]],'BD Campos'!A:F,7,0),"")</f>
        <v/>
      </c>
      <c r="J55" s="11">
        <v>1</v>
      </c>
      <c r="K55" s="11" t="s">
        <v>669</v>
      </c>
      <c r="L55" s="136">
        <v>11369</v>
      </c>
      <c r="M55" s="12" t="str">
        <f>IFERROR(VLOOKUP(Tabela1[[#This Row],[MATRICULA]],'BD Campos'!A:B,2,0),"")</f>
        <v xml:space="preserve">ELIZANDRA INACIO </v>
      </c>
      <c r="N55" s="20">
        <f>IFERROR(AVERAGE(Tabela1[[#This Row],[A1]:[A4]]),"")</f>
        <v>5.0000000000000009</v>
      </c>
      <c r="O55" s="20" t="str">
        <f>IFERROR(IF(Tabela1[[#This Row],[SETOR]]="RECEPTIVO","",AVERAGE(Tabela1[[#This Row],[A5]:[A6]])),"")</f>
        <v/>
      </c>
      <c r="P55" s="20" t="str">
        <f>IFERROR(IF(Tabela1[[#This Row],[STATUS]]="INATIVO","INATIVO",IF(Tabela1[[#This Row],[STATUS]]="QRT","INATIVO",IF(Tabela1[[#This Row],[OPERACIONAL]]&gt;7.99999,"BOM","RUIM"))),"")</f>
        <v>RUIM</v>
      </c>
      <c r="Q55" s="21" t="s">
        <v>667</v>
      </c>
      <c r="R55" s="12" t="s">
        <v>94</v>
      </c>
      <c r="S55" s="12" t="s">
        <v>676</v>
      </c>
      <c r="T55" s="12" t="s">
        <v>94</v>
      </c>
      <c r="U5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5" s="12">
        <f>IF(AND(Tabela1[[#This Row],[SETOR]]="UTI",Tabela1[[#This Row],[M]]&lt;&gt;""),1,IF(AND(Tabela1[[#This Row],[SETOR]]="UTI (RJ)",Tabela1[[#This Row],[M]]&lt;&gt;""),1.5,0))</f>
        <v>0</v>
      </c>
      <c r="X55" s="12">
        <f>IF(AND(Tabela1[[#This Row],[SETOR]]="UTI",Tabela1[[#This Row],[PA2]]&lt;&gt;""),1,IF(AND(Tabela1[[#This Row],[SETOR]]="UTI (RJ)",Tabela1[[#This Row],[PA2]]&lt;&gt;""),0,0))</f>
        <v>0</v>
      </c>
      <c r="Y55" s="12">
        <f>IF(AND(Tabela1[[#This Row],[SETOR]]="UTI",Tabela1[[#This Row],[C]]&lt;&gt;""),1,IF(AND(Tabela1[[#This Row],[SETOR]]="UTI (RJ)",Tabela1[[#This Row],[C]]&lt;&gt;""),1.5,0))</f>
        <v>0</v>
      </c>
      <c r="Z55" s="12">
        <f>IF(AND(Tabela1[[#This Row],[SETOR]]="UTI",Tabela1[[#This Row],[PL]]&lt;&gt;""),1,IF(AND(Tabela1[[#This Row],[SETOR]]="UTI (RJ)",Tabela1[[#This Row],[PL]]&lt;&gt;""),1,0))</f>
        <v>0</v>
      </c>
      <c r="AA55" s="21">
        <f>IFERROR(VLOOKUP(Tabela1[[#This Row],[MÊS]]&amp;Tabela1[[#This Row],[MATRICULA]]&amp;"1"&amp;Tabela1[[#This Row],[SETOR]]&amp;"PADRÃO",BD!B:AF,31,0),"")</f>
        <v>0</v>
      </c>
      <c r="AB55" s="21">
        <f>IFERROR(VLOOKUP(Tabela1[[#This Row],[MÊS]]&amp;Tabela1[[#This Row],[MATRICULA]]&amp;"2"&amp;Tabela1[[#This Row],[SETOR]]&amp;"PADRÃO",BD!B:AF,31,0),"")</f>
        <v>10.000000000000002</v>
      </c>
      <c r="AC55" s="21" t="str">
        <f>IFERROR(VLOOKUP(Tabela1[[#This Row],[MÊS]]&amp;Tabela1[[#This Row],[MATRICULA]]&amp;"3"&amp;Tabela1[[#This Row],[SETOR]]&amp;"PADRÃO",BD!B:AF,31,0),"")</f>
        <v/>
      </c>
      <c r="AD55" s="21" t="str">
        <f>IFERROR(VLOOKUP(Tabela1[[#This Row],[MÊS]]&amp;Tabela1[[#This Row],[MATRICULA]]&amp;"4"&amp;Tabela1[[#This Row],[SETOR]]&amp;"PADRÃO",BD!B:AF,25,0),"")</f>
        <v/>
      </c>
      <c r="AE55" s="21" t="str">
        <f>IFERROR(VLOOKUP(Tabela1[[#This Row],[MÊS]]&amp;Tabela1[[#This Row],[MATRICULA]]&amp;"5"&amp;Tabela1[[#This Row],[SETOR]]&amp;"PADRÃO",BD!B:AF,31,0),"")</f>
        <v/>
      </c>
      <c r="AF55" s="21" t="str">
        <f>IFERROR(VLOOKUP(Tabela1[[#This Row],[MÊS]]&amp;Tabela1[[#This Row],[MATRICULA]]&amp;"6"&amp;Tabela1[[#This Row],[SETOR]]&amp;"PADRÃO",BD!B:AF,31,0),"")</f>
        <v/>
      </c>
      <c r="AG55" s="21" t="str">
        <f>IFERROR(VLOOKUP(Tabela1[[#This Row],[MÊS]]&amp;Tabela1[[#This Row],[MATRICULA]]&amp;"7"&amp;Tabela1[[#This Row],[SETOR]]&amp;"PADRÃO",BD!B:AF,31,0),"")</f>
        <v/>
      </c>
      <c r="AH55" s="21" t="str">
        <f>IFERROR(VLOOKUP(Tabela1[[#This Row],[MÊS]]&amp;Tabela1[[#This Row],[ID]]&amp;Tabela1[[#This Row],[MATRICULA]]&amp;"Receptiva"&amp;Tabela1[[#This Row],[SETOR]],BD!A:AF,31,0),"")</f>
        <v/>
      </c>
      <c r="AI55" s="21" t="str">
        <f>IFERROR(VLOOKUP(Tabela1[[#This Row],[MÊS]]&amp;Tabela1[[#This Row],[ID]]&amp;Tabela1[[#This Row],[MATRICULA]]&amp;"Receptiva 2"&amp;Tabela1[[#This Row],[SETOR]],BD!A:AF,31,0),"")</f>
        <v/>
      </c>
      <c r="AJ55" s="21" t="str">
        <f>IFERROR(VLOOKUP(Tabela1[[#This Row],[MÊS]]&amp;Tabela1[[#This Row],[ID]]&amp;Tabela1[[#This Row],[MATRICULA]]&amp;"Receptiva 3"&amp;Tabela1[[#This Row],[SETOR]],BD!A:AF,31,0),"")</f>
        <v/>
      </c>
      <c r="AK55" s="21" t="str">
        <f>IFERROR(VLOOKUP(Tabela1[[#This Row],[MÊS]]&amp;Tabela1[[#This Row],[ID]]&amp;Tabela1[[#This Row],[MATRICULA]]&amp;"Receptiva 4"&amp;Tabela1[[#This Row],[SETOR]],BD!A:AF,31,0),"")</f>
        <v/>
      </c>
      <c r="AL55" s="21">
        <f>IFERROR(VLOOKUP(Tabela1[[#This Row],[MÊS]]&amp;Tabela1[[#This Row],[MATRICULA]]&amp;"Motorista"&amp;Tabela1[[#This Row],[SETOR]],BD!A:AF,31,0),"")</f>
        <v>0</v>
      </c>
      <c r="AM55" s="21" t="str">
        <f>IFERROR(VLOOKUP(Tabela1[[#This Row],[MÊS]]&amp;Tabela1[[#This Row],[ID]]&amp;Tabela1[[#This Row],[MATRICULA]]&amp;"Motorista 2"&amp;Tabela1[[#This Row],[SETOR]],BD!A:AF,26,0),"")</f>
        <v/>
      </c>
      <c r="AN55" s="21" t="str">
        <f>IFERROR(VLOOKUP(Tabela1[[#This Row],[MÊS]]&amp;Tabela1[[#This Row],[ID]]&amp;Tabela1[[#This Row],[MATRICULA]]&amp;"Motorista 3"&amp;Tabela1[[#This Row],[SETOR]],BD!A:AF,26,0),"")</f>
        <v/>
      </c>
      <c r="AO55" s="21" t="str">
        <f>IFERROR(VLOOKUP(Tabela1[[#This Row],[MÊS]]&amp;Tabela1[[#This Row],[ID]]&amp;Tabela1[[#This Row],[MATRICULA]]&amp;"Motorista 4"&amp;Tabela1[[#This Row],[SETOR]],BD!A:AF,26,0),"")</f>
        <v/>
      </c>
      <c r="AP55" s="21" t="str">
        <f>IFERROR(VLOOKUP(Tabela1[[#This Row],[MÊS]]&amp;Tabela1[[#This Row],[MATRICULA]]&amp;"Ponto de Apoio"&amp;Tabela1[[#This Row],[SETOR]],BD!A:AF,31,0),"")</f>
        <v/>
      </c>
      <c r="AQ55" s="21" t="str">
        <f>IFERROR(VLOOKUP(Tabela1[[#This Row],[MÊS]]&amp;Tabela1[[#This Row],[ID]]&amp;Tabela1[[#This Row],[MATRICULA]]&amp;"Ponto de Apoio 2"&amp;Tabela1[[#This Row],[SETOR]],BD!A:AF,26,0),"")</f>
        <v/>
      </c>
      <c r="AR55" s="36" t="str">
        <f>IFERROR(VLOOKUP(Tabela1[[#This Row],[MÊS]]&amp;Tabela1[[#This Row],[ID]]&amp;Tabela1[[#This Row],[MATRICULA]]&amp;"Ponto de Apoio 3"&amp;Tabela1[[#This Row],[SETOR]],BD!A:AF,26,0),"")</f>
        <v/>
      </c>
      <c r="AS55" s="36" t="str">
        <f>IFERROR(VLOOKUP(Tabela1[[#This Row],[MÊS]]&amp;Tabela1[[#This Row],[ID]]&amp;Tabela1[[#This Row],[MATRICULA]]&amp;"Ponto de Apoio 4"&amp;Tabela1[[#This Row],[SETOR]],BD!A:AF,26,0),"")</f>
        <v/>
      </c>
      <c r="AT55" s="21" t="str">
        <f>IFERROR(VLOOKUP(Tabela1[[#This Row],[MÊS]]&amp;Tabela1[[#This Row],[MATRICULA]]&amp;"Cliente"&amp;Tabela1[[#This Row],[SETOR]],BD!A:AF,31,0),"")</f>
        <v/>
      </c>
      <c r="AU55" s="21" t="str">
        <f>IFERROR(VLOOKUP(Tabela1[[#This Row],[MÊS]]&amp;Tabela1[[#This Row],[ID]]&amp;Tabela1[[#This Row],[MATRICULA]]&amp;"Cliente 2"&amp;Tabela1[[#This Row],[SETOR]],BD!A:AF,26,0),"")</f>
        <v/>
      </c>
      <c r="AX55" s="21" t="str">
        <f>IFERROR(VLOOKUP(Tabela1[[#This Row],[MÊS]]&amp;Tabela1[[#This Row],[MATRICULA]]&amp;"Policia"&amp;Tabela1[[#This Row],[SETOR]],BD!A:AF,31,0),"")</f>
        <v/>
      </c>
      <c r="AY55" s="21" t="str">
        <f>IFERROR(VLOOKUP(Tabela1[[#This Row],[MÊS]]&amp;Tabela1[[#This Row],[ID]]&amp;Tabela1[[#This Row],[MATRICULA]]&amp;"Policia 2"&amp;Tabela1[[#This Row],[SETOR]],BD!A:AF,26,0),"")</f>
        <v/>
      </c>
      <c r="AZ55" s="36" t="str">
        <f>IFERROR(VLOOKUP(Tabela1[[#This Row],[MÊS]]&amp;Tabela1[[#This Row],[ID]]&amp;Tabela1[[#This Row],[MATRICULA]]&amp;"Policia 3"&amp;Tabela1[[#This Row],[SETOR]],BD!A:AF,26,0),"")</f>
        <v/>
      </c>
      <c r="BA55" s="36" t="str">
        <f>IFERROR(VLOOKUP(Tabela1[[#This Row],[MÊS]]&amp;Tabela1[[#This Row],[ID]]&amp;Tabela1[[#This Row],[MATRICULA]]&amp;"Policia 4"&amp;Tabela1[[#This Row],[SETOR]],BD!A:AF,26,0),"")</f>
        <v/>
      </c>
      <c r="BB5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5" s="21">
        <f>IFERROR(AVERAGE(Tabela1[[#This Row],[M]:[M4]]),"")</f>
        <v>0</v>
      </c>
      <c r="BD55" s="21" t="str">
        <f>IFERROR(AVERAGE(Tabela1[[#This Row],[C]:[C4]]),"")</f>
        <v/>
      </c>
      <c r="BE55" s="21" t="str">
        <f>IFERROR(AVERAGE(Tabela1[[#This Row],[PA2]:[PA 4]]),"")</f>
        <v/>
      </c>
      <c r="BF55" s="21" t="str">
        <f>IFERROR(AVERAGE(Tabela1[[#This Row],[PL]:[PL4]]),"")</f>
        <v/>
      </c>
      <c r="BG55" s="35" t="str">
        <f>IFERROR(VLOOKUP(Tabela1[[#This Row],[MÊS]]&amp;Tabela1[[#This Row],[MATRICULA]],#REF!,2,0),"")</f>
        <v/>
      </c>
      <c r="BH55" s="35" t="str">
        <f>IFERROR(VLOOKUP(Tabela1[[#This Row],[MÊS]]&amp;Tabela1[[#This Row],[MATRICULA]],#REF!,2,0),"")</f>
        <v/>
      </c>
      <c r="BI55" s="35" t="str">
        <f>IFERROR(VLOOKUP(Tabela1[[#This Row],[MÊS]]&amp;Tabela1[[#This Row],[MATRICULA]],#REF!,2,0),"")</f>
        <v/>
      </c>
      <c r="BJ55" s="35" t="str">
        <f>IFERROR(VLOOKUP(Tabela1[[#This Row],[MÊS]]&amp;Tabela1[[#This Row],[MATRICULA]],#REF!,2,0),"")</f>
        <v/>
      </c>
      <c r="BK55" s="35" t="str">
        <f>IFERROR(VLOOKUP(Tabela1[[#This Row],[MÊS]]&amp;Tabela1[[#This Row],[MATRICULA]],#REF!,2,0),"")</f>
        <v/>
      </c>
      <c r="BL55" s="21">
        <f>COUNTIF(Tabela1[[#This Row],[MOT2]:[RECEPTIVA]],"NÃO ENCONTRADA")</f>
        <v>0</v>
      </c>
      <c r="BM55" s="135" t="str">
        <f>IFERROR(VLOOKUP(Tabela1[[#This Row],[MÊS]]&amp;Tabela1[[#This Row],[ID]]&amp;Tabela1[[#This Row],[MATRICULA]]&amp;"Motorista"&amp;Tabela1[[#This Row],[SETOR]],BD!A:AF,13,0),"")</f>
        <v/>
      </c>
      <c r="BN55" s="135" t="str">
        <f>IFERROR(VLOOKUP(Tabela1[[#This Row],[MÊS]]&amp;Tabela1[[#This Row],[ID]]&amp;Tabela1[[#This Row],[MATRICULA]]&amp;"Motorista 2"&amp;Tabela1[[#This Row],[SETOR]],BD!A:AF,13,0),"")</f>
        <v/>
      </c>
      <c r="BO55" s="135" t="str">
        <f>IFERROR(VLOOKUP(Tabela1[[#This Row],[MÊS]]&amp;Tabela1[[#This Row],[ID]]&amp;Tabela1[[#This Row],[MATRICULA]]&amp;"Motorista 3"&amp;Tabela1[[#This Row],[SETOR]],BD!A:AF,13,0),"")</f>
        <v/>
      </c>
      <c r="BP55" s="135" t="str">
        <f>IFERROR(VLOOKUP(Tabela1[[#This Row],[MÊS]]&amp;Tabela1[[#This Row],[ID]]&amp;Tabela1[[#This Row],[MATRICULA]]&amp;"Motorista 4"&amp;Tabela1[[#This Row],[SETOR]],BD!A:AF,13,0),"")</f>
        <v/>
      </c>
      <c r="BQ55" s="135" t="str">
        <f>IFERROR(AVERAGE(Tabela1[[#This Row],[DMOT]:[DMOT4]]),"")</f>
        <v/>
      </c>
      <c r="BR55" s="135" t="str">
        <f>IFERROR(VLOOKUP(Tabela1[[#This Row],[MÊS]]&amp;Tabela1[[#This Row],[ID]]&amp;Tabela1[[#This Row],[MATRICULA]]&amp;"Ponto de Apoio"&amp;Tabela1[[#This Row],[SETOR]],BD!A:AF,13,0),"")</f>
        <v/>
      </c>
      <c r="BS55" s="135" t="str">
        <f>IFERROR(VLOOKUP(Tabela1[[#This Row],[MÊS]]&amp;Tabela1[[#This Row],[ID]]&amp;Tabela1[[#This Row],[MATRICULA]]&amp;"Ponto de Apoio 2"&amp;Tabela1[[#This Row],[SETOR]],BD!A:AF,13,0),"")</f>
        <v/>
      </c>
      <c r="BT55" s="135" t="str">
        <f>IFERROR(VLOOKUP(Tabela1[[#This Row],[MÊS]]&amp;Tabela1[[#This Row],[ID]]&amp;Tabela1[[#This Row],[MATRICULA]]&amp;"Ponto de Apoio 3"&amp;Tabela1[[#This Row],[SETOR]],BD!A:AF,13,0),"")</f>
        <v/>
      </c>
      <c r="BU55" s="135" t="str">
        <f>IFERROR(VLOOKUP(Tabela1[[#This Row],[MÊS]]&amp;Tabela1[[#This Row],[ID]]&amp;Tabela1[[#This Row],[MATRICULA]]&amp;"Ponto de Apoio 4"&amp;Tabela1[[#This Row],[SETOR]],BD!A:AF,13,0),"")</f>
        <v/>
      </c>
      <c r="BV55" s="135" t="str">
        <f>IFERROR(AVERAGE(Tabela1[[#This Row],[DPA]:[DPA 4]]),"")</f>
        <v/>
      </c>
      <c r="BW55" s="135" t="str">
        <f>IFERROR(VLOOKUP(Tabela1[[#This Row],[MÊS]]&amp;Tabela1[[#This Row],[ID]]&amp;Tabela1[[#This Row],[MATRICULA]]&amp;"Cliente"&amp;Tabela1[[#This Row],[SETOR]],BD!A:AF,13,0),"")</f>
        <v/>
      </c>
      <c r="BX55" s="135" t="str">
        <f>IFERROR(VLOOKUP(Tabela1[[#This Row],[MÊS]]&amp;Tabela1[[#This Row],[ID]]&amp;Tabela1[[#This Row],[MATRICULA]]&amp;"cliente 2"&amp;Tabela1[[#This Row],[SETOR]],BD!A:AF,13,0),"")</f>
        <v/>
      </c>
      <c r="BY55" s="135" t="str">
        <f>IFERROR(VLOOKUP(Tabela1[[#This Row],[MÊS]]&amp;Tabela1[[#This Row],[ID]]&amp;Tabela1[[#This Row],[MATRICULA]]&amp;"cliente 3"&amp;Tabela1[[#This Row],[SETOR]],BD!A:AF,13,0),"")</f>
        <v/>
      </c>
      <c r="BZ55" s="135" t="str">
        <f>IFERROR(VLOOKUP(Tabela1[[#This Row],[MÊS]]&amp;Tabela1[[#This Row],[ID]]&amp;Tabela1[[#This Row],[MATRICULA]]&amp;"cliente 4"&amp;Tabela1[[#This Row],[SETOR]],BD!A:AF,13,0),"")</f>
        <v/>
      </c>
      <c r="CA55" s="135" t="str">
        <f>IFERROR(AVERAGE(Tabela1[[#This Row],[DCLI]:[DCLI 4]]),"")</f>
        <v/>
      </c>
      <c r="CB55" s="135" t="str">
        <f>IFERROR(VLOOKUP(Tabela1[[#This Row],[MÊS]]&amp;Tabela1[[#This Row],[ID]]&amp;Tabela1[[#This Row],[MATRICULA]]&amp;"Policia"&amp;Tabela1[[#This Row],[SETOR]],BD!A:AF,13,0),"")</f>
        <v/>
      </c>
      <c r="CC55" s="135" t="str">
        <f>IFERROR(VLOOKUP(Tabela1[[#This Row],[MÊS]]&amp;Tabela1[[#This Row],[ID]]&amp;Tabela1[[#This Row],[MATRICULA]]&amp;"Policia 2"&amp;Tabela1[[#This Row],[SETOR]],BD!A:AF,13,0),"")</f>
        <v/>
      </c>
      <c r="CD55" s="135"/>
      <c r="CE55" s="135"/>
      <c r="CF55" s="135" t="str">
        <f>IFERROR((AVERAGE(Tabela1[[#This Row],[DPOL1]:[DPOL4]])),"")</f>
        <v/>
      </c>
      <c r="CG55" s="21" t="str">
        <f>IFERROR(VLOOKUP(Tabela1[[#This Row],[ID]]&amp;Tabela1[[#This Row],[MÊS]]&amp;Tabela1[[#This Row],[MATRICULA]],#REF!,2,0),"")</f>
        <v/>
      </c>
      <c r="CH55" s="21" t="str">
        <f>IFERROR(VLOOKUP(Tabela1[[#This Row],[ID]]&amp;Tabela1[[#This Row],[MÊS]]&amp;Tabela1[[#This Row],[MATRICULA]],#REF!,2,0),"")</f>
        <v/>
      </c>
      <c r="CI55" s="21" t="str">
        <f>IFERROR(VLOOKUP(Tabela1[[#This Row],[MÊS]]&amp;Tabela1[[#This Row],[MATRICULA]],#REF!,2,0),"")</f>
        <v/>
      </c>
    </row>
    <row r="56" spans="1:87">
      <c r="A56" s="12" t="str">
        <f>Tabela1[[#This Row],[MÊS]]&amp;Tabela1[[#This Row],[MATRICULA]]&amp;Tabela1[[#This Row],[ID]]</f>
        <v>JAN110792</v>
      </c>
      <c r="B56" s="12" t="str">
        <f>Tabela1[[#This Row],[MÊS]]&amp;Tabela1[[#This Row],[ID]]&amp;Tabela1[[#This Row],[MATRICULA]]&amp;Tabela1[[#This Row],[SETOR]]</f>
        <v>JAN211079DISTRIBUIÇÃO</v>
      </c>
      <c r="C56" s="130" t="e">
        <f>VLOOKUP(Tabela1[[#This Row],[MATRICULA]],'BD Campos'!A:D,5,0)</f>
        <v>#REF!</v>
      </c>
      <c r="D56" s="133" t="str">
        <f ca="1">IFERROR(SUM(TODAY()-Tabela1[[#This Row],[ADMISSÃO]]),"")</f>
        <v/>
      </c>
      <c r="E56" s="11" t="str">
        <f ca="1">IFERROR(TRUNC(Tabela1[[#This Row],[TEMPO DE CASA (DIAS)]]/30),"")</f>
        <v/>
      </c>
      <c r="F56" s="32" t="str">
        <f ca="1">IFERROR(SUM(Tabela1[[#This Row],[TEMPO DE CASA (MESES)]]/12),"")</f>
        <v/>
      </c>
      <c r="G56" s="133" t="str">
        <f ca="1">IF(Tabela1[[#This Row],[TEMPO DE CASA (DIAS)]]="","SEM DADOS",IF(Tabela1[[#This Row],[TEMPO DE CASA (DIAS)]]&gt;180,"&gt; 6 MESES","&lt; 6 MESES"))</f>
        <v>SEM DADOS</v>
      </c>
      <c r="H56" s="12" t="str">
        <f t="shared" si="6"/>
        <v>JANBruna Vieira2</v>
      </c>
      <c r="I56" s="12" t="str">
        <f>IFERROR(VLOOKUP(Tabela1[[#This Row],[MATRICULA]],'BD Campos'!A:F,7,0),"")</f>
        <v/>
      </c>
      <c r="J56" s="11">
        <v>2</v>
      </c>
      <c r="K56" s="11" t="s">
        <v>669</v>
      </c>
      <c r="L56" s="136">
        <v>11079</v>
      </c>
      <c r="M56" s="12" t="str">
        <f>IFERROR(VLOOKUP(Tabela1[[#This Row],[MATRICULA]],'BD Campos'!A:B,2,0),"")</f>
        <v xml:space="preserve">EVELYN PANTOJA FERREIRA </v>
      </c>
      <c r="N56" s="20">
        <f>IFERROR(AVERAGE(Tabela1[[#This Row],[A1]:[A4]]),"")</f>
        <v>0</v>
      </c>
      <c r="O56" s="20" t="str">
        <f>IFERROR(IF(Tabela1[[#This Row],[SETOR]]="RECEPTIVO","",AVERAGE(Tabela1[[#This Row],[A5]:[A6]])),"")</f>
        <v/>
      </c>
      <c r="P56" s="20" t="str">
        <f>IFERROR(IF(Tabela1[[#This Row],[STATUS]]="INATIVO","INATIVO",IF(Tabela1[[#This Row],[STATUS]]="QRT","INATIVO",IF(Tabela1[[#This Row],[OPERACIONAL]]&gt;7.99999,"BOM","RUIM"))),"")</f>
        <v>RUIM</v>
      </c>
      <c r="Q56" s="21" t="s">
        <v>667</v>
      </c>
      <c r="R56" s="12" t="s">
        <v>94</v>
      </c>
      <c r="S56" s="12" t="s">
        <v>676</v>
      </c>
      <c r="T56" s="12" t="s">
        <v>94</v>
      </c>
      <c r="U5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6" s="12">
        <f>IF(AND(Tabela1[[#This Row],[SETOR]]="UTI",Tabela1[[#This Row],[M]]&lt;&gt;""),1,IF(AND(Tabela1[[#This Row],[SETOR]]="UTI (RJ)",Tabela1[[#This Row],[M]]&lt;&gt;""),1.5,0))</f>
        <v>0</v>
      </c>
      <c r="X56" s="12">
        <f>IF(AND(Tabela1[[#This Row],[SETOR]]="UTI",Tabela1[[#This Row],[PA2]]&lt;&gt;""),1,IF(AND(Tabela1[[#This Row],[SETOR]]="UTI (RJ)",Tabela1[[#This Row],[PA2]]&lt;&gt;""),0,0))</f>
        <v>0</v>
      </c>
      <c r="Y56" s="12">
        <f>IF(AND(Tabela1[[#This Row],[SETOR]]="UTI",Tabela1[[#This Row],[C]]&lt;&gt;""),1,IF(AND(Tabela1[[#This Row],[SETOR]]="UTI (RJ)",Tabela1[[#This Row],[C]]&lt;&gt;""),1.5,0))</f>
        <v>0</v>
      </c>
      <c r="Z56" s="12">
        <f>IF(AND(Tabela1[[#This Row],[SETOR]]="UTI",Tabela1[[#This Row],[PL]]&lt;&gt;""),1,IF(AND(Tabela1[[#This Row],[SETOR]]="UTI (RJ)",Tabela1[[#This Row],[PL]]&lt;&gt;""),1,0))</f>
        <v>0</v>
      </c>
      <c r="AA56" s="21">
        <f>IFERROR(VLOOKUP(Tabela1[[#This Row],[MÊS]]&amp;Tabela1[[#This Row],[MATRICULA]]&amp;"1"&amp;Tabela1[[#This Row],[SETOR]]&amp;"PADRÃO",BD!B:AF,31,0),"")</f>
        <v>0</v>
      </c>
      <c r="AB56" s="21">
        <f>IFERROR(VLOOKUP(Tabela1[[#This Row],[MÊS]]&amp;Tabela1[[#This Row],[MATRICULA]]&amp;"2"&amp;Tabela1[[#This Row],[SETOR]]&amp;"PADRÃO",BD!B:AF,31,0),"")</f>
        <v>0</v>
      </c>
      <c r="AC56" s="21" t="str">
        <f>IFERROR(VLOOKUP(Tabela1[[#This Row],[MÊS]]&amp;Tabela1[[#This Row],[MATRICULA]]&amp;"3"&amp;Tabela1[[#This Row],[SETOR]]&amp;"PADRÃO",BD!B:AF,31,0),"")</f>
        <v/>
      </c>
      <c r="AD56" s="21" t="str">
        <f>IFERROR(VLOOKUP(Tabela1[[#This Row],[MÊS]]&amp;Tabela1[[#This Row],[MATRICULA]]&amp;"4"&amp;Tabela1[[#This Row],[SETOR]]&amp;"PADRÃO",BD!B:AF,25,0),"")</f>
        <v/>
      </c>
      <c r="AE56" s="21" t="str">
        <f>IFERROR(VLOOKUP(Tabela1[[#This Row],[MÊS]]&amp;Tabela1[[#This Row],[MATRICULA]]&amp;"5"&amp;Tabela1[[#This Row],[SETOR]]&amp;"PADRÃO",BD!B:AF,31,0),"")</f>
        <v/>
      </c>
      <c r="AF56" s="21" t="str">
        <f>IFERROR(VLOOKUP(Tabela1[[#This Row],[MÊS]]&amp;Tabela1[[#This Row],[MATRICULA]]&amp;"6"&amp;Tabela1[[#This Row],[SETOR]]&amp;"PADRÃO",BD!B:AF,31,0),"")</f>
        <v/>
      </c>
      <c r="AG56" s="21" t="str">
        <f>IFERROR(VLOOKUP(Tabela1[[#This Row],[MÊS]]&amp;Tabela1[[#This Row],[MATRICULA]]&amp;"7"&amp;Tabela1[[#This Row],[SETOR]]&amp;"PADRÃO",BD!B:AF,31,0),"")</f>
        <v/>
      </c>
      <c r="AH56" s="21" t="str">
        <f>IFERROR(VLOOKUP(Tabela1[[#This Row],[MÊS]]&amp;Tabela1[[#This Row],[ID]]&amp;Tabela1[[#This Row],[MATRICULA]]&amp;"Receptiva"&amp;Tabela1[[#This Row],[SETOR]],BD!A:AF,31,0),"")</f>
        <v/>
      </c>
      <c r="AI56" s="21" t="str">
        <f>IFERROR(VLOOKUP(Tabela1[[#This Row],[MÊS]]&amp;Tabela1[[#This Row],[ID]]&amp;Tabela1[[#This Row],[MATRICULA]]&amp;"Receptiva 2"&amp;Tabela1[[#This Row],[SETOR]],BD!A:AF,31,0),"")</f>
        <v/>
      </c>
      <c r="AJ56" s="21" t="str">
        <f>IFERROR(VLOOKUP(Tabela1[[#This Row],[MÊS]]&amp;Tabela1[[#This Row],[ID]]&amp;Tabela1[[#This Row],[MATRICULA]]&amp;"Receptiva 3"&amp;Tabela1[[#This Row],[SETOR]],BD!A:AF,31,0),"")</f>
        <v/>
      </c>
      <c r="AK56" s="21" t="str">
        <f>IFERROR(VLOOKUP(Tabela1[[#This Row],[MÊS]]&amp;Tabela1[[#This Row],[ID]]&amp;Tabela1[[#This Row],[MATRICULA]]&amp;"Receptiva 4"&amp;Tabela1[[#This Row],[SETOR]],BD!A:AF,31,0),"")</f>
        <v/>
      </c>
      <c r="AL56" s="21" t="str">
        <f>IFERROR(VLOOKUP(Tabela1[[#This Row],[MÊS]]&amp;Tabela1[[#This Row],[MATRICULA]]&amp;"Motorista"&amp;Tabela1[[#This Row],[SETOR]],BD!A:AF,31,0),"")</f>
        <v/>
      </c>
      <c r="AM56" s="21" t="str">
        <f>IFERROR(VLOOKUP(Tabela1[[#This Row],[MÊS]]&amp;Tabela1[[#This Row],[ID]]&amp;Tabela1[[#This Row],[MATRICULA]]&amp;"Motorista 2"&amp;Tabela1[[#This Row],[SETOR]],BD!A:AF,26,0),"")</f>
        <v/>
      </c>
      <c r="AN56" s="21" t="str">
        <f>IFERROR(VLOOKUP(Tabela1[[#This Row],[MÊS]]&amp;Tabela1[[#This Row],[ID]]&amp;Tabela1[[#This Row],[MATRICULA]]&amp;"Motorista 3"&amp;Tabela1[[#This Row],[SETOR]],BD!A:AF,26,0),"")</f>
        <v/>
      </c>
      <c r="AO56" s="21" t="str">
        <f>IFERROR(VLOOKUP(Tabela1[[#This Row],[MÊS]]&amp;Tabela1[[#This Row],[ID]]&amp;Tabela1[[#This Row],[MATRICULA]]&amp;"Motorista 4"&amp;Tabela1[[#This Row],[SETOR]],BD!A:AF,26,0),"")</f>
        <v/>
      </c>
      <c r="AP56" s="21" t="str">
        <f>IFERROR(VLOOKUP(Tabela1[[#This Row],[MÊS]]&amp;Tabela1[[#This Row],[MATRICULA]]&amp;"Ponto de Apoio"&amp;Tabela1[[#This Row],[SETOR]],BD!A:AF,31,0),"")</f>
        <v/>
      </c>
      <c r="AQ56" s="21" t="str">
        <f>IFERROR(VLOOKUP(Tabela1[[#This Row],[MÊS]]&amp;Tabela1[[#This Row],[ID]]&amp;Tabela1[[#This Row],[MATRICULA]]&amp;"Ponto de Apoio 2"&amp;Tabela1[[#This Row],[SETOR]],BD!A:AF,26,0),"")</f>
        <v/>
      </c>
      <c r="AR56" s="36" t="str">
        <f>IFERROR(VLOOKUP(Tabela1[[#This Row],[MÊS]]&amp;Tabela1[[#This Row],[ID]]&amp;Tabela1[[#This Row],[MATRICULA]]&amp;"Ponto de Apoio 3"&amp;Tabela1[[#This Row],[SETOR]],BD!A:AF,26,0),"")</f>
        <v/>
      </c>
      <c r="AS56" s="36" t="str">
        <f>IFERROR(VLOOKUP(Tabela1[[#This Row],[MÊS]]&amp;Tabela1[[#This Row],[ID]]&amp;Tabela1[[#This Row],[MATRICULA]]&amp;"Ponto de Apoio 4"&amp;Tabela1[[#This Row],[SETOR]],BD!A:AF,26,0),"")</f>
        <v/>
      </c>
      <c r="AT56" s="21" t="str">
        <f>IFERROR(VLOOKUP(Tabela1[[#This Row],[MÊS]]&amp;Tabela1[[#This Row],[MATRICULA]]&amp;"Cliente"&amp;Tabela1[[#This Row],[SETOR]],BD!A:AF,31,0),"")</f>
        <v/>
      </c>
      <c r="AU56" s="21" t="str">
        <f>IFERROR(VLOOKUP(Tabela1[[#This Row],[MÊS]]&amp;Tabela1[[#This Row],[ID]]&amp;Tabela1[[#This Row],[MATRICULA]]&amp;"Cliente 2"&amp;Tabela1[[#This Row],[SETOR]],BD!A:AF,26,0),"")</f>
        <v/>
      </c>
      <c r="AX56" s="21" t="str">
        <f>IFERROR(VLOOKUP(Tabela1[[#This Row],[MÊS]]&amp;Tabela1[[#This Row],[MATRICULA]]&amp;"Policia"&amp;Tabela1[[#This Row],[SETOR]],BD!A:AF,31,0),"")</f>
        <v/>
      </c>
      <c r="AY56" s="21" t="str">
        <f>IFERROR(VLOOKUP(Tabela1[[#This Row],[MÊS]]&amp;Tabela1[[#This Row],[ID]]&amp;Tabela1[[#This Row],[MATRICULA]]&amp;"Policia 2"&amp;Tabela1[[#This Row],[SETOR]],BD!A:AF,26,0),"")</f>
        <v/>
      </c>
      <c r="AZ56" s="36" t="str">
        <f>IFERROR(VLOOKUP(Tabela1[[#This Row],[MÊS]]&amp;Tabela1[[#This Row],[ID]]&amp;Tabela1[[#This Row],[MATRICULA]]&amp;"Policia 3"&amp;Tabela1[[#This Row],[SETOR]],BD!A:AF,26,0),"")</f>
        <v/>
      </c>
      <c r="BA56" s="36" t="str">
        <f>IFERROR(VLOOKUP(Tabela1[[#This Row],[MÊS]]&amp;Tabela1[[#This Row],[ID]]&amp;Tabela1[[#This Row],[MATRICULA]]&amp;"Policia 4"&amp;Tabela1[[#This Row],[SETOR]],BD!A:AF,26,0),"")</f>
        <v/>
      </c>
      <c r="BB5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6" s="21" t="str">
        <f>IFERROR(AVERAGE(Tabela1[[#This Row],[M]:[M4]]),"")</f>
        <v/>
      </c>
      <c r="BD56" s="21" t="str">
        <f>IFERROR(AVERAGE(Tabela1[[#This Row],[C]:[C4]]),"")</f>
        <v/>
      </c>
      <c r="BE56" s="21" t="str">
        <f>IFERROR(AVERAGE(Tabela1[[#This Row],[PA2]:[PA 4]]),"")</f>
        <v/>
      </c>
      <c r="BF56" s="21" t="str">
        <f>IFERROR(AVERAGE(Tabela1[[#This Row],[PL]:[PL4]]),"")</f>
        <v/>
      </c>
      <c r="BG56" s="35" t="str">
        <f>IFERROR(VLOOKUP(Tabela1[[#This Row],[MÊS]]&amp;Tabela1[[#This Row],[MATRICULA]],#REF!,2,0),"")</f>
        <v/>
      </c>
      <c r="BH56" s="35" t="str">
        <f>IFERROR(VLOOKUP(Tabela1[[#This Row],[MÊS]]&amp;Tabela1[[#This Row],[MATRICULA]],#REF!,2,0),"")</f>
        <v/>
      </c>
      <c r="BI56" s="35" t="str">
        <f>IFERROR(VLOOKUP(Tabela1[[#This Row],[MÊS]]&amp;Tabela1[[#This Row],[MATRICULA]],#REF!,2,0),"")</f>
        <v/>
      </c>
      <c r="BJ56" s="35" t="str">
        <f>IFERROR(VLOOKUP(Tabela1[[#This Row],[MÊS]]&amp;Tabela1[[#This Row],[MATRICULA]],#REF!,2,0),"")</f>
        <v/>
      </c>
      <c r="BK56" s="35" t="str">
        <f>IFERROR(VLOOKUP(Tabela1[[#This Row],[MÊS]]&amp;Tabela1[[#This Row],[MATRICULA]],#REF!,2,0),"")</f>
        <v/>
      </c>
      <c r="BL56" s="21">
        <f>COUNTIF(Tabela1[[#This Row],[MOT2]:[RECEPTIVA]],"NÃO ENCONTRADA")</f>
        <v>0</v>
      </c>
      <c r="BM56" s="135" t="str">
        <f>IFERROR(VLOOKUP(Tabela1[[#This Row],[MÊS]]&amp;Tabela1[[#This Row],[ID]]&amp;Tabela1[[#This Row],[MATRICULA]]&amp;"Motorista"&amp;Tabela1[[#This Row],[SETOR]],BD!A:AF,13,0),"")</f>
        <v/>
      </c>
      <c r="BN56" s="135" t="str">
        <f>IFERROR(VLOOKUP(Tabela1[[#This Row],[MÊS]]&amp;Tabela1[[#This Row],[ID]]&amp;Tabela1[[#This Row],[MATRICULA]]&amp;"Motorista 2"&amp;Tabela1[[#This Row],[SETOR]],BD!A:AF,13,0),"")</f>
        <v/>
      </c>
      <c r="BO56" s="135" t="str">
        <f>IFERROR(VLOOKUP(Tabela1[[#This Row],[MÊS]]&amp;Tabela1[[#This Row],[ID]]&amp;Tabela1[[#This Row],[MATRICULA]]&amp;"Motorista 3"&amp;Tabela1[[#This Row],[SETOR]],BD!A:AF,13,0),"")</f>
        <v/>
      </c>
      <c r="BP56" s="135" t="str">
        <f>IFERROR(VLOOKUP(Tabela1[[#This Row],[MÊS]]&amp;Tabela1[[#This Row],[ID]]&amp;Tabela1[[#This Row],[MATRICULA]]&amp;"Motorista 4"&amp;Tabela1[[#This Row],[SETOR]],BD!A:AF,13,0),"")</f>
        <v/>
      </c>
      <c r="BQ56" s="135" t="str">
        <f>IFERROR(AVERAGE(Tabela1[[#This Row],[DMOT]:[DMOT4]]),"")</f>
        <v/>
      </c>
      <c r="BR56" s="135" t="str">
        <f>IFERROR(VLOOKUP(Tabela1[[#This Row],[MÊS]]&amp;Tabela1[[#This Row],[ID]]&amp;Tabela1[[#This Row],[MATRICULA]]&amp;"Ponto de Apoio"&amp;Tabela1[[#This Row],[SETOR]],BD!A:AF,13,0),"")</f>
        <v/>
      </c>
      <c r="BS56" s="135" t="str">
        <f>IFERROR(VLOOKUP(Tabela1[[#This Row],[MÊS]]&amp;Tabela1[[#This Row],[ID]]&amp;Tabela1[[#This Row],[MATRICULA]]&amp;"Ponto de Apoio 2"&amp;Tabela1[[#This Row],[SETOR]],BD!A:AF,13,0),"")</f>
        <v/>
      </c>
      <c r="BT56" s="135" t="str">
        <f>IFERROR(VLOOKUP(Tabela1[[#This Row],[MÊS]]&amp;Tabela1[[#This Row],[ID]]&amp;Tabela1[[#This Row],[MATRICULA]]&amp;"Ponto de Apoio 3"&amp;Tabela1[[#This Row],[SETOR]],BD!A:AF,13,0),"")</f>
        <v/>
      </c>
      <c r="BU56" s="135" t="str">
        <f>IFERROR(VLOOKUP(Tabela1[[#This Row],[MÊS]]&amp;Tabela1[[#This Row],[ID]]&amp;Tabela1[[#This Row],[MATRICULA]]&amp;"Ponto de Apoio 4"&amp;Tabela1[[#This Row],[SETOR]],BD!A:AF,13,0),"")</f>
        <v/>
      </c>
      <c r="BV56" s="135" t="str">
        <f>IFERROR(AVERAGE(Tabela1[[#This Row],[DPA]:[DPA 4]]),"")</f>
        <v/>
      </c>
      <c r="BW56" s="135" t="str">
        <f>IFERROR(VLOOKUP(Tabela1[[#This Row],[MÊS]]&amp;Tabela1[[#This Row],[ID]]&amp;Tabela1[[#This Row],[MATRICULA]]&amp;"Cliente"&amp;Tabela1[[#This Row],[SETOR]],BD!A:AF,13,0),"")</f>
        <v/>
      </c>
      <c r="BX56" s="135" t="str">
        <f>IFERROR(VLOOKUP(Tabela1[[#This Row],[MÊS]]&amp;Tabela1[[#This Row],[ID]]&amp;Tabela1[[#This Row],[MATRICULA]]&amp;"cliente 2"&amp;Tabela1[[#This Row],[SETOR]],BD!A:AF,13,0),"")</f>
        <v/>
      </c>
      <c r="BY56" s="135" t="str">
        <f>IFERROR(VLOOKUP(Tabela1[[#This Row],[MÊS]]&amp;Tabela1[[#This Row],[ID]]&amp;Tabela1[[#This Row],[MATRICULA]]&amp;"cliente 3"&amp;Tabela1[[#This Row],[SETOR]],BD!A:AF,13,0),"")</f>
        <v/>
      </c>
      <c r="BZ56" s="135" t="str">
        <f>IFERROR(VLOOKUP(Tabela1[[#This Row],[MÊS]]&amp;Tabela1[[#This Row],[ID]]&amp;Tabela1[[#This Row],[MATRICULA]]&amp;"cliente 4"&amp;Tabela1[[#This Row],[SETOR]],BD!A:AF,13,0),"")</f>
        <v/>
      </c>
      <c r="CA56" s="135" t="str">
        <f>IFERROR(AVERAGE(Tabela1[[#This Row],[DCLI]:[DCLI 4]]),"")</f>
        <v/>
      </c>
      <c r="CB56" s="135" t="str">
        <f>IFERROR(VLOOKUP(Tabela1[[#This Row],[MÊS]]&amp;Tabela1[[#This Row],[ID]]&amp;Tabela1[[#This Row],[MATRICULA]]&amp;"Policia"&amp;Tabela1[[#This Row],[SETOR]],BD!A:AF,13,0),"")</f>
        <v/>
      </c>
      <c r="CC56" s="135" t="str">
        <f>IFERROR(VLOOKUP(Tabela1[[#This Row],[MÊS]]&amp;Tabela1[[#This Row],[ID]]&amp;Tabela1[[#This Row],[MATRICULA]]&amp;"Policia 2"&amp;Tabela1[[#This Row],[SETOR]],BD!A:AF,13,0),"")</f>
        <v/>
      </c>
      <c r="CD56" s="135"/>
      <c r="CE56" s="135"/>
      <c r="CF56" s="135" t="str">
        <f>IFERROR((AVERAGE(Tabela1[[#This Row],[DPOL1]:[DPOL4]])),"")</f>
        <v/>
      </c>
      <c r="CG56" s="21" t="str">
        <f>IFERROR(VLOOKUP(Tabela1[[#This Row],[ID]]&amp;Tabela1[[#This Row],[MÊS]]&amp;Tabela1[[#This Row],[MATRICULA]],#REF!,2,0),"")</f>
        <v/>
      </c>
      <c r="CH56" s="21" t="str">
        <f>IFERROR(VLOOKUP(Tabela1[[#This Row],[ID]]&amp;Tabela1[[#This Row],[MÊS]]&amp;Tabela1[[#This Row],[MATRICULA]],#REF!,2,0),"")</f>
        <v/>
      </c>
      <c r="CI56" s="21" t="str">
        <f>IFERROR(VLOOKUP(Tabela1[[#This Row],[MÊS]]&amp;Tabela1[[#This Row],[MATRICULA]],#REF!,2,0),"")</f>
        <v/>
      </c>
    </row>
    <row r="57" spans="1:87">
      <c r="A57" s="12" t="str">
        <f>Tabela1[[#This Row],[MÊS]]&amp;Tabela1[[#This Row],[MATRICULA]]&amp;Tabela1[[#This Row],[ID]]</f>
        <v>JAN112963</v>
      </c>
      <c r="B57" s="12" t="str">
        <f>Tabela1[[#This Row],[MÊS]]&amp;Tabela1[[#This Row],[ID]]&amp;Tabela1[[#This Row],[MATRICULA]]&amp;Tabela1[[#This Row],[SETOR]]</f>
        <v>JAN311296DISTRIBUIÇÃO</v>
      </c>
      <c r="C57" s="130" t="e">
        <f>VLOOKUP(Tabela1[[#This Row],[MATRICULA]],'BD Campos'!A:D,5,0)</f>
        <v>#REF!</v>
      </c>
      <c r="D57" s="133" t="str">
        <f ca="1">IFERROR(SUM(TODAY()-Tabela1[[#This Row],[ADMISSÃO]]),"")</f>
        <v/>
      </c>
      <c r="E57" s="11" t="str">
        <f ca="1">IFERROR(TRUNC(Tabela1[[#This Row],[TEMPO DE CASA (DIAS)]]/30),"")</f>
        <v/>
      </c>
      <c r="F57" s="32" t="str">
        <f ca="1">IFERROR(SUM(Tabela1[[#This Row],[TEMPO DE CASA (MESES)]]/12),"")</f>
        <v/>
      </c>
      <c r="G57" s="133" t="str">
        <f ca="1">IF(Tabela1[[#This Row],[TEMPO DE CASA (DIAS)]]="","SEM DADOS",IF(Tabela1[[#This Row],[TEMPO DE CASA (DIAS)]]&gt;180,"&gt; 6 MESES","&lt; 6 MESES"))</f>
        <v>SEM DADOS</v>
      </c>
      <c r="H57" s="12" t="str">
        <f t="shared" si="6"/>
        <v>JANBruna Vieira3</v>
      </c>
      <c r="I57" s="12" t="str">
        <f>IFERROR(VLOOKUP(Tabela1[[#This Row],[MATRICULA]],'BD Campos'!A:F,7,0),"")</f>
        <v/>
      </c>
      <c r="J57" s="11">
        <v>3</v>
      </c>
      <c r="K57" s="11" t="s">
        <v>669</v>
      </c>
      <c r="L57" s="136">
        <v>11296</v>
      </c>
      <c r="M57" s="12" t="str">
        <f>IFERROR(VLOOKUP(Tabela1[[#This Row],[MATRICULA]],'BD Campos'!A:B,2,0),"")</f>
        <v>JULIANA SILVA CASTELO GOMES SILVEIRA</v>
      </c>
      <c r="N57" s="20">
        <f>IFERROR(AVERAGE(Tabela1[[#This Row],[A1]:[A4]]),"")</f>
        <v>8.0206499999999998</v>
      </c>
      <c r="O57" s="20" t="str">
        <f>IFERROR(IF(Tabela1[[#This Row],[SETOR]]="RECEPTIVO","",AVERAGE(Tabela1[[#This Row],[A5]:[A6]])),"")</f>
        <v/>
      </c>
      <c r="P57" s="20" t="str">
        <f>IFERROR(IF(Tabela1[[#This Row],[STATUS]]="INATIVO","INATIVO",IF(Tabela1[[#This Row],[STATUS]]="QRT","INATIVO",IF(Tabela1[[#This Row],[OPERACIONAL]]&gt;7.99999,"BOM","RUIM"))),"")</f>
        <v>BOM</v>
      </c>
      <c r="Q57" s="21" t="s">
        <v>667</v>
      </c>
      <c r="R57" s="12" t="s">
        <v>94</v>
      </c>
      <c r="S57" s="12" t="s">
        <v>676</v>
      </c>
      <c r="T57" s="12" t="s">
        <v>94</v>
      </c>
      <c r="U5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7" s="12">
        <f>IF(AND(Tabela1[[#This Row],[SETOR]]="UTI",Tabela1[[#This Row],[M]]&lt;&gt;""),1,IF(AND(Tabela1[[#This Row],[SETOR]]="UTI (RJ)",Tabela1[[#This Row],[M]]&lt;&gt;""),1.5,0))</f>
        <v>0</v>
      </c>
      <c r="X57" s="12">
        <f>IF(AND(Tabela1[[#This Row],[SETOR]]="UTI",Tabela1[[#This Row],[PA2]]&lt;&gt;""),1,IF(AND(Tabela1[[#This Row],[SETOR]]="UTI (RJ)",Tabela1[[#This Row],[PA2]]&lt;&gt;""),0,0))</f>
        <v>0</v>
      </c>
      <c r="Y57" s="12">
        <f>IF(AND(Tabela1[[#This Row],[SETOR]]="UTI",Tabela1[[#This Row],[C]]&lt;&gt;""),1,IF(AND(Tabela1[[#This Row],[SETOR]]="UTI (RJ)",Tabela1[[#This Row],[C]]&lt;&gt;""),1.5,0))</f>
        <v>0</v>
      </c>
      <c r="Z57" s="12">
        <f>IF(AND(Tabela1[[#This Row],[SETOR]]="UTI",Tabela1[[#This Row],[PL]]&lt;&gt;""),1,IF(AND(Tabela1[[#This Row],[SETOR]]="UTI (RJ)",Tabela1[[#This Row],[PL]]&lt;&gt;""),1,0))</f>
        <v>0</v>
      </c>
      <c r="AA57" s="21">
        <f>IFERROR(VLOOKUP(Tabela1[[#This Row],[MÊS]]&amp;Tabela1[[#This Row],[MATRICULA]]&amp;"1"&amp;Tabela1[[#This Row],[SETOR]]&amp;"PADRÃO",BD!B:AF,31,0),"")</f>
        <v>8.3198000000000008</v>
      </c>
      <c r="AB57" s="21">
        <f>IFERROR(VLOOKUP(Tabela1[[#This Row],[MÊS]]&amp;Tabela1[[#This Row],[MATRICULA]]&amp;"2"&amp;Tabela1[[#This Row],[SETOR]]&amp;"PADRÃO",BD!B:AF,31,0),"")</f>
        <v>7.7214999999999989</v>
      </c>
      <c r="AC57" s="21" t="str">
        <f>IFERROR(VLOOKUP(Tabela1[[#This Row],[MÊS]]&amp;Tabela1[[#This Row],[MATRICULA]]&amp;"3"&amp;Tabela1[[#This Row],[SETOR]]&amp;"PADRÃO",BD!B:AF,31,0),"")</f>
        <v/>
      </c>
      <c r="AD57" s="21" t="str">
        <f>IFERROR(VLOOKUP(Tabela1[[#This Row],[MÊS]]&amp;Tabela1[[#This Row],[MATRICULA]]&amp;"4"&amp;Tabela1[[#This Row],[SETOR]]&amp;"PADRÃO",BD!B:AF,25,0),"")</f>
        <v/>
      </c>
      <c r="AE57" s="21" t="str">
        <f>IFERROR(VLOOKUP(Tabela1[[#This Row],[MÊS]]&amp;Tabela1[[#This Row],[MATRICULA]]&amp;"5"&amp;Tabela1[[#This Row],[SETOR]]&amp;"PADRÃO",BD!B:AF,31,0),"")</f>
        <v/>
      </c>
      <c r="AF57" s="21" t="str">
        <f>IFERROR(VLOOKUP(Tabela1[[#This Row],[MÊS]]&amp;Tabela1[[#This Row],[MATRICULA]]&amp;"6"&amp;Tabela1[[#This Row],[SETOR]]&amp;"PADRÃO",BD!B:AF,31,0),"")</f>
        <v/>
      </c>
      <c r="AG57" s="21" t="str">
        <f>IFERROR(VLOOKUP(Tabela1[[#This Row],[MÊS]]&amp;Tabela1[[#This Row],[MATRICULA]]&amp;"7"&amp;Tabela1[[#This Row],[SETOR]]&amp;"PADRÃO",BD!B:AF,31,0),"")</f>
        <v/>
      </c>
      <c r="AH57" s="21" t="str">
        <f>IFERROR(VLOOKUP(Tabela1[[#This Row],[MÊS]]&amp;Tabela1[[#This Row],[ID]]&amp;Tabela1[[#This Row],[MATRICULA]]&amp;"Receptiva"&amp;Tabela1[[#This Row],[SETOR]],BD!A:AF,31,0),"")</f>
        <v/>
      </c>
      <c r="AI57" s="21" t="str">
        <f>IFERROR(VLOOKUP(Tabela1[[#This Row],[MÊS]]&amp;Tabela1[[#This Row],[ID]]&amp;Tabela1[[#This Row],[MATRICULA]]&amp;"Receptiva 2"&amp;Tabela1[[#This Row],[SETOR]],BD!A:AF,31,0),"")</f>
        <v/>
      </c>
      <c r="AJ57" s="21" t="str">
        <f>IFERROR(VLOOKUP(Tabela1[[#This Row],[MÊS]]&amp;Tabela1[[#This Row],[ID]]&amp;Tabela1[[#This Row],[MATRICULA]]&amp;"Receptiva 3"&amp;Tabela1[[#This Row],[SETOR]],BD!A:AF,31,0),"")</f>
        <v/>
      </c>
      <c r="AK57" s="21" t="str">
        <f>IFERROR(VLOOKUP(Tabela1[[#This Row],[MÊS]]&amp;Tabela1[[#This Row],[ID]]&amp;Tabela1[[#This Row],[MATRICULA]]&amp;"Receptiva 4"&amp;Tabela1[[#This Row],[SETOR]],BD!A:AF,31,0),"")</f>
        <v/>
      </c>
      <c r="AL57" s="21">
        <f>IFERROR(VLOOKUP(Tabela1[[#This Row],[MÊS]]&amp;Tabela1[[#This Row],[MATRICULA]]&amp;"Motorista"&amp;Tabela1[[#This Row],[SETOR]],BD!A:AF,31,0),"")</f>
        <v>0</v>
      </c>
      <c r="AM57" s="21" t="str">
        <f>IFERROR(VLOOKUP(Tabela1[[#This Row],[MÊS]]&amp;Tabela1[[#This Row],[ID]]&amp;Tabela1[[#This Row],[MATRICULA]]&amp;"Motorista 2"&amp;Tabela1[[#This Row],[SETOR]],BD!A:AF,26,0),"")</f>
        <v/>
      </c>
      <c r="AN57" s="21" t="str">
        <f>IFERROR(VLOOKUP(Tabela1[[#This Row],[MÊS]]&amp;Tabela1[[#This Row],[ID]]&amp;Tabela1[[#This Row],[MATRICULA]]&amp;"Motorista 3"&amp;Tabela1[[#This Row],[SETOR]],BD!A:AF,26,0),"")</f>
        <v/>
      </c>
      <c r="AO57" s="21" t="str">
        <f>IFERROR(VLOOKUP(Tabela1[[#This Row],[MÊS]]&amp;Tabela1[[#This Row],[ID]]&amp;Tabela1[[#This Row],[MATRICULA]]&amp;"Motorista 4"&amp;Tabela1[[#This Row],[SETOR]],BD!A:AF,26,0),"")</f>
        <v/>
      </c>
      <c r="AP57" s="21" t="str">
        <f>IFERROR(VLOOKUP(Tabela1[[#This Row],[MÊS]]&amp;Tabela1[[#This Row],[MATRICULA]]&amp;"Ponto de Apoio"&amp;Tabela1[[#This Row],[SETOR]],BD!A:AF,31,0),"")</f>
        <v/>
      </c>
      <c r="AQ57" s="21" t="str">
        <f>IFERROR(VLOOKUP(Tabela1[[#This Row],[MÊS]]&amp;Tabela1[[#This Row],[ID]]&amp;Tabela1[[#This Row],[MATRICULA]]&amp;"Ponto de Apoio 2"&amp;Tabela1[[#This Row],[SETOR]],BD!A:AF,26,0),"")</f>
        <v/>
      </c>
      <c r="AR57" s="36" t="str">
        <f>IFERROR(VLOOKUP(Tabela1[[#This Row],[MÊS]]&amp;Tabela1[[#This Row],[ID]]&amp;Tabela1[[#This Row],[MATRICULA]]&amp;"Ponto de Apoio 3"&amp;Tabela1[[#This Row],[SETOR]],BD!A:AF,26,0),"")</f>
        <v/>
      </c>
      <c r="AS57" s="36" t="str">
        <f>IFERROR(VLOOKUP(Tabela1[[#This Row],[MÊS]]&amp;Tabela1[[#This Row],[ID]]&amp;Tabela1[[#This Row],[MATRICULA]]&amp;"Ponto de Apoio 4"&amp;Tabela1[[#This Row],[SETOR]],BD!A:AF,26,0),"")</f>
        <v/>
      </c>
      <c r="AT57" s="21" t="str">
        <f>IFERROR(VLOOKUP(Tabela1[[#This Row],[MÊS]]&amp;Tabela1[[#This Row],[MATRICULA]]&amp;"Cliente"&amp;Tabela1[[#This Row],[SETOR]],BD!A:AF,31,0),"")</f>
        <v/>
      </c>
      <c r="AU57" s="21" t="str">
        <f>IFERROR(VLOOKUP(Tabela1[[#This Row],[MÊS]]&amp;Tabela1[[#This Row],[ID]]&amp;Tabela1[[#This Row],[MATRICULA]]&amp;"Cliente 2"&amp;Tabela1[[#This Row],[SETOR]],BD!A:AF,26,0),"")</f>
        <v/>
      </c>
      <c r="AX57" s="21" t="str">
        <f>IFERROR(VLOOKUP(Tabela1[[#This Row],[MÊS]]&amp;Tabela1[[#This Row],[MATRICULA]]&amp;"Policia"&amp;Tabela1[[#This Row],[SETOR]],BD!A:AF,31,0),"")</f>
        <v/>
      </c>
      <c r="AY57" s="21" t="str">
        <f>IFERROR(VLOOKUP(Tabela1[[#This Row],[MÊS]]&amp;Tabela1[[#This Row],[ID]]&amp;Tabela1[[#This Row],[MATRICULA]]&amp;"Policia 2"&amp;Tabela1[[#This Row],[SETOR]],BD!A:AF,26,0),"")</f>
        <v/>
      </c>
      <c r="AZ57" s="36" t="str">
        <f>IFERROR(VLOOKUP(Tabela1[[#This Row],[MÊS]]&amp;Tabela1[[#This Row],[ID]]&amp;Tabela1[[#This Row],[MATRICULA]]&amp;"Policia 3"&amp;Tabela1[[#This Row],[SETOR]],BD!A:AF,26,0),"")</f>
        <v/>
      </c>
      <c r="BA57" s="36" t="str">
        <f>IFERROR(VLOOKUP(Tabela1[[#This Row],[MÊS]]&amp;Tabela1[[#This Row],[ID]]&amp;Tabela1[[#This Row],[MATRICULA]]&amp;"Policia 4"&amp;Tabela1[[#This Row],[SETOR]],BD!A:AF,26,0),"")</f>
        <v/>
      </c>
      <c r="BB5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7" s="21">
        <f>IFERROR(AVERAGE(Tabela1[[#This Row],[M]:[M4]]),"")</f>
        <v>0</v>
      </c>
      <c r="BD57" s="21" t="str">
        <f>IFERROR(AVERAGE(Tabela1[[#This Row],[C]:[C4]]),"")</f>
        <v/>
      </c>
      <c r="BE57" s="21" t="str">
        <f>IFERROR(AVERAGE(Tabela1[[#This Row],[PA2]:[PA 4]]),"")</f>
        <v/>
      </c>
      <c r="BF57" s="21" t="str">
        <f>IFERROR(AVERAGE(Tabela1[[#This Row],[PL]:[PL4]]),"")</f>
        <v/>
      </c>
      <c r="BG57" s="35" t="str">
        <f>IFERROR(VLOOKUP(Tabela1[[#This Row],[MÊS]]&amp;Tabela1[[#This Row],[MATRICULA]],#REF!,2,0),"")</f>
        <v/>
      </c>
      <c r="BH57" s="35" t="str">
        <f>IFERROR(VLOOKUP(Tabela1[[#This Row],[MÊS]]&amp;Tabela1[[#This Row],[MATRICULA]],#REF!,2,0),"")</f>
        <v/>
      </c>
      <c r="BI57" s="35" t="str">
        <f>IFERROR(VLOOKUP(Tabela1[[#This Row],[MÊS]]&amp;Tabela1[[#This Row],[MATRICULA]],#REF!,2,0),"")</f>
        <v/>
      </c>
      <c r="BJ57" s="35" t="str">
        <f>IFERROR(VLOOKUP(Tabela1[[#This Row],[MÊS]]&amp;Tabela1[[#This Row],[MATRICULA]],#REF!,2,0),"")</f>
        <v/>
      </c>
      <c r="BK57" s="35" t="str">
        <f>IFERROR(VLOOKUP(Tabela1[[#This Row],[MÊS]]&amp;Tabela1[[#This Row],[MATRICULA]],#REF!,2,0),"")</f>
        <v/>
      </c>
      <c r="BL57" s="21">
        <f>COUNTIF(Tabela1[[#This Row],[MOT2]:[RECEPTIVA]],"NÃO ENCONTRADA")</f>
        <v>0</v>
      </c>
      <c r="BM57" s="135" t="str">
        <f>IFERROR(VLOOKUP(Tabela1[[#This Row],[MÊS]]&amp;Tabela1[[#This Row],[ID]]&amp;Tabela1[[#This Row],[MATRICULA]]&amp;"Motorista"&amp;Tabela1[[#This Row],[SETOR]],BD!A:AF,13,0),"")</f>
        <v/>
      </c>
      <c r="BN57" s="135" t="str">
        <f>IFERROR(VLOOKUP(Tabela1[[#This Row],[MÊS]]&amp;Tabela1[[#This Row],[ID]]&amp;Tabela1[[#This Row],[MATRICULA]]&amp;"Motorista 2"&amp;Tabela1[[#This Row],[SETOR]],BD!A:AF,13,0),"")</f>
        <v/>
      </c>
      <c r="BO57" s="135" t="str">
        <f>IFERROR(VLOOKUP(Tabela1[[#This Row],[MÊS]]&amp;Tabela1[[#This Row],[ID]]&amp;Tabela1[[#This Row],[MATRICULA]]&amp;"Motorista 3"&amp;Tabela1[[#This Row],[SETOR]],BD!A:AF,13,0),"")</f>
        <v/>
      </c>
      <c r="BP57" s="135" t="str">
        <f>IFERROR(VLOOKUP(Tabela1[[#This Row],[MÊS]]&amp;Tabela1[[#This Row],[ID]]&amp;Tabela1[[#This Row],[MATRICULA]]&amp;"Motorista 4"&amp;Tabela1[[#This Row],[SETOR]],BD!A:AF,13,0),"")</f>
        <v/>
      </c>
      <c r="BQ57" s="135" t="str">
        <f>IFERROR(AVERAGE(Tabela1[[#This Row],[DMOT]:[DMOT4]]),"")</f>
        <v/>
      </c>
      <c r="BR57" s="135" t="str">
        <f>IFERROR(VLOOKUP(Tabela1[[#This Row],[MÊS]]&amp;Tabela1[[#This Row],[ID]]&amp;Tabela1[[#This Row],[MATRICULA]]&amp;"Ponto de Apoio"&amp;Tabela1[[#This Row],[SETOR]],BD!A:AF,13,0),"")</f>
        <v/>
      </c>
      <c r="BS57" s="135" t="str">
        <f>IFERROR(VLOOKUP(Tabela1[[#This Row],[MÊS]]&amp;Tabela1[[#This Row],[ID]]&amp;Tabela1[[#This Row],[MATRICULA]]&amp;"Ponto de Apoio 2"&amp;Tabela1[[#This Row],[SETOR]],BD!A:AF,13,0),"")</f>
        <v/>
      </c>
      <c r="BT57" s="135" t="str">
        <f>IFERROR(VLOOKUP(Tabela1[[#This Row],[MÊS]]&amp;Tabela1[[#This Row],[ID]]&amp;Tabela1[[#This Row],[MATRICULA]]&amp;"Ponto de Apoio 3"&amp;Tabela1[[#This Row],[SETOR]],BD!A:AF,13,0),"")</f>
        <v/>
      </c>
      <c r="BU57" s="135" t="str">
        <f>IFERROR(VLOOKUP(Tabela1[[#This Row],[MÊS]]&amp;Tabela1[[#This Row],[ID]]&amp;Tabela1[[#This Row],[MATRICULA]]&amp;"Ponto de Apoio 4"&amp;Tabela1[[#This Row],[SETOR]],BD!A:AF,13,0),"")</f>
        <v/>
      </c>
      <c r="BV57" s="135" t="str">
        <f>IFERROR(AVERAGE(Tabela1[[#This Row],[DPA]:[DPA 4]]),"")</f>
        <v/>
      </c>
      <c r="BW57" s="135" t="str">
        <f>IFERROR(VLOOKUP(Tabela1[[#This Row],[MÊS]]&amp;Tabela1[[#This Row],[ID]]&amp;Tabela1[[#This Row],[MATRICULA]]&amp;"Cliente"&amp;Tabela1[[#This Row],[SETOR]],BD!A:AF,13,0),"")</f>
        <v/>
      </c>
      <c r="BX57" s="135" t="str">
        <f>IFERROR(VLOOKUP(Tabela1[[#This Row],[MÊS]]&amp;Tabela1[[#This Row],[ID]]&amp;Tabela1[[#This Row],[MATRICULA]]&amp;"cliente 2"&amp;Tabela1[[#This Row],[SETOR]],BD!A:AF,13,0),"")</f>
        <v/>
      </c>
      <c r="BY57" s="135" t="str">
        <f>IFERROR(VLOOKUP(Tabela1[[#This Row],[MÊS]]&amp;Tabela1[[#This Row],[ID]]&amp;Tabela1[[#This Row],[MATRICULA]]&amp;"cliente 3"&amp;Tabela1[[#This Row],[SETOR]],BD!A:AF,13,0),"")</f>
        <v/>
      </c>
      <c r="BZ57" s="135" t="str">
        <f>IFERROR(VLOOKUP(Tabela1[[#This Row],[MÊS]]&amp;Tabela1[[#This Row],[ID]]&amp;Tabela1[[#This Row],[MATRICULA]]&amp;"cliente 4"&amp;Tabela1[[#This Row],[SETOR]],BD!A:AF,13,0),"")</f>
        <v/>
      </c>
      <c r="CA57" s="135" t="str">
        <f>IFERROR(AVERAGE(Tabela1[[#This Row],[DCLI]:[DCLI 4]]),"")</f>
        <v/>
      </c>
      <c r="CB57" s="135" t="str">
        <f>IFERROR(VLOOKUP(Tabela1[[#This Row],[MÊS]]&amp;Tabela1[[#This Row],[ID]]&amp;Tabela1[[#This Row],[MATRICULA]]&amp;"Policia"&amp;Tabela1[[#This Row],[SETOR]],BD!A:AF,13,0),"")</f>
        <v/>
      </c>
      <c r="CC57" s="135" t="str">
        <f>IFERROR(VLOOKUP(Tabela1[[#This Row],[MÊS]]&amp;Tabela1[[#This Row],[ID]]&amp;Tabela1[[#This Row],[MATRICULA]]&amp;"Policia 2"&amp;Tabela1[[#This Row],[SETOR]],BD!A:AF,13,0),"")</f>
        <v/>
      </c>
      <c r="CD57" s="135"/>
      <c r="CE57" s="135"/>
      <c r="CF57" s="135" t="str">
        <f>IFERROR((AVERAGE(Tabela1[[#This Row],[DPOL1]:[DPOL4]])),"")</f>
        <v/>
      </c>
      <c r="CG57" s="21" t="str">
        <f>IFERROR(VLOOKUP(Tabela1[[#This Row],[ID]]&amp;Tabela1[[#This Row],[MÊS]]&amp;Tabela1[[#This Row],[MATRICULA]],#REF!,2,0),"")</f>
        <v/>
      </c>
      <c r="CH57" s="21" t="str">
        <f>IFERROR(VLOOKUP(Tabela1[[#This Row],[ID]]&amp;Tabela1[[#This Row],[MÊS]]&amp;Tabela1[[#This Row],[MATRICULA]],#REF!,2,0),"")</f>
        <v/>
      </c>
      <c r="CI57" s="21" t="str">
        <f>IFERROR(VLOOKUP(Tabela1[[#This Row],[MÊS]]&amp;Tabela1[[#This Row],[MATRICULA]],#REF!,2,0),"")</f>
        <v/>
      </c>
    </row>
    <row r="58" spans="1:87">
      <c r="A58" s="12" t="str">
        <f>Tabela1[[#This Row],[MÊS]]&amp;Tabela1[[#This Row],[MATRICULA]]&amp;Tabela1[[#This Row],[ID]]</f>
        <v>JAN108624</v>
      </c>
      <c r="B58" s="12" t="str">
        <f>Tabela1[[#This Row],[MÊS]]&amp;Tabela1[[#This Row],[ID]]&amp;Tabela1[[#This Row],[MATRICULA]]&amp;Tabela1[[#This Row],[SETOR]]</f>
        <v>JAN410862DISTRIBUIÇÃO</v>
      </c>
      <c r="C58" s="130" t="e">
        <f>VLOOKUP(Tabela1[[#This Row],[MATRICULA]],'BD Campos'!A:D,5,0)</f>
        <v>#REF!</v>
      </c>
      <c r="D58" s="133" t="str">
        <f ca="1">IFERROR(SUM(TODAY()-Tabela1[[#This Row],[ADMISSÃO]]),"")</f>
        <v/>
      </c>
      <c r="E58" s="11" t="str">
        <f ca="1">IFERROR(TRUNC(Tabela1[[#This Row],[TEMPO DE CASA (DIAS)]]/30),"")</f>
        <v/>
      </c>
      <c r="F58" s="32" t="str">
        <f ca="1">IFERROR(SUM(Tabela1[[#This Row],[TEMPO DE CASA (MESES)]]/12),"")</f>
        <v/>
      </c>
      <c r="G58" s="133" t="str">
        <f ca="1">IF(Tabela1[[#This Row],[TEMPO DE CASA (DIAS)]]="","SEM DADOS",IF(Tabela1[[#This Row],[TEMPO DE CASA (DIAS)]]&gt;180,"&gt; 6 MESES","&lt; 6 MESES"))</f>
        <v>SEM DADOS</v>
      </c>
      <c r="H58" s="12" t="str">
        <f t="shared" si="6"/>
        <v>JANBruna Vieira4</v>
      </c>
      <c r="I58" s="12" t="str">
        <f>IFERROR(VLOOKUP(Tabela1[[#This Row],[MATRICULA]],'BD Campos'!A:F,7,0),"")</f>
        <v/>
      </c>
      <c r="J58" s="11">
        <v>4</v>
      </c>
      <c r="K58" s="11" t="s">
        <v>669</v>
      </c>
      <c r="L58" s="136">
        <v>10862</v>
      </c>
      <c r="M58" s="12" t="str">
        <f>IFERROR(VLOOKUP(Tabela1[[#This Row],[MATRICULA]],'BD Campos'!A:B,2,0),"")</f>
        <v>RENDESON BEZERRA FERREIRA</v>
      </c>
      <c r="N58" s="20">
        <f>IFERROR(AVERAGE(Tabela1[[#This Row],[A1]:[A4]]),"")</f>
        <v>7.0513999999999992</v>
      </c>
      <c r="O58" s="20" t="str">
        <f>IFERROR(IF(Tabela1[[#This Row],[SETOR]]="RECEPTIVO","",AVERAGE(Tabela1[[#This Row],[A5]:[A6]])),"")</f>
        <v/>
      </c>
      <c r="P58" s="20" t="str">
        <f>IFERROR(IF(Tabela1[[#This Row],[STATUS]]="INATIVO","INATIVO",IF(Tabela1[[#This Row],[STATUS]]="QRT","INATIVO",IF(Tabela1[[#This Row],[OPERACIONAL]]&gt;7.99999,"BOM","RUIM"))),"")</f>
        <v>RUIM</v>
      </c>
      <c r="Q58" s="21" t="s">
        <v>667</v>
      </c>
      <c r="R58" s="12" t="s">
        <v>94</v>
      </c>
      <c r="S58" s="12" t="s">
        <v>676</v>
      </c>
      <c r="T58" s="12" t="s">
        <v>94</v>
      </c>
      <c r="U5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8" s="12">
        <f>IF(AND(Tabela1[[#This Row],[SETOR]]="UTI",Tabela1[[#This Row],[M]]&lt;&gt;""),1,IF(AND(Tabela1[[#This Row],[SETOR]]="UTI (RJ)",Tabela1[[#This Row],[M]]&lt;&gt;""),1.5,0))</f>
        <v>0</v>
      </c>
      <c r="X58" s="12">
        <f>IF(AND(Tabela1[[#This Row],[SETOR]]="UTI",Tabela1[[#This Row],[PA2]]&lt;&gt;""),1,IF(AND(Tabela1[[#This Row],[SETOR]]="UTI (RJ)",Tabela1[[#This Row],[PA2]]&lt;&gt;""),0,0))</f>
        <v>0</v>
      </c>
      <c r="Y58" s="12">
        <f>IF(AND(Tabela1[[#This Row],[SETOR]]="UTI",Tabela1[[#This Row],[C]]&lt;&gt;""),1,IF(AND(Tabela1[[#This Row],[SETOR]]="UTI (RJ)",Tabela1[[#This Row],[C]]&lt;&gt;""),1.5,0))</f>
        <v>0</v>
      </c>
      <c r="Z58" s="12">
        <f>IF(AND(Tabela1[[#This Row],[SETOR]]="UTI",Tabela1[[#This Row],[PL]]&lt;&gt;""),1,IF(AND(Tabela1[[#This Row],[SETOR]]="UTI (RJ)",Tabela1[[#This Row],[PL]]&lt;&gt;""),1,0))</f>
        <v>0</v>
      </c>
      <c r="AA58" s="21">
        <f>IFERROR(VLOOKUP(Tabela1[[#This Row],[MÊS]]&amp;Tabela1[[#This Row],[MATRICULA]]&amp;"1"&amp;Tabela1[[#This Row],[SETOR]]&amp;"PADRÃO",BD!B:AF,31,0),"")</f>
        <v>5.4638</v>
      </c>
      <c r="AB58" s="21">
        <f>IFERROR(VLOOKUP(Tabela1[[#This Row],[MÊS]]&amp;Tabela1[[#This Row],[MATRICULA]]&amp;"2"&amp;Tabela1[[#This Row],[SETOR]]&amp;"PADRÃO",BD!B:AF,31,0),"")</f>
        <v>8.6389999999999993</v>
      </c>
      <c r="AC58" s="21" t="str">
        <f>IFERROR(VLOOKUP(Tabela1[[#This Row],[MÊS]]&amp;Tabela1[[#This Row],[MATRICULA]]&amp;"3"&amp;Tabela1[[#This Row],[SETOR]]&amp;"PADRÃO",BD!B:AF,31,0),"")</f>
        <v/>
      </c>
      <c r="AD58" s="21" t="str">
        <f>IFERROR(VLOOKUP(Tabela1[[#This Row],[MÊS]]&amp;Tabela1[[#This Row],[MATRICULA]]&amp;"4"&amp;Tabela1[[#This Row],[SETOR]]&amp;"PADRÃO",BD!B:AF,25,0),"")</f>
        <v/>
      </c>
      <c r="AE58" s="21" t="str">
        <f>IFERROR(VLOOKUP(Tabela1[[#This Row],[MÊS]]&amp;Tabela1[[#This Row],[MATRICULA]]&amp;"5"&amp;Tabela1[[#This Row],[SETOR]]&amp;"PADRÃO",BD!B:AF,31,0),"")</f>
        <v/>
      </c>
      <c r="AF58" s="21" t="str">
        <f>IFERROR(VLOOKUP(Tabela1[[#This Row],[MÊS]]&amp;Tabela1[[#This Row],[MATRICULA]]&amp;"6"&amp;Tabela1[[#This Row],[SETOR]]&amp;"PADRÃO",BD!B:AF,31,0),"")</f>
        <v/>
      </c>
      <c r="AG58" s="21" t="str">
        <f>IFERROR(VLOOKUP(Tabela1[[#This Row],[MÊS]]&amp;Tabela1[[#This Row],[MATRICULA]]&amp;"7"&amp;Tabela1[[#This Row],[SETOR]]&amp;"PADRÃO",BD!B:AF,31,0),"")</f>
        <v/>
      </c>
      <c r="AH58" s="21" t="str">
        <f>IFERROR(VLOOKUP(Tabela1[[#This Row],[MÊS]]&amp;Tabela1[[#This Row],[ID]]&amp;Tabela1[[#This Row],[MATRICULA]]&amp;"Receptiva"&amp;Tabela1[[#This Row],[SETOR]],BD!A:AF,31,0),"")</f>
        <v/>
      </c>
      <c r="AI58" s="21" t="str">
        <f>IFERROR(VLOOKUP(Tabela1[[#This Row],[MÊS]]&amp;Tabela1[[#This Row],[ID]]&amp;Tabela1[[#This Row],[MATRICULA]]&amp;"Receptiva 2"&amp;Tabela1[[#This Row],[SETOR]],BD!A:AF,31,0),"")</f>
        <v/>
      </c>
      <c r="AJ58" s="21" t="str">
        <f>IFERROR(VLOOKUP(Tabela1[[#This Row],[MÊS]]&amp;Tabela1[[#This Row],[ID]]&amp;Tabela1[[#This Row],[MATRICULA]]&amp;"Receptiva 3"&amp;Tabela1[[#This Row],[SETOR]],BD!A:AF,31,0),"")</f>
        <v/>
      </c>
      <c r="AK58" s="21" t="str">
        <f>IFERROR(VLOOKUP(Tabela1[[#This Row],[MÊS]]&amp;Tabela1[[#This Row],[ID]]&amp;Tabela1[[#This Row],[MATRICULA]]&amp;"Receptiva 4"&amp;Tabela1[[#This Row],[SETOR]],BD!A:AF,31,0),"")</f>
        <v/>
      </c>
      <c r="AL58" s="21">
        <f>IFERROR(VLOOKUP(Tabela1[[#This Row],[MÊS]]&amp;Tabela1[[#This Row],[MATRICULA]]&amp;"Motorista"&amp;Tabela1[[#This Row],[SETOR]],BD!A:AF,31,0),"")</f>
        <v>0</v>
      </c>
      <c r="AM58" s="21" t="str">
        <f>IFERROR(VLOOKUP(Tabela1[[#This Row],[MÊS]]&amp;Tabela1[[#This Row],[ID]]&amp;Tabela1[[#This Row],[MATRICULA]]&amp;"Motorista 2"&amp;Tabela1[[#This Row],[SETOR]],BD!A:AF,26,0),"")</f>
        <v/>
      </c>
      <c r="AN58" s="21" t="str">
        <f>IFERROR(VLOOKUP(Tabela1[[#This Row],[MÊS]]&amp;Tabela1[[#This Row],[ID]]&amp;Tabela1[[#This Row],[MATRICULA]]&amp;"Motorista 3"&amp;Tabela1[[#This Row],[SETOR]],BD!A:AF,26,0),"")</f>
        <v/>
      </c>
      <c r="AO58" s="21" t="str">
        <f>IFERROR(VLOOKUP(Tabela1[[#This Row],[MÊS]]&amp;Tabela1[[#This Row],[ID]]&amp;Tabela1[[#This Row],[MATRICULA]]&amp;"Motorista 4"&amp;Tabela1[[#This Row],[SETOR]],BD!A:AF,26,0),"")</f>
        <v/>
      </c>
      <c r="AP58" s="21" t="str">
        <f>IFERROR(VLOOKUP(Tabela1[[#This Row],[MÊS]]&amp;Tabela1[[#This Row],[MATRICULA]]&amp;"Ponto de Apoio"&amp;Tabela1[[#This Row],[SETOR]],BD!A:AF,31,0),"")</f>
        <v/>
      </c>
      <c r="AQ58" s="21" t="str">
        <f>IFERROR(VLOOKUP(Tabela1[[#This Row],[MÊS]]&amp;Tabela1[[#This Row],[ID]]&amp;Tabela1[[#This Row],[MATRICULA]]&amp;"Ponto de Apoio 2"&amp;Tabela1[[#This Row],[SETOR]],BD!A:AF,26,0),"")</f>
        <v/>
      </c>
      <c r="AR58" s="36" t="str">
        <f>IFERROR(VLOOKUP(Tabela1[[#This Row],[MÊS]]&amp;Tabela1[[#This Row],[ID]]&amp;Tabela1[[#This Row],[MATRICULA]]&amp;"Ponto de Apoio 3"&amp;Tabela1[[#This Row],[SETOR]],BD!A:AF,26,0),"")</f>
        <v/>
      </c>
      <c r="AS58" s="36" t="str">
        <f>IFERROR(VLOOKUP(Tabela1[[#This Row],[MÊS]]&amp;Tabela1[[#This Row],[ID]]&amp;Tabela1[[#This Row],[MATRICULA]]&amp;"Ponto de Apoio 4"&amp;Tabela1[[#This Row],[SETOR]],BD!A:AF,26,0),"")</f>
        <v/>
      </c>
      <c r="AT58" s="21" t="str">
        <f>IFERROR(VLOOKUP(Tabela1[[#This Row],[MÊS]]&amp;Tabela1[[#This Row],[MATRICULA]]&amp;"Cliente"&amp;Tabela1[[#This Row],[SETOR]],BD!A:AF,31,0),"")</f>
        <v/>
      </c>
      <c r="AU58" s="21" t="str">
        <f>IFERROR(VLOOKUP(Tabela1[[#This Row],[MÊS]]&amp;Tabela1[[#This Row],[ID]]&amp;Tabela1[[#This Row],[MATRICULA]]&amp;"Cliente 2"&amp;Tabela1[[#This Row],[SETOR]],BD!A:AF,26,0),"")</f>
        <v/>
      </c>
      <c r="AX58" s="21" t="str">
        <f>IFERROR(VLOOKUP(Tabela1[[#This Row],[MÊS]]&amp;Tabela1[[#This Row],[MATRICULA]]&amp;"Policia"&amp;Tabela1[[#This Row],[SETOR]],BD!A:AF,31,0),"")</f>
        <v/>
      </c>
      <c r="AY58" s="21" t="str">
        <f>IFERROR(VLOOKUP(Tabela1[[#This Row],[MÊS]]&amp;Tabela1[[#This Row],[ID]]&amp;Tabela1[[#This Row],[MATRICULA]]&amp;"Policia 2"&amp;Tabela1[[#This Row],[SETOR]],BD!A:AF,26,0),"")</f>
        <v/>
      </c>
      <c r="AZ58" s="36" t="str">
        <f>IFERROR(VLOOKUP(Tabela1[[#This Row],[MÊS]]&amp;Tabela1[[#This Row],[ID]]&amp;Tabela1[[#This Row],[MATRICULA]]&amp;"Policia 3"&amp;Tabela1[[#This Row],[SETOR]],BD!A:AF,26,0),"")</f>
        <v/>
      </c>
      <c r="BA58" s="36" t="str">
        <f>IFERROR(VLOOKUP(Tabela1[[#This Row],[MÊS]]&amp;Tabela1[[#This Row],[ID]]&amp;Tabela1[[#This Row],[MATRICULA]]&amp;"Policia 4"&amp;Tabela1[[#This Row],[SETOR]],BD!A:AF,26,0),"")</f>
        <v/>
      </c>
      <c r="BB5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8" s="21">
        <f>IFERROR(AVERAGE(Tabela1[[#This Row],[M]:[M4]]),"")</f>
        <v>0</v>
      </c>
      <c r="BD58" s="21" t="str">
        <f>IFERROR(AVERAGE(Tabela1[[#This Row],[C]:[C4]]),"")</f>
        <v/>
      </c>
      <c r="BE58" s="21" t="str">
        <f>IFERROR(AVERAGE(Tabela1[[#This Row],[PA2]:[PA 4]]),"")</f>
        <v/>
      </c>
      <c r="BF58" s="21" t="str">
        <f>IFERROR(AVERAGE(Tabela1[[#This Row],[PL]:[PL4]]),"")</f>
        <v/>
      </c>
      <c r="BG58" s="35" t="str">
        <f>IFERROR(VLOOKUP(Tabela1[[#This Row],[MÊS]]&amp;Tabela1[[#This Row],[MATRICULA]],#REF!,2,0),"")</f>
        <v/>
      </c>
      <c r="BH58" s="35" t="str">
        <f>IFERROR(VLOOKUP(Tabela1[[#This Row],[MÊS]]&amp;Tabela1[[#This Row],[MATRICULA]],#REF!,2,0),"")</f>
        <v/>
      </c>
      <c r="BI58" s="35" t="str">
        <f>IFERROR(VLOOKUP(Tabela1[[#This Row],[MÊS]]&amp;Tabela1[[#This Row],[MATRICULA]],#REF!,2,0),"")</f>
        <v/>
      </c>
      <c r="BJ58" s="35" t="str">
        <f>IFERROR(VLOOKUP(Tabela1[[#This Row],[MÊS]]&amp;Tabela1[[#This Row],[MATRICULA]],#REF!,2,0),"")</f>
        <v/>
      </c>
      <c r="BK58" s="35" t="str">
        <f>IFERROR(VLOOKUP(Tabela1[[#This Row],[MÊS]]&amp;Tabela1[[#This Row],[MATRICULA]],#REF!,2,0),"")</f>
        <v/>
      </c>
      <c r="BL58" s="21">
        <f>COUNTIF(Tabela1[[#This Row],[MOT2]:[RECEPTIVA]],"NÃO ENCONTRADA")</f>
        <v>0</v>
      </c>
      <c r="BM58" s="135" t="str">
        <f>IFERROR(VLOOKUP(Tabela1[[#This Row],[MÊS]]&amp;Tabela1[[#This Row],[ID]]&amp;Tabela1[[#This Row],[MATRICULA]]&amp;"Motorista"&amp;Tabela1[[#This Row],[SETOR]],BD!A:AF,13,0),"")</f>
        <v/>
      </c>
      <c r="BN58" s="135" t="str">
        <f>IFERROR(VLOOKUP(Tabela1[[#This Row],[MÊS]]&amp;Tabela1[[#This Row],[ID]]&amp;Tabela1[[#This Row],[MATRICULA]]&amp;"Motorista 2"&amp;Tabela1[[#This Row],[SETOR]],BD!A:AF,13,0),"")</f>
        <v/>
      </c>
      <c r="BO58" s="135" t="str">
        <f>IFERROR(VLOOKUP(Tabela1[[#This Row],[MÊS]]&amp;Tabela1[[#This Row],[ID]]&amp;Tabela1[[#This Row],[MATRICULA]]&amp;"Motorista 3"&amp;Tabela1[[#This Row],[SETOR]],BD!A:AF,13,0),"")</f>
        <v/>
      </c>
      <c r="BP58" s="135" t="str">
        <f>IFERROR(VLOOKUP(Tabela1[[#This Row],[MÊS]]&amp;Tabela1[[#This Row],[ID]]&amp;Tabela1[[#This Row],[MATRICULA]]&amp;"Motorista 4"&amp;Tabela1[[#This Row],[SETOR]],BD!A:AF,13,0),"")</f>
        <v/>
      </c>
      <c r="BQ58" s="135" t="str">
        <f>IFERROR(AVERAGE(Tabela1[[#This Row],[DMOT]:[DMOT4]]),"")</f>
        <v/>
      </c>
      <c r="BR58" s="135" t="str">
        <f>IFERROR(VLOOKUP(Tabela1[[#This Row],[MÊS]]&amp;Tabela1[[#This Row],[ID]]&amp;Tabela1[[#This Row],[MATRICULA]]&amp;"Ponto de Apoio"&amp;Tabela1[[#This Row],[SETOR]],BD!A:AF,13,0),"")</f>
        <v/>
      </c>
      <c r="BS58" s="135" t="str">
        <f>IFERROR(VLOOKUP(Tabela1[[#This Row],[MÊS]]&amp;Tabela1[[#This Row],[ID]]&amp;Tabela1[[#This Row],[MATRICULA]]&amp;"Ponto de Apoio 2"&amp;Tabela1[[#This Row],[SETOR]],BD!A:AF,13,0),"")</f>
        <v/>
      </c>
      <c r="BT58" s="135" t="str">
        <f>IFERROR(VLOOKUP(Tabela1[[#This Row],[MÊS]]&amp;Tabela1[[#This Row],[ID]]&amp;Tabela1[[#This Row],[MATRICULA]]&amp;"Ponto de Apoio 3"&amp;Tabela1[[#This Row],[SETOR]],BD!A:AF,13,0),"")</f>
        <v/>
      </c>
      <c r="BU58" s="135" t="str">
        <f>IFERROR(VLOOKUP(Tabela1[[#This Row],[MÊS]]&amp;Tabela1[[#This Row],[ID]]&amp;Tabela1[[#This Row],[MATRICULA]]&amp;"Ponto de Apoio 4"&amp;Tabela1[[#This Row],[SETOR]],BD!A:AF,13,0),"")</f>
        <v/>
      </c>
      <c r="BV58" s="135" t="str">
        <f>IFERROR(AVERAGE(Tabela1[[#This Row],[DPA]:[DPA 4]]),"")</f>
        <v/>
      </c>
      <c r="BW58" s="135" t="str">
        <f>IFERROR(VLOOKUP(Tabela1[[#This Row],[MÊS]]&amp;Tabela1[[#This Row],[ID]]&amp;Tabela1[[#This Row],[MATRICULA]]&amp;"Cliente"&amp;Tabela1[[#This Row],[SETOR]],BD!A:AF,13,0),"")</f>
        <v/>
      </c>
      <c r="BX58" s="135" t="str">
        <f>IFERROR(VLOOKUP(Tabela1[[#This Row],[MÊS]]&amp;Tabela1[[#This Row],[ID]]&amp;Tabela1[[#This Row],[MATRICULA]]&amp;"cliente 2"&amp;Tabela1[[#This Row],[SETOR]],BD!A:AF,13,0),"")</f>
        <v/>
      </c>
      <c r="BY58" s="135" t="str">
        <f>IFERROR(VLOOKUP(Tabela1[[#This Row],[MÊS]]&amp;Tabela1[[#This Row],[ID]]&amp;Tabela1[[#This Row],[MATRICULA]]&amp;"cliente 3"&amp;Tabela1[[#This Row],[SETOR]],BD!A:AF,13,0),"")</f>
        <v/>
      </c>
      <c r="BZ58" s="135" t="str">
        <f>IFERROR(VLOOKUP(Tabela1[[#This Row],[MÊS]]&amp;Tabela1[[#This Row],[ID]]&amp;Tabela1[[#This Row],[MATRICULA]]&amp;"cliente 4"&amp;Tabela1[[#This Row],[SETOR]],BD!A:AF,13,0),"")</f>
        <v/>
      </c>
      <c r="CA58" s="135" t="str">
        <f>IFERROR(AVERAGE(Tabela1[[#This Row],[DCLI]:[DCLI 4]]),"")</f>
        <v/>
      </c>
      <c r="CB58" s="135" t="str">
        <f>IFERROR(VLOOKUP(Tabela1[[#This Row],[MÊS]]&amp;Tabela1[[#This Row],[ID]]&amp;Tabela1[[#This Row],[MATRICULA]]&amp;"Policia"&amp;Tabela1[[#This Row],[SETOR]],BD!A:AF,13,0),"")</f>
        <v/>
      </c>
      <c r="CC58" s="135" t="str">
        <f>IFERROR(VLOOKUP(Tabela1[[#This Row],[MÊS]]&amp;Tabela1[[#This Row],[ID]]&amp;Tabela1[[#This Row],[MATRICULA]]&amp;"Policia 2"&amp;Tabela1[[#This Row],[SETOR]],BD!A:AF,13,0),"")</f>
        <v/>
      </c>
      <c r="CD58" s="135"/>
      <c r="CE58" s="135"/>
      <c r="CF58" s="135" t="str">
        <f>IFERROR((AVERAGE(Tabela1[[#This Row],[DPOL1]:[DPOL4]])),"")</f>
        <v/>
      </c>
      <c r="CG58" s="21" t="str">
        <f>IFERROR(VLOOKUP(Tabela1[[#This Row],[ID]]&amp;Tabela1[[#This Row],[MÊS]]&amp;Tabela1[[#This Row],[MATRICULA]],#REF!,2,0),"")</f>
        <v/>
      </c>
      <c r="CH58" s="21" t="str">
        <f>IFERROR(VLOOKUP(Tabela1[[#This Row],[ID]]&amp;Tabela1[[#This Row],[MÊS]]&amp;Tabela1[[#This Row],[MATRICULA]],#REF!,2,0),"")</f>
        <v/>
      </c>
      <c r="CI58" s="21" t="str">
        <f>IFERROR(VLOOKUP(Tabela1[[#This Row],[MÊS]]&amp;Tabela1[[#This Row],[MATRICULA]],#REF!,2,0),"")</f>
        <v/>
      </c>
    </row>
    <row r="59" spans="1:87">
      <c r="A59" s="12" t="str">
        <f>Tabela1[[#This Row],[MÊS]]&amp;Tabela1[[#This Row],[MATRICULA]]&amp;Tabela1[[#This Row],[ID]]</f>
        <v>JAN113815</v>
      </c>
      <c r="B59" s="12" t="str">
        <f>Tabela1[[#This Row],[MÊS]]&amp;Tabela1[[#This Row],[ID]]&amp;Tabela1[[#This Row],[MATRICULA]]&amp;Tabela1[[#This Row],[SETOR]]</f>
        <v>JAN511381DISTRIBUIÇÃO</v>
      </c>
      <c r="C59" s="130" t="e">
        <f>VLOOKUP(Tabela1[[#This Row],[MATRICULA]],'BD Campos'!A:D,5,0)</f>
        <v>#REF!</v>
      </c>
      <c r="D59" s="133" t="str">
        <f ca="1">IFERROR(SUM(TODAY()-Tabela1[[#This Row],[ADMISSÃO]]),"")</f>
        <v/>
      </c>
      <c r="E59" s="11" t="str">
        <f ca="1">IFERROR(TRUNC(Tabela1[[#This Row],[TEMPO DE CASA (DIAS)]]/30),"")</f>
        <v/>
      </c>
      <c r="F59" s="32" t="str">
        <f ca="1">IFERROR(SUM(Tabela1[[#This Row],[TEMPO DE CASA (MESES)]]/12),"")</f>
        <v/>
      </c>
      <c r="G59" s="133" t="str">
        <f ca="1">IF(Tabela1[[#This Row],[TEMPO DE CASA (DIAS)]]="","SEM DADOS",IF(Tabela1[[#This Row],[TEMPO DE CASA (DIAS)]]&gt;180,"&gt; 6 MESES","&lt; 6 MESES"))</f>
        <v>SEM DADOS</v>
      </c>
      <c r="H59" s="12" t="str">
        <f t="shared" si="6"/>
        <v>JANBruna Vieira5</v>
      </c>
      <c r="I59" s="12" t="str">
        <f>IFERROR(VLOOKUP(Tabela1[[#This Row],[MATRICULA]],'BD Campos'!A:F,7,0),"")</f>
        <v/>
      </c>
      <c r="J59" s="11">
        <v>5</v>
      </c>
      <c r="K59" s="11" t="s">
        <v>669</v>
      </c>
      <c r="L59" s="136">
        <v>11381</v>
      </c>
      <c r="M59" s="12" t="str">
        <f>IFERROR(VLOOKUP(Tabela1[[#This Row],[MATRICULA]],'BD Campos'!A:B,2,0),"")</f>
        <v>KAUA MAIA</v>
      </c>
      <c r="N59" s="20">
        <f>IFERROR(AVERAGE(Tabela1[[#This Row],[A1]:[A4]]),"")</f>
        <v>8.1100000000000012</v>
      </c>
      <c r="O59" s="20" t="str">
        <f>IFERROR(IF(Tabela1[[#This Row],[SETOR]]="RECEPTIVO","",AVERAGE(Tabela1[[#This Row],[A5]:[A6]])),"")</f>
        <v/>
      </c>
      <c r="P59" s="20" t="str">
        <f>IFERROR(IF(Tabela1[[#This Row],[STATUS]]="INATIVO","INATIVO",IF(Tabela1[[#This Row],[STATUS]]="QRT","INATIVO",IF(Tabela1[[#This Row],[OPERACIONAL]]&gt;7.99999,"BOM","RUIM"))),"")</f>
        <v>BOM</v>
      </c>
      <c r="Q59" s="21" t="s">
        <v>667</v>
      </c>
      <c r="R59" s="12" t="s">
        <v>94</v>
      </c>
      <c r="S59" s="12" t="s">
        <v>676</v>
      </c>
      <c r="T59" s="12" t="s">
        <v>94</v>
      </c>
      <c r="U5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5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59" s="12">
        <f>IF(AND(Tabela1[[#This Row],[SETOR]]="UTI",Tabela1[[#This Row],[M]]&lt;&gt;""),1,IF(AND(Tabela1[[#This Row],[SETOR]]="UTI (RJ)",Tabela1[[#This Row],[M]]&lt;&gt;""),1.5,0))</f>
        <v>0</v>
      </c>
      <c r="X59" s="12">
        <f>IF(AND(Tabela1[[#This Row],[SETOR]]="UTI",Tabela1[[#This Row],[PA2]]&lt;&gt;""),1,IF(AND(Tabela1[[#This Row],[SETOR]]="UTI (RJ)",Tabela1[[#This Row],[PA2]]&lt;&gt;""),0,0))</f>
        <v>0</v>
      </c>
      <c r="Y59" s="12">
        <f>IF(AND(Tabela1[[#This Row],[SETOR]]="UTI",Tabela1[[#This Row],[C]]&lt;&gt;""),1,IF(AND(Tabela1[[#This Row],[SETOR]]="UTI (RJ)",Tabela1[[#This Row],[C]]&lt;&gt;""),1.5,0))</f>
        <v>0</v>
      </c>
      <c r="Z59" s="12">
        <f>IF(AND(Tabela1[[#This Row],[SETOR]]="UTI",Tabela1[[#This Row],[PL]]&lt;&gt;""),1,IF(AND(Tabela1[[#This Row],[SETOR]]="UTI (RJ)",Tabela1[[#This Row],[PL]]&lt;&gt;""),1,0))</f>
        <v>0</v>
      </c>
      <c r="AA59" s="21">
        <f>IFERROR(VLOOKUP(Tabela1[[#This Row],[MÊS]]&amp;Tabela1[[#This Row],[MATRICULA]]&amp;"1"&amp;Tabela1[[#This Row],[SETOR]]&amp;"PADRÃO",BD!B:AF,31,0),"")</f>
        <v>6.22</v>
      </c>
      <c r="AB59" s="21">
        <f>IFERROR(VLOOKUP(Tabela1[[#This Row],[MÊS]]&amp;Tabela1[[#This Row],[MATRICULA]]&amp;"2"&amp;Tabela1[[#This Row],[SETOR]]&amp;"PADRÃO",BD!B:AF,31,0),"")</f>
        <v>10.000000000000002</v>
      </c>
      <c r="AC59" s="21" t="str">
        <f>IFERROR(VLOOKUP(Tabela1[[#This Row],[MÊS]]&amp;Tabela1[[#This Row],[MATRICULA]]&amp;"3"&amp;Tabela1[[#This Row],[SETOR]]&amp;"PADRÃO",BD!B:AF,31,0),"")</f>
        <v/>
      </c>
      <c r="AD59" s="21" t="str">
        <f>IFERROR(VLOOKUP(Tabela1[[#This Row],[MÊS]]&amp;Tabela1[[#This Row],[MATRICULA]]&amp;"4"&amp;Tabela1[[#This Row],[SETOR]]&amp;"PADRÃO",BD!B:AF,25,0),"")</f>
        <v/>
      </c>
      <c r="AE59" s="21" t="str">
        <f>IFERROR(VLOOKUP(Tabela1[[#This Row],[MÊS]]&amp;Tabela1[[#This Row],[MATRICULA]]&amp;"5"&amp;Tabela1[[#This Row],[SETOR]]&amp;"PADRÃO",BD!B:AF,31,0),"")</f>
        <v/>
      </c>
      <c r="AF59" s="21" t="str">
        <f>IFERROR(VLOOKUP(Tabela1[[#This Row],[MÊS]]&amp;Tabela1[[#This Row],[MATRICULA]]&amp;"6"&amp;Tabela1[[#This Row],[SETOR]]&amp;"PADRÃO",BD!B:AF,31,0),"")</f>
        <v/>
      </c>
      <c r="AG59" s="21" t="str">
        <f>IFERROR(VLOOKUP(Tabela1[[#This Row],[MÊS]]&amp;Tabela1[[#This Row],[MATRICULA]]&amp;"7"&amp;Tabela1[[#This Row],[SETOR]]&amp;"PADRÃO",BD!B:AF,31,0),"")</f>
        <v/>
      </c>
      <c r="AH59" s="21" t="str">
        <f>IFERROR(VLOOKUP(Tabela1[[#This Row],[MÊS]]&amp;Tabela1[[#This Row],[ID]]&amp;Tabela1[[#This Row],[MATRICULA]]&amp;"Receptiva"&amp;Tabela1[[#This Row],[SETOR]],BD!A:AF,31,0),"")</f>
        <v/>
      </c>
      <c r="AI59" s="21" t="str">
        <f>IFERROR(VLOOKUP(Tabela1[[#This Row],[MÊS]]&amp;Tabela1[[#This Row],[ID]]&amp;Tabela1[[#This Row],[MATRICULA]]&amp;"Receptiva 2"&amp;Tabela1[[#This Row],[SETOR]],BD!A:AF,31,0),"")</f>
        <v/>
      </c>
      <c r="AJ59" s="21" t="str">
        <f>IFERROR(VLOOKUP(Tabela1[[#This Row],[MÊS]]&amp;Tabela1[[#This Row],[ID]]&amp;Tabela1[[#This Row],[MATRICULA]]&amp;"Receptiva 3"&amp;Tabela1[[#This Row],[SETOR]],BD!A:AF,31,0),"")</f>
        <v/>
      </c>
      <c r="AK59" s="21" t="str">
        <f>IFERROR(VLOOKUP(Tabela1[[#This Row],[MÊS]]&amp;Tabela1[[#This Row],[ID]]&amp;Tabela1[[#This Row],[MATRICULA]]&amp;"Receptiva 4"&amp;Tabela1[[#This Row],[SETOR]],BD!A:AF,31,0),"")</f>
        <v/>
      </c>
      <c r="AL59" s="21">
        <f>IFERROR(VLOOKUP(Tabela1[[#This Row],[MÊS]]&amp;Tabela1[[#This Row],[MATRICULA]]&amp;"Motorista"&amp;Tabela1[[#This Row],[SETOR]],BD!A:AF,31,0),"")</f>
        <v>0</v>
      </c>
      <c r="AM59" s="21" t="str">
        <f>IFERROR(VLOOKUP(Tabela1[[#This Row],[MÊS]]&amp;Tabela1[[#This Row],[ID]]&amp;Tabela1[[#This Row],[MATRICULA]]&amp;"Motorista 2"&amp;Tabela1[[#This Row],[SETOR]],BD!A:AF,26,0),"")</f>
        <v/>
      </c>
      <c r="AN59" s="21" t="str">
        <f>IFERROR(VLOOKUP(Tabela1[[#This Row],[MÊS]]&amp;Tabela1[[#This Row],[ID]]&amp;Tabela1[[#This Row],[MATRICULA]]&amp;"Motorista 3"&amp;Tabela1[[#This Row],[SETOR]],BD!A:AF,26,0),"")</f>
        <v/>
      </c>
      <c r="AO59" s="21" t="str">
        <f>IFERROR(VLOOKUP(Tabela1[[#This Row],[MÊS]]&amp;Tabela1[[#This Row],[ID]]&amp;Tabela1[[#This Row],[MATRICULA]]&amp;"Motorista 4"&amp;Tabela1[[#This Row],[SETOR]],BD!A:AF,26,0),"")</f>
        <v/>
      </c>
      <c r="AP59" s="21" t="str">
        <f>IFERROR(VLOOKUP(Tabela1[[#This Row],[MÊS]]&amp;Tabela1[[#This Row],[MATRICULA]]&amp;"Ponto de Apoio"&amp;Tabela1[[#This Row],[SETOR]],BD!A:AF,31,0),"")</f>
        <v/>
      </c>
      <c r="AQ59" s="21" t="str">
        <f>IFERROR(VLOOKUP(Tabela1[[#This Row],[MÊS]]&amp;Tabela1[[#This Row],[ID]]&amp;Tabela1[[#This Row],[MATRICULA]]&amp;"Ponto de Apoio 2"&amp;Tabela1[[#This Row],[SETOR]],BD!A:AF,26,0),"")</f>
        <v/>
      </c>
      <c r="AR59" s="36" t="str">
        <f>IFERROR(VLOOKUP(Tabela1[[#This Row],[MÊS]]&amp;Tabela1[[#This Row],[ID]]&amp;Tabela1[[#This Row],[MATRICULA]]&amp;"Ponto de Apoio 3"&amp;Tabela1[[#This Row],[SETOR]],BD!A:AF,26,0),"")</f>
        <v/>
      </c>
      <c r="AS59" s="36" t="str">
        <f>IFERROR(VLOOKUP(Tabela1[[#This Row],[MÊS]]&amp;Tabela1[[#This Row],[ID]]&amp;Tabela1[[#This Row],[MATRICULA]]&amp;"Ponto de Apoio 4"&amp;Tabela1[[#This Row],[SETOR]],BD!A:AF,26,0),"")</f>
        <v/>
      </c>
      <c r="AT59" s="21" t="str">
        <f>IFERROR(VLOOKUP(Tabela1[[#This Row],[MÊS]]&amp;Tabela1[[#This Row],[MATRICULA]]&amp;"Cliente"&amp;Tabela1[[#This Row],[SETOR]],BD!A:AF,31,0),"")</f>
        <v/>
      </c>
      <c r="AU59" s="21" t="str">
        <f>IFERROR(VLOOKUP(Tabela1[[#This Row],[MÊS]]&amp;Tabela1[[#This Row],[ID]]&amp;Tabela1[[#This Row],[MATRICULA]]&amp;"Cliente 2"&amp;Tabela1[[#This Row],[SETOR]],BD!A:AF,26,0),"")</f>
        <v/>
      </c>
      <c r="AX59" s="21" t="str">
        <f>IFERROR(VLOOKUP(Tabela1[[#This Row],[MÊS]]&amp;Tabela1[[#This Row],[MATRICULA]]&amp;"Policia"&amp;Tabela1[[#This Row],[SETOR]],BD!A:AF,31,0),"")</f>
        <v/>
      </c>
      <c r="AY59" s="21" t="str">
        <f>IFERROR(VLOOKUP(Tabela1[[#This Row],[MÊS]]&amp;Tabela1[[#This Row],[ID]]&amp;Tabela1[[#This Row],[MATRICULA]]&amp;"Policia 2"&amp;Tabela1[[#This Row],[SETOR]],BD!A:AF,26,0),"")</f>
        <v/>
      </c>
      <c r="AZ59" s="36" t="str">
        <f>IFERROR(VLOOKUP(Tabela1[[#This Row],[MÊS]]&amp;Tabela1[[#This Row],[ID]]&amp;Tabela1[[#This Row],[MATRICULA]]&amp;"Policia 3"&amp;Tabela1[[#This Row],[SETOR]],BD!A:AF,26,0),"")</f>
        <v/>
      </c>
      <c r="BA59" s="36" t="str">
        <f>IFERROR(VLOOKUP(Tabela1[[#This Row],[MÊS]]&amp;Tabela1[[#This Row],[ID]]&amp;Tabela1[[#This Row],[MATRICULA]]&amp;"Policia 4"&amp;Tabela1[[#This Row],[SETOR]],BD!A:AF,26,0),"")</f>
        <v/>
      </c>
      <c r="BB5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59" s="21">
        <f>IFERROR(AVERAGE(Tabela1[[#This Row],[M]:[M4]]),"")</f>
        <v>0</v>
      </c>
      <c r="BD59" s="21" t="str">
        <f>IFERROR(AVERAGE(Tabela1[[#This Row],[C]:[C4]]),"")</f>
        <v/>
      </c>
      <c r="BE59" s="21" t="str">
        <f>IFERROR(AVERAGE(Tabela1[[#This Row],[PA2]:[PA 4]]),"")</f>
        <v/>
      </c>
      <c r="BF59" s="21" t="str">
        <f>IFERROR(AVERAGE(Tabela1[[#This Row],[PL]:[PL4]]),"")</f>
        <v/>
      </c>
      <c r="BG59" s="35" t="str">
        <f>IFERROR(VLOOKUP(Tabela1[[#This Row],[MÊS]]&amp;Tabela1[[#This Row],[MATRICULA]],#REF!,2,0),"")</f>
        <v/>
      </c>
      <c r="BH59" s="35" t="str">
        <f>IFERROR(VLOOKUP(Tabela1[[#This Row],[MÊS]]&amp;Tabela1[[#This Row],[MATRICULA]],#REF!,2,0),"")</f>
        <v/>
      </c>
      <c r="BI59" s="35" t="str">
        <f>IFERROR(VLOOKUP(Tabela1[[#This Row],[MÊS]]&amp;Tabela1[[#This Row],[MATRICULA]],#REF!,2,0),"")</f>
        <v/>
      </c>
      <c r="BJ59" s="35" t="str">
        <f>IFERROR(VLOOKUP(Tabela1[[#This Row],[MÊS]]&amp;Tabela1[[#This Row],[MATRICULA]],#REF!,2,0),"")</f>
        <v/>
      </c>
      <c r="BK59" s="35" t="str">
        <f>IFERROR(VLOOKUP(Tabela1[[#This Row],[MÊS]]&amp;Tabela1[[#This Row],[MATRICULA]],#REF!,2,0),"")</f>
        <v/>
      </c>
      <c r="BL59" s="21">
        <f>COUNTIF(Tabela1[[#This Row],[MOT2]:[RECEPTIVA]],"NÃO ENCONTRADA")</f>
        <v>0</v>
      </c>
      <c r="BM59" s="135" t="str">
        <f>IFERROR(VLOOKUP(Tabela1[[#This Row],[MÊS]]&amp;Tabela1[[#This Row],[ID]]&amp;Tabela1[[#This Row],[MATRICULA]]&amp;"Motorista"&amp;Tabela1[[#This Row],[SETOR]],BD!A:AF,13,0),"")</f>
        <v/>
      </c>
      <c r="BN59" s="135" t="str">
        <f>IFERROR(VLOOKUP(Tabela1[[#This Row],[MÊS]]&amp;Tabela1[[#This Row],[ID]]&amp;Tabela1[[#This Row],[MATRICULA]]&amp;"Motorista 2"&amp;Tabela1[[#This Row],[SETOR]],BD!A:AF,13,0),"")</f>
        <v/>
      </c>
      <c r="BO59" s="135" t="str">
        <f>IFERROR(VLOOKUP(Tabela1[[#This Row],[MÊS]]&amp;Tabela1[[#This Row],[ID]]&amp;Tabela1[[#This Row],[MATRICULA]]&amp;"Motorista 3"&amp;Tabela1[[#This Row],[SETOR]],BD!A:AF,13,0),"")</f>
        <v/>
      </c>
      <c r="BP59" s="135" t="str">
        <f>IFERROR(VLOOKUP(Tabela1[[#This Row],[MÊS]]&amp;Tabela1[[#This Row],[ID]]&amp;Tabela1[[#This Row],[MATRICULA]]&amp;"Motorista 4"&amp;Tabela1[[#This Row],[SETOR]],BD!A:AF,13,0),"")</f>
        <v/>
      </c>
      <c r="BQ59" s="135" t="str">
        <f>IFERROR(AVERAGE(Tabela1[[#This Row],[DMOT]:[DMOT4]]),"")</f>
        <v/>
      </c>
      <c r="BR59" s="135" t="str">
        <f>IFERROR(VLOOKUP(Tabela1[[#This Row],[MÊS]]&amp;Tabela1[[#This Row],[ID]]&amp;Tabela1[[#This Row],[MATRICULA]]&amp;"Ponto de Apoio"&amp;Tabela1[[#This Row],[SETOR]],BD!A:AF,13,0),"")</f>
        <v/>
      </c>
      <c r="BS59" s="135" t="str">
        <f>IFERROR(VLOOKUP(Tabela1[[#This Row],[MÊS]]&amp;Tabela1[[#This Row],[ID]]&amp;Tabela1[[#This Row],[MATRICULA]]&amp;"Ponto de Apoio 2"&amp;Tabela1[[#This Row],[SETOR]],BD!A:AF,13,0),"")</f>
        <v/>
      </c>
      <c r="BT59" s="135" t="str">
        <f>IFERROR(VLOOKUP(Tabela1[[#This Row],[MÊS]]&amp;Tabela1[[#This Row],[ID]]&amp;Tabela1[[#This Row],[MATRICULA]]&amp;"Ponto de Apoio 3"&amp;Tabela1[[#This Row],[SETOR]],BD!A:AF,13,0),"")</f>
        <v/>
      </c>
      <c r="BU59" s="135" t="str">
        <f>IFERROR(VLOOKUP(Tabela1[[#This Row],[MÊS]]&amp;Tabela1[[#This Row],[ID]]&amp;Tabela1[[#This Row],[MATRICULA]]&amp;"Ponto de Apoio 4"&amp;Tabela1[[#This Row],[SETOR]],BD!A:AF,13,0),"")</f>
        <v/>
      </c>
      <c r="BV59" s="135" t="str">
        <f>IFERROR(AVERAGE(Tabela1[[#This Row],[DPA]:[DPA 4]]),"")</f>
        <v/>
      </c>
      <c r="BW59" s="135" t="str">
        <f>IFERROR(VLOOKUP(Tabela1[[#This Row],[MÊS]]&amp;Tabela1[[#This Row],[ID]]&amp;Tabela1[[#This Row],[MATRICULA]]&amp;"Cliente"&amp;Tabela1[[#This Row],[SETOR]],BD!A:AF,13,0),"")</f>
        <v/>
      </c>
      <c r="BX59" s="135" t="str">
        <f>IFERROR(VLOOKUP(Tabela1[[#This Row],[MÊS]]&amp;Tabela1[[#This Row],[ID]]&amp;Tabela1[[#This Row],[MATRICULA]]&amp;"cliente 2"&amp;Tabela1[[#This Row],[SETOR]],BD!A:AF,13,0),"")</f>
        <v/>
      </c>
      <c r="BY59" s="135" t="str">
        <f>IFERROR(VLOOKUP(Tabela1[[#This Row],[MÊS]]&amp;Tabela1[[#This Row],[ID]]&amp;Tabela1[[#This Row],[MATRICULA]]&amp;"cliente 3"&amp;Tabela1[[#This Row],[SETOR]],BD!A:AF,13,0),"")</f>
        <v/>
      </c>
      <c r="BZ59" s="135" t="str">
        <f>IFERROR(VLOOKUP(Tabela1[[#This Row],[MÊS]]&amp;Tabela1[[#This Row],[ID]]&amp;Tabela1[[#This Row],[MATRICULA]]&amp;"cliente 4"&amp;Tabela1[[#This Row],[SETOR]],BD!A:AF,13,0),"")</f>
        <v/>
      </c>
      <c r="CA59" s="135" t="str">
        <f>IFERROR(AVERAGE(Tabela1[[#This Row],[DCLI]:[DCLI 4]]),"")</f>
        <v/>
      </c>
      <c r="CB59" s="135" t="str">
        <f>IFERROR(VLOOKUP(Tabela1[[#This Row],[MÊS]]&amp;Tabela1[[#This Row],[ID]]&amp;Tabela1[[#This Row],[MATRICULA]]&amp;"Policia"&amp;Tabela1[[#This Row],[SETOR]],BD!A:AF,13,0),"")</f>
        <v/>
      </c>
      <c r="CC59" s="135" t="str">
        <f>IFERROR(VLOOKUP(Tabela1[[#This Row],[MÊS]]&amp;Tabela1[[#This Row],[ID]]&amp;Tabela1[[#This Row],[MATRICULA]]&amp;"Policia 2"&amp;Tabela1[[#This Row],[SETOR]],BD!A:AF,13,0),"")</f>
        <v/>
      </c>
      <c r="CD59" s="135"/>
      <c r="CE59" s="135"/>
      <c r="CF59" s="135" t="str">
        <f>IFERROR((AVERAGE(Tabela1[[#This Row],[DPOL1]:[DPOL4]])),"")</f>
        <v/>
      </c>
      <c r="CG59" s="21" t="str">
        <f>IFERROR(VLOOKUP(Tabela1[[#This Row],[ID]]&amp;Tabela1[[#This Row],[MÊS]]&amp;Tabela1[[#This Row],[MATRICULA]],#REF!,2,0),"")</f>
        <v/>
      </c>
      <c r="CH59" s="21" t="str">
        <f>IFERROR(VLOOKUP(Tabela1[[#This Row],[ID]]&amp;Tabela1[[#This Row],[MÊS]]&amp;Tabela1[[#This Row],[MATRICULA]],#REF!,2,0),"")</f>
        <v/>
      </c>
      <c r="CI59" s="21" t="str">
        <f>IFERROR(VLOOKUP(Tabela1[[#This Row],[MÊS]]&amp;Tabela1[[#This Row],[MATRICULA]],#REF!,2,0),"")</f>
        <v/>
      </c>
    </row>
    <row r="60" spans="1:87">
      <c r="A60" s="12" t="str">
        <f>Tabela1[[#This Row],[MÊS]]&amp;Tabela1[[#This Row],[MATRICULA]]&amp;Tabela1[[#This Row],[ID]]</f>
        <v>JAN112846</v>
      </c>
      <c r="B60" s="12" t="str">
        <f>Tabela1[[#This Row],[MÊS]]&amp;Tabela1[[#This Row],[ID]]&amp;Tabela1[[#This Row],[MATRICULA]]&amp;Tabela1[[#This Row],[SETOR]]</f>
        <v>JAN611284DISTRIBUIÇÃO</v>
      </c>
      <c r="C60" s="130" t="e">
        <f>VLOOKUP(Tabela1[[#This Row],[MATRICULA]],'BD Campos'!A:D,5,0)</f>
        <v>#REF!</v>
      </c>
      <c r="D60" s="133" t="str">
        <f ca="1">IFERROR(SUM(TODAY()-Tabela1[[#This Row],[ADMISSÃO]]),"")</f>
        <v/>
      </c>
      <c r="E60" s="11" t="str">
        <f ca="1">IFERROR(TRUNC(Tabela1[[#This Row],[TEMPO DE CASA (DIAS)]]/30),"")</f>
        <v/>
      </c>
      <c r="F60" s="32" t="str">
        <f ca="1">IFERROR(SUM(Tabela1[[#This Row],[TEMPO DE CASA (MESES)]]/12),"")</f>
        <v/>
      </c>
      <c r="G60" s="133" t="str">
        <f ca="1">IF(Tabela1[[#This Row],[TEMPO DE CASA (DIAS)]]="","SEM DADOS",IF(Tabela1[[#This Row],[TEMPO DE CASA (DIAS)]]&gt;180,"&gt; 6 MESES","&lt; 6 MESES"))</f>
        <v>SEM DADOS</v>
      </c>
      <c r="H60" s="12" t="str">
        <f t="shared" si="6"/>
        <v>JANBruna Vieira6</v>
      </c>
      <c r="I60" s="12" t="str">
        <f>IFERROR(VLOOKUP(Tabela1[[#This Row],[MATRICULA]],'BD Campos'!A:F,7,0),"")</f>
        <v/>
      </c>
      <c r="J60" s="11">
        <v>6</v>
      </c>
      <c r="K60" s="11" t="s">
        <v>669</v>
      </c>
      <c r="L60" s="136">
        <v>11284</v>
      </c>
      <c r="M60" s="12" t="str">
        <f>IFERROR(VLOOKUP(Tabela1[[#This Row],[MATRICULA]],'BD Campos'!A:B,2,0),"")</f>
        <v>LUCAS ARTMANN MARQUES</v>
      </c>
      <c r="N60" s="20">
        <f>IFERROR(AVERAGE(Tabela1[[#This Row],[A1]:[A4]]),"")</f>
        <v>5.0000000000000009</v>
      </c>
      <c r="O60" s="20" t="str">
        <f>IFERROR(IF(Tabela1[[#This Row],[SETOR]]="RECEPTIVO","",AVERAGE(Tabela1[[#This Row],[A5]:[A6]])),"")</f>
        <v/>
      </c>
      <c r="P60" s="20" t="str">
        <f>IFERROR(IF(Tabela1[[#This Row],[STATUS]]="INATIVO","INATIVO",IF(Tabela1[[#This Row],[STATUS]]="QRT","INATIVO",IF(Tabela1[[#This Row],[OPERACIONAL]]&gt;7.99999,"BOM","RUIM"))),"")</f>
        <v>RUIM</v>
      </c>
      <c r="Q60" s="21" t="s">
        <v>667</v>
      </c>
      <c r="R60" s="12" t="s">
        <v>94</v>
      </c>
      <c r="S60" s="12" t="s">
        <v>676</v>
      </c>
      <c r="T60" s="12" t="s">
        <v>94</v>
      </c>
      <c r="U6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0" s="12">
        <f>IF(AND(Tabela1[[#This Row],[SETOR]]="UTI",Tabela1[[#This Row],[M]]&lt;&gt;""),1,IF(AND(Tabela1[[#This Row],[SETOR]]="UTI (RJ)",Tabela1[[#This Row],[M]]&lt;&gt;""),1.5,0))</f>
        <v>0</v>
      </c>
      <c r="X60" s="12">
        <f>IF(AND(Tabela1[[#This Row],[SETOR]]="UTI",Tabela1[[#This Row],[PA2]]&lt;&gt;""),1,IF(AND(Tabela1[[#This Row],[SETOR]]="UTI (RJ)",Tabela1[[#This Row],[PA2]]&lt;&gt;""),0,0))</f>
        <v>0</v>
      </c>
      <c r="Y60" s="12">
        <f>IF(AND(Tabela1[[#This Row],[SETOR]]="UTI",Tabela1[[#This Row],[C]]&lt;&gt;""),1,IF(AND(Tabela1[[#This Row],[SETOR]]="UTI (RJ)",Tabela1[[#This Row],[C]]&lt;&gt;""),1.5,0))</f>
        <v>0</v>
      </c>
      <c r="Z60" s="12">
        <f>IF(AND(Tabela1[[#This Row],[SETOR]]="UTI",Tabela1[[#This Row],[PL]]&lt;&gt;""),1,IF(AND(Tabela1[[#This Row],[SETOR]]="UTI (RJ)",Tabela1[[#This Row],[PL]]&lt;&gt;""),1,0))</f>
        <v>0</v>
      </c>
      <c r="AA60" s="21">
        <f>IFERROR(VLOOKUP(Tabela1[[#This Row],[MÊS]]&amp;Tabela1[[#This Row],[MATRICULA]]&amp;"1"&amp;Tabela1[[#This Row],[SETOR]]&amp;"PADRÃO",BD!B:AF,31,0),"")</f>
        <v>10.000000000000002</v>
      </c>
      <c r="AB60" s="21">
        <f>IFERROR(VLOOKUP(Tabela1[[#This Row],[MÊS]]&amp;Tabela1[[#This Row],[MATRICULA]]&amp;"2"&amp;Tabela1[[#This Row],[SETOR]]&amp;"PADRÃO",BD!B:AF,31,0),"")</f>
        <v>0</v>
      </c>
      <c r="AC60" s="21" t="str">
        <f>IFERROR(VLOOKUP(Tabela1[[#This Row],[MÊS]]&amp;Tabela1[[#This Row],[MATRICULA]]&amp;"3"&amp;Tabela1[[#This Row],[SETOR]]&amp;"PADRÃO",BD!B:AF,31,0),"")</f>
        <v/>
      </c>
      <c r="AD60" s="21" t="str">
        <f>IFERROR(VLOOKUP(Tabela1[[#This Row],[MÊS]]&amp;Tabela1[[#This Row],[MATRICULA]]&amp;"4"&amp;Tabela1[[#This Row],[SETOR]]&amp;"PADRÃO",BD!B:AF,25,0),"")</f>
        <v/>
      </c>
      <c r="AE60" s="21" t="str">
        <f>IFERROR(VLOOKUP(Tabela1[[#This Row],[MÊS]]&amp;Tabela1[[#This Row],[MATRICULA]]&amp;"5"&amp;Tabela1[[#This Row],[SETOR]]&amp;"PADRÃO",BD!B:AF,31,0),"")</f>
        <v/>
      </c>
      <c r="AF60" s="21" t="str">
        <f>IFERROR(VLOOKUP(Tabela1[[#This Row],[MÊS]]&amp;Tabela1[[#This Row],[MATRICULA]]&amp;"6"&amp;Tabela1[[#This Row],[SETOR]]&amp;"PADRÃO",BD!B:AF,31,0),"")</f>
        <v/>
      </c>
      <c r="AG60" s="21" t="str">
        <f>IFERROR(VLOOKUP(Tabela1[[#This Row],[MÊS]]&amp;Tabela1[[#This Row],[MATRICULA]]&amp;"7"&amp;Tabela1[[#This Row],[SETOR]]&amp;"PADRÃO",BD!B:AF,31,0),"")</f>
        <v/>
      </c>
      <c r="AH60" s="21" t="str">
        <f>IFERROR(VLOOKUP(Tabela1[[#This Row],[MÊS]]&amp;Tabela1[[#This Row],[ID]]&amp;Tabela1[[#This Row],[MATRICULA]]&amp;"Receptiva"&amp;Tabela1[[#This Row],[SETOR]],BD!A:AF,31,0),"")</f>
        <v/>
      </c>
      <c r="AI60" s="21" t="str">
        <f>IFERROR(VLOOKUP(Tabela1[[#This Row],[MÊS]]&amp;Tabela1[[#This Row],[ID]]&amp;Tabela1[[#This Row],[MATRICULA]]&amp;"Receptiva 2"&amp;Tabela1[[#This Row],[SETOR]],BD!A:AF,31,0),"")</f>
        <v/>
      </c>
      <c r="AJ60" s="21" t="str">
        <f>IFERROR(VLOOKUP(Tabela1[[#This Row],[MÊS]]&amp;Tabela1[[#This Row],[ID]]&amp;Tabela1[[#This Row],[MATRICULA]]&amp;"Receptiva 3"&amp;Tabela1[[#This Row],[SETOR]],BD!A:AF,31,0),"")</f>
        <v/>
      </c>
      <c r="AK60" s="21" t="str">
        <f>IFERROR(VLOOKUP(Tabela1[[#This Row],[MÊS]]&amp;Tabela1[[#This Row],[ID]]&amp;Tabela1[[#This Row],[MATRICULA]]&amp;"Receptiva 4"&amp;Tabela1[[#This Row],[SETOR]],BD!A:AF,31,0),"")</f>
        <v/>
      </c>
      <c r="AL60" s="21">
        <f>IFERROR(VLOOKUP(Tabela1[[#This Row],[MÊS]]&amp;Tabela1[[#This Row],[MATRICULA]]&amp;"Motorista"&amp;Tabela1[[#This Row],[SETOR]],BD!A:AF,31,0),"")</f>
        <v>0</v>
      </c>
      <c r="AM60" s="21" t="str">
        <f>IFERROR(VLOOKUP(Tabela1[[#This Row],[MÊS]]&amp;Tabela1[[#This Row],[ID]]&amp;Tabela1[[#This Row],[MATRICULA]]&amp;"Motorista 2"&amp;Tabela1[[#This Row],[SETOR]],BD!A:AF,26,0),"")</f>
        <v/>
      </c>
      <c r="AN60" s="21" t="str">
        <f>IFERROR(VLOOKUP(Tabela1[[#This Row],[MÊS]]&amp;Tabela1[[#This Row],[ID]]&amp;Tabela1[[#This Row],[MATRICULA]]&amp;"Motorista 3"&amp;Tabela1[[#This Row],[SETOR]],BD!A:AF,26,0),"")</f>
        <v/>
      </c>
      <c r="AO60" s="21" t="str">
        <f>IFERROR(VLOOKUP(Tabela1[[#This Row],[MÊS]]&amp;Tabela1[[#This Row],[ID]]&amp;Tabela1[[#This Row],[MATRICULA]]&amp;"Motorista 4"&amp;Tabela1[[#This Row],[SETOR]],BD!A:AF,26,0),"")</f>
        <v/>
      </c>
      <c r="AP60" s="21" t="str">
        <f>IFERROR(VLOOKUP(Tabela1[[#This Row],[MÊS]]&amp;Tabela1[[#This Row],[MATRICULA]]&amp;"Ponto de Apoio"&amp;Tabela1[[#This Row],[SETOR]],BD!A:AF,31,0),"")</f>
        <v/>
      </c>
      <c r="AQ60" s="21" t="str">
        <f>IFERROR(VLOOKUP(Tabela1[[#This Row],[MÊS]]&amp;Tabela1[[#This Row],[ID]]&amp;Tabela1[[#This Row],[MATRICULA]]&amp;"Ponto de Apoio 2"&amp;Tabela1[[#This Row],[SETOR]],BD!A:AF,26,0),"")</f>
        <v/>
      </c>
      <c r="AR60" s="36" t="str">
        <f>IFERROR(VLOOKUP(Tabela1[[#This Row],[MÊS]]&amp;Tabela1[[#This Row],[ID]]&amp;Tabela1[[#This Row],[MATRICULA]]&amp;"Ponto de Apoio 3"&amp;Tabela1[[#This Row],[SETOR]],BD!A:AF,26,0),"")</f>
        <v/>
      </c>
      <c r="AS60" s="36" t="str">
        <f>IFERROR(VLOOKUP(Tabela1[[#This Row],[MÊS]]&amp;Tabela1[[#This Row],[ID]]&amp;Tabela1[[#This Row],[MATRICULA]]&amp;"Ponto de Apoio 4"&amp;Tabela1[[#This Row],[SETOR]],BD!A:AF,26,0),"")</f>
        <v/>
      </c>
      <c r="AT60" s="21" t="str">
        <f>IFERROR(VLOOKUP(Tabela1[[#This Row],[MÊS]]&amp;Tabela1[[#This Row],[MATRICULA]]&amp;"Cliente"&amp;Tabela1[[#This Row],[SETOR]],BD!A:AF,31,0),"")</f>
        <v/>
      </c>
      <c r="AU60" s="21" t="str">
        <f>IFERROR(VLOOKUP(Tabela1[[#This Row],[MÊS]]&amp;Tabela1[[#This Row],[ID]]&amp;Tabela1[[#This Row],[MATRICULA]]&amp;"Cliente 2"&amp;Tabela1[[#This Row],[SETOR]],BD!A:AF,26,0),"")</f>
        <v/>
      </c>
      <c r="AX60" s="21" t="str">
        <f>IFERROR(VLOOKUP(Tabela1[[#This Row],[MÊS]]&amp;Tabela1[[#This Row],[MATRICULA]]&amp;"Policia"&amp;Tabela1[[#This Row],[SETOR]],BD!A:AF,31,0),"")</f>
        <v/>
      </c>
      <c r="AY60" s="21" t="str">
        <f>IFERROR(VLOOKUP(Tabela1[[#This Row],[MÊS]]&amp;Tabela1[[#This Row],[ID]]&amp;Tabela1[[#This Row],[MATRICULA]]&amp;"Policia 2"&amp;Tabela1[[#This Row],[SETOR]],BD!A:AF,26,0),"")</f>
        <v/>
      </c>
      <c r="AZ60" s="36" t="str">
        <f>IFERROR(VLOOKUP(Tabela1[[#This Row],[MÊS]]&amp;Tabela1[[#This Row],[ID]]&amp;Tabela1[[#This Row],[MATRICULA]]&amp;"Policia 3"&amp;Tabela1[[#This Row],[SETOR]],BD!A:AF,26,0),"")</f>
        <v/>
      </c>
      <c r="BA60" s="36" t="str">
        <f>IFERROR(VLOOKUP(Tabela1[[#This Row],[MÊS]]&amp;Tabela1[[#This Row],[ID]]&amp;Tabela1[[#This Row],[MATRICULA]]&amp;"Policia 4"&amp;Tabela1[[#This Row],[SETOR]],BD!A:AF,26,0),"")</f>
        <v/>
      </c>
      <c r="BB6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0" s="21">
        <f>IFERROR(AVERAGE(Tabela1[[#This Row],[M]:[M4]]),"")</f>
        <v>0</v>
      </c>
      <c r="BD60" s="21" t="str">
        <f>IFERROR(AVERAGE(Tabela1[[#This Row],[C]:[C4]]),"")</f>
        <v/>
      </c>
      <c r="BE60" s="21" t="str">
        <f>IFERROR(AVERAGE(Tabela1[[#This Row],[PA2]:[PA 4]]),"")</f>
        <v/>
      </c>
      <c r="BF60" s="21" t="str">
        <f>IFERROR(AVERAGE(Tabela1[[#This Row],[PL]:[PL4]]),"")</f>
        <v/>
      </c>
      <c r="BG60" s="35" t="str">
        <f>IFERROR(VLOOKUP(Tabela1[[#This Row],[MÊS]]&amp;Tabela1[[#This Row],[MATRICULA]],#REF!,2,0),"")</f>
        <v/>
      </c>
      <c r="BH60" s="35" t="str">
        <f>IFERROR(VLOOKUP(Tabela1[[#This Row],[MÊS]]&amp;Tabela1[[#This Row],[MATRICULA]],#REF!,2,0),"")</f>
        <v/>
      </c>
      <c r="BI60" s="35" t="str">
        <f>IFERROR(VLOOKUP(Tabela1[[#This Row],[MÊS]]&amp;Tabela1[[#This Row],[MATRICULA]],#REF!,2,0),"")</f>
        <v/>
      </c>
      <c r="BJ60" s="35" t="str">
        <f>IFERROR(VLOOKUP(Tabela1[[#This Row],[MÊS]]&amp;Tabela1[[#This Row],[MATRICULA]],#REF!,2,0),"")</f>
        <v/>
      </c>
      <c r="BK60" s="35" t="str">
        <f>IFERROR(VLOOKUP(Tabela1[[#This Row],[MÊS]]&amp;Tabela1[[#This Row],[MATRICULA]],#REF!,2,0),"")</f>
        <v/>
      </c>
      <c r="BL60" s="21">
        <f>COUNTIF(Tabela1[[#This Row],[MOT2]:[RECEPTIVA]],"NÃO ENCONTRADA")</f>
        <v>0</v>
      </c>
      <c r="BM60" s="135" t="str">
        <f>IFERROR(VLOOKUP(Tabela1[[#This Row],[MÊS]]&amp;Tabela1[[#This Row],[ID]]&amp;Tabela1[[#This Row],[MATRICULA]]&amp;"Motorista"&amp;Tabela1[[#This Row],[SETOR]],BD!A:AF,13,0),"")</f>
        <v/>
      </c>
      <c r="BN60" s="135" t="str">
        <f>IFERROR(VLOOKUP(Tabela1[[#This Row],[MÊS]]&amp;Tabela1[[#This Row],[ID]]&amp;Tabela1[[#This Row],[MATRICULA]]&amp;"Motorista 2"&amp;Tabela1[[#This Row],[SETOR]],BD!A:AF,13,0),"")</f>
        <v/>
      </c>
      <c r="BO60" s="135" t="str">
        <f>IFERROR(VLOOKUP(Tabela1[[#This Row],[MÊS]]&amp;Tabela1[[#This Row],[ID]]&amp;Tabela1[[#This Row],[MATRICULA]]&amp;"Motorista 3"&amp;Tabela1[[#This Row],[SETOR]],BD!A:AF,13,0),"")</f>
        <v/>
      </c>
      <c r="BP60" s="135" t="str">
        <f>IFERROR(VLOOKUP(Tabela1[[#This Row],[MÊS]]&amp;Tabela1[[#This Row],[ID]]&amp;Tabela1[[#This Row],[MATRICULA]]&amp;"Motorista 4"&amp;Tabela1[[#This Row],[SETOR]],BD!A:AF,13,0),"")</f>
        <v/>
      </c>
      <c r="BQ60" s="135" t="str">
        <f>IFERROR(AVERAGE(Tabela1[[#This Row],[DMOT]:[DMOT4]]),"")</f>
        <v/>
      </c>
      <c r="BR60" s="135" t="str">
        <f>IFERROR(VLOOKUP(Tabela1[[#This Row],[MÊS]]&amp;Tabela1[[#This Row],[ID]]&amp;Tabela1[[#This Row],[MATRICULA]]&amp;"Ponto de Apoio"&amp;Tabela1[[#This Row],[SETOR]],BD!A:AF,13,0),"")</f>
        <v/>
      </c>
      <c r="BS60" s="135" t="str">
        <f>IFERROR(VLOOKUP(Tabela1[[#This Row],[MÊS]]&amp;Tabela1[[#This Row],[ID]]&amp;Tabela1[[#This Row],[MATRICULA]]&amp;"Ponto de Apoio 2"&amp;Tabela1[[#This Row],[SETOR]],BD!A:AF,13,0),"")</f>
        <v/>
      </c>
      <c r="BT60" s="135" t="str">
        <f>IFERROR(VLOOKUP(Tabela1[[#This Row],[MÊS]]&amp;Tabela1[[#This Row],[ID]]&amp;Tabela1[[#This Row],[MATRICULA]]&amp;"Ponto de Apoio 3"&amp;Tabela1[[#This Row],[SETOR]],BD!A:AF,13,0),"")</f>
        <v/>
      </c>
      <c r="BU60" s="135" t="str">
        <f>IFERROR(VLOOKUP(Tabela1[[#This Row],[MÊS]]&amp;Tabela1[[#This Row],[ID]]&amp;Tabela1[[#This Row],[MATRICULA]]&amp;"Ponto de Apoio 4"&amp;Tabela1[[#This Row],[SETOR]],BD!A:AF,13,0),"")</f>
        <v/>
      </c>
      <c r="BV60" s="135" t="str">
        <f>IFERROR(AVERAGE(Tabela1[[#This Row],[DPA]:[DPA 4]]),"")</f>
        <v/>
      </c>
      <c r="BW60" s="135" t="str">
        <f>IFERROR(VLOOKUP(Tabela1[[#This Row],[MÊS]]&amp;Tabela1[[#This Row],[ID]]&amp;Tabela1[[#This Row],[MATRICULA]]&amp;"Cliente"&amp;Tabela1[[#This Row],[SETOR]],BD!A:AF,13,0),"")</f>
        <v/>
      </c>
      <c r="BX60" s="135" t="str">
        <f>IFERROR(VLOOKUP(Tabela1[[#This Row],[MÊS]]&amp;Tabela1[[#This Row],[ID]]&amp;Tabela1[[#This Row],[MATRICULA]]&amp;"cliente 2"&amp;Tabela1[[#This Row],[SETOR]],BD!A:AF,13,0),"")</f>
        <v/>
      </c>
      <c r="BY60" s="135" t="str">
        <f>IFERROR(VLOOKUP(Tabela1[[#This Row],[MÊS]]&amp;Tabela1[[#This Row],[ID]]&amp;Tabela1[[#This Row],[MATRICULA]]&amp;"cliente 3"&amp;Tabela1[[#This Row],[SETOR]],BD!A:AF,13,0),"")</f>
        <v/>
      </c>
      <c r="BZ60" s="135" t="str">
        <f>IFERROR(VLOOKUP(Tabela1[[#This Row],[MÊS]]&amp;Tabela1[[#This Row],[ID]]&amp;Tabela1[[#This Row],[MATRICULA]]&amp;"cliente 4"&amp;Tabela1[[#This Row],[SETOR]],BD!A:AF,13,0),"")</f>
        <v/>
      </c>
      <c r="CA60" s="135" t="str">
        <f>IFERROR(AVERAGE(Tabela1[[#This Row],[DCLI]:[DCLI 4]]),"")</f>
        <v/>
      </c>
      <c r="CB60" s="135" t="str">
        <f>IFERROR(VLOOKUP(Tabela1[[#This Row],[MÊS]]&amp;Tabela1[[#This Row],[ID]]&amp;Tabela1[[#This Row],[MATRICULA]]&amp;"Policia"&amp;Tabela1[[#This Row],[SETOR]],BD!A:AF,13,0),"")</f>
        <v/>
      </c>
      <c r="CC60" s="135" t="str">
        <f>IFERROR(VLOOKUP(Tabela1[[#This Row],[MÊS]]&amp;Tabela1[[#This Row],[ID]]&amp;Tabela1[[#This Row],[MATRICULA]]&amp;"Policia 2"&amp;Tabela1[[#This Row],[SETOR]],BD!A:AF,13,0),"")</f>
        <v/>
      </c>
      <c r="CD60" s="135"/>
      <c r="CE60" s="135"/>
      <c r="CF60" s="135" t="str">
        <f>IFERROR((AVERAGE(Tabela1[[#This Row],[DPOL1]:[DPOL4]])),"")</f>
        <v/>
      </c>
      <c r="CG60" s="21" t="str">
        <f>IFERROR(VLOOKUP(Tabela1[[#This Row],[ID]]&amp;Tabela1[[#This Row],[MÊS]]&amp;Tabela1[[#This Row],[MATRICULA]],#REF!,2,0),"")</f>
        <v/>
      </c>
      <c r="CH60" s="21" t="str">
        <f>IFERROR(VLOOKUP(Tabela1[[#This Row],[ID]]&amp;Tabela1[[#This Row],[MÊS]]&amp;Tabela1[[#This Row],[MATRICULA]],#REF!,2,0),"")</f>
        <v/>
      </c>
      <c r="CI60" s="21" t="str">
        <f>IFERROR(VLOOKUP(Tabela1[[#This Row],[MÊS]]&amp;Tabela1[[#This Row],[MATRICULA]],#REF!,2,0),"")</f>
        <v/>
      </c>
    </row>
    <row r="61" spans="1:87">
      <c r="A61" s="12" t="str">
        <f>Tabela1[[#This Row],[MÊS]]&amp;Tabela1[[#This Row],[MATRICULA]]&amp;Tabela1[[#This Row],[ID]]</f>
        <v>JAN114917</v>
      </c>
      <c r="B61" s="12" t="str">
        <f>Tabela1[[#This Row],[MÊS]]&amp;Tabela1[[#This Row],[ID]]&amp;Tabela1[[#This Row],[MATRICULA]]&amp;Tabela1[[#This Row],[SETOR]]</f>
        <v>JAN711491DISTRIBUIÇÃO</v>
      </c>
      <c r="C61" s="130" t="e">
        <f>VLOOKUP(Tabela1[[#This Row],[MATRICULA]],'BD Campos'!A:D,5,0)</f>
        <v>#REF!</v>
      </c>
      <c r="D61" s="133" t="str">
        <f ca="1">IFERROR(SUM(TODAY()-Tabela1[[#This Row],[ADMISSÃO]]),"")</f>
        <v/>
      </c>
      <c r="E61" s="11" t="str">
        <f ca="1">IFERROR(TRUNC(Tabela1[[#This Row],[TEMPO DE CASA (DIAS)]]/30),"")</f>
        <v/>
      </c>
      <c r="F61" s="32" t="str">
        <f ca="1">IFERROR(SUM(Tabela1[[#This Row],[TEMPO DE CASA (MESES)]]/12),"")</f>
        <v/>
      </c>
      <c r="G61" s="133" t="str">
        <f ca="1">IF(Tabela1[[#This Row],[TEMPO DE CASA (DIAS)]]="","SEM DADOS",IF(Tabela1[[#This Row],[TEMPO DE CASA (DIAS)]]&gt;180,"&gt; 6 MESES","&lt; 6 MESES"))</f>
        <v>SEM DADOS</v>
      </c>
      <c r="H61" s="12" t="str">
        <f t="shared" si="6"/>
        <v>JANBruna Vieira7</v>
      </c>
      <c r="I61" s="12" t="str">
        <f>IFERROR(VLOOKUP(Tabela1[[#This Row],[MATRICULA]],'BD Campos'!A:F,7,0),"")</f>
        <v/>
      </c>
      <c r="J61" s="11">
        <v>7</v>
      </c>
      <c r="K61" s="11" t="s">
        <v>669</v>
      </c>
      <c r="L61" s="136">
        <v>11491</v>
      </c>
      <c r="M61" s="12" t="str">
        <f>IFERROR(VLOOKUP(Tabela1[[#This Row],[MATRICULA]],'BD Campos'!A:B,2,0),"")</f>
        <v>LORENA FERREIRA RODRIGUES SANTOS</v>
      </c>
      <c r="N61" s="20">
        <f>IFERROR(AVERAGE(Tabela1[[#This Row],[A1]:[A4]]),"")</f>
        <v>8.8449999999999989</v>
      </c>
      <c r="O61" s="20" t="str">
        <f>IFERROR(IF(Tabela1[[#This Row],[SETOR]]="RECEPTIVO","",AVERAGE(Tabela1[[#This Row],[A5]:[A6]])),"")</f>
        <v/>
      </c>
      <c r="P61" s="20" t="str">
        <f>IFERROR(IF(Tabela1[[#This Row],[STATUS]]="INATIVO","INATIVO",IF(Tabela1[[#This Row],[STATUS]]="QRT","INATIVO",IF(Tabela1[[#This Row],[OPERACIONAL]]&gt;7.99999,"BOM","RUIM"))),"")</f>
        <v>BOM</v>
      </c>
      <c r="Q61" s="21" t="s">
        <v>667</v>
      </c>
      <c r="R61" s="12" t="s">
        <v>94</v>
      </c>
      <c r="S61" s="12" t="s">
        <v>676</v>
      </c>
      <c r="T61" s="12" t="s">
        <v>94</v>
      </c>
      <c r="U6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1" s="12">
        <f>IF(AND(Tabela1[[#This Row],[SETOR]]="UTI",Tabela1[[#This Row],[M]]&lt;&gt;""),1,IF(AND(Tabela1[[#This Row],[SETOR]]="UTI (RJ)",Tabela1[[#This Row],[M]]&lt;&gt;""),1.5,0))</f>
        <v>0</v>
      </c>
      <c r="X61" s="12">
        <f>IF(AND(Tabela1[[#This Row],[SETOR]]="UTI",Tabela1[[#This Row],[PA2]]&lt;&gt;""),1,IF(AND(Tabela1[[#This Row],[SETOR]]="UTI (RJ)",Tabela1[[#This Row],[PA2]]&lt;&gt;""),0,0))</f>
        <v>0</v>
      </c>
      <c r="Y61" s="12">
        <f>IF(AND(Tabela1[[#This Row],[SETOR]]="UTI",Tabela1[[#This Row],[C]]&lt;&gt;""),1,IF(AND(Tabela1[[#This Row],[SETOR]]="UTI (RJ)",Tabela1[[#This Row],[C]]&lt;&gt;""),1.5,0))</f>
        <v>0</v>
      </c>
      <c r="Z61" s="12">
        <f>IF(AND(Tabela1[[#This Row],[SETOR]]="UTI",Tabela1[[#This Row],[PL]]&lt;&gt;""),1,IF(AND(Tabela1[[#This Row],[SETOR]]="UTI (RJ)",Tabela1[[#This Row],[PL]]&lt;&gt;""),1,0))</f>
        <v>0</v>
      </c>
      <c r="AA61" s="21">
        <f>IFERROR(VLOOKUP(Tabela1[[#This Row],[MÊS]]&amp;Tabela1[[#This Row],[MATRICULA]]&amp;"1"&amp;Tabela1[[#This Row],[SETOR]]&amp;"PADRÃO",BD!B:AF,31,0),"")</f>
        <v>8.7924999999999986</v>
      </c>
      <c r="AB61" s="21">
        <f>IFERROR(VLOOKUP(Tabela1[[#This Row],[MÊS]]&amp;Tabela1[[#This Row],[MATRICULA]]&amp;"2"&amp;Tabela1[[#This Row],[SETOR]]&amp;"PADRÃO",BD!B:AF,31,0),"")</f>
        <v>8.8974999999999991</v>
      </c>
      <c r="AC61" s="21" t="str">
        <f>IFERROR(VLOOKUP(Tabela1[[#This Row],[MÊS]]&amp;Tabela1[[#This Row],[MATRICULA]]&amp;"3"&amp;Tabela1[[#This Row],[SETOR]]&amp;"PADRÃO",BD!B:AF,31,0),"")</f>
        <v/>
      </c>
      <c r="AD61" s="21" t="str">
        <f>IFERROR(VLOOKUP(Tabela1[[#This Row],[MÊS]]&amp;Tabela1[[#This Row],[MATRICULA]]&amp;"4"&amp;Tabela1[[#This Row],[SETOR]]&amp;"PADRÃO",BD!B:AF,25,0),"")</f>
        <v/>
      </c>
      <c r="AE61" s="21" t="str">
        <f>IFERROR(VLOOKUP(Tabela1[[#This Row],[MÊS]]&amp;Tabela1[[#This Row],[MATRICULA]]&amp;"5"&amp;Tabela1[[#This Row],[SETOR]]&amp;"PADRÃO",BD!B:AF,31,0),"")</f>
        <v/>
      </c>
      <c r="AF61" s="21" t="str">
        <f>IFERROR(VLOOKUP(Tabela1[[#This Row],[MÊS]]&amp;Tabela1[[#This Row],[MATRICULA]]&amp;"6"&amp;Tabela1[[#This Row],[SETOR]]&amp;"PADRÃO",BD!B:AF,31,0),"")</f>
        <v/>
      </c>
      <c r="AG61" s="21" t="str">
        <f>IFERROR(VLOOKUP(Tabela1[[#This Row],[MÊS]]&amp;Tabela1[[#This Row],[MATRICULA]]&amp;"7"&amp;Tabela1[[#This Row],[SETOR]]&amp;"PADRÃO",BD!B:AF,31,0),"")</f>
        <v/>
      </c>
      <c r="AH61" s="21" t="str">
        <f>IFERROR(VLOOKUP(Tabela1[[#This Row],[MÊS]]&amp;Tabela1[[#This Row],[ID]]&amp;Tabela1[[#This Row],[MATRICULA]]&amp;"Receptiva"&amp;Tabela1[[#This Row],[SETOR]],BD!A:AF,31,0),"")</f>
        <v/>
      </c>
      <c r="AI61" s="21" t="str">
        <f>IFERROR(VLOOKUP(Tabela1[[#This Row],[MÊS]]&amp;Tabela1[[#This Row],[ID]]&amp;Tabela1[[#This Row],[MATRICULA]]&amp;"Receptiva 2"&amp;Tabela1[[#This Row],[SETOR]],BD!A:AF,31,0),"")</f>
        <v/>
      </c>
      <c r="AJ61" s="21" t="str">
        <f>IFERROR(VLOOKUP(Tabela1[[#This Row],[MÊS]]&amp;Tabela1[[#This Row],[ID]]&amp;Tabela1[[#This Row],[MATRICULA]]&amp;"Receptiva 3"&amp;Tabela1[[#This Row],[SETOR]],BD!A:AF,31,0),"")</f>
        <v/>
      </c>
      <c r="AK61" s="21" t="str">
        <f>IFERROR(VLOOKUP(Tabela1[[#This Row],[MÊS]]&amp;Tabela1[[#This Row],[ID]]&amp;Tabela1[[#This Row],[MATRICULA]]&amp;"Receptiva 4"&amp;Tabela1[[#This Row],[SETOR]],BD!A:AF,31,0),"")</f>
        <v/>
      </c>
      <c r="AL61" s="21">
        <f>IFERROR(VLOOKUP(Tabela1[[#This Row],[MÊS]]&amp;Tabela1[[#This Row],[MATRICULA]]&amp;"Motorista"&amp;Tabela1[[#This Row],[SETOR]],BD!A:AF,31,0),"")</f>
        <v>0</v>
      </c>
      <c r="AM61" s="21" t="str">
        <f>IFERROR(VLOOKUP(Tabela1[[#This Row],[MÊS]]&amp;Tabela1[[#This Row],[ID]]&amp;Tabela1[[#This Row],[MATRICULA]]&amp;"Motorista 2"&amp;Tabela1[[#This Row],[SETOR]],BD!A:AF,26,0),"")</f>
        <v/>
      </c>
      <c r="AN61" s="21" t="str">
        <f>IFERROR(VLOOKUP(Tabela1[[#This Row],[MÊS]]&amp;Tabela1[[#This Row],[ID]]&amp;Tabela1[[#This Row],[MATRICULA]]&amp;"Motorista 3"&amp;Tabela1[[#This Row],[SETOR]],BD!A:AF,26,0),"")</f>
        <v/>
      </c>
      <c r="AO61" s="21" t="str">
        <f>IFERROR(VLOOKUP(Tabela1[[#This Row],[MÊS]]&amp;Tabela1[[#This Row],[ID]]&amp;Tabela1[[#This Row],[MATRICULA]]&amp;"Motorista 4"&amp;Tabela1[[#This Row],[SETOR]],BD!A:AF,26,0),"")</f>
        <v/>
      </c>
      <c r="AP61" s="21" t="str">
        <f>IFERROR(VLOOKUP(Tabela1[[#This Row],[MÊS]]&amp;Tabela1[[#This Row],[MATRICULA]]&amp;"Ponto de Apoio"&amp;Tabela1[[#This Row],[SETOR]],BD!A:AF,31,0),"")</f>
        <v/>
      </c>
      <c r="AQ61" s="21" t="str">
        <f>IFERROR(VLOOKUP(Tabela1[[#This Row],[MÊS]]&amp;Tabela1[[#This Row],[ID]]&amp;Tabela1[[#This Row],[MATRICULA]]&amp;"Ponto de Apoio 2"&amp;Tabela1[[#This Row],[SETOR]],BD!A:AF,26,0),"")</f>
        <v/>
      </c>
      <c r="AR61" s="36" t="str">
        <f>IFERROR(VLOOKUP(Tabela1[[#This Row],[MÊS]]&amp;Tabela1[[#This Row],[ID]]&amp;Tabela1[[#This Row],[MATRICULA]]&amp;"Ponto de Apoio 3"&amp;Tabela1[[#This Row],[SETOR]],BD!A:AF,26,0),"")</f>
        <v/>
      </c>
      <c r="AS61" s="36" t="str">
        <f>IFERROR(VLOOKUP(Tabela1[[#This Row],[MÊS]]&amp;Tabela1[[#This Row],[ID]]&amp;Tabela1[[#This Row],[MATRICULA]]&amp;"Ponto de Apoio 4"&amp;Tabela1[[#This Row],[SETOR]],BD!A:AF,26,0),"")</f>
        <v/>
      </c>
      <c r="AT61" s="21" t="str">
        <f>IFERROR(VLOOKUP(Tabela1[[#This Row],[MÊS]]&amp;Tabela1[[#This Row],[MATRICULA]]&amp;"Cliente"&amp;Tabela1[[#This Row],[SETOR]],BD!A:AF,31,0),"")</f>
        <v/>
      </c>
      <c r="AU61" s="21" t="str">
        <f>IFERROR(VLOOKUP(Tabela1[[#This Row],[MÊS]]&amp;Tabela1[[#This Row],[ID]]&amp;Tabela1[[#This Row],[MATRICULA]]&amp;"Cliente 2"&amp;Tabela1[[#This Row],[SETOR]],BD!A:AF,26,0),"")</f>
        <v/>
      </c>
      <c r="AX61" s="21" t="str">
        <f>IFERROR(VLOOKUP(Tabela1[[#This Row],[MÊS]]&amp;Tabela1[[#This Row],[MATRICULA]]&amp;"Policia"&amp;Tabela1[[#This Row],[SETOR]],BD!A:AF,31,0),"")</f>
        <v/>
      </c>
      <c r="AY61" s="21" t="str">
        <f>IFERROR(VLOOKUP(Tabela1[[#This Row],[MÊS]]&amp;Tabela1[[#This Row],[ID]]&amp;Tabela1[[#This Row],[MATRICULA]]&amp;"Policia 2"&amp;Tabela1[[#This Row],[SETOR]],BD!A:AF,26,0),"")</f>
        <v/>
      </c>
      <c r="AZ61" s="36" t="str">
        <f>IFERROR(VLOOKUP(Tabela1[[#This Row],[MÊS]]&amp;Tabela1[[#This Row],[ID]]&amp;Tabela1[[#This Row],[MATRICULA]]&amp;"Policia 3"&amp;Tabela1[[#This Row],[SETOR]],BD!A:AF,26,0),"")</f>
        <v/>
      </c>
      <c r="BA61" s="36" t="str">
        <f>IFERROR(VLOOKUP(Tabela1[[#This Row],[MÊS]]&amp;Tabela1[[#This Row],[ID]]&amp;Tabela1[[#This Row],[MATRICULA]]&amp;"Policia 4"&amp;Tabela1[[#This Row],[SETOR]],BD!A:AF,26,0),"")</f>
        <v/>
      </c>
      <c r="BB6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1" s="21">
        <f>IFERROR(AVERAGE(Tabela1[[#This Row],[M]:[M4]]),"")</f>
        <v>0</v>
      </c>
      <c r="BD61" s="21" t="str">
        <f>IFERROR(AVERAGE(Tabela1[[#This Row],[C]:[C4]]),"")</f>
        <v/>
      </c>
      <c r="BE61" s="21" t="str">
        <f>IFERROR(AVERAGE(Tabela1[[#This Row],[PA2]:[PA 4]]),"")</f>
        <v/>
      </c>
      <c r="BF61" s="21" t="str">
        <f>IFERROR(AVERAGE(Tabela1[[#This Row],[PL]:[PL4]]),"")</f>
        <v/>
      </c>
      <c r="BG61" s="35" t="str">
        <f>IFERROR(VLOOKUP(Tabela1[[#This Row],[MÊS]]&amp;Tabela1[[#This Row],[MATRICULA]],#REF!,2,0),"")</f>
        <v/>
      </c>
      <c r="BH61" s="35" t="str">
        <f>IFERROR(VLOOKUP(Tabela1[[#This Row],[MÊS]]&amp;Tabela1[[#This Row],[MATRICULA]],#REF!,2,0),"")</f>
        <v/>
      </c>
      <c r="BI61" s="35" t="str">
        <f>IFERROR(VLOOKUP(Tabela1[[#This Row],[MÊS]]&amp;Tabela1[[#This Row],[MATRICULA]],#REF!,2,0),"")</f>
        <v/>
      </c>
      <c r="BJ61" s="35" t="str">
        <f>IFERROR(VLOOKUP(Tabela1[[#This Row],[MÊS]]&amp;Tabela1[[#This Row],[MATRICULA]],#REF!,2,0),"")</f>
        <v/>
      </c>
      <c r="BK61" s="35" t="str">
        <f>IFERROR(VLOOKUP(Tabela1[[#This Row],[MÊS]]&amp;Tabela1[[#This Row],[MATRICULA]],#REF!,2,0),"")</f>
        <v/>
      </c>
      <c r="BL61" s="21">
        <f>COUNTIF(Tabela1[[#This Row],[MOT2]:[RECEPTIVA]],"NÃO ENCONTRADA")</f>
        <v>0</v>
      </c>
      <c r="BM61" s="135" t="str">
        <f>IFERROR(VLOOKUP(Tabela1[[#This Row],[MÊS]]&amp;Tabela1[[#This Row],[ID]]&amp;Tabela1[[#This Row],[MATRICULA]]&amp;"Motorista"&amp;Tabela1[[#This Row],[SETOR]],BD!A:AF,13,0),"")</f>
        <v/>
      </c>
      <c r="BN61" s="135" t="str">
        <f>IFERROR(VLOOKUP(Tabela1[[#This Row],[MÊS]]&amp;Tabela1[[#This Row],[ID]]&amp;Tabela1[[#This Row],[MATRICULA]]&amp;"Motorista 2"&amp;Tabela1[[#This Row],[SETOR]],BD!A:AF,13,0),"")</f>
        <v/>
      </c>
      <c r="BO61" s="135" t="str">
        <f>IFERROR(VLOOKUP(Tabela1[[#This Row],[MÊS]]&amp;Tabela1[[#This Row],[ID]]&amp;Tabela1[[#This Row],[MATRICULA]]&amp;"Motorista 3"&amp;Tabela1[[#This Row],[SETOR]],BD!A:AF,13,0),"")</f>
        <v/>
      </c>
      <c r="BP61" s="135" t="str">
        <f>IFERROR(VLOOKUP(Tabela1[[#This Row],[MÊS]]&amp;Tabela1[[#This Row],[ID]]&amp;Tabela1[[#This Row],[MATRICULA]]&amp;"Motorista 4"&amp;Tabela1[[#This Row],[SETOR]],BD!A:AF,13,0),"")</f>
        <v/>
      </c>
      <c r="BQ61" s="135" t="str">
        <f>IFERROR(AVERAGE(Tabela1[[#This Row],[DMOT]:[DMOT4]]),"")</f>
        <v/>
      </c>
      <c r="BR61" s="135" t="str">
        <f>IFERROR(VLOOKUP(Tabela1[[#This Row],[MÊS]]&amp;Tabela1[[#This Row],[ID]]&amp;Tabela1[[#This Row],[MATRICULA]]&amp;"Ponto de Apoio"&amp;Tabela1[[#This Row],[SETOR]],BD!A:AF,13,0),"")</f>
        <v/>
      </c>
      <c r="BS61" s="135" t="str">
        <f>IFERROR(VLOOKUP(Tabela1[[#This Row],[MÊS]]&amp;Tabela1[[#This Row],[ID]]&amp;Tabela1[[#This Row],[MATRICULA]]&amp;"Ponto de Apoio 2"&amp;Tabela1[[#This Row],[SETOR]],BD!A:AF,13,0),"")</f>
        <v/>
      </c>
      <c r="BT61" s="135" t="str">
        <f>IFERROR(VLOOKUP(Tabela1[[#This Row],[MÊS]]&amp;Tabela1[[#This Row],[ID]]&amp;Tabela1[[#This Row],[MATRICULA]]&amp;"Ponto de Apoio 3"&amp;Tabela1[[#This Row],[SETOR]],BD!A:AF,13,0),"")</f>
        <v/>
      </c>
      <c r="BU61" s="135" t="str">
        <f>IFERROR(VLOOKUP(Tabela1[[#This Row],[MÊS]]&amp;Tabela1[[#This Row],[ID]]&amp;Tabela1[[#This Row],[MATRICULA]]&amp;"Ponto de Apoio 4"&amp;Tabela1[[#This Row],[SETOR]],BD!A:AF,13,0),"")</f>
        <v/>
      </c>
      <c r="BV61" s="135" t="str">
        <f>IFERROR(AVERAGE(Tabela1[[#This Row],[DPA]:[DPA 4]]),"")</f>
        <v/>
      </c>
      <c r="BW61" s="135" t="str">
        <f>IFERROR(VLOOKUP(Tabela1[[#This Row],[MÊS]]&amp;Tabela1[[#This Row],[ID]]&amp;Tabela1[[#This Row],[MATRICULA]]&amp;"Cliente"&amp;Tabela1[[#This Row],[SETOR]],BD!A:AF,13,0),"")</f>
        <v/>
      </c>
      <c r="BX61" s="135" t="str">
        <f>IFERROR(VLOOKUP(Tabela1[[#This Row],[MÊS]]&amp;Tabela1[[#This Row],[ID]]&amp;Tabela1[[#This Row],[MATRICULA]]&amp;"cliente 2"&amp;Tabela1[[#This Row],[SETOR]],BD!A:AF,13,0),"")</f>
        <v/>
      </c>
      <c r="BY61" s="135" t="str">
        <f>IFERROR(VLOOKUP(Tabela1[[#This Row],[MÊS]]&amp;Tabela1[[#This Row],[ID]]&amp;Tabela1[[#This Row],[MATRICULA]]&amp;"cliente 3"&amp;Tabela1[[#This Row],[SETOR]],BD!A:AF,13,0),"")</f>
        <v/>
      </c>
      <c r="BZ61" s="135" t="str">
        <f>IFERROR(VLOOKUP(Tabela1[[#This Row],[MÊS]]&amp;Tabela1[[#This Row],[ID]]&amp;Tabela1[[#This Row],[MATRICULA]]&amp;"cliente 4"&amp;Tabela1[[#This Row],[SETOR]],BD!A:AF,13,0),"")</f>
        <v/>
      </c>
      <c r="CA61" s="135" t="str">
        <f>IFERROR(AVERAGE(Tabela1[[#This Row],[DCLI]:[DCLI 4]]),"")</f>
        <v/>
      </c>
      <c r="CB61" s="135" t="str">
        <f>IFERROR(VLOOKUP(Tabela1[[#This Row],[MÊS]]&amp;Tabela1[[#This Row],[ID]]&amp;Tabela1[[#This Row],[MATRICULA]]&amp;"Policia"&amp;Tabela1[[#This Row],[SETOR]],BD!A:AF,13,0),"")</f>
        <v/>
      </c>
      <c r="CC61" s="135" t="str">
        <f>IFERROR(VLOOKUP(Tabela1[[#This Row],[MÊS]]&amp;Tabela1[[#This Row],[ID]]&amp;Tabela1[[#This Row],[MATRICULA]]&amp;"Policia 2"&amp;Tabela1[[#This Row],[SETOR]],BD!A:AF,13,0),"")</f>
        <v/>
      </c>
      <c r="CD61" s="135"/>
      <c r="CE61" s="135"/>
      <c r="CF61" s="135" t="str">
        <f>IFERROR((AVERAGE(Tabela1[[#This Row],[DPOL1]:[DPOL4]])),"")</f>
        <v/>
      </c>
      <c r="CG61" s="21" t="str">
        <f>IFERROR(VLOOKUP(Tabela1[[#This Row],[ID]]&amp;Tabela1[[#This Row],[MÊS]]&amp;Tabela1[[#This Row],[MATRICULA]],#REF!,2,0),"")</f>
        <v/>
      </c>
      <c r="CH61" s="21" t="str">
        <f>IFERROR(VLOOKUP(Tabela1[[#This Row],[ID]]&amp;Tabela1[[#This Row],[MÊS]]&amp;Tabela1[[#This Row],[MATRICULA]],#REF!,2,0),"")</f>
        <v/>
      </c>
      <c r="CI61" s="21" t="str">
        <f>IFERROR(VLOOKUP(Tabela1[[#This Row],[MÊS]]&amp;Tabela1[[#This Row],[MATRICULA]],#REF!,2,0),"")</f>
        <v/>
      </c>
    </row>
    <row r="62" spans="1:87">
      <c r="A62" s="12" t="str">
        <f>Tabela1[[#This Row],[MÊS]]&amp;Tabela1[[#This Row],[MATRICULA]]&amp;Tabela1[[#This Row],[ID]]</f>
        <v>JAN114548</v>
      </c>
      <c r="B62" s="12" t="str">
        <f>Tabela1[[#This Row],[MÊS]]&amp;Tabela1[[#This Row],[ID]]&amp;Tabela1[[#This Row],[MATRICULA]]&amp;Tabela1[[#This Row],[SETOR]]</f>
        <v>JAN811454RECEPTIVO</v>
      </c>
      <c r="C62" s="130" t="e">
        <f>VLOOKUP(Tabela1[[#This Row],[MATRICULA]],'BD Campos'!A:D,5,0)</f>
        <v>#REF!</v>
      </c>
      <c r="D62" s="133" t="str">
        <f ca="1">IFERROR(SUM(TODAY()-Tabela1[[#This Row],[ADMISSÃO]]),"")</f>
        <v/>
      </c>
      <c r="E62" s="11" t="str">
        <f ca="1">IFERROR(TRUNC(Tabela1[[#This Row],[TEMPO DE CASA (DIAS)]]/30),"")</f>
        <v/>
      </c>
      <c r="F62" s="32" t="str">
        <f ca="1">IFERROR(SUM(Tabela1[[#This Row],[TEMPO DE CASA (MESES)]]/12),"")</f>
        <v/>
      </c>
      <c r="G62" s="133" t="str">
        <f ca="1">IF(Tabela1[[#This Row],[TEMPO DE CASA (DIAS)]]="","SEM DADOS",IF(Tabela1[[#This Row],[TEMPO DE CASA (DIAS)]]&gt;180,"&gt; 6 MESES","&lt; 6 MESES"))</f>
        <v>SEM DADOS</v>
      </c>
      <c r="H62" s="12" t="str">
        <f t="shared" si="6"/>
        <v>JANBruna Vieira8</v>
      </c>
      <c r="I62" s="12" t="str">
        <f>IFERROR(VLOOKUP(Tabela1[[#This Row],[MATRICULA]],'BD Campos'!A:F,7,0),"")</f>
        <v/>
      </c>
      <c r="J62" s="11">
        <v>8</v>
      </c>
      <c r="K62" s="11" t="s">
        <v>669</v>
      </c>
      <c r="L62" s="136">
        <v>11454</v>
      </c>
      <c r="M62" s="12" t="str">
        <f>IFERROR(VLOOKUP(Tabela1[[#This Row],[MATRICULA]],'BD Campos'!A:B,2,0),"")</f>
        <v>KAREN KIMBERLY DUARTE DE OLIVEIRA</v>
      </c>
      <c r="N62" s="20">
        <f>IFERROR(AVERAGE(Tabela1[[#This Row],[A1]:[A4]]),"")</f>
        <v>10.000000000000002</v>
      </c>
      <c r="O62" s="20" t="str">
        <f>IFERROR(IF(Tabela1[[#This Row],[SETOR]]="RECEPTIVO","",AVERAGE(Tabela1[[#This Row],[A5]:[A6]])),"")</f>
        <v/>
      </c>
      <c r="P62" s="20" t="str">
        <f>IFERROR(IF(Tabela1[[#This Row],[STATUS]]="INATIVO","INATIVO",IF(Tabela1[[#This Row],[STATUS]]="QRT","INATIVO",IF(Tabela1[[#This Row],[OPERACIONAL]]&gt;7.99999,"BOM","RUIM"))),"")</f>
        <v>BOM</v>
      </c>
      <c r="Q62" s="21" t="s">
        <v>667</v>
      </c>
      <c r="R62" s="12" t="s">
        <v>672</v>
      </c>
      <c r="S62" s="12" t="s">
        <v>676</v>
      </c>
      <c r="T62" s="12" t="s">
        <v>156</v>
      </c>
      <c r="U6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2" s="12">
        <f>IF(AND(Tabela1[[#This Row],[SETOR]]="UTI",Tabela1[[#This Row],[M]]&lt;&gt;""),1,IF(AND(Tabela1[[#This Row],[SETOR]]="UTI (RJ)",Tabela1[[#This Row],[M]]&lt;&gt;""),1.5,0))</f>
        <v>0</v>
      </c>
      <c r="X62" s="12">
        <f>IF(AND(Tabela1[[#This Row],[SETOR]]="UTI",Tabela1[[#This Row],[PA2]]&lt;&gt;""),1,IF(AND(Tabela1[[#This Row],[SETOR]]="UTI (RJ)",Tabela1[[#This Row],[PA2]]&lt;&gt;""),0,0))</f>
        <v>0</v>
      </c>
      <c r="Y62" s="12">
        <f>IF(AND(Tabela1[[#This Row],[SETOR]]="UTI",Tabela1[[#This Row],[C]]&lt;&gt;""),1,IF(AND(Tabela1[[#This Row],[SETOR]]="UTI (RJ)",Tabela1[[#This Row],[C]]&lt;&gt;""),1.5,0))</f>
        <v>0</v>
      </c>
      <c r="Z62" s="12">
        <f>IF(AND(Tabela1[[#This Row],[SETOR]]="UTI",Tabela1[[#This Row],[PL]]&lt;&gt;""),1,IF(AND(Tabela1[[#This Row],[SETOR]]="UTI (RJ)",Tabela1[[#This Row],[PL]]&lt;&gt;""),1,0))</f>
        <v>0</v>
      </c>
      <c r="AA62" s="21">
        <f>IFERROR(VLOOKUP(Tabela1[[#This Row],[MÊS]]&amp;Tabela1[[#This Row],[MATRICULA]]&amp;"1"&amp;Tabela1[[#This Row],[SETOR]]&amp;"PADRÃO",BD!B:AF,31,0),"")</f>
        <v>10.000000000000002</v>
      </c>
      <c r="AB62" s="21">
        <f>IFERROR(VLOOKUP(Tabela1[[#This Row],[MÊS]]&amp;Tabela1[[#This Row],[MATRICULA]]&amp;"2"&amp;Tabela1[[#This Row],[SETOR]]&amp;"PADRÃO",BD!B:AF,31,0),"")</f>
        <v>10.000000000000002</v>
      </c>
      <c r="AC62" s="21" t="str">
        <f>IFERROR(VLOOKUP(Tabela1[[#This Row],[MÊS]]&amp;Tabela1[[#This Row],[MATRICULA]]&amp;"3"&amp;Tabela1[[#This Row],[SETOR]]&amp;"PADRÃO",BD!B:AF,31,0),"")</f>
        <v/>
      </c>
      <c r="AD62" s="21" t="str">
        <f>IFERROR(VLOOKUP(Tabela1[[#This Row],[MÊS]]&amp;Tabela1[[#This Row],[MATRICULA]]&amp;"4"&amp;Tabela1[[#This Row],[SETOR]]&amp;"PADRÃO",BD!B:AF,25,0),"")</f>
        <v/>
      </c>
      <c r="AE62" s="21" t="str">
        <f>IFERROR(VLOOKUP(Tabela1[[#This Row],[MÊS]]&amp;Tabela1[[#This Row],[MATRICULA]]&amp;"5"&amp;Tabela1[[#This Row],[SETOR]]&amp;"PADRÃO",BD!B:AF,31,0),"")</f>
        <v/>
      </c>
      <c r="AF62" s="21" t="str">
        <f>IFERROR(VLOOKUP(Tabela1[[#This Row],[MÊS]]&amp;Tabela1[[#This Row],[MATRICULA]]&amp;"6"&amp;Tabela1[[#This Row],[SETOR]]&amp;"PADRÃO",BD!B:AF,31,0),"")</f>
        <v/>
      </c>
      <c r="AG62" s="21" t="str">
        <f>IFERROR(VLOOKUP(Tabela1[[#This Row],[MÊS]]&amp;Tabela1[[#This Row],[MATRICULA]]&amp;"7"&amp;Tabela1[[#This Row],[SETOR]]&amp;"PADRÃO",BD!B:AF,31,0),"")</f>
        <v/>
      </c>
      <c r="AH62" s="21" t="str">
        <f>IFERROR(VLOOKUP(Tabela1[[#This Row],[MÊS]]&amp;Tabela1[[#This Row],[ID]]&amp;Tabela1[[#This Row],[MATRICULA]]&amp;"Receptiva"&amp;Tabela1[[#This Row],[SETOR]],BD!A:AF,31,0),"")</f>
        <v/>
      </c>
      <c r="AI62" s="21" t="str">
        <f>IFERROR(VLOOKUP(Tabela1[[#This Row],[MÊS]]&amp;Tabela1[[#This Row],[ID]]&amp;Tabela1[[#This Row],[MATRICULA]]&amp;"Receptiva 2"&amp;Tabela1[[#This Row],[SETOR]],BD!A:AF,31,0),"")</f>
        <v/>
      </c>
      <c r="AJ62" s="21" t="str">
        <f>IFERROR(VLOOKUP(Tabela1[[#This Row],[MÊS]]&amp;Tabela1[[#This Row],[ID]]&amp;Tabela1[[#This Row],[MATRICULA]]&amp;"Receptiva 3"&amp;Tabela1[[#This Row],[SETOR]],BD!A:AF,31,0),"")</f>
        <v/>
      </c>
      <c r="AK62" s="21" t="str">
        <f>IFERROR(VLOOKUP(Tabela1[[#This Row],[MÊS]]&amp;Tabela1[[#This Row],[ID]]&amp;Tabela1[[#This Row],[MATRICULA]]&amp;"Receptiva 4"&amp;Tabela1[[#This Row],[SETOR]],BD!A:AF,31,0),"")</f>
        <v/>
      </c>
      <c r="AL62" s="21" t="str">
        <f>IFERROR(VLOOKUP(Tabela1[[#This Row],[MÊS]]&amp;Tabela1[[#This Row],[MATRICULA]]&amp;"Motorista"&amp;Tabela1[[#This Row],[SETOR]],BD!A:AF,31,0),"")</f>
        <v/>
      </c>
      <c r="AM62" s="21" t="str">
        <f>IFERROR(VLOOKUP(Tabela1[[#This Row],[MÊS]]&amp;Tabela1[[#This Row],[ID]]&amp;Tabela1[[#This Row],[MATRICULA]]&amp;"Motorista 2"&amp;Tabela1[[#This Row],[SETOR]],BD!A:AF,26,0),"")</f>
        <v/>
      </c>
      <c r="AN62" s="21" t="str">
        <f>IFERROR(VLOOKUP(Tabela1[[#This Row],[MÊS]]&amp;Tabela1[[#This Row],[ID]]&amp;Tabela1[[#This Row],[MATRICULA]]&amp;"Motorista 3"&amp;Tabela1[[#This Row],[SETOR]],BD!A:AF,26,0),"")</f>
        <v/>
      </c>
      <c r="AO62" s="21" t="str">
        <f>IFERROR(VLOOKUP(Tabela1[[#This Row],[MÊS]]&amp;Tabela1[[#This Row],[ID]]&amp;Tabela1[[#This Row],[MATRICULA]]&amp;"Motorista 4"&amp;Tabela1[[#This Row],[SETOR]],BD!A:AF,26,0),"")</f>
        <v/>
      </c>
      <c r="AP62" s="21" t="str">
        <f>IFERROR(VLOOKUP(Tabela1[[#This Row],[MÊS]]&amp;Tabela1[[#This Row],[MATRICULA]]&amp;"Ponto de Apoio"&amp;Tabela1[[#This Row],[SETOR]],BD!A:AF,31,0),"")</f>
        <v/>
      </c>
      <c r="AQ62" s="21" t="str">
        <f>IFERROR(VLOOKUP(Tabela1[[#This Row],[MÊS]]&amp;Tabela1[[#This Row],[ID]]&amp;Tabela1[[#This Row],[MATRICULA]]&amp;"Ponto de Apoio 2"&amp;Tabela1[[#This Row],[SETOR]],BD!A:AF,26,0),"")</f>
        <v/>
      </c>
      <c r="AR62" s="36" t="str">
        <f>IFERROR(VLOOKUP(Tabela1[[#This Row],[MÊS]]&amp;Tabela1[[#This Row],[ID]]&amp;Tabela1[[#This Row],[MATRICULA]]&amp;"Ponto de Apoio 3"&amp;Tabela1[[#This Row],[SETOR]],BD!A:AF,26,0),"")</f>
        <v/>
      </c>
      <c r="AS62" s="36" t="str">
        <f>IFERROR(VLOOKUP(Tabela1[[#This Row],[MÊS]]&amp;Tabela1[[#This Row],[ID]]&amp;Tabela1[[#This Row],[MATRICULA]]&amp;"Ponto de Apoio 4"&amp;Tabela1[[#This Row],[SETOR]],BD!A:AF,26,0),"")</f>
        <v/>
      </c>
      <c r="AT62" s="21" t="str">
        <f>IFERROR(VLOOKUP(Tabela1[[#This Row],[MÊS]]&amp;Tabela1[[#This Row],[MATRICULA]]&amp;"Cliente"&amp;Tabela1[[#This Row],[SETOR]],BD!A:AF,31,0),"")</f>
        <v/>
      </c>
      <c r="AU62" s="21" t="str">
        <f>IFERROR(VLOOKUP(Tabela1[[#This Row],[MÊS]]&amp;Tabela1[[#This Row],[ID]]&amp;Tabela1[[#This Row],[MATRICULA]]&amp;"Cliente 2"&amp;Tabela1[[#This Row],[SETOR]],BD!A:AF,26,0),"")</f>
        <v/>
      </c>
      <c r="AX62" s="21" t="str">
        <f>IFERROR(VLOOKUP(Tabela1[[#This Row],[MÊS]]&amp;Tabela1[[#This Row],[MATRICULA]]&amp;"Policia"&amp;Tabela1[[#This Row],[SETOR]],BD!A:AF,31,0),"")</f>
        <v/>
      </c>
      <c r="AY62" s="21" t="str">
        <f>IFERROR(VLOOKUP(Tabela1[[#This Row],[MÊS]]&amp;Tabela1[[#This Row],[ID]]&amp;Tabela1[[#This Row],[MATRICULA]]&amp;"Policia 2"&amp;Tabela1[[#This Row],[SETOR]],BD!A:AF,26,0),"")</f>
        <v/>
      </c>
      <c r="AZ62" s="36" t="str">
        <f>IFERROR(VLOOKUP(Tabela1[[#This Row],[MÊS]]&amp;Tabela1[[#This Row],[ID]]&amp;Tabela1[[#This Row],[MATRICULA]]&amp;"Policia 3"&amp;Tabela1[[#This Row],[SETOR]],BD!A:AF,26,0),"")</f>
        <v/>
      </c>
      <c r="BA62" s="36" t="str">
        <f>IFERROR(VLOOKUP(Tabela1[[#This Row],[MÊS]]&amp;Tabela1[[#This Row],[ID]]&amp;Tabela1[[#This Row],[MATRICULA]]&amp;"Policia 4"&amp;Tabela1[[#This Row],[SETOR]],BD!A:AF,26,0),"")</f>
        <v/>
      </c>
      <c r="BB6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2" s="21" t="str">
        <f>IFERROR(AVERAGE(Tabela1[[#This Row],[M]:[M4]]),"")</f>
        <v/>
      </c>
      <c r="BD62" s="21" t="str">
        <f>IFERROR(AVERAGE(Tabela1[[#This Row],[C]:[C4]]),"")</f>
        <v/>
      </c>
      <c r="BE62" s="21" t="str">
        <f>IFERROR(AVERAGE(Tabela1[[#This Row],[PA2]:[PA 4]]),"")</f>
        <v/>
      </c>
      <c r="BF62" s="21" t="str">
        <f>IFERROR(AVERAGE(Tabela1[[#This Row],[PL]:[PL4]]),"")</f>
        <v/>
      </c>
      <c r="BG62" s="35" t="str">
        <f>IFERROR(VLOOKUP(Tabela1[[#This Row],[MÊS]]&amp;Tabela1[[#This Row],[MATRICULA]],#REF!,2,0),"")</f>
        <v/>
      </c>
      <c r="BH62" s="35" t="str">
        <f>IFERROR(VLOOKUP(Tabela1[[#This Row],[MÊS]]&amp;Tabela1[[#This Row],[MATRICULA]],#REF!,2,0),"")</f>
        <v/>
      </c>
      <c r="BI62" s="35" t="str">
        <f>IFERROR(VLOOKUP(Tabela1[[#This Row],[MÊS]]&amp;Tabela1[[#This Row],[MATRICULA]],#REF!,2,0),"")</f>
        <v/>
      </c>
      <c r="BJ62" s="35" t="str">
        <f>IFERROR(VLOOKUP(Tabela1[[#This Row],[MÊS]]&amp;Tabela1[[#This Row],[MATRICULA]],#REF!,2,0),"")</f>
        <v/>
      </c>
      <c r="BK62" s="35" t="str">
        <f>IFERROR(VLOOKUP(Tabela1[[#This Row],[MÊS]]&amp;Tabela1[[#This Row],[MATRICULA]],#REF!,2,0),"")</f>
        <v/>
      </c>
      <c r="BL62" s="21">
        <f>COUNTIF(Tabela1[[#This Row],[MOT2]:[RECEPTIVA]],"NÃO ENCONTRADA")</f>
        <v>0</v>
      </c>
      <c r="BM62" s="135" t="str">
        <f>IFERROR(VLOOKUP(Tabela1[[#This Row],[MÊS]]&amp;Tabela1[[#This Row],[ID]]&amp;Tabela1[[#This Row],[MATRICULA]]&amp;"Motorista"&amp;Tabela1[[#This Row],[SETOR]],BD!A:AF,13,0),"")</f>
        <v/>
      </c>
      <c r="BN62" s="135" t="str">
        <f>IFERROR(VLOOKUP(Tabela1[[#This Row],[MÊS]]&amp;Tabela1[[#This Row],[ID]]&amp;Tabela1[[#This Row],[MATRICULA]]&amp;"Motorista 2"&amp;Tabela1[[#This Row],[SETOR]],BD!A:AF,13,0),"")</f>
        <v/>
      </c>
      <c r="BO62" s="135" t="str">
        <f>IFERROR(VLOOKUP(Tabela1[[#This Row],[MÊS]]&amp;Tabela1[[#This Row],[ID]]&amp;Tabela1[[#This Row],[MATRICULA]]&amp;"Motorista 3"&amp;Tabela1[[#This Row],[SETOR]],BD!A:AF,13,0),"")</f>
        <v/>
      </c>
      <c r="BP62" s="135" t="str">
        <f>IFERROR(VLOOKUP(Tabela1[[#This Row],[MÊS]]&amp;Tabela1[[#This Row],[ID]]&amp;Tabela1[[#This Row],[MATRICULA]]&amp;"Motorista 4"&amp;Tabela1[[#This Row],[SETOR]],BD!A:AF,13,0),"")</f>
        <v/>
      </c>
      <c r="BQ62" s="135" t="str">
        <f>IFERROR(AVERAGE(Tabela1[[#This Row],[DMOT]:[DMOT4]]),"")</f>
        <v/>
      </c>
      <c r="BR62" s="135" t="str">
        <f>IFERROR(VLOOKUP(Tabela1[[#This Row],[MÊS]]&amp;Tabela1[[#This Row],[ID]]&amp;Tabela1[[#This Row],[MATRICULA]]&amp;"Ponto de Apoio"&amp;Tabela1[[#This Row],[SETOR]],BD!A:AF,13,0),"")</f>
        <v/>
      </c>
      <c r="BS62" s="135" t="str">
        <f>IFERROR(VLOOKUP(Tabela1[[#This Row],[MÊS]]&amp;Tabela1[[#This Row],[ID]]&amp;Tabela1[[#This Row],[MATRICULA]]&amp;"Ponto de Apoio 2"&amp;Tabela1[[#This Row],[SETOR]],BD!A:AF,13,0),"")</f>
        <v/>
      </c>
      <c r="BT62" s="135" t="str">
        <f>IFERROR(VLOOKUP(Tabela1[[#This Row],[MÊS]]&amp;Tabela1[[#This Row],[ID]]&amp;Tabela1[[#This Row],[MATRICULA]]&amp;"Ponto de Apoio 3"&amp;Tabela1[[#This Row],[SETOR]],BD!A:AF,13,0),"")</f>
        <v/>
      </c>
      <c r="BU62" s="135" t="str">
        <f>IFERROR(VLOOKUP(Tabela1[[#This Row],[MÊS]]&amp;Tabela1[[#This Row],[ID]]&amp;Tabela1[[#This Row],[MATRICULA]]&amp;"Ponto de Apoio 4"&amp;Tabela1[[#This Row],[SETOR]],BD!A:AF,13,0),"")</f>
        <v/>
      </c>
      <c r="BV62" s="135" t="str">
        <f>IFERROR(AVERAGE(Tabela1[[#This Row],[DPA]:[DPA 4]]),"")</f>
        <v/>
      </c>
      <c r="BW62" s="135" t="str">
        <f>IFERROR(VLOOKUP(Tabela1[[#This Row],[MÊS]]&amp;Tabela1[[#This Row],[ID]]&amp;Tabela1[[#This Row],[MATRICULA]]&amp;"Cliente"&amp;Tabela1[[#This Row],[SETOR]],BD!A:AF,13,0),"")</f>
        <v/>
      </c>
      <c r="BX62" s="135" t="str">
        <f>IFERROR(VLOOKUP(Tabela1[[#This Row],[MÊS]]&amp;Tabela1[[#This Row],[ID]]&amp;Tabela1[[#This Row],[MATRICULA]]&amp;"cliente 2"&amp;Tabela1[[#This Row],[SETOR]],BD!A:AF,13,0),"")</f>
        <v/>
      </c>
      <c r="BY62" s="135" t="str">
        <f>IFERROR(VLOOKUP(Tabela1[[#This Row],[MÊS]]&amp;Tabela1[[#This Row],[ID]]&amp;Tabela1[[#This Row],[MATRICULA]]&amp;"cliente 3"&amp;Tabela1[[#This Row],[SETOR]],BD!A:AF,13,0),"")</f>
        <v/>
      </c>
      <c r="BZ62" s="135" t="str">
        <f>IFERROR(VLOOKUP(Tabela1[[#This Row],[MÊS]]&amp;Tabela1[[#This Row],[ID]]&amp;Tabela1[[#This Row],[MATRICULA]]&amp;"cliente 4"&amp;Tabela1[[#This Row],[SETOR]],BD!A:AF,13,0),"")</f>
        <v/>
      </c>
      <c r="CA62" s="135" t="str">
        <f>IFERROR(AVERAGE(Tabela1[[#This Row],[DCLI]:[DCLI 4]]),"")</f>
        <v/>
      </c>
      <c r="CB62" s="135" t="str">
        <f>IFERROR(VLOOKUP(Tabela1[[#This Row],[MÊS]]&amp;Tabela1[[#This Row],[ID]]&amp;Tabela1[[#This Row],[MATRICULA]]&amp;"Policia"&amp;Tabela1[[#This Row],[SETOR]],BD!A:AF,13,0),"")</f>
        <v/>
      </c>
      <c r="CC62" s="135" t="str">
        <f>IFERROR(VLOOKUP(Tabela1[[#This Row],[MÊS]]&amp;Tabela1[[#This Row],[ID]]&amp;Tabela1[[#This Row],[MATRICULA]]&amp;"Policia 2"&amp;Tabela1[[#This Row],[SETOR]],BD!A:AF,13,0),"")</f>
        <v/>
      </c>
      <c r="CD62" s="135"/>
      <c r="CE62" s="135"/>
      <c r="CF62" s="135" t="str">
        <f>IFERROR((AVERAGE(Tabela1[[#This Row],[DPOL1]:[DPOL4]])),"")</f>
        <v/>
      </c>
      <c r="CG62" s="21" t="str">
        <f>IFERROR(VLOOKUP(Tabela1[[#This Row],[ID]]&amp;Tabela1[[#This Row],[MÊS]]&amp;Tabela1[[#This Row],[MATRICULA]],#REF!,2,0),"")</f>
        <v/>
      </c>
      <c r="CH62" s="21" t="str">
        <f>IFERROR(VLOOKUP(Tabela1[[#This Row],[ID]]&amp;Tabela1[[#This Row],[MÊS]]&amp;Tabela1[[#This Row],[MATRICULA]],#REF!,2,0),"")</f>
        <v/>
      </c>
      <c r="CI62" s="21" t="str">
        <f>IFERROR(VLOOKUP(Tabela1[[#This Row],[MÊS]]&amp;Tabela1[[#This Row],[MATRICULA]],#REF!,2,0),"")</f>
        <v/>
      </c>
    </row>
    <row r="63" spans="1:87">
      <c r="A63" s="12" t="str">
        <f>Tabela1[[#This Row],[MÊS]]&amp;Tabela1[[#This Row],[MATRICULA]]&amp;Tabela1[[#This Row],[ID]]</f>
        <v>JAN42151</v>
      </c>
      <c r="B63" s="12" t="str">
        <f>Tabela1[[#This Row],[MÊS]]&amp;Tabela1[[#This Row],[ID]]&amp;Tabela1[[#This Row],[MATRICULA]]&amp;Tabela1[[#This Row],[SETOR]]</f>
        <v>JAN14215TRANSFERÊNCIA</v>
      </c>
      <c r="C63" s="130" t="e">
        <f>VLOOKUP(Tabela1[[#This Row],[MATRICULA]],'BD Campos'!A:D,5,0)</f>
        <v>#REF!</v>
      </c>
      <c r="D63" s="133" t="str">
        <f ca="1">IFERROR(SUM(TODAY()-Tabela1[[#This Row],[ADMISSÃO]]),"")</f>
        <v/>
      </c>
      <c r="E63" s="11" t="str">
        <f ca="1">IFERROR(TRUNC(Tabela1[[#This Row],[TEMPO DE CASA (DIAS)]]/30),"")</f>
        <v/>
      </c>
      <c r="F63" s="32" t="str">
        <f ca="1">IFERROR(SUM(Tabela1[[#This Row],[TEMPO DE CASA (MESES)]]/12),"")</f>
        <v/>
      </c>
      <c r="G63" s="133" t="str">
        <f ca="1">IF(Tabela1[[#This Row],[TEMPO DE CASA (DIAS)]]="","SEM DADOS",IF(Tabela1[[#This Row],[TEMPO DE CASA (DIAS)]]&gt;180,"&gt; 6 MESES","&lt; 6 MESES"))</f>
        <v>SEM DADOS</v>
      </c>
      <c r="H63" s="12" t="str">
        <f t="shared" ref="H63:H71" si="7">K63&amp;S63&amp;J63</f>
        <v>JANAdryan Celso1</v>
      </c>
      <c r="I63" s="12" t="str">
        <f>IFERROR(VLOOKUP(Tabela1[[#This Row],[MATRICULA]],'BD Campos'!A:F,7,0),"")</f>
        <v/>
      </c>
      <c r="J63" s="11">
        <v>1</v>
      </c>
      <c r="K63" s="11" t="s">
        <v>669</v>
      </c>
      <c r="L63" s="136">
        <v>4215</v>
      </c>
      <c r="M63" s="12" t="str">
        <f>IFERROR(VLOOKUP(Tabela1[[#This Row],[MATRICULA]],'BD Campos'!A:B,2,0),"")</f>
        <v xml:space="preserve">GABRIEL VARLEI DE BORBA </v>
      </c>
      <c r="N63" s="20">
        <f>IFERROR(AVERAGE(Tabela1[[#This Row],[A1]:[A4]]),"")</f>
        <v>0</v>
      </c>
      <c r="O63" s="20" t="str">
        <f>IFERROR(IF(Tabela1[[#This Row],[SETOR]]="RECEPTIVO","",AVERAGE(Tabela1[[#This Row],[A5]:[A6]])),"")</f>
        <v/>
      </c>
      <c r="P63" s="20" t="str">
        <f>IFERROR(IF(Tabela1[[#This Row],[STATUS]]="INATIVO","INATIVO",IF(Tabela1[[#This Row],[STATUS]]="QRT","INATIVO",IF(Tabela1[[#This Row],[OPERACIONAL]]&gt;7.99999,"BOM","RUIM"))),"")</f>
        <v>RUIM</v>
      </c>
      <c r="Q63" s="21" t="s">
        <v>667</v>
      </c>
      <c r="R63" s="12" t="s">
        <v>677</v>
      </c>
      <c r="S63" s="12" t="s">
        <v>678</v>
      </c>
      <c r="T63" s="12" t="s">
        <v>192</v>
      </c>
      <c r="U6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3" s="12">
        <f>IF(AND(Tabela1[[#This Row],[SETOR]]="UTI",Tabela1[[#This Row],[M]]&lt;&gt;""),1,IF(AND(Tabela1[[#This Row],[SETOR]]="UTI (RJ)",Tabela1[[#This Row],[M]]&lt;&gt;""),1.5,0))</f>
        <v>0</v>
      </c>
      <c r="X63" s="12">
        <f>IF(AND(Tabela1[[#This Row],[SETOR]]="UTI",Tabela1[[#This Row],[PA2]]&lt;&gt;""),1,IF(AND(Tabela1[[#This Row],[SETOR]]="UTI (RJ)",Tabela1[[#This Row],[PA2]]&lt;&gt;""),0,0))</f>
        <v>0</v>
      </c>
      <c r="Y63" s="12">
        <f>IF(AND(Tabela1[[#This Row],[SETOR]]="UTI",Tabela1[[#This Row],[C]]&lt;&gt;""),1,IF(AND(Tabela1[[#This Row],[SETOR]]="UTI (RJ)",Tabela1[[#This Row],[C]]&lt;&gt;""),1.5,0))</f>
        <v>0</v>
      </c>
      <c r="Z63" s="12">
        <f>IF(AND(Tabela1[[#This Row],[SETOR]]="UTI",Tabela1[[#This Row],[PL]]&lt;&gt;""),1,IF(AND(Tabela1[[#This Row],[SETOR]]="UTI (RJ)",Tabela1[[#This Row],[PL]]&lt;&gt;""),1,0))</f>
        <v>0</v>
      </c>
      <c r="AA63" s="21">
        <f>IFERROR(VLOOKUP(Tabela1[[#This Row],[MÊS]]&amp;Tabela1[[#This Row],[MATRICULA]]&amp;"1"&amp;Tabela1[[#This Row],[SETOR]]&amp;"PADRÃO",BD!B:AF,31,0),"")</f>
        <v>0</v>
      </c>
      <c r="AB63" s="21">
        <f>IFERROR(VLOOKUP(Tabela1[[#This Row],[MÊS]]&amp;Tabela1[[#This Row],[MATRICULA]]&amp;"2"&amp;Tabela1[[#This Row],[SETOR]]&amp;"PADRÃO",BD!B:AF,31,0),"")</f>
        <v>0</v>
      </c>
      <c r="AC63" s="21" t="str">
        <f>IFERROR(VLOOKUP(Tabela1[[#This Row],[MÊS]]&amp;Tabela1[[#This Row],[MATRICULA]]&amp;"3"&amp;Tabela1[[#This Row],[SETOR]]&amp;"PADRÃO",BD!B:AF,31,0),"")</f>
        <v/>
      </c>
      <c r="AD63" s="21" t="str">
        <f>IFERROR(VLOOKUP(Tabela1[[#This Row],[MÊS]]&amp;Tabela1[[#This Row],[MATRICULA]]&amp;"4"&amp;Tabela1[[#This Row],[SETOR]]&amp;"PADRÃO",BD!B:AF,25,0),"")</f>
        <v/>
      </c>
      <c r="AE63" s="21" t="str">
        <f>IFERROR(VLOOKUP(Tabela1[[#This Row],[MÊS]]&amp;Tabela1[[#This Row],[MATRICULA]]&amp;"5"&amp;Tabela1[[#This Row],[SETOR]]&amp;"PADRÃO",BD!B:AF,31,0),"")</f>
        <v/>
      </c>
      <c r="AF63" s="21" t="str">
        <f>IFERROR(VLOOKUP(Tabela1[[#This Row],[MÊS]]&amp;Tabela1[[#This Row],[MATRICULA]]&amp;"6"&amp;Tabela1[[#This Row],[SETOR]]&amp;"PADRÃO",BD!B:AF,31,0),"")</f>
        <v/>
      </c>
      <c r="AG63" s="21" t="str">
        <f>IFERROR(VLOOKUP(Tabela1[[#This Row],[MÊS]]&amp;Tabela1[[#This Row],[MATRICULA]]&amp;"7"&amp;Tabela1[[#This Row],[SETOR]]&amp;"PADRÃO",BD!B:AF,31,0),"")</f>
        <v/>
      </c>
      <c r="AH63" s="21" t="str">
        <f>IFERROR(VLOOKUP(Tabela1[[#This Row],[MÊS]]&amp;Tabela1[[#This Row],[ID]]&amp;Tabela1[[#This Row],[MATRICULA]]&amp;"Receptiva"&amp;Tabela1[[#This Row],[SETOR]],BD!A:AF,31,0),"")</f>
        <v/>
      </c>
      <c r="AI63" s="21" t="str">
        <f>IFERROR(VLOOKUP(Tabela1[[#This Row],[MÊS]]&amp;Tabela1[[#This Row],[ID]]&amp;Tabela1[[#This Row],[MATRICULA]]&amp;"Receptiva 2"&amp;Tabela1[[#This Row],[SETOR]],BD!A:AF,31,0),"")</f>
        <v/>
      </c>
      <c r="AJ63" s="21" t="str">
        <f>IFERROR(VLOOKUP(Tabela1[[#This Row],[MÊS]]&amp;Tabela1[[#This Row],[ID]]&amp;Tabela1[[#This Row],[MATRICULA]]&amp;"Receptiva 3"&amp;Tabela1[[#This Row],[SETOR]],BD!A:AF,31,0),"")</f>
        <v/>
      </c>
      <c r="AK63" s="21" t="str">
        <f>IFERROR(VLOOKUP(Tabela1[[#This Row],[MÊS]]&amp;Tabela1[[#This Row],[ID]]&amp;Tabela1[[#This Row],[MATRICULA]]&amp;"Receptiva 4"&amp;Tabela1[[#This Row],[SETOR]],BD!A:AF,31,0),"")</f>
        <v/>
      </c>
      <c r="AL63" s="21" t="str">
        <f>IFERROR(VLOOKUP(Tabela1[[#This Row],[MÊS]]&amp;Tabela1[[#This Row],[MATRICULA]]&amp;"Motorista"&amp;Tabela1[[#This Row],[SETOR]],BD!A:AF,31,0),"")</f>
        <v/>
      </c>
      <c r="AM63" s="21" t="str">
        <f>IFERROR(VLOOKUP(Tabela1[[#This Row],[MÊS]]&amp;Tabela1[[#This Row],[ID]]&amp;Tabela1[[#This Row],[MATRICULA]]&amp;"Motorista 2"&amp;Tabela1[[#This Row],[SETOR]],BD!A:AF,26,0),"")</f>
        <v/>
      </c>
      <c r="AN63" s="21" t="str">
        <f>IFERROR(VLOOKUP(Tabela1[[#This Row],[MÊS]]&amp;Tabela1[[#This Row],[ID]]&amp;Tabela1[[#This Row],[MATRICULA]]&amp;"Motorista 3"&amp;Tabela1[[#This Row],[SETOR]],BD!A:AF,26,0),"")</f>
        <v/>
      </c>
      <c r="AO63" s="21" t="str">
        <f>IFERROR(VLOOKUP(Tabela1[[#This Row],[MÊS]]&amp;Tabela1[[#This Row],[ID]]&amp;Tabela1[[#This Row],[MATRICULA]]&amp;"Motorista 4"&amp;Tabela1[[#This Row],[SETOR]],BD!A:AF,26,0),"")</f>
        <v/>
      </c>
      <c r="AP63" s="21" t="str">
        <f>IFERROR(VLOOKUP(Tabela1[[#This Row],[MÊS]]&amp;Tabela1[[#This Row],[MATRICULA]]&amp;"Ponto de Apoio"&amp;Tabela1[[#This Row],[SETOR]],BD!A:AF,31,0),"")</f>
        <v/>
      </c>
      <c r="AQ63" s="21" t="str">
        <f>IFERROR(VLOOKUP(Tabela1[[#This Row],[MÊS]]&amp;Tabela1[[#This Row],[ID]]&amp;Tabela1[[#This Row],[MATRICULA]]&amp;"Ponto de Apoio 2"&amp;Tabela1[[#This Row],[SETOR]],BD!A:AF,26,0),"")</f>
        <v/>
      </c>
      <c r="AR63" s="36" t="str">
        <f>IFERROR(VLOOKUP(Tabela1[[#This Row],[MÊS]]&amp;Tabela1[[#This Row],[ID]]&amp;Tabela1[[#This Row],[MATRICULA]]&amp;"Ponto de Apoio 3"&amp;Tabela1[[#This Row],[SETOR]],BD!A:AF,26,0),"")</f>
        <v/>
      </c>
      <c r="AS63" s="36" t="str">
        <f>IFERROR(VLOOKUP(Tabela1[[#This Row],[MÊS]]&amp;Tabela1[[#This Row],[ID]]&amp;Tabela1[[#This Row],[MATRICULA]]&amp;"Ponto de Apoio 4"&amp;Tabela1[[#This Row],[SETOR]],BD!A:AF,26,0),"")</f>
        <v/>
      </c>
      <c r="AT63" s="21" t="str">
        <f>IFERROR(VLOOKUP(Tabela1[[#This Row],[MÊS]]&amp;Tabela1[[#This Row],[MATRICULA]]&amp;"Cliente"&amp;Tabela1[[#This Row],[SETOR]],BD!A:AF,31,0),"")</f>
        <v/>
      </c>
      <c r="AU63" s="21" t="str">
        <f>IFERROR(VLOOKUP(Tabela1[[#This Row],[MÊS]]&amp;Tabela1[[#This Row],[ID]]&amp;Tabela1[[#This Row],[MATRICULA]]&amp;"Cliente 2"&amp;Tabela1[[#This Row],[SETOR]],BD!A:AF,26,0),"")</f>
        <v/>
      </c>
      <c r="AX63" s="21" t="str">
        <f>IFERROR(VLOOKUP(Tabela1[[#This Row],[MÊS]]&amp;Tabela1[[#This Row],[MATRICULA]]&amp;"Policia"&amp;Tabela1[[#This Row],[SETOR]],BD!A:AF,31,0),"")</f>
        <v/>
      </c>
      <c r="AY63" s="21" t="str">
        <f>IFERROR(VLOOKUP(Tabela1[[#This Row],[MÊS]]&amp;Tabela1[[#This Row],[ID]]&amp;Tabela1[[#This Row],[MATRICULA]]&amp;"Policia 2"&amp;Tabela1[[#This Row],[SETOR]],BD!A:AF,26,0),"")</f>
        <v/>
      </c>
      <c r="AZ63" s="36" t="str">
        <f>IFERROR(VLOOKUP(Tabela1[[#This Row],[MÊS]]&amp;Tabela1[[#This Row],[ID]]&amp;Tabela1[[#This Row],[MATRICULA]]&amp;"Policia 3"&amp;Tabela1[[#This Row],[SETOR]],BD!A:AF,26,0),"")</f>
        <v/>
      </c>
      <c r="BA63" s="36" t="str">
        <f>IFERROR(VLOOKUP(Tabela1[[#This Row],[MÊS]]&amp;Tabela1[[#This Row],[ID]]&amp;Tabela1[[#This Row],[MATRICULA]]&amp;"Policia 4"&amp;Tabela1[[#This Row],[SETOR]],BD!A:AF,26,0),"")</f>
        <v/>
      </c>
      <c r="BB6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3" s="21" t="str">
        <f>IFERROR(AVERAGE(Tabela1[[#This Row],[M]:[M4]]),"")</f>
        <v/>
      </c>
      <c r="BD63" s="21" t="str">
        <f>IFERROR(AVERAGE(Tabela1[[#This Row],[C]:[C4]]),"")</f>
        <v/>
      </c>
      <c r="BE63" s="21" t="str">
        <f>IFERROR(AVERAGE(Tabela1[[#This Row],[PA2]:[PA 4]]),"")</f>
        <v/>
      </c>
      <c r="BF63" s="21" t="str">
        <f>IFERROR(AVERAGE(Tabela1[[#This Row],[PL]:[PL4]]),"")</f>
        <v/>
      </c>
      <c r="BG63" s="35" t="str">
        <f>IFERROR(VLOOKUP(Tabela1[[#This Row],[MÊS]]&amp;Tabela1[[#This Row],[MATRICULA]],#REF!,2,0),"")</f>
        <v/>
      </c>
      <c r="BH63" s="35" t="str">
        <f>IFERROR(VLOOKUP(Tabela1[[#This Row],[MÊS]]&amp;Tabela1[[#This Row],[MATRICULA]],#REF!,2,0),"")</f>
        <v/>
      </c>
      <c r="BI63" s="35" t="str">
        <f>IFERROR(VLOOKUP(Tabela1[[#This Row],[MÊS]]&amp;Tabela1[[#This Row],[MATRICULA]],#REF!,2,0),"")</f>
        <v/>
      </c>
      <c r="BJ63" s="35" t="str">
        <f>IFERROR(VLOOKUP(Tabela1[[#This Row],[MÊS]]&amp;Tabela1[[#This Row],[MATRICULA]],#REF!,2,0),"")</f>
        <v/>
      </c>
      <c r="BK63" s="35" t="str">
        <f>IFERROR(VLOOKUP(Tabela1[[#This Row],[MÊS]]&amp;Tabela1[[#This Row],[MATRICULA]],#REF!,2,0),"")</f>
        <v/>
      </c>
      <c r="BL63" s="21">
        <f>COUNTIF(Tabela1[[#This Row],[MOT2]:[RECEPTIVA]],"NÃO ENCONTRADA")</f>
        <v>0</v>
      </c>
      <c r="BM63" s="135" t="str">
        <f>IFERROR(VLOOKUP(Tabela1[[#This Row],[MÊS]]&amp;Tabela1[[#This Row],[ID]]&amp;Tabela1[[#This Row],[MATRICULA]]&amp;"Motorista"&amp;Tabela1[[#This Row],[SETOR]],BD!A:AF,13,0),"")</f>
        <v/>
      </c>
      <c r="BN63" s="135" t="str">
        <f>IFERROR(VLOOKUP(Tabela1[[#This Row],[MÊS]]&amp;Tabela1[[#This Row],[ID]]&amp;Tabela1[[#This Row],[MATRICULA]]&amp;"Motorista 2"&amp;Tabela1[[#This Row],[SETOR]],BD!A:AF,13,0),"")</f>
        <v/>
      </c>
      <c r="BO63" s="135" t="str">
        <f>IFERROR(VLOOKUP(Tabela1[[#This Row],[MÊS]]&amp;Tabela1[[#This Row],[ID]]&amp;Tabela1[[#This Row],[MATRICULA]]&amp;"Motorista 3"&amp;Tabela1[[#This Row],[SETOR]],BD!A:AF,13,0),"")</f>
        <v/>
      </c>
      <c r="BP63" s="135" t="str">
        <f>IFERROR(VLOOKUP(Tabela1[[#This Row],[MÊS]]&amp;Tabela1[[#This Row],[ID]]&amp;Tabela1[[#This Row],[MATRICULA]]&amp;"Motorista 4"&amp;Tabela1[[#This Row],[SETOR]],BD!A:AF,13,0),"")</f>
        <v/>
      </c>
      <c r="BQ63" s="135" t="str">
        <f>IFERROR(AVERAGE(Tabela1[[#This Row],[DMOT]:[DMOT4]]),"")</f>
        <v/>
      </c>
      <c r="BR63" s="135" t="str">
        <f>IFERROR(VLOOKUP(Tabela1[[#This Row],[MÊS]]&amp;Tabela1[[#This Row],[ID]]&amp;Tabela1[[#This Row],[MATRICULA]]&amp;"Ponto de Apoio"&amp;Tabela1[[#This Row],[SETOR]],BD!A:AF,13,0),"")</f>
        <v/>
      </c>
      <c r="BS63" s="135" t="str">
        <f>IFERROR(VLOOKUP(Tabela1[[#This Row],[MÊS]]&amp;Tabela1[[#This Row],[ID]]&amp;Tabela1[[#This Row],[MATRICULA]]&amp;"Ponto de Apoio 2"&amp;Tabela1[[#This Row],[SETOR]],BD!A:AF,13,0),"")</f>
        <v/>
      </c>
      <c r="BT63" s="135" t="str">
        <f>IFERROR(VLOOKUP(Tabela1[[#This Row],[MÊS]]&amp;Tabela1[[#This Row],[ID]]&amp;Tabela1[[#This Row],[MATRICULA]]&amp;"Ponto de Apoio 3"&amp;Tabela1[[#This Row],[SETOR]],BD!A:AF,13,0),"")</f>
        <v/>
      </c>
      <c r="BU63" s="135" t="str">
        <f>IFERROR(VLOOKUP(Tabela1[[#This Row],[MÊS]]&amp;Tabela1[[#This Row],[ID]]&amp;Tabela1[[#This Row],[MATRICULA]]&amp;"Ponto de Apoio 4"&amp;Tabela1[[#This Row],[SETOR]],BD!A:AF,13,0),"")</f>
        <v/>
      </c>
      <c r="BV63" s="135" t="str">
        <f>IFERROR(AVERAGE(Tabela1[[#This Row],[DPA]:[DPA 4]]),"")</f>
        <v/>
      </c>
      <c r="BW63" s="135" t="str">
        <f>IFERROR(VLOOKUP(Tabela1[[#This Row],[MÊS]]&amp;Tabela1[[#This Row],[ID]]&amp;Tabela1[[#This Row],[MATRICULA]]&amp;"Cliente"&amp;Tabela1[[#This Row],[SETOR]],BD!A:AF,13,0),"")</f>
        <v/>
      </c>
      <c r="BX63" s="135" t="str">
        <f>IFERROR(VLOOKUP(Tabela1[[#This Row],[MÊS]]&amp;Tabela1[[#This Row],[ID]]&amp;Tabela1[[#This Row],[MATRICULA]]&amp;"cliente 2"&amp;Tabela1[[#This Row],[SETOR]],BD!A:AF,13,0),"")</f>
        <v/>
      </c>
      <c r="BY63" s="135" t="str">
        <f>IFERROR(VLOOKUP(Tabela1[[#This Row],[MÊS]]&amp;Tabela1[[#This Row],[ID]]&amp;Tabela1[[#This Row],[MATRICULA]]&amp;"cliente 3"&amp;Tabela1[[#This Row],[SETOR]],BD!A:AF,13,0),"")</f>
        <v/>
      </c>
      <c r="BZ63" s="135" t="str">
        <f>IFERROR(VLOOKUP(Tabela1[[#This Row],[MÊS]]&amp;Tabela1[[#This Row],[ID]]&amp;Tabela1[[#This Row],[MATRICULA]]&amp;"cliente 4"&amp;Tabela1[[#This Row],[SETOR]],BD!A:AF,13,0),"")</f>
        <v/>
      </c>
      <c r="CA63" s="135" t="str">
        <f>IFERROR(AVERAGE(Tabela1[[#This Row],[DCLI]:[DCLI 4]]),"")</f>
        <v/>
      </c>
      <c r="CB63" s="135" t="str">
        <f>IFERROR(VLOOKUP(Tabela1[[#This Row],[MÊS]]&amp;Tabela1[[#This Row],[ID]]&amp;Tabela1[[#This Row],[MATRICULA]]&amp;"Policia"&amp;Tabela1[[#This Row],[SETOR]],BD!A:AF,13,0),"")</f>
        <v/>
      </c>
      <c r="CC63" s="135" t="str">
        <f>IFERROR(VLOOKUP(Tabela1[[#This Row],[MÊS]]&amp;Tabela1[[#This Row],[ID]]&amp;Tabela1[[#This Row],[MATRICULA]]&amp;"Policia 2"&amp;Tabela1[[#This Row],[SETOR]],BD!A:AF,13,0),"")</f>
        <v/>
      </c>
      <c r="CD63" s="135"/>
      <c r="CE63" s="135"/>
      <c r="CF63" s="135" t="str">
        <f>IFERROR((AVERAGE(Tabela1[[#This Row],[DPOL1]:[DPOL4]])),"")</f>
        <v/>
      </c>
      <c r="CG63" s="21" t="str">
        <f>IFERROR(VLOOKUP(Tabela1[[#This Row],[ID]]&amp;Tabela1[[#This Row],[MÊS]]&amp;Tabela1[[#This Row],[MATRICULA]],#REF!,2,0),"")</f>
        <v/>
      </c>
      <c r="CH63" s="21" t="str">
        <f>IFERROR(VLOOKUP(Tabela1[[#This Row],[ID]]&amp;Tabela1[[#This Row],[MÊS]]&amp;Tabela1[[#This Row],[MATRICULA]],#REF!,2,0),"")</f>
        <v/>
      </c>
      <c r="CI63" s="21" t="str">
        <f>IFERROR(VLOOKUP(Tabela1[[#This Row],[MÊS]]&amp;Tabela1[[#This Row],[MATRICULA]],#REF!,2,0),"")</f>
        <v/>
      </c>
    </row>
    <row r="64" spans="1:87">
      <c r="A64" s="12" t="str">
        <f>Tabela1[[#This Row],[MÊS]]&amp;Tabela1[[#This Row],[MATRICULA]]&amp;Tabela1[[#This Row],[ID]]</f>
        <v>JAN42102</v>
      </c>
      <c r="B64" s="12" t="str">
        <f>Tabela1[[#This Row],[MÊS]]&amp;Tabela1[[#This Row],[ID]]&amp;Tabela1[[#This Row],[MATRICULA]]&amp;Tabela1[[#This Row],[SETOR]]</f>
        <v>JAN24210TRANSFERÊNCIA</v>
      </c>
      <c r="C64" s="130" t="e">
        <f>VLOOKUP(Tabela1[[#This Row],[MATRICULA]],'BD Campos'!A:D,5,0)</f>
        <v>#REF!</v>
      </c>
      <c r="D64" s="133" t="str">
        <f ca="1">IFERROR(SUM(TODAY()-Tabela1[[#This Row],[ADMISSÃO]]),"")</f>
        <v/>
      </c>
      <c r="E64" s="11" t="str">
        <f ca="1">IFERROR(TRUNC(Tabela1[[#This Row],[TEMPO DE CASA (DIAS)]]/30),"")</f>
        <v/>
      </c>
      <c r="F64" s="32" t="str">
        <f ca="1">IFERROR(SUM(Tabela1[[#This Row],[TEMPO DE CASA (MESES)]]/12),"")</f>
        <v/>
      </c>
      <c r="G64" s="133" t="str">
        <f ca="1">IF(Tabela1[[#This Row],[TEMPO DE CASA (DIAS)]]="","SEM DADOS",IF(Tabela1[[#This Row],[TEMPO DE CASA (DIAS)]]&gt;180,"&gt; 6 MESES","&lt; 6 MESES"))</f>
        <v>SEM DADOS</v>
      </c>
      <c r="H64" s="12" t="str">
        <f t="shared" si="7"/>
        <v>JANAdryan Celso2</v>
      </c>
      <c r="I64" s="12" t="str">
        <f>IFERROR(VLOOKUP(Tabela1[[#This Row],[MATRICULA]],'BD Campos'!A:F,7,0),"")</f>
        <v/>
      </c>
      <c r="J64" s="11">
        <v>2</v>
      </c>
      <c r="K64" s="11" t="s">
        <v>669</v>
      </c>
      <c r="L64" s="136">
        <v>4210</v>
      </c>
      <c r="M64" s="12" t="str">
        <f>IFERROR(VLOOKUP(Tabela1[[#This Row],[MATRICULA]],'BD Campos'!A:B,2,0),"")</f>
        <v xml:space="preserve">MAISA SANTOS ALEXANDRE </v>
      </c>
      <c r="N64" s="20">
        <f>IFERROR(AVERAGE(Tabela1[[#This Row],[A1]:[A4]]),"")</f>
        <v>9.4487500000000004</v>
      </c>
      <c r="O64" s="20" t="str">
        <f>IFERROR(IF(Tabela1[[#This Row],[SETOR]]="RECEPTIVO","",AVERAGE(Tabela1[[#This Row],[A5]:[A6]])),"")</f>
        <v/>
      </c>
      <c r="P64" s="20" t="str">
        <f>IFERROR(IF(Tabela1[[#This Row],[STATUS]]="INATIVO","INATIVO",IF(Tabela1[[#This Row],[STATUS]]="QRT","INATIVO",IF(Tabela1[[#This Row],[OPERACIONAL]]&gt;7.99999,"BOM","RUIM"))),"")</f>
        <v>BOM</v>
      </c>
      <c r="Q64" s="21" t="s">
        <v>667</v>
      </c>
      <c r="R64" s="12" t="s">
        <v>677</v>
      </c>
      <c r="S64" s="12" t="s">
        <v>678</v>
      </c>
      <c r="T64" s="12" t="s">
        <v>192</v>
      </c>
      <c r="U6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4" s="12">
        <f>IF(AND(Tabela1[[#This Row],[SETOR]]="UTI",Tabela1[[#This Row],[M]]&lt;&gt;""),1,IF(AND(Tabela1[[#This Row],[SETOR]]="UTI (RJ)",Tabela1[[#This Row],[M]]&lt;&gt;""),1.5,0))</f>
        <v>0</v>
      </c>
      <c r="X64" s="12">
        <f>IF(AND(Tabela1[[#This Row],[SETOR]]="UTI",Tabela1[[#This Row],[PA2]]&lt;&gt;""),1,IF(AND(Tabela1[[#This Row],[SETOR]]="UTI (RJ)",Tabela1[[#This Row],[PA2]]&lt;&gt;""),0,0))</f>
        <v>0</v>
      </c>
      <c r="Y64" s="12">
        <f>IF(AND(Tabela1[[#This Row],[SETOR]]="UTI",Tabela1[[#This Row],[C]]&lt;&gt;""),1,IF(AND(Tabela1[[#This Row],[SETOR]]="UTI (RJ)",Tabela1[[#This Row],[C]]&lt;&gt;""),1.5,0))</f>
        <v>0</v>
      </c>
      <c r="Z64" s="12">
        <f>IF(AND(Tabela1[[#This Row],[SETOR]]="UTI",Tabela1[[#This Row],[PL]]&lt;&gt;""),1,IF(AND(Tabela1[[#This Row],[SETOR]]="UTI (RJ)",Tabela1[[#This Row],[PL]]&lt;&gt;""),1,0))</f>
        <v>0</v>
      </c>
      <c r="AA64" s="21">
        <f>IFERROR(VLOOKUP(Tabela1[[#This Row],[MÊS]]&amp;Tabela1[[#This Row],[MATRICULA]]&amp;"1"&amp;Tabela1[[#This Row],[SETOR]]&amp;"PADRÃO",BD!B:AF,31,0),"")</f>
        <v>10.000000000000002</v>
      </c>
      <c r="AB64" s="21">
        <f>IFERROR(VLOOKUP(Tabela1[[#This Row],[MÊS]]&amp;Tabela1[[#This Row],[MATRICULA]]&amp;"2"&amp;Tabela1[[#This Row],[SETOR]]&amp;"PADRÃO",BD!B:AF,31,0),"")</f>
        <v>8.8974999999999991</v>
      </c>
      <c r="AC64" s="21" t="str">
        <f>IFERROR(VLOOKUP(Tabela1[[#This Row],[MÊS]]&amp;Tabela1[[#This Row],[MATRICULA]]&amp;"3"&amp;Tabela1[[#This Row],[SETOR]]&amp;"PADRÃO",BD!B:AF,31,0),"")</f>
        <v/>
      </c>
      <c r="AD64" s="21" t="str">
        <f>IFERROR(VLOOKUP(Tabela1[[#This Row],[MÊS]]&amp;Tabela1[[#This Row],[MATRICULA]]&amp;"4"&amp;Tabela1[[#This Row],[SETOR]]&amp;"PADRÃO",BD!B:AF,25,0),"")</f>
        <v/>
      </c>
      <c r="AE64" s="21" t="str">
        <f>IFERROR(VLOOKUP(Tabela1[[#This Row],[MÊS]]&amp;Tabela1[[#This Row],[MATRICULA]]&amp;"5"&amp;Tabela1[[#This Row],[SETOR]]&amp;"PADRÃO",BD!B:AF,31,0),"")</f>
        <v/>
      </c>
      <c r="AF64" s="21" t="str">
        <f>IFERROR(VLOOKUP(Tabela1[[#This Row],[MÊS]]&amp;Tabela1[[#This Row],[MATRICULA]]&amp;"6"&amp;Tabela1[[#This Row],[SETOR]]&amp;"PADRÃO",BD!B:AF,31,0),"")</f>
        <v/>
      </c>
      <c r="AG64" s="21" t="str">
        <f>IFERROR(VLOOKUP(Tabela1[[#This Row],[MÊS]]&amp;Tabela1[[#This Row],[MATRICULA]]&amp;"7"&amp;Tabela1[[#This Row],[SETOR]]&amp;"PADRÃO",BD!B:AF,31,0),"")</f>
        <v/>
      </c>
      <c r="AH64" s="21" t="str">
        <f>IFERROR(VLOOKUP(Tabela1[[#This Row],[MÊS]]&amp;Tabela1[[#This Row],[ID]]&amp;Tabela1[[#This Row],[MATRICULA]]&amp;"Receptiva"&amp;Tabela1[[#This Row],[SETOR]],BD!A:AF,31,0),"")</f>
        <v/>
      </c>
      <c r="AI64" s="21" t="str">
        <f>IFERROR(VLOOKUP(Tabela1[[#This Row],[MÊS]]&amp;Tabela1[[#This Row],[ID]]&amp;Tabela1[[#This Row],[MATRICULA]]&amp;"Receptiva 2"&amp;Tabela1[[#This Row],[SETOR]],BD!A:AF,31,0),"")</f>
        <v/>
      </c>
      <c r="AJ64" s="21" t="str">
        <f>IFERROR(VLOOKUP(Tabela1[[#This Row],[MÊS]]&amp;Tabela1[[#This Row],[ID]]&amp;Tabela1[[#This Row],[MATRICULA]]&amp;"Receptiva 3"&amp;Tabela1[[#This Row],[SETOR]],BD!A:AF,31,0),"")</f>
        <v/>
      </c>
      <c r="AK64" s="21" t="str">
        <f>IFERROR(VLOOKUP(Tabela1[[#This Row],[MÊS]]&amp;Tabela1[[#This Row],[ID]]&amp;Tabela1[[#This Row],[MATRICULA]]&amp;"Receptiva 4"&amp;Tabela1[[#This Row],[SETOR]],BD!A:AF,31,0),"")</f>
        <v/>
      </c>
      <c r="AL64" s="21">
        <f>IFERROR(VLOOKUP(Tabela1[[#This Row],[MÊS]]&amp;Tabela1[[#This Row],[MATRICULA]]&amp;"Motorista"&amp;Tabela1[[#This Row],[SETOR]],BD!A:AF,31,0),"")</f>
        <v>0</v>
      </c>
      <c r="AM64" s="21" t="str">
        <f>IFERROR(VLOOKUP(Tabela1[[#This Row],[MÊS]]&amp;Tabela1[[#This Row],[ID]]&amp;Tabela1[[#This Row],[MATRICULA]]&amp;"Motorista 2"&amp;Tabela1[[#This Row],[SETOR]],BD!A:AF,26,0),"")</f>
        <v/>
      </c>
      <c r="AN64" s="21" t="str">
        <f>IFERROR(VLOOKUP(Tabela1[[#This Row],[MÊS]]&amp;Tabela1[[#This Row],[ID]]&amp;Tabela1[[#This Row],[MATRICULA]]&amp;"Motorista 3"&amp;Tabela1[[#This Row],[SETOR]],BD!A:AF,26,0),"")</f>
        <v/>
      </c>
      <c r="AO64" s="21" t="str">
        <f>IFERROR(VLOOKUP(Tabela1[[#This Row],[MÊS]]&amp;Tabela1[[#This Row],[ID]]&amp;Tabela1[[#This Row],[MATRICULA]]&amp;"Motorista 4"&amp;Tabela1[[#This Row],[SETOR]],BD!A:AF,26,0),"")</f>
        <v/>
      </c>
      <c r="AP64" s="21" t="str">
        <f>IFERROR(VLOOKUP(Tabela1[[#This Row],[MÊS]]&amp;Tabela1[[#This Row],[MATRICULA]]&amp;"Ponto de Apoio"&amp;Tabela1[[#This Row],[SETOR]],BD!A:AF,31,0),"")</f>
        <v/>
      </c>
      <c r="AQ64" s="21" t="str">
        <f>IFERROR(VLOOKUP(Tabela1[[#This Row],[MÊS]]&amp;Tabela1[[#This Row],[ID]]&amp;Tabela1[[#This Row],[MATRICULA]]&amp;"Ponto de Apoio 2"&amp;Tabela1[[#This Row],[SETOR]],BD!A:AF,26,0),"")</f>
        <v/>
      </c>
      <c r="AR64" s="36" t="str">
        <f>IFERROR(VLOOKUP(Tabela1[[#This Row],[MÊS]]&amp;Tabela1[[#This Row],[ID]]&amp;Tabela1[[#This Row],[MATRICULA]]&amp;"Ponto de Apoio 3"&amp;Tabela1[[#This Row],[SETOR]],BD!A:AF,26,0),"")</f>
        <v/>
      </c>
      <c r="AS64" s="36" t="str">
        <f>IFERROR(VLOOKUP(Tabela1[[#This Row],[MÊS]]&amp;Tabela1[[#This Row],[ID]]&amp;Tabela1[[#This Row],[MATRICULA]]&amp;"Ponto de Apoio 4"&amp;Tabela1[[#This Row],[SETOR]],BD!A:AF,26,0),"")</f>
        <v/>
      </c>
      <c r="AT64" s="21" t="str">
        <f>IFERROR(VLOOKUP(Tabela1[[#This Row],[MÊS]]&amp;Tabela1[[#This Row],[MATRICULA]]&amp;"Cliente"&amp;Tabela1[[#This Row],[SETOR]],BD!A:AF,31,0),"")</f>
        <v/>
      </c>
      <c r="AU64" s="21" t="str">
        <f>IFERROR(VLOOKUP(Tabela1[[#This Row],[MÊS]]&amp;Tabela1[[#This Row],[ID]]&amp;Tabela1[[#This Row],[MATRICULA]]&amp;"Cliente 2"&amp;Tabela1[[#This Row],[SETOR]],BD!A:AF,26,0),"")</f>
        <v/>
      </c>
      <c r="AX64" s="21" t="str">
        <f>IFERROR(VLOOKUP(Tabela1[[#This Row],[MÊS]]&amp;Tabela1[[#This Row],[MATRICULA]]&amp;"Policia"&amp;Tabela1[[#This Row],[SETOR]],BD!A:AF,31,0),"")</f>
        <v/>
      </c>
      <c r="AY64" s="21" t="str">
        <f>IFERROR(VLOOKUP(Tabela1[[#This Row],[MÊS]]&amp;Tabela1[[#This Row],[ID]]&amp;Tabela1[[#This Row],[MATRICULA]]&amp;"Policia 2"&amp;Tabela1[[#This Row],[SETOR]],BD!A:AF,26,0),"")</f>
        <v/>
      </c>
      <c r="AZ64" s="36" t="str">
        <f>IFERROR(VLOOKUP(Tabela1[[#This Row],[MÊS]]&amp;Tabela1[[#This Row],[ID]]&amp;Tabela1[[#This Row],[MATRICULA]]&amp;"Policia 3"&amp;Tabela1[[#This Row],[SETOR]],BD!A:AF,26,0),"")</f>
        <v/>
      </c>
      <c r="BA64" s="36" t="str">
        <f>IFERROR(VLOOKUP(Tabela1[[#This Row],[MÊS]]&amp;Tabela1[[#This Row],[ID]]&amp;Tabela1[[#This Row],[MATRICULA]]&amp;"Policia 4"&amp;Tabela1[[#This Row],[SETOR]],BD!A:AF,26,0),"")</f>
        <v/>
      </c>
      <c r="BB6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4" s="21">
        <f>IFERROR(AVERAGE(Tabela1[[#This Row],[M]:[M4]]),"")</f>
        <v>0</v>
      </c>
      <c r="BD64" s="21" t="str">
        <f>IFERROR(AVERAGE(Tabela1[[#This Row],[C]:[C4]]),"")</f>
        <v/>
      </c>
      <c r="BE64" s="21" t="str">
        <f>IFERROR(AVERAGE(Tabela1[[#This Row],[PA2]:[PA 4]]),"")</f>
        <v/>
      </c>
      <c r="BF64" s="21" t="str">
        <f>IFERROR(AVERAGE(Tabela1[[#This Row],[PL]:[PL4]]),"")</f>
        <v/>
      </c>
      <c r="BG64" s="35" t="str">
        <f>IFERROR(VLOOKUP(Tabela1[[#This Row],[MÊS]]&amp;Tabela1[[#This Row],[MATRICULA]],#REF!,2,0),"")</f>
        <v/>
      </c>
      <c r="BH64" s="35" t="str">
        <f>IFERROR(VLOOKUP(Tabela1[[#This Row],[MÊS]]&amp;Tabela1[[#This Row],[MATRICULA]],#REF!,2,0),"")</f>
        <v/>
      </c>
      <c r="BI64" s="35" t="str">
        <f>IFERROR(VLOOKUP(Tabela1[[#This Row],[MÊS]]&amp;Tabela1[[#This Row],[MATRICULA]],#REF!,2,0),"")</f>
        <v/>
      </c>
      <c r="BJ64" s="35" t="str">
        <f>IFERROR(VLOOKUP(Tabela1[[#This Row],[MÊS]]&amp;Tabela1[[#This Row],[MATRICULA]],#REF!,2,0),"")</f>
        <v/>
      </c>
      <c r="BK64" s="35" t="str">
        <f>IFERROR(VLOOKUP(Tabela1[[#This Row],[MÊS]]&amp;Tabela1[[#This Row],[MATRICULA]],#REF!,2,0),"")</f>
        <v/>
      </c>
      <c r="BL64" s="21">
        <f>COUNTIF(Tabela1[[#This Row],[MOT2]:[RECEPTIVA]],"NÃO ENCONTRADA")</f>
        <v>0</v>
      </c>
      <c r="BM64" s="135" t="str">
        <f>IFERROR(VLOOKUP(Tabela1[[#This Row],[MÊS]]&amp;Tabela1[[#This Row],[ID]]&amp;Tabela1[[#This Row],[MATRICULA]]&amp;"Motorista"&amp;Tabela1[[#This Row],[SETOR]],BD!A:AF,13,0),"")</f>
        <v/>
      </c>
      <c r="BN64" s="135" t="str">
        <f>IFERROR(VLOOKUP(Tabela1[[#This Row],[MÊS]]&amp;Tabela1[[#This Row],[ID]]&amp;Tabela1[[#This Row],[MATRICULA]]&amp;"Motorista 2"&amp;Tabela1[[#This Row],[SETOR]],BD!A:AF,13,0),"")</f>
        <v/>
      </c>
      <c r="BO64" s="135" t="str">
        <f>IFERROR(VLOOKUP(Tabela1[[#This Row],[MÊS]]&amp;Tabela1[[#This Row],[ID]]&amp;Tabela1[[#This Row],[MATRICULA]]&amp;"Motorista 3"&amp;Tabela1[[#This Row],[SETOR]],BD!A:AF,13,0),"")</f>
        <v/>
      </c>
      <c r="BP64" s="135" t="str">
        <f>IFERROR(VLOOKUP(Tabela1[[#This Row],[MÊS]]&amp;Tabela1[[#This Row],[ID]]&amp;Tabela1[[#This Row],[MATRICULA]]&amp;"Motorista 4"&amp;Tabela1[[#This Row],[SETOR]],BD!A:AF,13,0),"")</f>
        <v/>
      </c>
      <c r="BQ64" s="135" t="str">
        <f>IFERROR(AVERAGE(Tabela1[[#This Row],[DMOT]:[DMOT4]]),"")</f>
        <v/>
      </c>
      <c r="BR64" s="135" t="str">
        <f>IFERROR(VLOOKUP(Tabela1[[#This Row],[MÊS]]&amp;Tabela1[[#This Row],[ID]]&amp;Tabela1[[#This Row],[MATRICULA]]&amp;"Ponto de Apoio"&amp;Tabela1[[#This Row],[SETOR]],BD!A:AF,13,0),"")</f>
        <v/>
      </c>
      <c r="BS64" s="135" t="str">
        <f>IFERROR(VLOOKUP(Tabela1[[#This Row],[MÊS]]&amp;Tabela1[[#This Row],[ID]]&amp;Tabela1[[#This Row],[MATRICULA]]&amp;"Ponto de Apoio 2"&amp;Tabela1[[#This Row],[SETOR]],BD!A:AF,13,0),"")</f>
        <v/>
      </c>
      <c r="BT64" s="135" t="str">
        <f>IFERROR(VLOOKUP(Tabela1[[#This Row],[MÊS]]&amp;Tabela1[[#This Row],[ID]]&amp;Tabela1[[#This Row],[MATRICULA]]&amp;"Ponto de Apoio 3"&amp;Tabela1[[#This Row],[SETOR]],BD!A:AF,13,0),"")</f>
        <v/>
      </c>
      <c r="BU64" s="135" t="str">
        <f>IFERROR(VLOOKUP(Tabela1[[#This Row],[MÊS]]&amp;Tabela1[[#This Row],[ID]]&amp;Tabela1[[#This Row],[MATRICULA]]&amp;"Ponto de Apoio 4"&amp;Tabela1[[#This Row],[SETOR]],BD!A:AF,13,0),"")</f>
        <v/>
      </c>
      <c r="BV64" s="135" t="str">
        <f>IFERROR(AVERAGE(Tabela1[[#This Row],[DPA]:[DPA 4]]),"")</f>
        <v/>
      </c>
      <c r="BW64" s="135" t="str">
        <f>IFERROR(VLOOKUP(Tabela1[[#This Row],[MÊS]]&amp;Tabela1[[#This Row],[ID]]&amp;Tabela1[[#This Row],[MATRICULA]]&amp;"Cliente"&amp;Tabela1[[#This Row],[SETOR]],BD!A:AF,13,0),"")</f>
        <v/>
      </c>
      <c r="BX64" s="135" t="str">
        <f>IFERROR(VLOOKUP(Tabela1[[#This Row],[MÊS]]&amp;Tabela1[[#This Row],[ID]]&amp;Tabela1[[#This Row],[MATRICULA]]&amp;"cliente 2"&amp;Tabela1[[#This Row],[SETOR]],BD!A:AF,13,0),"")</f>
        <v/>
      </c>
      <c r="BY64" s="135" t="str">
        <f>IFERROR(VLOOKUP(Tabela1[[#This Row],[MÊS]]&amp;Tabela1[[#This Row],[ID]]&amp;Tabela1[[#This Row],[MATRICULA]]&amp;"cliente 3"&amp;Tabela1[[#This Row],[SETOR]],BD!A:AF,13,0),"")</f>
        <v/>
      </c>
      <c r="BZ64" s="135" t="str">
        <f>IFERROR(VLOOKUP(Tabela1[[#This Row],[MÊS]]&amp;Tabela1[[#This Row],[ID]]&amp;Tabela1[[#This Row],[MATRICULA]]&amp;"cliente 4"&amp;Tabela1[[#This Row],[SETOR]],BD!A:AF,13,0),"")</f>
        <v/>
      </c>
      <c r="CA64" s="135" t="str">
        <f>IFERROR(AVERAGE(Tabela1[[#This Row],[DCLI]:[DCLI 4]]),"")</f>
        <v/>
      </c>
      <c r="CB64" s="135" t="str">
        <f>IFERROR(VLOOKUP(Tabela1[[#This Row],[MÊS]]&amp;Tabela1[[#This Row],[ID]]&amp;Tabela1[[#This Row],[MATRICULA]]&amp;"Policia"&amp;Tabela1[[#This Row],[SETOR]],BD!A:AF,13,0),"")</f>
        <v/>
      </c>
      <c r="CC64" s="135" t="str">
        <f>IFERROR(VLOOKUP(Tabela1[[#This Row],[MÊS]]&amp;Tabela1[[#This Row],[ID]]&amp;Tabela1[[#This Row],[MATRICULA]]&amp;"Policia 2"&amp;Tabela1[[#This Row],[SETOR]],BD!A:AF,13,0),"")</f>
        <v/>
      </c>
      <c r="CD64" s="135"/>
      <c r="CE64" s="135"/>
      <c r="CF64" s="135" t="str">
        <f>IFERROR((AVERAGE(Tabela1[[#This Row],[DPOL1]:[DPOL4]])),"")</f>
        <v/>
      </c>
      <c r="CG64" s="21" t="str">
        <f>IFERROR(VLOOKUP(Tabela1[[#This Row],[ID]]&amp;Tabela1[[#This Row],[MÊS]]&amp;Tabela1[[#This Row],[MATRICULA]],#REF!,2,0),"")</f>
        <v/>
      </c>
      <c r="CH64" s="21" t="str">
        <f>IFERROR(VLOOKUP(Tabela1[[#This Row],[ID]]&amp;Tabela1[[#This Row],[MÊS]]&amp;Tabela1[[#This Row],[MATRICULA]],#REF!,2,0),"")</f>
        <v/>
      </c>
      <c r="CI64" s="21" t="str">
        <f>IFERROR(VLOOKUP(Tabela1[[#This Row],[MÊS]]&amp;Tabela1[[#This Row],[MATRICULA]],#REF!,2,0),"")</f>
        <v/>
      </c>
    </row>
    <row r="65" spans="1:87">
      <c r="A65" s="12" t="str">
        <f>Tabela1[[#This Row],[MÊS]]&amp;Tabela1[[#This Row],[MATRICULA]]&amp;Tabela1[[#This Row],[ID]]</f>
        <v>JAN41993</v>
      </c>
      <c r="B65" s="12" t="str">
        <f>Tabela1[[#This Row],[MÊS]]&amp;Tabela1[[#This Row],[ID]]&amp;Tabela1[[#This Row],[MATRICULA]]&amp;Tabela1[[#This Row],[SETOR]]</f>
        <v>JAN34199TRANSFERÊNCIA</v>
      </c>
      <c r="C65" s="130" t="e">
        <f>VLOOKUP(Tabela1[[#This Row],[MATRICULA]],'BD Campos'!A:D,5,0)</f>
        <v>#REF!</v>
      </c>
      <c r="D65" s="133" t="str">
        <f ca="1">IFERROR(SUM(TODAY()-Tabela1[[#This Row],[ADMISSÃO]]),"")</f>
        <v/>
      </c>
      <c r="E65" s="11" t="str">
        <f ca="1">IFERROR(TRUNC(Tabela1[[#This Row],[TEMPO DE CASA (DIAS)]]/30),"")</f>
        <v/>
      </c>
      <c r="F65" s="32" t="str">
        <f ca="1">IFERROR(SUM(Tabela1[[#This Row],[TEMPO DE CASA (MESES)]]/12),"")</f>
        <v/>
      </c>
      <c r="G65" s="133" t="str">
        <f ca="1">IF(Tabela1[[#This Row],[TEMPO DE CASA (DIAS)]]="","SEM DADOS",IF(Tabela1[[#This Row],[TEMPO DE CASA (DIAS)]]&gt;180,"&gt; 6 MESES","&lt; 6 MESES"))</f>
        <v>SEM DADOS</v>
      </c>
      <c r="H65" s="12" t="str">
        <f t="shared" si="7"/>
        <v>JANAdryan Celso3</v>
      </c>
      <c r="I65" s="12" t="str">
        <f>IFERROR(VLOOKUP(Tabela1[[#This Row],[MATRICULA]],'BD Campos'!A:F,7,0),"")</f>
        <v/>
      </c>
      <c r="J65" s="11">
        <v>3</v>
      </c>
      <c r="K65" s="11" t="s">
        <v>669</v>
      </c>
      <c r="L65" s="136">
        <v>4199</v>
      </c>
      <c r="M65" s="12" t="str">
        <f>IFERROR(VLOOKUP(Tabela1[[#This Row],[MATRICULA]],'BD Campos'!A:B,2,0),"")</f>
        <v>GUILHERME SCREMIN PAIXÃO</v>
      </c>
      <c r="N65" s="20">
        <f>IFERROR(AVERAGE(Tabela1[[#This Row],[A1]:[A4]]),"")</f>
        <v>7.8736499999999996</v>
      </c>
      <c r="O65" s="20" t="str">
        <f>IFERROR(IF(Tabela1[[#This Row],[SETOR]]="RECEPTIVO","",AVERAGE(Tabela1[[#This Row],[A5]:[A6]])),"")</f>
        <v/>
      </c>
      <c r="P65" s="20" t="str">
        <f>IFERROR(IF(Tabela1[[#This Row],[STATUS]]="INATIVO","INATIVO",IF(Tabela1[[#This Row],[STATUS]]="QRT","INATIVO",IF(Tabela1[[#This Row],[OPERACIONAL]]&gt;7.99999,"BOM","RUIM"))),"")</f>
        <v>RUIM</v>
      </c>
      <c r="Q65" s="21" t="s">
        <v>667</v>
      </c>
      <c r="R65" s="12" t="s">
        <v>677</v>
      </c>
      <c r="S65" s="12" t="s">
        <v>678</v>
      </c>
      <c r="T65" s="12" t="s">
        <v>192</v>
      </c>
      <c r="U6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5" s="12">
        <f>IF(AND(Tabela1[[#This Row],[SETOR]]="UTI",Tabela1[[#This Row],[M]]&lt;&gt;""),1,IF(AND(Tabela1[[#This Row],[SETOR]]="UTI (RJ)",Tabela1[[#This Row],[M]]&lt;&gt;""),1.5,0))</f>
        <v>0</v>
      </c>
      <c r="X65" s="12">
        <f>IF(AND(Tabela1[[#This Row],[SETOR]]="UTI",Tabela1[[#This Row],[PA2]]&lt;&gt;""),1,IF(AND(Tabela1[[#This Row],[SETOR]]="UTI (RJ)",Tabela1[[#This Row],[PA2]]&lt;&gt;""),0,0))</f>
        <v>0</v>
      </c>
      <c r="Y65" s="12">
        <f>IF(AND(Tabela1[[#This Row],[SETOR]]="UTI",Tabela1[[#This Row],[C]]&lt;&gt;""),1,IF(AND(Tabela1[[#This Row],[SETOR]]="UTI (RJ)",Tabela1[[#This Row],[C]]&lt;&gt;""),1.5,0))</f>
        <v>0</v>
      </c>
      <c r="Z65" s="12">
        <f>IF(AND(Tabela1[[#This Row],[SETOR]]="UTI",Tabela1[[#This Row],[PL]]&lt;&gt;""),1,IF(AND(Tabela1[[#This Row],[SETOR]]="UTI (RJ)",Tabela1[[#This Row],[PL]]&lt;&gt;""),1,0))</f>
        <v>0</v>
      </c>
      <c r="AA65" s="21">
        <f>IFERROR(VLOOKUP(Tabela1[[#This Row],[MÊS]]&amp;Tabela1[[#This Row],[MATRICULA]]&amp;"1"&amp;Tabela1[[#This Row],[SETOR]]&amp;"PADRÃO",BD!B:AF,31,0),"")</f>
        <v>8.8974999999999991</v>
      </c>
      <c r="AB65" s="21">
        <f>IFERROR(VLOOKUP(Tabela1[[#This Row],[MÊS]]&amp;Tabela1[[#This Row],[MATRICULA]]&amp;"2"&amp;Tabela1[[#This Row],[SETOR]]&amp;"PADRÃO",BD!B:AF,31,0),"")</f>
        <v>6.849800000000001</v>
      </c>
      <c r="AC65" s="21" t="str">
        <f>IFERROR(VLOOKUP(Tabela1[[#This Row],[MÊS]]&amp;Tabela1[[#This Row],[MATRICULA]]&amp;"3"&amp;Tabela1[[#This Row],[SETOR]]&amp;"PADRÃO",BD!B:AF,31,0),"")</f>
        <v/>
      </c>
      <c r="AD65" s="21" t="str">
        <f>IFERROR(VLOOKUP(Tabela1[[#This Row],[MÊS]]&amp;Tabela1[[#This Row],[MATRICULA]]&amp;"4"&amp;Tabela1[[#This Row],[SETOR]]&amp;"PADRÃO",BD!B:AF,25,0),"")</f>
        <v/>
      </c>
      <c r="AE65" s="21" t="str">
        <f>IFERROR(VLOOKUP(Tabela1[[#This Row],[MÊS]]&amp;Tabela1[[#This Row],[MATRICULA]]&amp;"5"&amp;Tabela1[[#This Row],[SETOR]]&amp;"PADRÃO",BD!B:AF,31,0),"")</f>
        <v/>
      </c>
      <c r="AF65" s="21" t="str">
        <f>IFERROR(VLOOKUP(Tabela1[[#This Row],[MÊS]]&amp;Tabela1[[#This Row],[MATRICULA]]&amp;"6"&amp;Tabela1[[#This Row],[SETOR]]&amp;"PADRÃO",BD!B:AF,31,0),"")</f>
        <v/>
      </c>
      <c r="AG65" s="21" t="str">
        <f>IFERROR(VLOOKUP(Tabela1[[#This Row],[MÊS]]&amp;Tabela1[[#This Row],[MATRICULA]]&amp;"7"&amp;Tabela1[[#This Row],[SETOR]]&amp;"PADRÃO",BD!B:AF,31,0),"")</f>
        <v/>
      </c>
      <c r="AH65" s="21" t="str">
        <f>IFERROR(VLOOKUP(Tabela1[[#This Row],[MÊS]]&amp;Tabela1[[#This Row],[ID]]&amp;Tabela1[[#This Row],[MATRICULA]]&amp;"Receptiva"&amp;Tabela1[[#This Row],[SETOR]],BD!A:AF,31,0),"")</f>
        <v/>
      </c>
      <c r="AI65" s="21" t="str">
        <f>IFERROR(VLOOKUP(Tabela1[[#This Row],[MÊS]]&amp;Tabela1[[#This Row],[ID]]&amp;Tabela1[[#This Row],[MATRICULA]]&amp;"Receptiva 2"&amp;Tabela1[[#This Row],[SETOR]],BD!A:AF,31,0),"")</f>
        <v/>
      </c>
      <c r="AJ65" s="21" t="str">
        <f>IFERROR(VLOOKUP(Tabela1[[#This Row],[MÊS]]&amp;Tabela1[[#This Row],[ID]]&amp;Tabela1[[#This Row],[MATRICULA]]&amp;"Receptiva 3"&amp;Tabela1[[#This Row],[SETOR]],BD!A:AF,31,0),"")</f>
        <v/>
      </c>
      <c r="AK65" s="21" t="str">
        <f>IFERROR(VLOOKUP(Tabela1[[#This Row],[MÊS]]&amp;Tabela1[[#This Row],[ID]]&amp;Tabela1[[#This Row],[MATRICULA]]&amp;"Receptiva 4"&amp;Tabela1[[#This Row],[SETOR]],BD!A:AF,31,0),"")</f>
        <v/>
      </c>
      <c r="AL65" s="21">
        <f>IFERROR(VLOOKUP(Tabela1[[#This Row],[MÊS]]&amp;Tabela1[[#This Row],[MATRICULA]]&amp;"Motorista"&amp;Tabela1[[#This Row],[SETOR]],BD!A:AF,31,0),"")</f>
        <v>0</v>
      </c>
      <c r="AM65" s="21" t="str">
        <f>IFERROR(VLOOKUP(Tabela1[[#This Row],[MÊS]]&amp;Tabela1[[#This Row],[ID]]&amp;Tabela1[[#This Row],[MATRICULA]]&amp;"Motorista 2"&amp;Tabela1[[#This Row],[SETOR]],BD!A:AF,26,0),"")</f>
        <v/>
      </c>
      <c r="AN65" s="21" t="str">
        <f>IFERROR(VLOOKUP(Tabela1[[#This Row],[MÊS]]&amp;Tabela1[[#This Row],[ID]]&amp;Tabela1[[#This Row],[MATRICULA]]&amp;"Motorista 3"&amp;Tabela1[[#This Row],[SETOR]],BD!A:AF,26,0),"")</f>
        <v/>
      </c>
      <c r="AO65" s="21" t="str">
        <f>IFERROR(VLOOKUP(Tabela1[[#This Row],[MÊS]]&amp;Tabela1[[#This Row],[ID]]&amp;Tabela1[[#This Row],[MATRICULA]]&amp;"Motorista 4"&amp;Tabela1[[#This Row],[SETOR]],BD!A:AF,26,0),"")</f>
        <v/>
      </c>
      <c r="AP65" s="21" t="str">
        <f>IFERROR(VLOOKUP(Tabela1[[#This Row],[MÊS]]&amp;Tabela1[[#This Row],[MATRICULA]]&amp;"Ponto de Apoio"&amp;Tabela1[[#This Row],[SETOR]],BD!A:AF,31,0),"")</f>
        <v/>
      </c>
      <c r="AQ65" s="21" t="str">
        <f>IFERROR(VLOOKUP(Tabela1[[#This Row],[MÊS]]&amp;Tabela1[[#This Row],[ID]]&amp;Tabela1[[#This Row],[MATRICULA]]&amp;"Ponto de Apoio 2"&amp;Tabela1[[#This Row],[SETOR]],BD!A:AF,26,0),"")</f>
        <v/>
      </c>
      <c r="AR65" s="36" t="str">
        <f>IFERROR(VLOOKUP(Tabela1[[#This Row],[MÊS]]&amp;Tabela1[[#This Row],[ID]]&amp;Tabela1[[#This Row],[MATRICULA]]&amp;"Ponto de Apoio 3"&amp;Tabela1[[#This Row],[SETOR]],BD!A:AF,26,0),"")</f>
        <v/>
      </c>
      <c r="AS65" s="36" t="str">
        <f>IFERROR(VLOOKUP(Tabela1[[#This Row],[MÊS]]&amp;Tabela1[[#This Row],[ID]]&amp;Tabela1[[#This Row],[MATRICULA]]&amp;"Ponto de Apoio 4"&amp;Tabela1[[#This Row],[SETOR]],BD!A:AF,26,0),"")</f>
        <v/>
      </c>
      <c r="AT65" s="21" t="str">
        <f>IFERROR(VLOOKUP(Tabela1[[#This Row],[MÊS]]&amp;Tabela1[[#This Row],[MATRICULA]]&amp;"Cliente"&amp;Tabela1[[#This Row],[SETOR]],BD!A:AF,31,0),"")</f>
        <v/>
      </c>
      <c r="AU65" s="21" t="str">
        <f>IFERROR(VLOOKUP(Tabela1[[#This Row],[MÊS]]&amp;Tabela1[[#This Row],[ID]]&amp;Tabela1[[#This Row],[MATRICULA]]&amp;"Cliente 2"&amp;Tabela1[[#This Row],[SETOR]],BD!A:AF,26,0),"")</f>
        <v/>
      </c>
      <c r="AX65" s="21" t="str">
        <f>IFERROR(VLOOKUP(Tabela1[[#This Row],[MÊS]]&amp;Tabela1[[#This Row],[MATRICULA]]&amp;"Policia"&amp;Tabela1[[#This Row],[SETOR]],BD!A:AF,31,0),"")</f>
        <v/>
      </c>
      <c r="AY65" s="21" t="str">
        <f>IFERROR(VLOOKUP(Tabela1[[#This Row],[MÊS]]&amp;Tabela1[[#This Row],[ID]]&amp;Tabela1[[#This Row],[MATRICULA]]&amp;"Policia 2"&amp;Tabela1[[#This Row],[SETOR]],BD!A:AF,26,0),"")</f>
        <v/>
      </c>
      <c r="AZ65" s="36" t="str">
        <f>IFERROR(VLOOKUP(Tabela1[[#This Row],[MÊS]]&amp;Tabela1[[#This Row],[ID]]&amp;Tabela1[[#This Row],[MATRICULA]]&amp;"Policia 3"&amp;Tabela1[[#This Row],[SETOR]],BD!A:AF,26,0),"")</f>
        <v/>
      </c>
      <c r="BA65" s="36" t="str">
        <f>IFERROR(VLOOKUP(Tabela1[[#This Row],[MÊS]]&amp;Tabela1[[#This Row],[ID]]&amp;Tabela1[[#This Row],[MATRICULA]]&amp;"Policia 4"&amp;Tabela1[[#This Row],[SETOR]],BD!A:AF,26,0),"")</f>
        <v/>
      </c>
      <c r="BB6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5" s="21">
        <f>IFERROR(AVERAGE(Tabela1[[#This Row],[M]:[M4]]),"")</f>
        <v>0</v>
      </c>
      <c r="BD65" s="21" t="str">
        <f>IFERROR(AVERAGE(Tabela1[[#This Row],[C]:[C4]]),"")</f>
        <v/>
      </c>
      <c r="BE65" s="21" t="str">
        <f>IFERROR(AVERAGE(Tabela1[[#This Row],[PA2]:[PA 4]]),"")</f>
        <v/>
      </c>
      <c r="BF65" s="21" t="str">
        <f>IFERROR(AVERAGE(Tabela1[[#This Row],[PL]:[PL4]]),"")</f>
        <v/>
      </c>
      <c r="BG65" s="35" t="str">
        <f>IFERROR(VLOOKUP(Tabela1[[#This Row],[MÊS]]&amp;Tabela1[[#This Row],[MATRICULA]],#REF!,2,0),"")</f>
        <v/>
      </c>
      <c r="BH65" s="35" t="str">
        <f>IFERROR(VLOOKUP(Tabela1[[#This Row],[MÊS]]&amp;Tabela1[[#This Row],[MATRICULA]],#REF!,2,0),"")</f>
        <v/>
      </c>
      <c r="BI65" s="35" t="str">
        <f>IFERROR(VLOOKUP(Tabela1[[#This Row],[MÊS]]&amp;Tabela1[[#This Row],[MATRICULA]],#REF!,2,0),"")</f>
        <v/>
      </c>
      <c r="BJ65" s="35" t="str">
        <f>IFERROR(VLOOKUP(Tabela1[[#This Row],[MÊS]]&amp;Tabela1[[#This Row],[MATRICULA]],#REF!,2,0),"")</f>
        <v/>
      </c>
      <c r="BK65" s="35" t="str">
        <f>IFERROR(VLOOKUP(Tabela1[[#This Row],[MÊS]]&amp;Tabela1[[#This Row],[MATRICULA]],#REF!,2,0),"")</f>
        <v/>
      </c>
      <c r="BL65" s="21">
        <f>COUNTIF(Tabela1[[#This Row],[MOT2]:[RECEPTIVA]],"NÃO ENCONTRADA")</f>
        <v>0</v>
      </c>
      <c r="BM65" s="135" t="str">
        <f>IFERROR(VLOOKUP(Tabela1[[#This Row],[MÊS]]&amp;Tabela1[[#This Row],[ID]]&amp;Tabela1[[#This Row],[MATRICULA]]&amp;"Motorista"&amp;Tabela1[[#This Row],[SETOR]],BD!A:AF,13,0),"")</f>
        <v/>
      </c>
      <c r="BN65" s="135" t="str">
        <f>IFERROR(VLOOKUP(Tabela1[[#This Row],[MÊS]]&amp;Tabela1[[#This Row],[ID]]&amp;Tabela1[[#This Row],[MATRICULA]]&amp;"Motorista 2"&amp;Tabela1[[#This Row],[SETOR]],BD!A:AF,13,0),"")</f>
        <v/>
      </c>
      <c r="BO65" s="135" t="str">
        <f>IFERROR(VLOOKUP(Tabela1[[#This Row],[MÊS]]&amp;Tabela1[[#This Row],[ID]]&amp;Tabela1[[#This Row],[MATRICULA]]&amp;"Motorista 3"&amp;Tabela1[[#This Row],[SETOR]],BD!A:AF,13,0),"")</f>
        <v/>
      </c>
      <c r="BP65" s="135" t="str">
        <f>IFERROR(VLOOKUP(Tabela1[[#This Row],[MÊS]]&amp;Tabela1[[#This Row],[ID]]&amp;Tabela1[[#This Row],[MATRICULA]]&amp;"Motorista 4"&amp;Tabela1[[#This Row],[SETOR]],BD!A:AF,13,0),"")</f>
        <v/>
      </c>
      <c r="BQ65" s="135" t="str">
        <f>IFERROR(AVERAGE(Tabela1[[#This Row],[DMOT]:[DMOT4]]),"")</f>
        <v/>
      </c>
      <c r="BR65" s="135" t="str">
        <f>IFERROR(VLOOKUP(Tabela1[[#This Row],[MÊS]]&amp;Tabela1[[#This Row],[ID]]&amp;Tabela1[[#This Row],[MATRICULA]]&amp;"Ponto de Apoio"&amp;Tabela1[[#This Row],[SETOR]],BD!A:AF,13,0),"")</f>
        <v/>
      </c>
      <c r="BS65" s="135" t="str">
        <f>IFERROR(VLOOKUP(Tabela1[[#This Row],[MÊS]]&amp;Tabela1[[#This Row],[ID]]&amp;Tabela1[[#This Row],[MATRICULA]]&amp;"Ponto de Apoio 2"&amp;Tabela1[[#This Row],[SETOR]],BD!A:AF,13,0),"")</f>
        <v/>
      </c>
      <c r="BT65" s="135" t="str">
        <f>IFERROR(VLOOKUP(Tabela1[[#This Row],[MÊS]]&amp;Tabela1[[#This Row],[ID]]&amp;Tabela1[[#This Row],[MATRICULA]]&amp;"Ponto de Apoio 3"&amp;Tabela1[[#This Row],[SETOR]],BD!A:AF,13,0),"")</f>
        <v/>
      </c>
      <c r="BU65" s="135" t="str">
        <f>IFERROR(VLOOKUP(Tabela1[[#This Row],[MÊS]]&amp;Tabela1[[#This Row],[ID]]&amp;Tabela1[[#This Row],[MATRICULA]]&amp;"Ponto de Apoio 4"&amp;Tabela1[[#This Row],[SETOR]],BD!A:AF,13,0),"")</f>
        <v/>
      </c>
      <c r="BV65" s="135" t="str">
        <f>IFERROR(AVERAGE(Tabela1[[#This Row],[DPA]:[DPA 4]]),"")</f>
        <v/>
      </c>
      <c r="BW65" s="135" t="str">
        <f>IFERROR(VLOOKUP(Tabela1[[#This Row],[MÊS]]&amp;Tabela1[[#This Row],[ID]]&amp;Tabela1[[#This Row],[MATRICULA]]&amp;"Cliente"&amp;Tabela1[[#This Row],[SETOR]],BD!A:AF,13,0),"")</f>
        <v/>
      </c>
      <c r="BX65" s="135" t="str">
        <f>IFERROR(VLOOKUP(Tabela1[[#This Row],[MÊS]]&amp;Tabela1[[#This Row],[ID]]&amp;Tabela1[[#This Row],[MATRICULA]]&amp;"cliente 2"&amp;Tabela1[[#This Row],[SETOR]],BD!A:AF,13,0),"")</f>
        <v/>
      </c>
      <c r="BY65" s="135" t="str">
        <f>IFERROR(VLOOKUP(Tabela1[[#This Row],[MÊS]]&amp;Tabela1[[#This Row],[ID]]&amp;Tabela1[[#This Row],[MATRICULA]]&amp;"cliente 3"&amp;Tabela1[[#This Row],[SETOR]],BD!A:AF,13,0),"")</f>
        <v/>
      </c>
      <c r="BZ65" s="135" t="str">
        <f>IFERROR(VLOOKUP(Tabela1[[#This Row],[MÊS]]&amp;Tabela1[[#This Row],[ID]]&amp;Tabela1[[#This Row],[MATRICULA]]&amp;"cliente 4"&amp;Tabela1[[#This Row],[SETOR]],BD!A:AF,13,0),"")</f>
        <v/>
      </c>
      <c r="CA65" s="135" t="str">
        <f>IFERROR(AVERAGE(Tabela1[[#This Row],[DCLI]:[DCLI 4]]),"")</f>
        <v/>
      </c>
      <c r="CB65" s="135" t="str">
        <f>IFERROR(VLOOKUP(Tabela1[[#This Row],[MÊS]]&amp;Tabela1[[#This Row],[ID]]&amp;Tabela1[[#This Row],[MATRICULA]]&amp;"Policia"&amp;Tabela1[[#This Row],[SETOR]],BD!A:AF,13,0),"")</f>
        <v/>
      </c>
      <c r="CC65" s="135" t="str">
        <f>IFERROR(VLOOKUP(Tabela1[[#This Row],[MÊS]]&amp;Tabela1[[#This Row],[ID]]&amp;Tabela1[[#This Row],[MATRICULA]]&amp;"Policia 2"&amp;Tabela1[[#This Row],[SETOR]],BD!A:AF,13,0),"")</f>
        <v/>
      </c>
      <c r="CD65" s="135"/>
      <c r="CE65" s="135"/>
      <c r="CF65" s="135" t="str">
        <f>IFERROR((AVERAGE(Tabela1[[#This Row],[DPOL1]:[DPOL4]])),"")</f>
        <v/>
      </c>
      <c r="CG65" s="21" t="str">
        <f>IFERROR(VLOOKUP(Tabela1[[#This Row],[ID]]&amp;Tabela1[[#This Row],[MÊS]]&amp;Tabela1[[#This Row],[MATRICULA]],#REF!,2,0),"")</f>
        <v/>
      </c>
      <c r="CH65" s="21" t="str">
        <f>IFERROR(VLOOKUP(Tabela1[[#This Row],[ID]]&amp;Tabela1[[#This Row],[MÊS]]&amp;Tabela1[[#This Row],[MATRICULA]],#REF!,2,0),"")</f>
        <v/>
      </c>
      <c r="CI65" s="21" t="str">
        <f>IFERROR(VLOOKUP(Tabela1[[#This Row],[MÊS]]&amp;Tabela1[[#This Row],[MATRICULA]],#REF!,2,0),"")</f>
        <v/>
      </c>
    </row>
    <row r="66" spans="1:87">
      <c r="A66" s="12" t="str">
        <f>Tabela1[[#This Row],[MÊS]]&amp;Tabela1[[#This Row],[MATRICULA]]&amp;Tabela1[[#This Row],[ID]]</f>
        <v>JAN42084</v>
      </c>
      <c r="B66" s="12" t="str">
        <f>Tabela1[[#This Row],[MÊS]]&amp;Tabela1[[#This Row],[ID]]&amp;Tabela1[[#This Row],[MATRICULA]]&amp;Tabela1[[#This Row],[SETOR]]</f>
        <v>JAN44208TRANSFERÊNCIA</v>
      </c>
      <c r="C66" s="130" t="e">
        <f>VLOOKUP(Tabela1[[#This Row],[MATRICULA]],'BD Campos'!A:D,5,0)</f>
        <v>#REF!</v>
      </c>
      <c r="D66" s="133" t="str">
        <f ca="1">IFERROR(SUM(TODAY()-Tabela1[[#This Row],[ADMISSÃO]]),"")</f>
        <v/>
      </c>
      <c r="E66" s="11" t="str">
        <f ca="1">IFERROR(TRUNC(Tabela1[[#This Row],[TEMPO DE CASA (DIAS)]]/30),"")</f>
        <v/>
      </c>
      <c r="F66" s="32" t="str">
        <f ca="1">IFERROR(SUM(Tabela1[[#This Row],[TEMPO DE CASA (MESES)]]/12),"")</f>
        <v/>
      </c>
      <c r="G66" s="133" t="str">
        <f ca="1">IF(Tabela1[[#This Row],[TEMPO DE CASA (DIAS)]]="","SEM DADOS",IF(Tabela1[[#This Row],[TEMPO DE CASA (DIAS)]]&gt;180,"&gt; 6 MESES","&lt; 6 MESES"))</f>
        <v>SEM DADOS</v>
      </c>
      <c r="H66" s="12" t="str">
        <f t="shared" si="7"/>
        <v>JANAdryan Celso4</v>
      </c>
      <c r="I66" s="12" t="str">
        <f>IFERROR(VLOOKUP(Tabela1[[#This Row],[MATRICULA]],'BD Campos'!A:F,7,0),"")</f>
        <v/>
      </c>
      <c r="J66" s="11">
        <v>4</v>
      </c>
      <c r="K66" s="11" t="s">
        <v>669</v>
      </c>
      <c r="L66" s="136">
        <v>4208</v>
      </c>
      <c r="M66" s="12" t="str">
        <f>IFERROR(VLOOKUP(Tabela1[[#This Row],[MATRICULA]],'BD Campos'!A:B,2,0),"")</f>
        <v>ANA CLARA ALVES PEREIRA</v>
      </c>
      <c r="N66" s="20">
        <f>IFERROR(AVERAGE(Tabela1[[#This Row],[A1]:[A4]]),"")</f>
        <v>6.7082500000000005</v>
      </c>
      <c r="O66" s="20" t="str">
        <f>IFERROR(IF(Tabela1[[#This Row],[SETOR]]="RECEPTIVO","",AVERAGE(Tabela1[[#This Row],[A5]:[A6]])),"")</f>
        <v/>
      </c>
      <c r="P66" s="20" t="str">
        <f>IFERROR(IF(Tabela1[[#This Row],[STATUS]]="INATIVO","INATIVO",IF(Tabela1[[#This Row],[STATUS]]="QRT","INATIVO",IF(Tabela1[[#This Row],[OPERACIONAL]]&gt;7.99999,"BOM","RUIM"))),"")</f>
        <v>RUIM</v>
      </c>
      <c r="Q66" s="21" t="s">
        <v>667</v>
      </c>
      <c r="R66" s="12" t="s">
        <v>677</v>
      </c>
      <c r="S66" s="12" t="s">
        <v>678</v>
      </c>
      <c r="T66" s="12" t="s">
        <v>192</v>
      </c>
      <c r="U6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6" s="12">
        <f>IF(AND(Tabela1[[#This Row],[SETOR]]="UTI",Tabela1[[#This Row],[M]]&lt;&gt;""),1,IF(AND(Tabela1[[#This Row],[SETOR]]="UTI (RJ)",Tabela1[[#This Row],[M]]&lt;&gt;""),1.5,0))</f>
        <v>0</v>
      </c>
      <c r="X66" s="12">
        <f>IF(AND(Tabela1[[#This Row],[SETOR]]="UTI",Tabela1[[#This Row],[PA2]]&lt;&gt;""),1,IF(AND(Tabela1[[#This Row],[SETOR]]="UTI (RJ)",Tabela1[[#This Row],[PA2]]&lt;&gt;""),0,0))</f>
        <v>0</v>
      </c>
      <c r="Y66" s="12">
        <f>IF(AND(Tabela1[[#This Row],[SETOR]]="UTI",Tabela1[[#This Row],[C]]&lt;&gt;""),1,IF(AND(Tabela1[[#This Row],[SETOR]]="UTI (RJ)",Tabela1[[#This Row],[C]]&lt;&gt;""),1.5,0))</f>
        <v>0</v>
      </c>
      <c r="Z66" s="12">
        <f>IF(AND(Tabela1[[#This Row],[SETOR]]="UTI",Tabela1[[#This Row],[PL]]&lt;&gt;""),1,IF(AND(Tabela1[[#This Row],[SETOR]]="UTI (RJ)",Tabela1[[#This Row],[PL]]&lt;&gt;""),1,0))</f>
        <v>0</v>
      </c>
      <c r="AA66" s="21">
        <f>IFERROR(VLOOKUP(Tabela1[[#This Row],[MÊS]]&amp;Tabela1[[#This Row],[MATRICULA]]&amp;"1"&amp;Tabela1[[#This Row],[SETOR]]&amp;"PADRÃO",BD!B:AF,31,0),"")</f>
        <v>7.3014999999999999</v>
      </c>
      <c r="AB66" s="21">
        <f>IFERROR(VLOOKUP(Tabela1[[#This Row],[MÊS]]&amp;Tabela1[[#This Row],[MATRICULA]]&amp;"2"&amp;Tabela1[[#This Row],[SETOR]]&amp;"PADRÃO",BD!B:AF,31,0),"")</f>
        <v>6.1150000000000011</v>
      </c>
      <c r="AC66" s="21" t="str">
        <f>IFERROR(VLOOKUP(Tabela1[[#This Row],[MÊS]]&amp;Tabela1[[#This Row],[MATRICULA]]&amp;"3"&amp;Tabela1[[#This Row],[SETOR]]&amp;"PADRÃO",BD!B:AF,31,0),"")</f>
        <v/>
      </c>
      <c r="AD66" s="21" t="str">
        <f>IFERROR(VLOOKUP(Tabela1[[#This Row],[MÊS]]&amp;Tabela1[[#This Row],[MATRICULA]]&amp;"4"&amp;Tabela1[[#This Row],[SETOR]]&amp;"PADRÃO",BD!B:AF,25,0),"")</f>
        <v/>
      </c>
      <c r="AE66" s="21" t="str">
        <f>IFERROR(VLOOKUP(Tabela1[[#This Row],[MÊS]]&amp;Tabela1[[#This Row],[MATRICULA]]&amp;"5"&amp;Tabela1[[#This Row],[SETOR]]&amp;"PADRÃO",BD!B:AF,31,0),"")</f>
        <v/>
      </c>
      <c r="AF66" s="21" t="str">
        <f>IFERROR(VLOOKUP(Tabela1[[#This Row],[MÊS]]&amp;Tabela1[[#This Row],[MATRICULA]]&amp;"6"&amp;Tabela1[[#This Row],[SETOR]]&amp;"PADRÃO",BD!B:AF,31,0),"")</f>
        <v/>
      </c>
      <c r="AG66" s="21" t="str">
        <f>IFERROR(VLOOKUP(Tabela1[[#This Row],[MÊS]]&amp;Tabela1[[#This Row],[MATRICULA]]&amp;"7"&amp;Tabela1[[#This Row],[SETOR]]&amp;"PADRÃO",BD!B:AF,31,0),"")</f>
        <v/>
      </c>
      <c r="AH66" s="21" t="str">
        <f>IFERROR(VLOOKUP(Tabela1[[#This Row],[MÊS]]&amp;Tabela1[[#This Row],[ID]]&amp;Tabela1[[#This Row],[MATRICULA]]&amp;"Receptiva"&amp;Tabela1[[#This Row],[SETOR]],BD!A:AF,31,0),"")</f>
        <v/>
      </c>
      <c r="AI66" s="21" t="str">
        <f>IFERROR(VLOOKUP(Tabela1[[#This Row],[MÊS]]&amp;Tabela1[[#This Row],[ID]]&amp;Tabela1[[#This Row],[MATRICULA]]&amp;"Receptiva 2"&amp;Tabela1[[#This Row],[SETOR]],BD!A:AF,31,0),"")</f>
        <v/>
      </c>
      <c r="AJ66" s="21" t="str">
        <f>IFERROR(VLOOKUP(Tabela1[[#This Row],[MÊS]]&amp;Tabela1[[#This Row],[ID]]&amp;Tabela1[[#This Row],[MATRICULA]]&amp;"Receptiva 3"&amp;Tabela1[[#This Row],[SETOR]],BD!A:AF,31,0),"")</f>
        <v/>
      </c>
      <c r="AK66" s="21" t="str">
        <f>IFERROR(VLOOKUP(Tabela1[[#This Row],[MÊS]]&amp;Tabela1[[#This Row],[ID]]&amp;Tabela1[[#This Row],[MATRICULA]]&amp;"Receptiva 4"&amp;Tabela1[[#This Row],[SETOR]],BD!A:AF,31,0),"")</f>
        <v/>
      </c>
      <c r="AL66" s="21">
        <f>IFERROR(VLOOKUP(Tabela1[[#This Row],[MÊS]]&amp;Tabela1[[#This Row],[MATRICULA]]&amp;"Motorista"&amp;Tabela1[[#This Row],[SETOR]],BD!A:AF,31,0),"")</f>
        <v>0</v>
      </c>
      <c r="AM66" s="21" t="str">
        <f>IFERROR(VLOOKUP(Tabela1[[#This Row],[MÊS]]&amp;Tabela1[[#This Row],[ID]]&amp;Tabela1[[#This Row],[MATRICULA]]&amp;"Motorista 2"&amp;Tabela1[[#This Row],[SETOR]],BD!A:AF,26,0),"")</f>
        <v/>
      </c>
      <c r="AN66" s="21" t="str">
        <f>IFERROR(VLOOKUP(Tabela1[[#This Row],[MÊS]]&amp;Tabela1[[#This Row],[ID]]&amp;Tabela1[[#This Row],[MATRICULA]]&amp;"Motorista 3"&amp;Tabela1[[#This Row],[SETOR]],BD!A:AF,26,0),"")</f>
        <v/>
      </c>
      <c r="AO66" s="21" t="str">
        <f>IFERROR(VLOOKUP(Tabela1[[#This Row],[MÊS]]&amp;Tabela1[[#This Row],[ID]]&amp;Tabela1[[#This Row],[MATRICULA]]&amp;"Motorista 4"&amp;Tabela1[[#This Row],[SETOR]],BD!A:AF,26,0),"")</f>
        <v/>
      </c>
      <c r="AP66" s="21" t="str">
        <f>IFERROR(VLOOKUP(Tabela1[[#This Row],[MÊS]]&amp;Tabela1[[#This Row],[MATRICULA]]&amp;"Ponto de Apoio"&amp;Tabela1[[#This Row],[SETOR]],BD!A:AF,31,0),"")</f>
        <v/>
      </c>
      <c r="AQ66" s="21" t="str">
        <f>IFERROR(VLOOKUP(Tabela1[[#This Row],[MÊS]]&amp;Tabela1[[#This Row],[ID]]&amp;Tabela1[[#This Row],[MATRICULA]]&amp;"Ponto de Apoio 2"&amp;Tabela1[[#This Row],[SETOR]],BD!A:AF,26,0),"")</f>
        <v/>
      </c>
      <c r="AR66" s="36" t="str">
        <f>IFERROR(VLOOKUP(Tabela1[[#This Row],[MÊS]]&amp;Tabela1[[#This Row],[ID]]&amp;Tabela1[[#This Row],[MATRICULA]]&amp;"Ponto de Apoio 3"&amp;Tabela1[[#This Row],[SETOR]],BD!A:AF,26,0),"")</f>
        <v/>
      </c>
      <c r="AS66" s="36" t="str">
        <f>IFERROR(VLOOKUP(Tabela1[[#This Row],[MÊS]]&amp;Tabela1[[#This Row],[ID]]&amp;Tabela1[[#This Row],[MATRICULA]]&amp;"Ponto de Apoio 4"&amp;Tabela1[[#This Row],[SETOR]],BD!A:AF,26,0),"")</f>
        <v/>
      </c>
      <c r="AT66" s="21">
        <f>IFERROR(VLOOKUP(Tabela1[[#This Row],[MÊS]]&amp;Tabela1[[#This Row],[MATRICULA]]&amp;"Cliente"&amp;Tabela1[[#This Row],[SETOR]],BD!A:AF,31,0),"")</f>
        <v>0</v>
      </c>
      <c r="AU66" s="21" t="str">
        <f>IFERROR(VLOOKUP(Tabela1[[#This Row],[MÊS]]&amp;Tabela1[[#This Row],[ID]]&amp;Tabela1[[#This Row],[MATRICULA]]&amp;"Cliente 2"&amp;Tabela1[[#This Row],[SETOR]],BD!A:AF,26,0),"")</f>
        <v/>
      </c>
      <c r="AX66" s="21" t="str">
        <f>IFERROR(VLOOKUP(Tabela1[[#This Row],[MÊS]]&amp;Tabela1[[#This Row],[MATRICULA]]&amp;"Policia"&amp;Tabela1[[#This Row],[SETOR]],BD!A:AF,31,0),"")</f>
        <v/>
      </c>
      <c r="AY66" s="21" t="str">
        <f>IFERROR(VLOOKUP(Tabela1[[#This Row],[MÊS]]&amp;Tabela1[[#This Row],[ID]]&amp;Tabela1[[#This Row],[MATRICULA]]&amp;"Policia 2"&amp;Tabela1[[#This Row],[SETOR]],BD!A:AF,26,0),"")</f>
        <v/>
      </c>
      <c r="AZ66" s="36" t="str">
        <f>IFERROR(VLOOKUP(Tabela1[[#This Row],[MÊS]]&amp;Tabela1[[#This Row],[ID]]&amp;Tabela1[[#This Row],[MATRICULA]]&amp;"Policia 3"&amp;Tabela1[[#This Row],[SETOR]],BD!A:AF,26,0),"")</f>
        <v/>
      </c>
      <c r="BA66" s="36" t="str">
        <f>IFERROR(VLOOKUP(Tabela1[[#This Row],[MÊS]]&amp;Tabela1[[#This Row],[ID]]&amp;Tabela1[[#This Row],[MATRICULA]]&amp;"Policia 4"&amp;Tabela1[[#This Row],[SETOR]],BD!A:AF,26,0),"")</f>
        <v/>
      </c>
      <c r="BB6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6" s="21">
        <f>IFERROR(AVERAGE(Tabela1[[#This Row],[M]:[M4]]),"")</f>
        <v>0</v>
      </c>
      <c r="BD66" s="21">
        <f>IFERROR(AVERAGE(Tabela1[[#This Row],[C]:[C4]]),"")</f>
        <v>0</v>
      </c>
      <c r="BE66" s="21" t="str">
        <f>IFERROR(AVERAGE(Tabela1[[#This Row],[PA2]:[PA 4]]),"")</f>
        <v/>
      </c>
      <c r="BF66" s="21" t="str">
        <f>IFERROR(AVERAGE(Tabela1[[#This Row],[PL]:[PL4]]),"")</f>
        <v/>
      </c>
      <c r="BG66" s="35" t="str">
        <f>IFERROR(VLOOKUP(Tabela1[[#This Row],[MÊS]]&amp;Tabela1[[#This Row],[MATRICULA]],#REF!,2,0),"")</f>
        <v/>
      </c>
      <c r="BH66" s="35" t="str">
        <f>IFERROR(VLOOKUP(Tabela1[[#This Row],[MÊS]]&amp;Tabela1[[#This Row],[MATRICULA]],#REF!,2,0),"")</f>
        <v/>
      </c>
      <c r="BI66" s="35" t="str">
        <f>IFERROR(VLOOKUP(Tabela1[[#This Row],[MÊS]]&amp;Tabela1[[#This Row],[MATRICULA]],#REF!,2,0),"")</f>
        <v/>
      </c>
      <c r="BJ66" s="35" t="str">
        <f>IFERROR(VLOOKUP(Tabela1[[#This Row],[MÊS]]&amp;Tabela1[[#This Row],[MATRICULA]],#REF!,2,0),"")</f>
        <v/>
      </c>
      <c r="BK66" s="35" t="str">
        <f>IFERROR(VLOOKUP(Tabela1[[#This Row],[MÊS]]&amp;Tabela1[[#This Row],[MATRICULA]],#REF!,2,0),"")</f>
        <v/>
      </c>
      <c r="BL66" s="21">
        <f>COUNTIF(Tabela1[[#This Row],[MOT2]:[RECEPTIVA]],"NÃO ENCONTRADA")</f>
        <v>0</v>
      </c>
      <c r="BM66" s="135" t="str">
        <f>IFERROR(VLOOKUP(Tabela1[[#This Row],[MÊS]]&amp;Tabela1[[#This Row],[ID]]&amp;Tabela1[[#This Row],[MATRICULA]]&amp;"Motorista"&amp;Tabela1[[#This Row],[SETOR]],BD!A:AF,13,0),"")</f>
        <v/>
      </c>
      <c r="BN66" s="135" t="str">
        <f>IFERROR(VLOOKUP(Tabela1[[#This Row],[MÊS]]&amp;Tabela1[[#This Row],[ID]]&amp;Tabela1[[#This Row],[MATRICULA]]&amp;"Motorista 2"&amp;Tabela1[[#This Row],[SETOR]],BD!A:AF,13,0),"")</f>
        <v/>
      </c>
      <c r="BO66" s="135" t="str">
        <f>IFERROR(VLOOKUP(Tabela1[[#This Row],[MÊS]]&amp;Tabela1[[#This Row],[ID]]&amp;Tabela1[[#This Row],[MATRICULA]]&amp;"Motorista 3"&amp;Tabela1[[#This Row],[SETOR]],BD!A:AF,13,0),"")</f>
        <v/>
      </c>
      <c r="BP66" s="135" t="str">
        <f>IFERROR(VLOOKUP(Tabela1[[#This Row],[MÊS]]&amp;Tabela1[[#This Row],[ID]]&amp;Tabela1[[#This Row],[MATRICULA]]&amp;"Motorista 4"&amp;Tabela1[[#This Row],[SETOR]],BD!A:AF,13,0),"")</f>
        <v/>
      </c>
      <c r="BQ66" s="135" t="str">
        <f>IFERROR(AVERAGE(Tabela1[[#This Row],[DMOT]:[DMOT4]]),"")</f>
        <v/>
      </c>
      <c r="BR66" s="135" t="str">
        <f>IFERROR(VLOOKUP(Tabela1[[#This Row],[MÊS]]&amp;Tabela1[[#This Row],[ID]]&amp;Tabela1[[#This Row],[MATRICULA]]&amp;"Ponto de Apoio"&amp;Tabela1[[#This Row],[SETOR]],BD!A:AF,13,0),"")</f>
        <v/>
      </c>
      <c r="BS66" s="135" t="str">
        <f>IFERROR(VLOOKUP(Tabela1[[#This Row],[MÊS]]&amp;Tabela1[[#This Row],[ID]]&amp;Tabela1[[#This Row],[MATRICULA]]&amp;"Ponto de Apoio 2"&amp;Tabela1[[#This Row],[SETOR]],BD!A:AF,13,0),"")</f>
        <v/>
      </c>
      <c r="BT66" s="135" t="str">
        <f>IFERROR(VLOOKUP(Tabela1[[#This Row],[MÊS]]&amp;Tabela1[[#This Row],[ID]]&amp;Tabela1[[#This Row],[MATRICULA]]&amp;"Ponto de Apoio 3"&amp;Tabela1[[#This Row],[SETOR]],BD!A:AF,13,0),"")</f>
        <v/>
      </c>
      <c r="BU66" s="135" t="str">
        <f>IFERROR(VLOOKUP(Tabela1[[#This Row],[MÊS]]&amp;Tabela1[[#This Row],[ID]]&amp;Tabela1[[#This Row],[MATRICULA]]&amp;"Ponto de Apoio 4"&amp;Tabela1[[#This Row],[SETOR]],BD!A:AF,13,0),"")</f>
        <v/>
      </c>
      <c r="BV66" s="135" t="str">
        <f>IFERROR(AVERAGE(Tabela1[[#This Row],[DPA]:[DPA 4]]),"")</f>
        <v/>
      </c>
      <c r="BW66" s="135" t="str">
        <f>IFERROR(VLOOKUP(Tabela1[[#This Row],[MÊS]]&amp;Tabela1[[#This Row],[ID]]&amp;Tabela1[[#This Row],[MATRICULA]]&amp;"Cliente"&amp;Tabela1[[#This Row],[SETOR]],BD!A:AF,13,0),"")</f>
        <v/>
      </c>
      <c r="BX66" s="135" t="str">
        <f>IFERROR(VLOOKUP(Tabela1[[#This Row],[MÊS]]&amp;Tabela1[[#This Row],[ID]]&amp;Tabela1[[#This Row],[MATRICULA]]&amp;"cliente 2"&amp;Tabela1[[#This Row],[SETOR]],BD!A:AF,13,0),"")</f>
        <v/>
      </c>
      <c r="BY66" s="135" t="str">
        <f>IFERROR(VLOOKUP(Tabela1[[#This Row],[MÊS]]&amp;Tabela1[[#This Row],[ID]]&amp;Tabela1[[#This Row],[MATRICULA]]&amp;"cliente 3"&amp;Tabela1[[#This Row],[SETOR]],BD!A:AF,13,0),"")</f>
        <v/>
      </c>
      <c r="BZ66" s="135" t="str">
        <f>IFERROR(VLOOKUP(Tabela1[[#This Row],[MÊS]]&amp;Tabela1[[#This Row],[ID]]&amp;Tabela1[[#This Row],[MATRICULA]]&amp;"cliente 4"&amp;Tabela1[[#This Row],[SETOR]],BD!A:AF,13,0),"")</f>
        <v/>
      </c>
      <c r="CA66" s="135" t="str">
        <f>IFERROR(AVERAGE(Tabela1[[#This Row],[DCLI]:[DCLI 4]]),"")</f>
        <v/>
      </c>
      <c r="CB66" s="135" t="str">
        <f>IFERROR(VLOOKUP(Tabela1[[#This Row],[MÊS]]&amp;Tabela1[[#This Row],[ID]]&amp;Tabela1[[#This Row],[MATRICULA]]&amp;"Policia"&amp;Tabela1[[#This Row],[SETOR]],BD!A:AF,13,0),"")</f>
        <v/>
      </c>
      <c r="CC66" s="135" t="str">
        <f>IFERROR(VLOOKUP(Tabela1[[#This Row],[MÊS]]&amp;Tabela1[[#This Row],[ID]]&amp;Tabela1[[#This Row],[MATRICULA]]&amp;"Policia 2"&amp;Tabela1[[#This Row],[SETOR]],BD!A:AF,13,0),"")</f>
        <v/>
      </c>
      <c r="CD66" s="135"/>
      <c r="CE66" s="135"/>
      <c r="CF66" s="135" t="str">
        <f>IFERROR((AVERAGE(Tabela1[[#This Row],[DPOL1]:[DPOL4]])),"")</f>
        <v/>
      </c>
      <c r="CG66" s="21" t="str">
        <f>IFERROR(VLOOKUP(Tabela1[[#This Row],[ID]]&amp;Tabela1[[#This Row],[MÊS]]&amp;Tabela1[[#This Row],[MATRICULA]],#REF!,2,0),"")</f>
        <v/>
      </c>
      <c r="CH66" s="21" t="str">
        <f>IFERROR(VLOOKUP(Tabela1[[#This Row],[ID]]&amp;Tabela1[[#This Row],[MÊS]]&amp;Tabela1[[#This Row],[MATRICULA]],#REF!,2,0),"")</f>
        <v/>
      </c>
      <c r="CI66" s="21" t="str">
        <f>IFERROR(VLOOKUP(Tabela1[[#This Row],[MÊS]]&amp;Tabela1[[#This Row],[MATRICULA]],#REF!,2,0),"")</f>
        <v/>
      </c>
    </row>
    <row r="67" spans="1:87">
      <c r="A67" s="12" t="str">
        <f>Tabela1[[#This Row],[MÊS]]&amp;Tabela1[[#This Row],[MATRICULA]]&amp;Tabela1[[#This Row],[ID]]</f>
        <v>JAN42145</v>
      </c>
      <c r="B67" s="12" t="str">
        <f>Tabela1[[#This Row],[MÊS]]&amp;Tabela1[[#This Row],[ID]]&amp;Tabela1[[#This Row],[MATRICULA]]&amp;Tabela1[[#This Row],[SETOR]]</f>
        <v>JAN54214TRANSFERÊNCIA</v>
      </c>
      <c r="C67" s="130" t="e">
        <f>VLOOKUP(Tabela1[[#This Row],[MATRICULA]],'BD Campos'!A:D,5,0)</f>
        <v>#REF!</v>
      </c>
      <c r="D67" s="133" t="str">
        <f ca="1">IFERROR(SUM(TODAY()-Tabela1[[#This Row],[ADMISSÃO]]),"")</f>
        <v/>
      </c>
      <c r="E67" s="11" t="str">
        <f ca="1">IFERROR(TRUNC(Tabela1[[#This Row],[TEMPO DE CASA (DIAS)]]/30),"")</f>
        <v/>
      </c>
      <c r="F67" s="32" t="str">
        <f ca="1">IFERROR(SUM(Tabela1[[#This Row],[TEMPO DE CASA (MESES)]]/12),"")</f>
        <v/>
      </c>
      <c r="G67" s="133" t="str">
        <f ca="1">IF(Tabela1[[#This Row],[TEMPO DE CASA (DIAS)]]="","SEM DADOS",IF(Tabela1[[#This Row],[TEMPO DE CASA (DIAS)]]&gt;180,"&gt; 6 MESES","&lt; 6 MESES"))</f>
        <v>SEM DADOS</v>
      </c>
      <c r="H67" s="12" t="str">
        <f t="shared" si="7"/>
        <v>JANAdryan Celso5</v>
      </c>
      <c r="I67" s="12" t="str">
        <f>IFERROR(VLOOKUP(Tabela1[[#This Row],[MATRICULA]],'BD Campos'!A:F,7,0),"")</f>
        <v/>
      </c>
      <c r="J67" s="11">
        <v>5</v>
      </c>
      <c r="K67" s="11" t="s">
        <v>669</v>
      </c>
      <c r="L67" s="136">
        <v>4214</v>
      </c>
      <c r="M67" s="12" t="str">
        <f>IFERROR(VLOOKUP(Tabela1[[#This Row],[MATRICULA]],'BD Campos'!A:B,2,0),"")</f>
        <v>JOSE FERNANDO ALVES DE MATOS</v>
      </c>
      <c r="N67" s="20">
        <f>IFERROR(AVERAGE(Tabela1[[#This Row],[A1]:[A4]]),"")</f>
        <v>0</v>
      </c>
      <c r="O67" s="20" t="str">
        <f>IFERROR(IF(Tabela1[[#This Row],[SETOR]]="RECEPTIVO","",AVERAGE(Tabela1[[#This Row],[A5]:[A6]])),"")</f>
        <v/>
      </c>
      <c r="P67" s="20" t="str">
        <f>IFERROR(IF(Tabela1[[#This Row],[STATUS]]="INATIVO","INATIVO",IF(Tabela1[[#This Row],[STATUS]]="QRT","INATIVO",IF(Tabela1[[#This Row],[OPERACIONAL]]&gt;7.99999,"BOM","RUIM"))),"")</f>
        <v>RUIM</v>
      </c>
      <c r="Q67" s="21" t="s">
        <v>667</v>
      </c>
      <c r="R67" s="12" t="s">
        <v>677</v>
      </c>
      <c r="S67" s="12" t="s">
        <v>678</v>
      </c>
      <c r="T67" s="12" t="s">
        <v>192</v>
      </c>
      <c r="U6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7" s="12">
        <f>IF(AND(Tabela1[[#This Row],[SETOR]]="UTI",Tabela1[[#This Row],[M]]&lt;&gt;""),1,IF(AND(Tabela1[[#This Row],[SETOR]]="UTI (RJ)",Tabela1[[#This Row],[M]]&lt;&gt;""),1.5,0))</f>
        <v>0</v>
      </c>
      <c r="X67" s="12">
        <f>IF(AND(Tabela1[[#This Row],[SETOR]]="UTI",Tabela1[[#This Row],[PA2]]&lt;&gt;""),1,IF(AND(Tabela1[[#This Row],[SETOR]]="UTI (RJ)",Tabela1[[#This Row],[PA2]]&lt;&gt;""),0,0))</f>
        <v>0</v>
      </c>
      <c r="Y67" s="12">
        <f>IF(AND(Tabela1[[#This Row],[SETOR]]="UTI",Tabela1[[#This Row],[C]]&lt;&gt;""),1,IF(AND(Tabela1[[#This Row],[SETOR]]="UTI (RJ)",Tabela1[[#This Row],[C]]&lt;&gt;""),1.5,0))</f>
        <v>0</v>
      </c>
      <c r="Z67" s="12">
        <f>IF(AND(Tabela1[[#This Row],[SETOR]]="UTI",Tabela1[[#This Row],[PL]]&lt;&gt;""),1,IF(AND(Tabela1[[#This Row],[SETOR]]="UTI (RJ)",Tabela1[[#This Row],[PL]]&lt;&gt;""),1,0))</f>
        <v>0</v>
      </c>
      <c r="AA67" s="21">
        <f>IFERROR(VLOOKUP(Tabela1[[#This Row],[MÊS]]&amp;Tabela1[[#This Row],[MATRICULA]]&amp;"1"&amp;Tabela1[[#This Row],[SETOR]]&amp;"PADRÃO",BD!B:AF,31,0),"")</f>
        <v>0</v>
      </c>
      <c r="AB67" s="21">
        <f>IFERROR(VLOOKUP(Tabela1[[#This Row],[MÊS]]&amp;Tabela1[[#This Row],[MATRICULA]]&amp;"2"&amp;Tabela1[[#This Row],[SETOR]]&amp;"PADRÃO",BD!B:AF,31,0),"")</f>
        <v>0</v>
      </c>
      <c r="AC67" s="21" t="str">
        <f>IFERROR(VLOOKUP(Tabela1[[#This Row],[MÊS]]&amp;Tabela1[[#This Row],[MATRICULA]]&amp;"3"&amp;Tabela1[[#This Row],[SETOR]]&amp;"PADRÃO",BD!B:AF,31,0),"")</f>
        <v/>
      </c>
      <c r="AD67" s="21" t="str">
        <f>IFERROR(VLOOKUP(Tabela1[[#This Row],[MÊS]]&amp;Tabela1[[#This Row],[MATRICULA]]&amp;"4"&amp;Tabela1[[#This Row],[SETOR]]&amp;"PADRÃO",BD!B:AF,25,0),"")</f>
        <v/>
      </c>
      <c r="AE67" s="21" t="str">
        <f>IFERROR(VLOOKUP(Tabela1[[#This Row],[MÊS]]&amp;Tabela1[[#This Row],[MATRICULA]]&amp;"5"&amp;Tabela1[[#This Row],[SETOR]]&amp;"PADRÃO",BD!B:AF,31,0),"")</f>
        <v/>
      </c>
      <c r="AF67" s="21" t="str">
        <f>IFERROR(VLOOKUP(Tabela1[[#This Row],[MÊS]]&amp;Tabela1[[#This Row],[MATRICULA]]&amp;"6"&amp;Tabela1[[#This Row],[SETOR]]&amp;"PADRÃO",BD!B:AF,31,0),"")</f>
        <v/>
      </c>
      <c r="AG67" s="21" t="str">
        <f>IFERROR(VLOOKUP(Tabela1[[#This Row],[MÊS]]&amp;Tabela1[[#This Row],[MATRICULA]]&amp;"7"&amp;Tabela1[[#This Row],[SETOR]]&amp;"PADRÃO",BD!B:AF,31,0),"")</f>
        <v/>
      </c>
      <c r="AH67" s="21" t="str">
        <f>IFERROR(VLOOKUP(Tabela1[[#This Row],[MÊS]]&amp;Tabela1[[#This Row],[ID]]&amp;Tabela1[[#This Row],[MATRICULA]]&amp;"Receptiva"&amp;Tabela1[[#This Row],[SETOR]],BD!A:AF,31,0),"")</f>
        <v/>
      </c>
      <c r="AI67" s="21" t="str">
        <f>IFERROR(VLOOKUP(Tabela1[[#This Row],[MÊS]]&amp;Tabela1[[#This Row],[ID]]&amp;Tabela1[[#This Row],[MATRICULA]]&amp;"Receptiva 2"&amp;Tabela1[[#This Row],[SETOR]],BD!A:AF,31,0),"")</f>
        <v/>
      </c>
      <c r="AJ67" s="21" t="str">
        <f>IFERROR(VLOOKUP(Tabela1[[#This Row],[MÊS]]&amp;Tabela1[[#This Row],[ID]]&amp;Tabela1[[#This Row],[MATRICULA]]&amp;"Receptiva 3"&amp;Tabela1[[#This Row],[SETOR]],BD!A:AF,31,0),"")</f>
        <v/>
      </c>
      <c r="AK67" s="21" t="str">
        <f>IFERROR(VLOOKUP(Tabela1[[#This Row],[MÊS]]&amp;Tabela1[[#This Row],[ID]]&amp;Tabela1[[#This Row],[MATRICULA]]&amp;"Receptiva 4"&amp;Tabela1[[#This Row],[SETOR]],BD!A:AF,31,0),"")</f>
        <v/>
      </c>
      <c r="AL67" s="21" t="str">
        <f>IFERROR(VLOOKUP(Tabela1[[#This Row],[MÊS]]&amp;Tabela1[[#This Row],[MATRICULA]]&amp;"Motorista"&amp;Tabela1[[#This Row],[SETOR]],BD!A:AF,31,0),"")</f>
        <v/>
      </c>
      <c r="AM67" s="21" t="str">
        <f>IFERROR(VLOOKUP(Tabela1[[#This Row],[MÊS]]&amp;Tabela1[[#This Row],[ID]]&amp;Tabela1[[#This Row],[MATRICULA]]&amp;"Motorista 2"&amp;Tabela1[[#This Row],[SETOR]],BD!A:AF,26,0),"")</f>
        <v/>
      </c>
      <c r="AN67" s="21" t="str">
        <f>IFERROR(VLOOKUP(Tabela1[[#This Row],[MÊS]]&amp;Tabela1[[#This Row],[ID]]&amp;Tabela1[[#This Row],[MATRICULA]]&amp;"Motorista 3"&amp;Tabela1[[#This Row],[SETOR]],BD!A:AF,26,0),"")</f>
        <v/>
      </c>
      <c r="AO67" s="21" t="str">
        <f>IFERROR(VLOOKUP(Tabela1[[#This Row],[MÊS]]&amp;Tabela1[[#This Row],[ID]]&amp;Tabela1[[#This Row],[MATRICULA]]&amp;"Motorista 4"&amp;Tabela1[[#This Row],[SETOR]],BD!A:AF,26,0),"")</f>
        <v/>
      </c>
      <c r="AP67" s="21" t="str">
        <f>IFERROR(VLOOKUP(Tabela1[[#This Row],[MÊS]]&amp;Tabela1[[#This Row],[MATRICULA]]&amp;"Ponto de Apoio"&amp;Tabela1[[#This Row],[SETOR]],BD!A:AF,31,0),"")</f>
        <v/>
      </c>
      <c r="AQ67" s="21" t="str">
        <f>IFERROR(VLOOKUP(Tabela1[[#This Row],[MÊS]]&amp;Tabela1[[#This Row],[ID]]&amp;Tabela1[[#This Row],[MATRICULA]]&amp;"Ponto de Apoio 2"&amp;Tabela1[[#This Row],[SETOR]],BD!A:AF,26,0),"")</f>
        <v/>
      </c>
      <c r="AR67" s="36" t="str">
        <f>IFERROR(VLOOKUP(Tabela1[[#This Row],[MÊS]]&amp;Tabela1[[#This Row],[ID]]&amp;Tabela1[[#This Row],[MATRICULA]]&amp;"Ponto de Apoio 3"&amp;Tabela1[[#This Row],[SETOR]],BD!A:AF,26,0),"")</f>
        <v/>
      </c>
      <c r="AS67" s="36" t="str">
        <f>IFERROR(VLOOKUP(Tabela1[[#This Row],[MÊS]]&amp;Tabela1[[#This Row],[ID]]&amp;Tabela1[[#This Row],[MATRICULA]]&amp;"Ponto de Apoio 4"&amp;Tabela1[[#This Row],[SETOR]],BD!A:AF,26,0),"")</f>
        <v/>
      </c>
      <c r="AT67" s="21" t="str">
        <f>IFERROR(VLOOKUP(Tabela1[[#This Row],[MÊS]]&amp;Tabela1[[#This Row],[MATRICULA]]&amp;"Cliente"&amp;Tabela1[[#This Row],[SETOR]],BD!A:AF,31,0),"")</f>
        <v/>
      </c>
      <c r="AU67" s="21" t="str">
        <f>IFERROR(VLOOKUP(Tabela1[[#This Row],[MÊS]]&amp;Tabela1[[#This Row],[ID]]&amp;Tabela1[[#This Row],[MATRICULA]]&amp;"Cliente 2"&amp;Tabela1[[#This Row],[SETOR]],BD!A:AF,26,0),"")</f>
        <v/>
      </c>
      <c r="AX67" s="21" t="str">
        <f>IFERROR(VLOOKUP(Tabela1[[#This Row],[MÊS]]&amp;Tabela1[[#This Row],[MATRICULA]]&amp;"Policia"&amp;Tabela1[[#This Row],[SETOR]],BD!A:AF,31,0),"")</f>
        <v/>
      </c>
      <c r="AY67" s="21" t="str">
        <f>IFERROR(VLOOKUP(Tabela1[[#This Row],[MÊS]]&amp;Tabela1[[#This Row],[ID]]&amp;Tabela1[[#This Row],[MATRICULA]]&amp;"Policia 2"&amp;Tabela1[[#This Row],[SETOR]],BD!A:AF,26,0),"")</f>
        <v/>
      </c>
      <c r="AZ67" s="36" t="str">
        <f>IFERROR(VLOOKUP(Tabela1[[#This Row],[MÊS]]&amp;Tabela1[[#This Row],[ID]]&amp;Tabela1[[#This Row],[MATRICULA]]&amp;"Policia 3"&amp;Tabela1[[#This Row],[SETOR]],BD!A:AF,26,0),"")</f>
        <v/>
      </c>
      <c r="BA67" s="36" t="str">
        <f>IFERROR(VLOOKUP(Tabela1[[#This Row],[MÊS]]&amp;Tabela1[[#This Row],[ID]]&amp;Tabela1[[#This Row],[MATRICULA]]&amp;"Policia 4"&amp;Tabela1[[#This Row],[SETOR]],BD!A:AF,26,0),"")</f>
        <v/>
      </c>
      <c r="BB6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7" s="21" t="str">
        <f>IFERROR(AVERAGE(Tabela1[[#This Row],[M]:[M4]]),"")</f>
        <v/>
      </c>
      <c r="BD67" s="21" t="str">
        <f>IFERROR(AVERAGE(Tabela1[[#This Row],[C]:[C4]]),"")</f>
        <v/>
      </c>
      <c r="BE67" s="21" t="str">
        <f>IFERROR(AVERAGE(Tabela1[[#This Row],[PA2]:[PA 4]]),"")</f>
        <v/>
      </c>
      <c r="BF67" s="21" t="str">
        <f>IFERROR(AVERAGE(Tabela1[[#This Row],[PL]:[PL4]]),"")</f>
        <v/>
      </c>
      <c r="BG67" s="35" t="str">
        <f>IFERROR(VLOOKUP(Tabela1[[#This Row],[MÊS]]&amp;Tabela1[[#This Row],[MATRICULA]],#REF!,2,0),"")</f>
        <v/>
      </c>
      <c r="BH67" s="35" t="str">
        <f>IFERROR(VLOOKUP(Tabela1[[#This Row],[MÊS]]&amp;Tabela1[[#This Row],[MATRICULA]],#REF!,2,0),"")</f>
        <v/>
      </c>
      <c r="BI67" s="35" t="str">
        <f>IFERROR(VLOOKUP(Tabela1[[#This Row],[MÊS]]&amp;Tabela1[[#This Row],[MATRICULA]],#REF!,2,0),"")</f>
        <v/>
      </c>
      <c r="BJ67" s="35" t="str">
        <f>IFERROR(VLOOKUP(Tabela1[[#This Row],[MÊS]]&amp;Tabela1[[#This Row],[MATRICULA]],#REF!,2,0),"")</f>
        <v/>
      </c>
      <c r="BK67" s="35" t="str">
        <f>IFERROR(VLOOKUP(Tabela1[[#This Row],[MÊS]]&amp;Tabela1[[#This Row],[MATRICULA]],#REF!,2,0),"")</f>
        <v/>
      </c>
      <c r="BL67" s="21">
        <f>COUNTIF(Tabela1[[#This Row],[MOT2]:[RECEPTIVA]],"NÃO ENCONTRADA")</f>
        <v>0</v>
      </c>
      <c r="BM67" s="135" t="str">
        <f>IFERROR(VLOOKUP(Tabela1[[#This Row],[MÊS]]&amp;Tabela1[[#This Row],[ID]]&amp;Tabela1[[#This Row],[MATRICULA]]&amp;"Motorista"&amp;Tabela1[[#This Row],[SETOR]],BD!A:AF,13,0),"")</f>
        <v/>
      </c>
      <c r="BN67" s="135" t="str">
        <f>IFERROR(VLOOKUP(Tabela1[[#This Row],[MÊS]]&amp;Tabela1[[#This Row],[ID]]&amp;Tabela1[[#This Row],[MATRICULA]]&amp;"Motorista 2"&amp;Tabela1[[#This Row],[SETOR]],BD!A:AF,13,0),"")</f>
        <v/>
      </c>
      <c r="BO67" s="135" t="str">
        <f>IFERROR(VLOOKUP(Tabela1[[#This Row],[MÊS]]&amp;Tabela1[[#This Row],[ID]]&amp;Tabela1[[#This Row],[MATRICULA]]&amp;"Motorista 3"&amp;Tabela1[[#This Row],[SETOR]],BD!A:AF,13,0),"")</f>
        <v/>
      </c>
      <c r="BP67" s="135" t="str">
        <f>IFERROR(VLOOKUP(Tabela1[[#This Row],[MÊS]]&amp;Tabela1[[#This Row],[ID]]&amp;Tabela1[[#This Row],[MATRICULA]]&amp;"Motorista 4"&amp;Tabela1[[#This Row],[SETOR]],BD!A:AF,13,0),"")</f>
        <v/>
      </c>
      <c r="BQ67" s="135" t="str">
        <f>IFERROR(AVERAGE(Tabela1[[#This Row],[DMOT]:[DMOT4]]),"")</f>
        <v/>
      </c>
      <c r="BR67" s="135" t="str">
        <f>IFERROR(VLOOKUP(Tabela1[[#This Row],[MÊS]]&amp;Tabela1[[#This Row],[ID]]&amp;Tabela1[[#This Row],[MATRICULA]]&amp;"Ponto de Apoio"&amp;Tabela1[[#This Row],[SETOR]],BD!A:AF,13,0),"")</f>
        <v/>
      </c>
      <c r="BS67" s="135" t="str">
        <f>IFERROR(VLOOKUP(Tabela1[[#This Row],[MÊS]]&amp;Tabela1[[#This Row],[ID]]&amp;Tabela1[[#This Row],[MATRICULA]]&amp;"Ponto de Apoio 2"&amp;Tabela1[[#This Row],[SETOR]],BD!A:AF,13,0),"")</f>
        <v/>
      </c>
      <c r="BT67" s="135" t="str">
        <f>IFERROR(VLOOKUP(Tabela1[[#This Row],[MÊS]]&amp;Tabela1[[#This Row],[ID]]&amp;Tabela1[[#This Row],[MATRICULA]]&amp;"Ponto de Apoio 3"&amp;Tabela1[[#This Row],[SETOR]],BD!A:AF,13,0),"")</f>
        <v/>
      </c>
      <c r="BU67" s="135" t="str">
        <f>IFERROR(VLOOKUP(Tabela1[[#This Row],[MÊS]]&amp;Tabela1[[#This Row],[ID]]&amp;Tabela1[[#This Row],[MATRICULA]]&amp;"Ponto de Apoio 4"&amp;Tabela1[[#This Row],[SETOR]],BD!A:AF,13,0),"")</f>
        <v/>
      </c>
      <c r="BV67" s="135" t="str">
        <f>IFERROR(AVERAGE(Tabela1[[#This Row],[DPA]:[DPA 4]]),"")</f>
        <v/>
      </c>
      <c r="BW67" s="135" t="str">
        <f>IFERROR(VLOOKUP(Tabela1[[#This Row],[MÊS]]&amp;Tabela1[[#This Row],[ID]]&amp;Tabela1[[#This Row],[MATRICULA]]&amp;"Cliente"&amp;Tabela1[[#This Row],[SETOR]],BD!A:AF,13,0),"")</f>
        <v/>
      </c>
      <c r="BX67" s="135" t="str">
        <f>IFERROR(VLOOKUP(Tabela1[[#This Row],[MÊS]]&amp;Tabela1[[#This Row],[ID]]&amp;Tabela1[[#This Row],[MATRICULA]]&amp;"cliente 2"&amp;Tabela1[[#This Row],[SETOR]],BD!A:AF,13,0),"")</f>
        <v/>
      </c>
      <c r="BY67" s="135" t="str">
        <f>IFERROR(VLOOKUP(Tabela1[[#This Row],[MÊS]]&amp;Tabela1[[#This Row],[ID]]&amp;Tabela1[[#This Row],[MATRICULA]]&amp;"cliente 3"&amp;Tabela1[[#This Row],[SETOR]],BD!A:AF,13,0),"")</f>
        <v/>
      </c>
      <c r="BZ67" s="135" t="str">
        <f>IFERROR(VLOOKUP(Tabela1[[#This Row],[MÊS]]&amp;Tabela1[[#This Row],[ID]]&amp;Tabela1[[#This Row],[MATRICULA]]&amp;"cliente 4"&amp;Tabela1[[#This Row],[SETOR]],BD!A:AF,13,0),"")</f>
        <v/>
      </c>
      <c r="CA67" s="135" t="str">
        <f>IFERROR(AVERAGE(Tabela1[[#This Row],[DCLI]:[DCLI 4]]),"")</f>
        <v/>
      </c>
      <c r="CB67" s="135" t="str">
        <f>IFERROR(VLOOKUP(Tabela1[[#This Row],[MÊS]]&amp;Tabela1[[#This Row],[ID]]&amp;Tabela1[[#This Row],[MATRICULA]]&amp;"Policia"&amp;Tabela1[[#This Row],[SETOR]],BD!A:AF,13,0),"")</f>
        <v/>
      </c>
      <c r="CC67" s="135" t="str">
        <f>IFERROR(VLOOKUP(Tabela1[[#This Row],[MÊS]]&amp;Tabela1[[#This Row],[ID]]&amp;Tabela1[[#This Row],[MATRICULA]]&amp;"Policia 2"&amp;Tabela1[[#This Row],[SETOR]],BD!A:AF,13,0),"")</f>
        <v/>
      </c>
      <c r="CD67" s="135"/>
      <c r="CE67" s="135"/>
      <c r="CF67" s="135" t="str">
        <f>IFERROR((AVERAGE(Tabela1[[#This Row],[DPOL1]:[DPOL4]])),"")</f>
        <v/>
      </c>
      <c r="CG67" s="21" t="str">
        <f>IFERROR(VLOOKUP(Tabela1[[#This Row],[ID]]&amp;Tabela1[[#This Row],[MÊS]]&amp;Tabela1[[#This Row],[MATRICULA]],#REF!,2,0),"")</f>
        <v/>
      </c>
      <c r="CH67" s="21" t="str">
        <f>IFERROR(VLOOKUP(Tabela1[[#This Row],[ID]]&amp;Tabela1[[#This Row],[MÊS]]&amp;Tabela1[[#This Row],[MATRICULA]],#REF!,2,0),"")</f>
        <v/>
      </c>
      <c r="CI67" s="21" t="str">
        <f>IFERROR(VLOOKUP(Tabela1[[#This Row],[MÊS]]&amp;Tabela1[[#This Row],[MATRICULA]],#REF!,2,0),"")</f>
        <v/>
      </c>
    </row>
    <row r="68" spans="1:87">
      <c r="A68" s="12" t="str">
        <f>Tabela1[[#This Row],[MÊS]]&amp;Tabela1[[#This Row],[MATRICULA]]&amp;Tabela1[[#This Row],[ID]]</f>
        <v>JAN42066</v>
      </c>
      <c r="B68" s="12" t="str">
        <f>Tabela1[[#This Row],[MÊS]]&amp;Tabela1[[#This Row],[ID]]&amp;Tabela1[[#This Row],[MATRICULA]]&amp;Tabela1[[#This Row],[SETOR]]</f>
        <v>JAN64206TRANSFERÊNCIA</v>
      </c>
      <c r="C68" s="130" t="e">
        <f>VLOOKUP(Tabela1[[#This Row],[MATRICULA]],'BD Campos'!A:D,5,0)</f>
        <v>#REF!</v>
      </c>
      <c r="D68" s="133" t="str">
        <f ca="1">IFERROR(SUM(TODAY()-Tabela1[[#This Row],[ADMISSÃO]]),"")</f>
        <v/>
      </c>
      <c r="E68" s="11" t="str">
        <f ca="1">IFERROR(TRUNC(Tabela1[[#This Row],[TEMPO DE CASA (DIAS)]]/30),"")</f>
        <v/>
      </c>
      <c r="F68" s="32" t="str">
        <f ca="1">IFERROR(SUM(Tabela1[[#This Row],[TEMPO DE CASA (MESES)]]/12),"")</f>
        <v/>
      </c>
      <c r="G68" s="133" t="str">
        <f ca="1">IF(Tabela1[[#This Row],[TEMPO DE CASA (DIAS)]]="","SEM DADOS",IF(Tabela1[[#This Row],[TEMPO DE CASA (DIAS)]]&gt;180,"&gt; 6 MESES","&lt; 6 MESES"))</f>
        <v>SEM DADOS</v>
      </c>
      <c r="H68" s="12" t="str">
        <f t="shared" si="7"/>
        <v>JANAdryan Celso6</v>
      </c>
      <c r="I68" s="12" t="str">
        <f>IFERROR(VLOOKUP(Tabela1[[#This Row],[MATRICULA]],'BD Campos'!A:F,7,0),"")</f>
        <v/>
      </c>
      <c r="J68" s="11">
        <v>6</v>
      </c>
      <c r="K68" s="11" t="s">
        <v>669</v>
      </c>
      <c r="L68" s="136">
        <v>4206</v>
      </c>
      <c r="M68" s="12" t="str">
        <f>IFERROR(VLOOKUP(Tabela1[[#This Row],[MATRICULA]],'BD Campos'!A:B,2,0),"")</f>
        <v>JHONATA MARQUES</v>
      </c>
      <c r="N68" s="20">
        <f>IFERROR(AVERAGE(Tabela1[[#This Row],[A1]:[A4]]),"")</f>
        <v>8.6507500000000004</v>
      </c>
      <c r="O68" s="20" t="str">
        <f>IFERROR(IF(Tabela1[[#This Row],[SETOR]]="RECEPTIVO","",AVERAGE(Tabela1[[#This Row],[A5]:[A6]])),"")</f>
        <v/>
      </c>
      <c r="P68" s="20" t="str">
        <f>IFERROR(IF(Tabela1[[#This Row],[STATUS]]="INATIVO","INATIVO",IF(Tabela1[[#This Row],[STATUS]]="QRT","INATIVO",IF(Tabela1[[#This Row],[OPERACIONAL]]&gt;7.99999,"BOM","RUIM"))),"")</f>
        <v>BOM</v>
      </c>
      <c r="Q68" s="21" t="s">
        <v>667</v>
      </c>
      <c r="R68" s="12" t="s">
        <v>677</v>
      </c>
      <c r="S68" s="12" t="s">
        <v>678</v>
      </c>
      <c r="T68" s="12" t="s">
        <v>192</v>
      </c>
      <c r="U6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8" s="12">
        <f>IF(AND(Tabela1[[#This Row],[SETOR]]="UTI",Tabela1[[#This Row],[M]]&lt;&gt;""),1,IF(AND(Tabela1[[#This Row],[SETOR]]="UTI (RJ)",Tabela1[[#This Row],[M]]&lt;&gt;""),1.5,0))</f>
        <v>0</v>
      </c>
      <c r="X68" s="12">
        <f>IF(AND(Tabela1[[#This Row],[SETOR]]="UTI",Tabela1[[#This Row],[PA2]]&lt;&gt;""),1,IF(AND(Tabela1[[#This Row],[SETOR]]="UTI (RJ)",Tabela1[[#This Row],[PA2]]&lt;&gt;""),0,0))</f>
        <v>0</v>
      </c>
      <c r="Y68" s="12">
        <f>IF(AND(Tabela1[[#This Row],[SETOR]]="UTI",Tabela1[[#This Row],[C]]&lt;&gt;""),1,IF(AND(Tabela1[[#This Row],[SETOR]]="UTI (RJ)",Tabela1[[#This Row],[C]]&lt;&gt;""),1.5,0))</f>
        <v>0</v>
      </c>
      <c r="Z68" s="12">
        <f>IF(AND(Tabela1[[#This Row],[SETOR]]="UTI",Tabela1[[#This Row],[PL]]&lt;&gt;""),1,IF(AND(Tabela1[[#This Row],[SETOR]]="UTI (RJ)",Tabela1[[#This Row],[PL]]&lt;&gt;""),1,0))</f>
        <v>0</v>
      </c>
      <c r="AA68" s="21">
        <f>IFERROR(VLOOKUP(Tabela1[[#This Row],[MÊS]]&amp;Tabela1[[#This Row],[MATRICULA]]&amp;"1"&amp;Tabela1[[#This Row],[SETOR]]&amp;"PADRÃO",BD!B:AF,31,0),"")</f>
        <v>7.3014999999999999</v>
      </c>
      <c r="AB68" s="21">
        <f>IFERROR(VLOOKUP(Tabela1[[#This Row],[MÊS]]&amp;Tabela1[[#This Row],[MATRICULA]]&amp;"2"&amp;Tabela1[[#This Row],[SETOR]]&amp;"PADRÃO",BD!B:AF,31,0),"")</f>
        <v>10.000000000000002</v>
      </c>
      <c r="AC68" s="21" t="str">
        <f>IFERROR(VLOOKUP(Tabela1[[#This Row],[MÊS]]&amp;Tabela1[[#This Row],[MATRICULA]]&amp;"3"&amp;Tabela1[[#This Row],[SETOR]]&amp;"PADRÃO",BD!B:AF,31,0),"")</f>
        <v/>
      </c>
      <c r="AD68" s="21" t="str">
        <f>IFERROR(VLOOKUP(Tabela1[[#This Row],[MÊS]]&amp;Tabela1[[#This Row],[MATRICULA]]&amp;"4"&amp;Tabela1[[#This Row],[SETOR]]&amp;"PADRÃO",BD!B:AF,25,0),"")</f>
        <v/>
      </c>
      <c r="AE68" s="21" t="str">
        <f>IFERROR(VLOOKUP(Tabela1[[#This Row],[MÊS]]&amp;Tabela1[[#This Row],[MATRICULA]]&amp;"5"&amp;Tabela1[[#This Row],[SETOR]]&amp;"PADRÃO",BD!B:AF,31,0),"")</f>
        <v/>
      </c>
      <c r="AF68" s="21" t="str">
        <f>IFERROR(VLOOKUP(Tabela1[[#This Row],[MÊS]]&amp;Tabela1[[#This Row],[MATRICULA]]&amp;"6"&amp;Tabela1[[#This Row],[SETOR]]&amp;"PADRÃO",BD!B:AF,31,0),"")</f>
        <v/>
      </c>
      <c r="AG68" s="21" t="str">
        <f>IFERROR(VLOOKUP(Tabela1[[#This Row],[MÊS]]&amp;Tabela1[[#This Row],[MATRICULA]]&amp;"7"&amp;Tabela1[[#This Row],[SETOR]]&amp;"PADRÃO",BD!B:AF,31,0),"")</f>
        <v/>
      </c>
      <c r="AH68" s="21" t="str">
        <f>IFERROR(VLOOKUP(Tabela1[[#This Row],[MÊS]]&amp;Tabela1[[#This Row],[ID]]&amp;Tabela1[[#This Row],[MATRICULA]]&amp;"Receptiva"&amp;Tabela1[[#This Row],[SETOR]],BD!A:AF,31,0),"")</f>
        <v/>
      </c>
      <c r="AI68" s="21" t="str">
        <f>IFERROR(VLOOKUP(Tabela1[[#This Row],[MÊS]]&amp;Tabela1[[#This Row],[ID]]&amp;Tabela1[[#This Row],[MATRICULA]]&amp;"Receptiva 2"&amp;Tabela1[[#This Row],[SETOR]],BD!A:AF,31,0),"")</f>
        <v/>
      </c>
      <c r="AJ68" s="21" t="str">
        <f>IFERROR(VLOOKUP(Tabela1[[#This Row],[MÊS]]&amp;Tabela1[[#This Row],[ID]]&amp;Tabela1[[#This Row],[MATRICULA]]&amp;"Receptiva 3"&amp;Tabela1[[#This Row],[SETOR]],BD!A:AF,31,0),"")</f>
        <v/>
      </c>
      <c r="AK68" s="21" t="str">
        <f>IFERROR(VLOOKUP(Tabela1[[#This Row],[MÊS]]&amp;Tabela1[[#This Row],[ID]]&amp;Tabela1[[#This Row],[MATRICULA]]&amp;"Receptiva 4"&amp;Tabela1[[#This Row],[SETOR]],BD!A:AF,31,0),"")</f>
        <v/>
      </c>
      <c r="AL68" s="21">
        <f>IFERROR(VLOOKUP(Tabela1[[#This Row],[MÊS]]&amp;Tabela1[[#This Row],[MATRICULA]]&amp;"Motorista"&amp;Tabela1[[#This Row],[SETOR]],BD!A:AF,31,0),"")</f>
        <v>0</v>
      </c>
      <c r="AM68" s="21" t="str">
        <f>IFERROR(VLOOKUP(Tabela1[[#This Row],[MÊS]]&amp;Tabela1[[#This Row],[ID]]&amp;Tabela1[[#This Row],[MATRICULA]]&amp;"Motorista 2"&amp;Tabela1[[#This Row],[SETOR]],BD!A:AF,26,0),"")</f>
        <v/>
      </c>
      <c r="AN68" s="21" t="str">
        <f>IFERROR(VLOOKUP(Tabela1[[#This Row],[MÊS]]&amp;Tabela1[[#This Row],[ID]]&amp;Tabela1[[#This Row],[MATRICULA]]&amp;"Motorista 3"&amp;Tabela1[[#This Row],[SETOR]],BD!A:AF,26,0),"")</f>
        <v/>
      </c>
      <c r="AO68" s="21" t="str">
        <f>IFERROR(VLOOKUP(Tabela1[[#This Row],[MÊS]]&amp;Tabela1[[#This Row],[ID]]&amp;Tabela1[[#This Row],[MATRICULA]]&amp;"Motorista 4"&amp;Tabela1[[#This Row],[SETOR]],BD!A:AF,26,0),"")</f>
        <v/>
      </c>
      <c r="AP68" s="21" t="str">
        <f>IFERROR(VLOOKUP(Tabela1[[#This Row],[MÊS]]&amp;Tabela1[[#This Row],[MATRICULA]]&amp;"Ponto de Apoio"&amp;Tabela1[[#This Row],[SETOR]],BD!A:AF,31,0),"")</f>
        <v/>
      </c>
      <c r="AQ68" s="21" t="str">
        <f>IFERROR(VLOOKUP(Tabela1[[#This Row],[MÊS]]&amp;Tabela1[[#This Row],[ID]]&amp;Tabela1[[#This Row],[MATRICULA]]&amp;"Ponto de Apoio 2"&amp;Tabela1[[#This Row],[SETOR]],BD!A:AF,26,0),"")</f>
        <v/>
      </c>
      <c r="AR68" s="36" t="str">
        <f>IFERROR(VLOOKUP(Tabela1[[#This Row],[MÊS]]&amp;Tabela1[[#This Row],[ID]]&amp;Tabela1[[#This Row],[MATRICULA]]&amp;"Ponto de Apoio 3"&amp;Tabela1[[#This Row],[SETOR]],BD!A:AF,26,0),"")</f>
        <v/>
      </c>
      <c r="AS68" s="36" t="str">
        <f>IFERROR(VLOOKUP(Tabela1[[#This Row],[MÊS]]&amp;Tabela1[[#This Row],[ID]]&amp;Tabela1[[#This Row],[MATRICULA]]&amp;"Ponto de Apoio 4"&amp;Tabela1[[#This Row],[SETOR]],BD!A:AF,26,0),"")</f>
        <v/>
      </c>
      <c r="AT68" s="21" t="str">
        <f>IFERROR(VLOOKUP(Tabela1[[#This Row],[MÊS]]&amp;Tabela1[[#This Row],[MATRICULA]]&amp;"Cliente"&amp;Tabela1[[#This Row],[SETOR]],BD!A:AF,31,0),"")</f>
        <v/>
      </c>
      <c r="AU68" s="21" t="str">
        <f>IFERROR(VLOOKUP(Tabela1[[#This Row],[MÊS]]&amp;Tabela1[[#This Row],[ID]]&amp;Tabela1[[#This Row],[MATRICULA]]&amp;"Cliente 2"&amp;Tabela1[[#This Row],[SETOR]],BD!A:AF,26,0),"")</f>
        <v/>
      </c>
      <c r="AX68" s="21" t="str">
        <f>IFERROR(VLOOKUP(Tabela1[[#This Row],[MÊS]]&amp;Tabela1[[#This Row],[MATRICULA]]&amp;"Policia"&amp;Tabela1[[#This Row],[SETOR]],BD!A:AF,31,0),"")</f>
        <v/>
      </c>
      <c r="AY68" s="21" t="str">
        <f>IFERROR(VLOOKUP(Tabela1[[#This Row],[MÊS]]&amp;Tabela1[[#This Row],[ID]]&amp;Tabela1[[#This Row],[MATRICULA]]&amp;"Policia 2"&amp;Tabela1[[#This Row],[SETOR]],BD!A:AF,26,0),"")</f>
        <v/>
      </c>
      <c r="AZ68" s="36" t="str">
        <f>IFERROR(VLOOKUP(Tabela1[[#This Row],[MÊS]]&amp;Tabela1[[#This Row],[ID]]&amp;Tabela1[[#This Row],[MATRICULA]]&amp;"Policia 3"&amp;Tabela1[[#This Row],[SETOR]],BD!A:AF,26,0),"")</f>
        <v/>
      </c>
      <c r="BA68" s="36" t="str">
        <f>IFERROR(VLOOKUP(Tabela1[[#This Row],[MÊS]]&amp;Tabela1[[#This Row],[ID]]&amp;Tabela1[[#This Row],[MATRICULA]]&amp;"Policia 4"&amp;Tabela1[[#This Row],[SETOR]],BD!A:AF,26,0),"")</f>
        <v/>
      </c>
      <c r="BB6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8" s="21">
        <f>IFERROR(AVERAGE(Tabela1[[#This Row],[M]:[M4]]),"")</f>
        <v>0</v>
      </c>
      <c r="BD68" s="21" t="str">
        <f>IFERROR(AVERAGE(Tabela1[[#This Row],[C]:[C4]]),"")</f>
        <v/>
      </c>
      <c r="BE68" s="21" t="str">
        <f>IFERROR(AVERAGE(Tabela1[[#This Row],[PA2]:[PA 4]]),"")</f>
        <v/>
      </c>
      <c r="BF68" s="21" t="str">
        <f>IFERROR(AVERAGE(Tabela1[[#This Row],[PL]:[PL4]]),"")</f>
        <v/>
      </c>
      <c r="BG68" s="35" t="str">
        <f>IFERROR(VLOOKUP(Tabela1[[#This Row],[MÊS]]&amp;Tabela1[[#This Row],[MATRICULA]],#REF!,2,0),"")</f>
        <v/>
      </c>
      <c r="BH68" s="35" t="str">
        <f>IFERROR(VLOOKUP(Tabela1[[#This Row],[MÊS]]&amp;Tabela1[[#This Row],[MATRICULA]],#REF!,2,0),"")</f>
        <v/>
      </c>
      <c r="BI68" s="35" t="str">
        <f>IFERROR(VLOOKUP(Tabela1[[#This Row],[MÊS]]&amp;Tabela1[[#This Row],[MATRICULA]],#REF!,2,0),"")</f>
        <v/>
      </c>
      <c r="BJ68" s="35" t="str">
        <f>IFERROR(VLOOKUP(Tabela1[[#This Row],[MÊS]]&amp;Tabela1[[#This Row],[MATRICULA]],#REF!,2,0),"")</f>
        <v/>
      </c>
      <c r="BK68" s="35" t="str">
        <f>IFERROR(VLOOKUP(Tabela1[[#This Row],[MÊS]]&amp;Tabela1[[#This Row],[MATRICULA]],#REF!,2,0),"")</f>
        <v/>
      </c>
      <c r="BL68" s="21">
        <f>COUNTIF(Tabela1[[#This Row],[MOT2]:[RECEPTIVA]],"NÃO ENCONTRADA")</f>
        <v>0</v>
      </c>
      <c r="BM68" s="135" t="str">
        <f>IFERROR(VLOOKUP(Tabela1[[#This Row],[MÊS]]&amp;Tabela1[[#This Row],[ID]]&amp;Tabela1[[#This Row],[MATRICULA]]&amp;"Motorista"&amp;Tabela1[[#This Row],[SETOR]],BD!A:AF,13,0),"")</f>
        <v/>
      </c>
      <c r="BN68" s="135" t="str">
        <f>IFERROR(VLOOKUP(Tabela1[[#This Row],[MÊS]]&amp;Tabela1[[#This Row],[ID]]&amp;Tabela1[[#This Row],[MATRICULA]]&amp;"Motorista 2"&amp;Tabela1[[#This Row],[SETOR]],BD!A:AF,13,0),"")</f>
        <v/>
      </c>
      <c r="BO68" s="135" t="str">
        <f>IFERROR(VLOOKUP(Tabela1[[#This Row],[MÊS]]&amp;Tabela1[[#This Row],[ID]]&amp;Tabela1[[#This Row],[MATRICULA]]&amp;"Motorista 3"&amp;Tabela1[[#This Row],[SETOR]],BD!A:AF,13,0),"")</f>
        <v/>
      </c>
      <c r="BP68" s="135" t="str">
        <f>IFERROR(VLOOKUP(Tabela1[[#This Row],[MÊS]]&amp;Tabela1[[#This Row],[ID]]&amp;Tabela1[[#This Row],[MATRICULA]]&amp;"Motorista 4"&amp;Tabela1[[#This Row],[SETOR]],BD!A:AF,13,0),"")</f>
        <v/>
      </c>
      <c r="BQ68" s="135" t="str">
        <f>IFERROR(AVERAGE(Tabela1[[#This Row],[DMOT]:[DMOT4]]),"")</f>
        <v/>
      </c>
      <c r="BR68" s="135" t="str">
        <f>IFERROR(VLOOKUP(Tabela1[[#This Row],[MÊS]]&amp;Tabela1[[#This Row],[ID]]&amp;Tabela1[[#This Row],[MATRICULA]]&amp;"Ponto de Apoio"&amp;Tabela1[[#This Row],[SETOR]],BD!A:AF,13,0),"")</f>
        <v/>
      </c>
      <c r="BS68" s="135" t="str">
        <f>IFERROR(VLOOKUP(Tabela1[[#This Row],[MÊS]]&amp;Tabela1[[#This Row],[ID]]&amp;Tabela1[[#This Row],[MATRICULA]]&amp;"Ponto de Apoio 2"&amp;Tabela1[[#This Row],[SETOR]],BD!A:AF,13,0),"")</f>
        <v/>
      </c>
      <c r="BT68" s="135" t="str">
        <f>IFERROR(VLOOKUP(Tabela1[[#This Row],[MÊS]]&amp;Tabela1[[#This Row],[ID]]&amp;Tabela1[[#This Row],[MATRICULA]]&amp;"Ponto de Apoio 3"&amp;Tabela1[[#This Row],[SETOR]],BD!A:AF,13,0),"")</f>
        <v/>
      </c>
      <c r="BU68" s="135" t="str">
        <f>IFERROR(VLOOKUP(Tabela1[[#This Row],[MÊS]]&amp;Tabela1[[#This Row],[ID]]&amp;Tabela1[[#This Row],[MATRICULA]]&amp;"Ponto de Apoio 4"&amp;Tabela1[[#This Row],[SETOR]],BD!A:AF,13,0),"")</f>
        <v/>
      </c>
      <c r="BV68" s="135" t="str">
        <f>IFERROR(AVERAGE(Tabela1[[#This Row],[DPA]:[DPA 4]]),"")</f>
        <v/>
      </c>
      <c r="BW68" s="135" t="str">
        <f>IFERROR(VLOOKUP(Tabela1[[#This Row],[MÊS]]&amp;Tabela1[[#This Row],[ID]]&amp;Tabela1[[#This Row],[MATRICULA]]&amp;"Cliente"&amp;Tabela1[[#This Row],[SETOR]],BD!A:AF,13,0),"")</f>
        <v/>
      </c>
      <c r="BX68" s="135" t="str">
        <f>IFERROR(VLOOKUP(Tabela1[[#This Row],[MÊS]]&amp;Tabela1[[#This Row],[ID]]&amp;Tabela1[[#This Row],[MATRICULA]]&amp;"cliente 2"&amp;Tabela1[[#This Row],[SETOR]],BD!A:AF,13,0),"")</f>
        <v/>
      </c>
      <c r="BY68" s="135" t="str">
        <f>IFERROR(VLOOKUP(Tabela1[[#This Row],[MÊS]]&amp;Tabela1[[#This Row],[ID]]&amp;Tabela1[[#This Row],[MATRICULA]]&amp;"cliente 3"&amp;Tabela1[[#This Row],[SETOR]],BD!A:AF,13,0),"")</f>
        <v/>
      </c>
      <c r="BZ68" s="135" t="str">
        <f>IFERROR(VLOOKUP(Tabela1[[#This Row],[MÊS]]&amp;Tabela1[[#This Row],[ID]]&amp;Tabela1[[#This Row],[MATRICULA]]&amp;"cliente 4"&amp;Tabela1[[#This Row],[SETOR]],BD!A:AF,13,0),"")</f>
        <v/>
      </c>
      <c r="CA68" s="135" t="str">
        <f>IFERROR(AVERAGE(Tabela1[[#This Row],[DCLI]:[DCLI 4]]),"")</f>
        <v/>
      </c>
      <c r="CB68" s="135" t="str">
        <f>IFERROR(VLOOKUP(Tabela1[[#This Row],[MÊS]]&amp;Tabela1[[#This Row],[ID]]&amp;Tabela1[[#This Row],[MATRICULA]]&amp;"Policia"&amp;Tabela1[[#This Row],[SETOR]],BD!A:AF,13,0),"")</f>
        <v/>
      </c>
      <c r="CC68" s="135" t="str">
        <f>IFERROR(VLOOKUP(Tabela1[[#This Row],[MÊS]]&amp;Tabela1[[#This Row],[ID]]&amp;Tabela1[[#This Row],[MATRICULA]]&amp;"Policia 2"&amp;Tabela1[[#This Row],[SETOR]],BD!A:AF,13,0),"")</f>
        <v/>
      </c>
      <c r="CD68" s="135"/>
      <c r="CE68" s="135"/>
      <c r="CF68" s="135" t="str">
        <f>IFERROR((AVERAGE(Tabela1[[#This Row],[DPOL1]:[DPOL4]])),"")</f>
        <v/>
      </c>
      <c r="CG68" s="21" t="str">
        <f>IFERROR(VLOOKUP(Tabela1[[#This Row],[ID]]&amp;Tabela1[[#This Row],[MÊS]]&amp;Tabela1[[#This Row],[MATRICULA]],#REF!,2,0),"")</f>
        <v/>
      </c>
      <c r="CH68" s="21" t="str">
        <f>IFERROR(VLOOKUP(Tabela1[[#This Row],[ID]]&amp;Tabela1[[#This Row],[MÊS]]&amp;Tabela1[[#This Row],[MATRICULA]],#REF!,2,0),"")</f>
        <v/>
      </c>
      <c r="CI68" s="21" t="str">
        <f>IFERROR(VLOOKUP(Tabela1[[#This Row],[MÊS]]&amp;Tabela1[[#This Row],[MATRICULA]],#REF!,2,0),"")</f>
        <v/>
      </c>
    </row>
    <row r="69" spans="1:87">
      <c r="A69" s="12" t="str">
        <f>Tabela1[[#This Row],[MÊS]]&amp;Tabela1[[#This Row],[MATRICULA]]&amp;Tabela1[[#This Row],[ID]]</f>
        <v>JAN41557</v>
      </c>
      <c r="B69" s="12" t="str">
        <f>Tabela1[[#This Row],[MÊS]]&amp;Tabela1[[#This Row],[ID]]&amp;Tabela1[[#This Row],[MATRICULA]]&amp;Tabela1[[#This Row],[SETOR]]</f>
        <v>JAN74155TRANSFERÊNCIA</v>
      </c>
      <c r="C69" s="130" t="e">
        <f>VLOOKUP(Tabela1[[#This Row],[MATRICULA]],'BD Campos'!A:D,5,0)</f>
        <v>#REF!</v>
      </c>
      <c r="D69" s="133" t="str">
        <f ca="1">IFERROR(SUM(TODAY()-Tabela1[[#This Row],[ADMISSÃO]]),"")</f>
        <v/>
      </c>
      <c r="E69" s="11" t="str">
        <f ca="1">IFERROR(TRUNC(Tabela1[[#This Row],[TEMPO DE CASA (DIAS)]]/30),"")</f>
        <v/>
      </c>
      <c r="F69" s="32" t="str">
        <f ca="1">IFERROR(SUM(Tabela1[[#This Row],[TEMPO DE CASA (MESES)]]/12),"")</f>
        <v/>
      </c>
      <c r="G69" s="133" t="str">
        <f ca="1">IF(Tabela1[[#This Row],[TEMPO DE CASA (DIAS)]]="","SEM DADOS",IF(Tabela1[[#This Row],[TEMPO DE CASA (DIAS)]]&gt;180,"&gt; 6 MESES","&lt; 6 MESES"))</f>
        <v>SEM DADOS</v>
      </c>
      <c r="H69" s="12" t="str">
        <f t="shared" si="7"/>
        <v>JANAdryan Celso7</v>
      </c>
      <c r="I69" s="12" t="str">
        <f>IFERROR(VLOOKUP(Tabela1[[#This Row],[MATRICULA]],'BD Campos'!A:F,7,0),"")</f>
        <v/>
      </c>
      <c r="J69" s="11">
        <v>7</v>
      </c>
      <c r="K69" s="11" t="s">
        <v>669</v>
      </c>
      <c r="L69" s="136">
        <v>4155</v>
      </c>
      <c r="M69" s="12" t="str">
        <f>IFERROR(VLOOKUP(Tabela1[[#This Row],[MATRICULA]],'BD Campos'!A:B,2,0),"")</f>
        <v>YURI NOVAK SILVEIRA</v>
      </c>
      <c r="N69" s="20">
        <f>IFERROR(AVERAGE(Tabela1[[#This Row],[A1]:[A4]]),"")</f>
        <v>8.0469999999999988</v>
      </c>
      <c r="O69" s="20" t="str">
        <f>IFERROR(IF(Tabela1[[#This Row],[SETOR]]="RECEPTIVO","",AVERAGE(Tabela1[[#This Row],[A5]:[A6]])),"")</f>
        <v/>
      </c>
      <c r="P69" s="20" t="str">
        <f>IFERROR(IF(Tabela1[[#This Row],[STATUS]]="INATIVO","INATIVO",IF(Tabela1[[#This Row],[STATUS]]="QRT","INATIVO",IF(Tabela1[[#This Row],[OPERACIONAL]]&gt;7.99999,"BOM","RUIM"))),"")</f>
        <v>BOM</v>
      </c>
      <c r="Q69" s="21" t="s">
        <v>667</v>
      </c>
      <c r="R69" s="12" t="s">
        <v>677</v>
      </c>
      <c r="S69" s="12" t="s">
        <v>678</v>
      </c>
      <c r="T69" s="12" t="s">
        <v>192</v>
      </c>
      <c r="U6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6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69" s="12">
        <f>IF(AND(Tabela1[[#This Row],[SETOR]]="UTI",Tabela1[[#This Row],[M]]&lt;&gt;""),1,IF(AND(Tabela1[[#This Row],[SETOR]]="UTI (RJ)",Tabela1[[#This Row],[M]]&lt;&gt;""),1.5,0))</f>
        <v>0</v>
      </c>
      <c r="X69" s="12">
        <f>IF(AND(Tabela1[[#This Row],[SETOR]]="UTI",Tabela1[[#This Row],[PA2]]&lt;&gt;""),1,IF(AND(Tabela1[[#This Row],[SETOR]]="UTI (RJ)",Tabela1[[#This Row],[PA2]]&lt;&gt;""),0,0))</f>
        <v>0</v>
      </c>
      <c r="Y69" s="12">
        <f>IF(AND(Tabela1[[#This Row],[SETOR]]="UTI",Tabela1[[#This Row],[C]]&lt;&gt;""),1,IF(AND(Tabela1[[#This Row],[SETOR]]="UTI (RJ)",Tabela1[[#This Row],[C]]&lt;&gt;""),1.5,0))</f>
        <v>0</v>
      </c>
      <c r="Z69" s="12">
        <f>IF(AND(Tabela1[[#This Row],[SETOR]]="UTI",Tabela1[[#This Row],[PL]]&lt;&gt;""),1,IF(AND(Tabela1[[#This Row],[SETOR]]="UTI (RJ)",Tabela1[[#This Row],[PL]]&lt;&gt;""),1,0))</f>
        <v>0</v>
      </c>
      <c r="AA69" s="21">
        <f>IFERROR(VLOOKUP(Tabela1[[#This Row],[MÊS]]&amp;Tabela1[[#This Row],[MATRICULA]]&amp;"1"&amp;Tabela1[[#This Row],[SETOR]]&amp;"PADRÃO",BD!B:AF,31,0),"")</f>
        <v>7.1964999999999995</v>
      </c>
      <c r="AB69" s="21">
        <f>IFERROR(VLOOKUP(Tabela1[[#This Row],[MÊS]]&amp;Tabela1[[#This Row],[MATRICULA]]&amp;"2"&amp;Tabela1[[#This Row],[SETOR]]&amp;"PADRÃO",BD!B:AF,31,0),"")</f>
        <v>8.8974999999999991</v>
      </c>
      <c r="AC69" s="21" t="str">
        <f>IFERROR(VLOOKUP(Tabela1[[#This Row],[MÊS]]&amp;Tabela1[[#This Row],[MATRICULA]]&amp;"3"&amp;Tabela1[[#This Row],[SETOR]]&amp;"PADRÃO",BD!B:AF,31,0),"")</f>
        <v/>
      </c>
      <c r="AD69" s="21" t="str">
        <f>IFERROR(VLOOKUP(Tabela1[[#This Row],[MÊS]]&amp;Tabela1[[#This Row],[MATRICULA]]&amp;"4"&amp;Tabela1[[#This Row],[SETOR]]&amp;"PADRÃO",BD!B:AF,25,0),"")</f>
        <v/>
      </c>
      <c r="AE69" s="21" t="str">
        <f>IFERROR(VLOOKUP(Tabela1[[#This Row],[MÊS]]&amp;Tabela1[[#This Row],[MATRICULA]]&amp;"5"&amp;Tabela1[[#This Row],[SETOR]]&amp;"PADRÃO",BD!B:AF,31,0),"")</f>
        <v/>
      </c>
      <c r="AF69" s="21" t="str">
        <f>IFERROR(VLOOKUP(Tabela1[[#This Row],[MÊS]]&amp;Tabela1[[#This Row],[MATRICULA]]&amp;"6"&amp;Tabela1[[#This Row],[SETOR]]&amp;"PADRÃO",BD!B:AF,31,0),"")</f>
        <v/>
      </c>
      <c r="AG69" s="21" t="str">
        <f>IFERROR(VLOOKUP(Tabela1[[#This Row],[MÊS]]&amp;Tabela1[[#This Row],[MATRICULA]]&amp;"7"&amp;Tabela1[[#This Row],[SETOR]]&amp;"PADRÃO",BD!B:AF,31,0),"")</f>
        <v/>
      </c>
      <c r="AH69" s="21" t="str">
        <f>IFERROR(VLOOKUP(Tabela1[[#This Row],[MÊS]]&amp;Tabela1[[#This Row],[ID]]&amp;Tabela1[[#This Row],[MATRICULA]]&amp;"Receptiva"&amp;Tabela1[[#This Row],[SETOR]],BD!A:AF,31,0),"")</f>
        <v/>
      </c>
      <c r="AI69" s="21" t="str">
        <f>IFERROR(VLOOKUP(Tabela1[[#This Row],[MÊS]]&amp;Tabela1[[#This Row],[ID]]&amp;Tabela1[[#This Row],[MATRICULA]]&amp;"Receptiva 2"&amp;Tabela1[[#This Row],[SETOR]],BD!A:AF,31,0),"")</f>
        <v/>
      </c>
      <c r="AJ69" s="21" t="str">
        <f>IFERROR(VLOOKUP(Tabela1[[#This Row],[MÊS]]&amp;Tabela1[[#This Row],[ID]]&amp;Tabela1[[#This Row],[MATRICULA]]&amp;"Receptiva 3"&amp;Tabela1[[#This Row],[SETOR]],BD!A:AF,31,0),"")</f>
        <v/>
      </c>
      <c r="AK69" s="21" t="str">
        <f>IFERROR(VLOOKUP(Tabela1[[#This Row],[MÊS]]&amp;Tabela1[[#This Row],[ID]]&amp;Tabela1[[#This Row],[MATRICULA]]&amp;"Receptiva 4"&amp;Tabela1[[#This Row],[SETOR]],BD!A:AF,31,0),"")</f>
        <v/>
      </c>
      <c r="AL69" s="21">
        <f>IFERROR(VLOOKUP(Tabela1[[#This Row],[MÊS]]&amp;Tabela1[[#This Row],[MATRICULA]]&amp;"Motorista"&amp;Tabela1[[#This Row],[SETOR]],BD!A:AF,31,0),"")</f>
        <v>0</v>
      </c>
      <c r="AM69" s="21" t="str">
        <f>IFERROR(VLOOKUP(Tabela1[[#This Row],[MÊS]]&amp;Tabela1[[#This Row],[ID]]&amp;Tabela1[[#This Row],[MATRICULA]]&amp;"Motorista 2"&amp;Tabela1[[#This Row],[SETOR]],BD!A:AF,26,0),"")</f>
        <v/>
      </c>
      <c r="AN69" s="21" t="str">
        <f>IFERROR(VLOOKUP(Tabela1[[#This Row],[MÊS]]&amp;Tabela1[[#This Row],[ID]]&amp;Tabela1[[#This Row],[MATRICULA]]&amp;"Motorista 3"&amp;Tabela1[[#This Row],[SETOR]],BD!A:AF,26,0),"")</f>
        <v/>
      </c>
      <c r="AO69" s="21" t="str">
        <f>IFERROR(VLOOKUP(Tabela1[[#This Row],[MÊS]]&amp;Tabela1[[#This Row],[ID]]&amp;Tabela1[[#This Row],[MATRICULA]]&amp;"Motorista 4"&amp;Tabela1[[#This Row],[SETOR]],BD!A:AF,26,0),"")</f>
        <v/>
      </c>
      <c r="AP69" s="21" t="str">
        <f>IFERROR(VLOOKUP(Tabela1[[#This Row],[MÊS]]&amp;Tabela1[[#This Row],[MATRICULA]]&amp;"Ponto de Apoio"&amp;Tabela1[[#This Row],[SETOR]],BD!A:AF,31,0),"")</f>
        <v/>
      </c>
      <c r="AQ69" s="21" t="str">
        <f>IFERROR(VLOOKUP(Tabela1[[#This Row],[MÊS]]&amp;Tabela1[[#This Row],[ID]]&amp;Tabela1[[#This Row],[MATRICULA]]&amp;"Ponto de Apoio 2"&amp;Tabela1[[#This Row],[SETOR]],BD!A:AF,26,0),"")</f>
        <v/>
      </c>
      <c r="AR69" s="36" t="str">
        <f>IFERROR(VLOOKUP(Tabela1[[#This Row],[MÊS]]&amp;Tabela1[[#This Row],[ID]]&amp;Tabela1[[#This Row],[MATRICULA]]&amp;"Ponto de Apoio 3"&amp;Tabela1[[#This Row],[SETOR]],BD!A:AF,26,0),"")</f>
        <v/>
      </c>
      <c r="AS69" s="36" t="str">
        <f>IFERROR(VLOOKUP(Tabela1[[#This Row],[MÊS]]&amp;Tabela1[[#This Row],[ID]]&amp;Tabela1[[#This Row],[MATRICULA]]&amp;"Ponto de Apoio 4"&amp;Tabela1[[#This Row],[SETOR]],BD!A:AF,26,0),"")</f>
        <v/>
      </c>
      <c r="AT69" s="21" t="str">
        <f>IFERROR(VLOOKUP(Tabela1[[#This Row],[MÊS]]&amp;Tabela1[[#This Row],[MATRICULA]]&amp;"Cliente"&amp;Tabela1[[#This Row],[SETOR]],BD!A:AF,31,0),"")</f>
        <v/>
      </c>
      <c r="AU69" s="21" t="str">
        <f>IFERROR(VLOOKUP(Tabela1[[#This Row],[MÊS]]&amp;Tabela1[[#This Row],[ID]]&amp;Tabela1[[#This Row],[MATRICULA]]&amp;"Cliente 2"&amp;Tabela1[[#This Row],[SETOR]],BD!A:AF,26,0),"")</f>
        <v/>
      </c>
      <c r="AX69" s="21" t="str">
        <f>IFERROR(VLOOKUP(Tabela1[[#This Row],[MÊS]]&amp;Tabela1[[#This Row],[MATRICULA]]&amp;"Policia"&amp;Tabela1[[#This Row],[SETOR]],BD!A:AF,31,0),"")</f>
        <v/>
      </c>
      <c r="AY69" s="21" t="str">
        <f>IFERROR(VLOOKUP(Tabela1[[#This Row],[MÊS]]&amp;Tabela1[[#This Row],[ID]]&amp;Tabela1[[#This Row],[MATRICULA]]&amp;"Policia 2"&amp;Tabela1[[#This Row],[SETOR]],BD!A:AF,26,0),"")</f>
        <v/>
      </c>
      <c r="AZ69" s="36" t="str">
        <f>IFERROR(VLOOKUP(Tabela1[[#This Row],[MÊS]]&amp;Tabela1[[#This Row],[ID]]&amp;Tabela1[[#This Row],[MATRICULA]]&amp;"Policia 3"&amp;Tabela1[[#This Row],[SETOR]],BD!A:AF,26,0),"")</f>
        <v/>
      </c>
      <c r="BA69" s="36" t="str">
        <f>IFERROR(VLOOKUP(Tabela1[[#This Row],[MÊS]]&amp;Tabela1[[#This Row],[ID]]&amp;Tabela1[[#This Row],[MATRICULA]]&amp;"Policia 4"&amp;Tabela1[[#This Row],[SETOR]],BD!A:AF,26,0),"")</f>
        <v/>
      </c>
      <c r="BB6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69" s="21">
        <f>IFERROR(AVERAGE(Tabela1[[#This Row],[M]:[M4]]),"")</f>
        <v>0</v>
      </c>
      <c r="BD69" s="21" t="str">
        <f>IFERROR(AVERAGE(Tabela1[[#This Row],[C]:[C4]]),"")</f>
        <v/>
      </c>
      <c r="BE69" s="21" t="str">
        <f>IFERROR(AVERAGE(Tabela1[[#This Row],[PA2]:[PA 4]]),"")</f>
        <v/>
      </c>
      <c r="BF69" s="21" t="str">
        <f>IFERROR(AVERAGE(Tabela1[[#This Row],[PL]:[PL4]]),"")</f>
        <v/>
      </c>
      <c r="BG69" s="35" t="str">
        <f>IFERROR(VLOOKUP(Tabela1[[#This Row],[MÊS]]&amp;Tabela1[[#This Row],[MATRICULA]],#REF!,2,0),"")</f>
        <v/>
      </c>
      <c r="BH69" s="35" t="str">
        <f>IFERROR(VLOOKUP(Tabela1[[#This Row],[MÊS]]&amp;Tabela1[[#This Row],[MATRICULA]],#REF!,2,0),"")</f>
        <v/>
      </c>
      <c r="BI69" s="35" t="str">
        <f>IFERROR(VLOOKUP(Tabela1[[#This Row],[MÊS]]&amp;Tabela1[[#This Row],[MATRICULA]],#REF!,2,0),"")</f>
        <v/>
      </c>
      <c r="BJ69" s="35" t="str">
        <f>IFERROR(VLOOKUP(Tabela1[[#This Row],[MÊS]]&amp;Tabela1[[#This Row],[MATRICULA]],#REF!,2,0),"")</f>
        <v/>
      </c>
      <c r="BK69" s="35" t="str">
        <f>IFERROR(VLOOKUP(Tabela1[[#This Row],[MÊS]]&amp;Tabela1[[#This Row],[MATRICULA]],#REF!,2,0),"")</f>
        <v/>
      </c>
      <c r="BL69" s="21">
        <f>COUNTIF(Tabela1[[#This Row],[MOT2]:[RECEPTIVA]],"NÃO ENCONTRADA")</f>
        <v>0</v>
      </c>
      <c r="BM69" s="135" t="str">
        <f>IFERROR(VLOOKUP(Tabela1[[#This Row],[MÊS]]&amp;Tabela1[[#This Row],[ID]]&amp;Tabela1[[#This Row],[MATRICULA]]&amp;"Motorista"&amp;Tabela1[[#This Row],[SETOR]],BD!A:AF,13,0),"")</f>
        <v/>
      </c>
      <c r="BN69" s="135" t="str">
        <f>IFERROR(VLOOKUP(Tabela1[[#This Row],[MÊS]]&amp;Tabela1[[#This Row],[ID]]&amp;Tabela1[[#This Row],[MATRICULA]]&amp;"Motorista 2"&amp;Tabela1[[#This Row],[SETOR]],BD!A:AF,13,0),"")</f>
        <v/>
      </c>
      <c r="BO69" s="135" t="str">
        <f>IFERROR(VLOOKUP(Tabela1[[#This Row],[MÊS]]&amp;Tabela1[[#This Row],[ID]]&amp;Tabela1[[#This Row],[MATRICULA]]&amp;"Motorista 3"&amp;Tabela1[[#This Row],[SETOR]],BD!A:AF,13,0),"")</f>
        <v/>
      </c>
      <c r="BP69" s="135" t="str">
        <f>IFERROR(VLOOKUP(Tabela1[[#This Row],[MÊS]]&amp;Tabela1[[#This Row],[ID]]&amp;Tabela1[[#This Row],[MATRICULA]]&amp;"Motorista 4"&amp;Tabela1[[#This Row],[SETOR]],BD!A:AF,13,0),"")</f>
        <v/>
      </c>
      <c r="BQ69" s="135" t="str">
        <f>IFERROR(AVERAGE(Tabela1[[#This Row],[DMOT]:[DMOT4]]),"")</f>
        <v/>
      </c>
      <c r="BR69" s="135" t="str">
        <f>IFERROR(VLOOKUP(Tabela1[[#This Row],[MÊS]]&amp;Tabela1[[#This Row],[ID]]&amp;Tabela1[[#This Row],[MATRICULA]]&amp;"Ponto de Apoio"&amp;Tabela1[[#This Row],[SETOR]],BD!A:AF,13,0),"")</f>
        <v/>
      </c>
      <c r="BS69" s="135" t="str">
        <f>IFERROR(VLOOKUP(Tabela1[[#This Row],[MÊS]]&amp;Tabela1[[#This Row],[ID]]&amp;Tabela1[[#This Row],[MATRICULA]]&amp;"Ponto de Apoio 2"&amp;Tabela1[[#This Row],[SETOR]],BD!A:AF,13,0),"")</f>
        <v/>
      </c>
      <c r="BT69" s="135" t="str">
        <f>IFERROR(VLOOKUP(Tabela1[[#This Row],[MÊS]]&amp;Tabela1[[#This Row],[ID]]&amp;Tabela1[[#This Row],[MATRICULA]]&amp;"Ponto de Apoio 3"&amp;Tabela1[[#This Row],[SETOR]],BD!A:AF,13,0),"")</f>
        <v/>
      </c>
      <c r="BU69" s="135" t="str">
        <f>IFERROR(VLOOKUP(Tabela1[[#This Row],[MÊS]]&amp;Tabela1[[#This Row],[ID]]&amp;Tabela1[[#This Row],[MATRICULA]]&amp;"Ponto de Apoio 4"&amp;Tabela1[[#This Row],[SETOR]],BD!A:AF,13,0),"")</f>
        <v/>
      </c>
      <c r="BV69" s="135" t="str">
        <f>IFERROR(AVERAGE(Tabela1[[#This Row],[DPA]:[DPA 4]]),"")</f>
        <v/>
      </c>
      <c r="BW69" s="135" t="str">
        <f>IFERROR(VLOOKUP(Tabela1[[#This Row],[MÊS]]&amp;Tabela1[[#This Row],[ID]]&amp;Tabela1[[#This Row],[MATRICULA]]&amp;"Cliente"&amp;Tabela1[[#This Row],[SETOR]],BD!A:AF,13,0),"")</f>
        <v/>
      </c>
      <c r="BX69" s="135" t="str">
        <f>IFERROR(VLOOKUP(Tabela1[[#This Row],[MÊS]]&amp;Tabela1[[#This Row],[ID]]&amp;Tabela1[[#This Row],[MATRICULA]]&amp;"cliente 2"&amp;Tabela1[[#This Row],[SETOR]],BD!A:AF,13,0),"")</f>
        <v/>
      </c>
      <c r="BY69" s="135" t="str">
        <f>IFERROR(VLOOKUP(Tabela1[[#This Row],[MÊS]]&amp;Tabela1[[#This Row],[ID]]&amp;Tabela1[[#This Row],[MATRICULA]]&amp;"cliente 3"&amp;Tabela1[[#This Row],[SETOR]],BD!A:AF,13,0),"")</f>
        <v/>
      </c>
      <c r="BZ69" s="135" t="str">
        <f>IFERROR(VLOOKUP(Tabela1[[#This Row],[MÊS]]&amp;Tabela1[[#This Row],[ID]]&amp;Tabela1[[#This Row],[MATRICULA]]&amp;"cliente 4"&amp;Tabela1[[#This Row],[SETOR]],BD!A:AF,13,0),"")</f>
        <v/>
      </c>
      <c r="CA69" s="135" t="str">
        <f>IFERROR(AVERAGE(Tabela1[[#This Row],[DCLI]:[DCLI 4]]),"")</f>
        <v/>
      </c>
      <c r="CB69" s="135" t="str">
        <f>IFERROR(VLOOKUP(Tabela1[[#This Row],[MÊS]]&amp;Tabela1[[#This Row],[ID]]&amp;Tabela1[[#This Row],[MATRICULA]]&amp;"Policia"&amp;Tabela1[[#This Row],[SETOR]],BD!A:AF,13,0),"")</f>
        <v/>
      </c>
      <c r="CC69" s="135" t="str">
        <f>IFERROR(VLOOKUP(Tabela1[[#This Row],[MÊS]]&amp;Tabela1[[#This Row],[ID]]&amp;Tabela1[[#This Row],[MATRICULA]]&amp;"Policia 2"&amp;Tabela1[[#This Row],[SETOR]],BD!A:AF,13,0),"")</f>
        <v/>
      </c>
      <c r="CD69" s="135"/>
      <c r="CE69" s="135"/>
      <c r="CF69" s="135" t="str">
        <f>IFERROR((AVERAGE(Tabela1[[#This Row],[DPOL1]:[DPOL4]])),"")</f>
        <v/>
      </c>
      <c r="CG69" s="21" t="str">
        <f>IFERROR(VLOOKUP(Tabela1[[#This Row],[ID]]&amp;Tabela1[[#This Row],[MÊS]]&amp;Tabela1[[#This Row],[MATRICULA]],#REF!,2,0),"")</f>
        <v/>
      </c>
      <c r="CH69" s="21" t="str">
        <f>IFERROR(VLOOKUP(Tabela1[[#This Row],[ID]]&amp;Tabela1[[#This Row],[MÊS]]&amp;Tabela1[[#This Row],[MATRICULA]],#REF!,2,0),"")</f>
        <v/>
      </c>
      <c r="CI69" s="21" t="str">
        <f>IFERROR(VLOOKUP(Tabela1[[#This Row],[MÊS]]&amp;Tabela1[[#This Row],[MATRICULA]],#REF!,2,0),"")</f>
        <v/>
      </c>
    </row>
    <row r="70" spans="1:87">
      <c r="A70" s="12" t="str">
        <f>Tabela1[[#This Row],[MÊS]]&amp;Tabela1[[#This Row],[MATRICULA]]&amp;Tabela1[[#This Row],[ID]]</f>
        <v>JAN42188</v>
      </c>
      <c r="B70" s="12" t="str">
        <f>Tabela1[[#This Row],[MÊS]]&amp;Tabela1[[#This Row],[ID]]&amp;Tabela1[[#This Row],[MATRICULA]]&amp;Tabela1[[#This Row],[SETOR]]</f>
        <v>JAN84218TRANSFERÊNCIA</v>
      </c>
      <c r="C70" s="130" t="e">
        <f>VLOOKUP(Tabela1[[#This Row],[MATRICULA]],'BD Campos'!A:D,5,0)</f>
        <v>#REF!</v>
      </c>
      <c r="D70" s="133" t="str">
        <f ca="1">IFERROR(SUM(TODAY()-Tabela1[[#This Row],[ADMISSÃO]]),"")</f>
        <v/>
      </c>
      <c r="E70" s="11" t="str">
        <f ca="1">IFERROR(TRUNC(Tabela1[[#This Row],[TEMPO DE CASA (DIAS)]]/30),"")</f>
        <v/>
      </c>
      <c r="F70" s="32" t="str">
        <f ca="1">IFERROR(SUM(Tabela1[[#This Row],[TEMPO DE CASA (MESES)]]/12),"")</f>
        <v/>
      </c>
      <c r="G70" s="133" t="str">
        <f ca="1">IF(Tabela1[[#This Row],[TEMPO DE CASA (DIAS)]]="","SEM DADOS",IF(Tabela1[[#This Row],[TEMPO DE CASA (DIAS)]]&gt;180,"&gt; 6 MESES","&lt; 6 MESES"))</f>
        <v>SEM DADOS</v>
      </c>
      <c r="H70" s="12" t="str">
        <f t="shared" si="7"/>
        <v>JANAdryan Celso8</v>
      </c>
      <c r="I70" s="12" t="str">
        <f>IFERROR(VLOOKUP(Tabela1[[#This Row],[MATRICULA]],'BD Campos'!A:F,7,0),"")</f>
        <v/>
      </c>
      <c r="J70" s="11">
        <v>8</v>
      </c>
      <c r="K70" s="11" t="s">
        <v>669</v>
      </c>
      <c r="L70" s="136">
        <v>4218</v>
      </c>
      <c r="M70" s="12" t="str">
        <f>IFERROR(VLOOKUP(Tabela1[[#This Row],[MATRICULA]],'BD Campos'!A:B,2,0),"")</f>
        <v>AMANDA DE OLIVEIRA DOS SANTOS</v>
      </c>
      <c r="N70" s="20">
        <f>IFERROR(AVERAGE(Tabela1[[#This Row],[A1]:[A4]]),"")</f>
        <v>8.0311500000000002</v>
      </c>
      <c r="O70" s="20" t="str">
        <f>IFERROR(IF(Tabela1[[#This Row],[SETOR]]="RECEPTIVO","",AVERAGE(Tabela1[[#This Row],[A5]:[A6]])),"")</f>
        <v/>
      </c>
      <c r="P70" s="20" t="str">
        <f>IFERROR(IF(Tabela1[[#This Row],[STATUS]]="INATIVO","INATIVO",IF(Tabela1[[#This Row],[STATUS]]="QRT","INATIVO",IF(Tabela1[[#This Row],[OPERACIONAL]]&gt;7.99999,"BOM","RUIM"))),"")</f>
        <v>BOM</v>
      </c>
      <c r="Q70" s="21" t="s">
        <v>667</v>
      </c>
      <c r="R70" s="12" t="s">
        <v>677</v>
      </c>
      <c r="S70" s="12" t="s">
        <v>678</v>
      </c>
      <c r="T70" s="12" t="s">
        <v>192</v>
      </c>
      <c r="U7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7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70" s="12">
        <f>IF(AND(Tabela1[[#This Row],[SETOR]]="UTI",Tabela1[[#This Row],[M]]&lt;&gt;""),1,IF(AND(Tabela1[[#This Row],[SETOR]]="UTI (RJ)",Tabela1[[#This Row],[M]]&lt;&gt;""),1.5,0))</f>
        <v>0</v>
      </c>
      <c r="X70" s="12">
        <f>IF(AND(Tabela1[[#This Row],[SETOR]]="UTI",Tabela1[[#This Row],[PA2]]&lt;&gt;""),1,IF(AND(Tabela1[[#This Row],[SETOR]]="UTI (RJ)",Tabela1[[#This Row],[PA2]]&lt;&gt;""),0,0))</f>
        <v>0</v>
      </c>
      <c r="Y70" s="12">
        <f>IF(AND(Tabela1[[#This Row],[SETOR]]="UTI",Tabela1[[#This Row],[C]]&lt;&gt;""),1,IF(AND(Tabela1[[#This Row],[SETOR]]="UTI (RJ)",Tabela1[[#This Row],[C]]&lt;&gt;""),1.5,0))</f>
        <v>0</v>
      </c>
      <c r="Z70" s="12">
        <f>IF(AND(Tabela1[[#This Row],[SETOR]]="UTI",Tabela1[[#This Row],[PL]]&lt;&gt;""),1,IF(AND(Tabela1[[#This Row],[SETOR]]="UTI (RJ)",Tabela1[[#This Row],[PL]]&lt;&gt;""),1,0))</f>
        <v>0</v>
      </c>
      <c r="AA70" s="21">
        <f>IFERROR(VLOOKUP(Tabela1[[#This Row],[MÊS]]&amp;Tabela1[[#This Row],[MATRICULA]]&amp;"1"&amp;Tabela1[[#This Row],[SETOR]]&amp;"PADRÃO",BD!B:AF,31,0),"")</f>
        <v>8.8974999999999991</v>
      </c>
      <c r="AB70" s="21">
        <f>IFERROR(VLOOKUP(Tabela1[[#This Row],[MÊS]]&amp;Tabela1[[#This Row],[MATRICULA]]&amp;"2"&amp;Tabela1[[#This Row],[SETOR]]&amp;"PADRÃO",BD!B:AF,31,0),"")</f>
        <v>7.1647999999999996</v>
      </c>
      <c r="AC70" s="21" t="str">
        <f>IFERROR(VLOOKUP(Tabela1[[#This Row],[MÊS]]&amp;Tabela1[[#This Row],[MATRICULA]]&amp;"3"&amp;Tabela1[[#This Row],[SETOR]]&amp;"PADRÃO",BD!B:AF,31,0),"")</f>
        <v/>
      </c>
      <c r="AD70" s="21" t="str">
        <f>IFERROR(VLOOKUP(Tabela1[[#This Row],[MÊS]]&amp;Tabela1[[#This Row],[MATRICULA]]&amp;"4"&amp;Tabela1[[#This Row],[SETOR]]&amp;"PADRÃO",BD!B:AF,25,0),"")</f>
        <v/>
      </c>
      <c r="AE70" s="21" t="str">
        <f>IFERROR(VLOOKUP(Tabela1[[#This Row],[MÊS]]&amp;Tabela1[[#This Row],[MATRICULA]]&amp;"5"&amp;Tabela1[[#This Row],[SETOR]]&amp;"PADRÃO",BD!B:AF,31,0),"")</f>
        <v/>
      </c>
      <c r="AF70" s="21" t="str">
        <f>IFERROR(VLOOKUP(Tabela1[[#This Row],[MÊS]]&amp;Tabela1[[#This Row],[MATRICULA]]&amp;"6"&amp;Tabela1[[#This Row],[SETOR]]&amp;"PADRÃO",BD!B:AF,31,0),"")</f>
        <v/>
      </c>
      <c r="AG70" s="21" t="str">
        <f>IFERROR(VLOOKUP(Tabela1[[#This Row],[MÊS]]&amp;Tabela1[[#This Row],[MATRICULA]]&amp;"7"&amp;Tabela1[[#This Row],[SETOR]]&amp;"PADRÃO",BD!B:AF,31,0),"")</f>
        <v/>
      </c>
      <c r="AH70" s="21" t="str">
        <f>IFERROR(VLOOKUP(Tabela1[[#This Row],[MÊS]]&amp;Tabela1[[#This Row],[ID]]&amp;Tabela1[[#This Row],[MATRICULA]]&amp;"Receptiva"&amp;Tabela1[[#This Row],[SETOR]],BD!A:AF,31,0),"")</f>
        <v/>
      </c>
      <c r="AI70" s="21" t="str">
        <f>IFERROR(VLOOKUP(Tabela1[[#This Row],[MÊS]]&amp;Tabela1[[#This Row],[ID]]&amp;Tabela1[[#This Row],[MATRICULA]]&amp;"Receptiva 2"&amp;Tabela1[[#This Row],[SETOR]],BD!A:AF,31,0),"")</f>
        <v/>
      </c>
      <c r="AJ70" s="21" t="str">
        <f>IFERROR(VLOOKUP(Tabela1[[#This Row],[MÊS]]&amp;Tabela1[[#This Row],[ID]]&amp;Tabela1[[#This Row],[MATRICULA]]&amp;"Receptiva 3"&amp;Tabela1[[#This Row],[SETOR]],BD!A:AF,31,0),"")</f>
        <v/>
      </c>
      <c r="AK70" s="21" t="str">
        <f>IFERROR(VLOOKUP(Tabela1[[#This Row],[MÊS]]&amp;Tabela1[[#This Row],[ID]]&amp;Tabela1[[#This Row],[MATRICULA]]&amp;"Receptiva 4"&amp;Tabela1[[#This Row],[SETOR]],BD!A:AF,31,0),"")</f>
        <v/>
      </c>
      <c r="AL70" s="21">
        <f>IFERROR(VLOOKUP(Tabela1[[#This Row],[MÊS]]&amp;Tabela1[[#This Row],[MATRICULA]]&amp;"Motorista"&amp;Tabela1[[#This Row],[SETOR]],BD!A:AF,31,0),"")</f>
        <v>0</v>
      </c>
      <c r="AM70" s="21" t="str">
        <f>IFERROR(VLOOKUP(Tabela1[[#This Row],[MÊS]]&amp;Tabela1[[#This Row],[ID]]&amp;Tabela1[[#This Row],[MATRICULA]]&amp;"Motorista 2"&amp;Tabela1[[#This Row],[SETOR]],BD!A:AF,26,0),"")</f>
        <v/>
      </c>
      <c r="AN70" s="21" t="str">
        <f>IFERROR(VLOOKUP(Tabela1[[#This Row],[MÊS]]&amp;Tabela1[[#This Row],[ID]]&amp;Tabela1[[#This Row],[MATRICULA]]&amp;"Motorista 3"&amp;Tabela1[[#This Row],[SETOR]],BD!A:AF,26,0),"")</f>
        <v/>
      </c>
      <c r="AO70" s="21" t="str">
        <f>IFERROR(VLOOKUP(Tabela1[[#This Row],[MÊS]]&amp;Tabela1[[#This Row],[ID]]&amp;Tabela1[[#This Row],[MATRICULA]]&amp;"Motorista 4"&amp;Tabela1[[#This Row],[SETOR]],BD!A:AF,26,0),"")</f>
        <v/>
      </c>
      <c r="AP70" s="21" t="str">
        <f>IFERROR(VLOOKUP(Tabela1[[#This Row],[MÊS]]&amp;Tabela1[[#This Row],[MATRICULA]]&amp;"Ponto de Apoio"&amp;Tabela1[[#This Row],[SETOR]],BD!A:AF,31,0),"")</f>
        <v/>
      </c>
      <c r="AQ70" s="21" t="str">
        <f>IFERROR(VLOOKUP(Tabela1[[#This Row],[MÊS]]&amp;Tabela1[[#This Row],[ID]]&amp;Tabela1[[#This Row],[MATRICULA]]&amp;"Ponto de Apoio 2"&amp;Tabela1[[#This Row],[SETOR]],BD!A:AF,26,0),"")</f>
        <v/>
      </c>
      <c r="AR70" s="36" t="str">
        <f>IFERROR(VLOOKUP(Tabela1[[#This Row],[MÊS]]&amp;Tabela1[[#This Row],[ID]]&amp;Tabela1[[#This Row],[MATRICULA]]&amp;"Ponto de Apoio 3"&amp;Tabela1[[#This Row],[SETOR]],BD!A:AF,26,0),"")</f>
        <v/>
      </c>
      <c r="AS70" s="36" t="str">
        <f>IFERROR(VLOOKUP(Tabela1[[#This Row],[MÊS]]&amp;Tabela1[[#This Row],[ID]]&amp;Tabela1[[#This Row],[MATRICULA]]&amp;"Ponto de Apoio 4"&amp;Tabela1[[#This Row],[SETOR]],BD!A:AF,26,0),"")</f>
        <v/>
      </c>
      <c r="AT70" s="21" t="str">
        <f>IFERROR(VLOOKUP(Tabela1[[#This Row],[MÊS]]&amp;Tabela1[[#This Row],[MATRICULA]]&amp;"Cliente"&amp;Tabela1[[#This Row],[SETOR]],BD!A:AF,31,0),"")</f>
        <v/>
      </c>
      <c r="AU70" s="21" t="str">
        <f>IFERROR(VLOOKUP(Tabela1[[#This Row],[MÊS]]&amp;Tabela1[[#This Row],[ID]]&amp;Tabela1[[#This Row],[MATRICULA]]&amp;"Cliente 2"&amp;Tabela1[[#This Row],[SETOR]],BD!A:AF,26,0),"")</f>
        <v/>
      </c>
      <c r="AX70" s="21" t="str">
        <f>IFERROR(VLOOKUP(Tabela1[[#This Row],[MÊS]]&amp;Tabela1[[#This Row],[MATRICULA]]&amp;"Policia"&amp;Tabela1[[#This Row],[SETOR]],BD!A:AF,31,0),"")</f>
        <v/>
      </c>
      <c r="AY70" s="21" t="str">
        <f>IFERROR(VLOOKUP(Tabela1[[#This Row],[MÊS]]&amp;Tabela1[[#This Row],[ID]]&amp;Tabela1[[#This Row],[MATRICULA]]&amp;"Policia 2"&amp;Tabela1[[#This Row],[SETOR]],BD!A:AF,26,0),"")</f>
        <v/>
      </c>
      <c r="AZ70" s="36" t="str">
        <f>IFERROR(VLOOKUP(Tabela1[[#This Row],[MÊS]]&amp;Tabela1[[#This Row],[ID]]&amp;Tabela1[[#This Row],[MATRICULA]]&amp;"Policia 3"&amp;Tabela1[[#This Row],[SETOR]],BD!A:AF,26,0),"")</f>
        <v/>
      </c>
      <c r="BA70" s="36" t="str">
        <f>IFERROR(VLOOKUP(Tabela1[[#This Row],[MÊS]]&amp;Tabela1[[#This Row],[ID]]&amp;Tabela1[[#This Row],[MATRICULA]]&amp;"Policia 4"&amp;Tabela1[[#This Row],[SETOR]],BD!A:AF,26,0),"")</f>
        <v/>
      </c>
      <c r="BB7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70" s="21">
        <f>IFERROR(AVERAGE(Tabela1[[#This Row],[M]:[M4]]),"")</f>
        <v>0</v>
      </c>
      <c r="BD70" s="21" t="str">
        <f>IFERROR(AVERAGE(Tabela1[[#This Row],[C]:[C4]]),"")</f>
        <v/>
      </c>
      <c r="BE70" s="21" t="str">
        <f>IFERROR(AVERAGE(Tabela1[[#This Row],[PA2]:[PA 4]]),"")</f>
        <v/>
      </c>
      <c r="BF70" s="21" t="str">
        <f>IFERROR(AVERAGE(Tabela1[[#This Row],[PL]:[PL4]]),"")</f>
        <v/>
      </c>
      <c r="BG70" s="35" t="str">
        <f>IFERROR(VLOOKUP(Tabela1[[#This Row],[MÊS]]&amp;Tabela1[[#This Row],[MATRICULA]],#REF!,2,0),"")</f>
        <v/>
      </c>
      <c r="BH70" s="35" t="str">
        <f>IFERROR(VLOOKUP(Tabela1[[#This Row],[MÊS]]&amp;Tabela1[[#This Row],[MATRICULA]],#REF!,2,0),"")</f>
        <v/>
      </c>
      <c r="BI70" s="35" t="str">
        <f>IFERROR(VLOOKUP(Tabela1[[#This Row],[MÊS]]&amp;Tabela1[[#This Row],[MATRICULA]],#REF!,2,0),"")</f>
        <v/>
      </c>
      <c r="BJ70" s="35" t="str">
        <f>IFERROR(VLOOKUP(Tabela1[[#This Row],[MÊS]]&amp;Tabela1[[#This Row],[MATRICULA]],#REF!,2,0),"")</f>
        <v/>
      </c>
      <c r="BK70" s="35" t="str">
        <f>IFERROR(VLOOKUP(Tabela1[[#This Row],[MÊS]]&amp;Tabela1[[#This Row],[MATRICULA]],#REF!,2,0),"")</f>
        <v/>
      </c>
      <c r="BL70" s="21">
        <f>COUNTIF(Tabela1[[#This Row],[MOT2]:[RECEPTIVA]],"NÃO ENCONTRADA")</f>
        <v>0</v>
      </c>
      <c r="BM70" s="135" t="str">
        <f>IFERROR(VLOOKUP(Tabela1[[#This Row],[MÊS]]&amp;Tabela1[[#This Row],[ID]]&amp;Tabela1[[#This Row],[MATRICULA]]&amp;"Motorista"&amp;Tabela1[[#This Row],[SETOR]],BD!A:AF,13,0),"")</f>
        <v/>
      </c>
      <c r="BN70" s="135" t="str">
        <f>IFERROR(VLOOKUP(Tabela1[[#This Row],[MÊS]]&amp;Tabela1[[#This Row],[ID]]&amp;Tabela1[[#This Row],[MATRICULA]]&amp;"Motorista 2"&amp;Tabela1[[#This Row],[SETOR]],BD!A:AF,13,0),"")</f>
        <v/>
      </c>
      <c r="BO70" s="135" t="str">
        <f>IFERROR(VLOOKUP(Tabela1[[#This Row],[MÊS]]&amp;Tabela1[[#This Row],[ID]]&amp;Tabela1[[#This Row],[MATRICULA]]&amp;"Motorista 3"&amp;Tabela1[[#This Row],[SETOR]],BD!A:AF,13,0),"")</f>
        <v/>
      </c>
      <c r="BP70" s="135" t="str">
        <f>IFERROR(VLOOKUP(Tabela1[[#This Row],[MÊS]]&amp;Tabela1[[#This Row],[ID]]&amp;Tabela1[[#This Row],[MATRICULA]]&amp;"Motorista 4"&amp;Tabela1[[#This Row],[SETOR]],BD!A:AF,13,0),"")</f>
        <v/>
      </c>
      <c r="BQ70" s="135" t="str">
        <f>IFERROR(AVERAGE(Tabela1[[#This Row],[DMOT]:[DMOT4]]),"")</f>
        <v/>
      </c>
      <c r="BR70" s="135" t="str">
        <f>IFERROR(VLOOKUP(Tabela1[[#This Row],[MÊS]]&amp;Tabela1[[#This Row],[ID]]&amp;Tabela1[[#This Row],[MATRICULA]]&amp;"Ponto de Apoio"&amp;Tabela1[[#This Row],[SETOR]],BD!A:AF,13,0),"")</f>
        <v/>
      </c>
      <c r="BS70" s="135" t="str">
        <f>IFERROR(VLOOKUP(Tabela1[[#This Row],[MÊS]]&amp;Tabela1[[#This Row],[ID]]&amp;Tabela1[[#This Row],[MATRICULA]]&amp;"Ponto de Apoio 2"&amp;Tabela1[[#This Row],[SETOR]],BD!A:AF,13,0),"")</f>
        <v/>
      </c>
      <c r="BT70" s="135" t="str">
        <f>IFERROR(VLOOKUP(Tabela1[[#This Row],[MÊS]]&amp;Tabela1[[#This Row],[ID]]&amp;Tabela1[[#This Row],[MATRICULA]]&amp;"Ponto de Apoio 3"&amp;Tabela1[[#This Row],[SETOR]],BD!A:AF,13,0),"")</f>
        <v/>
      </c>
      <c r="BU70" s="135" t="str">
        <f>IFERROR(VLOOKUP(Tabela1[[#This Row],[MÊS]]&amp;Tabela1[[#This Row],[ID]]&amp;Tabela1[[#This Row],[MATRICULA]]&amp;"Ponto de Apoio 4"&amp;Tabela1[[#This Row],[SETOR]],BD!A:AF,13,0),"")</f>
        <v/>
      </c>
      <c r="BV70" s="135" t="str">
        <f>IFERROR(AVERAGE(Tabela1[[#This Row],[DPA]:[DPA 4]]),"")</f>
        <v/>
      </c>
      <c r="BW70" s="135" t="str">
        <f>IFERROR(VLOOKUP(Tabela1[[#This Row],[MÊS]]&amp;Tabela1[[#This Row],[ID]]&amp;Tabela1[[#This Row],[MATRICULA]]&amp;"Cliente"&amp;Tabela1[[#This Row],[SETOR]],BD!A:AF,13,0),"")</f>
        <v/>
      </c>
      <c r="BX70" s="135" t="str">
        <f>IFERROR(VLOOKUP(Tabela1[[#This Row],[MÊS]]&amp;Tabela1[[#This Row],[ID]]&amp;Tabela1[[#This Row],[MATRICULA]]&amp;"cliente 2"&amp;Tabela1[[#This Row],[SETOR]],BD!A:AF,13,0),"")</f>
        <v/>
      </c>
      <c r="BY70" s="135" t="str">
        <f>IFERROR(VLOOKUP(Tabela1[[#This Row],[MÊS]]&amp;Tabela1[[#This Row],[ID]]&amp;Tabela1[[#This Row],[MATRICULA]]&amp;"cliente 3"&amp;Tabela1[[#This Row],[SETOR]],BD!A:AF,13,0),"")</f>
        <v/>
      </c>
      <c r="BZ70" s="135" t="str">
        <f>IFERROR(VLOOKUP(Tabela1[[#This Row],[MÊS]]&amp;Tabela1[[#This Row],[ID]]&amp;Tabela1[[#This Row],[MATRICULA]]&amp;"cliente 4"&amp;Tabela1[[#This Row],[SETOR]],BD!A:AF,13,0),"")</f>
        <v/>
      </c>
      <c r="CA70" s="135" t="str">
        <f>IFERROR(AVERAGE(Tabela1[[#This Row],[DCLI]:[DCLI 4]]),"")</f>
        <v/>
      </c>
      <c r="CB70" s="135" t="str">
        <f>IFERROR(VLOOKUP(Tabela1[[#This Row],[MÊS]]&amp;Tabela1[[#This Row],[ID]]&amp;Tabela1[[#This Row],[MATRICULA]]&amp;"Policia"&amp;Tabela1[[#This Row],[SETOR]],BD!A:AF,13,0),"")</f>
        <v/>
      </c>
      <c r="CC70" s="135" t="str">
        <f>IFERROR(VLOOKUP(Tabela1[[#This Row],[MÊS]]&amp;Tabela1[[#This Row],[ID]]&amp;Tabela1[[#This Row],[MATRICULA]]&amp;"Policia 2"&amp;Tabela1[[#This Row],[SETOR]],BD!A:AF,13,0),"")</f>
        <v/>
      </c>
      <c r="CD70" s="135"/>
      <c r="CE70" s="135"/>
      <c r="CF70" s="135" t="str">
        <f>IFERROR((AVERAGE(Tabela1[[#This Row],[DPOL1]:[DPOL4]])),"")</f>
        <v/>
      </c>
      <c r="CG70" s="21" t="str">
        <f>IFERROR(VLOOKUP(Tabela1[[#This Row],[ID]]&amp;Tabela1[[#This Row],[MÊS]]&amp;Tabela1[[#This Row],[MATRICULA]],#REF!,2,0),"")</f>
        <v/>
      </c>
      <c r="CH70" s="21" t="str">
        <f>IFERROR(VLOOKUP(Tabela1[[#This Row],[ID]]&amp;Tabela1[[#This Row],[MÊS]]&amp;Tabela1[[#This Row],[MATRICULA]],#REF!,2,0),"")</f>
        <v/>
      </c>
      <c r="CI70" s="21" t="str">
        <f>IFERROR(VLOOKUP(Tabela1[[#This Row],[MÊS]]&amp;Tabela1[[#This Row],[MATRICULA]],#REF!,2,0),"")</f>
        <v/>
      </c>
    </row>
    <row r="71" spans="1:87">
      <c r="A71" s="12" t="str">
        <f>Tabela1[[#This Row],[MÊS]]&amp;Tabela1[[#This Row],[MATRICULA]]&amp;Tabela1[[#This Row],[ID]]</f>
        <v>JAN42039</v>
      </c>
      <c r="B71" s="12" t="str">
        <f>Tabela1[[#This Row],[MÊS]]&amp;Tabela1[[#This Row],[ID]]&amp;Tabela1[[#This Row],[MATRICULA]]&amp;Tabela1[[#This Row],[SETOR]]</f>
        <v>JAN94203TRANSFERÊNCIA</v>
      </c>
      <c r="C71" s="130" t="e">
        <f>VLOOKUP(Tabela1[[#This Row],[MATRICULA]],'BD Campos'!A:D,5,0)</f>
        <v>#REF!</v>
      </c>
      <c r="D71" s="133" t="str">
        <f ca="1">IFERROR(SUM(TODAY()-Tabela1[[#This Row],[ADMISSÃO]]),"")</f>
        <v/>
      </c>
      <c r="E71" s="11" t="str">
        <f ca="1">IFERROR(TRUNC(Tabela1[[#This Row],[TEMPO DE CASA (DIAS)]]/30),"")</f>
        <v/>
      </c>
      <c r="F71" s="32" t="str">
        <f ca="1">IFERROR(SUM(Tabela1[[#This Row],[TEMPO DE CASA (MESES)]]/12),"")</f>
        <v/>
      </c>
      <c r="G71" s="133" t="str">
        <f ca="1">IF(Tabela1[[#This Row],[TEMPO DE CASA (DIAS)]]="","SEM DADOS",IF(Tabela1[[#This Row],[TEMPO DE CASA (DIAS)]]&gt;180,"&gt; 6 MESES","&lt; 6 MESES"))</f>
        <v>SEM DADOS</v>
      </c>
      <c r="H71" s="12" t="str">
        <f t="shared" si="7"/>
        <v>JANAdryan Celso9</v>
      </c>
      <c r="I71" s="12" t="str">
        <f>IFERROR(VLOOKUP(Tabela1[[#This Row],[MATRICULA]],'BD Campos'!A:F,7,0),"")</f>
        <v/>
      </c>
      <c r="J71" s="11">
        <v>9</v>
      </c>
      <c r="K71" s="11" t="s">
        <v>669</v>
      </c>
      <c r="L71" s="136">
        <v>4203</v>
      </c>
      <c r="M71" s="12" t="str">
        <f>IFERROR(VLOOKUP(Tabela1[[#This Row],[MATRICULA]],'BD Campos'!A:B,2,0),"")</f>
        <v>ANA JULIA NUNES</v>
      </c>
      <c r="N71" s="20">
        <f>IFERROR(AVERAGE(Tabela1[[#This Row],[A1]:[A4]]),"")</f>
        <v>7.9</v>
      </c>
      <c r="O71" s="20" t="str">
        <f>IFERROR(IF(Tabela1[[#This Row],[SETOR]]="RECEPTIVO","",AVERAGE(Tabela1[[#This Row],[A5]:[A6]])),"")</f>
        <v/>
      </c>
      <c r="P71" s="20" t="str">
        <f>IFERROR(IF(Tabela1[[#This Row],[STATUS]]="INATIVO","INATIVO",IF(Tabela1[[#This Row],[STATUS]]="QRT","INATIVO",IF(Tabela1[[#This Row],[OPERACIONAL]]&gt;7.99999,"BOM","RUIM"))),"")</f>
        <v>RUIM</v>
      </c>
      <c r="Q71" s="21" t="s">
        <v>667</v>
      </c>
      <c r="R71" s="12" t="s">
        <v>677</v>
      </c>
      <c r="S71" s="12" t="s">
        <v>678</v>
      </c>
      <c r="T71" s="12" t="s">
        <v>192</v>
      </c>
      <c r="U7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7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71" s="12">
        <f>IF(AND(Tabela1[[#This Row],[SETOR]]="UTI",Tabela1[[#This Row],[M]]&lt;&gt;""),1,IF(AND(Tabela1[[#This Row],[SETOR]]="UTI (RJ)",Tabela1[[#This Row],[M]]&lt;&gt;""),1.5,0))</f>
        <v>0</v>
      </c>
      <c r="X71" s="12">
        <f>IF(AND(Tabela1[[#This Row],[SETOR]]="UTI",Tabela1[[#This Row],[PA2]]&lt;&gt;""),1,IF(AND(Tabela1[[#This Row],[SETOR]]="UTI (RJ)",Tabela1[[#This Row],[PA2]]&lt;&gt;""),0,0))</f>
        <v>0</v>
      </c>
      <c r="Y71" s="12">
        <f>IF(AND(Tabela1[[#This Row],[SETOR]]="UTI",Tabela1[[#This Row],[C]]&lt;&gt;""),1,IF(AND(Tabela1[[#This Row],[SETOR]]="UTI (RJ)",Tabela1[[#This Row],[C]]&lt;&gt;""),1.5,0))</f>
        <v>0</v>
      </c>
      <c r="Z71" s="12">
        <f>IF(AND(Tabela1[[#This Row],[SETOR]]="UTI",Tabela1[[#This Row],[PL]]&lt;&gt;""),1,IF(AND(Tabela1[[#This Row],[SETOR]]="UTI (RJ)",Tabela1[[#This Row],[PL]]&lt;&gt;""),1,0))</f>
        <v>0</v>
      </c>
      <c r="AA71" s="21">
        <f>IFERROR(VLOOKUP(Tabela1[[#This Row],[MÊS]]&amp;Tabela1[[#This Row],[MATRICULA]]&amp;"1"&amp;Tabela1[[#This Row],[SETOR]]&amp;"PADRÃO",BD!B:AF,31,0),"")</f>
        <v>9.6850000000000005</v>
      </c>
      <c r="AB71" s="21">
        <f>IFERROR(VLOOKUP(Tabela1[[#This Row],[MÊS]]&amp;Tabela1[[#This Row],[MATRICULA]]&amp;"2"&amp;Tabela1[[#This Row],[SETOR]]&amp;"PADRÃO",BD!B:AF,31,0),"")</f>
        <v>6.1149999999999993</v>
      </c>
      <c r="AC71" s="21" t="str">
        <f>IFERROR(VLOOKUP(Tabela1[[#This Row],[MÊS]]&amp;Tabela1[[#This Row],[MATRICULA]]&amp;"3"&amp;Tabela1[[#This Row],[SETOR]]&amp;"PADRÃO",BD!B:AF,31,0),"")</f>
        <v/>
      </c>
      <c r="AD71" s="21" t="str">
        <f>IFERROR(VLOOKUP(Tabela1[[#This Row],[MÊS]]&amp;Tabela1[[#This Row],[MATRICULA]]&amp;"4"&amp;Tabela1[[#This Row],[SETOR]]&amp;"PADRÃO",BD!B:AF,25,0),"")</f>
        <v/>
      </c>
      <c r="AE71" s="21" t="str">
        <f>IFERROR(VLOOKUP(Tabela1[[#This Row],[MÊS]]&amp;Tabela1[[#This Row],[MATRICULA]]&amp;"5"&amp;Tabela1[[#This Row],[SETOR]]&amp;"PADRÃO",BD!B:AF,31,0),"")</f>
        <v/>
      </c>
      <c r="AF71" s="21" t="str">
        <f>IFERROR(VLOOKUP(Tabela1[[#This Row],[MÊS]]&amp;Tabela1[[#This Row],[MATRICULA]]&amp;"6"&amp;Tabela1[[#This Row],[SETOR]]&amp;"PADRÃO",BD!B:AF,31,0),"")</f>
        <v/>
      </c>
      <c r="AG71" s="21" t="str">
        <f>IFERROR(VLOOKUP(Tabela1[[#This Row],[MÊS]]&amp;Tabela1[[#This Row],[MATRICULA]]&amp;"7"&amp;Tabela1[[#This Row],[SETOR]]&amp;"PADRÃO",BD!B:AF,31,0),"")</f>
        <v/>
      </c>
      <c r="AH71" s="21" t="str">
        <f>IFERROR(VLOOKUP(Tabela1[[#This Row],[MÊS]]&amp;Tabela1[[#This Row],[ID]]&amp;Tabela1[[#This Row],[MATRICULA]]&amp;"Receptiva"&amp;Tabela1[[#This Row],[SETOR]],BD!A:AF,31,0),"")</f>
        <v/>
      </c>
      <c r="AI71" s="21" t="str">
        <f>IFERROR(VLOOKUP(Tabela1[[#This Row],[MÊS]]&amp;Tabela1[[#This Row],[ID]]&amp;Tabela1[[#This Row],[MATRICULA]]&amp;"Receptiva 2"&amp;Tabela1[[#This Row],[SETOR]],BD!A:AF,31,0),"")</f>
        <v/>
      </c>
      <c r="AJ71" s="21" t="str">
        <f>IFERROR(VLOOKUP(Tabela1[[#This Row],[MÊS]]&amp;Tabela1[[#This Row],[ID]]&amp;Tabela1[[#This Row],[MATRICULA]]&amp;"Receptiva 3"&amp;Tabela1[[#This Row],[SETOR]],BD!A:AF,31,0),"")</f>
        <v/>
      </c>
      <c r="AK71" s="21" t="str">
        <f>IFERROR(VLOOKUP(Tabela1[[#This Row],[MÊS]]&amp;Tabela1[[#This Row],[ID]]&amp;Tabela1[[#This Row],[MATRICULA]]&amp;"Receptiva 4"&amp;Tabela1[[#This Row],[SETOR]],BD!A:AF,31,0),"")</f>
        <v/>
      </c>
      <c r="AL71" s="21">
        <f>IFERROR(VLOOKUP(Tabela1[[#This Row],[MÊS]]&amp;Tabela1[[#This Row],[MATRICULA]]&amp;"Motorista"&amp;Tabela1[[#This Row],[SETOR]],BD!A:AF,31,0),"")</f>
        <v>0</v>
      </c>
      <c r="AM71" s="21" t="str">
        <f>IFERROR(VLOOKUP(Tabela1[[#This Row],[MÊS]]&amp;Tabela1[[#This Row],[ID]]&amp;Tabela1[[#This Row],[MATRICULA]]&amp;"Motorista 2"&amp;Tabela1[[#This Row],[SETOR]],BD!A:AF,26,0),"")</f>
        <v/>
      </c>
      <c r="AN71" s="21" t="str">
        <f>IFERROR(VLOOKUP(Tabela1[[#This Row],[MÊS]]&amp;Tabela1[[#This Row],[ID]]&amp;Tabela1[[#This Row],[MATRICULA]]&amp;"Motorista 3"&amp;Tabela1[[#This Row],[SETOR]],BD!A:AF,26,0),"")</f>
        <v/>
      </c>
      <c r="AO71" s="21" t="str">
        <f>IFERROR(VLOOKUP(Tabela1[[#This Row],[MÊS]]&amp;Tabela1[[#This Row],[ID]]&amp;Tabela1[[#This Row],[MATRICULA]]&amp;"Motorista 4"&amp;Tabela1[[#This Row],[SETOR]],BD!A:AF,26,0),"")</f>
        <v/>
      </c>
      <c r="AP71" s="21" t="str">
        <f>IFERROR(VLOOKUP(Tabela1[[#This Row],[MÊS]]&amp;Tabela1[[#This Row],[MATRICULA]]&amp;"Ponto de Apoio"&amp;Tabela1[[#This Row],[SETOR]],BD!A:AF,31,0),"")</f>
        <v/>
      </c>
      <c r="AQ71" s="21" t="str">
        <f>IFERROR(VLOOKUP(Tabela1[[#This Row],[MÊS]]&amp;Tabela1[[#This Row],[ID]]&amp;Tabela1[[#This Row],[MATRICULA]]&amp;"Ponto de Apoio 2"&amp;Tabela1[[#This Row],[SETOR]],BD!A:AF,26,0),"")</f>
        <v/>
      </c>
      <c r="AR71" s="36" t="str">
        <f>IFERROR(VLOOKUP(Tabela1[[#This Row],[MÊS]]&amp;Tabela1[[#This Row],[ID]]&amp;Tabela1[[#This Row],[MATRICULA]]&amp;"Ponto de Apoio 3"&amp;Tabela1[[#This Row],[SETOR]],BD!A:AF,26,0),"")</f>
        <v/>
      </c>
      <c r="AS71" s="36" t="str">
        <f>IFERROR(VLOOKUP(Tabela1[[#This Row],[MÊS]]&amp;Tabela1[[#This Row],[ID]]&amp;Tabela1[[#This Row],[MATRICULA]]&amp;"Ponto de Apoio 4"&amp;Tabela1[[#This Row],[SETOR]],BD!A:AF,26,0),"")</f>
        <v/>
      </c>
      <c r="AT71" s="21">
        <f>IFERROR(VLOOKUP(Tabela1[[#This Row],[MÊS]]&amp;Tabela1[[#This Row],[MATRICULA]]&amp;"Cliente"&amp;Tabela1[[#This Row],[SETOR]],BD!A:AF,31,0),"")</f>
        <v>0</v>
      </c>
      <c r="AU71" s="21" t="str">
        <f>IFERROR(VLOOKUP(Tabela1[[#This Row],[MÊS]]&amp;Tabela1[[#This Row],[ID]]&amp;Tabela1[[#This Row],[MATRICULA]]&amp;"Cliente 2"&amp;Tabela1[[#This Row],[SETOR]],BD!A:AF,26,0),"")</f>
        <v/>
      </c>
      <c r="AX71" s="21" t="str">
        <f>IFERROR(VLOOKUP(Tabela1[[#This Row],[MÊS]]&amp;Tabela1[[#This Row],[MATRICULA]]&amp;"Policia"&amp;Tabela1[[#This Row],[SETOR]],BD!A:AF,31,0),"")</f>
        <v/>
      </c>
      <c r="AY71" s="21" t="str">
        <f>IFERROR(VLOOKUP(Tabela1[[#This Row],[MÊS]]&amp;Tabela1[[#This Row],[ID]]&amp;Tabela1[[#This Row],[MATRICULA]]&amp;"Policia 2"&amp;Tabela1[[#This Row],[SETOR]],BD!A:AF,26,0),"")</f>
        <v/>
      </c>
      <c r="AZ71" s="36" t="str">
        <f>IFERROR(VLOOKUP(Tabela1[[#This Row],[MÊS]]&amp;Tabela1[[#This Row],[ID]]&amp;Tabela1[[#This Row],[MATRICULA]]&amp;"Policia 3"&amp;Tabela1[[#This Row],[SETOR]],BD!A:AF,26,0),"")</f>
        <v/>
      </c>
      <c r="BA71" s="36" t="str">
        <f>IFERROR(VLOOKUP(Tabela1[[#This Row],[MÊS]]&amp;Tabela1[[#This Row],[ID]]&amp;Tabela1[[#This Row],[MATRICULA]]&amp;"Policia 4"&amp;Tabela1[[#This Row],[SETOR]],BD!A:AF,26,0),"")</f>
        <v/>
      </c>
      <c r="BB7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71" s="21">
        <f>IFERROR(AVERAGE(Tabela1[[#This Row],[M]:[M4]]),"")</f>
        <v>0</v>
      </c>
      <c r="BD71" s="21">
        <f>IFERROR(AVERAGE(Tabela1[[#This Row],[C]:[C4]]),"")</f>
        <v>0</v>
      </c>
      <c r="BE71" s="21" t="str">
        <f>IFERROR(AVERAGE(Tabela1[[#This Row],[PA2]:[PA 4]]),"")</f>
        <v/>
      </c>
      <c r="BF71" s="21" t="str">
        <f>IFERROR(AVERAGE(Tabela1[[#This Row],[PL]:[PL4]]),"")</f>
        <v/>
      </c>
      <c r="BG71" s="35" t="str">
        <f>IFERROR(VLOOKUP(Tabela1[[#This Row],[MÊS]]&amp;Tabela1[[#This Row],[MATRICULA]],#REF!,2,0),"")</f>
        <v/>
      </c>
      <c r="BH71" s="35" t="str">
        <f>IFERROR(VLOOKUP(Tabela1[[#This Row],[MÊS]]&amp;Tabela1[[#This Row],[MATRICULA]],#REF!,2,0),"")</f>
        <v/>
      </c>
      <c r="BI71" s="35" t="str">
        <f>IFERROR(VLOOKUP(Tabela1[[#This Row],[MÊS]]&amp;Tabela1[[#This Row],[MATRICULA]],#REF!,2,0),"")</f>
        <v/>
      </c>
      <c r="BJ71" s="35" t="str">
        <f>IFERROR(VLOOKUP(Tabela1[[#This Row],[MÊS]]&amp;Tabela1[[#This Row],[MATRICULA]],#REF!,2,0),"")</f>
        <v/>
      </c>
      <c r="BK71" s="35" t="str">
        <f>IFERROR(VLOOKUP(Tabela1[[#This Row],[MÊS]]&amp;Tabela1[[#This Row],[MATRICULA]],#REF!,2,0),"")</f>
        <v/>
      </c>
      <c r="BL71" s="21">
        <f>COUNTIF(Tabela1[[#This Row],[MOT2]:[RECEPTIVA]],"NÃO ENCONTRADA")</f>
        <v>0</v>
      </c>
      <c r="BM71" s="135" t="str">
        <f>IFERROR(VLOOKUP(Tabela1[[#This Row],[MÊS]]&amp;Tabela1[[#This Row],[ID]]&amp;Tabela1[[#This Row],[MATRICULA]]&amp;"Motorista"&amp;Tabela1[[#This Row],[SETOR]],BD!A:AF,13,0),"")</f>
        <v/>
      </c>
      <c r="BN71" s="135" t="str">
        <f>IFERROR(VLOOKUP(Tabela1[[#This Row],[MÊS]]&amp;Tabela1[[#This Row],[ID]]&amp;Tabela1[[#This Row],[MATRICULA]]&amp;"Motorista 2"&amp;Tabela1[[#This Row],[SETOR]],BD!A:AF,13,0),"")</f>
        <v/>
      </c>
      <c r="BO71" s="135" t="str">
        <f>IFERROR(VLOOKUP(Tabela1[[#This Row],[MÊS]]&amp;Tabela1[[#This Row],[ID]]&amp;Tabela1[[#This Row],[MATRICULA]]&amp;"Motorista 3"&amp;Tabela1[[#This Row],[SETOR]],BD!A:AF,13,0),"")</f>
        <v/>
      </c>
      <c r="BP71" s="135" t="str">
        <f>IFERROR(VLOOKUP(Tabela1[[#This Row],[MÊS]]&amp;Tabela1[[#This Row],[ID]]&amp;Tabela1[[#This Row],[MATRICULA]]&amp;"Motorista 4"&amp;Tabela1[[#This Row],[SETOR]],BD!A:AF,13,0),"")</f>
        <v/>
      </c>
      <c r="BQ71" s="135" t="str">
        <f>IFERROR(AVERAGE(Tabela1[[#This Row],[DMOT]:[DMOT4]]),"")</f>
        <v/>
      </c>
      <c r="BR71" s="135" t="str">
        <f>IFERROR(VLOOKUP(Tabela1[[#This Row],[MÊS]]&amp;Tabela1[[#This Row],[ID]]&amp;Tabela1[[#This Row],[MATRICULA]]&amp;"Ponto de Apoio"&amp;Tabela1[[#This Row],[SETOR]],BD!A:AF,13,0),"")</f>
        <v/>
      </c>
      <c r="BS71" s="135" t="str">
        <f>IFERROR(VLOOKUP(Tabela1[[#This Row],[MÊS]]&amp;Tabela1[[#This Row],[ID]]&amp;Tabela1[[#This Row],[MATRICULA]]&amp;"Ponto de Apoio 2"&amp;Tabela1[[#This Row],[SETOR]],BD!A:AF,13,0),"")</f>
        <v/>
      </c>
      <c r="BT71" s="135" t="str">
        <f>IFERROR(VLOOKUP(Tabela1[[#This Row],[MÊS]]&amp;Tabela1[[#This Row],[ID]]&amp;Tabela1[[#This Row],[MATRICULA]]&amp;"Ponto de Apoio 3"&amp;Tabela1[[#This Row],[SETOR]],BD!A:AF,13,0),"")</f>
        <v/>
      </c>
      <c r="BU71" s="135" t="str">
        <f>IFERROR(VLOOKUP(Tabela1[[#This Row],[MÊS]]&amp;Tabela1[[#This Row],[ID]]&amp;Tabela1[[#This Row],[MATRICULA]]&amp;"Ponto de Apoio 4"&amp;Tabela1[[#This Row],[SETOR]],BD!A:AF,13,0),"")</f>
        <v/>
      </c>
      <c r="BV71" s="135" t="str">
        <f>IFERROR(AVERAGE(Tabela1[[#This Row],[DPA]:[DPA 4]]),"")</f>
        <v/>
      </c>
      <c r="BW71" s="135" t="str">
        <f>IFERROR(VLOOKUP(Tabela1[[#This Row],[MÊS]]&amp;Tabela1[[#This Row],[ID]]&amp;Tabela1[[#This Row],[MATRICULA]]&amp;"Cliente"&amp;Tabela1[[#This Row],[SETOR]],BD!A:AF,13,0),"")</f>
        <v/>
      </c>
      <c r="BX71" s="135" t="str">
        <f>IFERROR(VLOOKUP(Tabela1[[#This Row],[MÊS]]&amp;Tabela1[[#This Row],[ID]]&amp;Tabela1[[#This Row],[MATRICULA]]&amp;"cliente 2"&amp;Tabela1[[#This Row],[SETOR]],BD!A:AF,13,0),"")</f>
        <v/>
      </c>
      <c r="BY71" s="135" t="str">
        <f>IFERROR(VLOOKUP(Tabela1[[#This Row],[MÊS]]&amp;Tabela1[[#This Row],[ID]]&amp;Tabela1[[#This Row],[MATRICULA]]&amp;"cliente 3"&amp;Tabela1[[#This Row],[SETOR]],BD!A:AF,13,0),"")</f>
        <v/>
      </c>
      <c r="BZ71" s="135" t="str">
        <f>IFERROR(VLOOKUP(Tabela1[[#This Row],[MÊS]]&amp;Tabela1[[#This Row],[ID]]&amp;Tabela1[[#This Row],[MATRICULA]]&amp;"cliente 4"&amp;Tabela1[[#This Row],[SETOR]],BD!A:AF,13,0),"")</f>
        <v/>
      </c>
      <c r="CA71" s="135" t="str">
        <f>IFERROR(AVERAGE(Tabela1[[#This Row],[DCLI]:[DCLI 4]]),"")</f>
        <v/>
      </c>
      <c r="CB71" s="135" t="str">
        <f>IFERROR(VLOOKUP(Tabela1[[#This Row],[MÊS]]&amp;Tabela1[[#This Row],[ID]]&amp;Tabela1[[#This Row],[MATRICULA]]&amp;"Policia"&amp;Tabela1[[#This Row],[SETOR]],BD!A:AF,13,0),"")</f>
        <v/>
      </c>
      <c r="CC71" s="135" t="str">
        <f>IFERROR(VLOOKUP(Tabela1[[#This Row],[MÊS]]&amp;Tabela1[[#This Row],[ID]]&amp;Tabela1[[#This Row],[MATRICULA]]&amp;"Policia 2"&amp;Tabela1[[#This Row],[SETOR]],BD!A:AF,13,0),"")</f>
        <v/>
      </c>
      <c r="CD71" s="135"/>
      <c r="CE71" s="135"/>
      <c r="CF71" s="135" t="str">
        <f>IFERROR((AVERAGE(Tabela1[[#This Row],[DPOL1]:[DPOL4]])),"")</f>
        <v/>
      </c>
      <c r="CG71" s="21" t="str">
        <f>IFERROR(VLOOKUP(Tabela1[[#This Row],[ID]]&amp;Tabela1[[#This Row],[MÊS]]&amp;Tabela1[[#This Row],[MATRICULA]],#REF!,2,0),"")</f>
        <v/>
      </c>
      <c r="CH71" s="21" t="str">
        <f>IFERROR(VLOOKUP(Tabela1[[#This Row],[ID]]&amp;Tabela1[[#This Row],[MÊS]]&amp;Tabela1[[#This Row],[MATRICULA]],#REF!,2,0),"")</f>
        <v/>
      </c>
      <c r="CI71" s="21" t="str">
        <f>IFERROR(VLOOKUP(Tabela1[[#This Row],[MÊS]]&amp;Tabela1[[#This Row],[MATRICULA]],#REF!,2,0),"")</f>
        <v/>
      </c>
    </row>
    <row r="72" spans="1:87">
      <c r="A72" s="12" t="str">
        <f>Tabela1[[#This Row],[MÊS]]&amp;Tabela1[[#This Row],[MATRICULA]]&amp;Tabela1[[#This Row],[ID]]</f>
        <v>JAN108491</v>
      </c>
      <c r="B72" s="12" t="str">
        <f>Tabela1[[#This Row],[MÊS]]&amp;Tabela1[[#This Row],[ID]]&amp;Tabela1[[#This Row],[MATRICULA]]&amp;Tabela1[[#This Row],[SETOR]]</f>
        <v>JAN110849UTI</v>
      </c>
      <c r="C72" s="130" t="e">
        <f>VLOOKUP(Tabela1[[#This Row],[MATRICULA]],'BD Campos'!A:D,5,0)</f>
        <v>#REF!</v>
      </c>
      <c r="D72" s="133" t="str">
        <f ca="1">IFERROR(SUM(TODAY()-Tabela1[[#This Row],[ADMISSÃO]]),"")</f>
        <v/>
      </c>
      <c r="E72" s="11" t="str">
        <f ca="1">IFERROR(TRUNC(Tabela1[[#This Row],[TEMPO DE CASA (DIAS)]]/30),"")</f>
        <v/>
      </c>
      <c r="F72" s="32" t="str">
        <f ca="1">IFERROR(SUM(Tabela1[[#This Row],[TEMPO DE CASA (MESES)]]/12),"")</f>
        <v/>
      </c>
      <c r="G72" s="133" t="str">
        <f ca="1">IF(Tabela1[[#This Row],[TEMPO DE CASA (DIAS)]]="","SEM DADOS",IF(Tabela1[[#This Row],[TEMPO DE CASA (DIAS)]]&gt;180,"&gt; 6 MESES","&lt; 6 MESES"))</f>
        <v>SEM DADOS</v>
      </c>
      <c r="H72" s="12" t="str">
        <f t="shared" ref="H72:H84" si="8">K72&amp;S72&amp;J72</f>
        <v>JANGeniffer Maciel1</v>
      </c>
      <c r="I72" s="12" t="str">
        <f>IFERROR(VLOOKUP(Tabela1[[#This Row],[MATRICULA]],'BD Campos'!A:F,7,0),"")</f>
        <v/>
      </c>
      <c r="J72" s="11">
        <v>1</v>
      </c>
      <c r="K72" s="11" t="s">
        <v>669</v>
      </c>
      <c r="L72" s="136">
        <v>10849</v>
      </c>
      <c r="M72" s="12" t="str">
        <f>IFERROR(VLOOKUP(Tabela1[[#This Row],[MATRICULA]],'BD Campos'!A:B,2,0),"")</f>
        <v>ANDRESSA RAMBO FRANCO</v>
      </c>
      <c r="N72" s="20">
        <f>IFERROR(AVERAGE(Tabela1[[#This Row],[A1]:[A4]]),"")</f>
        <v>5.0000000000000009</v>
      </c>
      <c r="O72" s="20" t="str">
        <f>IFERROR(IF(Tabela1[[#This Row],[SETOR]]="RECEPTIVO","",AVERAGE(Tabela1[[#This Row],[A5]:[A6]])),"")</f>
        <v/>
      </c>
      <c r="P72" s="20" t="str">
        <f>IFERROR(IF(Tabela1[[#This Row],[STATUS]]="INATIVO","INATIVO",IF(Tabela1[[#This Row],[STATUS]]="QRT","INATIVO",IF(Tabela1[[#This Row],[OPERACIONAL]]&gt;7.99999,"BOM","RUIM"))),"")</f>
        <v>RUIM</v>
      </c>
      <c r="Q72" s="21" t="s">
        <v>667</v>
      </c>
      <c r="R72" s="12" t="s">
        <v>679</v>
      </c>
      <c r="S72" s="12" t="s">
        <v>680</v>
      </c>
      <c r="T72" s="12" t="s">
        <v>128</v>
      </c>
      <c r="U7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0.9</v>
      </c>
      <c r="V7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-0.02</v>
      </c>
      <c r="W72" s="12">
        <f>IF(AND(Tabela1[[#This Row],[SETOR]]="UTI",Tabela1[[#This Row],[M]]&lt;&gt;""),1,IF(AND(Tabela1[[#This Row],[SETOR]]="UTI (RJ)",Tabela1[[#This Row],[M]]&lt;&gt;""),1.5,0))</f>
        <v>1</v>
      </c>
      <c r="X72" s="12">
        <f>IF(AND(Tabela1[[#This Row],[SETOR]]="UTI",Tabela1[[#This Row],[PA2]]&lt;&gt;""),1,IF(AND(Tabela1[[#This Row],[SETOR]]="UTI (RJ)",Tabela1[[#This Row],[PA2]]&lt;&gt;""),0,0))</f>
        <v>0</v>
      </c>
      <c r="Y72" s="12">
        <v>1</v>
      </c>
      <c r="Z72" s="12">
        <f>IF(AND(Tabela1[[#This Row],[SETOR]]="UTI",Tabela1[[#This Row],[PL]]&lt;&gt;""),1,IF(AND(Tabela1[[#This Row],[SETOR]]="UTI (RJ)",Tabela1[[#This Row],[PL]]&lt;&gt;""),1,0))</f>
        <v>0</v>
      </c>
      <c r="AA72" s="21">
        <f>IFERROR(VLOOKUP(Tabela1[[#This Row],[MÊS]]&amp;Tabela1[[#This Row],[MATRICULA]]&amp;"1"&amp;Tabela1[[#This Row],[SETOR]]&amp;"PADRÃO",BD!B:AF,31,0),"")</f>
        <v>10.000000000000002</v>
      </c>
      <c r="AB72" s="21">
        <f>IFERROR(VLOOKUP(Tabela1[[#This Row],[MÊS]]&amp;Tabela1[[#This Row],[MATRICULA]]&amp;"2"&amp;Tabela1[[#This Row],[SETOR]]&amp;"PADRÃO",BD!B:AF,31,0),"")</f>
        <v>0</v>
      </c>
      <c r="AC72" s="21" t="str">
        <f>IFERROR(VLOOKUP(Tabela1[[#This Row],[MÊS]]&amp;Tabela1[[#This Row],[MATRICULA]]&amp;"3"&amp;Tabela1[[#This Row],[SETOR]]&amp;"PADRÃO",BD!B:AF,31,0),"")</f>
        <v/>
      </c>
      <c r="AD72" s="21" t="str">
        <f>IFERROR(VLOOKUP(Tabela1[[#This Row],[MÊS]]&amp;Tabela1[[#This Row],[MATRICULA]]&amp;"4"&amp;Tabela1[[#This Row],[SETOR]]&amp;"PADRÃO",BD!B:AF,25,0),"")</f>
        <v/>
      </c>
      <c r="AE72" s="21" t="str">
        <f>IFERROR(VLOOKUP(Tabela1[[#This Row],[MÊS]]&amp;Tabela1[[#This Row],[MATRICULA]]&amp;"5"&amp;Tabela1[[#This Row],[SETOR]]&amp;"PADRÃO",BD!B:AF,31,0),"")</f>
        <v/>
      </c>
      <c r="AF72" s="21" t="str">
        <f>IFERROR(VLOOKUP(Tabela1[[#This Row],[MÊS]]&amp;Tabela1[[#This Row],[MATRICULA]]&amp;"6"&amp;Tabela1[[#This Row],[SETOR]]&amp;"PADRÃO",BD!B:AF,31,0),"")</f>
        <v/>
      </c>
      <c r="AG72" s="21" t="str">
        <f>IFERROR(VLOOKUP(Tabela1[[#This Row],[MÊS]]&amp;Tabela1[[#This Row],[MATRICULA]]&amp;"7"&amp;Tabela1[[#This Row],[SETOR]]&amp;"PADRÃO",BD!B:AF,31,0),"")</f>
        <v/>
      </c>
      <c r="AH72" s="21" t="str">
        <f>IFERROR(VLOOKUP(Tabela1[[#This Row],[MÊS]]&amp;Tabela1[[#This Row],[ID]]&amp;Tabela1[[#This Row],[MATRICULA]]&amp;"Receptiva"&amp;Tabela1[[#This Row],[SETOR]],BD!A:AF,31,0),"")</f>
        <v/>
      </c>
      <c r="AI72" s="21" t="str">
        <f>IFERROR(VLOOKUP(Tabela1[[#This Row],[MÊS]]&amp;Tabela1[[#This Row],[ID]]&amp;Tabela1[[#This Row],[MATRICULA]]&amp;"Receptiva 2"&amp;Tabela1[[#This Row],[SETOR]],BD!A:AF,31,0),"")</f>
        <v/>
      </c>
      <c r="AJ72" s="21" t="str">
        <f>IFERROR(VLOOKUP(Tabela1[[#This Row],[MÊS]]&amp;Tabela1[[#This Row],[ID]]&amp;Tabela1[[#This Row],[MATRICULA]]&amp;"Receptiva 3"&amp;Tabela1[[#This Row],[SETOR]],BD!A:AF,31,0),"")</f>
        <v/>
      </c>
      <c r="AK72" s="21" t="str">
        <f>IFERROR(VLOOKUP(Tabela1[[#This Row],[MÊS]]&amp;Tabela1[[#This Row],[ID]]&amp;Tabela1[[#This Row],[MATRICULA]]&amp;"Receptiva 4"&amp;Tabela1[[#This Row],[SETOR]],BD!A:AF,31,0),"")</f>
        <v/>
      </c>
      <c r="AL72" s="21">
        <f>IFERROR(VLOOKUP(Tabela1[[#This Row],[MÊS]]&amp;Tabela1[[#This Row],[MATRICULA]]&amp;"Motorista"&amp;Tabela1[[#This Row],[SETOR]],BD!A:AF,31,0),"")</f>
        <v>0</v>
      </c>
      <c r="AM72" s="21" t="str">
        <f>IFERROR(VLOOKUP(Tabela1[[#This Row],[MÊS]]&amp;Tabela1[[#This Row],[ID]]&amp;Tabela1[[#This Row],[MATRICULA]]&amp;"Motorista 2"&amp;Tabela1[[#This Row],[SETOR]],BD!A:AF,26,0),"")</f>
        <v/>
      </c>
      <c r="AN72" s="21" t="str">
        <f>IFERROR(VLOOKUP(Tabela1[[#This Row],[MÊS]]&amp;Tabela1[[#This Row],[ID]]&amp;Tabela1[[#This Row],[MATRICULA]]&amp;"Motorista 3"&amp;Tabela1[[#This Row],[SETOR]],BD!A:AF,26,0),"")</f>
        <v/>
      </c>
      <c r="AO72" s="21" t="str">
        <f>IFERROR(VLOOKUP(Tabela1[[#This Row],[MÊS]]&amp;Tabela1[[#This Row],[ID]]&amp;Tabela1[[#This Row],[MATRICULA]]&amp;"Motorista 4"&amp;Tabela1[[#This Row],[SETOR]],BD!A:AF,26,0),"")</f>
        <v/>
      </c>
      <c r="AP72" s="21" t="str">
        <f>IFERROR(VLOOKUP(Tabela1[[#This Row],[MÊS]]&amp;Tabela1[[#This Row],[MATRICULA]]&amp;"Ponto de Apoio"&amp;Tabela1[[#This Row],[SETOR]],BD!A:AF,31,0),"")</f>
        <v/>
      </c>
      <c r="AQ72" s="21" t="str">
        <f>IFERROR(VLOOKUP(Tabela1[[#This Row],[MÊS]]&amp;Tabela1[[#This Row],[ID]]&amp;Tabela1[[#This Row],[MATRICULA]]&amp;"Ponto de Apoio 2"&amp;Tabela1[[#This Row],[SETOR]],BD!A:AF,26,0),"")</f>
        <v/>
      </c>
      <c r="AR72" s="36" t="str">
        <f>IFERROR(VLOOKUP(Tabela1[[#This Row],[MÊS]]&amp;Tabela1[[#This Row],[ID]]&amp;Tabela1[[#This Row],[MATRICULA]]&amp;"Ponto de Apoio 3"&amp;Tabela1[[#This Row],[SETOR]],BD!A:AF,26,0),"")</f>
        <v/>
      </c>
      <c r="AS72" s="36" t="str">
        <f>IFERROR(VLOOKUP(Tabela1[[#This Row],[MÊS]]&amp;Tabela1[[#This Row],[ID]]&amp;Tabela1[[#This Row],[MATRICULA]]&amp;"Ponto de Apoio 4"&amp;Tabela1[[#This Row],[SETOR]],BD!A:AF,26,0),"")</f>
        <v/>
      </c>
      <c r="AT72" s="21" t="str">
        <f>IFERROR(VLOOKUP(Tabela1[[#This Row],[MÊS]]&amp;Tabela1[[#This Row],[MATRICULA]]&amp;"Cliente"&amp;Tabela1[[#This Row],[SETOR]],BD!A:AF,31,0),"")</f>
        <v/>
      </c>
      <c r="AU72" s="21" t="str">
        <f>IFERROR(VLOOKUP(Tabela1[[#This Row],[MÊS]]&amp;Tabela1[[#This Row],[ID]]&amp;Tabela1[[#This Row],[MATRICULA]]&amp;"Cliente 2"&amp;Tabela1[[#This Row],[SETOR]],BD!A:AF,26,0),"")</f>
        <v/>
      </c>
      <c r="AX72" s="21" t="str">
        <f>IFERROR(VLOOKUP(Tabela1[[#This Row],[MÊS]]&amp;Tabela1[[#This Row],[MATRICULA]]&amp;"Policia"&amp;Tabela1[[#This Row],[SETOR]],BD!A:AF,31,0),"")</f>
        <v/>
      </c>
      <c r="AY72" s="21" t="str">
        <f>IFERROR(VLOOKUP(Tabela1[[#This Row],[MÊS]]&amp;Tabela1[[#This Row],[ID]]&amp;Tabela1[[#This Row],[MATRICULA]]&amp;"Policia 2"&amp;Tabela1[[#This Row],[SETOR]],BD!A:AF,26,0),"")</f>
        <v/>
      </c>
      <c r="AZ72" s="36" t="str">
        <f>IFERROR(VLOOKUP(Tabela1[[#This Row],[MÊS]]&amp;Tabela1[[#This Row],[ID]]&amp;Tabela1[[#This Row],[MATRICULA]]&amp;"Policia 3"&amp;Tabela1[[#This Row],[SETOR]],BD!A:AF,26,0),"")</f>
        <v/>
      </c>
      <c r="BA72" s="36" t="str">
        <f>IFERROR(VLOOKUP(Tabela1[[#This Row],[MÊS]]&amp;Tabela1[[#This Row],[ID]]&amp;Tabela1[[#This Row],[MATRICULA]]&amp;"Policia 4"&amp;Tabela1[[#This Row],[SETOR]],BD!A:AF,26,0),"")</f>
        <v/>
      </c>
      <c r="BB7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72" s="21">
        <f>IFERROR(AVERAGE(Tabela1[[#This Row],[M]:[M4]]),"")</f>
        <v>0</v>
      </c>
      <c r="BD72" s="21" t="str">
        <f>IFERROR(AVERAGE(Tabela1[[#This Row],[C]:[C4]]),"")</f>
        <v/>
      </c>
      <c r="BE72" s="21" t="str">
        <f>IFERROR(AVERAGE(Tabela1[[#This Row],[PA2]:[PA 4]]),"")</f>
        <v/>
      </c>
      <c r="BF72" s="21" t="str">
        <f>IFERROR(AVERAGE(Tabela1[[#This Row],[PL]:[PL4]]),"")</f>
        <v/>
      </c>
      <c r="BG72" s="35" t="str">
        <f>IFERROR(VLOOKUP(Tabela1[[#This Row],[MÊS]]&amp;Tabela1[[#This Row],[MATRICULA]],#REF!,2,0),"")</f>
        <v/>
      </c>
      <c r="BH72" s="35" t="str">
        <f>IFERROR(VLOOKUP(Tabela1[[#This Row],[MÊS]]&amp;Tabela1[[#This Row],[MATRICULA]],#REF!,2,0),"")</f>
        <v/>
      </c>
      <c r="BI72" s="35" t="str">
        <f>IFERROR(VLOOKUP(Tabela1[[#This Row],[MÊS]]&amp;Tabela1[[#This Row],[MATRICULA]],#REF!,2,0),"")</f>
        <v/>
      </c>
      <c r="BJ72" s="35" t="str">
        <f>IFERROR(VLOOKUP(Tabela1[[#This Row],[MÊS]]&amp;Tabela1[[#This Row],[MATRICULA]],#REF!,2,0),"")</f>
        <v/>
      </c>
      <c r="BK72" s="35" t="str">
        <f>IFERROR(VLOOKUP(Tabela1[[#This Row],[MÊS]]&amp;Tabela1[[#This Row],[MATRICULA]],#REF!,2,0),"")</f>
        <v/>
      </c>
      <c r="BL72" s="21">
        <f>COUNTIF(Tabela1[[#This Row],[MOT2]:[RECEPTIVA]],"NÃO ENCONTRADA")</f>
        <v>0</v>
      </c>
      <c r="BM72" s="135" t="str">
        <f>IFERROR(VLOOKUP(Tabela1[[#This Row],[MÊS]]&amp;Tabela1[[#This Row],[ID]]&amp;Tabela1[[#This Row],[MATRICULA]]&amp;"Motorista"&amp;Tabela1[[#This Row],[SETOR]],BD!A:AF,13,0),"")</f>
        <v/>
      </c>
      <c r="BN72" s="135" t="str">
        <f>IFERROR(VLOOKUP(Tabela1[[#This Row],[MÊS]]&amp;Tabela1[[#This Row],[ID]]&amp;Tabela1[[#This Row],[MATRICULA]]&amp;"Motorista 2"&amp;Tabela1[[#This Row],[SETOR]],BD!A:AF,13,0),"")</f>
        <v/>
      </c>
      <c r="BO72" s="135" t="str">
        <f>IFERROR(VLOOKUP(Tabela1[[#This Row],[MÊS]]&amp;Tabela1[[#This Row],[ID]]&amp;Tabela1[[#This Row],[MATRICULA]]&amp;"Motorista 3"&amp;Tabela1[[#This Row],[SETOR]],BD!A:AF,13,0),"")</f>
        <v/>
      </c>
      <c r="BP72" s="135" t="str">
        <f>IFERROR(VLOOKUP(Tabela1[[#This Row],[MÊS]]&amp;Tabela1[[#This Row],[ID]]&amp;Tabela1[[#This Row],[MATRICULA]]&amp;"Motorista 4"&amp;Tabela1[[#This Row],[SETOR]],BD!A:AF,13,0),"")</f>
        <v/>
      </c>
      <c r="BQ72" s="135" t="str">
        <f>IFERROR(AVERAGE(Tabela1[[#This Row],[DMOT]:[DMOT4]]),"")</f>
        <v/>
      </c>
      <c r="BR72" s="135" t="str">
        <f>IFERROR(VLOOKUP(Tabela1[[#This Row],[MÊS]]&amp;Tabela1[[#This Row],[ID]]&amp;Tabela1[[#This Row],[MATRICULA]]&amp;"Ponto de Apoio"&amp;Tabela1[[#This Row],[SETOR]],BD!A:AF,13,0),"")</f>
        <v/>
      </c>
      <c r="BS72" s="135" t="str">
        <f>IFERROR(VLOOKUP(Tabela1[[#This Row],[MÊS]]&amp;Tabela1[[#This Row],[ID]]&amp;Tabela1[[#This Row],[MATRICULA]]&amp;"Ponto de Apoio 2"&amp;Tabela1[[#This Row],[SETOR]],BD!A:AF,13,0),"")</f>
        <v/>
      </c>
      <c r="BT72" s="135" t="str">
        <f>IFERROR(VLOOKUP(Tabela1[[#This Row],[MÊS]]&amp;Tabela1[[#This Row],[ID]]&amp;Tabela1[[#This Row],[MATRICULA]]&amp;"Ponto de Apoio 3"&amp;Tabela1[[#This Row],[SETOR]],BD!A:AF,13,0),"")</f>
        <v/>
      </c>
      <c r="BU72" s="135" t="str">
        <f>IFERROR(VLOOKUP(Tabela1[[#This Row],[MÊS]]&amp;Tabela1[[#This Row],[ID]]&amp;Tabela1[[#This Row],[MATRICULA]]&amp;"Ponto de Apoio 4"&amp;Tabela1[[#This Row],[SETOR]],BD!A:AF,13,0),"")</f>
        <v/>
      </c>
      <c r="BV72" s="135" t="str">
        <f>IFERROR(AVERAGE(Tabela1[[#This Row],[DPA]:[DPA 4]]),"")</f>
        <v/>
      </c>
      <c r="BW72" s="135" t="str">
        <f>IFERROR(VLOOKUP(Tabela1[[#This Row],[MÊS]]&amp;Tabela1[[#This Row],[ID]]&amp;Tabela1[[#This Row],[MATRICULA]]&amp;"Cliente"&amp;Tabela1[[#This Row],[SETOR]],BD!A:AF,13,0),"")</f>
        <v/>
      </c>
      <c r="BX72" s="135" t="str">
        <f>IFERROR(VLOOKUP(Tabela1[[#This Row],[MÊS]]&amp;Tabela1[[#This Row],[ID]]&amp;Tabela1[[#This Row],[MATRICULA]]&amp;"cliente 2"&amp;Tabela1[[#This Row],[SETOR]],BD!A:AF,13,0),"")</f>
        <v/>
      </c>
      <c r="BY72" s="135" t="str">
        <f>IFERROR(VLOOKUP(Tabela1[[#This Row],[MÊS]]&amp;Tabela1[[#This Row],[ID]]&amp;Tabela1[[#This Row],[MATRICULA]]&amp;"cliente 3"&amp;Tabela1[[#This Row],[SETOR]],BD!A:AF,13,0),"")</f>
        <v/>
      </c>
      <c r="BZ72" s="135" t="str">
        <f>IFERROR(VLOOKUP(Tabela1[[#This Row],[MÊS]]&amp;Tabela1[[#This Row],[ID]]&amp;Tabela1[[#This Row],[MATRICULA]]&amp;"cliente 4"&amp;Tabela1[[#This Row],[SETOR]],BD!A:AF,13,0),"")</f>
        <v/>
      </c>
      <c r="CA72" s="135" t="str">
        <f>IFERROR(AVERAGE(Tabela1[[#This Row],[DCLI]:[DCLI 4]]),"")</f>
        <v/>
      </c>
      <c r="CB72" s="135" t="str">
        <f>IFERROR(VLOOKUP(Tabela1[[#This Row],[MÊS]]&amp;Tabela1[[#This Row],[ID]]&amp;Tabela1[[#This Row],[MATRICULA]]&amp;"Policia"&amp;Tabela1[[#This Row],[SETOR]],BD!A:AF,13,0),"")</f>
        <v/>
      </c>
      <c r="CC72" s="135" t="str">
        <f>IFERROR(VLOOKUP(Tabela1[[#This Row],[MÊS]]&amp;Tabela1[[#This Row],[ID]]&amp;Tabela1[[#This Row],[MATRICULA]]&amp;"Policia 2"&amp;Tabela1[[#This Row],[SETOR]],BD!A:AF,13,0),"")</f>
        <v/>
      </c>
      <c r="CD72" s="135"/>
      <c r="CE72" s="135"/>
      <c r="CF72" s="135" t="str">
        <f>IFERROR((AVERAGE(Tabela1[[#This Row],[DPOL1]:[DPOL4]])),"")</f>
        <v/>
      </c>
      <c r="CG72" s="21" t="str">
        <f>IFERROR(VLOOKUP(Tabela1[[#This Row],[ID]]&amp;Tabela1[[#This Row],[MÊS]]&amp;Tabela1[[#This Row],[MATRICULA]],#REF!,2,0),"")</f>
        <v/>
      </c>
      <c r="CH72" s="21" t="str">
        <f>IFERROR(VLOOKUP(Tabela1[[#This Row],[ID]]&amp;Tabela1[[#This Row],[MÊS]]&amp;Tabela1[[#This Row],[MATRICULA]],#REF!,2,0),"")</f>
        <v/>
      </c>
      <c r="CI72" s="21" t="str">
        <f>IFERROR(VLOOKUP(Tabela1[[#This Row],[MÊS]]&amp;Tabela1[[#This Row],[MATRICULA]],#REF!,2,0),"")</f>
        <v/>
      </c>
    </row>
    <row r="73" spans="1:87">
      <c r="A73" s="12" t="str">
        <f>Tabela1[[#This Row],[MÊS]]&amp;Tabela1[[#This Row],[MATRICULA]]&amp;Tabela1[[#This Row],[ID]]</f>
        <v>JAN16972</v>
      </c>
      <c r="B73" s="12" t="str">
        <f>Tabela1[[#This Row],[MÊS]]&amp;Tabela1[[#This Row],[ID]]&amp;Tabela1[[#This Row],[MATRICULA]]&amp;Tabela1[[#This Row],[SETOR]]</f>
        <v>JAN21697UTI (RJ)</v>
      </c>
      <c r="C73" s="130" t="e">
        <f>VLOOKUP(Tabela1[[#This Row],[MATRICULA]],'BD Campos'!A:D,5,0)</f>
        <v>#REF!</v>
      </c>
      <c r="D73" s="133" t="str">
        <f ca="1">IFERROR(SUM(TODAY()-Tabela1[[#This Row],[ADMISSÃO]]),"")</f>
        <v/>
      </c>
      <c r="E73" s="11" t="str">
        <f ca="1">IFERROR(TRUNC(Tabela1[[#This Row],[TEMPO DE CASA (DIAS)]]/30),"")</f>
        <v/>
      </c>
      <c r="F73" s="32" t="str">
        <f ca="1">IFERROR(SUM(Tabela1[[#This Row],[TEMPO DE CASA (MESES)]]/12),"")</f>
        <v/>
      </c>
      <c r="G73" s="133" t="str">
        <f ca="1">IF(Tabela1[[#This Row],[TEMPO DE CASA (DIAS)]]="","SEM DADOS",IF(Tabela1[[#This Row],[TEMPO DE CASA (DIAS)]]&gt;180,"&gt; 6 MESES","&lt; 6 MESES"))</f>
        <v>SEM DADOS</v>
      </c>
      <c r="H73" s="12" t="str">
        <f t="shared" si="8"/>
        <v>JANGeniffer Maciel2</v>
      </c>
      <c r="I73" s="12" t="str">
        <f>IFERROR(VLOOKUP(Tabela1[[#This Row],[MATRICULA]],'BD Campos'!A:F,7,0),"")</f>
        <v/>
      </c>
      <c r="J73" s="11">
        <v>2</v>
      </c>
      <c r="K73" s="11" t="s">
        <v>669</v>
      </c>
      <c r="L73" s="136">
        <v>1697</v>
      </c>
      <c r="M73" s="12" t="str">
        <f>IFERROR(VLOOKUP(Tabela1[[#This Row],[MATRICULA]],'BD Campos'!A:B,2,0),"")</f>
        <v>DAIANE FONTANA</v>
      </c>
      <c r="N73" s="20">
        <f>IFERROR(AVERAGE(Tabela1[[#This Row],[A1]:[A4]]),"")</f>
        <v>10.002000000000002</v>
      </c>
      <c r="O73" s="20" t="str">
        <f>IFERROR(IF(Tabela1[[#This Row],[SETOR]]="RECEPTIVO","",AVERAGE(Tabela1[[#This Row],[A5]:[A6]])),"")</f>
        <v/>
      </c>
      <c r="P73" s="20" t="str">
        <f>IFERROR(IF(Tabela1[[#This Row],[STATUS]]="INATIVO","INATIVO",IF(Tabela1[[#This Row],[STATUS]]="QRT","INATIVO",IF(Tabela1[[#This Row],[OPERACIONAL]]&gt;7.99999,"BOM","RUIM"))),"")</f>
        <v>BOM</v>
      </c>
      <c r="Q73" s="21" t="s">
        <v>667</v>
      </c>
      <c r="R73" s="12" t="s">
        <v>681</v>
      </c>
      <c r="S73" s="12" t="s">
        <v>680</v>
      </c>
      <c r="T73" s="12" t="s">
        <v>215</v>
      </c>
      <c r="U7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1.1000000000000001</v>
      </c>
      <c r="V7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0.04</v>
      </c>
      <c r="W73" s="12">
        <f>IF(AND(Tabela1[[#This Row],[SETOR]]="UTI",Tabela1[[#This Row],[M]]&lt;&gt;""),1,IF(AND(Tabela1[[#This Row],[SETOR]]="UTI (RJ)",Tabela1[[#This Row],[M]]&lt;&gt;""),1.5,0))</f>
        <v>1.5</v>
      </c>
      <c r="X73" s="12">
        <f>IF(AND(Tabela1[[#This Row],[SETOR]]="UTI",Tabela1[[#This Row],[PA2]]&lt;&gt;""),1,IF(AND(Tabela1[[#This Row],[SETOR]]="UTI (RJ)",Tabela1[[#This Row],[PA2]]&lt;&gt;""),0,0))</f>
        <v>0</v>
      </c>
      <c r="Y73" s="12">
        <v>1.5</v>
      </c>
      <c r="Z73" s="12">
        <v>1.5</v>
      </c>
      <c r="AA73" s="21">
        <f>IFERROR(VLOOKUP(Tabela1[[#This Row],[MÊS]]&amp;Tabela1[[#This Row],[MATRICULA]]&amp;"1"&amp;Tabela1[[#This Row],[SETOR]]&amp;"PADRÃO",BD!B:AF,31,0),"")</f>
        <v>10.000000000000002</v>
      </c>
      <c r="AB73" s="21">
        <f>IFERROR(VLOOKUP(Tabela1[[#This Row],[MÊS]]&amp;Tabela1[[#This Row],[MATRICULA]]&amp;"2"&amp;Tabela1[[#This Row],[SETOR]]&amp;"PADRÃO",BD!B:AF,31,0),"")</f>
        <v>10.004000000000001</v>
      </c>
      <c r="AC73" s="21" t="str">
        <f>IFERROR(VLOOKUP(Tabela1[[#This Row],[MÊS]]&amp;Tabela1[[#This Row],[MATRICULA]]&amp;"3"&amp;Tabela1[[#This Row],[SETOR]]&amp;"PADRÃO",BD!B:AF,31,0),"")</f>
        <v/>
      </c>
      <c r="AD73" s="21" t="str">
        <f>IFERROR(VLOOKUP(Tabela1[[#This Row],[MÊS]]&amp;Tabela1[[#This Row],[MATRICULA]]&amp;"4"&amp;Tabela1[[#This Row],[SETOR]]&amp;"PADRÃO",BD!B:AF,25,0),"")</f>
        <v/>
      </c>
      <c r="AE73" s="21" t="str">
        <f>IFERROR(VLOOKUP(Tabela1[[#This Row],[MÊS]]&amp;Tabela1[[#This Row],[MATRICULA]]&amp;"5"&amp;Tabela1[[#This Row],[SETOR]]&amp;"PADRÃO",BD!B:AF,31,0),"")</f>
        <v/>
      </c>
      <c r="AF73" s="21" t="str">
        <f>IFERROR(VLOOKUP(Tabela1[[#This Row],[MÊS]]&amp;Tabela1[[#This Row],[MATRICULA]]&amp;"6"&amp;Tabela1[[#This Row],[SETOR]]&amp;"PADRÃO",BD!B:AF,31,0),"")</f>
        <v/>
      </c>
      <c r="AG73" s="21" t="str">
        <f>IFERROR(VLOOKUP(Tabela1[[#This Row],[MÊS]]&amp;Tabela1[[#This Row],[MATRICULA]]&amp;"7"&amp;Tabela1[[#This Row],[SETOR]]&amp;"PADRÃO",BD!B:AF,31,0),"")</f>
        <v/>
      </c>
      <c r="AH73" s="21" t="str">
        <f>IFERROR(VLOOKUP(Tabela1[[#This Row],[MÊS]]&amp;Tabela1[[#This Row],[ID]]&amp;Tabela1[[#This Row],[MATRICULA]]&amp;"Receptiva"&amp;Tabela1[[#This Row],[SETOR]],BD!A:AF,31,0),"")</f>
        <v/>
      </c>
      <c r="AI73" s="21" t="str">
        <f>IFERROR(VLOOKUP(Tabela1[[#This Row],[MÊS]]&amp;Tabela1[[#This Row],[ID]]&amp;Tabela1[[#This Row],[MATRICULA]]&amp;"Receptiva 2"&amp;Tabela1[[#This Row],[SETOR]],BD!A:AF,31,0),"")</f>
        <v/>
      </c>
      <c r="AJ73" s="21" t="str">
        <f>IFERROR(VLOOKUP(Tabela1[[#This Row],[MÊS]]&amp;Tabela1[[#This Row],[ID]]&amp;Tabela1[[#This Row],[MATRICULA]]&amp;"Receptiva 3"&amp;Tabela1[[#This Row],[SETOR]],BD!A:AF,31,0),"")</f>
        <v/>
      </c>
      <c r="AK73" s="21" t="str">
        <f>IFERROR(VLOOKUP(Tabela1[[#This Row],[MÊS]]&amp;Tabela1[[#This Row],[ID]]&amp;Tabela1[[#This Row],[MATRICULA]]&amp;"Receptiva 4"&amp;Tabela1[[#This Row],[SETOR]],BD!A:AF,31,0),"")</f>
        <v/>
      </c>
      <c r="AL73" s="21">
        <f>IFERROR(VLOOKUP(Tabela1[[#This Row],[MÊS]]&amp;Tabela1[[#This Row],[MATRICULA]]&amp;"Motorista"&amp;Tabela1[[#This Row],[SETOR]],BD!A:AF,31,0),"")</f>
        <v>0</v>
      </c>
      <c r="AM73" s="21" t="str">
        <f>IFERROR(VLOOKUP(Tabela1[[#This Row],[MÊS]]&amp;Tabela1[[#This Row],[ID]]&amp;Tabela1[[#This Row],[MATRICULA]]&amp;"Motorista 2"&amp;Tabela1[[#This Row],[SETOR]],BD!A:AF,26,0),"")</f>
        <v/>
      </c>
      <c r="AN73" s="21" t="str">
        <f>IFERROR(VLOOKUP(Tabela1[[#This Row],[MÊS]]&amp;Tabela1[[#This Row],[ID]]&amp;Tabela1[[#This Row],[MATRICULA]]&amp;"Motorista 3"&amp;Tabela1[[#This Row],[SETOR]],BD!A:AF,26,0),"")</f>
        <v/>
      </c>
      <c r="AO73" s="21" t="str">
        <f>IFERROR(VLOOKUP(Tabela1[[#This Row],[MÊS]]&amp;Tabela1[[#This Row],[ID]]&amp;Tabela1[[#This Row],[MATRICULA]]&amp;"Motorista 4"&amp;Tabela1[[#This Row],[SETOR]],BD!A:AF,26,0),"")</f>
        <v/>
      </c>
      <c r="AP73" s="21" t="str">
        <f>IFERROR(VLOOKUP(Tabela1[[#This Row],[MÊS]]&amp;Tabela1[[#This Row],[MATRICULA]]&amp;"Ponto de Apoio"&amp;Tabela1[[#This Row],[SETOR]],BD!A:AF,31,0),"")</f>
        <v/>
      </c>
      <c r="AQ73" s="21" t="str">
        <f>IFERROR(VLOOKUP(Tabela1[[#This Row],[MÊS]]&amp;Tabela1[[#This Row],[ID]]&amp;Tabela1[[#This Row],[MATRICULA]]&amp;"Ponto de Apoio 2"&amp;Tabela1[[#This Row],[SETOR]],BD!A:AF,26,0),"")</f>
        <v/>
      </c>
      <c r="AR73" s="36" t="str">
        <f>IFERROR(VLOOKUP(Tabela1[[#This Row],[MÊS]]&amp;Tabela1[[#This Row],[ID]]&amp;Tabela1[[#This Row],[MATRICULA]]&amp;"Ponto de Apoio 3"&amp;Tabela1[[#This Row],[SETOR]],BD!A:AF,26,0),"")</f>
        <v/>
      </c>
      <c r="AS73" s="36" t="str">
        <f>IFERROR(VLOOKUP(Tabela1[[#This Row],[MÊS]]&amp;Tabela1[[#This Row],[ID]]&amp;Tabela1[[#This Row],[MATRICULA]]&amp;"Ponto de Apoio 4"&amp;Tabela1[[#This Row],[SETOR]],BD!A:AF,26,0),"")</f>
        <v/>
      </c>
      <c r="AT73" s="21" t="str">
        <f>IFERROR(VLOOKUP(Tabela1[[#This Row],[MÊS]]&amp;Tabela1[[#This Row],[MATRICULA]]&amp;"Cliente"&amp;Tabela1[[#This Row],[SETOR]],BD!A:AF,31,0),"")</f>
        <v/>
      </c>
      <c r="AU73" s="21" t="str">
        <f>IFERROR(VLOOKUP(Tabela1[[#This Row],[MÊS]]&amp;Tabela1[[#This Row],[ID]]&amp;Tabela1[[#This Row],[MATRICULA]]&amp;"Cliente 2"&amp;Tabela1[[#This Row],[SETOR]],BD!A:AF,26,0),"")</f>
        <v/>
      </c>
      <c r="AX73" s="21" t="str">
        <f>IFERROR(VLOOKUP(Tabela1[[#This Row],[MÊS]]&amp;Tabela1[[#This Row],[MATRICULA]]&amp;"Policia"&amp;Tabela1[[#This Row],[SETOR]],BD!A:AF,31,0),"")</f>
        <v/>
      </c>
      <c r="AY73" s="21" t="str">
        <f>IFERROR(VLOOKUP(Tabela1[[#This Row],[MÊS]]&amp;Tabela1[[#This Row],[ID]]&amp;Tabela1[[#This Row],[MATRICULA]]&amp;"Policia 2"&amp;Tabela1[[#This Row],[SETOR]],BD!A:AF,26,0),"")</f>
        <v/>
      </c>
      <c r="AZ73" s="36" t="str">
        <f>IFERROR(VLOOKUP(Tabela1[[#This Row],[MÊS]]&amp;Tabela1[[#This Row],[ID]]&amp;Tabela1[[#This Row],[MATRICULA]]&amp;"Policia 3"&amp;Tabela1[[#This Row],[SETOR]],BD!A:AF,26,0),"")</f>
        <v/>
      </c>
      <c r="BA73" s="36" t="str">
        <f>IFERROR(VLOOKUP(Tabela1[[#This Row],[MÊS]]&amp;Tabela1[[#This Row],[ID]]&amp;Tabela1[[#This Row],[MATRICULA]]&amp;"Policia 4"&amp;Tabela1[[#This Row],[SETOR]],BD!A:AF,26,0),"")</f>
        <v/>
      </c>
      <c r="BB7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73" s="21">
        <f>IFERROR(AVERAGE(Tabela1[[#This Row],[M]:[M4]]),"")</f>
        <v>0</v>
      </c>
      <c r="BD73" s="21" t="str">
        <f>IFERROR(AVERAGE(Tabela1[[#This Row],[C]:[C4]]),"")</f>
        <v/>
      </c>
      <c r="BE73" s="21" t="str">
        <f>IFERROR(AVERAGE(Tabela1[[#This Row],[PA2]:[PA 4]]),"")</f>
        <v/>
      </c>
      <c r="BF73" s="21" t="str">
        <f>IFERROR(AVERAGE(Tabela1[[#This Row],[PL]:[PL4]]),"")</f>
        <v/>
      </c>
      <c r="BG73" s="35" t="str">
        <f>IFERROR(VLOOKUP(Tabela1[[#This Row],[MÊS]]&amp;Tabela1[[#This Row],[MATRICULA]],#REF!,2,0),"")</f>
        <v/>
      </c>
      <c r="BH73" s="35" t="str">
        <f>IFERROR(VLOOKUP(Tabela1[[#This Row],[MÊS]]&amp;Tabela1[[#This Row],[MATRICULA]],#REF!,2,0),"")</f>
        <v/>
      </c>
      <c r="BI73" s="35" t="str">
        <f>IFERROR(VLOOKUP(Tabela1[[#This Row],[MÊS]]&amp;Tabela1[[#This Row],[MATRICULA]],#REF!,2,0),"")</f>
        <v/>
      </c>
      <c r="BJ73" s="35" t="str">
        <f>IFERROR(VLOOKUP(Tabela1[[#This Row],[MÊS]]&amp;Tabela1[[#This Row],[MATRICULA]],#REF!,2,0),"")</f>
        <v/>
      </c>
      <c r="BK73" s="35" t="str">
        <f>IFERROR(VLOOKUP(Tabela1[[#This Row],[MÊS]]&amp;Tabela1[[#This Row],[MATRICULA]],#REF!,2,0),"")</f>
        <v/>
      </c>
      <c r="BL73" s="21">
        <f>COUNTIF(Tabela1[[#This Row],[MOT2]:[RECEPTIVA]],"NÃO ENCONTRADA")</f>
        <v>0</v>
      </c>
      <c r="BM73" s="135" t="str">
        <f>IFERROR(VLOOKUP(Tabela1[[#This Row],[MÊS]]&amp;Tabela1[[#This Row],[ID]]&amp;Tabela1[[#This Row],[MATRICULA]]&amp;"Motorista"&amp;Tabela1[[#This Row],[SETOR]],BD!A:AF,13,0),"")</f>
        <v/>
      </c>
      <c r="BN73" s="135" t="str">
        <f>IFERROR(VLOOKUP(Tabela1[[#This Row],[MÊS]]&amp;Tabela1[[#This Row],[ID]]&amp;Tabela1[[#This Row],[MATRICULA]]&amp;"Motorista 2"&amp;Tabela1[[#This Row],[SETOR]],BD!A:AF,13,0),"")</f>
        <v/>
      </c>
      <c r="BO73" s="135" t="str">
        <f>IFERROR(VLOOKUP(Tabela1[[#This Row],[MÊS]]&amp;Tabela1[[#This Row],[ID]]&amp;Tabela1[[#This Row],[MATRICULA]]&amp;"Motorista 3"&amp;Tabela1[[#This Row],[SETOR]],BD!A:AF,13,0),"")</f>
        <v/>
      </c>
      <c r="BP73" s="135" t="str">
        <f>IFERROR(VLOOKUP(Tabela1[[#This Row],[MÊS]]&amp;Tabela1[[#This Row],[ID]]&amp;Tabela1[[#This Row],[MATRICULA]]&amp;"Motorista 4"&amp;Tabela1[[#This Row],[SETOR]],BD!A:AF,13,0),"")</f>
        <v/>
      </c>
      <c r="BQ73" s="135" t="str">
        <f>IFERROR(AVERAGE(Tabela1[[#This Row],[DMOT]:[DMOT4]]),"")</f>
        <v/>
      </c>
      <c r="BR73" s="135" t="str">
        <f>IFERROR(VLOOKUP(Tabela1[[#This Row],[MÊS]]&amp;Tabela1[[#This Row],[ID]]&amp;Tabela1[[#This Row],[MATRICULA]]&amp;"Ponto de Apoio"&amp;Tabela1[[#This Row],[SETOR]],BD!A:AF,13,0),"")</f>
        <v/>
      </c>
      <c r="BS73" s="135" t="str">
        <f>IFERROR(VLOOKUP(Tabela1[[#This Row],[MÊS]]&amp;Tabela1[[#This Row],[ID]]&amp;Tabela1[[#This Row],[MATRICULA]]&amp;"Ponto de Apoio 2"&amp;Tabela1[[#This Row],[SETOR]],BD!A:AF,13,0),"")</f>
        <v/>
      </c>
      <c r="BT73" s="135" t="str">
        <f>IFERROR(VLOOKUP(Tabela1[[#This Row],[MÊS]]&amp;Tabela1[[#This Row],[ID]]&amp;Tabela1[[#This Row],[MATRICULA]]&amp;"Ponto de Apoio 3"&amp;Tabela1[[#This Row],[SETOR]],BD!A:AF,13,0),"")</f>
        <v/>
      </c>
      <c r="BU73" s="135" t="str">
        <f>IFERROR(VLOOKUP(Tabela1[[#This Row],[MÊS]]&amp;Tabela1[[#This Row],[ID]]&amp;Tabela1[[#This Row],[MATRICULA]]&amp;"Ponto de Apoio 4"&amp;Tabela1[[#This Row],[SETOR]],BD!A:AF,13,0),"")</f>
        <v/>
      </c>
      <c r="BV73" s="135" t="str">
        <f>IFERROR(AVERAGE(Tabela1[[#This Row],[DPA]:[DPA 4]]),"")</f>
        <v/>
      </c>
      <c r="BW73" s="135" t="str">
        <f>IFERROR(VLOOKUP(Tabela1[[#This Row],[MÊS]]&amp;Tabela1[[#This Row],[ID]]&amp;Tabela1[[#This Row],[MATRICULA]]&amp;"Cliente"&amp;Tabela1[[#This Row],[SETOR]],BD!A:AF,13,0),"")</f>
        <v/>
      </c>
      <c r="BX73" s="135" t="str">
        <f>IFERROR(VLOOKUP(Tabela1[[#This Row],[MÊS]]&amp;Tabela1[[#This Row],[ID]]&amp;Tabela1[[#This Row],[MATRICULA]]&amp;"cliente 2"&amp;Tabela1[[#This Row],[SETOR]],BD!A:AF,13,0),"")</f>
        <v/>
      </c>
      <c r="BY73" s="135" t="str">
        <f>IFERROR(VLOOKUP(Tabela1[[#This Row],[MÊS]]&amp;Tabela1[[#This Row],[ID]]&amp;Tabela1[[#This Row],[MATRICULA]]&amp;"cliente 3"&amp;Tabela1[[#This Row],[SETOR]],BD!A:AF,13,0),"")</f>
        <v/>
      </c>
      <c r="BZ73" s="135" t="str">
        <f>IFERROR(VLOOKUP(Tabela1[[#This Row],[MÊS]]&amp;Tabela1[[#This Row],[ID]]&amp;Tabela1[[#This Row],[MATRICULA]]&amp;"cliente 4"&amp;Tabela1[[#This Row],[SETOR]],BD!A:AF,13,0),"")</f>
        <v/>
      </c>
      <c r="CA73" s="135" t="str">
        <f>IFERROR(AVERAGE(Tabela1[[#This Row],[DCLI]:[DCLI 4]]),"")</f>
        <v/>
      </c>
      <c r="CB73" s="135" t="str">
        <f>IFERROR(VLOOKUP(Tabela1[[#This Row],[MÊS]]&amp;Tabela1[[#This Row],[ID]]&amp;Tabela1[[#This Row],[MATRICULA]]&amp;"Policia"&amp;Tabela1[[#This Row],[SETOR]],BD!A:AF,13,0),"")</f>
        <v/>
      </c>
      <c r="CC73" s="135" t="str">
        <f>IFERROR(VLOOKUP(Tabela1[[#This Row],[MÊS]]&amp;Tabela1[[#This Row],[ID]]&amp;Tabela1[[#This Row],[MATRICULA]]&amp;"Policia 2"&amp;Tabela1[[#This Row],[SETOR]],BD!A:AF,13,0),"")</f>
        <v/>
      </c>
      <c r="CD73" s="135"/>
      <c r="CE73" s="135"/>
      <c r="CF73" s="135" t="str">
        <f>IFERROR((AVERAGE(Tabela1[[#This Row],[DPOL1]:[DPOL4]])),"")</f>
        <v/>
      </c>
      <c r="CG73" s="21" t="str">
        <f>IFERROR(VLOOKUP(Tabela1[[#This Row],[ID]]&amp;Tabela1[[#This Row],[MÊS]]&amp;Tabela1[[#This Row],[MATRICULA]],#REF!,2,0),"")</f>
        <v/>
      </c>
      <c r="CH73" s="21" t="str">
        <f>IFERROR(VLOOKUP(Tabela1[[#This Row],[ID]]&amp;Tabela1[[#This Row],[MÊS]]&amp;Tabela1[[#This Row],[MATRICULA]],#REF!,2,0),"")</f>
        <v/>
      </c>
      <c r="CI73" s="21" t="str">
        <f>IFERROR(VLOOKUP(Tabela1[[#This Row],[MÊS]]&amp;Tabela1[[#This Row],[MATRICULA]],#REF!,2,0),"")</f>
        <v/>
      </c>
    </row>
    <row r="74" spans="1:87">
      <c r="A74" s="12" t="str">
        <f>Tabela1[[#This Row],[MÊS]]&amp;Tabela1[[#This Row],[MATRICULA]]&amp;Tabela1[[#This Row],[ID]]</f>
        <v>JAN108263</v>
      </c>
      <c r="B74" s="12" t="str">
        <f>Tabela1[[#This Row],[MÊS]]&amp;Tabela1[[#This Row],[ID]]&amp;Tabela1[[#This Row],[MATRICULA]]&amp;Tabela1[[#This Row],[SETOR]]</f>
        <v>JAN310826UTI</v>
      </c>
      <c r="C74" s="130" t="e">
        <f>VLOOKUP(Tabela1[[#This Row],[MATRICULA]],'BD Campos'!A:D,5,0)</f>
        <v>#REF!</v>
      </c>
      <c r="D74" s="133" t="str">
        <f ca="1">IFERROR(SUM(TODAY()-Tabela1[[#This Row],[ADMISSÃO]]),"")</f>
        <v/>
      </c>
      <c r="E74" s="11" t="str">
        <f ca="1">IFERROR(TRUNC(Tabela1[[#This Row],[TEMPO DE CASA (DIAS)]]/30),"")</f>
        <v/>
      </c>
      <c r="F74" s="32" t="str">
        <f ca="1">IFERROR(SUM(Tabela1[[#This Row],[TEMPO DE CASA (MESES)]]/12),"")</f>
        <v/>
      </c>
      <c r="G74" s="133" t="str">
        <f ca="1">IF(Tabela1[[#This Row],[TEMPO DE CASA (DIAS)]]="","SEM DADOS",IF(Tabela1[[#This Row],[TEMPO DE CASA (DIAS)]]&gt;180,"&gt; 6 MESES","&lt; 6 MESES"))</f>
        <v>SEM DADOS</v>
      </c>
      <c r="H74" s="12" t="str">
        <f t="shared" si="8"/>
        <v>JANGeniffer Maciel3</v>
      </c>
      <c r="I74" s="12" t="str">
        <f>IFERROR(VLOOKUP(Tabela1[[#This Row],[MATRICULA]],'BD Campos'!A:F,7,0),"")</f>
        <v/>
      </c>
      <c r="J74" s="11">
        <v>3</v>
      </c>
      <c r="K74" s="11" t="s">
        <v>669</v>
      </c>
      <c r="L74" s="136">
        <v>10826</v>
      </c>
      <c r="M74" s="12" t="str">
        <f>IFERROR(VLOOKUP(Tabela1[[#This Row],[MATRICULA]],'BD Campos'!A:B,2,0),"")</f>
        <v>GABRIEL RIBEIRO GUILHERME</v>
      </c>
      <c r="N74" s="20">
        <f>IFERROR(AVERAGE(Tabela1[[#This Row],[A1]:[A4]]),"")</f>
        <v>3.5718999999999999</v>
      </c>
      <c r="O74" s="20" t="str">
        <f>IFERROR(IF(Tabela1[[#This Row],[SETOR]]="RECEPTIVO","",AVERAGE(Tabela1[[#This Row],[A5]:[A6]])),"")</f>
        <v/>
      </c>
      <c r="P74" s="20" t="str">
        <f>IFERROR(IF(Tabela1[[#This Row],[STATUS]]="INATIVO","INATIVO",IF(Tabela1[[#This Row],[STATUS]]="QRT","INATIVO",IF(Tabela1[[#This Row],[OPERACIONAL]]&gt;7.99999,"BOM","RUIM"))),"")</f>
        <v>RUIM</v>
      </c>
      <c r="Q74" s="21" t="s">
        <v>667</v>
      </c>
      <c r="R74" s="12" t="s">
        <v>682</v>
      </c>
      <c r="S74" s="12" t="s">
        <v>680</v>
      </c>
      <c r="T74" s="12" t="s">
        <v>128</v>
      </c>
      <c r="U7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</v>
      </c>
      <c r="V7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0.02</v>
      </c>
      <c r="W74" s="12">
        <f>IF(AND(Tabela1[[#This Row],[SETOR]]="UTI",Tabela1[[#This Row],[M]]&lt;&gt;""),1,IF(AND(Tabela1[[#This Row],[SETOR]]="UTI (RJ)",Tabela1[[#This Row],[M]]&lt;&gt;""),1.5,0))</f>
        <v>1</v>
      </c>
      <c r="X74" s="12">
        <f>IF(AND(Tabela1[[#This Row],[SETOR]]="UTI",Tabela1[[#This Row],[PA2]]&lt;&gt;""),1,IF(AND(Tabela1[[#This Row],[SETOR]]="UTI (RJ)",Tabela1[[#This Row],[PA2]]&lt;&gt;""),0,0))</f>
        <v>0</v>
      </c>
      <c r="Y74" s="12">
        <v>1</v>
      </c>
      <c r="Z74" s="12">
        <v>1</v>
      </c>
      <c r="AA74" s="21">
        <f>IFERROR(VLOOKUP(Tabela1[[#This Row],[MÊS]]&amp;Tabela1[[#This Row],[MATRICULA]]&amp;"1"&amp;Tabela1[[#This Row],[SETOR]]&amp;"PADRÃO",BD!B:AF,31,0),"")</f>
        <v>0</v>
      </c>
      <c r="AB74" s="21">
        <f>IFERROR(VLOOKUP(Tabela1[[#This Row],[MÊS]]&amp;Tabela1[[#This Row],[MATRICULA]]&amp;"2"&amp;Tabela1[[#This Row],[SETOR]]&amp;"PADRÃO",BD!B:AF,31,0),"")</f>
        <v>7.1437999999999997</v>
      </c>
      <c r="AC74" s="21" t="str">
        <f>IFERROR(VLOOKUP(Tabela1[[#This Row],[MÊS]]&amp;Tabela1[[#This Row],[MATRICULA]]&amp;"3"&amp;Tabela1[[#This Row],[SETOR]]&amp;"PADRÃO",BD!B:AF,31,0),"")</f>
        <v/>
      </c>
      <c r="AD74" s="21" t="str">
        <f>IFERROR(VLOOKUP(Tabela1[[#This Row],[MÊS]]&amp;Tabela1[[#This Row],[MATRICULA]]&amp;"4"&amp;Tabela1[[#This Row],[SETOR]]&amp;"PADRÃO",BD!B:AF,25,0),"")</f>
        <v/>
      </c>
      <c r="AE74" s="21" t="str">
        <f>IFERROR(VLOOKUP(Tabela1[[#This Row],[MÊS]]&amp;Tabela1[[#This Row],[MATRICULA]]&amp;"5"&amp;Tabela1[[#This Row],[SETOR]]&amp;"PADRÃO",BD!B:AF,31,0),"")</f>
        <v/>
      </c>
      <c r="AF74" s="21" t="str">
        <f>IFERROR(VLOOKUP(Tabela1[[#This Row],[MÊS]]&amp;Tabela1[[#This Row],[MATRICULA]]&amp;"6"&amp;Tabela1[[#This Row],[SETOR]]&amp;"PADRÃO",BD!B:AF,31,0),"")</f>
        <v/>
      </c>
      <c r="AG74" s="21" t="str">
        <f>IFERROR(VLOOKUP(Tabela1[[#This Row],[MÊS]]&amp;Tabela1[[#This Row],[MATRICULA]]&amp;"7"&amp;Tabela1[[#This Row],[SETOR]]&amp;"PADRÃO",BD!B:AF,31,0),"")</f>
        <v/>
      </c>
      <c r="AH74" s="21" t="str">
        <f>IFERROR(VLOOKUP(Tabela1[[#This Row],[MÊS]]&amp;Tabela1[[#This Row],[ID]]&amp;Tabela1[[#This Row],[MATRICULA]]&amp;"Receptiva"&amp;Tabela1[[#This Row],[SETOR]],BD!A:AF,31,0),"")</f>
        <v/>
      </c>
      <c r="AI74" s="21" t="str">
        <f>IFERROR(VLOOKUP(Tabela1[[#This Row],[MÊS]]&amp;Tabela1[[#This Row],[ID]]&amp;Tabela1[[#This Row],[MATRICULA]]&amp;"Receptiva 2"&amp;Tabela1[[#This Row],[SETOR]],BD!A:AF,31,0),"")</f>
        <v/>
      </c>
      <c r="AJ74" s="21" t="str">
        <f>IFERROR(VLOOKUP(Tabela1[[#This Row],[MÊS]]&amp;Tabela1[[#This Row],[ID]]&amp;Tabela1[[#This Row],[MATRICULA]]&amp;"Receptiva 3"&amp;Tabela1[[#This Row],[SETOR]],BD!A:AF,31,0),"")</f>
        <v/>
      </c>
      <c r="AK74" s="21" t="str">
        <f>IFERROR(VLOOKUP(Tabela1[[#This Row],[MÊS]]&amp;Tabela1[[#This Row],[ID]]&amp;Tabela1[[#This Row],[MATRICULA]]&amp;"Receptiva 4"&amp;Tabela1[[#This Row],[SETOR]],BD!A:AF,31,0),"")</f>
        <v/>
      </c>
      <c r="AL74" s="21">
        <f>IFERROR(VLOOKUP(Tabela1[[#This Row],[MÊS]]&amp;Tabela1[[#This Row],[MATRICULA]]&amp;"Motorista"&amp;Tabela1[[#This Row],[SETOR]],BD!A:AF,31,0),"")</f>
        <v>0</v>
      </c>
      <c r="AM74" s="21" t="str">
        <f>IFERROR(VLOOKUP(Tabela1[[#This Row],[MÊS]]&amp;Tabela1[[#This Row],[ID]]&amp;Tabela1[[#This Row],[MATRICULA]]&amp;"Motorista 2"&amp;Tabela1[[#This Row],[SETOR]],BD!A:AF,26,0),"")</f>
        <v/>
      </c>
      <c r="AN74" s="21" t="str">
        <f>IFERROR(VLOOKUP(Tabela1[[#This Row],[MÊS]]&amp;Tabela1[[#This Row],[ID]]&amp;Tabela1[[#This Row],[MATRICULA]]&amp;"Motorista 3"&amp;Tabela1[[#This Row],[SETOR]],BD!A:AF,26,0),"")</f>
        <v/>
      </c>
      <c r="AO74" s="21" t="str">
        <f>IFERROR(VLOOKUP(Tabela1[[#This Row],[MÊS]]&amp;Tabela1[[#This Row],[ID]]&amp;Tabela1[[#This Row],[MATRICULA]]&amp;"Motorista 4"&amp;Tabela1[[#This Row],[SETOR]],BD!A:AF,26,0),"")</f>
        <v/>
      </c>
      <c r="AP74" s="21" t="str">
        <f>IFERROR(VLOOKUP(Tabela1[[#This Row],[MÊS]]&amp;Tabela1[[#This Row],[MATRICULA]]&amp;"Ponto de Apoio"&amp;Tabela1[[#This Row],[SETOR]],BD!A:AF,31,0),"")</f>
        <v/>
      </c>
      <c r="AQ74" s="21" t="str">
        <f>IFERROR(VLOOKUP(Tabela1[[#This Row],[MÊS]]&amp;Tabela1[[#This Row],[ID]]&amp;Tabela1[[#This Row],[MATRICULA]]&amp;"Ponto de Apoio 2"&amp;Tabela1[[#This Row],[SETOR]],BD!A:AF,26,0),"")</f>
        <v/>
      </c>
      <c r="AR74" s="36" t="str">
        <f>IFERROR(VLOOKUP(Tabela1[[#This Row],[MÊS]]&amp;Tabela1[[#This Row],[ID]]&amp;Tabela1[[#This Row],[MATRICULA]]&amp;"Ponto de Apoio 3"&amp;Tabela1[[#This Row],[SETOR]],BD!A:AF,26,0),"")</f>
        <v/>
      </c>
      <c r="AS74" s="36" t="str">
        <f>IFERROR(VLOOKUP(Tabela1[[#This Row],[MÊS]]&amp;Tabela1[[#This Row],[ID]]&amp;Tabela1[[#This Row],[MATRICULA]]&amp;"Ponto de Apoio 4"&amp;Tabela1[[#This Row],[SETOR]],BD!A:AF,26,0),"")</f>
        <v/>
      </c>
      <c r="AT74" s="21" t="str">
        <f>IFERROR(VLOOKUP(Tabela1[[#This Row],[MÊS]]&amp;Tabela1[[#This Row],[MATRICULA]]&amp;"Cliente"&amp;Tabela1[[#This Row],[SETOR]],BD!A:AF,31,0),"")</f>
        <v/>
      </c>
      <c r="AU74" s="21" t="str">
        <f>IFERROR(VLOOKUP(Tabela1[[#This Row],[MÊS]]&amp;Tabela1[[#This Row],[ID]]&amp;Tabela1[[#This Row],[MATRICULA]]&amp;"Cliente 2"&amp;Tabela1[[#This Row],[SETOR]],BD!A:AF,26,0),"")</f>
        <v/>
      </c>
      <c r="AX74" s="21" t="str">
        <f>IFERROR(VLOOKUP(Tabela1[[#This Row],[MÊS]]&amp;Tabela1[[#This Row],[MATRICULA]]&amp;"Policia"&amp;Tabela1[[#This Row],[SETOR]],BD!A:AF,31,0),"")</f>
        <v/>
      </c>
      <c r="AY74" s="21" t="str">
        <f>IFERROR(VLOOKUP(Tabela1[[#This Row],[MÊS]]&amp;Tabela1[[#This Row],[ID]]&amp;Tabela1[[#This Row],[MATRICULA]]&amp;"Policia 2"&amp;Tabela1[[#This Row],[SETOR]],BD!A:AF,26,0),"")</f>
        <v/>
      </c>
      <c r="AZ74" s="36" t="str">
        <f>IFERROR(VLOOKUP(Tabela1[[#This Row],[MÊS]]&amp;Tabela1[[#This Row],[ID]]&amp;Tabela1[[#This Row],[MATRICULA]]&amp;"Policia 3"&amp;Tabela1[[#This Row],[SETOR]],BD!A:AF,26,0),"")</f>
        <v/>
      </c>
      <c r="BA74" s="36" t="str">
        <f>IFERROR(VLOOKUP(Tabela1[[#This Row],[MÊS]]&amp;Tabela1[[#This Row],[ID]]&amp;Tabela1[[#This Row],[MATRICULA]]&amp;"Policia 4"&amp;Tabela1[[#This Row],[SETOR]],BD!A:AF,26,0),"")</f>
        <v/>
      </c>
      <c r="BB7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74" s="21">
        <f>IFERROR(AVERAGE(Tabela1[[#This Row],[M]:[M4]]),"")</f>
        <v>0</v>
      </c>
      <c r="BD74" s="21" t="str">
        <f>IFERROR(AVERAGE(Tabela1[[#This Row],[C]:[C4]]),"")</f>
        <v/>
      </c>
      <c r="BE74" s="21" t="str">
        <f>IFERROR(AVERAGE(Tabela1[[#This Row],[PA2]:[PA 4]]),"")</f>
        <v/>
      </c>
      <c r="BF74" s="21" t="str">
        <f>IFERROR(AVERAGE(Tabela1[[#This Row],[PL]:[PL4]]),"")</f>
        <v/>
      </c>
      <c r="BG74" s="35" t="str">
        <f>IFERROR(VLOOKUP(Tabela1[[#This Row],[MÊS]]&amp;Tabela1[[#This Row],[MATRICULA]],#REF!,2,0),"")</f>
        <v/>
      </c>
      <c r="BH74" s="35" t="str">
        <f>IFERROR(VLOOKUP(Tabela1[[#This Row],[MÊS]]&amp;Tabela1[[#This Row],[MATRICULA]],#REF!,2,0),"")</f>
        <v/>
      </c>
      <c r="BI74" s="35" t="str">
        <f>IFERROR(VLOOKUP(Tabela1[[#This Row],[MÊS]]&amp;Tabela1[[#This Row],[MATRICULA]],#REF!,2,0),"")</f>
        <v/>
      </c>
      <c r="BJ74" s="35" t="str">
        <f>IFERROR(VLOOKUP(Tabela1[[#This Row],[MÊS]]&amp;Tabela1[[#This Row],[MATRICULA]],#REF!,2,0),"")</f>
        <v/>
      </c>
      <c r="BK74" s="35" t="str">
        <f>IFERROR(VLOOKUP(Tabela1[[#This Row],[MÊS]]&amp;Tabela1[[#This Row],[MATRICULA]],#REF!,2,0),"")</f>
        <v/>
      </c>
      <c r="BL74" s="21">
        <f>COUNTIF(Tabela1[[#This Row],[MOT2]:[RECEPTIVA]],"NÃO ENCONTRADA")</f>
        <v>0</v>
      </c>
      <c r="BM74" s="135" t="str">
        <f>IFERROR(VLOOKUP(Tabela1[[#This Row],[MÊS]]&amp;Tabela1[[#This Row],[ID]]&amp;Tabela1[[#This Row],[MATRICULA]]&amp;"Motorista"&amp;Tabela1[[#This Row],[SETOR]],BD!A:AF,13,0),"")</f>
        <v/>
      </c>
      <c r="BN74" s="135" t="str">
        <f>IFERROR(VLOOKUP(Tabela1[[#This Row],[MÊS]]&amp;Tabela1[[#This Row],[ID]]&amp;Tabela1[[#This Row],[MATRICULA]]&amp;"Motorista 2"&amp;Tabela1[[#This Row],[SETOR]],BD!A:AF,13,0),"")</f>
        <v/>
      </c>
      <c r="BO74" s="135" t="str">
        <f>IFERROR(VLOOKUP(Tabela1[[#This Row],[MÊS]]&amp;Tabela1[[#This Row],[ID]]&amp;Tabela1[[#This Row],[MATRICULA]]&amp;"Motorista 3"&amp;Tabela1[[#This Row],[SETOR]],BD!A:AF,13,0),"")</f>
        <v/>
      </c>
      <c r="BP74" s="135" t="str">
        <f>IFERROR(VLOOKUP(Tabela1[[#This Row],[MÊS]]&amp;Tabela1[[#This Row],[ID]]&amp;Tabela1[[#This Row],[MATRICULA]]&amp;"Motorista 4"&amp;Tabela1[[#This Row],[SETOR]],BD!A:AF,13,0),"")</f>
        <v/>
      </c>
      <c r="BQ74" s="135" t="str">
        <f>IFERROR(AVERAGE(Tabela1[[#This Row],[DMOT]:[DMOT4]]),"")</f>
        <v/>
      </c>
      <c r="BR74" s="135" t="str">
        <f>IFERROR(VLOOKUP(Tabela1[[#This Row],[MÊS]]&amp;Tabela1[[#This Row],[ID]]&amp;Tabela1[[#This Row],[MATRICULA]]&amp;"Ponto de Apoio"&amp;Tabela1[[#This Row],[SETOR]],BD!A:AF,13,0),"")</f>
        <v/>
      </c>
      <c r="BS74" s="135" t="str">
        <f>IFERROR(VLOOKUP(Tabela1[[#This Row],[MÊS]]&amp;Tabela1[[#This Row],[ID]]&amp;Tabela1[[#This Row],[MATRICULA]]&amp;"Ponto de Apoio 2"&amp;Tabela1[[#This Row],[SETOR]],BD!A:AF,13,0),"")</f>
        <v/>
      </c>
      <c r="BT74" s="135" t="str">
        <f>IFERROR(VLOOKUP(Tabela1[[#This Row],[MÊS]]&amp;Tabela1[[#This Row],[ID]]&amp;Tabela1[[#This Row],[MATRICULA]]&amp;"Ponto de Apoio 3"&amp;Tabela1[[#This Row],[SETOR]],BD!A:AF,13,0),"")</f>
        <v/>
      </c>
      <c r="BU74" s="135" t="str">
        <f>IFERROR(VLOOKUP(Tabela1[[#This Row],[MÊS]]&amp;Tabela1[[#This Row],[ID]]&amp;Tabela1[[#This Row],[MATRICULA]]&amp;"Ponto de Apoio 4"&amp;Tabela1[[#This Row],[SETOR]],BD!A:AF,13,0),"")</f>
        <v/>
      </c>
      <c r="BV74" s="135" t="str">
        <f>IFERROR(AVERAGE(Tabela1[[#This Row],[DPA]:[DPA 4]]),"")</f>
        <v/>
      </c>
      <c r="BW74" s="135" t="str">
        <f>IFERROR(VLOOKUP(Tabela1[[#This Row],[MÊS]]&amp;Tabela1[[#This Row],[ID]]&amp;Tabela1[[#This Row],[MATRICULA]]&amp;"Cliente"&amp;Tabela1[[#This Row],[SETOR]],BD!A:AF,13,0),"")</f>
        <v/>
      </c>
      <c r="BX74" s="135" t="str">
        <f>IFERROR(VLOOKUP(Tabela1[[#This Row],[MÊS]]&amp;Tabela1[[#This Row],[ID]]&amp;Tabela1[[#This Row],[MATRICULA]]&amp;"cliente 2"&amp;Tabela1[[#This Row],[SETOR]],BD!A:AF,13,0),"")</f>
        <v/>
      </c>
      <c r="BY74" s="135" t="str">
        <f>IFERROR(VLOOKUP(Tabela1[[#This Row],[MÊS]]&amp;Tabela1[[#This Row],[ID]]&amp;Tabela1[[#This Row],[MATRICULA]]&amp;"cliente 3"&amp;Tabela1[[#This Row],[SETOR]],BD!A:AF,13,0),"")</f>
        <v/>
      </c>
      <c r="BZ74" s="135" t="str">
        <f>IFERROR(VLOOKUP(Tabela1[[#This Row],[MÊS]]&amp;Tabela1[[#This Row],[ID]]&amp;Tabela1[[#This Row],[MATRICULA]]&amp;"cliente 4"&amp;Tabela1[[#This Row],[SETOR]],BD!A:AF,13,0),"")</f>
        <v/>
      </c>
      <c r="CA74" s="135" t="str">
        <f>IFERROR(AVERAGE(Tabela1[[#This Row],[DCLI]:[DCLI 4]]),"")</f>
        <v/>
      </c>
      <c r="CB74" s="135" t="str">
        <f>IFERROR(VLOOKUP(Tabela1[[#This Row],[MÊS]]&amp;Tabela1[[#This Row],[ID]]&amp;Tabela1[[#This Row],[MATRICULA]]&amp;"Policia"&amp;Tabela1[[#This Row],[SETOR]],BD!A:AF,13,0),"")</f>
        <v/>
      </c>
      <c r="CC74" s="135" t="str">
        <f>IFERROR(VLOOKUP(Tabela1[[#This Row],[MÊS]]&amp;Tabela1[[#This Row],[ID]]&amp;Tabela1[[#This Row],[MATRICULA]]&amp;"Policia 2"&amp;Tabela1[[#This Row],[SETOR]],BD!A:AF,13,0),"")</f>
        <v/>
      </c>
      <c r="CD74" s="135"/>
      <c r="CE74" s="135"/>
      <c r="CF74" s="135" t="str">
        <f>IFERROR((AVERAGE(Tabela1[[#This Row],[DPOL1]:[DPOL4]])),"")</f>
        <v/>
      </c>
      <c r="CG74" s="21" t="str">
        <f>IFERROR(VLOOKUP(Tabela1[[#This Row],[ID]]&amp;Tabela1[[#This Row],[MÊS]]&amp;Tabela1[[#This Row],[MATRICULA]],#REF!,2,0),"")</f>
        <v/>
      </c>
      <c r="CH74" s="21" t="str">
        <f>IFERROR(VLOOKUP(Tabela1[[#This Row],[ID]]&amp;Tabela1[[#This Row],[MÊS]]&amp;Tabela1[[#This Row],[MATRICULA]],#REF!,2,0),"")</f>
        <v/>
      </c>
      <c r="CI74" s="21" t="str">
        <f>IFERROR(VLOOKUP(Tabela1[[#This Row],[MÊS]]&amp;Tabela1[[#This Row],[MATRICULA]],#REF!,2,0),"")</f>
        <v/>
      </c>
    </row>
    <row r="75" spans="1:87">
      <c r="A75" s="12" t="str">
        <f>Tabela1[[#This Row],[MÊS]]&amp;Tabela1[[#This Row],[MATRICULA]]&amp;Tabela1[[#This Row],[ID]]</f>
        <v>JAN108944</v>
      </c>
      <c r="B75" s="12" t="str">
        <f>Tabela1[[#This Row],[MÊS]]&amp;Tabela1[[#This Row],[ID]]&amp;Tabela1[[#This Row],[MATRICULA]]&amp;Tabela1[[#This Row],[SETOR]]</f>
        <v>JAN410894BAS</v>
      </c>
      <c r="C75" s="130" t="e">
        <f>VLOOKUP(Tabela1[[#This Row],[MATRICULA]],'BD Campos'!A:D,5,0)</f>
        <v>#REF!</v>
      </c>
      <c r="D75" s="133" t="str">
        <f ca="1">IFERROR(SUM(TODAY()-Tabela1[[#This Row],[ADMISSÃO]]),"")</f>
        <v/>
      </c>
      <c r="E75" s="11" t="str">
        <f ca="1">IFERROR(TRUNC(Tabela1[[#This Row],[TEMPO DE CASA (DIAS)]]/30),"")</f>
        <v/>
      </c>
      <c r="F75" s="32" t="str">
        <f ca="1">IFERROR(SUM(Tabela1[[#This Row],[TEMPO DE CASA (MESES)]]/12),"")</f>
        <v/>
      </c>
      <c r="G75" s="133" t="str">
        <f ca="1">IF(Tabela1[[#This Row],[TEMPO DE CASA (DIAS)]]="","SEM DADOS",IF(Tabela1[[#This Row],[TEMPO DE CASA (DIAS)]]&gt;180,"&gt; 6 MESES","&lt; 6 MESES"))</f>
        <v>SEM DADOS</v>
      </c>
      <c r="H75" s="12" t="str">
        <f t="shared" si="8"/>
        <v>JANGeniffer Maciel4</v>
      </c>
      <c r="I75" s="12" t="str">
        <f>IFERROR(VLOOKUP(Tabela1[[#This Row],[MATRICULA]],'BD Campos'!A:F,7,0),"")</f>
        <v/>
      </c>
      <c r="J75" s="11">
        <v>4</v>
      </c>
      <c r="K75" s="11" t="s">
        <v>669</v>
      </c>
      <c r="L75" s="136">
        <v>10894</v>
      </c>
      <c r="M75" s="12" t="str">
        <f>IFERROR(VLOOKUP(Tabela1[[#This Row],[MATRICULA]],'BD Campos'!A:B,2,0),"")</f>
        <v>ISABELLE CARDOSO SCHIER</v>
      </c>
      <c r="N75" s="20">
        <f>IFERROR(AVERAGE(Tabela1[[#This Row],[A1]:[A4]]),"")</f>
        <v>9.6850000000000023</v>
      </c>
      <c r="O75" s="20" t="str">
        <f>IFERROR(IF(Tabela1[[#This Row],[SETOR]]="RECEPTIVO","",AVERAGE(Tabela1[[#This Row],[A5]:[A6]])),"")</f>
        <v/>
      </c>
      <c r="P75" s="20" t="str">
        <f>IFERROR(IF(Tabela1[[#This Row],[STATUS]]="INATIVO","INATIVO",IF(Tabela1[[#This Row],[STATUS]]="QRT","INATIVO",IF(Tabela1[[#This Row],[OPERACIONAL]]&gt;7.99999,"BOM","RUIM"))),"")</f>
        <v>BOM</v>
      </c>
      <c r="Q75" s="21" t="s">
        <v>667</v>
      </c>
      <c r="R75" s="12" t="s">
        <v>683</v>
      </c>
      <c r="S75" s="12" t="s">
        <v>680</v>
      </c>
      <c r="T75" s="12" t="s">
        <v>223</v>
      </c>
      <c r="U7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7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75" s="12">
        <f>IF(AND(Tabela1[[#This Row],[SETOR]]="UTI",Tabela1[[#This Row],[M]]&lt;&gt;""),1,IF(AND(Tabela1[[#This Row],[SETOR]]="UTI (RJ)",Tabela1[[#This Row],[M]]&lt;&gt;""),1.5,0))</f>
        <v>0</v>
      </c>
      <c r="X75" s="12">
        <f>IF(AND(Tabela1[[#This Row],[SETOR]]="UTI",Tabela1[[#This Row],[PA2]]&lt;&gt;""),1,IF(AND(Tabela1[[#This Row],[SETOR]]="UTI (RJ)",Tabela1[[#This Row],[PA2]]&lt;&gt;""),0,0))</f>
        <v>0</v>
      </c>
      <c r="Y75" s="12">
        <f>IF(AND(Tabela1[[#This Row],[SETOR]]="UTI",Tabela1[[#This Row],[C]]&lt;&gt;""),1,IF(AND(Tabela1[[#This Row],[SETOR]]="UTI (RJ)",Tabela1[[#This Row],[C]]&lt;&gt;""),1.5,0))</f>
        <v>0</v>
      </c>
      <c r="Z75" s="12">
        <f>IF(AND(Tabela1[[#This Row],[SETOR]]="UTI",Tabela1[[#This Row],[PL]]&lt;&gt;""),1,IF(AND(Tabela1[[#This Row],[SETOR]]="UTI (RJ)",Tabela1[[#This Row],[PL]]&lt;&gt;""),1,0))</f>
        <v>0</v>
      </c>
      <c r="AA75" s="21">
        <f>IFERROR(VLOOKUP(Tabela1[[#This Row],[MÊS]]&amp;Tabela1[[#This Row],[MATRICULA]]&amp;"1"&amp;Tabela1[[#This Row],[SETOR]]&amp;"PADRÃO",BD!B:AF,31,0),"")</f>
        <v>9.3700000000000028</v>
      </c>
      <c r="AB75" s="21">
        <f>IFERROR(VLOOKUP(Tabela1[[#This Row],[MÊS]]&amp;Tabela1[[#This Row],[MATRICULA]]&amp;"2"&amp;Tabela1[[#This Row],[SETOR]]&amp;"PADRÃO",BD!B:AF,31,0),"")</f>
        <v>10.000000000000002</v>
      </c>
      <c r="AC75" s="21" t="str">
        <f>IFERROR(VLOOKUP(Tabela1[[#This Row],[MÊS]]&amp;Tabela1[[#This Row],[MATRICULA]]&amp;"3"&amp;Tabela1[[#This Row],[SETOR]]&amp;"PADRÃO",BD!B:AF,31,0),"")</f>
        <v/>
      </c>
      <c r="AD75" s="21" t="str">
        <f>IFERROR(VLOOKUP(Tabela1[[#This Row],[MÊS]]&amp;Tabela1[[#This Row],[MATRICULA]]&amp;"4"&amp;Tabela1[[#This Row],[SETOR]]&amp;"PADRÃO",BD!B:AF,25,0),"")</f>
        <v/>
      </c>
      <c r="AE75" s="21" t="str">
        <f>IFERROR(VLOOKUP(Tabela1[[#This Row],[MÊS]]&amp;Tabela1[[#This Row],[MATRICULA]]&amp;"5"&amp;Tabela1[[#This Row],[SETOR]]&amp;"PADRÃO",BD!B:AF,31,0),"")</f>
        <v/>
      </c>
      <c r="AF75" s="21" t="str">
        <f>IFERROR(VLOOKUP(Tabela1[[#This Row],[MÊS]]&amp;Tabela1[[#This Row],[MATRICULA]]&amp;"6"&amp;Tabela1[[#This Row],[SETOR]]&amp;"PADRÃO",BD!B:AF,31,0),"")</f>
        <v/>
      </c>
      <c r="AG75" s="21" t="str">
        <f>IFERROR(VLOOKUP(Tabela1[[#This Row],[MÊS]]&amp;Tabela1[[#This Row],[MATRICULA]]&amp;"7"&amp;Tabela1[[#This Row],[SETOR]]&amp;"PADRÃO",BD!B:AF,31,0),"")</f>
        <v/>
      </c>
      <c r="AH75" s="21" t="str">
        <f>IFERROR(VLOOKUP(Tabela1[[#This Row],[MÊS]]&amp;Tabela1[[#This Row],[ID]]&amp;Tabela1[[#This Row],[MATRICULA]]&amp;"Receptiva"&amp;Tabela1[[#This Row],[SETOR]],BD!A:AF,31,0),"")</f>
        <v/>
      </c>
      <c r="AI75" s="21" t="str">
        <f>IFERROR(VLOOKUP(Tabela1[[#This Row],[MÊS]]&amp;Tabela1[[#This Row],[ID]]&amp;Tabela1[[#This Row],[MATRICULA]]&amp;"Receptiva 2"&amp;Tabela1[[#This Row],[SETOR]],BD!A:AF,31,0),"")</f>
        <v/>
      </c>
      <c r="AJ75" s="21" t="str">
        <f>IFERROR(VLOOKUP(Tabela1[[#This Row],[MÊS]]&amp;Tabela1[[#This Row],[ID]]&amp;Tabela1[[#This Row],[MATRICULA]]&amp;"Receptiva 3"&amp;Tabela1[[#This Row],[SETOR]],BD!A:AF,31,0),"")</f>
        <v/>
      </c>
      <c r="AK75" s="21" t="str">
        <f>IFERROR(VLOOKUP(Tabela1[[#This Row],[MÊS]]&amp;Tabela1[[#This Row],[ID]]&amp;Tabela1[[#This Row],[MATRICULA]]&amp;"Receptiva 4"&amp;Tabela1[[#This Row],[SETOR]],BD!A:AF,31,0),"")</f>
        <v/>
      </c>
      <c r="AL75" s="21" t="str">
        <f>IFERROR(VLOOKUP(Tabela1[[#This Row],[MÊS]]&amp;Tabela1[[#This Row],[MATRICULA]]&amp;"Motorista"&amp;Tabela1[[#This Row],[SETOR]],BD!A:AF,31,0),"")</f>
        <v/>
      </c>
      <c r="AM75" s="21" t="str">
        <f>IFERROR(VLOOKUP(Tabela1[[#This Row],[MÊS]]&amp;Tabela1[[#This Row],[ID]]&amp;Tabela1[[#This Row],[MATRICULA]]&amp;"Motorista 2"&amp;Tabela1[[#This Row],[SETOR]],BD!A:AF,26,0),"")</f>
        <v/>
      </c>
      <c r="AN75" s="21" t="str">
        <f>IFERROR(VLOOKUP(Tabela1[[#This Row],[MÊS]]&amp;Tabela1[[#This Row],[ID]]&amp;Tabela1[[#This Row],[MATRICULA]]&amp;"Motorista 3"&amp;Tabela1[[#This Row],[SETOR]],BD!A:AF,26,0),"")</f>
        <v/>
      </c>
      <c r="AO75" s="21" t="str">
        <f>IFERROR(VLOOKUP(Tabela1[[#This Row],[MÊS]]&amp;Tabela1[[#This Row],[ID]]&amp;Tabela1[[#This Row],[MATRICULA]]&amp;"Motorista 4"&amp;Tabela1[[#This Row],[SETOR]],BD!A:AF,26,0),"")</f>
        <v/>
      </c>
      <c r="AP75" s="21" t="str">
        <f>IFERROR(VLOOKUP(Tabela1[[#This Row],[MÊS]]&amp;Tabela1[[#This Row],[MATRICULA]]&amp;"Ponto de Apoio"&amp;Tabela1[[#This Row],[SETOR]],BD!A:AF,31,0),"")</f>
        <v/>
      </c>
      <c r="AQ75" s="21" t="str">
        <f>IFERROR(VLOOKUP(Tabela1[[#This Row],[MÊS]]&amp;Tabela1[[#This Row],[ID]]&amp;Tabela1[[#This Row],[MATRICULA]]&amp;"Ponto de Apoio 2"&amp;Tabela1[[#This Row],[SETOR]],BD!A:AF,26,0),"")</f>
        <v/>
      </c>
      <c r="AR75" s="36" t="str">
        <f>IFERROR(VLOOKUP(Tabela1[[#This Row],[MÊS]]&amp;Tabela1[[#This Row],[ID]]&amp;Tabela1[[#This Row],[MATRICULA]]&amp;"Ponto de Apoio 3"&amp;Tabela1[[#This Row],[SETOR]],BD!A:AF,26,0),"")</f>
        <v/>
      </c>
      <c r="AS75" s="36" t="str">
        <f>IFERROR(VLOOKUP(Tabela1[[#This Row],[MÊS]]&amp;Tabela1[[#This Row],[ID]]&amp;Tabela1[[#This Row],[MATRICULA]]&amp;"Ponto de Apoio 4"&amp;Tabela1[[#This Row],[SETOR]],BD!A:AF,26,0),"")</f>
        <v/>
      </c>
      <c r="AT75" s="21" t="str">
        <f>IFERROR(VLOOKUP(Tabela1[[#This Row],[MÊS]]&amp;Tabela1[[#This Row],[MATRICULA]]&amp;"Cliente"&amp;Tabela1[[#This Row],[SETOR]],BD!A:AF,31,0),"")</f>
        <v/>
      </c>
      <c r="AU75" s="21" t="str">
        <f>IFERROR(VLOOKUP(Tabela1[[#This Row],[MÊS]]&amp;Tabela1[[#This Row],[ID]]&amp;Tabela1[[#This Row],[MATRICULA]]&amp;"Cliente 2"&amp;Tabela1[[#This Row],[SETOR]],BD!A:AF,26,0),"")</f>
        <v/>
      </c>
      <c r="AX75" s="21" t="str">
        <f>IFERROR(VLOOKUP(Tabela1[[#This Row],[MÊS]]&amp;Tabela1[[#This Row],[MATRICULA]]&amp;"Policia"&amp;Tabela1[[#This Row],[SETOR]],BD!A:AF,31,0),"")</f>
        <v/>
      </c>
      <c r="AY75" s="21" t="str">
        <f>IFERROR(VLOOKUP(Tabela1[[#This Row],[MÊS]]&amp;Tabela1[[#This Row],[ID]]&amp;Tabela1[[#This Row],[MATRICULA]]&amp;"Policia 2"&amp;Tabela1[[#This Row],[SETOR]],BD!A:AF,26,0),"")</f>
        <v/>
      </c>
      <c r="AZ75" s="36" t="str">
        <f>IFERROR(VLOOKUP(Tabela1[[#This Row],[MÊS]]&amp;Tabela1[[#This Row],[ID]]&amp;Tabela1[[#This Row],[MATRICULA]]&amp;"Policia 3"&amp;Tabela1[[#This Row],[SETOR]],BD!A:AF,26,0),"")</f>
        <v/>
      </c>
      <c r="BA75" s="36" t="str">
        <f>IFERROR(VLOOKUP(Tabela1[[#This Row],[MÊS]]&amp;Tabela1[[#This Row],[ID]]&amp;Tabela1[[#This Row],[MATRICULA]]&amp;"Policia 4"&amp;Tabela1[[#This Row],[SETOR]],BD!A:AF,26,0),"")</f>
        <v/>
      </c>
      <c r="BB7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75" s="21" t="str">
        <f>IFERROR(AVERAGE(Tabela1[[#This Row],[M]:[M4]]),"")</f>
        <v/>
      </c>
      <c r="BD75" s="21" t="str">
        <f>IFERROR(AVERAGE(Tabela1[[#This Row],[C]:[C4]]),"")</f>
        <v/>
      </c>
      <c r="BE75" s="21" t="str">
        <f>IFERROR(AVERAGE(Tabela1[[#This Row],[PA2]:[PA 4]]),"")</f>
        <v/>
      </c>
      <c r="BF75" s="21" t="str">
        <f>IFERROR(AVERAGE(Tabela1[[#This Row],[PL]:[PL4]]),"")</f>
        <v/>
      </c>
      <c r="BG75" s="35" t="str">
        <f>IFERROR(VLOOKUP(Tabela1[[#This Row],[MÊS]]&amp;Tabela1[[#This Row],[MATRICULA]],#REF!,2,0),"")</f>
        <v/>
      </c>
      <c r="BH75" s="35" t="str">
        <f>IFERROR(VLOOKUP(Tabela1[[#This Row],[MÊS]]&amp;Tabela1[[#This Row],[MATRICULA]],#REF!,2,0),"")</f>
        <v/>
      </c>
      <c r="BI75" s="35" t="str">
        <f>IFERROR(VLOOKUP(Tabela1[[#This Row],[MÊS]]&amp;Tabela1[[#This Row],[MATRICULA]],#REF!,2,0),"")</f>
        <v/>
      </c>
      <c r="BJ75" s="35" t="str">
        <f>IFERROR(VLOOKUP(Tabela1[[#This Row],[MÊS]]&amp;Tabela1[[#This Row],[MATRICULA]],#REF!,2,0),"")</f>
        <v/>
      </c>
      <c r="BK75" s="35" t="str">
        <f>IFERROR(VLOOKUP(Tabela1[[#This Row],[MÊS]]&amp;Tabela1[[#This Row],[MATRICULA]],#REF!,2,0),"")</f>
        <v/>
      </c>
      <c r="BL75" s="21">
        <f>COUNTIF(Tabela1[[#This Row],[MOT2]:[RECEPTIVA]],"NÃO ENCONTRADA")</f>
        <v>0</v>
      </c>
      <c r="BM75" s="135" t="str">
        <f>IFERROR(VLOOKUP(Tabela1[[#This Row],[MÊS]]&amp;Tabela1[[#This Row],[ID]]&amp;Tabela1[[#This Row],[MATRICULA]]&amp;"Motorista"&amp;Tabela1[[#This Row],[SETOR]],BD!A:AF,13,0),"")</f>
        <v/>
      </c>
      <c r="BN75" s="135" t="str">
        <f>IFERROR(VLOOKUP(Tabela1[[#This Row],[MÊS]]&amp;Tabela1[[#This Row],[ID]]&amp;Tabela1[[#This Row],[MATRICULA]]&amp;"Motorista 2"&amp;Tabela1[[#This Row],[SETOR]],BD!A:AF,13,0),"")</f>
        <v/>
      </c>
      <c r="BO75" s="135" t="str">
        <f>IFERROR(VLOOKUP(Tabela1[[#This Row],[MÊS]]&amp;Tabela1[[#This Row],[ID]]&amp;Tabela1[[#This Row],[MATRICULA]]&amp;"Motorista 3"&amp;Tabela1[[#This Row],[SETOR]],BD!A:AF,13,0),"")</f>
        <v/>
      </c>
      <c r="BP75" s="135" t="str">
        <f>IFERROR(VLOOKUP(Tabela1[[#This Row],[MÊS]]&amp;Tabela1[[#This Row],[ID]]&amp;Tabela1[[#This Row],[MATRICULA]]&amp;"Motorista 4"&amp;Tabela1[[#This Row],[SETOR]],BD!A:AF,13,0),"")</f>
        <v/>
      </c>
      <c r="BQ75" s="135" t="str">
        <f>IFERROR(AVERAGE(Tabela1[[#This Row],[DMOT]:[DMOT4]]),"")</f>
        <v/>
      </c>
      <c r="BR75" s="135" t="str">
        <f>IFERROR(VLOOKUP(Tabela1[[#This Row],[MÊS]]&amp;Tabela1[[#This Row],[ID]]&amp;Tabela1[[#This Row],[MATRICULA]]&amp;"Ponto de Apoio"&amp;Tabela1[[#This Row],[SETOR]],BD!A:AF,13,0),"")</f>
        <v/>
      </c>
      <c r="BS75" s="135" t="str">
        <f>IFERROR(VLOOKUP(Tabela1[[#This Row],[MÊS]]&amp;Tabela1[[#This Row],[ID]]&amp;Tabela1[[#This Row],[MATRICULA]]&amp;"Ponto de Apoio 2"&amp;Tabela1[[#This Row],[SETOR]],BD!A:AF,13,0),"")</f>
        <v/>
      </c>
      <c r="BT75" s="135" t="str">
        <f>IFERROR(VLOOKUP(Tabela1[[#This Row],[MÊS]]&amp;Tabela1[[#This Row],[ID]]&amp;Tabela1[[#This Row],[MATRICULA]]&amp;"Ponto de Apoio 3"&amp;Tabela1[[#This Row],[SETOR]],BD!A:AF,13,0),"")</f>
        <v/>
      </c>
      <c r="BU75" s="135" t="str">
        <f>IFERROR(VLOOKUP(Tabela1[[#This Row],[MÊS]]&amp;Tabela1[[#This Row],[ID]]&amp;Tabela1[[#This Row],[MATRICULA]]&amp;"Ponto de Apoio 4"&amp;Tabela1[[#This Row],[SETOR]],BD!A:AF,13,0),"")</f>
        <v/>
      </c>
      <c r="BV75" s="135" t="str">
        <f>IFERROR(AVERAGE(Tabela1[[#This Row],[DPA]:[DPA 4]]),"")</f>
        <v/>
      </c>
      <c r="BW75" s="135" t="str">
        <f>IFERROR(VLOOKUP(Tabela1[[#This Row],[MÊS]]&amp;Tabela1[[#This Row],[ID]]&amp;Tabela1[[#This Row],[MATRICULA]]&amp;"Cliente"&amp;Tabela1[[#This Row],[SETOR]],BD!A:AF,13,0),"")</f>
        <v/>
      </c>
      <c r="BX75" s="135" t="str">
        <f>IFERROR(VLOOKUP(Tabela1[[#This Row],[MÊS]]&amp;Tabela1[[#This Row],[ID]]&amp;Tabela1[[#This Row],[MATRICULA]]&amp;"cliente 2"&amp;Tabela1[[#This Row],[SETOR]],BD!A:AF,13,0),"")</f>
        <v/>
      </c>
      <c r="BY75" s="135" t="str">
        <f>IFERROR(VLOOKUP(Tabela1[[#This Row],[MÊS]]&amp;Tabela1[[#This Row],[ID]]&amp;Tabela1[[#This Row],[MATRICULA]]&amp;"cliente 3"&amp;Tabela1[[#This Row],[SETOR]],BD!A:AF,13,0),"")</f>
        <v/>
      </c>
      <c r="BZ75" s="135" t="str">
        <f>IFERROR(VLOOKUP(Tabela1[[#This Row],[MÊS]]&amp;Tabela1[[#This Row],[ID]]&amp;Tabela1[[#This Row],[MATRICULA]]&amp;"cliente 4"&amp;Tabela1[[#This Row],[SETOR]],BD!A:AF,13,0),"")</f>
        <v/>
      </c>
      <c r="CA75" s="135" t="str">
        <f>IFERROR(AVERAGE(Tabela1[[#This Row],[DCLI]:[DCLI 4]]),"")</f>
        <v/>
      </c>
      <c r="CB75" s="135" t="str">
        <f>IFERROR(VLOOKUP(Tabela1[[#This Row],[MÊS]]&amp;Tabela1[[#This Row],[ID]]&amp;Tabela1[[#This Row],[MATRICULA]]&amp;"Policia"&amp;Tabela1[[#This Row],[SETOR]],BD!A:AF,13,0),"")</f>
        <v/>
      </c>
      <c r="CC75" s="135" t="str">
        <f>IFERROR(VLOOKUP(Tabela1[[#This Row],[MÊS]]&amp;Tabela1[[#This Row],[ID]]&amp;Tabela1[[#This Row],[MATRICULA]]&amp;"Policia 2"&amp;Tabela1[[#This Row],[SETOR]],BD!A:AF,13,0),"")</f>
        <v/>
      </c>
      <c r="CD75" s="135"/>
      <c r="CE75" s="135"/>
      <c r="CF75" s="135" t="str">
        <f>IFERROR((AVERAGE(Tabela1[[#This Row],[DPOL1]:[DPOL4]])),"")</f>
        <v/>
      </c>
      <c r="CG75" s="21" t="str">
        <f>IFERROR(VLOOKUP(Tabela1[[#This Row],[ID]]&amp;Tabela1[[#This Row],[MÊS]]&amp;Tabela1[[#This Row],[MATRICULA]],#REF!,2,0),"")</f>
        <v/>
      </c>
      <c r="CH75" s="21" t="str">
        <f>IFERROR(VLOOKUP(Tabela1[[#This Row],[ID]]&amp;Tabela1[[#This Row],[MÊS]]&amp;Tabela1[[#This Row],[MATRICULA]],#REF!,2,0),"")</f>
        <v/>
      </c>
      <c r="CI75" s="21" t="str">
        <f>IFERROR(VLOOKUP(Tabela1[[#This Row],[MÊS]]&amp;Tabela1[[#This Row],[MATRICULA]],#REF!,2,0),"")</f>
        <v/>
      </c>
    </row>
    <row r="76" spans="1:87">
      <c r="A76" s="12" t="str">
        <f>Tabela1[[#This Row],[MÊS]]&amp;Tabela1[[#This Row],[MATRICULA]]&amp;Tabela1[[#This Row],[ID]]</f>
        <v>JAN105005</v>
      </c>
      <c r="B76" s="12" t="str">
        <f>Tabela1[[#This Row],[MÊS]]&amp;Tabela1[[#This Row],[ID]]&amp;Tabela1[[#This Row],[MATRICULA]]&amp;Tabela1[[#This Row],[SETOR]]</f>
        <v>JAN510500BAS</v>
      </c>
      <c r="C76" s="130" t="e">
        <f>VLOOKUP(Tabela1[[#This Row],[MATRICULA]],'BD Campos'!A:D,5,0)</f>
        <v>#REF!</v>
      </c>
      <c r="D76" s="133" t="str">
        <f ca="1">IFERROR(SUM(TODAY()-Tabela1[[#This Row],[ADMISSÃO]]),"")</f>
        <v/>
      </c>
      <c r="E76" s="11" t="str">
        <f ca="1">IFERROR(TRUNC(Tabela1[[#This Row],[TEMPO DE CASA (DIAS)]]/30),"")</f>
        <v/>
      </c>
      <c r="F76" s="32" t="str">
        <f ca="1">IFERROR(SUM(Tabela1[[#This Row],[TEMPO DE CASA (MESES)]]/12),"")</f>
        <v/>
      </c>
      <c r="G76" s="133" t="str">
        <f ca="1">IF(Tabela1[[#This Row],[TEMPO DE CASA (DIAS)]]="","SEM DADOS",IF(Tabela1[[#This Row],[TEMPO DE CASA (DIAS)]]&gt;180,"&gt; 6 MESES","&lt; 6 MESES"))</f>
        <v>SEM DADOS</v>
      </c>
      <c r="H76" s="12" t="str">
        <f t="shared" si="8"/>
        <v>JANGeniffer Maciel5</v>
      </c>
      <c r="I76" s="12" t="str">
        <f>IFERROR(VLOOKUP(Tabela1[[#This Row],[MATRICULA]],'BD Campos'!A:F,7,0),"")</f>
        <v/>
      </c>
      <c r="J76" s="11">
        <v>5</v>
      </c>
      <c r="K76" s="11" t="s">
        <v>669</v>
      </c>
      <c r="L76" s="136">
        <v>10500</v>
      </c>
      <c r="M76" s="12" t="str">
        <f>IFERROR(VLOOKUP(Tabela1[[#This Row],[MATRICULA]],'BD Campos'!A:B,2,0),"")</f>
        <v>LUANA BEATRIZ FAUSTINO</v>
      </c>
      <c r="N76" s="20">
        <f>IFERROR(AVERAGE(Tabela1[[#This Row],[A1]:[A4]]),"")</f>
        <v>9.8950000000000031</v>
      </c>
      <c r="O76" s="20" t="str">
        <f>IFERROR(IF(Tabela1[[#This Row],[SETOR]]="RECEPTIVO","",AVERAGE(Tabela1[[#This Row],[A5]:[A6]])),"")</f>
        <v/>
      </c>
      <c r="P76" s="20" t="str">
        <f>IFERROR(IF(Tabela1[[#This Row],[STATUS]]="INATIVO","INATIVO",IF(Tabela1[[#This Row],[STATUS]]="QRT","INATIVO",IF(Tabela1[[#This Row],[OPERACIONAL]]&gt;7.99999,"BOM","RUIM"))),"")</f>
        <v>BOM</v>
      </c>
      <c r="Q76" s="21" t="s">
        <v>667</v>
      </c>
      <c r="R76" s="12" t="s">
        <v>683</v>
      </c>
      <c r="S76" s="12" t="s">
        <v>680</v>
      </c>
      <c r="T76" s="12" t="s">
        <v>223</v>
      </c>
      <c r="U7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7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76" s="12">
        <f>IF(AND(Tabela1[[#This Row],[SETOR]]="UTI",Tabela1[[#This Row],[M]]&lt;&gt;""),1,IF(AND(Tabela1[[#This Row],[SETOR]]="UTI (RJ)",Tabela1[[#This Row],[M]]&lt;&gt;""),1.5,0))</f>
        <v>0</v>
      </c>
      <c r="X76" s="12">
        <f>IF(AND(Tabela1[[#This Row],[SETOR]]="UTI",Tabela1[[#This Row],[PA2]]&lt;&gt;""),1,IF(AND(Tabela1[[#This Row],[SETOR]]="UTI (RJ)",Tabela1[[#This Row],[PA2]]&lt;&gt;""),0,0))</f>
        <v>0</v>
      </c>
      <c r="Y76" s="12">
        <f>IF(AND(Tabela1[[#This Row],[SETOR]]="UTI",Tabela1[[#This Row],[C]]&lt;&gt;""),1,IF(AND(Tabela1[[#This Row],[SETOR]]="UTI (RJ)",Tabela1[[#This Row],[C]]&lt;&gt;""),1.5,0))</f>
        <v>0</v>
      </c>
      <c r="Z76" s="12">
        <f>IF(AND(Tabela1[[#This Row],[SETOR]]="UTI",Tabela1[[#This Row],[PL]]&lt;&gt;""),1,IF(AND(Tabela1[[#This Row],[SETOR]]="UTI (RJ)",Tabela1[[#This Row],[PL]]&lt;&gt;""),1,0))</f>
        <v>0</v>
      </c>
      <c r="AA76" s="21">
        <f>IFERROR(VLOOKUP(Tabela1[[#This Row],[MÊS]]&amp;Tabela1[[#This Row],[MATRICULA]]&amp;"1"&amp;Tabela1[[#This Row],[SETOR]]&amp;"PADRÃO",BD!B:AF,31,0),"")</f>
        <v>9.7900000000000027</v>
      </c>
      <c r="AB76" s="21">
        <f>IFERROR(VLOOKUP(Tabela1[[#This Row],[MÊS]]&amp;Tabela1[[#This Row],[MATRICULA]]&amp;"2"&amp;Tabela1[[#This Row],[SETOR]]&amp;"PADRÃO",BD!B:AF,31,0),"")</f>
        <v>10.000000000000002</v>
      </c>
      <c r="AC76" s="21" t="str">
        <f>IFERROR(VLOOKUP(Tabela1[[#This Row],[MÊS]]&amp;Tabela1[[#This Row],[MATRICULA]]&amp;"3"&amp;Tabela1[[#This Row],[SETOR]]&amp;"PADRÃO",BD!B:AF,31,0),"")</f>
        <v/>
      </c>
      <c r="AD76" s="21" t="str">
        <f>IFERROR(VLOOKUP(Tabela1[[#This Row],[MÊS]]&amp;Tabela1[[#This Row],[MATRICULA]]&amp;"4"&amp;Tabela1[[#This Row],[SETOR]]&amp;"PADRÃO",BD!B:AF,25,0),"")</f>
        <v/>
      </c>
      <c r="AE76" s="21" t="str">
        <f>IFERROR(VLOOKUP(Tabela1[[#This Row],[MÊS]]&amp;Tabela1[[#This Row],[MATRICULA]]&amp;"5"&amp;Tabela1[[#This Row],[SETOR]]&amp;"PADRÃO",BD!B:AF,31,0),"")</f>
        <v/>
      </c>
      <c r="AF76" s="21" t="str">
        <f>IFERROR(VLOOKUP(Tabela1[[#This Row],[MÊS]]&amp;Tabela1[[#This Row],[MATRICULA]]&amp;"6"&amp;Tabela1[[#This Row],[SETOR]]&amp;"PADRÃO",BD!B:AF,31,0),"")</f>
        <v/>
      </c>
      <c r="AG76" s="21" t="str">
        <f>IFERROR(VLOOKUP(Tabela1[[#This Row],[MÊS]]&amp;Tabela1[[#This Row],[MATRICULA]]&amp;"7"&amp;Tabela1[[#This Row],[SETOR]]&amp;"PADRÃO",BD!B:AF,31,0),"")</f>
        <v/>
      </c>
      <c r="AH76" s="21" t="str">
        <f>IFERROR(VLOOKUP(Tabela1[[#This Row],[MÊS]]&amp;Tabela1[[#This Row],[ID]]&amp;Tabela1[[#This Row],[MATRICULA]]&amp;"Receptiva"&amp;Tabela1[[#This Row],[SETOR]],BD!A:AF,31,0),"")</f>
        <v/>
      </c>
      <c r="AI76" s="21" t="str">
        <f>IFERROR(VLOOKUP(Tabela1[[#This Row],[MÊS]]&amp;Tabela1[[#This Row],[ID]]&amp;Tabela1[[#This Row],[MATRICULA]]&amp;"Receptiva 2"&amp;Tabela1[[#This Row],[SETOR]],BD!A:AF,31,0),"")</f>
        <v/>
      </c>
      <c r="AJ76" s="21" t="str">
        <f>IFERROR(VLOOKUP(Tabela1[[#This Row],[MÊS]]&amp;Tabela1[[#This Row],[ID]]&amp;Tabela1[[#This Row],[MATRICULA]]&amp;"Receptiva 3"&amp;Tabela1[[#This Row],[SETOR]],BD!A:AF,31,0),"")</f>
        <v/>
      </c>
      <c r="AK76" s="21" t="str">
        <f>IFERROR(VLOOKUP(Tabela1[[#This Row],[MÊS]]&amp;Tabela1[[#This Row],[ID]]&amp;Tabela1[[#This Row],[MATRICULA]]&amp;"Receptiva 4"&amp;Tabela1[[#This Row],[SETOR]],BD!A:AF,31,0),"")</f>
        <v/>
      </c>
      <c r="AL76" s="21" t="str">
        <f>IFERROR(VLOOKUP(Tabela1[[#This Row],[MÊS]]&amp;Tabela1[[#This Row],[MATRICULA]]&amp;"Motorista"&amp;Tabela1[[#This Row],[SETOR]],BD!A:AF,31,0),"")</f>
        <v/>
      </c>
      <c r="AM76" s="21" t="str">
        <f>IFERROR(VLOOKUP(Tabela1[[#This Row],[MÊS]]&amp;Tabela1[[#This Row],[ID]]&amp;Tabela1[[#This Row],[MATRICULA]]&amp;"Motorista 2"&amp;Tabela1[[#This Row],[SETOR]],BD!A:AF,26,0),"")</f>
        <v/>
      </c>
      <c r="AN76" s="21" t="str">
        <f>IFERROR(VLOOKUP(Tabela1[[#This Row],[MÊS]]&amp;Tabela1[[#This Row],[ID]]&amp;Tabela1[[#This Row],[MATRICULA]]&amp;"Motorista 3"&amp;Tabela1[[#This Row],[SETOR]],BD!A:AF,26,0),"")</f>
        <v/>
      </c>
      <c r="AO76" s="21" t="str">
        <f>IFERROR(VLOOKUP(Tabela1[[#This Row],[MÊS]]&amp;Tabela1[[#This Row],[ID]]&amp;Tabela1[[#This Row],[MATRICULA]]&amp;"Motorista 4"&amp;Tabela1[[#This Row],[SETOR]],BD!A:AF,26,0),"")</f>
        <v/>
      </c>
      <c r="AP76" s="21" t="str">
        <f>IFERROR(VLOOKUP(Tabela1[[#This Row],[MÊS]]&amp;Tabela1[[#This Row],[MATRICULA]]&amp;"Ponto de Apoio"&amp;Tabela1[[#This Row],[SETOR]],BD!A:AF,31,0),"")</f>
        <v/>
      </c>
      <c r="AQ76" s="21" t="str">
        <f>IFERROR(VLOOKUP(Tabela1[[#This Row],[MÊS]]&amp;Tabela1[[#This Row],[ID]]&amp;Tabela1[[#This Row],[MATRICULA]]&amp;"Ponto de Apoio 2"&amp;Tabela1[[#This Row],[SETOR]],BD!A:AF,26,0),"")</f>
        <v/>
      </c>
      <c r="AR76" s="36" t="str">
        <f>IFERROR(VLOOKUP(Tabela1[[#This Row],[MÊS]]&amp;Tabela1[[#This Row],[ID]]&amp;Tabela1[[#This Row],[MATRICULA]]&amp;"Ponto de Apoio 3"&amp;Tabela1[[#This Row],[SETOR]],BD!A:AF,26,0),"")</f>
        <v/>
      </c>
      <c r="AS76" s="36" t="str">
        <f>IFERROR(VLOOKUP(Tabela1[[#This Row],[MÊS]]&amp;Tabela1[[#This Row],[ID]]&amp;Tabela1[[#This Row],[MATRICULA]]&amp;"Ponto de Apoio 4"&amp;Tabela1[[#This Row],[SETOR]],BD!A:AF,26,0),"")</f>
        <v/>
      </c>
      <c r="AT76" s="21" t="str">
        <f>IFERROR(VLOOKUP(Tabela1[[#This Row],[MÊS]]&amp;Tabela1[[#This Row],[MATRICULA]]&amp;"Cliente"&amp;Tabela1[[#This Row],[SETOR]],BD!A:AF,31,0),"")</f>
        <v/>
      </c>
      <c r="AU76" s="21" t="str">
        <f>IFERROR(VLOOKUP(Tabela1[[#This Row],[MÊS]]&amp;Tabela1[[#This Row],[ID]]&amp;Tabela1[[#This Row],[MATRICULA]]&amp;"Cliente 2"&amp;Tabela1[[#This Row],[SETOR]],BD!A:AF,26,0),"")</f>
        <v/>
      </c>
      <c r="AX76" s="21" t="str">
        <f>IFERROR(VLOOKUP(Tabela1[[#This Row],[MÊS]]&amp;Tabela1[[#This Row],[MATRICULA]]&amp;"Policia"&amp;Tabela1[[#This Row],[SETOR]],BD!A:AF,31,0),"")</f>
        <v/>
      </c>
      <c r="AY76" s="21" t="str">
        <f>IFERROR(VLOOKUP(Tabela1[[#This Row],[MÊS]]&amp;Tabela1[[#This Row],[ID]]&amp;Tabela1[[#This Row],[MATRICULA]]&amp;"Policia 2"&amp;Tabela1[[#This Row],[SETOR]],BD!A:AF,26,0),"")</f>
        <v/>
      </c>
      <c r="AZ76" s="36" t="str">
        <f>IFERROR(VLOOKUP(Tabela1[[#This Row],[MÊS]]&amp;Tabela1[[#This Row],[ID]]&amp;Tabela1[[#This Row],[MATRICULA]]&amp;"Policia 3"&amp;Tabela1[[#This Row],[SETOR]],BD!A:AF,26,0),"")</f>
        <v/>
      </c>
      <c r="BA76" s="36" t="str">
        <f>IFERROR(VLOOKUP(Tabela1[[#This Row],[MÊS]]&amp;Tabela1[[#This Row],[ID]]&amp;Tabela1[[#This Row],[MATRICULA]]&amp;"Policia 4"&amp;Tabela1[[#This Row],[SETOR]],BD!A:AF,26,0),"")</f>
        <v/>
      </c>
      <c r="BB7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76" s="21" t="str">
        <f>IFERROR(AVERAGE(Tabela1[[#This Row],[M]:[M4]]),"")</f>
        <v/>
      </c>
      <c r="BD76" s="21" t="str">
        <f>IFERROR(AVERAGE(Tabela1[[#This Row],[C]:[C4]]),"")</f>
        <v/>
      </c>
      <c r="BE76" s="21" t="str">
        <f>IFERROR(AVERAGE(Tabela1[[#This Row],[PA2]:[PA 4]]),"")</f>
        <v/>
      </c>
      <c r="BF76" s="21" t="str">
        <f>IFERROR(AVERAGE(Tabela1[[#This Row],[PL]:[PL4]]),"")</f>
        <v/>
      </c>
      <c r="BG76" s="35" t="str">
        <f>IFERROR(VLOOKUP(Tabela1[[#This Row],[MÊS]]&amp;Tabela1[[#This Row],[MATRICULA]],#REF!,2,0),"")</f>
        <v/>
      </c>
      <c r="BH76" s="35" t="str">
        <f>IFERROR(VLOOKUP(Tabela1[[#This Row],[MÊS]]&amp;Tabela1[[#This Row],[MATRICULA]],#REF!,2,0),"")</f>
        <v/>
      </c>
      <c r="BI76" s="35" t="str">
        <f>IFERROR(VLOOKUP(Tabela1[[#This Row],[MÊS]]&amp;Tabela1[[#This Row],[MATRICULA]],#REF!,2,0),"")</f>
        <v/>
      </c>
      <c r="BJ76" s="35" t="str">
        <f>IFERROR(VLOOKUP(Tabela1[[#This Row],[MÊS]]&amp;Tabela1[[#This Row],[MATRICULA]],#REF!,2,0),"")</f>
        <v/>
      </c>
      <c r="BK76" s="35" t="str">
        <f>IFERROR(VLOOKUP(Tabela1[[#This Row],[MÊS]]&amp;Tabela1[[#This Row],[MATRICULA]],#REF!,2,0),"")</f>
        <v/>
      </c>
      <c r="BL76" s="21">
        <f>COUNTIF(Tabela1[[#This Row],[MOT2]:[RECEPTIVA]],"NÃO ENCONTRADA")</f>
        <v>0</v>
      </c>
      <c r="BM76" s="135" t="str">
        <f>IFERROR(VLOOKUP(Tabela1[[#This Row],[MÊS]]&amp;Tabela1[[#This Row],[ID]]&amp;Tabela1[[#This Row],[MATRICULA]]&amp;"Motorista"&amp;Tabela1[[#This Row],[SETOR]],BD!A:AF,13,0),"")</f>
        <v/>
      </c>
      <c r="BN76" s="135" t="str">
        <f>IFERROR(VLOOKUP(Tabela1[[#This Row],[MÊS]]&amp;Tabela1[[#This Row],[ID]]&amp;Tabela1[[#This Row],[MATRICULA]]&amp;"Motorista 2"&amp;Tabela1[[#This Row],[SETOR]],BD!A:AF,13,0),"")</f>
        <v/>
      </c>
      <c r="BO76" s="135" t="str">
        <f>IFERROR(VLOOKUP(Tabela1[[#This Row],[MÊS]]&amp;Tabela1[[#This Row],[ID]]&amp;Tabela1[[#This Row],[MATRICULA]]&amp;"Motorista 3"&amp;Tabela1[[#This Row],[SETOR]],BD!A:AF,13,0),"")</f>
        <v/>
      </c>
      <c r="BP76" s="135" t="str">
        <f>IFERROR(VLOOKUP(Tabela1[[#This Row],[MÊS]]&amp;Tabela1[[#This Row],[ID]]&amp;Tabela1[[#This Row],[MATRICULA]]&amp;"Motorista 4"&amp;Tabela1[[#This Row],[SETOR]],BD!A:AF,13,0),"")</f>
        <v/>
      </c>
      <c r="BQ76" s="135" t="str">
        <f>IFERROR(AVERAGE(Tabela1[[#This Row],[DMOT]:[DMOT4]]),"")</f>
        <v/>
      </c>
      <c r="BR76" s="135" t="str">
        <f>IFERROR(VLOOKUP(Tabela1[[#This Row],[MÊS]]&amp;Tabela1[[#This Row],[ID]]&amp;Tabela1[[#This Row],[MATRICULA]]&amp;"Ponto de Apoio"&amp;Tabela1[[#This Row],[SETOR]],BD!A:AF,13,0),"")</f>
        <v/>
      </c>
      <c r="BS76" s="135" t="str">
        <f>IFERROR(VLOOKUP(Tabela1[[#This Row],[MÊS]]&amp;Tabela1[[#This Row],[ID]]&amp;Tabela1[[#This Row],[MATRICULA]]&amp;"Ponto de Apoio 2"&amp;Tabela1[[#This Row],[SETOR]],BD!A:AF,13,0),"")</f>
        <v/>
      </c>
      <c r="BT76" s="135" t="str">
        <f>IFERROR(VLOOKUP(Tabela1[[#This Row],[MÊS]]&amp;Tabela1[[#This Row],[ID]]&amp;Tabela1[[#This Row],[MATRICULA]]&amp;"Ponto de Apoio 3"&amp;Tabela1[[#This Row],[SETOR]],BD!A:AF,13,0),"")</f>
        <v/>
      </c>
      <c r="BU76" s="135" t="str">
        <f>IFERROR(VLOOKUP(Tabela1[[#This Row],[MÊS]]&amp;Tabela1[[#This Row],[ID]]&amp;Tabela1[[#This Row],[MATRICULA]]&amp;"Ponto de Apoio 4"&amp;Tabela1[[#This Row],[SETOR]],BD!A:AF,13,0),"")</f>
        <v/>
      </c>
      <c r="BV76" s="135" t="str">
        <f>IFERROR(AVERAGE(Tabela1[[#This Row],[DPA]:[DPA 4]]),"")</f>
        <v/>
      </c>
      <c r="BW76" s="135" t="str">
        <f>IFERROR(VLOOKUP(Tabela1[[#This Row],[MÊS]]&amp;Tabela1[[#This Row],[ID]]&amp;Tabela1[[#This Row],[MATRICULA]]&amp;"Cliente"&amp;Tabela1[[#This Row],[SETOR]],BD!A:AF,13,0),"")</f>
        <v/>
      </c>
      <c r="BX76" s="135" t="str">
        <f>IFERROR(VLOOKUP(Tabela1[[#This Row],[MÊS]]&amp;Tabela1[[#This Row],[ID]]&amp;Tabela1[[#This Row],[MATRICULA]]&amp;"cliente 2"&amp;Tabela1[[#This Row],[SETOR]],BD!A:AF,13,0),"")</f>
        <v/>
      </c>
      <c r="BY76" s="135" t="str">
        <f>IFERROR(VLOOKUP(Tabela1[[#This Row],[MÊS]]&amp;Tabela1[[#This Row],[ID]]&amp;Tabela1[[#This Row],[MATRICULA]]&amp;"cliente 3"&amp;Tabela1[[#This Row],[SETOR]],BD!A:AF,13,0),"")</f>
        <v/>
      </c>
      <c r="BZ76" s="135" t="str">
        <f>IFERROR(VLOOKUP(Tabela1[[#This Row],[MÊS]]&amp;Tabela1[[#This Row],[ID]]&amp;Tabela1[[#This Row],[MATRICULA]]&amp;"cliente 4"&amp;Tabela1[[#This Row],[SETOR]],BD!A:AF,13,0),"")</f>
        <v/>
      </c>
      <c r="CA76" s="135" t="str">
        <f>IFERROR(AVERAGE(Tabela1[[#This Row],[DCLI]:[DCLI 4]]),"")</f>
        <v/>
      </c>
      <c r="CB76" s="135" t="str">
        <f>IFERROR(VLOOKUP(Tabela1[[#This Row],[MÊS]]&amp;Tabela1[[#This Row],[ID]]&amp;Tabela1[[#This Row],[MATRICULA]]&amp;"Policia"&amp;Tabela1[[#This Row],[SETOR]],BD!A:AF,13,0),"")</f>
        <v/>
      </c>
      <c r="CC76" s="135" t="str">
        <f>IFERROR(VLOOKUP(Tabela1[[#This Row],[MÊS]]&amp;Tabela1[[#This Row],[ID]]&amp;Tabela1[[#This Row],[MATRICULA]]&amp;"Policia 2"&amp;Tabela1[[#This Row],[SETOR]],BD!A:AF,13,0),"")</f>
        <v/>
      </c>
      <c r="CD76" s="135"/>
      <c r="CE76" s="135"/>
      <c r="CF76" s="135" t="str">
        <f>IFERROR((AVERAGE(Tabela1[[#This Row],[DPOL1]:[DPOL4]])),"")</f>
        <v/>
      </c>
      <c r="CG76" s="21" t="str">
        <f>IFERROR(VLOOKUP(Tabela1[[#This Row],[ID]]&amp;Tabela1[[#This Row],[MÊS]]&amp;Tabela1[[#This Row],[MATRICULA]],#REF!,2,0),"")</f>
        <v/>
      </c>
      <c r="CH76" s="21" t="str">
        <f>IFERROR(VLOOKUP(Tabela1[[#This Row],[ID]]&amp;Tabela1[[#This Row],[MÊS]]&amp;Tabela1[[#This Row],[MATRICULA]],#REF!,2,0),"")</f>
        <v/>
      </c>
      <c r="CI76" s="21" t="str">
        <f>IFERROR(VLOOKUP(Tabela1[[#This Row],[MÊS]]&amp;Tabela1[[#This Row],[MATRICULA]],#REF!,2,0),"")</f>
        <v/>
      </c>
    </row>
    <row r="77" spans="1:87">
      <c r="A77" s="12" t="str">
        <f>Tabela1[[#This Row],[MÊS]]&amp;Tabela1[[#This Row],[MATRICULA]]&amp;Tabela1[[#This Row],[ID]]</f>
        <v>JAN111836</v>
      </c>
      <c r="B77" s="12" t="str">
        <f>Tabela1[[#This Row],[MÊS]]&amp;Tabela1[[#This Row],[ID]]&amp;Tabela1[[#This Row],[MATRICULA]]&amp;Tabela1[[#This Row],[SETOR]]</f>
        <v>JAN611183UTI</v>
      </c>
      <c r="C77" s="130" t="e">
        <f>VLOOKUP(Tabela1[[#This Row],[MATRICULA]],'BD Campos'!A:D,5,0)</f>
        <v>#REF!</v>
      </c>
      <c r="D77" s="133" t="str">
        <f ca="1">IFERROR(SUM(TODAY()-Tabela1[[#This Row],[ADMISSÃO]]),"")</f>
        <v/>
      </c>
      <c r="E77" s="11" t="str">
        <f ca="1">IFERROR(TRUNC(Tabela1[[#This Row],[TEMPO DE CASA (DIAS)]]/30),"")</f>
        <v/>
      </c>
      <c r="F77" s="32" t="str">
        <f ca="1">IFERROR(SUM(Tabela1[[#This Row],[TEMPO DE CASA (MESES)]]/12),"")</f>
        <v/>
      </c>
      <c r="G77" s="133" t="str">
        <f ca="1">IF(Tabela1[[#This Row],[TEMPO DE CASA (DIAS)]]="","SEM DADOS",IF(Tabela1[[#This Row],[TEMPO DE CASA (DIAS)]]&gt;180,"&gt; 6 MESES","&lt; 6 MESES"))</f>
        <v>SEM DADOS</v>
      </c>
      <c r="H77" s="12" t="str">
        <f t="shared" si="8"/>
        <v>JANGeniffer Maciel6</v>
      </c>
      <c r="I77" s="12" t="str">
        <f>IFERROR(VLOOKUP(Tabela1[[#This Row],[MATRICULA]],'BD Campos'!A:F,7,0),"")</f>
        <v/>
      </c>
      <c r="J77" s="11">
        <v>6</v>
      </c>
      <c r="K77" s="11" t="s">
        <v>669</v>
      </c>
      <c r="L77" s="136">
        <v>11183</v>
      </c>
      <c r="M77" s="12" t="str">
        <f>IFERROR(VLOOKUP(Tabela1[[#This Row],[MATRICULA]],'BD Campos'!A:B,2,0),"")</f>
        <v>LUCAS LUCIO CARDOSO</v>
      </c>
      <c r="N77" s="20">
        <f>IFERROR(AVERAGE(Tabela1[[#This Row],[A1]:[A4]]),"")</f>
        <v>0</v>
      </c>
      <c r="O77" s="20" t="str">
        <f>IFERROR(IF(Tabela1[[#This Row],[SETOR]]="RECEPTIVO","",AVERAGE(Tabela1[[#This Row],[A5]:[A6]])),"")</f>
        <v/>
      </c>
      <c r="P77" s="20" t="str">
        <f>IFERROR(IF(Tabela1[[#This Row],[STATUS]]="INATIVO","INATIVO",IF(Tabela1[[#This Row],[STATUS]]="QRT","INATIVO",IF(Tabela1[[#This Row],[OPERACIONAL]]&gt;7.99999,"BOM","RUIM"))),"")</f>
        <v>RUIM</v>
      </c>
      <c r="Q77" s="21" t="s">
        <v>667</v>
      </c>
      <c r="R77" s="12" t="s">
        <v>684</v>
      </c>
      <c r="S77" s="12" t="s">
        <v>680</v>
      </c>
      <c r="T77" s="12" t="s">
        <v>128</v>
      </c>
      <c r="U7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7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77" s="12">
        <v>1</v>
      </c>
      <c r="X77" s="12">
        <f>IF(AND(Tabela1[[#This Row],[SETOR]]="UTI",Tabela1[[#This Row],[PA2]]&lt;&gt;""),1,IF(AND(Tabela1[[#This Row],[SETOR]]="UTI (RJ)",Tabela1[[#This Row],[PA2]]&lt;&gt;""),0,0))</f>
        <v>0</v>
      </c>
      <c r="Y77" s="12">
        <f>IF(AND(Tabela1[[#This Row],[SETOR]]="UTI",Tabela1[[#This Row],[C]]&lt;&gt;""),1,IF(AND(Tabela1[[#This Row],[SETOR]]="UTI (RJ)",Tabela1[[#This Row],[C]]&lt;&gt;""),1.5,0))</f>
        <v>0</v>
      </c>
      <c r="Z77" s="12">
        <f>IF(AND(Tabela1[[#This Row],[SETOR]]="UTI",Tabela1[[#This Row],[PL]]&lt;&gt;""),1,IF(AND(Tabela1[[#This Row],[SETOR]]="UTI (RJ)",Tabela1[[#This Row],[PL]]&lt;&gt;""),1,0))</f>
        <v>0</v>
      </c>
      <c r="AA77" s="21">
        <f>IFERROR(VLOOKUP(Tabela1[[#This Row],[MÊS]]&amp;Tabela1[[#This Row],[MATRICULA]]&amp;"1"&amp;Tabela1[[#This Row],[SETOR]]&amp;"PADRÃO",BD!B:AF,31,0),"")</f>
        <v>0</v>
      </c>
      <c r="AB77" s="21">
        <f>IFERROR(VLOOKUP(Tabela1[[#This Row],[MÊS]]&amp;Tabela1[[#This Row],[MATRICULA]]&amp;"2"&amp;Tabela1[[#This Row],[SETOR]]&amp;"PADRÃO",BD!B:AF,31,0),"")</f>
        <v>0</v>
      </c>
      <c r="AC77" s="21" t="str">
        <f>IFERROR(VLOOKUP(Tabela1[[#This Row],[MÊS]]&amp;Tabela1[[#This Row],[MATRICULA]]&amp;"3"&amp;Tabela1[[#This Row],[SETOR]]&amp;"PADRÃO",BD!B:AF,31,0),"")</f>
        <v/>
      </c>
      <c r="AD77" s="21" t="str">
        <f>IFERROR(VLOOKUP(Tabela1[[#This Row],[MÊS]]&amp;Tabela1[[#This Row],[MATRICULA]]&amp;"4"&amp;Tabela1[[#This Row],[SETOR]]&amp;"PADRÃO",BD!B:AF,25,0),"")</f>
        <v/>
      </c>
      <c r="AE77" s="21" t="str">
        <f>IFERROR(VLOOKUP(Tabela1[[#This Row],[MÊS]]&amp;Tabela1[[#This Row],[MATRICULA]]&amp;"5"&amp;Tabela1[[#This Row],[SETOR]]&amp;"PADRÃO",BD!B:AF,31,0),"")</f>
        <v/>
      </c>
      <c r="AF77" s="21" t="str">
        <f>IFERROR(VLOOKUP(Tabela1[[#This Row],[MÊS]]&amp;Tabela1[[#This Row],[MATRICULA]]&amp;"6"&amp;Tabela1[[#This Row],[SETOR]]&amp;"PADRÃO",BD!B:AF,31,0),"")</f>
        <v/>
      </c>
      <c r="AG77" s="21" t="str">
        <f>IFERROR(VLOOKUP(Tabela1[[#This Row],[MÊS]]&amp;Tabela1[[#This Row],[MATRICULA]]&amp;"7"&amp;Tabela1[[#This Row],[SETOR]]&amp;"PADRÃO",BD!B:AF,31,0),"")</f>
        <v/>
      </c>
      <c r="AH77" s="21" t="str">
        <f>IFERROR(VLOOKUP(Tabela1[[#This Row],[MÊS]]&amp;Tabela1[[#This Row],[ID]]&amp;Tabela1[[#This Row],[MATRICULA]]&amp;"Receptiva"&amp;Tabela1[[#This Row],[SETOR]],BD!A:AF,31,0),"")</f>
        <v/>
      </c>
      <c r="AI77" s="21" t="str">
        <f>IFERROR(VLOOKUP(Tabela1[[#This Row],[MÊS]]&amp;Tabela1[[#This Row],[ID]]&amp;Tabela1[[#This Row],[MATRICULA]]&amp;"Receptiva 2"&amp;Tabela1[[#This Row],[SETOR]],BD!A:AF,31,0),"")</f>
        <v/>
      </c>
      <c r="AJ77" s="21" t="str">
        <f>IFERROR(VLOOKUP(Tabela1[[#This Row],[MÊS]]&amp;Tabela1[[#This Row],[ID]]&amp;Tabela1[[#This Row],[MATRICULA]]&amp;"Receptiva 3"&amp;Tabela1[[#This Row],[SETOR]],BD!A:AF,31,0),"")</f>
        <v/>
      </c>
      <c r="AK77" s="21" t="str">
        <f>IFERROR(VLOOKUP(Tabela1[[#This Row],[MÊS]]&amp;Tabela1[[#This Row],[ID]]&amp;Tabela1[[#This Row],[MATRICULA]]&amp;"Receptiva 4"&amp;Tabela1[[#This Row],[SETOR]],BD!A:AF,31,0),"")</f>
        <v/>
      </c>
      <c r="AL77" s="21" t="str">
        <f>IFERROR(VLOOKUP(Tabela1[[#This Row],[MÊS]]&amp;Tabela1[[#This Row],[MATRICULA]]&amp;"Motorista"&amp;Tabela1[[#This Row],[SETOR]],BD!A:AF,31,0),"")</f>
        <v/>
      </c>
      <c r="AM77" s="21" t="str">
        <f>IFERROR(VLOOKUP(Tabela1[[#This Row],[MÊS]]&amp;Tabela1[[#This Row],[ID]]&amp;Tabela1[[#This Row],[MATRICULA]]&amp;"Motorista 2"&amp;Tabela1[[#This Row],[SETOR]],BD!A:AF,26,0),"")</f>
        <v/>
      </c>
      <c r="AN77" s="21" t="str">
        <f>IFERROR(VLOOKUP(Tabela1[[#This Row],[MÊS]]&amp;Tabela1[[#This Row],[ID]]&amp;Tabela1[[#This Row],[MATRICULA]]&amp;"Motorista 3"&amp;Tabela1[[#This Row],[SETOR]],BD!A:AF,26,0),"")</f>
        <v/>
      </c>
      <c r="AO77" s="21" t="str">
        <f>IFERROR(VLOOKUP(Tabela1[[#This Row],[MÊS]]&amp;Tabela1[[#This Row],[ID]]&amp;Tabela1[[#This Row],[MATRICULA]]&amp;"Motorista 4"&amp;Tabela1[[#This Row],[SETOR]],BD!A:AF,26,0),"")</f>
        <v/>
      </c>
      <c r="AP77" s="21" t="str">
        <f>IFERROR(VLOOKUP(Tabela1[[#This Row],[MÊS]]&amp;Tabela1[[#This Row],[MATRICULA]]&amp;"Ponto de Apoio"&amp;Tabela1[[#This Row],[SETOR]],BD!A:AF,31,0),"")</f>
        <v/>
      </c>
      <c r="AQ77" s="21" t="str">
        <f>IFERROR(VLOOKUP(Tabela1[[#This Row],[MÊS]]&amp;Tabela1[[#This Row],[ID]]&amp;Tabela1[[#This Row],[MATRICULA]]&amp;"Ponto de Apoio 2"&amp;Tabela1[[#This Row],[SETOR]],BD!A:AF,26,0),"")</f>
        <v/>
      </c>
      <c r="AR77" s="36" t="str">
        <f>IFERROR(VLOOKUP(Tabela1[[#This Row],[MÊS]]&amp;Tabela1[[#This Row],[ID]]&amp;Tabela1[[#This Row],[MATRICULA]]&amp;"Ponto de Apoio 3"&amp;Tabela1[[#This Row],[SETOR]],BD!A:AF,26,0),"")</f>
        <v/>
      </c>
      <c r="AS77" s="36" t="str">
        <f>IFERROR(VLOOKUP(Tabela1[[#This Row],[MÊS]]&amp;Tabela1[[#This Row],[ID]]&amp;Tabela1[[#This Row],[MATRICULA]]&amp;"Ponto de Apoio 4"&amp;Tabela1[[#This Row],[SETOR]],BD!A:AF,26,0),"")</f>
        <v/>
      </c>
      <c r="AT77" s="21" t="str">
        <f>IFERROR(VLOOKUP(Tabela1[[#This Row],[MÊS]]&amp;Tabela1[[#This Row],[MATRICULA]]&amp;"Cliente"&amp;Tabela1[[#This Row],[SETOR]],BD!A:AF,31,0),"")</f>
        <v/>
      </c>
      <c r="AU77" s="21" t="str">
        <f>IFERROR(VLOOKUP(Tabela1[[#This Row],[MÊS]]&amp;Tabela1[[#This Row],[ID]]&amp;Tabela1[[#This Row],[MATRICULA]]&amp;"Cliente 2"&amp;Tabela1[[#This Row],[SETOR]],BD!A:AF,26,0),"")</f>
        <v/>
      </c>
      <c r="AX77" s="21" t="str">
        <f>IFERROR(VLOOKUP(Tabela1[[#This Row],[MÊS]]&amp;Tabela1[[#This Row],[MATRICULA]]&amp;"Policia"&amp;Tabela1[[#This Row],[SETOR]],BD!A:AF,31,0),"")</f>
        <v/>
      </c>
      <c r="AY77" s="21" t="str">
        <f>IFERROR(VLOOKUP(Tabela1[[#This Row],[MÊS]]&amp;Tabela1[[#This Row],[ID]]&amp;Tabela1[[#This Row],[MATRICULA]]&amp;"Policia 2"&amp;Tabela1[[#This Row],[SETOR]],BD!A:AF,26,0),"")</f>
        <v/>
      </c>
      <c r="AZ77" s="36" t="str">
        <f>IFERROR(VLOOKUP(Tabela1[[#This Row],[MÊS]]&amp;Tabela1[[#This Row],[ID]]&amp;Tabela1[[#This Row],[MATRICULA]]&amp;"Policia 3"&amp;Tabela1[[#This Row],[SETOR]],BD!A:AF,26,0),"")</f>
        <v/>
      </c>
      <c r="BA77" s="36" t="str">
        <f>IFERROR(VLOOKUP(Tabela1[[#This Row],[MÊS]]&amp;Tabela1[[#This Row],[ID]]&amp;Tabela1[[#This Row],[MATRICULA]]&amp;"Policia 4"&amp;Tabela1[[#This Row],[SETOR]],BD!A:AF,26,0),"")</f>
        <v/>
      </c>
      <c r="BB7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77" s="21" t="str">
        <f>IFERROR(AVERAGE(Tabela1[[#This Row],[M]:[M4]]),"")</f>
        <v/>
      </c>
      <c r="BD77" s="21" t="str">
        <f>IFERROR(AVERAGE(Tabela1[[#This Row],[C]:[C4]]),"")</f>
        <v/>
      </c>
      <c r="BE77" s="21" t="str">
        <f>IFERROR(AVERAGE(Tabela1[[#This Row],[PA2]:[PA 4]]),"")</f>
        <v/>
      </c>
      <c r="BF77" s="21" t="str">
        <f>IFERROR(AVERAGE(Tabela1[[#This Row],[PL]:[PL4]]),"")</f>
        <v/>
      </c>
      <c r="BG77" s="35" t="str">
        <f>IFERROR(VLOOKUP(Tabela1[[#This Row],[MÊS]]&amp;Tabela1[[#This Row],[MATRICULA]],#REF!,2,0),"")</f>
        <v/>
      </c>
      <c r="BH77" s="35" t="str">
        <f>IFERROR(VLOOKUP(Tabela1[[#This Row],[MÊS]]&amp;Tabela1[[#This Row],[MATRICULA]],#REF!,2,0),"")</f>
        <v/>
      </c>
      <c r="BI77" s="35" t="str">
        <f>IFERROR(VLOOKUP(Tabela1[[#This Row],[MÊS]]&amp;Tabela1[[#This Row],[MATRICULA]],#REF!,2,0),"")</f>
        <v/>
      </c>
      <c r="BJ77" s="35" t="str">
        <f>IFERROR(VLOOKUP(Tabela1[[#This Row],[MÊS]]&amp;Tabela1[[#This Row],[MATRICULA]],#REF!,2,0),"")</f>
        <v/>
      </c>
      <c r="BK77" s="35" t="str">
        <f>IFERROR(VLOOKUP(Tabela1[[#This Row],[MÊS]]&amp;Tabela1[[#This Row],[MATRICULA]],#REF!,2,0),"")</f>
        <v/>
      </c>
      <c r="BL77" s="21">
        <f>COUNTIF(Tabela1[[#This Row],[MOT2]:[RECEPTIVA]],"NÃO ENCONTRADA")</f>
        <v>0</v>
      </c>
      <c r="BM77" s="135" t="str">
        <f>IFERROR(VLOOKUP(Tabela1[[#This Row],[MÊS]]&amp;Tabela1[[#This Row],[ID]]&amp;Tabela1[[#This Row],[MATRICULA]]&amp;"Motorista"&amp;Tabela1[[#This Row],[SETOR]],BD!A:AF,13,0),"")</f>
        <v/>
      </c>
      <c r="BN77" s="135" t="str">
        <f>IFERROR(VLOOKUP(Tabela1[[#This Row],[MÊS]]&amp;Tabela1[[#This Row],[ID]]&amp;Tabela1[[#This Row],[MATRICULA]]&amp;"Motorista 2"&amp;Tabela1[[#This Row],[SETOR]],BD!A:AF,13,0),"")</f>
        <v/>
      </c>
      <c r="BO77" s="135" t="str">
        <f>IFERROR(VLOOKUP(Tabela1[[#This Row],[MÊS]]&amp;Tabela1[[#This Row],[ID]]&amp;Tabela1[[#This Row],[MATRICULA]]&amp;"Motorista 3"&amp;Tabela1[[#This Row],[SETOR]],BD!A:AF,13,0),"")</f>
        <v/>
      </c>
      <c r="BP77" s="135" t="str">
        <f>IFERROR(VLOOKUP(Tabela1[[#This Row],[MÊS]]&amp;Tabela1[[#This Row],[ID]]&amp;Tabela1[[#This Row],[MATRICULA]]&amp;"Motorista 4"&amp;Tabela1[[#This Row],[SETOR]],BD!A:AF,13,0),"")</f>
        <v/>
      </c>
      <c r="BQ77" s="135" t="str">
        <f>IFERROR(AVERAGE(Tabela1[[#This Row],[DMOT]:[DMOT4]]),"")</f>
        <v/>
      </c>
      <c r="BR77" s="135" t="str">
        <f>IFERROR(VLOOKUP(Tabela1[[#This Row],[MÊS]]&amp;Tabela1[[#This Row],[ID]]&amp;Tabela1[[#This Row],[MATRICULA]]&amp;"Ponto de Apoio"&amp;Tabela1[[#This Row],[SETOR]],BD!A:AF,13,0),"")</f>
        <v/>
      </c>
      <c r="BS77" s="135" t="str">
        <f>IFERROR(VLOOKUP(Tabela1[[#This Row],[MÊS]]&amp;Tabela1[[#This Row],[ID]]&amp;Tabela1[[#This Row],[MATRICULA]]&amp;"Ponto de Apoio 2"&amp;Tabela1[[#This Row],[SETOR]],BD!A:AF,13,0),"")</f>
        <v/>
      </c>
      <c r="BT77" s="135" t="str">
        <f>IFERROR(VLOOKUP(Tabela1[[#This Row],[MÊS]]&amp;Tabela1[[#This Row],[ID]]&amp;Tabela1[[#This Row],[MATRICULA]]&amp;"Ponto de Apoio 3"&amp;Tabela1[[#This Row],[SETOR]],BD!A:AF,13,0),"")</f>
        <v/>
      </c>
      <c r="BU77" s="135" t="str">
        <f>IFERROR(VLOOKUP(Tabela1[[#This Row],[MÊS]]&amp;Tabela1[[#This Row],[ID]]&amp;Tabela1[[#This Row],[MATRICULA]]&amp;"Ponto de Apoio 4"&amp;Tabela1[[#This Row],[SETOR]],BD!A:AF,13,0),"")</f>
        <v/>
      </c>
      <c r="BV77" s="135" t="str">
        <f>IFERROR(AVERAGE(Tabela1[[#This Row],[DPA]:[DPA 4]]),"")</f>
        <v/>
      </c>
      <c r="BW77" s="135" t="str">
        <f>IFERROR(VLOOKUP(Tabela1[[#This Row],[MÊS]]&amp;Tabela1[[#This Row],[ID]]&amp;Tabela1[[#This Row],[MATRICULA]]&amp;"Cliente"&amp;Tabela1[[#This Row],[SETOR]],BD!A:AF,13,0),"")</f>
        <v/>
      </c>
      <c r="BX77" s="135" t="str">
        <f>IFERROR(VLOOKUP(Tabela1[[#This Row],[MÊS]]&amp;Tabela1[[#This Row],[ID]]&amp;Tabela1[[#This Row],[MATRICULA]]&amp;"cliente 2"&amp;Tabela1[[#This Row],[SETOR]],BD!A:AF,13,0),"")</f>
        <v/>
      </c>
      <c r="BY77" s="135" t="str">
        <f>IFERROR(VLOOKUP(Tabela1[[#This Row],[MÊS]]&amp;Tabela1[[#This Row],[ID]]&amp;Tabela1[[#This Row],[MATRICULA]]&amp;"cliente 3"&amp;Tabela1[[#This Row],[SETOR]],BD!A:AF,13,0),"")</f>
        <v/>
      </c>
      <c r="BZ77" s="135" t="str">
        <f>IFERROR(VLOOKUP(Tabela1[[#This Row],[MÊS]]&amp;Tabela1[[#This Row],[ID]]&amp;Tabela1[[#This Row],[MATRICULA]]&amp;"cliente 4"&amp;Tabela1[[#This Row],[SETOR]],BD!A:AF,13,0),"")</f>
        <v/>
      </c>
      <c r="CA77" s="135" t="str">
        <f>IFERROR(AVERAGE(Tabela1[[#This Row],[DCLI]:[DCLI 4]]),"")</f>
        <v/>
      </c>
      <c r="CB77" s="135" t="str">
        <f>IFERROR(VLOOKUP(Tabela1[[#This Row],[MÊS]]&amp;Tabela1[[#This Row],[ID]]&amp;Tabela1[[#This Row],[MATRICULA]]&amp;"Policia"&amp;Tabela1[[#This Row],[SETOR]],BD!A:AF,13,0),"")</f>
        <v/>
      </c>
      <c r="CC77" s="135" t="str">
        <f>IFERROR(VLOOKUP(Tabela1[[#This Row],[MÊS]]&amp;Tabela1[[#This Row],[ID]]&amp;Tabela1[[#This Row],[MATRICULA]]&amp;"Policia 2"&amp;Tabela1[[#This Row],[SETOR]],BD!A:AF,13,0),"")</f>
        <v/>
      </c>
      <c r="CD77" s="135"/>
      <c r="CE77" s="135"/>
      <c r="CF77" s="135" t="str">
        <f>IFERROR((AVERAGE(Tabela1[[#This Row],[DPOL1]:[DPOL4]])),"")</f>
        <v/>
      </c>
      <c r="CG77" s="21" t="str">
        <f>IFERROR(VLOOKUP(Tabela1[[#This Row],[ID]]&amp;Tabela1[[#This Row],[MÊS]]&amp;Tabela1[[#This Row],[MATRICULA]],#REF!,2,0),"")</f>
        <v/>
      </c>
      <c r="CH77" s="21" t="str">
        <f>IFERROR(VLOOKUP(Tabela1[[#This Row],[ID]]&amp;Tabela1[[#This Row],[MÊS]]&amp;Tabela1[[#This Row],[MATRICULA]],#REF!,2,0),"")</f>
        <v/>
      </c>
      <c r="CI77" s="21" t="str">
        <f>IFERROR(VLOOKUP(Tabela1[[#This Row],[MÊS]]&amp;Tabela1[[#This Row],[MATRICULA]],#REF!,2,0),"")</f>
        <v/>
      </c>
    </row>
    <row r="78" spans="1:87">
      <c r="A78" s="12" t="str">
        <f>Tabela1[[#This Row],[MÊS]]&amp;Tabela1[[#This Row],[MATRICULA]]&amp;Tabela1[[#This Row],[ID]]</f>
        <v>JAN109207</v>
      </c>
      <c r="B78" s="12" t="str">
        <f>Tabela1[[#This Row],[MÊS]]&amp;Tabela1[[#This Row],[ID]]&amp;Tabela1[[#This Row],[MATRICULA]]&amp;Tabela1[[#This Row],[SETOR]]</f>
        <v>JAN710920UTI (RJ)</v>
      </c>
      <c r="C78" s="130" t="e">
        <f>VLOOKUP(Tabela1[[#This Row],[MATRICULA]],'BD Campos'!A:D,5,0)</f>
        <v>#REF!</v>
      </c>
      <c r="D78" s="133" t="str">
        <f ca="1">IFERROR(SUM(TODAY()-Tabela1[[#This Row],[ADMISSÃO]]),"")</f>
        <v/>
      </c>
      <c r="E78" s="11" t="str">
        <f ca="1">IFERROR(TRUNC(Tabela1[[#This Row],[TEMPO DE CASA (DIAS)]]/30),"")</f>
        <v/>
      </c>
      <c r="F78" s="32" t="str">
        <f ca="1">IFERROR(SUM(Tabela1[[#This Row],[TEMPO DE CASA (MESES)]]/12),"")</f>
        <v/>
      </c>
      <c r="G78" s="133" t="str">
        <f ca="1">IF(Tabela1[[#This Row],[TEMPO DE CASA (DIAS)]]="","SEM DADOS",IF(Tabela1[[#This Row],[TEMPO DE CASA (DIAS)]]&gt;180,"&gt; 6 MESES","&lt; 6 MESES"))</f>
        <v>SEM DADOS</v>
      </c>
      <c r="H78" s="12" t="str">
        <f t="shared" si="8"/>
        <v>JANGeniffer Maciel7</v>
      </c>
      <c r="I78" s="12" t="str">
        <f>IFERROR(VLOOKUP(Tabela1[[#This Row],[MATRICULA]],'BD Campos'!A:F,7,0),"")</f>
        <v/>
      </c>
      <c r="J78" s="11">
        <v>7</v>
      </c>
      <c r="K78" s="11" t="s">
        <v>669</v>
      </c>
      <c r="L78" s="136">
        <v>10920</v>
      </c>
      <c r="M78" s="12" t="str">
        <f>IFERROR(VLOOKUP(Tabela1[[#This Row],[MATRICULA]],'BD Campos'!A:B,2,0),"")</f>
        <v>LUCAS VENTURA SUHR</v>
      </c>
      <c r="N78" s="20">
        <f>IFERROR(AVERAGE(Tabela1[[#This Row],[A1]:[A4]]),"")</f>
        <v>9.2912499999999998</v>
      </c>
      <c r="O78" s="20" t="str">
        <f>IFERROR(IF(Tabela1[[#This Row],[SETOR]]="RECEPTIVO","",AVERAGE(Tabela1[[#This Row],[A5]:[A6]])),"")</f>
        <v/>
      </c>
      <c r="P78" s="20" t="str">
        <f>IFERROR(IF(Tabela1[[#This Row],[STATUS]]="INATIVO","INATIVO",IF(Tabela1[[#This Row],[STATUS]]="QRT","INATIVO",IF(Tabela1[[#This Row],[OPERACIONAL]]&gt;7.99999,"BOM","RUIM"))),"")</f>
        <v>BOM</v>
      </c>
      <c r="Q78" s="21" t="s">
        <v>667</v>
      </c>
      <c r="R78" s="12" t="s">
        <v>681</v>
      </c>
      <c r="S78" s="12" t="s">
        <v>680</v>
      </c>
      <c r="T78" s="12" t="s">
        <v>215</v>
      </c>
      <c r="U7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</v>
      </c>
      <c r="V7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0.02</v>
      </c>
      <c r="W78" s="12">
        <f>IF(AND(Tabela1[[#This Row],[SETOR]]="UTI",Tabela1[[#This Row],[M]]&lt;&gt;""),1,IF(AND(Tabela1[[#This Row],[SETOR]]="UTI (RJ)",Tabela1[[#This Row],[M]]&lt;&gt;""),1.5,0))</f>
        <v>1.5</v>
      </c>
      <c r="X78" s="12">
        <f>IF(AND(Tabela1[[#This Row],[SETOR]]="UTI",Tabela1[[#This Row],[PA2]]&lt;&gt;""),1,IF(AND(Tabela1[[#This Row],[SETOR]]="UTI (RJ)",Tabela1[[#This Row],[PA2]]&lt;&gt;""),0,0))</f>
        <v>0</v>
      </c>
      <c r="Y78" s="12">
        <v>1.5</v>
      </c>
      <c r="Z78" s="12">
        <f>IF(AND(Tabela1[[#This Row],[SETOR]]="UTI",Tabela1[[#This Row],[PL]]&lt;&gt;""),1,IF(AND(Tabela1[[#This Row],[SETOR]]="UTI (RJ)",Tabela1[[#This Row],[PL]]&lt;&gt;""),1,0))</f>
        <v>0</v>
      </c>
      <c r="AA78" s="21">
        <f>IFERROR(VLOOKUP(Tabela1[[#This Row],[MÊS]]&amp;Tabela1[[#This Row],[MATRICULA]]&amp;"1"&amp;Tabela1[[#This Row],[SETOR]]&amp;"PADRÃO",BD!B:AF,31,0),"")</f>
        <v>8.8974999999999991</v>
      </c>
      <c r="AB78" s="21">
        <f>IFERROR(VLOOKUP(Tabela1[[#This Row],[MÊS]]&amp;Tabela1[[#This Row],[MATRICULA]]&amp;"2"&amp;Tabela1[[#This Row],[SETOR]]&amp;"PADRÃO",BD!B:AF,31,0),"")</f>
        <v>9.6850000000000005</v>
      </c>
      <c r="AC78" s="21" t="str">
        <f>IFERROR(VLOOKUP(Tabela1[[#This Row],[MÊS]]&amp;Tabela1[[#This Row],[MATRICULA]]&amp;"3"&amp;Tabela1[[#This Row],[SETOR]]&amp;"PADRÃO",BD!B:AF,31,0),"")</f>
        <v/>
      </c>
      <c r="AD78" s="21" t="str">
        <f>IFERROR(VLOOKUP(Tabela1[[#This Row],[MÊS]]&amp;Tabela1[[#This Row],[MATRICULA]]&amp;"4"&amp;Tabela1[[#This Row],[SETOR]]&amp;"PADRÃO",BD!B:AF,25,0),"")</f>
        <v/>
      </c>
      <c r="AE78" s="21" t="str">
        <f>IFERROR(VLOOKUP(Tabela1[[#This Row],[MÊS]]&amp;Tabela1[[#This Row],[MATRICULA]]&amp;"5"&amp;Tabela1[[#This Row],[SETOR]]&amp;"PADRÃO",BD!B:AF,31,0),"")</f>
        <v/>
      </c>
      <c r="AF78" s="21" t="str">
        <f>IFERROR(VLOOKUP(Tabela1[[#This Row],[MÊS]]&amp;Tabela1[[#This Row],[MATRICULA]]&amp;"6"&amp;Tabela1[[#This Row],[SETOR]]&amp;"PADRÃO",BD!B:AF,31,0),"")</f>
        <v/>
      </c>
      <c r="AG78" s="21" t="str">
        <f>IFERROR(VLOOKUP(Tabela1[[#This Row],[MÊS]]&amp;Tabela1[[#This Row],[MATRICULA]]&amp;"7"&amp;Tabela1[[#This Row],[SETOR]]&amp;"PADRÃO",BD!B:AF,31,0),"")</f>
        <v/>
      </c>
      <c r="AH78" s="21" t="str">
        <f>IFERROR(VLOOKUP(Tabela1[[#This Row],[MÊS]]&amp;Tabela1[[#This Row],[ID]]&amp;Tabela1[[#This Row],[MATRICULA]]&amp;"Receptiva"&amp;Tabela1[[#This Row],[SETOR]],BD!A:AF,31,0),"")</f>
        <v/>
      </c>
      <c r="AI78" s="21" t="str">
        <f>IFERROR(VLOOKUP(Tabela1[[#This Row],[MÊS]]&amp;Tabela1[[#This Row],[ID]]&amp;Tabela1[[#This Row],[MATRICULA]]&amp;"Receptiva 2"&amp;Tabela1[[#This Row],[SETOR]],BD!A:AF,31,0),"")</f>
        <v/>
      </c>
      <c r="AJ78" s="21" t="str">
        <f>IFERROR(VLOOKUP(Tabela1[[#This Row],[MÊS]]&amp;Tabela1[[#This Row],[ID]]&amp;Tabela1[[#This Row],[MATRICULA]]&amp;"Receptiva 3"&amp;Tabela1[[#This Row],[SETOR]],BD!A:AF,31,0),"")</f>
        <v/>
      </c>
      <c r="AK78" s="21" t="str">
        <f>IFERROR(VLOOKUP(Tabela1[[#This Row],[MÊS]]&amp;Tabela1[[#This Row],[ID]]&amp;Tabela1[[#This Row],[MATRICULA]]&amp;"Receptiva 4"&amp;Tabela1[[#This Row],[SETOR]],BD!A:AF,31,0),"")</f>
        <v/>
      </c>
      <c r="AL78" s="21">
        <f>IFERROR(VLOOKUP(Tabela1[[#This Row],[MÊS]]&amp;Tabela1[[#This Row],[MATRICULA]]&amp;"Motorista"&amp;Tabela1[[#This Row],[SETOR]],BD!A:AF,31,0),"")</f>
        <v>0</v>
      </c>
      <c r="AM78" s="21" t="str">
        <f>IFERROR(VLOOKUP(Tabela1[[#This Row],[MÊS]]&amp;Tabela1[[#This Row],[ID]]&amp;Tabela1[[#This Row],[MATRICULA]]&amp;"Motorista 2"&amp;Tabela1[[#This Row],[SETOR]],BD!A:AF,26,0),"")</f>
        <v/>
      </c>
      <c r="AN78" s="21" t="str">
        <f>IFERROR(VLOOKUP(Tabela1[[#This Row],[MÊS]]&amp;Tabela1[[#This Row],[ID]]&amp;Tabela1[[#This Row],[MATRICULA]]&amp;"Motorista 3"&amp;Tabela1[[#This Row],[SETOR]],BD!A:AF,26,0),"")</f>
        <v/>
      </c>
      <c r="AO78" s="21" t="str">
        <f>IFERROR(VLOOKUP(Tabela1[[#This Row],[MÊS]]&amp;Tabela1[[#This Row],[ID]]&amp;Tabela1[[#This Row],[MATRICULA]]&amp;"Motorista 4"&amp;Tabela1[[#This Row],[SETOR]],BD!A:AF,26,0),"")</f>
        <v/>
      </c>
      <c r="AP78" s="21" t="str">
        <f>IFERROR(VLOOKUP(Tabela1[[#This Row],[MÊS]]&amp;Tabela1[[#This Row],[MATRICULA]]&amp;"Ponto de Apoio"&amp;Tabela1[[#This Row],[SETOR]],BD!A:AF,31,0),"")</f>
        <v/>
      </c>
      <c r="AQ78" s="21" t="str">
        <f>IFERROR(VLOOKUP(Tabela1[[#This Row],[MÊS]]&amp;Tabela1[[#This Row],[ID]]&amp;Tabela1[[#This Row],[MATRICULA]]&amp;"Ponto de Apoio 2"&amp;Tabela1[[#This Row],[SETOR]],BD!A:AF,26,0),"")</f>
        <v/>
      </c>
      <c r="AR78" s="36" t="str">
        <f>IFERROR(VLOOKUP(Tabela1[[#This Row],[MÊS]]&amp;Tabela1[[#This Row],[ID]]&amp;Tabela1[[#This Row],[MATRICULA]]&amp;"Ponto de Apoio 3"&amp;Tabela1[[#This Row],[SETOR]],BD!A:AF,26,0),"")</f>
        <v/>
      </c>
      <c r="AS78" s="36" t="str">
        <f>IFERROR(VLOOKUP(Tabela1[[#This Row],[MÊS]]&amp;Tabela1[[#This Row],[ID]]&amp;Tabela1[[#This Row],[MATRICULA]]&amp;"Ponto de Apoio 4"&amp;Tabela1[[#This Row],[SETOR]],BD!A:AF,26,0),"")</f>
        <v/>
      </c>
      <c r="AT78" s="21" t="str">
        <f>IFERROR(VLOOKUP(Tabela1[[#This Row],[MÊS]]&amp;Tabela1[[#This Row],[MATRICULA]]&amp;"Cliente"&amp;Tabela1[[#This Row],[SETOR]],BD!A:AF,31,0),"")</f>
        <v/>
      </c>
      <c r="AU78" s="21" t="str">
        <f>IFERROR(VLOOKUP(Tabela1[[#This Row],[MÊS]]&amp;Tabela1[[#This Row],[ID]]&amp;Tabela1[[#This Row],[MATRICULA]]&amp;"Cliente 2"&amp;Tabela1[[#This Row],[SETOR]],BD!A:AF,26,0),"")</f>
        <v/>
      </c>
      <c r="AX78" s="21" t="str">
        <f>IFERROR(VLOOKUP(Tabela1[[#This Row],[MÊS]]&amp;Tabela1[[#This Row],[MATRICULA]]&amp;"Policia"&amp;Tabela1[[#This Row],[SETOR]],BD!A:AF,31,0),"")</f>
        <v/>
      </c>
      <c r="AY78" s="21" t="str">
        <f>IFERROR(VLOOKUP(Tabela1[[#This Row],[MÊS]]&amp;Tabela1[[#This Row],[ID]]&amp;Tabela1[[#This Row],[MATRICULA]]&amp;"Policia 2"&amp;Tabela1[[#This Row],[SETOR]],BD!A:AF,26,0),"")</f>
        <v/>
      </c>
      <c r="AZ78" s="36" t="str">
        <f>IFERROR(VLOOKUP(Tabela1[[#This Row],[MÊS]]&amp;Tabela1[[#This Row],[ID]]&amp;Tabela1[[#This Row],[MATRICULA]]&amp;"Policia 3"&amp;Tabela1[[#This Row],[SETOR]],BD!A:AF,26,0),"")</f>
        <v/>
      </c>
      <c r="BA78" s="36" t="str">
        <f>IFERROR(VLOOKUP(Tabela1[[#This Row],[MÊS]]&amp;Tabela1[[#This Row],[ID]]&amp;Tabela1[[#This Row],[MATRICULA]]&amp;"Policia 4"&amp;Tabela1[[#This Row],[SETOR]],BD!A:AF,26,0),"")</f>
        <v/>
      </c>
      <c r="BB7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78" s="21">
        <f>IFERROR(AVERAGE(Tabela1[[#This Row],[M]:[M4]]),"")</f>
        <v>0</v>
      </c>
      <c r="BD78" s="21" t="str">
        <f>IFERROR(AVERAGE(Tabela1[[#This Row],[C]:[C4]]),"")</f>
        <v/>
      </c>
      <c r="BE78" s="21" t="str">
        <f>IFERROR(AVERAGE(Tabela1[[#This Row],[PA2]:[PA 4]]),"")</f>
        <v/>
      </c>
      <c r="BF78" s="21" t="str">
        <f>IFERROR(AVERAGE(Tabela1[[#This Row],[PL]:[PL4]]),"")</f>
        <v/>
      </c>
      <c r="BG78" s="35" t="str">
        <f>IFERROR(VLOOKUP(Tabela1[[#This Row],[MÊS]]&amp;Tabela1[[#This Row],[MATRICULA]],#REF!,2,0),"")</f>
        <v/>
      </c>
      <c r="BH78" s="35" t="str">
        <f>IFERROR(VLOOKUP(Tabela1[[#This Row],[MÊS]]&amp;Tabela1[[#This Row],[MATRICULA]],#REF!,2,0),"")</f>
        <v/>
      </c>
      <c r="BI78" s="35" t="str">
        <f>IFERROR(VLOOKUP(Tabela1[[#This Row],[MÊS]]&amp;Tabela1[[#This Row],[MATRICULA]],#REF!,2,0),"")</f>
        <v/>
      </c>
      <c r="BJ78" s="35" t="str">
        <f>IFERROR(VLOOKUP(Tabela1[[#This Row],[MÊS]]&amp;Tabela1[[#This Row],[MATRICULA]],#REF!,2,0),"")</f>
        <v/>
      </c>
      <c r="BK78" s="35" t="str">
        <f>IFERROR(VLOOKUP(Tabela1[[#This Row],[MÊS]]&amp;Tabela1[[#This Row],[MATRICULA]],#REF!,2,0),"")</f>
        <v/>
      </c>
      <c r="BL78" s="21">
        <f>COUNTIF(Tabela1[[#This Row],[MOT2]:[RECEPTIVA]],"NÃO ENCONTRADA")</f>
        <v>0</v>
      </c>
      <c r="BM78" s="135" t="str">
        <f>IFERROR(VLOOKUP(Tabela1[[#This Row],[MÊS]]&amp;Tabela1[[#This Row],[ID]]&amp;Tabela1[[#This Row],[MATRICULA]]&amp;"Motorista"&amp;Tabela1[[#This Row],[SETOR]],BD!A:AF,13,0),"")</f>
        <v/>
      </c>
      <c r="BN78" s="135" t="str">
        <f>IFERROR(VLOOKUP(Tabela1[[#This Row],[MÊS]]&amp;Tabela1[[#This Row],[ID]]&amp;Tabela1[[#This Row],[MATRICULA]]&amp;"Motorista 2"&amp;Tabela1[[#This Row],[SETOR]],BD!A:AF,13,0),"")</f>
        <v/>
      </c>
      <c r="BO78" s="135" t="str">
        <f>IFERROR(VLOOKUP(Tabela1[[#This Row],[MÊS]]&amp;Tabela1[[#This Row],[ID]]&amp;Tabela1[[#This Row],[MATRICULA]]&amp;"Motorista 3"&amp;Tabela1[[#This Row],[SETOR]],BD!A:AF,13,0),"")</f>
        <v/>
      </c>
      <c r="BP78" s="135" t="str">
        <f>IFERROR(VLOOKUP(Tabela1[[#This Row],[MÊS]]&amp;Tabela1[[#This Row],[ID]]&amp;Tabela1[[#This Row],[MATRICULA]]&amp;"Motorista 4"&amp;Tabela1[[#This Row],[SETOR]],BD!A:AF,13,0),"")</f>
        <v/>
      </c>
      <c r="BQ78" s="135" t="str">
        <f>IFERROR(AVERAGE(Tabela1[[#This Row],[DMOT]:[DMOT4]]),"")</f>
        <v/>
      </c>
      <c r="BR78" s="135" t="str">
        <f>IFERROR(VLOOKUP(Tabela1[[#This Row],[MÊS]]&amp;Tabela1[[#This Row],[ID]]&amp;Tabela1[[#This Row],[MATRICULA]]&amp;"Ponto de Apoio"&amp;Tabela1[[#This Row],[SETOR]],BD!A:AF,13,0),"")</f>
        <v/>
      </c>
      <c r="BS78" s="135" t="str">
        <f>IFERROR(VLOOKUP(Tabela1[[#This Row],[MÊS]]&amp;Tabela1[[#This Row],[ID]]&amp;Tabela1[[#This Row],[MATRICULA]]&amp;"Ponto de Apoio 2"&amp;Tabela1[[#This Row],[SETOR]],BD!A:AF,13,0),"")</f>
        <v/>
      </c>
      <c r="BT78" s="135" t="str">
        <f>IFERROR(VLOOKUP(Tabela1[[#This Row],[MÊS]]&amp;Tabela1[[#This Row],[ID]]&amp;Tabela1[[#This Row],[MATRICULA]]&amp;"Ponto de Apoio 3"&amp;Tabela1[[#This Row],[SETOR]],BD!A:AF,13,0),"")</f>
        <v/>
      </c>
      <c r="BU78" s="135" t="str">
        <f>IFERROR(VLOOKUP(Tabela1[[#This Row],[MÊS]]&amp;Tabela1[[#This Row],[ID]]&amp;Tabela1[[#This Row],[MATRICULA]]&amp;"Ponto de Apoio 4"&amp;Tabela1[[#This Row],[SETOR]],BD!A:AF,13,0),"")</f>
        <v/>
      </c>
      <c r="BV78" s="135" t="str">
        <f>IFERROR(AVERAGE(Tabela1[[#This Row],[DPA]:[DPA 4]]),"")</f>
        <v/>
      </c>
      <c r="BW78" s="135" t="str">
        <f>IFERROR(VLOOKUP(Tabela1[[#This Row],[MÊS]]&amp;Tabela1[[#This Row],[ID]]&amp;Tabela1[[#This Row],[MATRICULA]]&amp;"Cliente"&amp;Tabela1[[#This Row],[SETOR]],BD!A:AF,13,0),"")</f>
        <v/>
      </c>
      <c r="BX78" s="135" t="str">
        <f>IFERROR(VLOOKUP(Tabela1[[#This Row],[MÊS]]&amp;Tabela1[[#This Row],[ID]]&amp;Tabela1[[#This Row],[MATRICULA]]&amp;"cliente 2"&amp;Tabela1[[#This Row],[SETOR]],BD!A:AF,13,0),"")</f>
        <v/>
      </c>
      <c r="BY78" s="135" t="str">
        <f>IFERROR(VLOOKUP(Tabela1[[#This Row],[MÊS]]&amp;Tabela1[[#This Row],[ID]]&amp;Tabela1[[#This Row],[MATRICULA]]&amp;"cliente 3"&amp;Tabela1[[#This Row],[SETOR]],BD!A:AF,13,0),"")</f>
        <v/>
      </c>
      <c r="BZ78" s="135" t="str">
        <f>IFERROR(VLOOKUP(Tabela1[[#This Row],[MÊS]]&amp;Tabela1[[#This Row],[ID]]&amp;Tabela1[[#This Row],[MATRICULA]]&amp;"cliente 4"&amp;Tabela1[[#This Row],[SETOR]],BD!A:AF,13,0),"")</f>
        <v/>
      </c>
      <c r="CA78" s="135" t="str">
        <f>IFERROR(AVERAGE(Tabela1[[#This Row],[DCLI]:[DCLI 4]]),"")</f>
        <v/>
      </c>
      <c r="CB78" s="135" t="str">
        <f>IFERROR(VLOOKUP(Tabela1[[#This Row],[MÊS]]&amp;Tabela1[[#This Row],[ID]]&amp;Tabela1[[#This Row],[MATRICULA]]&amp;"Policia"&amp;Tabela1[[#This Row],[SETOR]],BD!A:AF,13,0),"")</f>
        <v/>
      </c>
      <c r="CC78" s="135" t="str">
        <f>IFERROR(VLOOKUP(Tabela1[[#This Row],[MÊS]]&amp;Tabela1[[#This Row],[ID]]&amp;Tabela1[[#This Row],[MATRICULA]]&amp;"Policia 2"&amp;Tabela1[[#This Row],[SETOR]],BD!A:AF,13,0),"")</f>
        <v/>
      </c>
      <c r="CD78" s="135"/>
      <c r="CE78" s="135"/>
      <c r="CF78" s="135" t="str">
        <f>IFERROR((AVERAGE(Tabela1[[#This Row],[DPOL1]:[DPOL4]])),"")</f>
        <v/>
      </c>
      <c r="CG78" s="21" t="str">
        <f>IFERROR(VLOOKUP(Tabela1[[#This Row],[ID]]&amp;Tabela1[[#This Row],[MÊS]]&amp;Tabela1[[#This Row],[MATRICULA]],#REF!,2,0),"")</f>
        <v/>
      </c>
      <c r="CH78" s="21" t="str">
        <f>IFERROR(VLOOKUP(Tabela1[[#This Row],[ID]]&amp;Tabela1[[#This Row],[MÊS]]&amp;Tabela1[[#This Row],[MATRICULA]],#REF!,2,0),"")</f>
        <v/>
      </c>
      <c r="CI78" s="21" t="str">
        <f>IFERROR(VLOOKUP(Tabela1[[#This Row],[MÊS]]&amp;Tabela1[[#This Row],[MATRICULA]],#REF!,2,0),"")</f>
        <v/>
      </c>
    </row>
    <row r="79" spans="1:87">
      <c r="A79" s="12" t="str">
        <f>Tabela1[[#This Row],[MÊS]]&amp;Tabela1[[#This Row],[MATRICULA]]&amp;Tabela1[[#This Row],[ID]]</f>
        <v>JAN109198</v>
      </c>
      <c r="B79" s="12" t="str">
        <f>Tabela1[[#This Row],[MÊS]]&amp;Tabela1[[#This Row],[ID]]&amp;Tabela1[[#This Row],[MATRICULA]]&amp;Tabela1[[#This Row],[SETOR]]</f>
        <v>JAN810919UTI</v>
      </c>
      <c r="C79" s="130" t="e">
        <f>VLOOKUP(Tabela1[[#This Row],[MATRICULA]],'BD Campos'!A:D,5,0)</f>
        <v>#REF!</v>
      </c>
      <c r="D79" s="133" t="str">
        <f ca="1">IFERROR(SUM(TODAY()-Tabela1[[#This Row],[ADMISSÃO]]),"")</f>
        <v/>
      </c>
      <c r="E79" s="11" t="str">
        <f ca="1">IFERROR(TRUNC(Tabela1[[#This Row],[TEMPO DE CASA (DIAS)]]/30),"")</f>
        <v/>
      </c>
      <c r="F79" s="32" t="str">
        <f ca="1">IFERROR(SUM(Tabela1[[#This Row],[TEMPO DE CASA (MESES)]]/12),"")</f>
        <v/>
      </c>
      <c r="G79" s="133" t="str">
        <f ca="1">IF(Tabela1[[#This Row],[TEMPO DE CASA (DIAS)]]="","SEM DADOS",IF(Tabela1[[#This Row],[TEMPO DE CASA (DIAS)]]&gt;180,"&gt; 6 MESES","&lt; 6 MESES"))</f>
        <v>SEM DADOS</v>
      </c>
      <c r="H79" s="12" t="str">
        <f t="shared" si="8"/>
        <v>JANGeniffer Maciel8</v>
      </c>
      <c r="I79" s="12" t="str">
        <f>IFERROR(VLOOKUP(Tabela1[[#This Row],[MATRICULA]],'BD Campos'!A:F,7,0),"")</f>
        <v/>
      </c>
      <c r="J79" s="11">
        <v>8</v>
      </c>
      <c r="K79" s="11" t="s">
        <v>669</v>
      </c>
      <c r="L79" s="136">
        <v>10919</v>
      </c>
      <c r="M79" s="12" t="str">
        <f>IFERROR(VLOOKUP(Tabela1[[#This Row],[MATRICULA]],'BD Campos'!A:B,2,0),"")</f>
        <v>MATHEUS VENTURA SUHR</v>
      </c>
      <c r="N79" s="20">
        <f>IFERROR(AVERAGE(Tabela1[[#This Row],[A1]:[A4]]),"")</f>
        <v>10.000000000000002</v>
      </c>
      <c r="O79" s="20" t="str">
        <f>IFERROR(IF(Tabela1[[#This Row],[SETOR]]="RECEPTIVO","",AVERAGE(Tabela1[[#This Row],[A5]:[A6]])),"")</f>
        <v/>
      </c>
      <c r="P79" s="20" t="str">
        <f>IFERROR(IF(Tabela1[[#This Row],[STATUS]]="INATIVO","INATIVO",IF(Tabela1[[#This Row],[STATUS]]="QRT","INATIVO",IF(Tabela1[[#This Row],[OPERACIONAL]]&gt;7.99999,"BOM","RUIM"))),"")</f>
        <v>BOM</v>
      </c>
      <c r="Q79" s="21" t="s">
        <v>667</v>
      </c>
      <c r="R79" s="12" t="s">
        <v>685</v>
      </c>
      <c r="S79" s="12" t="s">
        <v>680</v>
      </c>
      <c r="T79" s="12" t="s">
        <v>128</v>
      </c>
      <c r="U7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0.9</v>
      </c>
      <c r="V7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-0.02</v>
      </c>
      <c r="W79" s="12">
        <f>IF(AND(Tabela1[[#This Row],[SETOR]]="UTI",Tabela1[[#This Row],[M]]&lt;&gt;""),1,IF(AND(Tabela1[[#This Row],[SETOR]]="UTI (RJ)",Tabela1[[#This Row],[M]]&lt;&gt;""),1.5,0))</f>
        <v>1</v>
      </c>
      <c r="X79" s="12">
        <v>1</v>
      </c>
      <c r="Y79" s="12">
        <f>IF(AND(Tabela1[[#This Row],[SETOR]]="UTI",Tabela1[[#This Row],[C]]&lt;&gt;""),1,IF(AND(Tabela1[[#This Row],[SETOR]]="UTI (RJ)",Tabela1[[#This Row],[C]]&lt;&gt;""),1.5,0))</f>
        <v>0</v>
      </c>
      <c r="Z79" s="12">
        <f>IF(AND(Tabela1[[#This Row],[SETOR]]="UTI",Tabela1[[#This Row],[PL]]&lt;&gt;""),1,IF(AND(Tabela1[[#This Row],[SETOR]]="UTI (RJ)",Tabela1[[#This Row],[PL]]&lt;&gt;""),1,0))</f>
        <v>0</v>
      </c>
      <c r="AA79" s="21">
        <f>IFERROR(VLOOKUP(Tabela1[[#This Row],[MÊS]]&amp;Tabela1[[#This Row],[MATRICULA]]&amp;"1"&amp;Tabela1[[#This Row],[SETOR]]&amp;"PADRÃO",BD!B:AF,31,0),"")</f>
        <v>10.000000000000002</v>
      </c>
      <c r="AB79" s="21">
        <f>IFERROR(VLOOKUP(Tabela1[[#This Row],[MÊS]]&amp;Tabela1[[#This Row],[MATRICULA]]&amp;"2"&amp;Tabela1[[#This Row],[SETOR]]&amp;"PADRÃO",BD!B:AF,31,0),"")</f>
        <v>10.000000000000002</v>
      </c>
      <c r="AC79" s="21" t="str">
        <f>IFERROR(VLOOKUP(Tabela1[[#This Row],[MÊS]]&amp;Tabela1[[#This Row],[MATRICULA]]&amp;"3"&amp;Tabela1[[#This Row],[SETOR]]&amp;"PADRÃO",BD!B:AF,31,0),"")</f>
        <v/>
      </c>
      <c r="AD79" s="21" t="str">
        <f>IFERROR(VLOOKUP(Tabela1[[#This Row],[MÊS]]&amp;Tabela1[[#This Row],[MATRICULA]]&amp;"4"&amp;Tabela1[[#This Row],[SETOR]]&amp;"PADRÃO",BD!B:AF,25,0),"")</f>
        <v/>
      </c>
      <c r="AE79" s="21" t="str">
        <f>IFERROR(VLOOKUP(Tabela1[[#This Row],[MÊS]]&amp;Tabela1[[#This Row],[MATRICULA]]&amp;"5"&amp;Tabela1[[#This Row],[SETOR]]&amp;"PADRÃO",BD!B:AF,31,0),"")</f>
        <v/>
      </c>
      <c r="AF79" s="21" t="str">
        <f>IFERROR(VLOOKUP(Tabela1[[#This Row],[MÊS]]&amp;Tabela1[[#This Row],[MATRICULA]]&amp;"6"&amp;Tabela1[[#This Row],[SETOR]]&amp;"PADRÃO",BD!B:AF,31,0),"")</f>
        <v/>
      </c>
      <c r="AG79" s="21" t="str">
        <f>IFERROR(VLOOKUP(Tabela1[[#This Row],[MÊS]]&amp;Tabela1[[#This Row],[MATRICULA]]&amp;"7"&amp;Tabela1[[#This Row],[SETOR]]&amp;"PADRÃO",BD!B:AF,31,0),"")</f>
        <v/>
      </c>
      <c r="AH79" s="21" t="str">
        <f>IFERROR(VLOOKUP(Tabela1[[#This Row],[MÊS]]&amp;Tabela1[[#This Row],[ID]]&amp;Tabela1[[#This Row],[MATRICULA]]&amp;"Receptiva"&amp;Tabela1[[#This Row],[SETOR]],BD!A:AF,31,0),"")</f>
        <v/>
      </c>
      <c r="AI79" s="21" t="str">
        <f>IFERROR(VLOOKUP(Tabela1[[#This Row],[MÊS]]&amp;Tabela1[[#This Row],[ID]]&amp;Tabela1[[#This Row],[MATRICULA]]&amp;"Receptiva 2"&amp;Tabela1[[#This Row],[SETOR]],BD!A:AF,31,0),"")</f>
        <v/>
      </c>
      <c r="AJ79" s="21" t="str">
        <f>IFERROR(VLOOKUP(Tabela1[[#This Row],[MÊS]]&amp;Tabela1[[#This Row],[ID]]&amp;Tabela1[[#This Row],[MATRICULA]]&amp;"Receptiva 3"&amp;Tabela1[[#This Row],[SETOR]],BD!A:AF,31,0),"")</f>
        <v/>
      </c>
      <c r="AK79" s="21" t="str">
        <f>IFERROR(VLOOKUP(Tabela1[[#This Row],[MÊS]]&amp;Tabela1[[#This Row],[ID]]&amp;Tabela1[[#This Row],[MATRICULA]]&amp;"Receptiva 4"&amp;Tabela1[[#This Row],[SETOR]],BD!A:AF,31,0),"")</f>
        <v/>
      </c>
      <c r="AL79" s="21">
        <f>IFERROR(VLOOKUP(Tabela1[[#This Row],[MÊS]]&amp;Tabela1[[#This Row],[MATRICULA]]&amp;"Motorista"&amp;Tabela1[[#This Row],[SETOR]],BD!A:AF,31,0),"")</f>
        <v>0</v>
      </c>
      <c r="AM79" s="21" t="str">
        <f>IFERROR(VLOOKUP(Tabela1[[#This Row],[MÊS]]&amp;Tabela1[[#This Row],[ID]]&amp;Tabela1[[#This Row],[MATRICULA]]&amp;"Motorista 2"&amp;Tabela1[[#This Row],[SETOR]],BD!A:AF,26,0),"")</f>
        <v/>
      </c>
      <c r="AN79" s="21" t="str">
        <f>IFERROR(VLOOKUP(Tabela1[[#This Row],[MÊS]]&amp;Tabela1[[#This Row],[ID]]&amp;Tabela1[[#This Row],[MATRICULA]]&amp;"Motorista 3"&amp;Tabela1[[#This Row],[SETOR]],BD!A:AF,26,0),"")</f>
        <v/>
      </c>
      <c r="AO79" s="21" t="str">
        <f>IFERROR(VLOOKUP(Tabela1[[#This Row],[MÊS]]&amp;Tabela1[[#This Row],[ID]]&amp;Tabela1[[#This Row],[MATRICULA]]&amp;"Motorista 4"&amp;Tabela1[[#This Row],[SETOR]],BD!A:AF,26,0),"")</f>
        <v/>
      </c>
      <c r="AP79" s="21" t="str">
        <f>IFERROR(VLOOKUP(Tabela1[[#This Row],[MÊS]]&amp;Tabela1[[#This Row],[MATRICULA]]&amp;"Ponto de Apoio"&amp;Tabela1[[#This Row],[SETOR]],BD!A:AF,31,0),"")</f>
        <v/>
      </c>
      <c r="AQ79" s="21" t="str">
        <f>IFERROR(VLOOKUP(Tabela1[[#This Row],[MÊS]]&amp;Tabela1[[#This Row],[ID]]&amp;Tabela1[[#This Row],[MATRICULA]]&amp;"Ponto de Apoio 2"&amp;Tabela1[[#This Row],[SETOR]],BD!A:AF,26,0),"")</f>
        <v/>
      </c>
      <c r="AR79" s="36" t="str">
        <f>IFERROR(VLOOKUP(Tabela1[[#This Row],[MÊS]]&amp;Tabela1[[#This Row],[ID]]&amp;Tabela1[[#This Row],[MATRICULA]]&amp;"Ponto de Apoio 3"&amp;Tabela1[[#This Row],[SETOR]],BD!A:AF,26,0),"")</f>
        <v/>
      </c>
      <c r="AS79" s="36" t="str">
        <f>IFERROR(VLOOKUP(Tabela1[[#This Row],[MÊS]]&amp;Tabela1[[#This Row],[ID]]&amp;Tabela1[[#This Row],[MATRICULA]]&amp;"Ponto de Apoio 4"&amp;Tabela1[[#This Row],[SETOR]],BD!A:AF,26,0),"")</f>
        <v/>
      </c>
      <c r="AT79" s="21" t="str">
        <f>IFERROR(VLOOKUP(Tabela1[[#This Row],[MÊS]]&amp;Tabela1[[#This Row],[MATRICULA]]&amp;"Cliente"&amp;Tabela1[[#This Row],[SETOR]],BD!A:AF,31,0),"")</f>
        <v/>
      </c>
      <c r="AU79" s="21" t="str">
        <f>IFERROR(VLOOKUP(Tabela1[[#This Row],[MÊS]]&amp;Tabela1[[#This Row],[ID]]&amp;Tabela1[[#This Row],[MATRICULA]]&amp;"Cliente 2"&amp;Tabela1[[#This Row],[SETOR]],BD!A:AF,26,0),"")</f>
        <v/>
      </c>
      <c r="AX79" s="21" t="str">
        <f>IFERROR(VLOOKUP(Tabela1[[#This Row],[MÊS]]&amp;Tabela1[[#This Row],[MATRICULA]]&amp;"Policia"&amp;Tabela1[[#This Row],[SETOR]],BD!A:AF,31,0),"")</f>
        <v/>
      </c>
      <c r="AY79" s="21" t="str">
        <f>IFERROR(VLOOKUP(Tabela1[[#This Row],[MÊS]]&amp;Tabela1[[#This Row],[ID]]&amp;Tabela1[[#This Row],[MATRICULA]]&amp;"Policia 2"&amp;Tabela1[[#This Row],[SETOR]],BD!A:AF,26,0),"")</f>
        <v/>
      </c>
      <c r="AZ79" s="36" t="str">
        <f>IFERROR(VLOOKUP(Tabela1[[#This Row],[MÊS]]&amp;Tabela1[[#This Row],[ID]]&amp;Tabela1[[#This Row],[MATRICULA]]&amp;"Policia 3"&amp;Tabela1[[#This Row],[SETOR]],BD!A:AF,26,0),"")</f>
        <v/>
      </c>
      <c r="BA79" s="36" t="str">
        <f>IFERROR(VLOOKUP(Tabela1[[#This Row],[MÊS]]&amp;Tabela1[[#This Row],[ID]]&amp;Tabela1[[#This Row],[MATRICULA]]&amp;"Policia 4"&amp;Tabela1[[#This Row],[SETOR]],BD!A:AF,26,0),"")</f>
        <v/>
      </c>
      <c r="BB7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79" s="21">
        <f>IFERROR(AVERAGE(Tabela1[[#This Row],[M]:[M4]]),"")</f>
        <v>0</v>
      </c>
      <c r="BD79" s="21" t="str">
        <f>IFERROR(AVERAGE(Tabela1[[#This Row],[C]:[C4]]),"")</f>
        <v/>
      </c>
      <c r="BE79" s="21" t="str">
        <f>IFERROR(AVERAGE(Tabela1[[#This Row],[PA2]:[PA 4]]),"")</f>
        <v/>
      </c>
      <c r="BF79" s="21" t="str">
        <f>IFERROR(AVERAGE(Tabela1[[#This Row],[PL]:[PL4]]),"")</f>
        <v/>
      </c>
      <c r="BG79" s="35" t="str">
        <f>IFERROR(VLOOKUP(Tabela1[[#This Row],[MÊS]]&amp;Tabela1[[#This Row],[MATRICULA]],#REF!,2,0),"")</f>
        <v/>
      </c>
      <c r="BH79" s="35" t="str">
        <f>IFERROR(VLOOKUP(Tabela1[[#This Row],[MÊS]]&amp;Tabela1[[#This Row],[MATRICULA]],#REF!,2,0),"")</f>
        <v/>
      </c>
      <c r="BI79" s="35" t="str">
        <f>IFERROR(VLOOKUP(Tabela1[[#This Row],[MÊS]]&amp;Tabela1[[#This Row],[MATRICULA]],#REF!,2,0),"")</f>
        <v/>
      </c>
      <c r="BJ79" s="35" t="str">
        <f>IFERROR(VLOOKUP(Tabela1[[#This Row],[MÊS]]&amp;Tabela1[[#This Row],[MATRICULA]],#REF!,2,0),"")</f>
        <v/>
      </c>
      <c r="BK79" s="35" t="str">
        <f>IFERROR(VLOOKUP(Tabela1[[#This Row],[MÊS]]&amp;Tabela1[[#This Row],[MATRICULA]],#REF!,2,0),"")</f>
        <v/>
      </c>
      <c r="BL79" s="21">
        <f>COUNTIF(Tabela1[[#This Row],[MOT2]:[RECEPTIVA]],"NÃO ENCONTRADA")</f>
        <v>0</v>
      </c>
      <c r="BM79" s="135" t="str">
        <f>IFERROR(VLOOKUP(Tabela1[[#This Row],[MÊS]]&amp;Tabela1[[#This Row],[ID]]&amp;Tabela1[[#This Row],[MATRICULA]]&amp;"Motorista"&amp;Tabela1[[#This Row],[SETOR]],BD!A:AF,13,0),"")</f>
        <v/>
      </c>
      <c r="BN79" s="135" t="str">
        <f>IFERROR(VLOOKUP(Tabela1[[#This Row],[MÊS]]&amp;Tabela1[[#This Row],[ID]]&amp;Tabela1[[#This Row],[MATRICULA]]&amp;"Motorista 2"&amp;Tabela1[[#This Row],[SETOR]],BD!A:AF,13,0),"")</f>
        <v/>
      </c>
      <c r="BO79" s="135" t="str">
        <f>IFERROR(VLOOKUP(Tabela1[[#This Row],[MÊS]]&amp;Tabela1[[#This Row],[ID]]&amp;Tabela1[[#This Row],[MATRICULA]]&amp;"Motorista 3"&amp;Tabela1[[#This Row],[SETOR]],BD!A:AF,13,0),"")</f>
        <v/>
      </c>
      <c r="BP79" s="135" t="str">
        <f>IFERROR(VLOOKUP(Tabela1[[#This Row],[MÊS]]&amp;Tabela1[[#This Row],[ID]]&amp;Tabela1[[#This Row],[MATRICULA]]&amp;"Motorista 4"&amp;Tabela1[[#This Row],[SETOR]],BD!A:AF,13,0),"")</f>
        <v/>
      </c>
      <c r="BQ79" s="135" t="str">
        <f>IFERROR(AVERAGE(Tabela1[[#This Row],[DMOT]:[DMOT4]]),"")</f>
        <v/>
      </c>
      <c r="BR79" s="135" t="str">
        <f>IFERROR(VLOOKUP(Tabela1[[#This Row],[MÊS]]&amp;Tabela1[[#This Row],[ID]]&amp;Tabela1[[#This Row],[MATRICULA]]&amp;"Ponto de Apoio"&amp;Tabela1[[#This Row],[SETOR]],BD!A:AF,13,0),"")</f>
        <v/>
      </c>
      <c r="BS79" s="135" t="str">
        <f>IFERROR(VLOOKUP(Tabela1[[#This Row],[MÊS]]&amp;Tabela1[[#This Row],[ID]]&amp;Tabela1[[#This Row],[MATRICULA]]&amp;"Ponto de Apoio 2"&amp;Tabela1[[#This Row],[SETOR]],BD!A:AF,13,0),"")</f>
        <v/>
      </c>
      <c r="BT79" s="135" t="str">
        <f>IFERROR(VLOOKUP(Tabela1[[#This Row],[MÊS]]&amp;Tabela1[[#This Row],[ID]]&amp;Tabela1[[#This Row],[MATRICULA]]&amp;"Ponto de Apoio 3"&amp;Tabela1[[#This Row],[SETOR]],BD!A:AF,13,0),"")</f>
        <v/>
      </c>
      <c r="BU79" s="135" t="str">
        <f>IFERROR(VLOOKUP(Tabela1[[#This Row],[MÊS]]&amp;Tabela1[[#This Row],[ID]]&amp;Tabela1[[#This Row],[MATRICULA]]&amp;"Ponto de Apoio 4"&amp;Tabela1[[#This Row],[SETOR]],BD!A:AF,13,0),"")</f>
        <v/>
      </c>
      <c r="BV79" s="135" t="str">
        <f>IFERROR(AVERAGE(Tabela1[[#This Row],[DPA]:[DPA 4]]),"")</f>
        <v/>
      </c>
      <c r="BW79" s="135" t="str">
        <f>IFERROR(VLOOKUP(Tabela1[[#This Row],[MÊS]]&amp;Tabela1[[#This Row],[ID]]&amp;Tabela1[[#This Row],[MATRICULA]]&amp;"Cliente"&amp;Tabela1[[#This Row],[SETOR]],BD!A:AF,13,0),"")</f>
        <v/>
      </c>
      <c r="BX79" s="135" t="str">
        <f>IFERROR(VLOOKUP(Tabela1[[#This Row],[MÊS]]&amp;Tabela1[[#This Row],[ID]]&amp;Tabela1[[#This Row],[MATRICULA]]&amp;"cliente 2"&amp;Tabela1[[#This Row],[SETOR]],BD!A:AF,13,0),"")</f>
        <v/>
      </c>
      <c r="BY79" s="135" t="str">
        <f>IFERROR(VLOOKUP(Tabela1[[#This Row],[MÊS]]&amp;Tabela1[[#This Row],[ID]]&amp;Tabela1[[#This Row],[MATRICULA]]&amp;"cliente 3"&amp;Tabela1[[#This Row],[SETOR]],BD!A:AF,13,0),"")</f>
        <v/>
      </c>
      <c r="BZ79" s="135" t="str">
        <f>IFERROR(VLOOKUP(Tabela1[[#This Row],[MÊS]]&amp;Tabela1[[#This Row],[ID]]&amp;Tabela1[[#This Row],[MATRICULA]]&amp;"cliente 4"&amp;Tabela1[[#This Row],[SETOR]],BD!A:AF,13,0),"")</f>
        <v/>
      </c>
      <c r="CA79" s="135" t="str">
        <f>IFERROR(AVERAGE(Tabela1[[#This Row],[DCLI]:[DCLI 4]]),"")</f>
        <v/>
      </c>
      <c r="CB79" s="135" t="str">
        <f>IFERROR(VLOOKUP(Tabela1[[#This Row],[MÊS]]&amp;Tabela1[[#This Row],[ID]]&amp;Tabela1[[#This Row],[MATRICULA]]&amp;"Policia"&amp;Tabela1[[#This Row],[SETOR]],BD!A:AF,13,0),"")</f>
        <v/>
      </c>
      <c r="CC79" s="135" t="str">
        <f>IFERROR(VLOOKUP(Tabela1[[#This Row],[MÊS]]&amp;Tabela1[[#This Row],[ID]]&amp;Tabela1[[#This Row],[MATRICULA]]&amp;"Policia 2"&amp;Tabela1[[#This Row],[SETOR]],BD!A:AF,13,0),"")</f>
        <v/>
      </c>
      <c r="CD79" s="135"/>
      <c r="CE79" s="135"/>
      <c r="CF79" s="135" t="str">
        <f>IFERROR((AVERAGE(Tabela1[[#This Row],[DPOL1]:[DPOL4]])),"")</f>
        <v/>
      </c>
      <c r="CG79" s="21" t="str">
        <f>IFERROR(VLOOKUP(Tabela1[[#This Row],[ID]]&amp;Tabela1[[#This Row],[MÊS]]&amp;Tabela1[[#This Row],[MATRICULA]],#REF!,2,0),"")</f>
        <v/>
      </c>
      <c r="CH79" s="21" t="str">
        <f>IFERROR(VLOOKUP(Tabela1[[#This Row],[ID]]&amp;Tabela1[[#This Row],[MÊS]]&amp;Tabela1[[#This Row],[MATRICULA]],#REF!,2,0),"")</f>
        <v/>
      </c>
      <c r="CI79" s="21" t="str">
        <f>IFERROR(VLOOKUP(Tabela1[[#This Row],[MÊS]]&amp;Tabela1[[#This Row],[MATRICULA]],#REF!,2,0),"")</f>
        <v/>
      </c>
    </row>
    <row r="80" spans="1:87">
      <c r="A80" s="12" t="str">
        <f>Tabela1[[#This Row],[MÊS]]&amp;Tabela1[[#This Row],[MATRICULA]]&amp;Tabela1[[#This Row],[ID]]</f>
        <v>JAN111859</v>
      </c>
      <c r="B80" s="12" t="str">
        <f>Tabela1[[#This Row],[MÊS]]&amp;Tabela1[[#This Row],[ID]]&amp;Tabela1[[#This Row],[MATRICULA]]&amp;Tabela1[[#This Row],[SETOR]]</f>
        <v>JAN911185UTI</v>
      </c>
      <c r="C80" s="130" t="e">
        <f>VLOOKUP(Tabela1[[#This Row],[MATRICULA]],'BD Campos'!A:D,5,0)</f>
        <v>#REF!</v>
      </c>
      <c r="D80" s="133" t="str">
        <f ca="1">IFERROR(SUM(TODAY()-Tabela1[[#This Row],[ADMISSÃO]]),"")</f>
        <v/>
      </c>
      <c r="E80" s="11" t="str">
        <f ca="1">IFERROR(TRUNC(Tabela1[[#This Row],[TEMPO DE CASA (DIAS)]]/30),"")</f>
        <v/>
      </c>
      <c r="F80" s="32" t="str">
        <f ca="1">IFERROR(SUM(Tabela1[[#This Row],[TEMPO DE CASA (MESES)]]/12),"")</f>
        <v/>
      </c>
      <c r="G80" s="133" t="str">
        <f ca="1">IF(Tabela1[[#This Row],[TEMPO DE CASA (DIAS)]]="","SEM DADOS",IF(Tabela1[[#This Row],[TEMPO DE CASA (DIAS)]]&gt;180,"&gt; 6 MESES","&lt; 6 MESES"))</f>
        <v>SEM DADOS</v>
      </c>
      <c r="H80" s="12" t="str">
        <f t="shared" si="8"/>
        <v>JANGeniffer Maciel9</v>
      </c>
      <c r="I80" s="12" t="str">
        <f>IFERROR(VLOOKUP(Tabela1[[#This Row],[MATRICULA]],'BD Campos'!A:F,7,0),"")</f>
        <v/>
      </c>
      <c r="J80" s="11">
        <v>9</v>
      </c>
      <c r="K80" s="11" t="s">
        <v>669</v>
      </c>
      <c r="L80" s="136">
        <v>11185</v>
      </c>
      <c r="M80" s="12" t="str">
        <f>IFERROR(VLOOKUP(Tabela1[[#This Row],[MATRICULA]],'BD Campos'!A:B,2,0),"")</f>
        <v>NATALI NEIVA DA SILVA</v>
      </c>
      <c r="N80" s="20" t="str">
        <f>IFERROR(AVERAGE(Tabela1[[#This Row],[A1]:[A4]]),"")</f>
        <v/>
      </c>
      <c r="O80" s="20" t="str">
        <f>IFERROR(IF(Tabela1[[#This Row],[SETOR]]="RECEPTIVO","",AVERAGE(Tabela1[[#This Row],[A5]:[A6]])),"")</f>
        <v/>
      </c>
      <c r="P80" s="20" t="str">
        <f>IFERROR(IF(Tabela1[[#This Row],[STATUS]]="INATIVO","INATIVO",IF(Tabela1[[#This Row],[STATUS]]="QRT","INATIVO",IF(Tabela1[[#This Row],[OPERACIONAL]]&gt;7.99999,"BOM","RUIM"))),"")</f>
        <v>INATIVO</v>
      </c>
      <c r="Q80" s="21" t="s">
        <v>670</v>
      </c>
      <c r="R80" s="12" t="s">
        <v>686</v>
      </c>
      <c r="S80" s="12" t="s">
        <v>680</v>
      </c>
      <c r="T80" s="12" t="s">
        <v>128</v>
      </c>
      <c r="U8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80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80" s="12">
        <f>IF(AND(Tabela1[[#This Row],[SETOR]]="UTI",Tabela1[[#This Row],[M]]&lt;&gt;""),1,IF(AND(Tabela1[[#This Row],[SETOR]]="UTI (RJ)",Tabela1[[#This Row],[M]]&lt;&gt;""),1.5,0))</f>
        <v>0</v>
      </c>
      <c r="X80" s="12">
        <f>IF(AND(Tabela1[[#This Row],[SETOR]]="UTI",Tabela1[[#This Row],[PA2]]&lt;&gt;""),1,IF(AND(Tabela1[[#This Row],[SETOR]]="UTI (RJ)",Tabela1[[#This Row],[PA2]]&lt;&gt;""),0,0))</f>
        <v>0</v>
      </c>
      <c r="Y80" s="12">
        <f>IF(AND(Tabela1[[#This Row],[SETOR]]="UTI",Tabela1[[#This Row],[C]]&lt;&gt;""),1,IF(AND(Tabela1[[#This Row],[SETOR]]="UTI (RJ)",Tabela1[[#This Row],[C]]&lt;&gt;""),1.5,0))</f>
        <v>0</v>
      </c>
      <c r="Z80" s="12">
        <f>IF(AND(Tabela1[[#This Row],[SETOR]]="UTI",Tabela1[[#This Row],[PL]]&lt;&gt;""),1,IF(AND(Tabela1[[#This Row],[SETOR]]="UTI (RJ)",Tabela1[[#This Row],[PL]]&lt;&gt;""),1,0))</f>
        <v>0</v>
      </c>
      <c r="AA80" s="21" t="str">
        <f>IFERROR(VLOOKUP(Tabela1[[#This Row],[MÊS]]&amp;Tabela1[[#This Row],[MATRICULA]]&amp;"1"&amp;Tabela1[[#This Row],[SETOR]]&amp;"PADRÃO",BD!B:AF,31,0),"")</f>
        <v/>
      </c>
      <c r="AB80" s="21" t="str">
        <f>IFERROR(VLOOKUP(Tabela1[[#This Row],[MÊS]]&amp;Tabela1[[#This Row],[MATRICULA]]&amp;"2"&amp;Tabela1[[#This Row],[SETOR]]&amp;"PADRÃO",BD!B:AF,31,0),"")</f>
        <v/>
      </c>
      <c r="AC80" s="21" t="str">
        <f>IFERROR(VLOOKUP(Tabela1[[#This Row],[MÊS]]&amp;Tabela1[[#This Row],[MATRICULA]]&amp;"3"&amp;Tabela1[[#This Row],[SETOR]]&amp;"PADRÃO",BD!B:AF,31,0),"")</f>
        <v/>
      </c>
      <c r="AD80" s="21" t="str">
        <f>IFERROR(VLOOKUP(Tabela1[[#This Row],[MÊS]]&amp;Tabela1[[#This Row],[MATRICULA]]&amp;"4"&amp;Tabela1[[#This Row],[SETOR]]&amp;"PADRÃO",BD!B:AF,25,0),"")</f>
        <v/>
      </c>
      <c r="AE80" s="21" t="str">
        <f>IFERROR(VLOOKUP(Tabela1[[#This Row],[MÊS]]&amp;Tabela1[[#This Row],[MATRICULA]]&amp;"5"&amp;Tabela1[[#This Row],[SETOR]]&amp;"PADRÃO",BD!B:AF,31,0),"")</f>
        <v/>
      </c>
      <c r="AF80" s="21" t="str">
        <f>IFERROR(VLOOKUP(Tabela1[[#This Row],[MÊS]]&amp;Tabela1[[#This Row],[MATRICULA]]&amp;"6"&amp;Tabela1[[#This Row],[SETOR]]&amp;"PADRÃO",BD!B:AF,31,0),"")</f>
        <v/>
      </c>
      <c r="AG80" s="21" t="str">
        <f>IFERROR(VLOOKUP(Tabela1[[#This Row],[MÊS]]&amp;Tabela1[[#This Row],[MATRICULA]]&amp;"7"&amp;Tabela1[[#This Row],[SETOR]]&amp;"PADRÃO",BD!B:AF,31,0),"")</f>
        <v/>
      </c>
      <c r="AH80" s="21" t="str">
        <f>IFERROR(VLOOKUP(Tabela1[[#This Row],[MÊS]]&amp;Tabela1[[#This Row],[ID]]&amp;Tabela1[[#This Row],[MATRICULA]]&amp;"Receptiva"&amp;Tabela1[[#This Row],[SETOR]],BD!A:AF,31,0),"")</f>
        <v/>
      </c>
      <c r="AI80" s="21" t="str">
        <f>IFERROR(VLOOKUP(Tabela1[[#This Row],[MÊS]]&amp;Tabela1[[#This Row],[ID]]&amp;Tabela1[[#This Row],[MATRICULA]]&amp;"Receptiva 2"&amp;Tabela1[[#This Row],[SETOR]],BD!A:AF,31,0),"")</f>
        <v/>
      </c>
      <c r="AJ80" s="21" t="str">
        <f>IFERROR(VLOOKUP(Tabela1[[#This Row],[MÊS]]&amp;Tabela1[[#This Row],[ID]]&amp;Tabela1[[#This Row],[MATRICULA]]&amp;"Receptiva 3"&amp;Tabela1[[#This Row],[SETOR]],BD!A:AF,31,0),"")</f>
        <v/>
      </c>
      <c r="AK80" s="21" t="str">
        <f>IFERROR(VLOOKUP(Tabela1[[#This Row],[MÊS]]&amp;Tabela1[[#This Row],[ID]]&amp;Tabela1[[#This Row],[MATRICULA]]&amp;"Receptiva 4"&amp;Tabela1[[#This Row],[SETOR]],BD!A:AF,31,0),"")</f>
        <v/>
      </c>
      <c r="AL80" s="21" t="str">
        <f>IFERROR(VLOOKUP(Tabela1[[#This Row],[MÊS]]&amp;Tabela1[[#This Row],[MATRICULA]]&amp;"Motorista"&amp;Tabela1[[#This Row],[SETOR]],BD!A:AF,31,0),"")</f>
        <v/>
      </c>
      <c r="AM80" s="21" t="str">
        <f>IFERROR(VLOOKUP(Tabela1[[#This Row],[MÊS]]&amp;Tabela1[[#This Row],[ID]]&amp;Tabela1[[#This Row],[MATRICULA]]&amp;"Motorista 2"&amp;Tabela1[[#This Row],[SETOR]],BD!A:AF,26,0),"")</f>
        <v/>
      </c>
      <c r="AN80" s="21" t="str">
        <f>IFERROR(VLOOKUP(Tabela1[[#This Row],[MÊS]]&amp;Tabela1[[#This Row],[ID]]&amp;Tabela1[[#This Row],[MATRICULA]]&amp;"Motorista 3"&amp;Tabela1[[#This Row],[SETOR]],BD!A:AF,26,0),"")</f>
        <v/>
      </c>
      <c r="AO80" s="21" t="str">
        <f>IFERROR(VLOOKUP(Tabela1[[#This Row],[MÊS]]&amp;Tabela1[[#This Row],[ID]]&amp;Tabela1[[#This Row],[MATRICULA]]&amp;"Motorista 4"&amp;Tabela1[[#This Row],[SETOR]],BD!A:AF,26,0),"")</f>
        <v/>
      </c>
      <c r="AP80" s="21" t="str">
        <f>IFERROR(VLOOKUP(Tabela1[[#This Row],[MÊS]]&amp;Tabela1[[#This Row],[MATRICULA]]&amp;"Ponto de Apoio"&amp;Tabela1[[#This Row],[SETOR]],BD!A:AF,31,0),"")</f>
        <v/>
      </c>
      <c r="AQ80" s="21" t="str">
        <f>IFERROR(VLOOKUP(Tabela1[[#This Row],[MÊS]]&amp;Tabela1[[#This Row],[ID]]&amp;Tabela1[[#This Row],[MATRICULA]]&amp;"Ponto de Apoio 2"&amp;Tabela1[[#This Row],[SETOR]],BD!A:AF,26,0),"")</f>
        <v/>
      </c>
      <c r="AR80" s="36" t="str">
        <f>IFERROR(VLOOKUP(Tabela1[[#This Row],[MÊS]]&amp;Tabela1[[#This Row],[ID]]&amp;Tabela1[[#This Row],[MATRICULA]]&amp;"Ponto de Apoio 3"&amp;Tabela1[[#This Row],[SETOR]],BD!A:AF,26,0),"")</f>
        <v/>
      </c>
      <c r="AS80" s="36" t="str">
        <f>IFERROR(VLOOKUP(Tabela1[[#This Row],[MÊS]]&amp;Tabela1[[#This Row],[ID]]&amp;Tabela1[[#This Row],[MATRICULA]]&amp;"Ponto de Apoio 4"&amp;Tabela1[[#This Row],[SETOR]],BD!A:AF,26,0),"")</f>
        <v/>
      </c>
      <c r="AT80" s="21" t="str">
        <f>IFERROR(VLOOKUP(Tabela1[[#This Row],[MÊS]]&amp;Tabela1[[#This Row],[MATRICULA]]&amp;"Cliente"&amp;Tabela1[[#This Row],[SETOR]],BD!A:AF,31,0),"")</f>
        <v/>
      </c>
      <c r="AU80" s="21" t="str">
        <f>IFERROR(VLOOKUP(Tabela1[[#This Row],[MÊS]]&amp;Tabela1[[#This Row],[ID]]&amp;Tabela1[[#This Row],[MATRICULA]]&amp;"Cliente 2"&amp;Tabela1[[#This Row],[SETOR]],BD!A:AF,26,0),"")</f>
        <v/>
      </c>
      <c r="AX80" s="21" t="str">
        <f>IFERROR(VLOOKUP(Tabela1[[#This Row],[MÊS]]&amp;Tabela1[[#This Row],[MATRICULA]]&amp;"Policia"&amp;Tabela1[[#This Row],[SETOR]],BD!A:AF,31,0),"")</f>
        <v/>
      </c>
      <c r="AY80" s="21" t="str">
        <f>IFERROR(VLOOKUP(Tabela1[[#This Row],[MÊS]]&amp;Tabela1[[#This Row],[ID]]&amp;Tabela1[[#This Row],[MATRICULA]]&amp;"Policia 2"&amp;Tabela1[[#This Row],[SETOR]],BD!A:AF,26,0),"")</f>
        <v/>
      </c>
      <c r="AZ80" s="36" t="str">
        <f>IFERROR(VLOOKUP(Tabela1[[#This Row],[MÊS]]&amp;Tabela1[[#This Row],[ID]]&amp;Tabela1[[#This Row],[MATRICULA]]&amp;"Policia 3"&amp;Tabela1[[#This Row],[SETOR]],BD!A:AF,26,0),"")</f>
        <v/>
      </c>
      <c r="BA80" s="36" t="str">
        <f>IFERROR(VLOOKUP(Tabela1[[#This Row],[MÊS]]&amp;Tabela1[[#This Row],[ID]]&amp;Tabela1[[#This Row],[MATRICULA]]&amp;"Policia 4"&amp;Tabela1[[#This Row],[SETOR]],BD!A:AF,26,0),"")</f>
        <v/>
      </c>
      <c r="BB8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0" s="21" t="str">
        <f>IFERROR(AVERAGE(Tabela1[[#This Row],[M]:[M4]]),"")</f>
        <v/>
      </c>
      <c r="BD80" s="21" t="str">
        <f>IFERROR(AVERAGE(Tabela1[[#This Row],[C]:[C4]]),"")</f>
        <v/>
      </c>
      <c r="BE80" s="21" t="str">
        <f>IFERROR(AVERAGE(Tabela1[[#This Row],[PA2]:[PA 4]]),"")</f>
        <v/>
      </c>
      <c r="BF80" s="21" t="str">
        <f>IFERROR(AVERAGE(Tabela1[[#This Row],[PL]:[PL4]]),"")</f>
        <v/>
      </c>
      <c r="BG80" s="35" t="str">
        <f>IFERROR(VLOOKUP(Tabela1[[#This Row],[MÊS]]&amp;Tabela1[[#This Row],[MATRICULA]],#REF!,2,0),"")</f>
        <v/>
      </c>
      <c r="BH80" s="35" t="str">
        <f>IFERROR(VLOOKUP(Tabela1[[#This Row],[MÊS]]&amp;Tabela1[[#This Row],[MATRICULA]],#REF!,2,0),"")</f>
        <v/>
      </c>
      <c r="BI80" s="35" t="str">
        <f>IFERROR(VLOOKUP(Tabela1[[#This Row],[MÊS]]&amp;Tabela1[[#This Row],[MATRICULA]],#REF!,2,0),"")</f>
        <v/>
      </c>
      <c r="BJ80" s="35" t="str">
        <f>IFERROR(VLOOKUP(Tabela1[[#This Row],[MÊS]]&amp;Tabela1[[#This Row],[MATRICULA]],#REF!,2,0),"")</f>
        <v/>
      </c>
      <c r="BK80" s="35" t="str">
        <f>IFERROR(VLOOKUP(Tabela1[[#This Row],[MÊS]]&amp;Tabela1[[#This Row],[MATRICULA]],#REF!,2,0),"")</f>
        <v/>
      </c>
      <c r="BL80" s="21">
        <f>COUNTIF(Tabela1[[#This Row],[MOT2]:[RECEPTIVA]],"NÃO ENCONTRADA")</f>
        <v>0</v>
      </c>
      <c r="BM80" s="135" t="str">
        <f>IFERROR(VLOOKUP(Tabela1[[#This Row],[MÊS]]&amp;Tabela1[[#This Row],[ID]]&amp;Tabela1[[#This Row],[MATRICULA]]&amp;"Motorista"&amp;Tabela1[[#This Row],[SETOR]],BD!A:AF,13,0),"")</f>
        <v/>
      </c>
      <c r="BN80" s="135" t="str">
        <f>IFERROR(VLOOKUP(Tabela1[[#This Row],[MÊS]]&amp;Tabela1[[#This Row],[ID]]&amp;Tabela1[[#This Row],[MATRICULA]]&amp;"Motorista 2"&amp;Tabela1[[#This Row],[SETOR]],BD!A:AF,13,0),"")</f>
        <v/>
      </c>
      <c r="BO80" s="135" t="str">
        <f>IFERROR(VLOOKUP(Tabela1[[#This Row],[MÊS]]&amp;Tabela1[[#This Row],[ID]]&amp;Tabela1[[#This Row],[MATRICULA]]&amp;"Motorista 3"&amp;Tabela1[[#This Row],[SETOR]],BD!A:AF,13,0),"")</f>
        <v/>
      </c>
      <c r="BP80" s="135" t="str">
        <f>IFERROR(VLOOKUP(Tabela1[[#This Row],[MÊS]]&amp;Tabela1[[#This Row],[ID]]&amp;Tabela1[[#This Row],[MATRICULA]]&amp;"Motorista 4"&amp;Tabela1[[#This Row],[SETOR]],BD!A:AF,13,0),"")</f>
        <v/>
      </c>
      <c r="BQ80" s="135" t="str">
        <f>IFERROR(AVERAGE(Tabela1[[#This Row],[DMOT]:[DMOT4]]),"")</f>
        <v/>
      </c>
      <c r="BR80" s="135" t="str">
        <f>IFERROR(VLOOKUP(Tabela1[[#This Row],[MÊS]]&amp;Tabela1[[#This Row],[ID]]&amp;Tabela1[[#This Row],[MATRICULA]]&amp;"Ponto de Apoio"&amp;Tabela1[[#This Row],[SETOR]],BD!A:AF,13,0),"")</f>
        <v/>
      </c>
      <c r="BS80" s="135" t="str">
        <f>IFERROR(VLOOKUP(Tabela1[[#This Row],[MÊS]]&amp;Tabela1[[#This Row],[ID]]&amp;Tabela1[[#This Row],[MATRICULA]]&amp;"Ponto de Apoio 2"&amp;Tabela1[[#This Row],[SETOR]],BD!A:AF,13,0),"")</f>
        <v/>
      </c>
      <c r="BT80" s="135" t="str">
        <f>IFERROR(VLOOKUP(Tabela1[[#This Row],[MÊS]]&amp;Tabela1[[#This Row],[ID]]&amp;Tabela1[[#This Row],[MATRICULA]]&amp;"Ponto de Apoio 3"&amp;Tabela1[[#This Row],[SETOR]],BD!A:AF,13,0),"")</f>
        <v/>
      </c>
      <c r="BU80" s="135" t="str">
        <f>IFERROR(VLOOKUP(Tabela1[[#This Row],[MÊS]]&amp;Tabela1[[#This Row],[ID]]&amp;Tabela1[[#This Row],[MATRICULA]]&amp;"Ponto de Apoio 4"&amp;Tabela1[[#This Row],[SETOR]],BD!A:AF,13,0),"")</f>
        <v/>
      </c>
      <c r="BV80" s="135" t="str">
        <f>IFERROR(AVERAGE(Tabela1[[#This Row],[DPA]:[DPA 4]]),"")</f>
        <v/>
      </c>
      <c r="BW80" s="135" t="str">
        <f>IFERROR(VLOOKUP(Tabela1[[#This Row],[MÊS]]&amp;Tabela1[[#This Row],[ID]]&amp;Tabela1[[#This Row],[MATRICULA]]&amp;"Cliente"&amp;Tabela1[[#This Row],[SETOR]],BD!A:AF,13,0),"")</f>
        <v/>
      </c>
      <c r="BX80" s="135" t="str">
        <f>IFERROR(VLOOKUP(Tabela1[[#This Row],[MÊS]]&amp;Tabela1[[#This Row],[ID]]&amp;Tabela1[[#This Row],[MATRICULA]]&amp;"cliente 2"&amp;Tabela1[[#This Row],[SETOR]],BD!A:AF,13,0),"")</f>
        <v/>
      </c>
      <c r="BY80" s="135" t="str">
        <f>IFERROR(VLOOKUP(Tabela1[[#This Row],[MÊS]]&amp;Tabela1[[#This Row],[ID]]&amp;Tabela1[[#This Row],[MATRICULA]]&amp;"cliente 3"&amp;Tabela1[[#This Row],[SETOR]],BD!A:AF,13,0),"")</f>
        <v/>
      </c>
      <c r="BZ80" s="135" t="str">
        <f>IFERROR(VLOOKUP(Tabela1[[#This Row],[MÊS]]&amp;Tabela1[[#This Row],[ID]]&amp;Tabela1[[#This Row],[MATRICULA]]&amp;"cliente 4"&amp;Tabela1[[#This Row],[SETOR]],BD!A:AF,13,0),"")</f>
        <v/>
      </c>
      <c r="CA80" s="135" t="str">
        <f>IFERROR(AVERAGE(Tabela1[[#This Row],[DCLI]:[DCLI 4]]),"")</f>
        <v/>
      </c>
      <c r="CB80" s="135" t="str">
        <f>IFERROR(VLOOKUP(Tabela1[[#This Row],[MÊS]]&amp;Tabela1[[#This Row],[ID]]&amp;Tabela1[[#This Row],[MATRICULA]]&amp;"Policia"&amp;Tabela1[[#This Row],[SETOR]],BD!A:AF,13,0),"")</f>
        <v/>
      </c>
      <c r="CC80" s="135" t="str">
        <f>IFERROR(VLOOKUP(Tabela1[[#This Row],[MÊS]]&amp;Tabela1[[#This Row],[ID]]&amp;Tabela1[[#This Row],[MATRICULA]]&amp;"Policia 2"&amp;Tabela1[[#This Row],[SETOR]],BD!A:AF,13,0),"")</f>
        <v/>
      </c>
      <c r="CD80" s="135"/>
      <c r="CE80" s="135"/>
      <c r="CF80" s="135" t="str">
        <f>IFERROR((AVERAGE(Tabela1[[#This Row],[DPOL1]:[DPOL4]])),"")</f>
        <v/>
      </c>
      <c r="CG80" s="21" t="str">
        <f>IFERROR(VLOOKUP(Tabela1[[#This Row],[ID]]&amp;Tabela1[[#This Row],[MÊS]]&amp;Tabela1[[#This Row],[MATRICULA]],#REF!,2,0),"")</f>
        <v/>
      </c>
      <c r="CH80" s="21" t="str">
        <f>IFERROR(VLOOKUP(Tabela1[[#This Row],[ID]]&amp;Tabela1[[#This Row],[MÊS]]&amp;Tabela1[[#This Row],[MATRICULA]],#REF!,2,0),"")</f>
        <v/>
      </c>
      <c r="CI80" s="21" t="str">
        <f>IFERROR(VLOOKUP(Tabela1[[#This Row],[MÊS]]&amp;Tabela1[[#This Row],[MATRICULA]],#REF!,2,0),"")</f>
        <v/>
      </c>
    </row>
    <row r="81" spans="1:87">
      <c r="A81" s="12" t="str">
        <f>Tabela1[[#This Row],[MÊS]]&amp;Tabela1[[#This Row],[MATRICULA]]&amp;Tabela1[[#This Row],[ID]]</f>
        <v>JAN1117110</v>
      </c>
      <c r="B81" s="12" t="str">
        <f>Tabela1[[#This Row],[MÊS]]&amp;Tabela1[[#This Row],[ID]]&amp;Tabela1[[#This Row],[MATRICULA]]&amp;Tabela1[[#This Row],[SETOR]]</f>
        <v>JAN1011171UTI</v>
      </c>
      <c r="C81" s="130" t="e">
        <f>VLOOKUP(Tabela1[[#This Row],[MATRICULA]],'BD Campos'!A:D,5,0)</f>
        <v>#REF!</v>
      </c>
      <c r="D81" s="133" t="str">
        <f ca="1">IFERROR(SUM(TODAY()-Tabela1[[#This Row],[ADMISSÃO]]),"")</f>
        <v/>
      </c>
      <c r="E81" s="11" t="str">
        <f ca="1">IFERROR(TRUNC(Tabela1[[#This Row],[TEMPO DE CASA (DIAS)]]/30),"")</f>
        <v/>
      </c>
      <c r="F81" s="32" t="str">
        <f ca="1">IFERROR(SUM(Tabela1[[#This Row],[TEMPO DE CASA (MESES)]]/12),"")</f>
        <v/>
      </c>
      <c r="G81" s="133" t="str">
        <f ca="1">IF(Tabela1[[#This Row],[TEMPO DE CASA (DIAS)]]="","SEM DADOS",IF(Tabela1[[#This Row],[TEMPO DE CASA (DIAS)]]&gt;180,"&gt; 6 MESES","&lt; 6 MESES"))</f>
        <v>SEM DADOS</v>
      </c>
      <c r="H81" s="12" t="str">
        <f t="shared" si="8"/>
        <v>JANGeniffer Maciel10</v>
      </c>
      <c r="I81" s="12" t="str">
        <f>IFERROR(VLOOKUP(Tabela1[[#This Row],[MATRICULA]],'BD Campos'!A:F,7,0),"")</f>
        <v/>
      </c>
      <c r="J81" s="11">
        <v>10</v>
      </c>
      <c r="K81" s="11" t="s">
        <v>669</v>
      </c>
      <c r="L81" s="136">
        <v>11171</v>
      </c>
      <c r="M81" s="12" t="str">
        <f>IFERROR(VLOOKUP(Tabela1[[#This Row],[MATRICULA]],'BD Campos'!A:B,2,0),"")</f>
        <v>THALYSSA CHRISTIANE BARBOSA DA COSTA</v>
      </c>
      <c r="N81" s="20">
        <f>IFERROR(AVERAGE(Tabela1[[#This Row],[A1]:[A4]]),"")</f>
        <v>7.6374999999999993</v>
      </c>
      <c r="O81" s="20" t="str">
        <f>IFERROR(IF(Tabela1[[#This Row],[SETOR]]="RECEPTIVO","",AVERAGE(Tabela1[[#This Row],[A5]:[A6]])),"")</f>
        <v/>
      </c>
      <c r="P81" s="20" t="str">
        <f>IFERROR(IF(Tabela1[[#This Row],[STATUS]]="INATIVO","INATIVO",IF(Tabela1[[#This Row],[STATUS]]="QRT","INATIVO",IF(Tabela1[[#This Row],[OPERACIONAL]]&gt;7.99999,"BOM","RUIM"))),"")</f>
        <v>RUIM</v>
      </c>
      <c r="Q81" s="21" t="s">
        <v>667</v>
      </c>
      <c r="R81" s="12" t="s">
        <v>682</v>
      </c>
      <c r="S81" s="12" t="s">
        <v>680</v>
      </c>
      <c r="T81" s="12" t="s">
        <v>128</v>
      </c>
      <c r="U8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0.9</v>
      </c>
      <c r="V8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-0.02</v>
      </c>
      <c r="W81" s="12">
        <f>IF(AND(Tabela1[[#This Row],[SETOR]]="UTI",Tabela1[[#This Row],[M]]&lt;&gt;""),1,IF(AND(Tabela1[[#This Row],[SETOR]]="UTI (RJ)",Tabela1[[#This Row],[M]]&lt;&gt;""),1.5,0))</f>
        <v>1</v>
      </c>
      <c r="X81" s="12">
        <v>1</v>
      </c>
      <c r="Y81" s="12">
        <f>IF(AND(Tabela1[[#This Row],[SETOR]]="UTI",Tabela1[[#This Row],[C]]&lt;&gt;""),1,IF(AND(Tabela1[[#This Row],[SETOR]]="UTI (RJ)",Tabela1[[#This Row],[C]]&lt;&gt;""),1.5,0))</f>
        <v>0</v>
      </c>
      <c r="Z81" s="12">
        <f>IF(AND(Tabela1[[#This Row],[SETOR]]="UTI",Tabela1[[#This Row],[PL]]&lt;&gt;""),1,IF(AND(Tabela1[[#This Row],[SETOR]]="UTI (RJ)",Tabela1[[#This Row],[PL]]&lt;&gt;""),1,0))</f>
        <v>0</v>
      </c>
      <c r="AA81" s="21">
        <f>IFERROR(VLOOKUP(Tabela1[[#This Row],[MÊS]]&amp;Tabela1[[#This Row],[MATRICULA]]&amp;"1"&amp;Tabela1[[#This Row],[SETOR]]&amp;"PADRÃO",BD!B:AF,31,0),"")</f>
        <v>7.794999999999999</v>
      </c>
      <c r="AB81" s="21">
        <f>IFERROR(VLOOKUP(Tabela1[[#This Row],[MÊS]]&amp;Tabela1[[#This Row],[MATRICULA]]&amp;"2"&amp;Tabela1[[#This Row],[SETOR]]&amp;"PADRÃO",BD!B:AF,31,0),"")</f>
        <v>7.4799999999999995</v>
      </c>
      <c r="AC81" s="21" t="str">
        <f>IFERROR(VLOOKUP(Tabela1[[#This Row],[MÊS]]&amp;Tabela1[[#This Row],[MATRICULA]]&amp;"3"&amp;Tabela1[[#This Row],[SETOR]]&amp;"PADRÃO",BD!B:AF,31,0),"")</f>
        <v/>
      </c>
      <c r="AD81" s="21" t="str">
        <f>IFERROR(VLOOKUP(Tabela1[[#This Row],[MÊS]]&amp;Tabela1[[#This Row],[MATRICULA]]&amp;"4"&amp;Tabela1[[#This Row],[SETOR]]&amp;"PADRÃO",BD!B:AF,25,0),"")</f>
        <v/>
      </c>
      <c r="AE81" s="21" t="str">
        <f>IFERROR(VLOOKUP(Tabela1[[#This Row],[MÊS]]&amp;Tabela1[[#This Row],[MATRICULA]]&amp;"5"&amp;Tabela1[[#This Row],[SETOR]]&amp;"PADRÃO",BD!B:AF,31,0),"")</f>
        <v/>
      </c>
      <c r="AF81" s="21" t="str">
        <f>IFERROR(VLOOKUP(Tabela1[[#This Row],[MÊS]]&amp;Tabela1[[#This Row],[MATRICULA]]&amp;"6"&amp;Tabela1[[#This Row],[SETOR]]&amp;"PADRÃO",BD!B:AF,31,0),"")</f>
        <v/>
      </c>
      <c r="AG81" s="21" t="str">
        <f>IFERROR(VLOOKUP(Tabela1[[#This Row],[MÊS]]&amp;Tabela1[[#This Row],[MATRICULA]]&amp;"7"&amp;Tabela1[[#This Row],[SETOR]]&amp;"PADRÃO",BD!B:AF,31,0),"")</f>
        <v/>
      </c>
      <c r="AH81" s="21" t="str">
        <f>IFERROR(VLOOKUP(Tabela1[[#This Row],[MÊS]]&amp;Tabela1[[#This Row],[ID]]&amp;Tabela1[[#This Row],[MATRICULA]]&amp;"Receptiva"&amp;Tabela1[[#This Row],[SETOR]],BD!A:AF,31,0),"")</f>
        <v/>
      </c>
      <c r="AI81" s="21" t="str">
        <f>IFERROR(VLOOKUP(Tabela1[[#This Row],[MÊS]]&amp;Tabela1[[#This Row],[ID]]&amp;Tabela1[[#This Row],[MATRICULA]]&amp;"Receptiva 2"&amp;Tabela1[[#This Row],[SETOR]],BD!A:AF,31,0),"")</f>
        <v/>
      </c>
      <c r="AJ81" s="21" t="str">
        <f>IFERROR(VLOOKUP(Tabela1[[#This Row],[MÊS]]&amp;Tabela1[[#This Row],[ID]]&amp;Tabela1[[#This Row],[MATRICULA]]&amp;"Receptiva 3"&amp;Tabela1[[#This Row],[SETOR]],BD!A:AF,31,0),"")</f>
        <v/>
      </c>
      <c r="AK81" s="21" t="str">
        <f>IFERROR(VLOOKUP(Tabela1[[#This Row],[MÊS]]&amp;Tabela1[[#This Row],[ID]]&amp;Tabela1[[#This Row],[MATRICULA]]&amp;"Receptiva 4"&amp;Tabela1[[#This Row],[SETOR]],BD!A:AF,31,0),"")</f>
        <v/>
      </c>
      <c r="AL81" s="21">
        <f>IFERROR(VLOOKUP(Tabela1[[#This Row],[MÊS]]&amp;Tabela1[[#This Row],[MATRICULA]]&amp;"Motorista"&amp;Tabela1[[#This Row],[SETOR]],BD!A:AF,31,0),"")</f>
        <v>0</v>
      </c>
      <c r="AM81" s="21" t="str">
        <f>IFERROR(VLOOKUP(Tabela1[[#This Row],[MÊS]]&amp;Tabela1[[#This Row],[ID]]&amp;Tabela1[[#This Row],[MATRICULA]]&amp;"Motorista 2"&amp;Tabela1[[#This Row],[SETOR]],BD!A:AF,26,0),"")</f>
        <v/>
      </c>
      <c r="AN81" s="21" t="str">
        <f>IFERROR(VLOOKUP(Tabela1[[#This Row],[MÊS]]&amp;Tabela1[[#This Row],[ID]]&amp;Tabela1[[#This Row],[MATRICULA]]&amp;"Motorista 3"&amp;Tabela1[[#This Row],[SETOR]],BD!A:AF,26,0),"")</f>
        <v/>
      </c>
      <c r="AO81" s="21" t="str">
        <f>IFERROR(VLOOKUP(Tabela1[[#This Row],[MÊS]]&amp;Tabela1[[#This Row],[ID]]&amp;Tabela1[[#This Row],[MATRICULA]]&amp;"Motorista 4"&amp;Tabela1[[#This Row],[SETOR]],BD!A:AF,26,0),"")</f>
        <v/>
      </c>
      <c r="AP81" s="21" t="str">
        <f>IFERROR(VLOOKUP(Tabela1[[#This Row],[MÊS]]&amp;Tabela1[[#This Row],[MATRICULA]]&amp;"Ponto de Apoio"&amp;Tabela1[[#This Row],[SETOR]],BD!A:AF,31,0),"")</f>
        <v/>
      </c>
      <c r="AQ81" s="21" t="str">
        <f>IFERROR(VLOOKUP(Tabela1[[#This Row],[MÊS]]&amp;Tabela1[[#This Row],[ID]]&amp;Tabela1[[#This Row],[MATRICULA]]&amp;"Ponto de Apoio 2"&amp;Tabela1[[#This Row],[SETOR]],BD!A:AF,26,0),"")</f>
        <v/>
      </c>
      <c r="AR81" s="36" t="str">
        <f>IFERROR(VLOOKUP(Tabela1[[#This Row],[MÊS]]&amp;Tabela1[[#This Row],[ID]]&amp;Tabela1[[#This Row],[MATRICULA]]&amp;"Ponto de Apoio 3"&amp;Tabela1[[#This Row],[SETOR]],BD!A:AF,26,0),"")</f>
        <v/>
      </c>
      <c r="AS81" s="36" t="str">
        <f>IFERROR(VLOOKUP(Tabela1[[#This Row],[MÊS]]&amp;Tabela1[[#This Row],[ID]]&amp;Tabela1[[#This Row],[MATRICULA]]&amp;"Ponto de Apoio 4"&amp;Tabela1[[#This Row],[SETOR]],BD!A:AF,26,0),"")</f>
        <v/>
      </c>
      <c r="AT81" s="21" t="str">
        <f>IFERROR(VLOOKUP(Tabela1[[#This Row],[MÊS]]&amp;Tabela1[[#This Row],[MATRICULA]]&amp;"Cliente"&amp;Tabela1[[#This Row],[SETOR]],BD!A:AF,31,0),"")</f>
        <v/>
      </c>
      <c r="AU81" s="21" t="str">
        <f>IFERROR(VLOOKUP(Tabela1[[#This Row],[MÊS]]&amp;Tabela1[[#This Row],[ID]]&amp;Tabela1[[#This Row],[MATRICULA]]&amp;"Cliente 2"&amp;Tabela1[[#This Row],[SETOR]],BD!A:AF,26,0),"")</f>
        <v/>
      </c>
      <c r="AX81" s="21" t="str">
        <f>IFERROR(VLOOKUP(Tabela1[[#This Row],[MÊS]]&amp;Tabela1[[#This Row],[MATRICULA]]&amp;"Policia"&amp;Tabela1[[#This Row],[SETOR]],BD!A:AF,31,0),"")</f>
        <v/>
      </c>
      <c r="AY81" s="21" t="str">
        <f>IFERROR(VLOOKUP(Tabela1[[#This Row],[MÊS]]&amp;Tabela1[[#This Row],[ID]]&amp;Tabela1[[#This Row],[MATRICULA]]&amp;"Policia 2"&amp;Tabela1[[#This Row],[SETOR]],BD!A:AF,26,0),"")</f>
        <v/>
      </c>
      <c r="AZ81" s="36" t="str">
        <f>IFERROR(VLOOKUP(Tabela1[[#This Row],[MÊS]]&amp;Tabela1[[#This Row],[ID]]&amp;Tabela1[[#This Row],[MATRICULA]]&amp;"Policia 3"&amp;Tabela1[[#This Row],[SETOR]],BD!A:AF,26,0),"")</f>
        <v/>
      </c>
      <c r="BA81" s="36" t="str">
        <f>IFERROR(VLOOKUP(Tabela1[[#This Row],[MÊS]]&amp;Tabela1[[#This Row],[ID]]&amp;Tabela1[[#This Row],[MATRICULA]]&amp;"Policia 4"&amp;Tabela1[[#This Row],[SETOR]],BD!A:AF,26,0),"")</f>
        <v/>
      </c>
      <c r="BB8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1" s="21">
        <f>IFERROR(AVERAGE(Tabela1[[#This Row],[M]:[M4]]),"")</f>
        <v>0</v>
      </c>
      <c r="BD81" s="21" t="str">
        <f>IFERROR(AVERAGE(Tabela1[[#This Row],[C]:[C4]]),"")</f>
        <v/>
      </c>
      <c r="BE81" s="21" t="str">
        <f>IFERROR(AVERAGE(Tabela1[[#This Row],[PA2]:[PA 4]]),"")</f>
        <v/>
      </c>
      <c r="BF81" s="21" t="str">
        <f>IFERROR(AVERAGE(Tabela1[[#This Row],[PL]:[PL4]]),"")</f>
        <v/>
      </c>
      <c r="BG81" s="35" t="str">
        <f>IFERROR(VLOOKUP(Tabela1[[#This Row],[MÊS]]&amp;Tabela1[[#This Row],[MATRICULA]],#REF!,2,0),"")</f>
        <v/>
      </c>
      <c r="BH81" s="35" t="str">
        <f>IFERROR(VLOOKUP(Tabela1[[#This Row],[MÊS]]&amp;Tabela1[[#This Row],[MATRICULA]],#REF!,2,0),"")</f>
        <v/>
      </c>
      <c r="BI81" s="35" t="str">
        <f>IFERROR(VLOOKUP(Tabela1[[#This Row],[MÊS]]&amp;Tabela1[[#This Row],[MATRICULA]],#REF!,2,0),"")</f>
        <v/>
      </c>
      <c r="BJ81" s="35" t="str">
        <f>IFERROR(VLOOKUP(Tabela1[[#This Row],[MÊS]]&amp;Tabela1[[#This Row],[MATRICULA]],#REF!,2,0),"")</f>
        <v/>
      </c>
      <c r="BK81" s="35" t="str">
        <f>IFERROR(VLOOKUP(Tabela1[[#This Row],[MÊS]]&amp;Tabela1[[#This Row],[MATRICULA]],#REF!,2,0),"")</f>
        <v/>
      </c>
      <c r="BL81" s="21">
        <f>COUNTIF(Tabela1[[#This Row],[MOT2]:[RECEPTIVA]],"NÃO ENCONTRADA")</f>
        <v>0</v>
      </c>
      <c r="BM81" s="135" t="str">
        <f>IFERROR(VLOOKUP(Tabela1[[#This Row],[MÊS]]&amp;Tabela1[[#This Row],[ID]]&amp;Tabela1[[#This Row],[MATRICULA]]&amp;"Motorista"&amp;Tabela1[[#This Row],[SETOR]],BD!A:AF,13,0),"")</f>
        <v/>
      </c>
      <c r="BN81" s="135" t="str">
        <f>IFERROR(VLOOKUP(Tabela1[[#This Row],[MÊS]]&amp;Tabela1[[#This Row],[ID]]&amp;Tabela1[[#This Row],[MATRICULA]]&amp;"Motorista 2"&amp;Tabela1[[#This Row],[SETOR]],BD!A:AF,13,0),"")</f>
        <v/>
      </c>
      <c r="BO81" s="135" t="str">
        <f>IFERROR(VLOOKUP(Tabela1[[#This Row],[MÊS]]&amp;Tabela1[[#This Row],[ID]]&amp;Tabela1[[#This Row],[MATRICULA]]&amp;"Motorista 3"&amp;Tabela1[[#This Row],[SETOR]],BD!A:AF,13,0),"")</f>
        <v/>
      </c>
      <c r="BP81" s="135" t="str">
        <f>IFERROR(VLOOKUP(Tabela1[[#This Row],[MÊS]]&amp;Tabela1[[#This Row],[ID]]&amp;Tabela1[[#This Row],[MATRICULA]]&amp;"Motorista 4"&amp;Tabela1[[#This Row],[SETOR]],BD!A:AF,13,0),"")</f>
        <v/>
      </c>
      <c r="BQ81" s="135" t="str">
        <f>IFERROR(AVERAGE(Tabela1[[#This Row],[DMOT]:[DMOT4]]),"")</f>
        <v/>
      </c>
      <c r="BR81" s="135" t="str">
        <f>IFERROR(VLOOKUP(Tabela1[[#This Row],[MÊS]]&amp;Tabela1[[#This Row],[ID]]&amp;Tabela1[[#This Row],[MATRICULA]]&amp;"Ponto de Apoio"&amp;Tabela1[[#This Row],[SETOR]],BD!A:AF,13,0),"")</f>
        <v/>
      </c>
      <c r="BS81" s="135" t="str">
        <f>IFERROR(VLOOKUP(Tabela1[[#This Row],[MÊS]]&amp;Tabela1[[#This Row],[ID]]&amp;Tabela1[[#This Row],[MATRICULA]]&amp;"Ponto de Apoio 2"&amp;Tabela1[[#This Row],[SETOR]],BD!A:AF,13,0),"")</f>
        <v/>
      </c>
      <c r="BT81" s="135" t="str">
        <f>IFERROR(VLOOKUP(Tabela1[[#This Row],[MÊS]]&amp;Tabela1[[#This Row],[ID]]&amp;Tabela1[[#This Row],[MATRICULA]]&amp;"Ponto de Apoio 3"&amp;Tabela1[[#This Row],[SETOR]],BD!A:AF,13,0),"")</f>
        <v/>
      </c>
      <c r="BU81" s="135" t="str">
        <f>IFERROR(VLOOKUP(Tabela1[[#This Row],[MÊS]]&amp;Tabela1[[#This Row],[ID]]&amp;Tabela1[[#This Row],[MATRICULA]]&amp;"Ponto de Apoio 4"&amp;Tabela1[[#This Row],[SETOR]],BD!A:AF,13,0),"")</f>
        <v/>
      </c>
      <c r="BV81" s="135" t="str">
        <f>IFERROR(AVERAGE(Tabela1[[#This Row],[DPA]:[DPA 4]]),"")</f>
        <v/>
      </c>
      <c r="BW81" s="135" t="str">
        <f>IFERROR(VLOOKUP(Tabela1[[#This Row],[MÊS]]&amp;Tabela1[[#This Row],[ID]]&amp;Tabela1[[#This Row],[MATRICULA]]&amp;"Cliente"&amp;Tabela1[[#This Row],[SETOR]],BD!A:AF,13,0),"")</f>
        <v/>
      </c>
      <c r="BX81" s="135" t="str">
        <f>IFERROR(VLOOKUP(Tabela1[[#This Row],[MÊS]]&amp;Tabela1[[#This Row],[ID]]&amp;Tabela1[[#This Row],[MATRICULA]]&amp;"cliente 2"&amp;Tabela1[[#This Row],[SETOR]],BD!A:AF,13,0),"")</f>
        <v/>
      </c>
      <c r="BY81" s="135" t="str">
        <f>IFERROR(VLOOKUP(Tabela1[[#This Row],[MÊS]]&amp;Tabela1[[#This Row],[ID]]&amp;Tabela1[[#This Row],[MATRICULA]]&amp;"cliente 3"&amp;Tabela1[[#This Row],[SETOR]],BD!A:AF,13,0),"")</f>
        <v/>
      </c>
      <c r="BZ81" s="135" t="str">
        <f>IFERROR(VLOOKUP(Tabela1[[#This Row],[MÊS]]&amp;Tabela1[[#This Row],[ID]]&amp;Tabela1[[#This Row],[MATRICULA]]&amp;"cliente 4"&amp;Tabela1[[#This Row],[SETOR]],BD!A:AF,13,0),"")</f>
        <v/>
      </c>
      <c r="CA81" s="135" t="str">
        <f>IFERROR(AVERAGE(Tabela1[[#This Row],[DCLI]:[DCLI 4]]),"")</f>
        <v/>
      </c>
      <c r="CB81" s="135" t="str">
        <f>IFERROR(VLOOKUP(Tabela1[[#This Row],[MÊS]]&amp;Tabela1[[#This Row],[ID]]&amp;Tabela1[[#This Row],[MATRICULA]]&amp;"Policia"&amp;Tabela1[[#This Row],[SETOR]],BD!A:AF,13,0),"")</f>
        <v/>
      </c>
      <c r="CC81" s="135" t="str">
        <f>IFERROR(VLOOKUP(Tabela1[[#This Row],[MÊS]]&amp;Tabela1[[#This Row],[ID]]&amp;Tabela1[[#This Row],[MATRICULA]]&amp;"Policia 2"&amp;Tabela1[[#This Row],[SETOR]],BD!A:AF,13,0),"")</f>
        <v/>
      </c>
      <c r="CD81" s="135"/>
      <c r="CE81" s="135"/>
      <c r="CF81" s="135" t="str">
        <f>IFERROR((AVERAGE(Tabela1[[#This Row],[DPOL1]:[DPOL4]])),"")</f>
        <v/>
      </c>
      <c r="CG81" s="21" t="str">
        <f>IFERROR(VLOOKUP(Tabela1[[#This Row],[ID]]&amp;Tabela1[[#This Row],[MÊS]]&amp;Tabela1[[#This Row],[MATRICULA]],#REF!,2,0),"")</f>
        <v/>
      </c>
      <c r="CH81" s="21" t="str">
        <f>IFERROR(VLOOKUP(Tabela1[[#This Row],[ID]]&amp;Tabela1[[#This Row],[MÊS]]&amp;Tabela1[[#This Row],[MATRICULA]],#REF!,2,0),"")</f>
        <v/>
      </c>
      <c r="CI81" s="21" t="str">
        <f>IFERROR(VLOOKUP(Tabela1[[#This Row],[MÊS]]&amp;Tabela1[[#This Row],[MATRICULA]],#REF!,2,0),"")</f>
        <v/>
      </c>
    </row>
    <row r="82" spans="1:87">
      <c r="A82" s="12" t="str">
        <f>Tabela1[[#This Row],[MÊS]]&amp;Tabela1[[#This Row],[MATRICULA]]&amp;Tabela1[[#This Row],[ID]]</f>
        <v>JAN1120911</v>
      </c>
      <c r="B82" s="12" t="str">
        <f>Tabela1[[#This Row],[MÊS]]&amp;Tabela1[[#This Row],[ID]]&amp;Tabela1[[#This Row],[MATRICULA]]&amp;Tabela1[[#This Row],[SETOR]]</f>
        <v>JAN1111209UTI</v>
      </c>
      <c r="C82" s="130" t="e">
        <f>VLOOKUP(Tabela1[[#This Row],[MATRICULA]],'BD Campos'!A:D,5,0)</f>
        <v>#REF!</v>
      </c>
      <c r="D82" s="133" t="str">
        <f ca="1">IFERROR(SUM(TODAY()-Tabela1[[#This Row],[ADMISSÃO]]),"")</f>
        <v/>
      </c>
      <c r="E82" s="11" t="str">
        <f ca="1">IFERROR(TRUNC(Tabela1[[#This Row],[TEMPO DE CASA (DIAS)]]/30),"")</f>
        <v/>
      </c>
      <c r="F82" s="32" t="str">
        <f ca="1">IFERROR(SUM(Tabela1[[#This Row],[TEMPO DE CASA (MESES)]]/12),"")</f>
        <v/>
      </c>
      <c r="G82" s="133" t="str">
        <f ca="1">IF(Tabela1[[#This Row],[TEMPO DE CASA (DIAS)]]="","SEM DADOS",IF(Tabela1[[#This Row],[TEMPO DE CASA (DIAS)]]&gt;180,"&gt; 6 MESES","&lt; 6 MESES"))</f>
        <v>SEM DADOS</v>
      </c>
      <c r="H82" s="12" t="str">
        <f t="shared" si="8"/>
        <v>JANGeniffer Maciel11</v>
      </c>
      <c r="I82" s="12" t="str">
        <f>IFERROR(VLOOKUP(Tabela1[[#This Row],[MATRICULA]],'BD Campos'!A:F,7,0),"")</f>
        <v/>
      </c>
      <c r="J82" s="11">
        <v>11</v>
      </c>
      <c r="K82" s="11" t="s">
        <v>669</v>
      </c>
      <c r="L82" s="136">
        <v>11209</v>
      </c>
      <c r="M82" s="12" t="str">
        <f>IFERROR(VLOOKUP(Tabela1[[#This Row],[MATRICULA]],'BD Campos'!A:B,2,0),"")</f>
        <v>VITORIA ALICE ADAO</v>
      </c>
      <c r="N82" s="20">
        <f>IFERROR(AVERAGE(Tabela1[[#This Row],[A1]:[A4]]),"")</f>
        <v>3.4773999999999998</v>
      </c>
      <c r="O82" s="20" t="str">
        <f>IFERROR(IF(Tabela1[[#This Row],[SETOR]]="RECEPTIVO","",AVERAGE(Tabela1[[#This Row],[A5]:[A6]])),"")</f>
        <v/>
      </c>
      <c r="P82" s="20" t="str">
        <f>IFERROR(IF(Tabela1[[#This Row],[STATUS]]="INATIVO","INATIVO",IF(Tabela1[[#This Row],[STATUS]]="QRT","INATIVO",IF(Tabela1[[#This Row],[OPERACIONAL]]&gt;7.99999,"BOM","RUIM"))),"")</f>
        <v>RUIM</v>
      </c>
      <c r="Q82" s="21" t="s">
        <v>667</v>
      </c>
      <c r="R82" s="12" t="s">
        <v>685</v>
      </c>
      <c r="S82" s="12" t="s">
        <v>680</v>
      </c>
      <c r="T82" s="12" t="s">
        <v>128</v>
      </c>
      <c r="U8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0.9</v>
      </c>
      <c r="V8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-0.02</v>
      </c>
      <c r="W82" s="12">
        <f>IF(AND(Tabela1[[#This Row],[SETOR]]="UTI",Tabela1[[#This Row],[M]]&lt;&gt;""),1,IF(AND(Tabela1[[#This Row],[SETOR]]="UTI (RJ)",Tabela1[[#This Row],[M]]&lt;&gt;""),1.5,0))</f>
        <v>1</v>
      </c>
      <c r="X82" s="12">
        <v>1</v>
      </c>
      <c r="Y82" s="12">
        <f>IF(AND(Tabela1[[#This Row],[SETOR]]="UTI",Tabela1[[#This Row],[C]]&lt;&gt;""),1,IF(AND(Tabela1[[#This Row],[SETOR]]="UTI (RJ)",Tabela1[[#This Row],[C]]&lt;&gt;""),1.5,0))</f>
        <v>0</v>
      </c>
      <c r="Z82" s="12">
        <f>IF(AND(Tabela1[[#This Row],[SETOR]]="UTI",Tabela1[[#This Row],[PL]]&lt;&gt;""),1,IF(AND(Tabela1[[#This Row],[SETOR]]="UTI (RJ)",Tabela1[[#This Row],[PL]]&lt;&gt;""),1,0))</f>
        <v>0</v>
      </c>
      <c r="AA82" s="21">
        <f>IFERROR(VLOOKUP(Tabela1[[#This Row],[MÊS]]&amp;Tabela1[[#This Row],[MATRICULA]]&amp;"1"&amp;Tabela1[[#This Row],[SETOR]]&amp;"PADRÃO",BD!B:AF,31,0),"")</f>
        <v>0</v>
      </c>
      <c r="AB82" s="21">
        <f>IFERROR(VLOOKUP(Tabela1[[#This Row],[MÊS]]&amp;Tabela1[[#This Row],[MATRICULA]]&amp;"2"&amp;Tabela1[[#This Row],[SETOR]]&amp;"PADRÃO",BD!B:AF,31,0),"")</f>
        <v>6.9547999999999996</v>
      </c>
      <c r="AC82" s="21" t="str">
        <f>IFERROR(VLOOKUP(Tabela1[[#This Row],[MÊS]]&amp;Tabela1[[#This Row],[MATRICULA]]&amp;"3"&amp;Tabela1[[#This Row],[SETOR]]&amp;"PADRÃO",BD!B:AF,31,0),"")</f>
        <v/>
      </c>
      <c r="AD82" s="21" t="str">
        <f>IFERROR(VLOOKUP(Tabela1[[#This Row],[MÊS]]&amp;Tabela1[[#This Row],[MATRICULA]]&amp;"4"&amp;Tabela1[[#This Row],[SETOR]]&amp;"PADRÃO",BD!B:AF,25,0),"")</f>
        <v/>
      </c>
      <c r="AE82" s="21" t="str">
        <f>IFERROR(VLOOKUP(Tabela1[[#This Row],[MÊS]]&amp;Tabela1[[#This Row],[MATRICULA]]&amp;"5"&amp;Tabela1[[#This Row],[SETOR]]&amp;"PADRÃO",BD!B:AF,31,0),"")</f>
        <v/>
      </c>
      <c r="AF82" s="21" t="str">
        <f>IFERROR(VLOOKUP(Tabela1[[#This Row],[MÊS]]&amp;Tabela1[[#This Row],[MATRICULA]]&amp;"6"&amp;Tabela1[[#This Row],[SETOR]]&amp;"PADRÃO",BD!B:AF,31,0),"")</f>
        <v/>
      </c>
      <c r="AG82" s="21" t="str">
        <f>IFERROR(VLOOKUP(Tabela1[[#This Row],[MÊS]]&amp;Tabela1[[#This Row],[MATRICULA]]&amp;"7"&amp;Tabela1[[#This Row],[SETOR]]&amp;"PADRÃO",BD!B:AF,31,0),"")</f>
        <v/>
      </c>
      <c r="AH82" s="21" t="str">
        <f>IFERROR(VLOOKUP(Tabela1[[#This Row],[MÊS]]&amp;Tabela1[[#This Row],[ID]]&amp;Tabela1[[#This Row],[MATRICULA]]&amp;"Receptiva"&amp;Tabela1[[#This Row],[SETOR]],BD!A:AF,31,0),"")</f>
        <v/>
      </c>
      <c r="AI82" s="21" t="str">
        <f>IFERROR(VLOOKUP(Tabela1[[#This Row],[MÊS]]&amp;Tabela1[[#This Row],[ID]]&amp;Tabela1[[#This Row],[MATRICULA]]&amp;"Receptiva 2"&amp;Tabela1[[#This Row],[SETOR]],BD!A:AF,31,0),"")</f>
        <v/>
      </c>
      <c r="AJ82" s="21" t="str">
        <f>IFERROR(VLOOKUP(Tabela1[[#This Row],[MÊS]]&amp;Tabela1[[#This Row],[ID]]&amp;Tabela1[[#This Row],[MATRICULA]]&amp;"Receptiva 3"&amp;Tabela1[[#This Row],[SETOR]],BD!A:AF,31,0),"")</f>
        <v/>
      </c>
      <c r="AK82" s="21" t="str">
        <f>IFERROR(VLOOKUP(Tabela1[[#This Row],[MÊS]]&amp;Tabela1[[#This Row],[ID]]&amp;Tabela1[[#This Row],[MATRICULA]]&amp;"Receptiva 4"&amp;Tabela1[[#This Row],[SETOR]],BD!A:AF,31,0),"")</f>
        <v/>
      </c>
      <c r="AL82" s="21">
        <f>IFERROR(VLOOKUP(Tabela1[[#This Row],[MÊS]]&amp;Tabela1[[#This Row],[MATRICULA]]&amp;"Motorista"&amp;Tabela1[[#This Row],[SETOR]],BD!A:AF,31,0),"")</f>
        <v>0</v>
      </c>
      <c r="AM82" s="21" t="str">
        <f>IFERROR(VLOOKUP(Tabela1[[#This Row],[MÊS]]&amp;Tabela1[[#This Row],[ID]]&amp;Tabela1[[#This Row],[MATRICULA]]&amp;"Motorista 2"&amp;Tabela1[[#This Row],[SETOR]],BD!A:AF,26,0),"")</f>
        <v/>
      </c>
      <c r="AN82" s="21" t="str">
        <f>IFERROR(VLOOKUP(Tabela1[[#This Row],[MÊS]]&amp;Tabela1[[#This Row],[ID]]&amp;Tabela1[[#This Row],[MATRICULA]]&amp;"Motorista 3"&amp;Tabela1[[#This Row],[SETOR]],BD!A:AF,26,0),"")</f>
        <v/>
      </c>
      <c r="AO82" s="21" t="str">
        <f>IFERROR(VLOOKUP(Tabela1[[#This Row],[MÊS]]&amp;Tabela1[[#This Row],[ID]]&amp;Tabela1[[#This Row],[MATRICULA]]&amp;"Motorista 4"&amp;Tabela1[[#This Row],[SETOR]],BD!A:AF,26,0),"")</f>
        <v/>
      </c>
      <c r="AP82" s="21" t="str">
        <f>IFERROR(VLOOKUP(Tabela1[[#This Row],[MÊS]]&amp;Tabela1[[#This Row],[MATRICULA]]&amp;"Ponto de Apoio"&amp;Tabela1[[#This Row],[SETOR]],BD!A:AF,31,0),"")</f>
        <v/>
      </c>
      <c r="AQ82" s="21" t="str">
        <f>IFERROR(VLOOKUP(Tabela1[[#This Row],[MÊS]]&amp;Tabela1[[#This Row],[ID]]&amp;Tabela1[[#This Row],[MATRICULA]]&amp;"Ponto de Apoio 2"&amp;Tabela1[[#This Row],[SETOR]],BD!A:AF,26,0),"")</f>
        <v/>
      </c>
      <c r="AR82" s="36" t="str">
        <f>IFERROR(VLOOKUP(Tabela1[[#This Row],[MÊS]]&amp;Tabela1[[#This Row],[ID]]&amp;Tabela1[[#This Row],[MATRICULA]]&amp;"Ponto de Apoio 3"&amp;Tabela1[[#This Row],[SETOR]],BD!A:AF,26,0),"")</f>
        <v/>
      </c>
      <c r="AS82" s="36" t="str">
        <f>IFERROR(VLOOKUP(Tabela1[[#This Row],[MÊS]]&amp;Tabela1[[#This Row],[ID]]&amp;Tabela1[[#This Row],[MATRICULA]]&amp;"Ponto de Apoio 4"&amp;Tabela1[[#This Row],[SETOR]],BD!A:AF,26,0),"")</f>
        <v/>
      </c>
      <c r="AT82" s="21" t="str">
        <f>IFERROR(VLOOKUP(Tabela1[[#This Row],[MÊS]]&amp;Tabela1[[#This Row],[MATRICULA]]&amp;"Cliente"&amp;Tabela1[[#This Row],[SETOR]],BD!A:AF,31,0),"")</f>
        <v/>
      </c>
      <c r="AU82" s="21" t="str">
        <f>IFERROR(VLOOKUP(Tabela1[[#This Row],[MÊS]]&amp;Tabela1[[#This Row],[ID]]&amp;Tabela1[[#This Row],[MATRICULA]]&amp;"Cliente 2"&amp;Tabela1[[#This Row],[SETOR]],BD!A:AF,26,0),"")</f>
        <v/>
      </c>
      <c r="AX82" s="21" t="str">
        <f>IFERROR(VLOOKUP(Tabela1[[#This Row],[MÊS]]&amp;Tabela1[[#This Row],[MATRICULA]]&amp;"Policia"&amp;Tabela1[[#This Row],[SETOR]],BD!A:AF,31,0),"")</f>
        <v/>
      </c>
      <c r="AY82" s="21" t="str">
        <f>IFERROR(VLOOKUP(Tabela1[[#This Row],[MÊS]]&amp;Tabela1[[#This Row],[ID]]&amp;Tabela1[[#This Row],[MATRICULA]]&amp;"Policia 2"&amp;Tabela1[[#This Row],[SETOR]],BD!A:AF,26,0),"")</f>
        <v/>
      </c>
      <c r="AZ82" s="36" t="str">
        <f>IFERROR(VLOOKUP(Tabela1[[#This Row],[MÊS]]&amp;Tabela1[[#This Row],[ID]]&amp;Tabela1[[#This Row],[MATRICULA]]&amp;"Policia 3"&amp;Tabela1[[#This Row],[SETOR]],BD!A:AF,26,0),"")</f>
        <v/>
      </c>
      <c r="BA82" s="36" t="str">
        <f>IFERROR(VLOOKUP(Tabela1[[#This Row],[MÊS]]&amp;Tabela1[[#This Row],[ID]]&amp;Tabela1[[#This Row],[MATRICULA]]&amp;"Policia 4"&amp;Tabela1[[#This Row],[SETOR]],BD!A:AF,26,0),"")</f>
        <v/>
      </c>
      <c r="BB8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2" s="21">
        <f>IFERROR(AVERAGE(Tabela1[[#This Row],[M]:[M4]]),"")</f>
        <v>0</v>
      </c>
      <c r="BD82" s="21" t="str">
        <f>IFERROR(AVERAGE(Tabela1[[#This Row],[C]:[C4]]),"")</f>
        <v/>
      </c>
      <c r="BE82" s="21" t="str">
        <f>IFERROR(AVERAGE(Tabela1[[#This Row],[PA2]:[PA 4]]),"")</f>
        <v/>
      </c>
      <c r="BF82" s="21" t="str">
        <f>IFERROR(AVERAGE(Tabela1[[#This Row],[PL]:[PL4]]),"")</f>
        <v/>
      </c>
      <c r="BG82" s="35" t="str">
        <f>IFERROR(VLOOKUP(Tabela1[[#This Row],[MÊS]]&amp;Tabela1[[#This Row],[MATRICULA]],#REF!,2,0),"")</f>
        <v/>
      </c>
      <c r="BH82" s="35" t="str">
        <f>IFERROR(VLOOKUP(Tabela1[[#This Row],[MÊS]]&amp;Tabela1[[#This Row],[MATRICULA]],#REF!,2,0),"")</f>
        <v/>
      </c>
      <c r="BI82" s="35" t="str">
        <f>IFERROR(VLOOKUP(Tabela1[[#This Row],[MÊS]]&amp;Tabela1[[#This Row],[MATRICULA]],#REF!,2,0),"")</f>
        <v/>
      </c>
      <c r="BJ82" s="35" t="str">
        <f>IFERROR(VLOOKUP(Tabela1[[#This Row],[MÊS]]&amp;Tabela1[[#This Row],[MATRICULA]],#REF!,2,0),"")</f>
        <v/>
      </c>
      <c r="BK82" s="35" t="str">
        <f>IFERROR(VLOOKUP(Tabela1[[#This Row],[MÊS]]&amp;Tabela1[[#This Row],[MATRICULA]],#REF!,2,0),"")</f>
        <v/>
      </c>
      <c r="BL82" s="21">
        <f>COUNTIF(Tabela1[[#This Row],[MOT2]:[RECEPTIVA]],"NÃO ENCONTRADA")</f>
        <v>0</v>
      </c>
      <c r="BM82" s="135" t="str">
        <f>IFERROR(VLOOKUP(Tabela1[[#This Row],[MÊS]]&amp;Tabela1[[#This Row],[ID]]&amp;Tabela1[[#This Row],[MATRICULA]]&amp;"Motorista"&amp;Tabela1[[#This Row],[SETOR]],BD!A:AF,13,0),"")</f>
        <v/>
      </c>
      <c r="BN82" s="135" t="str">
        <f>IFERROR(VLOOKUP(Tabela1[[#This Row],[MÊS]]&amp;Tabela1[[#This Row],[ID]]&amp;Tabela1[[#This Row],[MATRICULA]]&amp;"Motorista 2"&amp;Tabela1[[#This Row],[SETOR]],BD!A:AF,13,0),"")</f>
        <v/>
      </c>
      <c r="BO82" s="135" t="str">
        <f>IFERROR(VLOOKUP(Tabela1[[#This Row],[MÊS]]&amp;Tabela1[[#This Row],[ID]]&amp;Tabela1[[#This Row],[MATRICULA]]&amp;"Motorista 3"&amp;Tabela1[[#This Row],[SETOR]],BD!A:AF,13,0),"")</f>
        <v/>
      </c>
      <c r="BP82" s="135" t="str">
        <f>IFERROR(VLOOKUP(Tabela1[[#This Row],[MÊS]]&amp;Tabela1[[#This Row],[ID]]&amp;Tabela1[[#This Row],[MATRICULA]]&amp;"Motorista 4"&amp;Tabela1[[#This Row],[SETOR]],BD!A:AF,13,0),"")</f>
        <v/>
      </c>
      <c r="BQ82" s="135" t="str">
        <f>IFERROR(AVERAGE(Tabela1[[#This Row],[DMOT]:[DMOT4]]),"")</f>
        <v/>
      </c>
      <c r="BR82" s="135" t="str">
        <f>IFERROR(VLOOKUP(Tabela1[[#This Row],[MÊS]]&amp;Tabela1[[#This Row],[ID]]&amp;Tabela1[[#This Row],[MATRICULA]]&amp;"Ponto de Apoio"&amp;Tabela1[[#This Row],[SETOR]],BD!A:AF,13,0),"")</f>
        <v/>
      </c>
      <c r="BS82" s="135" t="str">
        <f>IFERROR(VLOOKUP(Tabela1[[#This Row],[MÊS]]&amp;Tabela1[[#This Row],[ID]]&amp;Tabela1[[#This Row],[MATRICULA]]&amp;"Ponto de Apoio 2"&amp;Tabela1[[#This Row],[SETOR]],BD!A:AF,13,0),"")</f>
        <v/>
      </c>
      <c r="BT82" s="135" t="str">
        <f>IFERROR(VLOOKUP(Tabela1[[#This Row],[MÊS]]&amp;Tabela1[[#This Row],[ID]]&amp;Tabela1[[#This Row],[MATRICULA]]&amp;"Ponto de Apoio 3"&amp;Tabela1[[#This Row],[SETOR]],BD!A:AF,13,0),"")</f>
        <v/>
      </c>
      <c r="BU82" s="135" t="str">
        <f>IFERROR(VLOOKUP(Tabela1[[#This Row],[MÊS]]&amp;Tabela1[[#This Row],[ID]]&amp;Tabela1[[#This Row],[MATRICULA]]&amp;"Ponto de Apoio 4"&amp;Tabela1[[#This Row],[SETOR]],BD!A:AF,13,0),"")</f>
        <v/>
      </c>
      <c r="BV82" s="135" t="str">
        <f>IFERROR(AVERAGE(Tabela1[[#This Row],[DPA]:[DPA 4]]),"")</f>
        <v/>
      </c>
      <c r="BW82" s="135" t="str">
        <f>IFERROR(VLOOKUP(Tabela1[[#This Row],[MÊS]]&amp;Tabela1[[#This Row],[ID]]&amp;Tabela1[[#This Row],[MATRICULA]]&amp;"Cliente"&amp;Tabela1[[#This Row],[SETOR]],BD!A:AF,13,0),"")</f>
        <v/>
      </c>
      <c r="BX82" s="135" t="str">
        <f>IFERROR(VLOOKUP(Tabela1[[#This Row],[MÊS]]&amp;Tabela1[[#This Row],[ID]]&amp;Tabela1[[#This Row],[MATRICULA]]&amp;"cliente 2"&amp;Tabela1[[#This Row],[SETOR]],BD!A:AF,13,0),"")</f>
        <v/>
      </c>
      <c r="BY82" s="135" t="str">
        <f>IFERROR(VLOOKUP(Tabela1[[#This Row],[MÊS]]&amp;Tabela1[[#This Row],[ID]]&amp;Tabela1[[#This Row],[MATRICULA]]&amp;"cliente 3"&amp;Tabela1[[#This Row],[SETOR]],BD!A:AF,13,0),"")</f>
        <v/>
      </c>
      <c r="BZ82" s="135" t="str">
        <f>IFERROR(VLOOKUP(Tabela1[[#This Row],[MÊS]]&amp;Tabela1[[#This Row],[ID]]&amp;Tabela1[[#This Row],[MATRICULA]]&amp;"cliente 4"&amp;Tabela1[[#This Row],[SETOR]],BD!A:AF,13,0),"")</f>
        <v/>
      </c>
      <c r="CA82" s="135" t="str">
        <f>IFERROR(AVERAGE(Tabela1[[#This Row],[DCLI]:[DCLI 4]]),"")</f>
        <v/>
      </c>
      <c r="CB82" s="135" t="str">
        <f>IFERROR(VLOOKUP(Tabela1[[#This Row],[MÊS]]&amp;Tabela1[[#This Row],[ID]]&amp;Tabela1[[#This Row],[MATRICULA]]&amp;"Policia"&amp;Tabela1[[#This Row],[SETOR]],BD!A:AF,13,0),"")</f>
        <v/>
      </c>
      <c r="CC82" s="135" t="str">
        <f>IFERROR(VLOOKUP(Tabela1[[#This Row],[MÊS]]&amp;Tabela1[[#This Row],[ID]]&amp;Tabela1[[#This Row],[MATRICULA]]&amp;"Policia 2"&amp;Tabela1[[#This Row],[SETOR]],BD!A:AF,13,0),"")</f>
        <v/>
      </c>
      <c r="CD82" s="135"/>
      <c r="CE82" s="135"/>
      <c r="CF82" s="135" t="str">
        <f>IFERROR((AVERAGE(Tabela1[[#This Row],[DPOL1]:[DPOL4]])),"")</f>
        <v/>
      </c>
      <c r="CG82" s="21" t="str">
        <f>IFERROR(VLOOKUP(Tabela1[[#This Row],[ID]]&amp;Tabela1[[#This Row],[MÊS]]&amp;Tabela1[[#This Row],[MATRICULA]],#REF!,2,0),"")</f>
        <v/>
      </c>
      <c r="CH82" s="21" t="str">
        <f>IFERROR(VLOOKUP(Tabela1[[#This Row],[ID]]&amp;Tabela1[[#This Row],[MÊS]]&amp;Tabela1[[#This Row],[MATRICULA]],#REF!,2,0),"")</f>
        <v/>
      </c>
      <c r="CI82" s="21" t="str">
        <f>IFERROR(VLOOKUP(Tabela1[[#This Row],[MÊS]]&amp;Tabela1[[#This Row],[MATRICULA]],#REF!,2,0),"")</f>
        <v/>
      </c>
    </row>
    <row r="83" spans="1:87">
      <c r="A83" s="12" t="str">
        <f>Tabela1[[#This Row],[MÊS]]&amp;Tabela1[[#This Row],[MATRICULA]]&amp;Tabela1[[#This Row],[ID]]</f>
        <v>JAN1075812</v>
      </c>
      <c r="B83" s="12" t="str">
        <f>Tabela1[[#This Row],[MÊS]]&amp;Tabela1[[#This Row],[ID]]&amp;Tabela1[[#This Row],[MATRICULA]]&amp;Tabela1[[#This Row],[SETOR]]</f>
        <v>JAN1210758BAS</v>
      </c>
      <c r="C83" s="130" t="e">
        <f>VLOOKUP(Tabela1[[#This Row],[MATRICULA]],'BD Campos'!A:D,5,0)</f>
        <v>#REF!</v>
      </c>
      <c r="D83" s="133" t="str">
        <f ca="1">IFERROR(SUM(TODAY()-Tabela1[[#This Row],[ADMISSÃO]]),"")</f>
        <v/>
      </c>
      <c r="E83" s="11" t="str">
        <f ca="1">IFERROR(TRUNC(Tabela1[[#This Row],[TEMPO DE CASA (DIAS)]]/30),"")</f>
        <v/>
      </c>
      <c r="F83" s="32" t="str">
        <f ca="1">IFERROR(SUM(Tabela1[[#This Row],[TEMPO DE CASA (MESES)]]/12),"")</f>
        <v/>
      </c>
      <c r="G83" s="133" t="str">
        <f ca="1">IF(Tabela1[[#This Row],[TEMPO DE CASA (DIAS)]]="","SEM DADOS",IF(Tabela1[[#This Row],[TEMPO DE CASA (DIAS)]]&gt;180,"&gt; 6 MESES","&lt; 6 MESES"))</f>
        <v>SEM DADOS</v>
      </c>
      <c r="H83" s="12" t="str">
        <f t="shared" si="8"/>
        <v>JANGeniffer Maciel12</v>
      </c>
      <c r="I83" s="12" t="str">
        <f>IFERROR(VLOOKUP(Tabela1[[#This Row],[MATRICULA]],'BD Campos'!A:F,7,0),"")</f>
        <v/>
      </c>
      <c r="J83" s="11">
        <v>12</v>
      </c>
      <c r="K83" s="11" t="s">
        <v>669</v>
      </c>
      <c r="L83" s="136">
        <v>10758</v>
      </c>
      <c r="M83" s="12" t="str">
        <f>IFERROR(VLOOKUP(Tabela1[[#This Row],[MATRICULA]],'BD Campos'!A:B,2,0),"")</f>
        <v>YASMIN YANDRA GARROS SANTOS</v>
      </c>
      <c r="N83" s="20">
        <f>IFERROR(AVERAGE(Tabela1[[#This Row],[A1]:[A4]]),"")</f>
        <v>9.4750000000000014</v>
      </c>
      <c r="O83" s="20" t="str">
        <f>IFERROR(IF(Tabela1[[#This Row],[SETOR]]="RECEPTIVO","",AVERAGE(Tabela1[[#This Row],[A5]:[A6]])),"")</f>
        <v/>
      </c>
      <c r="P83" s="20" t="str">
        <f>IFERROR(IF(Tabela1[[#This Row],[STATUS]]="INATIVO","INATIVO",IF(Tabela1[[#This Row],[STATUS]]="QRT","INATIVO",IF(Tabela1[[#This Row],[OPERACIONAL]]&gt;7.99999,"BOM","RUIM"))),"")</f>
        <v>BOM</v>
      </c>
      <c r="Q83" s="21" t="s">
        <v>667</v>
      </c>
      <c r="R83" s="12" t="s">
        <v>683</v>
      </c>
      <c r="S83" s="12" t="s">
        <v>680</v>
      </c>
      <c r="T83" s="12" t="s">
        <v>223</v>
      </c>
      <c r="U8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8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83" s="12">
        <f>IF(AND(Tabela1[[#This Row],[SETOR]]="UTI",Tabela1[[#This Row],[M]]&lt;&gt;""),1,IF(AND(Tabela1[[#This Row],[SETOR]]="UTI (RJ)",Tabela1[[#This Row],[M]]&lt;&gt;""),1.5,0))</f>
        <v>0</v>
      </c>
      <c r="X83" s="12">
        <f>IF(AND(Tabela1[[#This Row],[SETOR]]="UTI",Tabela1[[#This Row],[PA2]]&lt;&gt;""),1,IF(AND(Tabela1[[#This Row],[SETOR]]="UTI (RJ)",Tabela1[[#This Row],[PA2]]&lt;&gt;""),0,0))</f>
        <v>0</v>
      </c>
      <c r="Y83" s="12">
        <f>IF(AND(Tabela1[[#This Row],[SETOR]]="UTI",Tabela1[[#This Row],[C]]&lt;&gt;""),1,IF(AND(Tabela1[[#This Row],[SETOR]]="UTI (RJ)",Tabela1[[#This Row],[C]]&lt;&gt;""),1.5,0))</f>
        <v>0</v>
      </c>
      <c r="Z83" s="12">
        <f>IF(AND(Tabela1[[#This Row],[SETOR]]="UTI",Tabela1[[#This Row],[PL]]&lt;&gt;""),1,IF(AND(Tabela1[[#This Row],[SETOR]]="UTI (RJ)",Tabela1[[#This Row],[PL]]&lt;&gt;""),1,0))</f>
        <v>0</v>
      </c>
      <c r="AA83" s="21">
        <f>IFERROR(VLOOKUP(Tabela1[[#This Row],[MÊS]]&amp;Tabela1[[#This Row],[MATRICULA]]&amp;"1"&amp;Tabela1[[#This Row],[SETOR]]&amp;"PADRÃO",BD!B:AF,31,0),"")</f>
        <v>9.16</v>
      </c>
      <c r="AB83" s="21">
        <f>IFERROR(VLOOKUP(Tabela1[[#This Row],[MÊS]]&amp;Tabela1[[#This Row],[MATRICULA]]&amp;"2"&amp;Tabela1[[#This Row],[SETOR]]&amp;"PADRÃO",BD!B:AF,31,0),"")</f>
        <v>9.7900000000000027</v>
      </c>
      <c r="AC83" s="21" t="str">
        <f>IFERROR(VLOOKUP(Tabela1[[#This Row],[MÊS]]&amp;Tabela1[[#This Row],[MATRICULA]]&amp;"3"&amp;Tabela1[[#This Row],[SETOR]]&amp;"PADRÃO",BD!B:AF,31,0),"")</f>
        <v/>
      </c>
      <c r="AD83" s="21" t="str">
        <f>IFERROR(VLOOKUP(Tabela1[[#This Row],[MÊS]]&amp;Tabela1[[#This Row],[MATRICULA]]&amp;"4"&amp;Tabela1[[#This Row],[SETOR]]&amp;"PADRÃO",BD!B:AF,25,0),"")</f>
        <v/>
      </c>
      <c r="AE83" s="21" t="str">
        <f>IFERROR(VLOOKUP(Tabela1[[#This Row],[MÊS]]&amp;Tabela1[[#This Row],[MATRICULA]]&amp;"5"&amp;Tabela1[[#This Row],[SETOR]]&amp;"PADRÃO",BD!B:AF,31,0),"")</f>
        <v/>
      </c>
      <c r="AF83" s="21" t="str">
        <f>IFERROR(VLOOKUP(Tabela1[[#This Row],[MÊS]]&amp;Tabela1[[#This Row],[MATRICULA]]&amp;"6"&amp;Tabela1[[#This Row],[SETOR]]&amp;"PADRÃO",BD!B:AF,31,0),"")</f>
        <v/>
      </c>
      <c r="AG83" s="21" t="str">
        <f>IFERROR(VLOOKUP(Tabela1[[#This Row],[MÊS]]&amp;Tabela1[[#This Row],[MATRICULA]]&amp;"7"&amp;Tabela1[[#This Row],[SETOR]]&amp;"PADRÃO",BD!B:AF,31,0),"")</f>
        <v/>
      </c>
      <c r="AH83" s="21" t="str">
        <f>IFERROR(VLOOKUP(Tabela1[[#This Row],[MÊS]]&amp;Tabela1[[#This Row],[ID]]&amp;Tabela1[[#This Row],[MATRICULA]]&amp;"Receptiva"&amp;Tabela1[[#This Row],[SETOR]],BD!A:AF,31,0),"")</f>
        <v/>
      </c>
      <c r="AI83" s="21" t="str">
        <f>IFERROR(VLOOKUP(Tabela1[[#This Row],[MÊS]]&amp;Tabela1[[#This Row],[ID]]&amp;Tabela1[[#This Row],[MATRICULA]]&amp;"Receptiva 2"&amp;Tabela1[[#This Row],[SETOR]],BD!A:AF,31,0),"")</f>
        <v/>
      </c>
      <c r="AJ83" s="21" t="str">
        <f>IFERROR(VLOOKUP(Tabela1[[#This Row],[MÊS]]&amp;Tabela1[[#This Row],[ID]]&amp;Tabela1[[#This Row],[MATRICULA]]&amp;"Receptiva 3"&amp;Tabela1[[#This Row],[SETOR]],BD!A:AF,31,0),"")</f>
        <v/>
      </c>
      <c r="AK83" s="21" t="str">
        <f>IFERROR(VLOOKUP(Tabela1[[#This Row],[MÊS]]&amp;Tabela1[[#This Row],[ID]]&amp;Tabela1[[#This Row],[MATRICULA]]&amp;"Receptiva 4"&amp;Tabela1[[#This Row],[SETOR]],BD!A:AF,31,0),"")</f>
        <v/>
      </c>
      <c r="AL83" s="21" t="str">
        <f>IFERROR(VLOOKUP(Tabela1[[#This Row],[MÊS]]&amp;Tabela1[[#This Row],[MATRICULA]]&amp;"Motorista"&amp;Tabela1[[#This Row],[SETOR]],BD!A:AF,31,0),"")</f>
        <v/>
      </c>
      <c r="AM83" s="21" t="str">
        <f>IFERROR(VLOOKUP(Tabela1[[#This Row],[MÊS]]&amp;Tabela1[[#This Row],[ID]]&amp;Tabela1[[#This Row],[MATRICULA]]&amp;"Motorista 2"&amp;Tabela1[[#This Row],[SETOR]],BD!A:AF,26,0),"")</f>
        <v/>
      </c>
      <c r="AN83" s="21" t="str">
        <f>IFERROR(VLOOKUP(Tabela1[[#This Row],[MÊS]]&amp;Tabela1[[#This Row],[ID]]&amp;Tabela1[[#This Row],[MATRICULA]]&amp;"Motorista 3"&amp;Tabela1[[#This Row],[SETOR]],BD!A:AF,26,0),"")</f>
        <v/>
      </c>
      <c r="AO83" s="21" t="str">
        <f>IFERROR(VLOOKUP(Tabela1[[#This Row],[MÊS]]&amp;Tabela1[[#This Row],[ID]]&amp;Tabela1[[#This Row],[MATRICULA]]&amp;"Motorista 4"&amp;Tabela1[[#This Row],[SETOR]],BD!A:AF,26,0),"")</f>
        <v/>
      </c>
      <c r="AP83" s="21" t="str">
        <f>IFERROR(VLOOKUP(Tabela1[[#This Row],[MÊS]]&amp;Tabela1[[#This Row],[MATRICULA]]&amp;"Ponto de Apoio"&amp;Tabela1[[#This Row],[SETOR]],BD!A:AF,31,0),"")</f>
        <v/>
      </c>
      <c r="AQ83" s="21" t="str">
        <f>IFERROR(VLOOKUP(Tabela1[[#This Row],[MÊS]]&amp;Tabela1[[#This Row],[ID]]&amp;Tabela1[[#This Row],[MATRICULA]]&amp;"Ponto de Apoio 2"&amp;Tabela1[[#This Row],[SETOR]],BD!A:AF,26,0),"")</f>
        <v/>
      </c>
      <c r="AR83" s="36" t="str">
        <f>IFERROR(VLOOKUP(Tabela1[[#This Row],[MÊS]]&amp;Tabela1[[#This Row],[ID]]&amp;Tabela1[[#This Row],[MATRICULA]]&amp;"Ponto de Apoio 3"&amp;Tabela1[[#This Row],[SETOR]],BD!A:AF,26,0),"")</f>
        <v/>
      </c>
      <c r="AS83" s="36" t="str">
        <f>IFERROR(VLOOKUP(Tabela1[[#This Row],[MÊS]]&amp;Tabela1[[#This Row],[ID]]&amp;Tabela1[[#This Row],[MATRICULA]]&amp;"Ponto de Apoio 4"&amp;Tabela1[[#This Row],[SETOR]],BD!A:AF,26,0),"")</f>
        <v/>
      </c>
      <c r="AT83" s="21" t="str">
        <f>IFERROR(VLOOKUP(Tabela1[[#This Row],[MÊS]]&amp;Tabela1[[#This Row],[MATRICULA]]&amp;"Cliente"&amp;Tabela1[[#This Row],[SETOR]],BD!A:AF,31,0),"")</f>
        <v/>
      </c>
      <c r="AU83" s="21" t="str">
        <f>IFERROR(VLOOKUP(Tabela1[[#This Row],[MÊS]]&amp;Tabela1[[#This Row],[ID]]&amp;Tabela1[[#This Row],[MATRICULA]]&amp;"Cliente 2"&amp;Tabela1[[#This Row],[SETOR]],BD!A:AF,26,0),"")</f>
        <v/>
      </c>
      <c r="AX83" s="21" t="str">
        <f>IFERROR(VLOOKUP(Tabela1[[#This Row],[MÊS]]&amp;Tabela1[[#This Row],[MATRICULA]]&amp;"Policia"&amp;Tabela1[[#This Row],[SETOR]],BD!A:AF,31,0),"")</f>
        <v/>
      </c>
      <c r="AY83" s="21" t="str">
        <f>IFERROR(VLOOKUP(Tabela1[[#This Row],[MÊS]]&amp;Tabela1[[#This Row],[ID]]&amp;Tabela1[[#This Row],[MATRICULA]]&amp;"Policia 2"&amp;Tabela1[[#This Row],[SETOR]],BD!A:AF,26,0),"")</f>
        <v/>
      </c>
      <c r="AZ83" s="36" t="str">
        <f>IFERROR(VLOOKUP(Tabela1[[#This Row],[MÊS]]&amp;Tabela1[[#This Row],[ID]]&amp;Tabela1[[#This Row],[MATRICULA]]&amp;"Policia 3"&amp;Tabela1[[#This Row],[SETOR]],BD!A:AF,26,0),"")</f>
        <v/>
      </c>
      <c r="BA83" s="36" t="str">
        <f>IFERROR(VLOOKUP(Tabela1[[#This Row],[MÊS]]&amp;Tabela1[[#This Row],[ID]]&amp;Tabela1[[#This Row],[MATRICULA]]&amp;"Policia 4"&amp;Tabela1[[#This Row],[SETOR]],BD!A:AF,26,0),"")</f>
        <v/>
      </c>
      <c r="BB8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3" s="21" t="str">
        <f>IFERROR(AVERAGE(Tabela1[[#This Row],[M]:[M4]]),"")</f>
        <v/>
      </c>
      <c r="BD83" s="21" t="str">
        <f>IFERROR(AVERAGE(Tabela1[[#This Row],[C]:[C4]]),"")</f>
        <v/>
      </c>
      <c r="BE83" s="21" t="str">
        <f>IFERROR(AVERAGE(Tabela1[[#This Row],[PA2]:[PA 4]]),"")</f>
        <v/>
      </c>
      <c r="BF83" s="21" t="str">
        <f>IFERROR(AVERAGE(Tabela1[[#This Row],[PL]:[PL4]]),"")</f>
        <v/>
      </c>
      <c r="BG83" s="35" t="str">
        <f>IFERROR(VLOOKUP(Tabela1[[#This Row],[MÊS]]&amp;Tabela1[[#This Row],[MATRICULA]],#REF!,2,0),"")</f>
        <v/>
      </c>
      <c r="BH83" s="35" t="str">
        <f>IFERROR(VLOOKUP(Tabela1[[#This Row],[MÊS]]&amp;Tabela1[[#This Row],[MATRICULA]],#REF!,2,0),"")</f>
        <v/>
      </c>
      <c r="BI83" s="35" t="str">
        <f>IFERROR(VLOOKUP(Tabela1[[#This Row],[MÊS]]&amp;Tabela1[[#This Row],[MATRICULA]],#REF!,2,0),"")</f>
        <v/>
      </c>
      <c r="BJ83" s="35" t="str">
        <f>IFERROR(VLOOKUP(Tabela1[[#This Row],[MÊS]]&amp;Tabela1[[#This Row],[MATRICULA]],#REF!,2,0),"")</f>
        <v/>
      </c>
      <c r="BK83" s="35" t="str">
        <f>IFERROR(VLOOKUP(Tabela1[[#This Row],[MÊS]]&amp;Tabela1[[#This Row],[MATRICULA]],#REF!,2,0),"")</f>
        <v/>
      </c>
      <c r="BL83" s="21">
        <f>COUNTIF(Tabela1[[#This Row],[MOT2]:[RECEPTIVA]],"NÃO ENCONTRADA")</f>
        <v>0</v>
      </c>
      <c r="BM83" s="135" t="str">
        <f>IFERROR(VLOOKUP(Tabela1[[#This Row],[MÊS]]&amp;Tabela1[[#This Row],[ID]]&amp;Tabela1[[#This Row],[MATRICULA]]&amp;"Motorista"&amp;Tabela1[[#This Row],[SETOR]],BD!A:AF,13,0),"")</f>
        <v/>
      </c>
      <c r="BN83" s="135" t="str">
        <f>IFERROR(VLOOKUP(Tabela1[[#This Row],[MÊS]]&amp;Tabela1[[#This Row],[ID]]&amp;Tabela1[[#This Row],[MATRICULA]]&amp;"Motorista 2"&amp;Tabela1[[#This Row],[SETOR]],BD!A:AF,13,0),"")</f>
        <v/>
      </c>
      <c r="BO83" s="135" t="str">
        <f>IFERROR(VLOOKUP(Tabela1[[#This Row],[MÊS]]&amp;Tabela1[[#This Row],[ID]]&amp;Tabela1[[#This Row],[MATRICULA]]&amp;"Motorista 3"&amp;Tabela1[[#This Row],[SETOR]],BD!A:AF,13,0),"")</f>
        <v/>
      </c>
      <c r="BP83" s="135" t="str">
        <f>IFERROR(VLOOKUP(Tabela1[[#This Row],[MÊS]]&amp;Tabela1[[#This Row],[ID]]&amp;Tabela1[[#This Row],[MATRICULA]]&amp;"Motorista 4"&amp;Tabela1[[#This Row],[SETOR]],BD!A:AF,13,0),"")</f>
        <v/>
      </c>
      <c r="BQ83" s="135" t="str">
        <f>IFERROR(AVERAGE(Tabela1[[#This Row],[DMOT]:[DMOT4]]),"")</f>
        <v/>
      </c>
      <c r="BR83" s="135" t="str">
        <f>IFERROR(VLOOKUP(Tabela1[[#This Row],[MÊS]]&amp;Tabela1[[#This Row],[ID]]&amp;Tabela1[[#This Row],[MATRICULA]]&amp;"Ponto de Apoio"&amp;Tabela1[[#This Row],[SETOR]],BD!A:AF,13,0),"")</f>
        <v/>
      </c>
      <c r="BS83" s="135" t="str">
        <f>IFERROR(VLOOKUP(Tabela1[[#This Row],[MÊS]]&amp;Tabela1[[#This Row],[ID]]&amp;Tabela1[[#This Row],[MATRICULA]]&amp;"Ponto de Apoio 2"&amp;Tabela1[[#This Row],[SETOR]],BD!A:AF,13,0),"")</f>
        <v/>
      </c>
      <c r="BT83" s="135" t="str">
        <f>IFERROR(VLOOKUP(Tabela1[[#This Row],[MÊS]]&amp;Tabela1[[#This Row],[ID]]&amp;Tabela1[[#This Row],[MATRICULA]]&amp;"Ponto de Apoio 3"&amp;Tabela1[[#This Row],[SETOR]],BD!A:AF,13,0),"")</f>
        <v/>
      </c>
      <c r="BU83" s="135" t="str">
        <f>IFERROR(VLOOKUP(Tabela1[[#This Row],[MÊS]]&amp;Tabela1[[#This Row],[ID]]&amp;Tabela1[[#This Row],[MATRICULA]]&amp;"Ponto de Apoio 4"&amp;Tabela1[[#This Row],[SETOR]],BD!A:AF,13,0),"")</f>
        <v/>
      </c>
      <c r="BV83" s="135" t="str">
        <f>IFERROR(AVERAGE(Tabela1[[#This Row],[DPA]:[DPA 4]]),"")</f>
        <v/>
      </c>
      <c r="BW83" s="135" t="str">
        <f>IFERROR(VLOOKUP(Tabela1[[#This Row],[MÊS]]&amp;Tabela1[[#This Row],[ID]]&amp;Tabela1[[#This Row],[MATRICULA]]&amp;"Cliente"&amp;Tabela1[[#This Row],[SETOR]],BD!A:AF,13,0),"")</f>
        <v/>
      </c>
      <c r="BX83" s="135" t="str">
        <f>IFERROR(VLOOKUP(Tabela1[[#This Row],[MÊS]]&amp;Tabela1[[#This Row],[ID]]&amp;Tabela1[[#This Row],[MATRICULA]]&amp;"cliente 2"&amp;Tabela1[[#This Row],[SETOR]],BD!A:AF,13,0),"")</f>
        <v/>
      </c>
      <c r="BY83" s="135" t="str">
        <f>IFERROR(VLOOKUP(Tabela1[[#This Row],[MÊS]]&amp;Tabela1[[#This Row],[ID]]&amp;Tabela1[[#This Row],[MATRICULA]]&amp;"cliente 3"&amp;Tabela1[[#This Row],[SETOR]],BD!A:AF,13,0),"")</f>
        <v/>
      </c>
      <c r="BZ83" s="135" t="str">
        <f>IFERROR(VLOOKUP(Tabela1[[#This Row],[MÊS]]&amp;Tabela1[[#This Row],[ID]]&amp;Tabela1[[#This Row],[MATRICULA]]&amp;"cliente 4"&amp;Tabela1[[#This Row],[SETOR]],BD!A:AF,13,0),"")</f>
        <v/>
      </c>
      <c r="CA83" s="135" t="str">
        <f>IFERROR(AVERAGE(Tabela1[[#This Row],[DCLI]:[DCLI 4]]),"")</f>
        <v/>
      </c>
      <c r="CB83" s="135" t="str">
        <f>IFERROR(VLOOKUP(Tabela1[[#This Row],[MÊS]]&amp;Tabela1[[#This Row],[ID]]&amp;Tabela1[[#This Row],[MATRICULA]]&amp;"Policia"&amp;Tabela1[[#This Row],[SETOR]],BD!A:AF,13,0),"")</f>
        <v/>
      </c>
      <c r="CC83" s="135" t="str">
        <f>IFERROR(VLOOKUP(Tabela1[[#This Row],[MÊS]]&amp;Tabela1[[#This Row],[ID]]&amp;Tabela1[[#This Row],[MATRICULA]]&amp;"Policia 2"&amp;Tabela1[[#This Row],[SETOR]],BD!A:AF,13,0),"")</f>
        <v/>
      </c>
      <c r="CD83" s="135"/>
      <c r="CE83" s="135"/>
      <c r="CF83" s="135" t="str">
        <f>IFERROR((AVERAGE(Tabela1[[#This Row],[DPOL1]:[DPOL4]])),"")</f>
        <v/>
      </c>
      <c r="CG83" s="21" t="str">
        <f>IFERROR(VLOOKUP(Tabela1[[#This Row],[ID]]&amp;Tabela1[[#This Row],[MÊS]]&amp;Tabela1[[#This Row],[MATRICULA]],#REF!,2,0),"")</f>
        <v/>
      </c>
      <c r="CH83" s="21" t="str">
        <f>IFERROR(VLOOKUP(Tabela1[[#This Row],[ID]]&amp;Tabela1[[#This Row],[MÊS]]&amp;Tabela1[[#This Row],[MATRICULA]],#REF!,2,0),"")</f>
        <v/>
      </c>
      <c r="CI83" s="21" t="str">
        <f>IFERROR(VLOOKUP(Tabela1[[#This Row],[MÊS]]&amp;Tabela1[[#This Row],[MATRICULA]],#REF!,2,0),"")</f>
        <v/>
      </c>
    </row>
    <row r="84" spans="1:87">
      <c r="A84" s="12" t="str">
        <f>Tabela1[[#This Row],[MÊS]]&amp;Tabela1[[#This Row],[MATRICULA]]&amp;Tabela1[[#This Row],[ID]]</f>
        <v>JAN1121613</v>
      </c>
      <c r="B84" s="12" t="str">
        <f>Tabela1[[#This Row],[MÊS]]&amp;Tabela1[[#This Row],[ID]]&amp;Tabela1[[#This Row],[MATRICULA]]&amp;Tabela1[[#This Row],[SETOR]]</f>
        <v>JAN1311216UTI</v>
      </c>
      <c r="C84" s="130" t="e">
        <f>VLOOKUP(Tabela1[[#This Row],[MATRICULA]],'BD Campos'!A:D,5,0)</f>
        <v>#REF!</v>
      </c>
      <c r="D84" s="133" t="str">
        <f ca="1">IFERROR(SUM(TODAY()-Tabela1[[#This Row],[ADMISSÃO]]),"")</f>
        <v/>
      </c>
      <c r="E84" s="11" t="str">
        <f ca="1">IFERROR(TRUNC(Tabela1[[#This Row],[TEMPO DE CASA (DIAS)]]/30),"")</f>
        <v/>
      </c>
      <c r="F84" s="32" t="str">
        <f ca="1">IFERROR(SUM(Tabela1[[#This Row],[TEMPO DE CASA (MESES)]]/12),"")</f>
        <v/>
      </c>
      <c r="G84" s="133" t="str">
        <f ca="1">IF(Tabela1[[#This Row],[TEMPO DE CASA (DIAS)]]="","SEM DADOS",IF(Tabela1[[#This Row],[TEMPO DE CASA (DIAS)]]&gt;180,"&gt; 6 MESES","&lt; 6 MESES"))</f>
        <v>SEM DADOS</v>
      </c>
      <c r="H84" s="12" t="str">
        <f t="shared" si="8"/>
        <v>JANGeniffer Maciel13</v>
      </c>
      <c r="I84" s="12" t="str">
        <f>IFERROR(VLOOKUP(Tabela1[[#This Row],[MATRICULA]],'BD Campos'!A:F,7,0),"")</f>
        <v/>
      </c>
      <c r="J84" s="11">
        <v>13</v>
      </c>
      <c r="K84" s="11" t="s">
        <v>669</v>
      </c>
      <c r="L84" s="136">
        <v>11216</v>
      </c>
      <c r="M84" s="12" t="str">
        <f>IFERROR(VLOOKUP(Tabela1[[#This Row],[MATRICULA]],'BD Campos'!A:B,2,0),"")</f>
        <v>YECZIBETH VALENTINA LÓPEZ SALAZAR</v>
      </c>
      <c r="N84" s="20" t="str">
        <f>IFERROR(AVERAGE(Tabela1[[#This Row],[A1]:[A4]]),"")</f>
        <v/>
      </c>
      <c r="O84" s="20" t="str">
        <f>IFERROR(IF(Tabela1[[#This Row],[SETOR]]="RECEPTIVO","",AVERAGE(Tabela1[[#This Row],[A5]:[A6]])),"")</f>
        <v/>
      </c>
      <c r="P84" s="20" t="str">
        <f>IFERROR(IF(Tabela1[[#This Row],[STATUS]]="INATIVO","INATIVO",IF(Tabela1[[#This Row],[STATUS]]="QRT","INATIVO",IF(Tabela1[[#This Row],[OPERACIONAL]]&gt;7.99999,"BOM","RUIM"))),"")</f>
        <v>INATIVO</v>
      </c>
      <c r="Q84" s="21" t="s">
        <v>670</v>
      </c>
      <c r="R84" s="12" t="s">
        <v>685</v>
      </c>
      <c r="S84" s="12" t="s">
        <v>680</v>
      </c>
      <c r="T84" s="12" t="s">
        <v>128</v>
      </c>
      <c r="U8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84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84" s="12">
        <f>IF(AND(Tabela1[[#This Row],[SETOR]]="UTI",Tabela1[[#This Row],[M]]&lt;&gt;""),1,IF(AND(Tabela1[[#This Row],[SETOR]]="UTI (RJ)",Tabela1[[#This Row],[M]]&lt;&gt;""),1.5,0))</f>
        <v>0</v>
      </c>
      <c r="X84" s="12">
        <f>IF(AND(Tabela1[[#This Row],[SETOR]]="UTI",Tabela1[[#This Row],[PA2]]&lt;&gt;""),1,IF(AND(Tabela1[[#This Row],[SETOR]]="UTI (RJ)",Tabela1[[#This Row],[PA2]]&lt;&gt;""),0,0))</f>
        <v>0</v>
      </c>
      <c r="Y84" s="12">
        <f>IF(AND(Tabela1[[#This Row],[SETOR]]="UTI",Tabela1[[#This Row],[C]]&lt;&gt;""),1,IF(AND(Tabela1[[#This Row],[SETOR]]="UTI (RJ)",Tabela1[[#This Row],[C]]&lt;&gt;""),1.5,0))</f>
        <v>0</v>
      </c>
      <c r="Z84" s="12">
        <f>IF(AND(Tabela1[[#This Row],[SETOR]]="UTI",Tabela1[[#This Row],[PL]]&lt;&gt;""),1,IF(AND(Tabela1[[#This Row],[SETOR]]="UTI (RJ)",Tabela1[[#This Row],[PL]]&lt;&gt;""),1,0))</f>
        <v>0</v>
      </c>
      <c r="AA84" s="21" t="str">
        <f>IFERROR(VLOOKUP(Tabela1[[#This Row],[MÊS]]&amp;Tabela1[[#This Row],[MATRICULA]]&amp;"1"&amp;Tabela1[[#This Row],[SETOR]]&amp;"PADRÃO",BD!B:AF,31,0),"")</f>
        <v/>
      </c>
      <c r="AB84" s="21" t="str">
        <f>IFERROR(VLOOKUP(Tabela1[[#This Row],[MÊS]]&amp;Tabela1[[#This Row],[MATRICULA]]&amp;"2"&amp;Tabela1[[#This Row],[SETOR]]&amp;"PADRÃO",BD!B:AF,31,0),"")</f>
        <v/>
      </c>
      <c r="AC84" s="21" t="str">
        <f>IFERROR(VLOOKUP(Tabela1[[#This Row],[MÊS]]&amp;Tabela1[[#This Row],[MATRICULA]]&amp;"3"&amp;Tabela1[[#This Row],[SETOR]]&amp;"PADRÃO",BD!B:AF,31,0),"")</f>
        <v/>
      </c>
      <c r="AD84" s="21" t="str">
        <f>IFERROR(VLOOKUP(Tabela1[[#This Row],[MÊS]]&amp;Tabela1[[#This Row],[MATRICULA]]&amp;"4"&amp;Tabela1[[#This Row],[SETOR]]&amp;"PADRÃO",BD!B:AF,25,0),"")</f>
        <v/>
      </c>
      <c r="AE84" s="21" t="str">
        <f>IFERROR(VLOOKUP(Tabela1[[#This Row],[MÊS]]&amp;Tabela1[[#This Row],[MATRICULA]]&amp;"5"&amp;Tabela1[[#This Row],[SETOR]]&amp;"PADRÃO",BD!B:AF,31,0),"")</f>
        <v/>
      </c>
      <c r="AF84" s="21" t="str">
        <f>IFERROR(VLOOKUP(Tabela1[[#This Row],[MÊS]]&amp;Tabela1[[#This Row],[MATRICULA]]&amp;"6"&amp;Tabela1[[#This Row],[SETOR]]&amp;"PADRÃO",BD!B:AF,31,0),"")</f>
        <v/>
      </c>
      <c r="AG84" s="21" t="str">
        <f>IFERROR(VLOOKUP(Tabela1[[#This Row],[MÊS]]&amp;Tabela1[[#This Row],[MATRICULA]]&amp;"7"&amp;Tabela1[[#This Row],[SETOR]]&amp;"PADRÃO",BD!B:AF,31,0),"")</f>
        <v/>
      </c>
      <c r="AH84" s="21" t="str">
        <f>IFERROR(VLOOKUP(Tabela1[[#This Row],[MÊS]]&amp;Tabela1[[#This Row],[ID]]&amp;Tabela1[[#This Row],[MATRICULA]]&amp;"Receptiva"&amp;Tabela1[[#This Row],[SETOR]],BD!A:AF,31,0),"")</f>
        <v/>
      </c>
      <c r="AI84" s="21" t="str">
        <f>IFERROR(VLOOKUP(Tabela1[[#This Row],[MÊS]]&amp;Tabela1[[#This Row],[ID]]&amp;Tabela1[[#This Row],[MATRICULA]]&amp;"Receptiva 2"&amp;Tabela1[[#This Row],[SETOR]],BD!A:AF,31,0),"")</f>
        <v/>
      </c>
      <c r="AJ84" s="21" t="str">
        <f>IFERROR(VLOOKUP(Tabela1[[#This Row],[MÊS]]&amp;Tabela1[[#This Row],[ID]]&amp;Tabela1[[#This Row],[MATRICULA]]&amp;"Receptiva 3"&amp;Tabela1[[#This Row],[SETOR]],BD!A:AF,31,0),"")</f>
        <v/>
      </c>
      <c r="AK84" s="21" t="str">
        <f>IFERROR(VLOOKUP(Tabela1[[#This Row],[MÊS]]&amp;Tabela1[[#This Row],[ID]]&amp;Tabela1[[#This Row],[MATRICULA]]&amp;"Receptiva 4"&amp;Tabela1[[#This Row],[SETOR]],BD!A:AF,31,0),"")</f>
        <v/>
      </c>
      <c r="AL84" s="21" t="str">
        <f>IFERROR(VLOOKUP(Tabela1[[#This Row],[MÊS]]&amp;Tabela1[[#This Row],[MATRICULA]]&amp;"Motorista"&amp;Tabela1[[#This Row],[SETOR]],BD!A:AF,31,0),"")</f>
        <v/>
      </c>
      <c r="AM84" s="21" t="str">
        <f>IFERROR(VLOOKUP(Tabela1[[#This Row],[MÊS]]&amp;Tabela1[[#This Row],[ID]]&amp;Tabela1[[#This Row],[MATRICULA]]&amp;"Motorista 2"&amp;Tabela1[[#This Row],[SETOR]],BD!A:AF,26,0),"")</f>
        <v/>
      </c>
      <c r="AN84" s="21" t="str">
        <f>IFERROR(VLOOKUP(Tabela1[[#This Row],[MÊS]]&amp;Tabela1[[#This Row],[ID]]&amp;Tabela1[[#This Row],[MATRICULA]]&amp;"Motorista 3"&amp;Tabela1[[#This Row],[SETOR]],BD!A:AF,26,0),"")</f>
        <v/>
      </c>
      <c r="AO84" s="21" t="str">
        <f>IFERROR(VLOOKUP(Tabela1[[#This Row],[MÊS]]&amp;Tabela1[[#This Row],[ID]]&amp;Tabela1[[#This Row],[MATRICULA]]&amp;"Motorista 4"&amp;Tabela1[[#This Row],[SETOR]],BD!A:AF,26,0),"")</f>
        <v/>
      </c>
      <c r="AP84" s="21" t="str">
        <f>IFERROR(VLOOKUP(Tabela1[[#This Row],[MÊS]]&amp;Tabela1[[#This Row],[MATRICULA]]&amp;"Ponto de Apoio"&amp;Tabela1[[#This Row],[SETOR]],BD!A:AF,31,0),"")</f>
        <v/>
      </c>
      <c r="AQ84" s="21" t="str">
        <f>IFERROR(VLOOKUP(Tabela1[[#This Row],[MÊS]]&amp;Tabela1[[#This Row],[ID]]&amp;Tabela1[[#This Row],[MATRICULA]]&amp;"Ponto de Apoio 2"&amp;Tabela1[[#This Row],[SETOR]],BD!A:AF,26,0),"")</f>
        <v/>
      </c>
      <c r="AR84" s="36" t="str">
        <f>IFERROR(VLOOKUP(Tabela1[[#This Row],[MÊS]]&amp;Tabela1[[#This Row],[ID]]&amp;Tabela1[[#This Row],[MATRICULA]]&amp;"Ponto de Apoio 3"&amp;Tabela1[[#This Row],[SETOR]],BD!A:AF,26,0),"")</f>
        <v/>
      </c>
      <c r="AS84" s="36" t="str">
        <f>IFERROR(VLOOKUP(Tabela1[[#This Row],[MÊS]]&amp;Tabela1[[#This Row],[ID]]&amp;Tabela1[[#This Row],[MATRICULA]]&amp;"Ponto de Apoio 4"&amp;Tabela1[[#This Row],[SETOR]],BD!A:AF,26,0),"")</f>
        <v/>
      </c>
      <c r="AT84" s="21" t="str">
        <f>IFERROR(VLOOKUP(Tabela1[[#This Row],[MÊS]]&amp;Tabela1[[#This Row],[MATRICULA]]&amp;"Cliente"&amp;Tabela1[[#This Row],[SETOR]],BD!A:AF,31,0),"")</f>
        <v/>
      </c>
      <c r="AU84" s="21" t="str">
        <f>IFERROR(VLOOKUP(Tabela1[[#This Row],[MÊS]]&amp;Tabela1[[#This Row],[ID]]&amp;Tabela1[[#This Row],[MATRICULA]]&amp;"Cliente 2"&amp;Tabela1[[#This Row],[SETOR]],BD!A:AF,26,0),"")</f>
        <v/>
      </c>
      <c r="AX84" s="21" t="str">
        <f>IFERROR(VLOOKUP(Tabela1[[#This Row],[MÊS]]&amp;Tabela1[[#This Row],[MATRICULA]]&amp;"Policia"&amp;Tabela1[[#This Row],[SETOR]],BD!A:AF,31,0),"")</f>
        <v/>
      </c>
      <c r="AY84" s="21" t="str">
        <f>IFERROR(VLOOKUP(Tabela1[[#This Row],[MÊS]]&amp;Tabela1[[#This Row],[ID]]&amp;Tabela1[[#This Row],[MATRICULA]]&amp;"Policia 2"&amp;Tabela1[[#This Row],[SETOR]],BD!A:AF,26,0),"")</f>
        <v/>
      </c>
      <c r="AZ84" s="36" t="str">
        <f>IFERROR(VLOOKUP(Tabela1[[#This Row],[MÊS]]&amp;Tabela1[[#This Row],[ID]]&amp;Tabela1[[#This Row],[MATRICULA]]&amp;"Policia 3"&amp;Tabela1[[#This Row],[SETOR]],BD!A:AF,26,0),"")</f>
        <v/>
      </c>
      <c r="BA84" s="36" t="str">
        <f>IFERROR(VLOOKUP(Tabela1[[#This Row],[MÊS]]&amp;Tabela1[[#This Row],[ID]]&amp;Tabela1[[#This Row],[MATRICULA]]&amp;"Policia 4"&amp;Tabela1[[#This Row],[SETOR]],BD!A:AF,26,0),"")</f>
        <v/>
      </c>
      <c r="BB8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4" s="21" t="str">
        <f>IFERROR(AVERAGE(Tabela1[[#This Row],[M]:[M4]]),"")</f>
        <v/>
      </c>
      <c r="BD84" s="21" t="str">
        <f>IFERROR(AVERAGE(Tabela1[[#This Row],[C]:[C4]]),"")</f>
        <v/>
      </c>
      <c r="BE84" s="21" t="str">
        <f>IFERROR(AVERAGE(Tabela1[[#This Row],[PA2]:[PA 4]]),"")</f>
        <v/>
      </c>
      <c r="BF84" s="21" t="str">
        <f>IFERROR(AVERAGE(Tabela1[[#This Row],[PL]:[PL4]]),"")</f>
        <v/>
      </c>
      <c r="BG84" s="35" t="str">
        <f>IFERROR(VLOOKUP(Tabela1[[#This Row],[MÊS]]&amp;Tabela1[[#This Row],[MATRICULA]],#REF!,2,0),"")</f>
        <v/>
      </c>
      <c r="BH84" s="35" t="str">
        <f>IFERROR(VLOOKUP(Tabela1[[#This Row],[MÊS]]&amp;Tabela1[[#This Row],[MATRICULA]],#REF!,2,0),"")</f>
        <v/>
      </c>
      <c r="BI84" s="35" t="str">
        <f>IFERROR(VLOOKUP(Tabela1[[#This Row],[MÊS]]&amp;Tabela1[[#This Row],[MATRICULA]],#REF!,2,0),"")</f>
        <v/>
      </c>
      <c r="BJ84" s="35" t="str">
        <f>IFERROR(VLOOKUP(Tabela1[[#This Row],[MÊS]]&amp;Tabela1[[#This Row],[MATRICULA]],#REF!,2,0),"")</f>
        <v/>
      </c>
      <c r="BK84" s="35" t="str">
        <f>IFERROR(VLOOKUP(Tabela1[[#This Row],[MÊS]]&amp;Tabela1[[#This Row],[MATRICULA]],#REF!,2,0),"")</f>
        <v/>
      </c>
      <c r="BL84" s="21">
        <f>COUNTIF(Tabela1[[#This Row],[MOT2]:[RECEPTIVA]],"NÃO ENCONTRADA")</f>
        <v>0</v>
      </c>
      <c r="BM84" s="135" t="str">
        <f>IFERROR(VLOOKUP(Tabela1[[#This Row],[MÊS]]&amp;Tabela1[[#This Row],[ID]]&amp;Tabela1[[#This Row],[MATRICULA]]&amp;"Motorista"&amp;Tabela1[[#This Row],[SETOR]],BD!A:AF,13,0),"")</f>
        <v/>
      </c>
      <c r="BN84" s="135" t="str">
        <f>IFERROR(VLOOKUP(Tabela1[[#This Row],[MÊS]]&amp;Tabela1[[#This Row],[ID]]&amp;Tabela1[[#This Row],[MATRICULA]]&amp;"Motorista 2"&amp;Tabela1[[#This Row],[SETOR]],BD!A:AF,13,0),"")</f>
        <v/>
      </c>
      <c r="BO84" s="135" t="str">
        <f>IFERROR(VLOOKUP(Tabela1[[#This Row],[MÊS]]&amp;Tabela1[[#This Row],[ID]]&amp;Tabela1[[#This Row],[MATRICULA]]&amp;"Motorista 3"&amp;Tabela1[[#This Row],[SETOR]],BD!A:AF,13,0),"")</f>
        <v/>
      </c>
      <c r="BP84" s="135" t="str">
        <f>IFERROR(VLOOKUP(Tabela1[[#This Row],[MÊS]]&amp;Tabela1[[#This Row],[ID]]&amp;Tabela1[[#This Row],[MATRICULA]]&amp;"Motorista 4"&amp;Tabela1[[#This Row],[SETOR]],BD!A:AF,13,0),"")</f>
        <v/>
      </c>
      <c r="BQ84" s="135" t="str">
        <f>IFERROR(AVERAGE(Tabela1[[#This Row],[DMOT]:[DMOT4]]),"")</f>
        <v/>
      </c>
      <c r="BR84" s="135" t="str">
        <f>IFERROR(VLOOKUP(Tabela1[[#This Row],[MÊS]]&amp;Tabela1[[#This Row],[ID]]&amp;Tabela1[[#This Row],[MATRICULA]]&amp;"Ponto de Apoio"&amp;Tabela1[[#This Row],[SETOR]],BD!A:AF,13,0),"")</f>
        <v/>
      </c>
      <c r="BS84" s="135" t="str">
        <f>IFERROR(VLOOKUP(Tabela1[[#This Row],[MÊS]]&amp;Tabela1[[#This Row],[ID]]&amp;Tabela1[[#This Row],[MATRICULA]]&amp;"Ponto de Apoio 2"&amp;Tabela1[[#This Row],[SETOR]],BD!A:AF,13,0),"")</f>
        <v/>
      </c>
      <c r="BT84" s="135" t="str">
        <f>IFERROR(VLOOKUP(Tabela1[[#This Row],[MÊS]]&amp;Tabela1[[#This Row],[ID]]&amp;Tabela1[[#This Row],[MATRICULA]]&amp;"Ponto de Apoio 3"&amp;Tabela1[[#This Row],[SETOR]],BD!A:AF,13,0),"")</f>
        <v/>
      </c>
      <c r="BU84" s="135" t="str">
        <f>IFERROR(VLOOKUP(Tabela1[[#This Row],[MÊS]]&amp;Tabela1[[#This Row],[ID]]&amp;Tabela1[[#This Row],[MATRICULA]]&amp;"Ponto de Apoio 4"&amp;Tabela1[[#This Row],[SETOR]],BD!A:AF,13,0),"")</f>
        <v/>
      </c>
      <c r="BV84" s="135" t="str">
        <f>IFERROR(AVERAGE(Tabela1[[#This Row],[DPA]:[DPA 4]]),"")</f>
        <v/>
      </c>
      <c r="BW84" s="135" t="str">
        <f>IFERROR(VLOOKUP(Tabela1[[#This Row],[MÊS]]&amp;Tabela1[[#This Row],[ID]]&amp;Tabela1[[#This Row],[MATRICULA]]&amp;"Cliente"&amp;Tabela1[[#This Row],[SETOR]],BD!A:AF,13,0),"")</f>
        <v/>
      </c>
      <c r="BX84" s="135" t="str">
        <f>IFERROR(VLOOKUP(Tabela1[[#This Row],[MÊS]]&amp;Tabela1[[#This Row],[ID]]&amp;Tabela1[[#This Row],[MATRICULA]]&amp;"cliente 2"&amp;Tabela1[[#This Row],[SETOR]],BD!A:AF,13,0),"")</f>
        <v/>
      </c>
      <c r="BY84" s="135" t="str">
        <f>IFERROR(VLOOKUP(Tabela1[[#This Row],[MÊS]]&amp;Tabela1[[#This Row],[ID]]&amp;Tabela1[[#This Row],[MATRICULA]]&amp;"cliente 3"&amp;Tabela1[[#This Row],[SETOR]],BD!A:AF,13,0),"")</f>
        <v/>
      </c>
      <c r="BZ84" s="135" t="str">
        <f>IFERROR(VLOOKUP(Tabela1[[#This Row],[MÊS]]&amp;Tabela1[[#This Row],[ID]]&amp;Tabela1[[#This Row],[MATRICULA]]&amp;"cliente 4"&amp;Tabela1[[#This Row],[SETOR]],BD!A:AF,13,0),"")</f>
        <v/>
      </c>
      <c r="CA84" s="135" t="str">
        <f>IFERROR(AVERAGE(Tabela1[[#This Row],[DCLI]:[DCLI 4]]),"")</f>
        <v/>
      </c>
      <c r="CB84" s="135" t="str">
        <f>IFERROR(VLOOKUP(Tabela1[[#This Row],[MÊS]]&amp;Tabela1[[#This Row],[ID]]&amp;Tabela1[[#This Row],[MATRICULA]]&amp;"Policia"&amp;Tabela1[[#This Row],[SETOR]],BD!A:AF,13,0),"")</f>
        <v/>
      </c>
      <c r="CC84" s="135" t="str">
        <f>IFERROR(VLOOKUP(Tabela1[[#This Row],[MÊS]]&amp;Tabela1[[#This Row],[ID]]&amp;Tabela1[[#This Row],[MATRICULA]]&amp;"Policia 2"&amp;Tabela1[[#This Row],[SETOR]],BD!A:AF,13,0),"")</f>
        <v/>
      </c>
      <c r="CD84" s="135"/>
      <c r="CE84" s="135"/>
      <c r="CF84" s="135" t="str">
        <f>IFERROR((AVERAGE(Tabela1[[#This Row],[DPOL1]:[DPOL4]])),"")</f>
        <v/>
      </c>
      <c r="CG84" s="21" t="str">
        <f>IFERROR(VLOOKUP(Tabela1[[#This Row],[ID]]&amp;Tabela1[[#This Row],[MÊS]]&amp;Tabela1[[#This Row],[MATRICULA]],#REF!,2,0),"")</f>
        <v/>
      </c>
      <c r="CH84" s="21" t="str">
        <f>IFERROR(VLOOKUP(Tabela1[[#This Row],[ID]]&amp;Tabela1[[#This Row],[MÊS]]&amp;Tabela1[[#This Row],[MATRICULA]],#REF!,2,0),"")</f>
        <v/>
      </c>
      <c r="CI84" s="21" t="str">
        <f>IFERROR(VLOOKUP(Tabela1[[#This Row],[MÊS]]&amp;Tabela1[[#This Row],[MATRICULA]],#REF!,2,0),"")</f>
        <v/>
      </c>
    </row>
    <row r="85" spans="1:87">
      <c r="A85" s="12" t="str">
        <f>Tabela1[[#This Row],[MÊS]]&amp;Tabela1[[#This Row],[MATRICULA]]&amp;Tabela1[[#This Row],[ID]]</f>
        <v>JAN105251</v>
      </c>
      <c r="B85" s="12" t="str">
        <f>Tabela1[[#This Row],[MÊS]]&amp;Tabela1[[#This Row],[ID]]&amp;Tabela1[[#This Row],[MATRICULA]]&amp;Tabela1[[#This Row],[SETOR]]</f>
        <v>JAN110525BAS</v>
      </c>
      <c r="C85" s="130" t="e">
        <f>VLOOKUP(Tabela1[[#This Row],[MATRICULA]],'BD Campos'!A:D,5,0)</f>
        <v>#REF!</v>
      </c>
      <c r="D85" s="133" t="str">
        <f ca="1">IFERROR(SUM(TODAY()-Tabela1[[#This Row],[ADMISSÃO]]),"")</f>
        <v/>
      </c>
      <c r="E85" s="11" t="str">
        <f ca="1">IFERROR(TRUNC(Tabela1[[#This Row],[TEMPO DE CASA (DIAS)]]/30),"")</f>
        <v/>
      </c>
      <c r="F85" s="32" t="str">
        <f ca="1">IFERROR(SUM(Tabela1[[#This Row],[TEMPO DE CASA (MESES)]]/12),"")</f>
        <v/>
      </c>
      <c r="G85" s="133" t="str">
        <f ca="1">IF(Tabela1[[#This Row],[TEMPO DE CASA (DIAS)]]="","SEM DADOS",IF(Tabela1[[#This Row],[TEMPO DE CASA (DIAS)]]&gt;180,"&gt; 6 MESES","&lt; 6 MESES"))</f>
        <v>SEM DADOS</v>
      </c>
      <c r="H85" s="12" t="str">
        <f t="shared" ref="H85:H96" si="9">K85&amp;S85&amp;J85</f>
        <v>JANLucas Rafael1</v>
      </c>
      <c r="I85" s="12" t="str">
        <f>IFERROR(VLOOKUP(Tabela1[[#This Row],[MATRICULA]],'BD Campos'!A:F,7,0),"")</f>
        <v/>
      </c>
      <c r="J85" s="11">
        <v>1</v>
      </c>
      <c r="K85" s="11" t="s">
        <v>669</v>
      </c>
      <c r="L85" s="136">
        <v>10525</v>
      </c>
      <c r="M85" s="12" t="str">
        <f>IFERROR(VLOOKUP(Tabela1[[#This Row],[MATRICULA]],'BD Campos'!A:B,2,0),"")</f>
        <v>ANA CAROLINE ALVES DOS SANTOS</v>
      </c>
      <c r="N85" s="20" t="str">
        <f>IFERROR(AVERAGE(Tabela1[[#This Row],[A1]:[A4]]),"")</f>
        <v/>
      </c>
      <c r="O85" s="20" t="str">
        <f>IFERROR(IF(Tabela1[[#This Row],[SETOR]]="RECEPTIVO","",AVERAGE(Tabela1[[#This Row],[A5]:[A6]])),"")</f>
        <v/>
      </c>
      <c r="P85" s="20" t="str">
        <f>IFERROR(IF(Tabela1[[#This Row],[STATUS]]="INATIVO","INATIVO",IF(Tabela1[[#This Row],[STATUS]]="QRT","INATIVO",IF(Tabela1[[#This Row],[OPERACIONAL]]&gt;7.99999,"BOM","RUIM"))),"")</f>
        <v>INATIVO</v>
      </c>
      <c r="Q85" s="21" t="s">
        <v>670</v>
      </c>
      <c r="R85" s="12" t="s">
        <v>687</v>
      </c>
      <c r="S85" s="12" t="s">
        <v>688</v>
      </c>
      <c r="T85" s="12" t="s">
        <v>223</v>
      </c>
      <c r="U8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85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85" s="12">
        <f>IF(AND(Tabela1[[#This Row],[SETOR]]="UTI",Tabela1[[#This Row],[M]]&lt;&gt;""),1,IF(AND(Tabela1[[#This Row],[SETOR]]="UTI (RJ)",Tabela1[[#This Row],[M]]&lt;&gt;""),1.5,0))</f>
        <v>0</v>
      </c>
      <c r="X85" s="12">
        <f>IF(AND(Tabela1[[#This Row],[SETOR]]="UTI",Tabela1[[#This Row],[PA2]]&lt;&gt;""),1,IF(AND(Tabela1[[#This Row],[SETOR]]="UTI (RJ)",Tabela1[[#This Row],[PA2]]&lt;&gt;""),0,0))</f>
        <v>0</v>
      </c>
      <c r="Y85" s="12">
        <f>IF(AND(Tabela1[[#This Row],[SETOR]]="UTI",Tabela1[[#This Row],[C]]&lt;&gt;""),1,IF(AND(Tabela1[[#This Row],[SETOR]]="UTI (RJ)",Tabela1[[#This Row],[C]]&lt;&gt;""),1.5,0))</f>
        <v>0</v>
      </c>
      <c r="Z85" s="12">
        <f>IF(AND(Tabela1[[#This Row],[SETOR]]="UTI",Tabela1[[#This Row],[PL]]&lt;&gt;""),1,IF(AND(Tabela1[[#This Row],[SETOR]]="UTI (RJ)",Tabela1[[#This Row],[PL]]&lt;&gt;""),1,0))</f>
        <v>0</v>
      </c>
      <c r="AA85" s="21" t="str">
        <f>IFERROR(VLOOKUP(Tabela1[[#This Row],[MÊS]]&amp;Tabela1[[#This Row],[MATRICULA]]&amp;"1"&amp;Tabela1[[#This Row],[SETOR]]&amp;"PADRÃO",BD!B:AF,31,0),"")</f>
        <v/>
      </c>
      <c r="AB85" s="21" t="str">
        <f>IFERROR(VLOOKUP(Tabela1[[#This Row],[MÊS]]&amp;Tabela1[[#This Row],[MATRICULA]]&amp;"2"&amp;Tabela1[[#This Row],[SETOR]]&amp;"PADRÃO",BD!B:AF,31,0),"")</f>
        <v/>
      </c>
      <c r="AC85" s="21" t="str">
        <f>IFERROR(VLOOKUP(Tabela1[[#This Row],[MÊS]]&amp;Tabela1[[#This Row],[MATRICULA]]&amp;"3"&amp;Tabela1[[#This Row],[SETOR]]&amp;"PADRÃO",BD!B:AF,31,0),"")</f>
        <v/>
      </c>
      <c r="AD85" s="21" t="str">
        <f>IFERROR(VLOOKUP(Tabela1[[#This Row],[MÊS]]&amp;Tabela1[[#This Row],[MATRICULA]]&amp;"4"&amp;Tabela1[[#This Row],[SETOR]]&amp;"PADRÃO",BD!B:AF,25,0),"")</f>
        <v/>
      </c>
      <c r="AE85" s="21" t="str">
        <f>IFERROR(VLOOKUP(Tabela1[[#This Row],[MÊS]]&amp;Tabela1[[#This Row],[MATRICULA]]&amp;"5"&amp;Tabela1[[#This Row],[SETOR]]&amp;"PADRÃO",BD!B:AF,31,0),"")</f>
        <v/>
      </c>
      <c r="AF85" s="21" t="str">
        <f>IFERROR(VLOOKUP(Tabela1[[#This Row],[MÊS]]&amp;Tabela1[[#This Row],[MATRICULA]]&amp;"6"&amp;Tabela1[[#This Row],[SETOR]]&amp;"PADRÃO",BD!B:AF,31,0),"")</f>
        <v/>
      </c>
      <c r="AG85" s="21" t="str">
        <f>IFERROR(VLOOKUP(Tabela1[[#This Row],[MÊS]]&amp;Tabela1[[#This Row],[MATRICULA]]&amp;"7"&amp;Tabela1[[#This Row],[SETOR]]&amp;"PADRÃO",BD!B:AF,31,0),"")</f>
        <v/>
      </c>
      <c r="AH85" s="21" t="str">
        <f>IFERROR(VLOOKUP(Tabela1[[#This Row],[MÊS]]&amp;Tabela1[[#This Row],[ID]]&amp;Tabela1[[#This Row],[MATRICULA]]&amp;"Receptiva"&amp;Tabela1[[#This Row],[SETOR]],BD!A:AF,31,0),"")</f>
        <v/>
      </c>
      <c r="AI85" s="21" t="str">
        <f>IFERROR(VLOOKUP(Tabela1[[#This Row],[MÊS]]&amp;Tabela1[[#This Row],[ID]]&amp;Tabela1[[#This Row],[MATRICULA]]&amp;"Receptiva 2"&amp;Tabela1[[#This Row],[SETOR]],BD!A:AF,31,0),"")</f>
        <v/>
      </c>
      <c r="AJ85" s="21" t="str">
        <f>IFERROR(VLOOKUP(Tabela1[[#This Row],[MÊS]]&amp;Tabela1[[#This Row],[ID]]&amp;Tabela1[[#This Row],[MATRICULA]]&amp;"Receptiva 3"&amp;Tabela1[[#This Row],[SETOR]],BD!A:AF,31,0),"")</f>
        <v/>
      </c>
      <c r="AK85" s="21" t="str">
        <f>IFERROR(VLOOKUP(Tabela1[[#This Row],[MÊS]]&amp;Tabela1[[#This Row],[ID]]&amp;Tabela1[[#This Row],[MATRICULA]]&amp;"Receptiva 4"&amp;Tabela1[[#This Row],[SETOR]],BD!A:AF,31,0),"")</f>
        <v/>
      </c>
      <c r="AL85" s="21" t="str">
        <f>IFERROR(VLOOKUP(Tabela1[[#This Row],[MÊS]]&amp;Tabela1[[#This Row],[MATRICULA]]&amp;"Motorista"&amp;Tabela1[[#This Row],[SETOR]],BD!A:AF,31,0),"")</f>
        <v/>
      </c>
      <c r="AM85" s="21" t="str">
        <f>IFERROR(VLOOKUP(Tabela1[[#This Row],[MÊS]]&amp;Tabela1[[#This Row],[ID]]&amp;Tabela1[[#This Row],[MATRICULA]]&amp;"Motorista 2"&amp;Tabela1[[#This Row],[SETOR]],BD!A:AF,26,0),"")</f>
        <v/>
      </c>
      <c r="AN85" s="21" t="str">
        <f>IFERROR(VLOOKUP(Tabela1[[#This Row],[MÊS]]&amp;Tabela1[[#This Row],[ID]]&amp;Tabela1[[#This Row],[MATRICULA]]&amp;"Motorista 3"&amp;Tabela1[[#This Row],[SETOR]],BD!A:AF,26,0),"")</f>
        <v/>
      </c>
      <c r="AO85" s="21" t="str">
        <f>IFERROR(VLOOKUP(Tabela1[[#This Row],[MÊS]]&amp;Tabela1[[#This Row],[ID]]&amp;Tabela1[[#This Row],[MATRICULA]]&amp;"Motorista 4"&amp;Tabela1[[#This Row],[SETOR]],BD!A:AF,26,0),"")</f>
        <v/>
      </c>
      <c r="AP85" s="21" t="str">
        <f>IFERROR(VLOOKUP(Tabela1[[#This Row],[MÊS]]&amp;Tabela1[[#This Row],[MATRICULA]]&amp;"Ponto de Apoio"&amp;Tabela1[[#This Row],[SETOR]],BD!A:AF,31,0),"")</f>
        <v/>
      </c>
      <c r="AQ85" s="21" t="str">
        <f>IFERROR(VLOOKUP(Tabela1[[#This Row],[MÊS]]&amp;Tabela1[[#This Row],[ID]]&amp;Tabela1[[#This Row],[MATRICULA]]&amp;"Ponto de Apoio 2"&amp;Tabela1[[#This Row],[SETOR]],BD!A:AF,26,0),"")</f>
        <v/>
      </c>
      <c r="AR85" s="36" t="str">
        <f>IFERROR(VLOOKUP(Tabela1[[#This Row],[MÊS]]&amp;Tabela1[[#This Row],[ID]]&amp;Tabela1[[#This Row],[MATRICULA]]&amp;"Ponto de Apoio 3"&amp;Tabela1[[#This Row],[SETOR]],BD!A:AF,26,0),"")</f>
        <v/>
      </c>
      <c r="AS85" s="36" t="str">
        <f>IFERROR(VLOOKUP(Tabela1[[#This Row],[MÊS]]&amp;Tabela1[[#This Row],[ID]]&amp;Tabela1[[#This Row],[MATRICULA]]&amp;"Ponto de Apoio 4"&amp;Tabela1[[#This Row],[SETOR]],BD!A:AF,26,0),"")</f>
        <v/>
      </c>
      <c r="AT85" s="21" t="str">
        <f>IFERROR(VLOOKUP(Tabela1[[#This Row],[MÊS]]&amp;Tabela1[[#This Row],[MATRICULA]]&amp;"Cliente"&amp;Tabela1[[#This Row],[SETOR]],BD!A:AF,31,0),"")</f>
        <v/>
      </c>
      <c r="AU85" s="21" t="str">
        <f>IFERROR(VLOOKUP(Tabela1[[#This Row],[MÊS]]&amp;Tabela1[[#This Row],[ID]]&amp;Tabela1[[#This Row],[MATRICULA]]&amp;"Cliente 2"&amp;Tabela1[[#This Row],[SETOR]],BD!A:AF,26,0),"")</f>
        <v/>
      </c>
      <c r="AX85" s="21" t="str">
        <f>IFERROR(VLOOKUP(Tabela1[[#This Row],[MÊS]]&amp;Tabela1[[#This Row],[MATRICULA]]&amp;"Policia"&amp;Tabela1[[#This Row],[SETOR]],BD!A:AF,31,0),"")</f>
        <v/>
      </c>
      <c r="AY85" s="21" t="str">
        <f>IFERROR(VLOOKUP(Tabela1[[#This Row],[MÊS]]&amp;Tabela1[[#This Row],[ID]]&amp;Tabela1[[#This Row],[MATRICULA]]&amp;"Policia 2"&amp;Tabela1[[#This Row],[SETOR]],BD!A:AF,26,0),"")</f>
        <v/>
      </c>
      <c r="AZ85" s="36" t="str">
        <f>IFERROR(VLOOKUP(Tabela1[[#This Row],[MÊS]]&amp;Tabela1[[#This Row],[ID]]&amp;Tabela1[[#This Row],[MATRICULA]]&amp;"Policia 3"&amp;Tabela1[[#This Row],[SETOR]],BD!A:AF,26,0),"")</f>
        <v/>
      </c>
      <c r="BA85" s="36" t="str">
        <f>IFERROR(VLOOKUP(Tabela1[[#This Row],[MÊS]]&amp;Tabela1[[#This Row],[ID]]&amp;Tabela1[[#This Row],[MATRICULA]]&amp;"Policia 4"&amp;Tabela1[[#This Row],[SETOR]],BD!A:AF,26,0),"")</f>
        <v/>
      </c>
      <c r="BB8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5" s="21" t="str">
        <f>IFERROR(AVERAGE(Tabela1[[#This Row],[M]:[M4]]),"")</f>
        <v/>
      </c>
      <c r="BD85" s="21" t="str">
        <f>IFERROR(AVERAGE(Tabela1[[#This Row],[C]:[C4]]),"")</f>
        <v/>
      </c>
      <c r="BE85" s="21" t="str">
        <f>IFERROR(AVERAGE(Tabela1[[#This Row],[PA2]:[PA 4]]),"")</f>
        <v/>
      </c>
      <c r="BF85" s="21" t="str">
        <f>IFERROR(AVERAGE(Tabela1[[#This Row],[PL]:[PL4]]),"")</f>
        <v/>
      </c>
      <c r="BG85" s="35" t="str">
        <f>IFERROR(VLOOKUP(Tabela1[[#This Row],[MÊS]]&amp;Tabela1[[#This Row],[MATRICULA]],#REF!,2,0),"")</f>
        <v/>
      </c>
      <c r="BH85" s="35" t="str">
        <f>IFERROR(VLOOKUP(Tabela1[[#This Row],[MÊS]]&amp;Tabela1[[#This Row],[MATRICULA]],#REF!,2,0),"")</f>
        <v/>
      </c>
      <c r="BI85" s="35" t="str">
        <f>IFERROR(VLOOKUP(Tabela1[[#This Row],[MÊS]]&amp;Tabela1[[#This Row],[MATRICULA]],#REF!,2,0),"")</f>
        <v/>
      </c>
      <c r="BJ85" s="35" t="str">
        <f>IFERROR(VLOOKUP(Tabela1[[#This Row],[MÊS]]&amp;Tabela1[[#This Row],[MATRICULA]],#REF!,2,0),"")</f>
        <v/>
      </c>
      <c r="BK85" s="35" t="str">
        <f>IFERROR(VLOOKUP(Tabela1[[#This Row],[MÊS]]&amp;Tabela1[[#This Row],[MATRICULA]],#REF!,2,0),"")</f>
        <v/>
      </c>
      <c r="BL85" s="21">
        <f>COUNTIF(Tabela1[[#This Row],[MOT2]:[RECEPTIVA]],"NÃO ENCONTRADA")</f>
        <v>0</v>
      </c>
      <c r="BM85" s="135" t="str">
        <f>IFERROR(VLOOKUP(Tabela1[[#This Row],[MÊS]]&amp;Tabela1[[#This Row],[ID]]&amp;Tabela1[[#This Row],[MATRICULA]]&amp;"Motorista"&amp;Tabela1[[#This Row],[SETOR]],BD!A:AF,13,0),"")</f>
        <v/>
      </c>
      <c r="BN85" s="135" t="str">
        <f>IFERROR(VLOOKUP(Tabela1[[#This Row],[MÊS]]&amp;Tabela1[[#This Row],[ID]]&amp;Tabela1[[#This Row],[MATRICULA]]&amp;"Motorista 2"&amp;Tabela1[[#This Row],[SETOR]],BD!A:AF,13,0),"")</f>
        <v/>
      </c>
      <c r="BO85" s="135" t="str">
        <f>IFERROR(VLOOKUP(Tabela1[[#This Row],[MÊS]]&amp;Tabela1[[#This Row],[ID]]&amp;Tabela1[[#This Row],[MATRICULA]]&amp;"Motorista 3"&amp;Tabela1[[#This Row],[SETOR]],BD!A:AF,13,0),"")</f>
        <v/>
      </c>
      <c r="BP85" s="135" t="str">
        <f>IFERROR(VLOOKUP(Tabela1[[#This Row],[MÊS]]&amp;Tabela1[[#This Row],[ID]]&amp;Tabela1[[#This Row],[MATRICULA]]&amp;"Motorista 4"&amp;Tabela1[[#This Row],[SETOR]],BD!A:AF,13,0),"")</f>
        <v/>
      </c>
      <c r="BQ85" s="135" t="str">
        <f>IFERROR(AVERAGE(Tabela1[[#This Row],[DMOT]:[DMOT4]]),"")</f>
        <v/>
      </c>
      <c r="BR85" s="135" t="str">
        <f>IFERROR(VLOOKUP(Tabela1[[#This Row],[MÊS]]&amp;Tabela1[[#This Row],[ID]]&amp;Tabela1[[#This Row],[MATRICULA]]&amp;"Ponto de Apoio"&amp;Tabela1[[#This Row],[SETOR]],BD!A:AF,13,0),"")</f>
        <v/>
      </c>
      <c r="BS85" s="135" t="str">
        <f>IFERROR(VLOOKUP(Tabela1[[#This Row],[MÊS]]&amp;Tabela1[[#This Row],[ID]]&amp;Tabela1[[#This Row],[MATRICULA]]&amp;"Ponto de Apoio 2"&amp;Tabela1[[#This Row],[SETOR]],BD!A:AF,13,0),"")</f>
        <v/>
      </c>
      <c r="BT85" s="135" t="str">
        <f>IFERROR(VLOOKUP(Tabela1[[#This Row],[MÊS]]&amp;Tabela1[[#This Row],[ID]]&amp;Tabela1[[#This Row],[MATRICULA]]&amp;"Ponto de Apoio 3"&amp;Tabela1[[#This Row],[SETOR]],BD!A:AF,13,0),"")</f>
        <v/>
      </c>
      <c r="BU85" s="135" t="str">
        <f>IFERROR(VLOOKUP(Tabela1[[#This Row],[MÊS]]&amp;Tabela1[[#This Row],[ID]]&amp;Tabela1[[#This Row],[MATRICULA]]&amp;"Ponto de Apoio 4"&amp;Tabela1[[#This Row],[SETOR]],BD!A:AF,13,0),"")</f>
        <v/>
      </c>
      <c r="BV85" s="135" t="str">
        <f>IFERROR(AVERAGE(Tabela1[[#This Row],[DPA]:[DPA 4]]),"")</f>
        <v/>
      </c>
      <c r="BW85" s="135" t="str">
        <f>IFERROR(VLOOKUP(Tabela1[[#This Row],[MÊS]]&amp;Tabela1[[#This Row],[ID]]&amp;Tabela1[[#This Row],[MATRICULA]]&amp;"Cliente"&amp;Tabela1[[#This Row],[SETOR]],BD!A:AF,13,0),"")</f>
        <v/>
      </c>
      <c r="BX85" s="135" t="str">
        <f>IFERROR(VLOOKUP(Tabela1[[#This Row],[MÊS]]&amp;Tabela1[[#This Row],[ID]]&amp;Tabela1[[#This Row],[MATRICULA]]&amp;"cliente 2"&amp;Tabela1[[#This Row],[SETOR]],BD!A:AF,13,0),"")</f>
        <v/>
      </c>
      <c r="BY85" s="135" t="str">
        <f>IFERROR(VLOOKUP(Tabela1[[#This Row],[MÊS]]&amp;Tabela1[[#This Row],[ID]]&amp;Tabela1[[#This Row],[MATRICULA]]&amp;"cliente 3"&amp;Tabela1[[#This Row],[SETOR]],BD!A:AF,13,0),"")</f>
        <v/>
      </c>
      <c r="BZ85" s="135" t="str">
        <f>IFERROR(VLOOKUP(Tabela1[[#This Row],[MÊS]]&amp;Tabela1[[#This Row],[ID]]&amp;Tabela1[[#This Row],[MATRICULA]]&amp;"cliente 4"&amp;Tabela1[[#This Row],[SETOR]],BD!A:AF,13,0),"")</f>
        <v/>
      </c>
      <c r="CA85" s="135" t="str">
        <f>IFERROR(AVERAGE(Tabela1[[#This Row],[DCLI]:[DCLI 4]]),"")</f>
        <v/>
      </c>
      <c r="CB85" s="135" t="str">
        <f>IFERROR(VLOOKUP(Tabela1[[#This Row],[MÊS]]&amp;Tabela1[[#This Row],[ID]]&amp;Tabela1[[#This Row],[MATRICULA]]&amp;"Policia"&amp;Tabela1[[#This Row],[SETOR]],BD!A:AF,13,0),"")</f>
        <v/>
      </c>
      <c r="CC85" s="135" t="str">
        <f>IFERROR(VLOOKUP(Tabela1[[#This Row],[MÊS]]&amp;Tabela1[[#This Row],[ID]]&amp;Tabela1[[#This Row],[MATRICULA]]&amp;"Policia 2"&amp;Tabela1[[#This Row],[SETOR]],BD!A:AF,13,0),"")</f>
        <v/>
      </c>
      <c r="CD85" s="135"/>
      <c r="CE85" s="135"/>
      <c r="CF85" s="135" t="str">
        <f>IFERROR((AVERAGE(Tabela1[[#This Row],[DPOL1]:[DPOL4]])),"")</f>
        <v/>
      </c>
      <c r="CG85" s="21" t="str">
        <f>IFERROR(VLOOKUP(Tabela1[[#This Row],[ID]]&amp;Tabela1[[#This Row],[MÊS]]&amp;Tabela1[[#This Row],[MATRICULA]],#REF!,2,0),"")</f>
        <v/>
      </c>
      <c r="CH85" s="21" t="str">
        <f>IFERROR(VLOOKUP(Tabela1[[#This Row],[ID]]&amp;Tabela1[[#This Row],[MÊS]]&amp;Tabela1[[#This Row],[MATRICULA]],#REF!,2,0),"")</f>
        <v/>
      </c>
      <c r="CI85" s="21" t="str">
        <f>IFERROR(VLOOKUP(Tabela1[[#This Row],[MÊS]]&amp;Tabela1[[#This Row],[MATRICULA]],#REF!,2,0),"")</f>
        <v/>
      </c>
    </row>
    <row r="86" spans="1:87">
      <c r="A86" s="12" t="str">
        <f>Tabela1[[#This Row],[MÊS]]&amp;Tabela1[[#This Row],[MATRICULA]]&amp;Tabela1[[#This Row],[ID]]</f>
        <v>JAN113002</v>
      </c>
      <c r="B86" s="12" t="str">
        <f>Tabela1[[#This Row],[MÊS]]&amp;Tabela1[[#This Row],[ID]]&amp;Tabela1[[#This Row],[MATRICULA]]&amp;Tabela1[[#This Row],[SETOR]]</f>
        <v>JAN211300UTI</v>
      </c>
      <c r="C86" s="130" t="e">
        <f>VLOOKUP(Tabela1[[#This Row],[MATRICULA]],'BD Campos'!A:D,5,0)</f>
        <v>#REF!</v>
      </c>
      <c r="D86" s="133" t="str">
        <f ca="1">IFERROR(SUM(TODAY()-Tabela1[[#This Row],[ADMISSÃO]]),"")</f>
        <v/>
      </c>
      <c r="E86" s="11" t="str">
        <f ca="1">IFERROR(TRUNC(Tabela1[[#This Row],[TEMPO DE CASA (DIAS)]]/30),"")</f>
        <v/>
      </c>
      <c r="F86" s="32" t="str">
        <f ca="1">IFERROR(SUM(Tabela1[[#This Row],[TEMPO DE CASA (MESES)]]/12),"")</f>
        <v/>
      </c>
      <c r="G86" s="133" t="str">
        <f ca="1">IF(Tabela1[[#This Row],[TEMPO DE CASA (DIAS)]]="","SEM DADOS",IF(Tabela1[[#This Row],[TEMPO DE CASA (DIAS)]]&gt;180,"&gt; 6 MESES","&lt; 6 MESES"))</f>
        <v>SEM DADOS</v>
      </c>
      <c r="H86" s="12" t="str">
        <f t="shared" si="9"/>
        <v>JANLucas Rafael2</v>
      </c>
      <c r="I86" s="12" t="str">
        <f>IFERROR(VLOOKUP(Tabela1[[#This Row],[MATRICULA]],'BD Campos'!A:F,7,0),"")</f>
        <v/>
      </c>
      <c r="J86" s="11">
        <v>2</v>
      </c>
      <c r="K86" s="11" t="s">
        <v>669</v>
      </c>
      <c r="L86" s="136">
        <v>11300</v>
      </c>
      <c r="M86" s="12" t="str">
        <f>IFERROR(VLOOKUP(Tabela1[[#This Row],[MATRICULA]],'BD Campos'!A:B,2,0),"")</f>
        <v xml:space="preserve">STHEFANY MOREIRA DE SOUZA </v>
      </c>
      <c r="N86" s="20">
        <f>IFERROR(AVERAGE(Tabela1[[#This Row],[A1]:[A4]]),"")</f>
        <v>8.3619000000000021</v>
      </c>
      <c r="O86" s="20" t="str">
        <f>IFERROR(IF(Tabela1[[#This Row],[SETOR]]="RECEPTIVO","",AVERAGE(Tabela1[[#This Row],[A5]:[A6]])),"")</f>
        <v/>
      </c>
      <c r="P86" s="20" t="str">
        <f>IFERROR(IF(Tabela1[[#This Row],[STATUS]]="INATIVO","INATIVO",IF(Tabela1[[#This Row],[STATUS]]="QRT","INATIVO",IF(Tabela1[[#This Row],[OPERACIONAL]]&gt;7.99999,"BOM","RUIM"))),"")</f>
        <v>BOM</v>
      </c>
      <c r="Q86" s="21" t="s">
        <v>667</v>
      </c>
      <c r="R86" s="12" t="s">
        <v>689</v>
      </c>
      <c r="S86" s="12" t="s">
        <v>688</v>
      </c>
      <c r="T86" s="12" t="s">
        <v>128</v>
      </c>
      <c r="U8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8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86" s="12">
        <f>IF(AND(Tabela1[[#This Row],[SETOR]]="UTI",Tabela1[[#This Row],[M]]&lt;&gt;""),1,IF(AND(Tabela1[[#This Row],[SETOR]]="UTI (RJ)",Tabela1[[#This Row],[M]]&lt;&gt;""),1.5,0))</f>
        <v>1</v>
      </c>
      <c r="X86" s="12">
        <f>IF(AND(Tabela1[[#This Row],[SETOR]]="UTI",Tabela1[[#This Row],[PA2]]&lt;&gt;""),1,IF(AND(Tabela1[[#This Row],[SETOR]]="UTI (RJ)",Tabela1[[#This Row],[PA2]]&lt;&gt;""),0,0))</f>
        <v>0</v>
      </c>
      <c r="Y86" s="12">
        <f>IF(AND(Tabela1[[#This Row],[SETOR]]="UTI",Tabela1[[#This Row],[C]]&lt;&gt;""),1,IF(AND(Tabela1[[#This Row],[SETOR]]="UTI (RJ)",Tabela1[[#This Row],[C]]&lt;&gt;""),1.5,0))</f>
        <v>0</v>
      </c>
      <c r="Z86" s="12">
        <f>IF(AND(Tabela1[[#This Row],[SETOR]]="UTI",Tabela1[[#This Row],[PL]]&lt;&gt;""),1,IF(AND(Tabela1[[#This Row],[SETOR]]="UTI (RJ)",Tabela1[[#This Row],[PL]]&lt;&gt;""),1,0))</f>
        <v>0</v>
      </c>
      <c r="AA86" s="21">
        <f>IFERROR(VLOOKUP(Tabela1[[#This Row],[MÊS]]&amp;Tabela1[[#This Row],[MATRICULA]]&amp;"1"&amp;Tabela1[[#This Row],[SETOR]]&amp;"PADRÃO",BD!B:AF,31,0),"")</f>
        <v>9.7900000000000027</v>
      </c>
      <c r="AB86" s="21">
        <f>IFERROR(VLOOKUP(Tabela1[[#This Row],[MÊS]]&amp;Tabela1[[#This Row],[MATRICULA]]&amp;"2"&amp;Tabela1[[#This Row],[SETOR]]&amp;"PADRÃO",BD!B:AF,31,0),"")</f>
        <v>6.9337999999999997</v>
      </c>
      <c r="AC86" s="21" t="str">
        <f>IFERROR(VLOOKUP(Tabela1[[#This Row],[MÊS]]&amp;Tabela1[[#This Row],[MATRICULA]]&amp;"3"&amp;Tabela1[[#This Row],[SETOR]]&amp;"PADRÃO",BD!B:AF,31,0),"")</f>
        <v/>
      </c>
      <c r="AD86" s="21" t="str">
        <f>IFERROR(VLOOKUP(Tabela1[[#This Row],[MÊS]]&amp;Tabela1[[#This Row],[MATRICULA]]&amp;"4"&amp;Tabela1[[#This Row],[SETOR]]&amp;"PADRÃO",BD!B:AF,25,0),"")</f>
        <v/>
      </c>
      <c r="AE86" s="21" t="str">
        <f>IFERROR(VLOOKUP(Tabela1[[#This Row],[MÊS]]&amp;Tabela1[[#This Row],[MATRICULA]]&amp;"5"&amp;Tabela1[[#This Row],[SETOR]]&amp;"PADRÃO",BD!B:AF,31,0),"")</f>
        <v/>
      </c>
      <c r="AF86" s="21" t="str">
        <f>IFERROR(VLOOKUP(Tabela1[[#This Row],[MÊS]]&amp;Tabela1[[#This Row],[MATRICULA]]&amp;"6"&amp;Tabela1[[#This Row],[SETOR]]&amp;"PADRÃO",BD!B:AF,31,0),"")</f>
        <v/>
      </c>
      <c r="AG86" s="21" t="str">
        <f>IFERROR(VLOOKUP(Tabela1[[#This Row],[MÊS]]&amp;Tabela1[[#This Row],[MATRICULA]]&amp;"7"&amp;Tabela1[[#This Row],[SETOR]]&amp;"PADRÃO",BD!B:AF,31,0),"")</f>
        <v/>
      </c>
      <c r="AH86" s="21" t="str">
        <f>IFERROR(VLOOKUP(Tabela1[[#This Row],[MÊS]]&amp;Tabela1[[#This Row],[ID]]&amp;Tabela1[[#This Row],[MATRICULA]]&amp;"Receptiva"&amp;Tabela1[[#This Row],[SETOR]],BD!A:AF,31,0),"")</f>
        <v/>
      </c>
      <c r="AI86" s="21" t="str">
        <f>IFERROR(VLOOKUP(Tabela1[[#This Row],[MÊS]]&amp;Tabela1[[#This Row],[ID]]&amp;Tabela1[[#This Row],[MATRICULA]]&amp;"Receptiva 2"&amp;Tabela1[[#This Row],[SETOR]],BD!A:AF,31,0),"")</f>
        <v/>
      </c>
      <c r="AJ86" s="21" t="str">
        <f>IFERROR(VLOOKUP(Tabela1[[#This Row],[MÊS]]&amp;Tabela1[[#This Row],[ID]]&amp;Tabela1[[#This Row],[MATRICULA]]&amp;"Receptiva 3"&amp;Tabela1[[#This Row],[SETOR]],BD!A:AF,31,0),"")</f>
        <v/>
      </c>
      <c r="AK86" s="21" t="str">
        <f>IFERROR(VLOOKUP(Tabela1[[#This Row],[MÊS]]&amp;Tabela1[[#This Row],[ID]]&amp;Tabela1[[#This Row],[MATRICULA]]&amp;"Receptiva 4"&amp;Tabela1[[#This Row],[SETOR]],BD!A:AF,31,0),"")</f>
        <v/>
      </c>
      <c r="AL86" s="21">
        <f>IFERROR(VLOOKUP(Tabela1[[#This Row],[MÊS]]&amp;Tabela1[[#This Row],[MATRICULA]]&amp;"Motorista"&amp;Tabela1[[#This Row],[SETOR]],BD!A:AF,31,0),"")</f>
        <v>0</v>
      </c>
      <c r="AM86" s="21" t="str">
        <f>IFERROR(VLOOKUP(Tabela1[[#This Row],[MÊS]]&amp;Tabela1[[#This Row],[ID]]&amp;Tabela1[[#This Row],[MATRICULA]]&amp;"Motorista 2"&amp;Tabela1[[#This Row],[SETOR]],BD!A:AF,26,0),"")</f>
        <v/>
      </c>
      <c r="AN86" s="21" t="str">
        <f>IFERROR(VLOOKUP(Tabela1[[#This Row],[MÊS]]&amp;Tabela1[[#This Row],[ID]]&amp;Tabela1[[#This Row],[MATRICULA]]&amp;"Motorista 3"&amp;Tabela1[[#This Row],[SETOR]],BD!A:AF,26,0),"")</f>
        <v/>
      </c>
      <c r="AO86" s="21" t="str">
        <f>IFERROR(VLOOKUP(Tabela1[[#This Row],[MÊS]]&amp;Tabela1[[#This Row],[ID]]&amp;Tabela1[[#This Row],[MATRICULA]]&amp;"Motorista 4"&amp;Tabela1[[#This Row],[SETOR]],BD!A:AF,26,0),"")</f>
        <v/>
      </c>
      <c r="AP86" s="21" t="str">
        <f>IFERROR(VLOOKUP(Tabela1[[#This Row],[MÊS]]&amp;Tabela1[[#This Row],[MATRICULA]]&amp;"Ponto de Apoio"&amp;Tabela1[[#This Row],[SETOR]],BD!A:AF,31,0),"")</f>
        <v/>
      </c>
      <c r="AQ86" s="21" t="str">
        <f>IFERROR(VLOOKUP(Tabela1[[#This Row],[MÊS]]&amp;Tabela1[[#This Row],[ID]]&amp;Tabela1[[#This Row],[MATRICULA]]&amp;"Ponto de Apoio 2"&amp;Tabela1[[#This Row],[SETOR]],BD!A:AF,26,0),"")</f>
        <v/>
      </c>
      <c r="AR86" s="36" t="str">
        <f>IFERROR(VLOOKUP(Tabela1[[#This Row],[MÊS]]&amp;Tabela1[[#This Row],[ID]]&amp;Tabela1[[#This Row],[MATRICULA]]&amp;"Ponto de Apoio 3"&amp;Tabela1[[#This Row],[SETOR]],BD!A:AF,26,0),"")</f>
        <v/>
      </c>
      <c r="AS86" s="36" t="str">
        <f>IFERROR(VLOOKUP(Tabela1[[#This Row],[MÊS]]&amp;Tabela1[[#This Row],[ID]]&amp;Tabela1[[#This Row],[MATRICULA]]&amp;"Ponto de Apoio 4"&amp;Tabela1[[#This Row],[SETOR]],BD!A:AF,26,0),"")</f>
        <v/>
      </c>
      <c r="AT86" s="21" t="str">
        <f>IFERROR(VLOOKUP(Tabela1[[#This Row],[MÊS]]&amp;Tabela1[[#This Row],[MATRICULA]]&amp;"Cliente"&amp;Tabela1[[#This Row],[SETOR]],BD!A:AF,31,0),"")</f>
        <v/>
      </c>
      <c r="AU86" s="21" t="str">
        <f>IFERROR(VLOOKUP(Tabela1[[#This Row],[MÊS]]&amp;Tabela1[[#This Row],[ID]]&amp;Tabela1[[#This Row],[MATRICULA]]&amp;"Cliente 2"&amp;Tabela1[[#This Row],[SETOR]],BD!A:AF,26,0),"")</f>
        <v/>
      </c>
      <c r="AX86" s="21" t="str">
        <f>IFERROR(VLOOKUP(Tabela1[[#This Row],[MÊS]]&amp;Tabela1[[#This Row],[MATRICULA]]&amp;"Policia"&amp;Tabela1[[#This Row],[SETOR]],BD!A:AF,31,0),"")</f>
        <v/>
      </c>
      <c r="AY86" s="21" t="str">
        <f>IFERROR(VLOOKUP(Tabela1[[#This Row],[MÊS]]&amp;Tabela1[[#This Row],[ID]]&amp;Tabela1[[#This Row],[MATRICULA]]&amp;"Policia 2"&amp;Tabela1[[#This Row],[SETOR]],BD!A:AF,26,0),"")</f>
        <v/>
      </c>
      <c r="AZ86" s="36" t="str">
        <f>IFERROR(VLOOKUP(Tabela1[[#This Row],[MÊS]]&amp;Tabela1[[#This Row],[ID]]&amp;Tabela1[[#This Row],[MATRICULA]]&amp;"Policia 3"&amp;Tabela1[[#This Row],[SETOR]],BD!A:AF,26,0),"")</f>
        <v/>
      </c>
      <c r="BA86" s="36" t="str">
        <f>IFERROR(VLOOKUP(Tabela1[[#This Row],[MÊS]]&amp;Tabela1[[#This Row],[ID]]&amp;Tabela1[[#This Row],[MATRICULA]]&amp;"Policia 4"&amp;Tabela1[[#This Row],[SETOR]],BD!A:AF,26,0),"")</f>
        <v/>
      </c>
      <c r="BB8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6" s="21">
        <f>IFERROR(AVERAGE(Tabela1[[#This Row],[M]:[M4]]),"")</f>
        <v>0</v>
      </c>
      <c r="BD86" s="21" t="str">
        <f>IFERROR(AVERAGE(Tabela1[[#This Row],[C]:[C4]]),"")</f>
        <v/>
      </c>
      <c r="BE86" s="21" t="str">
        <f>IFERROR(AVERAGE(Tabela1[[#This Row],[PA2]:[PA 4]]),"")</f>
        <v/>
      </c>
      <c r="BF86" s="21" t="str">
        <f>IFERROR(AVERAGE(Tabela1[[#This Row],[PL]:[PL4]]),"")</f>
        <v/>
      </c>
      <c r="BG86" s="35" t="str">
        <f>IFERROR(VLOOKUP(Tabela1[[#This Row],[MÊS]]&amp;Tabela1[[#This Row],[MATRICULA]],#REF!,2,0),"")</f>
        <v/>
      </c>
      <c r="BH86" s="35" t="str">
        <f>IFERROR(VLOOKUP(Tabela1[[#This Row],[MÊS]]&amp;Tabela1[[#This Row],[MATRICULA]],#REF!,2,0),"")</f>
        <v/>
      </c>
      <c r="BI86" s="35" t="str">
        <f>IFERROR(VLOOKUP(Tabela1[[#This Row],[MÊS]]&amp;Tabela1[[#This Row],[MATRICULA]],#REF!,2,0),"")</f>
        <v/>
      </c>
      <c r="BJ86" s="35" t="str">
        <f>IFERROR(VLOOKUP(Tabela1[[#This Row],[MÊS]]&amp;Tabela1[[#This Row],[MATRICULA]],#REF!,2,0),"")</f>
        <v/>
      </c>
      <c r="BK86" s="35" t="str">
        <f>IFERROR(VLOOKUP(Tabela1[[#This Row],[MÊS]]&amp;Tabela1[[#This Row],[MATRICULA]],#REF!,2,0),"")</f>
        <v/>
      </c>
      <c r="BL86" s="21">
        <f>COUNTIF(Tabela1[[#This Row],[MOT2]:[RECEPTIVA]],"NÃO ENCONTRADA")</f>
        <v>0</v>
      </c>
      <c r="BM86" s="135" t="str">
        <f>IFERROR(VLOOKUP(Tabela1[[#This Row],[MÊS]]&amp;Tabela1[[#This Row],[ID]]&amp;Tabela1[[#This Row],[MATRICULA]]&amp;"Motorista"&amp;Tabela1[[#This Row],[SETOR]],BD!A:AF,13,0),"")</f>
        <v/>
      </c>
      <c r="BN86" s="135" t="str">
        <f>IFERROR(VLOOKUP(Tabela1[[#This Row],[MÊS]]&amp;Tabela1[[#This Row],[ID]]&amp;Tabela1[[#This Row],[MATRICULA]]&amp;"Motorista 2"&amp;Tabela1[[#This Row],[SETOR]],BD!A:AF,13,0),"")</f>
        <v/>
      </c>
      <c r="BO86" s="135" t="str">
        <f>IFERROR(VLOOKUP(Tabela1[[#This Row],[MÊS]]&amp;Tabela1[[#This Row],[ID]]&amp;Tabela1[[#This Row],[MATRICULA]]&amp;"Motorista 3"&amp;Tabela1[[#This Row],[SETOR]],BD!A:AF,13,0),"")</f>
        <v/>
      </c>
      <c r="BP86" s="135" t="str">
        <f>IFERROR(VLOOKUP(Tabela1[[#This Row],[MÊS]]&amp;Tabela1[[#This Row],[ID]]&amp;Tabela1[[#This Row],[MATRICULA]]&amp;"Motorista 4"&amp;Tabela1[[#This Row],[SETOR]],BD!A:AF,13,0),"")</f>
        <v/>
      </c>
      <c r="BQ86" s="135" t="str">
        <f>IFERROR(AVERAGE(Tabela1[[#This Row],[DMOT]:[DMOT4]]),"")</f>
        <v/>
      </c>
      <c r="BR86" s="135" t="str">
        <f>IFERROR(VLOOKUP(Tabela1[[#This Row],[MÊS]]&amp;Tabela1[[#This Row],[ID]]&amp;Tabela1[[#This Row],[MATRICULA]]&amp;"Ponto de Apoio"&amp;Tabela1[[#This Row],[SETOR]],BD!A:AF,13,0),"")</f>
        <v/>
      </c>
      <c r="BS86" s="135" t="str">
        <f>IFERROR(VLOOKUP(Tabela1[[#This Row],[MÊS]]&amp;Tabela1[[#This Row],[ID]]&amp;Tabela1[[#This Row],[MATRICULA]]&amp;"Ponto de Apoio 2"&amp;Tabela1[[#This Row],[SETOR]],BD!A:AF,13,0),"")</f>
        <v/>
      </c>
      <c r="BT86" s="135" t="str">
        <f>IFERROR(VLOOKUP(Tabela1[[#This Row],[MÊS]]&amp;Tabela1[[#This Row],[ID]]&amp;Tabela1[[#This Row],[MATRICULA]]&amp;"Ponto de Apoio 3"&amp;Tabela1[[#This Row],[SETOR]],BD!A:AF,13,0),"")</f>
        <v/>
      </c>
      <c r="BU86" s="135" t="str">
        <f>IFERROR(VLOOKUP(Tabela1[[#This Row],[MÊS]]&amp;Tabela1[[#This Row],[ID]]&amp;Tabela1[[#This Row],[MATRICULA]]&amp;"Ponto de Apoio 4"&amp;Tabela1[[#This Row],[SETOR]],BD!A:AF,13,0),"")</f>
        <v/>
      </c>
      <c r="BV86" s="135" t="str">
        <f>IFERROR(AVERAGE(Tabela1[[#This Row],[DPA]:[DPA 4]]),"")</f>
        <v/>
      </c>
      <c r="BW86" s="135" t="str">
        <f>IFERROR(VLOOKUP(Tabela1[[#This Row],[MÊS]]&amp;Tabela1[[#This Row],[ID]]&amp;Tabela1[[#This Row],[MATRICULA]]&amp;"Cliente"&amp;Tabela1[[#This Row],[SETOR]],BD!A:AF,13,0),"")</f>
        <v/>
      </c>
      <c r="BX86" s="135" t="str">
        <f>IFERROR(VLOOKUP(Tabela1[[#This Row],[MÊS]]&amp;Tabela1[[#This Row],[ID]]&amp;Tabela1[[#This Row],[MATRICULA]]&amp;"cliente 2"&amp;Tabela1[[#This Row],[SETOR]],BD!A:AF,13,0),"")</f>
        <v/>
      </c>
      <c r="BY86" s="135" t="str">
        <f>IFERROR(VLOOKUP(Tabela1[[#This Row],[MÊS]]&amp;Tabela1[[#This Row],[ID]]&amp;Tabela1[[#This Row],[MATRICULA]]&amp;"cliente 3"&amp;Tabela1[[#This Row],[SETOR]],BD!A:AF,13,0),"")</f>
        <v/>
      </c>
      <c r="BZ86" s="135" t="str">
        <f>IFERROR(VLOOKUP(Tabela1[[#This Row],[MÊS]]&amp;Tabela1[[#This Row],[ID]]&amp;Tabela1[[#This Row],[MATRICULA]]&amp;"cliente 4"&amp;Tabela1[[#This Row],[SETOR]],BD!A:AF,13,0),"")</f>
        <v/>
      </c>
      <c r="CA86" s="135" t="str">
        <f>IFERROR(AVERAGE(Tabela1[[#This Row],[DCLI]:[DCLI 4]]),"")</f>
        <v/>
      </c>
      <c r="CB86" s="135" t="str">
        <f>IFERROR(VLOOKUP(Tabela1[[#This Row],[MÊS]]&amp;Tabela1[[#This Row],[ID]]&amp;Tabela1[[#This Row],[MATRICULA]]&amp;"Policia"&amp;Tabela1[[#This Row],[SETOR]],BD!A:AF,13,0),"")</f>
        <v/>
      </c>
      <c r="CC86" s="135" t="str">
        <f>IFERROR(VLOOKUP(Tabela1[[#This Row],[MÊS]]&amp;Tabela1[[#This Row],[ID]]&amp;Tabela1[[#This Row],[MATRICULA]]&amp;"Policia 2"&amp;Tabela1[[#This Row],[SETOR]],BD!A:AF,13,0),"")</f>
        <v/>
      </c>
      <c r="CD86" s="135"/>
      <c r="CE86" s="135"/>
      <c r="CF86" s="135" t="str">
        <f>IFERROR((AVERAGE(Tabela1[[#This Row],[DPOL1]:[DPOL4]])),"")</f>
        <v/>
      </c>
      <c r="CG86" s="21" t="str">
        <f>IFERROR(VLOOKUP(Tabela1[[#This Row],[ID]]&amp;Tabela1[[#This Row],[MÊS]]&amp;Tabela1[[#This Row],[MATRICULA]],#REF!,2,0),"")</f>
        <v/>
      </c>
      <c r="CH86" s="21" t="str">
        <f>IFERROR(VLOOKUP(Tabela1[[#This Row],[ID]]&amp;Tabela1[[#This Row],[MÊS]]&amp;Tabela1[[#This Row],[MATRICULA]],#REF!,2,0),"")</f>
        <v/>
      </c>
      <c r="CI86" s="21" t="str">
        <f>IFERROR(VLOOKUP(Tabela1[[#This Row],[MÊS]]&amp;Tabela1[[#This Row],[MATRICULA]],#REF!,2,0),"")</f>
        <v/>
      </c>
    </row>
    <row r="87" spans="1:87">
      <c r="A87" s="12" t="str">
        <f>Tabela1[[#This Row],[MÊS]]&amp;Tabela1[[#This Row],[MATRICULA]]&amp;Tabela1[[#This Row],[ID]]</f>
        <v>JAN16223</v>
      </c>
      <c r="B87" s="12" t="str">
        <f>Tabela1[[#This Row],[MÊS]]&amp;Tabela1[[#This Row],[ID]]&amp;Tabela1[[#This Row],[MATRICULA]]&amp;Tabela1[[#This Row],[SETOR]]</f>
        <v>JAN31622UTI</v>
      </c>
      <c r="C87" s="130" t="e">
        <f>VLOOKUP(Tabela1[[#This Row],[MATRICULA]],'BD Campos'!A:D,5,0)</f>
        <v>#REF!</v>
      </c>
      <c r="D87" s="133" t="str">
        <f ca="1">IFERROR(SUM(TODAY()-Tabela1[[#This Row],[ADMISSÃO]]),"")</f>
        <v/>
      </c>
      <c r="E87" s="11" t="str">
        <f ca="1">IFERROR(TRUNC(Tabela1[[#This Row],[TEMPO DE CASA (DIAS)]]/30),"")</f>
        <v/>
      </c>
      <c r="F87" s="32" t="str">
        <f ca="1">IFERROR(SUM(Tabela1[[#This Row],[TEMPO DE CASA (MESES)]]/12),"")</f>
        <v/>
      </c>
      <c r="G87" s="133" t="str">
        <f ca="1">IF(Tabela1[[#This Row],[TEMPO DE CASA (DIAS)]]="","SEM DADOS",IF(Tabela1[[#This Row],[TEMPO DE CASA (DIAS)]]&gt;180,"&gt; 6 MESES","&lt; 6 MESES"))</f>
        <v>SEM DADOS</v>
      </c>
      <c r="H87" s="12" t="str">
        <f t="shared" si="9"/>
        <v>JANLucas Rafael3</v>
      </c>
      <c r="I87" s="12" t="str">
        <f>IFERROR(VLOOKUP(Tabela1[[#This Row],[MATRICULA]],'BD Campos'!A:F,7,0),"")</f>
        <v/>
      </c>
      <c r="J87" s="11">
        <v>3</v>
      </c>
      <c r="K87" s="11" t="s">
        <v>669</v>
      </c>
      <c r="L87" s="136">
        <v>1622</v>
      </c>
      <c r="M87" s="12" t="str">
        <f>IFERROR(VLOOKUP(Tabela1[[#This Row],[MATRICULA]],'BD Campos'!A:B,2,0),"")</f>
        <v>JACKSON MACHADO NOVAK</v>
      </c>
      <c r="N87" s="20">
        <f>IFERROR(AVERAGE(Tabela1[[#This Row],[A1]:[A4]]),"")</f>
        <v>4.4487499999999995</v>
      </c>
      <c r="O87" s="20" t="str">
        <f>IFERROR(IF(Tabela1[[#This Row],[SETOR]]="RECEPTIVO","",AVERAGE(Tabela1[[#This Row],[A5]:[A6]])),"")</f>
        <v/>
      </c>
      <c r="P87" s="20" t="str">
        <f>IFERROR(IF(Tabela1[[#This Row],[STATUS]]="INATIVO","INATIVO",IF(Tabela1[[#This Row],[STATUS]]="QRT","INATIVO",IF(Tabela1[[#This Row],[OPERACIONAL]]&gt;7.99999,"BOM","RUIM"))),"")</f>
        <v>RUIM</v>
      </c>
      <c r="Q87" s="21" t="s">
        <v>667</v>
      </c>
      <c r="R87" s="12" t="s">
        <v>690</v>
      </c>
      <c r="S87" s="12" t="s">
        <v>688</v>
      </c>
      <c r="T87" s="12" t="s">
        <v>128</v>
      </c>
      <c r="U8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1.1000000000000001</v>
      </c>
      <c r="V8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0.04</v>
      </c>
      <c r="W87" s="12">
        <f>IF(AND(Tabela1[[#This Row],[SETOR]]="UTI",Tabela1[[#This Row],[M]]&lt;&gt;""),1,IF(AND(Tabela1[[#This Row],[SETOR]]="UTI (RJ)",Tabela1[[#This Row],[M]]&lt;&gt;""),1.5,0))</f>
        <v>1</v>
      </c>
      <c r="X87" s="12">
        <v>1</v>
      </c>
      <c r="Y87" s="12">
        <v>1</v>
      </c>
      <c r="Z87" s="12">
        <v>1</v>
      </c>
      <c r="AA87" s="21">
        <f>IFERROR(VLOOKUP(Tabela1[[#This Row],[MÊS]]&amp;Tabela1[[#This Row],[MATRICULA]]&amp;"1"&amp;Tabela1[[#This Row],[SETOR]]&amp;"PADRÃO",BD!B:AF,31,0),"")</f>
        <v>8.8974999999999991</v>
      </c>
      <c r="AB87" s="21">
        <f>IFERROR(VLOOKUP(Tabela1[[#This Row],[MÊS]]&amp;Tabela1[[#This Row],[MATRICULA]]&amp;"2"&amp;Tabela1[[#This Row],[SETOR]]&amp;"PADRÃO",BD!B:AF,31,0),"")</f>
        <v>0</v>
      </c>
      <c r="AC87" s="21" t="str">
        <f>IFERROR(VLOOKUP(Tabela1[[#This Row],[MÊS]]&amp;Tabela1[[#This Row],[MATRICULA]]&amp;"3"&amp;Tabela1[[#This Row],[SETOR]]&amp;"PADRÃO",BD!B:AF,31,0),"")</f>
        <v/>
      </c>
      <c r="AD87" s="21" t="str">
        <f>IFERROR(VLOOKUP(Tabela1[[#This Row],[MÊS]]&amp;Tabela1[[#This Row],[MATRICULA]]&amp;"4"&amp;Tabela1[[#This Row],[SETOR]]&amp;"PADRÃO",BD!B:AF,25,0),"")</f>
        <v/>
      </c>
      <c r="AE87" s="21" t="str">
        <f>IFERROR(VLOOKUP(Tabela1[[#This Row],[MÊS]]&amp;Tabela1[[#This Row],[MATRICULA]]&amp;"5"&amp;Tabela1[[#This Row],[SETOR]]&amp;"PADRÃO",BD!B:AF,31,0),"")</f>
        <v/>
      </c>
      <c r="AF87" s="21" t="str">
        <f>IFERROR(VLOOKUP(Tabela1[[#This Row],[MÊS]]&amp;Tabela1[[#This Row],[MATRICULA]]&amp;"6"&amp;Tabela1[[#This Row],[SETOR]]&amp;"PADRÃO",BD!B:AF,31,0),"")</f>
        <v/>
      </c>
      <c r="AG87" s="21" t="str">
        <f>IFERROR(VLOOKUP(Tabela1[[#This Row],[MÊS]]&amp;Tabela1[[#This Row],[MATRICULA]]&amp;"7"&amp;Tabela1[[#This Row],[SETOR]]&amp;"PADRÃO",BD!B:AF,31,0),"")</f>
        <v/>
      </c>
      <c r="AH87" s="21" t="str">
        <f>IFERROR(VLOOKUP(Tabela1[[#This Row],[MÊS]]&amp;Tabela1[[#This Row],[ID]]&amp;Tabela1[[#This Row],[MATRICULA]]&amp;"Receptiva"&amp;Tabela1[[#This Row],[SETOR]],BD!A:AF,31,0),"")</f>
        <v/>
      </c>
      <c r="AI87" s="21" t="str">
        <f>IFERROR(VLOOKUP(Tabela1[[#This Row],[MÊS]]&amp;Tabela1[[#This Row],[ID]]&amp;Tabela1[[#This Row],[MATRICULA]]&amp;"Receptiva 2"&amp;Tabela1[[#This Row],[SETOR]],BD!A:AF,31,0),"")</f>
        <v/>
      </c>
      <c r="AJ87" s="21" t="str">
        <f>IFERROR(VLOOKUP(Tabela1[[#This Row],[MÊS]]&amp;Tabela1[[#This Row],[ID]]&amp;Tabela1[[#This Row],[MATRICULA]]&amp;"Receptiva 3"&amp;Tabela1[[#This Row],[SETOR]],BD!A:AF,31,0),"")</f>
        <v/>
      </c>
      <c r="AK87" s="21" t="str">
        <f>IFERROR(VLOOKUP(Tabela1[[#This Row],[MÊS]]&amp;Tabela1[[#This Row],[ID]]&amp;Tabela1[[#This Row],[MATRICULA]]&amp;"Receptiva 4"&amp;Tabela1[[#This Row],[SETOR]],BD!A:AF,31,0),"")</f>
        <v/>
      </c>
      <c r="AL87" s="21">
        <f>IFERROR(VLOOKUP(Tabela1[[#This Row],[MÊS]]&amp;Tabela1[[#This Row],[MATRICULA]]&amp;"Motorista"&amp;Tabela1[[#This Row],[SETOR]],BD!A:AF,31,0),"")</f>
        <v>0</v>
      </c>
      <c r="AM87" s="21" t="str">
        <f>IFERROR(VLOOKUP(Tabela1[[#This Row],[MÊS]]&amp;Tabela1[[#This Row],[ID]]&amp;Tabela1[[#This Row],[MATRICULA]]&amp;"Motorista 2"&amp;Tabela1[[#This Row],[SETOR]],BD!A:AF,26,0),"")</f>
        <v/>
      </c>
      <c r="AN87" s="21" t="str">
        <f>IFERROR(VLOOKUP(Tabela1[[#This Row],[MÊS]]&amp;Tabela1[[#This Row],[ID]]&amp;Tabela1[[#This Row],[MATRICULA]]&amp;"Motorista 3"&amp;Tabela1[[#This Row],[SETOR]],BD!A:AF,26,0),"")</f>
        <v/>
      </c>
      <c r="AO87" s="21" t="str">
        <f>IFERROR(VLOOKUP(Tabela1[[#This Row],[MÊS]]&amp;Tabela1[[#This Row],[ID]]&amp;Tabela1[[#This Row],[MATRICULA]]&amp;"Motorista 4"&amp;Tabela1[[#This Row],[SETOR]],BD!A:AF,26,0),"")</f>
        <v/>
      </c>
      <c r="AP87" s="21" t="str">
        <f>IFERROR(VLOOKUP(Tabela1[[#This Row],[MÊS]]&amp;Tabela1[[#This Row],[MATRICULA]]&amp;"Ponto de Apoio"&amp;Tabela1[[#This Row],[SETOR]],BD!A:AF,31,0),"")</f>
        <v/>
      </c>
      <c r="AQ87" s="21" t="str">
        <f>IFERROR(VLOOKUP(Tabela1[[#This Row],[MÊS]]&amp;Tabela1[[#This Row],[ID]]&amp;Tabela1[[#This Row],[MATRICULA]]&amp;"Ponto de Apoio 2"&amp;Tabela1[[#This Row],[SETOR]],BD!A:AF,26,0),"")</f>
        <v/>
      </c>
      <c r="AR87" s="36" t="str">
        <f>IFERROR(VLOOKUP(Tabela1[[#This Row],[MÊS]]&amp;Tabela1[[#This Row],[ID]]&amp;Tabela1[[#This Row],[MATRICULA]]&amp;"Ponto de Apoio 3"&amp;Tabela1[[#This Row],[SETOR]],BD!A:AF,26,0),"")</f>
        <v/>
      </c>
      <c r="AS87" s="36" t="str">
        <f>IFERROR(VLOOKUP(Tabela1[[#This Row],[MÊS]]&amp;Tabela1[[#This Row],[ID]]&amp;Tabela1[[#This Row],[MATRICULA]]&amp;"Ponto de Apoio 4"&amp;Tabela1[[#This Row],[SETOR]],BD!A:AF,26,0),"")</f>
        <v/>
      </c>
      <c r="AT87" s="21" t="str">
        <f>IFERROR(VLOOKUP(Tabela1[[#This Row],[MÊS]]&amp;Tabela1[[#This Row],[MATRICULA]]&amp;"Cliente"&amp;Tabela1[[#This Row],[SETOR]],BD!A:AF,31,0),"")</f>
        <v/>
      </c>
      <c r="AU87" s="21" t="str">
        <f>IFERROR(VLOOKUP(Tabela1[[#This Row],[MÊS]]&amp;Tabela1[[#This Row],[ID]]&amp;Tabela1[[#This Row],[MATRICULA]]&amp;"Cliente 2"&amp;Tabela1[[#This Row],[SETOR]],BD!A:AF,26,0),"")</f>
        <v/>
      </c>
      <c r="AX87" s="21" t="str">
        <f>IFERROR(VLOOKUP(Tabela1[[#This Row],[MÊS]]&amp;Tabela1[[#This Row],[MATRICULA]]&amp;"Policia"&amp;Tabela1[[#This Row],[SETOR]],BD!A:AF,31,0),"")</f>
        <v/>
      </c>
      <c r="AY87" s="21" t="str">
        <f>IFERROR(VLOOKUP(Tabela1[[#This Row],[MÊS]]&amp;Tabela1[[#This Row],[ID]]&amp;Tabela1[[#This Row],[MATRICULA]]&amp;"Policia 2"&amp;Tabela1[[#This Row],[SETOR]],BD!A:AF,26,0),"")</f>
        <v/>
      </c>
      <c r="AZ87" s="36" t="str">
        <f>IFERROR(VLOOKUP(Tabela1[[#This Row],[MÊS]]&amp;Tabela1[[#This Row],[ID]]&amp;Tabela1[[#This Row],[MATRICULA]]&amp;"Policia 3"&amp;Tabela1[[#This Row],[SETOR]],BD!A:AF,26,0),"")</f>
        <v/>
      </c>
      <c r="BA87" s="36" t="str">
        <f>IFERROR(VLOOKUP(Tabela1[[#This Row],[MÊS]]&amp;Tabela1[[#This Row],[ID]]&amp;Tabela1[[#This Row],[MATRICULA]]&amp;"Policia 4"&amp;Tabela1[[#This Row],[SETOR]],BD!A:AF,26,0),"")</f>
        <v/>
      </c>
      <c r="BB8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7" s="21">
        <f>IFERROR(AVERAGE(Tabela1[[#This Row],[M]:[M4]]),"")</f>
        <v>0</v>
      </c>
      <c r="BD87" s="21" t="str">
        <f>IFERROR(AVERAGE(Tabela1[[#This Row],[C]:[C4]]),"")</f>
        <v/>
      </c>
      <c r="BE87" s="21" t="str">
        <f>IFERROR(AVERAGE(Tabela1[[#This Row],[PA2]:[PA 4]]),"")</f>
        <v/>
      </c>
      <c r="BF87" s="21" t="str">
        <f>IFERROR(AVERAGE(Tabela1[[#This Row],[PL]:[PL4]]),"")</f>
        <v/>
      </c>
      <c r="BG87" s="35" t="str">
        <f>IFERROR(VLOOKUP(Tabela1[[#This Row],[MÊS]]&amp;Tabela1[[#This Row],[MATRICULA]],#REF!,2,0),"")</f>
        <v/>
      </c>
      <c r="BH87" s="35" t="str">
        <f>IFERROR(VLOOKUP(Tabela1[[#This Row],[MÊS]]&amp;Tabela1[[#This Row],[MATRICULA]],#REF!,2,0),"")</f>
        <v/>
      </c>
      <c r="BI87" s="35" t="str">
        <f>IFERROR(VLOOKUP(Tabela1[[#This Row],[MÊS]]&amp;Tabela1[[#This Row],[MATRICULA]],#REF!,2,0),"")</f>
        <v/>
      </c>
      <c r="BJ87" s="35" t="str">
        <f>IFERROR(VLOOKUP(Tabela1[[#This Row],[MÊS]]&amp;Tabela1[[#This Row],[MATRICULA]],#REF!,2,0),"")</f>
        <v/>
      </c>
      <c r="BK87" s="35" t="str">
        <f>IFERROR(VLOOKUP(Tabela1[[#This Row],[MÊS]]&amp;Tabela1[[#This Row],[MATRICULA]],#REF!,2,0),"")</f>
        <v/>
      </c>
      <c r="BL87" s="21">
        <f>COUNTIF(Tabela1[[#This Row],[MOT2]:[RECEPTIVA]],"NÃO ENCONTRADA")</f>
        <v>0</v>
      </c>
      <c r="BM87" s="135" t="str">
        <f>IFERROR(VLOOKUP(Tabela1[[#This Row],[MÊS]]&amp;Tabela1[[#This Row],[ID]]&amp;Tabela1[[#This Row],[MATRICULA]]&amp;"Motorista"&amp;Tabela1[[#This Row],[SETOR]],BD!A:AF,13,0),"")</f>
        <v/>
      </c>
      <c r="BN87" s="135" t="str">
        <f>IFERROR(VLOOKUP(Tabela1[[#This Row],[MÊS]]&amp;Tabela1[[#This Row],[ID]]&amp;Tabela1[[#This Row],[MATRICULA]]&amp;"Motorista 2"&amp;Tabela1[[#This Row],[SETOR]],BD!A:AF,13,0),"")</f>
        <v/>
      </c>
      <c r="BO87" s="135" t="str">
        <f>IFERROR(VLOOKUP(Tabela1[[#This Row],[MÊS]]&amp;Tabela1[[#This Row],[ID]]&amp;Tabela1[[#This Row],[MATRICULA]]&amp;"Motorista 3"&amp;Tabela1[[#This Row],[SETOR]],BD!A:AF,13,0),"")</f>
        <v/>
      </c>
      <c r="BP87" s="135" t="str">
        <f>IFERROR(VLOOKUP(Tabela1[[#This Row],[MÊS]]&amp;Tabela1[[#This Row],[ID]]&amp;Tabela1[[#This Row],[MATRICULA]]&amp;"Motorista 4"&amp;Tabela1[[#This Row],[SETOR]],BD!A:AF,13,0),"")</f>
        <v/>
      </c>
      <c r="BQ87" s="135" t="str">
        <f>IFERROR(AVERAGE(Tabela1[[#This Row],[DMOT]:[DMOT4]]),"")</f>
        <v/>
      </c>
      <c r="BR87" s="135" t="str">
        <f>IFERROR(VLOOKUP(Tabela1[[#This Row],[MÊS]]&amp;Tabela1[[#This Row],[ID]]&amp;Tabela1[[#This Row],[MATRICULA]]&amp;"Ponto de Apoio"&amp;Tabela1[[#This Row],[SETOR]],BD!A:AF,13,0),"")</f>
        <v/>
      </c>
      <c r="BS87" s="135" t="str">
        <f>IFERROR(VLOOKUP(Tabela1[[#This Row],[MÊS]]&amp;Tabela1[[#This Row],[ID]]&amp;Tabela1[[#This Row],[MATRICULA]]&amp;"Ponto de Apoio 2"&amp;Tabela1[[#This Row],[SETOR]],BD!A:AF,13,0),"")</f>
        <v/>
      </c>
      <c r="BT87" s="135" t="str">
        <f>IFERROR(VLOOKUP(Tabela1[[#This Row],[MÊS]]&amp;Tabela1[[#This Row],[ID]]&amp;Tabela1[[#This Row],[MATRICULA]]&amp;"Ponto de Apoio 3"&amp;Tabela1[[#This Row],[SETOR]],BD!A:AF,13,0),"")</f>
        <v/>
      </c>
      <c r="BU87" s="135" t="str">
        <f>IFERROR(VLOOKUP(Tabela1[[#This Row],[MÊS]]&amp;Tabela1[[#This Row],[ID]]&amp;Tabela1[[#This Row],[MATRICULA]]&amp;"Ponto de Apoio 4"&amp;Tabela1[[#This Row],[SETOR]],BD!A:AF,13,0),"")</f>
        <v/>
      </c>
      <c r="BV87" s="135" t="str">
        <f>IFERROR(AVERAGE(Tabela1[[#This Row],[DPA]:[DPA 4]]),"")</f>
        <v/>
      </c>
      <c r="BW87" s="135" t="str">
        <f>IFERROR(VLOOKUP(Tabela1[[#This Row],[MÊS]]&amp;Tabela1[[#This Row],[ID]]&amp;Tabela1[[#This Row],[MATRICULA]]&amp;"Cliente"&amp;Tabela1[[#This Row],[SETOR]],BD!A:AF,13,0),"")</f>
        <v/>
      </c>
      <c r="BX87" s="135" t="str">
        <f>IFERROR(VLOOKUP(Tabela1[[#This Row],[MÊS]]&amp;Tabela1[[#This Row],[ID]]&amp;Tabela1[[#This Row],[MATRICULA]]&amp;"cliente 2"&amp;Tabela1[[#This Row],[SETOR]],BD!A:AF,13,0),"")</f>
        <v/>
      </c>
      <c r="BY87" s="135" t="str">
        <f>IFERROR(VLOOKUP(Tabela1[[#This Row],[MÊS]]&amp;Tabela1[[#This Row],[ID]]&amp;Tabela1[[#This Row],[MATRICULA]]&amp;"cliente 3"&amp;Tabela1[[#This Row],[SETOR]],BD!A:AF,13,0),"")</f>
        <v/>
      </c>
      <c r="BZ87" s="135" t="str">
        <f>IFERROR(VLOOKUP(Tabela1[[#This Row],[MÊS]]&amp;Tabela1[[#This Row],[ID]]&amp;Tabela1[[#This Row],[MATRICULA]]&amp;"cliente 4"&amp;Tabela1[[#This Row],[SETOR]],BD!A:AF,13,0),"")</f>
        <v/>
      </c>
      <c r="CA87" s="135" t="str">
        <f>IFERROR(AVERAGE(Tabela1[[#This Row],[DCLI]:[DCLI 4]]),"")</f>
        <v/>
      </c>
      <c r="CB87" s="135" t="str">
        <f>IFERROR(VLOOKUP(Tabela1[[#This Row],[MÊS]]&amp;Tabela1[[#This Row],[ID]]&amp;Tabela1[[#This Row],[MATRICULA]]&amp;"Policia"&amp;Tabela1[[#This Row],[SETOR]],BD!A:AF,13,0),"")</f>
        <v/>
      </c>
      <c r="CC87" s="135" t="str">
        <f>IFERROR(VLOOKUP(Tabela1[[#This Row],[MÊS]]&amp;Tabela1[[#This Row],[ID]]&amp;Tabela1[[#This Row],[MATRICULA]]&amp;"Policia 2"&amp;Tabela1[[#This Row],[SETOR]],BD!A:AF,13,0),"")</f>
        <v/>
      </c>
      <c r="CD87" s="135"/>
      <c r="CE87" s="135"/>
      <c r="CF87" s="135" t="str">
        <f>IFERROR((AVERAGE(Tabela1[[#This Row],[DPOL1]:[DPOL4]])),"")</f>
        <v/>
      </c>
      <c r="CG87" s="21" t="str">
        <f>IFERROR(VLOOKUP(Tabela1[[#This Row],[ID]]&amp;Tabela1[[#This Row],[MÊS]]&amp;Tabela1[[#This Row],[MATRICULA]],#REF!,2,0),"")</f>
        <v/>
      </c>
      <c r="CH87" s="21" t="str">
        <f>IFERROR(VLOOKUP(Tabela1[[#This Row],[ID]]&amp;Tabela1[[#This Row],[MÊS]]&amp;Tabela1[[#This Row],[MATRICULA]],#REF!,2,0),"")</f>
        <v/>
      </c>
      <c r="CI87" s="21" t="str">
        <f>IFERROR(VLOOKUP(Tabela1[[#This Row],[MÊS]]&amp;Tabela1[[#This Row],[MATRICULA]],#REF!,2,0),"")</f>
        <v/>
      </c>
    </row>
    <row r="88" spans="1:87">
      <c r="A88" s="12" t="str">
        <f>Tabela1[[#This Row],[MÊS]]&amp;Tabela1[[#This Row],[MATRICULA]]&amp;Tabela1[[#This Row],[ID]]</f>
        <v>JAN6354</v>
      </c>
      <c r="B88" s="12" t="str">
        <f>Tabela1[[#This Row],[MÊS]]&amp;Tabela1[[#This Row],[ID]]&amp;Tabela1[[#This Row],[MATRICULA]]&amp;Tabela1[[#This Row],[SETOR]]</f>
        <v>JAN4635UTI</v>
      </c>
      <c r="C88" s="130" t="e">
        <f>VLOOKUP(Tabela1[[#This Row],[MATRICULA]],'BD Campos'!A:D,5,0)</f>
        <v>#REF!</v>
      </c>
      <c r="D88" s="133" t="str">
        <f ca="1">IFERROR(SUM(TODAY()-Tabela1[[#This Row],[ADMISSÃO]]),"")</f>
        <v/>
      </c>
      <c r="E88" s="11" t="str">
        <f ca="1">IFERROR(TRUNC(Tabela1[[#This Row],[TEMPO DE CASA (DIAS)]]/30),"")</f>
        <v/>
      </c>
      <c r="F88" s="32" t="str">
        <f ca="1">IFERROR(SUM(Tabela1[[#This Row],[TEMPO DE CASA (MESES)]]/12),"")</f>
        <v/>
      </c>
      <c r="G88" s="133" t="str">
        <f ca="1">IF(Tabela1[[#This Row],[TEMPO DE CASA (DIAS)]]="","SEM DADOS",IF(Tabela1[[#This Row],[TEMPO DE CASA (DIAS)]]&gt;180,"&gt; 6 MESES","&lt; 6 MESES"))</f>
        <v>SEM DADOS</v>
      </c>
      <c r="H88" s="12" t="str">
        <f t="shared" si="9"/>
        <v>JANLucas Rafael4</v>
      </c>
      <c r="I88" s="12" t="str">
        <f>IFERROR(VLOOKUP(Tabela1[[#This Row],[MATRICULA]],'BD Campos'!A:F,7,0),"")</f>
        <v/>
      </c>
      <c r="J88" s="11">
        <v>4</v>
      </c>
      <c r="K88" s="11" t="s">
        <v>669</v>
      </c>
      <c r="L88" s="136">
        <v>635</v>
      </c>
      <c r="M88" s="12" t="str">
        <f>IFERROR(VLOOKUP(Tabela1[[#This Row],[MATRICULA]],'BD Campos'!A:B,2,0),"")</f>
        <v>VANESSA PATERNO</v>
      </c>
      <c r="N88" s="20">
        <f>IFERROR(AVERAGE(Tabela1[[#This Row],[A1]:[A4]]),"")</f>
        <v>7.6637499999999994</v>
      </c>
      <c r="O88" s="20" t="str">
        <f>IFERROR(IF(Tabela1[[#This Row],[SETOR]]="RECEPTIVO","",AVERAGE(Tabela1[[#This Row],[A5]:[A6]])),"")</f>
        <v/>
      </c>
      <c r="P88" s="20" t="str">
        <f>IFERROR(IF(Tabela1[[#This Row],[STATUS]]="INATIVO","INATIVO",IF(Tabela1[[#This Row],[STATUS]]="QRT","INATIVO",IF(Tabela1[[#This Row],[OPERACIONAL]]&gt;7.99999,"BOM","RUIM"))),"")</f>
        <v>RUIM</v>
      </c>
      <c r="Q88" s="21" t="s">
        <v>667</v>
      </c>
      <c r="R88" s="12" t="s">
        <v>690</v>
      </c>
      <c r="S88" s="12" t="s">
        <v>688</v>
      </c>
      <c r="T88" s="12" t="s">
        <v>128</v>
      </c>
      <c r="U8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</v>
      </c>
      <c r="V8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0.02</v>
      </c>
      <c r="W88" s="12">
        <f>IF(AND(Tabela1[[#This Row],[SETOR]]="UTI",Tabela1[[#This Row],[M]]&lt;&gt;""),1,IF(AND(Tabela1[[#This Row],[SETOR]]="UTI (RJ)",Tabela1[[#This Row],[M]]&lt;&gt;""),1.5,0))</f>
        <v>1</v>
      </c>
      <c r="X88" s="12">
        <v>1</v>
      </c>
      <c r="Y88" s="12">
        <v>1</v>
      </c>
      <c r="Z88" s="12">
        <f>IF(AND(Tabela1[[#This Row],[SETOR]]="UTI",Tabela1[[#This Row],[PL]]&lt;&gt;""),1,IF(AND(Tabela1[[#This Row],[SETOR]]="UTI (RJ)",Tabela1[[#This Row],[PL]]&lt;&gt;""),1,0))</f>
        <v>0</v>
      </c>
      <c r="AA88" s="21">
        <f>IFERROR(VLOOKUP(Tabela1[[#This Row],[MÊS]]&amp;Tabela1[[#This Row],[MATRICULA]]&amp;"1"&amp;Tabela1[[#This Row],[SETOR]]&amp;"PADRÃO",BD!B:AF,31,0),"")</f>
        <v>8.8974999999999991</v>
      </c>
      <c r="AB88" s="21">
        <f>IFERROR(VLOOKUP(Tabela1[[#This Row],[MÊS]]&amp;Tabela1[[#This Row],[MATRICULA]]&amp;"2"&amp;Tabela1[[#This Row],[SETOR]]&amp;"PADRÃO",BD!B:AF,31,0),"")</f>
        <v>6.43</v>
      </c>
      <c r="AC88" s="21" t="str">
        <f>IFERROR(VLOOKUP(Tabela1[[#This Row],[MÊS]]&amp;Tabela1[[#This Row],[MATRICULA]]&amp;"3"&amp;Tabela1[[#This Row],[SETOR]]&amp;"PADRÃO",BD!B:AF,31,0),"")</f>
        <v/>
      </c>
      <c r="AD88" s="21" t="str">
        <f>IFERROR(VLOOKUP(Tabela1[[#This Row],[MÊS]]&amp;Tabela1[[#This Row],[MATRICULA]]&amp;"4"&amp;Tabela1[[#This Row],[SETOR]]&amp;"PADRÃO",BD!B:AF,25,0),"")</f>
        <v/>
      </c>
      <c r="AE88" s="21" t="str">
        <f>IFERROR(VLOOKUP(Tabela1[[#This Row],[MÊS]]&amp;Tabela1[[#This Row],[MATRICULA]]&amp;"5"&amp;Tabela1[[#This Row],[SETOR]]&amp;"PADRÃO",BD!B:AF,31,0),"")</f>
        <v/>
      </c>
      <c r="AF88" s="21" t="str">
        <f>IFERROR(VLOOKUP(Tabela1[[#This Row],[MÊS]]&amp;Tabela1[[#This Row],[MATRICULA]]&amp;"6"&amp;Tabela1[[#This Row],[SETOR]]&amp;"PADRÃO",BD!B:AF,31,0),"")</f>
        <v/>
      </c>
      <c r="AG88" s="21" t="str">
        <f>IFERROR(VLOOKUP(Tabela1[[#This Row],[MÊS]]&amp;Tabela1[[#This Row],[MATRICULA]]&amp;"7"&amp;Tabela1[[#This Row],[SETOR]]&amp;"PADRÃO",BD!B:AF,31,0),"")</f>
        <v/>
      </c>
      <c r="AH88" s="21" t="str">
        <f>IFERROR(VLOOKUP(Tabela1[[#This Row],[MÊS]]&amp;Tabela1[[#This Row],[ID]]&amp;Tabela1[[#This Row],[MATRICULA]]&amp;"Receptiva"&amp;Tabela1[[#This Row],[SETOR]],BD!A:AF,31,0),"")</f>
        <v/>
      </c>
      <c r="AI88" s="21" t="str">
        <f>IFERROR(VLOOKUP(Tabela1[[#This Row],[MÊS]]&amp;Tabela1[[#This Row],[ID]]&amp;Tabela1[[#This Row],[MATRICULA]]&amp;"Receptiva 2"&amp;Tabela1[[#This Row],[SETOR]],BD!A:AF,31,0),"")</f>
        <v/>
      </c>
      <c r="AJ88" s="21" t="str">
        <f>IFERROR(VLOOKUP(Tabela1[[#This Row],[MÊS]]&amp;Tabela1[[#This Row],[ID]]&amp;Tabela1[[#This Row],[MATRICULA]]&amp;"Receptiva 3"&amp;Tabela1[[#This Row],[SETOR]],BD!A:AF,31,0),"")</f>
        <v/>
      </c>
      <c r="AK88" s="21" t="str">
        <f>IFERROR(VLOOKUP(Tabela1[[#This Row],[MÊS]]&amp;Tabela1[[#This Row],[ID]]&amp;Tabela1[[#This Row],[MATRICULA]]&amp;"Receptiva 4"&amp;Tabela1[[#This Row],[SETOR]],BD!A:AF,31,0),"")</f>
        <v/>
      </c>
      <c r="AL88" s="21">
        <f>IFERROR(VLOOKUP(Tabela1[[#This Row],[MÊS]]&amp;Tabela1[[#This Row],[MATRICULA]]&amp;"Motorista"&amp;Tabela1[[#This Row],[SETOR]],BD!A:AF,31,0),"")</f>
        <v>0</v>
      </c>
      <c r="AM88" s="21" t="str">
        <f>IFERROR(VLOOKUP(Tabela1[[#This Row],[MÊS]]&amp;Tabela1[[#This Row],[ID]]&amp;Tabela1[[#This Row],[MATRICULA]]&amp;"Motorista 2"&amp;Tabela1[[#This Row],[SETOR]],BD!A:AF,26,0),"")</f>
        <v/>
      </c>
      <c r="AN88" s="21" t="str">
        <f>IFERROR(VLOOKUP(Tabela1[[#This Row],[MÊS]]&amp;Tabela1[[#This Row],[ID]]&amp;Tabela1[[#This Row],[MATRICULA]]&amp;"Motorista 3"&amp;Tabela1[[#This Row],[SETOR]],BD!A:AF,26,0),"")</f>
        <v/>
      </c>
      <c r="AO88" s="21" t="str">
        <f>IFERROR(VLOOKUP(Tabela1[[#This Row],[MÊS]]&amp;Tabela1[[#This Row],[ID]]&amp;Tabela1[[#This Row],[MATRICULA]]&amp;"Motorista 4"&amp;Tabela1[[#This Row],[SETOR]],BD!A:AF,26,0),"")</f>
        <v/>
      </c>
      <c r="AP88" s="21" t="str">
        <f>IFERROR(VLOOKUP(Tabela1[[#This Row],[MÊS]]&amp;Tabela1[[#This Row],[MATRICULA]]&amp;"Ponto de Apoio"&amp;Tabela1[[#This Row],[SETOR]],BD!A:AF,31,0),"")</f>
        <v/>
      </c>
      <c r="AQ88" s="21" t="str">
        <f>IFERROR(VLOOKUP(Tabela1[[#This Row],[MÊS]]&amp;Tabela1[[#This Row],[ID]]&amp;Tabela1[[#This Row],[MATRICULA]]&amp;"Ponto de Apoio 2"&amp;Tabela1[[#This Row],[SETOR]],BD!A:AF,26,0),"")</f>
        <v/>
      </c>
      <c r="AR88" s="36" t="str">
        <f>IFERROR(VLOOKUP(Tabela1[[#This Row],[MÊS]]&amp;Tabela1[[#This Row],[ID]]&amp;Tabela1[[#This Row],[MATRICULA]]&amp;"Ponto de Apoio 3"&amp;Tabela1[[#This Row],[SETOR]],BD!A:AF,26,0),"")</f>
        <v/>
      </c>
      <c r="AS88" s="36" t="str">
        <f>IFERROR(VLOOKUP(Tabela1[[#This Row],[MÊS]]&amp;Tabela1[[#This Row],[ID]]&amp;Tabela1[[#This Row],[MATRICULA]]&amp;"Ponto de Apoio 4"&amp;Tabela1[[#This Row],[SETOR]],BD!A:AF,26,0),"")</f>
        <v/>
      </c>
      <c r="AT88" s="21" t="str">
        <f>IFERROR(VLOOKUP(Tabela1[[#This Row],[MÊS]]&amp;Tabela1[[#This Row],[MATRICULA]]&amp;"Cliente"&amp;Tabela1[[#This Row],[SETOR]],BD!A:AF,31,0),"")</f>
        <v/>
      </c>
      <c r="AU88" s="21" t="str">
        <f>IFERROR(VLOOKUP(Tabela1[[#This Row],[MÊS]]&amp;Tabela1[[#This Row],[ID]]&amp;Tabela1[[#This Row],[MATRICULA]]&amp;"Cliente 2"&amp;Tabela1[[#This Row],[SETOR]],BD!A:AF,26,0),"")</f>
        <v/>
      </c>
      <c r="AX88" s="21" t="str">
        <f>IFERROR(VLOOKUP(Tabela1[[#This Row],[MÊS]]&amp;Tabela1[[#This Row],[MATRICULA]]&amp;"Policia"&amp;Tabela1[[#This Row],[SETOR]],BD!A:AF,31,0),"")</f>
        <v/>
      </c>
      <c r="AY88" s="21" t="str">
        <f>IFERROR(VLOOKUP(Tabela1[[#This Row],[MÊS]]&amp;Tabela1[[#This Row],[ID]]&amp;Tabela1[[#This Row],[MATRICULA]]&amp;"Policia 2"&amp;Tabela1[[#This Row],[SETOR]],BD!A:AF,26,0),"")</f>
        <v/>
      </c>
      <c r="AZ88" s="36" t="str">
        <f>IFERROR(VLOOKUP(Tabela1[[#This Row],[MÊS]]&amp;Tabela1[[#This Row],[ID]]&amp;Tabela1[[#This Row],[MATRICULA]]&amp;"Policia 3"&amp;Tabela1[[#This Row],[SETOR]],BD!A:AF,26,0),"")</f>
        <v/>
      </c>
      <c r="BA88" s="36" t="str">
        <f>IFERROR(VLOOKUP(Tabela1[[#This Row],[MÊS]]&amp;Tabela1[[#This Row],[ID]]&amp;Tabela1[[#This Row],[MATRICULA]]&amp;"Policia 4"&amp;Tabela1[[#This Row],[SETOR]],BD!A:AF,26,0),"")</f>
        <v/>
      </c>
      <c r="BB8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8" s="21">
        <f>IFERROR(AVERAGE(Tabela1[[#This Row],[M]:[M4]]),"")</f>
        <v>0</v>
      </c>
      <c r="BD88" s="21" t="str">
        <f>IFERROR(AVERAGE(Tabela1[[#This Row],[C]:[C4]]),"")</f>
        <v/>
      </c>
      <c r="BE88" s="21" t="str">
        <f>IFERROR(AVERAGE(Tabela1[[#This Row],[PA2]:[PA 4]]),"")</f>
        <v/>
      </c>
      <c r="BF88" s="21" t="str">
        <f>IFERROR(AVERAGE(Tabela1[[#This Row],[PL]:[PL4]]),"")</f>
        <v/>
      </c>
      <c r="BG88" s="35" t="str">
        <f>IFERROR(VLOOKUP(Tabela1[[#This Row],[MÊS]]&amp;Tabela1[[#This Row],[MATRICULA]],#REF!,2,0),"")</f>
        <v/>
      </c>
      <c r="BH88" s="35" t="str">
        <f>IFERROR(VLOOKUP(Tabela1[[#This Row],[MÊS]]&amp;Tabela1[[#This Row],[MATRICULA]],#REF!,2,0),"")</f>
        <v/>
      </c>
      <c r="BI88" s="35" t="str">
        <f>IFERROR(VLOOKUP(Tabela1[[#This Row],[MÊS]]&amp;Tabela1[[#This Row],[MATRICULA]],#REF!,2,0),"")</f>
        <v/>
      </c>
      <c r="BJ88" s="35" t="str">
        <f>IFERROR(VLOOKUP(Tabela1[[#This Row],[MÊS]]&amp;Tabela1[[#This Row],[MATRICULA]],#REF!,2,0),"")</f>
        <v/>
      </c>
      <c r="BK88" s="35" t="str">
        <f>IFERROR(VLOOKUP(Tabela1[[#This Row],[MÊS]]&amp;Tabela1[[#This Row],[MATRICULA]],#REF!,2,0),"")</f>
        <v/>
      </c>
      <c r="BL88" s="21">
        <f>COUNTIF(Tabela1[[#This Row],[MOT2]:[RECEPTIVA]],"NÃO ENCONTRADA")</f>
        <v>0</v>
      </c>
      <c r="BM88" s="135" t="str">
        <f>IFERROR(VLOOKUP(Tabela1[[#This Row],[MÊS]]&amp;Tabela1[[#This Row],[ID]]&amp;Tabela1[[#This Row],[MATRICULA]]&amp;"Motorista"&amp;Tabela1[[#This Row],[SETOR]],BD!A:AF,13,0),"")</f>
        <v/>
      </c>
      <c r="BN88" s="135" t="str">
        <f>IFERROR(VLOOKUP(Tabela1[[#This Row],[MÊS]]&amp;Tabela1[[#This Row],[ID]]&amp;Tabela1[[#This Row],[MATRICULA]]&amp;"Motorista 2"&amp;Tabela1[[#This Row],[SETOR]],BD!A:AF,13,0),"")</f>
        <v/>
      </c>
      <c r="BO88" s="135" t="str">
        <f>IFERROR(VLOOKUP(Tabela1[[#This Row],[MÊS]]&amp;Tabela1[[#This Row],[ID]]&amp;Tabela1[[#This Row],[MATRICULA]]&amp;"Motorista 3"&amp;Tabela1[[#This Row],[SETOR]],BD!A:AF,13,0),"")</f>
        <v/>
      </c>
      <c r="BP88" s="135" t="str">
        <f>IFERROR(VLOOKUP(Tabela1[[#This Row],[MÊS]]&amp;Tabela1[[#This Row],[ID]]&amp;Tabela1[[#This Row],[MATRICULA]]&amp;"Motorista 4"&amp;Tabela1[[#This Row],[SETOR]],BD!A:AF,13,0),"")</f>
        <v/>
      </c>
      <c r="BQ88" s="135" t="str">
        <f>IFERROR(AVERAGE(Tabela1[[#This Row],[DMOT]:[DMOT4]]),"")</f>
        <v/>
      </c>
      <c r="BR88" s="135" t="str">
        <f>IFERROR(VLOOKUP(Tabela1[[#This Row],[MÊS]]&amp;Tabela1[[#This Row],[ID]]&amp;Tabela1[[#This Row],[MATRICULA]]&amp;"Ponto de Apoio"&amp;Tabela1[[#This Row],[SETOR]],BD!A:AF,13,0),"")</f>
        <v/>
      </c>
      <c r="BS88" s="135" t="str">
        <f>IFERROR(VLOOKUP(Tabela1[[#This Row],[MÊS]]&amp;Tabela1[[#This Row],[ID]]&amp;Tabela1[[#This Row],[MATRICULA]]&amp;"Ponto de Apoio 2"&amp;Tabela1[[#This Row],[SETOR]],BD!A:AF,13,0),"")</f>
        <v/>
      </c>
      <c r="BT88" s="135" t="str">
        <f>IFERROR(VLOOKUP(Tabela1[[#This Row],[MÊS]]&amp;Tabela1[[#This Row],[ID]]&amp;Tabela1[[#This Row],[MATRICULA]]&amp;"Ponto de Apoio 3"&amp;Tabela1[[#This Row],[SETOR]],BD!A:AF,13,0),"")</f>
        <v/>
      </c>
      <c r="BU88" s="135" t="str">
        <f>IFERROR(VLOOKUP(Tabela1[[#This Row],[MÊS]]&amp;Tabela1[[#This Row],[ID]]&amp;Tabela1[[#This Row],[MATRICULA]]&amp;"Ponto de Apoio 4"&amp;Tabela1[[#This Row],[SETOR]],BD!A:AF,13,0),"")</f>
        <v/>
      </c>
      <c r="BV88" s="135" t="str">
        <f>IFERROR(AVERAGE(Tabela1[[#This Row],[DPA]:[DPA 4]]),"")</f>
        <v/>
      </c>
      <c r="BW88" s="135" t="str">
        <f>IFERROR(VLOOKUP(Tabela1[[#This Row],[MÊS]]&amp;Tabela1[[#This Row],[ID]]&amp;Tabela1[[#This Row],[MATRICULA]]&amp;"Cliente"&amp;Tabela1[[#This Row],[SETOR]],BD!A:AF,13,0),"")</f>
        <v/>
      </c>
      <c r="BX88" s="135" t="str">
        <f>IFERROR(VLOOKUP(Tabela1[[#This Row],[MÊS]]&amp;Tabela1[[#This Row],[ID]]&amp;Tabela1[[#This Row],[MATRICULA]]&amp;"cliente 2"&amp;Tabela1[[#This Row],[SETOR]],BD!A:AF,13,0),"")</f>
        <v/>
      </c>
      <c r="BY88" s="135" t="str">
        <f>IFERROR(VLOOKUP(Tabela1[[#This Row],[MÊS]]&amp;Tabela1[[#This Row],[ID]]&amp;Tabela1[[#This Row],[MATRICULA]]&amp;"cliente 3"&amp;Tabela1[[#This Row],[SETOR]],BD!A:AF,13,0),"")</f>
        <v/>
      </c>
      <c r="BZ88" s="135" t="str">
        <f>IFERROR(VLOOKUP(Tabela1[[#This Row],[MÊS]]&amp;Tabela1[[#This Row],[ID]]&amp;Tabela1[[#This Row],[MATRICULA]]&amp;"cliente 4"&amp;Tabela1[[#This Row],[SETOR]],BD!A:AF,13,0),"")</f>
        <v/>
      </c>
      <c r="CA88" s="135" t="str">
        <f>IFERROR(AVERAGE(Tabela1[[#This Row],[DCLI]:[DCLI 4]]),"")</f>
        <v/>
      </c>
      <c r="CB88" s="135" t="str">
        <f>IFERROR(VLOOKUP(Tabela1[[#This Row],[MÊS]]&amp;Tabela1[[#This Row],[ID]]&amp;Tabela1[[#This Row],[MATRICULA]]&amp;"Policia"&amp;Tabela1[[#This Row],[SETOR]],BD!A:AF,13,0),"")</f>
        <v/>
      </c>
      <c r="CC88" s="135" t="str">
        <f>IFERROR(VLOOKUP(Tabela1[[#This Row],[MÊS]]&amp;Tabela1[[#This Row],[ID]]&amp;Tabela1[[#This Row],[MATRICULA]]&amp;"Policia 2"&amp;Tabela1[[#This Row],[SETOR]],BD!A:AF,13,0),"")</f>
        <v/>
      </c>
      <c r="CD88" s="135"/>
      <c r="CE88" s="135"/>
      <c r="CF88" s="135" t="str">
        <f>IFERROR((AVERAGE(Tabela1[[#This Row],[DPOL1]:[DPOL4]])),"")</f>
        <v/>
      </c>
      <c r="CG88" s="21" t="str">
        <f>IFERROR(VLOOKUP(Tabela1[[#This Row],[ID]]&amp;Tabela1[[#This Row],[MÊS]]&amp;Tabela1[[#This Row],[MATRICULA]],#REF!,2,0),"")</f>
        <v/>
      </c>
      <c r="CH88" s="21" t="str">
        <f>IFERROR(VLOOKUP(Tabela1[[#This Row],[ID]]&amp;Tabela1[[#This Row],[MÊS]]&amp;Tabela1[[#This Row],[MATRICULA]],#REF!,2,0),"")</f>
        <v/>
      </c>
      <c r="CI88" s="21" t="str">
        <f>IFERROR(VLOOKUP(Tabela1[[#This Row],[MÊS]]&amp;Tabela1[[#This Row],[MATRICULA]],#REF!,2,0),"")</f>
        <v/>
      </c>
    </row>
    <row r="89" spans="1:87">
      <c r="A89" s="12" t="str">
        <f>Tabela1[[#This Row],[MÊS]]&amp;Tabela1[[#This Row],[MATRICULA]]&amp;Tabela1[[#This Row],[ID]]</f>
        <v>JAN108585</v>
      </c>
      <c r="B89" s="12" t="str">
        <f>Tabela1[[#This Row],[MÊS]]&amp;Tabela1[[#This Row],[ID]]&amp;Tabela1[[#This Row],[MATRICULA]]&amp;Tabela1[[#This Row],[SETOR]]</f>
        <v>JAN510858UTI</v>
      </c>
      <c r="C89" s="130" t="e">
        <f>VLOOKUP(Tabela1[[#This Row],[MATRICULA]],'BD Campos'!A:D,5,0)</f>
        <v>#REF!</v>
      </c>
      <c r="D89" s="133" t="str">
        <f ca="1">IFERROR(SUM(TODAY()-Tabela1[[#This Row],[ADMISSÃO]]),"")</f>
        <v/>
      </c>
      <c r="E89" s="11" t="str">
        <f ca="1">IFERROR(TRUNC(Tabela1[[#This Row],[TEMPO DE CASA (DIAS)]]/30),"")</f>
        <v/>
      </c>
      <c r="F89" s="32" t="str">
        <f ca="1">IFERROR(SUM(Tabela1[[#This Row],[TEMPO DE CASA (MESES)]]/12),"")</f>
        <v/>
      </c>
      <c r="G89" s="133" t="str">
        <f ca="1">IF(Tabela1[[#This Row],[TEMPO DE CASA (DIAS)]]="","SEM DADOS",IF(Tabela1[[#This Row],[TEMPO DE CASA (DIAS)]]&gt;180,"&gt; 6 MESES","&lt; 6 MESES"))</f>
        <v>SEM DADOS</v>
      </c>
      <c r="H89" s="12" t="str">
        <f t="shared" si="9"/>
        <v>JANLucas Rafael5</v>
      </c>
      <c r="I89" s="12" t="str">
        <f>IFERROR(VLOOKUP(Tabela1[[#This Row],[MATRICULA]],'BD Campos'!A:F,7,0),"")</f>
        <v/>
      </c>
      <c r="J89" s="11">
        <v>5</v>
      </c>
      <c r="K89" s="11" t="s">
        <v>669</v>
      </c>
      <c r="L89" s="136">
        <v>10858</v>
      </c>
      <c r="M89" s="12" t="str">
        <f>IFERROR(VLOOKUP(Tabela1[[#This Row],[MATRICULA]],'BD Campos'!A:B,2,0),"")</f>
        <v>FRANCIELI ALVES DA LUZ</v>
      </c>
      <c r="N89" s="20">
        <f>IFERROR(AVERAGE(Tabela1[[#This Row],[A1]:[A4]]),"")</f>
        <v>7.6899999999999995</v>
      </c>
      <c r="O89" s="20" t="str">
        <f>IFERROR(IF(Tabela1[[#This Row],[SETOR]]="RECEPTIVO","",AVERAGE(Tabela1[[#This Row],[A5]:[A6]])),"")</f>
        <v/>
      </c>
      <c r="P89" s="20" t="str">
        <f>IFERROR(IF(Tabela1[[#This Row],[STATUS]]="INATIVO","INATIVO",IF(Tabela1[[#This Row],[STATUS]]="QRT","INATIVO",IF(Tabela1[[#This Row],[OPERACIONAL]]&gt;7.99999,"BOM","RUIM"))),"")</f>
        <v>RUIM</v>
      </c>
      <c r="Q89" s="21" t="s">
        <v>667</v>
      </c>
      <c r="R89" s="12" t="s">
        <v>690</v>
      </c>
      <c r="S89" s="12" t="s">
        <v>688</v>
      </c>
      <c r="T89" s="12" t="s">
        <v>128</v>
      </c>
      <c r="U8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</v>
      </c>
      <c r="V8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0.02</v>
      </c>
      <c r="W89" s="12">
        <f>IF(AND(Tabela1[[#This Row],[SETOR]]="UTI",Tabela1[[#This Row],[M]]&lt;&gt;""),1,IF(AND(Tabela1[[#This Row],[SETOR]]="UTI (RJ)",Tabela1[[#This Row],[M]]&lt;&gt;""),1.5,0))</f>
        <v>1</v>
      </c>
      <c r="X89" s="12">
        <v>1</v>
      </c>
      <c r="Y89" s="12">
        <v>1</v>
      </c>
      <c r="Z89" s="12">
        <f>IF(AND(Tabela1[[#This Row],[SETOR]]="UTI",Tabela1[[#This Row],[PL]]&lt;&gt;""),1,IF(AND(Tabela1[[#This Row],[SETOR]]="UTI (RJ)",Tabela1[[#This Row],[PL]]&lt;&gt;""),1,0))</f>
        <v>0</v>
      </c>
      <c r="AA89" s="21">
        <f>IFERROR(VLOOKUP(Tabela1[[#This Row],[MÊS]]&amp;Tabela1[[#This Row],[MATRICULA]]&amp;"1"&amp;Tabela1[[#This Row],[SETOR]]&amp;"PADRÃO",BD!B:AF,31,0),"")</f>
        <v>7.794999999999999</v>
      </c>
      <c r="AB89" s="21">
        <f>IFERROR(VLOOKUP(Tabela1[[#This Row],[MÊS]]&amp;Tabela1[[#This Row],[MATRICULA]]&amp;"2"&amp;Tabela1[[#This Row],[SETOR]]&amp;"PADRÃO",BD!B:AF,31,0),"")</f>
        <v>7.5849999999999991</v>
      </c>
      <c r="AC89" s="21" t="str">
        <f>IFERROR(VLOOKUP(Tabela1[[#This Row],[MÊS]]&amp;Tabela1[[#This Row],[MATRICULA]]&amp;"3"&amp;Tabela1[[#This Row],[SETOR]]&amp;"PADRÃO",BD!B:AF,31,0),"")</f>
        <v/>
      </c>
      <c r="AD89" s="21" t="str">
        <f>IFERROR(VLOOKUP(Tabela1[[#This Row],[MÊS]]&amp;Tabela1[[#This Row],[MATRICULA]]&amp;"4"&amp;Tabela1[[#This Row],[SETOR]]&amp;"PADRÃO",BD!B:AF,25,0),"")</f>
        <v/>
      </c>
      <c r="AE89" s="21" t="str">
        <f>IFERROR(VLOOKUP(Tabela1[[#This Row],[MÊS]]&amp;Tabela1[[#This Row],[MATRICULA]]&amp;"5"&amp;Tabela1[[#This Row],[SETOR]]&amp;"PADRÃO",BD!B:AF,31,0),"")</f>
        <v/>
      </c>
      <c r="AF89" s="21" t="str">
        <f>IFERROR(VLOOKUP(Tabela1[[#This Row],[MÊS]]&amp;Tabela1[[#This Row],[MATRICULA]]&amp;"6"&amp;Tabela1[[#This Row],[SETOR]]&amp;"PADRÃO",BD!B:AF,31,0),"")</f>
        <v/>
      </c>
      <c r="AG89" s="21" t="str">
        <f>IFERROR(VLOOKUP(Tabela1[[#This Row],[MÊS]]&amp;Tabela1[[#This Row],[MATRICULA]]&amp;"7"&amp;Tabela1[[#This Row],[SETOR]]&amp;"PADRÃO",BD!B:AF,31,0),"")</f>
        <v/>
      </c>
      <c r="AH89" s="21" t="str">
        <f>IFERROR(VLOOKUP(Tabela1[[#This Row],[MÊS]]&amp;Tabela1[[#This Row],[ID]]&amp;Tabela1[[#This Row],[MATRICULA]]&amp;"Receptiva"&amp;Tabela1[[#This Row],[SETOR]],BD!A:AF,31,0),"")</f>
        <v/>
      </c>
      <c r="AI89" s="21" t="str">
        <f>IFERROR(VLOOKUP(Tabela1[[#This Row],[MÊS]]&amp;Tabela1[[#This Row],[ID]]&amp;Tabela1[[#This Row],[MATRICULA]]&amp;"Receptiva 2"&amp;Tabela1[[#This Row],[SETOR]],BD!A:AF,31,0),"")</f>
        <v/>
      </c>
      <c r="AJ89" s="21" t="str">
        <f>IFERROR(VLOOKUP(Tabela1[[#This Row],[MÊS]]&amp;Tabela1[[#This Row],[ID]]&amp;Tabela1[[#This Row],[MATRICULA]]&amp;"Receptiva 3"&amp;Tabela1[[#This Row],[SETOR]],BD!A:AF,31,0),"")</f>
        <v/>
      </c>
      <c r="AK89" s="21" t="str">
        <f>IFERROR(VLOOKUP(Tabela1[[#This Row],[MÊS]]&amp;Tabela1[[#This Row],[ID]]&amp;Tabela1[[#This Row],[MATRICULA]]&amp;"Receptiva 4"&amp;Tabela1[[#This Row],[SETOR]],BD!A:AF,31,0),"")</f>
        <v/>
      </c>
      <c r="AL89" s="21">
        <f>IFERROR(VLOOKUP(Tabela1[[#This Row],[MÊS]]&amp;Tabela1[[#This Row],[MATRICULA]]&amp;"Motorista"&amp;Tabela1[[#This Row],[SETOR]],BD!A:AF,31,0),"")</f>
        <v>0</v>
      </c>
      <c r="AM89" s="21" t="str">
        <f>IFERROR(VLOOKUP(Tabela1[[#This Row],[MÊS]]&amp;Tabela1[[#This Row],[ID]]&amp;Tabela1[[#This Row],[MATRICULA]]&amp;"Motorista 2"&amp;Tabela1[[#This Row],[SETOR]],BD!A:AF,26,0),"")</f>
        <v/>
      </c>
      <c r="AN89" s="21" t="str">
        <f>IFERROR(VLOOKUP(Tabela1[[#This Row],[MÊS]]&amp;Tabela1[[#This Row],[ID]]&amp;Tabela1[[#This Row],[MATRICULA]]&amp;"Motorista 3"&amp;Tabela1[[#This Row],[SETOR]],BD!A:AF,26,0),"")</f>
        <v/>
      </c>
      <c r="AO89" s="21" t="str">
        <f>IFERROR(VLOOKUP(Tabela1[[#This Row],[MÊS]]&amp;Tabela1[[#This Row],[ID]]&amp;Tabela1[[#This Row],[MATRICULA]]&amp;"Motorista 4"&amp;Tabela1[[#This Row],[SETOR]],BD!A:AF,26,0),"")</f>
        <v/>
      </c>
      <c r="AP89" s="21" t="str">
        <f>IFERROR(VLOOKUP(Tabela1[[#This Row],[MÊS]]&amp;Tabela1[[#This Row],[MATRICULA]]&amp;"Ponto de Apoio"&amp;Tabela1[[#This Row],[SETOR]],BD!A:AF,31,0),"")</f>
        <v/>
      </c>
      <c r="AQ89" s="21" t="str">
        <f>IFERROR(VLOOKUP(Tabela1[[#This Row],[MÊS]]&amp;Tabela1[[#This Row],[ID]]&amp;Tabela1[[#This Row],[MATRICULA]]&amp;"Ponto de Apoio 2"&amp;Tabela1[[#This Row],[SETOR]],BD!A:AF,26,0),"")</f>
        <v/>
      </c>
      <c r="AR89" s="36" t="str">
        <f>IFERROR(VLOOKUP(Tabela1[[#This Row],[MÊS]]&amp;Tabela1[[#This Row],[ID]]&amp;Tabela1[[#This Row],[MATRICULA]]&amp;"Ponto de Apoio 3"&amp;Tabela1[[#This Row],[SETOR]],BD!A:AF,26,0),"")</f>
        <v/>
      </c>
      <c r="AS89" s="36" t="str">
        <f>IFERROR(VLOOKUP(Tabela1[[#This Row],[MÊS]]&amp;Tabela1[[#This Row],[ID]]&amp;Tabela1[[#This Row],[MATRICULA]]&amp;"Ponto de Apoio 4"&amp;Tabela1[[#This Row],[SETOR]],BD!A:AF,26,0),"")</f>
        <v/>
      </c>
      <c r="AT89" s="21" t="str">
        <f>IFERROR(VLOOKUP(Tabela1[[#This Row],[MÊS]]&amp;Tabela1[[#This Row],[MATRICULA]]&amp;"Cliente"&amp;Tabela1[[#This Row],[SETOR]],BD!A:AF,31,0),"")</f>
        <v/>
      </c>
      <c r="AU89" s="21" t="str">
        <f>IFERROR(VLOOKUP(Tabela1[[#This Row],[MÊS]]&amp;Tabela1[[#This Row],[ID]]&amp;Tabela1[[#This Row],[MATRICULA]]&amp;"Cliente 2"&amp;Tabela1[[#This Row],[SETOR]],BD!A:AF,26,0),"")</f>
        <v/>
      </c>
      <c r="AX89" s="21" t="str">
        <f>IFERROR(VLOOKUP(Tabela1[[#This Row],[MÊS]]&amp;Tabela1[[#This Row],[MATRICULA]]&amp;"Policia"&amp;Tabela1[[#This Row],[SETOR]],BD!A:AF,31,0),"")</f>
        <v/>
      </c>
      <c r="AY89" s="21" t="str">
        <f>IFERROR(VLOOKUP(Tabela1[[#This Row],[MÊS]]&amp;Tabela1[[#This Row],[ID]]&amp;Tabela1[[#This Row],[MATRICULA]]&amp;"Policia 2"&amp;Tabela1[[#This Row],[SETOR]],BD!A:AF,26,0),"")</f>
        <v/>
      </c>
      <c r="AZ89" s="36" t="str">
        <f>IFERROR(VLOOKUP(Tabela1[[#This Row],[MÊS]]&amp;Tabela1[[#This Row],[ID]]&amp;Tabela1[[#This Row],[MATRICULA]]&amp;"Policia 3"&amp;Tabela1[[#This Row],[SETOR]],BD!A:AF,26,0),"")</f>
        <v/>
      </c>
      <c r="BA89" s="36" t="str">
        <f>IFERROR(VLOOKUP(Tabela1[[#This Row],[MÊS]]&amp;Tabela1[[#This Row],[ID]]&amp;Tabela1[[#This Row],[MATRICULA]]&amp;"Policia 4"&amp;Tabela1[[#This Row],[SETOR]],BD!A:AF,26,0),"")</f>
        <v/>
      </c>
      <c r="BB8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89" s="21">
        <f>IFERROR(AVERAGE(Tabela1[[#This Row],[M]:[M4]]),"")</f>
        <v>0</v>
      </c>
      <c r="BD89" s="21" t="str">
        <f>IFERROR(AVERAGE(Tabela1[[#This Row],[C]:[C4]]),"")</f>
        <v/>
      </c>
      <c r="BE89" s="21" t="str">
        <f>IFERROR(AVERAGE(Tabela1[[#This Row],[PA2]:[PA 4]]),"")</f>
        <v/>
      </c>
      <c r="BF89" s="21" t="str">
        <f>IFERROR(AVERAGE(Tabela1[[#This Row],[PL]:[PL4]]),"")</f>
        <v/>
      </c>
      <c r="BG89" s="35" t="str">
        <f>IFERROR(VLOOKUP(Tabela1[[#This Row],[MÊS]]&amp;Tabela1[[#This Row],[MATRICULA]],#REF!,2,0),"")</f>
        <v/>
      </c>
      <c r="BH89" s="35" t="str">
        <f>IFERROR(VLOOKUP(Tabela1[[#This Row],[MÊS]]&amp;Tabela1[[#This Row],[MATRICULA]],#REF!,2,0),"")</f>
        <v/>
      </c>
      <c r="BI89" s="35" t="str">
        <f>IFERROR(VLOOKUP(Tabela1[[#This Row],[MÊS]]&amp;Tabela1[[#This Row],[MATRICULA]],#REF!,2,0),"")</f>
        <v/>
      </c>
      <c r="BJ89" s="35" t="str">
        <f>IFERROR(VLOOKUP(Tabela1[[#This Row],[MÊS]]&amp;Tabela1[[#This Row],[MATRICULA]],#REF!,2,0),"")</f>
        <v/>
      </c>
      <c r="BK89" s="35" t="str">
        <f>IFERROR(VLOOKUP(Tabela1[[#This Row],[MÊS]]&amp;Tabela1[[#This Row],[MATRICULA]],#REF!,2,0),"")</f>
        <v/>
      </c>
      <c r="BL89" s="21">
        <f>COUNTIF(Tabela1[[#This Row],[MOT2]:[RECEPTIVA]],"NÃO ENCONTRADA")</f>
        <v>0</v>
      </c>
      <c r="BM89" s="135" t="str">
        <f>IFERROR(VLOOKUP(Tabela1[[#This Row],[MÊS]]&amp;Tabela1[[#This Row],[ID]]&amp;Tabela1[[#This Row],[MATRICULA]]&amp;"Motorista"&amp;Tabela1[[#This Row],[SETOR]],BD!A:AF,13,0),"")</f>
        <v/>
      </c>
      <c r="BN89" s="135" t="str">
        <f>IFERROR(VLOOKUP(Tabela1[[#This Row],[MÊS]]&amp;Tabela1[[#This Row],[ID]]&amp;Tabela1[[#This Row],[MATRICULA]]&amp;"Motorista 2"&amp;Tabela1[[#This Row],[SETOR]],BD!A:AF,13,0),"")</f>
        <v/>
      </c>
      <c r="BO89" s="135" t="str">
        <f>IFERROR(VLOOKUP(Tabela1[[#This Row],[MÊS]]&amp;Tabela1[[#This Row],[ID]]&amp;Tabela1[[#This Row],[MATRICULA]]&amp;"Motorista 3"&amp;Tabela1[[#This Row],[SETOR]],BD!A:AF,13,0),"")</f>
        <v/>
      </c>
      <c r="BP89" s="135" t="str">
        <f>IFERROR(VLOOKUP(Tabela1[[#This Row],[MÊS]]&amp;Tabela1[[#This Row],[ID]]&amp;Tabela1[[#This Row],[MATRICULA]]&amp;"Motorista 4"&amp;Tabela1[[#This Row],[SETOR]],BD!A:AF,13,0),"")</f>
        <v/>
      </c>
      <c r="BQ89" s="135" t="str">
        <f>IFERROR(AVERAGE(Tabela1[[#This Row],[DMOT]:[DMOT4]]),"")</f>
        <v/>
      </c>
      <c r="BR89" s="135" t="str">
        <f>IFERROR(VLOOKUP(Tabela1[[#This Row],[MÊS]]&amp;Tabela1[[#This Row],[ID]]&amp;Tabela1[[#This Row],[MATRICULA]]&amp;"Ponto de Apoio"&amp;Tabela1[[#This Row],[SETOR]],BD!A:AF,13,0),"")</f>
        <v/>
      </c>
      <c r="BS89" s="135" t="str">
        <f>IFERROR(VLOOKUP(Tabela1[[#This Row],[MÊS]]&amp;Tabela1[[#This Row],[ID]]&amp;Tabela1[[#This Row],[MATRICULA]]&amp;"Ponto de Apoio 2"&amp;Tabela1[[#This Row],[SETOR]],BD!A:AF,13,0),"")</f>
        <v/>
      </c>
      <c r="BT89" s="135" t="str">
        <f>IFERROR(VLOOKUP(Tabela1[[#This Row],[MÊS]]&amp;Tabela1[[#This Row],[ID]]&amp;Tabela1[[#This Row],[MATRICULA]]&amp;"Ponto de Apoio 3"&amp;Tabela1[[#This Row],[SETOR]],BD!A:AF,13,0),"")</f>
        <v/>
      </c>
      <c r="BU89" s="135" t="str">
        <f>IFERROR(VLOOKUP(Tabela1[[#This Row],[MÊS]]&amp;Tabela1[[#This Row],[ID]]&amp;Tabela1[[#This Row],[MATRICULA]]&amp;"Ponto de Apoio 4"&amp;Tabela1[[#This Row],[SETOR]],BD!A:AF,13,0),"")</f>
        <v/>
      </c>
      <c r="BV89" s="135" t="str">
        <f>IFERROR(AVERAGE(Tabela1[[#This Row],[DPA]:[DPA 4]]),"")</f>
        <v/>
      </c>
      <c r="BW89" s="135" t="str">
        <f>IFERROR(VLOOKUP(Tabela1[[#This Row],[MÊS]]&amp;Tabela1[[#This Row],[ID]]&amp;Tabela1[[#This Row],[MATRICULA]]&amp;"Cliente"&amp;Tabela1[[#This Row],[SETOR]],BD!A:AF,13,0),"")</f>
        <v/>
      </c>
      <c r="BX89" s="135" t="str">
        <f>IFERROR(VLOOKUP(Tabela1[[#This Row],[MÊS]]&amp;Tabela1[[#This Row],[ID]]&amp;Tabela1[[#This Row],[MATRICULA]]&amp;"cliente 2"&amp;Tabela1[[#This Row],[SETOR]],BD!A:AF,13,0),"")</f>
        <v/>
      </c>
      <c r="BY89" s="135" t="str">
        <f>IFERROR(VLOOKUP(Tabela1[[#This Row],[MÊS]]&amp;Tabela1[[#This Row],[ID]]&amp;Tabela1[[#This Row],[MATRICULA]]&amp;"cliente 3"&amp;Tabela1[[#This Row],[SETOR]],BD!A:AF,13,0),"")</f>
        <v/>
      </c>
      <c r="BZ89" s="135" t="str">
        <f>IFERROR(VLOOKUP(Tabela1[[#This Row],[MÊS]]&amp;Tabela1[[#This Row],[ID]]&amp;Tabela1[[#This Row],[MATRICULA]]&amp;"cliente 4"&amp;Tabela1[[#This Row],[SETOR]],BD!A:AF,13,0),"")</f>
        <v/>
      </c>
      <c r="CA89" s="135" t="str">
        <f>IFERROR(AVERAGE(Tabela1[[#This Row],[DCLI]:[DCLI 4]]),"")</f>
        <v/>
      </c>
      <c r="CB89" s="135" t="str">
        <f>IFERROR(VLOOKUP(Tabela1[[#This Row],[MÊS]]&amp;Tabela1[[#This Row],[ID]]&amp;Tabela1[[#This Row],[MATRICULA]]&amp;"Policia"&amp;Tabela1[[#This Row],[SETOR]],BD!A:AF,13,0),"")</f>
        <v/>
      </c>
      <c r="CC89" s="135" t="str">
        <f>IFERROR(VLOOKUP(Tabela1[[#This Row],[MÊS]]&amp;Tabela1[[#This Row],[ID]]&amp;Tabela1[[#This Row],[MATRICULA]]&amp;"Policia 2"&amp;Tabela1[[#This Row],[SETOR]],BD!A:AF,13,0),"")</f>
        <v/>
      </c>
      <c r="CD89" s="135"/>
      <c r="CE89" s="135"/>
      <c r="CF89" s="135" t="str">
        <f>IFERROR((AVERAGE(Tabela1[[#This Row],[DPOL1]:[DPOL4]])),"")</f>
        <v/>
      </c>
      <c r="CG89" s="21" t="str">
        <f>IFERROR(VLOOKUP(Tabela1[[#This Row],[ID]]&amp;Tabela1[[#This Row],[MÊS]]&amp;Tabela1[[#This Row],[MATRICULA]],#REF!,2,0),"")</f>
        <v/>
      </c>
      <c r="CH89" s="21" t="str">
        <f>IFERROR(VLOOKUP(Tabela1[[#This Row],[ID]]&amp;Tabela1[[#This Row],[MÊS]]&amp;Tabela1[[#This Row],[MATRICULA]],#REF!,2,0),"")</f>
        <v/>
      </c>
      <c r="CI89" s="21" t="str">
        <f>IFERROR(VLOOKUP(Tabela1[[#This Row],[MÊS]]&amp;Tabela1[[#This Row],[MATRICULA]],#REF!,2,0),"")</f>
        <v/>
      </c>
    </row>
    <row r="90" spans="1:87">
      <c r="A90" s="12" t="str">
        <f>Tabela1[[#This Row],[MÊS]]&amp;Tabela1[[#This Row],[MATRICULA]]&amp;Tabela1[[#This Row],[ID]]</f>
        <v>JAN109796</v>
      </c>
      <c r="B90" s="12" t="str">
        <f>Tabela1[[#This Row],[MÊS]]&amp;Tabela1[[#This Row],[ID]]&amp;Tabela1[[#This Row],[MATRICULA]]&amp;Tabela1[[#This Row],[SETOR]]</f>
        <v>JAN610979BAS</v>
      </c>
      <c r="C90" s="130" t="e">
        <f>VLOOKUP(Tabela1[[#This Row],[MATRICULA]],'BD Campos'!A:D,5,0)</f>
        <v>#REF!</v>
      </c>
      <c r="D90" s="133" t="str">
        <f ca="1">IFERROR(SUM(TODAY()-Tabela1[[#This Row],[ADMISSÃO]]),"")</f>
        <v/>
      </c>
      <c r="E90" s="11" t="str">
        <f ca="1">IFERROR(TRUNC(Tabela1[[#This Row],[TEMPO DE CASA (DIAS)]]/30),"")</f>
        <v/>
      </c>
      <c r="F90" s="32" t="str">
        <f ca="1">IFERROR(SUM(Tabela1[[#This Row],[TEMPO DE CASA (MESES)]]/12),"")</f>
        <v/>
      </c>
      <c r="G90" s="133" t="str">
        <f ca="1">IF(Tabela1[[#This Row],[TEMPO DE CASA (DIAS)]]="","SEM DADOS",IF(Tabela1[[#This Row],[TEMPO DE CASA (DIAS)]]&gt;180,"&gt; 6 MESES","&lt; 6 MESES"))</f>
        <v>SEM DADOS</v>
      </c>
      <c r="H90" s="12" t="str">
        <f t="shared" si="9"/>
        <v>JANLucas Rafael6</v>
      </c>
      <c r="I90" s="12" t="str">
        <f>IFERROR(VLOOKUP(Tabela1[[#This Row],[MATRICULA]],'BD Campos'!A:F,7,0),"")</f>
        <v/>
      </c>
      <c r="J90" s="11">
        <v>6</v>
      </c>
      <c r="K90" s="11" t="s">
        <v>669</v>
      </c>
      <c r="L90" s="136">
        <v>10979</v>
      </c>
      <c r="M90" s="12" t="str">
        <f>IFERROR(VLOOKUP(Tabela1[[#This Row],[MATRICULA]],'BD Campos'!A:B,2,0),"")</f>
        <v>EVELYN PEREIRA RAMOS</v>
      </c>
      <c r="N90" s="20">
        <f>IFERROR(AVERAGE(Tabela1[[#This Row],[A1]:[A4]]),"")</f>
        <v>0</v>
      </c>
      <c r="O90" s="20" t="str">
        <f>IFERROR(IF(Tabela1[[#This Row],[SETOR]]="RECEPTIVO","",AVERAGE(Tabela1[[#This Row],[A5]:[A6]])),"")</f>
        <v/>
      </c>
      <c r="P90" s="20" t="str">
        <f>IFERROR(IF(Tabela1[[#This Row],[STATUS]]="INATIVO","INATIVO",IF(Tabela1[[#This Row],[STATUS]]="QRT","INATIVO",IF(Tabela1[[#This Row],[OPERACIONAL]]&gt;7.99999,"BOM","RUIM"))),"")</f>
        <v>RUIM</v>
      </c>
      <c r="Q90" s="21" t="s">
        <v>667</v>
      </c>
      <c r="R90" s="12" t="s">
        <v>687</v>
      </c>
      <c r="S90" s="12" t="s">
        <v>688</v>
      </c>
      <c r="T90" s="12" t="s">
        <v>223</v>
      </c>
      <c r="U9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9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90" s="12">
        <f>IF(AND(Tabela1[[#This Row],[SETOR]]="UTI",Tabela1[[#This Row],[M]]&lt;&gt;""),1,IF(AND(Tabela1[[#This Row],[SETOR]]="UTI (RJ)",Tabela1[[#This Row],[M]]&lt;&gt;""),1.5,0))</f>
        <v>0</v>
      </c>
      <c r="X90" s="12">
        <f>IF(AND(Tabela1[[#This Row],[SETOR]]="UTI",Tabela1[[#This Row],[PA2]]&lt;&gt;""),1,IF(AND(Tabela1[[#This Row],[SETOR]]="UTI (RJ)",Tabela1[[#This Row],[PA2]]&lt;&gt;""),0,0))</f>
        <v>0</v>
      </c>
      <c r="Y90" s="12">
        <f>IF(AND(Tabela1[[#This Row],[SETOR]]="UTI",Tabela1[[#This Row],[C]]&lt;&gt;""),1,IF(AND(Tabela1[[#This Row],[SETOR]]="UTI (RJ)",Tabela1[[#This Row],[C]]&lt;&gt;""),1.5,0))</f>
        <v>0</v>
      </c>
      <c r="Z90" s="12">
        <f>IF(AND(Tabela1[[#This Row],[SETOR]]="UTI",Tabela1[[#This Row],[PL]]&lt;&gt;""),1,IF(AND(Tabela1[[#This Row],[SETOR]]="UTI (RJ)",Tabela1[[#This Row],[PL]]&lt;&gt;""),1,0))</f>
        <v>0</v>
      </c>
      <c r="AA90" s="21">
        <f>IFERROR(VLOOKUP(Tabela1[[#This Row],[MÊS]]&amp;Tabela1[[#This Row],[MATRICULA]]&amp;"1"&amp;Tabela1[[#This Row],[SETOR]]&amp;"PADRÃO",BD!B:AF,31,0),"")</f>
        <v>0</v>
      </c>
      <c r="AB90" s="21">
        <f>IFERROR(VLOOKUP(Tabela1[[#This Row],[MÊS]]&amp;Tabela1[[#This Row],[MATRICULA]]&amp;"2"&amp;Tabela1[[#This Row],[SETOR]]&amp;"PADRÃO",BD!B:AF,31,0),"")</f>
        <v>0</v>
      </c>
      <c r="AC90" s="21" t="str">
        <f>IFERROR(VLOOKUP(Tabela1[[#This Row],[MÊS]]&amp;Tabela1[[#This Row],[MATRICULA]]&amp;"3"&amp;Tabela1[[#This Row],[SETOR]]&amp;"PADRÃO",BD!B:AF,31,0),"")</f>
        <v/>
      </c>
      <c r="AD90" s="21" t="str">
        <f>IFERROR(VLOOKUP(Tabela1[[#This Row],[MÊS]]&amp;Tabela1[[#This Row],[MATRICULA]]&amp;"4"&amp;Tabela1[[#This Row],[SETOR]]&amp;"PADRÃO",BD!B:AF,25,0),"")</f>
        <v/>
      </c>
      <c r="AE90" s="21" t="str">
        <f>IFERROR(VLOOKUP(Tabela1[[#This Row],[MÊS]]&amp;Tabela1[[#This Row],[MATRICULA]]&amp;"5"&amp;Tabela1[[#This Row],[SETOR]]&amp;"PADRÃO",BD!B:AF,31,0),"")</f>
        <v/>
      </c>
      <c r="AF90" s="21" t="str">
        <f>IFERROR(VLOOKUP(Tabela1[[#This Row],[MÊS]]&amp;Tabela1[[#This Row],[MATRICULA]]&amp;"6"&amp;Tabela1[[#This Row],[SETOR]]&amp;"PADRÃO",BD!B:AF,31,0),"")</f>
        <v/>
      </c>
      <c r="AG90" s="21" t="str">
        <f>IFERROR(VLOOKUP(Tabela1[[#This Row],[MÊS]]&amp;Tabela1[[#This Row],[MATRICULA]]&amp;"7"&amp;Tabela1[[#This Row],[SETOR]]&amp;"PADRÃO",BD!B:AF,31,0),"")</f>
        <v/>
      </c>
      <c r="AH90" s="21" t="str">
        <f>IFERROR(VLOOKUP(Tabela1[[#This Row],[MÊS]]&amp;Tabela1[[#This Row],[ID]]&amp;Tabela1[[#This Row],[MATRICULA]]&amp;"Receptiva"&amp;Tabela1[[#This Row],[SETOR]],BD!A:AF,31,0),"")</f>
        <v/>
      </c>
      <c r="AI90" s="21" t="str">
        <f>IFERROR(VLOOKUP(Tabela1[[#This Row],[MÊS]]&amp;Tabela1[[#This Row],[ID]]&amp;Tabela1[[#This Row],[MATRICULA]]&amp;"Receptiva 2"&amp;Tabela1[[#This Row],[SETOR]],BD!A:AF,31,0),"")</f>
        <v/>
      </c>
      <c r="AJ90" s="21" t="str">
        <f>IFERROR(VLOOKUP(Tabela1[[#This Row],[MÊS]]&amp;Tabela1[[#This Row],[ID]]&amp;Tabela1[[#This Row],[MATRICULA]]&amp;"Receptiva 3"&amp;Tabela1[[#This Row],[SETOR]],BD!A:AF,31,0),"")</f>
        <v/>
      </c>
      <c r="AK90" s="21" t="str">
        <f>IFERROR(VLOOKUP(Tabela1[[#This Row],[MÊS]]&amp;Tabela1[[#This Row],[ID]]&amp;Tabela1[[#This Row],[MATRICULA]]&amp;"Receptiva 4"&amp;Tabela1[[#This Row],[SETOR]],BD!A:AF,31,0),"")</f>
        <v/>
      </c>
      <c r="AL90" s="21" t="str">
        <f>IFERROR(VLOOKUP(Tabela1[[#This Row],[MÊS]]&amp;Tabela1[[#This Row],[MATRICULA]]&amp;"Motorista"&amp;Tabela1[[#This Row],[SETOR]],BD!A:AF,31,0),"")</f>
        <v/>
      </c>
      <c r="AM90" s="21" t="str">
        <f>IFERROR(VLOOKUP(Tabela1[[#This Row],[MÊS]]&amp;Tabela1[[#This Row],[ID]]&amp;Tabela1[[#This Row],[MATRICULA]]&amp;"Motorista 2"&amp;Tabela1[[#This Row],[SETOR]],BD!A:AF,26,0),"")</f>
        <v/>
      </c>
      <c r="AN90" s="21" t="str">
        <f>IFERROR(VLOOKUP(Tabela1[[#This Row],[MÊS]]&amp;Tabela1[[#This Row],[ID]]&amp;Tabela1[[#This Row],[MATRICULA]]&amp;"Motorista 3"&amp;Tabela1[[#This Row],[SETOR]],BD!A:AF,26,0),"")</f>
        <v/>
      </c>
      <c r="AO90" s="21" t="str">
        <f>IFERROR(VLOOKUP(Tabela1[[#This Row],[MÊS]]&amp;Tabela1[[#This Row],[ID]]&amp;Tabela1[[#This Row],[MATRICULA]]&amp;"Motorista 4"&amp;Tabela1[[#This Row],[SETOR]],BD!A:AF,26,0),"")</f>
        <v/>
      </c>
      <c r="AP90" s="21" t="str">
        <f>IFERROR(VLOOKUP(Tabela1[[#This Row],[MÊS]]&amp;Tabela1[[#This Row],[MATRICULA]]&amp;"Ponto de Apoio"&amp;Tabela1[[#This Row],[SETOR]],BD!A:AF,31,0),"")</f>
        <v/>
      </c>
      <c r="AQ90" s="21" t="str">
        <f>IFERROR(VLOOKUP(Tabela1[[#This Row],[MÊS]]&amp;Tabela1[[#This Row],[ID]]&amp;Tabela1[[#This Row],[MATRICULA]]&amp;"Ponto de Apoio 2"&amp;Tabela1[[#This Row],[SETOR]],BD!A:AF,26,0),"")</f>
        <v/>
      </c>
      <c r="AR90" s="36" t="str">
        <f>IFERROR(VLOOKUP(Tabela1[[#This Row],[MÊS]]&amp;Tabela1[[#This Row],[ID]]&amp;Tabela1[[#This Row],[MATRICULA]]&amp;"Ponto de Apoio 3"&amp;Tabela1[[#This Row],[SETOR]],BD!A:AF,26,0),"")</f>
        <v/>
      </c>
      <c r="AS90" s="36" t="str">
        <f>IFERROR(VLOOKUP(Tabela1[[#This Row],[MÊS]]&amp;Tabela1[[#This Row],[ID]]&amp;Tabela1[[#This Row],[MATRICULA]]&amp;"Ponto de Apoio 4"&amp;Tabela1[[#This Row],[SETOR]],BD!A:AF,26,0),"")</f>
        <v/>
      </c>
      <c r="AT90" s="21" t="str">
        <f>IFERROR(VLOOKUP(Tabela1[[#This Row],[MÊS]]&amp;Tabela1[[#This Row],[MATRICULA]]&amp;"Cliente"&amp;Tabela1[[#This Row],[SETOR]],BD!A:AF,31,0),"")</f>
        <v/>
      </c>
      <c r="AU90" s="21" t="str">
        <f>IFERROR(VLOOKUP(Tabela1[[#This Row],[MÊS]]&amp;Tabela1[[#This Row],[ID]]&amp;Tabela1[[#This Row],[MATRICULA]]&amp;"Cliente 2"&amp;Tabela1[[#This Row],[SETOR]],BD!A:AF,26,0),"")</f>
        <v/>
      </c>
      <c r="AX90" s="21" t="str">
        <f>IFERROR(VLOOKUP(Tabela1[[#This Row],[MÊS]]&amp;Tabela1[[#This Row],[MATRICULA]]&amp;"Policia"&amp;Tabela1[[#This Row],[SETOR]],BD!A:AF,31,0),"")</f>
        <v/>
      </c>
      <c r="AY90" s="21" t="str">
        <f>IFERROR(VLOOKUP(Tabela1[[#This Row],[MÊS]]&amp;Tabela1[[#This Row],[ID]]&amp;Tabela1[[#This Row],[MATRICULA]]&amp;"Policia 2"&amp;Tabela1[[#This Row],[SETOR]],BD!A:AF,26,0),"")</f>
        <v/>
      </c>
      <c r="AZ90" s="36" t="str">
        <f>IFERROR(VLOOKUP(Tabela1[[#This Row],[MÊS]]&amp;Tabela1[[#This Row],[ID]]&amp;Tabela1[[#This Row],[MATRICULA]]&amp;"Policia 3"&amp;Tabela1[[#This Row],[SETOR]],BD!A:AF,26,0),"")</f>
        <v/>
      </c>
      <c r="BA90" s="36" t="str">
        <f>IFERROR(VLOOKUP(Tabela1[[#This Row],[MÊS]]&amp;Tabela1[[#This Row],[ID]]&amp;Tabela1[[#This Row],[MATRICULA]]&amp;"Policia 4"&amp;Tabela1[[#This Row],[SETOR]],BD!A:AF,26,0),"")</f>
        <v/>
      </c>
      <c r="BB9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0" s="21" t="str">
        <f>IFERROR(AVERAGE(Tabela1[[#This Row],[M]:[M4]]),"")</f>
        <v/>
      </c>
      <c r="BD90" s="21" t="str">
        <f>IFERROR(AVERAGE(Tabela1[[#This Row],[C]:[C4]]),"")</f>
        <v/>
      </c>
      <c r="BE90" s="21" t="str">
        <f>IFERROR(AVERAGE(Tabela1[[#This Row],[PA2]:[PA 4]]),"")</f>
        <v/>
      </c>
      <c r="BF90" s="21" t="str">
        <f>IFERROR(AVERAGE(Tabela1[[#This Row],[PL]:[PL4]]),"")</f>
        <v/>
      </c>
      <c r="BG90" s="35" t="str">
        <f>IFERROR(VLOOKUP(Tabela1[[#This Row],[MÊS]]&amp;Tabela1[[#This Row],[MATRICULA]],#REF!,2,0),"")</f>
        <v/>
      </c>
      <c r="BH90" s="35" t="str">
        <f>IFERROR(VLOOKUP(Tabela1[[#This Row],[MÊS]]&amp;Tabela1[[#This Row],[MATRICULA]],#REF!,2,0),"")</f>
        <v/>
      </c>
      <c r="BI90" s="35" t="str">
        <f>IFERROR(VLOOKUP(Tabela1[[#This Row],[MÊS]]&amp;Tabela1[[#This Row],[MATRICULA]],#REF!,2,0),"")</f>
        <v/>
      </c>
      <c r="BJ90" s="35" t="str">
        <f>IFERROR(VLOOKUP(Tabela1[[#This Row],[MÊS]]&amp;Tabela1[[#This Row],[MATRICULA]],#REF!,2,0),"")</f>
        <v/>
      </c>
      <c r="BK90" s="35" t="str">
        <f>IFERROR(VLOOKUP(Tabela1[[#This Row],[MÊS]]&amp;Tabela1[[#This Row],[MATRICULA]],#REF!,2,0),"")</f>
        <v/>
      </c>
      <c r="BL90" s="21">
        <f>COUNTIF(Tabela1[[#This Row],[MOT2]:[RECEPTIVA]],"NÃO ENCONTRADA")</f>
        <v>0</v>
      </c>
      <c r="BM90" s="135" t="str">
        <f>IFERROR(VLOOKUP(Tabela1[[#This Row],[MÊS]]&amp;Tabela1[[#This Row],[ID]]&amp;Tabela1[[#This Row],[MATRICULA]]&amp;"Motorista"&amp;Tabela1[[#This Row],[SETOR]],BD!A:AF,13,0),"")</f>
        <v/>
      </c>
      <c r="BN90" s="135" t="str">
        <f>IFERROR(VLOOKUP(Tabela1[[#This Row],[MÊS]]&amp;Tabela1[[#This Row],[ID]]&amp;Tabela1[[#This Row],[MATRICULA]]&amp;"Motorista 2"&amp;Tabela1[[#This Row],[SETOR]],BD!A:AF,13,0),"")</f>
        <v/>
      </c>
      <c r="BO90" s="135" t="str">
        <f>IFERROR(VLOOKUP(Tabela1[[#This Row],[MÊS]]&amp;Tabela1[[#This Row],[ID]]&amp;Tabela1[[#This Row],[MATRICULA]]&amp;"Motorista 3"&amp;Tabela1[[#This Row],[SETOR]],BD!A:AF,13,0),"")</f>
        <v/>
      </c>
      <c r="BP90" s="135" t="str">
        <f>IFERROR(VLOOKUP(Tabela1[[#This Row],[MÊS]]&amp;Tabela1[[#This Row],[ID]]&amp;Tabela1[[#This Row],[MATRICULA]]&amp;"Motorista 4"&amp;Tabela1[[#This Row],[SETOR]],BD!A:AF,13,0),"")</f>
        <v/>
      </c>
      <c r="BQ90" s="135" t="str">
        <f>IFERROR(AVERAGE(Tabela1[[#This Row],[DMOT]:[DMOT4]]),"")</f>
        <v/>
      </c>
      <c r="BR90" s="135" t="str">
        <f>IFERROR(VLOOKUP(Tabela1[[#This Row],[MÊS]]&amp;Tabela1[[#This Row],[ID]]&amp;Tabela1[[#This Row],[MATRICULA]]&amp;"Ponto de Apoio"&amp;Tabela1[[#This Row],[SETOR]],BD!A:AF,13,0),"")</f>
        <v/>
      </c>
      <c r="BS90" s="135" t="str">
        <f>IFERROR(VLOOKUP(Tabela1[[#This Row],[MÊS]]&amp;Tabela1[[#This Row],[ID]]&amp;Tabela1[[#This Row],[MATRICULA]]&amp;"Ponto de Apoio 2"&amp;Tabela1[[#This Row],[SETOR]],BD!A:AF,13,0),"")</f>
        <v/>
      </c>
      <c r="BT90" s="135" t="str">
        <f>IFERROR(VLOOKUP(Tabela1[[#This Row],[MÊS]]&amp;Tabela1[[#This Row],[ID]]&amp;Tabela1[[#This Row],[MATRICULA]]&amp;"Ponto de Apoio 3"&amp;Tabela1[[#This Row],[SETOR]],BD!A:AF,13,0),"")</f>
        <v/>
      </c>
      <c r="BU90" s="135" t="str">
        <f>IFERROR(VLOOKUP(Tabela1[[#This Row],[MÊS]]&amp;Tabela1[[#This Row],[ID]]&amp;Tabela1[[#This Row],[MATRICULA]]&amp;"Ponto de Apoio 4"&amp;Tabela1[[#This Row],[SETOR]],BD!A:AF,13,0),"")</f>
        <v/>
      </c>
      <c r="BV90" s="135" t="str">
        <f>IFERROR(AVERAGE(Tabela1[[#This Row],[DPA]:[DPA 4]]),"")</f>
        <v/>
      </c>
      <c r="BW90" s="135" t="str">
        <f>IFERROR(VLOOKUP(Tabela1[[#This Row],[MÊS]]&amp;Tabela1[[#This Row],[ID]]&amp;Tabela1[[#This Row],[MATRICULA]]&amp;"Cliente"&amp;Tabela1[[#This Row],[SETOR]],BD!A:AF,13,0),"")</f>
        <v/>
      </c>
      <c r="BX90" s="135" t="str">
        <f>IFERROR(VLOOKUP(Tabela1[[#This Row],[MÊS]]&amp;Tabela1[[#This Row],[ID]]&amp;Tabela1[[#This Row],[MATRICULA]]&amp;"cliente 2"&amp;Tabela1[[#This Row],[SETOR]],BD!A:AF,13,0),"")</f>
        <v/>
      </c>
      <c r="BY90" s="135" t="str">
        <f>IFERROR(VLOOKUP(Tabela1[[#This Row],[MÊS]]&amp;Tabela1[[#This Row],[ID]]&amp;Tabela1[[#This Row],[MATRICULA]]&amp;"cliente 3"&amp;Tabela1[[#This Row],[SETOR]],BD!A:AF,13,0),"")</f>
        <v/>
      </c>
      <c r="BZ90" s="135" t="str">
        <f>IFERROR(VLOOKUP(Tabela1[[#This Row],[MÊS]]&amp;Tabela1[[#This Row],[ID]]&amp;Tabela1[[#This Row],[MATRICULA]]&amp;"cliente 4"&amp;Tabela1[[#This Row],[SETOR]],BD!A:AF,13,0),"")</f>
        <v/>
      </c>
      <c r="CA90" s="135" t="str">
        <f>IFERROR(AVERAGE(Tabela1[[#This Row],[DCLI]:[DCLI 4]]),"")</f>
        <v/>
      </c>
      <c r="CB90" s="135" t="str">
        <f>IFERROR(VLOOKUP(Tabela1[[#This Row],[MÊS]]&amp;Tabela1[[#This Row],[ID]]&amp;Tabela1[[#This Row],[MATRICULA]]&amp;"Policia"&amp;Tabela1[[#This Row],[SETOR]],BD!A:AF,13,0),"")</f>
        <v/>
      </c>
      <c r="CC90" s="135" t="str">
        <f>IFERROR(VLOOKUP(Tabela1[[#This Row],[MÊS]]&amp;Tabela1[[#This Row],[ID]]&amp;Tabela1[[#This Row],[MATRICULA]]&amp;"Policia 2"&amp;Tabela1[[#This Row],[SETOR]],BD!A:AF,13,0),"")</f>
        <v/>
      </c>
      <c r="CD90" s="135"/>
      <c r="CE90" s="135"/>
      <c r="CF90" s="135" t="str">
        <f>IFERROR((AVERAGE(Tabela1[[#This Row],[DPOL1]:[DPOL4]])),"")</f>
        <v/>
      </c>
      <c r="CG90" s="21" t="str">
        <f>IFERROR(VLOOKUP(Tabela1[[#This Row],[ID]]&amp;Tabela1[[#This Row],[MÊS]]&amp;Tabela1[[#This Row],[MATRICULA]],#REF!,2,0),"")</f>
        <v/>
      </c>
      <c r="CH90" s="21" t="str">
        <f>IFERROR(VLOOKUP(Tabela1[[#This Row],[ID]]&amp;Tabela1[[#This Row],[MÊS]]&amp;Tabela1[[#This Row],[MATRICULA]],#REF!,2,0),"")</f>
        <v/>
      </c>
      <c r="CI90" s="21" t="str">
        <f>IFERROR(VLOOKUP(Tabela1[[#This Row],[MÊS]]&amp;Tabela1[[#This Row],[MATRICULA]],#REF!,2,0),"")</f>
        <v/>
      </c>
    </row>
    <row r="91" spans="1:87">
      <c r="A91" s="12" t="str">
        <f>Tabela1[[#This Row],[MÊS]]&amp;Tabela1[[#This Row],[MATRICULA]]&amp;Tabela1[[#This Row],[ID]]</f>
        <v>JAN107887</v>
      </c>
      <c r="B91" s="12" t="str">
        <f>Tabela1[[#This Row],[MÊS]]&amp;Tabela1[[#This Row],[ID]]&amp;Tabela1[[#This Row],[MATRICULA]]&amp;Tabela1[[#This Row],[SETOR]]</f>
        <v>JAN710788UTI (RJ)</v>
      </c>
      <c r="C91" s="130" t="e">
        <f>VLOOKUP(Tabela1[[#This Row],[MATRICULA]],'BD Campos'!A:D,5,0)</f>
        <v>#REF!</v>
      </c>
      <c r="D91" s="133" t="str">
        <f ca="1">IFERROR(SUM(TODAY()-Tabela1[[#This Row],[ADMISSÃO]]),"")</f>
        <v/>
      </c>
      <c r="E91" s="11" t="str">
        <f ca="1">IFERROR(TRUNC(Tabela1[[#This Row],[TEMPO DE CASA (DIAS)]]/30),"")</f>
        <v/>
      </c>
      <c r="F91" s="32" t="str">
        <f ca="1">IFERROR(SUM(Tabela1[[#This Row],[TEMPO DE CASA (MESES)]]/12),"")</f>
        <v/>
      </c>
      <c r="G91" s="133" t="str">
        <f ca="1">IF(Tabela1[[#This Row],[TEMPO DE CASA (DIAS)]]="","SEM DADOS",IF(Tabela1[[#This Row],[TEMPO DE CASA (DIAS)]]&gt;180,"&gt; 6 MESES","&lt; 6 MESES"))</f>
        <v>SEM DADOS</v>
      </c>
      <c r="H91" s="12" t="str">
        <f t="shared" si="9"/>
        <v>JANLucas Rafael7</v>
      </c>
      <c r="I91" s="12" t="str">
        <f>IFERROR(VLOOKUP(Tabela1[[#This Row],[MATRICULA]],'BD Campos'!A:F,7,0),"")</f>
        <v/>
      </c>
      <c r="J91" s="11">
        <v>7</v>
      </c>
      <c r="K91" s="11" t="s">
        <v>669</v>
      </c>
      <c r="L91" s="136">
        <v>10788</v>
      </c>
      <c r="M91" s="12" t="str">
        <f>IFERROR(VLOOKUP(Tabela1[[#This Row],[MATRICULA]],'BD Campos'!A:B,2,0),"")</f>
        <v>LUCAS FELIPE AFONSO</v>
      </c>
      <c r="N91" s="20">
        <f>IFERROR(AVERAGE(Tabela1[[#This Row],[A1]:[A4]]),"")</f>
        <v>0</v>
      </c>
      <c r="O91" s="20" t="str">
        <f>IFERROR(IF(Tabela1[[#This Row],[SETOR]]="RECEPTIVO","",AVERAGE(Tabela1[[#This Row],[A5]:[A6]])),"")</f>
        <v/>
      </c>
      <c r="P91" s="20" t="str">
        <f>IFERROR(IF(Tabela1[[#This Row],[STATUS]]="INATIVO","INATIVO",IF(Tabela1[[#This Row],[STATUS]]="QRT","INATIVO",IF(Tabela1[[#This Row],[OPERACIONAL]]&gt;7.99999,"BOM","RUIM"))),"")</f>
        <v>RUIM</v>
      </c>
      <c r="Q91" s="21" t="s">
        <v>667</v>
      </c>
      <c r="R91" s="12" t="s">
        <v>691</v>
      </c>
      <c r="S91" s="12" t="s">
        <v>688</v>
      </c>
      <c r="T91" s="12" t="s">
        <v>215</v>
      </c>
      <c r="U9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9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91" s="12">
        <v>1</v>
      </c>
      <c r="X91" s="12">
        <f>IF(AND(Tabela1[[#This Row],[SETOR]]="UTI",Tabela1[[#This Row],[PA2]]&lt;&gt;""),1,IF(AND(Tabela1[[#This Row],[SETOR]]="UTI (RJ)",Tabela1[[#This Row],[PA2]]&lt;&gt;""),0,0))</f>
        <v>0</v>
      </c>
      <c r="Y91" s="12">
        <f>IF(AND(Tabela1[[#This Row],[SETOR]]="UTI",Tabela1[[#This Row],[C]]&lt;&gt;""),1,IF(AND(Tabela1[[#This Row],[SETOR]]="UTI (RJ)",Tabela1[[#This Row],[C]]&lt;&gt;""),1.5,0))</f>
        <v>0</v>
      </c>
      <c r="Z91" s="12">
        <f>IF(AND(Tabela1[[#This Row],[SETOR]]="UTI",Tabela1[[#This Row],[PL]]&lt;&gt;""),1,IF(AND(Tabela1[[#This Row],[SETOR]]="UTI (RJ)",Tabela1[[#This Row],[PL]]&lt;&gt;""),1,0))</f>
        <v>0</v>
      </c>
      <c r="AA91" s="21">
        <f>IFERROR(VLOOKUP(Tabela1[[#This Row],[MÊS]]&amp;Tabela1[[#This Row],[MATRICULA]]&amp;"1"&amp;Tabela1[[#This Row],[SETOR]]&amp;"PADRÃO",BD!B:AF,31,0),"")</f>
        <v>0</v>
      </c>
      <c r="AB91" s="21">
        <f>IFERROR(VLOOKUP(Tabela1[[#This Row],[MÊS]]&amp;Tabela1[[#This Row],[MATRICULA]]&amp;"2"&amp;Tabela1[[#This Row],[SETOR]]&amp;"PADRÃO",BD!B:AF,31,0),"")</f>
        <v>0</v>
      </c>
      <c r="AC91" s="21" t="str">
        <f>IFERROR(VLOOKUP(Tabela1[[#This Row],[MÊS]]&amp;Tabela1[[#This Row],[MATRICULA]]&amp;"3"&amp;Tabela1[[#This Row],[SETOR]]&amp;"PADRÃO",BD!B:AF,31,0),"")</f>
        <v/>
      </c>
      <c r="AD91" s="21" t="str">
        <f>IFERROR(VLOOKUP(Tabela1[[#This Row],[MÊS]]&amp;Tabela1[[#This Row],[MATRICULA]]&amp;"4"&amp;Tabela1[[#This Row],[SETOR]]&amp;"PADRÃO",BD!B:AF,25,0),"")</f>
        <v/>
      </c>
      <c r="AE91" s="21" t="str">
        <f>IFERROR(VLOOKUP(Tabela1[[#This Row],[MÊS]]&amp;Tabela1[[#This Row],[MATRICULA]]&amp;"5"&amp;Tabela1[[#This Row],[SETOR]]&amp;"PADRÃO",BD!B:AF,31,0),"")</f>
        <v/>
      </c>
      <c r="AF91" s="21" t="str">
        <f>IFERROR(VLOOKUP(Tabela1[[#This Row],[MÊS]]&amp;Tabela1[[#This Row],[MATRICULA]]&amp;"6"&amp;Tabela1[[#This Row],[SETOR]]&amp;"PADRÃO",BD!B:AF,31,0),"")</f>
        <v/>
      </c>
      <c r="AG91" s="21" t="str">
        <f>IFERROR(VLOOKUP(Tabela1[[#This Row],[MÊS]]&amp;Tabela1[[#This Row],[MATRICULA]]&amp;"7"&amp;Tabela1[[#This Row],[SETOR]]&amp;"PADRÃO",BD!B:AF,31,0),"")</f>
        <v/>
      </c>
      <c r="AH91" s="21" t="str">
        <f>IFERROR(VLOOKUP(Tabela1[[#This Row],[MÊS]]&amp;Tabela1[[#This Row],[ID]]&amp;Tabela1[[#This Row],[MATRICULA]]&amp;"Receptiva"&amp;Tabela1[[#This Row],[SETOR]],BD!A:AF,31,0),"")</f>
        <v/>
      </c>
      <c r="AI91" s="21" t="str">
        <f>IFERROR(VLOOKUP(Tabela1[[#This Row],[MÊS]]&amp;Tabela1[[#This Row],[ID]]&amp;Tabela1[[#This Row],[MATRICULA]]&amp;"Receptiva 2"&amp;Tabela1[[#This Row],[SETOR]],BD!A:AF,31,0),"")</f>
        <v/>
      </c>
      <c r="AJ91" s="21" t="str">
        <f>IFERROR(VLOOKUP(Tabela1[[#This Row],[MÊS]]&amp;Tabela1[[#This Row],[ID]]&amp;Tabela1[[#This Row],[MATRICULA]]&amp;"Receptiva 3"&amp;Tabela1[[#This Row],[SETOR]],BD!A:AF,31,0),"")</f>
        <v/>
      </c>
      <c r="AK91" s="21" t="str">
        <f>IFERROR(VLOOKUP(Tabela1[[#This Row],[MÊS]]&amp;Tabela1[[#This Row],[ID]]&amp;Tabela1[[#This Row],[MATRICULA]]&amp;"Receptiva 4"&amp;Tabela1[[#This Row],[SETOR]],BD!A:AF,31,0),"")</f>
        <v/>
      </c>
      <c r="AL91" s="21" t="str">
        <f>IFERROR(VLOOKUP(Tabela1[[#This Row],[MÊS]]&amp;Tabela1[[#This Row],[MATRICULA]]&amp;"Motorista"&amp;Tabela1[[#This Row],[SETOR]],BD!A:AF,31,0),"")</f>
        <v/>
      </c>
      <c r="AM91" s="21" t="str">
        <f>IFERROR(VLOOKUP(Tabela1[[#This Row],[MÊS]]&amp;Tabela1[[#This Row],[ID]]&amp;Tabela1[[#This Row],[MATRICULA]]&amp;"Motorista 2"&amp;Tabela1[[#This Row],[SETOR]],BD!A:AF,26,0),"")</f>
        <v/>
      </c>
      <c r="AN91" s="21" t="str">
        <f>IFERROR(VLOOKUP(Tabela1[[#This Row],[MÊS]]&amp;Tabela1[[#This Row],[ID]]&amp;Tabela1[[#This Row],[MATRICULA]]&amp;"Motorista 3"&amp;Tabela1[[#This Row],[SETOR]],BD!A:AF,26,0),"")</f>
        <v/>
      </c>
      <c r="AO91" s="21" t="str">
        <f>IFERROR(VLOOKUP(Tabela1[[#This Row],[MÊS]]&amp;Tabela1[[#This Row],[ID]]&amp;Tabela1[[#This Row],[MATRICULA]]&amp;"Motorista 4"&amp;Tabela1[[#This Row],[SETOR]],BD!A:AF,26,0),"")</f>
        <v/>
      </c>
      <c r="AP91" s="21" t="str">
        <f>IFERROR(VLOOKUP(Tabela1[[#This Row],[MÊS]]&amp;Tabela1[[#This Row],[MATRICULA]]&amp;"Ponto de Apoio"&amp;Tabela1[[#This Row],[SETOR]],BD!A:AF,31,0),"")</f>
        <v/>
      </c>
      <c r="AQ91" s="21" t="str">
        <f>IFERROR(VLOOKUP(Tabela1[[#This Row],[MÊS]]&amp;Tabela1[[#This Row],[ID]]&amp;Tabela1[[#This Row],[MATRICULA]]&amp;"Ponto de Apoio 2"&amp;Tabela1[[#This Row],[SETOR]],BD!A:AF,26,0),"")</f>
        <v/>
      </c>
      <c r="AR91" s="36" t="str">
        <f>IFERROR(VLOOKUP(Tabela1[[#This Row],[MÊS]]&amp;Tabela1[[#This Row],[ID]]&amp;Tabela1[[#This Row],[MATRICULA]]&amp;"Ponto de Apoio 3"&amp;Tabela1[[#This Row],[SETOR]],BD!A:AF,26,0),"")</f>
        <v/>
      </c>
      <c r="AS91" s="36" t="str">
        <f>IFERROR(VLOOKUP(Tabela1[[#This Row],[MÊS]]&amp;Tabela1[[#This Row],[ID]]&amp;Tabela1[[#This Row],[MATRICULA]]&amp;"Ponto de Apoio 4"&amp;Tabela1[[#This Row],[SETOR]],BD!A:AF,26,0),"")</f>
        <v/>
      </c>
      <c r="AT91" s="21" t="str">
        <f>IFERROR(VLOOKUP(Tabela1[[#This Row],[MÊS]]&amp;Tabela1[[#This Row],[MATRICULA]]&amp;"Cliente"&amp;Tabela1[[#This Row],[SETOR]],BD!A:AF,31,0),"")</f>
        <v/>
      </c>
      <c r="AU91" s="21" t="str">
        <f>IFERROR(VLOOKUP(Tabela1[[#This Row],[MÊS]]&amp;Tabela1[[#This Row],[ID]]&amp;Tabela1[[#This Row],[MATRICULA]]&amp;"Cliente 2"&amp;Tabela1[[#This Row],[SETOR]],BD!A:AF,26,0),"")</f>
        <v/>
      </c>
      <c r="AX91" s="21" t="str">
        <f>IFERROR(VLOOKUP(Tabela1[[#This Row],[MÊS]]&amp;Tabela1[[#This Row],[MATRICULA]]&amp;"Policia"&amp;Tabela1[[#This Row],[SETOR]],BD!A:AF,31,0),"")</f>
        <v/>
      </c>
      <c r="AY91" s="21" t="str">
        <f>IFERROR(VLOOKUP(Tabela1[[#This Row],[MÊS]]&amp;Tabela1[[#This Row],[ID]]&amp;Tabela1[[#This Row],[MATRICULA]]&amp;"Policia 2"&amp;Tabela1[[#This Row],[SETOR]],BD!A:AF,26,0),"")</f>
        <v/>
      </c>
      <c r="AZ91" s="36" t="str">
        <f>IFERROR(VLOOKUP(Tabela1[[#This Row],[MÊS]]&amp;Tabela1[[#This Row],[ID]]&amp;Tabela1[[#This Row],[MATRICULA]]&amp;"Policia 3"&amp;Tabela1[[#This Row],[SETOR]],BD!A:AF,26,0),"")</f>
        <v/>
      </c>
      <c r="BA91" s="36" t="str">
        <f>IFERROR(VLOOKUP(Tabela1[[#This Row],[MÊS]]&amp;Tabela1[[#This Row],[ID]]&amp;Tabela1[[#This Row],[MATRICULA]]&amp;"Policia 4"&amp;Tabela1[[#This Row],[SETOR]],BD!A:AF,26,0),"")</f>
        <v/>
      </c>
      <c r="BB9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1" s="21" t="str">
        <f>IFERROR(AVERAGE(Tabela1[[#This Row],[M]:[M4]]),"")</f>
        <v/>
      </c>
      <c r="BD91" s="21" t="str">
        <f>IFERROR(AVERAGE(Tabela1[[#This Row],[C]:[C4]]),"")</f>
        <v/>
      </c>
      <c r="BE91" s="21" t="str">
        <f>IFERROR(AVERAGE(Tabela1[[#This Row],[PA2]:[PA 4]]),"")</f>
        <v/>
      </c>
      <c r="BF91" s="21" t="str">
        <f>IFERROR(AVERAGE(Tabela1[[#This Row],[PL]:[PL4]]),"")</f>
        <v/>
      </c>
      <c r="BG91" s="35" t="str">
        <f>IFERROR(VLOOKUP(Tabela1[[#This Row],[MÊS]]&amp;Tabela1[[#This Row],[MATRICULA]],#REF!,2,0),"")</f>
        <v/>
      </c>
      <c r="BH91" s="35" t="str">
        <f>IFERROR(VLOOKUP(Tabela1[[#This Row],[MÊS]]&amp;Tabela1[[#This Row],[MATRICULA]],#REF!,2,0),"")</f>
        <v/>
      </c>
      <c r="BI91" s="35" t="str">
        <f>IFERROR(VLOOKUP(Tabela1[[#This Row],[MÊS]]&amp;Tabela1[[#This Row],[MATRICULA]],#REF!,2,0),"")</f>
        <v/>
      </c>
      <c r="BJ91" s="35" t="str">
        <f>IFERROR(VLOOKUP(Tabela1[[#This Row],[MÊS]]&amp;Tabela1[[#This Row],[MATRICULA]],#REF!,2,0),"")</f>
        <v/>
      </c>
      <c r="BK91" s="35" t="str">
        <f>IFERROR(VLOOKUP(Tabela1[[#This Row],[MÊS]]&amp;Tabela1[[#This Row],[MATRICULA]],#REF!,2,0),"")</f>
        <v/>
      </c>
      <c r="BL91" s="21">
        <f>COUNTIF(Tabela1[[#This Row],[MOT2]:[RECEPTIVA]],"NÃO ENCONTRADA")</f>
        <v>0</v>
      </c>
      <c r="BM91" s="135" t="str">
        <f>IFERROR(VLOOKUP(Tabela1[[#This Row],[MÊS]]&amp;Tabela1[[#This Row],[ID]]&amp;Tabela1[[#This Row],[MATRICULA]]&amp;"Motorista"&amp;Tabela1[[#This Row],[SETOR]],BD!A:AF,13,0),"")</f>
        <v/>
      </c>
      <c r="BN91" s="135" t="str">
        <f>IFERROR(VLOOKUP(Tabela1[[#This Row],[MÊS]]&amp;Tabela1[[#This Row],[ID]]&amp;Tabela1[[#This Row],[MATRICULA]]&amp;"Motorista 2"&amp;Tabela1[[#This Row],[SETOR]],BD!A:AF,13,0),"")</f>
        <v/>
      </c>
      <c r="BO91" s="135" t="str">
        <f>IFERROR(VLOOKUP(Tabela1[[#This Row],[MÊS]]&amp;Tabela1[[#This Row],[ID]]&amp;Tabela1[[#This Row],[MATRICULA]]&amp;"Motorista 3"&amp;Tabela1[[#This Row],[SETOR]],BD!A:AF,13,0),"")</f>
        <v/>
      </c>
      <c r="BP91" s="135" t="str">
        <f>IFERROR(VLOOKUP(Tabela1[[#This Row],[MÊS]]&amp;Tabela1[[#This Row],[ID]]&amp;Tabela1[[#This Row],[MATRICULA]]&amp;"Motorista 4"&amp;Tabela1[[#This Row],[SETOR]],BD!A:AF,13,0),"")</f>
        <v/>
      </c>
      <c r="BQ91" s="135" t="str">
        <f>IFERROR(AVERAGE(Tabela1[[#This Row],[DMOT]:[DMOT4]]),"")</f>
        <v/>
      </c>
      <c r="BR91" s="135" t="str">
        <f>IFERROR(VLOOKUP(Tabela1[[#This Row],[MÊS]]&amp;Tabela1[[#This Row],[ID]]&amp;Tabela1[[#This Row],[MATRICULA]]&amp;"Ponto de Apoio"&amp;Tabela1[[#This Row],[SETOR]],BD!A:AF,13,0),"")</f>
        <v/>
      </c>
      <c r="BS91" s="135" t="str">
        <f>IFERROR(VLOOKUP(Tabela1[[#This Row],[MÊS]]&amp;Tabela1[[#This Row],[ID]]&amp;Tabela1[[#This Row],[MATRICULA]]&amp;"Ponto de Apoio 2"&amp;Tabela1[[#This Row],[SETOR]],BD!A:AF,13,0),"")</f>
        <v/>
      </c>
      <c r="BT91" s="135" t="str">
        <f>IFERROR(VLOOKUP(Tabela1[[#This Row],[MÊS]]&amp;Tabela1[[#This Row],[ID]]&amp;Tabela1[[#This Row],[MATRICULA]]&amp;"Ponto de Apoio 3"&amp;Tabela1[[#This Row],[SETOR]],BD!A:AF,13,0),"")</f>
        <v/>
      </c>
      <c r="BU91" s="135" t="str">
        <f>IFERROR(VLOOKUP(Tabela1[[#This Row],[MÊS]]&amp;Tabela1[[#This Row],[ID]]&amp;Tabela1[[#This Row],[MATRICULA]]&amp;"Ponto de Apoio 4"&amp;Tabela1[[#This Row],[SETOR]],BD!A:AF,13,0),"")</f>
        <v/>
      </c>
      <c r="BV91" s="135" t="str">
        <f>IFERROR(AVERAGE(Tabela1[[#This Row],[DPA]:[DPA 4]]),"")</f>
        <v/>
      </c>
      <c r="BW91" s="135" t="str">
        <f>IFERROR(VLOOKUP(Tabela1[[#This Row],[MÊS]]&amp;Tabela1[[#This Row],[ID]]&amp;Tabela1[[#This Row],[MATRICULA]]&amp;"Cliente"&amp;Tabela1[[#This Row],[SETOR]],BD!A:AF,13,0),"")</f>
        <v/>
      </c>
      <c r="BX91" s="135" t="str">
        <f>IFERROR(VLOOKUP(Tabela1[[#This Row],[MÊS]]&amp;Tabela1[[#This Row],[ID]]&amp;Tabela1[[#This Row],[MATRICULA]]&amp;"cliente 2"&amp;Tabela1[[#This Row],[SETOR]],BD!A:AF,13,0),"")</f>
        <v/>
      </c>
      <c r="BY91" s="135" t="str">
        <f>IFERROR(VLOOKUP(Tabela1[[#This Row],[MÊS]]&amp;Tabela1[[#This Row],[ID]]&amp;Tabela1[[#This Row],[MATRICULA]]&amp;"cliente 3"&amp;Tabela1[[#This Row],[SETOR]],BD!A:AF,13,0),"")</f>
        <v/>
      </c>
      <c r="BZ91" s="135" t="str">
        <f>IFERROR(VLOOKUP(Tabela1[[#This Row],[MÊS]]&amp;Tabela1[[#This Row],[ID]]&amp;Tabela1[[#This Row],[MATRICULA]]&amp;"cliente 4"&amp;Tabela1[[#This Row],[SETOR]],BD!A:AF,13,0),"")</f>
        <v/>
      </c>
      <c r="CA91" s="135" t="str">
        <f>IFERROR(AVERAGE(Tabela1[[#This Row],[DCLI]:[DCLI 4]]),"")</f>
        <v/>
      </c>
      <c r="CB91" s="135" t="str">
        <f>IFERROR(VLOOKUP(Tabela1[[#This Row],[MÊS]]&amp;Tabela1[[#This Row],[ID]]&amp;Tabela1[[#This Row],[MATRICULA]]&amp;"Policia"&amp;Tabela1[[#This Row],[SETOR]],BD!A:AF,13,0),"")</f>
        <v/>
      </c>
      <c r="CC91" s="135" t="str">
        <f>IFERROR(VLOOKUP(Tabela1[[#This Row],[MÊS]]&amp;Tabela1[[#This Row],[ID]]&amp;Tabela1[[#This Row],[MATRICULA]]&amp;"Policia 2"&amp;Tabela1[[#This Row],[SETOR]],BD!A:AF,13,0),"")</f>
        <v/>
      </c>
      <c r="CD91" s="135"/>
      <c r="CE91" s="135"/>
      <c r="CF91" s="135" t="str">
        <f>IFERROR((AVERAGE(Tabela1[[#This Row],[DPOL1]:[DPOL4]])),"")</f>
        <v/>
      </c>
      <c r="CG91" s="21" t="str">
        <f>IFERROR(VLOOKUP(Tabela1[[#This Row],[ID]]&amp;Tabela1[[#This Row],[MÊS]]&amp;Tabela1[[#This Row],[MATRICULA]],#REF!,2,0),"")</f>
        <v/>
      </c>
      <c r="CH91" s="21" t="str">
        <f>IFERROR(VLOOKUP(Tabela1[[#This Row],[ID]]&amp;Tabela1[[#This Row],[MÊS]]&amp;Tabela1[[#This Row],[MATRICULA]],#REF!,2,0),"")</f>
        <v/>
      </c>
      <c r="CI91" s="21" t="str">
        <f>IFERROR(VLOOKUP(Tabela1[[#This Row],[MÊS]]&amp;Tabela1[[#This Row],[MATRICULA]],#REF!,2,0),"")</f>
        <v/>
      </c>
    </row>
    <row r="92" spans="1:87">
      <c r="A92" s="12" t="str">
        <f>Tabela1[[#This Row],[MÊS]]&amp;Tabela1[[#This Row],[MATRICULA]]&amp;Tabela1[[#This Row],[ID]]</f>
        <v>JAN109078</v>
      </c>
      <c r="B92" s="12" t="str">
        <f>Tabela1[[#This Row],[MÊS]]&amp;Tabela1[[#This Row],[ID]]&amp;Tabela1[[#This Row],[MATRICULA]]&amp;Tabela1[[#This Row],[SETOR]]</f>
        <v>JAN810907BAS</v>
      </c>
      <c r="C92" s="130" t="e">
        <f>VLOOKUP(Tabela1[[#This Row],[MATRICULA]],'BD Campos'!A:D,5,0)</f>
        <v>#REF!</v>
      </c>
      <c r="D92" s="133" t="str">
        <f ca="1">IFERROR(SUM(TODAY()-Tabela1[[#This Row],[ADMISSÃO]]),"")</f>
        <v/>
      </c>
      <c r="E92" s="11" t="str">
        <f ca="1">IFERROR(TRUNC(Tabela1[[#This Row],[TEMPO DE CASA (DIAS)]]/30),"")</f>
        <v/>
      </c>
      <c r="F92" s="32" t="str">
        <f ca="1">IFERROR(SUM(Tabela1[[#This Row],[TEMPO DE CASA (MESES)]]/12),"")</f>
        <v/>
      </c>
      <c r="G92" s="133" t="str">
        <f ca="1">IF(Tabela1[[#This Row],[TEMPO DE CASA (DIAS)]]="","SEM DADOS",IF(Tabela1[[#This Row],[TEMPO DE CASA (DIAS)]]&gt;180,"&gt; 6 MESES","&lt; 6 MESES"))</f>
        <v>SEM DADOS</v>
      </c>
      <c r="H92" s="12" t="str">
        <f t="shared" si="9"/>
        <v>JANLucas Rafael8</v>
      </c>
      <c r="I92" s="12" t="str">
        <f>IFERROR(VLOOKUP(Tabela1[[#This Row],[MATRICULA]],'BD Campos'!A:F,7,0),"")</f>
        <v/>
      </c>
      <c r="J92" s="11">
        <v>8</v>
      </c>
      <c r="K92" s="11" t="s">
        <v>669</v>
      </c>
      <c r="L92" s="136">
        <v>10907</v>
      </c>
      <c r="M92" s="12" t="str">
        <f>IFERROR(VLOOKUP(Tabela1[[#This Row],[MATRICULA]],'BD Campos'!A:B,2,0),"")</f>
        <v>THIAGO ALEXANDRE MACHADO</v>
      </c>
      <c r="N92" s="20">
        <f>IFERROR(AVERAGE(Tabela1[[#This Row],[A1]:[A4]]),"")</f>
        <v>0</v>
      </c>
      <c r="O92" s="20" t="str">
        <f>IFERROR(IF(Tabela1[[#This Row],[SETOR]]="RECEPTIVO","",AVERAGE(Tabela1[[#This Row],[A5]:[A6]])),"")</f>
        <v/>
      </c>
      <c r="P92" s="20" t="str">
        <f>IFERROR(IF(Tabela1[[#This Row],[STATUS]]="INATIVO","INATIVO",IF(Tabela1[[#This Row],[STATUS]]="QRT","INATIVO",IF(Tabela1[[#This Row],[OPERACIONAL]]&gt;7.99999,"BOM","RUIM"))),"")</f>
        <v>RUIM</v>
      </c>
      <c r="Q92" s="21" t="s">
        <v>667</v>
      </c>
      <c r="R92" s="12" t="s">
        <v>687</v>
      </c>
      <c r="S92" s="12" t="s">
        <v>688</v>
      </c>
      <c r="T92" s="12" t="s">
        <v>223</v>
      </c>
      <c r="U9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9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92" s="12">
        <f>IF(AND(Tabela1[[#This Row],[SETOR]]="UTI",Tabela1[[#This Row],[M]]&lt;&gt;""),1,IF(AND(Tabela1[[#This Row],[SETOR]]="UTI (RJ)",Tabela1[[#This Row],[M]]&lt;&gt;""),1.5,0))</f>
        <v>0</v>
      </c>
      <c r="X92" s="12">
        <f>IF(AND(Tabela1[[#This Row],[SETOR]]="UTI",Tabela1[[#This Row],[PA2]]&lt;&gt;""),1,IF(AND(Tabela1[[#This Row],[SETOR]]="UTI (RJ)",Tabela1[[#This Row],[PA2]]&lt;&gt;""),0,0))</f>
        <v>0</v>
      </c>
      <c r="Y92" s="12">
        <f>IF(AND(Tabela1[[#This Row],[SETOR]]="UTI",Tabela1[[#This Row],[C]]&lt;&gt;""),1,IF(AND(Tabela1[[#This Row],[SETOR]]="UTI (RJ)",Tabela1[[#This Row],[C]]&lt;&gt;""),1.5,0))</f>
        <v>0</v>
      </c>
      <c r="Z92" s="12">
        <f>IF(AND(Tabela1[[#This Row],[SETOR]]="UTI",Tabela1[[#This Row],[PL]]&lt;&gt;""),1,IF(AND(Tabela1[[#This Row],[SETOR]]="UTI (RJ)",Tabela1[[#This Row],[PL]]&lt;&gt;""),1,0))</f>
        <v>0</v>
      </c>
      <c r="AA92" s="21">
        <f>IFERROR(VLOOKUP(Tabela1[[#This Row],[MÊS]]&amp;Tabela1[[#This Row],[MATRICULA]]&amp;"1"&amp;Tabela1[[#This Row],[SETOR]]&amp;"PADRÃO",BD!B:AF,31,0),"")</f>
        <v>0</v>
      </c>
      <c r="AB92" s="21">
        <f>IFERROR(VLOOKUP(Tabela1[[#This Row],[MÊS]]&amp;Tabela1[[#This Row],[MATRICULA]]&amp;"2"&amp;Tabela1[[#This Row],[SETOR]]&amp;"PADRÃO",BD!B:AF,31,0),"")</f>
        <v>0</v>
      </c>
      <c r="AC92" s="21" t="str">
        <f>IFERROR(VLOOKUP(Tabela1[[#This Row],[MÊS]]&amp;Tabela1[[#This Row],[MATRICULA]]&amp;"3"&amp;Tabela1[[#This Row],[SETOR]]&amp;"PADRÃO",BD!B:AF,31,0),"")</f>
        <v/>
      </c>
      <c r="AD92" s="21" t="str">
        <f>IFERROR(VLOOKUP(Tabela1[[#This Row],[MÊS]]&amp;Tabela1[[#This Row],[MATRICULA]]&amp;"4"&amp;Tabela1[[#This Row],[SETOR]]&amp;"PADRÃO",BD!B:AF,25,0),"")</f>
        <v/>
      </c>
      <c r="AE92" s="21" t="str">
        <f>IFERROR(VLOOKUP(Tabela1[[#This Row],[MÊS]]&amp;Tabela1[[#This Row],[MATRICULA]]&amp;"5"&amp;Tabela1[[#This Row],[SETOR]]&amp;"PADRÃO",BD!B:AF,31,0),"")</f>
        <v/>
      </c>
      <c r="AF92" s="21" t="str">
        <f>IFERROR(VLOOKUP(Tabela1[[#This Row],[MÊS]]&amp;Tabela1[[#This Row],[MATRICULA]]&amp;"6"&amp;Tabela1[[#This Row],[SETOR]]&amp;"PADRÃO",BD!B:AF,31,0),"")</f>
        <v/>
      </c>
      <c r="AG92" s="21" t="str">
        <f>IFERROR(VLOOKUP(Tabela1[[#This Row],[MÊS]]&amp;Tabela1[[#This Row],[MATRICULA]]&amp;"7"&amp;Tabela1[[#This Row],[SETOR]]&amp;"PADRÃO",BD!B:AF,31,0),"")</f>
        <v/>
      </c>
      <c r="AH92" s="21" t="str">
        <f>IFERROR(VLOOKUP(Tabela1[[#This Row],[MÊS]]&amp;Tabela1[[#This Row],[ID]]&amp;Tabela1[[#This Row],[MATRICULA]]&amp;"Receptiva"&amp;Tabela1[[#This Row],[SETOR]],BD!A:AF,31,0),"")</f>
        <v/>
      </c>
      <c r="AI92" s="21" t="str">
        <f>IFERROR(VLOOKUP(Tabela1[[#This Row],[MÊS]]&amp;Tabela1[[#This Row],[ID]]&amp;Tabela1[[#This Row],[MATRICULA]]&amp;"Receptiva 2"&amp;Tabela1[[#This Row],[SETOR]],BD!A:AF,31,0),"")</f>
        <v/>
      </c>
      <c r="AJ92" s="21" t="str">
        <f>IFERROR(VLOOKUP(Tabela1[[#This Row],[MÊS]]&amp;Tabela1[[#This Row],[ID]]&amp;Tabela1[[#This Row],[MATRICULA]]&amp;"Receptiva 3"&amp;Tabela1[[#This Row],[SETOR]],BD!A:AF,31,0),"")</f>
        <v/>
      </c>
      <c r="AK92" s="21" t="str">
        <f>IFERROR(VLOOKUP(Tabela1[[#This Row],[MÊS]]&amp;Tabela1[[#This Row],[ID]]&amp;Tabela1[[#This Row],[MATRICULA]]&amp;"Receptiva 4"&amp;Tabela1[[#This Row],[SETOR]],BD!A:AF,31,0),"")</f>
        <v/>
      </c>
      <c r="AL92" s="21" t="str">
        <f>IFERROR(VLOOKUP(Tabela1[[#This Row],[MÊS]]&amp;Tabela1[[#This Row],[MATRICULA]]&amp;"Motorista"&amp;Tabela1[[#This Row],[SETOR]],BD!A:AF,31,0),"")</f>
        <v/>
      </c>
      <c r="AM92" s="21" t="str">
        <f>IFERROR(VLOOKUP(Tabela1[[#This Row],[MÊS]]&amp;Tabela1[[#This Row],[ID]]&amp;Tabela1[[#This Row],[MATRICULA]]&amp;"Motorista 2"&amp;Tabela1[[#This Row],[SETOR]],BD!A:AF,26,0),"")</f>
        <v/>
      </c>
      <c r="AN92" s="21" t="str">
        <f>IFERROR(VLOOKUP(Tabela1[[#This Row],[MÊS]]&amp;Tabela1[[#This Row],[ID]]&amp;Tabela1[[#This Row],[MATRICULA]]&amp;"Motorista 3"&amp;Tabela1[[#This Row],[SETOR]],BD!A:AF,26,0),"")</f>
        <v/>
      </c>
      <c r="AO92" s="21" t="str">
        <f>IFERROR(VLOOKUP(Tabela1[[#This Row],[MÊS]]&amp;Tabela1[[#This Row],[ID]]&amp;Tabela1[[#This Row],[MATRICULA]]&amp;"Motorista 4"&amp;Tabela1[[#This Row],[SETOR]],BD!A:AF,26,0),"")</f>
        <v/>
      </c>
      <c r="AP92" s="21" t="str">
        <f>IFERROR(VLOOKUP(Tabela1[[#This Row],[MÊS]]&amp;Tabela1[[#This Row],[MATRICULA]]&amp;"Ponto de Apoio"&amp;Tabela1[[#This Row],[SETOR]],BD!A:AF,31,0),"")</f>
        <v/>
      </c>
      <c r="AQ92" s="21" t="str">
        <f>IFERROR(VLOOKUP(Tabela1[[#This Row],[MÊS]]&amp;Tabela1[[#This Row],[ID]]&amp;Tabela1[[#This Row],[MATRICULA]]&amp;"Ponto de Apoio 2"&amp;Tabela1[[#This Row],[SETOR]],BD!A:AF,26,0),"")</f>
        <v/>
      </c>
      <c r="AR92" s="36" t="str">
        <f>IFERROR(VLOOKUP(Tabela1[[#This Row],[MÊS]]&amp;Tabela1[[#This Row],[ID]]&amp;Tabela1[[#This Row],[MATRICULA]]&amp;"Ponto de Apoio 3"&amp;Tabela1[[#This Row],[SETOR]],BD!A:AF,26,0),"")</f>
        <v/>
      </c>
      <c r="AS92" s="36" t="str">
        <f>IFERROR(VLOOKUP(Tabela1[[#This Row],[MÊS]]&amp;Tabela1[[#This Row],[ID]]&amp;Tabela1[[#This Row],[MATRICULA]]&amp;"Ponto de Apoio 4"&amp;Tabela1[[#This Row],[SETOR]],BD!A:AF,26,0),"")</f>
        <v/>
      </c>
      <c r="AT92" s="21" t="str">
        <f>IFERROR(VLOOKUP(Tabela1[[#This Row],[MÊS]]&amp;Tabela1[[#This Row],[MATRICULA]]&amp;"Cliente"&amp;Tabela1[[#This Row],[SETOR]],BD!A:AF,31,0),"")</f>
        <v/>
      </c>
      <c r="AU92" s="21" t="str">
        <f>IFERROR(VLOOKUP(Tabela1[[#This Row],[MÊS]]&amp;Tabela1[[#This Row],[ID]]&amp;Tabela1[[#This Row],[MATRICULA]]&amp;"Cliente 2"&amp;Tabela1[[#This Row],[SETOR]],BD!A:AF,26,0),"")</f>
        <v/>
      </c>
      <c r="AX92" s="21" t="str">
        <f>IFERROR(VLOOKUP(Tabela1[[#This Row],[MÊS]]&amp;Tabela1[[#This Row],[MATRICULA]]&amp;"Policia"&amp;Tabela1[[#This Row],[SETOR]],BD!A:AF,31,0),"")</f>
        <v/>
      </c>
      <c r="AY92" s="21" t="str">
        <f>IFERROR(VLOOKUP(Tabela1[[#This Row],[MÊS]]&amp;Tabela1[[#This Row],[ID]]&amp;Tabela1[[#This Row],[MATRICULA]]&amp;"Policia 2"&amp;Tabela1[[#This Row],[SETOR]],BD!A:AF,26,0),"")</f>
        <v/>
      </c>
      <c r="AZ92" s="36" t="str">
        <f>IFERROR(VLOOKUP(Tabela1[[#This Row],[MÊS]]&amp;Tabela1[[#This Row],[ID]]&amp;Tabela1[[#This Row],[MATRICULA]]&amp;"Policia 3"&amp;Tabela1[[#This Row],[SETOR]],BD!A:AF,26,0),"")</f>
        <v/>
      </c>
      <c r="BA92" s="36" t="str">
        <f>IFERROR(VLOOKUP(Tabela1[[#This Row],[MÊS]]&amp;Tabela1[[#This Row],[ID]]&amp;Tabela1[[#This Row],[MATRICULA]]&amp;"Policia 4"&amp;Tabela1[[#This Row],[SETOR]],BD!A:AF,26,0),"")</f>
        <v/>
      </c>
      <c r="BB9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2" s="21" t="str">
        <f>IFERROR(AVERAGE(Tabela1[[#This Row],[M]:[M4]]),"")</f>
        <v/>
      </c>
      <c r="BD92" s="21" t="str">
        <f>IFERROR(AVERAGE(Tabela1[[#This Row],[C]:[C4]]),"")</f>
        <v/>
      </c>
      <c r="BE92" s="21" t="str">
        <f>IFERROR(AVERAGE(Tabela1[[#This Row],[PA2]:[PA 4]]),"")</f>
        <v/>
      </c>
      <c r="BF92" s="21" t="str">
        <f>IFERROR(AVERAGE(Tabela1[[#This Row],[PL]:[PL4]]),"")</f>
        <v/>
      </c>
      <c r="BG92" s="35" t="str">
        <f>IFERROR(VLOOKUP(Tabela1[[#This Row],[MÊS]]&amp;Tabela1[[#This Row],[MATRICULA]],#REF!,2,0),"")</f>
        <v/>
      </c>
      <c r="BH92" s="35" t="str">
        <f>IFERROR(VLOOKUP(Tabela1[[#This Row],[MÊS]]&amp;Tabela1[[#This Row],[MATRICULA]],#REF!,2,0),"")</f>
        <v/>
      </c>
      <c r="BI92" s="35" t="str">
        <f>IFERROR(VLOOKUP(Tabela1[[#This Row],[MÊS]]&amp;Tabela1[[#This Row],[MATRICULA]],#REF!,2,0),"")</f>
        <v/>
      </c>
      <c r="BJ92" s="35" t="str">
        <f>IFERROR(VLOOKUP(Tabela1[[#This Row],[MÊS]]&amp;Tabela1[[#This Row],[MATRICULA]],#REF!,2,0),"")</f>
        <v/>
      </c>
      <c r="BK92" s="35" t="str">
        <f>IFERROR(VLOOKUP(Tabela1[[#This Row],[MÊS]]&amp;Tabela1[[#This Row],[MATRICULA]],#REF!,2,0),"")</f>
        <v/>
      </c>
      <c r="BL92" s="21">
        <f>COUNTIF(Tabela1[[#This Row],[MOT2]:[RECEPTIVA]],"NÃO ENCONTRADA")</f>
        <v>0</v>
      </c>
      <c r="BM92" s="135" t="str">
        <f>IFERROR(VLOOKUP(Tabela1[[#This Row],[MÊS]]&amp;Tabela1[[#This Row],[ID]]&amp;Tabela1[[#This Row],[MATRICULA]]&amp;"Motorista"&amp;Tabela1[[#This Row],[SETOR]],BD!A:AF,13,0),"")</f>
        <v/>
      </c>
      <c r="BN92" s="135" t="str">
        <f>IFERROR(VLOOKUP(Tabela1[[#This Row],[MÊS]]&amp;Tabela1[[#This Row],[ID]]&amp;Tabela1[[#This Row],[MATRICULA]]&amp;"Motorista 2"&amp;Tabela1[[#This Row],[SETOR]],BD!A:AF,13,0),"")</f>
        <v/>
      </c>
      <c r="BO92" s="135" t="str">
        <f>IFERROR(VLOOKUP(Tabela1[[#This Row],[MÊS]]&amp;Tabela1[[#This Row],[ID]]&amp;Tabela1[[#This Row],[MATRICULA]]&amp;"Motorista 3"&amp;Tabela1[[#This Row],[SETOR]],BD!A:AF,13,0),"")</f>
        <v/>
      </c>
      <c r="BP92" s="135" t="str">
        <f>IFERROR(VLOOKUP(Tabela1[[#This Row],[MÊS]]&amp;Tabela1[[#This Row],[ID]]&amp;Tabela1[[#This Row],[MATRICULA]]&amp;"Motorista 4"&amp;Tabela1[[#This Row],[SETOR]],BD!A:AF,13,0),"")</f>
        <v/>
      </c>
      <c r="BQ92" s="135" t="str">
        <f>IFERROR(AVERAGE(Tabela1[[#This Row],[DMOT]:[DMOT4]]),"")</f>
        <v/>
      </c>
      <c r="BR92" s="135" t="str">
        <f>IFERROR(VLOOKUP(Tabela1[[#This Row],[MÊS]]&amp;Tabela1[[#This Row],[ID]]&amp;Tabela1[[#This Row],[MATRICULA]]&amp;"Ponto de Apoio"&amp;Tabela1[[#This Row],[SETOR]],BD!A:AF,13,0),"")</f>
        <v/>
      </c>
      <c r="BS92" s="135" t="str">
        <f>IFERROR(VLOOKUP(Tabela1[[#This Row],[MÊS]]&amp;Tabela1[[#This Row],[ID]]&amp;Tabela1[[#This Row],[MATRICULA]]&amp;"Ponto de Apoio 2"&amp;Tabela1[[#This Row],[SETOR]],BD!A:AF,13,0),"")</f>
        <v/>
      </c>
      <c r="BT92" s="135" t="str">
        <f>IFERROR(VLOOKUP(Tabela1[[#This Row],[MÊS]]&amp;Tabela1[[#This Row],[ID]]&amp;Tabela1[[#This Row],[MATRICULA]]&amp;"Ponto de Apoio 3"&amp;Tabela1[[#This Row],[SETOR]],BD!A:AF,13,0),"")</f>
        <v/>
      </c>
      <c r="BU92" s="135" t="str">
        <f>IFERROR(VLOOKUP(Tabela1[[#This Row],[MÊS]]&amp;Tabela1[[#This Row],[ID]]&amp;Tabela1[[#This Row],[MATRICULA]]&amp;"Ponto de Apoio 4"&amp;Tabela1[[#This Row],[SETOR]],BD!A:AF,13,0),"")</f>
        <v/>
      </c>
      <c r="BV92" s="135" t="str">
        <f>IFERROR(AVERAGE(Tabela1[[#This Row],[DPA]:[DPA 4]]),"")</f>
        <v/>
      </c>
      <c r="BW92" s="135" t="str">
        <f>IFERROR(VLOOKUP(Tabela1[[#This Row],[MÊS]]&amp;Tabela1[[#This Row],[ID]]&amp;Tabela1[[#This Row],[MATRICULA]]&amp;"Cliente"&amp;Tabela1[[#This Row],[SETOR]],BD!A:AF,13,0),"")</f>
        <v/>
      </c>
      <c r="BX92" s="135" t="str">
        <f>IFERROR(VLOOKUP(Tabela1[[#This Row],[MÊS]]&amp;Tabela1[[#This Row],[ID]]&amp;Tabela1[[#This Row],[MATRICULA]]&amp;"cliente 2"&amp;Tabela1[[#This Row],[SETOR]],BD!A:AF,13,0),"")</f>
        <v/>
      </c>
      <c r="BY92" s="135" t="str">
        <f>IFERROR(VLOOKUP(Tabela1[[#This Row],[MÊS]]&amp;Tabela1[[#This Row],[ID]]&amp;Tabela1[[#This Row],[MATRICULA]]&amp;"cliente 3"&amp;Tabela1[[#This Row],[SETOR]],BD!A:AF,13,0),"")</f>
        <v/>
      </c>
      <c r="BZ92" s="135" t="str">
        <f>IFERROR(VLOOKUP(Tabela1[[#This Row],[MÊS]]&amp;Tabela1[[#This Row],[ID]]&amp;Tabela1[[#This Row],[MATRICULA]]&amp;"cliente 4"&amp;Tabela1[[#This Row],[SETOR]],BD!A:AF,13,0),"")</f>
        <v/>
      </c>
      <c r="CA92" s="135" t="str">
        <f>IFERROR(AVERAGE(Tabela1[[#This Row],[DCLI]:[DCLI 4]]),"")</f>
        <v/>
      </c>
      <c r="CB92" s="135" t="str">
        <f>IFERROR(VLOOKUP(Tabela1[[#This Row],[MÊS]]&amp;Tabela1[[#This Row],[ID]]&amp;Tabela1[[#This Row],[MATRICULA]]&amp;"Policia"&amp;Tabela1[[#This Row],[SETOR]],BD!A:AF,13,0),"")</f>
        <v/>
      </c>
      <c r="CC92" s="135" t="str">
        <f>IFERROR(VLOOKUP(Tabela1[[#This Row],[MÊS]]&amp;Tabela1[[#This Row],[ID]]&amp;Tabela1[[#This Row],[MATRICULA]]&amp;"Policia 2"&amp;Tabela1[[#This Row],[SETOR]],BD!A:AF,13,0),"")</f>
        <v/>
      </c>
      <c r="CD92" s="135"/>
      <c r="CE92" s="135"/>
      <c r="CF92" s="135" t="str">
        <f>IFERROR((AVERAGE(Tabela1[[#This Row],[DPOL1]:[DPOL4]])),"")</f>
        <v/>
      </c>
      <c r="CG92" s="21" t="str">
        <f>IFERROR(VLOOKUP(Tabela1[[#This Row],[ID]]&amp;Tabela1[[#This Row],[MÊS]]&amp;Tabela1[[#This Row],[MATRICULA]],#REF!,2,0),"")</f>
        <v/>
      </c>
      <c r="CH92" s="21" t="str">
        <f>IFERROR(VLOOKUP(Tabela1[[#This Row],[ID]]&amp;Tabela1[[#This Row],[MÊS]]&amp;Tabela1[[#This Row],[MATRICULA]],#REF!,2,0),"")</f>
        <v/>
      </c>
      <c r="CI92" s="21" t="str">
        <f>IFERROR(VLOOKUP(Tabela1[[#This Row],[MÊS]]&amp;Tabela1[[#This Row],[MATRICULA]],#REF!,2,0),"")</f>
        <v/>
      </c>
    </row>
    <row r="93" spans="1:87">
      <c r="A93" s="12" t="str">
        <f>Tabela1[[#This Row],[MÊS]]&amp;Tabela1[[#This Row],[MATRICULA]]&amp;Tabela1[[#This Row],[ID]]</f>
        <v>JAN109479</v>
      </c>
      <c r="B93" s="12" t="str">
        <f>Tabela1[[#This Row],[MÊS]]&amp;Tabela1[[#This Row],[ID]]&amp;Tabela1[[#This Row],[MATRICULA]]&amp;Tabela1[[#This Row],[SETOR]]</f>
        <v>JAN910947BAS</v>
      </c>
      <c r="C93" s="130" t="e">
        <f>VLOOKUP(Tabela1[[#This Row],[MATRICULA]],'BD Campos'!A:D,5,0)</f>
        <v>#REF!</v>
      </c>
      <c r="D93" s="133" t="str">
        <f ca="1">IFERROR(SUM(TODAY()-Tabela1[[#This Row],[ADMISSÃO]]),"")</f>
        <v/>
      </c>
      <c r="E93" s="11" t="str">
        <f ca="1">IFERROR(TRUNC(Tabela1[[#This Row],[TEMPO DE CASA (DIAS)]]/30),"")</f>
        <v/>
      </c>
      <c r="F93" s="32" t="str">
        <f ca="1">IFERROR(SUM(Tabela1[[#This Row],[TEMPO DE CASA (MESES)]]/12),"")</f>
        <v/>
      </c>
      <c r="G93" s="133" t="str">
        <f ca="1">IF(Tabela1[[#This Row],[TEMPO DE CASA (DIAS)]]="","SEM DADOS",IF(Tabela1[[#This Row],[TEMPO DE CASA (DIAS)]]&gt;180,"&gt; 6 MESES","&lt; 6 MESES"))</f>
        <v>SEM DADOS</v>
      </c>
      <c r="H93" s="12" t="str">
        <f t="shared" si="9"/>
        <v>JANLucas Rafael9</v>
      </c>
      <c r="I93" s="12" t="str">
        <f>IFERROR(VLOOKUP(Tabela1[[#This Row],[MATRICULA]],'BD Campos'!A:F,7,0),"")</f>
        <v/>
      </c>
      <c r="J93" s="11">
        <v>9</v>
      </c>
      <c r="K93" s="11" t="s">
        <v>669</v>
      </c>
      <c r="L93" s="136">
        <v>10947</v>
      </c>
      <c r="M93" s="12" t="str">
        <f>IFERROR(VLOOKUP(Tabela1[[#This Row],[MATRICULA]],'BD Campos'!A:B,2,0),"")</f>
        <v>FABIULA DE ESPINDOLA</v>
      </c>
      <c r="N93" s="20">
        <f>IFERROR(AVERAGE(Tabela1[[#This Row],[A1]:[A4]]),"")</f>
        <v>9.0550000000000015</v>
      </c>
      <c r="O93" s="20" t="str">
        <f>IFERROR(IF(Tabela1[[#This Row],[SETOR]]="RECEPTIVO","",AVERAGE(Tabela1[[#This Row],[A5]:[A6]])),"")</f>
        <v/>
      </c>
      <c r="P93" s="20" t="str">
        <f>IFERROR(IF(Tabela1[[#This Row],[STATUS]]="INATIVO","INATIVO",IF(Tabela1[[#This Row],[STATUS]]="QRT","INATIVO",IF(Tabela1[[#This Row],[OPERACIONAL]]&gt;7.99999,"BOM","RUIM"))),"")</f>
        <v>BOM</v>
      </c>
      <c r="Q93" s="21" t="s">
        <v>667</v>
      </c>
      <c r="R93" s="12" t="s">
        <v>687</v>
      </c>
      <c r="S93" s="12" t="s">
        <v>688</v>
      </c>
      <c r="T93" s="12" t="s">
        <v>223</v>
      </c>
      <c r="U9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9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93" s="12">
        <f>IF(AND(Tabela1[[#This Row],[SETOR]]="UTI",Tabela1[[#This Row],[M]]&lt;&gt;""),1,IF(AND(Tabela1[[#This Row],[SETOR]]="UTI (RJ)",Tabela1[[#This Row],[M]]&lt;&gt;""),1.5,0))</f>
        <v>0</v>
      </c>
      <c r="X93" s="12">
        <f>IF(AND(Tabela1[[#This Row],[SETOR]]="UTI",Tabela1[[#This Row],[PA2]]&lt;&gt;""),1,IF(AND(Tabela1[[#This Row],[SETOR]]="UTI (RJ)",Tabela1[[#This Row],[PA2]]&lt;&gt;""),0,0))</f>
        <v>0</v>
      </c>
      <c r="Y93" s="12">
        <f>IF(AND(Tabela1[[#This Row],[SETOR]]="UTI",Tabela1[[#This Row],[C]]&lt;&gt;""),1,IF(AND(Tabela1[[#This Row],[SETOR]]="UTI (RJ)",Tabela1[[#This Row],[C]]&lt;&gt;""),1.5,0))</f>
        <v>0</v>
      </c>
      <c r="Z93" s="12">
        <f>IF(AND(Tabela1[[#This Row],[SETOR]]="UTI",Tabela1[[#This Row],[PL]]&lt;&gt;""),1,IF(AND(Tabela1[[#This Row],[SETOR]]="UTI (RJ)",Tabela1[[#This Row],[PL]]&lt;&gt;""),1,0))</f>
        <v>0</v>
      </c>
      <c r="AA93" s="21">
        <f>IFERROR(VLOOKUP(Tabela1[[#This Row],[MÊS]]&amp;Tabela1[[#This Row],[MATRICULA]]&amp;"1"&amp;Tabela1[[#This Row],[SETOR]]&amp;"PADRÃO",BD!B:AF,31,0),"")</f>
        <v>9.0550000000000015</v>
      </c>
      <c r="AB93" s="21">
        <f>IFERROR(VLOOKUP(Tabela1[[#This Row],[MÊS]]&amp;Tabela1[[#This Row],[MATRICULA]]&amp;"2"&amp;Tabela1[[#This Row],[SETOR]]&amp;"PADRÃO",BD!B:AF,31,0),"")</f>
        <v>9.0550000000000015</v>
      </c>
      <c r="AC93" s="21" t="str">
        <f>IFERROR(VLOOKUP(Tabela1[[#This Row],[MÊS]]&amp;Tabela1[[#This Row],[MATRICULA]]&amp;"3"&amp;Tabela1[[#This Row],[SETOR]]&amp;"PADRÃO",BD!B:AF,31,0),"")</f>
        <v/>
      </c>
      <c r="AD93" s="21" t="str">
        <f>IFERROR(VLOOKUP(Tabela1[[#This Row],[MÊS]]&amp;Tabela1[[#This Row],[MATRICULA]]&amp;"4"&amp;Tabela1[[#This Row],[SETOR]]&amp;"PADRÃO",BD!B:AF,25,0),"")</f>
        <v/>
      </c>
      <c r="AE93" s="21" t="str">
        <f>IFERROR(VLOOKUP(Tabela1[[#This Row],[MÊS]]&amp;Tabela1[[#This Row],[MATRICULA]]&amp;"5"&amp;Tabela1[[#This Row],[SETOR]]&amp;"PADRÃO",BD!B:AF,31,0),"")</f>
        <v/>
      </c>
      <c r="AF93" s="21" t="str">
        <f>IFERROR(VLOOKUP(Tabela1[[#This Row],[MÊS]]&amp;Tabela1[[#This Row],[MATRICULA]]&amp;"6"&amp;Tabela1[[#This Row],[SETOR]]&amp;"PADRÃO",BD!B:AF,31,0),"")</f>
        <v/>
      </c>
      <c r="AG93" s="21" t="str">
        <f>IFERROR(VLOOKUP(Tabela1[[#This Row],[MÊS]]&amp;Tabela1[[#This Row],[MATRICULA]]&amp;"7"&amp;Tabela1[[#This Row],[SETOR]]&amp;"PADRÃO",BD!B:AF,31,0),"")</f>
        <v/>
      </c>
      <c r="AH93" s="21" t="str">
        <f>IFERROR(VLOOKUP(Tabela1[[#This Row],[MÊS]]&amp;Tabela1[[#This Row],[ID]]&amp;Tabela1[[#This Row],[MATRICULA]]&amp;"Receptiva"&amp;Tabela1[[#This Row],[SETOR]],BD!A:AF,31,0),"")</f>
        <v/>
      </c>
      <c r="AI93" s="21" t="str">
        <f>IFERROR(VLOOKUP(Tabela1[[#This Row],[MÊS]]&amp;Tabela1[[#This Row],[ID]]&amp;Tabela1[[#This Row],[MATRICULA]]&amp;"Receptiva 2"&amp;Tabela1[[#This Row],[SETOR]],BD!A:AF,31,0),"")</f>
        <v/>
      </c>
      <c r="AJ93" s="21" t="str">
        <f>IFERROR(VLOOKUP(Tabela1[[#This Row],[MÊS]]&amp;Tabela1[[#This Row],[ID]]&amp;Tabela1[[#This Row],[MATRICULA]]&amp;"Receptiva 3"&amp;Tabela1[[#This Row],[SETOR]],BD!A:AF,31,0),"")</f>
        <v/>
      </c>
      <c r="AK93" s="21" t="str">
        <f>IFERROR(VLOOKUP(Tabela1[[#This Row],[MÊS]]&amp;Tabela1[[#This Row],[ID]]&amp;Tabela1[[#This Row],[MATRICULA]]&amp;"Receptiva 4"&amp;Tabela1[[#This Row],[SETOR]],BD!A:AF,31,0),"")</f>
        <v/>
      </c>
      <c r="AL93" s="21" t="str">
        <f>IFERROR(VLOOKUP(Tabela1[[#This Row],[MÊS]]&amp;Tabela1[[#This Row],[MATRICULA]]&amp;"Motorista"&amp;Tabela1[[#This Row],[SETOR]],BD!A:AF,31,0),"")</f>
        <v/>
      </c>
      <c r="AM93" s="21" t="str">
        <f>IFERROR(VLOOKUP(Tabela1[[#This Row],[MÊS]]&amp;Tabela1[[#This Row],[ID]]&amp;Tabela1[[#This Row],[MATRICULA]]&amp;"Motorista 2"&amp;Tabela1[[#This Row],[SETOR]],BD!A:AF,26,0),"")</f>
        <v/>
      </c>
      <c r="AN93" s="21" t="str">
        <f>IFERROR(VLOOKUP(Tabela1[[#This Row],[MÊS]]&amp;Tabela1[[#This Row],[ID]]&amp;Tabela1[[#This Row],[MATRICULA]]&amp;"Motorista 3"&amp;Tabela1[[#This Row],[SETOR]],BD!A:AF,26,0),"")</f>
        <v/>
      </c>
      <c r="AO93" s="21" t="str">
        <f>IFERROR(VLOOKUP(Tabela1[[#This Row],[MÊS]]&amp;Tabela1[[#This Row],[ID]]&amp;Tabela1[[#This Row],[MATRICULA]]&amp;"Motorista 4"&amp;Tabela1[[#This Row],[SETOR]],BD!A:AF,26,0),"")</f>
        <v/>
      </c>
      <c r="AP93" s="21" t="str">
        <f>IFERROR(VLOOKUP(Tabela1[[#This Row],[MÊS]]&amp;Tabela1[[#This Row],[MATRICULA]]&amp;"Ponto de Apoio"&amp;Tabela1[[#This Row],[SETOR]],BD!A:AF,31,0),"")</f>
        <v/>
      </c>
      <c r="AQ93" s="21" t="str">
        <f>IFERROR(VLOOKUP(Tabela1[[#This Row],[MÊS]]&amp;Tabela1[[#This Row],[ID]]&amp;Tabela1[[#This Row],[MATRICULA]]&amp;"Ponto de Apoio 2"&amp;Tabela1[[#This Row],[SETOR]],BD!A:AF,26,0),"")</f>
        <v/>
      </c>
      <c r="AR93" s="36" t="str">
        <f>IFERROR(VLOOKUP(Tabela1[[#This Row],[MÊS]]&amp;Tabela1[[#This Row],[ID]]&amp;Tabela1[[#This Row],[MATRICULA]]&amp;"Ponto de Apoio 3"&amp;Tabela1[[#This Row],[SETOR]],BD!A:AF,26,0),"")</f>
        <v/>
      </c>
      <c r="AS93" s="36" t="str">
        <f>IFERROR(VLOOKUP(Tabela1[[#This Row],[MÊS]]&amp;Tabela1[[#This Row],[ID]]&amp;Tabela1[[#This Row],[MATRICULA]]&amp;"Ponto de Apoio 4"&amp;Tabela1[[#This Row],[SETOR]],BD!A:AF,26,0),"")</f>
        <v/>
      </c>
      <c r="AT93" s="21" t="str">
        <f>IFERROR(VLOOKUP(Tabela1[[#This Row],[MÊS]]&amp;Tabela1[[#This Row],[MATRICULA]]&amp;"Cliente"&amp;Tabela1[[#This Row],[SETOR]],BD!A:AF,31,0),"")</f>
        <v/>
      </c>
      <c r="AU93" s="21" t="str">
        <f>IFERROR(VLOOKUP(Tabela1[[#This Row],[MÊS]]&amp;Tabela1[[#This Row],[ID]]&amp;Tabela1[[#This Row],[MATRICULA]]&amp;"Cliente 2"&amp;Tabela1[[#This Row],[SETOR]],BD!A:AF,26,0),"")</f>
        <v/>
      </c>
      <c r="AX93" s="21" t="str">
        <f>IFERROR(VLOOKUP(Tabela1[[#This Row],[MÊS]]&amp;Tabela1[[#This Row],[MATRICULA]]&amp;"Policia"&amp;Tabela1[[#This Row],[SETOR]],BD!A:AF,31,0),"")</f>
        <v/>
      </c>
      <c r="AY93" s="21" t="str">
        <f>IFERROR(VLOOKUP(Tabela1[[#This Row],[MÊS]]&amp;Tabela1[[#This Row],[ID]]&amp;Tabela1[[#This Row],[MATRICULA]]&amp;"Policia 2"&amp;Tabela1[[#This Row],[SETOR]],BD!A:AF,26,0),"")</f>
        <v/>
      </c>
      <c r="AZ93" s="36" t="str">
        <f>IFERROR(VLOOKUP(Tabela1[[#This Row],[MÊS]]&amp;Tabela1[[#This Row],[ID]]&amp;Tabela1[[#This Row],[MATRICULA]]&amp;"Policia 3"&amp;Tabela1[[#This Row],[SETOR]],BD!A:AF,26,0),"")</f>
        <v/>
      </c>
      <c r="BA93" s="36" t="str">
        <f>IFERROR(VLOOKUP(Tabela1[[#This Row],[MÊS]]&amp;Tabela1[[#This Row],[ID]]&amp;Tabela1[[#This Row],[MATRICULA]]&amp;"Policia 4"&amp;Tabela1[[#This Row],[SETOR]],BD!A:AF,26,0),"")</f>
        <v/>
      </c>
      <c r="BB9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3" s="21" t="str">
        <f>IFERROR(AVERAGE(Tabela1[[#This Row],[M]:[M4]]),"")</f>
        <v/>
      </c>
      <c r="BD93" s="21" t="str">
        <f>IFERROR(AVERAGE(Tabela1[[#This Row],[C]:[C4]]),"")</f>
        <v/>
      </c>
      <c r="BE93" s="21" t="str">
        <f>IFERROR(AVERAGE(Tabela1[[#This Row],[PA2]:[PA 4]]),"")</f>
        <v/>
      </c>
      <c r="BF93" s="21" t="str">
        <f>IFERROR(AVERAGE(Tabela1[[#This Row],[PL]:[PL4]]),"")</f>
        <v/>
      </c>
      <c r="BG93" s="35" t="str">
        <f>IFERROR(VLOOKUP(Tabela1[[#This Row],[MÊS]]&amp;Tabela1[[#This Row],[MATRICULA]],#REF!,2,0),"")</f>
        <v/>
      </c>
      <c r="BH93" s="35" t="str">
        <f>IFERROR(VLOOKUP(Tabela1[[#This Row],[MÊS]]&amp;Tabela1[[#This Row],[MATRICULA]],#REF!,2,0),"")</f>
        <v/>
      </c>
      <c r="BI93" s="35" t="str">
        <f>IFERROR(VLOOKUP(Tabela1[[#This Row],[MÊS]]&amp;Tabela1[[#This Row],[MATRICULA]],#REF!,2,0),"")</f>
        <v/>
      </c>
      <c r="BJ93" s="35" t="str">
        <f>IFERROR(VLOOKUP(Tabela1[[#This Row],[MÊS]]&amp;Tabela1[[#This Row],[MATRICULA]],#REF!,2,0),"")</f>
        <v/>
      </c>
      <c r="BK93" s="35" t="str">
        <f>IFERROR(VLOOKUP(Tabela1[[#This Row],[MÊS]]&amp;Tabela1[[#This Row],[MATRICULA]],#REF!,2,0),"")</f>
        <v/>
      </c>
      <c r="BL93" s="21">
        <f>COUNTIF(Tabela1[[#This Row],[MOT2]:[RECEPTIVA]],"NÃO ENCONTRADA")</f>
        <v>0</v>
      </c>
      <c r="BM93" s="135" t="str">
        <f>IFERROR(VLOOKUP(Tabela1[[#This Row],[MÊS]]&amp;Tabela1[[#This Row],[ID]]&amp;Tabela1[[#This Row],[MATRICULA]]&amp;"Motorista"&amp;Tabela1[[#This Row],[SETOR]],BD!A:AF,13,0),"")</f>
        <v/>
      </c>
      <c r="BN93" s="135" t="str">
        <f>IFERROR(VLOOKUP(Tabela1[[#This Row],[MÊS]]&amp;Tabela1[[#This Row],[ID]]&amp;Tabela1[[#This Row],[MATRICULA]]&amp;"Motorista 2"&amp;Tabela1[[#This Row],[SETOR]],BD!A:AF,13,0),"")</f>
        <v/>
      </c>
      <c r="BO93" s="135" t="str">
        <f>IFERROR(VLOOKUP(Tabela1[[#This Row],[MÊS]]&amp;Tabela1[[#This Row],[ID]]&amp;Tabela1[[#This Row],[MATRICULA]]&amp;"Motorista 3"&amp;Tabela1[[#This Row],[SETOR]],BD!A:AF,13,0),"")</f>
        <v/>
      </c>
      <c r="BP93" s="135" t="str">
        <f>IFERROR(VLOOKUP(Tabela1[[#This Row],[MÊS]]&amp;Tabela1[[#This Row],[ID]]&amp;Tabela1[[#This Row],[MATRICULA]]&amp;"Motorista 4"&amp;Tabela1[[#This Row],[SETOR]],BD!A:AF,13,0),"")</f>
        <v/>
      </c>
      <c r="BQ93" s="135" t="str">
        <f>IFERROR(AVERAGE(Tabela1[[#This Row],[DMOT]:[DMOT4]]),"")</f>
        <v/>
      </c>
      <c r="BR93" s="135" t="str">
        <f>IFERROR(VLOOKUP(Tabela1[[#This Row],[MÊS]]&amp;Tabela1[[#This Row],[ID]]&amp;Tabela1[[#This Row],[MATRICULA]]&amp;"Ponto de Apoio"&amp;Tabela1[[#This Row],[SETOR]],BD!A:AF,13,0),"")</f>
        <v/>
      </c>
      <c r="BS93" s="135" t="str">
        <f>IFERROR(VLOOKUP(Tabela1[[#This Row],[MÊS]]&amp;Tabela1[[#This Row],[ID]]&amp;Tabela1[[#This Row],[MATRICULA]]&amp;"Ponto de Apoio 2"&amp;Tabela1[[#This Row],[SETOR]],BD!A:AF,13,0),"")</f>
        <v/>
      </c>
      <c r="BT93" s="135" t="str">
        <f>IFERROR(VLOOKUP(Tabela1[[#This Row],[MÊS]]&amp;Tabela1[[#This Row],[ID]]&amp;Tabela1[[#This Row],[MATRICULA]]&amp;"Ponto de Apoio 3"&amp;Tabela1[[#This Row],[SETOR]],BD!A:AF,13,0),"")</f>
        <v/>
      </c>
      <c r="BU93" s="135" t="str">
        <f>IFERROR(VLOOKUP(Tabela1[[#This Row],[MÊS]]&amp;Tabela1[[#This Row],[ID]]&amp;Tabela1[[#This Row],[MATRICULA]]&amp;"Ponto de Apoio 4"&amp;Tabela1[[#This Row],[SETOR]],BD!A:AF,13,0),"")</f>
        <v/>
      </c>
      <c r="BV93" s="135" t="str">
        <f>IFERROR(AVERAGE(Tabela1[[#This Row],[DPA]:[DPA 4]]),"")</f>
        <v/>
      </c>
      <c r="BW93" s="135" t="str">
        <f>IFERROR(VLOOKUP(Tabela1[[#This Row],[MÊS]]&amp;Tabela1[[#This Row],[ID]]&amp;Tabela1[[#This Row],[MATRICULA]]&amp;"Cliente"&amp;Tabela1[[#This Row],[SETOR]],BD!A:AF,13,0),"")</f>
        <v/>
      </c>
      <c r="BX93" s="135" t="str">
        <f>IFERROR(VLOOKUP(Tabela1[[#This Row],[MÊS]]&amp;Tabela1[[#This Row],[ID]]&amp;Tabela1[[#This Row],[MATRICULA]]&amp;"cliente 2"&amp;Tabela1[[#This Row],[SETOR]],BD!A:AF,13,0),"")</f>
        <v/>
      </c>
      <c r="BY93" s="135" t="str">
        <f>IFERROR(VLOOKUP(Tabela1[[#This Row],[MÊS]]&amp;Tabela1[[#This Row],[ID]]&amp;Tabela1[[#This Row],[MATRICULA]]&amp;"cliente 3"&amp;Tabela1[[#This Row],[SETOR]],BD!A:AF,13,0),"")</f>
        <v/>
      </c>
      <c r="BZ93" s="135" t="str">
        <f>IFERROR(VLOOKUP(Tabela1[[#This Row],[MÊS]]&amp;Tabela1[[#This Row],[ID]]&amp;Tabela1[[#This Row],[MATRICULA]]&amp;"cliente 4"&amp;Tabela1[[#This Row],[SETOR]],BD!A:AF,13,0),"")</f>
        <v/>
      </c>
      <c r="CA93" s="135" t="str">
        <f>IFERROR(AVERAGE(Tabela1[[#This Row],[DCLI]:[DCLI 4]]),"")</f>
        <v/>
      </c>
      <c r="CB93" s="135" t="str">
        <f>IFERROR(VLOOKUP(Tabela1[[#This Row],[MÊS]]&amp;Tabela1[[#This Row],[ID]]&amp;Tabela1[[#This Row],[MATRICULA]]&amp;"Policia"&amp;Tabela1[[#This Row],[SETOR]],BD!A:AF,13,0),"")</f>
        <v/>
      </c>
      <c r="CC93" s="135" t="str">
        <f>IFERROR(VLOOKUP(Tabela1[[#This Row],[MÊS]]&amp;Tabela1[[#This Row],[ID]]&amp;Tabela1[[#This Row],[MATRICULA]]&amp;"Policia 2"&amp;Tabela1[[#This Row],[SETOR]],BD!A:AF,13,0),"")</f>
        <v/>
      </c>
      <c r="CD93" s="135"/>
      <c r="CE93" s="135"/>
      <c r="CF93" s="135" t="str">
        <f>IFERROR((AVERAGE(Tabela1[[#This Row],[DPOL1]:[DPOL4]])),"")</f>
        <v/>
      </c>
      <c r="CG93" s="21" t="str">
        <f>IFERROR(VLOOKUP(Tabela1[[#This Row],[ID]]&amp;Tabela1[[#This Row],[MÊS]]&amp;Tabela1[[#This Row],[MATRICULA]],#REF!,2,0),"")</f>
        <v/>
      </c>
      <c r="CH93" s="21" t="str">
        <f>IFERROR(VLOOKUP(Tabela1[[#This Row],[ID]]&amp;Tabela1[[#This Row],[MÊS]]&amp;Tabela1[[#This Row],[MATRICULA]],#REF!,2,0),"")</f>
        <v/>
      </c>
      <c r="CI93" s="21" t="str">
        <f>IFERROR(VLOOKUP(Tabela1[[#This Row],[MÊS]]&amp;Tabela1[[#This Row],[MATRICULA]],#REF!,2,0),"")</f>
        <v/>
      </c>
    </row>
    <row r="94" spans="1:87">
      <c r="A94" s="12" t="str">
        <f>Tabela1[[#This Row],[MÊS]]&amp;Tabela1[[#This Row],[MATRICULA]]&amp;Tabela1[[#This Row],[ID]]</f>
        <v>JAN1125910</v>
      </c>
      <c r="B94" s="12" t="str">
        <f>Tabela1[[#This Row],[MÊS]]&amp;Tabela1[[#This Row],[ID]]&amp;Tabela1[[#This Row],[MATRICULA]]&amp;Tabela1[[#This Row],[SETOR]]</f>
        <v>JAN1011259UTI</v>
      </c>
      <c r="C94" s="130" t="e">
        <f>VLOOKUP(Tabela1[[#This Row],[MATRICULA]],'BD Campos'!A:D,5,0)</f>
        <v>#REF!</v>
      </c>
      <c r="D94" s="133" t="str">
        <f ca="1">IFERROR(SUM(TODAY()-Tabela1[[#This Row],[ADMISSÃO]]),"")</f>
        <v/>
      </c>
      <c r="E94" s="11" t="str">
        <f ca="1">IFERROR(TRUNC(Tabela1[[#This Row],[TEMPO DE CASA (DIAS)]]/30),"")</f>
        <v/>
      </c>
      <c r="F94" s="32" t="str">
        <f ca="1">IFERROR(SUM(Tabela1[[#This Row],[TEMPO DE CASA (MESES)]]/12),"")</f>
        <v/>
      </c>
      <c r="G94" s="133" t="str">
        <f ca="1">IF(Tabela1[[#This Row],[TEMPO DE CASA (DIAS)]]="","SEM DADOS",IF(Tabela1[[#This Row],[TEMPO DE CASA (DIAS)]]&gt;180,"&gt; 6 MESES","&lt; 6 MESES"))</f>
        <v>SEM DADOS</v>
      </c>
      <c r="H94" s="12" t="str">
        <f t="shared" si="9"/>
        <v>JANLucas Rafael10</v>
      </c>
      <c r="I94" s="12" t="str">
        <f>IFERROR(VLOOKUP(Tabela1[[#This Row],[MATRICULA]],'BD Campos'!A:F,7,0),"")</f>
        <v/>
      </c>
      <c r="J94" s="11">
        <v>10</v>
      </c>
      <c r="K94" s="11" t="s">
        <v>669</v>
      </c>
      <c r="L94" s="136">
        <v>11259</v>
      </c>
      <c r="M94" s="12" t="str">
        <f>IFERROR(VLOOKUP(Tabela1[[#This Row],[MATRICULA]],'BD Campos'!A:B,2,0),"")</f>
        <v>GUILHERME APARECIDO PARENTE BOETTGER</v>
      </c>
      <c r="N94" s="20">
        <f>IFERROR(AVERAGE(Tabela1[[#This Row],[A1]:[A4]]),"")</f>
        <v>4.4487499999999995</v>
      </c>
      <c r="O94" s="20" t="str">
        <f>IFERROR(IF(Tabela1[[#This Row],[SETOR]]="RECEPTIVO","",AVERAGE(Tabela1[[#This Row],[A5]:[A6]])),"")</f>
        <v/>
      </c>
      <c r="P94" s="20" t="str">
        <f>IFERROR(IF(Tabela1[[#This Row],[STATUS]]="INATIVO","INATIVO",IF(Tabela1[[#This Row],[STATUS]]="QRT","INATIVO",IF(Tabela1[[#This Row],[OPERACIONAL]]&gt;7.99999,"BOM","RUIM"))),"")</f>
        <v>RUIM</v>
      </c>
      <c r="Q94" s="21" t="s">
        <v>667</v>
      </c>
      <c r="R94" s="12" t="s">
        <v>689</v>
      </c>
      <c r="S94" s="12" t="s">
        <v>688</v>
      </c>
      <c r="T94" s="12" t="s">
        <v>128</v>
      </c>
      <c r="U9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0.9</v>
      </c>
      <c r="V9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-0.02</v>
      </c>
      <c r="W94" s="12">
        <f>IF(AND(Tabela1[[#This Row],[SETOR]]="UTI",Tabela1[[#This Row],[M]]&lt;&gt;""),1,IF(AND(Tabela1[[#This Row],[SETOR]]="UTI (RJ)",Tabela1[[#This Row],[M]]&lt;&gt;""),1.5,0))</f>
        <v>1</v>
      </c>
      <c r="X94" s="12">
        <f>IF(AND(Tabela1[[#This Row],[SETOR]]="UTI",Tabela1[[#This Row],[PA2]]&lt;&gt;""),1,IF(AND(Tabela1[[#This Row],[SETOR]]="UTI (RJ)",Tabela1[[#This Row],[PA2]]&lt;&gt;""),0,0))</f>
        <v>0</v>
      </c>
      <c r="Y94" s="12">
        <v>1</v>
      </c>
      <c r="Z94" s="12">
        <f>IF(AND(Tabela1[[#This Row],[SETOR]]="UTI",Tabela1[[#This Row],[PL]]&lt;&gt;""),1,IF(AND(Tabela1[[#This Row],[SETOR]]="UTI (RJ)",Tabela1[[#This Row],[PL]]&lt;&gt;""),1,0))</f>
        <v>0</v>
      </c>
      <c r="AA94" s="21">
        <f>IFERROR(VLOOKUP(Tabela1[[#This Row],[MÊS]]&amp;Tabela1[[#This Row],[MATRICULA]]&amp;"1"&amp;Tabela1[[#This Row],[SETOR]]&amp;"PADRÃO",BD!B:AF,31,0),"")</f>
        <v>0</v>
      </c>
      <c r="AB94" s="21">
        <f>IFERROR(VLOOKUP(Tabela1[[#This Row],[MÊS]]&amp;Tabela1[[#This Row],[MATRICULA]]&amp;"2"&amp;Tabela1[[#This Row],[SETOR]]&amp;"PADRÃO",BD!B:AF,31,0),"")</f>
        <v>8.8974999999999991</v>
      </c>
      <c r="AC94" s="21" t="str">
        <f>IFERROR(VLOOKUP(Tabela1[[#This Row],[MÊS]]&amp;Tabela1[[#This Row],[MATRICULA]]&amp;"3"&amp;Tabela1[[#This Row],[SETOR]]&amp;"PADRÃO",BD!B:AF,31,0),"")</f>
        <v/>
      </c>
      <c r="AD94" s="21" t="str">
        <f>IFERROR(VLOOKUP(Tabela1[[#This Row],[MÊS]]&amp;Tabela1[[#This Row],[MATRICULA]]&amp;"4"&amp;Tabela1[[#This Row],[SETOR]]&amp;"PADRÃO",BD!B:AF,25,0),"")</f>
        <v/>
      </c>
      <c r="AE94" s="21" t="str">
        <f>IFERROR(VLOOKUP(Tabela1[[#This Row],[MÊS]]&amp;Tabela1[[#This Row],[MATRICULA]]&amp;"5"&amp;Tabela1[[#This Row],[SETOR]]&amp;"PADRÃO",BD!B:AF,31,0),"")</f>
        <v/>
      </c>
      <c r="AF94" s="21" t="str">
        <f>IFERROR(VLOOKUP(Tabela1[[#This Row],[MÊS]]&amp;Tabela1[[#This Row],[MATRICULA]]&amp;"6"&amp;Tabela1[[#This Row],[SETOR]]&amp;"PADRÃO",BD!B:AF,31,0),"")</f>
        <v/>
      </c>
      <c r="AG94" s="21" t="str">
        <f>IFERROR(VLOOKUP(Tabela1[[#This Row],[MÊS]]&amp;Tabela1[[#This Row],[MATRICULA]]&amp;"7"&amp;Tabela1[[#This Row],[SETOR]]&amp;"PADRÃO",BD!B:AF,31,0),"")</f>
        <v/>
      </c>
      <c r="AH94" s="21" t="str">
        <f>IFERROR(VLOOKUP(Tabela1[[#This Row],[MÊS]]&amp;Tabela1[[#This Row],[ID]]&amp;Tabela1[[#This Row],[MATRICULA]]&amp;"Receptiva"&amp;Tabela1[[#This Row],[SETOR]],BD!A:AF,31,0),"")</f>
        <v/>
      </c>
      <c r="AI94" s="21" t="str">
        <f>IFERROR(VLOOKUP(Tabela1[[#This Row],[MÊS]]&amp;Tabela1[[#This Row],[ID]]&amp;Tabela1[[#This Row],[MATRICULA]]&amp;"Receptiva 2"&amp;Tabela1[[#This Row],[SETOR]],BD!A:AF,31,0),"")</f>
        <v/>
      </c>
      <c r="AJ94" s="21" t="str">
        <f>IFERROR(VLOOKUP(Tabela1[[#This Row],[MÊS]]&amp;Tabela1[[#This Row],[ID]]&amp;Tabela1[[#This Row],[MATRICULA]]&amp;"Receptiva 3"&amp;Tabela1[[#This Row],[SETOR]],BD!A:AF,31,0),"")</f>
        <v/>
      </c>
      <c r="AK94" s="21" t="str">
        <f>IFERROR(VLOOKUP(Tabela1[[#This Row],[MÊS]]&amp;Tabela1[[#This Row],[ID]]&amp;Tabela1[[#This Row],[MATRICULA]]&amp;"Receptiva 4"&amp;Tabela1[[#This Row],[SETOR]],BD!A:AF,31,0),"")</f>
        <v/>
      </c>
      <c r="AL94" s="21">
        <f>IFERROR(VLOOKUP(Tabela1[[#This Row],[MÊS]]&amp;Tabela1[[#This Row],[MATRICULA]]&amp;"Motorista"&amp;Tabela1[[#This Row],[SETOR]],BD!A:AF,31,0),"")</f>
        <v>0</v>
      </c>
      <c r="AM94" s="21" t="str">
        <f>IFERROR(VLOOKUP(Tabela1[[#This Row],[MÊS]]&amp;Tabela1[[#This Row],[ID]]&amp;Tabela1[[#This Row],[MATRICULA]]&amp;"Motorista 2"&amp;Tabela1[[#This Row],[SETOR]],BD!A:AF,26,0),"")</f>
        <v/>
      </c>
      <c r="AN94" s="21" t="str">
        <f>IFERROR(VLOOKUP(Tabela1[[#This Row],[MÊS]]&amp;Tabela1[[#This Row],[ID]]&amp;Tabela1[[#This Row],[MATRICULA]]&amp;"Motorista 3"&amp;Tabela1[[#This Row],[SETOR]],BD!A:AF,26,0),"")</f>
        <v/>
      </c>
      <c r="AO94" s="21" t="str">
        <f>IFERROR(VLOOKUP(Tabela1[[#This Row],[MÊS]]&amp;Tabela1[[#This Row],[ID]]&amp;Tabela1[[#This Row],[MATRICULA]]&amp;"Motorista 4"&amp;Tabela1[[#This Row],[SETOR]],BD!A:AF,26,0),"")</f>
        <v/>
      </c>
      <c r="AP94" s="21" t="str">
        <f>IFERROR(VLOOKUP(Tabela1[[#This Row],[MÊS]]&amp;Tabela1[[#This Row],[MATRICULA]]&amp;"Ponto de Apoio"&amp;Tabela1[[#This Row],[SETOR]],BD!A:AF,31,0),"")</f>
        <v/>
      </c>
      <c r="AQ94" s="21" t="str">
        <f>IFERROR(VLOOKUP(Tabela1[[#This Row],[MÊS]]&amp;Tabela1[[#This Row],[ID]]&amp;Tabela1[[#This Row],[MATRICULA]]&amp;"Ponto de Apoio 2"&amp;Tabela1[[#This Row],[SETOR]],BD!A:AF,26,0),"")</f>
        <v/>
      </c>
      <c r="AR94" s="36" t="str">
        <f>IFERROR(VLOOKUP(Tabela1[[#This Row],[MÊS]]&amp;Tabela1[[#This Row],[ID]]&amp;Tabela1[[#This Row],[MATRICULA]]&amp;"Ponto de Apoio 3"&amp;Tabela1[[#This Row],[SETOR]],BD!A:AF,26,0),"")</f>
        <v/>
      </c>
      <c r="AS94" s="36" t="str">
        <f>IFERROR(VLOOKUP(Tabela1[[#This Row],[MÊS]]&amp;Tabela1[[#This Row],[ID]]&amp;Tabela1[[#This Row],[MATRICULA]]&amp;"Ponto de Apoio 4"&amp;Tabela1[[#This Row],[SETOR]],BD!A:AF,26,0),"")</f>
        <v/>
      </c>
      <c r="AT94" s="21" t="str">
        <f>IFERROR(VLOOKUP(Tabela1[[#This Row],[MÊS]]&amp;Tabela1[[#This Row],[MATRICULA]]&amp;"Cliente"&amp;Tabela1[[#This Row],[SETOR]],BD!A:AF,31,0),"")</f>
        <v/>
      </c>
      <c r="AU94" s="21" t="str">
        <f>IFERROR(VLOOKUP(Tabela1[[#This Row],[MÊS]]&amp;Tabela1[[#This Row],[ID]]&amp;Tabela1[[#This Row],[MATRICULA]]&amp;"Cliente 2"&amp;Tabela1[[#This Row],[SETOR]],BD!A:AF,26,0),"")</f>
        <v/>
      </c>
      <c r="AX94" s="21" t="str">
        <f>IFERROR(VLOOKUP(Tabela1[[#This Row],[MÊS]]&amp;Tabela1[[#This Row],[MATRICULA]]&amp;"Policia"&amp;Tabela1[[#This Row],[SETOR]],BD!A:AF,31,0),"")</f>
        <v/>
      </c>
      <c r="AY94" s="21" t="str">
        <f>IFERROR(VLOOKUP(Tabela1[[#This Row],[MÊS]]&amp;Tabela1[[#This Row],[ID]]&amp;Tabela1[[#This Row],[MATRICULA]]&amp;"Policia 2"&amp;Tabela1[[#This Row],[SETOR]],BD!A:AF,26,0),"")</f>
        <v/>
      </c>
      <c r="AZ94" s="36" t="str">
        <f>IFERROR(VLOOKUP(Tabela1[[#This Row],[MÊS]]&amp;Tabela1[[#This Row],[ID]]&amp;Tabela1[[#This Row],[MATRICULA]]&amp;"Policia 3"&amp;Tabela1[[#This Row],[SETOR]],BD!A:AF,26,0),"")</f>
        <v/>
      </c>
      <c r="BA94" s="36" t="str">
        <f>IFERROR(VLOOKUP(Tabela1[[#This Row],[MÊS]]&amp;Tabela1[[#This Row],[ID]]&amp;Tabela1[[#This Row],[MATRICULA]]&amp;"Policia 4"&amp;Tabela1[[#This Row],[SETOR]],BD!A:AF,26,0),"")</f>
        <v/>
      </c>
      <c r="BB9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4" s="21">
        <f>IFERROR(AVERAGE(Tabela1[[#This Row],[M]:[M4]]),"")</f>
        <v>0</v>
      </c>
      <c r="BD94" s="21" t="str">
        <f>IFERROR(AVERAGE(Tabela1[[#This Row],[C]:[C4]]),"")</f>
        <v/>
      </c>
      <c r="BE94" s="21" t="str">
        <f>IFERROR(AVERAGE(Tabela1[[#This Row],[PA2]:[PA 4]]),"")</f>
        <v/>
      </c>
      <c r="BF94" s="21" t="str">
        <f>IFERROR(AVERAGE(Tabela1[[#This Row],[PL]:[PL4]]),"")</f>
        <v/>
      </c>
      <c r="BG94" s="35" t="str">
        <f>IFERROR(VLOOKUP(Tabela1[[#This Row],[MÊS]]&amp;Tabela1[[#This Row],[MATRICULA]],#REF!,2,0),"")</f>
        <v/>
      </c>
      <c r="BH94" s="35" t="str">
        <f>IFERROR(VLOOKUP(Tabela1[[#This Row],[MÊS]]&amp;Tabela1[[#This Row],[MATRICULA]],#REF!,2,0),"")</f>
        <v/>
      </c>
      <c r="BI94" s="35" t="str">
        <f>IFERROR(VLOOKUP(Tabela1[[#This Row],[MÊS]]&amp;Tabela1[[#This Row],[MATRICULA]],#REF!,2,0),"")</f>
        <v/>
      </c>
      <c r="BJ94" s="35" t="str">
        <f>IFERROR(VLOOKUP(Tabela1[[#This Row],[MÊS]]&amp;Tabela1[[#This Row],[MATRICULA]],#REF!,2,0),"")</f>
        <v/>
      </c>
      <c r="BK94" s="35" t="str">
        <f>IFERROR(VLOOKUP(Tabela1[[#This Row],[MÊS]]&amp;Tabela1[[#This Row],[MATRICULA]],#REF!,2,0),"")</f>
        <v/>
      </c>
      <c r="BL94" s="21">
        <f>COUNTIF(Tabela1[[#This Row],[MOT2]:[RECEPTIVA]],"NÃO ENCONTRADA")</f>
        <v>0</v>
      </c>
      <c r="BM94" s="135" t="str">
        <f>IFERROR(VLOOKUP(Tabela1[[#This Row],[MÊS]]&amp;Tabela1[[#This Row],[ID]]&amp;Tabela1[[#This Row],[MATRICULA]]&amp;"Motorista"&amp;Tabela1[[#This Row],[SETOR]],BD!A:AF,13,0),"")</f>
        <v/>
      </c>
      <c r="BN94" s="135" t="str">
        <f>IFERROR(VLOOKUP(Tabela1[[#This Row],[MÊS]]&amp;Tabela1[[#This Row],[ID]]&amp;Tabela1[[#This Row],[MATRICULA]]&amp;"Motorista 2"&amp;Tabela1[[#This Row],[SETOR]],BD!A:AF,13,0),"")</f>
        <v/>
      </c>
      <c r="BO94" s="135" t="str">
        <f>IFERROR(VLOOKUP(Tabela1[[#This Row],[MÊS]]&amp;Tabela1[[#This Row],[ID]]&amp;Tabela1[[#This Row],[MATRICULA]]&amp;"Motorista 3"&amp;Tabela1[[#This Row],[SETOR]],BD!A:AF,13,0),"")</f>
        <v/>
      </c>
      <c r="BP94" s="135" t="str">
        <f>IFERROR(VLOOKUP(Tabela1[[#This Row],[MÊS]]&amp;Tabela1[[#This Row],[ID]]&amp;Tabela1[[#This Row],[MATRICULA]]&amp;"Motorista 4"&amp;Tabela1[[#This Row],[SETOR]],BD!A:AF,13,0),"")</f>
        <v/>
      </c>
      <c r="BQ94" s="135" t="str">
        <f>IFERROR(AVERAGE(Tabela1[[#This Row],[DMOT]:[DMOT4]]),"")</f>
        <v/>
      </c>
      <c r="BR94" s="135" t="str">
        <f>IFERROR(VLOOKUP(Tabela1[[#This Row],[MÊS]]&amp;Tabela1[[#This Row],[ID]]&amp;Tabela1[[#This Row],[MATRICULA]]&amp;"Ponto de Apoio"&amp;Tabela1[[#This Row],[SETOR]],BD!A:AF,13,0),"")</f>
        <v/>
      </c>
      <c r="BS94" s="135" t="str">
        <f>IFERROR(VLOOKUP(Tabela1[[#This Row],[MÊS]]&amp;Tabela1[[#This Row],[ID]]&amp;Tabela1[[#This Row],[MATRICULA]]&amp;"Ponto de Apoio 2"&amp;Tabela1[[#This Row],[SETOR]],BD!A:AF,13,0),"")</f>
        <v/>
      </c>
      <c r="BT94" s="135" t="str">
        <f>IFERROR(VLOOKUP(Tabela1[[#This Row],[MÊS]]&amp;Tabela1[[#This Row],[ID]]&amp;Tabela1[[#This Row],[MATRICULA]]&amp;"Ponto de Apoio 3"&amp;Tabela1[[#This Row],[SETOR]],BD!A:AF,13,0),"")</f>
        <v/>
      </c>
      <c r="BU94" s="135" t="str">
        <f>IFERROR(VLOOKUP(Tabela1[[#This Row],[MÊS]]&amp;Tabela1[[#This Row],[ID]]&amp;Tabela1[[#This Row],[MATRICULA]]&amp;"Ponto de Apoio 4"&amp;Tabela1[[#This Row],[SETOR]],BD!A:AF,13,0),"")</f>
        <v/>
      </c>
      <c r="BV94" s="135" t="str">
        <f>IFERROR(AVERAGE(Tabela1[[#This Row],[DPA]:[DPA 4]]),"")</f>
        <v/>
      </c>
      <c r="BW94" s="135" t="str">
        <f>IFERROR(VLOOKUP(Tabela1[[#This Row],[MÊS]]&amp;Tabela1[[#This Row],[ID]]&amp;Tabela1[[#This Row],[MATRICULA]]&amp;"Cliente"&amp;Tabela1[[#This Row],[SETOR]],BD!A:AF,13,0),"")</f>
        <v/>
      </c>
      <c r="BX94" s="135" t="str">
        <f>IFERROR(VLOOKUP(Tabela1[[#This Row],[MÊS]]&amp;Tabela1[[#This Row],[ID]]&amp;Tabela1[[#This Row],[MATRICULA]]&amp;"cliente 2"&amp;Tabela1[[#This Row],[SETOR]],BD!A:AF,13,0),"")</f>
        <v/>
      </c>
      <c r="BY94" s="135" t="str">
        <f>IFERROR(VLOOKUP(Tabela1[[#This Row],[MÊS]]&amp;Tabela1[[#This Row],[ID]]&amp;Tabela1[[#This Row],[MATRICULA]]&amp;"cliente 3"&amp;Tabela1[[#This Row],[SETOR]],BD!A:AF,13,0),"")</f>
        <v/>
      </c>
      <c r="BZ94" s="135" t="str">
        <f>IFERROR(VLOOKUP(Tabela1[[#This Row],[MÊS]]&amp;Tabela1[[#This Row],[ID]]&amp;Tabela1[[#This Row],[MATRICULA]]&amp;"cliente 4"&amp;Tabela1[[#This Row],[SETOR]],BD!A:AF,13,0),"")</f>
        <v/>
      </c>
      <c r="CA94" s="135" t="str">
        <f>IFERROR(AVERAGE(Tabela1[[#This Row],[DCLI]:[DCLI 4]]),"")</f>
        <v/>
      </c>
      <c r="CB94" s="135" t="str">
        <f>IFERROR(VLOOKUP(Tabela1[[#This Row],[MÊS]]&amp;Tabela1[[#This Row],[ID]]&amp;Tabela1[[#This Row],[MATRICULA]]&amp;"Policia"&amp;Tabela1[[#This Row],[SETOR]],BD!A:AF,13,0),"")</f>
        <v/>
      </c>
      <c r="CC94" s="135" t="str">
        <f>IFERROR(VLOOKUP(Tabela1[[#This Row],[MÊS]]&amp;Tabela1[[#This Row],[ID]]&amp;Tabela1[[#This Row],[MATRICULA]]&amp;"Policia 2"&amp;Tabela1[[#This Row],[SETOR]],BD!A:AF,13,0),"")</f>
        <v/>
      </c>
      <c r="CD94" s="135"/>
      <c r="CE94" s="135"/>
      <c r="CF94" s="135" t="str">
        <f>IFERROR((AVERAGE(Tabela1[[#This Row],[DPOL1]:[DPOL4]])),"")</f>
        <v/>
      </c>
      <c r="CG94" s="21" t="str">
        <f>IFERROR(VLOOKUP(Tabela1[[#This Row],[ID]]&amp;Tabela1[[#This Row],[MÊS]]&amp;Tabela1[[#This Row],[MATRICULA]],#REF!,2,0),"")</f>
        <v/>
      </c>
      <c r="CH94" s="21" t="str">
        <f>IFERROR(VLOOKUP(Tabela1[[#This Row],[ID]]&amp;Tabela1[[#This Row],[MÊS]]&amp;Tabela1[[#This Row],[MATRICULA]],#REF!,2,0),"")</f>
        <v/>
      </c>
      <c r="CI94" s="21" t="str">
        <f>IFERROR(VLOOKUP(Tabela1[[#This Row],[MÊS]]&amp;Tabela1[[#This Row],[MATRICULA]],#REF!,2,0),"")</f>
        <v/>
      </c>
    </row>
    <row r="95" spans="1:87">
      <c r="A95" s="12" t="str">
        <f>Tabela1[[#This Row],[MÊS]]&amp;Tabela1[[#This Row],[MATRICULA]]&amp;Tabela1[[#This Row],[ID]]</f>
        <v>JAN1115411</v>
      </c>
      <c r="B95" s="12" t="str">
        <f>Tabela1[[#This Row],[MÊS]]&amp;Tabela1[[#This Row],[ID]]&amp;Tabela1[[#This Row],[MATRICULA]]&amp;Tabela1[[#This Row],[SETOR]]</f>
        <v>JAN1111154UTI</v>
      </c>
      <c r="C95" s="130" t="e">
        <f>VLOOKUP(Tabela1[[#This Row],[MATRICULA]],'BD Campos'!A:D,5,0)</f>
        <v>#REF!</v>
      </c>
      <c r="D95" s="133" t="str">
        <f ca="1">IFERROR(SUM(TODAY()-Tabela1[[#This Row],[ADMISSÃO]]),"")</f>
        <v/>
      </c>
      <c r="E95" s="11" t="str">
        <f ca="1">IFERROR(TRUNC(Tabela1[[#This Row],[TEMPO DE CASA (DIAS)]]/30),"")</f>
        <v/>
      </c>
      <c r="F95" s="32" t="str">
        <f ca="1">IFERROR(SUM(Tabela1[[#This Row],[TEMPO DE CASA (MESES)]]/12),"")</f>
        <v/>
      </c>
      <c r="G95" s="133" t="str">
        <f ca="1">IF(Tabela1[[#This Row],[TEMPO DE CASA (DIAS)]]="","SEM DADOS",IF(Tabela1[[#This Row],[TEMPO DE CASA (DIAS)]]&gt;180,"&gt; 6 MESES","&lt; 6 MESES"))</f>
        <v>SEM DADOS</v>
      </c>
      <c r="H95" s="12" t="str">
        <f t="shared" si="9"/>
        <v>JANLucas Rafael11</v>
      </c>
      <c r="I95" s="12" t="str">
        <f>IFERROR(VLOOKUP(Tabela1[[#This Row],[MATRICULA]],'BD Campos'!A:F,7,0),"")</f>
        <v/>
      </c>
      <c r="J95" s="11">
        <v>11</v>
      </c>
      <c r="K95" s="11" t="s">
        <v>669</v>
      </c>
      <c r="L95" s="136">
        <v>11154</v>
      </c>
      <c r="M95" s="12" t="str">
        <f>IFERROR(VLOOKUP(Tabela1[[#This Row],[MATRICULA]],'BD Campos'!A:B,2,0),"")</f>
        <v>HAZAEL ELISEU SILVA LANARO</v>
      </c>
      <c r="N95" s="20">
        <f>IFERROR(AVERAGE(Tabela1[[#This Row],[A1]:[A4]]),"")</f>
        <v>4.8970000000000011</v>
      </c>
      <c r="O95" s="20" t="str">
        <f>IFERROR(IF(Tabela1[[#This Row],[SETOR]]="RECEPTIVO","",AVERAGE(Tabela1[[#This Row],[A5]:[A6]])),"")</f>
        <v/>
      </c>
      <c r="P95" s="20" t="str">
        <f>IFERROR(IF(Tabela1[[#This Row],[STATUS]]="INATIVO","INATIVO",IF(Tabela1[[#This Row],[STATUS]]="QRT","INATIVO",IF(Tabela1[[#This Row],[OPERACIONAL]]&gt;7.99999,"BOM","RUIM"))),"")</f>
        <v>RUIM</v>
      </c>
      <c r="Q95" s="21" t="s">
        <v>667</v>
      </c>
      <c r="R95" s="12" t="s">
        <v>690</v>
      </c>
      <c r="S95" s="12" t="s">
        <v>688</v>
      </c>
      <c r="T95" s="12" t="s">
        <v>128</v>
      </c>
      <c r="U9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1.1000000000000001</v>
      </c>
      <c r="V9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0.04</v>
      </c>
      <c r="W95" s="12">
        <f>IF(AND(Tabela1[[#This Row],[SETOR]]="UTI",Tabela1[[#This Row],[M]]&lt;&gt;""),1,IF(AND(Tabela1[[#This Row],[SETOR]]="UTI (RJ)",Tabela1[[#This Row],[M]]&lt;&gt;""),1.5,0))</f>
        <v>1</v>
      </c>
      <c r="X95" s="12">
        <v>1</v>
      </c>
      <c r="Y95" s="12">
        <v>1</v>
      </c>
      <c r="Z95" s="12">
        <v>1</v>
      </c>
      <c r="AA95" s="21">
        <f>IFERROR(VLOOKUP(Tabela1[[#This Row],[MÊS]]&amp;Tabela1[[#This Row],[MATRICULA]]&amp;"1"&amp;Tabela1[[#This Row],[SETOR]]&amp;"PADRÃO",BD!B:AF,31,0),"")</f>
        <v>0</v>
      </c>
      <c r="AB95" s="21">
        <f>IFERROR(VLOOKUP(Tabela1[[#This Row],[MÊS]]&amp;Tabela1[[#This Row],[MATRICULA]]&amp;"2"&amp;Tabela1[[#This Row],[SETOR]]&amp;"PADRÃO",BD!B:AF,31,0),"")</f>
        <v>9.7940000000000023</v>
      </c>
      <c r="AC95" s="21" t="str">
        <f>IFERROR(VLOOKUP(Tabela1[[#This Row],[MÊS]]&amp;Tabela1[[#This Row],[MATRICULA]]&amp;"3"&amp;Tabela1[[#This Row],[SETOR]]&amp;"PADRÃO",BD!B:AF,31,0),"")</f>
        <v/>
      </c>
      <c r="AD95" s="21" t="str">
        <f>IFERROR(VLOOKUP(Tabela1[[#This Row],[MÊS]]&amp;Tabela1[[#This Row],[MATRICULA]]&amp;"4"&amp;Tabela1[[#This Row],[SETOR]]&amp;"PADRÃO",BD!B:AF,25,0),"")</f>
        <v/>
      </c>
      <c r="AE95" s="21" t="str">
        <f>IFERROR(VLOOKUP(Tabela1[[#This Row],[MÊS]]&amp;Tabela1[[#This Row],[MATRICULA]]&amp;"5"&amp;Tabela1[[#This Row],[SETOR]]&amp;"PADRÃO",BD!B:AF,31,0),"")</f>
        <v/>
      </c>
      <c r="AF95" s="21" t="str">
        <f>IFERROR(VLOOKUP(Tabela1[[#This Row],[MÊS]]&amp;Tabela1[[#This Row],[MATRICULA]]&amp;"6"&amp;Tabela1[[#This Row],[SETOR]]&amp;"PADRÃO",BD!B:AF,31,0),"")</f>
        <v/>
      </c>
      <c r="AG95" s="21" t="str">
        <f>IFERROR(VLOOKUP(Tabela1[[#This Row],[MÊS]]&amp;Tabela1[[#This Row],[MATRICULA]]&amp;"7"&amp;Tabela1[[#This Row],[SETOR]]&amp;"PADRÃO",BD!B:AF,31,0),"")</f>
        <v/>
      </c>
      <c r="AH95" s="21" t="str">
        <f>IFERROR(VLOOKUP(Tabela1[[#This Row],[MÊS]]&amp;Tabela1[[#This Row],[ID]]&amp;Tabela1[[#This Row],[MATRICULA]]&amp;"Receptiva"&amp;Tabela1[[#This Row],[SETOR]],BD!A:AF,31,0),"")</f>
        <v/>
      </c>
      <c r="AI95" s="21" t="str">
        <f>IFERROR(VLOOKUP(Tabela1[[#This Row],[MÊS]]&amp;Tabela1[[#This Row],[ID]]&amp;Tabela1[[#This Row],[MATRICULA]]&amp;"Receptiva 2"&amp;Tabela1[[#This Row],[SETOR]],BD!A:AF,31,0),"")</f>
        <v/>
      </c>
      <c r="AJ95" s="21" t="str">
        <f>IFERROR(VLOOKUP(Tabela1[[#This Row],[MÊS]]&amp;Tabela1[[#This Row],[ID]]&amp;Tabela1[[#This Row],[MATRICULA]]&amp;"Receptiva 3"&amp;Tabela1[[#This Row],[SETOR]],BD!A:AF,31,0),"")</f>
        <v/>
      </c>
      <c r="AK95" s="21" t="str">
        <f>IFERROR(VLOOKUP(Tabela1[[#This Row],[MÊS]]&amp;Tabela1[[#This Row],[ID]]&amp;Tabela1[[#This Row],[MATRICULA]]&amp;"Receptiva 4"&amp;Tabela1[[#This Row],[SETOR]],BD!A:AF,31,0),"")</f>
        <v/>
      </c>
      <c r="AL95" s="21">
        <f>IFERROR(VLOOKUP(Tabela1[[#This Row],[MÊS]]&amp;Tabela1[[#This Row],[MATRICULA]]&amp;"Motorista"&amp;Tabela1[[#This Row],[SETOR]],BD!A:AF,31,0),"")</f>
        <v>0</v>
      </c>
      <c r="AM95" s="21" t="str">
        <f>IFERROR(VLOOKUP(Tabela1[[#This Row],[MÊS]]&amp;Tabela1[[#This Row],[ID]]&amp;Tabela1[[#This Row],[MATRICULA]]&amp;"Motorista 2"&amp;Tabela1[[#This Row],[SETOR]],BD!A:AF,26,0),"")</f>
        <v/>
      </c>
      <c r="AN95" s="21" t="str">
        <f>IFERROR(VLOOKUP(Tabela1[[#This Row],[MÊS]]&amp;Tabela1[[#This Row],[ID]]&amp;Tabela1[[#This Row],[MATRICULA]]&amp;"Motorista 3"&amp;Tabela1[[#This Row],[SETOR]],BD!A:AF,26,0),"")</f>
        <v/>
      </c>
      <c r="AO95" s="21" t="str">
        <f>IFERROR(VLOOKUP(Tabela1[[#This Row],[MÊS]]&amp;Tabela1[[#This Row],[ID]]&amp;Tabela1[[#This Row],[MATRICULA]]&amp;"Motorista 4"&amp;Tabela1[[#This Row],[SETOR]],BD!A:AF,26,0),"")</f>
        <v/>
      </c>
      <c r="AP95" s="21" t="str">
        <f>IFERROR(VLOOKUP(Tabela1[[#This Row],[MÊS]]&amp;Tabela1[[#This Row],[MATRICULA]]&amp;"Ponto de Apoio"&amp;Tabela1[[#This Row],[SETOR]],BD!A:AF,31,0),"")</f>
        <v/>
      </c>
      <c r="AQ95" s="21" t="str">
        <f>IFERROR(VLOOKUP(Tabela1[[#This Row],[MÊS]]&amp;Tabela1[[#This Row],[ID]]&amp;Tabela1[[#This Row],[MATRICULA]]&amp;"Ponto de Apoio 2"&amp;Tabela1[[#This Row],[SETOR]],BD!A:AF,26,0),"")</f>
        <v/>
      </c>
      <c r="AR95" s="36" t="str">
        <f>IFERROR(VLOOKUP(Tabela1[[#This Row],[MÊS]]&amp;Tabela1[[#This Row],[ID]]&amp;Tabela1[[#This Row],[MATRICULA]]&amp;"Ponto de Apoio 3"&amp;Tabela1[[#This Row],[SETOR]],BD!A:AF,26,0),"")</f>
        <v/>
      </c>
      <c r="AS95" s="36" t="str">
        <f>IFERROR(VLOOKUP(Tabela1[[#This Row],[MÊS]]&amp;Tabela1[[#This Row],[ID]]&amp;Tabela1[[#This Row],[MATRICULA]]&amp;"Ponto de Apoio 4"&amp;Tabela1[[#This Row],[SETOR]],BD!A:AF,26,0),"")</f>
        <v/>
      </c>
      <c r="AT95" s="21" t="str">
        <f>IFERROR(VLOOKUP(Tabela1[[#This Row],[MÊS]]&amp;Tabela1[[#This Row],[MATRICULA]]&amp;"Cliente"&amp;Tabela1[[#This Row],[SETOR]],BD!A:AF,31,0),"")</f>
        <v/>
      </c>
      <c r="AU95" s="21" t="str">
        <f>IFERROR(VLOOKUP(Tabela1[[#This Row],[MÊS]]&amp;Tabela1[[#This Row],[ID]]&amp;Tabela1[[#This Row],[MATRICULA]]&amp;"Cliente 2"&amp;Tabela1[[#This Row],[SETOR]],BD!A:AF,26,0),"")</f>
        <v/>
      </c>
      <c r="AX95" s="21" t="str">
        <f>IFERROR(VLOOKUP(Tabela1[[#This Row],[MÊS]]&amp;Tabela1[[#This Row],[MATRICULA]]&amp;"Policia"&amp;Tabela1[[#This Row],[SETOR]],BD!A:AF,31,0),"")</f>
        <v/>
      </c>
      <c r="AY95" s="21" t="str">
        <f>IFERROR(VLOOKUP(Tabela1[[#This Row],[MÊS]]&amp;Tabela1[[#This Row],[ID]]&amp;Tabela1[[#This Row],[MATRICULA]]&amp;"Policia 2"&amp;Tabela1[[#This Row],[SETOR]],BD!A:AF,26,0),"")</f>
        <v/>
      </c>
      <c r="AZ95" s="36" t="str">
        <f>IFERROR(VLOOKUP(Tabela1[[#This Row],[MÊS]]&amp;Tabela1[[#This Row],[ID]]&amp;Tabela1[[#This Row],[MATRICULA]]&amp;"Policia 3"&amp;Tabela1[[#This Row],[SETOR]],BD!A:AF,26,0),"")</f>
        <v/>
      </c>
      <c r="BA95" s="36" t="str">
        <f>IFERROR(VLOOKUP(Tabela1[[#This Row],[MÊS]]&amp;Tabela1[[#This Row],[ID]]&amp;Tabela1[[#This Row],[MATRICULA]]&amp;"Policia 4"&amp;Tabela1[[#This Row],[SETOR]],BD!A:AF,26,0),"")</f>
        <v/>
      </c>
      <c r="BB9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5" s="21">
        <f>IFERROR(AVERAGE(Tabela1[[#This Row],[M]:[M4]]),"")</f>
        <v>0</v>
      </c>
      <c r="BD95" s="21" t="str">
        <f>IFERROR(AVERAGE(Tabela1[[#This Row],[C]:[C4]]),"")</f>
        <v/>
      </c>
      <c r="BE95" s="21" t="str">
        <f>IFERROR(AVERAGE(Tabela1[[#This Row],[PA2]:[PA 4]]),"")</f>
        <v/>
      </c>
      <c r="BF95" s="21" t="str">
        <f>IFERROR(AVERAGE(Tabela1[[#This Row],[PL]:[PL4]]),"")</f>
        <v/>
      </c>
      <c r="BG95" s="35" t="str">
        <f>IFERROR(VLOOKUP(Tabela1[[#This Row],[MÊS]]&amp;Tabela1[[#This Row],[MATRICULA]],#REF!,2,0),"")</f>
        <v/>
      </c>
      <c r="BH95" s="35" t="str">
        <f>IFERROR(VLOOKUP(Tabela1[[#This Row],[MÊS]]&amp;Tabela1[[#This Row],[MATRICULA]],#REF!,2,0),"")</f>
        <v/>
      </c>
      <c r="BI95" s="35" t="str">
        <f>IFERROR(VLOOKUP(Tabela1[[#This Row],[MÊS]]&amp;Tabela1[[#This Row],[MATRICULA]],#REF!,2,0),"")</f>
        <v/>
      </c>
      <c r="BJ95" s="35" t="str">
        <f>IFERROR(VLOOKUP(Tabela1[[#This Row],[MÊS]]&amp;Tabela1[[#This Row],[MATRICULA]],#REF!,2,0),"")</f>
        <v/>
      </c>
      <c r="BK95" s="35" t="str">
        <f>IFERROR(VLOOKUP(Tabela1[[#This Row],[MÊS]]&amp;Tabela1[[#This Row],[MATRICULA]],#REF!,2,0),"")</f>
        <v/>
      </c>
      <c r="BL95" s="21">
        <f>COUNTIF(Tabela1[[#This Row],[MOT2]:[RECEPTIVA]],"NÃO ENCONTRADA")</f>
        <v>0</v>
      </c>
      <c r="BM95" s="135" t="str">
        <f>IFERROR(VLOOKUP(Tabela1[[#This Row],[MÊS]]&amp;Tabela1[[#This Row],[ID]]&amp;Tabela1[[#This Row],[MATRICULA]]&amp;"Motorista"&amp;Tabela1[[#This Row],[SETOR]],BD!A:AF,13,0),"")</f>
        <v/>
      </c>
      <c r="BN95" s="135" t="str">
        <f>IFERROR(VLOOKUP(Tabela1[[#This Row],[MÊS]]&amp;Tabela1[[#This Row],[ID]]&amp;Tabela1[[#This Row],[MATRICULA]]&amp;"Motorista 2"&amp;Tabela1[[#This Row],[SETOR]],BD!A:AF,13,0),"")</f>
        <v/>
      </c>
      <c r="BO95" s="135" t="str">
        <f>IFERROR(VLOOKUP(Tabela1[[#This Row],[MÊS]]&amp;Tabela1[[#This Row],[ID]]&amp;Tabela1[[#This Row],[MATRICULA]]&amp;"Motorista 3"&amp;Tabela1[[#This Row],[SETOR]],BD!A:AF,13,0),"")</f>
        <v/>
      </c>
      <c r="BP95" s="135" t="str">
        <f>IFERROR(VLOOKUP(Tabela1[[#This Row],[MÊS]]&amp;Tabela1[[#This Row],[ID]]&amp;Tabela1[[#This Row],[MATRICULA]]&amp;"Motorista 4"&amp;Tabela1[[#This Row],[SETOR]],BD!A:AF,13,0),"")</f>
        <v/>
      </c>
      <c r="BQ95" s="135" t="str">
        <f>IFERROR(AVERAGE(Tabela1[[#This Row],[DMOT]:[DMOT4]]),"")</f>
        <v/>
      </c>
      <c r="BR95" s="135" t="str">
        <f>IFERROR(VLOOKUP(Tabela1[[#This Row],[MÊS]]&amp;Tabela1[[#This Row],[ID]]&amp;Tabela1[[#This Row],[MATRICULA]]&amp;"Ponto de Apoio"&amp;Tabela1[[#This Row],[SETOR]],BD!A:AF,13,0),"")</f>
        <v/>
      </c>
      <c r="BS95" s="135" t="str">
        <f>IFERROR(VLOOKUP(Tabela1[[#This Row],[MÊS]]&amp;Tabela1[[#This Row],[ID]]&amp;Tabela1[[#This Row],[MATRICULA]]&amp;"Ponto de Apoio 2"&amp;Tabela1[[#This Row],[SETOR]],BD!A:AF,13,0),"")</f>
        <v/>
      </c>
      <c r="BT95" s="135" t="str">
        <f>IFERROR(VLOOKUP(Tabela1[[#This Row],[MÊS]]&amp;Tabela1[[#This Row],[ID]]&amp;Tabela1[[#This Row],[MATRICULA]]&amp;"Ponto de Apoio 3"&amp;Tabela1[[#This Row],[SETOR]],BD!A:AF,13,0),"")</f>
        <v/>
      </c>
      <c r="BU95" s="135" t="str">
        <f>IFERROR(VLOOKUP(Tabela1[[#This Row],[MÊS]]&amp;Tabela1[[#This Row],[ID]]&amp;Tabela1[[#This Row],[MATRICULA]]&amp;"Ponto de Apoio 4"&amp;Tabela1[[#This Row],[SETOR]],BD!A:AF,13,0),"")</f>
        <v/>
      </c>
      <c r="BV95" s="135" t="str">
        <f>IFERROR(AVERAGE(Tabela1[[#This Row],[DPA]:[DPA 4]]),"")</f>
        <v/>
      </c>
      <c r="BW95" s="135" t="str">
        <f>IFERROR(VLOOKUP(Tabela1[[#This Row],[MÊS]]&amp;Tabela1[[#This Row],[ID]]&amp;Tabela1[[#This Row],[MATRICULA]]&amp;"Cliente"&amp;Tabela1[[#This Row],[SETOR]],BD!A:AF,13,0),"")</f>
        <v/>
      </c>
      <c r="BX95" s="135" t="str">
        <f>IFERROR(VLOOKUP(Tabela1[[#This Row],[MÊS]]&amp;Tabela1[[#This Row],[ID]]&amp;Tabela1[[#This Row],[MATRICULA]]&amp;"cliente 2"&amp;Tabela1[[#This Row],[SETOR]],BD!A:AF,13,0),"")</f>
        <v/>
      </c>
      <c r="BY95" s="135" t="str">
        <f>IFERROR(VLOOKUP(Tabela1[[#This Row],[MÊS]]&amp;Tabela1[[#This Row],[ID]]&amp;Tabela1[[#This Row],[MATRICULA]]&amp;"cliente 3"&amp;Tabela1[[#This Row],[SETOR]],BD!A:AF,13,0),"")</f>
        <v/>
      </c>
      <c r="BZ95" s="135" t="str">
        <f>IFERROR(VLOOKUP(Tabela1[[#This Row],[MÊS]]&amp;Tabela1[[#This Row],[ID]]&amp;Tabela1[[#This Row],[MATRICULA]]&amp;"cliente 4"&amp;Tabela1[[#This Row],[SETOR]],BD!A:AF,13,0),"")</f>
        <v/>
      </c>
      <c r="CA95" s="135" t="str">
        <f>IFERROR(AVERAGE(Tabela1[[#This Row],[DCLI]:[DCLI 4]]),"")</f>
        <v/>
      </c>
      <c r="CB95" s="135" t="str">
        <f>IFERROR(VLOOKUP(Tabela1[[#This Row],[MÊS]]&amp;Tabela1[[#This Row],[ID]]&amp;Tabela1[[#This Row],[MATRICULA]]&amp;"Policia"&amp;Tabela1[[#This Row],[SETOR]],BD!A:AF,13,0),"")</f>
        <v/>
      </c>
      <c r="CC95" s="135" t="str">
        <f>IFERROR(VLOOKUP(Tabela1[[#This Row],[MÊS]]&amp;Tabela1[[#This Row],[ID]]&amp;Tabela1[[#This Row],[MATRICULA]]&amp;"Policia 2"&amp;Tabela1[[#This Row],[SETOR]],BD!A:AF,13,0),"")</f>
        <v/>
      </c>
      <c r="CD95" s="135"/>
      <c r="CE95" s="135"/>
      <c r="CF95" s="135" t="str">
        <f>IFERROR((AVERAGE(Tabela1[[#This Row],[DPOL1]:[DPOL4]])),"")</f>
        <v/>
      </c>
      <c r="CG95" s="21" t="str">
        <f>IFERROR(VLOOKUP(Tabela1[[#This Row],[ID]]&amp;Tabela1[[#This Row],[MÊS]]&amp;Tabela1[[#This Row],[MATRICULA]],#REF!,2,0),"")</f>
        <v/>
      </c>
      <c r="CH95" s="21" t="str">
        <f>IFERROR(VLOOKUP(Tabela1[[#This Row],[ID]]&amp;Tabela1[[#This Row],[MÊS]]&amp;Tabela1[[#This Row],[MATRICULA]],#REF!,2,0),"")</f>
        <v/>
      </c>
      <c r="CI95" s="21" t="str">
        <f>IFERROR(VLOOKUP(Tabela1[[#This Row],[MÊS]]&amp;Tabela1[[#This Row],[MATRICULA]],#REF!,2,0),"")</f>
        <v/>
      </c>
    </row>
    <row r="96" spans="1:87">
      <c r="A96" s="12" t="str">
        <f>Tabela1[[#This Row],[MÊS]]&amp;Tabela1[[#This Row],[MATRICULA]]&amp;Tabela1[[#This Row],[ID]]</f>
        <v>JAN1131812</v>
      </c>
      <c r="B96" s="12" t="str">
        <f>Tabela1[[#This Row],[MÊS]]&amp;Tabela1[[#This Row],[ID]]&amp;Tabela1[[#This Row],[MATRICULA]]&amp;Tabela1[[#This Row],[SETOR]]</f>
        <v>JAN1211318UTI</v>
      </c>
      <c r="C96" s="130" t="e">
        <f>VLOOKUP(Tabela1[[#This Row],[MATRICULA]],'BD Campos'!A:D,5,0)</f>
        <v>#REF!</v>
      </c>
      <c r="D96" s="133" t="str">
        <f ca="1">IFERROR(SUM(TODAY()-Tabela1[[#This Row],[ADMISSÃO]]),"")</f>
        <v/>
      </c>
      <c r="E96" s="11" t="str">
        <f ca="1">IFERROR(TRUNC(Tabela1[[#This Row],[TEMPO DE CASA (DIAS)]]/30),"")</f>
        <v/>
      </c>
      <c r="F96" s="32" t="str">
        <f ca="1">IFERROR(SUM(Tabela1[[#This Row],[TEMPO DE CASA (MESES)]]/12),"")</f>
        <v/>
      </c>
      <c r="G96" s="133" t="str">
        <f ca="1">IF(Tabela1[[#This Row],[TEMPO DE CASA (DIAS)]]="","SEM DADOS",IF(Tabela1[[#This Row],[TEMPO DE CASA (DIAS)]]&gt;180,"&gt; 6 MESES","&lt; 6 MESES"))</f>
        <v>SEM DADOS</v>
      </c>
      <c r="H96" s="12" t="str">
        <f t="shared" si="9"/>
        <v>JANLucas Rafael12</v>
      </c>
      <c r="I96" s="12" t="str">
        <f>IFERROR(VLOOKUP(Tabela1[[#This Row],[MATRICULA]],'BD Campos'!A:F,7,0),"")</f>
        <v/>
      </c>
      <c r="J96" s="11">
        <v>12</v>
      </c>
      <c r="K96" s="11" t="s">
        <v>669</v>
      </c>
      <c r="L96" s="136">
        <v>11318</v>
      </c>
      <c r="M96" s="12" t="str">
        <f>IFERROR(VLOOKUP(Tabela1[[#This Row],[MATRICULA]],'BD Campos'!A:B,2,0),"")</f>
        <v>LIBIA CONCEIÇÃO OLIVEIRA CORDEIRO</v>
      </c>
      <c r="N96" s="20">
        <f>IFERROR(AVERAGE(Tabela1[[#This Row],[A1]:[A4]]),"")</f>
        <v>8.532</v>
      </c>
      <c r="O96" s="20" t="str">
        <f>IFERROR(IF(Tabela1[[#This Row],[SETOR]]="RECEPTIVO","",AVERAGE(Tabela1[[#This Row],[A5]:[A6]])),"")</f>
        <v/>
      </c>
      <c r="P96" s="20" t="str">
        <f>IFERROR(IF(Tabela1[[#This Row],[STATUS]]="INATIVO","INATIVO",IF(Tabela1[[#This Row],[STATUS]]="QRT","INATIVO",IF(Tabela1[[#This Row],[OPERACIONAL]]&gt;7.99999,"BOM","RUIM"))),"")</f>
        <v>BOM</v>
      </c>
      <c r="Q96" s="21" t="s">
        <v>667</v>
      </c>
      <c r="R96" s="12" t="s">
        <v>690</v>
      </c>
      <c r="S96" s="12" t="s">
        <v>688</v>
      </c>
      <c r="T96" s="12" t="s">
        <v>128</v>
      </c>
      <c r="U9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9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96" s="12">
        <f>IF(AND(Tabela1[[#This Row],[SETOR]]="UTI",Tabela1[[#This Row],[M]]&lt;&gt;""),1,IF(AND(Tabela1[[#This Row],[SETOR]]="UTI (RJ)",Tabela1[[#This Row],[M]]&lt;&gt;""),1.5,0))</f>
        <v>1</v>
      </c>
      <c r="X96" s="12">
        <f>IF(AND(Tabela1[[#This Row],[SETOR]]="UTI",Tabela1[[#This Row],[PA2]]&lt;&gt;""),1,IF(AND(Tabela1[[#This Row],[SETOR]]="UTI (RJ)",Tabela1[[#This Row],[PA2]]&lt;&gt;""),0,0))</f>
        <v>0</v>
      </c>
      <c r="Y96" s="12">
        <f>IF(AND(Tabela1[[#This Row],[SETOR]]="UTI",Tabela1[[#This Row],[C]]&lt;&gt;""),1,IF(AND(Tabela1[[#This Row],[SETOR]]="UTI (RJ)",Tabela1[[#This Row],[C]]&lt;&gt;""),1.5,0))</f>
        <v>0</v>
      </c>
      <c r="Z96" s="12">
        <f>IF(AND(Tabela1[[#This Row],[SETOR]]="UTI",Tabela1[[#This Row],[PL]]&lt;&gt;""),1,IF(AND(Tabela1[[#This Row],[SETOR]]="UTI (RJ)",Tabela1[[#This Row],[PL]]&lt;&gt;""),1,0))</f>
        <v>0</v>
      </c>
      <c r="AA96" s="21">
        <f>IFERROR(VLOOKUP(Tabela1[[#This Row],[MÊS]]&amp;Tabela1[[#This Row],[MATRICULA]]&amp;"1"&amp;Tabela1[[#This Row],[SETOR]]&amp;"PADRÃO",BD!B:AF,31,0),"")</f>
        <v>10.004000000000001</v>
      </c>
      <c r="AB96" s="21">
        <f>IFERROR(VLOOKUP(Tabela1[[#This Row],[MÊS]]&amp;Tabela1[[#This Row],[MATRICULA]]&amp;"2"&amp;Tabela1[[#This Row],[SETOR]]&amp;"PADRÃO",BD!B:AF,31,0),"")</f>
        <v>7.06</v>
      </c>
      <c r="AC96" s="21" t="str">
        <f>IFERROR(VLOOKUP(Tabela1[[#This Row],[MÊS]]&amp;Tabela1[[#This Row],[MATRICULA]]&amp;"3"&amp;Tabela1[[#This Row],[SETOR]]&amp;"PADRÃO",BD!B:AF,31,0),"")</f>
        <v/>
      </c>
      <c r="AD96" s="21" t="str">
        <f>IFERROR(VLOOKUP(Tabela1[[#This Row],[MÊS]]&amp;Tabela1[[#This Row],[MATRICULA]]&amp;"4"&amp;Tabela1[[#This Row],[SETOR]]&amp;"PADRÃO",BD!B:AF,25,0),"")</f>
        <v/>
      </c>
      <c r="AE96" s="21" t="str">
        <f>IFERROR(VLOOKUP(Tabela1[[#This Row],[MÊS]]&amp;Tabela1[[#This Row],[MATRICULA]]&amp;"5"&amp;Tabela1[[#This Row],[SETOR]]&amp;"PADRÃO",BD!B:AF,31,0),"")</f>
        <v/>
      </c>
      <c r="AF96" s="21" t="str">
        <f>IFERROR(VLOOKUP(Tabela1[[#This Row],[MÊS]]&amp;Tabela1[[#This Row],[MATRICULA]]&amp;"6"&amp;Tabela1[[#This Row],[SETOR]]&amp;"PADRÃO",BD!B:AF,31,0),"")</f>
        <v/>
      </c>
      <c r="AG96" s="21" t="str">
        <f>IFERROR(VLOOKUP(Tabela1[[#This Row],[MÊS]]&amp;Tabela1[[#This Row],[MATRICULA]]&amp;"7"&amp;Tabela1[[#This Row],[SETOR]]&amp;"PADRÃO",BD!B:AF,31,0),"")</f>
        <v/>
      </c>
      <c r="AH96" s="21" t="str">
        <f>IFERROR(VLOOKUP(Tabela1[[#This Row],[MÊS]]&amp;Tabela1[[#This Row],[ID]]&amp;Tabela1[[#This Row],[MATRICULA]]&amp;"Receptiva"&amp;Tabela1[[#This Row],[SETOR]],BD!A:AF,31,0),"")</f>
        <v/>
      </c>
      <c r="AI96" s="21" t="str">
        <f>IFERROR(VLOOKUP(Tabela1[[#This Row],[MÊS]]&amp;Tabela1[[#This Row],[ID]]&amp;Tabela1[[#This Row],[MATRICULA]]&amp;"Receptiva 2"&amp;Tabela1[[#This Row],[SETOR]],BD!A:AF,31,0),"")</f>
        <v/>
      </c>
      <c r="AJ96" s="21" t="str">
        <f>IFERROR(VLOOKUP(Tabela1[[#This Row],[MÊS]]&amp;Tabela1[[#This Row],[ID]]&amp;Tabela1[[#This Row],[MATRICULA]]&amp;"Receptiva 3"&amp;Tabela1[[#This Row],[SETOR]],BD!A:AF,31,0),"")</f>
        <v/>
      </c>
      <c r="AK96" s="21" t="str">
        <f>IFERROR(VLOOKUP(Tabela1[[#This Row],[MÊS]]&amp;Tabela1[[#This Row],[ID]]&amp;Tabela1[[#This Row],[MATRICULA]]&amp;"Receptiva 4"&amp;Tabela1[[#This Row],[SETOR]],BD!A:AF,31,0),"")</f>
        <v/>
      </c>
      <c r="AL96" s="21">
        <f>IFERROR(VLOOKUP(Tabela1[[#This Row],[MÊS]]&amp;Tabela1[[#This Row],[MATRICULA]]&amp;"Motorista"&amp;Tabela1[[#This Row],[SETOR]],BD!A:AF,31,0),"")</f>
        <v>0</v>
      </c>
      <c r="AM96" s="21" t="str">
        <f>IFERROR(VLOOKUP(Tabela1[[#This Row],[MÊS]]&amp;Tabela1[[#This Row],[ID]]&amp;Tabela1[[#This Row],[MATRICULA]]&amp;"Motorista 2"&amp;Tabela1[[#This Row],[SETOR]],BD!A:AF,26,0),"")</f>
        <v/>
      </c>
      <c r="AN96" s="21" t="str">
        <f>IFERROR(VLOOKUP(Tabela1[[#This Row],[MÊS]]&amp;Tabela1[[#This Row],[ID]]&amp;Tabela1[[#This Row],[MATRICULA]]&amp;"Motorista 3"&amp;Tabela1[[#This Row],[SETOR]],BD!A:AF,26,0),"")</f>
        <v/>
      </c>
      <c r="AO96" s="21" t="str">
        <f>IFERROR(VLOOKUP(Tabela1[[#This Row],[MÊS]]&amp;Tabela1[[#This Row],[ID]]&amp;Tabela1[[#This Row],[MATRICULA]]&amp;"Motorista 4"&amp;Tabela1[[#This Row],[SETOR]],BD!A:AF,26,0),"")</f>
        <v/>
      </c>
      <c r="AP96" s="21" t="str">
        <f>IFERROR(VLOOKUP(Tabela1[[#This Row],[MÊS]]&amp;Tabela1[[#This Row],[MATRICULA]]&amp;"Ponto de Apoio"&amp;Tabela1[[#This Row],[SETOR]],BD!A:AF,31,0),"")</f>
        <v/>
      </c>
      <c r="AQ96" s="21" t="str">
        <f>IFERROR(VLOOKUP(Tabela1[[#This Row],[MÊS]]&amp;Tabela1[[#This Row],[ID]]&amp;Tabela1[[#This Row],[MATRICULA]]&amp;"Ponto de Apoio 2"&amp;Tabela1[[#This Row],[SETOR]],BD!A:AF,26,0),"")</f>
        <v/>
      </c>
      <c r="AR96" s="36" t="str">
        <f>IFERROR(VLOOKUP(Tabela1[[#This Row],[MÊS]]&amp;Tabela1[[#This Row],[ID]]&amp;Tabela1[[#This Row],[MATRICULA]]&amp;"Ponto de Apoio 3"&amp;Tabela1[[#This Row],[SETOR]],BD!A:AF,26,0),"")</f>
        <v/>
      </c>
      <c r="AS96" s="36" t="str">
        <f>IFERROR(VLOOKUP(Tabela1[[#This Row],[MÊS]]&amp;Tabela1[[#This Row],[ID]]&amp;Tabela1[[#This Row],[MATRICULA]]&amp;"Ponto de Apoio 4"&amp;Tabela1[[#This Row],[SETOR]],BD!A:AF,26,0),"")</f>
        <v/>
      </c>
      <c r="AT96" s="21" t="str">
        <f>IFERROR(VLOOKUP(Tabela1[[#This Row],[MÊS]]&amp;Tabela1[[#This Row],[MATRICULA]]&amp;"Cliente"&amp;Tabela1[[#This Row],[SETOR]],BD!A:AF,31,0),"")</f>
        <v/>
      </c>
      <c r="AU96" s="21" t="str">
        <f>IFERROR(VLOOKUP(Tabela1[[#This Row],[MÊS]]&amp;Tabela1[[#This Row],[ID]]&amp;Tabela1[[#This Row],[MATRICULA]]&amp;"Cliente 2"&amp;Tabela1[[#This Row],[SETOR]],BD!A:AF,26,0),"")</f>
        <v/>
      </c>
      <c r="AX96" s="21" t="str">
        <f>IFERROR(VLOOKUP(Tabela1[[#This Row],[MÊS]]&amp;Tabela1[[#This Row],[MATRICULA]]&amp;"Policia"&amp;Tabela1[[#This Row],[SETOR]],BD!A:AF,31,0),"")</f>
        <v/>
      </c>
      <c r="AY96" s="21" t="str">
        <f>IFERROR(VLOOKUP(Tabela1[[#This Row],[MÊS]]&amp;Tabela1[[#This Row],[ID]]&amp;Tabela1[[#This Row],[MATRICULA]]&amp;"Policia 2"&amp;Tabela1[[#This Row],[SETOR]],BD!A:AF,26,0),"")</f>
        <v/>
      </c>
      <c r="AZ96" s="36" t="str">
        <f>IFERROR(VLOOKUP(Tabela1[[#This Row],[MÊS]]&amp;Tabela1[[#This Row],[ID]]&amp;Tabela1[[#This Row],[MATRICULA]]&amp;"Policia 3"&amp;Tabela1[[#This Row],[SETOR]],BD!A:AF,26,0),"")</f>
        <v/>
      </c>
      <c r="BA96" s="36" t="str">
        <f>IFERROR(VLOOKUP(Tabela1[[#This Row],[MÊS]]&amp;Tabela1[[#This Row],[ID]]&amp;Tabela1[[#This Row],[MATRICULA]]&amp;"Policia 4"&amp;Tabela1[[#This Row],[SETOR]],BD!A:AF,26,0),"")</f>
        <v/>
      </c>
      <c r="BB9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6" s="21">
        <f>IFERROR(AVERAGE(Tabela1[[#This Row],[M]:[M4]]),"")</f>
        <v>0</v>
      </c>
      <c r="BD96" s="21" t="str">
        <f>IFERROR(AVERAGE(Tabela1[[#This Row],[C]:[C4]]),"")</f>
        <v/>
      </c>
      <c r="BE96" s="21" t="str">
        <f>IFERROR(AVERAGE(Tabela1[[#This Row],[PA2]:[PA 4]]),"")</f>
        <v/>
      </c>
      <c r="BF96" s="21" t="str">
        <f>IFERROR(AVERAGE(Tabela1[[#This Row],[PL]:[PL4]]),"")</f>
        <v/>
      </c>
      <c r="BG96" s="35" t="str">
        <f>IFERROR(VLOOKUP(Tabela1[[#This Row],[MÊS]]&amp;Tabela1[[#This Row],[MATRICULA]],#REF!,2,0),"")</f>
        <v/>
      </c>
      <c r="BH96" s="35" t="str">
        <f>IFERROR(VLOOKUP(Tabela1[[#This Row],[MÊS]]&amp;Tabela1[[#This Row],[MATRICULA]],#REF!,2,0),"")</f>
        <v/>
      </c>
      <c r="BI96" s="35" t="str">
        <f>IFERROR(VLOOKUP(Tabela1[[#This Row],[MÊS]]&amp;Tabela1[[#This Row],[MATRICULA]],#REF!,2,0),"")</f>
        <v/>
      </c>
      <c r="BJ96" s="35" t="str">
        <f>IFERROR(VLOOKUP(Tabela1[[#This Row],[MÊS]]&amp;Tabela1[[#This Row],[MATRICULA]],#REF!,2,0),"")</f>
        <v/>
      </c>
      <c r="BK96" s="35" t="str">
        <f>IFERROR(VLOOKUP(Tabela1[[#This Row],[MÊS]]&amp;Tabela1[[#This Row],[MATRICULA]],#REF!,2,0),"")</f>
        <v/>
      </c>
      <c r="BL96" s="21">
        <f>COUNTIF(Tabela1[[#This Row],[MOT2]:[RECEPTIVA]],"NÃO ENCONTRADA")</f>
        <v>0</v>
      </c>
      <c r="BM96" s="135" t="str">
        <f>IFERROR(VLOOKUP(Tabela1[[#This Row],[MÊS]]&amp;Tabela1[[#This Row],[ID]]&amp;Tabela1[[#This Row],[MATRICULA]]&amp;"Motorista"&amp;Tabela1[[#This Row],[SETOR]],BD!A:AF,13,0),"")</f>
        <v/>
      </c>
      <c r="BN96" s="135" t="str">
        <f>IFERROR(VLOOKUP(Tabela1[[#This Row],[MÊS]]&amp;Tabela1[[#This Row],[ID]]&amp;Tabela1[[#This Row],[MATRICULA]]&amp;"Motorista 2"&amp;Tabela1[[#This Row],[SETOR]],BD!A:AF,13,0),"")</f>
        <v/>
      </c>
      <c r="BO96" s="135" t="str">
        <f>IFERROR(VLOOKUP(Tabela1[[#This Row],[MÊS]]&amp;Tabela1[[#This Row],[ID]]&amp;Tabela1[[#This Row],[MATRICULA]]&amp;"Motorista 3"&amp;Tabela1[[#This Row],[SETOR]],BD!A:AF,13,0),"")</f>
        <v/>
      </c>
      <c r="BP96" s="135" t="str">
        <f>IFERROR(VLOOKUP(Tabela1[[#This Row],[MÊS]]&amp;Tabela1[[#This Row],[ID]]&amp;Tabela1[[#This Row],[MATRICULA]]&amp;"Motorista 4"&amp;Tabela1[[#This Row],[SETOR]],BD!A:AF,13,0),"")</f>
        <v/>
      </c>
      <c r="BQ96" s="135" t="str">
        <f>IFERROR(AVERAGE(Tabela1[[#This Row],[DMOT]:[DMOT4]]),"")</f>
        <v/>
      </c>
      <c r="BR96" s="135" t="str">
        <f>IFERROR(VLOOKUP(Tabela1[[#This Row],[MÊS]]&amp;Tabela1[[#This Row],[ID]]&amp;Tabela1[[#This Row],[MATRICULA]]&amp;"Ponto de Apoio"&amp;Tabela1[[#This Row],[SETOR]],BD!A:AF,13,0),"")</f>
        <v/>
      </c>
      <c r="BS96" s="135" t="str">
        <f>IFERROR(VLOOKUP(Tabela1[[#This Row],[MÊS]]&amp;Tabela1[[#This Row],[ID]]&amp;Tabela1[[#This Row],[MATRICULA]]&amp;"Ponto de Apoio 2"&amp;Tabela1[[#This Row],[SETOR]],BD!A:AF,13,0),"")</f>
        <v/>
      </c>
      <c r="BT96" s="135" t="str">
        <f>IFERROR(VLOOKUP(Tabela1[[#This Row],[MÊS]]&amp;Tabela1[[#This Row],[ID]]&amp;Tabela1[[#This Row],[MATRICULA]]&amp;"Ponto de Apoio 3"&amp;Tabela1[[#This Row],[SETOR]],BD!A:AF,13,0),"")</f>
        <v/>
      </c>
      <c r="BU96" s="135" t="str">
        <f>IFERROR(VLOOKUP(Tabela1[[#This Row],[MÊS]]&amp;Tabela1[[#This Row],[ID]]&amp;Tabela1[[#This Row],[MATRICULA]]&amp;"Ponto de Apoio 4"&amp;Tabela1[[#This Row],[SETOR]],BD!A:AF,13,0),"")</f>
        <v/>
      </c>
      <c r="BV96" s="135" t="str">
        <f>IFERROR(AVERAGE(Tabela1[[#This Row],[DPA]:[DPA 4]]),"")</f>
        <v/>
      </c>
      <c r="BW96" s="135" t="str">
        <f>IFERROR(VLOOKUP(Tabela1[[#This Row],[MÊS]]&amp;Tabela1[[#This Row],[ID]]&amp;Tabela1[[#This Row],[MATRICULA]]&amp;"Cliente"&amp;Tabela1[[#This Row],[SETOR]],BD!A:AF,13,0),"")</f>
        <v/>
      </c>
      <c r="BX96" s="135" t="str">
        <f>IFERROR(VLOOKUP(Tabela1[[#This Row],[MÊS]]&amp;Tabela1[[#This Row],[ID]]&amp;Tabela1[[#This Row],[MATRICULA]]&amp;"cliente 2"&amp;Tabela1[[#This Row],[SETOR]],BD!A:AF,13,0),"")</f>
        <v/>
      </c>
      <c r="BY96" s="135" t="str">
        <f>IFERROR(VLOOKUP(Tabela1[[#This Row],[MÊS]]&amp;Tabela1[[#This Row],[ID]]&amp;Tabela1[[#This Row],[MATRICULA]]&amp;"cliente 3"&amp;Tabela1[[#This Row],[SETOR]],BD!A:AF,13,0),"")</f>
        <v/>
      </c>
      <c r="BZ96" s="135" t="str">
        <f>IFERROR(VLOOKUP(Tabela1[[#This Row],[MÊS]]&amp;Tabela1[[#This Row],[ID]]&amp;Tabela1[[#This Row],[MATRICULA]]&amp;"cliente 4"&amp;Tabela1[[#This Row],[SETOR]],BD!A:AF,13,0),"")</f>
        <v/>
      </c>
      <c r="CA96" s="135" t="str">
        <f>IFERROR(AVERAGE(Tabela1[[#This Row],[DCLI]:[DCLI 4]]),"")</f>
        <v/>
      </c>
      <c r="CB96" s="135" t="str">
        <f>IFERROR(VLOOKUP(Tabela1[[#This Row],[MÊS]]&amp;Tabela1[[#This Row],[ID]]&amp;Tabela1[[#This Row],[MATRICULA]]&amp;"Policia"&amp;Tabela1[[#This Row],[SETOR]],BD!A:AF,13,0),"")</f>
        <v/>
      </c>
      <c r="CC96" s="135" t="str">
        <f>IFERROR(VLOOKUP(Tabela1[[#This Row],[MÊS]]&amp;Tabela1[[#This Row],[ID]]&amp;Tabela1[[#This Row],[MATRICULA]]&amp;"Policia 2"&amp;Tabela1[[#This Row],[SETOR]],BD!A:AF,13,0),"")</f>
        <v/>
      </c>
      <c r="CD96" s="135"/>
      <c r="CE96" s="135"/>
      <c r="CF96" s="135" t="str">
        <f>IFERROR((AVERAGE(Tabela1[[#This Row],[DPOL1]:[DPOL4]])),"")</f>
        <v/>
      </c>
      <c r="CG96" s="21" t="str">
        <f>IFERROR(VLOOKUP(Tabela1[[#This Row],[ID]]&amp;Tabela1[[#This Row],[MÊS]]&amp;Tabela1[[#This Row],[MATRICULA]],#REF!,2,0),"")</f>
        <v/>
      </c>
      <c r="CH96" s="21" t="str">
        <f>IFERROR(VLOOKUP(Tabela1[[#This Row],[ID]]&amp;Tabela1[[#This Row],[MÊS]]&amp;Tabela1[[#This Row],[MATRICULA]],#REF!,2,0),"")</f>
        <v/>
      </c>
      <c r="CI96" s="21" t="str">
        <f>IFERROR(VLOOKUP(Tabela1[[#This Row],[MÊS]]&amp;Tabela1[[#This Row],[MATRICULA]],#REF!,2,0),"")</f>
        <v/>
      </c>
    </row>
    <row r="97" spans="1:87">
      <c r="A97" s="12" t="str">
        <f>Tabela1[[#This Row],[MÊS]]&amp;Tabela1[[#This Row],[MATRICULA]]&amp;Tabela1[[#This Row],[ID]]</f>
        <v>JAN101871</v>
      </c>
      <c r="B97" s="12" t="str">
        <f>Tabela1[[#This Row],[MÊS]]&amp;Tabela1[[#This Row],[ID]]&amp;Tabela1[[#This Row],[MATRICULA]]&amp;Tabela1[[#This Row],[SETOR]]</f>
        <v>JAN110187UTI</v>
      </c>
      <c r="C97" s="130" t="e">
        <f>VLOOKUP(Tabela1[[#This Row],[MATRICULA]],'BD Campos'!A:D,5,0)</f>
        <v>#REF!</v>
      </c>
      <c r="D97" s="133" t="str">
        <f ca="1">IFERROR(SUM(TODAY()-Tabela1[[#This Row],[ADMISSÃO]]),"")</f>
        <v/>
      </c>
      <c r="E97" s="11" t="str">
        <f ca="1">IFERROR(TRUNC(Tabela1[[#This Row],[TEMPO DE CASA (DIAS)]]/30),"")</f>
        <v/>
      </c>
      <c r="F97" s="32" t="str">
        <f ca="1">IFERROR(SUM(Tabela1[[#This Row],[TEMPO DE CASA (MESES)]]/12),"")</f>
        <v/>
      </c>
      <c r="G97" s="133" t="str">
        <f ca="1">IF(Tabela1[[#This Row],[TEMPO DE CASA (DIAS)]]="","SEM DADOS",IF(Tabela1[[#This Row],[TEMPO DE CASA (DIAS)]]&gt;180,"&gt; 6 MESES","&lt; 6 MESES"))</f>
        <v>SEM DADOS</v>
      </c>
      <c r="H97" s="12" t="str">
        <f t="shared" ref="H97:H107" si="10">K97&amp;S97&amp;J97</f>
        <v>JANTanara Vigentin1</v>
      </c>
      <c r="I97" s="12" t="str">
        <f>IFERROR(VLOOKUP(Tabela1[[#This Row],[MATRICULA]],'BD Campos'!A:F,7,0),"")</f>
        <v/>
      </c>
      <c r="J97" s="11">
        <v>1</v>
      </c>
      <c r="K97" s="11" t="s">
        <v>669</v>
      </c>
      <c r="L97" s="136">
        <v>10187</v>
      </c>
      <c r="M97" s="12" t="str">
        <f>IFERROR(VLOOKUP(Tabela1[[#This Row],[MATRICULA]],'BD Campos'!A:B,2,0),"")</f>
        <v>SCARLETH JESSY DE MELO</v>
      </c>
      <c r="N97" s="20">
        <f>IFERROR(AVERAGE(Tabela1[[#This Row],[A1]:[A4]]),"")</f>
        <v>8.8974999999999991</v>
      </c>
      <c r="O97" s="20" t="str">
        <f>IFERROR(IF(Tabela1[[#This Row],[SETOR]]="RECEPTIVO","",AVERAGE(Tabela1[[#This Row],[A5]:[A6]])),"")</f>
        <v/>
      </c>
      <c r="P97" s="20" t="str">
        <f>IFERROR(IF(Tabela1[[#This Row],[STATUS]]="INATIVO","INATIVO",IF(Tabela1[[#This Row],[STATUS]]="QRT","INATIVO",IF(Tabela1[[#This Row],[OPERACIONAL]]&gt;7.99999,"BOM","RUIM"))),"")</f>
        <v>BOM</v>
      </c>
      <c r="Q97" s="21" t="s">
        <v>667</v>
      </c>
      <c r="R97" s="12" t="s">
        <v>692</v>
      </c>
      <c r="S97" s="12" t="s">
        <v>693</v>
      </c>
      <c r="T97" s="12" t="s">
        <v>128</v>
      </c>
      <c r="U9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9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97" s="12">
        <f>IF(AND(Tabela1[[#This Row],[SETOR]]="UTI",Tabela1[[#This Row],[M]]&lt;&gt;""),1,IF(AND(Tabela1[[#This Row],[SETOR]]="UTI (RJ)",Tabela1[[#This Row],[M]]&lt;&gt;""),1.5,0))</f>
        <v>1</v>
      </c>
      <c r="X97" s="12">
        <f>IF(AND(Tabela1[[#This Row],[SETOR]]="UTI",Tabela1[[#This Row],[PA2]]&lt;&gt;""),1,IF(AND(Tabela1[[#This Row],[SETOR]]="UTI (RJ)",Tabela1[[#This Row],[PA2]]&lt;&gt;""),0,0))</f>
        <v>0</v>
      </c>
      <c r="Y97" s="12">
        <f>IF(AND(Tabela1[[#This Row],[SETOR]]="UTI",Tabela1[[#This Row],[C]]&lt;&gt;""),1,IF(AND(Tabela1[[#This Row],[SETOR]]="UTI (RJ)",Tabela1[[#This Row],[C]]&lt;&gt;""),1.5,0))</f>
        <v>0</v>
      </c>
      <c r="Z97" s="12">
        <f>IF(AND(Tabela1[[#This Row],[SETOR]]="UTI",Tabela1[[#This Row],[PL]]&lt;&gt;""),1,IF(AND(Tabela1[[#This Row],[SETOR]]="UTI (RJ)",Tabela1[[#This Row],[PL]]&lt;&gt;""),1,0))</f>
        <v>0</v>
      </c>
      <c r="AA97" s="21">
        <f>IFERROR(VLOOKUP(Tabela1[[#This Row],[MÊS]]&amp;Tabela1[[#This Row],[MATRICULA]]&amp;"1"&amp;Tabela1[[#This Row],[SETOR]]&amp;"PADRÃO",BD!B:AF,31,0),"")</f>
        <v>8.8974999999999991</v>
      </c>
      <c r="AB97" s="21">
        <f>IFERROR(VLOOKUP(Tabela1[[#This Row],[MÊS]]&amp;Tabela1[[#This Row],[MATRICULA]]&amp;"2"&amp;Tabela1[[#This Row],[SETOR]]&amp;"PADRÃO",BD!B:AF,31,0),"")</f>
        <v>8.8974999999999991</v>
      </c>
      <c r="AC97" s="21" t="str">
        <f>IFERROR(VLOOKUP(Tabela1[[#This Row],[MÊS]]&amp;Tabela1[[#This Row],[MATRICULA]]&amp;"3"&amp;Tabela1[[#This Row],[SETOR]]&amp;"PADRÃO",BD!B:AF,31,0),"")</f>
        <v/>
      </c>
      <c r="AD97" s="21" t="str">
        <f>IFERROR(VLOOKUP(Tabela1[[#This Row],[MÊS]]&amp;Tabela1[[#This Row],[MATRICULA]]&amp;"4"&amp;Tabela1[[#This Row],[SETOR]]&amp;"PADRÃO",BD!B:AF,25,0),"")</f>
        <v/>
      </c>
      <c r="AE97" s="21" t="str">
        <f>IFERROR(VLOOKUP(Tabela1[[#This Row],[MÊS]]&amp;Tabela1[[#This Row],[MATRICULA]]&amp;"5"&amp;Tabela1[[#This Row],[SETOR]]&amp;"PADRÃO",BD!B:AF,31,0),"")</f>
        <v/>
      </c>
      <c r="AF97" s="21" t="str">
        <f>IFERROR(VLOOKUP(Tabela1[[#This Row],[MÊS]]&amp;Tabela1[[#This Row],[MATRICULA]]&amp;"6"&amp;Tabela1[[#This Row],[SETOR]]&amp;"PADRÃO",BD!B:AF,31,0),"")</f>
        <v/>
      </c>
      <c r="AG97" s="21" t="str">
        <f>IFERROR(VLOOKUP(Tabela1[[#This Row],[MÊS]]&amp;Tabela1[[#This Row],[MATRICULA]]&amp;"7"&amp;Tabela1[[#This Row],[SETOR]]&amp;"PADRÃO",BD!B:AF,31,0),"")</f>
        <v/>
      </c>
      <c r="AH97" s="21" t="str">
        <f>IFERROR(VLOOKUP(Tabela1[[#This Row],[MÊS]]&amp;Tabela1[[#This Row],[ID]]&amp;Tabela1[[#This Row],[MATRICULA]]&amp;"Receptiva"&amp;Tabela1[[#This Row],[SETOR]],BD!A:AF,31,0),"")</f>
        <v/>
      </c>
      <c r="AI97" s="21" t="str">
        <f>IFERROR(VLOOKUP(Tabela1[[#This Row],[MÊS]]&amp;Tabela1[[#This Row],[ID]]&amp;Tabela1[[#This Row],[MATRICULA]]&amp;"Receptiva 2"&amp;Tabela1[[#This Row],[SETOR]],BD!A:AF,31,0),"")</f>
        <v/>
      </c>
      <c r="AJ97" s="21" t="str">
        <f>IFERROR(VLOOKUP(Tabela1[[#This Row],[MÊS]]&amp;Tabela1[[#This Row],[ID]]&amp;Tabela1[[#This Row],[MATRICULA]]&amp;"Receptiva 3"&amp;Tabela1[[#This Row],[SETOR]],BD!A:AF,31,0),"")</f>
        <v/>
      </c>
      <c r="AK97" s="21" t="str">
        <f>IFERROR(VLOOKUP(Tabela1[[#This Row],[MÊS]]&amp;Tabela1[[#This Row],[ID]]&amp;Tabela1[[#This Row],[MATRICULA]]&amp;"Receptiva 4"&amp;Tabela1[[#This Row],[SETOR]],BD!A:AF,31,0),"")</f>
        <v/>
      </c>
      <c r="AL97" s="21">
        <f>IFERROR(VLOOKUP(Tabela1[[#This Row],[MÊS]]&amp;Tabela1[[#This Row],[MATRICULA]]&amp;"Motorista"&amp;Tabela1[[#This Row],[SETOR]],BD!A:AF,31,0),"")</f>
        <v>0</v>
      </c>
      <c r="AM97" s="21" t="str">
        <f>IFERROR(VLOOKUP(Tabela1[[#This Row],[MÊS]]&amp;Tabela1[[#This Row],[ID]]&amp;Tabela1[[#This Row],[MATRICULA]]&amp;"Motorista 2"&amp;Tabela1[[#This Row],[SETOR]],BD!A:AF,26,0),"")</f>
        <v/>
      </c>
      <c r="AN97" s="21" t="str">
        <f>IFERROR(VLOOKUP(Tabela1[[#This Row],[MÊS]]&amp;Tabela1[[#This Row],[ID]]&amp;Tabela1[[#This Row],[MATRICULA]]&amp;"Motorista 3"&amp;Tabela1[[#This Row],[SETOR]],BD!A:AF,26,0),"")</f>
        <v/>
      </c>
      <c r="AO97" s="21" t="str">
        <f>IFERROR(VLOOKUP(Tabela1[[#This Row],[MÊS]]&amp;Tabela1[[#This Row],[ID]]&amp;Tabela1[[#This Row],[MATRICULA]]&amp;"Motorista 4"&amp;Tabela1[[#This Row],[SETOR]],BD!A:AF,26,0),"")</f>
        <v/>
      </c>
      <c r="AP97" s="21" t="str">
        <f>IFERROR(VLOOKUP(Tabela1[[#This Row],[MÊS]]&amp;Tabela1[[#This Row],[MATRICULA]]&amp;"Ponto de Apoio"&amp;Tabela1[[#This Row],[SETOR]],BD!A:AF,31,0),"")</f>
        <v/>
      </c>
      <c r="AQ97" s="21" t="str">
        <f>IFERROR(VLOOKUP(Tabela1[[#This Row],[MÊS]]&amp;Tabela1[[#This Row],[ID]]&amp;Tabela1[[#This Row],[MATRICULA]]&amp;"Ponto de Apoio 2"&amp;Tabela1[[#This Row],[SETOR]],BD!A:AF,26,0),"")</f>
        <v/>
      </c>
      <c r="AR97" s="36" t="str">
        <f>IFERROR(VLOOKUP(Tabela1[[#This Row],[MÊS]]&amp;Tabela1[[#This Row],[ID]]&amp;Tabela1[[#This Row],[MATRICULA]]&amp;"Ponto de Apoio 3"&amp;Tabela1[[#This Row],[SETOR]],BD!A:AF,26,0),"")</f>
        <v/>
      </c>
      <c r="AS97" s="36" t="str">
        <f>IFERROR(VLOOKUP(Tabela1[[#This Row],[MÊS]]&amp;Tabela1[[#This Row],[ID]]&amp;Tabela1[[#This Row],[MATRICULA]]&amp;"Ponto de Apoio 4"&amp;Tabela1[[#This Row],[SETOR]],BD!A:AF,26,0),"")</f>
        <v/>
      </c>
      <c r="AT97" s="21" t="str">
        <f>IFERROR(VLOOKUP(Tabela1[[#This Row],[MÊS]]&amp;Tabela1[[#This Row],[MATRICULA]]&amp;"Cliente"&amp;Tabela1[[#This Row],[SETOR]],BD!A:AF,31,0),"")</f>
        <v/>
      </c>
      <c r="AU97" s="21" t="str">
        <f>IFERROR(VLOOKUP(Tabela1[[#This Row],[MÊS]]&amp;Tabela1[[#This Row],[ID]]&amp;Tabela1[[#This Row],[MATRICULA]]&amp;"Cliente 2"&amp;Tabela1[[#This Row],[SETOR]],BD!A:AF,26,0),"")</f>
        <v/>
      </c>
      <c r="AX97" s="21" t="str">
        <f>IFERROR(VLOOKUP(Tabela1[[#This Row],[MÊS]]&amp;Tabela1[[#This Row],[MATRICULA]]&amp;"Policia"&amp;Tabela1[[#This Row],[SETOR]],BD!A:AF,31,0),"")</f>
        <v/>
      </c>
      <c r="AY97" s="21" t="str">
        <f>IFERROR(VLOOKUP(Tabela1[[#This Row],[MÊS]]&amp;Tabela1[[#This Row],[ID]]&amp;Tabela1[[#This Row],[MATRICULA]]&amp;"Policia 2"&amp;Tabela1[[#This Row],[SETOR]],BD!A:AF,26,0),"")</f>
        <v/>
      </c>
      <c r="AZ97" s="36" t="str">
        <f>IFERROR(VLOOKUP(Tabela1[[#This Row],[MÊS]]&amp;Tabela1[[#This Row],[ID]]&amp;Tabela1[[#This Row],[MATRICULA]]&amp;"Policia 3"&amp;Tabela1[[#This Row],[SETOR]],BD!A:AF,26,0),"")</f>
        <v/>
      </c>
      <c r="BA97" s="36" t="str">
        <f>IFERROR(VLOOKUP(Tabela1[[#This Row],[MÊS]]&amp;Tabela1[[#This Row],[ID]]&amp;Tabela1[[#This Row],[MATRICULA]]&amp;"Policia 4"&amp;Tabela1[[#This Row],[SETOR]],BD!A:AF,26,0),"")</f>
        <v/>
      </c>
      <c r="BB9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7" s="21">
        <f>IFERROR(AVERAGE(Tabela1[[#This Row],[M]:[M4]]),"")</f>
        <v>0</v>
      </c>
      <c r="BD97" s="21" t="str">
        <f>IFERROR(AVERAGE(Tabela1[[#This Row],[C]:[C4]]),"")</f>
        <v/>
      </c>
      <c r="BE97" s="21" t="str">
        <f>IFERROR(AVERAGE(Tabela1[[#This Row],[PA2]:[PA 4]]),"")</f>
        <v/>
      </c>
      <c r="BF97" s="21" t="str">
        <f>IFERROR(AVERAGE(Tabela1[[#This Row],[PL]:[PL4]]),"")</f>
        <v/>
      </c>
      <c r="BG97" s="35" t="str">
        <f>IFERROR(VLOOKUP(Tabela1[[#This Row],[MÊS]]&amp;Tabela1[[#This Row],[MATRICULA]],#REF!,2,0),"")</f>
        <v/>
      </c>
      <c r="BH97" s="35" t="str">
        <f>IFERROR(VLOOKUP(Tabela1[[#This Row],[MÊS]]&amp;Tabela1[[#This Row],[MATRICULA]],#REF!,2,0),"")</f>
        <v/>
      </c>
      <c r="BI97" s="35" t="str">
        <f>IFERROR(VLOOKUP(Tabela1[[#This Row],[MÊS]]&amp;Tabela1[[#This Row],[MATRICULA]],#REF!,2,0),"")</f>
        <v/>
      </c>
      <c r="BJ97" s="35" t="str">
        <f>IFERROR(VLOOKUP(Tabela1[[#This Row],[MÊS]]&amp;Tabela1[[#This Row],[MATRICULA]],#REF!,2,0),"")</f>
        <v/>
      </c>
      <c r="BK97" s="35" t="str">
        <f>IFERROR(VLOOKUP(Tabela1[[#This Row],[MÊS]]&amp;Tabela1[[#This Row],[MATRICULA]],#REF!,2,0),"")</f>
        <v/>
      </c>
      <c r="BL97" s="21">
        <f>COUNTIF(Tabela1[[#This Row],[MOT2]:[RECEPTIVA]],"NÃO ENCONTRADA")</f>
        <v>0</v>
      </c>
      <c r="BM97" s="135" t="str">
        <f>IFERROR(VLOOKUP(Tabela1[[#This Row],[MÊS]]&amp;Tabela1[[#This Row],[ID]]&amp;Tabela1[[#This Row],[MATRICULA]]&amp;"Motorista"&amp;Tabela1[[#This Row],[SETOR]],BD!A:AF,13,0),"")</f>
        <v/>
      </c>
      <c r="BN97" s="135" t="str">
        <f>IFERROR(VLOOKUP(Tabela1[[#This Row],[MÊS]]&amp;Tabela1[[#This Row],[ID]]&amp;Tabela1[[#This Row],[MATRICULA]]&amp;"Motorista 2"&amp;Tabela1[[#This Row],[SETOR]],BD!A:AF,13,0),"")</f>
        <v/>
      </c>
      <c r="BO97" s="135" t="str">
        <f>IFERROR(VLOOKUP(Tabela1[[#This Row],[MÊS]]&amp;Tabela1[[#This Row],[ID]]&amp;Tabela1[[#This Row],[MATRICULA]]&amp;"Motorista 3"&amp;Tabela1[[#This Row],[SETOR]],BD!A:AF,13,0),"")</f>
        <v/>
      </c>
      <c r="BP97" s="135" t="str">
        <f>IFERROR(VLOOKUP(Tabela1[[#This Row],[MÊS]]&amp;Tabela1[[#This Row],[ID]]&amp;Tabela1[[#This Row],[MATRICULA]]&amp;"Motorista 4"&amp;Tabela1[[#This Row],[SETOR]],BD!A:AF,13,0),"")</f>
        <v/>
      </c>
      <c r="BQ97" s="135" t="str">
        <f>IFERROR(AVERAGE(Tabela1[[#This Row],[DMOT]:[DMOT4]]),"")</f>
        <v/>
      </c>
      <c r="BR97" s="135" t="str">
        <f>IFERROR(VLOOKUP(Tabela1[[#This Row],[MÊS]]&amp;Tabela1[[#This Row],[ID]]&amp;Tabela1[[#This Row],[MATRICULA]]&amp;"Ponto de Apoio"&amp;Tabela1[[#This Row],[SETOR]],BD!A:AF,13,0),"")</f>
        <v/>
      </c>
      <c r="BS97" s="135" t="str">
        <f>IFERROR(VLOOKUP(Tabela1[[#This Row],[MÊS]]&amp;Tabela1[[#This Row],[ID]]&amp;Tabela1[[#This Row],[MATRICULA]]&amp;"Ponto de Apoio 2"&amp;Tabela1[[#This Row],[SETOR]],BD!A:AF,13,0),"")</f>
        <v/>
      </c>
      <c r="BT97" s="135" t="str">
        <f>IFERROR(VLOOKUP(Tabela1[[#This Row],[MÊS]]&amp;Tabela1[[#This Row],[ID]]&amp;Tabela1[[#This Row],[MATRICULA]]&amp;"Ponto de Apoio 3"&amp;Tabela1[[#This Row],[SETOR]],BD!A:AF,13,0),"")</f>
        <v/>
      </c>
      <c r="BU97" s="135" t="str">
        <f>IFERROR(VLOOKUP(Tabela1[[#This Row],[MÊS]]&amp;Tabela1[[#This Row],[ID]]&amp;Tabela1[[#This Row],[MATRICULA]]&amp;"Ponto de Apoio 4"&amp;Tabela1[[#This Row],[SETOR]],BD!A:AF,13,0),"")</f>
        <v/>
      </c>
      <c r="BV97" s="135" t="str">
        <f>IFERROR(AVERAGE(Tabela1[[#This Row],[DPA]:[DPA 4]]),"")</f>
        <v/>
      </c>
      <c r="BW97" s="135" t="str">
        <f>IFERROR(VLOOKUP(Tabela1[[#This Row],[MÊS]]&amp;Tabela1[[#This Row],[ID]]&amp;Tabela1[[#This Row],[MATRICULA]]&amp;"Cliente"&amp;Tabela1[[#This Row],[SETOR]],BD!A:AF,13,0),"")</f>
        <v/>
      </c>
      <c r="BX97" s="135" t="str">
        <f>IFERROR(VLOOKUP(Tabela1[[#This Row],[MÊS]]&amp;Tabela1[[#This Row],[ID]]&amp;Tabela1[[#This Row],[MATRICULA]]&amp;"cliente 2"&amp;Tabela1[[#This Row],[SETOR]],BD!A:AF,13,0),"")</f>
        <v/>
      </c>
      <c r="BY97" s="135" t="str">
        <f>IFERROR(VLOOKUP(Tabela1[[#This Row],[MÊS]]&amp;Tabela1[[#This Row],[ID]]&amp;Tabela1[[#This Row],[MATRICULA]]&amp;"cliente 3"&amp;Tabela1[[#This Row],[SETOR]],BD!A:AF,13,0),"")</f>
        <v/>
      </c>
      <c r="BZ97" s="135" t="str">
        <f>IFERROR(VLOOKUP(Tabela1[[#This Row],[MÊS]]&amp;Tabela1[[#This Row],[ID]]&amp;Tabela1[[#This Row],[MATRICULA]]&amp;"cliente 4"&amp;Tabela1[[#This Row],[SETOR]],BD!A:AF,13,0),"")</f>
        <v/>
      </c>
      <c r="CA97" s="135" t="str">
        <f>IFERROR(AVERAGE(Tabela1[[#This Row],[DCLI]:[DCLI 4]]),"")</f>
        <v/>
      </c>
      <c r="CB97" s="135" t="str">
        <f>IFERROR(VLOOKUP(Tabela1[[#This Row],[MÊS]]&amp;Tabela1[[#This Row],[ID]]&amp;Tabela1[[#This Row],[MATRICULA]]&amp;"Policia"&amp;Tabela1[[#This Row],[SETOR]],BD!A:AF,13,0),"")</f>
        <v/>
      </c>
      <c r="CC97" s="135" t="str">
        <f>IFERROR(VLOOKUP(Tabela1[[#This Row],[MÊS]]&amp;Tabela1[[#This Row],[ID]]&amp;Tabela1[[#This Row],[MATRICULA]]&amp;"Policia 2"&amp;Tabela1[[#This Row],[SETOR]],BD!A:AF,13,0),"")</f>
        <v/>
      </c>
      <c r="CD97" s="135"/>
      <c r="CE97" s="135"/>
      <c r="CF97" s="135" t="str">
        <f>IFERROR((AVERAGE(Tabela1[[#This Row],[DPOL1]:[DPOL4]])),"")</f>
        <v/>
      </c>
      <c r="CG97" s="21" t="str">
        <f>IFERROR(VLOOKUP(Tabela1[[#This Row],[ID]]&amp;Tabela1[[#This Row],[MÊS]]&amp;Tabela1[[#This Row],[MATRICULA]],#REF!,2,0),"")</f>
        <v/>
      </c>
      <c r="CH97" s="21" t="str">
        <f>IFERROR(VLOOKUP(Tabela1[[#This Row],[ID]]&amp;Tabela1[[#This Row],[MÊS]]&amp;Tabela1[[#This Row],[MATRICULA]],#REF!,2,0),"")</f>
        <v/>
      </c>
      <c r="CI97" s="21" t="str">
        <f>IFERROR(VLOOKUP(Tabela1[[#This Row],[MÊS]]&amp;Tabela1[[#This Row],[MATRICULA]],#REF!,2,0),"")</f>
        <v/>
      </c>
    </row>
    <row r="98" spans="1:87">
      <c r="A98" s="12" t="str">
        <f>Tabela1[[#This Row],[MÊS]]&amp;Tabela1[[#This Row],[MATRICULA]]&amp;Tabela1[[#This Row],[ID]]</f>
        <v>JAN104902</v>
      </c>
      <c r="B98" s="12" t="str">
        <f>Tabela1[[#This Row],[MÊS]]&amp;Tabela1[[#This Row],[ID]]&amp;Tabela1[[#This Row],[MATRICULA]]&amp;Tabela1[[#This Row],[SETOR]]</f>
        <v>JAN210490UTI</v>
      </c>
      <c r="C98" s="130" t="e">
        <f>VLOOKUP(Tabela1[[#This Row],[MATRICULA]],'BD Campos'!A:D,5,0)</f>
        <v>#REF!</v>
      </c>
      <c r="D98" s="133" t="str">
        <f ca="1">IFERROR(SUM(TODAY()-Tabela1[[#This Row],[ADMISSÃO]]),"")</f>
        <v/>
      </c>
      <c r="E98" s="11" t="str">
        <f ca="1">IFERROR(TRUNC(Tabela1[[#This Row],[TEMPO DE CASA (DIAS)]]/30),"")</f>
        <v/>
      </c>
      <c r="F98" s="32" t="str">
        <f ca="1">IFERROR(SUM(Tabela1[[#This Row],[TEMPO DE CASA (MESES)]]/12),"")</f>
        <v/>
      </c>
      <c r="G98" s="133" t="str">
        <f ca="1">IF(Tabela1[[#This Row],[TEMPO DE CASA (DIAS)]]="","SEM DADOS",IF(Tabela1[[#This Row],[TEMPO DE CASA (DIAS)]]&gt;180,"&gt; 6 MESES","&lt; 6 MESES"))</f>
        <v>SEM DADOS</v>
      </c>
      <c r="H98" s="12" t="str">
        <f t="shared" si="10"/>
        <v>JANTanara Vigentin2</v>
      </c>
      <c r="I98" s="12" t="str">
        <f>IFERROR(VLOOKUP(Tabela1[[#This Row],[MATRICULA]],'BD Campos'!A:F,7,0),"")</f>
        <v/>
      </c>
      <c r="J98" s="11">
        <v>2</v>
      </c>
      <c r="K98" s="11" t="s">
        <v>669</v>
      </c>
      <c r="L98" s="136">
        <v>10490</v>
      </c>
      <c r="M98" s="12" t="str">
        <f>IFERROR(VLOOKUP(Tabela1[[#This Row],[MATRICULA]],'BD Campos'!A:B,2,0),"")</f>
        <v>JOAO VITOR DA SILVA GOMES</v>
      </c>
      <c r="N98" s="20">
        <f>IFERROR(AVERAGE(Tabela1[[#This Row],[A1]:[A4]]),"")</f>
        <v>0</v>
      </c>
      <c r="O98" s="20" t="str">
        <f>IFERROR(IF(Tabela1[[#This Row],[SETOR]]="RECEPTIVO","",AVERAGE(Tabela1[[#This Row],[A5]:[A6]])),"")</f>
        <v/>
      </c>
      <c r="P98" s="20" t="str">
        <f>IFERROR(IF(Tabela1[[#This Row],[STATUS]]="INATIVO","INATIVO",IF(Tabela1[[#This Row],[STATUS]]="QRT","INATIVO",IF(Tabela1[[#This Row],[OPERACIONAL]]&gt;7.99999,"BOM","RUIM"))),"")</f>
        <v>RUIM</v>
      </c>
      <c r="Q98" s="21" t="s">
        <v>667</v>
      </c>
      <c r="R98" s="12" t="s">
        <v>692</v>
      </c>
      <c r="S98" s="12" t="s">
        <v>693</v>
      </c>
      <c r="T98" s="12" t="s">
        <v>128</v>
      </c>
      <c r="U9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0.9</v>
      </c>
      <c r="V9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-0.02</v>
      </c>
      <c r="W98" s="12">
        <v>1</v>
      </c>
      <c r="X98" s="12">
        <v>1</v>
      </c>
      <c r="Y98" s="12">
        <f>IF(AND(Tabela1[[#This Row],[SETOR]]="UTI",Tabela1[[#This Row],[C]]&lt;&gt;""),1,IF(AND(Tabela1[[#This Row],[SETOR]]="UTI (RJ)",Tabela1[[#This Row],[C]]&lt;&gt;""),1.5,0))</f>
        <v>0</v>
      </c>
      <c r="Z98" s="12">
        <f>IF(AND(Tabela1[[#This Row],[SETOR]]="UTI",Tabela1[[#This Row],[PL]]&lt;&gt;""),1,IF(AND(Tabela1[[#This Row],[SETOR]]="UTI (RJ)",Tabela1[[#This Row],[PL]]&lt;&gt;""),1,0))</f>
        <v>0</v>
      </c>
      <c r="AA98" s="21">
        <f>IFERROR(VLOOKUP(Tabela1[[#This Row],[MÊS]]&amp;Tabela1[[#This Row],[MATRICULA]]&amp;"1"&amp;Tabela1[[#This Row],[SETOR]]&amp;"PADRÃO",BD!B:AF,31,0),"")</f>
        <v>0</v>
      </c>
      <c r="AB98" s="21">
        <f>IFERROR(VLOOKUP(Tabela1[[#This Row],[MÊS]]&amp;Tabela1[[#This Row],[MATRICULA]]&amp;"2"&amp;Tabela1[[#This Row],[SETOR]]&amp;"PADRÃO",BD!B:AF,31,0),"")</f>
        <v>0</v>
      </c>
      <c r="AC98" s="21" t="str">
        <f>IFERROR(VLOOKUP(Tabela1[[#This Row],[MÊS]]&amp;Tabela1[[#This Row],[MATRICULA]]&amp;"3"&amp;Tabela1[[#This Row],[SETOR]]&amp;"PADRÃO",BD!B:AF,31,0),"")</f>
        <v/>
      </c>
      <c r="AD98" s="21" t="str">
        <f>IFERROR(VLOOKUP(Tabela1[[#This Row],[MÊS]]&amp;Tabela1[[#This Row],[MATRICULA]]&amp;"4"&amp;Tabela1[[#This Row],[SETOR]]&amp;"PADRÃO",BD!B:AF,25,0),"")</f>
        <v/>
      </c>
      <c r="AE98" s="21" t="str">
        <f>IFERROR(VLOOKUP(Tabela1[[#This Row],[MÊS]]&amp;Tabela1[[#This Row],[MATRICULA]]&amp;"5"&amp;Tabela1[[#This Row],[SETOR]]&amp;"PADRÃO",BD!B:AF,31,0),"")</f>
        <v/>
      </c>
      <c r="AF98" s="21" t="str">
        <f>IFERROR(VLOOKUP(Tabela1[[#This Row],[MÊS]]&amp;Tabela1[[#This Row],[MATRICULA]]&amp;"6"&amp;Tabela1[[#This Row],[SETOR]]&amp;"PADRÃO",BD!B:AF,31,0),"")</f>
        <v/>
      </c>
      <c r="AG98" s="21" t="str">
        <f>IFERROR(VLOOKUP(Tabela1[[#This Row],[MÊS]]&amp;Tabela1[[#This Row],[MATRICULA]]&amp;"7"&amp;Tabela1[[#This Row],[SETOR]]&amp;"PADRÃO",BD!B:AF,31,0),"")</f>
        <v/>
      </c>
      <c r="AH98" s="21" t="str">
        <f>IFERROR(VLOOKUP(Tabela1[[#This Row],[MÊS]]&amp;Tabela1[[#This Row],[ID]]&amp;Tabela1[[#This Row],[MATRICULA]]&amp;"Receptiva"&amp;Tabela1[[#This Row],[SETOR]],BD!A:AF,31,0),"")</f>
        <v/>
      </c>
      <c r="AI98" s="21" t="str">
        <f>IFERROR(VLOOKUP(Tabela1[[#This Row],[MÊS]]&amp;Tabela1[[#This Row],[ID]]&amp;Tabela1[[#This Row],[MATRICULA]]&amp;"Receptiva 2"&amp;Tabela1[[#This Row],[SETOR]],BD!A:AF,31,0),"")</f>
        <v/>
      </c>
      <c r="AJ98" s="21" t="str">
        <f>IFERROR(VLOOKUP(Tabela1[[#This Row],[MÊS]]&amp;Tabela1[[#This Row],[ID]]&amp;Tabela1[[#This Row],[MATRICULA]]&amp;"Receptiva 3"&amp;Tabela1[[#This Row],[SETOR]],BD!A:AF,31,0),"")</f>
        <v/>
      </c>
      <c r="AK98" s="21" t="str">
        <f>IFERROR(VLOOKUP(Tabela1[[#This Row],[MÊS]]&amp;Tabela1[[#This Row],[ID]]&amp;Tabela1[[#This Row],[MATRICULA]]&amp;"Receptiva 4"&amp;Tabela1[[#This Row],[SETOR]],BD!A:AF,31,0),"")</f>
        <v/>
      </c>
      <c r="AL98" s="21" t="str">
        <f>IFERROR(VLOOKUP(Tabela1[[#This Row],[MÊS]]&amp;Tabela1[[#This Row],[MATRICULA]]&amp;"Motorista"&amp;Tabela1[[#This Row],[SETOR]],BD!A:AF,31,0),"")</f>
        <v/>
      </c>
      <c r="AM98" s="21" t="str">
        <f>IFERROR(VLOOKUP(Tabela1[[#This Row],[MÊS]]&amp;Tabela1[[#This Row],[ID]]&amp;Tabela1[[#This Row],[MATRICULA]]&amp;"Motorista 2"&amp;Tabela1[[#This Row],[SETOR]],BD!A:AF,26,0),"")</f>
        <v/>
      </c>
      <c r="AN98" s="21" t="str">
        <f>IFERROR(VLOOKUP(Tabela1[[#This Row],[MÊS]]&amp;Tabela1[[#This Row],[ID]]&amp;Tabela1[[#This Row],[MATRICULA]]&amp;"Motorista 3"&amp;Tabela1[[#This Row],[SETOR]],BD!A:AF,26,0),"")</f>
        <v/>
      </c>
      <c r="AO98" s="21" t="str">
        <f>IFERROR(VLOOKUP(Tabela1[[#This Row],[MÊS]]&amp;Tabela1[[#This Row],[ID]]&amp;Tabela1[[#This Row],[MATRICULA]]&amp;"Motorista 4"&amp;Tabela1[[#This Row],[SETOR]],BD!A:AF,26,0),"")</f>
        <v/>
      </c>
      <c r="AP98" s="21" t="str">
        <f>IFERROR(VLOOKUP(Tabela1[[#This Row],[MÊS]]&amp;Tabela1[[#This Row],[MATRICULA]]&amp;"Ponto de Apoio"&amp;Tabela1[[#This Row],[SETOR]],BD!A:AF,31,0),"")</f>
        <v/>
      </c>
      <c r="AQ98" s="21" t="str">
        <f>IFERROR(VLOOKUP(Tabela1[[#This Row],[MÊS]]&amp;Tabela1[[#This Row],[ID]]&amp;Tabela1[[#This Row],[MATRICULA]]&amp;"Ponto de Apoio 2"&amp;Tabela1[[#This Row],[SETOR]],BD!A:AF,26,0),"")</f>
        <v/>
      </c>
      <c r="AR98" s="36" t="str">
        <f>IFERROR(VLOOKUP(Tabela1[[#This Row],[MÊS]]&amp;Tabela1[[#This Row],[ID]]&amp;Tabela1[[#This Row],[MATRICULA]]&amp;"Ponto de Apoio 3"&amp;Tabela1[[#This Row],[SETOR]],BD!A:AF,26,0),"")</f>
        <v/>
      </c>
      <c r="AS98" s="36" t="str">
        <f>IFERROR(VLOOKUP(Tabela1[[#This Row],[MÊS]]&amp;Tabela1[[#This Row],[ID]]&amp;Tabela1[[#This Row],[MATRICULA]]&amp;"Ponto de Apoio 4"&amp;Tabela1[[#This Row],[SETOR]],BD!A:AF,26,0),"")</f>
        <v/>
      </c>
      <c r="AT98" s="21" t="str">
        <f>IFERROR(VLOOKUP(Tabela1[[#This Row],[MÊS]]&amp;Tabela1[[#This Row],[MATRICULA]]&amp;"Cliente"&amp;Tabela1[[#This Row],[SETOR]],BD!A:AF,31,0),"")</f>
        <v/>
      </c>
      <c r="AU98" s="21" t="str">
        <f>IFERROR(VLOOKUP(Tabela1[[#This Row],[MÊS]]&amp;Tabela1[[#This Row],[ID]]&amp;Tabela1[[#This Row],[MATRICULA]]&amp;"Cliente 2"&amp;Tabela1[[#This Row],[SETOR]],BD!A:AF,26,0),"")</f>
        <v/>
      </c>
      <c r="AX98" s="21" t="str">
        <f>IFERROR(VLOOKUP(Tabela1[[#This Row],[MÊS]]&amp;Tabela1[[#This Row],[MATRICULA]]&amp;"Policia"&amp;Tabela1[[#This Row],[SETOR]],BD!A:AF,31,0),"")</f>
        <v/>
      </c>
      <c r="AY98" s="21" t="str">
        <f>IFERROR(VLOOKUP(Tabela1[[#This Row],[MÊS]]&amp;Tabela1[[#This Row],[ID]]&amp;Tabela1[[#This Row],[MATRICULA]]&amp;"Policia 2"&amp;Tabela1[[#This Row],[SETOR]],BD!A:AF,26,0),"")</f>
        <v/>
      </c>
      <c r="AZ98" s="36" t="str">
        <f>IFERROR(VLOOKUP(Tabela1[[#This Row],[MÊS]]&amp;Tabela1[[#This Row],[ID]]&amp;Tabela1[[#This Row],[MATRICULA]]&amp;"Policia 3"&amp;Tabela1[[#This Row],[SETOR]],BD!A:AF,26,0),"")</f>
        <v/>
      </c>
      <c r="BA98" s="36" t="str">
        <f>IFERROR(VLOOKUP(Tabela1[[#This Row],[MÊS]]&amp;Tabela1[[#This Row],[ID]]&amp;Tabela1[[#This Row],[MATRICULA]]&amp;"Policia 4"&amp;Tabela1[[#This Row],[SETOR]],BD!A:AF,26,0),"")</f>
        <v/>
      </c>
      <c r="BB9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8" s="21" t="str">
        <f>IFERROR(AVERAGE(Tabela1[[#This Row],[M]:[M4]]),"")</f>
        <v/>
      </c>
      <c r="BD98" s="21" t="str">
        <f>IFERROR(AVERAGE(Tabela1[[#This Row],[C]:[C4]]),"")</f>
        <v/>
      </c>
      <c r="BE98" s="21" t="str">
        <f>IFERROR(AVERAGE(Tabela1[[#This Row],[PA2]:[PA 4]]),"")</f>
        <v/>
      </c>
      <c r="BF98" s="21" t="str">
        <f>IFERROR(AVERAGE(Tabela1[[#This Row],[PL]:[PL4]]),"")</f>
        <v/>
      </c>
      <c r="BG98" s="35" t="str">
        <f>IFERROR(VLOOKUP(Tabela1[[#This Row],[MÊS]]&amp;Tabela1[[#This Row],[MATRICULA]],#REF!,2,0),"")</f>
        <v/>
      </c>
      <c r="BH98" s="35" t="str">
        <f>IFERROR(VLOOKUP(Tabela1[[#This Row],[MÊS]]&amp;Tabela1[[#This Row],[MATRICULA]],#REF!,2,0),"")</f>
        <v/>
      </c>
      <c r="BI98" s="35" t="str">
        <f>IFERROR(VLOOKUP(Tabela1[[#This Row],[MÊS]]&amp;Tabela1[[#This Row],[MATRICULA]],#REF!,2,0),"")</f>
        <v/>
      </c>
      <c r="BJ98" s="35" t="str">
        <f>IFERROR(VLOOKUP(Tabela1[[#This Row],[MÊS]]&amp;Tabela1[[#This Row],[MATRICULA]],#REF!,2,0),"")</f>
        <v/>
      </c>
      <c r="BK98" s="35" t="str">
        <f>IFERROR(VLOOKUP(Tabela1[[#This Row],[MÊS]]&amp;Tabela1[[#This Row],[MATRICULA]],#REF!,2,0),"")</f>
        <v/>
      </c>
      <c r="BL98" s="21">
        <f>COUNTIF(Tabela1[[#This Row],[MOT2]:[RECEPTIVA]],"NÃO ENCONTRADA")</f>
        <v>0</v>
      </c>
      <c r="BM98" s="135" t="str">
        <f>IFERROR(VLOOKUP(Tabela1[[#This Row],[MÊS]]&amp;Tabela1[[#This Row],[ID]]&amp;Tabela1[[#This Row],[MATRICULA]]&amp;"Motorista"&amp;Tabela1[[#This Row],[SETOR]],BD!A:AF,13,0),"")</f>
        <v/>
      </c>
      <c r="BN98" s="135" t="str">
        <f>IFERROR(VLOOKUP(Tabela1[[#This Row],[MÊS]]&amp;Tabela1[[#This Row],[ID]]&amp;Tabela1[[#This Row],[MATRICULA]]&amp;"Motorista 2"&amp;Tabela1[[#This Row],[SETOR]],BD!A:AF,13,0),"")</f>
        <v/>
      </c>
      <c r="BO98" s="135" t="str">
        <f>IFERROR(VLOOKUP(Tabela1[[#This Row],[MÊS]]&amp;Tabela1[[#This Row],[ID]]&amp;Tabela1[[#This Row],[MATRICULA]]&amp;"Motorista 3"&amp;Tabela1[[#This Row],[SETOR]],BD!A:AF,13,0),"")</f>
        <v/>
      </c>
      <c r="BP98" s="135" t="str">
        <f>IFERROR(VLOOKUP(Tabela1[[#This Row],[MÊS]]&amp;Tabela1[[#This Row],[ID]]&amp;Tabela1[[#This Row],[MATRICULA]]&amp;"Motorista 4"&amp;Tabela1[[#This Row],[SETOR]],BD!A:AF,13,0),"")</f>
        <v/>
      </c>
      <c r="BQ98" s="135" t="str">
        <f>IFERROR(AVERAGE(Tabela1[[#This Row],[DMOT]:[DMOT4]]),"")</f>
        <v/>
      </c>
      <c r="BR98" s="135" t="str">
        <f>IFERROR(VLOOKUP(Tabela1[[#This Row],[MÊS]]&amp;Tabela1[[#This Row],[ID]]&amp;Tabela1[[#This Row],[MATRICULA]]&amp;"Ponto de Apoio"&amp;Tabela1[[#This Row],[SETOR]],BD!A:AF,13,0),"")</f>
        <v/>
      </c>
      <c r="BS98" s="135" t="str">
        <f>IFERROR(VLOOKUP(Tabela1[[#This Row],[MÊS]]&amp;Tabela1[[#This Row],[ID]]&amp;Tabela1[[#This Row],[MATRICULA]]&amp;"Ponto de Apoio 2"&amp;Tabela1[[#This Row],[SETOR]],BD!A:AF,13,0),"")</f>
        <v/>
      </c>
      <c r="BT98" s="135" t="str">
        <f>IFERROR(VLOOKUP(Tabela1[[#This Row],[MÊS]]&amp;Tabela1[[#This Row],[ID]]&amp;Tabela1[[#This Row],[MATRICULA]]&amp;"Ponto de Apoio 3"&amp;Tabela1[[#This Row],[SETOR]],BD!A:AF,13,0),"")</f>
        <v/>
      </c>
      <c r="BU98" s="135" t="str">
        <f>IFERROR(VLOOKUP(Tabela1[[#This Row],[MÊS]]&amp;Tabela1[[#This Row],[ID]]&amp;Tabela1[[#This Row],[MATRICULA]]&amp;"Ponto de Apoio 4"&amp;Tabela1[[#This Row],[SETOR]],BD!A:AF,13,0),"")</f>
        <v/>
      </c>
      <c r="BV98" s="135" t="str">
        <f>IFERROR(AVERAGE(Tabela1[[#This Row],[DPA]:[DPA 4]]),"")</f>
        <v/>
      </c>
      <c r="BW98" s="135" t="str">
        <f>IFERROR(VLOOKUP(Tabela1[[#This Row],[MÊS]]&amp;Tabela1[[#This Row],[ID]]&amp;Tabela1[[#This Row],[MATRICULA]]&amp;"Cliente"&amp;Tabela1[[#This Row],[SETOR]],BD!A:AF,13,0),"")</f>
        <v/>
      </c>
      <c r="BX98" s="135" t="str">
        <f>IFERROR(VLOOKUP(Tabela1[[#This Row],[MÊS]]&amp;Tabela1[[#This Row],[ID]]&amp;Tabela1[[#This Row],[MATRICULA]]&amp;"cliente 2"&amp;Tabela1[[#This Row],[SETOR]],BD!A:AF,13,0),"")</f>
        <v/>
      </c>
      <c r="BY98" s="135" t="str">
        <f>IFERROR(VLOOKUP(Tabela1[[#This Row],[MÊS]]&amp;Tabela1[[#This Row],[ID]]&amp;Tabela1[[#This Row],[MATRICULA]]&amp;"cliente 3"&amp;Tabela1[[#This Row],[SETOR]],BD!A:AF,13,0),"")</f>
        <v/>
      </c>
      <c r="BZ98" s="135" t="str">
        <f>IFERROR(VLOOKUP(Tabela1[[#This Row],[MÊS]]&amp;Tabela1[[#This Row],[ID]]&amp;Tabela1[[#This Row],[MATRICULA]]&amp;"cliente 4"&amp;Tabela1[[#This Row],[SETOR]],BD!A:AF,13,0),"")</f>
        <v/>
      </c>
      <c r="CA98" s="135" t="str">
        <f>IFERROR(AVERAGE(Tabela1[[#This Row],[DCLI]:[DCLI 4]]),"")</f>
        <v/>
      </c>
      <c r="CB98" s="135" t="str">
        <f>IFERROR(VLOOKUP(Tabela1[[#This Row],[MÊS]]&amp;Tabela1[[#This Row],[ID]]&amp;Tabela1[[#This Row],[MATRICULA]]&amp;"Policia"&amp;Tabela1[[#This Row],[SETOR]],BD!A:AF,13,0),"")</f>
        <v/>
      </c>
      <c r="CC98" s="135" t="str">
        <f>IFERROR(VLOOKUP(Tabela1[[#This Row],[MÊS]]&amp;Tabela1[[#This Row],[ID]]&amp;Tabela1[[#This Row],[MATRICULA]]&amp;"Policia 2"&amp;Tabela1[[#This Row],[SETOR]],BD!A:AF,13,0),"")</f>
        <v/>
      </c>
      <c r="CD98" s="135"/>
      <c r="CE98" s="135"/>
      <c r="CF98" s="135" t="str">
        <f>IFERROR((AVERAGE(Tabela1[[#This Row],[DPOL1]:[DPOL4]])),"")</f>
        <v/>
      </c>
      <c r="CG98" s="21" t="str">
        <f>IFERROR(VLOOKUP(Tabela1[[#This Row],[ID]]&amp;Tabela1[[#This Row],[MÊS]]&amp;Tabela1[[#This Row],[MATRICULA]],#REF!,2,0),"")</f>
        <v/>
      </c>
      <c r="CH98" s="21" t="str">
        <f>IFERROR(VLOOKUP(Tabela1[[#This Row],[ID]]&amp;Tabela1[[#This Row],[MÊS]]&amp;Tabela1[[#This Row],[MATRICULA]],#REF!,2,0),"")</f>
        <v/>
      </c>
      <c r="CI98" s="21" t="str">
        <f>IFERROR(VLOOKUP(Tabela1[[#This Row],[MÊS]]&amp;Tabela1[[#This Row],[MATRICULA]],#REF!,2,0),"")</f>
        <v/>
      </c>
    </row>
    <row r="99" spans="1:87">
      <c r="A99" s="12" t="str">
        <f>Tabela1[[#This Row],[MÊS]]&amp;Tabela1[[#This Row],[MATRICULA]]&amp;Tabela1[[#This Row],[ID]]</f>
        <v>JAN107653</v>
      </c>
      <c r="B99" s="12" t="str">
        <f>Tabela1[[#This Row],[MÊS]]&amp;Tabela1[[#This Row],[ID]]&amp;Tabela1[[#This Row],[MATRICULA]]&amp;Tabela1[[#This Row],[SETOR]]</f>
        <v>JAN310765UTI (RJ)</v>
      </c>
      <c r="C99" s="130" t="e">
        <f>VLOOKUP(Tabela1[[#This Row],[MATRICULA]],'BD Campos'!A:D,5,0)</f>
        <v>#REF!</v>
      </c>
      <c r="D99" s="133" t="str">
        <f ca="1">IFERROR(SUM(TODAY()-Tabela1[[#This Row],[ADMISSÃO]]),"")</f>
        <v/>
      </c>
      <c r="E99" s="11" t="str">
        <f ca="1">IFERROR(TRUNC(Tabela1[[#This Row],[TEMPO DE CASA (DIAS)]]/30),"")</f>
        <v/>
      </c>
      <c r="F99" s="32" t="str">
        <f ca="1">IFERROR(SUM(Tabela1[[#This Row],[TEMPO DE CASA (MESES)]]/12),"")</f>
        <v/>
      </c>
      <c r="G99" s="133" t="str">
        <f ca="1">IF(Tabela1[[#This Row],[TEMPO DE CASA (DIAS)]]="","SEM DADOS",IF(Tabela1[[#This Row],[TEMPO DE CASA (DIAS)]]&gt;180,"&gt; 6 MESES","&lt; 6 MESES"))</f>
        <v>SEM DADOS</v>
      </c>
      <c r="H99" s="12" t="str">
        <f t="shared" si="10"/>
        <v>JANTanara Vigentin3</v>
      </c>
      <c r="I99" s="12" t="str">
        <f>IFERROR(VLOOKUP(Tabela1[[#This Row],[MATRICULA]],'BD Campos'!A:F,7,0),"")</f>
        <v/>
      </c>
      <c r="J99" s="11">
        <v>3</v>
      </c>
      <c r="K99" s="11" t="s">
        <v>669</v>
      </c>
      <c r="L99" s="136">
        <v>10765</v>
      </c>
      <c r="M99" s="12" t="str">
        <f>IFERROR(VLOOKUP(Tabela1[[#This Row],[MATRICULA]],'BD Campos'!A:B,2,0),"")</f>
        <v>LUCIANE DO ROCIO SANTOS DA SILVA</v>
      </c>
      <c r="N99" s="20">
        <f>IFERROR(AVERAGE(Tabela1[[#This Row],[A1]:[A4]]),"")</f>
        <v>8.4164999999999992</v>
      </c>
      <c r="O99" s="20" t="str">
        <f>IFERROR(IF(Tabela1[[#This Row],[SETOR]]="RECEPTIVO","",AVERAGE(Tabela1[[#This Row],[A5]:[A6]])),"")</f>
        <v/>
      </c>
      <c r="P99" s="20" t="str">
        <f>IFERROR(IF(Tabela1[[#This Row],[STATUS]]="INATIVO","INATIVO",IF(Tabela1[[#This Row],[STATUS]]="QRT","INATIVO",IF(Tabela1[[#This Row],[OPERACIONAL]]&gt;7.99999,"BOM","RUIM"))),"")</f>
        <v>BOM</v>
      </c>
      <c r="Q99" s="21" t="s">
        <v>667</v>
      </c>
      <c r="R99" s="12" t="s">
        <v>694</v>
      </c>
      <c r="S99" s="12" t="s">
        <v>693</v>
      </c>
      <c r="T99" s="12" t="s">
        <v>215</v>
      </c>
      <c r="U9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1.1000000000000001</v>
      </c>
      <c r="V9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0.04</v>
      </c>
      <c r="W99" s="12">
        <f>IF(AND(Tabela1[[#This Row],[SETOR]]="UTI",Tabela1[[#This Row],[M]]&lt;&gt;""),1,IF(AND(Tabela1[[#This Row],[SETOR]]="UTI (RJ)",Tabela1[[#This Row],[M]]&lt;&gt;""),1.5,0))</f>
        <v>1.5</v>
      </c>
      <c r="X99" s="12">
        <v>1</v>
      </c>
      <c r="Y99" s="12">
        <v>1.5</v>
      </c>
      <c r="Z99" s="12">
        <v>1.5</v>
      </c>
      <c r="AA99" s="21">
        <f>IFERROR(VLOOKUP(Tabela1[[#This Row],[MÊS]]&amp;Tabela1[[#This Row],[MATRICULA]]&amp;"1"&amp;Tabela1[[#This Row],[SETOR]]&amp;"PADRÃO",BD!B:AF,31,0),"")</f>
        <v>8.2149999999999999</v>
      </c>
      <c r="AB99" s="21">
        <f>IFERROR(VLOOKUP(Tabela1[[#This Row],[MÊS]]&amp;Tabela1[[#This Row],[MATRICULA]]&amp;"2"&amp;Tabela1[[#This Row],[SETOR]]&amp;"PADRÃO",BD!B:AF,31,0),"")</f>
        <v>8.6179999999999986</v>
      </c>
      <c r="AC99" s="21" t="str">
        <f>IFERROR(VLOOKUP(Tabela1[[#This Row],[MÊS]]&amp;Tabela1[[#This Row],[MATRICULA]]&amp;"3"&amp;Tabela1[[#This Row],[SETOR]]&amp;"PADRÃO",BD!B:AF,31,0),"")</f>
        <v/>
      </c>
      <c r="AD99" s="21" t="str">
        <f>IFERROR(VLOOKUP(Tabela1[[#This Row],[MÊS]]&amp;Tabela1[[#This Row],[MATRICULA]]&amp;"4"&amp;Tabela1[[#This Row],[SETOR]]&amp;"PADRÃO",BD!B:AF,25,0),"")</f>
        <v/>
      </c>
      <c r="AE99" s="21" t="str">
        <f>IFERROR(VLOOKUP(Tabela1[[#This Row],[MÊS]]&amp;Tabela1[[#This Row],[MATRICULA]]&amp;"5"&amp;Tabela1[[#This Row],[SETOR]]&amp;"PADRÃO",BD!B:AF,31,0),"")</f>
        <v/>
      </c>
      <c r="AF99" s="21" t="str">
        <f>IFERROR(VLOOKUP(Tabela1[[#This Row],[MÊS]]&amp;Tabela1[[#This Row],[MATRICULA]]&amp;"6"&amp;Tabela1[[#This Row],[SETOR]]&amp;"PADRÃO",BD!B:AF,31,0),"")</f>
        <v/>
      </c>
      <c r="AG99" s="21" t="str">
        <f>IFERROR(VLOOKUP(Tabela1[[#This Row],[MÊS]]&amp;Tabela1[[#This Row],[MATRICULA]]&amp;"7"&amp;Tabela1[[#This Row],[SETOR]]&amp;"PADRÃO",BD!B:AF,31,0),"")</f>
        <v/>
      </c>
      <c r="AH99" s="21" t="str">
        <f>IFERROR(VLOOKUP(Tabela1[[#This Row],[MÊS]]&amp;Tabela1[[#This Row],[ID]]&amp;Tabela1[[#This Row],[MATRICULA]]&amp;"Receptiva"&amp;Tabela1[[#This Row],[SETOR]],BD!A:AF,31,0),"")</f>
        <v/>
      </c>
      <c r="AI99" s="21" t="str">
        <f>IFERROR(VLOOKUP(Tabela1[[#This Row],[MÊS]]&amp;Tabela1[[#This Row],[ID]]&amp;Tabela1[[#This Row],[MATRICULA]]&amp;"Receptiva 2"&amp;Tabela1[[#This Row],[SETOR]],BD!A:AF,31,0),"")</f>
        <v/>
      </c>
      <c r="AJ99" s="21" t="str">
        <f>IFERROR(VLOOKUP(Tabela1[[#This Row],[MÊS]]&amp;Tabela1[[#This Row],[ID]]&amp;Tabela1[[#This Row],[MATRICULA]]&amp;"Receptiva 3"&amp;Tabela1[[#This Row],[SETOR]],BD!A:AF,31,0),"")</f>
        <v/>
      </c>
      <c r="AK99" s="21" t="str">
        <f>IFERROR(VLOOKUP(Tabela1[[#This Row],[MÊS]]&amp;Tabela1[[#This Row],[ID]]&amp;Tabela1[[#This Row],[MATRICULA]]&amp;"Receptiva 4"&amp;Tabela1[[#This Row],[SETOR]],BD!A:AF,31,0),"")</f>
        <v/>
      </c>
      <c r="AL99" s="21">
        <f>IFERROR(VLOOKUP(Tabela1[[#This Row],[MÊS]]&amp;Tabela1[[#This Row],[MATRICULA]]&amp;"Motorista"&amp;Tabela1[[#This Row],[SETOR]],BD!A:AF,31,0),"")</f>
        <v>0</v>
      </c>
      <c r="AM99" s="21" t="str">
        <f>IFERROR(VLOOKUP(Tabela1[[#This Row],[MÊS]]&amp;Tabela1[[#This Row],[ID]]&amp;Tabela1[[#This Row],[MATRICULA]]&amp;"Motorista 2"&amp;Tabela1[[#This Row],[SETOR]],BD!A:AF,26,0),"")</f>
        <v/>
      </c>
      <c r="AN99" s="21" t="str">
        <f>IFERROR(VLOOKUP(Tabela1[[#This Row],[MÊS]]&amp;Tabela1[[#This Row],[ID]]&amp;Tabela1[[#This Row],[MATRICULA]]&amp;"Motorista 3"&amp;Tabela1[[#This Row],[SETOR]],BD!A:AF,26,0),"")</f>
        <v/>
      </c>
      <c r="AO99" s="21" t="str">
        <f>IFERROR(VLOOKUP(Tabela1[[#This Row],[MÊS]]&amp;Tabela1[[#This Row],[ID]]&amp;Tabela1[[#This Row],[MATRICULA]]&amp;"Motorista 4"&amp;Tabela1[[#This Row],[SETOR]],BD!A:AF,26,0),"")</f>
        <v/>
      </c>
      <c r="AP99" s="21" t="str">
        <f>IFERROR(VLOOKUP(Tabela1[[#This Row],[MÊS]]&amp;Tabela1[[#This Row],[MATRICULA]]&amp;"Ponto de Apoio"&amp;Tabela1[[#This Row],[SETOR]],BD!A:AF,31,0),"")</f>
        <v/>
      </c>
      <c r="AQ99" s="21" t="str">
        <f>IFERROR(VLOOKUP(Tabela1[[#This Row],[MÊS]]&amp;Tabela1[[#This Row],[ID]]&amp;Tabela1[[#This Row],[MATRICULA]]&amp;"Ponto de Apoio 2"&amp;Tabela1[[#This Row],[SETOR]],BD!A:AF,26,0),"")</f>
        <v/>
      </c>
      <c r="AR99" s="36" t="str">
        <f>IFERROR(VLOOKUP(Tabela1[[#This Row],[MÊS]]&amp;Tabela1[[#This Row],[ID]]&amp;Tabela1[[#This Row],[MATRICULA]]&amp;"Ponto de Apoio 3"&amp;Tabela1[[#This Row],[SETOR]],BD!A:AF,26,0),"")</f>
        <v/>
      </c>
      <c r="AS99" s="36" t="str">
        <f>IFERROR(VLOOKUP(Tabela1[[#This Row],[MÊS]]&amp;Tabela1[[#This Row],[ID]]&amp;Tabela1[[#This Row],[MATRICULA]]&amp;"Ponto de Apoio 4"&amp;Tabela1[[#This Row],[SETOR]],BD!A:AF,26,0),"")</f>
        <v/>
      </c>
      <c r="AT99" s="21" t="str">
        <f>IFERROR(VLOOKUP(Tabela1[[#This Row],[MÊS]]&amp;Tabela1[[#This Row],[MATRICULA]]&amp;"Cliente"&amp;Tabela1[[#This Row],[SETOR]],BD!A:AF,31,0),"")</f>
        <v/>
      </c>
      <c r="AU99" s="21" t="str">
        <f>IFERROR(VLOOKUP(Tabela1[[#This Row],[MÊS]]&amp;Tabela1[[#This Row],[ID]]&amp;Tabela1[[#This Row],[MATRICULA]]&amp;"Cliente 2"&amp;Tabela1[[#This Row],[SETOR]],BD!A:AF,26,0),"")</f>
        <v/>
      </c>
      <c r="AX99" s="21" t="str">
        <f>IFERROR(VLOOKUP(Tabela1[[#This Row],[MÊS]]&amp;Tabela1[[#This Row],[MATRICULA]]&amp;"Policia"&amp;Tabela1[[#This Row],[SETOR]],BD!A:AF,31,0),"")</f>
        <v/>
      </c>
      <c r="AY99" s="21" t="str">
        <f>IFERROR(VLOOKUP(Tabela1[[#This Row],[MÊS]]&amp;Tabela1[[#This Row],[ID]]&amp;Tabela1[[#This Row],[MATRICULA]]&amp;"Policia 2"&amp;Tabela1[[#This Row],[SETOR]],BD!A:AF,26,0),"")</f>
        <v/>
      </c>
      <c r="AZ99" s="36" t="str">
        <f>IFERROR(VLOOKUP(Tabela1[[#This Row],[MÊS]]&amp;Tabela1[[#This Row],[ID]]&amp;Tabela1[[#This Row],[MATRICULA]]&amp;"Policia 3"&amp;Tabela1[[#This Row],[SETOR]],BD!A:AF,26,0),"")</f>
        <v/>
      </c>
      <c r="BA99" s="36" t="str">
        <f>IFERROR(VLOOKUP(Tabela1[[#This Row],[MÊS]]&amp;Tabela1[[#This Row],[ID]]&amp;Tabela1[[#This Row],[MATRICULA]]&amp;"Policia 4"&amp;Tabela1[[#This Row],[SETOR]],BD!A:AF,26,0),"")</f>
        <v/>
      </c>
      <c r="BB9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99" s="21">
        <f>IFERROR(AVERAGE(Tabela1[[#This Row],[M]:[M4]]),"")</f>
        <v>0</v>
      </c>
      <c r="BD99" s="21" t="str">
        <f>IFERROR(AVERAGE(Tabela1[[#This Row],[C]:[C4]]),"")</f>
        <v/>
      </c>
      <c r="BE99" s="21" t="str">
        <f>IFERROR(AVERAGE(Tabela1[[#This Row],[PA2]:[PA 4]]),"")</f>
        <v/>
      </c>
      <c r="BF99" s="21" t="str">
        <f>IFERROR(AVERAGE(Tabela1[[#This Row],[PL]:[PL4]]),"")</f>
        <v/>
      </c>
      <c r="BG99" s="35" t="str">
        <f>IFERROR(VLOOKUP(Tabela1[[#This Row],[MÊS]]&amp;Tabela1[[#This Row],[MATRICULA]],#REF!,2,0),"")</f>
        <v/>
      </c>
      <c r="BH99" s="35" t="str">
        <f>IFERROR(VLOOKUP(Tabela1[[#This Row],[MÊS]]&amp;Tabela1[[#This Row],[MATRICULA]],#REF!,2,0),"")</f>
        <v/>
      </c>
      <c r="BI99" s="35" t="str">
        <f>IFERROR(VLOOKUP(Tabela1[[#This Row],[MÊS]]&amp;Tabela1[[#This Row],[MATRICULA]],#REF!,2,0),"")</f>
        <v/>
      </c>
      <c r="BJ99" s="35" t="str">
        <f>IFERROR(VLOOKUP(Tabela1[[#This Row],[MÊS]]&amp;Tabela1[[#This Row],[MATRICULA]],#REF!,2,0),"")</f>
        <v/>
      </c>
      <c r="BK99" s="35" t="str">
        <f>IFERROR(VLOOKUP(Tabela1[[#This Row],[MÊS]]&amp;Tabela1[[#This Row],[MATRICULA]],#REF!,2,0),"")</f>
        <v/>
      </c>
      <c r="BL99" s="21">
        <f>COUNTIF(Tabela1[[#This Row],[MOT2]:[RECEPTIVA]],"NÃO ENCONTRADA")</f>
        <v>0</v>
      </c>
      <c r="BM99" s="135" t="str">
        <f>IFERROR(VLOOKUP(Tabela1[[#This Row],[MÊS]]&amp;Tabela1[[#This Row],[ID]]&amp;Tabela1[[#This Row],[MATRICULA]]&amp;"Motorista"&amp;Tabela1[[#This Row],[SETOR]],BD!A:AF,13,0),"")</f>
        <v/>
      </c>
      <c r="BN99" s="135" t="str">
        <f>IFERROR(VLOOKUP(Tabela1[[#This Row],[MÊS]]&amp;Tabela1[[#This Row],[ID]]&amp;Tabela1[[#This Row],[MATRICULA]]&amp;"Motorista 2"&amp;Tabela1[[#This Row],[SETOR]],BD!A:AF,13,0),"")</f>
        <v/>
      </c>
      <c r="BO99" s="135" t="str">
        <f>IFERROR(VLOOKUP(Tabela1[[#This Row],[MÊS]]&amp;Tabela1[[#This Row],[ID]]&amp;Tabela1[[#This Row],[MATRICULA]]&amp;"Motorista 3"&amp;Tabela1[[#This Row],[SETOR]],BD!A:AF,13,0),"")</f>
        <v/>
      </c>
      <c r="BP99" s="135" t="str">
        <f>IFERROR(VLOOKUP(Tabela1[[#This Row],[MÊS]]&amp;Tabela1[[#This Row],[ID]]&amp;Tabela1[[#This Row],[MATRICULA]]&amp;"Motorista 4"&amp;Tabela1[[#This Row],[SETOR]],BD!A:AF,13,0),"")</f>
        <v/>
      </c>
      <c r="BQ99" s="135" t="str">
        <f>IFERROR(AVERAGE(Tabela1[[#This Row],[DMOT]:[DMOT4]]),"")</f>
        <v/>
      </c>
      <c r="BR99" s="135" t="str">
        <f>IFERROR(VLOOKUP(Tabela1[[#This Row],[MÊS]]&amp;Tabela1[[#This Row],[ID]]&amp;Tabela1[[#This Row],[MATRICULA]]&amp;"Ponto de Apoio"&amp;Tabela1[[#This Row],[SETOR]],BD!A:AF,13,0),"")</f>
        <v/>
      </c>
      <c r="BS99" s="135" t="str">
        <f>IFERROR(VLOOKUP(Tabela1[[#This Row],[MÊS]]&amp;Tabela1[[#This Row],[ID]]&amp;Tabela1[[#This Row],[MATRICULA]]&amp;"Ponto de Apoio 2"&amp;Tabela1[[#This Row],[SETOR]],BD!A:AF,13,0),"")</f>
        <v/>
      </c>
      <c r="BT99" s="135" t="str">
        <f>IFERROR(VLOOKUP(Tabela1[[#This Row],[MÊS]]&amp;Tabela1[[#This Row],[ID]]&amp;Tabela1[[#This Row],[MATRICULA]]&amp;"Ponto de Apoio 3"&amp;Tabela1[[#This Row],[SETOR]],BD!A:AF,13,0),"")</f>
        <v/>
      </c>
      <c r="BU99" s="135" t="str">
        <f>IFERROR(VLOOKUP(Tabela1[[#This Row],[MÊS]]&amp;Tabela1[[#This Row],[ID]]&amp;Tabela1[[#This Row],[MATRICULA]]&amp;"Ponto de Apoio 4"&amp;Tabela1[[#This Row],[SETOR]],BD!A:AF,13,0),"")</f>
        <v/>
      </c>
      <c r="BV99" s="135" t="str">
        <f>IFERROR(AVERAGE(Tabela1[[#This Row],[DPA]:[DPA 4]]),"")</f>
        <v/>
      </c>
      <c r="BW99" s="135" t="str">
        <f>IFERROR(VLOOKUP(Tabela1[[#This Row],[MÊS]]&amp;Tabela1[[#This Row],[ID]]&amp;Tabela1[[#This Row],[MATRICULA]]&amp;"Cliente"&amp;Tabela1[[#This Row],[SETOR]],BD!A:AF,13,0),"")</f>
        <v/>
      </c>
      <c r="BX99" s="135" t="str">
        <f>IFERROR(VLOOKUP(Tabela1[[#This Row],[MÊS]]&amp;Tabela1[[#This Row],[ID]]&amp;Tabela1[[#This Row],[MATRICULA]]&amp;"cliente 2"&amp;Tabela1[[#This Row],[SETOR]],BD!A:AF,13,0),"")</f>
        <v/>
      </c>
      <c r="BY99" s="135" t="str">
        <f>IFERROR(VLOOKUP(Tabela1[[#This Row],[MÊS]]&amp;Tabela1[[#This Row],[ID]]&amp;Tabela1[[#This Row],[MATRICULA]]&amp;"cliente 3"&amp;Tabela1[[#This Row],[SETOR]],BD!A:AF,13,0),"")</f>
        <v/>
      </c>
      <c r="BZ99" s="135" t="str">
        <f>IFERROR(VLOOKUP(Tabela1[[#This Row],[MÊS]]&amp;Tabela1[[#This Row],[ID]]&amp;Tabela1[[#This Row],[MATRICULA]]&amp;"cliente 4"&amp;Tabela1[[#This Row],[SETOR]],BD!A:AF,13,0),"")</f>
        <v/>
      </c>
      <c r="CA99" s="135" t="str">
        <f>IFERROR(AVERAGE(Tabela1[[#This Row],[DCLI]:[DCLI 4]]),"")</f>
        <v/>
      </c>
      <c r="CB99" s="135" t="str">
        <f>IFERROR(VLOOKUP(Tabela1[[#This Row],[MÊS]]&amp;Tabela1[[#This Row],[ID]]&amp;Tabela1[[#This Row],[MATRICULA]]&amp;"Policia"&amp;Tabela1[[#This Row],[SETOR]],BD!A:AF,13,0),"")</f>
        <v/>
      </c>
      <c r="CC99" s="135" t="str">
        <f>IFERROR(VLOOKUP(Tabela1[[#This Row],[MÊS]]&amp;Tabela1[[#This Row],[ID]]&amp;Tabela1[[#This Row],[MATRICULA]]&amp;"Policia 2"&amp;Tabela1[[#This Row],[SETOR]],BD!A:AF,13,0),"")</f>
        <v/>
      </c>
      <c r="CD99" s="135"/>
      <c r="CE99" s="135"/>
      <c r="CF99" s="135" t="str">
        <f>IFERROR((AVERAGE(Tabela1[[#This Row],[DPOL1]:[DPOL4]])),"")</f>
        <v/>
      </c>
      <c r="CG99" s="21" t="str">
        <f>IFERROR(VLOOKUP(Tabela1[[#This Row],[ID]]&amp;Tabela1[[#This Row],[MÊS]]&amp;Tabela1[[#This Row],[MATRICULA]],#REF!,2,0),"")</f>
        <v/>
      </c>
      <c r="CH99" s="21" t="str">
        <f>IFERROR(VLOOKUP(Tabela1[[#This Row],[ID]]&amp;Tabela1[[#This Row],[MÊS]]&amp;Tabela1[[#This Row],[MATRICULA]],#REF!,2,0),"")</f>
        <v/>
      </c>
      <c r="CI99" s="21" t="str">
        <f>IFERROR(VLOOKUP(Tabela1[[#This Row],[MÊS]]&amp;Tabela1[[#This Row],[MATRICULA]],#REF!,2,0),"")</f>
        <v/>
      </c>
    </row>
    <row r="100" spans="1:87">
      <c r="A100" s="12" t="str">
        <f>Tabela1[[#This Row],[MÊS]]&amp;Tabela1[[#This Row],[MATRICULA]]&amp;Tabela1[[#This Row],[ID]]</f>
        <v>JAN112364</v>
      </c>
      <c r="B100" s="12" t="str">
        <f>Tabela1[[#This Row],[MÊS]]&amp;Tabela1[[#This Row],[ID]]&amp;Tabela1[[#This Row],[MATRICULA]]&amp;Tabela1[[#This Row],[SETOR]]</f>
        <v>JAN411236UTI</v>
      </c>
      <c r="C100" s="130" t="e">
        <f>VLOOKUP(Tabela1[[#This Row],[MATRICULA]],'BD Campos'!A:D,5,0)</f>
        <v>#REF!</v>
      </c>
      <c r="D100" s="133" t="str">
        <f ca="1">IFERROR(SUM(TODAY()-Tabela1[[#This Row],[ADMISSÃO]]),"")</f>
        <v/>
      </c>
      <c r="E100" s="11" t="str">
        <f ca="1">IFERROR(TRUNC(Tabela1[[#This Row],[TEMPO DE CASA (DIAS)]]/30),"")</f>
        <v/>
      </c>
      <c r="F100" s="32" t="str">
        <f ca="1">IFERROR(SUM(Tabela1[[#This Row],[TEMPO DE CASA (MESES)]]/12),"")</f>
        <v/>
      </c>
      <c r="G100" s="133" t="str">
        <f ca="1">IF(Tabela1[[#This Row],[TEMPO DE CASA (DIAS)]]="","SEM DADOS",IF(Tabela1[[#This Row],[TEMPO DE CASA (DIAS)]]&gt;180,"&gt; 6 MESES","&lt; 6 MESES"))</f>
        <v>SEM DADOS</v>
      </c>
      <c r="H100" s="12" t="str">
        <f t="shared" si="10"/>
        <v>JANTanara Vigentin4</v>
      </c>
      <c r="I100" s="12" t="str">
        <f>IFERROR(VLOOKUP(Tabela1[[#This Row],[MATRICULA]],'BD Campos'!A:F,7,0),"")</f>
        <v/>
      </c>
      <c r="J100" s="11">
        <v>4</v>
      </c>
      <c r="K100" s="11" t="s">
        <v>669</v>
      </c>
      <c r="L100" s="136">
        <v>11236</v>
      </c>
      <c r="M100" s="12" t="str">
        <f>IFERROR(VLOOKUP(Tabela1[[#This Row],[MATRICULA]],'BD Campos'!A:B,2,0),"")</f>
        <v>JEAN CARLOS CONSTANTINO MIRANDA</v>
      </c>
      <c r="N100" s="20">
        <f>IFERROR(AVERAGE(Tabela1[[#This Row],[A1]:[A4]]),"")</f>
        <v>8.7399999999999984</v>
      </c>
      <c r="O100" s="20" t="str">
        <f>IFERROR(IF(Tabela1[[#This Row],[SETOR]]="RECEPTIVO","",AVERAGE(Tabela1[[#This Row],[A5]:[A6]])),"")</f>
        <v/>
      </c>
      <c r="P100" s="20" t="str">
        <f>IFERROR(IF(Tabela1[[#This Row],[STATUS]]="INATIVO","INATIVO",IF(Tabela1[[#This Row],[STATUS]]="QRT","INATIVO",IF(Tabela1[[#This Row],[OPERACIONAL]]&gt;7.99999,"BOM","RUIM"))),"")</f>
        <v>BOM</v>
      </c>
      <c r="Q100" s="21" t="s">
        <v>667</v>
      </c>
      <c r="R100" s="12" t="s">
        <v>695</v>
      </c>
      <c r="S100" s="12" t="s">
        <v>693</v>
      </c>
      <c r="T100" s="12" t="s">
        <v>128</v>
      </c>
      <c r="U10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0.9</v>
      </c>
      <c r="V10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-0.02</v>
      </c>
      <c r="W100" s="12">
        <f>IF(AND(Tabela1[[#This Row],[SETOR]]="UTI",Tabela1[[#This Row],[M]]&lt;&gt;""),1,IF(AND(Tabela1[[#This Row],[SETOR]]="UTI (RJ)",Tabela1[[#This Row],[M]]&lt;&gt;""),1.5,0))</f>
        <v>1</v>
      </c>
      <c r="X100" s="12">
        <f>IF(AND(Tabela1[[#This Row],[SETOR]]="UTI",Tabela1[[#This Row],[PA2]]&lt;&gt;""),1,IF(AND(Tabela1[[#This Row],[SETOR]]="UTI (RJ)",Tabela1[[#This Row],[PA2]]&lt;&gt;""),0,0))</f>
        <v>0</v>
      </c>
      <c r="Y100" s="12">
        <v>1</v>
      </c>
      <c r="Z100" s="12">
        <f>IF(AND(Tabela1[[#This Row],[SETOR]]="UTI",Tabela1[[#This Row],[PL]]&lt;&gt;""),1,IF(AND(Tabela1[[#This Row],[SETOR]]="UTI (RJ)",Tabela1[[#This Row],[PL]]&lt;&gt;""),1,0))</f>
        <v>0</v>
      </c>
      <c r="AA100" s="21">
        <f>IFERROR(VLOOKUP(Tabela1[[#This Row],[MÊS]]&amp;Tabela1[[#This Row],[MATRICULA]]&amp;"1"&amp;Tabela1[[#This Row],[SETOR]]&amp;"PADRÃO",BD!B:AF,31,0),"")</f>
        <v>8.5824999999999996</v>
      </c>
      <c r="AB100" s="21">
        <f>IFERROR(VLOOKUP(Tabela1[[#This Row],[MÊS]]&amp;Tabela1[[#This Row],[MATRICULA]]&amp;"2"&amp;Tabela1[[#This Row],[SETOR]]&amp;"PADRÃO",BD!B:AF,31,0),"")</f>
        <v>8.8974999999999991</v>
      </c>
      <c r="AC100" s="21" t="str">
        <f>IFERROR(VLOOKUP(Tabela1[[#This Row],[MÊS]]&amp;Tabela1[[#This Row],[MATRICULA]]&amp;"3"&amp;Tabela1[[#This Row],[SETOR]]&amp;"PADRÃO",BD!B:AF,31,0),"")</f>
        <v/>
      </c>
      <c r="AD100" s="21" t="str">
        <f>IFERROR(VLOOKUP(Tabela1[[#This Row],[MÊS]]&amp;Tabela1[[#This Row],[MATRICULA]]&amp;"4"&amp;Tabela1[[#This Row],[SETOR]]&amp;"PADRÃO",BD!B:AF,25,0),"")</f>
        <v/>
      </c>
      <c r="AE100" s="21" t="str">
        <f>IFERROR(VLOOKUP(Tabela1[[#This Row],[MÊS]]&amp;Tabela1[[#This Row],[MATRICULA]]&amp;"5"&amp;Tabela1[[#This Row],[SETOR]]&amp;"PADRÃO",BD!B:AF,31,0),"")</f>
        <v/>
      </c>
      <c r="AF100" s="21" t="str">
        <f>IFERROR(VLOOKUP(Tabela1[[#This Row],[MÊS]]&amp;Tabela1[[#This Row],[MATRICULA]]&amp;"6"&amp;Tabela1[[#This Row],[SETOR]]&amp;"PADRÃO",BD!B:AF,31,0),"")</f>
        <v/>
      </c>
      <c r="AG100" s="21" t="str">
        <f>IFERROR(VLOOKUP(Tabela1[[#This Row],[MÊS]]&amp;Tabela1[[#This Row],[MATRICULA]]&amp;"7"&amp;Tabela1[[#This Row],[SETOR]]&amp;"PADRÃO",BD!B:AF,31,0),"")</f>
        <v/>
      </c>
      <c r="AH100" s="21" t="str">
        <f>IFERROR(VLOOKUP(Tabela1[[#This Row],[MÊS]]&amp;Tabela1[[#This Row],[ID]]&amp;Tabela1[[#This Row],[MATRICULA]]&amp;"Receptiva"&amp;Tabela1[[#This Row],[SETOR]],BD!A:AF,31,0),"")</f>
        <v/>
      </c>
      <c r="AI100" s="21" t="str">
        <f>IFERROR(VLOOKUP(Tabela1[[#This Row],[MÊS]]&amp;Tabela1[[#This Row],[ID]]&amp;Tabela1[[#This Row],[MATRICULA]]&amp;"Receptiva 2"&amp;Tabela1[[#This Row],[SETOR]],BD!A:AF,31,0),"")</f>
        <v/>
      </c>
      <c r="AJ100" s="21" t="str">
        <f>IFERROR(VLOOKUP(Tabela1[[#This Row],[MÊS]]&amp;Tabela1[[#This Row],[ID]]&amp;Tabela1[[#This Row],[MATRICULA]]&amp;"Receptiva 3"&amp;Tabela1[[#This Row],[SETOR]],BD!A:AF,31,0),"")</f>
        <v/>
      </c>
      <c r="AK100" s="21" t="str">
        <f>IFERROR(VLOOKUP(Tabela1[[#This Row],[MÊS]]&amp;Tabela1[[#This Row],[ID]]&amp;Tabela1[[#This Row],[MATRICULA]]&amp;"Receptiva 4"&amp;Tabela1[[#This Row],[SETOR]],BD!A:AF,31,0),"")</f>
        <v/>
      </c>
      <c r="AL100" s="21">
        <f>IFERROR(VLOOKUP(Tabela1[[#This Row],[MÊS]]&amp;Tabela1[[#This Row],[MATRICULA]]&amp;"Motorista"&amp;Tabela1[[#This Row],[SETOR]],BD!A:AF,31,0),"")</f>
        <v>0</v>
      </c>
      <c r="AM100" s="21" t="str">
        <f>IFERROR(VLOOKUP(Tabela1[[#This Row],[MÊS]]&amp;Tabela1[[#This Row],[ID]]&amp;Tabela1[[#This Row],[MATRICULA]]&amp;"Motorista 2"&amp;Tabela1[[#This Row],[SETOR]],BD!A:AF,26,0),"")</f>
        <v/>
      </c>
      <c r="AN100" s="21" t="str">
        <f>IFERROR(VLOOKUP(Tabela1[[#This Row],[MÊS]]&amp;Tabela1[[#This Row],[ID]]&amp;Tabela1[[#This Row],[MATRICULA]]&amp;"Motorista 3"&amp;Tabela1[[#This Row],[SETOR]],BD!A:AF,26,0),"")</f>
        <v/>
      </c>
      <c r="AO100" s="21" t="str">
        <f>IFERROR(VLOOKUP(Tabela1[[#This Row],[MÊS]]&amp;Tabela1[[#This Row],[ID]]&amp;Tabela1[[#This Row],[MATRICULA]]&amp;"Motorista 4"&amp;Tabela1[[#This Row],[SETOR]],BD!A:AF,26,0),"")</f>
        <v/>
      </c>
      <c r="AP100" s="21" t="str">
        <f>IFERROR(VLOOKUP(Tabela1[[#This Row],[MÊS]]&amp;Tabela1[[#This Row],[MATRICULA]]&amp;"Ponto de Apoio"&amp;Tabela1[[#This Row],[SETOR]],BD!A:AF,31,0),"")</f>
        <v/>
      </c>
      <c r="AQ100" s="21" t="str">
        <f>IFERROR(VLOOKUP(Tabela1[[#This Row],[MÊS]]&amp;Tabela1[[#This Row],[ID]]&amp;Tabela1[[#This Row],[MATRICULA]]&amp;"Ponto de Apoio 2"&amp;Tabela1[[#This Row],[SETOR]],BD!A:AF,26,0),"")</f>
        <v/>
      </c>
      <c r="AR100" s="36" t="str">
        <f>IFERROR(VLOOKUP(Tabela1[[#This Row],[MÊS]]&amp;Tabela1[[#This Row],[ID]]&amp;Tabela1[[#This Row],[MATRICULA]]&amp;"Ponto de Apoio 3"&amp;Tabela1[[#This Row],[SETOR]],BD!A:AF,26,0),"")</f>
        <v/>
      </c>
      <c r="AS100" s="36" t="str">
        <f>IFERROR(VLOOKUP(Tabela1[[#This Row],[MÊS]]&amp;Tabela1[[#This Row],[ID]]&amp;Tabela1[[#This Row],[MATRICULA]]&amp;"Ponto de Apoio 4"&amp;Tabela1[[#This Row],[SETOR]],BD!A:AF,26,0),"")</f>
        <v/>
      </c>
      <c r="AT100" s="21" t="str">
        <f>IFERROR(VLOOKUP(Tabela1[[#This Row],[MÊS]]&amp;Tabela1[[#This Row],[MATRICULA]]&amp;"Cliente"&amp;Tabela1[[#This Row],[SETOR]],BD!A:AF,31,0),"")</f>
        <v/>
      </c>
      <c r="AU100" s="21" t="str">
        <f>IFERROR(VLOOKUP(Tabela1[[#This Row],[MÊS]]&amp;Tabela1[[#This Row],[ID]]&amp;Tabela1[[#This Row],[MATRICULA]]&amp;"Cliente 2"&amp;Tabela1[[#This Row],[SETOR]],BD!A:AF,26,0),"")</f>
        <v/>
      </c>
      <c r="AX100" s="21" t="str">
        <f>IFERROR(VLOOKUP(Tabela1[[#This Row],[MÊS]]&amp;Tabela1[[#This Row],[MATRICULA]]&amp;"Policia"&amp;Tabela1[[#This Row],[SETOR]],BD!A:AF,31,0),"")</f>
        <v/>
      </c>
      <c r="AY100" s="21" t="str">
        <f>IFERROR(VLOOKUP(Tabela1[[#This Row],[MÊS]]&amp;Tabela1[[#This Row],[ID]]&amp;Tabela1[[#This Row],[MATRICULA]]&amp;"Policia 2"&amp;Tabela1[[#This Row],[SETOR]],BD!A:AF,26,0),"")</f>
        <v/>
      </c>
      <c r="AZ100" s="36" t="str">
        <f>IFERROR(VLOOKUP(Tabela1[[#This Row],[MÊS]]&amp;Tabela1[[#This Row],[ID]]&amp;Tabela1[[#This Row],[MATRICULA]]&amp;"Policia 3"&amp;Tabela1[[#This Row],[SETOR]],BD!A:AF,26,0),"")</f>
        <v/>
      </c>
      <c r="BA100" s="36" t="str">
        <f>IFERROR(VLOOKUP(Tabela1[[#This Row],[MÊS]]&amp;Tabela1[[#This Row],[ID]]&amp;Tabela1[[#This Row],[MATRICULA]]&amp;"Policia 4"&amp;Tabela1[[#This Row],[SETOR]],BD!A:AF,26,0),"")</f>
        <v/>
      </c>
      <c r="BB10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0" s="21">
        <f>IFERROR(AVERAGE(Tabela1[[#This Row],[M]:[M4]]),"")</f>
        <v>0</v>
      </c>
      <c r="BD100" s="21" t="str">
        <f>IFERROR(AVERAGE(Tabela1[[#This Row],[C]:[C4]]),"")</f>
        <v/>
      </c>
      <c r="BE100" s="21" t="str">
        <f>IFERROR(AVERAGE(Tabela1[[#This Row],[PA2]:[PA 4]]),"")</f>
        <v/>
      </c>
      <c r="BF100" s="21" t="str">
        <f>IFERROR(AVERAGE(Tabela1[[#This Row],[PL]:[PL4]]),"")</f>
        <v/>
      </c>
      <c r="BG100" s="35" t="str">
        <f>IFERROR(VLOOKUP(Tabela1[[#This Row],[MÊS]]&amp;Tabela1[[#This Row],[MATRICULA]],#REF!,2,0),"")</f>
        <v/>
      </c>
      <c r="BH100" s="35" t="str">
        <f>IFERROR(VLOOKUP(Tabela1[[#This Row],[MÊS]]&amp;Tabela1[[#This Row],[MATRICULA]],#REF!,2,0),"")</f>
        <v/>
      </c>
      <c r="BI100" s="35" t="str">
        <f>IFERROR(VLOOKUP(Tabela1[[#This Row],[MÊS]]&amp;Tabela1[[#This Row],[MATRICULA]],#REF!,2,0),"")</f>
        <v/>
      </c>
      <c r="BJ100" s="35" t="str">
        <f>IFERROR(VLOOKUP(Tabela1[[#This Row],[MÊS]]&amp;Tabela1[[#This Row],[MATRICULA]],#REF!,2,0),"")</f>
        <v/>
      </c>
      <c r="BK100" s="35" t="str">
        <f>IFERROR(VLOOKUP(Tabela1[[#This Row],[MÊS]]&amp;Tabela1[[#This Row],[MATRICULA]],#REF!,2,0),"")</f>
        <v/>
      </c>
      <c r="BL100" s="21">
        <f>COUNTIF(Tabela1[[#This Row],[MOT2]:[RECEPTIVA]],"NÃO ENCONTRADA")</f>
        <v>0</v>
      </c>
      <c r="BM100" s="135" t="str">
        <f>IFERROR(VLOOKUP(Tabela1[[#This Row],[MÊS]]&amp;Tabela1[[#This Row],[ID]]&amp;Tabela1[[#This Row],[MATRICULA]]&amp;"Motorista"&amp;Tabela1[[#This Row],[SETOR]],BD!A:AF,13,0),"")</f>
        <v/>
      </c>
      <c r="BN100" s="135" t="str">
        <f>IFERROR(VLOOKUP(Tabela1[[#This Row],[MÊS]]&amp;Tabela1[[#This Row],[ID]]&amp;Tabela1[[#This Row],[MATRICULA]]&amp;"Motorista 2"&amp;Tabela1[[#This Row],[SETOR]],BD!A:AF,13,0),"")</f>
        <v/>
      </c>
      <c r="BO100" s="135" t="str">
        <f>IFERROR(VLOOKUP(Tabela1[[#This Row],[MÊS]]&amp;Tabela1[[#This Row],[ID]]&amp;Tabela1[[#This Row],[MATRICULA]]&amp;"Motorista 3"&amp;Tabela1[[#This Row],[SETOR]],BD!A:AF,13,0),"")</f>
        <v/>
      </c>
      <c r="BP100" s="135" t="str">
        <f>IFERROR(VLOOKUP(Tabela1[[#This Row],[MÊS]]&amp;Tabela1[[#This Row],[ID]]&amp;Tabela1[[#This Row],[MATRICULA]]&amp;"Motorista 4"&amp;Tabela1[[#This Row],[SETOR]],BD!A:AF,13,0),"")</f>
        <v/>
      </c>
      <c r="BQ100" s="135" t="str">
        <f>IFERROR(AVERAGE(Tabela1[[#This Row],[DMOT]:[DMOT4]]),"")</f>
        <v/>
      </c>
      <c r="BR100" s="135" t="str">
        <f>IFERROR(VLOOKUP(Tabela1[[#This Row],[MÊS]]&amp;Tabela1[[#This Row],[ID]]&amp;Tabela1[[#This Row],[MATRICULA]]&amp;"Ponto de Apoio"&amp;Tabela1[[#This Row],[SETOR]],BD!A:AF,13,0),"")</f>
        <v/>
      </c>
      <c r="BS100" s="135" t="str">
        <f>IFERROR(VLOOKUP(Tabela1[[#This Row],[MÊS]]&amp;Tabela1[[#This Row],[ID]]&amp;Tabela1[[#This Row],[MATRICULA]]&amp;"Ponto de Apoio 2"&amp;Tabela1[[#This Row],[SETOR]],BD!A:AF,13,0),"")</f>
        <v/>
      </c>
      <c r="BT100" s="135" t="str">
        <f>IFERROR(VLOOKUP(Tabela1[[#This Row],[MÊS]]&amp;Tabela1[[#This Row],[ID]]&amp;Tabela1[[#This Row],[MATRICULA]]&amp;"Ponto de Apoio 3"&amp;Tabela1[[#This Row],[SETOR]],BD!A:AF,13,0),"")</f>
        <v/>
      </c>
      <c r="BU100" s="135" t="str">
        <f>IFERROR(VLOOKUP(Tabela1[[#This Row],[MÊS]]&amp;Tabela1[[#This Row],[ID]]&amp;Tabela1[[#This Row],[MATRICULA]]&amp;"Ponto de Apoio 4"&amp;Tabela1[[#This Row],[SETOR]],BD!A:AF,13,0),"")</f>
        <v/>
      </c>
      <c r="BV100" s="135" t="str">
        <f>IFERROR(AVERAGE(Tabela1[[#This Row],[DPA]:[DPA 4]]),"")</f>
        <v/>
      </c>
      <c r="BW100" s="135" t="str">
        <f>IFERROR(VLOOKUP(Tabela1[[#This Row],[MÊS]]&amp;Tabela1[[#This Row],[ID]]&amp;Tabela1[[#This Row],[MATRICULA]]&amp;"Cliente"&amp;Tabela1[[#This Row],[SETOR]],BD!A:AF,13,0),"")</f>
        <v/>
      </c>
      <c r="BX100" s="135" t="str">
        <f>IFERROR(VLOOKUP(Tabela1[[#This Row],[MÊS]]&amp;Tabela1[[#This Row],[ID]]&amp;Tabela1[[#This Row],[MATRICULA]]&amp;"cliente 2"&amp;Tabela1[[#This Row],[SETOR]],BD!A:AF,13,0),"")</f>
        <v/>
      </c>
      <c r="BY100" s="135" t="str">
        <f>IFERROR(VLOOKUP(Tabela1[[#This Row],[MÊS]]&amp;Tabela1[[#This Row],[ID]]&amp;Tabela1[[#This Row],[MATRICULA]]&amp;"cliente 3"&amp;Tabela1[[#This Row],[SETOR]],BD!A:AF,13,0),"")</f>
        <v/>
      </c>
      <c r="BZ100" s="135" t="str">
        <f>IFERROR(VLOOKUP(Tabela1[[#This Row],[MÊS]]&amp;Tabela1[[#This Row],[ID]]&amp;Tabela1[[#This Row],[MATRICULA]]&amp;"cliente 4"&amp;Tabela1[[#This Row],[SETOR]],BD!A:AF,13,0),"")</f>
        <v/>
      </c>
      <c r="CA100" s="135" t="str">
        <f>IFERROR(AVERAGE(Tabela1[[#This Row],[DCLI]:[DCLI 4]]),"")</f>
        <v/>
      </c>
      <c r="CB100" s="135" t="str">
        <f>IFERROR(VLOOKUP(Tabela1[[#This Row],[MÊS]]&amp;Tabela1[[#This Row],[ID]]&amp;Tabela1[[#This Row],[MATRICULA]]&amp;"Policia"&amp;Tabela1[[#This Row],[SETOR]],BD!A:AF,13,0),"")</f>
        <v/>
      </c>
      <c r="CC100" s="135" t="str">
        <f>IFERROR(VLOOKUP(Tabela1[[#This Row],[MÊS]]&amp;Tabela1[[#This Row],[ID]]&amp;Tabela1[[#This Row],[MATRICULA]]&amp;"Policia 2"&amp;Tabela1[[#This Row],[SETOR]],BD!A:AF,13,0),"")</f>
        <v/>
      </c>
      <c r="CD100" s="135"/>
      <c r="CE100" s="135"/>
      <c r="CF100" s="135" t="str">
        <f>IFERROR((AVERAGE(Tabela1[[#This Row],[DPOL1]:[DPOL4]])),"")</f>
        <v/>
      </c>
      <c r="CG100" s="21" t="str">
        <f>IFERROR(VLOOKUP(Tabela1[[#This Row],[ID]]&amp;Tabela1[[#This Row],[MÊS]]&amp;Tabela1[[#This Row],[MATRICULA]],#REF!,2,0),"")</f>
        <v/>
      </c>
      <c r="CH100" s="21" t="str">
        <f>IFERROR(VLOOKUP(Tabela1[[#This Row],[ID]]&amp;Tabela1[[#This Row],[MÊS]]&amp;Tabela1[[#This Row],[MATRICULA]],#REF!,2,0),"")</f>
        <v/>
      </c>
      <c r="CI100" s="21" t="str">
        <f>IFERROR(VLOOKUP(Tabela1[[#This Row],[MÊS]]&amp;Tabela1[[#This Row],[MATRICULA]],#REF!,2,0),"")</f>
        <v/>
      </c>
    </row>
    <row r="101" spans="1:87">
      <c r="A101" s="12" t="str">
        <f>Tabela1[[#This Row],[MÊS]]&amp;Tabela1[[#This Row],[MATRICULA]]&amp;Tabela1[[#This Row],[ID]]</f>
        <v>JAN19455</v>
      </c>
      <c r="B101" s="12" t="str">
        <f>Tabela1[[#This Row],[MÊS]]&amp;Tabela1[[#This Row],[ID]]&amp;Tabela1[[#This Row],[MATRICULA]]&amp;Tabela1[[#This Row],[SETOR]]</f>
        <v>JAN51945UTI</v>
      </c>
      <c r="C101" s="130" t="e">
        <f>VLOOKUP(Tabela1[[#This Row],[MATRICULA]],'BD Campos'!A:D,5,0)</f>
        <v>#REF!</v>
      </c>
      <c r="D101" s="133" t="str">
        <f ca="1">IFERROR(SUM(TODAY()-Tabela1[[#This Row],[ADMISSÃO]]),"")</f>
        <v/>
      </c>
      <c r="E101" s="11" t="str">
        <f ca="1">IFERROR(TRUNC(Tabela1[[#This Row],[TEMPO DE CASA (DIAS)]]/30),"")</f>
        <v/>
      </c>
      <c r="F101" s="32" t="str">
        <f ca="1">IFERROR(SUM(Tabela1[[#This Row],[TEMPO DE CASA (MESES)]]/12),"")</f>
        <v/>
      </c>
      <c r="G101" s="133" t="str">
        <f ca="1">IF(Tabela1[[#This Row],[TEMPO DE CASA (DIAS)]]="","SEM DADOS",IF(Tabela1[[#This Row],[TEMPO DE CASA (DIAS)]]&gt;180,"&gt; 6 MESES","&lt; 6 MESES"))</f>
        <v>SEM DADOS</v>
      </c>
      <c r="H101" s="12" t="str">
        <f t="shared" si="10"/>
        <v>JANTanara Vigentin5</v>
      </c>
      <c r="I101" s="12" t="str">
        <f>IFERROR(VLOOKUP(Tabela1[[#This Row],[MATRICULA]],'BD Campos'!A:F,7,0),"")</f>
        <v/>
      </c>
      <c r="J101" s="11">
        <v>5</v>
      </c>
      <c r="K101" s="11" t="s">
        <v>669</v>
      </c>
      <c r="L101" s="136">
        <v>1945</v>
      </c>
      <c r="M101" s="12" t="str">
        <f>IFERROR(VLOOKUP(Tabela1[[#This Row],[MATRICULA]],'BD Campos'!A:B,2,0),"")</f>
        <v>DAIANE STTFFEN HEILER</v>
      </c>
      <c r="N101" s="20">
        <f>IFERROR(AVERAGE(Tabela1[[#This Row],[A1]:[A4]]),"")</f>
        <v>0</v>
      </c>
      <c r="O101" s="20" t="str">
        <f>IFERROR(IF(Tabela1[[#This Row],[SETOR]]="RECEPTIVO","",AVERAGE(Tabela1[[#This Row],[A5]:[A6]])),"")</f>
        <v/>
      </c>
      <c r="P101" s="20" t="str">
        <f>IFERROR(IF(Tabela1[[#This Row],[STATUS]]="INATIVO","INATIVO",IF(Tabela1[[#This Row],[STATUS]]="QRT","INATIVO",IF(Tabela1[[#This Row],[OPERACIONAL]]&gt;7.99999,"BOM","RUIM"))),"")</f>
        <v>RUIM</v>
      </c>
      <c r="Q101" s="21" t="s">
        <v>667</v>
      </c>
      <c r="R101" s="12" t="s">
        <v>692</v>
      </c>
      <c r="S101" s="12" t="s">
        <v>693</v>
      </c>
      <c r="T101" s="12" t="s">
        <v>128</v>
      </c>
      <c r="U10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0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01" s="12">
        <v>1</v>
      </c>
      <c r="X101" s="12">
        <f>IF(AND(Tabela1[[#This Row],[SETOR]]="UTI",Tabela1[[#This Row],[PA2]]&lt;&gt;""),1,IF(AND(Tabela1[[#This Row],[SETOR]]="UTI (RJ)",Tabela1[[#This Row],[PA2]]&lt;&gt;""),0,0))</f>
        <v>0</v>
      </c>
      <c r="Y101" s="12">
        <f>IF(AND(Tabela1[[#This Row],[SETOR]]="UTI",Tabela1[[#This Row],[C]]&lt;&gt;""),1,IF(AND(Tabela1[[#This Row],[SETOR]]="UTI (RJ)",Tabela1[[#This Row],[C]]&lt;&gt;""),1.5,0))</f>
        <v>0</v>
      </c>
      <c r="Z101" s="12">
        <f>IF(AND(Tabela1[[#This Row],[SETOR]]="UTI",Tabela1[[#This Row],[PL]]&lt;&gt;""),1,IF(AND(Tabela1[[#This Row],[SETOR]]="UTI (RJ)",Tabela1[[#This Row],[PL]]&lt;&gt;""),1,0))</f>
        <v>0</v>
      </c>
      <c r="AA101" s="21">
        <f>IFERROR(VLOOKUP(Tabela1[[#This Row],[MÊS]]&amp;Tabela1[[#This Row],[MATRICULA]]&amp;"1"&amp;Tabela1[[#This Row],[SETOR]]&amp;"PADRÃO",BD!B:AF,31,0),"")</f>
        <v>0</v>
      </c>
      <c r="AB101" s="21">
        <f>IFERROR(VLOOKUP(Tabela1[[#This Row],[MÊS]]&amp;Tabela1[[#This Row],[MATRICULA]]&amp;"2"&amp;Tabela1[[#This Row],[SETOR]]&amp;"PADRÃO",BD!B:AF,31,0),"")</f>
        <v>0</v>
      </c>
      <c r="AC101" s="21" t="str">
        <f>IFERROR(VLOOKUP(Tabela1[[#This Row],[MÊS]]&amp;Tabela1[[#This Row],[MATRICULA]]&amp;"3"&amp;Tabela1[[#This Row],[SETOR]]&amp;"PADRÃO",BD!B:AF,31,0),"")</f>
        <v/>
      </c>
      <c r="AD101" s="21" t="str">
        <f>IFERROR(VLOOKUP(Tabela1[[#This Row],[MÊS]]&amp;Tabela1[[#This Row],[MATRICULA]]&amp;"4"&amp;Tabela1[[#This Row],[SETOR]]&amp;"PADRÃO",BD!B:AF,25,0),"")</f>
        <v/>
      </c>
      <c r="AE101" s="21" t="str">
        <f>IFERROR(VLOOKUP(Tabela1[[#This Row],[MÊS]]&amp;Tabela1[[#This Row],[MATRICULA]]&amp;"5"&amp;Tabela1[[#This Row],[SETOR]]&amp;"PADRÃO",BD!B:AF,31,0),"")</f>
        <v/>
      </c>
      <c r="AF101" s="21" t="str">
        <f>IFERROR(VLOOKUP(Tabela1[[#This Row],[MÊS]]&amp;Tabela1[[#This Row],[MATRICULA]]&amp;"6"&amp;Tabela1[[#This Row],[SETOR]]&amp;"PADRÃO",BD!B:AF,31,0),"")</f>
        <v/>
      </c>
      <c r="AG101" s="21" t="str">
        <f>IFERROR(VLOOKUP(Tabela1[[#This Row],[MÊS]]&amp;Tabela1[[#This Row],[MATRICULA]]&amp;"7"&amp;Tabela1[[#This Row],[SETOR]]&amp;"PADRÃO",BD!B:AF,31,0),"")</f>
        <v/>
      </c>
      <c r="AH101" s="21" t="str">
        <f>IFERROR(VLOOKUP(Tabela1[[#This Row],[MÊS]]&amp;Tabela1[[#This Row],[ID]]&amp;Tabela1[[#This Row],[MATRICULA]]&amp;"Receptiva"&amp;Tabela1[[#This Row],[SETOR]],BD!A:AF,31,0),"")</f>
        <v/>
      </c>
      <c r="AI101" s="21" t="str">
        <f>IFERROR(VLOOKUP(Tabela1[[#This Row],[MÊS]]&amp;Tabela1[[#This Row],[ID]]&amp;Tabela1[[#This Row],[MATRICULA]]&amp;"Receptiva 2"&amp;Tabela1[[#This Row],[SETOR]],BD!A:AF,31,0),"")</f>
        <v/>
      </c>
      <c r="AJ101" s="21" t="str">
        <f>IFERROR(VLOOKUP(Tabela1[[#This Row],[MÊS]]&amp;Tabela1[[#This Row],[ID]]&amp;Tabela1[[#This Row],[MATRICULA]]&amp;"Receptiva 3"&amp;Tabela1[[#This Row],[SETOR]],BD!A:AF,31,0),"")</f>
        <v/>
      </c>
      <c r="AK101" s="21" t="str">
        <f>IFERROR(VLOOKUP(Tabela1[[#This Row],[MÊS]]&amp;Tabela1[[#This Row],[ID]]&amp;Tabela1[[#This Row],[MATRICULA]]&amp;"Receptiva 4"&amp;Tabela1[[#This Row],[SETOR]],BD!A:AF,31,0),"")</f>
        <v/>
      </c>
      <c r="AL101" s="21" t="str">
        <f>IFERROR(VLOOKUP(Tabela1[[#This Row],[MÊS]]&amp;Tabela1[[#This Row],[MATRICULA]]&amp;"Motorista"&amp;Tabela1[[#This Row],[SETOR]],BD!A:AF,31,0),"")</f>
        <v/>
      </c>
      <c r="AM101" s="21" t="str">
        <f>IFERROR(VLOOKUP(Tabela1[[#This Row],[MÊS]]&amp;Tabela1[[#This Row],[ID]]&amp;Tabela1[[#This Row],[MATRICULA]]&amp;"Motorista 2"&amp;Tabela1[[#This Row],[SETOR]],BD!A:AF,26,0),"")</f>
        <v/>
      </c>
      <c r="AN101" s="21" t="str">
        <f>IFERROR(VLOOKUP(Tabela1[[#This Row],[MÊS]]&amp;Tabela1[[#This Row],[ID]]&amp;Tabela1[[#This Row],[MATRICULA]]&amp;"Motorista 3"&amp;Tabela1[[#This Row],[SETOR]],BD!A:AF,26,0),"")</f>
        <v/>
      </c>
      <c r="AO101" s="21" t="str">
        <f>IFERROR(VLOOKUP(Tabela1[[#This Row],[MÊS]]&amp;Tabela1[[#This Row],[ID]]&amp;Tabela1[[#This Row],[MATRICULA]]&amp;"Motorista 4"&amp;Tabela1[[#This Row],[SETOR]],BD!A:AF,26,0),"")</f>
        <v/>
      </c>
      <c r="AP101" s="21" t="str">
        <f>IFERROR(VLOOKUP(Tabela1[[#This Row],[MÊS]]&amp;Tabela1[[#This Row],[MATRICULA]]&amp;"Ponto de Apoio"&amp;Tabela1[[#This Row],[SETOR]],BD!A:AF,31,0),"")</f>
        <v/>
      </c>
      <c r="AQ101" s="21" t="str">
        <f>IFERROR(VLOOKUP(Tabela1[[#This Row],[MÊS]]&amp;Tabela1[[#This Row],[ID]]&amp;Tabela1[[#This Row],[MATRICULA]]&amp;"Ponto de Apoio 2"&amp;Tabela1[[#This Row],[SETOR]],BD!A:AF,26,0),"")</f>
        <v/>
      </c>
      <c r="AR101" s="36" t="str">
        <f>IFERROR(VLOOKUP(Tabela1[[#This Row],[MÊS]]&amp;Tabela1[[#This Row],[ID]]&amp;Tabela1[[#This Row],[MATRICULA]]&amp;"Ponto de Apoio 3"&amp;Tabela1[[#This Row],[SETOR]],BD!A:AF,26,0),"")</f>
        <v/>
      </c>
      <c r="AS101" s="36" t="str">
        <f>IFERROR(VLOOKUP(Tabela1[[#This Row],[MÊS]]&amp;Tabela1[[#This Row],[ID]]&amp;Tabela1[[#This Row],[MATRICULA]]&amp;"Ponto de Apoio 4"&amp;Tabela1[[#This Row],[SETOR]],BD!A:AF,26,0),"")</f>
        <v/>
      </c>
      <c r="AT101" s="21" t="str">
        <f>IFERROR(VLOOKUP(Tabela1[[#This Row],[MÊS]]&amp;Tabela1[[#This Row],[MATRICULA]]&amp;"Cliente"&amp;Tabela1[[#This Row],[SETOR]],BD!A:AF,31,0),"")</f>
        <v/>
      </c>
      <c r="AU101" s="21" t="str">
        <f>IFERROR(VLOOKUP(Tabela1[[#This Row],[MÊS]]&amp;Tabela1[[#This Row],[ID]]&amp;Tabela1[[#This Row],[MATRICULA]]&amp;"Cliente 2"&amp;Tabela1[[#This Row],[SETOR]],BD!A:AF,26,0),"")</f>
        <v/>
      </c>
      <c r="AX101" s="21" t="str">
        <f>IFERROR(VLOOKUP(Tabela1[[#This Row],[MÊS]]&amp;Tabela1[[#This Row],[MATRICULA]]&amp;"Policia"&amp;Tabela1[[#This Row],[SETOR]],BD!A:AF,31,0),"")</f>
        <v/>
      </c>
      <c r="AY101" s="21" t="str">
        <f>IFERROR(VLOOKUP(Tabela1[[#This Row],[MÊS]]&amp;Tabela1[[#This Row],[ID]]&amp;Tabela1[[#This Row],[MATRICULA]]&amp;"Policia 2"&amp;Tabela1[[#This Row],[SETOR]],BD!A:AF,26,0),"")</f>
        <v/>
      </c>
      <c r="AZ101" s="36" t="str">
        <f>IFERROR(VLOOKUP(Tabela1[[#This Row],[MÊS]]&amp;Tabela1[[#This Row],[ID]]&amp;Tabela1[[#This Row],[MATRICULA]]&amp;"Policia 3"&amp;Tabela1[[#This Row],[SETOR]],BD!A:AF,26,0),"")</f>
        <v/>
      </c>
      <c r="BA101" s="36" t="str">
        <f>IFERROR(VLOOKUP(Tabela1[[#This Row],[MÊS]]&amp;Tabela1[[#This Row],[ID]]&amp;Tabela1[[#This Row],[MATRICULA]]&amp;"Policia 4"&amp;Tabela1[[#This Row],[SETOR]],BD!A:AF,26,0),"")</f>
        <v/>
      </c>
      <c r="BB10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1" s="21" t="str">
        <f>IFERROR(AVERAGE(Tabela1[[#This Row],[M]:[M4]]),"")</f>
        <v/>
      </c>
      <c r="BD101" s="21" t="str">
        <f>IFERROR(AVERAGE(Tabela1[[#This Row],[C]:[C4]]),"")</f>
        <v/>
      </c>
      <c r="BE101" s="21" t="str">
        <f>IFERROR(AVERAGE(Tabela1[[#This Row],[PA2]:[PA 4]]),"")</f>
        <v/>
      </c>
      <c r="BF101" s="21" t="str">
        <f>IFERROR(AVERAGE(Tabela1[[#This Row],[PL]:[PL4]]),"")</f>
        <v/>
      </c>
      <c r="BG101" s="35" t="str">
        <f>IFERROR(VLOOKUP(Tabela1[[#This Row],[MÊS]]&amp;Tabela1[[#This Row],[MATRICULA]],#REF!,2,0),"")</f>
        <v/>
      </c>
      <c r="BH101" s="35" t="str">
        <f>IFERROR(VLOOKUP(Tabela1[[#This Row],[MÊS]]&amp;Tabela1[[#This Row],[MATRICULA]],#REF!,2,0),"")</f>
        <v/>
      </c>
      <c r="BI101" s="35" t="str">
        <f>IFERROR(VLOOKUP(Tabela1[[#This Row],[MÊS]]&amp;Tabela1[[#This Row],[MATRICULA]],#REF!,2,0),"")</f>
        <v/>
      </c>
      <c r="BJ101" s="35" t="str">
        <f>IFERROR(VLOOKUP(Tabela1[[#This Row],[MÊS]]&amp;Tabela1[[#This Row],[MATRICULA]],#REF!,2,0),"")</f>
        <v/>
      </c>
      <c r="BK101" s="35" t="str">
        <f>IFERROR(VLOOKUP(Tabela1[[#This Row],[MÊS]]&amp;Tabela1[[#This Row],[MATRICULA]],#REF!,2,0),"")</f>
        <v/>
      </c>
      <c r="BL101" s="21">
        <f>COUNTIF(Tabela1[[#This Row],[MOT2]:[RECEPTIVA]],"NÃO ENCONTRADA")</f>
        <v>0</v>
      </c>
      <c r="BM101" s="135" t="str">
        <f>IFERROR(VLOOKUP(Tabela1[[#This Row],[MÊS]]&amp;Tabela1[[#This Row],[ID]]&amp;Tabela1[[#This Row],[MATRICULA]]&amp;"Motorista"&amp;Tabela1[[#This Row],[SETOR]],BD!A:AF,13,0),"")</f>
        <v/>
      </c>
      <c r="BN101" s="135" t="str">
        <f>IFERROR(VLOOKUP(Tabela1[[#This Row],[MÊS]]&amp;Tabela1[[#This Row],[ID]]&amp;Tabela1[[#This Row],[MATRICULA]]&amp;"Motorista 2"&amp;Tabela1[[#This Row],[SETOR]],BD!A:AF,13,0),"")</f>
        <v/>
      </c>
      <c r="BO101" s="135" t="str">
        <f>IFERROR(VLOOKUP(Tabela1[[#This Row],[MÊS]]&amp;Tabela1[[#This Row],[ID]]&amp;Tabela1[[#This Row],[MATRICULA]]&amp;"Motorista 3"&amp;Tabela1[[#This Row],[SETOR]],BD!A:AF,13,0),"")</f>
        <v/>
      </c>
      <c r="BP101" s="135" t="str">
        <f>IFERROR(VLOOKUP(Tabela1[[#This Row],[MÊS]]&amp;Tabela1[[#This Row],[ID]]&amp;Tabela1[[#This Row],[MATRICULA]]&amp;"Motorista 4"&amp;Tabela1[[#This Row],[SETOR]],BD!A:AF,13,0),"")</f>
        <v/>
      </c>
      <c r="BQ101" s="135" t="str">
        <f>IFERROR(AVERAGE(Tabela1[[#This Row],[DMOT]:[DMOT4]]),"")</f>
        <v/>
      </c>
      <c r="BR101" s="135" t="str">
        <f>IFERROR(VLOOKUP(Tabela1[[#This Row],[MÊS]]&amp;Tabela1[[#This Row],[ID]]&amp;Tabela1[[#This Row],[MATRICULA]]&amp;"Ponto de Apoio"&amp;Tabela1[[#This Row],[SETOR]],BD!A:AF,13,0),"")</f>
        <v/>
      </c>
      <c r="BS101" s="135" t="str">
        <f>IFERROR(VLOOKUP(Tabela1[[#This Row],[MÊS]]&amp;Tabela1[[#This Row],[ID]]&amp;Tabela1[[#This Row],[MATRICULA]]&amp;"Ponto de Apoio 2"&amp;Tabela1[[#This Row],[SETOR]],BD!A:AF,13,0),"")</f>
        <v/>
      </c>
      <c r="BT101" s="135" t="str">
        <f>IFERROR(VLOOKUP(Tabela1[[#This Row],[MÊS]]&amp;Tabela1[[#This Row],[ID]]&amp;Tabela1[[#This Row],[MATRICULA]]&amp;"Ponto de Apoio 3"&amp;Tabela1[[#This Row],[SETOR]],BD!A:AF,13,0),"")</f>
        <v/>
      </c>
      <c r="BU101" s="135" t="str">
        <f>IFERROR(VLOOKUP(Tabela1[[#This Row],[MÊS]]&amp;Tabela1[[#This Row],[ID]]&amp;Tabela1[[#This Row],[MATRICULA]]&amp;"Ponto de Apoio 4"&amp;Tabela1[[#This Row],[SETOR]],BD!A:AF,13,0),"")</f>
        <v/>
      </c>
      <c r="BV101" s="135" t="str">
        <f>IFERROR(AVERAGE(Tabela1[[#This Row],[DPA]:[DPA 4]]),"")</f>
        <v/>
      </c>
      <c r="BW101" s="135" t="str">
        <f>IFERROR(VLOOKUP(Tabela1[[#This Row],[MÊS]]&amp;Tabela1[[#This Row],[ID]]&amp;Tabela1[[#This Row],[MATRICULA]]&amp;"Cliente"&amp;Tabela1[[#This Row],[SETOR]],BD!A:AF,13,0),"")</f>
        <v/>
      </c>
      <c r="BX101" s="135" t="str">
        <f>IFERROR(VLOOKUP(Tabela1[[#This Row],[MÊS]]&amp;Tabela1[[#This Row],[ID]]&amp;Tabela1[[#This Row],[MATRICULA]]&amp;"cliente 2"&amp;Tabela1[[#This Row],[SETOR]],BD!A:AF,13,0),"")</f>
        <v/>
      </c>
      <c r="BY101" s="135" t="str">
        <f>IFERROR(VLOOKUP(Tabela1[[#This Row],[MÊS]]&amp;Tabela1[[#This Row],[ID]]&amp;Tabela1[[#This Row],[MATRICULA]]&amp;"cliente 3"&amp;Tabela1[[#This Row],[SETOR]],BD!A:AF,13,0),"")</f>
        <v/>
      </c>
      <c r="BZ101" s="135" t="str">
        <f>IFERROR(VLOOKUP(Tabela1[[#This Row],[MÊS]]&amp;Tabela1[[#This Row],[ID]]&amp;Tabela1[[#This Row],[MATRICULA]]&amp;"cliente 4"&amp;Tabela1[[#This Row],[SETOR]],BD!A:AF,13,0),"")</f>
        <v/>
      </c>
      <c r="CA101" s="135" t="str">
        <f>IFERROR(AVERAGE(Tabela1[[#This Row],[DCLI]:[DCLI 4]]),"")</f>
        <v/>
      </c>
      <c r="CB101" s="135" t="str">
        <f>IFERROR(VLOOKUP(Tabela1[[#This Row],[MÊS]]&amp;Tabela1[[#This Row],[ID]]&amp;Tabela1[[#This Row],[MATRICULA]]&amp;"Policia"&amp;Tabela1[[#This Row],[SETOR]],BD!A:AF,13,0),"")</f>
        <v/>
      </c>
      <c r="CC101" s="135" t="str">
        <f>IFERROR(VLOOKUP(Tabela1[[#This Row],[MÊS]]&amp;Tabela1[[#This Row],[ID]]&amp;Tabela1[[#This Row],[MATRICULA]]&amp;"Policia 2"&amp;Tabela1[[#This Row],[SETOR]],BD!A:AF,13,0),"")</f>
        <v/>
      </c>
      <c r="CD101" s="135"/>
      <c r="CE101" s="135"/>
      <c r="CF101" s="135" t="str">
        <f>IFERROR((AVERAGE(Tabela1[[#This Row],[DPOL1]:[DPOL4]])),"")</f>
        <v/>
      </c>
      <c r="CG101" s="21" t="str">
        <f>IFERROR(VLOOKUP(Tabela1[[#This Row],[ID]]&amp;Tabela1[[#This Row],[MÊS]]&amp;Tabela1[[#This Row],[MATRICULA]],#REF!,2,0),"")</f>
        <v/>
      </c>
      <c r="CH101" s="21" t="str">
        <f>IFERROR(VLOOKUP(Tabela1[[#This Row],[ID]]&amp;Tabela1[[#This Row],[MÊS]]&amp;Tabela1[[#This Row],[MATRICULA]],#REF!,2,0),"")</f>
        <v/>
      </c>
      <c r="CI101" s="21" t="str">
        <f>IFERROR(VLOOKUP(Tabela1[[#This Row],[MÊS]]&amp;Tabela1[[#This Row],[MATRICULA]],#REF!,2,0),"")</f>
        <v/>
      </c>
    </row>
    <row r="102" spans="1:87">
      <c r="A102" s="12" t="str">
        <f>Tabela1[[#This Row],[MÊS]]&amp;Tabela1[[#This Row],[MATRICULA]]&amp;Tabela1[[#This Row],[ID]]</f>
        <v>JAN111516</v>
      </c>
      <c r="B102" s="12" t="str">
        <f>Tabela1[[#This Row],[MÊS]]&amp;Tabela1[[#This Row],[ID]]&amp;Tabela1[[#This Row],[MATRICULA]]&amp;Tabela1[[#This Row],[SETOR]]</f>
        <v>JAN611151UTI</v>
      </c>
      <c r="C102" s="130" t="e">
        <f>VLOOKUP(Tabela1[[#This Row],[MATRICULA]],'BD Campos'!A:D,5,0)</f>
        <v>#REF!</v>
      </c>
      <c r="D102" s="133" t="str">
        <f ca="1">IFERROR(SUM(TODAY()-Tabela1[[#This Row],[ADMISSÃO]]),"")</f>
        <v/>
      </c>
      <c r="E102" s="11" t="str">
        <f ca="1">IFERROR(TRUNC(Tabela1[[#This Row],[TEMPO DE CASA (DIAS)]]/30),"")</f>
        <v/>
      </c>
      <c r="F102" s="32" t="str">
        <f ca="1">IFERROR(SUM(Tabela1[[#This Row],[TEMPO DE CASA (MESES)]]/12),"")</f>
        <v/>
      </c>
      <c r="G102" s="133" t="str">
        <f ca="1">IF(Tabela1[[#This Row],[TEMPO DE CASA (DIAS)]]="","SEM DADOS",IF(Tabela1[[#This Row],[TEMPO DE CASA (DIAS)]]&gt;180,"&gt; 6 MESES","&lt; 6 MESES"))</f>
        <v>SEM DADOS</v>
      </c>
      <c r="H102" s="12" t="str">
        <f t="shared" si="10"/>
        <v>JANTanara Vigentin6</v>
      </c>
      <c r="I102" s="12" t="str">
        <f>IFERROR(VLOOKUP(Tabela1[[#This Row],[MATRICULA]],'BD Campos'!A:F,7,0),"")</f>
        <v/>
      </c>
      <c r="J102" s="11">
        <v>6</v>
      </c>
      <c r="K102" s="11" t="s">
        <v>669</v>
      </c>
      <c r="L102" s="136">
        <v>11151</v>
      </c>
      <c r="M102" s="12" t="str">
        <f>IFERROR(VLOOKUP(Tabela1[[#This Row],[MATRICULA]],'BD Campos'!A:B,2,0),"")</f>
        <v>MATHEUS BUENO DA SILVA FLORENCIO</v>
      </c>
      <c r="N102" s="20">
        <f>IFERROR(AVERAGE(Tabela1[[#This Row],[A1]:[A4]]),"")</f>
        <v>9.3962500000000002</v>
      </c>
      <c r="O102" s="20" t="str">
        <f>IFERROR(IF(Tabela1[[#This Row],[SETOR]]="RECEPTIVO","",AVERAGE(Tabela1[[#This Row],[A5]:[A6]])),"")</f>
        <v/>
      </c>
      <c r="P102" s="20" t="str">
        <f>IFERROR(IF(Tabela1[[#This Row],[STATUS]]="INATIVO","INATIVO",IF(Tabela1[[#This Row],[STATUS]]="QRT","INATIVO",IF(Tabela1[[#This Row],[OPERACIONAL]]&gt;7.99999,"BOM","RUIM"))),"")</f>
        <v>BOM</v>
      </c>
      <c r="Q102" s="21" t="s">
        <v>667</v>
      </c>
      <c r="R102" s="12" t="s">
        <v>692</v>
      </c>
      <c r="S102" s="12" t="s">
        <v>693</v>
      </c>
      <c r="T102" s="12" t="s">
        <v>128</v>
      </c>
      <c r="U10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0.9</v>
      </c>
      <c r="V10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-0.02</v>
      </c>
      <c r="W102" s="12">
        <f>IF(AND(Tabela1[[#This Row],[SETOR]]="UTI",Tabela1[[#This Row],[M]]&lt;&gt;""),1,IF(AND(Tabela1[[#This Row],[SETOR]]="UTI (RJ)",Tabela1[[#This Row],[M]]&lt;&gt;""),1.5,0))</f>
        <v>1</v>
      </c>
      <c r="X102" s="12">
        <f>IF(AND(Tabela1[[#This Row],[SETOR]]="UTI",Tabela1[[#This Row],[PA2]]&lt;&gt;""),1,IF(AND(Tabela1[[#This Row],[SETOR]]="UTI (RJ)",Tabela1[[#This Row],[PA2]]&lt;&gt;""),0,0))</f>
        <v>0</v>
      </c>
      <c r="Y102" s="12">
        <v>1</v>
      </c>
      <c r="Z102" s="12">
        <f>IF(AND(Tabela1[[#This Row],[SETOR]]="UTI",Tabela1[[#This Row],[PL]]&lt;&gt;""),1,IF(AND(Tabela1[[#This Row],[SETOR]]="UTI (RJ)",Tabela1[[#This Row],[PL]]&lt;&gt;""),1,0))</f>
        <v>0</v>
      </c>
      <c r="AA102" s="21">
        <f>IFERROR(VLOOKUP(Tabela1[[#This Row],[MÊS]]&amp;Tabela1[[#This Row],[MATRICULA]]&amp;"1"&amp;Tabela1[[#This Row],[SETOR]]&amp;"PADRÃO",BD!B:AF,31,0),"")</f>
        <v>10.000000000000002</v>
      </c>
      <c r="AB102" s="21">
        <f>IFERROR(VLOOKUP(Tabela1[[#This Row],[MÊS]]&amp;Tabela1[[#This Row],[MATRICULA]]&amp;"2"&amp;Tabela1[[#This Row],[SETOR]]&amp;"PADRÃO",BD!B:AF,31,0),"")</f>
        <v>8.7924999999999986</v>
      </c>
      <c r="AC102" s="21" t="str">
        <f>IFERROR(VLOOKUP(Tabela1[[#This Row],[MÊS]]&amp;Tabela1[[#This Row],[MATRICULA]]&amp;"3"&amp;Tabela1[[#This Row],[SETOR]]&amp;"PADRÃO",BD!B:AF,31,0),"")</f>
        <v/>
      </c>
      <c r="AD102" s="21" t="str">
        <f>IFERROR(VLOOKUP(Tabela1[[#This Row],[MÊS]]&amp;Tabela1[[#This Row],[MATRICULA]]&amp;"4"&amp;Tabela1[[#This Row],[SETOR]]&amp;"PADRÃO",BD!B:AF,25,0),"")</f>
        <v/>
      </c>
      <c r="AE102" s="21" t="str">
        <f>IFERROR(VLOOKUP(Tabela1[[#This Row],[MÊS]]&amp;Tabela1[[#This Row],[MATRICULA]]&amp;"5"&amp;Tabela1[[#This Row],[SETOR]]&amp;"PADRÃO",BD!B:AF,31,0),"")</f>
        <v/>
      </c>
      <c r="AF102" s="21" t="str">
        <f>IFERROR(VLOOKUP(Tabela1[[#This Row],[MÊS]]&amp;Tabela1[[#This Row],[MATRICULA]]&amp;"6"&amp;Tabela1[[#This Row],[SETOR]]&amp;"PADRÃO",BD!B:AF,31,0),"")</f>
        <v/>
      </c>
      <c r="AG102" s="21" t="str">
        <f>IFERROR(VLOOKUP(Tabela1[[#This Row],[MÊS]]&amp;Tabela1[[#This Row],[MATRICULA]]&amp;"7"&amp;Tabela1[[#This Row],[SETOR]]&amp;"PADRÃO",BD!B:AF,31,0),"")</f>
        <v/>
      </c>
      <c r="AH102" s="21" t="str">
        <f>IFERROR(VLOOKUP(Tabela1[[#This Row],[MÊS]]&amp;Tabela1[[#This Row],[ID]]&amp;Tabela1[[#This Row],[MATRICULA]]&amp;"Receptiva"&amp;Tabela1[[#This Row],[SETOR]],BD!A:AF,31,0),"")</f>
        <v/>
      </c>
      <c r="AI102" s="21" t="str">
        <f>IFERROR(VLOOKUP(Tabela1[[#This Row],[MÊS]]&amp;Tabela1[[#This Row],[ID]]&amp;Tabela1[[#This Row],[MATRICULA]]&amp;"Receptiva 2"&amp;Tabela1[[#This Row],[SETOR]],BD!A:AF,31,0),"")</f>
        <v/>
      </c>
      <c r="AJ102" s="21" t="str">
        <f>IFERROR(VLOOKUP(Tabela1[[#This Row],[MÊS]]&amp;Tabela1[[#This Row],[ID]]&amp;Tabela1[[#This Row],[MATRICULA]]&amp;"Receptiva 3"&amp;Tabela1[[#This Row],[SETOR]],BD!A:AF,31,0),"")</f>
        <v/>
      </c>
      <c r="AK102" s="21" t="str">
        <f>IFERROR(VLOOKUP(Tabela1[[#This Row],[MÊS]]&amp;Tabela1[[#This Row],[ID]]&amp;Tabela1[[#This Row],[MATRICULA]]&amp;"Receptiva 4"&amp;Tabela1[[#This Row],[SETOR]],BD!A:AF,31,0),"")</f>
        <v/>
      </c>
      <c r="AL102" s="21">
        <f>IFERROR(VLOOKUP(Tabela1[[#This Row],[MÊS]]&amp;Tabela1[[#This Row],[MATRICULA]]&amp;"Motorista"&amp;Tabela1[[#This Row],[SETOR]],BD!A:AF,31,0),"")</f>
        <v>0</v>
      </c>
      <c r="AM102" s="21" t="str">
        <f>IFERROR(VLOOKUP(Tabela1[[#This Row],[MÊS]]&amp;Tabela1[[#This Row],[ID]]&amp;Tabela1[[#This Row],[MATRICULA]]&amp;"Motorista 2"&amp;Tabela1[[#This Row],[SETOR]],BD!A:AF,26,0),"")</f>
        <v/>
      </c>
      <c r="AN102" s="21" t="str">
        <f>IFERROR(VLOOKUP(Tabela1[[#This Row],[MÊS]]&amp;Tabela1[[#This Row],[ID]]&amp;Tabela1[[#This Row],[MATRICULA]]&amp;"Motorista 3"&amp;Tabela1[[#This Row],[SETOR]],BD!A:AF,26,0),"")</f>
        <v/>
      </c>
      <c r="AO102" s="21" t="str">
        <f>IFERROR(VLOOKUP(Tabela1[[#This Row],[MÊS]]&amp;Tabela1[[#This Row],[ID]]&amp;Tabela1[[#This Row],[MATRICULA]]&amp;"Motorista 4"&amp;Tabela1[[#This Row],[SETOR]],BD!A:AF,26,0),"")</f>
        <v/>
      </c>
      <c r="AP102" s="21" t="str">
        <f>IFERROR(VLOOKUP(Tabela1[[#This Row],[MÊS]]&amp;Tabela1[[#This Row],[MATRICULA]]&amp;"Ponto de Apoio"&amp;Tabela1[[#This Row],[SETOR]],BD!A:AF,31,0),"")</f>
        <v/>
      </c>
      <c r="AQ102" s="21" t="str">
        <f>IFERROR(VLOOKUP(Tabela1[[#This Row],[MÊS]]&amp;Tabela1[[#This Row],[ID]]&amp;Tabela1[[#This Row],[MATRICULA]]&amp;"Ponto de Apoio 2"&amp;Tabela1[[#This Row],[SETOR]],BD!A:AF,26,0),"")</f>
        <v/>
      </c>
      <c r="AR102" s="36" t="str">
        <f>IFERROR(VLOOKUP(Tabela1[[#This Row],[MÊS]]&amp;Tabela1[[#This Row],[ID]]&amp;Tabela1[[#This Row],[MATRICULA]]&amp;"Ponto de Apoio 3"&amp;Tabela1[[#This Row],[SETOR]],BD!A:AF,26,0),"")</f>
        <v/>
      </c>
      <c r="AS102" s="36" t="str">
        <f>IFERROR(VLOOKUP(Tabela1[[#This Row],[MÊS]]&amp;Tabela1[[#This Row],[ID]]&amp;Tabela1[[#This Row],[MATRICULA]]&amp;"Ponto de Apoio 4"&amp;Tabela1[[#This Row],[SETOR]],BD!A:AF,26,0),"")</f>
        <v/>
      </c>
      <c r="AT102" s="21" t="str">
        <f>IFERROR(VLOOKUP(Tabela1[[#This Row],[MÊS]]&amp;Tabela1[[#This Row],[MATRICULA]]&amp;"Cliente"&amp;Tabela1[[#This Row],[SETOR]],BD!A:AF,31,0),"")</f>
        <v/>
      </c>
      <c r="AU102" s="21" t="str">
        <f>IFERROR(VLOOKUP(Tabela1[[#This Row],[MÊS]]&amp;Tabela1[[#This Row],[ID]]&amp;Tabela1[[#This Row],[MATRICULA]]&amp;"Cliente 2"&amp;Tabela1[[#This Row],[SETOR]],BD!A:AF,26,0),"")</f>
        <v/>
      </c>
      <c r="AX102" s="21" t="str">
        <f>IFERROR(VLOOKUP(Tabela1[[#This Row],[MÊS]]&amp;Tabela1[[#This Row],[MATRICULA]]&amp;"Policia"&amp;Tabela1[[#This Row],[SETOR]],BD!A:AF,31,0),"")</f>
        <v/>
      </c>
      <c r="AY102" s="21" t="str">
        <f>IFERROR(VLOOKUP(Tabela1[[#This Row],[MÊS]]&amp;Tabela1[[#This Row],[ID]]&amp;Tabela1[[#This Row],[MATRICULA]]&amp;"Policia 2"&amp;Tabela1[[#This Row],[SETOR]],BD!A:AF,26,0),"")</f>
        <v/>
      </c>
      <c r="AZ102" s="36" t="str">
        <f>IFERROR(VLOOKUP(Tabela1[[#This Row],[MÊS]]&amp;Tabela1[[#This Row],[ID]]&amp;Tabela1[[#This Row],[MATRICULA]]&amp;"Policia 3"&amp;Tabela1[[#This Row],[SETOR]],BD!A:AF,26,0),"")</f>
        <v/>
      </c>
      <c r="BA102" s="36" t="str">
        <f>IFERROR(VLOOKUP(Tabela1[[#This Row],[MÊS]]&amp;Tabela1[[#This Row],[ID]]&amp;Tabela1[[#This Row],[MATRICULA]]&amp;"Policia 4"&amp;Tabela1[[#This Row],[SETOR]],BD!A:AF,26,0),"")</f>
        <v/>
      </c>
      <c r="BB10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2" s="21">
        <f>IFERROR(AVERAGE(Tabela1[[#This Row],[M]:[M4]]),"")</f>
        <v>0</v>
      </c>
      <c r="BD102" s="21" t="str">
        <f>IFERROR(AVERAGE(Tabela1[[#This Row],[C]:[C4]]),"")</f>
        <v/>
      </c>
      <c r="BE102" s="21" t="str">
        <f>IFERROR(AVERAGE(Tabela1[[#This Row],[PA2]:[PA 4]]),"")</f>
        <v/>
      </c>
      <c r="BF102" s="21" t="str">
        <f>IFERROR(AVERAGE(Tabela1[[#This Row],[PL]:[PL4]]),"")</f>
        <v/>
      </c>
      <c r="BG102" s="35" t="str">
        <f>IFERROR(VLOOKUP(Tabela1[[#This Row],[MÊS]]&amp;Tabela1[[#This Row],[MATRICULA]],#REF!,2,0),"")</f>
        <v/>
      </c>
      <c r="BH102" s="35" t="str">
        <f>IFERROR(VLOOKUP(Tabela1[[#This Row],[MÊS]]&amp;Tabela1[[#This Row],[MATRICULA]],#REF!,2,0),"")</f>
        <v/>
      </c>
      <c r="BI102" s="35" t="str">
        <f>IFERROR(VLOOKUP(Tabela1[[#This Row],[MÊS]]&amp;Tabela1[[#This Row],[MATRICULA]],#REF!,2,0),"")</f>
        <v/>
      </c>
      <c r="BJ102" s="35" t="str">
        <f>IFERROR(VLOOKUP(Tabela1[[#This Row],[MÊS]]&amp;Tabela1[[#This Row],[MATRICULA]],#REF!,2,0),"")</f>
        <v/>
      </c>
      <c r="BK102" s="35" t="str">
        <f>IFERROR(VLOOKUP(Tabela1[[#This Row],[MÊS]]&amp;Tabela1[[#This Row],[MATRICULA]],#REF!,2,0),"")</f>
        <v/>
      </c>
      <c r="BL102" s="21">
        <f>COUNTIF(Tabela1[[#This Row],[MOT2]:[RECEPTIVA]],"NÃO ENCONTRADA")</f>
        <v>0</v>
      </c>
      <c r="BM102" s="135" t="str">
        <f>IFERROR(VLOOKUP(Tabela1[[#This Row],[MÊS]]&amp;Tabela1[[#This Row],[ID]]&amp;Tabela1[[#This Row],[MATRICULA]]&amp;"Motorista"&amp;Tabela1[[#This Row],[SETOR]],BD!A:AF,13,0),"")</f>
        <v/>
      </c>
      <c r="BN102" s="135" t="str">
        <f>IFERROR(VLOOKUP(Tabela1[[#This Row],[MÊS]]&amp;Tabela1[[#This Row],[ID]]&amp;Tabela1[[#This Row],[MATRICULA]]&amp;"Motorista 2"&amp;Tabela1[[#This Row],[SETOR]],BD!A:AF,13,0),"")</f>
        <v/>
      </c>
      <c r="BO102" s="135" t="str">
        <f>IFERROR(VLOOKUP(Tabela1[[#This Row],[MÊS]]&amp;Tabela1[[#This Row],[ID]]&amp;Tabela1[[#This Row],[MATRICULA]]&amp;"Motorista 3"&amp;Tabela1[[#This Row],[SETOR]],BD!A:AF,13,0),"")</f>
        <v/>
      </c>
      <c r="BP102" s="135" t="str">
        <f>IFERROR(VLOOKUP(Tabela1[[#This Row],[MÊS]]&amp;Tabela1[[#This Row],[ID]]&amp;Tabela1[[#This Row],[MATRICULA]]&amp;"Motorista 4"&amp;Tabela1[[#This Row],[SETOR]],BD!A:AF,13,0),"")</f>
        <v/>
      </c>
      <c r="BQ102" s="135" t="str">
        <f>IFERROR(AVERAGE(Tabela1[[#This Row],[DMOT]:[DMOT4]]),"")</f>
        <v/>
      </c>
      <c r="BR102" s="135" t="str">
        <f>IFERROR(VLOOKUP(Tabela1[[#This Row],[MÊS]]&amp;Tabela1[[#This Row],[ID]]&amp;Tabela1[[#This Row],[MATRICULA]]&amp;"Ponto de Apoio"&amp;Tabela1[[#This Row],[SETOR]],BD!A:AF,13,0),"")</f>
        <v/>
      </c>
      <c r="BS102" s="135" t="str">
        <f>IFERROR(VLOOKUP(Tabela1[[#This Row],[MÊS]]&amp;Tabela1[[#This Row],[ID]]&amp;Tabela1[[#This Row],[MATRICULA]]&amp;"Ponto de Apoio 2"&amp;Tabela1[[#This Row],[SETOR]],BD!A:AF,13,0),"")</f>
        <v/>
      </c>
      <c r="BT102" s="135" t="str">
        <f>IFERROR(VLOOKUP(Tabela1[[#This Row],[MÊS]]&amp;Tabela1[[#This Row],[ID]]&amp;Tabela1[[#This Row],[MATRICULA]]&amp;"Ponto de Apoio 3"&amp;Tabela1[[#This Row],[SETOR]],BD!A:AF,13,0),"")</f>
        <v/>
      </c>
      <c r="BU102" s="135" t="str">
        <f>IFERROR(VLOOKUP(Tabela1[[#This Row],[MÊS]]&amp;Tabela1[[#This Row],[ID]]&amp;Tabela1[[#This Row],[MATRICULA]]&amp;"Ponto de Apoio 4"&amp;Tabela1[[#This Row],[SETOR]],BD!A:AF,13,0),"")</f>
        <v/>
      </c>
      <c r="BV102" s="135" t="str">
        <f>IFERROR(AVERAGE(Tabela1[[#This Row],[DPA]:[DPA 4]]),"")</f>
        <v/>
      </c>
      <c r="BW102" s="135" t="str">
        <f>IFERROR(VLOOKUP(Tabela1[[#This Row],[MÊS]]&amp;Tabela1[[#This Row],[ID]]&amp;Tabela1[[#This Row],[MATRICULA]]&amp;"Cliente"&amp;Tabela1[[#This Row],[SETOR]],BD!A:AF,13,0),"")</f>
        <v/>
      </c>
      <c r="BX102" s="135" t="str">
        <f>IFERROR(VLOOKUP(Tabela1[[#This Row],[MÊS]]&amp;Tabela1[[#This Row],[ID]]&amp;Tabela1[[#This Row],[MATRICULA]]&amp;"cliente 2"&amp;Tabela1[[#This Row],[SETOR]],BD!A:AF,13,0),"")</f>
        <v/>
      </c>
      <c r="BY102" s="135" t="str">
        <f>IFERROR(VLOOKUP(Tabela1[[#This Row],[MÊS]]&amp;Tabela1[[#This Row],[ID]]&amp;Tabela1[[#This Row],[MATRICULA]]&amp;"cliente 3"&amp;Tabela1[[#This Row],[SETOR]],BD!A:AF,13,0),"")</f>
        <v/>
      </c>
      <c r="BZ102" s="135" t="str">
        <f>IFERROR(VLOOKUP(Tabela1[[#This Row],[MÊS]]&amp;Tabela1[[#This Row],[ID]]&amp;Tabela1[[#This Row],[MATRICULA]]&amp;"cliente 4"&amp;Tabela1[[#This Row],[SETOR]],BD!A:AF,13,0),"")</f>
        <v/>
      </c>
      <c r="CA102" s="135" t="str">
        <f>IFERROR(AVERAGE(Tabela1[[#This Row],[DCLI]:[DCLI 4]]),"")</f>
        <v/>
      </c>
      <c r="CB102" s="135" t="str">
        <f>IFERROR(VLOOKUP(Tabela1[[#This Row],[MÊS]]&amp;Tabela1[[#This Row],[ID]]&amp;Tabela1[[#This Row],[MATRICULA]]&amp;"Policia"&amp;Tabela1[[#This Row],[SETOR]],BD!A:AF,13,0),"")</f>
        <v/>
      </c>
      <c r="CC102" s="135" t="str">
        <f>IFERROR(VLOOKUP(Tabela1[[#This Row],[MÊS]]&amp;Tabela1[[#This Row],[ID]]&amp;Tabela1[[#This Row],[MATRICULA]]&amp;"Policia 2"&amp;Tabela1[[#This Row],[SETOR]],BD!A:AF,13,0),"")</f>
        <v/>
      </c>
      <c r="CD102" s="135"/>
      <c r="CE102" s="135"/>
      <c r="CF102" s="135" t="str">
        <f>IFERROR((AVERAGE(Tabela1[[#This Row],[DPOL1]:[DPOL4]])),"")</f>
        <v/>
      </c>
      <c r="CG102" s="21" t="str">
        <f>IFERROR(VLOOKUP(Tabela1[[#This Row],[ID]]&amp;Tabela1[[#This Row],[MÊS]]&amp;Tabela1[[#This Row],[MATRICULA]],#REF!,2,0),"")</f>
        <v/>
      </c>
      <c r="CH102" s="21" t="str">
        <f>IFERROR(VLOOKUP(Tabela1[[#This Row],[ID]]&amp;Tabela1[[#This Row],[MÊS]]&amp;Tabela1[[#This Row],[MATRICULA]],#REF!,2,0),"")</f>
        <v/>
      </c>
      <c r="CI102" s="21" t="str">
        <f>IFERROR(VLOOKUP(Tabela1[[#This Row],[MÊS]]&amp;Tabela1[[#This Row],[MATRICULA]],#REF!,2,0),"")</f>
        <v/>
      </c>
    </row>
    <row r="103" spans="1:87">
      <c r="A103" s="12" t="str">
        <f>Tabela1[[#This Row],[MÊS]]&amp;Tabela1[[#This Row],[MATRICULA]]&amp;Tabela1[[#This Row],[ID]]</f>
        <v>JAN110947</v>
      </c>
      <c r="B103" s="12" t="str">
        <f>Tabela1[[#This Row],[MÊS]]&amp;Tabela1[[#This Row],[ID]]&amp;Tabela1[[#This Row],[MATRICULA]]&amp;Tabela1[[#This Row],[SETOR]]</f>
        <v>JAN711094UTI</v>
      </c>
      <c r="C103" s="130" t="e">
        <f>VLOOKUP(Tabela1[[#This Row],[MATRICULA]],'BD Campos'!A:D,5,0)</f>
        <v>#REF!</v>
      </c>
      <c r="D103" s="133" t="str">
        <f ca="1">IFERROR(SUM(TODAY()-Tabela1[[#This Row],[ADMISSÃO]]),"")</f>
        <v/>
      </c>
      <c r="E103" s="11" t="str">
        <f ca="1">IFERROR(TRUNC(Tabela1[[#This Row],[TEMPO DE CASA (DIAS)]]/30),"")</f>
        <v/>
      </c>
      <c r="F103" s="32" t="str">
        <f ca="1">IFERROR(SUM(Tabela1[[#This Row],[TEMPO DE CASA (MESES)]]/12),"")</f>
        <v/>
      </c>
      <c r="G103" s="133" t="str">
        <f ca="1">IF(Tabela1[[#This Row],[TEMPO DE CASA (DIAS)]]="","SEM DADOS",IF(Tabela1[[#This Row],[TEMPO DE CASA (DIAS)]]&gt;180,"&gt; 6 MESES","&lt; 6 MESES"))</f>
        <v>SEM DADOS</v>
      </c>
      <c r="H103" s="12" t="str">
        <f t="shared" si="10"/>
        <v>JANTanara Vigentin7</v>
      </c>
      <c r="I103" s="12" t="str">
        <f>IFERROR(VLOOKUP(Tabela1[[#This Row],[MATRICULA]],'BD Campos'!A:F,7,0),"")</f>
        <v/>
      </c>
      <c r="J103" s="11">
        <v>7</v>
      </c>
      <c r="K103" s="11" t="s">
        <v>669</v>
      </c>
      <c r="L103" s="136">
        <v>11094</v>
      </c>
      <c r="M103" s="12" t="str">
        <f>IFERROR(VLOOKUP(Tabela1[[#This Row],[MATRICULA]],'BD Campos'!A:B,2,0),"")</f>
        <v>MONICA BRUNELE DA SILVA NASCIMENTO</v>
      </c>
      <c r="N103" s="20">
        <f>IFERROR(AVERAGE(Tabela1[[#This Row],[A1]:[A4]]),"")</f>
        <v>9.4487500000000004</v>
      </c>
      <c r="O103" s="20" t="str">
        <f>IFERROR(IF(Tabela1[[#This Row],[SETOR]]="RECEPTIVO","",AVERAGE(Tabela1[[#This Row],[A5]:[A6]])),"")</f>
        <v/>
      </c>
      <c r="P103" s="20" t="str">
        <f>IFERROR(IF(Tabela1[[#This Row],[STATUS]]="INATIVO","INATIVO",IF(Tabela1[[#This Row],[STATUS]]="QRT","INATIVO",IF(Tabela1[[#This Row],[OPERACIONAL]]&gt;7.99999,"BOM","RUIM"))),"")</f>
        <v>BOM</v>
      </c>
      <c r="Q103" s="21" t="s">
        <v>667</v>
      </c>
      <c r="R103" s="12" t="s">
        <v>696</v>
      </c>
      <c r="S103" s="12" t="s">
        <v>693</v>
      </c>
      <c r="T103" s="12" t="s">
        <v>128</v>
      </c>
      <c r="U10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1.1000000000000001</v>
      </c>
      <c r="V10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0.04</v>
      </c>
      <c r="W103" s="12">
        <f>IF(AND(Tabela1[[#This Row],[SETOR]]="UTI",Tabela1[[#This Row],[M]]&lt;&gt;""),1,IF(AND(Tabela1[[#This Row],[SETOR]]="UTI (RJ)",Tabela1[[#This Row],[M]]&lt;&gt;""),1.5,0))</f>
        <v>1</v>
      </c>
      <c r="X103" s="12">
        <v>1</v>
      </c>
      <c r="Y103" s="12">
        <v>1</v>
      </c>
      <c r="Z103" s="12">
        <v>1</v>
      </c>
      <c r="AA103" s="21">
        <f>IFERROR(VLOOKUP(Tabela1[[#This Row],[MÊS]]&amp;Tabela1[[#This Row],[MATRICULA]]&amp;"1"&amp;Tabela1[[#This Row],[SETOR]]&amp;"PADRÃO",BD!B:AF,31,0),"")</f>
        <v>10.000000000000002</v>
      </c>
      <c r="AB103" s="21">
        <f>IFERROR(VLOOKUP(Tabela1[[#This Row],[MÊS]]&amp;Tabela1[[#This Row],[MATRICULA]]&amp;"2"&amp;Tabela1[[#This Row],[SETOR]]&amp;"PADRÃO",BD!B:AF,31,0),"")</f>
        <v>8.8974999999999991</v>
      </c>
      <c r="AC103" s="21" t="str">
        <f>IFERROR(VLOOKUP(Tabela1[[#This Row],[MÊS]]&amp;Tabela1[[#This Row],[MATRICULA]]&amp;"3"&amp;Tabela1[[#This Row],[SETOR]]&amp;"PADRÃO",BD!B:AF,31,0),"")</f>
        <v/>
      </c>
      <c r="AD103" s="21" t="str">
        <f>IFERROR(VLOOKUP(Tabela1[[#This Row],[MÊS]]&amp;Tabela1[[#This Row],[MATRICULA]]&amp;"4"&amp;Tabela1[[#This Row],[SETOR]]&amp;"PADRÃO",BD!B:AF,25,0),"")</f>
        <v/>
      </c>
      <c r="AE103" s="21" t="str">
        <f>IFERROR(VLOOKUP(Tabela1[[#This Row],[MÊS]]&amp;Tabela1[[#This Row],[MATRICULA]]&amp;"5"&amp;Tabela1[[#This Row],[SETOR]]&amp;"PADRÃO",BD!B:AF,31,0),"")</f>
        <v/>
      </c>
      <c r="AF103" s="21" t="str">
        <f>IFERROR(VLOOKUP(Tabela1[[#This Row],[MÊS]]&amp;Tabela1[[#This Row],[MATRICULA]]&amp;"6"&amp;Tabela1[[#This Row],[SETOR]]&amp;"PADRÃO",BD!B:AF,31,0),"")</f>
        <v/>
      </c>
      <c r="AG103" s="21" t="str">
        <f>IFERROR(VLOOKUP(Tabela1[[#This Row],[MÊS]]&amp;Tabela1[[#This Row],[MATRICULA]]&amp;"7"&amp;Tabela1[[#This Row],[SETOR]]&amp;"PADRÃO",BD!B:AF,31,0),"")</f>
        <v/>
      </c>
      <c r="AH103" s="21" t="str">
        <f>IFERROR(VLOOKUP(Tabela1[[#This Row],[MÊS]]&amp;Tabela1[[#This Row],[ID]]&amp;Tabela1[[#This Row],[MATRICULA]]&amp;"Receptiva"&amp;Tabela1[[#This Row],[SETOR]],BD!A:AF,31,0),"")</f>
        <v/>
      </c>
      <c r="AI103" s="21" t="str">
        <f>IFERROR(VLOOKUP(Tabela1[[#This Row],[MÊS]]&amp;Tabela1[[#This Row],[ID]]&amp;Tabela1[[#This Row],[MATRICULA]]&amp;"Receptiva 2"&amp;Tabela1[[#This Row],[SETOR]],BD!A:AF,31,0),"")</f>
        <v/>
      </c>
      <c r="AJ103" s="21" t="str">
        <f>IFERROR(VLOOKUP(Tabela1[[#This Row],[MÊS]]&amp;Tabela1[[#This Row],[ID]]&amp;Tabela1[[#This Row],[MATRICULA]]&amp;"Receptiva 3"&amp;Tabela1[[#This Row],[SETOR]],BD!A:AF,31,0),"")</f>
        <v/>
      </c>
      <c r="AK103" s="21" t="str">
        <f>IFERROR(VLOOKUP(Tabela1[[#This Row],[MÊS]]&amp;Tabela1[[#This Row],[ID]]&amp;Tabela1[[#This Row],[MATRICULA]]&amp;"Receptiva 4"&amp;Tabela1[[#This Row],[SETOR]],BD!A:AF,31,0),"")</f>
        <v/>
      </c>
      <c r="AL103" s="21">
        <f>IFERROR(VLOOKUP(Tabela1[[#This Row],[MÊS]]&amp;Tabela1[[#This Row],[MATRICULA]]&amp;"Motorista"&amp;Tabela1[[#This Row],[SETOR]],BD!A:AF,31,0),"")</f>
        <v>0</v>
      </c>
      <c r="AM103" s="21" t="str">
        <f>IFERROR(VLOOKUP(Tabela1[[#This Row],[MÊS]]&amp;Tabela1[[#This Row],[ID]]&amp;Tabela1[[#This Row],[MATRICULA]]&amp;"Motorista 2"&amp;Tabela1[[#This Row],[SETOR]],BD!A:AF,26,0),"")</f>
        <v/>
      </c>
      <c r="AN103" s="21" t="str">
        <f>IFERROR(VLOOKUP(Tabela1[[#This Row],[MÊS]]&amp;Tabela1[[#This Row],[ID]]&amp;Tabela1[[#This Row],[MATRICULA]]&amp;"Motorista 3"&amp;Tabela1[[#This Row],[SETOR]],BD!A:AF,26,0),"")</f>
        <v/>
      </c>
      <c r="AO103" s="21" t="str">
        <f>IFERROR(VLOOKUP(Tabela1[[#This Row],[MÊS]]&amp;Tabela1[[#This Row],[ID]]&amp;Tabela1[[#This Row],[MATRICULA]]&amp;"Motorista 4"&amp;Tabela1[[#This Row],[SETOR]],BD!A:AF,26,0),"")</f>
        <v/>
      </c>
      <c r="AP103" s="21" t="str">
        <f>IFERROR(VLOOKUP(Tabela1[[#This Row],[MÊS]]&amp;Tabela1[[#This Row],[MATRICULA]]&amp;"Ponto de Apoio"&amp;Tabela1[[#This Row],[SETOR]],BD!A:AF,31,0),"")</f>
        <v/>
      </c>
      <c r="AQ103" s="21" t="str">
        <f>IFERROR(VLOOKUP(Tabela1[[#This Row],[MÊS]]&amp;Tabela1[[#This Row],[ID]]&amp;Tabela1[[#This Row],[MATRICULA]]&amp;"Ponto de Apoio 2"&amp;Tabela1[[#This Row],[SETOR]],BD!A:AF,26,0),"")</f>
        <v/>
      </c>
      <c r="AR103" s="36" t="str">
        <f>IFERROR(VLOOKUP(Tabela1[[#This Row],[MÊS]]&amp;Tabela1[[#This Row],[ID]]&amp;Tabela1[[#This Row],[MATRICULA]]&amp;"Ponto de Apoio 3"&amp;Tabela1[[#This Row],[SETOR]],BD!A:AF,26,0),"")</f>
        <v/>
      </c>
      <c r="AS103" s="36" t="str">
        <f>IFERROR(VLOOKUP(Tabela1[[#This Row],[MÊS]]&amp;Tabela1[[#This Row],[ID]]&amp;Tabela1[[#This Row],[MATRICULA]]&amp;"Ponto de Apoio 4"&amp;Tabela1[[#This Row],[SETOR]],BD!A:AF,26,0),"")</f>
        <v/>
      </c>
      <c r="AT103" s="21" t="str">
        <f>IFERROR(VLOOKUP(Tabela1[[#This Row],[MÊS]]&amp;Tabela1[[#This Row],[MATRICULA]]&amp;"Cliente"&amp;Tabela1[[#This Row],[SETOR]],BD!A:AF,31,0),"")</f>
        <v/>
      </c>
      <c r="AU103" s="21" t="str">
        <f>IFERROR(VLOOKUP(Tabela1[[#This Row],[MÊS]]&amp;Tabela1[[#This Row],[ID]]&amp;Tabela1[[#This Row],[MATRICULA]]&amp;"Cliente 2"&amp;Tabela1[[#This Row],[SETOR]],BD!A:AF,26,0),"")</f>
        <v/>
      </c>
      <c r="AX103" s="21" t="str">
        <f>IFERROR(VLOOKUP(Tabela1[[#This Row],[MÊS]]&amp;Tabela1[[#This Row],[MATRICULA]]&amp;"Policia"&amp;Tabela1[[#This Row],[SETOR]],BD!A:AF,31,0),"")</f>
        <v/>
      </c>
      <c r="AY103" s="21" t="str">
        <f>IFERROR(VLOOKUP(Tabela1[[#This Row],[MÊS]]&amp;Tabela1[[#This Row],[ID]]&amp;Tabela1[[#This Row],[MATRICULA]]&amp;"Policia 2"&amp;Tabela1[[#This Row],[SETOR]],BD!A:AF,26,0),"")</f>
        <v/>
      </c>
      <c r="AZ103" s="36" t="str">
        <f>IFERROR(VLOOKUP(Tabela1[[#This Row],[MÊS]]&amp;Tabela1[[#This Row],[ID]]&amp;Tabela1[[#This Row],[MATRICULA]]&amp;"Policia 3"&amp;Tabela1[[#This Row],[SETOR]],BD!A:AF,26,0),"")</f>
        <v/>
      </c>
      <c r="BA103" s="36" t="str">
        <f>IFERROR(VLOOKUP(Tabela1[[#This Row],[MÊS]]&amp;Tabela1[[#This Row],[ID]]&amp;Tabela1[[#This Row],[MATRICULA]]&amp;"Policia 4"&amp;Tabela1[[#This Row],[SETOR]],BD!A:AF,26,0),"")</f>
        <v/>
      </c>
      <c r="BB10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3" s="21">
        <f>IFERROR(AVERAGE(Tabela1[[#This Row],[M]:[M4]]),"")</f>
        <v>0</v>
      </c>
      <c r="BD103" s="21" t="str">
        <f>IFERROR(AVERAGE(Tabela1[[#This Row],[C]:[C4]]),"")</f>
        <v/>
      </c>
      <c r="BE103" s="21" t="str">
        <f>IFERROR(AVERAGE(Tabela1[[#This Row],[PA2]:[PA 4]]),"")</f>
        <v/>
      </c>
      <c r="BF103" s="21" t="str">
        <f>IFERROR(AVERAGE(Tabela1[[#This Row],[PL]:[PL4]]),"")</f>
        <v/>
      </c>
      <c r="BG103" s="35" t="str">
        <f>IFERROR(VLOOKUP(Tabela1[[#This Row],[MÊS]]&amp;Tabela1[[#This Row],[MATRICULA]],#REF!,2,0),"")</f>
        <v/>
      </c>
      <c r="BH103" s="35" t="str">
        <f>IFERROR(VLOOKUP(Tabela1[[#This Row],[MÊS]]&amp;Tabela1[[#This Row],[MATRICULA]],#REF!,2,0),"")</f>
        <v/>
      </c>
      <c r="BI103" s="35" t="str">
        <f>IFERROR(VLOOKUP(Tabela1[[#This Row],[MÊS]]&amp;Tabela1[[#This Row],[MATRICULA]],#REF!,2,0),"")</f>
        <v/>
      </c>
      <c r="BJ103" s="35" t="str">
        <f>IFERROR(VLOOKUP(Tabela1[[#This Row],[MÊS]]&amp;Tabela1[[#This Row],[MATRICULA]],#REF!,2,0),"")</f>
        <v/>
      </c>
      <c r="BK103" s="35" t="str">
        <f>IFERROR(VLOOKUP(Tabela1[[#This Row],[MÊS]]&amp;Tabela1[[#This Row],[MATRICULA]],#REF!,2,0),"")</f>
        <v/>
      </c>
      <c r="BL103" s="21">
        <f>COUNTIF(Tabela1[[#This Row],[MOT2]:[RECEPTIVA]],"NÃO ENCONTRADA")</f>
        <v>0</v>
      </c>
      <c r="BM103" s="135" t="str">
        <f>IFERROR(VLOOKUP(Tabela1[[#This Row],[MÊS]]&amp;Tabela1[[#This Row],[ID]]&amp;Tabela1[[#This Row],[MATRICULA]]&amp;"Motorista"&amp;Tabela1[[#This Row],[SETOR]],BD!A:AF,13,0),"")</f>
        <v/>
      </c>
      <c r="BN103" s="135" t="str">
        <f>IFERROR(VLOOKUP(Tabela1[[#This Row],[MÊS]]&amp;Tabela1[[#This Row],[ID]]&amp;Tabela1[[#This Row],[MATRICULA]]&amp;"Motorista 2"&amp;Tabela1[[#This Row],[SETOR]],BD!A:AF,13,0),"")</f>
        <v/>
      </c>
      <c r="BO103" s="135" t="str">
        <f>IFERROR(VLOOKUP(Tabela1[[#This Row],[MÊS]]&amp;Tabela1[[#This Row],[ID]]&amp;Tabela1[[#This Row],[MATRICULA]]&amp;"Motorista 3"&amp;Tabela1[[#This Row],[SETOR]],BD!A:AF,13,0),"")</f>
        <v/>
      </c>
      <c r="BP103" s="135" t="str">
        <f>IFERROR(VLOOKUP(Tabela1[[#This Row],[MÊS]]&amp;Tabela1[[#This Row],[ID]]&amp;Tabela1[[#This Row],[MATRICULA]]&amp;"Motorista 4"&amp;Tabela1[[#This Row],[SETOR]],BD!A:AF,13,0),"")</f>
        <v/>
      </c>
      <c r="BQ103" s="135" t="str">
        <f>IFERROR(AVERAGE(Tabela1[[#This Row],[DMOT]:[DMOT4]]),"")</f>
        <v/>
      </c>
      <c r="BR103" s="135" t="str">
        <f>IFERROR(VLOOKUP(Tabela1[[#This Row],[MÊS]]&amp;Tabela1[[#This Row],[ID]]&amp;Tabela1[[#This Row],[MATRICULA]]&amp;"Ponto de Apoio"&amp;Tabela1[[#This Row],[SETOR]],BD!A:AF,13,0),"")</f>
        <v/>
      </c>
      <c r="BS103" s="135" t="str">
        <f>IFERROR(VLOOKUP(Tabela1[[#This Row],[MÊS]]&amp;Tabela1[[#This Row],[ID]]&amp;Tabela1[[#This Row],[MATRICULA]]&amp;"Ponto de Apoio 2"&amp;Tabela1[[#This Row],[SETOR]],BD!A:AF,13,0),"")</f>
        <v/>
      </c>
      <c r="BT103" s="135" t="str">
        <f>IFERROR(VLOOKUP(Tabela1[[#This Row],[MÊS]]&amp;Tabela1[[#This Row],[ID]]&amp;Tabela1[[#This Row],[MATRICULA]]&amp;"Ponto de Apoio 3"&amp;Tabela1[[#This Row],[SETOR]],BD!A:AF,13,0),"")</f>
        <v/>
      </c>
      <c r="BU103" s="135" t="str">
        <f>IFERROR(VLOOKUP(Tabela1[[#This Row],[MÊS]]&amp;Tabela1[[#This Row],[ID]]&amp;Tabela1[[#This Row],[MATRICULA]]&amp;"Ponto de Apoio 4"&amp;Tabela1[[#This Row],[SETOR]],BD!A:AF,13,0),"")</f>
        <v/>
      </c>
      <c r="BV103" s="135" t="str">
        <f>IFERROR(AVERAGE(Tabela1[[#This Row],[DPA]:[DPA 4]]),"")</f>
        <v/>
      </c>
      <c r="BW103" s="135" t="str">
        <f>IFERROR(VLOOKUP(Tabela1[[#This Row],[MÊS]]&amp;Tabela1[[#This Row],[ID]]&amp;Tabela1[[#This Row],[MATRICULA]]&amp;"Cliente"&amp;Tabela1[[#This Row],[SETOR]],BD!A:AF,13,0),"")</f>
        <v/>
      </c>
      <c r="BX103" s="135" t="str">
        <f>IFERROR(VLOOKUP(Tabela1[[#This Row],[MÊS]]&amp;Tabela1[[#This Row],[ID]]&amp;Tabela1[[#This Row],[MATRICULA]]&amp;"cliente 2"&amp;Tabela1[[#This Row],[SETOR]],BD!A:AF,13,0),"")</f>
        <v/>
      </c>
      <c r="BY103" s="135" t="str">
        <f>IFERROR(VLOOKUP(Tabela1[[#This Row],[MÊS]]&amp;Tabela1[[#This Row],[ID]]&amp;Tabela1[[#This Row],[MATRICULA]]&amp;"cliente 3"&amp;Tabela1[[#This Row],[SETOR]],BD!A:AF,13,0),"")</f>
        <v/>
      </c>
      <c r="BZ103" s="135" t="str">
        <f>IFERROR(VLOOKUP(Tabela1[[#This Row],[MÊS]]&amp;Tabela1[[#This Row],[ID]]&amp;Tabela1[[#This Row],[MATRICULA]]&amp;"cliente 4"&amp;Tabela1[[#This Row],[SETOR]],BD!A:AF,13,0),"")</f>
        <v/>
      </c>
      <c r="CA103" s="135" t="str">
        <f>IFERROR(AVERAGE(Tabela1[[#This Row],[DCLI]:[DCLI 4]]),"")</f>
        <v/>
      </c>
      <c r="CB103" s="135" t="str">
        <f>IFERROR(VLOOKUP(Tabela1[[#This Row],[MÊS]]&amp;Tabela1[[#This Row],[ID]]&amp;Tabela1[[#This Row],[MATRICULA]]&amp;"Policia"&amp;Tabela1[[#This Row],[SETOR]],BD!A:AF,13,0),"")</f>
        <v/>
      </c>
      <c r="CC103" s="135" t="str">
        <f>IFERROR(VLOOKUP(Tabela1[[#This Row],[MÊS]]&amp;Tabela1[[#This Row],[ID]]&amp;Tabela1[[#This Row],[MATRICULA]]&amp;"Policia 2"&amp;Tabela1[[#This Row],[SETOR]],BD!A:AF,13,0),"")</f>
        <v/>
      </c>
      <c r="CD103" s="135"/>
      <c r="CE103" s="135"/>
      <c r="CF103" s="135" t="str">
        <f>IFERROR((AVERAGE(Tabela1[[#This Row],[DPOL1]:[DPOL4]])),"")</f>
        <v/>
      </c>
      <c r="CG103" s="21" t="str">
        <f>IFERROR(VLOOKUP(Tabela1[[#This Row],[ID]]&amp;Tabela1[[#This Row],[MÊS]]&amp;Tabela1[[#This Row],[MATRICULA]],#REF!,2,0),"")</f>
        <v/>
      </c>
      <c r="CH103" s="21" t="str">
        <f>IFERROR(VLOOKUP(Tabela1[[#This Row],[ID]]&amp;Tabela1[[#This Row],[MÊS]]&amp;Tabela1[[#This Row],[MATRICULA]],#REF!,2,0),"")</f>
        <v/>
      </c>
      <c r="CI103" s="21" t="str">
        <f>IFERROR(VLOOKUP(Tabela1[[#This Row],[MÊS]]&amp;Tabela1[[#This Row],[MATRICULA]],#REF!,2,0),"")</f>
        <v/>
      </c>
    </row>
    <row r="104" spans="1:87">
      <c r="A104" s="12" t="str">
        <f>Tabela1[[#This Row],[MÊS]]&amp;Tabela1[[#This Row],[MATRICULA]]&amp;Tabela1[[#This Row],[ID]]</f>
        <v>JAN110518</v>
      </c>
      <c r="B104" s="12" t="str">
        <f>Tabela1[[#This Row],[MÊS]]&amp;Tabela1[[#This Row],[ID]]&amp;Tabela1[[#This Row],[MATRICULA]]&amp;Tabela1[[#This Row],[SETOR]]</f>
        <v>JAN811051UTI</v>
      </c>
      <c r="C104" s="130" t="e">
        <f>VLOOKUP(Tabela1[[#This Row],[MATRICULA]],'BD Campos'!A:D,5,0)</f>
        <v>#REF!</v>
      </c>
      <c r="D104" s="133" t="str">
        <f ca="1">IFERROR(SUM(TODAY()-Tabela1[[#This Row],[ADMISSÃO]]),"")</f>
        <v/>
      </c>
      <c r="E104" s="11" t="str">
        <f ca="1">IFERROR(TRUNC(Tabela1[[#This Row],[TEMPO DE CASA (DIAS)]]/30),"")</f>
        <v/>
      </c>
      <c r="F104" s="32" t="str">
        <f ca="1">IFERROR(SUM(Tabela1[[#This Row],[TEMPO DE CASA (MESES)]]/12),"")</f>
        <v/>
      </c>
      <c r="G104" s="133" t="str">
        <f ca="1">IF(Tabela1[[#This Row],[TEMPO DE CASA (DIAS)]]="","SEM DADOS",IF(Tabela1[[#This Row],[TEMPO DE CASA (DIAS)]]&gt;180,"&gt; 6 MESES","&lt; 6 MESES"))</f>
        <v>SEM DADOS</v>
      </c>
      <c r="H104" s="12" t="str">
        <f t="shared" si="10"/>
        <v>JANTanara Vigentin8</v>
      </c>
      <c r="I104" s="12" t="str">
        <f>IFERROR(VLOOKUP(Tabela1[[#This Row],[MATRICULA]],'BD Campos'!A:F,7,0),"")</f>
        <v/>
      </c>
      <c r="J104" s="11">
        <v>8</v>
      </c>
      <c r="K104" s="11" t="s">
        <v>669</v>
      </c>
      <c r="L104" s="136">
        <v>11051</v>
      </c>
      <c r="M104" s="12" t="str">
        <f>IFERROR(VLOOKUP(Tabela1[[#This Row],[MATRICULA]],'BD Campos'!A:B,2,0),"")</f>
        <v>PATRICIA APARECIDA GUESSER</v>
      </c>
      <c r="N104" s="20">
        <f>IFERROR(AVERAGE(Tabela1[[#This Row],[A1]:[A4]]),"")</f>
        <v>9.3109999999999999</v>
      </c>
      <c r="O104" s="20" t="str">
        <f>IFERROR(IF(Tabela1[[#This Row],[SETOR]]="RECEPTIVO","",AVERAGE(Tabela1[[#This Row],[A5]:[A6]])),"")</f>
        <v/>
      </c>
      <c r="P104" s="20" t="str">
        <f>IFERROR(IF(Tabela1[[#This Row],[STATUS]]="INATIVO","INATIVO",IF(Tabela1[[#This Row],[STATUS]]="QRT","INATIVO",IF(Tabela1[[#This Row],[OPERACIONAL]]&gt;7.99999,"BOM","RUIM"))),"")</f>
        <v>BOM</v>
      </c>
      <c r="Q104" s="21" t="s">
        <v>667</v>
      </c>
      <c r="R104" s="12" t="s">
        <v>696</v>
      </c>
      <c r="S104" s="12" t="s">
        <v>693</v>
      </c>
      <c r="T104" s="12" t="s">
        <v>128</v>
      </c>
      <c r="U10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</v>
      </c>
      <c r="V10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0.02</v>
      </c>
      <c r="W104" s="12">
        <f>IF(AND(Tabela1[[#This Row],[SETOR]]="UTI",Tabela1[[#This Row],[M]]&lt;&gt;""),1,IF(AND(Tabela1[[#This Row],[SETOR]]="UTI (RJ)",Tabela1[[#This Row],[M]]&lt;&gt;""),1.5,0))</f>
        <v>1</v>
      </c>
      <c r="X104" s="12">
        <v>1</v>
      </c>
      <c r="Y104" s="12">
        <v>1</v>
      </c>
      <c r="Z104" s="12">
        <f>IF(AND(Tabela1[[#This Row],[SETOR]]="UTI",Tabela1[[#This Row],[PL]]&lt;&gt;""),1,IF(AND(Tabela1[[#This Row],[SETOR]]="UTI (RJ)",Tabela1[[#This Row],[PL]]&lt;&gt;""),1,0))</f>
        <v>0</v>
      </c>
      <c r="AA104" s="21">
        <f>IFERROR(VLOOKUP(Tabela1[[#This Row],[MÊS]]&amp;Tabela1[[#This Row],[MATRICULA]]&amp;"1"&amp;Tabela1[[#This Row],[SETOR]]&amp;"PADRÃO",BD!B:AF,31,0),"")</f>
        <v>10.004000000000001</v>
      </c>
      <c r="AB104" s="21">
        <f>IFERROR(VLOOKUP(Tabela1[[#This Row],[MÊS]]&amp;Tabela1[[#This Row],[MATRICULA]]&amp;"2"&amp;Tabela1[[#This Row],[SETOR]]&amp;"PADRÃO",BD!B:AF,31,0),"")</f>
        <v>8.6179999999999986</v>
      </c>
      <c r="AC104" s="21" t="str">
        <f>IFERROR(VLOOKUP(Tabela1[[#This Row],[MÊS]]&amp;Tabela1[[#This Row],[MATRICULA]]&amp;"3"&amp;Tabela1[[#This Row],[SETOR]]&amp;"PADRÃO",BD!B:AF,31,0),"")</f>
        <v/>
      </c>
      <c r="AD104" s="21" t="str">
        <f>IFERROR(VLOOKUP(Tabela1[[#This Row],[MÊS]]&amp;Tabela1[[#This Row],[MATRICULA]]&amp;"4"&amp;Tabela1[[#This Row],[SETOR]]&amp;"PADRÃO",BD!B:AF,25,0),"")</f>
        <v/>
      </c>
      <c r="AE104" s="21" t="str">
        <f>IFERROR(VLOOKUP(Tabela1[[#This Row],[MÊS]]&amp;Tabela1[[#This Row],[MATRICULA]]&amp;"5"&amp;Tabela1[[#This Row],[SETOR]]&amp;"PADRÃO",BD!B:AF,31,0),"")</f>
        <v/>
      </c>
      <c r="AF104" s="21" t="str">
        <f>IFERROR(VLOOKUP(Tabela1[[#This Row],[MÊS]]&amp;Tabela1[[#This Row],[MATRICULA]]&amp;"6"&amp;Tabela1[[#This Row],[SETOR]]&amp;"PADRÃO",BD!B:AF,31,0),"")</f>
        <v/>
      </c>
      <c r="AG104" s="21" t="str">
        <f>IFERROR(VLOOKUP(Tabela1[[#This Row],[MÊS]]&amp;Tabela1[[#This Row],[MATRICULA]]&amp;"7"&amp;Tabela1[[#This Row],[SETOR]]&amp;"PADRÃO",BD!B:AF,31,0),"")</f>
        <v/>
      </c>
      <c r="AH104" s="21" t="str">
        <f>IFERROR(VLOOKUP(Tabela1[[#This Row],[MÊS]]&amp;Tabela1[[#This Row],[ID]]&amp;Tabela1[[#This Row],[MATRICULA]]&amp;"Receptiva"&amp;Tabela1[[#This Row],[SETOR]],BD!A:AF,31,0),"")</f>
        <v/>
      </c>
      <c r="AI104" s="21" t="str">
        <f>IFERROR(VLOOKUP(Tabela1[[#This Row],[MÊS]]&amp;Tabela1[[#This Row],[ID]]&amp;Tabela1[[#This Row],[MATRICULA]]&amp;"Receptiva 2"&amp;Tabela1[[#This Row],[SETOR]],BD!A:AF,31,0),"")</f>
        <v/>
      </c>
      <c r="AJ104" s="21" t="str">
        <f>IFERROR(VLOOKUP(Tabela1[[#This Row],[MÊS]]&amp;Tabela1[[#This Row],[ID]]&amp;Tabela1[[#This Row],[MATRICULA]]&amp;"Receptiva 3"&amp;Tabela1[[#This Row],[SETOR]],BD!A:AF,31,0),"")</f>
        <v/>
      </c>
      <c r="AK104" s="21" t="str">
        <f>IFERROR(VLOOKUP(Tabela1[[#This Row],[MÊS]]&amp;Tabela1[[#This Row],[ID]]&amp;Tabela1[[#This Row],[MATRICULA]]&amp;"Receptiva 4"&amp;Tabela1[[#This Row],[SETOR]],BD!A:AF,31,0),"")</f>
        <v/>
      </c>
      <c r="AL104" s="21">
        <f>IFERROR(VLOOKUP(Tabela1[[#This Row],[MÊS]]&amp;Tabela1[[#This Row],[MATRICULA]]&amp;"Motorista"&amp;Tabela1[[#This Row],[SETOR]],BD!A:AF,31,0),"")</f>
        <v>0</v>
      </c>
      <c r="AM104" s="21" t="str">
        <f>IFERROR(VLOOKUP(Tabela1[[#This Row],[MÊS]]&amp;Tabela1[[#This Row],[ID]]&amp;Tabela1[[#This Row],[MATRICULA]]&amp;"Motorista 2"&amp;Tabela1[[#This Row],[SETOR]],BD!A:AF,26,0),"")</f>
        <v/>
      </c>
      <c r="AN104" s="21" t="str">
        <f>IFERROR(VLOOKUP(Tabela1[[#This Row],[MÊS]]&amp;Tabela1[[#This Row],[ID]]&amp;Tabela1[[#This Row],[MATRICULA]]&amp;"Motorista 3"&amp;Tabela1[[#This Row],[SETOR]],BD!A:AF,26,0),"")</f>
        <v/>
      </c>
      <c r="AO104" s="21" t="str">
        <f>IFERROR(VLOOKUP(Tabela1[[#This Row],[MÊS]]&amp;Tabela1[[#This Row],[ID]]&amp;Tabela1[[#This Row],[MATRICULA]]&amp;"Motorista 4"&amp;Tabela1[[#This Row],[SETOR]],BD!A:AF,26,0),"")</f>
        <v/>
      </c>
      <c r="AP104" s="21" t="str">
        <f>IFERROR(VLOOKUP(Tabela1[[#This Row],[MÊS]]&amp;Tabela1[[#This Row],[MATRICULA]]&amp;"Ponto de Apoio"&amp;Tabela1[[#This Row],[SETOR]],BD!A:AF,31,0),"")</f>
        <v/>
      </c>
      <c r="AQ104" s="21" t="str">
        <f>IFERROR(VLOOKUP(Tabela1[[#This Row],[MÊS]]&amp;Tabela1[[#This Row],[ID]]&amp;Tabela1[[#This Row],[MATRICULA]]&amp;"Ponto de Apoio 2"&amp;Tabela1[[#This Row],[SETOR]],BD!A:AF,26,0),"")</f>
        <v/>
      </c>
      <c r="AR104" s="36" t="str">
        <f>IFERROR(VLOOKUP(Tabela1[[#This Row],[MÊS]]&amp;Tabela1[[#This Row],[ID]]&amp;Tabela1[[#This Row],[MATRICULA]]&amp;"Ponto de Apoio 3"&amp;Tabela1[[#This Row],[SETOR]],BD!A:AF,26,0),"")</f>
        <v/>
      </c>
      <c r="AS104" s="36" t="str">
        <f>IFERROR(VLOOKUP(Tabela1[[#This Row],[MÊS]]&amp;Tabela1[[#This Row],[ID]]&amp;Tabela1[[#This Row],[MATRICULA]]&amp;"Ponto de Apoio 4"&amp;Tabela1[[#This Row],[SETOR]],BD!A:AF,26,0),"")</f>
        <v/>
      </c>
      <c r="AT104" s="21" t="str">
        <f>IFERROR(VLOOKUP(Tabela1[[#This Row],[MÊS]]&amp;Tabela1[[#This Row],[MATRICULA]]&amp;"Cliente"&amp;Tabela1[[#This Row],[SETOR]],BD!A:AF,31,0),"")</f>
        <v/>
      </c>
      <c r="AU104" s="21" t="str">
        <f>IFERROR(VLOOKUP(Tabela1[[#This Row],[MÊS]]&amp;Tabela1[[#This Row],[ID]]&amp;Tabela1[[#This Row],[MATRICULA]]&amp;"Cliente 2"&amp;Tabela1[[#This Row],[SETOR]],BD!A:AF,26,0),"")</f>
        <v/>
      </c>
      <c r="AX104" s="21" t="str">
        <f>IFERROR(VLOOKUP(Tabela1[[#This Row],[MÊS]]&amp;Tabela1[[#This Row],[MATRICULA]]&amp;"Policia"&amp;Tabela1[[#This Row],[SETOR]],BD!A:AF,31,0),"")</f>
        <v/>
      </c>
      <c r="AY104" s="21" t="str">
        <f>IFERROR(VLOOKUP(Tabela1[[#This Row],[MÊS]]&amp;Tabela1[[#This Row],[ID]]&amp;Tabela1[[#This Row],[MATRICULA]]&amp;"Policia 2"&amp;Tabela1[[#This Row],[SETOR]],BD!A:AF,26,0),"")</f>
        <v/>
      </c>
      <c r="AZ104" s="36" t="str">
        <f>IFERROR(VLOOKUP(Tabela1[[#This Row],[MÊS]]&amp;Tabela1[[#This Row],[ID]]&amp;Tabela1[[#This Row],[MATRICULA]]&amp;"Policia 3"&amp;Tabela1[[#This Row],[SETOR]],BD!A:AF,26,0),"")</f>
        <v/>
      </c>
      <c r="BA104" s="36" t="str">
        <f>IFERROR(VLOOKUP(Tabela1[[#This Row],[MÊS]]&amp;Tabela1[[#This Row],[ID]]&amp;Tabela1[[#This Row],[MATRICULA]]&amp;"Policia 4"&amp;Tabela1[[#This Row],[SETOR]],BD!A:AF,26,0),"")</f>
        <v/>
      </c>
      <c r="BB10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4" s="21">
        <f>IFERROR(AVERAGE(Tabela1[[#This Row],[M]:[M4]]),"")</f>
        <v>0</v>
      </c>
      <c r="BD104" s="21" t="str">
        <f>IFERROR(AVERAGE(Tabela1[[#This Row],[C]:[C4]]),"")</f>
        <v/>
      </c>
      <c r="BE104" s="21" t="str">
        <f>IFERROR(AVERAGE(Tabela1[[#This Row],[PA2]:[PA 4]]),"")</f>
        <v/>
      </c>
      <c r="BF104" s="21" t="str">
        <f>IFERROR(AVERAGE(Tabela1[[#This Row],[PL]:[PL4]]),"")</f>
        <v/>
      </c>
      <c r="BG104" s="35" t="str">
        <f>IFERROR(VLOOKUP(Tabela1[[#This Row],[MÊS]]&amp;Tabela1[[#This Row],[MATRICULA]],#REF!,2,0),"")</f>
        <v/>
      </c>
      <c r="BH104" s="35" t="str">
        <f>IFERROR(VLOOKUP(Tabela1[[#This Row],[MÊS]]&amp;Tabela1[[#This Row],[MATRICULA]],#REF!,2,0),"")</f>
        <v/>
      </c>
      <c r="BI104" s="35" t="str">
        <f>IFERROR(VLOOKUP(Tabela1[[#This Row],[MÊS]]&amp;Tabela1[[#This Row],[MATRICULA]],#REF!,2,0),"")</f>
        <v/>
      </c>
      <c r="BJ104" s="35" t="str">
        <f>IFERROR(VLOOKUP(Tabela1[[#This Row],[MÊS]]&amp;Tabela1[[#This Row],[MATRICULA]],#REF!,2,0),"")</f>
        <v/>
      </c>
      <c r="BK104" s="35" t="str">
        <f>IFERROR(VLOOKUP(Tabela1[[#This Row],[MÊS]]&amp;Tabela1[[#This Row],[MATRICULA]],#REF!,2,0),"")</f>
        <v/>
      </c>
      <c r="BL104" s="21">
        <f>COUNTIF(Tabela1[[#This Row],[MOT2]:[RECEPTIVA]],"NÃO ENCONTRADA")</f>
        <v>0</v>
      </c>
      <c r="BM104" s="135" t="str">
        <f>IFERROR(VLOOKUP(Tabela1[[#This Row],[MÊS]]&amp;Tabela1[[#This Row],[ID]]&amp;Tabela1[[#This Row],[MATRICULA]]&amp;"Motorista"&amp;Tabela1[[#This Row],[SETOR]],BD!A:AF,13,0),"")</f>
        <v/>
      </c>
      <c r="BN104" s="135" t="str">
        <f>IFERROR(VLOOKUP(Tabela1[[#This Row],[MÊS]]&amp;Tabela1[[#This Row],[ID]]&amp;Tabela1[[#This Row],[MATRICULA]]&amp;"Motorista 2"&amp;Tabela1[[#This Row],[SETOR]],BD!A:AF,13,0),"")</f>
        <v/>
      </c>
      <c r="BO104" s="135" t="str">
        <f>IFERROR(VLOOKUP(Tabela1[[#This Row],[MÊS]]&amp;Tabela1[[#This Row],[ID]]&amp;Tabela1[[#This Row],[MATRICULA]]&amp;"Motorista 3"&amp;Tabela1[[#This Row],[SETOR]],BD!A:AF,13,0),"")</f>
        <v/>
      </c>
      <c r="BP104" s="135" t="str">
        <f>IFERROR(VLOOKUP(Tabela1[[#This Row],[MÊS]]&amp;Tabela1[[#This Row],[ID]]&amp;Tabela1[[#This Row],[MATRICULA]]&amp;"Motorista 4"&amp;Tabela1[[#This Row],[SETOR]],BD!A:AF,13,0),"")</f>
        <v/>
      </c>
      <c r="BQ104" s="135" t="str">
        <f>IFERROR(AVERAGE(Tabela1[[#This Row],[DMOT]:[DMOT4]]),"")</f>
        <v/>
      </c>
      <c r="BR104" s="135" t="str">
        <f>IFERROR(VLOOKUP(Tabela1[[#This Row],[MÊS]]&amp;Tabela1[[#This Row],[ID]]&amp;Tabela1[[#This Row],[MATRICULA]]&amp;"Ponto de Apoio"&amp;Tabela1[[#This Row],[SETOR]],BD!A:AF,13,0),"")</f>
        <v/>
      </c>
      <c r="BS104" s="135" t="str">
        <f>IFERROR(VLOOKUP(Tabela1[[#This Row],[MÊS]]&amp;Tabela1[[#This Row],[ID]]&amp;Tabela1[[#This Row],[MATRICULA]]&amp;"Ponto de Apoio 2"&amp;Tabela1[[#This Row],[SETOR]],BD!A:AF,13,0),"")</f>
        <v/>
      </c>
      <c r="BT104" s="135" t="str">
        <f>IFERROR(VLOOKUP(Tabela1[[#This Row],[MÊS]]&amp;Tabela1[[#This Row],[ID]]&amp;Tabela1[[#This Row],[MATRICULA]]&amp;"Ponto de Apoio 3"&amp;Tabela1[[#This Row],[SETOR]],BD!A:AF,13,0),"")</f>
        <v/>
      </c>
      <c r="BU104" s="135" t="str">
        <f>IFERROR(VLOOKUP(Tabela1[[#This Row],[MÊS]]&amp;Tabela1[[#This Row],[ID]]&amp;Tabela1[[#This Row],[MATRICULA]]&amp;"Ponto de Apoio 4"&amp;Tabela1[[#This Row],[SETOR]],BD!A:AF,13,0),"")</f>
        <v/>
      </c>
      <c r="BV104" s="135" t="str">
        <f>IFERROR(AVERAGE(Tabela1[[#This Row],[DPA]:[DPA 4]]),"")</f>
        <v/>
      </c>
      <c r="BW104" s="135" t="str">
        <f>IFERROR(VLOOKUP(Tabela1[[#This Row],[MÊS]]&amp;Tabela1[[#This Row],[ID]]&amp;Tabela1[[#This Row],[MATRICULA]]&amp;"Cliente"&amp;Tabela1[[#This Row],[SETOR]],BD!A:AF,13,0),"")</f>
        <v/>
      </c>
      <c r="BX104" s="135" t="str">
        <f>IFERROR(VLOOKUP(Tabela1[[#This Row],[MÊS]]&amp;Tabela1[[#This Row],[ID]]&amp;Tabela1[[#This Row],[MATRICULA]]&amp;"cliente 2"&amp;Tabela1[[#This Row],[SETOR]],BD!A:AF,13,0),"")</f>
        <v/>
      </c>
      <c r="BY104" s="135" t="str">
        <f>IFERROR(VLOOKUP(Tabela1[[#This Row],[MÊS]]&amp;Tabela1[[#This Row],[ID]]&amp;Tabela1[[#This Row],[MATRICULA]]&amp;"cliente 3"&amp;Tabela1[[#This Row],[SETOR]],BD!A:AF,13,0),"")</f>
        <v/>
      </c>
      <c r="BZ104" s="135" t="str">
        <f>IFERROR(VLOOKUP(Tabela1[[#This Row],[MÊS]]&amp;Tabela1[[#This Row],[ID]]&amp;Tabela1[[#This Row],[MATRICULA]]&amp;"cliente 4"&amp;Tabela1[[#This Row],[SETOR]],BD!A:AF,13,0),"")</f>
        <v/>
      </c>
      <c r="CA104" s="135" t="str">
        <f>IFERROR(AVERAGE(Tabela1[[#This Row],[DCLI]:[DCLI 4]]),"")</f>
        <v/>
      </c>
      <c r="CB104" s="135" t="str">
        <f>IFERROR(VLOOKUP(Tabela1[[#This Row],[MÊS]]&amp;Tabela1[[#This Row],[ID]]&amp;Tabela1[[#This Row],[MATRICULA]]&amp;"Policia"&amp;Tabela1[[#This Row],[SETOR]],BD!A:AF,13,0),"")</f>
        <v/>
      </c>
      <c r="CC104" s="135" t="str">
        <f>IFERROR(VLOOKUP(Tabela1[[#This Row],[MÊS]]&amp;Tabela1[[#This Row],[ID]]&amp;Tabela1[[#This Row],[MATRICULA]]&amp;"Policia 2"&amp;Tabela1[[#This Row],[SETOR]],BD!A:AF,13,0),"")</f>
        <v/>
      </c>
      <c r="CD104" s="135"/>
      <c r="CE104" s="135"/>
      <c r="CF104" s="135" t="str">
        <f>IFERROR((AVERAGE(Tabela1[[#This Row],[DPOL1]:[DPOL4]])),"")</f>
        <v/>
      </c>
      <c r="CG104" s="21" t="str">
        <f>IFERROR(VLOOKUP(Tabela1[[#This Row],[ID]]&amp;Tabela1[[#This Row],[MÊS]]&amp;Tabela1[[#This Row],[MATRICULA]],#REF!,2,0),"")</f>
        <v/>
      </c>
      <c r="CH104" s="21" t="str">
        <f>IFERROR(VLOOKUP(Tabela1[[#This Row],[ID]]&amp;Tabela1[[#This Row],[MÊS]]&amp;Tabela1[[#This Row],[MATRICULA]],#REF!,2,0),"")</f>
        <v/>
      </c>
      <c r="CI104" s="21" t="str">
        <f>IFERROR(VLOOKUP(Tabela1[[#This Row],[MÊS]]&amp;Tabela1[[#This Row],[MATRICULA]],#REF!,2,0),"")</f>
        <v/>
      </c>
    </row>
    <row r="105" spans="1:87">
      <c r="A105" s="12" t="str">
        <f>Tabela1[[#This Row],[MÊS]]&amp;Tabela1[[#This Row],[MATRICULA]]&amp;Tabela1[[#This Row],[ID]]</f>
        <v>JAN109469</v>
      </c>
      <c r="B105" s="12" t="str">
        <f>Tabela1[[#This Row],[MÊS]]&amp;Tabela1[[#This Row],[ID]]&amp;Tabela1[[#This Row],[MATRICULA]]&amp;Tabela1[[#This Row],[SETOR]]</f>
        <v>JAN910946BAS</v>
      </c>
      <c r="C105" s="130" t="e">
        <f>VLOOKUP(Tabela1[[#This Row],[MATRICULA]],'BD Campos'!A:D,5,0)</f>
        <v>#REF!</v>
      </c>
      <c r="D105" s="133" t="str">
        <f ca="1">IFERROR(SUM(TODAY()-Tabela1[[#This Row],[ADMISSÃO]]),"")</f>
        <v/>
      </c>
      <c r="E105" s="11" t="str">
        <f ca="1">IFERROR(TRUNC(Tabela1[[#This Row],[TEMPO DE CASA (DIAS)]]/30),"")</f>
        <v/>
      </c>
      <c r="F105" s="32" t="str">
        <f ca="1">IFERROR(SUM(Tabela1[[#This Row],[TEMPO DE CASA (MESES)]]/12),"")</f>
        <v/>
      </c>
      <c r="G105" s="133" t="str">
        <f ca="1">IF(Tabela1[[#This Row],[TEMPO DE CASA (DIAS)]]="","SEM DADOS",IF(Tabela1[[#This Row],[TEMPO DE CASA (DIAS)]]&gt;180,"&gt; 6 MESES","&lt; 6 MESES"))</f>
        <v>SEM DADOS</v>
      </c>
      <c r="H105" s="12" t="str">
        <f t="shared" si="10"/>
        <v>JANTanara Vigentin9</v>
      </c>
      <c r="I105" s="12" t="str">
        <f>IFERROR(VLOOKUP(Tabela1[[#This Row],[MATRICULA]],'BD Campos'!A:F,7,0),"")</f>
        <v/>
      </c>
      <c r="J105" s="11">
        <v>9</v>
      </c>
      <c r="K105" s="11" t="s">
        <v>669</v>
      </c>
      <c r="L105" s="136">
        <v>10946</v>
      </c>
      <c r="M105" s="12" t="str">
        <f>IFERROR(VLOOKUP(Tabela1[[#This Row],[MATRICULA]],'BD Campos'!A:B,2,0),"")</f>
        <v>RAILLANE DE ALBUQUERQUE DE SOUZA</v>
      </c>
      <c r="N105" s="20" t="str">
        <f>IFERROR(AVERAGE(Tabela1[[#This Row],[A1]:[A4]]),"")</f>
        <v/>
      </c>
      <c r="O105" s="20" t="str">
        <f>IFERROR(IF(Tabela1[[#This Row],[SETOR]]="RECEPTIVO","",AVERAGE(Tabela1[[#This Row],[A5]:[A6]])),"")</f>
        <v/>
      </c>
      <c r="P105" s="20" t="str">
        <f>IFERROR(IF(Tabela1[[#This Row],[STATUS]]="INATIVO","INATIVO",IF(Tabela1[[#This Row],[STATUS]]="QRT","INATIVO",IF(Tabela1[[#This Row],[OPERACIONAL]]&gt;7.99999,"BOM","RUIM"))),"")</f>
        <v>INATIVO</v>
      </c>
      <c r="Q105" s="21" t="s">
        <v>670</v>
      </c>
      <c r="R105" s="12" t="s">
        <v>697</v>
      </c>
      <c r="S105" s="12" t="s">
        <v>693</v>
      </c>
      <c r="T105" s="12" t="s">
        <v>223</v>
      </c>
      <c r="U10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05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05" s="12">
        <f>IF(AND(Tabela1[[#This Row],[SETOR]]="UTI",Tabela1[[#This Row],[M]]&lt;&gt;""),1,IF(AND(Tabela1[[#This Row],[SETOR]]="UTI (RJ)",Tabela1[[#This Row],[M]]&lt;&gt;""),1.5,0))</f>
        <v>0</v>
      </c>
      <c r="X105" s="12">
        <f>IF(AND(Tabela1[[#This Row],[SETOR]]="UTI",Tabela1[[#This Row],[PA2]]&lt;&gt;""),1,IF(AND(Tabela1[[#This Row],[SETOR]]="UTI (RJ)",Tabela1[[#This Row],[PA2]]&lt;&gt;""),0,0))</f>
        <v>0</v>
      </c>
      <c r="Y105" s="12">
        <f>IF(AND(Tabela1[[#This Row],[SETOR]]="UTI",Tabela1[[#This Row],[C]]&lt;&gt;""),1,IF(AND(Tabela1[[#This Row],[SETOR]]="UTI (RJ)",Tabela1[[#This Row],[C]]&lt;&gt;""),1.5,0))</f>
        <v>0</v>
      </c>
      <c r="Z105" s="12">
        <f>IF(AND(Tabela1[[#This Row],[SETOR]]="UTI",Tabela1[[#This Row],[PL]]&lt;&gt;""),1,IF(AND(Tabela1[[#This Row],[SETOR]]="UTI (RJ)",Tabela1[[#This Row],[PL]]&lt;&gt;""),1,0))</f>
        <v>0</v>
      </c>
      <c r="AA105" s="21" t="str">
        <f>IFERROR(VLOOKUP(Tabela1[[#This Row],[MÊS]]&amp;Tabela1[[#This Row],[MATRICULA]]&amp;"1"&amp;Tabela1[[#This Row],[SETOR]]&amp;"PADRÃO",BD!B:AF,31,0),"")</f>
        <v/>
      </c>
      <c r="AB105" s="21" t="str">
        <f>IFERROR(VLOOKUP(Tabela1[[#This Row],[MÊS]]&amp;Tabela1[[#This Row],[MATRICULA]]&amp;"2"&amp;Tabela1[[#This Row],[SETOR]]&amp;"PADRÃO",BD!B:AF,31,0),"")</f>
        <v/>
      </c>
      <c r="AC105" s="21" t="str">
        <f>IFERROR(VLOOKUP(Tabela1[[#This Row],[MÊS]]&amp;Tabela1[[#This Row],[MATRICULA]]&amp;"3"&amp;Tabela1[[#This Row],[SETOR]]&amp;"PADRÃO",BD!B:AF,31,0),"")</f>
        <v/>
      </c>
      <c r="AD105" s="21" t="str">
        <f>IFERROR(VLOOKUP(Tabela1[[#This Row],[MÊS]]&amp;Tabela1[[#This Row],[MATRICULA]]&amp;"4"&amp;Tabela1[[#This Row],[SETOR]]&amp;"PADRÃO",BD!B:AF,25,0),"")</f>
        <v/>
      </c>
      <c r="AE105" s="21" t="str">
        <f>IFERROR(VLOOKUP(Tabela1[[#This Row],[MÊS]]&amp;Tabela1[[#This Row],[MATRICULA]]&amp;"5"&amp;Tabela1[[#This Row],[SETOR]]&amp;"PADRÃO",BD!B:AF,31,0),"")</f>
        <v/>
      </c>
      <c r="AF105" s="21" t="str">
        <f>IFERROR(VLOOKUP(Tabela1[[#This Row],[MÊS]]&amp;Tabela1[[#This Row],[MATRICULA]]&amp;"6"&amp;Tabela1[[#This Row],[SETOR]]&amp;"PADRÃO",BD!B:AF,31,0),"")</f>
        <v/>
      </c>
      <c r="AG105" s="21" t="str">
        <f>IFERROR(VLOOKUP(Tabela1[[#This Row],[MÊS]]&amp;Tabela1[[#This Row],[MATRICULA]]&amp;"7"&amp;Tabela1[[#This Row],[SETOR]]&amp;"PADRÃO",BD!B:AF,31,0),"")</f>
        <v/>
      </c>
      <c r="AH105" s="21" t="str">
        <f>IFERROR(VLOOKUP(Tabela1[[#This Row],[MÊS]]&amp;Tabela1[[#This Row],[ID]]&amp;Tabela1[[#This Row],[MATRICULA]]&amp;"Receptiva"&amp;Tabela1[[#This Row],[SETOR]],BD!A:AF,31,0),"")</f>
        <v/>
      </c>
      <c r="AI105" s="21" t="str">
        <f>IFERROR(VLOOKUP(Tabela1[[#This Row],[MÊS]]&amp;Tabela1[[#This Row],[ID]]&amp;Tabela1[[#This Row],[MATRICULA]]&amp;"Receptiva 2"&amp;Tabela1[[#This Row],[SETOR]],BD!A:AF,31,0),"")</f>
        <v/>
      </c>
      <c r="AJ105" s="21" t="str">
        <f>IFERROR(VLOOKUP(Tabela1[[#This Row],[MÊS]]&amp;Tabela1[[#This Row],[ID]]&amp;Tabela1[[#This Row],[MATRICULA]]&amp;"Receptiva 3"&amp;Tabela1[[#This Row],[SETOR]],BD!A:AF,31,0),"")</f>
        <v/>
      </c>
      <c r="AK105" s="21" t="str">
        <f>IFERROR(VLOOKUP(Tabela1[[#This Row],[MÊS]]&amp;Tabela1[[#This Row],[ID]]&amp;Tabela1[[#This Row],[MATRICULA]]&amp;"Receptiva 4"&amp;Tabela1[[#This Row],[SETOR]],BD!A:AF,31,0),"")</f>
        <v/>
      </c>
      <c r="AL105" s="21" t="str">
        <f>IFERROR(VLOOKUP(Tabela1[[#This Row],[MÊS]]&amp;Tabela1[[#This Row],[MATRICULA]]&amp;"Motorista"&amp;Tabela1[[#This Row],[SETOR]],BD!A:AF,31,0),"")</f>
        <v/>
      </c>
      <c r="AM105" s="21" t="str">
        <f>IFERROR(VLOOKUP(Tabela1[[#This Row],[MÊS]]&amp;Tabela1[[#This Row],[ID]]&amp;Tabela1[[#This Row],[MATRICULA]]&amp;"Motorista 2"&amp;Tabela1[[#This Row],[SETOR]],BD!A:AF,26,0),"")</f>
        <v/>
      </c>
      <c r="AN105" s="21" t="str">
        <f>IFERROR(VLOOKUP(Tabela1[[#This Row],[MÊS]]&amp;Tabela1[[#This Row],[ID]]&amp;Tabela1[[#This Row],[MATRICULA]]&amp;"Motorista 3"&amp;Tabela1[[#This Row],[SETOR]],BD!A:AF,26,0),"")</f>
        <v/>
      </c>
      <c r="AO105" s="21" t="str">
        <f>IFERROR(VLOOKUP(Tabela1[[#This Row],[MÊS]]&amp;Tabela1[[#This Row],[ID]]&amp;Tabela1[[#This Row],[MATRICULA]]&amp;"Motorista 4"&amp;Tabela1[[#This Row],[SETOR]],BD!A:AF,26,0),"")</f>
        <v/>
      </c>
      <c r="AP105" s="21" t="str">
        <f>IFERROR(VLOOKUP(Tabela1[[#This Row],[MÊS]]&amp;Tabela1[[#This Row],[MATRICULA]]&amp;"Ponto de Apoio"&amp;Tabela1[[#This Row],[SETOR]],BD!A:AF,31,0),"")</f>
        <v/>
      </c>
      <c r="AQ105" s="21" t="str">
        <f>IFERROR(VLOOKUP(Tabela1[[#This Row],[MÊS]]&amp;Tabela1[[#This Row],[ID]]&amp;Tabela1[[#This Row],[MATRICULA]]&amp;"Ponto de Apoio 2"&amp;Tabela1[[#This Row],[SETOR]],BD!A:AF,26,0),"")</f>
        <v/>
      </c>
      <c r="AR105" s="36" t="str">
        <f>IFERROR(VLOOKUP(Tabela1[[#This Row],[MÊS]]&amp;Tabela1[[#This Row],[ID]]&amp;Tabela1[[#This Row],[MATRICULA]]&amp;"Ponto de Apoio 3"&amp;Tabela1[[#This Row],[SETOR]],BD!A:AF,26,0),"")</f>
        <v/>
      </c>
      <c r="AS105" s="36" t="str">
        <f>IFERROR(VLOOKUP(Tabela1[[#This Row],[MÊS]]&amp;Tabela1[[#This Row],[ID]]&amp;Tabela1[[#This Row],[MATRICULA]]&amp;"Ponto de Apoio 4"&amp;Tabela1[[#This Row],[SETOR]],BD!A:AF,26,0),"")</f>
        <v/>
      </c>
      <c r="AT105" s="21" t="str">
        <f>IFERROR(VLOOKUP(Tabela1[[#This Row],[MÊS]]&amp;Tabela1[[#This Row],[MATRICULA]]&amp;"Cliente"&amp;Tabela1[[#This Row],[SETOR]],BD!A:AF,31,0),"")</f>
        <v/>
      </c>
      <c r="AU105" s="21" t="str">
        <f>IFERROR(VLOOKUP(Tabela1[[#This Row],[MÊS]]&amp;Tabela1[[#This Row],[ID]]&amp;Tabela1[[#This Row],[MATRICULA]]&amp;"Cliente 2"&amp;Tabela1[[#This Row],[SETOR]],BD!A:AF,26,0),"")</f>
        <v/>
      </c>
      <c r="AX105" s="21" t="str">
        <f>IFERROR(VLOOKUP(Tabela1[[#This Row],[MÊS]]&amp;Tabela1[[#This Row],[MATRICULA]]&amp;"Policia"&amp;Tabela1[[#This Row],[SETOR]],BD!A:AF,31,0),"")</f>
        <v/>
      </c>
      <c r="AY105" s="21" t="str">
        <f>IFERROR(VLOOKUP(Tabela1[[#This Row],[MÊS]]&amp;Tabela1[[#This Row],[ID]]&amp;Tabela1[[#This Row],[MATRICULA]]&amp;"Policia 2"&amp;Tabela1[[#This Row],[SETOR]],BD!A:AF,26,0),"")</f>
        <v/>
      </c>
      <c r="AZ105" s="36" t="str">
        <f>IFERROR(VLOOKUP(Tabela1[[#This Row],[MÊS]]&amp;Tabela1[[#This Row],[ID]]&amp;Tabela1[[#This Row],[MATRICULA]]&amp;"Policia 3"&amp;Tabela1[[#This Row],[SETOR]],BD!A:AF,26,0),"")</f>
        <v/>
      </c>
      <c r="BA105" s="36" t="str">
        <f>IFERROR(VLOOKUP(Tabela1[[#This Row],[MÊS]]&amp;Tabela1[[#This Row],[ID]]&amp;Tabela1[[#This Row],[MATRICULA]]&amp;"Policia 4"&amp;Tabela1[[#This Row],[SETOR]],BD!A:AF,26,0),"")</f>
        <v/>
      </c>
      <c r="BB10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5" s="21" t="str">
        <f>IFERROR(AVERAGE(Tabela1[[#This Row],[M]:[M4]]),"")</f>
        <v/>
      </c>
      <c r="BD105" s="21" t="str">
        <f>IFERROR(AVERAGE(Tabela1[[#This Row],[C]:[C4]]),"")</f>
        <v/>
      </c>
      <c r="BE105" s="21" t="str">
        <f>IFERROR(AVERAGE(Tabela1[[#This Row],[PA2]:[PA 4]]),"")</f>
        <v/>
      </c>
      <c r="BF105" s="21" t="str">
        <f>IFERROR(AVERAGE(Tabela1[[#This Row],[PL]:[PL4]]),"")</f>
        <v/>
      </c>
      <c r="BG105" s="35" t="str">
        <f>IFERROR(VLOOKUP(Tabela1[[#This Row],[MÊS]]&amp;Tabela1[[#This Row],[MATRICULA]],#REF!,2,0),"")</f>
        <v/>
      </c>
      <c r="BH105" s="35" t="str">
        <f>IFERROR(VLOOKUP(Tabela1[[#This Row],[MÊS]]&amp;Tabela1[[#This Row],[MATRICULA]],#REF!,2,0),"")</f>
        <v/>
      </c>
      <c r="BI105" s="35" t="str">
        <f>IFERROR(VLOOKUP(Tabela1[[#This Row],[MÊS]]&amp;Tabela1[[#This Row],[MATRICULA]],#REF!,2,0),"")</f>
        <v/>
      </c>
      <c r="BJ105" s="35" t="str">
        <f>IFERROR(VLOOKUP(Tabela1[[#This Row],[MÊS]]&amp;Tabela1[[#This Row],[MATRICULA]],#REF!,2,0),"")</f>
        <v/>
      </c>
      <c r="BK105" s="35" t="str">
        <f>IFERROR(VLOOKUP(Tabela1[[#This Row],[MÊS]]&amp;Tabela1[[#This Row],[MATRICULA]],#REF!,2,0),"")</f>
        <v/>
      </c>
      <c r="BL105" s="21">
        <f>COUNTIF(Tabela1[[#This Row],[MOT2]:[RECEPTIVA]],"NÃO ENCONTRADA")</f>
        <v>0</v>
      </c>
      <c r="BM105" s="135" t="str">
        <f>IFERROR(VLOOKUP(Tabela1[[#This Row],[MÊS]]&amp;Tabela1[[#This Row],[ID]]&amp;Tabela1[[#This Row],[MATRICULA]]&amp;"Motorista"&amp;Tabela1[[#This Row],[SETOR]],BD!A:AF,13,0),"")</f>
        <v/>
      </c>
      <c r="BN105" s="135" t="str">
        <f>IFERROR(VLOOKUP(Tabela1[[#This Row],[MÊS]]&amp;Tabela1[[#This Row],[ID]]&amp;Tabela1[[#This Row],[MATRICULA]]&amp;"Motorista 2"&amp;Tabela1[[#This Row],[SETOR]],BD!A:AF,13,0),"")</f>
        <v/>
      </c>
      <c r="BO105" s="135" t="str">
        <f>IFERROR(VLOOKUP(Tabela1[[#This Row],[MÊS]]&amp;Tabela1[[#This Row],[ID]]&amp;Tabela1[[#This Row],[MATRICULA]]&amp;"Motorista 3"&amp;Tabela1[[#This Row],[SETOR]],BD!A:AF,13,0),"")</f>
        <v/>
      </c>
      <c r="BP105" s="135" t="str">
        <f>IFERROR(VLOOKUP(Tabela1[[#This Row],[MÊS]]&amp;Tabela1[[#This Row],[ID]]&amp;Tabela1[[#This Row],[MATRICULA]]&amp;"Motorista 4"&amp;Tabela1[[#This Row],[SETOR]],BD!A:AF,13,0),"")</f>
        <v/>
      </c>
      <c r="BQ105" s="135" t="str">
        <f>IFERROR(AVERAGE(Tabela1[[#This Row],[DMOT]:[DMOT4]]),"")</f>
        <v/>
      </c>
      <c r="BR105" s="135" t="str">
        <f>IFERROR(VLOOKUP(Tabela1[[#This Row],[MÊS]]&amp;Tabela1[[#This Row],[ID]]&amp;Tabela1[[#This Row],[MATRICULA]]&amp;"Ponto de Apoio"&amp;Tabela1[[#This Row],[SETOR]],BD!A:AF,13,0),"")</f>
        <v/>
      </c>
      <c r="BS105" s="135" t="str">
        <f>IFERROR(VLOOKUP(Tabela1[[#This Row],[MÊS]]&amp;Tabela1[[#This Row],[ID]]&amp;Tabela1[[#This Row],[MATRICULA]]&amp;"Ponto de Apoio 2"&amp;Tabela1[[#This Row],[SETOR]],BD!A:AF,13,0),"")</f>
        <v/>
      </c>
      <c r="BT105" s="135" t="str">
        <f>IFERROR(VLOOKUP(Tabela1[[#This Row],[MÊS]]&amp;Tabela1[[#This Row],[ID]]&amp;Tabela1[[#This Row],[MATRICULA]]&amp;"Ponto de Apoio 3"&amp;Tabela1[[#This Row],[SETOR]],BD!A:AF,13,0),"")</f>
        <v/>
      </c>
      <c r="BU105" s="135" t="str">
        <f>IFERROR(VLOOKUP(Tabela1[[#This Row],[MÊS]]&amp;Tabela1[[#This Row],[ID]]&amp;Tabela1[[#This Row],[MATRICULA]]&amp;"Ponto de Apoio 4"&amp;Tabela1[[#This Row],[SETOR]],BD!A:AF,13,0),"")</f>
        <v/>
      </c>
      <c r="BV105" s="135" t="str">
        <f>IFERROR(AVERAGE(Tabela1[[#This Row],[DPA]:[DPA 4]]),"")</f>
        <v/>
      </c>
      <c r="BW105" s="135" t="str">
        <f>IFERROR(VLOOKUP(Tabela1[[#This Row],[MÊS]]&amp;Tabela1[[#This Row],[ID]]&amp;Tabela1[[#This Row],[MATRICULA]]&amp;"Cliente"&amp;Tabela1[[#This Row],[SETOR]],BD!A:AF,13,0),"")</f>
        <v/>
      </c>
      <c r="BX105" s="135" t="str">
        <f>IFERROR(VLOOKUP(Tabela1[[#This Row],[MÊS]]&amp;Tabela1[[#This Row],[ID]]&amp;Tabela1[[#This Row],[MATRICULA]]&amp;"cliente 2"&amp;Tabela1[[#This Row],[SETOR]],BD!A:AF,13,0),"")</f>
        <v/>
      </c>
      <c r="BY105" s="135" t="str">
        <f>IFERROR(VLOOKUP(Tabela1[[#This Row],[MÊS]]&amp;Tabela1[[#This Row],[ID]]&amp;Tabela1[[#This Row],[MATRICULA]]&amp;"cliente 3"&amp;Tabela1[[#This Row],[SETOR]],BD!A:AF,13,0),"")</f>
        <v/>
      </c>
      <c r="BZ105" s="135" t="str">
        <f>IFERROR(VLOOKUP(Tabela1[[#This Row],[MÊS]]&amp;Tabela1[[#This Row],[ID]]&amp;Tabela1[[#This Row],[MATRICULA]]&amp;"cliente 4"&amp;Tabela1[[#This Row],[SETOR]],BD!A:AF,13,0),"")</f>
        <v/>
      </c>
      <c r="CA105" s="135" t="str">
        <f>IFERROR(AVERAGE(Tabela1[[#This Row],[DCLI]:[DCLI 4]]),"")</f>
        <v/>
      </c>
      <c r="CB105" s="135" t="str">
        <f>IFERROR(VLOOKUP(Tabela1[[#This Row],[MÊS]]&amp;Tabela1[[#This Row],[ID]]&amp;Tabela1[[#This Row],[MATRICULA]]&amp;"Policia"&amp;Tabela1[[#This Row],[SETOR]],BD!A:AF,13,0),"")</f>
        <v/>
      </c>
      <c r="CC105" s="135" t="str">
        <f>IFERROR(VLOOKUP(Tabela1[[#This Row],[MÊS]]&amp;Tabela1[[#This Row],[ID]]&amp;Tabela1[[#This Row],[MATRICULA]]&amp;"Policia 2"&amp;Tabela1[[#This Row],[SETOR]],BD!A:AF,13,0),"")</f>
        <v/>
      </c>
      <c r="CD105" s="135"/>
      <c r="CE105" s="135"/>
      <c r="CF105" s="135" t="str">
        <f>IFERROR((AVERAGE(Tabela1[[#This Row],[DPOL1]:[DPOL4]])),"")</f>
        <v/>
      </c>
      <c r="CG105" s="21" t="str">
        <f>IFERROR(VLOOKUP(Tabela1[[#This Row],[ID]]&amp;Tabela1[[#This Row],[MÊS]]&amp;Tabela1[[#This Row],[MATRICULA]],#REF!,2,0),"")</f>
        <v/>
      </c>
      <c r="CH105" s="21" t="str">
        <f>IFERROR(VLOOKUP(Tabela1[[#This Row],[ID]]&amp;Tabela1[[#This Row],[MÊS]]&amp;Tabela1[[#This Row],[MATRICULA]],#REF!,2,0),"")</f>
        <v/>
      </c>
      <c r="CI105" s="21" t="str">
        <f>IFERROR(VLOOKUP(Tabela1[[#This Row],[MÊS]]&amp;Tabela1[[#This Row],[MATRICULA]],#REF!,2,0),"")</f>
        <v/>
      </c>
    </row>
    <row r="106" spans="1:87">
      <c r="A106" s="12" t="str">
        <f>Tabela1[[#This Row],[MÊS]]&amp;Tabela1[[#This Row],[MATRICULA]]&amp;Tabela1[[#This Row],[ID]]</f>
        <v>JAN151210</v>
      </c>
      <c r="B106" s="12" t="str">
        <f>Tabela1[[#This Row],[MÊS]]&amp;Tabela1[[#This Row],[ID]]&amp;Tabela1[[#This Row],[MATRICULA]]&amp;Tabela1[[#This Row],[SETOR]]</f>
        <v>JAN101512BAS</v>
      </c>
      <c r="C106" s="130" t="e">
        <f>VLOOKUP(Tabela1[[#This Row],[MATRICULA]],'BD Campos'!A:D,5,0)</f>
        <v>#REF!</v>
      </c>
      <c r="D106" s="133" t="str">
        <f ca="1">IFERROR(SUM(TODAY()-Tabela1[[#This Row],[ADMISSÃO]]),"")</f>
        <v/>
      </c>
      <c r="E106" s="11" t="str">
        <f ca="1">IFERROR(TRUNC(Tabela1[[#This Row],[TEMPO DE CASA (DIAS)]]/30),"")</f>
        <v/>
      </c>
      <c r="F106" s="32" t="str">
        <f ca="1">IFERROR(SUM(Tabela1[[#This Row],[TEMPO DE CASA (MESES)]]/12),"")</f>
        <v/>
      </c>
      <c r="G106" s="133" t="str">
        <f ca="1">IF(Tabela1[[#This Row],[TEMPO DE CASA (DIAS)]]="","SEM DADOS",IF(Tabela1[[#This Row],[TEMPO DE CASA (DIAS)]]&gt;180,"&gt; 6 MESES","&lt; 6 MESES"))</f>
        <v>SEM DADOS</v>
      </c>
      <c r="H106" s="12" t="str">
        <f t="shared" si="10"/>
        <v>JANTanara Vigentin10</v>
      </c>
      <c r="I106" s="12" t="str">
        <f>IFERROR(VLOOKUP(Tabela1[[#This Row],[MATRICULA]],'BD Campos'!A:F,7,0),"")</f>
        <v/>
      </c>
      <c r="J106" s="11">
        <v>10</v>
      </c>
      <c r="K106" s="11" t="s">
        <v>669</v>
      </c>
      <c r="L106" s="136">
        <v>1512</v>
      </c>
      <c r="M106" s="12" t="str">
        <f>IFERROR(VLOOKUP(Tabela1[[#This Row],[MATRICULA]],'BD Campos'!A:B,2,0),"")</f>
        <v>ALAN ROBSON NORONHA DOS SANTOS</v>
      </c>
      <c r="N106" s="20">
        <f>IFERROR(AVERAGE(Tabela1[[#This Row],[A1]:[A4]]),"")</f>
        <v>0</v>
      </c>
      <c r="O106" s="20" t="str">
        <f>IFERROR(IF(Tabela1[[#This Row],[SETOR]]="RECEPTIVO","",AVERAGE(Tabela1[[#This Row],[A5]:[A6]])),"")</f>
        <v/>
      </c>
      <c r="P106" s="20" t="str">
        <f>IFERROR(IF(Tabela1[[#This Row],[STATUS]]="INATIVO","INATIVO",IF(Tabela1[[#This Row],[STATUS]]="QRT","INATIVO",IF(Tabela1[[#This Row],[OPERACIONAL]]&gt;7.99999,"BOM","RUIM"))),"")</f>
        <v>RUIM</v>
      </c>
      <c r="Q106" s="21" t="s">
        <v>667</v>
      </c>
      <c r="R106" s="12" t="s">
        <v>697</v>
      </c>
      <c r="S106" s="12" t="s">
        <v>693</v>
      </c>
      <c r="T106" s="12" t="s">
        <v>223</v>
      </c>
      <c r="U10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0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06" s="12">
        <f>IF(AND(Tabela1[[#This Row],[SETOR]]="UTI",Tabela1[[#This Row],[M]]&lt;&gt;""),1,IF(AND(Tabela1[[#This Row],[SETOR]]="UTI (RJ)",Tabela1[[#This Row],[M]]&lt;&gt;""),1.5,0))</f>
        <v>0</v>
      </c>
      <c r="X106" s="12">
        <f>IF(AND(Tabela1[[#This Row],[SETOR]]="UTI",Tabela1[[#This Row],[PA2]]&lt;&gt;""),1,IF(AND(Tabela1[[#This Row],[SETOR]]="UTI (RJ)",Tabela1[[#This Row],[PA2]]&lt;&gt;""),0,0))</f>
        <v>0</v>
      </c>
      <c r="Y106" s="12">
        <f>IF(AND(Tabela1[[#This Row],[SETOR]]="UTI",Tabela1[[#This Row],[C]]&lt;&gt;""),1,IF(AND(Tabela1[[#This Row],[SETOR]]="UTI (RJ)",Tabela1[[#This Row],[C]]&lt;&gt;""),1.5,0))</f>
        <v>0</v>
      </c>
      <c r="Z106" s="12">
        <f>IF(AND(Tabela1[[#This Row],[SETOR]]="UTI",Tabela1[[#This Row],[PL]]&lt;&gt;""),1,IF(AND(Tabela1[[#This Row],[SETOR]]="UTI (RJ)",Tabela1[[#This Row],[PL]]&lt;&gt;""),1,0))</f>
        <v>0</v>
      </c>
      <c r="AA106" s="21">
        <f>IFERROR(VLOOKUP(Tabela1[[#This Row],[MÊS]]&amp;Tabela1[[#This Row],[MATRICULA]]&amp;"1"&amp;Tabela1[[#This Row],[SETOR]]&amp;"PADRÃO",BD!B:AF,31,0),"")</f>
        <v>0</v>
      </c>
      <c r="AB106" s="21">
        <f>IFERROR(VLOOKUP(Tabela1[[#This Row],[MÊS]]&amp;Tabela1[[#This Row],[MATRICULA]]&amp;"2"&amp;Tabela1[[#This Row],[SETOR]]&amp;"PADRÃO",BD!B:AF,31,0),"")</f>
        <v>0</v>
      </c>
      <c r="AC106" s="21" t="str">
        <f>IFERROR(VLOOKUP(Tabela1[[#This Row],[MÊS]]&amp;Tabela1[[#This Row],[MATRICULA]]&amp;"3"&amp;Tabela1[[#This Row],[SETOR]]&amp;"PADRÃO",BD!B:AF,31,0),"")</f>
        <v/>
      </c>
      <c r="AD106" s="21" t="str">
        <f>IFERROR(VLOOKUP(Tabela1[[#This Row],[MÊS]]&amp;Tabela1[[#This Row],[MATRICULA]]&amp;"4"&amp;Tabela1[[#This Row],[SETOR]]&amp;"PADRÃO",BD!B:AF,25,0),"")</f>
        <v/>
      </c>
      <c r="AE106" s="21" t="str">
        <f>IFERROR(VLOOKUP(Tabela1[[#This Row],[MÊS]]&amp;Tabela1[[#This Row],[MATRICULA]]&amp;"5"&amp;Tabela1[[#This Row],[SETOR]]&amp;"PADRÃO",BD!B:AF,31,0),"")</f>
        <v/>
      </c>
      <c r="AF106" s="21" t="str">
        <f>IFERROR(VLOOKUP(Tabela1[[#This Row],[MÊS]]&amp;Tabela1[[#This Row],[MATRICULA]]&amp;"6"&amp;Tabela1[[#This Row],[SETOR]]&amp;"PADRÃO",BD!B:AF,31,0),"")</f>
        <v/>
      </c>
      <c r="AG106" s="21" t="str">
        <f>IFERROR(VLOOKUP(Tabela1[[#This Row],[MÊS]]&amp;Tabela1[[#This Row],[MATRICULA]]&amp;"7"&amp;Tabela1[[#This Row],[SETOR]]&amp;"PADRÃO",BD!B:AF,31,0),"")</f>
        <v/>
      </c>
      <c r="AH106" s="21" t="str">
        <f>IFERROR(VLOOKUP(Tabela1[[#This Row],[MÊS]]&amp;Tabela1[[#This Row],[ID]]&amp;Tabela1[[#This Row],[MATRICULA]]&amp;"Receptiva"&amp;Tabela1[[#This Row],[SETOR]],BD!A:AF,31,0),"")</f>
        <v/>
      </c>
      <c r="AI106" s="21" t="str">
        <f>IFERROR(VLOOKUP(Tabela1[[#This Row],[MÊS]]&amp;Tabela1[[#This Row],[ID]]&amp;Tabela1[[#This Row],[MATRICULA]]&amp;"Receptiva 2"&amp;Tabela1[[#This Row],[SETOR]],BD!A:AF,31,0),"")</f>
        <v/>
      </c>
      <c r="AJ106" s="21" t="str">
        <f>IFERROR(VLOOKUP(Tabela1[[#This Row],[MÊS]]&amp;Tabela1[[#This Row],[ID]]&amp;Tabela1[[#This Row],[MATRICULA]]&amp;"Receptiva 3"&amp;Tabela1[[#This Row],[SETOR]],BD!A:AF,31,0),"")</f>
        <v/>
      </c>
      <c r="AK106" s="21" t="str">
        <f>IFERROR(VLOOKUP(Tabela1[[#This Row],[MÊS]]&amp;Tabela1[[#This Row],[ID]]&amp;Tabela1[[#This Row],[MATRICULA]]&amp;"Receptiva 4"&amp;Tabela1[[#This Row],[SETOR]],BD!A:AF,31,0),"")</f>
        <v/>
      </c>
      <c r="AL106" s="21" t="str">
        <f>IFERROR(VLOOKUP(Tabela1[[#This Row],[MÊS]]&amp;Tabela1[[#This Row],[MATRICULA]]&amp;"Motorista"&amp;Tabela1[[#This Row],[SETOR]],BD!A:AF,31,0),"")</f>
        <v/>
      </c>
      <c r="AM106" s="21" t="str">
        <f>IFERROR(VLOOKUP(Tabela1[[#This Row],[MÊS]]&amp;Tabela1[[#This Row],[ID]]&amp;Tabela1[[#This Row],[MATRICULA]]&amp;"Motorista 2"&amp;Tabela1[[#This Row],[SETOR]],BD!A:AF,26,0),"")</f>
        <v/>
      </c>
      <c r="AN106" s="21" t="str">
        <f>IFERROR(VLOOKUP(Tabela1[[#This Row],[MÊS]]&amp;Tabela1[[#This Row],[ID]]&amp;Tabela1[[#This Row],[MATRICULA]]&amp;"Motorista 3"&amp;Tabela1[[#This Row],[SETOR]],BD!A:AF,26,0),"")</f>
        <v/>
      </c>
      <c r="AO106" s="21" t="str">
        <f>IFERROR(VLOOKUP(Tabela1[[#This Row],[MÊS]]&amp;Tabela1[[#This Row],[ID]]&amp;Tabela1[[#This Row],[MATRICULA]]&amp;"Motorista 4"&amp;Tabela1[[#This Row],[SETOR]],BD!A:AF,26,0),"")</f>
        <v/>
      </c>
      <c r="AP106" s="21" t="str">
        <f>IFERROR(VLOOKUP(Tabela1[[#This Row],[MÊS]]&amp;Tabela1[[#This Row],[MATRICULA]]&amp;"Ponto de Apoio"&amp;Tabela1[[#This Row],[SETOR]],BD!A:AF,31,0),"")</f>
        <v/>
      </c>
      <c r="AQ106" s="21" t="str">
        <f>IFERROR(VLOOKUP(Tabela1[[#This Row],[MÊS]]&amp;Tabela1[[#This Row],[ID]]&amp;Tabela1[[#This Row],[MATRICULA]]&amp;"Ponto de Apoio 2"&amp;Tabela1[[#This Row],[SETOR]],BD!A:AF,26,0),"")</f>
        <v/>
      </c>
      <c r="AR106" s="36" t="str">
        <f>IFERROR(VLOOKUP(Tabela1[[#This Row],[MÊS]]&amp;Tabela1[[#This Row],[ID]]&amp;Tabela1[[#This Row],[MATRICULA]]&amp;"Ponto de Apoio 3"&amp;Tabela1[[#This Row],[SETOR]],BD!A:AF,26,0),"")</f>
        <v/>
      </c>
      <c r="AS106" s="36" t="str">
        <f>IFERROR(VLOOKUP(Tabela1[[#This Row],[MÊS]]&amp;Tabela1[[#This Row],[ID]]&amp;Tabela1[[#This Row],[MATRICULA]]&amp;"Ponto de Apoio 4"&amp;Tabela1[[#This Row],[SETOR]],BD!A:AF,26,0),"")</f>
        <v/>
      </c>
      <c r="AT106" s="21" t="str">
        <f>IFERROR(VLOOKUP(Tabela1[[#This Row],[MÊS]]&amp;Tabela1[[#This Row],[MATRICULA]]&amp;"Cliente"&amp;Tabela1[[#This Row],[SETOR]],BD!A:AF,31,0),"")</f>
        <v/>
      </c>
      <c r="AU106" s="21" t="str">
        <f>IFERROR(VLOOKUP(Tabela1[[#This Row],[MÊS]]&amp;Tabela1[[#This Row],[ID]]&amp;Tabela1[[#This Row],[MATRICULA]]&amp;"Cliente 2"&amp;Tabela1[[#This Row],[SETOR]],BD!A:AF,26,0),"")</f>
        <v/>
      </c>
      <c r="AX106" s="21" t="str">
        <f>IFERROR(VLOOKUP(Tabela1[[#This Row],[MÊS]]&amp;Tabela1[[#This Row],[MATRICULA]]&amp;"Policia"&amp;Tabela1[[#This Row],[SETOR]],BD!A:AF,31,0),"")</f>
        <v/>
      </c>
      <c r="AY106" s="21" t="str">
        <f>IFERROR(VLOOKUP(Tabela1[[#This Row],[MÊS]]&amp;Tabela1[[#This Row],[ID]]&amp;Tabela1[[#This Row],[MATRICULA]]&amp;"Policia 2"&amp;Tabela1[[#This Row],[SETOR]],BD!A:AF,26,0),"")</f>
        <v/>
      </c>
      <c r="AZ106" s="36" t="str">
        <f>IFERROR(VLOOKUP(Tabela1[[#This Row],[MÊS]]&amp;Tabela1[[#This Row],[ID]]&amp;Tabela1[[#This Row],[MATRICULA]]&amp;"Policia 3"&amp;Tabela1[[#This Row],[SETOR]],BD!A:AF,26,0),"")</f>
        <v/>
      </c>
      <c r="BA106" s="36" t="str">
        <f>IFERROR(VLOOKUP(Tabela1[[#This Row],[MÊS]]&amp;Tabela1[[#This Row],[ID]]&amp;Tabela1[[#This Row],[MATRICULA]]&amp;"Policia 4"&amp;Tabela1[[#This Row],[SETOR]],BD!A:AF,26,0),"")</f>
        <v/>
      </c>
      <c r="BB10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6" s="21" t="str">
        <f>IFERROR(AVERAGE(Tabela1[[#This Row],[M]:[M4]]),"")</f>
        <v/>
      </c>
      <c r="BD106" s="21" t="str">
        <f>IFERROR(AVERAGE(Tabela1[[#This Row],[C]:[C4]]),"")</f>
        <v/>
      </c>
      <c r="BE106" s="21" t="str">
        <f>IFERROR(AVERAGE(Tabela1[[#This Row],[PA2]:[PA 4]]),"")</f>
        <v/>
      </c>
      <c r="BF106" s="21" t="str">
        <f>IFERROR(AVERAGE(Tabela1[[#This Row],[PL]:[PL4]]),"")</f>
        <v/>
      </c>
      <c r="BG106" s="35" t="str">
        <f>IFERROR(VLOOKUP(Tabela1[[#This Row],[MÊS]]&amp;Tabela1[[#This Row],[MATRICULA]],#REF!,2,0),"")</f>
        <v/>
      </c>
      <c r="BH106" s="35" t="str">
        <f>IFERROR(VLOOKUP(Tabela1[[#This Row],[MÊS]]&amp;Tabela1[[#This Row],[MATRICULA]],#REF!,2,0),"")</f>
        <v/>
      </c>
      <c r="BI106" s="35" t="str">
        <f>IFERROR(VLOOKUP(Tabela1[[#This Row],[MÊS]]&amp;Tabela1[[#This Row],[MATRICULA]],#REF!,2,0),"")</f>
        <v/>
      </c>
      <c r="BJ106" s="35" t="str">
        <f>IFERROR(VLOOKUP(Tabela1[[#This Row],[MÊS]]&amp;Tabela1[[#This Row],[MATRICULA]],#REF!,2,0),"")</f>
        <v/>
      </c>
      <c r="BK106" s="35" t="str">
        <f>IFERROR(VLOOKUP(Tabela1[[#This Row],[MÊS]]&amp;Tabela1[[#This Row],[MATRICULA]],#REF!,2,0),"")</f>
        <v/>
      </c>
      <c r="BL106" s="21">
        <f>COUNTIF(Tabela1[[#This Row],[MOT2]:[RECEPTIVA]],"NÃO ENCONTRADA")</f>
        <v>0</v>
      </c>
      <c r="BM106" s="135" t="str">
        <f>IFERROR(VLOOKUP(Tabela1[[#This Row],[MÊS]]&amp;Tabela1[[#This Row],[ID]]&amp;Tabela1[[#This Row],[MATRICULA]]&amp;"Motorista"&amp;Tabela1[[#This Row],[SETOR]],BD!A:AF,13,0),"")</f>
        <v/>
      </c>
      <c r="BN106" s="135" t="str">
        <f>IFERROR(VLOOKUP(Tabela1[[#This Row],[MÊS]]&amp;Tabela1[[#This Row],[ID]]&amp;Tabela1[[#This Row],[MATRICULA]]&amp;"Motorista 2"&amp;Tabela1[[#This Row],[SETOR]],BD!A:AF,13,0),"")</f>
        <v/>
      </c>
      <c r="BO106" s="135" t="str">
        <f>IFERROR(VLOOKUP(Tabela1[[#This Row],[MÊS]]&amp;Tabela1[[#This Row],[ID]]&amp;Tabela1[[#This Row],[MATRICULA]]&amp;"Motorista 3"&amp;Tabela1[[#This Row],[SETOR]],BD!A:AF,13,0),"")</f>
        <v/>
      </c>
      <c r="BP106" s="135" t="str">
        <f>IFERROR(VLOOKUP(Tabela1[[#This Row],[MÊS]]&amp;Tabela1[[#This Row],[ID]]&amp;Tabela1[[#This Row],[MATRICULA]]&amp;"Motorista 4"&amp;Tabela1[[#This Row],[SETOR]],BD!A:AF,13,0),"")</f>
        <v/>
      </c>
      <c r="BQ106" s="135" t="str">
        <f>IFERROR(AVERAGE(Tabela1[[#This Row],[DMOT]:[DMOT4]]),"")</f>
        <v/>
      </c>
      <c r="BR106" s="135" t="str">
        <f>IFERROR(VLOOKUP(Tabela1[[#This Row],[MÊS]]&amp;Tabela1[[#This Row],[ID]]&amp;Tabela1[[#This Row],[MATRICULA]]&amp;"Ponto de Apoio"&amp;Tabela1[[#This Row],[SETOR]],BD!A:AF,13,0),"")</f>
        <v/>
      </c>
      <c r="BS106" s="135" t="str">
        <f>IFERROR(VLOOKUP(Tabela1[[#This Row],[MÊS]]&amp;Tabela1[[#This Row],[ID]]&amp;Tabela1[[#This Row],[MATRICULA]]&amp;"Ponto de Apoio 2"&amp;Tabela1[[#This Row],[SETOR]],BD!A:AF,13,0),"")</f>
        <v/>
      </c>
      <c r="BT106" s="135" t="str">
        <f>IFERROR(VLOOKUP(Tabela1[[#This Row],[MÊS]]&amp;Tabela1[[#This Row],[ID]]&amp;Tabela1[[#This Row],[MATRICULA]]&amp;"Ponto de Apoio 3"&amp;Tabela1[[#This Row],[SETOR]],BD!A:AF,13,0),"")</f>
        <v/>
      </c>
      <c r="BU106" s="135" t="str">
        <f>IFERROR(VLOOKUP(Tabela1[[#This Row],[MÊS]]&amp;Tabela1[[#This Row],[ID]]&amp;Tabela1[[#This Row],[MATRICULA]]&amp;"Ponto de Apoio 4"&amp;Tabela1[[#This Row],[SETOR]],BD!A:AF,13,0),"")</f>
        <v/>
      </c>
      <c r="BV106" s="135" t="str">
        <f>IFERROR(AVERAGE(Tabela1[[#This Row],[DPA]:[DPA 4]]),"")</f>
        <v/>
      </c>
      <c r="BW106" s="135" t="str">
        <f>IFERROR(VLOOKUP(Tabela1[[#This Row],[MÊS]]&amp;Tabela1[[#This Row],[ID]]&amp;Tabela1[[#This Row],[MATRICULA]]&amp;"Cliente"&amp;Tabela1[[#This Row],[SETOR]],BD!A:AF,13,0),"")</f>
        <v/>
      </c>
      <c r="BX106" s="135" t="str">
        <f>IFERROR(VLOOKUP(Tabela1[[#This Row],[MÊS]]&amp;Tabela1[[#This Row],[ID]]&amp;Tabela1[[#This Row],[MATRICULA]]&amp;"cliente 2"&amp;Tabela1[[#This Row],[SETOR]],BD!A:AF,13,0),"")</f>
        <v/>
      </c>
      <c r="BY106" s="135" t="str">
        <f>IFERROR(VLOOKUP(Tabela1[[#This Row],[MÊS]]&amp;Tabela1[[#This Row],[ID]]&amp;Tabela1[[#This Row],[MATRICULA]]&amp;"cliente 3"&amp;Tabela1[[#This Row],[SETOR]],BD!A:AF,13,0),"")</f>
        <v/>
      </c>
      <c r="BZ106" s="135" t="str">
        <f>IFERROR(VLOOKUP(Tabela1[[#This Row],[MÊS]]&amp;Tabela1[[#This Row],[ID]]&amp;Tabela1[[#This Row],[MATRICULA]]&amp;"cliente 4"&amp;Tabela1[[#This Row],[SETOR]],BD!A:AF,13,0),"")</f>
        <v/>
      </c>
      <c r="CA106" s="135" t="str">
        <f>IFERROR(AVERAGE(Tabela1[[#This Row],[DCLI]:[DCLI 4]]),"")</f>
        <v/>
      </c>
      <c r="CB106" s="135" t="str">
        <f>IFERROR(VLOOKUP(Tabela1[[#This Row],[MÊS]]&amp;Tabela1[[#This Row],[ID]]&amp;Tabela1[[#This Row],[MATRICULA]]&amp;"Policia"&amp;Tabela1[[#This Row],[SETOR]],BD!A:AF,13,0),"")</f>
        <v/>
      </c>
      <c r="CC106" s="135" t="str">
        <f>IFERROR(VLOOKUP(Tabela1[[#This Row],[MÊS]]&amp;Tabela1[[#This Row],[ID]]&amp;Tabela1[[#This Row],[MATRICULA]]&amp;"Policia 2"&amp;Tabela1[[#This Row],[SETOR]],BD!A:AF,13,0),"")</f>
        <v/>
      </c>
      <c r="CD106" s="135"/>
      <c r="CE106" s="135"/>
      <c r="CF106" s="135" t="str">
        <f>IFERROR((AVERAGE(Tabela1[[#This Row],[DPOL1]:[DPOL4]])),"")</f>
        <v/>
      </c>
      <c r="CG106" s="21" t="str">
        <f>IFERROR(VLOOKUP(Tabela1[[#This Row],[ID]]&amp;Tabela1[[#This Row],[MÊS]]&amp;Tabela1[[#This Row],[MATRICULA]],#REF!,2,0),"")</f>
        <v/>
      </c>
      <c r="CH106" s="21" t="str">
        <f>IFERROR(VLOOKUP(Tabela1[[#This Row],[ID]]&amp;Tabela1[[#This Row],[MÊS]]&amp;Tabela1[[#This Row],[MATRICULA]],#REF!,2,0),"")</f>
        <v/>
      </c>
      <c r="CI106" s="21" t="str">
        <f>IFERROR(VLOOKUP(Tabela1[[#This Row],[MÊS]]&amp;Tabela1[[#This Row],[MATRICULA]],#REF!,2,0),"")</f>
        <v/>
      </c>
    </row>
    <row r="107" spans="1:87">
      <c r="A107" s="12" t="str">
        <f>Tabela1[[#This Row],[MÊS]]&amp;Tabela1[[#This Row],[MATRICULA]]&amp;Tabela1[[#This Row],[ID]]</f>
        <v>JAN170011</v>
      </c>
      <c r="B107" s="12" t="str">
        <f>Tabela1[[#This Row],[MÊS]]&amp;Tabela1[[#This Row],[ID]]&amp;Tabela1[[#This Row],[MATRICULA]]&amp;Tabela1[[#This Row],[SETOR]]</f>
        <v>JAN111700BAS</v>
      </c>
      <c r="C107" s="130" t="e">
        <f>VLOOKUP(Tabela1[[#This Row],[MATRICULA]],'BD Campos'!A:D,5,0)</f>
        <v>#REF!</v>
      </c>
      <c r="D107" s="133" t="str">
        <f ca="1">IFERROR(SUM(TODAY()-Tabela1[[#This Row],[ADMISSÃO]]),"")</f>
        <v/>
      </c>
      <c r="E107" s="11" t="str">
        <f ca="1">IFERROR(TRUNC(Tabela1[[#This Row],[TEMPO DE CASA (DIAS)]]/30),"")</f>
        <v/>
      </c>
      <c r="F107" s="32" t="str">
        <f ca="1">IFERROR(SUM(Tabela1[[#This Row],[TEMPO DE CASA (MESES)]]/12),"")</f>
        <v/>
      </c>
      <c r="G107" s="133" t="str">
        <f ca="1">IF(Tabela1[[#This Row],[TEMPO DE CASA (DIAS)]]="","SEM DADOS",IF(Tabela1[[#This Row],[TEMPO DE CASA (DIAS)]]&gt;180,"&gt; 6 MESES","&lt; 6 MESES"))</f>
        <v>SEM DADOS</v>
      </c>
      <c r="H107" s="12" t="str">
        <f t="shared" si="10"/>
        <v>JANTanara Vigentin11</v>
      </c>
      <c r="I107" s="12" t="str">
        <f>IFERROR(VLOOKUP(Tabela1[[#This Row],[MATRICULA]],'BD Campos'!A:F,7,0),"")</f>
        <v/>
      </c>
      <c r="J107" s="11">
        <v>11</v>
      </c>
      <c r="K107" s="11" t="s">
        <v>669</v>
      </c>
      <c r="L107" s="136">
        <v>1700</v>
      </c>
      <c r="M107" s="12" t="str">
        <f>IFERROR(VLOOKUP(Tabela1[[#This Row],[MATRICULA]],'BD Campos'!A:B,2,0),"")</f>
        <v>FLÁVIO JIUSTI DE OLIVEIRA</v>
      </c>
      <c r="N107" s="20">
        <f>IFERROR(AVERAGE(Tabela1[[#This Row],[A1]:[A4]]),"")</f>
        <v>0</v>
      </c>
      <c r="O107" s="20" t="str">
        <f>IFERROR(IF(Tabela1[[#This Row],[SETOR]]="RECEPTIVO","",AVERAGE(Tabela1[[#This Row],[A5]:[A6]])),"")</f>
        <v/>
      </c>
      <c r="P107" s="20" t="str">
        <f>IFERROR(IF(Tabela1[[#This Row],[STATUS]]="INATIVO","INATIVO",IF(Tabela1[[#This Row],[STATUS]]="QRT","INATIVO",IF(Tabela1[[#This Row],[OPERACIONAL]]&gt;7.99999,"BOM","RUIM"))),"")</f>
        <v>RUIM</v>
      </c>
      <c r="Q107" s="21" t="s">
        <v>667</v>
      </c>
      <c r="R107" s="12" t="s">
        <v>697</v>
      </c>
      <c r="S107" s="12" t="s">
        <v>693</v>
      </c>
      <c r="T107" s="12" t="s">
        <v>223</v>
      </c>
      <c r="U10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0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07" s="12">
        <f>IF(AND(Tabela1[[#This Row],[SETOR]]="UTI",Tabela1[[#This Row],[M]]&lt;&gt;""),1,IF(AND(Tabela1[[#This Row],[SETOR]]="UTI (RJ)",Tabela1[[#This Row],[M]]&lt;&gt;""),1.5,0))</f>
        <v>0</v>
      </c>
      <c r="X107" s="12">
        <f>IF(AND(Tabela1[[#This Row],[SETOR]]="UTI",Tabela1[[#This Row],[PA2]]&lt;&gt;""),1,IF(AND(Tabela1[[#This Row],[SETOR]]="UTI (RJ)",Tabela1[[#This Row],[PA2]]&lt;&gt;""),0,0))</f>
        <v>0</v>
      </c>
      <c r="Y107" s="12">
        <f>IF(AND(Tabela1[[#This Row],[SETOR]]="UTI",Tabela1[[#This Row],[C]]&lt;&gt;""),1,IF(AND(Tabela1[[#This Row],[SETOR]]="UTI (RJ)",Tabela1[[#This Row],[C]]&lt;&gt;""),1.5,0))</f>
        <v>0</v>
      </c>
      <c r="Z107" s="12">
        <f>IF(AND(Tabela1[[#This Row],[SETOR]]="UTI",Tabela1[[#This Row],[PL]]&lt;&gt;""),1,IF(AND(Tabela1[[#This Row],[SETOR]]="UTI (RJ)",Tabela1[[#This Row],[PL]]&lt;&gt;""),1,0))</f>
        <v>0</v>
      </c>
      <c r="AA107" s="21">
        <f>IFERROR(VLOOKUP(Tabela1[[#This Row],[MÊS]]&amp;Tabela1[[#This Row],[MATRICULA]]&amp;"1"&amp;Tabela1[[#This Row],[SETOR]]&amp;"PADRÃO",BD!B:AF,31,0),"")</f>
        <v>0</v>
      </c>
      <c r="AB107" s="21">
        <f>IFERROR(VLOOKUP(Tabela1[[#This Row],[MÊS]]&amp;Tabela1[[#This Row],[MATRICULA]]&amp;"2"&amp;Tabela1[[#This Row],[SETOR]]&amp;"PADRÃO",BD!B:AF,31,0),"")</f>
        <v>0</v>
      </c>
      <c r="AC107" s="21" t="str">
        <f>IFERROR(VLOOKUP(Tabela1[[#This Row],[MÊS]]&amp;Tabela1[[#This Row],[MATRICULA]]&amp;"3"&amp;Tabela1[[#This Row],[SETOR]]&amp;"PADRÃO",BD!B:AF,31,0),"")</f>
        <v/>
      </c>
      <c r="AD107" s="21" t="str">
        <f>IFERROR(VLOOKUP(Tabela1[[#This Row],[MÊS]]&amp;Tabela1[[#This Row],[MATRICULA]]&amp;"4"&amp;Tabela1[[#This Row],[SETOR]]&amp;"PADRÃO",BD!B:AF,25,0),"")</f>
        <v/>
      </c>
      <c r="AE107" s="21" t="str">
        <f>IFERROR(VLOOKUP(Tabela1[[#This Row],[MÊS]]&amp;Tabela1[[#This Row],[MATRICULA]]&amp;"5"&amp;Tabela1[[#This Row],[SETOR]]&amp;"PADRÃO",BD!B:AF,31,0),"")</f>
        <v/>
      </c>
      <c r="AF107" s="21" t="str">
        <f>IFERROR(VLOOKUP(Tabela1[[#This Row],[MÊS]]&amp;Tabela1[[#This Row],[MATRICULA]]&amp;"6"&amp;Tabela1[[#This Row],[SETOR]]&amp;"PADRÃO",BD!B:AF,31,0),"")</f>
        <v/>
      </c>
      <c r="AG107" s="21" t="str">
        <f>IFERROR(VLOOKUP(Tabela1[[#This Row],[MÊS]]&amp;Tabela1[[#This Row],[MATRICULA]]&amp;"7"&amp;Tabela1[[#This Row],[SETOR]]&amp;"PADRÃO",BD!B:AF,31,0),"")</f>
        <v/>
      </c>
      <c r="AH107" s="21" t="str">
        <f>IFERROR(VLOOKUP(Tabela1[[#This Row],[MÊS]]&amp;Tabela1[[#This Row],[ID]]&amp;Tabela1[[#This Row],[MATRICULA]]&amp;"Receptiva"&amp;Tabela1[[#This Row],[SETOR]],BD!A:AF,31,0),"")</f>
        <v/>
      </c>
      <c r="AI107" s="21" t="str">
        <f>IFERROR(VLOOKUP(Tabela1[[#This Row],[MÊS]]&amp;Tabela1[[#This Row],[ID]]&amp;Tabela1[[#This Row],[MATRICULA]]&amp;"Receptiva 2"&amp;Tabela1[[#This Row],[SETOR]],BD!A:AF,31,0),"")</f>
        <v/>
      </c>
      <c r="AJ107" s="21" t="str">
        <f>IFERROR(VLOOKUP(Tabela1[[#This Row],[MÊS]]&amp;Tabela1[[#This Row],[ID]]&amp;Tabela1[[#This Row],[MATRICULA]]&amp;"Receptiva 3"&amp;Tabela1[[#This Row],[SETOR]],BD!A:AF,31,0),"")</f>
        <v/>
      </c>
      <c r="AK107" s="21" t="str">
        <f>IFERROR(VLOOKUP(Tabela1[[#This Row],[MÊS]]&amp;Tabela1[[#This Row],[ID]]&amp;Tabela1[[#This Row],[MATRICULA]]&amp;"Receptiva 4"&amp;Tabela1[[#This Row],[SETOR]],BD!A:AF,31,0),"")</f>
        <v/>
      </c>
      <c r="AL107" s="21" t="str">
        <f>IFERROR(VLOOKUP(Tabela1[[#This Row],[MÊS]]&amp;Tabela1[[#This Row],[MATRICULA]]&amp;"Motorista"&amp;Tabela1[[#This Row],[SETOR]],BD!A:AF,31,0),"")</f>
        <v/>
      </c>
      <c r="AM107" s="21" t="str">
        <f>IFERROR(VLOOKUP(Tabela1[[#This Row],[MÊS]]&amp;Tabela1[[#This Row],[ID]]&amp;Tabela1[[#This Row],[MATRICULA]]&amp;"Motorista 2"&amp;Tabela1[[#This Row],[SETOR]],BD!A:AF,26,0),"")</f>
        <v/>
      </c>
      <c r="AN107" s="21" t="str">
        <f>IFERROR(VLOOKUP(Tabela1[[#This Row],[MÊS]]&amp;Tabela1[[#This Row],[ID]]&amp;Tabela1[[#This Row],[MATRICULA]]&amp;"Motorista 3"&amp;Tabela1[[#This Row],[SETOR]],BD!A:AF,26,0),"")</f>
        <v/>
      </c>
      <c r="AO107" s="21" t="str">
        <f>IFERROR(VLOOKUP(Tabela1[[#This Row],[MÊS]]&amp;Tabela1[[#This Row],[ID]]&amp;Tabela1[[#This Row],[MATRICULA]]&amp;"Motorista 4"&amp;Tabela1[[#This Row],[SETOR]],BD!A:AF,26,0),"")</f>
        <v/>
      </c>
      <c r="AP107" s="21" t="str">
        <f>IFERROR(VLOOKUP(Tabela1[[#This Row],[MÊS]]&amp;Tabela1[[#This Row],[MATRICULA]]&amp;"Ponto de Apoio"&amp;Tabela1[[#This Row],[SETOR]],BD!A:AF,31,0),"")</f>
        <v/>
      </c>
      <c r="AQ107" s="21" t="str">
        <f>IFERROR(VLOOKUP(Tabela1[[#This Row],[MÊS]]&amp;Tabela1[[#This Row],[ID]]&amp;Tabela1[[#This Row],[MATRICULA]]&amp;"Ponto de Apoio 2"&amp;Tabela1[[#This Row],[SETOR]],BD!A:AF,26,0),"")</f>
        <v/>
      </c>
      <c r="AR107" s="36" t="str">
        <f>IFERROR(VLOOKUP(Tabela1[[#This Row],[MÊS]]&amp;Tabela1[[#This Row],[ID]]&amp;Tabela1[[#This Row],[MATRICULA]]&amp;"Ponto de Apoio 3"&amp;Tabela1[[#This Row],[SETOR]],BD!A:AF,26,0),"")</f>
        <v/>
      </c>
      <c r="AS107" s="36" t="str">
        <f>IFERROR(VLOOKUP(Tabela1[[#This Row],[MÊS]]&amp;Tabela1[[#This Row],[ID]]&amp;Tabela1[[#This Row],[MATRICULA]]&amp;"Ponto de Apoio 4"&amp;Tabela1[[#This Row],[SETOR]],BD!A:AF,26,0),"")</f>
        <v/>
      </c>
      <c r="AT107" s="21" t="str">
        <f>IFERROR(VLOOKUP(Tabela1[[#This Row],[MÊS]]&amp;Tabela1[[#This Row],[MATRICULA]]&amp;"Cliente"&amp;Tabela1[[#This Row],[SETOR]],BD!A:AF,31,0),"")</f>
        <v/>
      </c>
      <c r="AU107" s="21" t="str">
        <f>IFERROR(VLOOKUP(Tabela1[[#This Row],[MÊS]]&amp;Tabela1[[#This Row],[ID]]&amp;Tabela1[[#This Row],[MATRICULA]]&amp;"Cliente 2"&amp;Tabela1[[#This Row],[SETOR]],BD!A:AF,26,0),"")</f>
        <v/>
      </c>
      <c r="AX107" s="21" t="str">
        <f>IFERROR(VLOOKUP(Tabela1[[#This Row],[MÊS]]&amp;Tabela1[[#This Row],[MATRICULA]]&amp;"Policia"&amp;Tabela1[[#This Row],[SETOR]],BD!A:AF,31,0),"")</f>
        <v/>
      </c>
      <c r="AY107" s="21" t="str">
        <f>IFERROR(VLOOKUP(Tabela1[[#This Row],[MÊS]]&amp;Tabela1[[#This Row],[ID]]&amp;Tabela1[[#This Row],[MATRICULA]]&amp;"Policia 2"&amp;Tabela1[[#This Row],[SETOR]],BD!A:AF,26,0),"")</f>
        <v/>
      </c>
      <c r="AZ107" s="36" t="str">
        <f>IFERROR(VLOOKUP(Tabela1[[#This Row],[MÊS]]&amp;Tabela1[[#This Row],[ID]]&amp;Tabela1[[#This Row],[MATRICULA]]&amp;"Policia 3"&amp;Tabela1[[#This Row],[SETOR]],BD!A:AF,26,0),"")</f>
        <v/>
      </c>
      <c r="BA107" s="36" t="str">
        <f>IFERROR(VLOOKUP(Tabela1[[#This Row],[MÊS]]&amp;Tabela1[[#This Row],[ID]]&amp;Tabela1[[#This Row],[MATRICULA]]&amp;"Policia 4"&amp;Tabela1[[#This Row],[SETOR]],BD!A:AF,26,0),"")</f>
        <v/>
      </c>
      <c r="BB10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7" s="21" t="str">
        <f>IFERROR(AVERAGE(Tabela1[[#This Row],[M]:[M4]]),"")</f>
        <v/>
      </c>
      <c r="BD107" s="21" t="str">
        <f>IFERROR(AVERAGE(Tabela1[[#This Row],[C]:[C4]]),"")</f>
        <v/>
      </c>
      <c r="BE107" s="21" t="str">
        <f>IFERROR(AVERAGE(Tabela1[[#This Row],[PA2]:[PA 4]]),"")</f>
        <v/>
      </c>
      <c r="BF107" s="21" t="str">
        <f>IFERROR(AVERAGE(Tabela1[[#This Row],[PL]:[PL4]]),"")</f>
        <v/>
      </c>
      <c r="BG107" s="35" t="str">
        <f>IFERROR(VLOOKUP(Tabela1[[#This Row],[MÊS]]&amp;Tabela1[[#This Row],[MATRICULA]],#REF!,2,0),"")</f>
        <v/>
      </c>
      <c r="BH107" s="35" t="str">
        <f>IFERROR(VLOOKUP(Tabela1[[#This Row],[MÊS]]&amp;Tabela1[[#This Row],[MATRICULA]],#REF!,2,0),"")</f>
        <v/>
      </c>
      <c r="BI107" s="35" t="str">
        <f>IFERROR(VLOOKUP(Tabela1[[#This Row],[MÊS]]&amp;Tabela1[[#This Row],[MATRICULA]],#REF!,2,0),"")</f>
        <v/>
      </c>
      <c r="BJ107" s="35" t="str">
        <f>IFERROR(VLOOKUP(Tabela1[[#This Row],[MÊS]]&amp;Tabela1[[#This Row],[MATRICULA]],#REF!,2,0),"")</f>
        <v/>
      </c>
      <c r="BK107" s="35" t="str">
        <f>IFERROR(VLOOKUP(Tabela1[[#This Row],[MÊS]]&amp;Tabela1[[#This Row],[MATRICULA]],#REF!,2,0),"")</f>
        <v/>
      </c>
      <c r="BL107" s="21">
        <f>COUNTIF(Tabela1[[#This Row],[MOT2]:[RECEPTIVA]],"NÃO ENCONTRADA")</f>
        <v>0</v>
      </c>
      <c r="BM107" s="135" t="str">
        <f>IFERROR(VLOOKUP(Tabela1[[#This Row],[MÊS]]&amp;Tabela1[[#This Row],[ID]]&amp;Tabela1[[#This Row],[MATRICULA]]&amp;"Motorista"&amp;Tabela1[[#This Row],[SETOR]],BD!A:AF,13,0),"")</f>
        <v/>
      </c>
      <c r="BN107" s="135" t="str">
        <f>IFERROR(VLOOKUP(Tabela1[[#This Row],[MÊS]]&amp;Tabela1[[#This Row],[ID]]&amp;Tabela1[[#This Row],[MATRICULA]]&amp;"Motorista 2"&amp;Tabela1[[#This Row],[SETOR]],BD!A:AF,13,0),"")</f>
        <v/>
      </c>
      <c r="BO107" s="135" t="str">
        <f>IFERROR(VLOOKUP(Tabela1[[#This Row],[MÊS]]&amp;Tabela1[[#This Row],[ID]]&amp;Tabela1[[#This Row],[MATRICULA]]&amp;"Motorista 3"&amp;Tabela1[[#This Row],[SETOR]],BD!A:AF,13,0),"")</f>
        <v/>
      </c>
      <c r="BP107" s="135" t="str">
        <f>IFERROR(VLOOKUP(Tabela1[[#This Row],[MÊS]]&amp;Tabela1[[#This Row],[ID]]&amp;Tabela1[[#This Row],[MATRICULA]]&amp;"Motorista 4"&amp;Tabela1[[#This Row],[SETOR]],BD!A:AF,13,0),"")</f>
        <v/>
      </c>
      <c r="BQ107" s="135" t="str">
        <f>IFERROR(AVERAGE(Tabela1[[#This Row],[DMOT]:[DMOT4]]),"")</f>
        <v/>
      </c>
      <c r="BR107" s="135" t="str">
        <f>IFERROR(VLOOKUP(Tabela1[[#This Row],[MÊS]]&amp;Tabela1[[#This Row],[ID]]&amp;Tabela1[[#This Row],[MATRICULA]]&amp;"Ponto de Apoio"&amp;Tabela1[[#This Row],[SETOR]],BD!A:AF,13,0),"")</f>
        <v/>
      </c>
      <c r="BS107" s="135" t="str">
        <f>IFERROR(VLOOKUP(Tabela1[[#This Row],[MÊS]]&amp;Tabela1[[#This Row],[ID]]&amp;Tabela1[[#This Row],[MATRICULA]]&amp;"Ponto de Apoio 2"&amp;Tabela1[[#This Row],[SETOR]],BD!A:AF,13,0),"")</f>
        <v/>
      </c>
      <c r="BT107" s="135" t="str">
        <f>IFERROR(VLOOKUP(Tabela1[[#This Row],[MÊS]]&amp;Tabela1[[#This Row],[ID]]&amp;Tabela1[[#This Row],[MATRICULA]]&amp;"Ponto de Apoio 3"&amp;Tabela1[[#This Row],[SETOR]],BD!A:AF,13,0),"")</f>
        <v/>
      </c>
      <c r="BU107" s="135" t="str">
        <f>IFERROR(VLOOKUP(Tabela1[[#This Row],[MÊS]]&amp;Tabela1[[#This Row],[ID]]&amp;Tabela1[[#This Row],[MATRICULA]]&amp;"Ponto de Apoio 4"&amp;Tabela1[[#This Row],[SETOR]],BD!A:AF,13,0),"")</f>
        <v/>
      </c>
      <c r="BV107" s="135" t="str">
        <f>IFERROR(AVERAGE(Tabela1[[#This Row],[DPA]:[DPA 4]]),"")</f>
        <v/>
      </c>
      <c r="BW107" s="135" t="str">
        <f>IFERROR(VLOOKUP(Tabela1[[#This Row],[MÊS]]&amp;Tabela1[[#This Row],[ID]]&amp;Tabela1[[#This Row],[MATRICULA]]&amp;"Cliente"&amp;Tabela1[[#This Row],[SETOR]],BD!A:AF,13,0),"")</f>
        <v/>
      </c>
      <c r="BX107" s="135" t="str">
        <f>IFERROR(VLOOKUP(Tabela1[[#This Row],[MÊS]]&amp;Tabela1[[#This Row],[ID]]&amp;Tabela1[[#This Row],[MATRICULA]]&amp;"cliente 2"&amp;Tabela1[[#This Row],[SETOR]],BD!A:AF,13,0),"")</f>
        <v/>
      </c>
      <c r="BY107" s="135" t="str">
        <f>IFERROR(VLOOKUP(Tabela1[[#This Row],[MÊS]]&amp;Tabela1[[#This Row],[ID]]&amp;Tabela1[[#This Row],[MATRICULA]]&amp;"cliente 3"&amp;Tabela1[[#This Row],[SETOR]],BD!A:AF,13,0),"")</f>
        <v/>
      </c>
      <c r="BZ107" s="135" t="str">
        <f>IFERROR(VLOOKUP(Tabela1[[#This Row],[MÊS]]&amp;Tabela1[[#This Row],[ID]]&amp;Tabela1[[#This Row],[MATRICULA]]&amp;"cliente 4"&amp;Tabela1[[#This Row],[SETOR]],BD!A:AF,13,0),"")</f>
        <v/>
      </c>
      <c r="CA107" s="135" t="str">
        <f>IFERROR(AVERAGE(Tabela1[[#This Row],[DCLI]:[DCLI 4]]),"")</f>
        <v/>
      </c>
      <c r="CB107" s="135" t="str">
        <f>IFERROR(VLOOKUP(Tabela1[[#This Row],[MÊS]]&amp;Tabela1[[#This Row],[ID]]&amp;Tabela1[[#This Row],[MATRICULA]]&amp;"Policia"&amp;Tabela1[[#This Row],[SETOR]],BD!A:AF,13,0),"")</f>
        <v/>
      </c>
      <c r="CC107" s="135" t="str">
        <f>IFERROR(VLOOKUP(Tabela1[[#This Row],[MÊS]]&amp;Tabela1[[#This Row],[ID]]&amp;Tabela1[[#This Row],[MATRICULA]]&amp;"Policia 2"&amp;Tabela1[[#This Row],[SETOR]],BD!A:AF,13,0),"")</f>
        <v/>
      </c>
      <c r="CD107" s="135"/>
      <c r="CE107" s="135"/>
      <c r="CF107" s="135" t="str">
        <f>IFERROR((AVERAGE(Tabela1[[#This Row],[DPOL1]:[DPOL4]])),"")</f>
        <v/>
      </c>
      <c r="CG107" s="21" t="str">
        <f>IFERROR(VLOOKUP(Tabela1[[#This Row],[ID]]&amp;Tabela1[[#This Row],[MÊS]]&amp;Tabela1[[#This Row],[MATRICULA]],#REF!,2,0),"")</f>
        <v/>
      </c>
      <c r="CH107" s="21" t="str">
        <f>IFERROR(VLOOKUP(Tabela1[[#This Row],[ID]]&amp;Tabela1[[#This Row],[MÊS]]&amp;Tabela1[[#This Row],[MATRICULA]],#REF!,2,0),"")</f>
        <v/>
      </c>
      <c r="CI107" s="21" t="str">
        <f>IFERROR(VLOOKUP(Tabela1[[#This Row],[MÊS]]&amp;Tabela1[[#This Row],[MATRICULA]],#REF!,2,0),"")</f>
        <v/>
      </c>
    </row>
    <row r="108" spans="1:87">
      <c r="A108" s="12" t="str">
        <f>Tabela1[[#This Row],[MÊS]]&amp;Tabela1[[#This Row],[MATRICULA]]&amp;Tabela1[[#This Row],[ID]]</f>
        <v>JAN109211</v>
      </c>
      <c r="B108" s="12" t="str">
        <f>Tabela1[[#This Row],[MÊS]]&amp;Tabela1[[#This Row],[ID]]&amp;Tabela1[[#This Row],[MATRICULA]]&amp;Tabela1[[#This Row],[SETOR]]</f>
        <v>JAN110921UTI</v>
      </c>
      <c r="C108" s="130" t="e">
        <f>VLOOKUP(Tabela1[[#This Row],[MATRICULA]],'BD Campos'!A:D,5,0)</f>
        <v>#REF!</v>
      </c>
      <c r="D108" s="133" t="str">
        <f ca="1">IFERROR(SUM(TODAY()-Tabela1[[#This Row],[ADMISSÃO]]),"")</f>
        <v/>
      </c>
      <c r="E108" s="11" t="str">
        <f ca="1">IFERROR(TRUNC(Tabela1[[#This Row],[TEMPO DE CASA (DIAS)]]/30),"")</f>
        <v/>
      </c>
      <c r="F108" s="32" t="str">
        <f ca="1">IFERROR(SUM(Tabela1[[#This Row],[TEMPO DE CASA (MESES)]]/12),"")</f>
        <v/>
      </c>
      <c r="G108" s="133" t="str">
        <f ca="1">IF(Tabela1[[#This Row],[TEMPO DE CASA (DIAS)]]="","SEM DADOS",IF(Tabela1[[#This Row],[TEMPO DE CASA (DIAS)]]&gt;180,"&gt; 6 MESES","&lt; 6 MESES"))</f>
        <v>SEM DADOS</v>
      </c>
      <c r="H108" s="12" t="str">
        <f t="shared" ref="H108:H117" si="11">K108&amp;S108&amp;J108</f>
        <v>JANHervert Moreira1</v>
      </c>
      <c r="I108" s="12" t="str">
        <f>IFERROR(VLOOKUP(Tabela1[[#This Row],[MATRICULA]],'BD Campos'!A:F,7,0),"")</f>
        <v/>
      </c>
      <c r="J108" s="11">
        <v>1</v>
      </c>
      <c r="K108" s="11" t="s">
        <v>669</v>
      </c>
      <c r="L108" s="136">
        <v>10921</v>
      </c>
      <c r="M108" s="12" t="str">
        <f>IFERROR(VLOOKUP(Tabela1[[#This Row],[MATRICULA]],'BD Campos'!A:B,2,0),"")</f>
        <v>PAMELA SUELLEN RODRIGUES</v>
      </c>
      <c r="N108" s="20">
        <f>IFERROR(AVERAGE(Tabela1[[#This Row],[A1]:[A4]]),"")</f>
        <v>9.34375</v>
      </c>
      <c r="O108" s="20" t="str">
        <f>IFERROR(IF(Tabela1[[#This Row],[SETOR]]="RECEPTIVO","",AVERAGE(Tabela1[[#This Row],[A5]:[A6]])),"")</f>
        <v/>
      </c>
      <c r="P108" s="20" t="str">
        <f>IFERROR(IF(Tabela1[[#This Row],[STATUS]]="INATIVO","INATIVO",IF(Tabela1[[#This Row],[STATUS]]="QRT","INATIVO",IF(Tabela1[[#This Row],[OPERACIONAL]]&gt;7.99999,"BOM","RUIM"))),"")</f>
        <v>BOM</v>
      </c>
      <c r="Q108" s="21" t="s">
        <v>667</v>
      </c>
      <c r="R108" s="12" t="s">
        <v>698</v>
      </c>
      <c r="S108" s="12" t="s">
        <v>699</v>
      </c>
      <c r="T108" s="12" t="s">
        <v>128</v>
      </c>
      <c r="U10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1.1000000000000001</v>
      </c>
      <c r="V10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0.04</v>
      </c>
      <c r="W108" s="12">
        <f>IF(AND(Tabela1[[#This Row],[SETOR]]="UTI",Tabela1[[#This Row],[M]]&lt;&gt;""),1,IF(AND(Tabela1[[#This Row],[SETOR]]="UTI (RJ)",Tabela1[[#This Row],[M]]&lt;&gt;""),1.5,0))</f>
        <v>1</v>
      </c>
      <c r="X108" s="12">
        <v>1</v>
      </c>
      <c r="Y108" s="12">
        <v>1</v>
      </c>
      <c r="Z108" s="12">
        <v>1</v>
      </c>
      <c r="AA108" s="21">
        <f>IFERROR(VLOOKUP(Tabela1[[#This Row],[MÊS]]&amp;Tabela1[[#This Row],[MATRICULA]]&amp;"1"&amp;Tabela1[[#This Row],[SETOR]]&amp;"PADRÃO",BD!B:AF,31,0),"")</f>
        <v>8.6874999999999982</v>
      </c>
      <c r="AB108" s="21">
        <f>IFERROR(VLOOKUP(Tabela1[[#This Row],[MÊS]]&amp;Tabela1[[#This Row],[MATRICULA]]&amp;"2"&amp;Tabela1[[#This Row],[SETOR]]&amp;"PADRÃO",BD!B:AF,31,0),"")</f>
        <v>10.000000000000002</v>
      </c>
      <c r="AC108" s="21" t="str">
        <f>IFERROR(VLOOKUP(Tabela1[[#This Row],[MÊS]]&amp;Tabela1[[#This Row],[MATRICULA]]&amp;"3"&amp;Tabela1[[#This Row],[SETOR]]&amp;"PADRÃO",BD!B:AF,31,0),"")</f>
        <v/>
      </c>
      <c r="AD108" s="21" t="str">
        <f>IFERROR(VLOOKUP(Tabela1[[#This Row],[MÊS]]&amp;Tabela1[[#This Row],[MATRICULA]]&amp;"4"&amp;Tabela1[[#This Row],[SETOR]]&amp;"PADRÃO",BD!B:AF,25,0),"")</f>
        <v/>
      </c>
      <c r="AE108" s="21" t="str">
        <f>IFERROR(VLOOKUP(Tabela1[[#This Row],[MÊS]]&amp;Tabela1[[#This Row],[MATRICULA]]&amp;"5"&amp;Tabela1[[#This Row],[SETOR]]&amp;"PADRÃO",BD!B:AF,31,0),"")</f>
        <v/>
      </c>
      <c r="AF108" s="21" t="str">
        <f>IFERROR(VLOOKUP(Tabela1[[#This Row],[MÊS]]&amp;Tabela1[[#This Row],[MATRICULA]]&amp;"6"&amp;Tabela1[[#This Row],[SETOR]]&amp;"PADRÃO",BD!B:AF,31,0),"")</f>
        <v/>
      </c>
      <c r="AG108" s="21" t="str">
        <f>IFERROR(VLOOKUP(Tabela1[[#This Row],[MÊS]]&amp;Tabela1[[#This Row],[MATRICULA]]&amp;"7"&amp;Tabela1[[#This Row],[SETOR]]&amp;"PADRÃO",BD!B:AF,31,0),"")</f>
        <v/>
      </c>
      <c r="AH108" s="21" t="str">
        <f>IFERROR(VLOOKUP(Tabela1[[#This Row],[MÊS]]&amp;Tabela1[[#This Row],[ID]]&amp;Tabela1[[#This Row],[MATRICULA]]&amp;"Receptiva"&amp;Tabela1[[#This Row],[SETOR]],BD!A:AF,31,0),"")</f>
        <v/>
      </c>
      <c r="AI108" s="21" t="str">
        <f>IFERROR(VLOOKUP(Tabela1[[#This Row],[MÊS]]&amp;Tabela1[[#This Row],[ID]]&amp;Tabela1[[#This Row],[MATRICULA]]&amp;"Receptiva 2"&amp;Tabela1[[#This Row],[SETOR]],BD!A:AF,31,0),"")</f>
        <v/>
      </c>
      <c r="AJ108" s="21" t="str">
        <f>IFERROR(VLOOKUP(Tabela1[[#This Row],[MÊS]]&amp;Tabela1[[#This Row],[ID]]&amp;Tabela1[[#This Row],[MATRICULA]]&amp;"Receptiva 3"&amp;Tabela1[[#This Row],[SETOR]],BD!A:AF,31,0),"")</f>
        <v/>
      </c>
      <c r="AK108" s="21" t="str">
        <f>IFERROR(VLOOKUP(Tabela1[[#This Row],[MÊS]]&amp;Tabela1[[#This Row],[ID]]&amp;Tabela1[[#This Row],[MATRICULA]]&amp;"Receptiva 4"&amp;Tabela1[[#This Row],[SETOR]],BD!A:AF,31,0),"")</f>
        <v/>
      </c>
      <c r="AL108" s="21">
        <f>IFERROR(VLOOKUP(Tabela1[[#This Row],[MÊS]]&amp;Tabela1[[#This Row],[MATRICULA]]&amp;"Motorista"&amp;Tabela1[[#This Row],[SETOR]],BD!A:AF,31,0),"")</f>
        <v>0</v>
      </c>
      <c r="AM108" s="21" t="str">
        <f>IFERROR(VLOOKUP(Tabela1[[#This Row],[MÊS]]&amp;Tabela1[[#This Row],[ID]]&amp;Tabela1[[#This Row],[MATRICULA]]&amp;"Motorista 2"&amp;Tabela1[[#This Row],[SETOR]],BD!A:AF,26,0),"")</f>
        <v/>
      </c>
      <c r="AN108" s="21" t="str">
        <f>IFERROR(VLOOKUP(Tabela1[[#This Row],[MÊS]]&amp;Tabela1[[#This Row],[ID]]&amp;Tabela1[[#This Row],[MATRICULA]]&amp;"Motorista 3"&amp;Tabela1[[#This Row],[SETOR]],BD!A:AF,26,0),"")</f>
        <v/>
      </c>
      <c r="AO108" s="21" t="str">
        <f>IFERROR(VLOOKUP(Tabela1[[#This Row],[MÊS]]&amp;Tabela1[[#This Row],[ID]]&amp;Tabela1[[#This Row],[MATRICULA]]&amp;"Motorista 4"&amp;Tabela1[[#This Row],[SETOR]],BD!A:AF,26,0),"")</f>
        <v/>
      </c>
      <c r="AP108" s="21" t="str">
        <f>IFERROR(VLOOKUP(Tabela1[[#This Row],[MÊS]]&amp;Tabela1[[#This Row],[MATRICULA]]&amp;"Ponto de Apoio"&amp;Tabela1[[#This Row],[SETOR]],BD!A:AF,31,0),"")</f>
        <v/>
      </c>
      <c r="AQ108" s="21" t="str">
        <f>IFERROR(VLOOKUP(Tabela1[[#This Row],[MÊS]]&amp;Tabela1[[#This Row],[ID]]&amp;Tabela1[[#This Row],[MATRICULA]]&amp;"Ponto de Apoio 2"&amp;Tabela1[[#This Row],[SETOR]],BD!A:AF,26,0),"")</f>
        <v/>
      </c>
      <c r="AR108" s="36" t="str">
        <f>IFERROR(VLOOKUP(Tabela1[[#This Row],[MÊS]]&amp;Tabela1[[#This Row],[ID]]&amp;Tabela1[[#This Row],[MATRICULA]]&amp;"Ponto de Apoio 3"&amp;Tabela1[[#This Row],[SETOR]],BD!A:AF,26,0),"")</f>
        <v/>
      </c>
      <c r="AS108" s="36" t="str">
        <f>IFERROR(VLOOKUP(Tabela1[[#This Row],[MÊS]]&amp;Tabela1[[#This Row],[ID]]&amp;Tabela1[[#This Row],[MATRICULA]]&amp;"Ponto de Apoio 4"&amp;Tabela1[[#This Row],[SETOR]],BD!A:AF,26,0),"")</f>
        <v/>
      </c>
      <c r="AT108" s="21" t="str">
        <f>IFERROR(VLOOKUP(Tabela1[[#This Row],[MÊS]]&amp;Tabela1[[#This Row],[MATRICULA]]&amp;"Cliente"&amp;Tabela1[[#This Row],[SETOR]],BD!A:AF,31,0),"")</f>
        <v/>
      </c>
      <c r="AU108" s="21" t="str">
        <f>IFERROR(VLOOKUP(Tabela1[[#This Row],[MÊS]]&amp;Tabela1[[#This Row],[ID]]&amp;Tabela1[[#This Row],[MATRICULA]]&amp;"Cliente 2"&amp;Tabela1[[#This Row],[SETOR]],BD!A:AF,26,0),"")</f>
        <v/>
      </c>
      <c r="AX108" s="21" t="str">
        <f>IFERROR(VLOOKUP(Tabela1[[#This Row],[MÊS]]&amp;Tabela1[[#This Row],[MATRICULA]]&amp;"Policia"&amp;Tabela1[[#This Row],[SETOR]],BD!A:AF,31,0),"")</f>
        <v/>
      </c>
      <c r="AY108" s="21" t="str">
        <f>IFERROR(VLOOKUP(Tabela1[[#This Row],[MÊS]]&amp;Tabela1[[#This Row],[ID]]&amp;Tabela1[[#This Row],[MATRICULA]]&amp;"Policia 2"&amp;Tabela1[[#This Row],[SETOR]],BD!A:AF,26,0),"")</f>
        <v/>
      </c>
      <c r="AZ108" s="36" t="str">
        <f>IFERROR(VLOOKUP(Tabela1[[#This Row],[MÊS]]&amp;Tabela1[[#This Row],[ID]]&amp;Tabela1[[#This Row],[MATRICULA]]&amp;"Policia 3"&amp;Tabela1[[#This Row],[SETOR]],BD!A:AF,26,0),"")</f>
        <v/>
      </c>
      <c r="BA108" s="36" t="str">
        <f>IFERROR(VLOOKUP(Tabela1[[#This Row],[MÊS]]&amp;Tabela1[[#This Row],[ID]]&amp;Tabela1[[#This Row],[MATRICULA]]&amp;"Policia 4"&amp;Tabela1[[#This Row],[SETOR]],BD!A:AF,26,0),"")</f>
        <v/>
      </c>
      <c r="BB10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8" s="21">
        <f>IFERROR(AVERAGE(Tabela1[[#This Row],[M]:[M4]]),"")</f>
        <v>0</v>
      </c>
      <c r="BD108" s="21" t="str">
        <f>IFERROR(AVERAGE(Tabela1[[#This Row],[C]:[C4]]),"")</f>
        <v/>
      </c>
      <c r="BE108" s="21" t="str">
        <f>IFERROR(AVERAGE(Tabela1[[#This Row],[PA2]:[PA 4]]),"")</f>
        <v/>
      </c>
      <c r="BF108" s="21" t="str">
        <f>IFERROR(AVERAGE(Tabela1[[#This Row],[PL]:[PL4]]),"")</f>
        <v/>
      </c>
      <c r="BG108" s="35" t="str">
        <f>IFERROR(VLOOKUP(Tabela1[[#This Row],[MÊS]]&amp;Tabela1[[#This Row],[MATRICULA]],#REF!,2,0),"")</f>
        <v/>
      </c>
      <c r="BH108" s="35" t="str">
        <f>IFERROR(VLOOKUP(Tabela1[[#This Row],[MÊS]]&amp;Tabela1[[#This Row],[MATRICULA]],#REF!,2,0),"")</f>
        <v/>
      </c>
      <c r="BI108" s="35" t="str">
        <f>IFERROR(VLOOKUP(Tabela1[[#This Row],[MÊS]]&amp;Tabela1[[#This Row],[MATRICULA]],#REF!,2,0),"")</f>
        <v/>
      </c>
      <c r="BJ108" s="35" t="str">
        <f>IFERROR(VLOOKUP(Tabela1[[#This Row],[MÊS]]&amp;Tabela1[[#This Row],[MATRICULA]],#REF!,2,0),"")</f>
        <v/>
      </c>
      <c r="BK108" s="35" t="str">
        <f>IFERROR(VLOOKUP(Tabela1[[#This Row],[MÊS]]&amp;Tabela1[[#This Row],[MATRICULA]],#REF!,2,0),"")</f>
        <v/>
      </c>
      <c r="BL108" s="21">
        <f>COUNTIF(Tabela1[[#This Row],[MOT2]:[RECEPTIVA]],"NÃO ENCONTRADA")</f>
        <v>0</v>
      </c>
      <c r="BM108" s="135" t="str">
        <f>IFERROR(VLOOKUP(Tabela1[[#This Row],[MÊS]]&amp;Tabela1[[#This Row],[ID]]&amp;Tabela1[[#This Row],[MATRICULA]]&amp;"Motorista"&amp;Tabela1[[#This Row],[SETOR]],BD!A:AF,13,0),"")</f>
        <v/>
      </c>
      <c r="BN108" s="135" t="str">
        <f>IFERROR(VLOOKUP(Tabela1[[#This Row],[MÊS]]&amp;Tabela1[[#This Row],[ID]]&amp;Tabela1[[#This Row],[MATRICULA]]&amp;"Motorista 2"&amp;Tabela1[[#This Row],[SETOR]],BD!A:AF,13,0),"")</f>
        <v/>
      </c>
      <c r="BO108" s="135" t="str">
        <f>IFERROR(VLOOKUP(Tabela1[[#This Row],[MÊS]]&amp;Tabela1[[#This Row],[ID]]&amp;Tabela1[[#This Row],[MATRICULA]]&amp;"Motorista 3"&amp;Tabela1[[#This Row],[SETOR]],BD!A:AF,13,0),"")</f>
        <v/>
      </c>
      <c r="BP108" s="135" t="str">
        <f>IFERROR(VLOOKUP(Tabela1[[#This Row],[MÊS]]&amp;Tabela1[[#This Row],[ID]]&amp;Tabela1[[#This Row],[MATRICULA]]&amp;"Motorista 4"&amp;Tabela1[[#This Row],[SETOR]],BD!A:AF,13,0),"")</f>
        <v/>
      </c>
      <c r="BQ108" s="135" t="str">
        <f>IFERROR(AVERAGE(Tabela1[[#This Row],[DMOT]:[DMOT4]]),"")</f>
        <v/>
      </c>
      <c r="BR108" s="135" t="str">
        <f>IFERROR(VLOOKUP(Tabela1[[#This Row],[MÊS]]&amp;Tabela1[[#This Row],[ID]]&amp;Tabela1[[#This Row],[MATRICULA]]&amp;"Ponto de Apoio"&amp;Tabela1[[#This Row],[SETOR]],BD!A:AF,13,0),"")</f>
        <v/>
      </c>
      <c r="BS108" s="135" t="str">
        <f>IFERROR(VLOOKUP(Tabela1[[#This Row],[MÊS]]&amp;Tabela1[[#This Row],[ID]]&amp;Tabela1[[#This Row],[MATRICULA]]&amp;"Ponto de Apoio 2"&amp;Tabela1[[#This Row],[SETOR]],BD!A:AF,13,0),"")</f>
        <v/>
      </c>
      <c r="BT108" s="135" t="str">
        <f>IFERROR(VLOOKUP(Tabela1[[#This Row],[MÊS]]&amp;Tabela1[[#This Row],[ID]]&amp;Tabela1[[#This Row],[MATRICULA]]&amp;"Ponto de Apoio 3"&amp;Tabela1[[#This Row],[SETOR]],BD!A:AF,13,0),"")</f>
        <v/>
      </c>
      <c r="BU108" s="135" t="str">
        <f>IFERROR(VLOOKUP(Tabela1[[#This Row],[MÊS]]&amp;Tabela1[[#This Row],[ID]]&amp;Tabela1[[#This Row],[MATRICULA]]&amp;"Ponto de Apoio 4"&amp;Tabela1[[#This Row],[SETOR]],BD!A:AF,13,0),"")</f>
        <v/>
      </c>
      <c r="BV108" s="135" t="str">
        <f>IFERROR(AVERAGE(Tabela1[[#This Row],[DPA]:[DPA 4]]),"")</f>
        <v/>
      </c>
      <c r="BW108" s="135" t="str">
        <f>IFERROR(VLOOKUP(Tabela1[[#This Row],[MÊS]]&amp;Tabela1[[#This Row],[ID]]&amp;Tabela1[[#This Row],[MATRICULA]]&amp;"Cliente"&amp;Tabela1[[#This Row],[SETOR]],BD!A:AF,13,0),"")</f>
        <v/>
      </c>
      <c r="BX108" s="135" t="str">
        <f>IFERROR(VLOOKUP(Tabela1[[#This Row],[MÊS]]&amp;Tabela1[[#This Row],[ID]]&amp;Tabela1[[#This Row],[MATRICULA]]&amp;"cliente 2"&amp;Tabela1[[#This Row],[SETOR]],BD!A:AF,13,0),"")</f>
        <v/>
      </c>
      <c r="BY108" s="135" t="str">
        <f>IFERROR(VLOOKUP(Tabela1[[#This Row],[MÊS]]&amp;Tabela1[[#This Row],[ID]]&amp;Tabela1[[#This Row],[MATRICULA]]&amp;"cliente 3"&amp;Tabela1[[#This Row],[SETOR]],BD!A:AF,13,0),"")</f>
        <v/>
      </c>
      <c r="BZ108" s="135" t="str">
        <f>IFERROR(VLOOKUP(Tabela1[[#This Row],[MÊS]]&amp;Tabela1[[#This Row],[ID]]&amp;Tabela1[[#This Row],[MATRICULA]]&amp;"cliente 4"&amp;Tabela1[[#This Row],[SETOR]],BD!A:AF,13,0),"")</f>
        <v/>
      </c>
      <c r="CA108" s="135" t="str">
        <f>IFERROR(AVERAGE(Tabela1[[#This Row],[DCLI]:[DCLI 4]]),"")</f>
        <v/>
      </c>
      <c r="CB108" s="135" t="str">
        <f>IFERROR(VLOOKUP(Tabela1[[#This Row],[MÊS]]&amp;Tabela1[[#This Row],[ID]]&amp;Tabela1[[#This Row],[MATRICULA]]&amp;"Policia"&amp;Tabela1[[#This Row],[SETOR]],BD!A:AF,13,0),"")</f>
        <v/>
      </c>
      <c r="CC108" s="135" t="str">
        <f>IFERROR(VLOOKUP(Tabela1[[#This Row],[MÊS]]&amp;Tabela1[[#This Row],[ID]]&amp;Tabela1[[#This Row],[MATRICULA]]&amp;"Policia 2"&amp;Tabela1[[#This Row],[SETOR]],BD!A:AF,13,0),"")</f>
        <v/>
      </c>
      <c r="CD108" s="135"/>
      <c r="CE108" s="135"/>
      <c r="CF108" s="135" t="str">
        <f>IFERROR((AVERAGE(Tabela1[[#This Row],[DPOL1]:[DPOL4]])),"")</f>
        <v/>
      </c>
      <c r="CG108" s="21" t="str">
        <f>IFERROR(VLOOKUP(Tabela1[[#This Row],[ID]]&amp;Tabela1[[#This Row],[MÊS]]&amp;Tabela1[[#This Row],[MATRICULA]],#REF!,2,0),"")</f>
        <v/>
      </c>
      <c r="CH108" s="21" t="str">
        <f>IFERROR(VLOOKUP(Tabela1[[#This Row],[ID]]&amp;Tabela1[[#This Row],[MÊS]]&amp;Tabela1[[#This Row],[MATRICULA]],#REF!,2,0),"")</f>
        <v/>
      </c>
      <c r="CI108" s="21" t="str">
        <f>IFERROR(VLOOKUP(Tabela1[[#This Row],[MÊS]]&amp;Tabela1[[#This Row],[MATRICULA]],#REF!,2,0),"")</f>
        <v/>
      </c>
    </row>
    <row r="109" spans="1:87">
      <c r="A109" s="12" t="str">
        <f>Tabela1[[#This Row],[MÊS]]&amp;Tabela1[[#This Row],[MATRICULA]]&amp;Tabela1[[#This Row],[ID]]</f>
        <v>JAN108922</v>
      </c>
      <c r="B109" s="12" t="str">
        <f>Tabela1[[#This Row],[MÊS]]&amp;Tabela1[[#This Row],[ID]]&amp;Tabela1[[#This Row],[MATRICULA]]&amp;Tabela1[[#This Row],[SETOR]]</f>
        <v>JAN210892BAS</v>
      </c>
      <c r="C109" s="130" t="e">
        <f>VLOOKUP(Tabela1[[#This Row],[MATRICULA]],'BD Campos'!A:D,5,0)</f>
        <v>#REF!</v>
      </c>
      <c r="D109" s="133" t="str">
        <f ca="1">IFERROR(SUM(TODAY()-Tabela1[[#This Row],[ADMISSÃO]]),"")</f>
        <v/>
      </c>
      <c r="E109" s="11" t="str">
        <f ca="1">IFERROR(TRUNC(Tabela1[[#This Row],[TEMPO DE CASA (DIAS)]]/30),"")</f>
        <v/>
      </c>
      <c r="F109" s="32" t="str">
        <f ca="1">IFERROR(SUM(Tabela1[[#This Row],[TEMPO DE CASA (MESES)]]/12),"")</f>
        <v/>
      </c>
      <c r="G109" s="133" t="str">
        <f ca="1">IF(Tabela1[[#This Row],[TEMPO DE CASA (DIAS)]]="","SEM DADOS",IF(Tabela1[[#This Row],[TEMPO DE CASA (DIAS)]]&gt;180,"&gt; 6 MESES","&lt; 6 MESES"))</f>
        <v>SEM DADOS</v>
      </c>
      <c r="H109" s="12" t="str">
        <f t="shared" si="11"/>
        <v>JANHervert Moreira2</v>
      </c>
      <c r="I109" s="12" t="str">
        <f>IFERROR(VLOOKUP(Tabela1[[#This Row],[MATRICULA]],'BD Campos'!A:F,7,0),"")</f>
        <v/>
      </c>
      <c r="J109" s="11">
        <v>2</v>
      </c>
      <c r="K109" s="11" t="s">
        <v>669</v>
      </c>
      <c r="L109" s="136">
        <v>10892</v>
      </c>
      <c r="M109" s="12" t="str">
        <f>IFERROR(VLOOKUP(Tabela1[[#This Row],[MATRICULA]],'BD Campos'!A:B,2,0),"")</f>
        <v>LUIZ GUILHERME BAPISTA</v>
      </c>
      <c r="N109" s="20">
        <f>IFERROR(AVERAGE(Tabela1[[#This Row],[A1]:[A4]]),"")</f>
        <v>9.5800000000000018</v>
      </c>
      <c r="O109" s="20" t="str">
        <f>IFERROR(IF(Tabela1[[#This Row],[SETOR]]="RECEPTIVO","",AVERAGE(Tabela1[[#This Row],[A5]:[A6]])),"")</f>
        <v/>
      </c>
      <c r="P109" s="20" t="str">
        <f>IFERROR(IF(Tabela1[[#This Row],[STATUS]]="INATIVO","INATIVO",IF(Tabela1[[#This Row],[STATUS]]="QRT","INATIVO",IF(Tabela1[[#This Row],[OPERACIONAL]]&gt;7.99999,"BOM","RUIM"))),"")</f>
        <v>BOM</v>
      </c>
      <c r="Q109" s="21" t="s">
        <v>667</v>
      </c>
      <c r="R109" s="12" t="s">
        <v>700</v>
      </c>
      <c r="S109" s="12" t="s">
        <v>699</v>
      </c>
      <c r="T109" s="12" t="s">
        <v>223</v>
      </c>
      <c r="U10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0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09" s="12">
        <f>IF(AND(Tabela1[[#This Row],[SETOR]]="UTI",Tabela1[[#This Row],[M]]&lt;&gt;""),1,IF(AND(Tabela1[[#This Row],[SETOR]]="UTI (RJ)",Tabela1[[#This Row],[M]]&lt;&gt;""),1.5,0))</f>
        <v>0</v>
      </c>
      <c r="X109" s="12">
        <f>IF(AND(Tabela1[[#This Row],[SETOR]]="UTI",Tabela1[[#This Row],[PA2]]&lt;&gt;""),1,IF(AND(Tabela1[[#This Row],[SETOR]]="UTI (RJ)",Tabela1[[#This Row],[PA2]]&lt;&gt;""),0,0))</f>
        <v>0</v>
      </c>
      <c r="Y109" s="12">
        <f>IF(AND(Tabela1[[#This Row],[SETOR]]="UTI",Tabela1[[#This Row],[C]]&lt;&gt;""),1,IF(AND(Tabela1[[#This Row],[SETOR]]="UTI (RJ)",Tabela1[[#This Row],[C]]&lt;&gt;""),1.5,0))</f>
        <v>0</v>
      </c>
      <c r="Z109" s="12">
        <f>IF(AND(Tabela1[[#This Row],[SETOR]]="UTI",Tabela1[[#This Row],[PL]]&lt;&gt;""),1,IF(AND(Tabela1[[#This Row],[SETOR]]="UTI (RJ)",Tabela1[[#This Row],[PL]]&lt;&gt;""),1,0))</f>
        <v>0</v>
      </c>
      <c r="AA109" s="21">
        <f>IFERROR(VLOOKUP(Tabela1[[#This Row],[MÊS]]&amp;Tabela1[[#This Row],[MATRICULA]]&amp;"1"&amp;Tabela1[[#This Row],[SETOR]]&amp;"PADRÃO",BD!B:AF,31,0),"")</f>
        <v>9.3700000000000028</v>
      </c>
      <c r="AB109" s="21">
        <f>IFERROR(VLOOKUP(Tabela1[[#This Row],[MÊS]]&amp;Tabela1[[#This Row],[MATRICULA]]&amp;"2"&amp;Tabela1[[#This Row],[SETOR]]&amp;"PADRÃO",BD!B:AF,31,0),"")</f>
        <v>9.7900000000000027</v>
      </c>
      <c r="AC109" s="21" t="str">
        <f>IFERROR(VLOOKUP(Tabela1[[#This Row],[MÊS]]&amp;Tabela1[[#This Row],[MATRICULA]]&amp;"3"&amp;Tabela1[[#This Row],[SETOR]]&amp;"PADRÃO",BD!B:AF,31,0),"")</f>
        <v/>
      </c>
      <c r="AD109" s="21" t="str">
        <f>IFERROR(VLOOKUP(Tabela1[[#This Row],[MÊS]]&amp;Tabela1[[#This Row],[MATRICULA]]&amp;"4"&amp;Tabela1[[#This Row],[SETOR]]&amp;"PADRÃO",BD!B:AF,25,0),"")</f>
        <v/>
      </c>
      <c r="AE109" s="21" t="str">
        <f>IFERROR(VLOOKUP(Tabela1[[#This Row],[MÊS]]&amp;Tabela1[[#This Row],[MATRICULA]]&amp;"5"&amp;Tabela1[[#This Row],[SETOR]]&amp;"PADRÃO",BD!B:AF,31,0),"")</f>
        <v/>
      </c>
      <c r="AF109" s="21" t="str">
        <f>IFERROR(VLOOKUP(Tabela1[[#This Row],[MÊS]]&amp;Tabela1[[#This Row],[MATRICULA]]&amp;"6"&amp;Tabela1[[#This Row],[SETOR]]&amp;"PADRÃO",BD!B:AF,31,0),"")</f>
        <v/>
      </c>
      <c r="AG109" s="21" t="str">
        <f>IFERROR(VLOOKUP(Tabela1[[#This Row],[MÊS]]&amp;Tabela1[[#This Row],[MATRICULA]]&amp;"7"&amp;Tabela1[[#This Row],[SETOR]]&amp;"PADRÃO",BD!B:AF,31,0),"")</f>
        <v/>
      </c>
      <c r="AH109" s="21" t="str">
        <f>IFERROR(VLOOKUP(Tabela1[[#This Row],[MÊS]]&amp;Tabela1[[#This Row],[ID]]&amp;Tabela1[[#This Row],[MATRICULA]]&amp;"Receptiva"&amp;Tabela1[[#This Row],[SETOR]],BD!A:AF,31,0),"")</f>
        <v/>
      </c>
      <c r="AI109" s="21" t="str">
        <f>IFERROR(VLOOKUP(Tabela1[[#This Row],[MÊS]]&amp;Tabela1[[#This Row],[ID]]&amp;Tabela1[[#This Row],[MATRICULA]]&amp;"Receptiva 2"&amp;Tabela1[[#This Row],[SETOR]],BD!A:AF,31,0),"")</f>
        <v/>
      </c>
      <c r="AJ109" s="21" t="str">
        <f>IFERROR(VLOOKUP(Tabela1[[#This Row],[MÊS]]&amp;Tabela1[[#This Row],[ID]]&amp;Tabela1[[#This Row],[MATRICULA]]&amp;"Receptiva 3"&amp;Tabela1[[#This Row],[SETOR]],BD!A:AF,31,0),"")</f>
        <v/>
      </c>
      <c r="AK109" s="21" t="str">
        <f>IFERROR(VLOOKUP(Tabela1[[#This Row],[MÊS]]&amp;Tabela1[[#This Row],[ID]]&amp;Tabela1[[#This Row],[MATRICULA]]&amp;"Receptiva 4"&amp;Tabela1[[#This Row],[SETOR]],BD!A:AF,31,0),"")</f>
        <v/>
      </c>
      <c r="AL109" s="21" t="str">
        <f>IFERROR(VLOOKUP(Tabela1[[#This Row],[MÊS]]&amp;Tabela1[[#This Row],[MATRICULA]]&amp;"Motorista"&amp;Tabela1[[#This Row],[SETOR]],BD!A:AF,31,0),"")</f>
        <v/>
      </c>
      <c r="AM109" s="21" t="str">
        <f>IFERROR(VLOOKUP(Tabela1[[#This Row],[MÊS]]&amp;Tabela1[[#This Row],[ID]]&amp;Tabela1[[#This Row],[MATRICULA]]&amp;"Motorista 2"&amp;Tabela1[[#This Row],[SETOR]],BD!A:AF,26,0),"")</f>
        <v/>
      </c>
      <c r="AN109" s="21" t="str">
        <f>IFERROR(VLOOKUP(Tabela1[[#This Row],[MÊS]]&amp;Tabela1[[#This Row],[ID]]&amp;Tabela1[[#This Row],[MATRICULA]]&amp;"Motorista 3"&amp;Tabela1[[#This Row],[SETOR]],BD!A:AF,26,0),"")</f>
        <v/>
      </c>
      <c r="AO109" s="21" t="str">
        <f>IFERROR(VLOOKUP(Tabela1[[#This Row],[MÊS]]&amp;Tabela1[[#This Row],[ID]]&amp;Tabela1[[#This Row],[MATRICULA]]&amp;"Motorista 4"&amp;Tabela1[[#This Row],[SETOR]],BD!A:AF,26,0),"")</f>
        <v/>
      </c>
      <c r="AP109" s="21" t="str">
        <f>IFERROR(VLOOKUP(Tabela1[[#This Row],[MÊS]]&amp;Tabela1[[#This Row],[MATRICULA]]&amp;"Ponto de Apoio"&amp;Tabela1[[#This Row],[SETOR]],BD!A:AF,31,0),"")</f>
        <v/>
      </c>
      <c r="AQ109" s="21" t="str">
        <f>IFERROR(VLOOKUP(Tabela1[[#This Row],[MÊS]]&amp;Tabela1[[#This Row],[ID]]&amp;Tabela1[[#This Row],[MATRICULA]]&amp;"Ponto de Apoio 2"&amp;Tabela1[[#This Row],[SETOR]],BD!A:AF,26,0),"")</f>
        <v/>
      </c>
      <c r="AR109" s="36" t="str">
        <f>IFERROR(VLOOKUP(Tabela1[[#This Row],[MÊS]]&amp;Tabela1[[#This Row],[ID]]&amp;Tabela1[[#This Row],[MATRICULA]]&amp;"Ponto de Apoio 3"&amp;Tabela1[[#This Row],[SETOR]],BD!A:AF,26,0),"")</f>
        <v/>
      </c>
      <c r="AS109" s="36" t="str">
        <f>IFERROR(VLOOKUP(Tabela1[[#This Row],[MÊS]]&amp;Tabela1[[#This Row],[ID]]&amp;Tabela1[[#This Row],[MATRICULA]]&amp;"Ponto de Apoio 4"&amp;Tabela1[[#This Row],[SETOR]],BD!A:AF,26,0),"")</f>
        <v/>
      </c>
      <c r="AT109" s="21" t="str">
        <f>IFERROR(VLOOKUP(Tabela1[[#This Row],[MÊS]]&amp;Tabela1[[#This Row],[MATRICULA]]&amp;"Cliente"&amp;Tabela1[[#This Row],[SETOR]],BD!A:AF,31,0),"")</f>
        <v/>
      </c>
      <c r="AU109" s="21" t="str">
        <f>IFERROR(VLOOKUP(Tabela1[[#This Row],[MÊS]]&amp;Tabela1[[#This Row],[ID]]&amp;Tabela1[[#This Row],[MATRICULA]]&amp;"Cliente 2"&amp;Tabela1[[#This Row],[SETOR]],BD!A:AF,26,0),"")</f>
        <v/>
      </c>
      <c r="AX109" s="21" t="str">
        <f>IFERROR(VLOOKUP(Tabela1[[#This Row],[MÊS]]&amp;Tabela1[[#This Row],[MATRICULA]]&amp;"Policia"&amp;Tabela1[[#This Row],[SETOR]],BD!A:AF,31,0),"")</f>
        <v/>
      </c>
      <c r="AY109" s="21" t="str">
        <f>IFERROR(VLOOKUP(Tabela1[[#This Row],[MÊS]]&amp;Tabela1[[#This Row],[ID]]&amp;Tabela1[[#This Row],[MATRICULA]]&amp;"Policia 2"&amp;Tabela1[[#This Row],[SETOR]],BD!A:AF,26,0),"")</f>
        <v/>
      </c>
      <c r="AZ109" s="36" t="str">
        <f>IFERROR(VLOOKUP(Tabela1[[#This Row],[MÊS]]&amp;Tabela1[[#This Row],[ID]]&amp;Tabela1[[#This Row],[MATRICULA]]&amp;"Policia 3"&amp;Tabela1[[#This Row],[SETOR]],BD!A:AF,26,0),"")</f>
        <v/>
      </c>
      <c r="BA109" s="36" t="str">
        <f>IFERROR(VLOOKUP(Tabela1[[#This Row],[MÊS]]&amp;Tabela1[[#This Row],[ID]]&amp;Tabela1[[#This Row],[MATRICULA]]&amp;"Policia 4"&amp;Tabela1[[#This Row],[SETOR]],BD!A:AF,26,0),"")</f>
        <v/>
      </c>
      <c r="BB10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09" s="21" t="str">
        <f>IFERROR(AVERAGE(Tabela1[[#This Row],[M]:[M4]]),"")</f>
        <v/>
      </c>
      <c r="BD109" s="21" t="str">
        <f>IFERROR(AVERAGE(Tabela1[[#This Row],[C]:[C4]]),"")</f>
        <v/>
      </c>
      <c r="BE109" s="21" t="str">
        <f>IFERROR(AVERAGE(Tabela1[[#This Row],[PA2]:[PA 4]]),"")</f>
        <v/>
      </c>
      <c r="BF109" s="21" t="str">
        <f>IFERROR(AVERAGE(Tabela1[[#This Row],[PL]:[PL4]]),"")</f>
        <v/>
      </c>
      <c r="BG109" s="35" t="str">
        <f>IFERROR(VLOOKUP(Tabela1[[#This Row],[MÊS]]&amp;Tabela1[[#This Row],[MATRICULA]],#REF!,2,0),"")</f>
        <v/>
      </c>
      <c r="BH109" s="35" t="str">
        <f>IFERROR(VLOOKUP(Tabela1[[#This Row],[MÊS]]&amp;Tabela1[[#This Row],[MATRICULA]],#REF!,2,0),"")</f>
        <v/>
      </c>
      <c r="BI109" s="35" t="str">
        <f>IFERROR(VLOOKUP(Tabela1[[#This Row],[MÊS]]&amp;Tabela1[[#This Row],[MATRICULA]],#REF!,2,0),"")</f>
        <v/>
      </c>
      <c r="BJ109" s="35" t="str">
        <f>IFERROR(VLOOKUP(Tabela1[[#This Row],[MÊS]]&amp;Tabela1[[#This Row],[MATRICULA]],#REF!,2,0),"")</f>
        <v/>
      </c>
      <c r="BK109" s="35" t="str">
        <f>IFERROR(VLOOKUP(Tabela1[[#This Row],[MÊS]]&amp;Tabela1[[#This Row],[MATRICULA]],#REF!,2,0),"")</f>
        <v/>
      </c>
      <c r="BL109" s="21">
        <f>COUNTIF(Tabela1[[#This Row],[MOT2]:[RECEPTIVA]],"NÃO ENCONTRADA")</f>
        <v>0</v>
      </c>
      <c r="BM109" s="135" t="str">
        <f>IFERROR(VLOOKUP(Tabela1[[#This Row],[MÊS]]&amp;Tabela1[[#This Row],[ID]]&amp;Tabela1[[#This Row],[MATRICULA]]&amp;"Motorista"&amp;Tabela1[[#This Row],[SETOR]],BD!A:AF,13,0),"")</f>
        <v/>
      </c>
      <c r="BN109" s="135" t="str">
        <f>IFERROR(VLOOKUP(Tabela1[[#This Row],[MÊS]]&amp;Tabela1[[#This Row],[ID]]&amp;Tabela1[[#This Row],[MATRICULA]]&amp;"Motorista 2"&amp;Tabela1[[#This Row],[SETOR]],BD!A:AF,13,0),"")</f>
        <v/>
      </c>
      <c r="BO109" s="135" t="str">
        <f>IFERROR(VLOOKUP(Tabela1[[#This Row],[MÊS]]&amp;Tabela1[[#This Row],[ID]]&amp;Tabela1[[#This Row],[MATRICULA]]&amp;"Motorista 3"&amp;Tabela1[[#This Row],[SETOR]],BD!A:AF,13,0),"")</f>
        <v/>
      </c>
      <c r="BP109" s="135" t="str">
        <f>IFERROR(VLOOKUP(Tabela1[[#This Row],[MÊS]]&amp;Tabela1[[#This Row],[ID]]&amp;Tabela1[[#This Row],[MATRICULA]]&amp;"Motorista 4"&amp;Tabela1[[#This Row],[SETOR]],BD!A:AF,13,0),"")</f>
        <v/>
      </c>
      <c r="BQ109" s="135" t="str">
        <f>IFERROR(AVERAGE(Tabela1[[#This Row],[DMOT]:[DMOT4]]),"")</f>
        <v/>
      </c>
      <c r="BR109" s="135" t="str">
        <f>IFERROR(VLOOKUP(Tabela1[[#This Row],[MÊS]]&amp;Tabela1[[#This Row],[ID]]&amp;Tabela1[[#This Row],[MATRICULA]]&amp;"Ponto de Apoio"&amp;Tabela1[[#This Row],[SETOR]],BD!A:AF,13,0),"")</f>
        <v/>
      </c>
      <c r="BS109" s="135" t="str">
        <f>IFERROR(VLOOKUP(Tabela1[[#This Row],[MÊS]]&amp;Tabela1[[#This Row],[ID]]&amp;Tabela1[[#This Row],[MATRICULA]]&amp;"Ponto de Apoio 2"&amp;Tabela1[[#This Row],[SETOR]],BD!A:AF,13,0),"")</f>
        <v/>
      </c>
      <c r="BT109" s="135" t="str">
        <f>IFERROR(VLOOKUP(Tabela1[[#This Row],[MÊS]]&amp;Tabela1[[#This Row],[ID]]&amp;Tabela1[[#This Row],[MATRICULA]]&amp;"Ponto de Apoio 3"&amp;Tabela1[[#This Row],[SETOR]],BD!A:AF,13,0),"")</f>
        <v/>
      </c>
      <c r="BU109" s="135" t="str">
        <f>IFERROR(VLOOKUP(Tabela1[[#This Row],[MÊS]]&amp;Tabela1[[#This Row],[ID]]&amp;Tabela1[[#This Row],[MATRICULA]]&amp;"Ponto de Apoio 4"&amp;Tabela1[[#This Row],[SETOR]],BD!A:AF,13,0),"")</f>
        <v/>
      </c>
      <c r="BV109" s="135" t="str">
        <f>IFERROR(AVERAGE(Tabela1[[#This Row],[DPA]:[DPA 4]]),"")</f>
        <v/>
      </c>
      <c r="BW109" s="135" t="str">
        <f>IFERROR(VLOOKUP(Tabela1[[#This Row],[MÊS]]&amp;Tabela1[[#This Row],[ID]]&amp;Tabela1[[#This Row],[MATRICULA]]&amp;"Cliente"&amp;Tabela1[[#This Row],[SETOR]],BD!A:AF,13,0),"")</f>
        <v/>
      </c>
      <c r="BX109" s="135" t="str">
        <f>IFERROR(VLOOKUP(Tabela1[[#This Row],[MÊS]]&amp;Tabela1[[#This Row],[ID]]&amp;Tabela1[[#This Row],[MATRICULA]]&amp;"cliente 2"&amp;Tabela1[[#This Row],[SETOR]],BD!A:AF,13,0),"")</f>
        <v/>
      </c>
      <c r="BY109" s="135" t="str">
        <f>IFERROR(VLOOKUP(Tabela1[[#This Row],[MÊS]]&amp;Tabela1[[#This Row],[ID]]&amp;Tabela1[[#This Row],[MATRICULA]]&amp;"cliente 3"&amp;Tabela1[[#This Row],[SETOR]],BD!A:AF,13,0),"")</f>
        <v/>
      </c>
      <c r="BZ109" s="135" t="str">
        <f>IFERROR(VLOOKUP(Tabela1[[#This Row],[MÊS]]&amp;Tabela1[[#This Row],[ID]]&amp;Tabela1[[#This Row],[MATRICULA]]&amp;"cliente 4"&amp;Tabela1[[#This Row],[SETOR]],BD!A:AF,13,0),"")</f>
        <v/>
      </c>
      <c r="CA109" s="135" t="str">
        <f>IFERROR(AVERAGE(Tabela1[[#This Row],[DCLI]:[DCLI 4]]),"")</f>
        <v/>
      </c>
      <c r="CB109" s="135" t="str">
        <f>IFERROR(VLOOKUP(Tabela1[[#This Row],[MÊS]]&amp;Tabela1[[#This Row],[ID]]&amp;Tabela1[[#This Row],[MATRICULA]]&amp;"Policia"&amp;Tabela1[[#This Row],[SETOR]],BD!A:AF,13,0),"")</f>
        <v/>
      </c>
      <c r="CC109" s="135" t="str">
        <f>IFERROR(VLOOKUP(Tabela1[[#This Row],[MÊS]]&amp;Tabela1[[#This Row],[ID]]&amp;Tabela1[[#This Row],[MATRICULA]]&amp;"Policia 2"&amp;Tabela1[[#This Row],[SETOR]],BD!A:AF,13,0),"")</f>
        <v/>
      </c>
      <c r="CD109" s="135"/>
      <c r="CE109" s="135"/>
      <c r="CF109" s="135" t="str">
        <f>IFERROR((AVERAGE(Tabela1[[#This Row],[DPOL1]:[DPOL4]])),"")</f>
        <v/>
      </c>
      <c r="CG109" s="21" t="str">
        <f>IFERROR(VLOOKUP(Tabela1[[#This Row],[ID]]&amp;Tabela1[[#This Row],[MÊS]]&amp;Tabela1[[#This Row],[MATRICULA]],#REF!,2,0),"")</f>
        <v/>
      </c>
      <c r="CH109" s="21" t="str">
        <f>IFERROR(VLOOKUP(Tabela1[[#This Row],[ID]]&amp;Tabela1[[#This Row],[MÊS]]&amp;Tabela1[[#This Row],[MATRICULA]],#REF!,2,0),"")</f>
        <v/>
      </c>
      <c r="CI109" s="21" t="str">
        <f>IFERROR(VLOOKUP(Tabela1[[#This Row],[MÊS]]&amp;Tabela1[[#This Row],[MATRICULA]],#REF!,2,0),"")</f>
        <v/>
      </c>
    </row>
    <row r="110" spans="1:87">
      <c r="A110" s="12" t="str">
        <f>Tabela1[[#This Row],[MÊS]]&amp;Tabela1[[#This Row],[MATRICULA]]&amp;Tabela1[[#This Row],[ID]]</f>
        <v>JAN105863</v>
      </c>
      <c r="B110" s="12" t="str">
        <f>Tabela1[[#This Row],[MÊS]]&amp;Tabela1[[#This Row],[ID]]&amp;Tabela1[[#This Row],[MATRICULA]]&amp;Tabela1[[#This Row],[SETOR]]</f>
        <v>JAN310586UTI</v>
      </c>
      <c r="C110" s="130" t="e">
        <f>VLOOKUP(Tabela1[[#This Row],[MATRICULA]],'BD Campos'!A:D,5,0)</f>
        <v>#REF!</v>
      </c>
      <c r="D110" s="133" t="str">
        <f ca="1">IFERROR(SUM(TODAY()-Tabela1[[#This Row],[ADMISSÃO]]),"")</f>
        <v/>
      </c>
      <c r="E110" s="11" t="str">
        <f ca="1">IFERROR(TRUNC(Tabela1[[#This Row],[TEMPO DE CASA (DIAS)]]/30),"")</f>
        <v/>
      </c>
      <c r="F110" s="32" t="str">
        <f ca="1">IFERROR(SUM(Tabela1[[#This Row],[TEMPO DE CASA (MESES)]]/12),"")</f>
        <v/>
      </c>
      <c r="G110" s="133" t="str">
        <f ca="1">IF(Tabela1[[#This Row],[TEMPO DE CASA (DIAS)]]="","SEM DADOS",IF(Tabela1[[#This Row],[TEMPO DE CASA (DIAS)]]&gt;180,"&gt; 6 MESES","&lt; 6 MESES"))</f>
        <v>SEM DADOS</v>
      </c>
      <c r="H110" s="12" t="str">
        <f t="shared" si="11"/>
        <v>JANHervert Moreira3</v>
      </c>
      <c r="I110" s="12" t="str">
        <f>IFERROR(VLOOKUP(Tabela1[[#This Row],[MATRICULA]],'BD Campos'!A:F,7,0),"")</f>
        <v/>
      </c>
      <c r="J110" s="11">
        <v>3</v>
      </c>
      <c r="K110" s="11" t="s">
        <v>669</v>
      </c>
      <c r="L110" s="136">
        <v>10586</v>
      </c>
      <c r="M110" s="12" t="str">
        <f>IFERROR(VLOOKUP(Tabela1[[#This Row],[MATRICULA]],'BD Campos'!A:B,2,0),"")</f>
        <v>FELIPE ROCHA MAZOTTO</v>
      </c>
      <c r="N110" s="20">
        <f>IFERROR(AVERAGE(Tabela1[[#This Row],[A1]:[A4]]),"")</f>
        <v>9.1095000000000006</v>
      </c>
      <c r="O110" s="20" t="str">
        <f>IFERROR(IF(Tabela1[[#This Row],[SETOR]]="RECEPTIVO","",AVERAGE(Tabela1[[#This Row],[A5]:[A6]])),"")</f>
        <v/>
      </c>
      <c r="P110" s="20" t="str">
        <f>IFERROR(IF(Tabela1[[#This Row],[STATUS]]="INATIVO","INATIVO",IF(Tabela1[[#This Row],[STATUS]]="QRT","INATIVO",IF(Tabela1[[#This Row],[OPERACIONAL]]&gt;7.99999,"BOM","RUIM"))),"")</f>
        <v>BOM</v>
      </c>
      <c r="Q110" s="21" t="s">
        <v>667</v>
      </c>
      <c r="R110" s="12" t="s">
        <v>698</v>
      </c>
      <c r="S110" s="12" t="s">
        <v>699</v>
      </c>
      <c r="T110" s="12" t="s">
        <v>128</v>
      </c>
      <c r="U11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</v>
      </c>
      <c r="V11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0.02</v>
      </c>
      <c r="W110" s="12">
        <f>IF(AND(Tabela1[[#This Row],[SETOR]]="UTI",Tabela1[[#This Row],[M]]&lt;&gt;""),1,IF(AND(Tabela1[[#This Row],[SETOR]]="UTI (RJ)",Tabela1[[#This Row],[M]]&lt;&gt;""),1.5,0))</f>
        <v>1</v>
      </c>
      <c r="X110" s="12">
        <f>IF(AND(Tabela1[[#This Row],[SETOR]]="UTI",Tabela1[[#This Row],[PA2]]&lt;&gt;""),1,IF(AND(Tabela1[[#This Row],[SETOR]]="UTI (RJ)",Tabela1[[#This Row],[PA2]]&lt;&gt;""),0,0))</f>
        <v>0</v>
      </c>
      <c r="Y110" s="12">
        <v>1</v>
      </c>
      <c r="Z110" s="12">
        <v>1</v>
      </c>
      <c r="AA110" s="21">
        <f>IFERROR(VLOOKUP(Tabela1[[#This Row],[MÊS]]&amp;Tabela1[[#This Row],[MATRICULA]]&amp;"1"&amp;Tabela1[[#This Row],[SETOR]]&amp;"PADRÃO",BD!B:AF,31,0),"")</f>
        <v>10.004000000000001</v>
      </c>
      <c r="AB110" s="21">
        <f>IFERROR(VLOOKUP(Tabela1[[#This Row],[MÊS]]&amp;Tabela1[[#This Row],[MATRICULA]]&amp;"2"&amp;Tabela1[[#This Row],[SETOR]]&amp;"PADRÃO",BD!B:AF,31,0),"")</f>
        <v>8.2149999999999999</v>
      </c>
      <c r="AC110" s="21" t="str">
        <f>IFERROR(VLOOKUP(Tabela1[[#This Row],[MÊS]]&amp;Tabela1[[#This Row],[MATRICULA]]&amp;"3"&amp;Tabela1[[#This Row],[SETOR]]&amp;"PADRÃO",BD!B:AF,31,0),"")</f>
        <v/>
      </c>
      <c r="AD110" s="21" t="str">
        <f>IFERROR(VLOOKUP(Tabela1[[#This Row],[MÊS]]&amp;Tabela1[[#This Row],[MATRICULA]]&amp;"4"&amp;Tabela1[[#This Row],[SETOR]]&amp;"PADRÃO",BD!B:AF,25,0),"")</f>
        <v/>
      </c>
      <c r="AE110" s="21" t="str">
        <f>IFERROR(VLOOKUP(Tabela1[[#This Row],[MÊS]]&amp;Tabela1[[#This Row],[MATRICULA]]&amp;"5"&amp;Tabela1[[#This Row],[SETOR]]&amp;"PADRÃO",BD!B:AF,31,0),"")</f>
        <v/>
      </c>
      <c r="AF110" s="21" t="str">
        <f>IFERROR(VLOOKUP(Tabela1[[#This Row],[MÊS]]&amp;Tabela1[[#This Row],[MATRICULA]]&amp;"6"&amp;Tabela1[[#This Row],[SETOR]]&amp;"PADRÃO",BD!B:AF,31,0),"")</f>
        <v/>
      </c>
      <c r="AG110" s="21" t="str">
        <f>IFERROR(VLOOKUP(Tabela1[[#This Row],[MÊS]]&amp;Tabela1[[#This Row],[MATRICULA]]&amp;"7"&amp;Tabela1[[#This Row],[SETOR]]&amp;"PADRÃO",BD!B:AF,31,0),"")</f>
        <v/>
      </c>
      <c r="AH110" s="21" t="str">
        <f>IFERROR(VLOOKUP(Tabela1[[#This Row],[MÊS]]&amp;Tabela1[[#This Row],[ID]]&amp;Tabela1[[#This Row],[MATRICULA]]&amp;"Receptiva"&amp;Tabela1[[#This Row],[SETOR]],BD!A:AF,31,0),"")</f>
        <v/>
      </c>
      <c r="AI110" s="21" t="str">
        <f>IFERROR(VLOOKUP(Tabela1[[#This Row],[MÊS]]&amp;Tabela1[[#This Row],[ID]]&amp;Tabela1[[#This Row],[MATRICULA]]&amp;"Receptiva 2"&amp;Tabela1[[#This Row],[SETOR]],BD!A:AF,31,0),"")</f>
        <v/>
      </c>
      <c r="AJ110" s="21" t="str">
        <f>IFERROR(VLOOKUP(Tabela1[[#This Row],[MÊS]]&amp;Tabela1[[#This Row],[ID]]&amp;Tabela1[[#This Row],[MATRICULA]]&amp;"Receptiva 3"&amp;Tabela1[[#This Row],[SETOR]],BD!A:AF,31,0),"")</f>
        <v/>
      </c>
      <c r="AK110" s="21" t="str">
        <f>IFERROR(VLOOKUP(Tabela1[[#This Row],[MÊS]]&amp;Tabela1[[#This Row],[ID]]&amp;Tabela1[[#This Row],[MATRICULA]]&amp;"Receptiva 4"&amp;Tabela1[[#This Row],[SETOR]],BD!A:AF,31,0),"")</f>
        <v/>
      </c>
      <c r="AL110" s="21">
        <f>IFERROR(VLOOKUP(Tabela1[[#This Row],[MÊS]]&amp;Tabela1[[#This Row],[MATRICULA]]&amp;"Motorista"&amp;Tabela1[[#This Row],[SETOR]],BD!A:AF,31,0),"")</f>
        <v>0</v>
      </c>
      <c r="AM110" s="21" t="str">
        <f>IFERROR(VLOOKUP(Tabela1[[#This Row],[MÊS]]&amp;Tabela1[[#This Row],[ID]]&amp;Tabela1[[#This Row],[MATRICULA]]&amp;"Motorista 2"&amp;Tabela1[[#This Row],[SETOR]],BD!A:AF,26,0),"")</f>
        <v/>
      </c>
      <c r="AN110" s="21" t="str">
        <f>IFERROR(VLOOKUP(Tabela1[[#This Row],[MÊS]]&amp;Tabela1[[#This Row],[ID]]&amp;Tabela1[[#This Row],[MATRICULA]]&amp;"Motorista 3"&amp;Tabela1[[#This Row],[SETOR]],BD!A:AF,26,0),"")</f>
        <v/>
      </c>
      <c r="AO110" s="21" t="str">
        <f>IFERROR(VLOOKUP(Tabela1[[#This Row],[MÊS]]&amp;Tabela1[[#This Row],[ID]]&amp;Tabela1[[#This Row],[MATRICULA]]&amp;"Motorista 4"&amp;Tabela1[[#This Row],[SETOR]],BD!A:AF,26,0),"")</f>
        <v/>
      </c>
      <c r="AP110" s="21" t="str">
        <f>IFERROR(VLOOKUP(Tabela1[[#This Row],[MÊS]]&amp;Tabela1[[#This Row],[MATRICULA]]&amp;"Ponto de Apoio"&amp;Tabela1[[#This Row],[SETOR]],BD!A:AF,31,0),"")</f>
        <v/>
      </c>
      <c r="AQ110" s="21" t="str">
        <f>IFERROR(VLOOKUP(Tabela1[[#This Row],[MÊS]]&amp;Tabela1[[#This Row],[ID]]&amp;Tabela1[[#This Row],[MATRICULA]]&amp;"Ponto de Apoio 2"&amp;Tabela1[[#This Row],[SETOR]],BD!A:AF,26,0),"")</f>
        <v/>
      </c>
      <c r="AR110" s="36" t="str">
        <f>IFERROR(VLOOKUP(Tabela1[[#This Row],[MÊS]]&amp;Tabela1[[#This Row],[ID]]&amp;Tabela1[[#This Row],[MATRICULA]]&amp;"Ponto de Apoio 3"&amp;Tabela1[[#This Row],[SETOR]],BD!A:AF,26,0),"")</f>
        <v/>
      </c>
      <c r="AS110" s="36" t="str">
        <f>IFERROR(VLOOKUP(Tabela1[[#This Row],[MÊS]]&amp;Tabela1[[#This Row],[ID]]&amp;Tabela1[[#This Row],[MATRICULA]]&amp;"Ponto de Apoio 4"&amp;Tabela1[[#This Row],[SETOR]],BD!A:AF,26,0),"")</f>
        <v/>
      </c>
      <c r="AT110" s="21" t="str">
        <f>IFERROR(VLOOKUP(Tabela1[[#This Row],[MÊS]]&amp;Tabela1[[#This Row],[MATRICULA]]&amp;"Cliente"&amp;Tabela1[[#This Row],[SETOR]],BD!A:AF,31,0),"")</f>
        <v/>
      </c>
      <c r="AU110" s="21" t="str">
        <f>IFERROR(VLOOKUP(Tabela1[[#This Row],[MÊS]]&amp;Tabela1[[#This Row],[ID]]&amp;Tabela1[[#This Row],[MATRICULA]]&amp;"Cliente 2"&amp;Tabela1[[#This Row],[SETOR]],BD!A:AF,26,0),"")</f>
        <v/>
      </c>
      <c r="AX110" s="21" t="str">
        <f>IFERROR(VLOOKUP(Tabela1[[#This Row],[MÊS]]&amp;Tabela1[[#This Row],[MATRICULA]]&amp;"Policia"&amp;Tabela1[[#This Row],[SETOR]],BD!A:AF,31,0),"")</f>
        <v/>
      </c>
      <c r="AY110" s="21" t="str">
        <f>IFERROR(VLOOKUP(Tabela1[[#This Row],[MÊS]]&amp;Tabela1[[#This Row],[ID]]&amp;Tabela1[[#This Row],[MATRICULA]]&amp;"Policia 2"&amp;Tabela1[[#This Row],[SETOR]],BD!A:AF,26,0),"")</f>
        <v/>
      </c>
      <c r="AZ110" s="36" t="str">
        <f>IFERROR(VLOOKUP(Tabela1[[#This Row],[MÊS]]&amp;Tabela1[[#This Row],[ID]]&amp;Tabela1[[#This Row],[MATRICULA]]&amp;"Policia 3"&amp;Tabela1[[#This Row],[SETOR]],BD!A:AF,26,0),"")</f>
        <v/>
      </c>
      <c r="BA110" s="36" t="str">
        <f>IFERROR(VLOOKUP(Tabela1[[#This Row],[MÊS]]&amp;Tabela1[[#This Row],[ID]]&amp;Tabela1[[#This Row],[MATRICULA]]&amp;"Policia 4"&amp;Tabela1[[#This Row],[SETOR]],BD!A:AF,26,0),"")</f>
        <v/>
      </c>
      <c r="BB11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10" s="21">
        <f>IFERROR(AVERAGE(Tabela1[[#This Row],[M]:[M4]]),"")</f>
        <v>0</v>
      </c>
      <c r="BD110" s="21" t="str">
        <f>IFERROR(AVERAGE(Tabela1[[#This Row],[C]:[C4]]),"")</f>
        <v/>
      </c>
      <c r="BE110" s="21" t="str">
        <f>IFERROR(AVERAGE(Tabela1[[#This Row],[PA2]:[PA 4]]),"")</f>
        <v/>
      </c>
      <c r="BF110" s="21" t="str">
        <f>IFERROR(AVERAGE(Tabela1[[#This Row],[PL]:[PL4]]),"")</f>
        <v/>
      </c>
      <c r="BG110" s="35" t="str">
        <f>IFERROR(VLOOKUP(Tabela1[[#This Row],[MÊS]]&amp;Tabela1[[#This Row],[MATRICULA]],#REF!,2,0),"")</f>
        <v/>
      </c>
      <c r="BH110" s="35" t="str">
        <f>IFERROR(VLOOKUP(Tabela1[[#This Row],[MÊS]]&amp;Tabela1[[#This Row],[MATRICULA]],#REF!,2,0),"")</f>
        <v/>
      </c>
      <c r="BI110" s="35" t="str">
        <f>IFERROR(VLOOKUP(Tabela1[[#This Row],[MÊS]]&amp;Tabela1[[#This Row],[MATRICULA]],#REF!,2,0),"")</f>
        <v/>
      </c>
      <c r="BJ110" s="35" t="str">
        <f>IFERROR(VLOOKUP(Tabela1[[#This Row],[MÊS]]&amp;Tabela1[[#This Row],[MATRICULA]],#REF!,2,0),"")</f>
        <v/>
      </c>
      <c r="BK110" s="35" t="str">
        <f>IFERROR(VLOOKUP(Tabela1[[#This Row],[MÊS]]&amp;Tabela1[[#This Row],[MATRICULA]],#REF!,2,0),"")</f>
        <v/>
      </c>
      <c r="BL110" s="21">
        <f>COUNTIF(Tabela1[[#This Row],[MOT2]:[RECEPTIVA]],"NÃO ENCONTRADA")</f>
        <v>0</v>
      </c>
      <c r="BM110" s="135" t="str">
        <f>IFERROR(VLOOKUP(Tabela1[[#This Row],[MÊS]]&amp;Tabela1[[#This Row],[ID]]&amp;Tabela1[[#This Row],[MATRICULA]]&amp;"Motorista"&amp;Tabela1[[#This Row],[SETOR]],BD!A:AF,13,0),"")</f>
        <v/>
      </c>
      <c r="BN110" s="135" t="str">
        <f>IFERROR(VLOOKUP(Tabela1[[#This Row],[MÊS]]&amp;Tabela1[[#This Row],[ID]]&amp;Tabela1[[#This Row],[MATRICULA]]&amp;"Motorista 2"&amp;Tabela1[[#This Row],[SETOR]],BD!A:AF,13,0),"")</f>
        <v/>
      </c>
      <c r="BO110" s="135" t="str">
        <f>IFERROR(VLOOKUP(Tabela1[[#This Row],[MÊS]]&amp;Tabela1[[#This Row],[ID]]&amp;Tabela1[[#This Row],[MATRICULA]]&amp;"Motorista 3"&amp;Tabela1[[#This Row],[SETOR]],BD!A:AF,13,0),"")</f>
        <v/>
      </c>
      <c r="BP110" s="135" t="str">
        <f>IFERROR(VLOOKUP(Tabela1[[#This Row],[MÊS]]&amp;Tabela1[[#This Row],[ID]]&amp;Tabela1[[#This Row],[MATRICULA]]&amp;"Motorista 4"&amp;Tabela1[[#This Row],[SETOR]],BD!A:AF,13,0),"")</f>
        <v/>
      </c>
      <c r="BQ110" s="135" t="str">
        <f>IFERROR(AVERAGE(Tabela1[[#This Row],[DMOT]:[DMOT4]]),"")</f>
        <v/>
      </c>
      <c r="BR110" s="135" t="str">
        <f>IFERROR(VLOOKUP(Tabela1[[#This Row],[MÊS]]&amp;Tabela1[[#This Row],[ID]]&amp;Tabela1[[#This Row],[MATRICULA]]&amp;"Ponto de Apoio"&amp;Tabela1[[#This Row],[SETOR]],BD!A:AF,13,0),"")</f>
        <v/>
      </c>
      <c r="BS110" s="135" t="str">
        <f>IFERROR(VLOOKUP(Tabela1[[#This Row],[MÊS]]&amp;Tabela1[[#This Row],[ID]]&amp;Tabela1[[#This Row],[MATRICULA]]&amp;"Ponto de Apoio 2"&amp;Tabela1[[#This Row],[SETOR]],BD!A:AF,13,0),"")</f>
        <v/>
      </c>
      <c r="BT110" s="135" t="str">
        <f>IFERROR(VLOOKUP(Tabela1[[#This Row],[MÊS]]&amp;Tabela1[[#This Row],[ID]]&amp;Tabela1[[#This Row],[MATRICULA]]&amp;"Ponto de Apoio 3"&amp;Tabela1[[#This Row],[SETOR]],BD!A:AF,13,0),"")</f>
        <v/>
      </c>
      <c r="BU110" s="135" t="str">
        <f>IFERROR(VLOOKUP(Tabela1[[#This Row],[MÊS]]&amp;Tabela1[[#This Row],[ID]]&amp;Tabela1[[#This Row],[MATRICULA]]&amp;"Ponto de Apoio 4"&amp;Tabela1[[#This Row],[SETOR]],BD!A:AF,13,0),"")</f>
        <v/>
      </c>
      <c r="BV110" s="135" t="str">
        <f>IFERROR(AVERAGE(Tabela1[[#This Row],[DPA]:[DPA 4]]),"")</f>
        <v/>
      </c>
      <c r="BW110" s="135" t="str">
        <f>IFERROR(VLOOKUP(Tabela1[[#This Row],[MÊS]]&amp;Tabela1[[#This Row],[ID]]&amp;Tabela1[[#This Row],[MATRICULA]]&amp;"Cliente"&amp;Tabela1[[#This Row],[SETOR]],BD!A:AF,13,0),"")</f>
        <v/>
      </c>
      <c r="BX110" s="135" t="str">
        <f>IFERROR(VLOOKUP(Tabela1[[#This Row],[MÊS]]&amp;Tabela1[[#This Row],[ID]]&amp;Tabela1[[#This Row],[MATRICULA]]&amp;"cliente 2"&amp;Tabela1[[#This Row],[SETOR]],BD!A:AF,13,0),"")</f>
        <v/>
      </c>
      <c r="BY110" s="135" t="str">
        <f>IFERROR(VLOOKUP(Tabela1[[#This Row],[MÊS]]&amp;Tabela1[[#This Row],[ID]]&amp;Tabela1[[#This Row],[MATRICULA]]&amp;"cliente 3"&amp;Tabela1[[#This Row],[SETOR]],BD!A:AF,13,0),"")</f>
        <v/>
      </c>
      <c r="BZ110" s="135" t="str">
        <f>IFERROR(VLOOKUP(Tabela1[[#This Row],[MÊS]]&amp;Tabela1[[#This Row],[ID]]&amp;Tabela1[[#This Row],[MATRICULA]]&amp;"cliente 4"&amp;Tabela1[[#This Row],[SETOR]],BD!A:AF,13,0),"")</f>
        <v/>
      </c>
      <c r="CA110" s="135" t="str">
        <f>IFERROR(AVERAGE(Tabela1[[#This Row],[DCLI]:[DCLI 4]]),"")</f>
        <v/>
      </c>
      <c r="CB110" s="135" t="str">
        <f>IFERROR(VLOOKUP(Tabela1[[#This Row],[MÊS]]&amp;Tabela1[[#This Row],[ID]]&amp;Tabela1[[#This Row],[MATRICULA]]&amp;"Policia"&amp;Tabela1[[#This Row],[SETOR]],BD!A:AF,13,0),"")</f>
        <v/>
      </c>
      <c r="CC110" s="135" t="str">
        <f>IFERROR(VLOOKUP(Tabela1[[#This Row],[MÊS]]&amp;Tabela1[[#This Row],[ID]]&amp;Tabela1[[#This Row],[MATRICULA]]&amp;"Policia 2"&amp;Tabela1[[#This Row],[SETOR]],BD!A:AF,13,0),"")</f>
        <v/>
      </c>
      <c r="CD110" s="135"/>
      <c r="CE110" s="135"/>
      <c r="CF110" s="135" t="str">
        <f>IFERROR((AVERAGE(Tabela1[[#This Row],[DPOL1]:[DPOL4]])),"")</f>
        <v/>
      </c>
      <c r="CG110" s="21" t="str">
        <f>IFERROR(VLOOKUP(Tabela1[[#This Row],[ID]]&amp;Tabela1[[#This Row],[MÊS]]&amp;Tabela1[[#This Row],[MATRICULA]],#REF!,2,0),"")</f>
        <v/>
      </c>
      <c r="CH110" s="21" t="str">
        <f>IFERROR(VLOOKUP(Tabela1[[#This Row],[ID]]&amp;Tabela1[[#This Row],[MÊS]]&amp;Tabela1[[#This Row],[MATRICULA]],#REF!,2,0),"")</f>
        <v/>
      </c>
      <c r="CI110" s="21" t="str">
        <f>IFERROR(VLOOKUP(Tabela1[[#This Row],[MÊS]]&amp;Tabela1[[#This Row],[MATRICULA]],#REF!,2,0),"")</f>
        <v/>
      </c>
    </row>
    <row r="111" spans="1:87">
      <c r="A111" s="12" t="str">
        <f>Tabela1[[#This Row],[MÊS]]&amp;Tabela1[[#This Row],[MATRICULA]]&amp;Tabela1[[#This Row],[ID]]</f>
        <v>JAN110824</v>
      </c>
      <c r="B111" s="12" t="str">
        <f>Tabela1[[#This Row],[MÊS]]&amp;Tabela1[[#This Row],[ID]]&amp;Tabela1[[#This Row],[MATRICULA]]&amp;Tabela1[[#This Row],[SETOR]]</f>
        <v>JAN411082UTI</v>
      </c>
      <c r="C111" s="130" t="e">
        <f>VLOOKUP(Tabela1[[#This Row],[MATRICULA]],'BD Campos'!A:D,5,0)</f>
        <v>#REF!</v>
      </c>
      <c r="D111" s="133" t="str">
        <f ca="1">IFERROR(SUM(TODAY()-Tabela1[[#This Row],[ADMISSÃO]]),"")</f>
        <v/>
      </c>
      <c r="E111" s="11" t="str">
        <f ca="1">IFERROR(TRUNC(Tabela1[[#This Row],[TEMPO DE CASA (DIAS)]]/30),"")</f>
        <v/>
      </c>
      <c r="F111" s="32" t="str">
        <f ca="1">IFERROR(SUM(Tabela1[[#This Row],[TEMPO DE CASA (MESES)]]/12),"")</f>
        <v/>
      </c>
      <c r="G111" s="133" t="str">
        <f ca="1">IF(Tabela1[[#This Row],[TEMPO DE CASA (DIAS)]]="","SEM DADOS",IF(Tabela1[[#This Row],[TEMPO DE CASA (DIAS)]]&gt;180,"&gt; 6 MESES","&lt; 6 MESES"))</f>
        <v>SEM DADOS</v>
      </c>
      <c r="H111" s="12" t="str">
        <f t="shared" si="11"/>
        <v>JANHervert Moreira4</v>
      </c>
      <c r="I111" s="12" t="str">
        <f>IFERROR(VLOOKUP(Tabela1[[#This Row],[MATRICULA]],'BD Campos'!A:F,7,0),"")</f>
        <v/>
      </c>
      <c r="J111" s="11">
        <v>4</v>
      </c>
      <c r="K111" s="11" t="s">
        <v>669</v>
      </c>
      <c r="L111" s="136">
        <v>11082</v>
      </c>
      <c r="M111" s="12" t="str">
        <f>IFERROR(VLOOKUP(Tabela1[[#This Row],[MATRICULA]],'BD Campos'!A:B,2,0),"")</f>
        <v>PEDRO XAVIER BRITO</v>
      </c>
      <c r="N111" s="20">
        <f>IFERROR(AVERAGE(Tabela1[[#This Row],[A1]:[A4]]),"")</f>
        <v>9.2059999999999995</v>
      </c>
      <c r="O111" s="20" t="str">
        <f>IFERROR(IF(Tabela1[[#This Row],[SETOR]]="RECEPTIVO","",AVERAGE(Tabela1[[#This Row],[A5]:[A6]])),"")</f>
        <v/>
      </c>
      <c r="P111" s="20" t="str">
        <f>IFERROR(IF(Tabela1[[#This Row],[STATUS]]="INATIVO","INATIVO",IF(Tabela1[[#This Row],[STATUS]]="QRT","INATIVO",IF(Tabela1[[#This Row],[OPERACIONAL]]&gt;7.99999,"BOM","RUIM"))),"")</f>
        <v>BOM</v>
      </c>
      <c r="Q111" s="21" t="s">
        <v>667</v>
      </c>
      <c r="R111" s="12" t="s">
        <v>701</v>
      </c>
      <c r="S111" s="12" t="s">
        <v>699</v>
      </c>
      <c r="T111" s="12" t="s">
        <v>128</v>
      </c>
      <c r="U11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1.1000000000000001</v>
      </c>
      <c r="V11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0.04</v>
      </c>
      <c r="W111" s="12">
        <f>IF(AND(Tabela1[[#This Row],[SETOR]]="UTI",Tabela1[[#This Row],[M]]&lt;&gt;""),1,IF(AND(Tabela1[[#This Row],[SETOR]]="UTI (RJ)",Tabela1[[#This Row],[M]]&lt;&gt;""),1.5,0))</f>
        <v>1</v>
      </c>
      <c r="X111" s="12">
        <v>1</v>
      </c>
      <c r="Y111" s="12">
        <v>1</v>
      </c>
      <c r="Z111" s="12">
        <v>1</v>
      </c>
      <c r="AA111" s="21">
        <f>IFERROR(VLOOKUP(Tabela1[[#This Row],[MÊS]]&amp;Tabela1[[#This Row],[MATRICULA]]&amp;"1"&amp;Tabela1[[#This Row],[SETOR]]&amp;"PADRÃO",BD!B:AF,31,0),"")</f>
        <v>8.6179999999999986</v>
      </c>
      <c r="AB111" s="21">
        <f>IFERROR(VLOOKUP(Tabela1[[#This Row],[MÊS]]&amp;Tabela1[[#This Row],[MATRICULA]]&amp;"2"&amp;Tabela1[[#This Row],[SETOR]]&amp;"PADRÃO",BD!B:AF,31,0),"")</f>
        <v>9.7940000000000023</v>
      </c>
      <c r="AC111" s="21" t="str">
        <f>IFERROR(VLOOKUP(Tabela1[[#This Row],[MÊS]]&amp;Tabela1[[#This Row],[MATRICULA]]&amp;"3"&amp;Tabela1[[#This Row],[SETOR]]&amp;"PADRÃO",BD!B:AF,31,0),"")</f>
        <v/>
      </c>
      <c r="AD111" s="21" t="str">
        <f>IFERROR(VLOOKUP(Tabela1[[#This Row],[MÊS]]&amp;Tabela1[[#This Row],[MATRICULA]]&amp;"4"&amp;Tabela1[[#This Row],[SETOR]]&amp;"PADRÃO",BD!B:AF,25,0),"")</f>
        <v/>
      </c>
      <c r="AE111" s="21" t="str">
        <f>IFERROR(VLOOKUP(Tabela1[[#This Row],[MÊS]]&amp;Tabela1[[#This Row],[MATRICULA]]&amp;"5"&amp;Tabela1[[#This Row],[SETOR]]&amp;"PADRÃO",BD!B:AF,31,0),"")</f>
        <v/>
      </c>
      <c r="AF111" s="21" t="str">
        <f>IFERROR(VLOOKUP(Tabela1[[#This Row],[MÊS]]&amp;Tabela1[[#This Row],[MATRICULA]]&amp;"6"&amp;Tabela1[[#This Row],[SETOR]]&amp;"PADRÃO",BD!B:AF,31,0),"")</f>
        <v/>
      </c>
      <c r="AG111" s="21" t="str">
        <f>IFERROR(VLOOKUP(Tabela1[[#This Row],[MÊS]]&amp;Tabela1[[#This Row],[MATRICULA]]&amp;"7"&amp;Tabela1[[#This Row],[SETOR]]&amp;"PADRÃO",BD!B:AF,31,0),"")</f>
        <v/>
      </c>
      <c r="AH111" s="21" t="str">
        <f>IFERROR(VLOOKUP(Tabela1[[#This Row],[MÊS]]&amp;Tabela1[[#This Row],[ID]]&amp;Tabela1[[#This Row],[MATRICULA]]&amp;"Receptiva"&amp;Tabela1[[#This Row],[SETOR]],BD!A:AF,31,0),"")</f>
        <v/>
      </c>
      <c r="AI111" s="21" t="str">
        <f>IFERROR(VLOOKUP(Tabela1[[#This Row],[MÊS]]&amp;Tabela1[[#This Row],[ID]]&amp;Tabela1[[#This Row],[MATRICULA]]&amp;"Receptiva 2"&amp;Tabela1[[#This Row],[SETOR]],BD!A:AF,31,0),"")</f>
        <v/>
      </c>
      <c r="AJ111" s="21" t="str">
        <f>IFERROR(VLOOKUP(Tabela1[[#This Row],[MÊS]]&amp;Tabela1[[#This Row],[ID]]&amp;Tabela1[[#This Row],[MATRICULA]]&amp;"Receptiva 3"&amp;Tabela1[[#This Row],[SETOR]],BD!A:AF,31,0),"")</f>
        <v/>
      </c>
      <c r="AK111" s="21" t="str">
        <f>IFERROR(VLOOKUP(Tabela1[[#This Row],[MÊS]]&amp;Tabela1[[#This Row],[ID]]&amp;Tabela1[[#This Row],[MATRICULA]]&amp;"Receptiva 4"&amp;Tabela1[[#This Row],[SETOR]],BD!A:AF,31,0),"")</f>
        <v/>
      </c>
      <c r="AL111" s="21">
        <f>IFERROR(VLOOKUP(Tabela1[[#This Row],[MÊS]]&amp;Tabela1[[#This Row],[MATRICULA]]&amp;"Motorista"&amp;Tabela1[[#This Row],[SETOR]],BD!A:AF,31,0),"")</f>
        <v>0</v>
      </c>
      <c r="AM111" s="21" t="str">
        <f>IFERROR(VLOOKUP(Tabela1[[#This Row],[MÊS]]&amp;Tabela1[[#This Row],[ID]]&amp;Tabela1[[#This Row],[MATRICULA]]&amp;"Motorista 2"&amp;Tabela1[[#This Row],[SETOR]],BD!A:AF,26,0),"")</f>
        <v/>
      </c>
      <c r="AN111" s="21" t="str">
        <f>IFERROR(VLOOKUP(Tabela1[[#This Row],[MÊS]]&amp;Tabela1[[#This Row],[ID]]&amp;Tabela1[[#This Row],[MATRICULA]]&amp;"Motorista 3"&amp;Tabela1[[#This Row],[SETOR]],BD!A:AF,26,0),"")</f>
        <v/>
      </c>
      <c r="AO111" s="21" t="str">
        <f>IFERROR(VLOOKUP(Tabela1[[#This Row],[MÊS]]&amp;Tabela1[[#This Row],[ID]]&amp;Tabela1[[#This Row],[MATRICULA]]&amp;"Motorista 4"&amp;Tabela1[[#This Row],[SETOR]],BD!A:AF,26,0),"")</f>
        <v/>
      </c>
      <c r="AP111" s="21" t="str">
        <f>IFERROR(VLOOKUP(Tabela1[[#This Row],[MÊS]]&amp;Tabela1[[#This Row],[MATRICULA]]&amp;"Ponto de Apoio"&amp;Tabela1[[#This Row],[SETOR]],BD!A:AF,31,0),"")</f>
        <v/>
      </c>
      <c r="AQ111" s="21" t="str">
        <f>IFERROR(VLOOKUP(Tabela1[[#This Row],[MÊS]]&amp;Tabela1[[#This Row],[ID]]&amp;Tabela1[[#This Row],[MATRICULA]]&amp;"Ponto de Apoio 2"&amp;Tabela1[[#This Row],[SETOR]],BD!A:AF,26,0),"")</f>
        <v/>
      </c>
      <c r="AR111" s="36" t="str">
        <f>IFERROR(VLOOKUP(Tabela1[[#This Row],[MÊS]]&amp;Tabela1[[#This Row],[ID]]&amp;Tabela1[[#This Row],[MATRICULA]]&amp;"Ponto de Apoio 3"&amp;Tabela1[[#This Row],[SETOR]],BD!A:AF,26,0),"")</f>
        <v/>
      </c>
      <c r="AS111" s="36" t="str">
        <f>IFERROR(VLOOKUP(Tabela1[[#This Row],[MÊS]]&amp;Tabela1[[#This Row],[ID]]&amp;Tabela1[[#This Row],[MATRICULA]]&amp;"Ponto de Apoio 4"&amp;Tabela1[[#This Row],[SETOR]],BD!A:AF,26,0),"")</f>
        <v/>
      </c>
      <c r="AT111" s="21" t="str">
        <f>IFERROR(VLOOKUP(Tabela1[[#This Row],[MÊS]]&amp;Tabela1[[#This Row],[MATRICULA]]&amp;"Cliente"&amp;Tabela1[[#This Row],[SETOR]],BD!A:AF,31,0),"")</f>
        <v/>
      </c>
      <c r="AU111" s="21" t="str">
        <f>IFERROR(VLOOKUP(Tabela1[[#This Row],[MÊS]]&amp;Tabela1[[#This Row],[ID]]&amp;Tabela1[[#This Row],[MATRICULA]]&amp;"Cliente 2"&amp;Tabela1[[#This Row],[SETOR]],BD!A:AF,26,0),"")</f>
        <v/>
      </c>
      <c r="AX111" s="21" t="str">
        <f>IFERROR(VLOOKUP(Tabela1[[#This Row],[MÊS]]&amp;Tabela1[[#This Row],[MATRICULA]]&amp;"Policia"&amp;Tabela1[[#This Row],[SETOR]],BD!A:AF,31,0),"")</f>
        <v/>
      </c>
      <c r="AY111" s="21" t="str">
        <f>IFERROR(VLOOKUP(Tabela1[[#This Row],[MÊS]]&amp;Tabela1[[#This Row],[ID]]&amp;Tabela1[[#This Row],[MATRICULA]]&amp;"Policia 2"&amp;Tabela1[[#This Row],[SETOR]],BD!A:AF,26,0),"")</f>
        <v/>
      </c>
      <c r="AZ111" s="36" t="str">
        <f>IFERROR(VLOOKUP(Tabela1[[#This Row],[MÊS]]&amp;Tabela1[[#This Row],[ID]]&amp;Tabela1[[#This Row],[MATRICULA]]&amp;"Policia 3"&amp;Tabela1[[#This Row],[SETOR]],BD!A:AF,26,0),"")</f>
        <v/>
      </c>
      <c r="BA111" s="36" t="str">
        <f>IFERROR(VLOOKUP(Tabela1[[#This Row],[MÊS]]&amp;Tabela1[[#This Row],[ID]]&amp;Tabela1[[#This Row],[MATRICULA]]&amp;"Policia 4"&amp;Tabela1[[#This Row],[SETOR]],BD!A:AF,26,0),"")</f>
        <v/>
      </c>
      <c r="BB11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11" s="21">
        <f>IFERROR(AVERAGE(Tabela1[[#This Row],[M]:[M4]]),"")</f>
        <v>0</v>
      </c>
      <c r="BD111" s="21" t="str">
        <f>IFERROR(AVERAGE(Tabela1[[#This Row],[C]:[C4]]),"")</f>
        <v/>
      </c>
      <c r="BE111" s="21" t="str">
        <f>IFERROR(AVERAGE(Tabela1[[#This Row],[PA2]:[PA 4]]),"")</f>
        <v/>
      </c>
      <c r="BF111" s="21" t="str">
        <f>IFERROR(AVERAGE(Tabela1[[#This Row],[PL]:[PL4]]),"")</f>
        <v/>
      </c>
      <c r="BG111" s="35" t="str">
        <f>IFERROR(VLOOKUP(Tabela1[[#This Row],[MÊS]]&amp;Tabela1[[#This Row],[MATRICULA]],#REF!,2,0),"")</f>
        <v/>
      </c>
      <c r="BH111" s="35" t="str">
        <f>IFERROR(VLOOKUP(Tabela1[[#This Row],[MÊS]]&amp;Tabela1[[#This Row],[MATRICULA]],#REF!,2,0),"")</f>
        <v/>
      </c>
      <c r="BI111" s="35" t="str">
        <f>IFERROR(VLOOKUP(Tabela1[[#This Row],[MÊS]]&amp;Tabela1[[#This Row],[MATRICULA]],#REF!,2,0),"")</f>
        <v/>
      </c>
      <c r="BJ111" s="35" t="str">
        <f>IFERROR(VLOOKUP(Tabela1[[#This Row],[MÊS]]&amp;Tabela1[[#This Row],[MATRICULA]],#REF!,2,0),"")</f>
        <v/>
      </c>
      <c r="BK111" s="35" t="str">
        <f>IFERROR(VLOOKUP(Tabela1[[#This Row],[MÊS]]&amp;Tabela1[[#This Row],[MATRICULA]],#REF!,2,0),"")</f>
        <v/>
      </c>
      <c r="BL111" s="21">
        <f>COUNTIF(Tabela1[[#This Row],[MOT2]:[RECEPTIVA]],"NÃO ENCONTRADA")</f>
        <v>0</v>
      </c>
      <c r="BM111" s="135" t="str">
        <f>IFERROR(VLOOKUP(Tabela1[[#This Row],[MÊS]]&amp;Tabela1[[#This Row],[ID]]&amp;Tabela1[[#This Row],[MATRICULA]]&amp;"Motorista"&amp;Tabela1[[#This Row],[SETOR]],BD!A:AF,13,0),"")</f>
        <v/>
      </c>
      <c r="BN111" s="135" t="str">
        <f>IFERROR(VLOOKUP(Tabela1[[#This Row],[MÊS]]&amp;Tabela1[[#This Row],[ID]]&amp;Tabela1[[#This Row],[MATRICULA]]&amp;"Motorista 2"&amp;Tabela1[[#This Row],[SETOR]],BD!A:AF,13,0),"")</f>
        <v/>
      </c>
      <c r="BO111" s="135" t="str">
        <f>IFERROR(VLOOKUP(Tabela1[[#This Row],[MÊS]]&amp;Tabela1[[#This Row],[ID]]&amp;Tabela1[[#This Row],[MATRICULA]]&amp;"Motorista 3"&amp;Tabela1[[#This Row],[SETOR]],BD!A:AF,13,0),"")</f>
        <v/>
      </c>
      <c r="BP111" s="135" t="str">
        <f>IFERROR(VLOOKUP(Tabela1[[#This Row],[MÊS]]&amp;Tabela1[[#This Row],[ID]]&amp;Tabela1[[#This Row],[MATRICULA]]&amp;"Motorista 4"&amp;Tabela1[[#This Row],[SETOR]],BD!A:AF,13,0),"")</f>
        <v/>
      </c>
      <c r="BQ111" s="135" t="str">
        <f>IFERROR(AVERAGE(Tabela1[[#This Row],[DMOT]:[DMOT4]]),"")</f>
        <v/>
      </c>
      <c r="BR111" s="135" t="str">
        <f>IFERROR(VLOOKUP(Tabela1[[#This Row],[MÊS]]&amp;Tabela1[[#This Row],[ID]]&amp;Tabela1[[#This Row],[MATRICULA]]&amp;"Ponto de Apoio"&amp;Tabela1[[#This Row],[SETOR]],BD!A:AF,13,0),"")</f>
        <v/>
      </c>
      <c r="BS111" s="135" t="str">
        <f>IFERROR(VLOOKUP(Tabela1[[#This Row],[MÊS]]&amp;Tabela1[[#This Row],[ID]]&amp;Tabela1[[#This Row],[MATRICULA]]&amp;"Ponto de Apoio 2"&amp;Tabela1[[#This Row],[SETOR]],BD!A:AF,13,0),"")</f>
        <v/>
      </c>
      <c r="BT111" s="135" t="str">
        <f>IFERROR(VLOOKUP(Tabela1[[#This Row],[MÊS]]&amp;Tabela1[[#This Row],[ID]]&amp;Tabela1[[#This Row],[MATRICULA]]&amp;"Ponto de Apoio 3"&amp;Tabela1[[#This Row],[SETOR]],BD!A:AF,13,0),"")</f>
        <v/>
      </c>
      <c r="BU111" s="135" t="str">
        <f>IFERROR(VLOOKUP(Tabela1[[#This Row],[MÊS]]&amp;Tabela1[[#This Row],[ID]]&amp;Tabela1[[#This Row],[MATRICULA]]&amp;"Ponto de Apoio 4"&amp;Tabela1[[#This Row],[SETOR]],BD!A:AF,13,0),"")</f>
        <v/>
      </c>
      <c r="BV111" s="135" t="str">
        <f>IFERROR(AVERAGE(Tabela1[[#This Row],[DPA]:[DPA 4]]),"")</f>
        <v/>
      </c>
      <c r="BW111" s="135" t="str">
        <f>IFERROR(VLOOKUP(Tabela1[[#This Row],[MÊS]]&amp;Tabela1[[#This Row],[ID]]&amp;Tabela1[[#This Row],[MATRICULA]]&amp;"Cliente"&amp;Tabela1[[#This Row],[SETOR]],BD!A:AF,13,0),"")</f>
        <v/>
      </c>
      <c r="BX111" s="135" t="str">
        <f>IFERROR(VLOOKUP(Tabela1[[#This Row],[MÊS]]&amp;Tabela1[[#This Row],[ID]]&amp;Tabela1[[#This Row],[MATRICULA]]&amp;"cliente 2"&amp;Tabela1[[#This Row],[SETOR]],BD!A:AF,13,0),"")</f>
        <v/>
      </c>
      <c r="BY111" s="135" t="str">
        <f>IFERROR(VLOOKUP(Tabela1[[#This Row],[MÊS]]&amp;Tabela1[[#This Row],[ID]]&amp;Tabela1[[#This Row],[MATRICULA]]&amp;"cliente 3"&amp;Tabela1[[#This Row],[SETOR]],BD!A:AF,13,0),"")</f>
        <v/>
      </c>
      <c r="BZ111" s="135" t="str">
        <f>IFERROR(VLOOKUP(Tabela1[[#This Row],[MÊS]]&amp;Tabela1[[#This Row],[ID]]&amp;Tabela1[[#This Row],[MATRICULA]]&amp;"cliente 4"&amp;Tabela1[[#This Row],[SETOR]],BD!A:AF,13,0),"")</f>
        <v/>
      </c>
      <c r="CA111" s="135" t="str">
        <f>IFERROR(AVERAGE(Tabela1[[#This Row],[DCLI]:[DCLI 4]]),"")</f>
        <v/>
      </c>
      <c r="CB111" s="135" t="str">
        <f>IFERROR(VLOOKUP(Tabela1[[#This Row],[MÊS]]&amp;Tabela1[[#This Row],[ID]]&amp;Tabela1[[#This Row],[MATRICULA]]&amp;"Policia"&amp;Tabela1[[#This Row],[SETOR]],BD!A:AF,13,0),"")</f>
        <v/>
      </c>
      <c r="CC111" s="135" t="str">
        <f>IFERROR(VLOOKUP(Tabela1[[#This Row],[MÊS]]&amp;Tabela1[[#This Row],[ID]]&amp;Tabela1[[#This Row],[MATRICULA]]&amp;"Policia 2"&amp;Tabela1[[#This Row],[SETOR]],BD!A:AF,13,0),"")</f>
        <v/>
      </c>
      <c r="CD111" s="135"/>
      <c r="CE111" s="135"/>
      <c r="CF111" s="135" t="str">
        <f>IFERROR((AVERAGE(Tabela1[[#This Row],[DPOL1]:[DPOL4]])),"")</f>
        <v/>
      </c>
      <c r="CG111" s="21" t="str">
        <f>IFERROR(VLOOKUP(Tabela1[[#This Row],[ID]]&amp;Tabela1[[#This Row],[MÊS]]&amp;Tabela1[[#This Row],[MATRICULA]],#REF!,2,0),"")</f>
        <v/>
      </c>
      <c r="CH111" s="21" t="str">
        <f>IFERROR(VLOOKUP(Tabela1[[#This Row],[ID]]&amp;Tabela1[[#This Row],[MÊS]]&amp;Tabela1[[#This Row],[MATRICULA]],#REF!,2,0),"")</f>
        <v/>
      </c>
      <c r="CI111" s="21" t="str">
        <f>IFERROR(VLOOKUP(Tabela1[[#This Row],[MÊS]]&amp;Tabela1[[#This Row],[MATRICULA]],#REF!,2,0),"")</f>
        <v/>
      </c>
    </row>
    <row r="112" spans="1:87">
      <c r="A112" s="12" t="str">
        <f>Tabela1[[#This Row],[MÊS]]&amp;Tabela1[[#This Row],[MATRICULA]]&amp;Tabela1[[#This Row],[ID]]</f>
        <v>JAN107135</v>
      </c>
      <c r="B112" s="12" t="str">
        <f>Tabela1[[#This Row],[MÊS]]&amp;Tabela1[[#This Row],[ID]]&amp;Tabela1[[#This Row],[MATRICULA]]&amp;Tabela1[[#This Row],[SETOR]]</f>
        <v>JAN510713UTI</v>
      </c>
      <c r="C112" s="130" t="e">
        <f>VLOOKUP(Tabela1[[#This Row],[MATRICULA]],'BD Campos'!A:D,5,0)</f>
        <v>#REF!</v>
      </c>
      <c r="D112" s="133" t="str">
        <f ca="1">IFERROR(SUM(TODAY()-Tabela1[[#This Row],[ADMISSÃO]]),"")</f>
        <v/>
      </c>
      <c r="E112" s="11" t="str">
        <f ca="1">IFERROR(TRUNC(Tabela1[[#This Row],[TEMPO DE CASA (DIAS)]]/30),"")</f>
        <v/>
      </c>
      <c r="F112" s="32" t="str">
        <f ca="1">IFERROR(SUM(Tabela1[[#This Row],[TEMPO DE CASA (MESES)]]/12),"")</f>
        <v/>
      </c>
      <c r="G112" s="133" t="str">
        <f ca="1">IF(Tabela1[[#This Row],[TEMPO DE CASA (DIAS)]]="","SEM DADOS",IF(Tabela1[[#This Row],[TEMPO DE CASA (DIAS)]]&gt;180,"&gt; 6 MESES","&lt; 6 MESES"))</f>
        <v>SEM DADOS</v>
      </c>
      <c r="H112" s="12" t="str">
        <f t="shared" si="11"/>
        <v>JANHervert Moreira5</v>
      </c>
      <c r="I112" s="12" t="str">
        <f>IFERROR(VLOOKUP(Tabela1[[#This Row],[MATRICULA]],'BD Campos'!A:F,7,0),"")</f>
        <v/>
      </c>
      <c r="J112" s="11">
        <v>5</v>
      </c>
      <c r="K112" s="11" t="s">
        <v>669</v>
      </c>
      <c r="L112" s="136">
        <v>10713</v>
      </c>
      <c r="M112" s="12" t="str">
        <f>IFERROR(VLOOKUP(Tabela1[[#This Row],[MATRICULA]],'BD Campos'!A:B,2,0),"")</f>
        <v xml:space="preserve">ALISSON LUIZ DE FREITAS </v>
      </c>
      <c r="N112" s="20">
        <f>IFERROR(AVERAGE(Tabela1[[#This Row],[A1]:[A4]]),"")</f>
        <v>9.2912499999999998</v>
      </c>
      <c r="O112" s="20" t="str">
        <f>IFERROR(IF(Tabela1[[#This Row],[SETOR]]="RECEPTIVO","",AVERAGE(Tabela1[[#This Row],[A5]:[A6]])),"")</f>
        <v/>
      </c>
      <c r="P112" s="20" t="str">
        <f>IFERROR(IF(Tabela1[[#This Row],[STATUS]]="INATIVO","INATIVO",IF(Tabela1[[#This Row],[STATUS]]="QRT","INATIVO",IF(Tabela1[[#This Row],[OPERACIONAL]]&gt;7.99999,"BOM","RUIM"))),"")</f>
        <v>BOM</v>
      </c>
      <c r="Q112" s="21" t="s">
        <v>667</v>
      </c>
      <c r="R112" s="12" t="s">
        <v>702</v>
      </c>
      <c r="S112" s="12" t="s">
        <v>699</v>
      </c>
      <c r="T112" s="12" t="s">
        <v>128</v>
      </c>
      <c r="U11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</v>
      </c>
      <c r="V11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0.02</v>
      </c>
      <c r="W112" s="12">
        <f>IF(AND(Tabela1[[#This Row],[SETOR]]="UTI",Tabela1[[#This Row],[M]]&lt;&gt;""),1,IF(AND(Tabela1[[#This Row],[SETOR]]="UTI (RJ)",Tabela1[[#This Row],[M]]&lt;&gt;""),1.5,0))</f>
        <v>1</v>
      </c>
      <c r="X112" s="12">
        <v>1</v>
      </c>
      <c r="Y112" s="12">
        <v>1</v>
      </c>
      <c r="Z112" s="12">
        <f>IF(AND(Tabela1[[#This Row],[SETOR]]="UTI",Tabela1[[#This Row],[PL]]&lt;&gt;""),1,IF(AND(Tabela1[[#This Row],[SETOR]]="UTI (RJ)",Tabela1[[#This Row],[PL]]&lt;&gt;""),1,0))</f>
        <v>0</v>
      </c>
      <c r="AA112" s="21">
        <f>IFERROR(VLOOKUP(Tabela1[[#This Row],[MÊS]]&amp;Tabela1[[#This Row],[MATRICULA]]&amp;"1"&amp;Tabela1[[#This Row],[SETOR]]&amp;"PADRÃO",BD!B:AF,31,0),"")</f>
        <v>9.6850000000000005</v>
      </c>
      <c r="AB112" s="21">
        <f>IFERROR(VLOOKUP(Tabela1[[#This Row],[MÊS]]&amp;Tabela1[[#This Row],[MATRICULA]]&amp;"2"&amp;Tabela1[[#This Row],[SETOR]]&amp;"PADRÃO",BD!B:AF,31,0),"")</f>
        <v>8.8974999999999991</v>
      </c>
      <c r="AC112" s="21" t="str">
        <f>IFERROR(VLOOKUP(Tabela1[[#This Row],[MÊS]]&amp;Tabela1[[#This Row],[MATRICULA]]&amp;"3"&amp;Tabela1[[#This Row],[SETOR]]&amp;"PADRÃO",BD!B:AF,31,0),"")</f>
        <v/>
      </c>
      <c r="AD112" s="21" t="str">
        <f>IFERROR(VLOOKUP(Tabela1[[#This Row],[MÊS]]&amp;Tabela1[[#This Row],[MATRICULA]]&amp;"4"&amp;Tabela1[[#This Row],[SETOR]]&amp;"PADRÃO",BD!B:AF,25,0),"")</f>
        <v/>
      </c>
      <c r="AE112" s="21" t="str">
        <f>IFERROR(VLOOKUP(Tabela1[[#This Row],[MÊS]]&amp;Tabela1[[#This Row],[MATRICULA]]&amp;"5"&amp;Tabela1[[#This Row],[SETOR]]&amp;"PADRÃO",BD!B:AF,31,0),"")</f>
        <v/>
      </c>
      <c r="AF112" s="21" t="str">
        <f>IFERROR(VLOOKUP(Tabela1[[#This Row],[MÊS]]&amp;Tabela1[[#This Row],[MATRICULA]]&amp;"6"&amp;Tabela1[[#This Row],[SETOR]]&amp;"PADRÃO",BD!B:AF,31,0),"")</f>
        <v/>
      </c>
      <c r="AG112" s="21" t="str">
        <f>IFERROR(VLOOKUP(Tabela1[[#This Row],[MÊS]]&amp;Tabela1[[#This Row],[MATRICULA]]&amp;"7"&amp;Tabela1[[#This Row],[SETOR]]&amp;"PADRÃO",BD!B:AF,31,0),"")</f>
        <v/>
      </c>
      <c r="AH112" s="21" t="str">
        <f>IFERROR(VLOOKUP(Tabela1[[#This Row],[MÊS]]&amp;Tabela1[[#This Row],[ID]]&amp;Tabela1[[#This Row],[MATRICULA]]&amp;"Receptiva"&amp;Tabela1[[#This Row],[SETOR]],BD!A:AF,31,0),"")</f>
        <v/>
      </c>
      <c r="AI112" s="21" t="str">
        <f>IFERROR(VLOOKUP(Tabela1[[#This Row],[MÊS]]&amp;Tabela1[[#This Row],[ID]]&amp;Tabela1[[#This Row],[MATRICULA]]&amp;"Receptiva 2"&amp;Tabela1[[#This Row],[SETOR]],BD!A:AF,31,0),"")</f>
        <v/>
      </c>
      <c r="AJ112" s="21" t="str">
        <f>IFERROR(VLOOKUP(Tabela1[[#This Row],[MÊS]]&amp;Tabela1[[#This Row],[ID]]&amp;Tabela1[[#This Row],[MATRICULA]]&amp;"Receptiva 3"&amp;Tabela1[[#This Row],[SETOR]],BD!A:AF,31,0),"")</f>
        <v/>
      </c>
      <c r="AK112" s="21" t="str">
        <f>IFERROR(VLOOKUP(Tabela1[[#This Row],[MÊS]]&amp;Tabela1[[#This Row],[ID]]&amp;Tabela1[[#This Row],[MATRICULA]]&amp;"Receptiva 4"&amp;Tabela1[[#This Row],[SETOR]],BD!A:AF,31,0),"")</f>
        <v/>
      </c>
      <c r="AL112" s="21">
        <f>IFERROR(VLOOKUP(Tabela1[[#This Row],[MÊS]]&amp;Tabela1[[#This Row],[MATRICULA]]&amp;"Motorista"&amp;Tabela1[[#This Row],[SETOR]],BD!A:AF,31,0),"")</f>
        <v>0</v>
      </c>
      <c r="AM112" s="21" t="str">
        <f>IFERROR(VLOOKUP(Tabela1[[#This Row],[MÊS]]&amp;Tabela1[[#This Row],[ID]]&amp;Tabela1[[#This Row],[MATRICULA]]&amp;"Motorista 2"&amp;Tabela1[[#This Row],[SETOR]],BD!A:AF,26,0),"")</f>
        <v/>
      </c>
      <c r="AN112" s="21" t="str">
        <f>IFERROR(VLOOKUP(Tabela1[[#This Row],[MÊS]]&amp;Tabela1[[#This Row],[ID]]&amp;Tabela1[[#This Row],[MATRICULA]]&amp;"Motorista 3"&amp;Tabela1[[#This Row],[SETOR]],BD!A:AF,26,0),"")</f>
        <v/>
      </c>
      <c r="AO112" s="21" t="str">
        <f>IFERROR(VLOOKUP(Tabela1[[#This Row],[MÊS]]&amp;Tabela1[[#This Row],[ID]]&amp;Tabela1[[#This Row],[MATRICULA]]&amp;"Motorista 4"&amp;Tabela1[[#This Row],[SETOR]],BD!A:AF,26,0),"")</f>
        <v/>
      </c>
      <c r="AP112" s="21" t="str">
        <f>IFERROR(VLOOKUP(Tabela1[[#This Row],[MÊS]]&amp;Tabela1[[#This Row],[MATRICULA]]&amp;"Ponto de Apoio"&amp;Tabela1[[#This Row],[SETOR]],BD!A:AF,31,0),"")</f>
        <v/>
      </c>
      <c r="AQ112" s="21" t="str">
        <f>IFERROR(VLOOKUP(Tabela1[[#This Row],[MÊS]]&amp;Tabela1[[#This Row],[ID]]&amp;Tabela1[[#This Row],[MATRICULA]]&amp;"Ponto de Apoio 2"&amp;Tabela1[[#This Row],[SETOR]],BD!A:AF,26,0),"")</f>
        <v/>
      </c>
      <c r="AR112" s="36" t="str">
        <f>IFERROR(VLOOKUP(Tabela1[[#This Row],[MÊS]]&amp;Tabela1[[#This Row],[ID]]&amp;Tabela1[[#This Row],[MATRICULA]]&amp;"Ponto de Apoio 3"&amp;Tabela1[[#This Row],[SETOR]],BD!A:AF,26,0),"")</f>
        <v/>
      </c>
      <c r="AS112" s="36" t="str">
        <f>IFERROR(VLOOKUP(Tabela1[[#This Row],[MÊS]]&amp;Tabela1[[#This Row],[ID]]&amp;Tabela1[[#This Row],[MATRICULA]]&amp;"Ponto de Apoio 4"&amp;Tabela1[[#This Row],[SETOR]],BD!A:AF,26,0),"")</f>
        <v/>
      </c>
      <c r="AT112" s="21" t="str">
        <f>IFERROR(VLOOKUP(Tabela1[[#This Row],[MÊS]]&amp;Tabela1[[#This Row],[MATRICULA]]&amp;"Cliente"&amp;Tabela1[[#This Row],[SETOR]],BD!A:AF,31,0),"")</f>
        <v/>
      </c>
      <c r="AU112" s="21" t="str">
        <f>IFERROR(VLOOKUP(Tabela1[[#This Row],[MÊS]]&amp;Tabela1[[#This Row],[ID]]&amp;Tabela1[[#This Row],[MATRICULA]]&amp;"Cliente 2"&amp;Tabela1[[#This Row],[SETOR]],BD!A:AF,26,0),"")</f>
        <v/>
      </c>
      <c r="AX112" s="21" t="str">
        <f>IFERROR(VLOOKUP(Tabela1[[#This Row],[MÊS]]&amp;Tabela1[[#This Row],[MATRICULA]]&amp;"Policia"&amp;Tabela1[[#This Row],[SETOR]],BD!A:AF,31,0),"")</f>
        <v/>
      </c>
      <c r="AY112" s="21" t="str">
        <f>IFERROR(VLOOKUP(Tabela1[[#This Row],[MÊS]]&amp;Tabela1[[#This Row],[ID]]&amp;Tabela1[[#This Row],[MATRICULA]]&amp;"Policia 2"&amp;Tabela1[[#This Row],[SETOR]],BD!A:AF,26,0),"")</f>
        <v/>
      </c>
      <c r="AZ112" s="36" t="str">
        <f>IFERROR(VLOOKUP(Tabela1[[#This Row],[MÊS]]&amp;Tabela1[[#This Row],[ID]]&amp;Tabela1[[#This Row],[MATRICULA]]&amp;"Policia 3"&amp;Tabela1[[#This Row],[SETOR]],BD!A:AF,26,0),"")</f>
        <v/>
      </c>
      <c r="BA112" s="36" t="str">
        <f>IFERROR(VLOOKUP(Tabela1[[#This Row],[MÊS]]&amp;Tabela1[[#This Row],[ID]]&amp;Tabela1[[#This Row],[MATRICULA]]&amp;"Policia 4"&amp;Tabela1[[#This Row],[SETOR]],BD!A:AF,26,0),"")</f>
        <v/>
      </c>
      <c r="BB11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12" s="21">
        <f>IFERROR(AVERAGE(Tabela1[[#This Row],[M]:[M4]]),"")</f>
        <v>0</v>
      </c>
      <c r="BD112" s="21" t="str">
        <f>IFERROR(AVERAGE(Tabela1[[#This Row],[C]:[C4]]),"")</f>
        <v/>
      </c>
      <c r="BE112" s="21" t="str">
        <f>IFERROR(AVERAGE(Tabela1[[#This Row],[PA2]:[PA 4]]),"")</f>
        <v/>
      </c>
      <c r="BF112" s="21" t="str">
        <f>IFERROR(AVERAGE(Tabela1[[#This Row],[PL]:[PL4]]),"")</f>
        <v/>
      </c>
      <c r="BG112" s="35" t="str">
        <f>IFERROR(VLOOKUP(Tabela1[[#This Row],[MÊS]]&amp;Tabela1[[#This Row],[MATRICULA]],#REF!,2,0),"")</f>
        <v/>
      </c>
      <c r="BH112" s="35" t="str">
        <f>IFERROR(VLOOKUP(Tabela1[[#This Row],[MÊS]]&amp;Tabela1[[#This Row],[MATRICULA]],#REF!,2,0),"")</f>
        <v/>
      </c>
      <c r="BI112" s="35" t="str">
        <f>IFERROR(VLOOKUP(Tabela1[[#This Row],[MÊS]]&amp;Tabela1[[#This Row],[MATRICULA]],#REF!,2,0),"")</f>
        <v/>
      </c>
      <c r="BJ112" s="35" t="str">
        <f>IFERROR(VLOOKUP(Tabela1[[#This Row],[MÊS]]&amp;Tabela1[[#This Row],[MATRICULA]],#REF!,2,0),"")</f>
        <v/>
      </c>
      <c r="BK112" s="35" t="str">
        <f>IFERROR(VLOOKUP(Tabela1[[#This Row],[MÊS]]&amp;Tabela1[[#This Row],[MATRICULA]],#REF!,2,0),"")</f>
        <v/>
      </c>
      <c r="BL112" s="21">
        <f>COUNTIF(Tabela1[[#This Row],[MOT2]:[RECEPTIVA]],"NÃO ENCONTRADA")</f>
        <v>0</v>
      </c>
      <c r="BM112" s="135" t="str">
        <f>IFERROR(VLOOKUP(Tabela1[[#This Row],[MÊS]]&amp;Tabela1[[#This Row],[ID]]&amp;Tabela1[[#This Row],[MATRICULA]]&amp;"Motorista"&amp;Tabela1[[#This Row],[SETOR]],BD!A:AF,13,0),"")</f>
        <v/>
      </c>
      <c r="BN112" s="135" t="str">
        <f>IFERROR(VLOOKUP(Tabela1[[#This Row],[MÊS]]&amp;Tabela1[[#This Row],[ID]]&amp;Tabela1[[#This Row],[MATRICULA]]&amp;"Motorista 2"&amp;Tabela1[[#This Row],[SETOR]],BD!A:AF,13,0),"")</f>
        <v/>
      </c>
      <c r="BO112" s="135" t="str">
        <f>IFERROR(VLOOKUP(Tabela1[[#This Row],[MÊS]]&amp;Tabela1[[#This Row],[ID]]&amp;Tabela1[[#This Row],[MATRICULA]]&amp;"Motorista 3"&amp;Tabela1[[#This Row],[SETOR]],BD!A:AF,13,0),"")</f>
        <v/>
      </c>
      <c r="BP112" s="135" t="str">
        <f>IFERROR(VLOOKUP(Tabela1[[#This Row],[MÊS]]&amp;Tabela1[[#This Row],[ID]]&amp;Tabela1[[#This Row],[MATRICULA]]&amp;"Motorista 4"&amp;Tabela1[[#This Row],[SETOR]],BD!A:AF,13,0),"")</f>
        <v/>
      </c>
      <c r="BQ112" s="135" t="str">
        <f>IFERROR(AVERAGE(Tabela1[[#This Row],[DMOT]:[DMOT4]]),"")</f>
        <v/>
      </c>
      <c r="BR112" s="135" t="str">
        <f>IFERROR(VLOOKUP(Tabela1[[#This Row],[MÊS]]&amp;Tabela1[[#This Row],[ID]]&amp;Tabela1[[#This Row],[MATRICULA]]&amp;"Ponto de Apoio"&amp;Tabela1[[#This Row],[SETOR]],BD!A:AF,13,0),"")</f>
        <v/>
      </c>
      <c r="BS112" s="135" t="str">
        <f>IFERROR(VLOOKUP(Tabela1[[#This Row],[MÊS]]&amp;Tabela1[[#This Row],[ID]]&amp;Tabela1[[#This Row],[MATRICULA]]&amp;"Ponto de Apoio 2"&amp;Tabela1[[#This Row],[SETOR]],BD!A:AF,13,0),"")</f>
        <v/>
      </c>
      <c r="BT112" s="135" t="str">
        <f>IFERROR(VLOOKUP(Tabela1[[#This Row],[MÊS]]&amp;Tabela1[[#This Row],[ID]]&amp;Tabela1[[#This Row],[MATRICULA]]&amp;"Ponto de Apoio 3"&amp;Tabela1[[#This Row],[SETOR]],BD!A:AF,13,0),"")</f>
        <v/>
      </c>
      <c r="BU112" s="135" t="str">
        <f>IFERROR(VLOOKUP(Tabela1[[#This Row],[MÊS]]&amp;Tabela1[[#This Row],[ID]]&amp;Tabela1[[#This Row],[MATRICULA]]&amp;"Ponto de Apoio 4"&amp;Tabela1[[#This Row],[SETOR]],BD!A:AF,13,0),"")</f>
        <v/>
      </c>
      <c r="BV112" s="135" t="str">
        <f>IFERROR(AVERAGE(Tabela1[[#This Row],[DPA]:[DPA 4]]),"")</f>
        <v/>
      </c>
      <c r="BW112" s="135" t="str">
        <f>IFERROR(VLOOKUP(Tabela1[[#This Row],[MÊS]]&amp;Tabela1[[#This Row],[ID]]&amp;Tabela1[[#This Row],[MATRICULA]]&amp;"Cliente"&amp;Tabela1[[#This Row],[SETOR]],BD!A:AF,13,0),"")</f>
        <v/>
      </c>
      <c r="BX112" s="135" t="str">
        <f>IFERROR(VLOOKUP(Tabela1[[#This Row],[MÊS]]&amp;Tabela1[[#This Row],[ID]]&amp;Tabela1[[#This Row],[MATRICULA]]&amp;"cliente 2"&amp;Tabela1[[#This Row],[SETOR]],BD!A:AF,13,0),"")</f>
        <v/>
      </c>
      <c r="BY112" s="135" t="str">
        <f>IFERROR(VLOOKUP(Tabela1[[#This Row],[MÊS]]&amp;Tabela1[[#This Row],[ID]]&amp;Tabela1[[#This Row],[MATRICULA]]&amp;"cliente 3"&amp;Tabela1[[#This Row],[SETOR]],BD!A:AF,13,0),"")</f>
        <v/>
      </c>
      <c r="BZ112" s="135" t="str">
        <f>IFERROR(VLOOKUP(Tabela1[[#This Row],[MÊS]]&amp;Tabela1[[#This Row],[ID]]&amp;Tabela1[[#This Row],[MATRICULA]]&amp;"cliente 4"&amp;Tabela1[[#This Row],[SETOR]],BD!A:AF,13,0),"")</f>
        <v/>
      </c>
      <c r="CA112" s="135" t="str">
        <f>IFERROR(AVERAGE(Tabela1[[#This Row],[DCLI]:[DCLI 4]]),"")</f>
        <v/>
      </c>
      <c r="CB112" s="135" t="str">
        <f>IFERROR(VLOOKUP(Tabela1[[#This Row],[MÊS]]&amp;Tabela1[[#This Row],[ID]]&amp;Tabela1[[#This Row],[MATRICULA]]&amp;"Policia"&amp;Tabela1[[#This Row],[SETOR]],BD!A:AF,13,0),"")</f>
        <v/>
      </c>
      <c r="CC112" s="135" t="str">
        <f>IFERROR(VLOOKUP(Tabela1[[#This Row],[MÊS]]&amp;Tabela1[[#This Row],[ID]]&amp;Tabela1[[#This Row],[MATRICULA]]&amp;"Policia 2"&amp;Tabela1[[#This Row],[SETOR]],BD!A:AF,13,0),"")</f>
        <v/>
      </c>
      <c r="CD112" s="135"/>
      <c r="CE112" s="135"/>
      <c r="CF112" s="135" t="str">
        <f>IFERROR((AVERAGE(Tabela1[[#This Row],[DPOL1]:[DPOL4]])),"")</f>
        <v/>
      </c>
      <c r="CG112" s="21" t="str">
        <f>IFERROR(VLOOKUP(Tabela1[[#This Row],[ID]]&amp;Tabela1[[#This Row],[MÊS]]&amp;Tabela1[[#This Row],[MATRICULA]],#REF!,2,0),"")</f>
        <v/>
      </c>
      <c r="CH112" s="21" t="str">
        <f>IFERROR(VLOOKUP(Tabela1[[#This Row],[ID]]&amp;Tabela1[[#This Row],[MÊS]]&amp;Tabela1[[#This Row],[MATRICULA]],#REF!,2,0),"")</f>
        <v/>
      </c>
      <c r="CI112" s="21" t="str">
        <f>IFERROR(VLOOKUP(Tabela1[[#This Row],[MÊS]]&amp;Tabela1[[#This Row],[MATRICULA]],#REF!,2,0),"")</f>
        <v/>
      </c>
    </row>
    <row r="113" spans="1:87">
      <c r="A113" s="12" t="str">
        <f>Tabela1[[#This Row],[MÊS]]&amp;Tabela1[[#This Row],[MATRICULA]]&amp;Tabela1[[#This Row],[ID]]</f>
        <v>JAN106286</v>
      </c>
      <c r="B113" s="12" t="str">
        <f>Tabela1[[#This Row],[MÊS]]&amp;Tabela1[[#This Row],[ID]]&amp;Tabela1[[#This Row],[MATRICULA]]&amp;Tabela1[[#This Row],[SETOR]]</f>
        <v>JAN610628UTI (RJ)</v>
      </c>
      <c r="C113" s="130" t="e">
        <f>VLOOKUP(Tabela1[[#This Row],[MATRICULA]],'BD Campos'!A:D,5,0)</f>
        <v>#REF!</v>
      </c>
      <c r="D113" s="133" t="str">
        <f ca="1">IFERROR(SUM(TODAY()-Tabela1[[#This Row],[ADMISSÃO]]),"")</f>
        <v/>
      </c>
      <c r="E113" s="11" t="str">
        <f ca="1">IFERROR(TRUNC(Tabela1[[#This Row],[TEMPO DE CASA (DIAS)]]/30),"")</f>
        <v/>
      </c>
      <c r="F113" s="32" t="str">
        <f ca="1">IFERROR(SUM(Tabela1[[#This Row],[TEMPO DE CASA (MESES)]]/12),"")</f>
        <v/>
      </c>
      <c r="G113" s="133" t="str">
        <f ca="1">IF(Tabela1[[#This Row],[TEMPO DE CASA (DIAS)]]="","SEM DADOS",IF(Tabela1[[#This Row],[TEMPO DE CASA (DIAS)]]&gt;180,"&gt; 6 MESES","&lt; 6 MESES"))</f>
        <v>SEM DADOS</v>
      </c>
      <c r="H113" s="12" t="str">
        <f t="shared" si="11"/>
        <v>JANHervert Moreira6</v>
      </c>
      <c r="I113" s="12" t="str">
        <f>IFERROR(VLOOKUP(Tabela1[[#This Row],[MATRICULA]],'BD Campos'!A:F,7,0),"")</f>
        <v/>
      </c>
      <c r="J113" s="11">
        <v>6</v>
      </c>
      <c r="K113" s="11" t="s">
        <v>669</v>
      </c>
      <c r="L113" s="136">
        <v>10628</v>
      </c>
      <c r="M113" s="12" t="str">
        <f>IFERROR(VLOOKUP(Tabela1[[#This Row],[MATRICULA]],'BD Campos'!A:B,2,0),"")</f>
        <v>POLYANA VIDAL DIAS</v>
      </c>
      <c r="N113" s="20">
        <f>IFERROR(AVERAGE(Tabela1[[#This Row],[A1]:[A4]]),"")</f>
        <v>3.3094999999999994</v>
      </c>
      <c r="O113" s="20" t="str">
        <f>IFERROR(IF(Tabela1[[#This Row],[SETOR]]="RECEPTIVO","",AVERAGE(Tabela1[[#This Row],[A5]:[A6]])),"")</f>
        <v/>
      </c>
      <c r="P113" s="20" t="str">
        <f>IFERROR(IF(Tabela1[[#This Row],[STATUS]]="INATIVO","INATIVO",IF(Tabela1[[#This Row],[STATUS]]="QRT","INATIVO",IF(Tabela1[[#This Row],[OPERACIONAL]]&gt;7.99999,"BOM","RUIM"))),"")</f>
        <v>RUIM</v>
      </c>
      <c r="Q113" s="21" t="s">
        <v>667</v>
      </c>
      <c r="R113" s="12" t="s">
        <v>703</v>
      </c>
      <c r="S113" s="12" t="s">
        <v>699</v>
      </c>
      <c r="T113" s="12" t="s">
        <v>215</v>
      </c>
      <c r="U11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</v>
      </c>
      <c r="V11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0.02</v>
      </c>
      <c r="W113" s="12">
        <f>IF(AND(Tabela1[[#This Row],[SETOR]]="UTI",Tabela1[[#This Row],[M]]&lt;&gt;""),1,IF(AND(Tabela1[[#This Row],[SETOR]]="UTI (RJ)",Tabela1[[#This Row],[M]]&lt;&gt;""),1.5,0))</f>
        <v>1.5</v>
      </c>
      <c r="X113" s="12">
        <f>IF(AND(Tabela1[[#This Row],[SETOR]]="UTI",Tabela1[[#This Row],[PA2]]&lt;&gt;""),1,IF(AND(Tabela1[[#This Row],[SETOR]]="UTI (RJ)",Tabela1[[#This Row],[PA2]]&lt;&gt;""),0,0))</f>
        <v>0</v>
      </c>
      <c r="Y113" s="12">
        <f>IF(AND(Tabela1[[#This Row],[SETOR]]="UTI",Tabela1[[#This Row],[C]]&lt;&gt;""),1,IF(AND(Tabela1[[#This Row],[SETOR]]="UTI (RJ)",Tabela1[[#This Row],[C]]&lt;&gt;""),1.5,0))</f>
        <v>0</v>
      </c>
      <c r="Z113" s="12">
        <v>1.5</v>
      </c>
      <c r="AA113" s="21">
        <f>IFERROR(VLOOKUP(Tabela1[[#This Row],[MÊS]]&amp;Tabela1[[#This Row],[MATRICULA]]&amp;"1"&amp;Tabela1[[#This Row],[SETOR]]&amp;"PADRÃO",BD!B:AF,31,0),"")</f>
        <v>6.6189999999999989</v>
      </c>
      <c r="AB113" s="21">
        <f>IFERROR(VLOOKUP(Tabela1[[#This Row],[MÊS]]&amp;Tabela1[[#This Row],[MATRICULA]]&amp;"2"&amp;Tabela1[[#This Row],[SETOR]]&amp;"PADRÃO",BD!B:AF,31,0),"")</f>
        <v>0</v>
      </c>
      <c r="AC113" s="21" t="str">
        <f>IFERROR(VLOOKUP(Tabela1[[#This Row],[MÊS]]&amp;Tabela1[[#This Row],[MATRICULA]]&amp;"3"&amp;Tabela1[[#This Row],[SETOR]]&amp;"PADRÃO",BD!B:AF,31,0),"")</f>
        <v/>
      </c>
      <c r="AD113" s="21" t="str">
        <f>IFERROR(VLOOKUP(Tabela1[[#This Row],[MÊS]]&amp;Tabela1[[#This Row],[MATRICULA]]&amp;"4"&amp;Tabela1[[#This Row],[SETOR]]&amp;"PADRÃO",BD!B:AF,25,0),"")</f>
        <v/>
      </c>
      <c r="AE113" s="21" t="str">
        <f>IFERROR(VLOOKUP(Tabela1[[#This Row],[MÊS]]&amp;Tabela1[[#This Row],[MATRICULA]]&amp;"5"&amp;Tabela1[[#This Row],[SETOR]]&amp;"PADRÃO",BD!B:AF,31,0),"")</f>
        <v/>
      </c>
      <c r="AF113" s="21" t="str">
        <f>IFERROR(VLOOKUP(Tabela1[[#This Row],[MÊS]]&amp;Tabela1[[#This Row],[MATRICULA]]&amp;"6"&amp;Tabela1[[#This Row],[SETOR]]&amp;"PADRÃO",BD!B:AF,31,0),"")</f>
        <v/>
      </c>
      <c r="AG113" s="21" t="str">
        <f>IFERROR(VLOOKUP(Tabela1[[#This Row],[MÊS]]&amp;Tabela1[[#This Row],[MATRICULA]]&amp;"7"&amp;Tabela1[[#This Row],[SETOR]]&amp;"PADRÃO",BD!B:AF,31,0),"")</f>
        <v/>
      </c>
      <c r="AH113" s="21" t="str">
        <f>IFERROR(VLOOKUP(Tabela1[[#This Row],[MÊS]]&amp;Tabela1[[#This Row],[ID]]&amp;Tabela1[[#This Row],[MATRICULA]]&amp;"Receptiva"&amp;Tabela1[[#This Row],[SETOR]],BD!A:AF,31,0),"")</f>
        <v/>
      </c>
      <c r="AI113" s="21" t="str">
        <f>IFERROR(VLOOKUP(Tabela1[[#This Row],[MÊS]]&amp;Tabela1[[#This Row],[ID]]&amp;Tabela1[[#This Row],[MATRICULA]]&amp;"Receptiva 2"&amp;Tabela1[[#This Row],[SETOR]],BD!A:AF,31,0),"")</f>
        <v/>
      </c>
      <c r="AJ113" s="21" t="str">
        <f>IFERROR(VLOOKUP(Tabela1[[#This Row],[MÊS]]&amp;Tabela1[[#This Row],[ID]]&amp;Tabela1[[#This Row],[MATRICULA]]&amp;"Receptiva 3"&amp;Tabela1[[#This Row],[SETOR]],BD!A:AF,31,0),"")</f>
        <v/>
      </c>
      <c r="AK113" s="21" t="str">
        <f>IFERROR(VLOOKUP(Tabela1[[#This Row],[MÊS]]&amp;Tabela1[[#This Row],[ID]]&amp;Tabela1[[#This Row],[MATRICULA]]&amp;"Receptiva 4"&amp;Tabela1[[#This Row],[SETOR]],BD!A:AF,31,0),"")</f>
        <v/>
      </c>
      <c r="AL113" s="21">
        <f>IFERROR(VLOOKUP(Tabela1[[#This Row],[MÊS]]&amp;Tabela1[[#This Row],[MATRICULA]]&amp;"Motorista"&amp;Tabela1[[#This Row],[SETOR]],BD!A:AF,31,0),"")</f>
        <v>0</v>
      </c>
      <c r="AM113" s="21" t="str">
        <f>IFERROR(VLOOKUP(Tabela1[[#This Row],[MÊS]]&amp;Tabela1[[#This Row],[ID]]&amp;Tabela1[[#This Row],[MATRICULA]]&amp;"Motorista 2"&amp;Tabela1[[#This Row],[SETOR]],BD!A:AF,26,0),"")</f>
        <v/>
      </c>
      <c r="AN113" s="21" t="str">
        <f>IFERROR(VLOOKUP(Tabela1[[#This Row],[MÊS]]&amp;Tabela1[[#This Row],[ID]]&amp;Tabela1[[#This Row],[MATRICULA]]&amp;"Motorista 3"&amp;Tabela1[[#This Row],[SETOR]],BD!A:AF,26,0),"")</f>
        <v/>
      </c>
      <c r="AO113" s="21" t="str">
        <f>IFERROR(VLOOKUP(Tabela1[[#This Row],[MÊS]]&amp;Tabela1[[#This Row],[ID]]&amp;Tabela1[[#This Row],[MATRICULA]]&amp;"Motorista 4"&amp;Tabela1[[#This Row],[SETOR]],BD!A:AF,26,0),"")</f>
        <v/>
      </c>
      <c r="AP113" s="21" t="str">
        <f>IFERROR(VLOOKUP(Tabela1[[#This Row],[MÊS]]&amp;Tabela1[[#This Row],[MATRICULA]]&amp;"Ponto de Apoio"&amp;Tabela1[[#This Row],[SETOR]],BD!A:AF,31,0),"")</f>
        <v/>
      </c>
      <c r="AQ113" s="21" t="str">
        <f>IFERROR(VLOOKUP(Tabela1[[#This Row],[MÊS]]&amp;Tabela1[[#This Row],[ID]]&amp;Tabela1[[#This Row],[MATRICULA]]&amp;"Ponto de Apoio 2"&amp;Tabela1[[#This Row],[SETOR]],BD!A:AF,26,0),"")</f>
        <v/>
      </c>
      <c r="AR113" s="36" t="str">
        <f>IFERROR(VLOOKUP(Tabela1[[#This Row],[MÊS]]&amp;Tabela1[[#This Row],[ID]]&amp;Tabela1[[#This Row],[MATRICULA]]&amp;"Ponto de Apoio 3"&amp;Tabela1[[#This Row],[SETOR]],BD!A:AF,26,0),"")</f>
        <v/>
      </c>
      <c r="AS113" s="36" t="str">
        <f>IFERROR(VLOOKUP(Tabela1[[#This Row],[MÊS]]&amp;Tabela1[[#This Row],[ID]]&amp;Tabela1[[#This Row],[MATRICULA]]&amp;"Ponto de Apoio 4"&amp;Tabela1[[#This Row],[SETOR]],BD!A:AF,26,0),"")</f>
        <v/>
      </c>
      <c r="AT113" s="21" t="str">
        <f>IFERROR(VLOOKUP(Tabela1[[#This Row],[MÊS]]&amp;Tabela1[[#This Row],[MATRICULA]]&amp;"Cliente"&amp;Tabela1[[#This Row],[SETOR]],BD!A:AF,31,0),"")</f>
        <v/>
      </c>
      <c r="AU113" s="21" t="str">
        <f>IFERROR(VLOOKUP(Tabela1[[#This Row],[MÊS]]&amp;Tabela1[[#This Row],[ID]]&amp;Tabela1[[#This Row],[MATRICULA]]&amp;"Cliente 2"&amp;Tabela1[[#This Row],[SETOR]],BD!A:AF,26,0),"")</f>
        <v/>
      </c>
      <c r="AX113" s="21" t="str">
        <f>IFERROR(VLOOKUP(Tabela1[[#This Row],[MÊS]]&amp;Tabela1[[#This Row],[MATRICULA]]&amp;"Policia"&amp;Tabela1[[#This Row],[SETOR]],BD!A:AF,31,0),"")</f>
        <v/>
      </c>
      <c r="AY113" s="21" t="str">
        <f>IFERROR(VLOOKUP(Tabela1[[#This Row],[MÊS]]&amp;Tabela1[[#This Row],[ID]]&amp;Tabela1[[#This Row],[MATRICULA]]&amp;"Policia 2"&amp;Tabela1[[#This Row],[SETOR]],BD!A:AF,26,0),"")</f>
        <v/>
      </c>
      <c r="AZ113" s="36" t="str">
        <f>IFERROR(VLOOKUP(Tabela1[[#This Row],[MÊS]]&amp;Tabela1[[#This Row],[ID]]&amp;Tabela1[[#This Row],[MATRICULA]]&amp;"Policia 3"&amp;Tabela1[[#This Row],[SETOR]],BD!A:AF,26,0),"")</f>
        <v/>
      </c>
      <c r="BA113" s="36" t="str">
        <f>IFERROR(VLOOKUP(Tabela1[[#This Row],[MÊS]]&amp;Tabela1[[#This Row],[ID]]&amp;Tabela1[[#This Row],[MATRICULA]]&amp;"Policia 4"&amp;Tabela1[[#This Row],[SETOR]],BD!A:AF,26,0),"")</f>
        <v/>
      </c>
      <c r="BB11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13" s="21">
        <f>IFERROR(AVERAGE(Tabela1[[#This Row],[M]:[M4]]),"")</f>
        <v>0</v>
      </c>
      <c r="BD113" s="21" t="str">
        <f>IFERROR(AVERAGE(Tabela1[[#This Row],[C]:[C4]]),"")</f>
        <v/>
      </c>
      <c r="BE113" s="21" t="str">
        <f>IFERROR(AVERAGE(Tabela1[[#This Row],[PA2]:[PA 4]]),"")</f>
        <v/>
      </c>
      <c r="BF113" s="21" t="str">
        <f>IFERROR(AVERAGE(Tabela1[[#This Row],[PL]:[PL4]]),"")</f>
        <v/>
      </c>
      <c r="BG113" s="35" t="str">
        <f>IFERROR(VLOOKUP(Tabela1[[#This Row],[MÊS]]&amp;Tabela1[[#This Row],[MATRICULA]],#REF!,2,0),"")</f>
        <v/>
      </c>
      <c r="BH113" s="35" t="str">
        <f>IFERROR(VLOOKUP(Tabela1[[#This Row],[MÊS]]&amp;Tabela1[[#This Row],[MATRICULA]],#REF!,2,0),"")</f>
        <v/>
      </c>
      <c r="BI113" s="35" t="str">
        <f>IFERROR(VLOOKUP(Tabela1[[#This Row],[MÊS]]&amp;Tabela1[[#This Row],[MATRICULA]],#REF!,2,0),"")</f>
        <v/>
      </c>
      <c r="BJ113" s="35" t="str">
        <f>IFERROR(VLOOKUP(Tabela1[[#This Row],[MÊS]]&amp;Tabela1[[#This Row],[MATRICULA]],#REF!,2,0),"")</f>
        <v/>
      </c>
      <c r="BK113" s="35" t="str">
        <f>IFERROR(VLOOKUP(Tabela1[[#This Row],[MÊS]]&amp;Tabela1[[#This Row],[MATRICULA]],#REF!,2,0),"")</f>
        <v/>
      </c>
      <c r="BL113" s="21">
        <f>COUNTIF(Tabela1[[#This Row],[MOT2]:[RECEPTIVA]],"NÃO ENCONTRADA")</f>
        <v>0</v>
      </c>
      <c r="BM113" s="135" t="str">
        <f>IFERROR(VLOOKUP(Tabela1[[#This Row],[MÊS]]&amp;Tabela1[[#This Row],[ID]]&amp;Tabela1[[#This Row],[MATRICULA]]&amp;"Motorista"&amp;Tabela1[[#This Row],[SETOR]],BD!A:AF,13,0),"")</f>
        <v/>
      </c>
      <c r="BN113" s="135" t="str">
        <f>IFERROR(VLOOKUP(Tabela1[[#This Row],[MÊS]]&amp;Tabela1[[#This Row],[ID]]&amp;Tabela1[[#This Row],[MATRICULA]]&amp;"Motorista 2"&amp;Tabela1[[#This Row],[SETOR]],BD!A:AF,13,0),"")</f>
        <v/>
      </c>
      <c r="BO113" s="135" t="str">
        <f>IFERROR(VLOOKUP(Tabela1[[#This Row],[MÊS]]&amp;Tabela1[[#This Row],[ID]]&amp;Tabela1[[#This Row],[MATRICULA]]&amp;"Motorista 3"&amp;Tabela1[[#This Row],[SETOR]],BD!A:AF,13,0),"")</f>
        <v/>
      </c>
      <c r="BP113" s="135" t="str">
        <f>IFERROR(VLOOKUP(Tabela1[[#This Row],[MÊS]]&amp;Tabela1[[#This Row],[ID]]&amp;Tabela1[[#This Row],[MATRICULA]]&amp;"Motorista 4"&amp;Tabela1[[#This Row],[SETOR]],BD!A:AF,13,0),"")</f>
        <v/>
      </c>
      <c r="BQ113" s="135" t="str">
        <f>IFERROR(AVERAGE(Tabela1[[#This Row],[DMOT]:[DMOT4]]),"")</f>
        <v/>
      </c>
      <c r="BR113" s="135" t="str">
        <f>IFERROR(VLOOKUP(Tabela1[[#This Row],[MÊS]]&amp;Tabela1[[#This Row],[ID]]&amp;Tabela1[[#This Row],[MATRICULA]]&amp;"Ponto de Apoio"&amp;Tabela1[[#This Row],[SETOR]],BD!A:AF,13,0),"")</f>
        <v/>
      </c>
      <c r="BS113" s="135" t="str">
        <f>IFERROR(VLOOKUP(Tabela1[[#This Row],[MÊS]]&amp;Tabela1[[#This Row],[ID]]&amp;Tabela1[[#This Row],[MATRICULA]]&amp;"Ponto de Apoio 2"&amp;Tabela1[[#This Row],[SETOR]],BD!A:AF,13,0),"")</f>
        <v/>
      </c>
      <c r="BT113" s="135" t="str">
        <f>IFERROR(VLOOKUP(Tabela1[[#This Row],[MÊS]]&amp;Tabela1[[#This Row],[ID]]&amp;Tabela1[[#This Row],[MATRICULA]]&amp;"Ponto de Apoio 3"&amp;Tabela1[[#This Row],[SETOR]],BD!A:AF,13,0),"")</f>
        <v/>
      </c>
      <c r="BU113" s="135" t="str">
        <f>IFERROR(VLOOKUP(Tabela1[[#This Row],[MÊS]]&amp;Tabela1[[#This Row],[ID]]&amp;Tabela1[[#This Row],[MATRICULA]]&amp;"Ponto de Apoio 4"&amp;Tabela1[[#This Row],[SETOR]],BD!A:AF,13,0),"")</f>
        <v/>
      </c>
      <c r="BV113" s="135" t="str">
        <f>IFERROR(AVERAGE(Tabela1[[#This Row],[DPA]:[DPA 4]]),"")</f>
        <v/>
      </c>
      <c r="BW113" s="135" t="str">
        <f>IFERROR(VLOOKUP(Tabela1[[#This Row],[MÊS]]&amp;Tabela1[[#This Row],[ID]]&amp;Tabela1[[#This Row],[MATRICULA]]&amp;"Cliente"&amp;Tabela1[[#This Row],[SETOR]],BD!A:AF,13,0),"")</f>
        <v/>
      </c>
      <c r="BX113" s="135" t="str">
        <f>IFERROR(VLOOKUP(Tabela1[[#This Row],[MÊS]]&amp;Tabela1[[#This Row],[ID]]&amp;Tabela1[[#This Row],[MATRICULA]]&amp;"cliente 2"&amp;Tabela1[[#This Row],[SETOR]],BD!A:AF,13,0),"")</f>
        <v/>
      </c>
      <c r="BY113" s="135" t="str">
        <f>IFERROR(VLOOKUP(Tabela1[[#This Row],[MÊS]]&amp;Tabela1[[#This Row],[ID]]&amp;Tabela1[[#This Row],[MATRICULA]]&amp;"cliente 3"&amp;Tabela1[[#This Row],[SETOR]],BD!A:AF,13,0),"")</f>
        <v/>
      </c>
      <c r="BZ113" s="135" t="str">
        <f>IFERROR(VLOOKUP(Tabela1[[#This Row],[MÊS]]&amp;Tabela1[[#This Row],[ID]]&amp;Tabela1[[#This Row],[MATRICULA]]&amp;"cliente 4"&amp;Tabela1[[#This Row],[SETOR]],BD!A:AF,13,0),"")</f>
        <v/>
      </c>
      <c r="CA113" s="135" t="str">
        <f>IFERROR(AVERAGE(Tabela1[[#This Row],[DCLI]:[DCLI 4]]),"")</f>
        <v/>
      </c>
      <c r="CB113" s="135" t="str">
        <f>IFERROR(VLOOKUP(Tabela1[[#This Row],[MÊS]]&amp;Tabela1[[#This Row],[ID]]&amp;Tabela1[[#This Row],[MATRICULA]]&amp;"Policia"&amp;Tabela1[[#This Row],[SETOR]],BD!A:AF,13,0),"")</f>
        <v/>
      </c>
      <c r="CC113" s="135" t="str">
        <f>IFERROR(VLOOKUP(Tabela1[[#This Row],[MÊS]]&amp;Tabela1[[#This Row],[ID]]&amp;Tabela1[[#This Row],[MATRICULA]]&amp;"Policia 2"&amp;Tabela1[[#This Row],[SETOR]],BD!A:AF,13,0),"")</f>
        <v/>
      </c>
      <c r="CD113" s="135"/>
      <c r="CE113" s="135"/>
      <c r="CF113" s="135" t="str">
        <f>IFERROR((AVERAGE(Tabela1[[#This Row],[DPOL1]:[DPOL4]])),"")</f>
        <v/>
      </c>
      <c r="CG113" s="21" t="str">
        <f>IFERROR(VLOOKUP(Tabela1[[#This Row],[ID]]&amp;Tabela1[[#This Row],[MÊS]]&amp;Tabela1[[#This Row],[MATRICULA]],#REF!,2,0),"")</f>
        <v/>
      </c>
      <c r="CH113" s="21" t="str">
        <f>IFERROR(VLOOKUP(Tabela1[[#This Row],[ID]]&amp;Tabela1[[#This Row],[MÊS]]&amp;Tabela1[[#This Row],[MATRICULA]],#REF!,2,0),"")</f>
        <v/>
      </c>
      <c r="CI113" s="21" t="str">
        <f>IFERROR(VLOOKUP(Tabela1[[#This Row],[MÊS]]&amp;Tabela1[[#This Row],[MATRICULA]],#REF!,2,0),"")</f>
        <v/>
      </c>
    </row>
    <row r="114" spans="1:87">
      <c r="A114" s="12" t="str">
        <f>Tabela1[[#This Row],[MÊS]]&amp;Tabela1[[#This Row],[MATRICULA]]&amp;Tabela1[[#This Row],[ID]]</f>
        <v>JAN106107</v>
      </c>
      <c r="B114" s="12" t="str">
        <f>Tabela1[[#This Row],[MÊS]]&amp;Tabela1[[#This Row],[ID]]&amp;Tabela1[[#This Row],[MATRICULA]]&amp;Tabela1[[#This Row],[SETOR]]</f>
        <v>JAN710610UTI</v>
      </c>
      <c r="C114" s="130" t="e">
        <f>VLOOKUP(Tabela1[[#This Row],[MATRICULA]],'BD Campos'!A:D,5,0)</f>
        <v>#REF!</v>
      </c>
      <c r="D114" s="133" t="str">
        <f ca="1">IFERROR(SUM(TODAY()-Tabela1[[#This Row],[ADMISSÃO]]),"")</f>
        <v/>
      </c>
      <c r="E114" s="11" t="str">
        <f ca="1">IFERROR(TRUNC(Tabela1[[#This Row],[TEMPO DE CASA (DIAS)]]/30),"")</f>
        <v/>
      </c>
      <c r="F114" s="32" t="str">
        <f ca="1">IFERROR(SUM(Tabela1[[#This Row],[TEMPO DE CASA (MESES)]]/12),"")</f>
        <v/>
      </c>
      <c r="G114" s="133" t="str">
        <f ca="1">IF(Tabela1[[#This Row],[TEMPO DE CASA (DIAS)]]="","SEM DADOS",IF(Tabela1[[#This Row],[TEMPO DE CASA (DIAS)]]&gt;180,"&gt; 6 MESES","&lt; 6 MESES"))</f>
        <v>SEM DADOS</v>
      </c>
      <c r="H114" s="12" t="str">
        <f t="shared" si="11"/>
        <v>JANHervert Moreira7</v>
      </c>
      <c r="I114" s="12" t="str">
        <f>IFERROR(VLOOKUP(Tabela1[[#This Row],[MATRICULA]],'BD Campos'!A:F,7,0),"")</f>
        <v/>
      </c>
      <c r="J114" s="11">
        <v>7</v>
      </c>
      <c r="K114" s="11" t="s">
        <v>669</v>
      </c>
      <c r="L114" s="136">
        <v>10610</v>
      </c>
      <c r="M114" s="12" t="str">
        <f>IFERROR(VLOOKUP(Tabela1[[#This Row],[MATRICULA]],'BD Campos'!A:B,2,0),"")</f>
        <v>MILENY RODRIGUES</v>
      </c>
      <c r="N114" s="20">
        <f>IFERROR(AVERAGE(Tabela1[[#This Row],[A1]:[A4]]),"")</f>
        <v>3.7399999999999998</v>
      </c>
      <c r="O114" s="20" t="str">
        <f>IFERROR(IF(Tabela1[[#This Row],[SETOR]]="RECEPTIVO","",AVERAGE(Tabela1[[#This Row],[A5]:[A6]])),"")</f>
        <v/>
      </c>
      <c r="P114" s="20" t="str">
        <f>IFERROR(IF(Tabela1[[#This Row],[STATUS]]="INATIVO","INATIVO",IF(Tabela1[[#This Row],[STATUS]]="QRT","INATIVO",IF(Tabela1[[#This Row],[OPERACIONAL]]&gt;7.99999,"BOM","RUIM"))),"")</f>
        <v>RUIM</v>
      </c>
      <c r="Q114" s="21" t="s">
        <v>667</v>
      </c>
      <c r="R114" s="12" t="s">
        <v>698</v>
      </c>
      <c r="S114" s="12" t="s">
        <v>699</v>
      </c>
      <c r="T114" s="12" t="s">
        <v>128</v>
      </c>
      <c r="U11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0.9</v>
      </c>
      <c r="V11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-0.02</v>
      </c>
      <c r="W114" s="12">
        <f>IF(AND(Tabela1[[#This Row],[SETOR]]="UTI",Tabela1[[#This Row],[M]]&lt;&gt;""),1,IF(AND(Tabela1[[#This Row],[SETOR]]="UTI (RJ)",Tabela1[[#This Row],[M]]&lt;&gt;""),1.5,0))</f>
        <v>1</v>
      </c>
      <c r="X114" s="12">
        <f>IF(AND(Tabela1[[#This Row],[SETOR]]="UTI",Tabela1[[#This Row],[PA2]]&lt;&gt;""),1,IF(AND(Tabela1[[#This Row],[SETOR]]="UTI (RJ)",Tabela1[[#This Row],[PA2]]&lt;&gt;""),0,0))</f>
        <v>0</v>
      </c>
      <c r="Y114" s="12">
        <f>IF(AND(Tabela1[[#This Row],[SETOR]]="UTI",Tabela1[[#This Row],[C]]&lt;&gt;""),1,IF(AND(Tabela1[[#This Row],[SETOR]]="UTI (RJ)",Tabela1[[#This Row],[C]]&lt;&gt;""),1.5,0))</f>
        <v>0</v>
      </c>
      <c r="Z114" s="12">
        <v>1</v>
      </c>
      <c r="AA114" s="21">
        <f>IFERROR(VLOOKUP(Tabela1[[#This Row],[MÊS]]&amp;Tabela1[[#This Row],[MATRICULA]]&amp;"1"&amp;Tabela1[[#This Row],[SETOR]]&amp;"PADRÃO",BD!B:AF,31,0),"")</f>
        <v>7.4799999999999995</v>
      </c>
      <c r="AB114" s="21">
        <f>IFERROR(VLOOKUP(Tabela1[[#This Row],[MÊS]]&amp;Tabela1[[#This Row],[MATRICULA]]&amp;"2"&amp;Tabela1[[#This Row],[SETOR]]&amp;"PADRÃO",BD!B:AF,31,0),"")</f>
        <v>0</v>
      </c>
      <c r="AC114" s="21" t="str">
        <f>IFERROR(VLOOKUP(Tabela1[[#This Row],[MÊS]]&amp;Tabela1[[#This Row],[MATRICULA]]&amp;"3"&amp;Tabela1[[#This Row],[SETOR]]&amp;"PADRÃO",BD!B:AF,31,0),"")</f>
        <v/>
      </c>
      <c r="AD114" s="21" t="str">
        <f>IFERROR(VLOOKUP(Tabela1[[#This Row],[MÊS]]&amp;Tabela1[[#This Row],[MATRICULA]]&amp;"4"&amp;Tabela1[[#This Row],[SETOR]]&amp;"PADRÃO",BD!B:AF,25,0),"")</f>
        <v/>
      </c>
      <c r="AE114" s="21" t="str">
        <f>IFERROR(VLOOKUP(Tabela1[[#This Row],[MÊS]]&amp;Tabela1[[#This Row],[MATRICULA]]&amp;"5"&amp;Tabela1[[#This Row],[SETOR]]&amp;"PADRÃO",BD!B:AF,31,0),"")</f>
        <v/>
      </c>
      <c r="AF114" s="21" t="str">
        <f>IFERROR(VLOOKUP(Tabela1[[#This Row],[MÊS]]&amp;Tabela1[[#This Row],[MATRICULA]]&amp;"6"&amp;Tabela1[[#This Row],[SETOR]]&amp;"PADRÃO",BD!B:AF,31,0),"")</f>
        <v/>
      </c>
      <c r="AG114" s="21" t="str">
        <f>IFERROR(VLOOKUP(Tabela1[[#This Row],[MÊS]]&amp;Tabela1[[#This Row],[MATRICULA]]&amp;"7"&amp;Tabela1[[#This Row],[SETOR]]&amp;"PADRÃO",BD!B:AF,31,0),"")</f>
        <v/>
      </c>
      <c r="AH114" s="21" t="str">
        <f>IFERROR(VLOOKUP(Tabela1[[#This Row],[MÊS]]&amp;Tabela1[[#This Row],[ID]]&amp;Tabela1[[#This Row],[MATRICULA]]&amp;"Receptiva"&amp;Tabela1[[#This Row],[SETOR]],BD!A:AF,31,0),"")</f>
        <v/>
      </c>
      <c r="AI114" s="21" t="str">
        <f>IFERROR(VLOOKUP(Tabela1[[#This Row],[MÊS]]&amp;Tabela1[[#This Row],[ID]]&amp;Tabela1[[#This Row],[MATRICULA]]&amp;"Receptiva 2"&amp;Tabela1[[#This Row],[SETOR]],BD!A:AF,31,0),"")</f>
        <v/>
      </c>
      <c r="AJ114" s="21" t="str">
        <f>IFERROR(VLOOKUP(Tabela1[[#This Row],[MÊS]]&amp;Tabela1[[#This Row],[ID]]&amp;Tabela1[[#This Row],[MATRICULA]]&amp;"Receptiva 3"&amp;Tabela1[[#This Row],[SETOR]],BD!A:AF,31,0),"")</f>
        <v/>
      </c>
      <c r="AK114" s="21" t="str">
        <f>IFERROR(VLOOKUP(Tabela1[[#This Row],[MÊS]]&amp;Tabela1[[#This Row],[ID]]&amp;Tabela1[[#This Row],[MATRICULA]]&amp;"Receptiva 4"&amp;Tabela1[[#This Row],[SETOR]],BD!A:AF,31,0),"")</f>
        <v/>
      </c>
      <c r="AL114" s="21">
        <f>IFERROR(VLOOKUP(Tabela1[[#This Row],[MÊS]]&amp;Tabela1[[#This Row],[MATRICULA]]&amp;"Motorista"&amp;Tabela1[[#This Row],[SETOR]],BD!A:AF,31,0),"")</f>
        <v>0</v>
      </c>
      <c r="AM114" s="21" t="str">
        <f>IFERROR(VLOOKUP(Tabela1[[#This Row],[MÊS]]&amp;Tabela1[[#This Row],[ID]]&amp;Tabela1[[#This Row],[MATRICULA]]&amp;"Motorista 2"&amp;Tabela1[[#This Row],[SETOR]],BD!A:AF,26,0),"")</f>
        <v/>
      </c>
      <c r="AN114" s="21" t="str">
        <f>IFERROR(VLOOKUP(Tabela1[[#This Row],[MÊS]]&amp;Tabela1[[#This Row],[ID]]&amp;Tabela1[[#This Row],[MATRICULA]]&amp;"Motorista 3"&amp;Tabela1[[#This Row],[SETOR]],BD!A:AF,26,0),"")</f>
        <v/>
      </c>
      <c r="AO114" s="21" t="str">
        <f>IFERROR(VLOOKUP(Tabela1[[#This Row],[MÊS]]&amp;Tabela1[[#This Row],[ID]]&amp;Tabela1[[#This Row],[MATRICULA]]&amp;"Motorista 4"&amp;Tabela1[[#This Row],[SETOR]],BD!A:AF,26,0),"")</f>
        <v/>
      </c>
      <c r="AP114" s="21" t="str">
        <f>IFERROR(VLOOKUP(Tabela1[[#This Row],[MÊS]]&amp;Tabela1[[#This Row],[MATRICULA]]&amp;"Ponto de Apoio"&amp;Tabela1[[#This Row],[SETOR]],BD!A:AF,31,0),"")</f>
        <v/>
      </c>
      <c r="AQ114" s="21" t="str">
        <f>IFERROR(VLOOKUP(Tabela1[[#This Row],[MÊS]]&amp;Tabela1[[#This Row],[ID]]&amp;Tabela1[[#This Row],[MATRICULA]]&amp;"Ponto de Apoio 2"&amp;Tabela1[[#This Row],[SETOR]],BD!A:AF,26,0),"")</f>
        <v/>
      </c>
      <c r="AR114" s="36" t="str">
        <f>IFERROR(VLOOKUP(Tabela1[[#This Row],[MÊS]]&amp;Tabela1[[#This Row],[ID]]&amp;Tabela1[[#This Row],[MATRICULA]]&amp;"Ponto de Apoio 3"&amp;Tabela1[[#This Row],[SETOR]],BD!A:AF,26,0),"")</f>
        <v/>
      </c>
      <c r="AS114" s="36" t="str">
        <f>IFERROR(VLOOKUP(Tabela1[[#This Row],[MÊS]]&amp;Tabela1[[#This Row],[ID]]&amp;Tabela1[[#This Row],[MATRICULA]]&amp;"Ponto de Apoio 4"&amp;Tabela1[[#This Row],[SETOR]],BD!A:AF,26,0),"")</f>
        <v/>
      </c>
      <c r="AT114" s="21" t="str">
        <f>IFERROR(VLOOKUP(Tabela1[[#This Row],[MÊS]]&amp;Tabela1[[#This Row],[MATRICULA]]&amp;"Cliente"&amp;Tabela1[[#This Row],[SETOR]],BD!A:AF,31,0),"")</f>
        <v/>
      </c>
      <c r="AU114" s="21" t="str">
        <f>IFERROR(VLOOKUP(Tabela1[[#This Row],[MÊS]]&amp;Tabela1[[#This Row],[ID]]&amp;Tabela1[[#This Row],[MATRICULA]]&amp;"Cliente 2"&amp;Tabela1[[#This Row],[SETOR]],BD!A:AF,26,0),"")</f>
        <v/>
      </c>
      <c r="AX114" s="21" t="str">
        <f>IFERROR(VLOOKUP(Tabela1[[#This Row],[MÊS]]&amp;Tabela1[[#This Row],[MATRICULA]]&amp;"Policia"&amp;Tabela1[[#This Row],[SETOR]],BD!A:AF,31,0),"")</f>
        <v/>
      </c>
      <c r="AY114" s="21" t="str">
        <f>IFERROR(VLOOKUP(Tabela1[[#This Row],[MÊS]]&amp;Tabela1[[#This Row],[ID]]&amp;Tabela1[[#This Row],[MATRICULA]]&amp;"Policia 2"&amp;Tabela1[[#This Row],[SETOR]],BD!A:AF,26,0),"")</f>
        <v/>
      </c>
      <c r="AZ114" s="36" t="str">
        <f>IFERROR(VLOOKUP(Tabela1[[#This Row],[MÊS]]&amp;Tabela1[[#This Row],[ID]]&amp;Tabela1[[#This Row],[MATRICULA]]&amp;"Policia 3"&amp;Tabela1[[#This Row],[SETOR]],BD!A:AF,26,0),"")</f>
        <v/>
      </c>
      <c r="BA114" s="36" t="str">
        <f>IFERROR(VLOOKUP(Tabela1[[#This Row],[MÊS]]&amp;Tabela1[[#This Row],[ID]]&amp;Tabela1[[#This Row],[MATRICULA]]&amp;"Policia 4"&amp;Tabela1[[#This Row],[SETOR]],BD!A:AF,26,0),"")</f>
        <v/>
      </c>
      <c r="BB11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14" s="21">
        <f>IFERROR(AVERAGE(Tabela1[[#This Row],[M]:[M4]]),"")</f>
        <v>0</v>
      </c>
      <c r="BD114" s="21" t="str">
        <f>IFERROR(AVERAGE(Tabela1[[#This Row],[C]:[C4]]),"")</f>
        <v/>
      </c>
      <c r="BE114" s="21" t="str">
        <f>IFERROR(AVERAGE(Tabela1[[#This Row],[PA2]:[PA 4]]),"")</f>
        <v/>
      </c>
      <c r="BF114" s="21" t="str">
        <f>IFERROR(AVERAGE(Tabela1[[#This Row],[PL]:[PL4]]),"")</f>
        <v/>
      </c>
      <c r="BG114" s="35" t="str">
        <f>IFERROR(VLOOKUP(Tabela1[[#This Row],[MÊS]]&amp;Tabela1[[#This Row],[MATRICULA]],#REF!,2,0),"")</f>
        <v/>
      </c>
      <c r="BH114" s="35" t="str">
        <f>IFERROR(VLOOKUP(Tabela1[[#This Row],[MÊS]]&amp;Tabela1[[#This Row],[MATRICULA]],#REF!,2,0),"")</f>
        <v/>
      </c>
      <c r="BI114" s="35" t="str">
        <f>IFERROR(VLOOKUP(Tabela1[[#This Row],[MÊS]]&amp;Tabela1[[#This Row],[MATRICULA]],#REF!,2,0),"")</f>
        <v/>
      </c>
      <c r="BJ114" s="35" t="str">
        <f>IFERROR(VLOOKUP(Tabela1[[#This Row],[MÊS]]&amp;Tabela1[[#This Row],[MATRICULA]],#REF!,2,0),"")</f>
        <v/>
      </c>
      <c r="BK114" s="35" t="str">
        <f>IFERROR(VLOOKUP(Tabela1[[#This Row],[MÊS]]&amp;Tabela1[[#This Row],[MATRICULA]],#REF!,2,0),"")</f>
        <v/>
      </c>
      <c r="BL114" s="21">
        <f>COUNTIF(Tabela1[[#This Row],[MOT2]:[RECEPTIVA]],"NÃO ENCONTRADA")</f>
        <v>0</v>
      </c>
      <c r="BM114" s="135" t="str">
        <f>IFERROR(VLOOKUP(Tabela1[[#This Row],[MÊS]]&amp;Tabela1[[#This Row],[ID]]&amp;Tabela1[[#This Row],[MATRICULA]]&amp;"Motorista"&amp;Tabela1[[#This Row],[SETOR]],BD!A:AF,13,0),"")</f>
        <v/>
      </c>
      <c r="BN114" s="135" t="str">
        <f>IFERROR(VLOOKUP(Tabela1[[#This Row],[MÊS]]&amp;Tabela1[[#This Row],[ID]]&amp;Tabela1[[#This Row],[MATRICULA]]&amp;"Motorista 2"&amp;Tabela1[[#This Row],[SETOR]],BD!A:AF,13,0),"")</f>
        <v/>
      </c>
      <c r="BO114" s="135" t="str">
        <f>IFERROR(VLOOKUP(Tabela1[[#This Row],[MÊS]]&amp;Tabela1[[#This Row],[ID]]&amp;Tabela1[[#This Row],[MATRICULA]]&amp;"Motorista 3"&amp;Tabela1[[#This Row],[SETOR]],BD!A:AF,13,0),"")</f>
        <v/>
      </c>
      <c r="BP114" s="135" t="str">
        <f>IFERROR(VLOOKUP(Tabela1[[#This Row],[MÊS]]&amp;Tabela1[[#This Row],[ID]]&amp;Tabela1[[#This Row],[MATRICULA]]&amp;"Motorista 4"&amp;Tabela1[[#This Row],[SETOR]],BD!A:AF,13,0),"")</f>
        <v/>
      </c>
      <c r="BQ114" s="135" t="str">
        <f>IFERROR(AVERAGE(Tabela1[[#This Row],[DMOT]:[DMOT4]]),"")</f>
        <v/>
      </c>
      <c r="BR114" s="135" t="str">
        <f>IFERROR(VLOOKUP(Tabela1[[#This Row],[MÊS]]&amp;Tabela1[[#This Row],[ID]]&amp;Tabela1[[#This Row],[MATRICULA]]&amp;"Ponto de Apoio"&amp;Tabela1[[#This Row],[SETOR]],BD!A:AF,13,0),"")</f>
        <v/>
      </c>
      <c r="BS114" s="135" t="str">
        <f>IFERROR(VLOOKUP(Tabela1[[#This Row],[MÊS]]&amp;Tabela1[[#This Row],[ID]]&amp;Tabela1[[#This Row],[MATRICULA]]&amp;"Ponto de Apoio 2"&amp;Tabela1[[#This Row],[SETOR]],BD!A:AF,13,0),"")</f>
        <v/>
      </c>
      <c r="BT114" s="135" t="str">
        <f>IFERROR(VLOOKUP(Tabela1[[#This Row],[MÊS]]&amp;Tabela1[[#This Row],[ID]]&amp;Tabela1[[#This Row],[MATRICULA]]&amp;"Ponto de Apoio 3"&amp;Tabela1[[#This Row],[SETOR]],BD!A:AF,13,0),"")</f>
        <v/>
      </c>
      <c r="BU114" s="135" t="str">
        <f>IFERROR(VLOOKUP(Tabela1[[#This Row],[MÊS]]&amp;Tabela1[[#This Row],[ID]]&amp;Tabela1[[#This Row],[MATRICULA]]&amp;"Ponto de Apoio 4"&amp;Tabela1[[#This Row],[SETOR]],BD!A:AF,13,0),"")</f>
        <v/>
      </c>
      <c r="BV114" s="135" t="str">
        <f>IFERROR(AVERAGE(Tabela1[[#This Row],[DPA]:[DPA 4]]),"")</f>
        <v/>
      </c>
      <c r="BW114" s="135" t="str">
        <f>IFERROR(VLOOKUP(Tabela1[[#This Row],[MÊS]]&amp;Tabela1[[#This Row],[ID]]&amp;Tabela1[[#This Row],[MATRICULA]]&amp;"Cliente"&amp;Tabela1[[#This Row],[SETOR]],BD!A:AF,13,0),"")</f>
        <v/>
      </c>
      <c r="BX114" s="135" t="str">
        <f>IFERROR(VLOOKUP(Tabela1[[#This Row],[MÊS]]&amp;Tabela1[[#This Row],[ID]]&amp;Tabela1[[#This Row],[MATRICULA]]&amp;"cliente 2"&amp;Tabela1[[#This Row],[SETOR]],BD!A:AF,13,0),"")</f>
        <v/>
      </c>
      <c r="BY114" s="135" t="str">
        <f>IFERROR(VLOOKUP(Tabela1[[#This Row],[MÊS]]&amp;Tabela1[[#This Row],[ID]]&amp;Tabela1[[#This Row],[MATRICULA]]&amp;"cliente 3"&amp;Tabela1[[#This Row],[SETOR]],BD!A:AF,13,0),"")</f>
        <v/>
      </c>
      <c r="BZ114" s="135" t="str">
        <f>IFERROR(VLOOKUP(Tabela1[[#This Row],[MÊS]]&amp;Tabela1[[#This Row],[ID]]&amp;Tabela1[[#This Row],[MATRICULA]]&amp;"cliente 4"&amp;Tabela1[[#This Row],[SETOR]],BD!A:AF,13,0),"")</f>
        <v/>
      </c>
      <c r="CA114" s="135" t="str">
        <f>IFERROR(AVERAGE(Tabela1[[#This Row],[DCLI]:[DCLI 4]]),"")</f>
        <v/>
      </c>
      <c r="CB114" s="135" t="str">
        <f>IFERROR(VLOOKUP(Tabela1[[#This Row],[MÊS]]&amp;Tabela1[[#This Row],[ID]]&amp;Tabela1[[#This Row],[MATRICULA]]&amp;"Policia"&amp;Tabela1[[#This Row],[SETOR]],BD!A:AF,13,0),"")</f>
        <v/>
      </c>
      <c r="CC114" s="135" t="str">
        <f>IFERROR(VLOOKUP(Tabela1[[#This Row],[MÊS]]&amp;Tabela1[[#This Row],[ID]]&amp;Tabela1[[#This Row],[MATRICULA]]&amp;"Policia 2"&amp;Tabela1[[#This Row],[SETOR]],BD!A:AF,13,0),"")</f>
        <v/>
      </c>
      <c r="CD114" s="135"/>
      <c r="CE114" s="135"/>
      <c r="CF114" s="135" t="str">
        <f>IFERROR((AVERAGE(Tabela1[[#This Row],[DPOL1]:[DPOL4]])),"")</f>
        <v/>
      </c>
      <c r="CG114" s="21" t="str">
        <f>IFERROR(VLOOKUP(Tabela1[[#This Row],[ID]]&amp;Tabela1[[#This Row],[MÊS]]&amp;Tabela1[[#This Row],[MATRICULA]],#REF!,2,0),"")</f>
        <v/>
      </c>
      <c r="CH114" s="21" t="str">
        <f>IFERROR(VLOOKUP(Tabela1[[#This Row],[ID]]&amp;Tabela1[[#This Row],[MÊS]]&amp;Tabela1[[#This Row],[MATRICULA]],#REF!,2,0),"")</f>
        <v/>
      </c>
      <c r="CI114" s="21" t="str">
        <f>IFERROR(VLOOKUP(Tabela1[[#This Row],[MÊS]]&amp;Tabela1[[#This Row],[MATRICULA]],#REF!,2,0),"")</f>
        <v/>
      </c>
    </row>
    <row r="115" spans="1:87">
      <c r="A115" s="12" t="str">
        <f>Tabela1[[#This Row],[MÊS]]&amp;Tabela1[[#This Row],[MATRICULA]]&amp;Tabela1[[#This Row],[ID]]</f>
        <v>JAN110908</v>
      </c>
      <c r="B115" s="12" t="str">
        <f>Tabela1[[#This Row],[MÊS]]&amp;Tabela1[[#This Row],[ID]]&amp;Tabela1[[#This Row],[MATRICULA]]&amp;Tabela1[[#This Row],[SETOR]]</f>
        <v>JAN811090UTI</v>
      </c>
      <c r="C115" s="130" t="e">
        <f>VLOOKUP(Tabela1[[#This Row],[MATRICULA]],'BD Campos'!A:D,5,0)</f>
        <v>#REF!</v>
      </c>
      <c r="D115" s="133" t="str">
        <f ca="1">IFERROR(SUM(TODAY()-Tabela1[[#This Row],[ADMISSÃO]]),"")</f>
        <v/>
      </c>
      <c r="E115" s="11" t="str">
        <f ca="1">IFERROR(TRUNC(Tabela1[[#This Row],[TEMPO DE CASA (DIAS)]]/30),"")</f>
        <v/>
      </c>
      <c r="F115" s="32" t="str">
        <f ca="1">IFERROR(SUM(Tabela1[[#This Row],[TEMPO DE CASA (MESES)]]/12),"")</f>
        <v/>
      </c>
      <c r="G115" s="133" t="str">
        <f ca="1">IF(Tabela1[[#This Row],[TEMPO DE CASA (DIAS)]]="","SEM DADOS",IF(Tabela1[[#This Row],[TEMPO DE CASA (DIAS)]]&gt;180,"&gt; 6 MESES","&lt; 6 MESES"))</f>
        <v>SEM DADOS</v>
      </c>
      <c r="H115" s="12" t="str">
        <f t="shared" si="11"/>
        <v>JANHervert Moreira8</v>
      </c>
      <c r="I115" s="12" t="str">
        <f>IFERROR(VLOOKUP(Tabela1[[#This Row],[MATRICULA]],'BD Campos'!A:F,7,0),"")</f>
        <v/>
      </c>
      <c r="J115" s="11">
        <v>8</v>
      </c>
      <c r="K115" s="11" t="s">
        <v>669</v>
      </c>
      <c r="L115" s="136">
        <v>11090</v>
      </c>
      <c r="M115" s="12" t="str">
        <f>IFERROR(VLOOKUP(Tabela1[[#This Row],[MATRICULA]],'BD Campos'!A:B,2,0),"")</f>
        <v>SOLANGE MIRANDA DE ARAÚJO</v>
      </c>
      <c r="N115" s="20">
        <f>IFERROR(AVERAGE(Tabela1[[#This Row],[A1]:[A4]]),"")</f>
        <v>7.4432499999999999</v>
      </c>
      <c r="O115" s="20" t="str">
        <f>IFERROR(IF(Tabela1[[#This Row],[SETOR]]="RECEPTIVO","",AVERAGE(Tabela1[[#This Row],[A5]:[A6]])),"")</f>
        <v/>
      </c>
      <c r="P115" s="20" t="str">
        <f>IFERROR(IF(Tabela1[[#This Row],[STATUS]]="INATIVO","INATIVO",IF(Tabela1[[#This Row],[STATUS]]="QRT","INATIVO",IF(Tabela1[[#This Row],[OPERACIONAL]]&gt;7.99999,"BOM","RUIM"))),"")</f>
        <v>RUIM</v>
      </c>
      <c r="Q115" s="21" t="s">
        <v>667</v>
      </c>
      <c r="R115" s="12" t="s">
        <v>698</v>
      </c>
      <c r="S115" s="12" t="s">
        <v>699</v>
      </c>
      <c r="T115" s="12" t="s">
        <v>128</v>
      </c>
      <c r="U11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1.1000000000000001</v>
      </c>
      <c r="V11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0.04</v>
      </c>
      <c r="W115" s="12">
        <f>IF(AND(Tabela1[[#This Row],[SETOR]]="UTI",Tabela1[[#This Row],[M]]&lt;&gt;""),1,IF(AND(Tabela1[[#This Row],[SETOR]]="UTI (RJ)",Tabela1[[#This Row],[M]]&lt;&gt;""),1.5,0))</f>
        <v>1</v>
      </c>
      <c r="X115" s="12">
        <v>1</v>
      </c>
      <c r="Y115" s="12">
        <f>IF(AND(Tabela1[[#This Row],[SETOR]]="UTI",Tabela1[[#This Row],[C]]&lt;&gt;""),1,IF(AND(Tabela1[[#This Row],[SETOR]]="UTI (RJ)",Tabela1[[#This Row],[C]]&lt;&gt;""),1.5,0))</f>
        <v>1</v>
      </c>
      <c r="Z115" s="12">
        <v>1</v>
      </c>
      <c r="AA115" s="21">
        <f>IFERROR(VLOOKUP(Tabela1[[#This Row],[MÊS]]&amp;Tabela1[[#This Row],[MATRICULA]]&amp;"1"&amp;Tabela1[[#This Row],[SETOR]]&amp;"PADRÃO",BD!B:AF,31,0),"")</f>
        <v>7.2700000000000005</v>
      </c>
      <c r="AB115" s="21">
        <f>IFERROR(VLOOKUP(Tabela1[[#This Row],[MÊS]]&amp;Tabela1[[#This Row],[MATRICULA]]&amp;"2"&amp;Tabela1[[#This Row],[SETOR]]&amp;"PADRÃO",BD!B:AF,31,0),"")</f>
        <v>7.6164999999999994</v>
      </c>
      <c r="AC115" s="21" t="str">
        <f>IFERROR(VLOOKUP(Tabela1[[#This Row],[MÊS]]&amp;Tabela1[[#This Row],[MATRICULA]]&amp;"3"&amp;Tabela1[[#This Row],[SETOR]]&amp;"PADRÃO",BD!B:AF,31,0),"")</f>
        <v/>
      </c>
      <c r="AD115" s="21" t="str">
        <f>IFERROR(VLOOKUP(Tabela1[[#This Row],[MÊS]]&amp;Tabela1[[#This Row],[MATRICULA]]&amp;"4"&amp;Tabela1[[#This Row],[SETOR]]&amp;"PADRÃO",BD!B:AF,25,0),"")</f>
        <v/>
      </c>
      <c r="AE115" s="21" t="str">
        <f>IFERROR(VLOOKUP(Tabela1[[#This Row],[MÊS]]&amp;Tabela1[[#This Row],[MATRICULA]]&amp;"5"&amp;Tabela1[[#This Row],[SETOR]]&amp;"PADRÃO",BD!B:AF,31,0),"")</f>
        <v/>
      </c>
      <c r="AF115" s="21" t="str">
        <f>IFERROR(VLOOKUP(Tabela1[[#This Row],[MÊS]]&amp;Tabela1[[#This Row],[MATRICULA]]&amp;"6"&amp;Tabela1[[#This Row],[SETOR]]&amp;"PADRÃO",BD!B:AF,31,0),"")</f>
        <v/>
      </c>
      <c r="AG115" s="21" t="str">
        <f>IFERROR(VLOOKUP(Tabela1[[#This Row],[MÊS]]&amp;Tabela1[[#This Row],[MATRICULA]]&amp;"7"&amp;Tabela1[[#This Row],[SETOR]]&amp;"PADRÃO",BD!B:AF,31,0),"")</f>
        <v/>
      </c>
      <c r="AH115" s="21" t="str">
        <f>IFERROR(VLOOKUP(Tabela1[[#This Row],[MÊS]]&amp;Tabela1[[#This Row],[ID]]&amp;Tabela1[[#This Row],[MATRICULA]]&amp;"Receptiva"&amp;Tabela1[[#This Row],[SETOR]],BD!A:AF,31,0),"")</f>
        <v/>
      </c>
      <c r="AI115" s="21" t="str">
        <f>IFERROR(VLOOKUP(Tabela1[[#This Row],[MÊS]]&amp;Tabela1[[#This Row],[ID]]&amp;Tabela1[[#This Row],[MATRICULA]]&amp;"Receptiva 2"&amp;Tabela1[[#This Row],[SETOR]],BD!A:AF,31,0),"")</f>
        <v/>
      </c>
      <c r="AJ115" s="21" t="str">
        <f>IFERROR(VLOOKUP(Tabela1[[#This Row],[MÊS]]&amp;Tabela1[[#This Row],[ID]]&amp;Tabela1[[#This Row],[MATRICULA]]&amp;"Receptiva 3"&amp;Tabela1[[#This Row],[SETOR]],BD!A:AF,31,0),"")</f>
        <v/>
      </c>
      <c r="AK115" s="21" t="str">
        <f>IFERROR(VLOOKUP(Tabela1[[#This Row],[MÊS]]&amp;Tabela1[[#This Row],[ID]]&amp;Tabela1[[#This Row],[MATRICULA]]&amp;"Receptiva 4"&amp;Tabela1[[#This Row],[SETOR]],BD!A:AF,31,0),"")</f>
        <v/>
      </c>
      <c r="AL115" s="21">
        <f>IFERROR(VLOOKUP(Tabela1[[#This Row],[MÊS]]&amp;Tabela1[[#This Row],[MATRICULA]]&amp;"Motorista"&amp;Tabela1[[#This Row],[SETOR]],BD!A:AF,31,0),"")</f>
        <v>0</v>
      </c>
      <c r="AM115" s="21" t="str">
        <f>IFERROR(VLOOKUP(Tabela1[[#This Row],[MÊS]]&amp;Tabela1[[#This Row],[ID]]&amp;Tabela1[[#This Row],[MATRICULA]]&amp;"Motorista 2"&amp;Tabela1[[#This Row],[SETOR]],BD!A:AF,26,0),"")</f>
        <v/>
      </c>
      <c r="AN115" s="21" t="str">
        <f>IFERROR(VLOOKUP(Tabela1[[#This Row],[MÊS]]&amp;Tabela1[[#This Row],[ID]]&amp;Tabela1[[#This Row],[MATRICULA]]&amp;"Motorista 3"&amp;Tabela1[[#This Row],[SETOR]],BD!A:AF,26,0),"")</f>
        <v/>
      </c>
      <c r="AO115" s="21" t="str">
        <f>IFERROR(VLOOKUP(Tabela1[[#This Row],[MÊS]]&amp;Tabela1[[#This Row],[ID]]&amp;Tabela1[[#This Row],[MATRICULA]]&amp;"Motorista 4"&amp;Tabela1[[#This Row],[SETOR]],BD!A:AF,26,0),"")</f>
        <v/>
      </c>
      <c r="AP115" s="21" t="str">
        <f>IFERROR(VLOOKUP(Tabela1[[#This Row],[MÊS]]&amp;Tabela1[[#This Row],[MATRICULA]]&amp;"Ponto de Apoio"&amp;Tabela1[[#This Row],[SETOR]],BD!A:AF,31,0),"")</f>
        <v/>
      </c>
      <c r="AQ115" s="21" t="str">
        <f>IFERROR(VLOOKUP(Tabela1[[#This Row],[MÊS]]&amp;Tabela1[[#This Row],[ID]]&amp;Tabela1[[#This Row],[MATRICULA]]&amp;"Ponto de Apoio 2"&amp;Tabela1[[#This Row],[SETOR]],BD!A:AF,26,0),"")</f>
        <v/>
      </c>
      <c r="AR115" s="36" t="str">
        <f>IFERROR(VLOOKUP(Tabela1[[#This Row],[MÊS]]&amp;Tabela1[[#This Row],[ID]]&amp;Tabela1[[#This Row],[MATRICULA]]&amp;"Ponto de Apoio 3"&amp;Tabela1[[#This Row],[SETOR]],BD!A:AF,26,0),"")</f>
        <v/>
      </c>
      <c r="AS115" s="36" t="str">
        <f>IFERROR(VLOOKUP(Tabela1[[#This Row],[MÊS]]&amp;Tabela1[[#This Row],[ID]]&amp;Tabela1[[#This Row],[MATRICULA]]&amp;"Ponto de Apoio 4"&amp;Tabela1[[#This Row],[SETOR]],BD!A:AF,26,0),"")</f>
        <v/>
      </c>
      <c r="AT115" s="21">
        <f>IFERROR(VLOOKUP(Tabela1[[#This Row],[MÊS]]&amp;Tabela1[[#This Row],[MATRICULA]]&amp;"Cliente"&amp;Tabela1[[#This Row],[SETOR]],BD!A:AF,31,0),"")</f>
        <v>0</v>
      </c>
      <c r="AU115" s="21" t="str">
        <f>IFERROR(VLOOKUP(Tabela1[[#This Row],[MÊS]]&amp;Tabela1[[#This Row],[ID]]&amp;Tabela1[[#This Row],[MATRICULA]]&amp;"Cliente 2"&amp;Tabela1[[#This Row],[SETOR]],BD!A:AF,26,0),"")</f>
        <v/>
      </c>
      <c r="AX115" s="21" t="str">
        <f>IFERROR(VLOOKUP(Tabela1[[#This Row],[MÊS]]&amp;Tabela1[[#This Row],[MATRICULA]]&amp;"Policia"&amp;Tabela1[[#This Row],[SETOR]],BD!A:AF,31,0),"")</f>
        <v/>
      </c>
      <c r="AY115" s="21" t="str">
        <f>IFERROR(VLOOKUP(Tabela1[[#This Row],[MÊS]]&amp;Tabela1[[#This Row],[ID]]&amp;Tabela1[[#This Row],[MATRICULA]]&amp;"Policia 2"&amp;Tabela1[[#This Row],[SETOR]],BD!A:AF,26,0),"")</f>
        <v/>
      </c>
      <c r="AZ115" s="36" t="str">
        <f>IFERROR(VLOOKUP(Tabela1[[#This Row],[MÊS]]&amp;Tabela1[[#This Row],[ID]]&amp;Tabela1[[#This Row],[MATRICULA]]&amp;"Policia 3"&amp;Tabela1[[#This Row],[SETOR]],BD!A:AF,26,0),"")</f>
        <v/>
      </c>
      <c r="BA115" s="36" t="str">
        <f>IFERROR(VLOOKUP(Tabela1[[#This Row],[MÊS]]&amp;Tabela1[[#This Row],[ID]]&amp;Tabela1[[#This Row],[MATRICULA]]&amp;"Policia 4"&amp;Tabela1[[#This Row],[SETOR]],BD!A:AF,26,0),"")</f>
        <v/>
      </c>
      <c r="BB11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15" s="21">
        <f>IFERROR(AVERAGE(Tabela1[[#This Row],[M]:[M4]]),"")</f>
        <v>0</v>
      </c>
      <c r="BD115" s="21">
        <f>IFERROR(AVERAGE(Tabela1[[#This Row],[C]:[C4]]),"")</f>
        <v>0</v>
      </c>
      <c r="BE115" s="21" t="str">
        <f>IFERROR(AVERAGE(Tabela1[[#This Row],[PA2]:[PA 4]]),"")</f>
        <v/>
      </c>
      <c r="BF115" s="21" t="str">
        <f>IFERROR(AVERAGE(Tabela1[[#This Row],[PL]:[PL4]]),"")</f>
        <v/>
      </c>
      <c r="BG115" s="35" t="str">
        <f>IFERROR(VLOOKUP(Tabela1[[#This Row],[MÊS]]&amp;Tabela1[[#This Row],[MATRICULA]],#REF!,2,0),"")</f>
        <v/>
      </c>
      <c r="BH115" s="35" t="str">
        <f>IFERROR(VLOOKUP(Tabela1[[#This Row],[MÊS]]&amp;Tabela1[[#This Row],[MATRICULA]],#REF!,2,0),"")</f>
        <v/>
      </c>
      <c r="BI115" s="35" t="str">
        <f>IFERROR(VLOOKUP(Tabela1[[#This Row],[MÊS]]&amp;Tabela1[[#This Row],[MATRICULA]],#REF!,2,0),"")</f>
        <v/>
      </c>
      <c r="BJ115" s="35" t="str">
        <f>IFERROR(VLOOKUP(Tabela1[[#This Row],[MÊS]]&amp;Tabela1[[#This Row],[MATRICULA]],#REF!,2,0),"")</f>
        <v/>
      </c>
      <c r="BK115" s="35" t="str">
        <f>IFERROR(VLOOKUP(Tabela1[[#This Row],[MÊS]]&amp;Tabela1[[#This Row],[MATRICULA]],#REF!,2,0),"")</f>
        <v/>
      </c>
      <c r="BL115" s="21">
        <f>COUNTIF(Tabela1[[#This Row],[MOT2]:[RECEPTIVA]],"NÃO ENCONTRADA")</f>
        <v>0</v>
      </c>
      <c r="BM115" s="135" t="str">
        <f>IFERROR(VLOOKUP(Tabela1[[#This Row],[MÊS]]&amp;Tabela1[[#This Row],[ID]]&amp;Tabela1[[#This Row],[MATRICULA]]&amp;"Motorista"&amp;Tabela1[[#This Row],[SETOR]],BD!A:AF,13,0),"")</f>
        <v/>
      </c>
      <c r="BN115" s="135" t="str">
        <f>IFERROR(VLOOKUP(Tabela1[[#This Row],[MÊS]]&amp;Tabela1[[#This Row],[ID]]&amp;Tabela1[[#This Row],[MATRICULA]]&amp;"Motorista 2"&amp;Tabela1[[#This Row],[SETOR]],BD!A:AF,13,0),"")</f>
        <v/>
      </c>
      <c r="BO115" s="135" t="str">
        <f>IFERROR(VLOOKUP(Tabela1[[#This Row],[MÊS]]&amp;Tabela1[[#This Row],[ID]]&amp;Tabela1[[#This Row],[MATRICULA]]&amp;"Motorista 3"&amp;Tabela1[[#This Row],[SETOR]],BD!A:AF,13,0),"")</f>
        <v/>
      </c>
      <c r="BP115" s="135" t="str">
        <f>IFERROR(VLOOKUP(Tabela1[[#This Row],[MÊS]]&amp;Tabela1[[#This Row],[ID]]&amp;Tabela1[[#This Row],[MATRICULA]]&amp;"Motorista 4"&amp;Tabela1[[#This Row],[SETOR]],BD!A:AF,13,0),"")</f>
        <v/>
      </c>
      <c r="BQ115" s="135" t="str">
        <f>IFERROR(AVERAGE(Tabela1[[#This Row],[DMOT]:[DMOT4]]),"")</f>
        <v/>
      </c>
      <c r="BR115" s="135" t="str">
        <f>IFERROR(VLOOKUP(Tabela1[[#This Row],[MÊS]]&amp;Tabela1[[#This Row],[ID]]&amp;Tabela1[[#This Row],[MATRICULA]]&amp;"Ponto de Apoio"&amp;Tabela1[[#This Row],[SETOR]],BD!A:AF,13,0),"")</f>
        <v/>
      </c>
      <c r="BS115" s="135" t="str">
        <f>IFERROR(VLOOKUP(Tabela1[[#This Row],[MÊS]]&amp;Tabela1[[#This Row],[ID]]&amp;Tabela1[[#This Row],[MATRICULA]]&amp;"Ponto de Apoio 2"&amp;Tabela1[[#This Row],[SETOR]],BD!A:AF,13,0),"")</f>
        <v/>
      </c>
      <c r="BT115" s="135" t="str">
        <f>IFERROR(VLOOKUP(Tabela1[[#This Row],[MÊS]]&amp;Tabela1[[#This Row],[ID]]&amp;Tabela1[[#This Row],[MATRICULA]]&amp;"Ponto de Apoio 3"&amp;Tabela1[[#This Row],[SETOR]],BD!A:AF,13,0),"")</f>
        <v/>
      </c>
      <c r="BU115" s="135" t="str">
        <f>IFERROR(VLOOKUP(Tabela1[[#This Row],[MÊS]]&amp;Tabela1[[#This Row],[ID]]&amp;Tabela1[[#This Row],[MATRICULA]]&amp;"Ponto de Apoio 4"&amp;Tabela1[[#This Row],[SETOR]],BD!A:AF,13,0),"")</f>
        <v/>
      </c>
      <c r="BV115" s="135" t="str">
        <f>IFERROR(AVERAGE(Tabela1[[#This Row],[DPA]:[DPA 4]]),"")</f>
        <v/>
      </c>
      <c r="BW115" s="135" t="str">
        <f>IFERROR(VLOOKUP(Tabela1[[#This Row],[MÊS]]&amp;Tabela1[[#This Row],[ID]]&amp;Tabela1[[#This Row],[MATRICULA]]&amp;"Cliente"&amp;Tabela1[[#This Row],[SETOR]],BD!A:AF,13,0),"")</f>
        <v/>
      </c>
      <c r="BX115" s="135" t="str">
        <f>IFERROR(VLOOKUP(Tabela1[[#This Row],[MÊS]]&amp;Tabela1[[#This Row],[ID]]&amp;Tabela1[[#This Row],[MATRICULA]]&amp;"cliente 2"&amp;Tabela1[[#This Row],[SETOR]],BD!A:AF,13,0),"")</f>
        <v/>
      </c>
      <c r="BY115" s="135" t="str">
        <f>IFERROR(VLOOKUP(Tabela1[[#This Row],[MÊS]]&amp;Tabela1[[#This Row],[ID]]&amp;Tabela1[[#This Row],[MATRICULA]]&amp;"cliente 3"&amp;Tabela1[[#This Row],[SETOR]],BD!A:AF,13,0),"")</f>
        <v/>
      </c>
      <c r="BZ115" s="135" t="str">
        <f>IFERROR(VLOOKUP(Tabela1[[#This Row],[MÊS]]&amp;Tabela1[[#This Row],[ID]]&amp;Tabela1[[#This Row],[MATRICULA]]&amp;"cliente 4"&amp;Tabela1[[#This Row],[SETOR]],BD!A:AF,13,0),"")</f>
        <v/>
      </c>
      <c r="CA115" s="135" t="str">
        <f>IFERROR(AVERAGE(Tabela1[[#This Row],[DCLI]:[DCLI 4]]),"")</f>
        <v/>
      </c>
      <c r="CB115" s="135" t="str">
        <f>IFERROR(VLOOKUP(Tabela1[[#This Row],[MÊS]]&amp;Tabela1[[#This Row],[ID]]&amp;Tabela1[[#This Row],[MATRICULA]]&amp;"Policia"&amp;Tabela1[[#This Row],[SETOR]],BD!A:AF,13,0),"")</f>
        <v/>
      </c>
      <c r="CC115" s="135" t="str">
        <f>IFERROR(VLOOKUP(Tabela1[[#This Row],[MÊS]]&amp;Tabela1[[#This Row],[ID]]&amp;Tabela1[[#This Row],[MATRICULA]]&amp;"Policia 2"&amp;Tabela1[[#This Row],[SETOR]],BD!A:AF,13,0),"")</f>
        <v/>
      </c>
      <c r="CD115" s="135"/>
      <c r="CE115" s="135"/>
      <c r="CF115" s="135" t="str">
        <f>IFERROR((AVERAGE(Tabela1[[#This Row],[DPOL1]:[DPOL4]])),"")</f>
        <v/>
      </c>
      <c r="CG115" s="21" t="str">
        <f>IFERROR(VLOOKUP(Tabela1[[#This Row],[ID]]&amp;Tabela1[[#This Row],[MÊS]]&amp;Tabela1[[#This Row],[MATRICULA]],#REF!,2,0),"")</f>
        <v/>
      </c>
      <c r="CH115" s="21" t="str">
        <f>IFERROR(VLOOKUP(Tabela1[[#This Row],[ID]]&amp;Tabela1[[#This Row],[MÊS]]&amp;Tabela1[[#This Row],[MATRICULA]],#REF!,2,0),"")</f>
        <v/>
      </c>
      <c r="CI115" s="21" t="str">
        <f>IFERROR(VLOOKUP(Tabela1[[#This Row],[MÊS]]&amp;Tabela1[[#This Row],[MATRICULA]],#REF!,2,0),"")</f>
        <v/>
      </c>
    </row>
    <row r="116" spans="1:87">
      <c r="A116" s="12" t="str">
        <f>Tabela1[[#This Row],[MÊS]]&amp;Tabela1[[#This Row],[MATRICULA]]&amp;Tabela1[[#This Row],[ID]]</f>
        <v>JAN109769</v>
      </c>
      <c r="B116" s="12" t="str">
        <f>Tabela1[[#This Row],[MÊS]]&amp;Tabela1[[#This Row],[ID]]&amp;Tabela1[[#This Row],[MATRICULA]]&amp;Tabela1[[#This Row],[SETOR]]</f>
        <v>JAN910976BAS</v>
      </c>
      <c r="C116" s="130" t="e">
        <f>VLOOKUP(Tabela1[[#This Row],[MATRICULA]],'BD Campos'!A:D,5,0)</f>
        <v>#REF!</v>
      </c>
      <c r="D116" s="133" t="str">
        <f ca="1">IFERROR(SUM(TODAY()-Tabela1[[#This Row],[ADMISSÃO]]),"")</f>
        <v/>
      </c>
      <c r="E116" s="11" t="str">
        <f ca="1">IFERROR(TRUNC(Tabela1[[#This Row],[TEMPO DE CASA (DIAS)]]/30),"")</f>
        <v/>
      </c>
      <c r="F116" s="32" t="str">
        <f ca="1">IFERROR(SUM(Tabela1[[#This Row],[TEMPO DE CASA (MESES)]]/12),"")</f>
        <v/>
      </c>
      <c r="G116" s="133" t="str">
        <f ca="1">IF(Tabela1[[#This Row],[TEMPO DE CASA (DIAS)]]="","SEM DADOS",IF(Tabela1[[#This Row],[TEMPO DE CASA (DIAS)]]&gt;180,"&gt; 6 MESES","&lt; 6 MESES"))</f>
        <v>SEM DADOS</v>
      </c>
      <c r="H116" s="12" t="str">
        <f t="shared" si="11"/>
        <v>JANHervert Moreira9</v>
      </c>
      <c r="I116" s="12" t="str">
        <f>IFERROR(VLOOKUP(Tabela1[[#This Row],[MATRICULA]],'BD Campos'!A:F,7,0),"")</f>
        <v/>
      </c>
      <c r="J116" s="11">
        <v>9</v>
      </c>
      <c r="K116" s="11" t="s">
        <v>669</v>
      </c>
      <c r="L116" s="136">
        <v>10976</v>
      </c>
      <c r="M116" s="12" t="str">
        <f>IFERROR(VLOOKUP(Tabela1[[#This Row],[MATRICULA]],'BD Campos'!A:B,2,0),"")</f>
        <v>MARCELA DUARTE</v>
      </c>
      <c r="N116" s="20">
        <f>IFERROR(AVERAGE(Tabela1[[#This Row],[A1]:[A4]]),"")</f>
        <v>10.000000000000002</v>
      </c>
      <c r="O116" s="20" t="str">
        <f>IFERROR(IF(Tabela1[[#This Row],[SETOR]]="RECEPTIVO","",AVERAGE(Tabela1[[#This Row],[A5]:[A6]])),"")</f>
        <v/>
      </c>
      <c r="P116" s="20" t="str">
        <f>IFERROR(IF(Tabela1[[#This Row],[STATUS]]="INATIVO","INATIVO",IF(Tabela1[[#This Row],[STATUS]]="QRT","INATIVO",IF(Tabela1[[#This Row],[OPERACIONAL]]&gt;7.99999,"BOM","RUIM"))),"")</f>
        <v>BOM</v>
      </c>
      <c r="Q116" s="21" t="s">
        <v>667</v>
      </c>
      <c r="R116" s="12" t="s">
        <v>700</v>
      </c>
      <c r="S116" s="12" t="s">
        <v>699</v>
      </c>
      <c r="T116" s="12" t="s">
        <v>223</v>
      </c>
      <c r="U11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1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16" s="12">
        <f>IF(AND(Tabela1[[#This Row],[SETOR]]="UTI",Tabela1[[#This Row],[M]]&lt;&gt;""),1,IF(AND(Tabela1[[#This Row],[SETOR]]="UTI (RJ)",Tabela1[[#This Row],[M]]&lt;&gt;""),1.5,0))</f>
        <v>0</v>
      </c>
      <c r="X116" s="12">
        <f>IF(AND(Tabela1[[#This Row],[SETOR]]="UTI",Tabela1[[#This Row],[PA2]]&lt;&gt;""),1,IF(AND(Tabela1[[#This Row],[SETOR]]="UTI (RJ)",Tabela1[[#This Row],[PA2]]&lt;&gt;""),0,0))</f>
        <v>0</v>
      </c>
      <c r="Y116" s="12">
        <f>IF(AND(Tabela1[[#This Row],[SETOR]]="UTI",Tabela1[[#This Row],[C]]&lt;&gt;""),1,IF(AND(Tabela1[[#This Row],[SETOR]]="UTI (RJ)",Tabela1[[#This Row],[C]]&lt;&gt;""),1.5,0))</f>
        <v>0</v>
      </c>
      <c r="Z116" s="12">
        <f>IF(AND(Tabela1[[#This Row],[SETOR]]="UTI",Tabela1[[#This Row],[PL]]&lt;&gt;""),1,IF(AND(Tabela1[[#This Row],[SETOR]]="UTI (RJ)",Tabela1[[#This Row],[PL]]&lt;&gt;""),1,0))</f>
        <v>0</v>
      </c>
      <c r="AA116" s="21">
        <f>IFERROR(VLOOKUP(Tabela1[[#This Row],[MÊS]]&amp;Tabela1[[#This Row],[MATRICULA]]&amp;"1"&amp;Tabela1[[#This Row],[SETOR]]&amp;"PADRÃO",BD!B:AF,31,0),"")</f>
        <v>10.000000000000002</v>
      </c>
      <c r="AB116" s="21">
        <f>IFERROR(VLOOKUP(Tabela1[[#This Row],[MÊS]]&amp;Tabela1[[#This Row],[MATRICULA]]&amp;"2"&amp;Tabela1[[#This Row],[SETOR]]&amp;"PADRÃO",BD!B:AF,31,0),"")</f>
        <v>10.000000000000002</v>
      </c>
      <c r="AC116" s="21" t="str">
        <f>IFERROR(VLOOKUP(Tabela1[[#This Row],[MÊS]]&amp;Tabela1[[#This Row],[MATRICULA]]&amp;"3"&amp;Tabela1[[#This Row],[SETOR]]&amp;"PADRÃO",BD!B:AF,31,0),"")</f>
        <v/>
      </c>
      <c r="AD116" s="21" t="str">
        <f>IFERROR(VLOOKUP(Tabela1[[#This Row],[MÊS]]&amp;Tabela1[[#This Row],[MATRICULA]]&amp;"4"&amp;Tabela1[[#This Row],[SETOR]]&amp;"PADRÃO",BD!B:AF,25,0),"")</f>
        <v/>
      </c>
      <c r="AE116" s="21" t="str">
        <f>IFERROR(VLOOKUP(Tabela1[[#This Row],[MÊS]]&amp;Tabela1[[#This Row],[MATRICULA]]&amp;"5"&amp;Tabela1[[#This Row],[SETOR]]&amp;"PADRÃO",BD!B:AF,31,0),"")</f>
        <v/>
      </c>
      <c r="AF116" s="21" t="str">
        <f>IFERROR(VLOOKUP(Tabela1[[#This Row],[MÊS]]&amp;Tabela1[[#This Row],[MATRICULA]]&amp;"6"&amp;Tabela1[[#This Row],[SETOR]]&amp;"PADRÃO",BD!B:AF,31,0),"")</f>
        <v/>
      </c>
      <c r="AG116" s="21" t="str">
        <f>IFERROR(VLOOKUP(Tabela1[[#This Row],[MÊS]]&amp;Tabela1[[#This Row],[MATRICULA]]&amp;"7"&amp;Tabela1[[#This Row],[SETOR]]&amp;"PADRÃO",BD!B:AF,31,0),"")</f>
        <v/>
      </c>
      <c r="AH116" s="21" t="str">
        <f>IFERROR(VLOOKUP(Tabela1[[#This Row],[MÊS]]&amp;Tabela1[[#This Row],[ID]]&amp;Tabela1[[#This Row],[MATRICULA]]&amp;"Receptiva"&amp;Tabela1[[#This Row],[SETOR]],BD!A:AF,31,0),"")</f>
        <v/>
      </c>
      <c r="AI116" s="21" t="str">
        <f>IFERROR(VLOOKUP(Tabela1[[#This Row],[MÊS]]&amp;Tabela1[[#This Row],[ID]]&amp;Tabela1[[#This Row],[MATRICULA]]&amp;"Receptiva 2"&amp;Tabela1[[#This Row],[SETOR]],BD!A:AF,31,0),"")</f>
        <v/>
      </c>
      <c r="AJ116" s="21" t="str">
        <f>IFERROR(VLOOKUP(Tabela1[[#This Row],[MÊS]]&amp;Tabela1[[#This Row],[ID]]&amp;Tabela1[[#This Row],[MATRICULA]]&amp;"Receptiva 3"&amp;Tabela1[[#This Row],[SETOR]],BD!A:AF,31,0),"")</f>
        <v/>
      </c>
      <c r="AK116" s="21" t="str">
        <f>IFERROR(VLOOKUP(Tabela1[[#This Row],[MÊS]]&amp;Tabela1[[#This Row],[ID]]&amp;Tabela1[[#This Row],[MATRICULA]]&amp;"Receptiva 4"&amp;Tabela1[[#This Row],[SETOR]],BD!A:AF,31,0),"")</f>
        <v/>
      </c>
      <c r="AL116" s="21" t="str">
        <f>IFERROR(VLOOKUP(Tabela1[[#This Row],[MÊS]]&amp;Tabela1[[#This Row],[MATRICULA]]&amp;"Motorista"&amp;Tabela1[[#This Row],[SETOR]],BD!A:AF,31,0),"")</f>
        <v/>
      </c>
      <c r="AM116" s="21" t="str">
        <f>IFERROR(VLOOKUP(Tabela1[[#This Row],[MÊS]]&amp;Tabela1[[#This Row],[ID]]&amp;Tabela1[[#This Row],[MATRICULA]]&amp;"Motorista 2"&amp;Tabela1[[#This Row],[SETOR]],BD!A:AF,26,0),"")</f>
        <v/>
      </c>
      <c r="AN116" s="21" t="str">
        <f>IFERROR(VLOOKUP(Tabela1[[#This Row],[MÊS]]&amp;Tabela1[[#This Row],[ID]]&amp;Tabela1[[#This Row],[MATRICULA]]&amp;"Motorista 3"&amp;Tabela1[[#This Row],[SETOR]],BD!A:AF,26,0),"")</f>
        <v/>
      </c>
      <c r="AO116" s="21" t="str">
        <f>IFERROR(VLOOKUP(Tabela1[[#This Row],[MÊS]]&amp;Tabela1[[#This Row],[ID]]&amp;Tabela1[[#This Row],[MATRICULA]]&amp;"Motorista 4"&amp;Tabela1[[#This Row],[SETOR]],BD!A:AF,26,0),"")</f>
        <v/>
      </c>
      <c r="AP116" s="21" t="str">
        <f>IFERROR(VLOOKUP(Tabela1[[#This Row],[MÊS]]&amp;Tabela1[[#This Row],[MATRICULA]]&amp;"Ponto de Apoio"&amp;Tabela1[[#This Row],[SETOR]],BD!A:AF,31,0),"")</f>
        <v/>
      </c>
      <c r="AQ116" s="21" t="str">
        <f>IFERROR(VLOOKUP(Tabela1[[#This Row],[MÊS]]&amp;Tabela1[[#This Row],[ID]]&amp;Tabela1[[#This Row],[MATRICULA]]&amp;"Ponto de Apoio 2"&amp;Tabela1[[#This Row],[SETOR]],BD!A:AF,26,0),"")</f>
        <v/>
      </c>
      <c r="AR116" s="36" t="str">
        <f>IFERROR(VLOOKUP(Tabela1[[#This Row],[MÊS]]&amp;Tabela1[[#This Row],[ID]]&amp;Tabela1[[#This Row],[MATRICULA]]&amp;"Ponto de Apoio 3"&amp;Tabela1[[#This Row],[SETOR]],BD!A:AF,26,0),"")</f>
        <v/>
      </c>
      <c r="AS116" s="36" t="str">
        <f>IFERROR(VLOOKUP(Tabela1[[#This Row],[MÊS]]&amp;Tabela1[[#This Row],[ID]]&amp;Tabela1[[#This Row],[MATRICULA]]&amp;"Ponto de Apoio 4"&amp;Tabela1[[#This Row],[SETOR]],BD!A:AF,26,0),"")</f>
        <v/>
      </c>
      <c r="AT116" s="21" t="str">
        <f>IFERROR(VLOOKUP(Tabela1[[#This Row],[MÊS]]&amp;Tabela1[[#This Row],[MATRICULA]]&amp;"Cliente"&amp;Tabela1[[#This Row],[SETOR]],BD!A:AF,31,0),"")</f>
        <v/>
      </c>
      <c r="AU116" s="21" t="str">
        <f>IFERROR(VLOOKUP(Tabela1[[#This Row],[MÊS]]&amp;Tabela1[[#This Row],[ID]]&amp;Tabela1[[#This Row],[MATRICULA]]&amp;"Cliente 2"&amp;Tabela1[[#This Row],[SETOR]],BD!A:AF,26,0),"")</f>
        <v/>
      </c>
      <c r="AX116" s="21" t="str">
        <f>IFERROR(VLOOKUP(Tabela1[[#This Row],[MÊS]]&amp;Tabela1[[#This Row],[MATRICULA]]&amp;"Policia"&amp;Tabela1[[#This Row],[SETOR]],BD!A:AF,31,0),"")</f>
        <v/>
      </c>
      <c r="AY116" s="21" t="str">
        <f>IFERROR(VLOOKUP(Tabela1[[#This Row],[MÊS]]&amp;Tabela1[[#This Row],[ID]]&amp;Tabela1[[#This Row],[MATRICULA]]&amp;"Policia 2"&amp;Tabela1[[#This Row],[SETOR]],BD!A:AF,26,0),"")</f>
        <v/>
      </c>
      <c r="AZ116" s="36" t="str">
        <f>IFERROR(VLOOKUP(Tabela1[[#This Row],[MÊS]]&amp;Tabela1[[#This Row],[ID]]&amp;Tabela1[[#This Row],[MATRICULA]]&amp;"Policia 3"&amp;Tabela1[[#This Row],[SETOR]],BD!A:AF,26,0),"")</f>
        <v/>
      </c>
      <c r="BA116" s="36" t="str">
        <f>IFERROR(VLOOKUP(Tabela1[[#This Row],[MÊS]]&amp;Tabela1[[#This Row],[ID]]&amp;Tabela1[[#This Row],[MATRICULA]]&amp;"Policia 4"&amp;Tabela1[[#This Row],[SETOR]],BD!A:AF,26,0),"")</f>
        <v/>
      </c>
      <c r="BB11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16" s="21" t="str">
        <f>IFERROR(AVERAGE(Tabela1[[#This Row],[M]:[M4]]),"")</f>
        <v/>
      </c>
      <c r="BD116" s="21" t="str">
        <f>IFERROR(AVERAGE(Tabela1[[#This Row],[C]:[C4]]),"")</f>
        <v/>
      </c>
      <c r="BE116" s="21" t="str">
        <f>IFERROR(AVERAGE(Tabela1[[#This Row],[PA2]:[PA 4]]),"")</f>
        <v/>
      </c>
      <c r="BF116" s="21" t="str">
        <f>IFERROR(AVERAGE(Tabela1[[#This Row],[PL]:[PL4]]),"")</f>
        <v/>
      </c>
      <c r="BG116" s="35" t="str">
        <f>IFERROR(VLOOKUP(Tabela1[[#This Row],[MÊS]]&amp;Tabela1[[#This Row],[MATRICULA]],#REF!,2,0),"")</f>
        <v/>
      </c>
      <c r="BH116" s="35" t="str">
        <f>IFERROR(VLOOKUP(Tabela1[[#This Row],[MÊS]]&amp;Tabela1[[#This Row],[MATRICULA]],#REF!,2,0),"")</f>
        <v/>
      </c>
      <c r="BI116" s="35" t="str">
        <f>IFERROR(VLOOKUP(Tabela1[[#This Row],[MÊS]]&amp;Tabela1[[#This Row],[MATRICULA]],#REF!,2,0),"")</f>
        <v/>
      </c>
      <c r="BJ116" s="35" t="str">
        <f>IFERROR(VLOOKUP(Tabela1[[#This Row],[MÊS]]&amp;Tabela1[[#This Row],[MATRICULA]],#REF!,2,0),"")</f>
        <v/>
      </c>
      <c r="BK116" s="35" t="str">
        <f>IFERROR(VLOOKUP(Tabela1[[#This Row],[MÊS]]&amp;Tabela1[[#This Row],[MATRICULA]],#REF!,2,0),"")</f>
        <v/>
      </c>
      <c r="BL116" s="21">
        <f>COUNTIF(Tabela1[[#This Row],[MOT2]:[RECEPTIVA]],"NÃO ENCONTRADA")</f>
        <v>0</v>
      </c>
      <c r="BM116" s="135" t="str">
        <f>IFERROR(VLOOKUP(Tabela1[[#This Row],[MÊS]]&amp;Tabela1[[#This Row],[ID]]&amp;Tabela1[[#This Row],[MATRICULA]]&amp;"Motorista"&amp;Tabela1[[#This Row],[SETOR]],BD!A:AF,13,0),"")</f>
        <v/>
      </c>
      <c r="BN116" s="135" t="str">
        <f>IFERROR(VLOOKUP(Tabela1[[#This Row],[MÊS]]&amp;Tabela1[[#This Row],[ID]]&amp;Tabela1[[#This Row],[MATRICULA]]&amp;"Motorista 2"&amp;Tabela1[[#This Row],[SETOR]],BD!A:AF,13,0),"")</f>
        <v/>
      </c>
      <c r="BO116" s="135" t="str">
        <f>IFERROR(VLOOKUP(Tabela1[[#This Row],[MÊS]]&amp;Tabela1[[#This Row],[ID]]&amp;Tabela1[[#This Row],[MATRICULA]]&amp;"Motorista 3"&amp;Tabela1[[#This Row],[SETOR]],BD!A:AF,13,0),"")</f>
        <v/>
      </c>
      <c r="BP116" s="135" t="str">
        <f>IFERROR(VLOOKUP(Tabela1[[#This Row],[MÊS]]&amp;Tabela1[[#This Row],[ID]]&amp;Tabela1[[#This Row],[MATRICULA]]&amp;"Motorista 4"&amp;Tabela1[[#This Row],[SETOR]],BD!A:AF,13,0),"")</f>
        <v/>
      </c>
      <c r="BQ116" s="135" t="str">
        <f>IFERROR(AVERAGE(Tabela1[[#This Row],[DMOT]:[DMOT4]]),"")</f>
        <v/>
      </c>
      <c r="BR116" s="135" t="str">
        <f>IFERROR(VLOOKUP(Tabela1[[#This Row],[MÊS]]&amp;Tabela1[[#This Row],[ID]]&amp;Tabela1[[#This Row],[MATRICULA]]&amp;"Ponto de Apoio"&amp;Tabela1[[#This Row],[SETOR]],BD!A:AF,13,0),"")</f>
        <v/>
      </c>
      <c r="BS116" s="135" t="str">
        <f>IFERROR(VLOOKUP(Tabela1[[#This Row],[MÊS]]&amp;Tabela1[[#This Row],[ID]]&amp;Tabela1[[#This Row],[MATRICULA]]&amp;"Ponto de Apoio 2"&amp;Tabela1[[#This Row],[SETOR]],BD!A:AF,13,0),"")</f>
        <v/>
      </c>
      <c r="BT116" s="135" t="str">
        <f>IFERROR(VLOOKUP(Tabela1[[#This Row],[MÊS]]&amp;Tabela1[[#This Row],[ID]]&amp;Tabela1[[#This Row],[MATRICULA]]&amp;"Ponto de Apoio 3"&amp;Tabela1[[#This Row],[SETOR]],BD!A:AF,13,0),"")</f>
        <v/>
      </c>
      <c r="BU116" s="135" t="str">
        <f>IFERROR(VLOOKUP(Tabela1[[#This Row],[MÊS]]&amp;Tabela1[[#This Row],[ID]]&amp;Tabela1[[#This Row],[MATRICULA]]&amp;"Ponto de Apoio 4"&amp;Tabela1[[#This Row],[SETOR]],BD!A:AF,13,0),"")</f>
        <v/>
      </c>
      <c r="BV116" s="135" t="str">
        <f>IFERROR(AVERAGE(Tabela1[[#This Row],[DPA]:[DPA 4]]),"")</f>
        <v/>
      </c>
      <c r="BW116" s="135" t="str">
        <f>IFERROR(VLOOKUP(Tabela1[[#This Row],[MÊS]]&amp;Tabela1[[#This Row],[ID]]&amp;Tabela1[[#This Row],[MATRICULA]]&amp;"Cliente"&amp;Tabela1[[#This Row],[SETOR]],BD!A:AF,13,0),"")</f>
        <v/>
      </c>
      <c r="BX116" s="135" t="str">
        <f>IFERROR(VLOOKUP(Tabela1[[#This Row],[MÊS]]&amp;Tabela1[[#This Row],[ID]]&amp;Tabela1[[#This Row],[MATRICULA]]&amp;"cliente 2"&amp;Tabela1[[#This Row],[SETOR]],BD!A:AF,13,0),"")</f>
        <v/>
      </c>
      <c r="BY116" s="135" t="str">
        <f>IFERROR(VLOOKUP(Tabela1[[#This Row],[MÊS]]&amp;Tabela1[[#This Row],[ID]]&amp;Tabela1[[#This Row],[MATRICULA]]&amp;"cliente 3"&amp;Tabela1[[#This Row],[SETOR]],BD!A:AF,13,0),"")</f>
        <v/>
      </c>
      <c r="BZ116" s="135" t="str">
        <f>IFERROR(VLOOKUP(Tabela1[[#This Row],[MÊS]]&amp;Tabela1[[#This Row],[ID]]&amp;Tabela1[[#This Row],[MATRICULA]]&amp;"cliente 4"&amp;Tabela1[[#This Row],[SETOR]],BD!A:AF,13,0),"")</f>
        <v/>
      </c>
      <c r="CA116" s="135" t="str">
        <f>IFERROR(AVERAGE(Tabela1[[#This Row],[DCLI]:[DCLI 4]]),"")</f>
        <v/>
      </c>
      <c r="CB116" s="135" t="str">
        <f>IFERROR(VLOOKUP(Tabela1[[#This Row],[MÊS]]&amp;Tabela1[[#This Row],[ID]]&amp;Tabela1[[#This Row],[MATRICULA]]&amp;"Policia"&amp;Tabela1[[#This Row],[SETOR]],BD!A:AF,13,0),"")</f>
        <v/>
      </c>
      <c r="CC116" s="135" t="str">
        <f>IFERROR(VLOOKUP(Tabela1[[#This Row],[MÊS]]&amp;Tabela1[[#This Row],[ID]]&amp;Tabela1[[#This Row],[MATRICULA]]&amp;"Policia 2"&amp;Tabela1[[#This Row],[SETOR]],BD!A:AF,13,0),"")</f>
        <v/>
      </c>
      <c r="CD116" s="135"/>
      <c r="CE116" s="135"/>
      <c r="CF116" s="135" t="str">
        <f>IFERROR((AVERAGE(Tabela1[[#This Row],[DPOL1]:[DPOL4]])),"")</f>
        <v/>
      </c>
      <c r="CG116" s="21" t="str">
        <f>IFERROR(VLOOKUP(Tabela1[[#This Row],[ID]]&amp;Tabela1[[#This Row],[MÊS]]&amp;Tabela1[[#This Row],[MATRICULA]],#REF!,2,0),"")</f>
        <v/>
      </c>
      <c r="CH116" s="21" t="str">
        <f>IFERROR(VLOOKUP(Tabela1[[#This Row],[ID]]&amp;Tabela1[[#This Row],[MÊS]]&amp;Tabela1[[#This Row],[MATRICULA]],#REF!,2,0),"")</f>
        <v/>
      </c>
      <c r="CI116" s="21" t="str">
        <f>IFERROR(VLOOKUP(Tabela1[[#This Row],[MÊS]]&amp;Tabela1[[#This Row],[MATRICULA]],#REF!,2,0),"")</f>
        <v/>
      </c>
    </row>
    <row r="117" spans="1:87">
      <c r="A117" s="12" t="str">
        <f>Tabela1[[#This Row],[MÊS]]&amp;Tabela1[[#This Row],[MATRICULA]]&amp;Tabela1[[#This Row],[ID]]</f>
        <v>JAN196210</v>
      </c>
      <c r="B117" s="12" t="str">
        <f>Tabela1[[#This Row],[MÊS]]&amp;Tabela1[[#This Row],[ID]]&amp;Tabela1[[#This Row],[MATRICULA]]&amp;Tabela1[[#This Row],[SETOR]]</f>
        <v>JAN101962BAS</v>
      </c>
      <c r="C117" s="130" t="e">
        <f>VLOOKUP(Tabela1[[#This Row],[MATRICULA]],'BD Campos'!A:D,5,0)</f>
        <v>#REF!</v>
      </c>
      <c r="D117" s="133" t="str">
        <f ca="1">IFERROR(SUM(TODAY()-Tabela1[[#This Row],[ADMISSÃO]]),"")</f>
        <v/>
      </c>
      <c r="E117" s="11" t="str">
        <f ca="1">IFERROR(TRUNC(Tabela1[[#This Row],[TEMPO DE CASA (DIAS)]]/30),"")</f>
        <v/>
      </c>
      <c r="F117" s="32" t="str">
        <f ca="1">IFERROR(SUM(Tabela1[[#This Row],[TEMPO DE CASA (MESES)]]/12),"")</f>
        <v/>
      </c>
      <c r="G117" s="133" t="str">
        <f ca="1">IF(Tabela1[[#This Row],[TEMPO DE CASA (DIAS)]]="","SEM DADOS",IF(Tabela1[[#This Row],[TEMPO DE CASA (DIAS)]]&gt;180,"&gt; 6 MESES","&lt; 6 MESES"))</f>
        <v>SEM DADOS</v>
      </c>
      <c r="H117" s="12" t="str">
        <f t="shared" si="11"/>
        <v>JANHervert Moreira10</v>
      </c>
      <c r="I117" s="12" t="str">
        <f>IFERROR(VLOOKUP(Tabela1[[#This Row],[MATRICULA]],'BD Campos'!A:F,7,0),"")</f>
        <v/>
      </c>
      <c r="J117" s="11">
        <v>10</v>
      </c>
      <c r="K117" s="11" t="s">
        <v>669</v>
      </c>
      <c r="L117" s="136">
        <v>1962</v>
      </c>
      <c r="M117" s="12" t="str">
        <f>IFERROR(VLOOKUP(Tabela1[[#This Row],[MATRICULA]],'BD Campos'!A:B,2,0),"")</f>
        <v>RAFAEL JOENCK</v>
      </c>
      <c r="N117" s="20" t="str">
        <f>IFERROR(AVERAGE(Tabela1[[#This Row],[A1]:[A4]]),"")</f>
        <v/>
      </c>
      <c r="O117" s="20" t="str">
        <f>IFERROR(IF(Tabela1[[#This Row],[SETOR]]="RECEPTIVO","",AVERAGE(Tabela1[[#This Row],[A5]:[A6]])),"")</f>
        <v/>
      </c>
      <c r="P117" s="20" t="str">
        <f>IFERROR(IF(Tabela1[[#This Row],[STATUS]]="INATIVO","INATIVO",IF(Tabela1[[#This Row],[STATUS]]="QRT","INATIVO",IF(Tabela1[[#This Row],[OPERACIONAL]]&gt;7.99999,"BOM","RUIM"))),"")</f>
        <v>INATIVO</v>
      </c>
      <c r="Q117" s="21" t="s">
        <v>670</v>
      </c>
      <c r="R117" s="12" t="s">
        <v>700</v>
      </c>
      <c r="S117" s="12" t="s">
        <v>699</v>
      </c>
      <c r="T117" s="12" t="s">
        <v>223</v>
      </c>
      <c r="U11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17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17" s="12">
        <f>IF(AND(Tabela1[[#This Row],[SETOR]]="UTI",Tabela1[[#This Row],[M]]&lt;&gt;""),1,IF(AND(Tabela1[[#This Row],[SETOR]]="UTI (RJ)",Tabela1[[#This Row],[M]]&lt;&gt;""),1.5,0))</f>
        <v>0</v>
      </c>
      <c r="X117" s="12">
        <f>IF(AND(Tabela1[[#This Row],[SETOR]]="UTI",Tabela1[[#This Row],[PA2]]&lt;&gt;""),1,IF(AND(Tabela1[[#This Row],[SETOR]]="UTI (RJ)",Tabela1[[#This Row],[PA2]]&lt;&gt;""),0,0))</f>
        <v>0</v>
      </c>
      <c r="Y117" s="12">
        <f>IF(AND(Tabela1[[#This Row],[SETOR]]="UTI",Tabela1[[#This Row],[C]]&lt;&gt;""),1,IF(AND(Tabela1[[#This Row],[SETOR]]="UTI (RJ)",Tabela1[[#This Row],[C]]&lt;&gt;""),1.5,0))</f>
        <v>0</v>
      </c>
      <c r="Z117" s="12">
        <f>IF(AND(Tabela1[[#This Row],[SETOR]]="UTI",Tabela1[[#This Row],[PL]]&lt;&gt;""),1,IF(AND(Tabela1[[#This Row],[SETOR]]="UTI (RJ)",Tabela1[[#This Row],[PL]]&lt;&gt;""),1,0))</f>
        <v>0</v>
      </c>
      <c r="AA117" s="21" t="str">
        <f>IFERROR(VLOOKUP(Tabela1[[#This Row],[MÊS]]&amp;Tabela1[[#This Row],[MATRICULA]]&amp;"1"&amp;Tabela1[[#This Row],[SETOR]]&amp;"PADRÃO",BD!B:AF,31,0),"")</f>
        <v/>
      </c>
      <c r="AB117" s="21" t="str">
        <f>IFERROR(VLOOKUP(Tabela1[[#This Row],[MÊS]]&amp;Tabela1[[#This Row],[MATRICULA]]&amp;"2"&amp;Tabela1[[#This Row],[SETOR]]&amp;"PADRÃO",BD!B:AF,31,0),"")</f>
        <v/>
      </c>
      <c r="AC117" s="21" t="str">
        <f>IFERROR(VLOOKUP(Tabela1[[#This Row],[MÊS]]&amp;Tabela1[[#This Row],[MATRICULA]]&amp;"3"&amp;Tabela1[[#This Row],[SETOR]]&amp;"PADRÃO",BD!B:AF,31,0),"")</f>
        <v/>
      </c>
      <c r="AD117" s="21" t="str">
        <f>IFERROR(VLOOKUP(Tabela1[[#This Row],[MÊS]]&amp;Tabela1[[#This Row],[MATRICULA]]&amp;"4"&amp;Tabela1[[#This Row],[SETOR]]&amp;"PADRÃO",BD!B:AF,25,0),"")</f>
        <v/>
      </c>
      <c r="AE117" s="21" t="str">
        <f>IFERROR(VLOOKUP(Tabela1[[#This Row],[MÊS]]&amp;Tabela1[[#This Row],[MATRICULA]]&amp;"5"&amp;Tabela1[[#This Row],[SETOR]]&amp;"PADRÃO",BD!B:AF,31,0),"")</f>
        <v/>
      </c>
      <c r="AF117" s="21" t="str">
        <f>IFERROR(VLOOKUP(Tabela1[[#This Row],[MÊS]]&amp;Tabela1[[#This Row],[MATRICULA]]&amp;"6"&amp;Tabela1[[#This Row],[SETOR]]&amp;"PADRÃO",BD!B:AF,31,0),"")</f>
        <v/>
      </c>
      <c r="AG117" s="21" t="str">
        <f>IFERROR(VLOOKUP(Tabela1[[#This Row],[MÊS]]&amp;Tabela1[[#This Row],[MATRICULA]]&amp;"7"&amp;Tabela1[[#This Row],[SETOR]]&amp;"PADRÃO",BD!B:AF,31,0),"")</f>
        <v/>
      </c>
      <c r="AH117" s="21" t="str">
        <f>IFERROR(VLOOKUP(Tabela1[[#This Row],[MÊS]]&amp;Tabela1[[#This Row],[ID]]&amp;Tabela1[[#This Row],[MATRICULA]]&amp;"Receptiva"&amp;Tabela1[[#This Row],[SETOR]],BD!A:AF,31,0),"")</f>
        <v/>
      </c>
      <c r="AI117" s="21" t="str">
        <f>IFERROR(VLOOKUP(Tabela1[[#This Row],[MÊS]]&amp;Tabela1[[#This Row],[ID]]&amp;Tabela1[[#This Row],[MATRICULA]]&amp;"Receptiva 2"&amp;Tabela1[[#This Row],[SETOR]],BD!A:AF,31,0),"")</f>
        <v/>
      </c>
      <c r="AJ117" s="21" t="str">
        <f>IFERROR(VLOOKUP(Tabela1[[#This Row],[MÊS]]&amp;Tabela1[[#This Row],[ID]]&amp;Tabela1[[#This Row],[MATRICULA]]&amp;"Receptiva 3"&amp;Tabela1[[#This Row],[SETOR]],BD!A:AF,31,0),"")</f>
        <v/>
      </c>
      <c r="AK117" s="21" t="str">
        <f>IFERROR(VLOOKUP(Tabela1[[#This Row],[MÊS]]&amp;Tabela1[[#This Row],[ID]]&amp;Tabela1[[#This Row],[MATRICULA]]&amp;"Receptiva 4"&amp;Tabela1[[#This Row],[SETOR]],BD!A:AF,31,0),"")</f>
        <v/>
      </c>
      <c r="AL117" s="21" t="str">
        <f>IFERROR(VLOOKUP(Tabela1[[#This Row],[MÊS]]&amp;Tabela1[[#This Row],[MATRICULA]]&amp;"Motorista"&amp;Tabela1[[#This Row],[SETOR]],BD!A:AF,31,0),"")</f>
        <v/>
      </c>
      <c r="AM117" s="21" t="str">
        <f>IFERROR(VLOOKUP(Tabela1[[#This Row],[MÊS]]&amp;Tabela1[[#This Row],[ID]]&amp;Tabela1[[#This Row],[MATRICULA]]&amp;"Motorista 2"&amp;Tabela1[[#This Row],[SETOR]],BD!A:AF,26,0),"")</f>
        <v/>
      </c>
      <c r="AN117" s="21" t="str">
        <f>IFERROR(VLOOKUP(Tabela1[[#This Row],[MÊS]]&amp;Tabela1[[#This Row],[ID]]&amp;Tabela1[[#This Row],[MATRICULA]]&amp;"Motorista 3"&amp;Tabela1[[#This Row],[SETOR]],BD!A:AF,26,0),"")</f>
        <v/>
      </c>
      <c r="AO117" s="21" t="str">
        <f>IFERROR(VLOOKUP(Tabela1[[#This Row],[MÊS]]&amp;Tabela1[[#This Row],[ID]]&amp;Tabela1[[#This Row],[MATRICULA]]&amp;"Motorista 4"&amp;Tabela1[[#This Row],[SETOR]],BD!A:AF,26,0),"")</f>
        <v/>
      </c>
      <c r="AP117" s="21" t="str">
        <f>IFERROR(VLOOKUP(Tabela1[[#This Row],[MÊS]]&amp;Tabela1[[#This Row],[MATRICULA]]&amp;"Ponto de Apoio"&amp;Tabela1[[#This Row],[SETOR]],BD!A:AF,31,0),"")</f>
        <v/>
      </c>
      <c r="AQ117" s="21" t="str">
        <f>IFERROR(VLOOKUP(Tabela1[[#This Row],[MÊS]]&amp;Tabela1[[#This Row],[ID]]&amp;Tabela1[[#This Row],[MATRICULA]]&amp;"Ponto de Apoio 2"&amp;Tabela1[[#This Row],[SETOR]],BD!A:AF,26,0),"")</f>
        <v/>
      </c>
      <c r="AR117" s="36" t="str">
        <f>IFERROR(VLOOKUP(Tabela1[[#This Row],[MÊS]]&amp;Tabela1[[#This Row],[ID]]&amp;Tabela1[[#This Row],[MATRICULA]]&amp;"Ponto de Apoio 3"&amp;Tabela1[[#This Row],[SETOR]],BD!A:AF,26,0),"")</f>
        <v/>
      </c>
      <c r="AS117" s="36" t="str">
        <f>IFERROR(VLOOKUP(Tabela1[[#This Row],[MÊS]]&amp;Tabela1[[#This Row],[ID]]&amp;Tabela1[[#This Row],[MATRICULA]]&amp;"Ponto de Apoio 4"&amp;Tabela1[[#This Row],[SETOR]],BD!A:AF,26,0),"")</f>
        <v/>
      </c>
      <c r="AT117" s="21" t="str">
        <f>IFERROR(VLOOKUP(Tabela1[[#This Row],[MÊS]]&amp;Tabela1[[#This Row],[MATRICULA]]&amp;"Cliente"&amp;Tabela1[[#This Row],[SETOR]],BD!A:AF,31,0),"")</f>
        <v/>
      </c>
      <c r="AU117" s="21" t="str">
        <f>IFERROR(VLOOKUP(Tabela1[[#This Row],[MÊS]]&amp;Tabela1[[#This Row],[ID]]&amp;Tabela1[[#This Row],[MATRICULA]]&amp;"Cliente 2"&amp;Tabela1[[#This Row],[SETOR]],BD!A:AF,26,0),"")</f>
        <v/>
      </c>
      <c r="AX117" s="21" t="str">
        <f>IFERROR(VLOOKUP(Tabela1[[#This Row],[MÊS]]&amp;Tabela1[[#This Row],[MATRICULA]]&amp;"Policia"&amp;Tabela1[[#This Row],[SETOR]],BD!A:AF,31,0),"")</f>
        <v/>
      </c>
      <c r="AY117" s="21" t="str">
        <f>IFERROR(VLOOKUP(Tabela1[[#This Row],[MÊS]]&amp;Tabela1[[#This Row],[ID]]&amp;Tabela1[[#This Row],[MATRICULA]]&amp;"Policia 2"&amp;Tabela1[[#This Row],[SETOR]],BD!A:AF,26,0),"")</f>
        <v/>
      </c>
      <c r="AZ117" s="36" t="str">
        <f>IFERROR(VLOOKUP(Tabela1[[#This Row],[MÊS]]&amp;Tabela1[[#This Row],[ID]]&amp;Tabela1[[#This Row],[MATRICULA]]&amp;"Policia 3"&amp;Tabela1[[#This Row],[SETOR]],BD!A:AF,26,0),"")</f>
        <v/>
      </c>
      <c r="BA117" s="36" t="str">
        <f>IFERROR(VLOOKUP(Tabela1[[#This Row],[MÊS]]&amp;Tabela1[[#This Row],[ID]]&amp;Tabela1[[#This Row],[MATRICULA]]&amp;"Policia 4"&amp;Tabela1[[#This Row],[SETOR]],BD!A:AF,26,0),"")</f>
        <v/>
      </c>
      <c r="BB11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GUERRA</v>
      </c>
      <c r="BC117" s="21" t="str">
        <f>IFERROR(AVERAGE(Tabela1[[#This Row],[M]:[M4]]),"")</f>
        <v/>
      </c>
      <c r="BD117" s="21" t="str">
        <f>IFERROR(AVERAGE(Tabela1[[#This Row],[C]:[C4]]),"")</f>
        <v/>
      </c>
      <c r="BE117" s="21" t="str">
        <f>IFERROR(AVERAGE(Tabela1[[#This Row],[PA2]:[PA 4]]),"")</f>
        <v/>
      </c>
      <c r="BF117" s="21" t="str">
        <f>IFERROR(AVERAGE(Tabela1[[#This Row],[PL]:[PL4]]),"")</f>
        <v/>
      </c>
      <c r="BG117" s="35" t="str">
        <f>IFERROR(VLOOKUP(Tabela1[[#This Row],[MÊS]]&amp;Tabela1[[#This Row],[MATRICULA]],#REF!,2,0),"")</f>
        <v/>
      </c>
      <c r="BH117" s="35" t="str">
        <f>IFERROR(VLOOKUP(Tabela1[[#This Row],[MÊS]]&amp;Tabela1[[#This Row],[MATRICULA]],#REF!,2,0),"")</f>
        <v/>
      </c>
      <c r="BI117" s="35" t="str">
        <f>IFERROR(VLOOKUP(Tabela1[[#This Row],[MÊS]]&amp;Tabela1[[#This Row],[MATRICULA]],#REF!,2,0),"")</f>
        <v/>
      </c>
      <c r="BJ117" s="35" t="str">
        <f>IFERROR(VLOOKUP(Tabela1[[#This Row],[MÊS]]&amp;Tabela1[[#This Row],[MATRICULA]],#REF!,2,0),"")</f>
        <v/>
      </c>
      <c r="BK117" s="35" t="str">
        <f>IFERROR(VLOOKUP(Tabela1[[#This Row],[MÊS]]&amp;Tabela1[[#This Row],[MATRICULA]],#REF!,2,0),"")</f>
        <v/>
      </c>
      <c r="BL117" s="21">
        <f>COUNTIF(Tabela1[[#This Row],[MOT2]:[RECEPTIVA]],"NÃO ENCONTRADA")</f>
        <v>0</v>
      </c>
      <c r="BM117" s="135" t="str">
        <f>IFERROR(VLOOKUP(Tabela1[[#This Row],[MÊS]]&amp;Tabela1[[#This Row],[ID]]&amp;Tabela1[[#This Row],[MATRICULA]]&amp;"Motorista"&amp;Tabela1[[#This Row],[SETOR]],BD!A:AF,13,0),"")</f>
        <v/>
      </c>
      <c r="BN117" s="135" t="str">
        <f>IFERROR(VLOOKUP(Tabela1[[#This Row],[MÊS]]&amp;Tabela1[[#This Row],[ID]]&amp;Tabela1[[#This Row],[MATRICULA]]&amp;"Motorista 2"&amp;Tabela1[[#This Row],[SETOR]],BD!A:AF,13,0),"")</f>
        <v/>
      </c>
      <c r="BO117" s="135" t="str">
        <f>IFERROR(VLOOKUP(Tabela1[[#This Row],[MÊS]]&amp;Tabela1[[#This Row],[ID]]&amp;Tabela1[[#This Row],[MATRICULA]]&amp;"Motorista 3"&amp;Tabela1[[#This Row],[SETOR]],BD!A:AF,13,0),"")</f>
        <v/>
      </c>
      <c r="BP117" s="135" t="str">
        <f>IFERROR(VLOOKUP(Tabela1[[#This Row],[MÊS]]&amp;Tabela1[[#This Row],[ID]]&amp;Tabela1[[#This Row],[MATRICULA]]&amp;"Motorista 4"&amp;Tabela1[[#This Row],[SETOR]],BD!A:AF,13,0),"")</f>
        <v/>
      </c>
      <c r="BQ117" s="135" t="str">
        <f>IFERROR(AVERAGE(Tabela1[[#This Row],[DMOT]:[DMOT4]]),"")</f>
        <v/>
      </c>
      <c r="BR117" s="135" t="str">
        <f>IFERROR(VLOOKUP(Tabela1[[#This Row],[MÊS]]&amp;Tabela1[[#This Row],[ID]]&amp;Tabela1[[#This Row],[MATRICULA]]&amp;"Ponto de Apoio"&amp;Tabela1[[#This Row],[SETOR]],BD!A:AF,13,0),"")</f>
        <v/>
      </c>
      <c r="BS117" s="135" t="str">
        <f>IFERROR(VLOOKUP(Tabela1[[#This Row],[MÊS]]&amp;Tabela1[[#This Row],[ID]]&amp;Tabela1[[#This Row],[MATRICULA]]&amp;"Ponto de Apoio 2"&amp;Tabela1[[#This Row],[SETOR]],BD!A:AF,13,0),"")</f>
        <v/>
      </c>
      <c r="BT117" s="135" t="str">
        <f>IFERROR(VLOOKUP(Tabela1[[#This Row],[MÊS]]&amp;Tabela1[[#This Row],[ID]]&amp;Tabela1[[#This Row],[MATRICULA]]&amp;"Ponto de Apoio 3"&amp;Tabela1[[#This Row],[SETOR]],BD!A:AF,13,0),"")</f>
        <v/>
      </c>
      <c r="BU117" s="135" t="str">
        <f>IFERROR(VLOOKUP(Tabela1[[#This Row],[MÊS]]&amp;Tabela1[[#This Row],[ID]]&amp;Tabela1[[#This Row],[MATRICULA]]&amp;"Ponto de Apoio 4"&amp;Tabela1[[#This Row],[SETOR]],BD!A:AF,13,0),"")</f>
        <v/>
      </c>
      <c r="BV117" s="135" t="str">
        <f>IFERROR(AVERAGE(Tabela1[[#This Row],[DPA]:[DPA 4]]),"")</f>
        <v/>
      </c>
      <c r="BW117" s="135" t="str">
        <f>IFERROR(VLOOKUP(Tabela1[[#This Row],[MÊS]]&amp;Tabela1[[#This Row],[ID]]&amp;Tabela1[[#This Row],[MATRICULA]]&amp;"Cliente"&amp;Tabela1[[#This Row],[SETOR]],BD!A:AF,13,0),"")</f>
        <v/>
      </c>
      <c r="BX117" s="135" t="str">
        <f>IFERROR(VLOOKUP(Tabela1[[#This Row],[MÊS]]&amp;Tabela1[[#This Row],[ID]]&amp;Tabela1[[#This Row],[MATRICULA]]&amp;"cliente 2"&amp;Tabela1[[#This Row],[SETOR]],BD!A:AF,13,0),"")</f>
        <v/>
      </c>
      <c r="BY117" s="135" t="str">
        <f>IFERROR(VLOOKUP(Tabela1[[#This Row],[MÊS]]&amp;Tabela1[[#This Row],[ID]]&amp;Tabela1[[#This Row],[MATRICULA]]&amp;"cliente 3"&amp;Tabela1[[#This Row],[SETOR]],BD!A:AF,13,0),"")</f>
        <v/>
      </c>
      <c r="BZ117" s="135" t="str">
        <f>IFERROR(VLOOKUP(Tabela1[[#This Row],[MÊS]]&amp;Tabela1[[#This Row],[ID]]&amp;Tabela1[[#This Row],[MATRICULA]]&amp;"cliente 4"&amp;Tabela1[[#This Row],[SETOR]],BD!A:AF,13,0),"")</f>
        <v/>
      </c>
      <c r="CA117" s="135" t="str">
        <f>IFERROR(AVERAGE(Tabela1[[#This Row],[DCLI]:[DCLI 4]]),"")</f>
        <v/>
      </c>
      <c r="CB117" s="135" t="str">
        <f>IFERROR(VLOOKUP(Tabela1[[#This Row],[MÊS]]&amp;Tabela1[[#This Row],[ID]]&amp;Tabela1[[#This Row],[MATRICULA]]&amp;"Policia"&amp;Tabela1[[#This Row],[SETOR]],BD!A:AF,13,0),"")</f>
        <v/>
      </c>
      <c r="CC117" s="135" t="str">
        <f>IFERROR(VLOOKUP(Tabela1[[#This Row],[MÊS]]&amp;Tabela1[[#This Row],[ID]]&amp;Tabela1[[#This Row],[MATRICULA]]&amp;"Policia 2"&amp;Tabela1[[#This Row],[SETOR]],BD!A:AF,13,0),"")</f>
        <v/>
      </c>
      <c r="CD117" s="135"/>
      <c r="CE117" s="135"/>
      <c r="CF117" s="135" t="str">
        <f>IFERROR((AVERAGE(Tabela1[[#This Row],[DPOL1]:[DPOL4]])),"")</f>
        <v/>
      </c>
      <c r="CG117" s="21" t="str">
        <f>IFERROR(VLOOKUP(Tabela1[[#This Row],[ID]]&amp;Tabela1[[#This Row],[MÊS]]&amp;Tabela1[[#This Row],[MATRICULA]],#REF!,2,0),"")</f>
        <v/>
      </c>
      <c r="CH117" s="21" t="str">
        <f>IFERROR(VLOOKUP(Tabela1[[#This Row],[ID]]&amp;Tabela1[[#This Row],[MÊS]]&amp;Tabela1[[#This Row],[MATRICULA]],#REF!,2,0),"")</f>
        <v/>
      </c>
      <c r="CI117" s="21" t="str">
        <f>IFERROR(VLOOKUP(Tabela1[[#This Row],[MÊS]]&amp;Tabela1[[#This Row],[MATRICULA]],#REF!,2,0),"")</f>
        <v/>
      </c>
    </row>
    <row r="118" spans="1:87">
      <c r="A118" s="12" t="str">
        <f>Tabela1[[#This Row],[MÊS]]&amp;Tabela1[[#This Row],[MATRICULA]]&amp;Tabela1[[#This Row],[ID]]</f>
        <v>JAN106991</v>
      </c>
      <c r="B118" s="12" t="str">
        <f>Tabela1[[#This Row],[MÊS]]&amp;Tabela1[[#This Row],[ID]]&amp;Tabela1[[#This Row],[MATRICULA]]&amp;Tabela1[[#This Row],[SETOR]]</f>
        <v>JAN110699LOGÍSTICA</v>
      </c>
      <c r="C118" s="130" t="e">
        <f>VLOOKUP(Tabela1[[#This Row],[MATRICULA]],'BD Campos'!A:D,5,0)</f>
        <v>#REF!</v>
      </c>
      <c r="D118" s="133" t="str">
        <f ca="1">IFERROR(SUM(TODAY()-Tabela1[[#This Row],[ADMISSÃO]]),"")</f>
        <v/>
      </c>
      <c r="E118" s="11" t="str">
        <f ca="1">IFERROR(TRUNC(Tabela1[[#This Row],[TEMPO DE CASA (DIAS)]]/30),"")</f>
        <v/>
      </c>
      <c r="F118" s="32" t="str">
        <f ca="1">IFERROR(SUM(Tabela1[[#This Row],[TEMPO DE CASA (MESES)]]/12),"")</f>
        <v/>
      </c>
      <c r="G118" s="133" t="str">
        <f ca="1">IF(Tabela1[[#This Row],[TEMPO DE CASA (DIAS)]]="","SEM DADOS",IF(Tabela1[[#This Row],[TEMPO DE CASA (DIAS)]]&gt;180,"&gt; 6 MESES","&lt; 6 MESES"))</f>
        <v>SEM DADOS</v>
      </c>
      <c r="H118" s="12" t="str">
        <f t="shared" ref="H118:H141" si="12">K118&amp;S118&amp;J118</f>
        <v>JANGeovana Meurer1</v>
      </c>
      <c r="I118" s="12" t="str">
        <f>IFERROR(VLOOKUP(Tabela1[[#This Row],[MATRICULA]],'BD Campos'!A:F,7,0),"")</f>
        <v/>
      </c>
      <c r="J118" s="11">
        <v>1</v>
      </c>
      <c r="K118" s="11" t="s">
        <v>669</v>
      </c>
      <c r="L118" s="136">
        <v>10699</v>
      </c>
      <c r="M118" s="12" t="str">
        <f>IFERROR(VLOOKUP(Tabela1[[#This Row],[MATRICULA]],'BD Campos'!A:B,2,0),"")</f>
        <v>RAFFAELLA BARROZO DA SILVA</v>
      </c>
      <c r="N118" s="20" t="str">
        <f>IFERROR(AVERAGE(Tabela1[[#This Row],[A1]:[A4]]),"")</f>
        <v/>
      </c>
      <c r="O118" s="20" t="str">
        <f>IFERROR(IF(Tabela1[[#This Row],[SETOR]]="RECEPTIVO","",AVERAGE(Tabela1[[#This Row],[A5]:[A6]])),"")</f>
        <v/>
      </c>
      <c r="P118" s="20" t="str">
        <f>IFERROR(IF(Tabela1[[#This Row],[STATUS]]="INATIVO","INATIVO",IF(Tabela1[[#This Row],[STATUS]]="QRT","INATIVO",IF(Tabela1[[#This Row],[OPERACIONAL]]&gt;7.99999,"BOM","RUIM"))),"")</f>
        <v>INATIVO</v>
      </c>
      <c r="Q118" s="21" t="s">
        <v>670</v>
      </c>
      <c r="R118" s="12" t="s">
        <v>315</v>
      </c>
      <c r="S118" s="12" t="s">
        <v>11</v>
      </c>
      <c r="T118" s="12" t="s">
        <v>315</v>
      </c>
      <c r="U11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18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18" s="12">
        <f>IF(AND(Tabela1[[#This Row],[SETOR]]="UTI",Tabela1[[#This Row],[M]]&lt;&gt;""),1,IF(AND(Tabela1[[#This Row],[SETOR]]="UTI (RJ)",Tabela1[[#This Row],[M]]&lt;&gt;""),1.5,0))</f>
        <v>0</v>
      </c>
      <c r="X118" s="12">
        <f>IF(AND(Tabela1[[#This Row],[SETOR]]="UTI",Tabela1[[#This Row],[PA2]]&lt;&gt;""),1,IF(AND(Tabela1[[#This Row],[SETOR]]="UTI (RJ)",Tabela1[[#This Row],[PA2]]&lt;&gt;""),0,0))</f>
        <v>0</v>
      </c>
      <c r="Y118" s="12">
        <f>IF(AND(Tabela1[[#This Row],[SETOR]]="UTI",Tabela1[[#This Row],[C]]&lt;&gt;""),1,IF(AND(Tabela1[[#This Row],[SETOR]]="UTI (RJ)",Tabela1[[#This Row],[C]]&lt;&gt;""),1.5,0))</f>
        <v>0</v>
      </c>
      <c r="Z118" s="12">
        <f>IF(AND(Tabela1[[#This Row],[SETOR]]="UTI",Tabela1[[#This Row],[PL]]&lt;&gt;""),1,IF(AND(Tabela1[[#This Row],[SETOR]]="UTI (RJ)",Tabela1[[#This Row],[PL]]&lt;&gt;""),1,0))</f>
        <v>0</v>
      </c>
      <c r="AA118" s="21" t="str">
        <f>IFERROR(VLOOKUP(Tabela1[[#This Row],[MÊS]]&amp;Tabela1[[#This Row],[MATRICULA]]&amp;"1"&amp;Tabela1[[#This Row],[SETOR]]&amp;"PADRÃO",BD!B:AF,31,0),"")</f>
        <v/>
      </c>
      <c r="AB118" s="21" t="str">
        <f>IFERROR(VLOOKUP(Tabela1[[#This Row],[MÊS]]&amp;Tabela1[[#This Row],[MATRICULA]]&amp;"2"&amp;Tabela1[[#This Row],[SETOR]]&amp;"PADRÃO",BD!B:AF,31,0),"")</f>
        <v/>
      </c>
      <c r="AC118" s="21" t="str">
        <f>IFERROR(VLOOKUP(Tabela1[[#This Row],[MÊS]]&amp;Tabela1[[#This Row],[MATRICULA]]&amp;"3"&amp;Tabela1[[#This Row],[SETOR]]&amp;"PADRÃO",BD!B:AF,31,0),"")</f>
        <v/>
      </c>
      <c r="AD118" s="21" t="str">
        <f>IFERROR(VLOOKUP(Tabela1[[#This Row],[MÊS]]&amp;Tabela1[[#This Row],[MATRICULA]]&amp;"4"&amp;Tabela1[[#This Row],[SETOR]]&amp;"PADRÃO",BD!B:AF,25,0),"")</f>
        <v/>
      </c>
      <c r="AE118" s="21" t="str">
        <f>IFERROR(VLOOKUP(Tabela1[[#This Row],[MÊS]]&amp;Tabela1[[#This Row],[MATRICULA]]&amp;"5"&amp;Tabela1[[#This Row],[SETOR]]&amp;"PADRÃO",BD!B:AF,31,0),"")</f>
        <v/>
      </c>
      <c r="AF118" s="21" t="str">
        <f>IFERROR(VLOOKUP(Tabela1[[#This Row],[MÊS]]&amp;Tabela1[[#This Row],[MATRICULA]]&amp;"6"&amp;Tabela1[[#This Row],[SETOR]]&amp;"PADRÃO",BD!B:AF,31,0),"")</f>
        <v/>
      </c>
      <c r="AG118" s="21" t="str">
        <f>IFERROR(VLOOKUP(Tabela1[[#This Row],[MÊS]]&amp;Tabela1[[#This Row],[MATRICULA]]&amp;"7"&amp;Tabela1[[#This Row],[SETOR]]&amp;"PADRÃO",BD!B:AF,31,0),"")</f>
        <v/>
      </c>
      <c r="AH118" s="21" t="str">
        <f>IFERROR(VLOOKUP(Tabela1[[#This Row],[MÊS]]&amp;Tabela1[[#This Row],[ID]]&amp;Tabela1[[#This Row],[MATRICULA]]&amp;"Receptiva"&amp;Tabela1[[#This Row],[SETOR]],BD!A:AF,31,0),"")</f>
        <v/>
      </c>
      <c r="AI118" s="21" t="str">
        <f>IFERROR(VLOOKUP(Tabela1[[#This Row],[MÊS]]&amp;Tabela1[[#This Row],[ID]]&amp;Tabela1[[#This Row],[MATRICULA]]&amp;"Receptiva 2"&amp;Tabela1[[#This Row],[SETOR]],BD!A:AF,31,0),"")</f>
        <v/>
      </c>
      <c r="AJ118" s="21" t="str">
        <f>IFERROR(VLOOKUP(Tabela1[[#This Row],[MÊS]]&amp;Tabela1[[#This Row],[ID]]&amp;Tabela1[[#This Row],[MATRICULA]]&amp;"Receptiva 3"&amp;Tabela1[[#This Row],[SETOR]],BD!A:AF,31,0),"")</f>
        <v/>
      </c>
      <c r="AK118" s="21" t="str">
        <f>IFERROR(VLOOKUP(Tabela1[[#This Row],[MÊS]]&amp;Tabela1[[#This Row],[ID]]&amp;Tabela1[[#This Row],[MATRICULA]]&amp;"Receptiva 4"&amp;Tabela1[[#This Row],[SETOR]],BD!A:AF,31,0),"")</f>
        <v/>
      </c>
      <c r="AL118" s="21" t="str">
        <f>IFERROR(VLOOKUP(Tabela1[[#This Row],[MÊS]]&amp;Tabela1[[#This Row],[MATRICULA]]&amp;"Motorista"&amp;Tabela1[[#This Row],[SETOR]],BD!A:AF,31,0),"")</f>
        <v/>
      </c>
      <c r="AM118" s="21" t="str">
        <f>IFERROR(VLOOKUP(Tabela1[[#This Row],[MÊS]]&amp;Tabela1[[#This Row],[ID]]&amp;Tabela1[[#This Row],[MATRICULA]]&amp;"Motorista 2"&amp;Tabela1[[#This Row],[SETOR]],BD!A:AF,26,0),"")</f>
        <v/>
      </c>
      <c r="AN118" s="21" t="str">
        <f>IFERROR(VLOOKUP(Tabela1[[#This Row],[MÊS]]&amp;Tabela1[[#This Row],[ID]]&amp;Tabela1[[#This Row],[MATRICULA]]&amp;"Motorista 3"&amp;Tabela1[[#This Row],[SETOR]],BD!A:AF,26,0),"")</f>
        <v/>
      </c>
      <c r="AO118" s="21" t="str">
        <f>IFERROR(VLOOKUP(Tabela1[[#This Row],[MÊS]]&amp;Tabela1[[#This Row],[ID]]&amp;Tabela1[[#This Row],[MATRICULA]]&amp;"Motorista 4"&amp;Tabela1[[#This Row],[SETOR]],BD!A:AF,26,0),"")</f>
        <v/>
      </c>
      <c r="AP118" s="21" t="str">
        <f>IFERROR(VLOOKUP(Tabela1[[#This Row],[MÊS]]&amp;Tabela1[[#This Row],[MATRICULA]]&amp;"Ponto de Apoio"&amp;Tabela1[[#This Row],[SETOR]],BD!A:AF,31,0),"")</f>
        <v/>
      </c>
      <c r="AQ118" s="21" t="str">
        <f>IFERROR(VLOOKUP(Tabela1[[#This Row],[MÊS]]&amp;Tabela1[[#This Row],[ID]]&amp;Tabela1[[#This Row],[MATRICULA]]&amp;"Ponto de Apoio 2"&amp;Tabela1[[#This Row],[SETOR]],BD!A:AF,26,0),"")</f>
        <v/>
      </c>
      <c r="AR118" s="36" t="str">
        <f>IFERROR(VLOOKUP(Tabela1[[#This Row],[MÊS]]&amp;Tabela1[[#This Row],[ID]]&amp;Tabela1[[#This Row],[MATRICULA]]&amp;"Ponto de Apoio 3"&amp;Tabela1[[#This Row],[SETOR]],BD!A:AF,26,0),"")</f>
        <v/>
      </c>
      <c r="AS118" s="36" t="str">
        <f>IFERROR(VLOOKUP(Tabela1[[#This Row],[MÊS]]&amp;Tabela1[[#This Row],[ID]]&amp;Tabela1[[#This Row],[MATRICULA]]&amp;"Ponto de Apoio 4"&amp;Tabela1[[#This Row],[SETOR]],BD!A:AF,26,0),"")</f>
        <v/>
      </c>
      <c r="AT118" s="21" t="str">
        <f>IFERROR(VLOOKUP(Tabela1[[#This Row],[MÊS]]&amp;Tabela1[[#This Row],[MATRICULA]]&amp;"Cliente"&amp;Tabela1[[#This Row],[SETOR]],BD!A:AF,31,0),"")</f>
        <v/>
      </c>
      <c r="AU118" s="21" t="str">
        <f>IFERROR(VLOOKUP(Tabela1[[#This Row],[MÊS]]&amp;Tabela1[[#This Row],[ID]]&amp;Tabela1[[#This Row],[MATRICULA]]&amp;"Cliente 2"&amp;Tabela1[[#This Row],[SETOR]],BD!A:AF,26,0),"")</f>
        <v/>
      </c>
      <c r="AX118" s="21" t="str">
        <f>IFERROR(VLOOKUP(Tabela1[[#This Row],[MÊS]]&amp;Tabela1[[#This Row],[MATRICULA]]&amp;"Policia"&amp;Tabela1[[#This Row],[SETOR]],BD!A:AF,31,0),"")</f>
        <v/>
      </c>
      <c r="AY118" s="21" t="str">
        <f>IFERROR(VLOOKUP(Tabela1[[#This Row],[MÊS]]&amp;Tabela1[[#This Row],[ID]]&amp;Tabela1[[#This Row],[MATRICULA]]&amp;"Policia 2"&amp;Tabela1[[#This Row],[SETOR]],BD!A:AF,26,0),"")</f>
        <v/>
      </c>
      <c r="AZ118" s="36" t="str">
        <f>IFERROR(VLOOKUP(Tabela1[[#This Row],[MÊS]]&amp;Tabela1[[#This Row],[ID]]&amp;Tabela1[[#This Row],[MATRICULA]]&amp;"Policia 3"&amp;Tabela1[[#This Row],[SETOR]],BD!A:AF,26,0),"")</f>
        <v/>
      </c>
      <c r="BA118" s="36" t="str">
        <f>IFERROR(VLOOKUP(Tabela1[[#This Row],[MÊS]]&amp;Tabela1[[#This Row],[ID]]&amp;Tabela1[[#This Row],[MATRICULA]]&amp;"Policia 4"&amp;Tabela1[[#This Row],[SETOR]],BD!A:AF,26,0),"")</f>
        <v/>
      </c>
      <c r="BB11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18" s="21" t="str">
        <f>IFERROR(AVERAGE(Tabela1[[#This Row],[M]:[M4]]),"")</f>
        <v/>
      </c>
      <c r="BD118" s="21" t="str">
        <f>IFERROR(AVERAGE(Tabela1[[#This Row],[C]:[C4]]),"")</f>
        <v/>
      </c>
      <c r="BE118" s="21" t="str">
        <f>IFERROR(AVERAGE(Tabela1[[#This Row],[PA2]:[PA 4]]),"")</f>
        <v/>
      </c>
      <c r="BF118" s="21" t="str">
        <f>IFERROR(AVERAGE(Tabela1[[#This Row],[PL]:[PL4]]),"")</f>
        <v/>
      </c>
      <c r="BG118" s="35" t="str">
        <f>IFERROR(VLOOKUP(Tabela1[[#This Row],[MÊS]]&amp;Tabela1[[#This Row],[MATRICULA]],#REF!,2,0),"")</f>
        <v/>
      </c>
      <c r="BH118" s="35" t="str">
        <f>IFERROR(VLOOKUP(Tabela1[[#This Row],[MÊS]]&amp;Tabela1[[#This Row],[MATRICULA]],#REF!,2,0),"")</f>
        <v/>
      </c>
      <c r="BI118" s="35" t="str">
        <f>IFERROR(VLOOKUP(Tabela1[[#This Row],[MÊS]]&amp;Tabela1[[#This Row],[MATRICULA]],#REF!,2,0),"")</f>
        <v/>
      </c>
      <c r="BJ118" s="35" t="str">
        <f>IFERROR(VLOOKUP(Tabela1[[#This Row],[MÊS]]&amp;Tabela1[[#This Row],[MATRICULA]],#REF!,2,0),"")</f>
        <v/>
      </c>
      <c r="BK118" s="35" t="str">
        <f>IFERROR(VLOOKUP(Tabela1[[#This Row],[MÊS]]&amp;Tabela1[[#This Row],[MATRICULA]],#REF!,2,0),"")</f>
        <v/>
      </c>
      <c r="BL118" s="21">
        <f>COUNTIF(Tabela1[[#This Row],[MOT2]:[RECEPTIVA]],"NÃO ENCONTRADA")</f>
        <v>0</v>
      </c>
      <c r="BM118" s="135" t="str">
        <f>IFERROR(VLOOKUP(Tabela1[[#This Row],[MÊS]]&amp;Tabela1[[#This Row],[ID]]&amp;Tabela1[[#This Row],[MATRICULA]]&amp;"Motorista"&amp;Tabela1[[#This Row],[SETOR]],BD!A:AF,13,0),"")</f>
        <v/>
      </c>
      <c r="BN118" s="135" t="str">
        <f>IFERROR(VLOOKUP(Tabela1[[#This Row],[MÊS]]&amp;Tabela1[[#This Row],[ID]]&amp;Tabela1[[#This Row],[MATRICULA]]&amp;"Motorista 2"&amp;Tabela1[[#This Row],[SETOR]],BD!A:AF,13,0),"")</f>
        <v/>
      </c>
      <c r="BO118" s="135" t="str">
        <f>IFERROR(VLOOKUP(Tabela1[[#This Row],[MÊS]]&amp;Tabela1[[#This Row],[ID]]&amp;Tabela1[[#This Row],[MATRICULA]]&amp;"Motorista 3"&amp;Tabela1[[#This Row],[SETOR]],BD!A:AF,13,0),"")</f>
        <v/>
      </c>
      <c r="BP118" s="135" t="str">
        <f>IFERROR(VLOOKUP(Tabela1[[#This Row],[MÊS]]&amp;Tabela1[[#This Row],[ID]]&amp;Tabela1[[#This Row],[MATRICULA]]&amp;"Motorista 4"&amp;Tabela1[[#This Row],[SETOR]],BD!A:AF,13,0),"")</f>
        <v/>
      </c>
      <c r="BQ118" s="135" t="str">
        <f>IFERROR(AVERAGE(Tabela1[[#This Row],[DMOT]:[DMOT4]]),"")</f>
        <v/>
      </c>
      <c r="BR118" s="135" t="str">
        <f>IFERROR(VLOOKUP(Tabela1[[#This Row],[MÊS]]&amp;Tabela1[[#This Row],[ID]]&amp;Tabela1[[#This Row],[MATRICULA]]&amp;"Ponto de Apoio"&amp;Tabela1[[#This Row],[SETOR]],BD!A:AF,13,0),"")</f>
        <v/>
      </c>
      <c r="BS118" s="135" t="str">
        <f>IFERROR(VLOOKUP(Tabela1[[#This Row],[MÊS]]&amp;Tabela1[[#This Row],[ID]]&amp;Tabela1[[#This Row],[MATRICULA]]&amp;"Ponto de Apoio 2"&amp;Tabela1[[#This Row],[SETOR]],BD!A:AF,13,0),"")</f>
        <v/>
      </c>
      <c r="BT118" s="135" t="str">
        <f>IFERROR(VLOOKUP(Tabela1[[#This Row],[MÊS]]&amp;Tabela1[[#This Row],[ID]]&amp;Tabela1[[#This Row],[MATRICULA]]&amp;"Ponto de Apoio 3"&amp;Tabela1[[#This Row],[SETOR]],BD!A:AF,13,0),"")</f>
        <v/>
      </c>
      <c r="BU118" s="135" t="str">
        <f>IFERROR(VLOOKUP(Tabela1[[#This Row],[MÊS]]&amp;Tabela1[[#This Row],[ID]]&amp;Tabela1[[#This Row],[MATRICULA]]&amp;"Ponto de Apoio 4"&amp;Tabela1[[#This Row],[SETOR]],BD!A:AF,13,0),"")</f>
        <v/>
      </c>
      <c r="BV118" s="135" t="str">
        <f>IFERROR(AVERAGE(Tabela1[[#This Row],[DPA]:[DPA 4]]),"")</f>
        <v/>
      </c>
      <c r="BW118" s="135" t="str">
        <f>IFERROR(VLOOKUP(Tabela1[[#This Row],[MÊS]]&amp;Tabela1[[#This Row],[ID]]&amp;Tabela1[[#This Row],[MATRICULA]]&amp;"Cliente"&amp;Tabela1[[#This Row],[SETOR]],BD!A:AF,13,0),"")</f>
        <v/>
      </c>
      <c r="BX118" s="135" t="str">
        <f>IFERROR(VLOOKUP(Tabela1[[#This Row],[MÊS]]&amp;Tabela1[[#This Row],[ID]]&amp;Tabela1[[#This Row],[MATRICULA]]&amp;"cliente 2"&amp;Tabela1[[#This Row],[SETOR]],BD!A:AF,13,0),"")</f>
        <v/>
      </c>
      <c r="BY118" s="135" t="str">
        <f>IFERROR(VLOOKUP(Tabela1[[#This Row],[MÊS]]&amp;Tabela1[[#This Row],[ID]]&amp;Tabela1[[#This Row],[MATRICULA]]&amp;"cliente 3"&amp;Tabela1[[#This Row],[SETOR]],BD!A:AF,13,0),"")</f>
        <v/>
      </c>
      <c r="BZ118" s="135" t="str">
        <f>IFERROR(VLOOKUP(Tabela1[[#This Row],[MÊS]]&amp;Tabela1[[#This Row],[ID]]&amp;Tabela1[[#This Row],[MATRICULA]]&amp;"cliente 4"&amp;Tabela1[[#This Row],[SETOR]],BD!A:AF,13,0),"")</f>
        <v/>
      </c>
      <c r="CA118" s="135" t="str">
        <f>IFERROR(AVERAGE(Tabela1[[#This Row],[DCLI]:[DCLI 4]]),"")</f>
        <v/>
      </c>
      <c r="CB118" s="135" t="str">
        <f>IFERROR(VLOOKUP(Tabela1[[#This Row],[MÊS]]&amp;Tabela1[[#This Row],[ID]]&amp;Tabela1[[#This Row],[MATRICULA]]&amp;"Policia"&amp;Tabela1[[#This Row],[SETOR]],BD!A:AF,13,0),"")</f>
        <v/>
      </c>
      <c r="CC118" s="135" t="str">
        <f>IFERROR(VLOOKUP(Tabela1[[#This Row],[MÊS]]&amp;Tabela1[[#This Row],[ID]]&amp;Tabela1[[#This Row],[MATRICULA]]&amp;"Policia 2"&amp;Tabela1[[#This Row],[SETOR]],BD!A:AF,13,0),"")</f>
        <v/>
      </c>
      <c r="CD118" s="135"/>
      <c r="CE118" s="135"/>
      <c r="CF118" s="135" t="str">
        <f>IFERROR((AVERAGE(Tabela1[[#This Row],[DPOL1]:[DPOL4]])),"")</f>
        <v/>
      </c>
      <c r="CG118" s="21" t="str">
        <f>IFERROR(VLOOKUP(Tabela1[[#This Row],[ID]]&amp;Tabela1[[#This Row],[MÊS]]&amp;Tabela1[[#This Row],[MATRICULA]],#REF!,2,0),"")</f>
        <v/>
      </c>
      <c r="CH118" s="21" t="str">
        <f>IFERROR(VLOOKUP(Tabela1[[#This Row],[ID]]&amp;Tabela1[[#This Row],[MÊS]]&amp;Tabela1[[#This Row],[MATRICULA]],#REF!,2,0),"")</f>
        <v/>
      </c>
      <c r="CI118" s="21" t="str">
        <f>IFERROR(VLOOKUP(Tabela1[[#This Row],[MÊS]]&amp;Tabela1[[#This Row],[MATRICULA]],#REF!,2,0),"")</f>
        <v/>
      </c>
    </row>
    <row r="119" spans="1:87">
      <c r="A119" s="12" t="str">
        <f>Tabela1[[#This Row],[MÊS]]&amp;Tabela1[[#This Row],[MATRICULA]]&amp;Tabela1[[#This Row],[ID]]</f>
        <v>JAN114692</v>
      </c>
      <c r="B119" s="12" t="str">
        <f>Tabela1[[#This Row],[MÊS]]&amp;Tabela1[[#This Row],[ID]]&amp;Tabela1[[#This Row],[MATRICULA]]&amp;Tabela1[[#This Row],[SETOR]]</f>
        <v>JAN211469LOGÍSTICA</v>
      </c>
      <c r="C119" s="130" t="e">
        <f>VLOOKUP(Tabela1[[#This Row],[MATRICULA]],'BD Campos'!A:D,5,0)</f>
        <v>#REF!</v>
      </c>
      <c r="D119" s="133" t="str">
        <f ca="1">IFERROR(SUM(TODAY()-Tabela1[[#This Row],[ADMISSÃO]]),"")</f>
        <v/>
      </c>
      <c r="E119" s="11" t="str">
        <f ca="1">IFERROR(TRUNC(Tabela1[[#This Row],[TEMPO DE CASA (DIAS)]]/30),"")</f>
        <v/>
      </c>
      <c r="F119" s="32" t="str">
        <f ca="1">IFERROR(SUM(Tabela1[[#This Row],[TEMPO DE CASA (MESES)]]/12),"")</f>
        <v/>
      </c>
      <c r="G119" s="133" t="str">
        <f ca="1">IF(Tabela1[[#This Row],[TEMPO DE CASA (DIAS)]]="","SEM DADOS",IF(Tabela1[[#This Row],[TEMPO DE CASA (DIAS)]]&gt;180,"&gt; 6 MESES","&lt; 6 MESES"))</f>
        <v>SEM DADOS</v>
      </c>
      <c r="H119" s="12" t="str">
        <f t="shared" si="12"/>
        <v>JANGeovana Meurer2</v>
      </c>
      <c r="I119" s="12" t="str">
        <f>IFERROR(VLOOKUP(Tabela1[[#This Row],[MATRICULA]],'BD Campos'!A:F,7,0),"")</f>
        <v/>
      </c>
      <c r="J119" s="11">
        <v>2</v>
      </c>
      <c r="K119" s="11" t="s">
        <v>669</v>
      </c>
      <c r="L119" s="136">
        <v>11469</v>
      </c>
      <c r="M119" s="12" t="str">
        <f>IFERROR(VLOOKUP(Tabela1[[#This Row],[MATRICULA]],'BD Campos'!A:B,2,0),"")</f>
        <v>BRUNO PINHEIRO SILVA</v>
      </c>
      <c r="N119" s="20">
        <f>IFERROR(AVERAGE(Tabela1[[#This Row],[A1]:[A4]]),"")</f>
        <v>7.9</v>
      </c>
      <c r="O119" s="20" t="str">
        <f>IFERROR(IF(Tabela1[[#This Row],[SETOR]]="RECEPTIVO","",AVERAGE(Tabela1[[#This Row],[A5]:[A6]])),"")</f>
        <v/>
      </c>
      <c r="P119" s="20" t="str">
        <f>IFERROR(IF(Tabela1[[#This Row],[STATUS]]="INATIVO","INATIVO",IF(Tabela1[[#This Row],[STATUS]]="QRT","INATIVO",IF(Tabela1[[#This Row],[OPERACIONAL]]&gt;7.99999,"BOM","RUIM"))),"")</f>
        <v>RUIM</v>
      </c>
      <c r="Q119" s="21" t="s">
        <v>667</v>
      </c>
      <c r="R119" s="12" t="s">
        <v>315</v>
      </c>
      <c r="S119" s="12" t="s">
        <v>11</v>
      </c>
      <c r="T119" s="12" t="s">
        <v>315</v>
      </c>
      <c r="U11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1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19" s="12">
        <f>IF(AND(Tabela1[[#This Row],[SETOR]]="UTI",Tabela1[[#This Row],[M]]&lt;&gt;""),1,IF(AND(Tabela1[[#This Row],[SETOR]]="UTI (RJ)",Tabela1[[#This Row],[M]]&lt;&gt;""),1.5,0))</f>
        <v>0</v>
      </c>
      <c r="X119" s="12">
        <f>IF(AND(Tabela1[[#This Row],[SETOR]]="UTI",Tabela1[[#This Row],[PA2]]&lt;&gt;""),1,IF(AND(Tabela1[[#This Row],[SETOR]]="UTI (RJ)",Tabela1[[#This Row],[PA2]]&lt;&gt;""),0,0))</f>
        <v>0</v>
      </c>
      <c r="Y119" s="12">
        <f>IF(AND(Tabela1[[#This Row],[SETOR]]="UTI",Tabela1[[#This Row],[C]]&lt;&gt;""),1,IF(AND(Tabela1[[#This Row],[SETOR]]="UTI (RJ)",Tabela1[[#This Row],[C]]&lt;&gt;""),1.5,0))</f>
        <v>0</v>
      </c>
      <c r="Z119" s="12">
        <f>IF(AND(Tabela1[[#This Row],[SETOR]]="UTI",Tabela1[[#This Row],[PL]]&lt;&gt;""),1,IF(AND(Tabela1[[#This Row],[SETOR]]="UTI (RJ)",Tabela1[[#This Row],[PL]]&lt;&gt;""),1,0))</f>
        <v>0</v>
      </c>
      <c r="AA119" s="21">
        <f>IFERROR(VLOOKUP(Tabela1[[#This Row],[MÊS]]&amp;Tabela1[[#This Row],[MATRICULA]]&amp;"1"&amp;Tabela1[[#This Row],[SETOR]]&amp;"PADRÃO",BD!B:AF,31,0),"")</f>
        <v>7.9</v>
      </c>
      <c r="AB119" s="21">
        <f>IFERROR(VLOOKUP(Tabela1[[#This Row],[MÊS]]&amp;Tabela1[[#This Row],[MATRICULA]]&amp;"2"&amp;Tabela1[[#This Row],[SETOR]]&amp;"PADRÃO",BD!B:AF,31,0),"")</f>
        <v>7.9</v>
      </c>
      <c r="AC119" s="21" t="str">
        <f>IFERROR(VLOOKUP(Tabela1[[#This Row],[MÊS]]&amp;Tabela1[[#This Row],[MATRICULA]]&amp;"3"&amp;Tabela1[[#This Row],[SETOR]]&amp;"PADRÃO",BD!B:AF,31,0),"")</f>
        <v/>
      </c>
      <c r="AD119" s="21" t="str">
        <f>IFERROR(VLOOKUP(Tabela1[[#This Row],[MÊS]]&amp;Tabela1[[#This Row],[MATRICULA]]&amp;"4"&amp;Tabela1[[#This Row],[SETOR]]&amp;"PADRÃO",BD!B:AF,25,0),"")</f>
        <v/>
      </c>
      <c r="AE119" s="21" t="str">
        <f>IFERROR(VLOOKUP(Tabela1[[#This Row],[MÊS]]&amp;Tabela1[[#This Row],[MATRICULA]]&amp;"5"&amp;Tabela1[[#This Row],[SETOR]]&amp;"PADRÃO",BD!B:AF,31,0),"")</f>
        <v/>
      </c>
      <c r="AF119" s="21" t="str">
        <f>IFERROR(VLOOKUP(Tabela1[[#This Row],[MÊS]]&amp;Tabela1[[#This Row],[MATRICULA]]&amp;"6"&amp;Tabela1[[#This Row],[SETOR]]&amp;"PADRÃO",BD!B:AF,31,0),"")</f>
        <v/>
      </c>
      <c r="AG119" s="21" t="str">
        <f>IFERROR(VLOOKUP(Tabela1[[#This Row],[MÊS]]&amp;Tabela1[[#This Row],[MATRICULA]]&amp;"7"&amp;Tabela1[[#This Row],[SETOR]]&amp;"PADRÃO",BD!B:AF,31,0),"")</f>
        <v/>
      </c>
      <c r="AH119" s="21" t="str">
        <f>IFERROR(VLOOKUP(Tabela1[[#This Row],[MÊS]]&amp;Tabela1[[#This Row],[ID]]&amp;Tabela1[[#This Row],[MATRICULA]]&amp;"Receptiva"&amp;Tabela1[[#This Row],[SETOR]],BD!A:AF,31,0),"")</f>
        <v/>
      </c>
      <c r="AI119" s="21" t="str">
        <f>IFERROR(VLOOKUP(Tabela1[[#This Row],[MÊS]]&amp;Tabela1[[#This Row],[ID]]&amp;Tabela1[[#This Row],[MATRICULA]]&amp;"Receptiva 2"&amp;Tabela1[[#This Row],[SETOR]],BD!A:AF,31,0),"")</f>
        <v/>
      </c>
      <c r="AJ119" s="21" t="str">
        <f>IFERROR(VLOOKUP(Tabela1[[#This Row],[MÊS]]&amp;Tabela1[[#This Row],[ID]]&amp;Tabela1[[#This Row],[MATRICULA]]&amp;"Receptiva 3"&amp;Tabela1[[#This Row],[SETOR]],BD!A:AF,31,0),"")</f>
        <v/>
      </c>
      <c r="AK119" s="21" t="str">
        <f>IFERROR(VLOOKUP(Tabela1[[#This Row],[MÊS]]&amp;Tabela1[[#This Row],[ID]]&amp;Tabela1[[#This Row],[MATRICULA]]&amp;"Receptiva 4"&amp;Tabela1[[#This Row],[SETOR]],BD!A:AF,31,0),"")</f>
        <v/>
      </c>
      <c r="AL119" s="21">
        <f>IFERROR(VLOOKUP(Tabela1[[#This Row],[MÊS]]&amp;Tabela1[[#This Row],[MATRICULA]]&amp;"Motorista"&amp;Tabela1[[#This Row],[SETOR]],BD!A:AF,31,0),"")</f>
        <v>0</v>
      </c>
      <c r="AM119" s="21" t="str">
        <f>IFERROR(VLOOKUP(Tabela1[[#This Row],[MÊS]]&amp;Tabela1[[#This Row],[ID]]&amp;Tabela1[[#This Row],[MATRICULA]]&amp;"Motorista 2"&amp;Tabela1[[#This Row],[SETOR]],BD!A:AF,26,0),"")</f>
        <v/>
      </c>
      <c r="AN119" s="21" t="str">
        <f>IFERROR(VLOOKUP(Tabela1[[#This Row],[MÊS]]&amp;Tabela1[[#This Row],[ID]]&amp;Tabela1[[#This Row],[MATRICULA]]&amp;"Motorista 3"&amp;Tabela1[[#This Row],[SETOR]],BD!A:AF,26,0),"")</f>
        <v/>
      </c>
      <c r="AO119" s="21" t="str">
        <f>IFERROR(VLOOKUP(Tabela1[[#This Row],[MÊS]]&amp;Tabela1[[#This Row],[ID]]&amp;Tabela1[[#This Row],[MATRICULA]]&amp;"Motorista 4"&amp;Tabela1[[#This Row],[SETOR]],BD!A:AF,26,0),"")</f>
        <v/>
      </c>
      <c r="AP119" s="21" t="str">
        <f>IFERROR(VLOOKUP(Tabela1[[#This Row],[MÊS]]&amp;Tabela1[[#This Row],[MATRICULA]]&amp;"Ponto de Apoio"&amp;Tabela1[[#This Row],[SETOR]],BD!A:AF,31,0),"")</f>
        <v/>
      </c>
      <c r="AQ119" s="21" t="str">
        <f>IFERROR(VLOOKUP(Tabela1[[#This Row],[MÊS]]&amp;Tabela1[[#This Row],[ID]]&amp;Tabela1[[#This Row],[MATRICULA]]&amp;"Ponto de Apoio 2"&amp;Tabela1[[#This Row],[SETOR]],BD!A:AF,26,0),"")</f>
        <v/>
      </c>
      <c r="AR119" s="36" t="str">
        <f>IFERROR(VLOOKUP(Tabela1[[#This Row],[MÊS]]&amp;Tabela1[[#This Row],[ID]]&amp;Tabela1[[#This Row],[MATRICULA]]&amp;"Ponto de Apoio 3"&amp;Tabela1[[#This Row],[SETOR]],BD!A:AF,26,0),"")</f>
        <v/>
      </c>
      <c r="AS119" s="36" t="str">
        <f>IFERROR(VLOOKUP(Tabela1[[#This Row],[MÊS]]&amp;Tabela1[[#This Row],[ID]]&amp;Tabela1[[#This Row],[MATRICULA]]&amp;"Ponto de Apoio 4"&amp;Tabela1[[#This Row],[SETOR]],BD!A:AF,26,0),"")</f>
        <v/>
      </c>
      <c r="AT119" s="21" t="str">
        <f>IFERROR(VLOOKUP(Tabela1[[#This Row],[MÊS]]&amp;Tabela1[[#This Row],[MATRICULA]]&amp;"Cliente"&amp;Tabela1[[#This Row],[SETOR]],BD!A:AF,31,0),"")</f>
        <v/>
      </c>
      <c r="AU119" s="21" t="str">
        <f>IFERROR(VLOOKUP(Tabela1[[#This Row],[MÊS]]&amp;Tabela1[[#This Row],[ID]]&amp;Tabela1[[#This Row],[MATRICULA]]&amp;"Cliente 2"&amp;Tabela1[[#This Row],[SETOR]],BD!A:AF,26,0),"")</f>
        <v/>
      </c>
      <c r="AX119" s="21" t="str">
        <f>IFERROR(VLOOKUP(Tabela1[[#This Row],[MÊS]]&amp;Tabela1[[#This Row],[MATRICULA]]&amp;"Policia"&amp;Tabela1[[#This Row],[SETOR]],BD!A:AF,31,0),"")</f>
        <v/>
      </c>
      <c r="AY119" s="21" t="str">
        <f>IFERROR(VLOOKUP(Tabela1[[#This Row],[MÊS]]&amp;Tabela1[[#This Row],[ID]]&amp;Tabela1[[#This Row],[MATRICULA]]&amp;"Policia 2"&amp;Tabela1[[#This Row],[SETOR]],BD!A:AF,26,0),"")</f>
        <v/>
      </c>
      <c r="AZ119" s="36" t="str">
        <f>IFERROR(VLOOKUP(Tabela1[[#This Row],[MÊS]]&amp;Tabela1[[#This Row],[ID]]&amp;Tabela1[[#This Row],[MATRICULA]]&amp;"Policia 3"&amp;Tabela1[[#This Row],[SETOR]],BD!A:AF,26,0),"")</f>
        <v/>
      </c>
      <c r="BA119" s="36" t="str">
        <f>IFERROR(VLOOKUP(Tabela1[[#This Row],[MÊS]]&amp;Tabela1[[#This Row],[ID]]&amp;Tabela1[[#This Row],[MATRICULA]]&amp;"Policia 4"&amp;Tabela1[[#This Row],[SETOR]],BD!A:AF,26,0),"")</f>
        <v/>
      </c>
      <c r="BB11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19" s="21">
        <f>IFERROR(AVERAGE(Tabela1[[#This Row],[M]:[M4]]),"")</f>
        <v>0</v>
      </c>
      <c r="BD119" s="21" t="str">
        <f>IFERROR(AVERAGE(Tabela1[[#This Row],[C]:[C4]]),"")</f>
        <v/>
      </c>
      <c r="BE119" s="21" t="str">
        <f>IFERROR(AVERAGE(Tabela1[[#This Row],[PA2]:[PA 4]]),"")</f>
        <v/>
      </c>
      <c r="BF119" s="21" t="str">
        <f>IFERROR(AVERAGE(Tabela1[[#This Row],[PL]:[PL4]]),"")</f>
        <v/>
      </c>
      <c r="BG119" s="35" t="str">
        <f>IFERROR(VLOOKUP(Tabela1[[#This Row],[MÊS]]&amp;Tabela1[[#This Row],[MATRICULA]],#REF!,2,0),"")</f>
        <v/>
      </c>
      <c r="BH119" s="35" t="str">
        <f>IFERROR(VLOOKUP(Tabela1[[#This Row],[MÊS]]&amp;Tabela1[[#This Row],[MATRICULA]],#REF!,2,0),"")</f>
        <v/>
      </c>
      <c r="BI119" s="35" t="str">
        <f>IFERROR(VLOOKUP(Tabela1[[#This Row],[MÊS]]&amp;Tabela1[[#This Row],[MATRICULA]],#REF!,2,0),"")</f>
        <v/>
      </c>
      <c r="BJ119" s="35" t="str">
        <f>IFERROR(VLOOKUP(Tabela1[[#This Row],[MÊS]]&amp;Tabela1[[#This Row],[MATRICULA]],#REF!,2,0),"")</f>
        <v/>
      </c>
      <c r="BK119" s="35" t="str">
        <f>IFERROR(VLOOKUP(Tabela1[[#This Row],[MÊS]]&amp;Tabela1[[#This Row],[MATRICULA]],#REF!,2,0),"")</f>
        <v/>
      </c>
      <c r="BL119" s="21">
        <f>COUNTIF(Tabela1[[#This Row],[MOT2]:[RECEPTIVA]],"NÃO ENCONTRADA")</f>
        <v>0</v>
      </c>
      <c r="BM119" s="135" t="str">
        <f>IFERROR(VLOOKUP(Tabela1[[#This Row],[MÊS]]&amp;Tabela1[[#This Row],[ID]]&amp;Tabela1[[#This Row],[MATRICULA]]&amp;"Motorista"&amp;Tabela1[[#This Row],[SETOR]],BD!A:AF,13,0),"")</f>
        <v/>
      </c>
      <c r="BN119" s="135" t="str">
        <f>IFERROR(VLOOKUP(Tabela1[[#This Row],[MÊS]]&amp;Tabela1[[#This Row],[ID]]&amp;Tabela1[[#This Row],[MATRICULA]]&amp;"Motorista 2"&amp;Tabela1[[#This Row],[SETOR]],BD!A:AF,13,0),"")</f>
        <v/>
      </c>
      <c r="BO119" s="135" t="str">
        <f>IFERROR(VLOOKUP(Tabela1[[#This Row],[MÊS]]&amp;Tabela1[[#This Row],[ID]]&amp;Tabela1[[#This Row],[MATRICULA]]&amp;"Motorista 3"&amp;Tabela1[[#This Row],[SETOR]],BD!A:AF,13,0),"")</f>
        <v/>
      </c>
      <c r="BP119" s="135" t="str">
        <f>IFERROR(VLOOKUP(Tabela1[[#This Row],[MÊS]]&amp;Tabela1[[#This Row],[ID]]&amp;Tabela1[[#This Row],[MATRICULA]]&amp;"Motorista 4"&amp;Tabela1[[#This Row],[SETOR]],BD!A:AF,13,0),"")</f>
        <v/>
      </c>
      <c r="BQ119" s="135" t="str">
        <f>IFERROR(AVERAGE(Tabela1[[#This Row],[DMOT]:[DMOT4]]),"")</f>
        <v/>
      </c>
      <c r="BR119" s="135" t="str">
        <f>IFERROR(VLOOKUP(Tabela1[[#This Row],[MÊS]]&amp;Tabela1[[#This Row],[ID]]&amp;Tabela1[[#This Row],[MATRICULA]]&amp;"Ponto de Apoio"&amp;Tabela1[[#This Row],[SETOR]],BD!A:AF,13,0),"")</f>
        <v/>
      </c>
      <c r="BS119" s="135" t="str">
        <f>IFERROR(VLOOKUP(Tabela1[[#This Row],[MÊS]]&amp;Tabela1[[#This Row],[ID]]&amp;Tabela1[[#This Row],[MATRICULA]]&amp;"Ponto de Apoio 2"&amp;Tabela1[[#This Row],[SETOR]],BD!A:AF,13,0),"")</f>
        <v/>
      </c>
      <c r="BT119" s="135" t="str">
        <f>IFERROR(VLOOKUP(Tabela1[[#This Row],[MÊS]]&amp;Tabela1[[#This Row],[ID]]&amp;Tabela1[[#This Row],[MATRICULA]]&amp;"Ponto de Apoio 3"&amp;Tabela1[[#This Row],[SETOR]],BD!A:AF,13,0),"")</f>
        <v/>
      </c>
      <c r="BU119" s="135" t="str">
        <f>IFERROR(VLOOKUP(Tabela1[[#This Row],[MÊS]]&amp;Tabela1[[#This Row],[ID]]&amp;Tabela1[[#This Row],[MATRICULA]]&amp;"Ponto de Apoio 4"&amp;Tabela1[[#This Row],[SETOR]],BD!A:AF,13,0),"")</f>
        <v/>
      </c>
      <c r="BV119" s="135" t="str">
        <f>IFERROR(AVERAGE(Tabela1[[#This Row],[DPA]:[DPA 4]]),"")</f>
        <v/>
      </c>
      <c r="BW119" s="135" t="str">
        <f>IFERROR(VLOOKUP(Tabela1[[#This Row],[MÊS]]&amp;Tabela1[[#This Row],[ID]]&amp;Tabela1[[#This Row],[MATRICULA]]&amp;"Cliente"&amp;Tabela1[[#This Row],[SETOR]],BD!A:AF,13,0),"")</f>
        <v/>
      </c>
      <c r="BX119" s="135" t="str">
        <f>IFERROR(VLOOKUP(Tabela1[[#This Row],[MÊS]]&amp;Tabela1[[#This Row],[ID]]&amp;Tabela1[[#This Row],[MATRICULA]]&amp;"cliente 2"&amp;Tabela1[[#This Row],[SETOR]],BD!A:AF,13,0),"")</f>
        <v/>
      </c>
      <c r="BY119" s="135" t="str">
        <f>IFERROR(VLOOKUP(Tabela1[[#This Row],[MÊS]]&amp;Tabela1[[#This Row],[ID]]&amp;Tabela1[[#This Row],[MATRICULA]]&amp;"cliente 3"&amp;Tabela1[[#This Row],[SETOR]],BD!A:AF,13,0),"")</f>
        <v/>
      </c>
      <c r="BZ119" s="135" t="str">
        <f>IFERROR(VLOOKUP(Tabela1[[#This Row],[MÊS]]&amp;Tabela1[[#This Row],[ID]]&amp;Tabela1[[#This Row],[MATRICULA]]&amp;"cliente 4"&amp;Tabela1[[#This Row],[SETOR]],BD!A:AF,13,0),"")</f>
        <v/>
      </c>
      <c r="CA119" s="135" t="str">
        <f>IFERROR(AVERAGE(Tabela1[[#This Row],[DCLI]:[DCLI 4]]),"")</f>
        <v/>
      </c>
      <c r="CB119" s="135" t="str">
        <f>IFERROR(VLOOKUP(Tabela1[[#This Row],[MÊS]]&amp;Tabela1[[#This Row],[ID]]&amp;Tabela1[[#This Row],[MATRICULA]]&amp;"Policia"&amp;Tabela1[[#This Row],[SETOR]],BD!A:AF,13,0),"")</f>
        <v/>
      </c>
      <c r="CC119" s="135" t="str">
        <f>IFERROR(VLOOKUP(Tabela1[[#This Row],[MÊS]]&amp;Tabela1[[#This Row],[ID]]&amp;Tabela1[[#This Row],[MATRICULA]]&amp;"Policia 2"&amp;Tabela1[[#This Row],[SETOR]],BD!A:AF,13,0),"")</f>
        <v/>
      </c>
      <c r="CD119" s="135"/>
      <c r="CE119" s="135"/>
      <c r="CF119" s="135" t="str">
        <f>IFERROR((AVERAGE(Tabela1[[#This Row],[DPOL1]:[DPOL4]])),"")</f>
        <v/>
      </c>
      <c r="CG119" s="21" t="str">
        <f>IFERROR(VLOOKUP(Tabela1[[#This Row],[ID]]&amp;Tabela1[[#This Row],[MÊS]]&amp;Tabela1[[#This Row],[MATRICULA]],#REF!,2,0),"")</f>
        <v/>
      </c>
      <c r="CH119" s="21" t="str">
        <f>IFERROR(VLOOKUP(Tabela1[[#This Row],[ID]]&amp;Tabela1[[#This Row],[MÊS]]&amp;Tabela1[[#This Row],[MATRICULA]],#REF!,2,0),"")</f>
        <v/>
      </c>
      <c r="CI119" s="21" t="str">
        <f>IFERROR(VLOOKUP(Tabela1[[#This Row],[MÊS]]&amp;Tabela1[[#This Row],[MATRICULA]],#REF!,2,0),"")</f>
        <v/>
      </c>
    </row>
    <row r="120" spans="1:87">
      <c r="A120" s="12" t="str">
        <f>Tabela1[[#This Row],[MÊS]]&amp;Tabela1[[#This Row],[MATRICULA]]&amp;Tabela1[[#This Row],[ID]]</f>
        <v>JAN114973</v>
      </c>
      <c r="B120" s="12" t="str">
        <f>Tabela1[[#This Row],[MÊS]]&amp;Tabela1[[#This Row],[ID]]&amp;Tabela1[[#This Row],[MATRICULA]]&amp;Tabela1[[#This Row],[SETOR]]</f>
        <v>JAN311497LOGÍSTICA</v>
      </c>
      <c r="C120" s="130" t="e">
        <f>VLOOKUP(Tabela1[[#This Row],[MATRICULA]],'BD Campos'!A:D,5,0)</f>
        <v>#N/A</v>
      </c>
      <c r="D120" s="133" t="str">
        <f ca="1">IFERROR(SUM(TODAY()-Tabela1[[#This Row],[ADMISSÃO]]),"")</f>
        <v/>
      </c>
      <c r="E120" s="11" t="str">
        <f ca="1">IFERROR(TRUNC(Tabela1[[#This Row],[TEMPO DE CASA (DIAS)]]/30),"")</f>
        <v/>
      </c>
      <c r="F120" s="32" t="str">
        <f ca="1">IFERROR(SUM(Tabela1[[#This Row],[TEMPO DE CASA (MESES)]]/12),"")</f>
        <v/>
      </c>
      <c r="G120" s="133" t="str">
        <f ca="1">IF(Tabela1[[#This Row],[TEMPO DE CASA (DIAS)]]="","SEM DADOS",IF(Tabela1[[#This Row],[TEMPO DE CASA (DIAS)]]&gt;180,"&gt; 6 MESES","&lt; 6 MESES"))</f>
        <v>SEM DADOS</v>
      </c>
      <c r="H120" s="12" t="str">
        <f t="shared" si="12"/>
        <v>JANGeovana Meurer3</v>
      </c>
      <c r="I120" s="12" t="str">
        <f>IFERROR(VLOOKUP(Tabela1[[#This Row],[MATRICULA]],'BD Campos'!A:F,7,0),"")</f>
        <v/>
      </c>
      <c r="J120" s="11">
        <v>3</v>
      </c>
      <c r="K120" s="11" t="s">
        <v>669</v>
      </c>
      <c r="L120" s="136">
        <v>11497</v>
      </c>
      <c r="M120" s="12" t="str">
        <f>IFERROR(VLOOKUP(Tabela1[[#This Row],[MATRICULA]],'BD Campos'!A:B,2,0),"")</f>
        <v/>
      </c>
      <c r="N120" s="20" t="str">
        <f>IFERROR(AVERAGE(Tabela1[[#This Row],[A1]:[A4]]),"")</f>
        <v/>
      </c>
      <c r="O120" s="20" t="str">
        <f>IFERROR(IF(Tabela1[[#This Row],[SETOR]]="RECEPTIVO","",AVERAGE(Tabela1[[#This Row],[A5]:[A6]])),"")</f>
        <v/>
      </c>
      <c r="P120" s="20" t="str">
        <f>IFERROR(IF(Tabela1[[#This Row],[STATUS]]="INATIVO","INATIVO",IF(Tabela1[[#This Row],[STATUS]]="QRT","INATIVO",IF(Tabela1[[#This Row],[OPERACIONAL]]&gt;7.99999,"BOM","RUIM"))),"")</f>
        <v>INATIVO</v>
      </c>
      <c r="Q120" s="21" t="s">
        <v>670</v>
      </c>
      <c r="R120" s="12" t="s">
        <v>315</v>
      </c>
      <c r="S120" s="12" t="s">
        <v>11</v>
      </c>
      <c r="T120" s="12" t="s">
        <v>315</v>
      </c>
      <c r="U12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0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20" s="12">
        <f>IF(AND(Tabela1[[#This Row],[SETOR]]="UTI",Tabela1[[#This Row],[M]]&lt;&gt;""),1,IF(AND(Tabela1[[#This Row],[SETOR]]="UTI (RJ)",Tabela1[[#This Row],[M]]&lt;&gt;""),1.5,0))</f>
        <v>0</v>
      </c>
      <c r="X120" s="12">
        <f>IF(AND(Tabela1[[#This Row],[SETOR]]="UTI",Tabela1[[#This Row],[PA2]]&lt;&gt;""),1,IF(AND(Tabela1[[#This Row],[SETOR]]="UTI (RJ)",Tabela1[[#This Row],[PA2]]&lt;&gt;""),0,0))</f>
        <v>0</v>
      </c>
      <c r="Y120" s="12">
        <f>IF(AND(Tabela1[[#This Row],[SETOR]]="UTI",Tabela1[[#This Row],[C]]&lt;&gt;""),1,IF(AND(Tabela1[[#This Row],[SETOR]]="UTI (RJ)",Tabela1[[#This Row],[C]]&lt;&gt;""),1.5,0))</f>
        <v>0</v>
      </c>
      <c r="Z120" s="12">
        <f>IF(AND(Tabela1[[#This Row],[SETOR]]="UTI",Tabela1[[#This Row],[PL]]&lt;&gt;""),1,IF(AND(Tabela1[[#This Row],[SETOR]]="UTI (RJ)",Tabela1[[#This Row],[PL]]&lt;&gt;""),1,0))</f>
        <v>0</v>
      </c>
      <c r="AA120" s="21" t="str">
        <f>IFERROR(VLOOKUP(Tabela1[[#This Row],[MÊS]]&amp;Tabela1[[#This Row],[MATRICULA]]&amp;"1"&amp;Tabela1[[#This Row],[SETOR]]&amp;"PADRÃO",BD!B:AF,31,0),"")</f>
        <v/>
      </c>
      <c r="AB120" s="21" t="str">
        <f>IFERROR(VLOOKUP(Tabela1[[#This Row],[MÊS]]&amp;Tabela1[[#This Row],[MATRICULA]]&amp;"2"&amp;Tabela1[[#This Row],[SETOR]]&amp;"PADRÃO",BD!B:AF,31,0),"")</f>
        <v/>
      </c>
      <c r="AC120" s="21" t="str">
        <f>IFERROR(VLOOKUP(Tabela1[[#This Row],[MÊS]]&amp;Tabela1[[#This Row],[MATRICULA]]&amp;"3"&amp;Tabela1[[#This Row],[SETOR]]&amp;"PADRÃO",BD!B:AF,31,0),"")</f>
        <v/>
      </c>
      <c r="AD120" s="21" t="str">
        <f>IFERROR(VLOOKUP(Tabela1[[#This Row],[MÊS]]&amp;Tabela1[[#This Row],[MATRICULA]]&amp;"4"&amp;Tabela1[[#This Row],[SETOR]]&amp;"PADRÃO",BD!B:AF,25,0),"")</f>
        <v/>
      </c>
      <c r="AE120" s="21" t="str">
        <f>IFERROR(VLOOKUP(Tabela1[[#This Row],[MÊS]]&amp;Tabela1[[#This Row],[MATRICULA]]&amp;"5"&amp;Tabela1[[#This Row],[SETOR]]&amp;"PADRÃO",BD!B:AF,31,0),"")</f>
        <v/>
      </c>
      <c r="AF120" s="21" t="str">
        <f>IFERROR(VLOOKUP(Tabela1[[#This Row],[MÊS]]&amp;Tabela1[[#This Row],[MATRICULA]]&amp;"6"&amp;Tabela1[[#This Row],[SETOR]]&amp;"PADRÃO",BD!B:AF,31,0),"")</f>
        <v/>
      </c>
      <c r="AG120" s="21" t="str">
        <f>IFERROR(VLOOKUP(Tabela1[[#This Row],[MÊS]]&amp;Tabela1[[#This Row],[MATRICULA]]&amp;"7"&amp;Tabela1[[#This Row],[SETOR]]&amp;"PADRÃO",BD!B:AF,31,0),"")</f>
        <v/>
      </c>
      <c r="AH120" s="21" t="str">
        <f>IFERROR(VLOOKUP(Tabela1[[#This Row],[MÊS]]&amp;Tabela1[[#This Row],[ID]]&amp;Tabela1[[#This Row],[MATRICULA]]&amp;"Receptiva"&amp;Tabela1[[#This Row],[SETOR]],BD!A:AF,31,0),"")</f>
        <v/>
      </c>
      <c r="AI120" s="21" t="str">
        <f>IFERROR(VLOOKUP(Tabela1[[#This Row],[MÊS]]&amp;Tabela1[[#This Row],[ID]]&amp;Tabela1[[#This Row],[MATRICULA]]&amp;"Receptiva 2"&amp;Tabela1[[#This Row],[SETOR]],BD!A:AF,31,0),"")</f>
        <v/>
      </c>
      <c r="AJ120" s="21" t="str">
        <f>IFERROR(VLOOKUP(Tabela1[[#This Row],[MÊS]]&amp;Tabela1[[#This Row],[ID]]&amp;Tabela1[[#This Row],[MATRICULA]]&amp;"Receptiva 3"&amp;Tabela1[[#This Row],[SETOR]],BD!A:AF,31,0),"")</f>
        <v/>
      </c>
      <c r="AK120" s="21" t="str">
        <f>IFERROR(VLOOKUP(Tabela1[[#This Row],[MÊS]]&amp;Tabela1[[#This Row],[ID]]&amp;Tabela1[[#This Row],[MATRICULA]]&amp;"Receptiva 4"&amp;Tabela1[[#This Row],[SETOR]],BD!A:AF,31,0),"")</f>
        <v/>
      </c>
      <c r="AL120" s="21" t="str">
        <f>IFERROR(VLOOKUP(Tabela1[[#This Row],[MÊS]]&amp;Tabela1[[#This Row],[MATRICULA]]&amp;"Motorista"&amp;Tabela1[[#This Row],[SETOR]],BD!A:AF,31,0),"")</f>
        <v/>
      </c>
      <c r="AM120" s="21" t="str">
        <f>IFERROR(VLOOKUP(Tabela1[[#This Row],[MÊS]]&amp;Tabela1[[#This Row],[ID]]&amp;Tabela1[[#This Row],[MATRICULA]]&amp;"Motorista 2"&amp;Tabela1[[#This Row],[SETOR]],BD!A:AF,26,0),"")</f>
        <v/>
      </c>
      <c r="AN120" s="21" t="str">
        <f>IFERROR(VLOOKUP(Tabela1[[#This Row],[MÊS]]&amp;Tabela1[[#This Row],[ID]]&amp;Tabela1[[#This Row],[MATRICULA]]&amp;"Motorista 3"&amp;Tabela1[[#This Row],[SETOR]],BD!A:AF,26,0),"")</f>
        <v/>
      </c>
      <c r="AO120" s="21" t="str">
        <f>IFERROR(VLOOKUP(Tabela1[[#This Row],[MÊS]]&amp;Tabela1[[#This Row],[ID]]&amp;Tabela1[[#This Row],[MATRICULA]]&amp;"Motorista 4"&amp;Tabela1[[#This Row],[SETOR]],BD!A:AF,26,0),"")</f>
        <v/>
      </c>
      <c r="AP120" s="21" t="str">
        <f>IFERROR(VLOOKUP(Tabela1[[#This Row],[MÊS]]&amp;Tabela1[[#This Row],[MATRICULA]]&amp;"Ponto de Apoio"&amp;Tabela1[[#This Row],[SETOR]],BD!A:AF,31,0),"")</f>
        <v/>
      </c>
      <c r="AQ120" s="21" t="str">
        <f>IFERROR(VLOOKUP(Tabela1[[#This Row],[MÊS]]&amp;Tabela1[[#This Row],[ID]]&amp;Tabela1[[#This Row],[MATRICULA]]&amp;"Ponto de Apoio 2"&amp;Tabela1[[#This Row],[SETOR]],BD!A:AF,26,0),"")</f>
        <v/>
      </c>
      <c r="AR120" s="36" t="str">
        <f>IFERROR(VLOOKUP(Tabela1[[#This Row],[MÊS]]&amp;Tabela1[[#This Row],[ID]]&amp;Tabela1[[#This Row],[MATRICULA]]&amp;"Ponto de Apoio 3"&amp;Tabela1[[#This Row],[SETOR]],BD!A:AF,26,0),"")</f>
        <v/>
      </c>
      <c r="AS120" s="36" t="str">
        <f>IFERROR(VLOOKUP(Tabela1[[#This Row],[MÊS]]&amp;Tabela1[[#This Row],[ID]]&amp;Tabela1[[#This Row],[MATRICULA]]&amp;"Ponto de Apoio 4"&amp;Tabela1[[#This Row],[SETOR]],BD!A:AF,26,0),"")</f>
        <v/>
      </c>
      <c r="AT120" s="21" t="str">
        <f>IFERROR(VLOOKUP(Tabela1[[#This Row],[MÊS]]&amp;Tabela1[[#This Row],[MATRICULA]]&amp;"Cliente"&amp;Tabela1[[#This Row],[SETOR]],BD!A:AF,31,0),"")</f>
        <v/>
      </c>
      <c r="AU120" s="21" t="str">
        <f>IFERROR(VLOOKUP(Tabela1[[#This Row],[MÊS]]&amp;Tabela1[[#This Row],[ID]]&amp;Tabela1[[#This Row],[MATRICULA]]&amp;"Cliente 2"&amp;Tabela1[[#This Row],[SETOR]],BD!A:AF,26,0),"")</f>
        <v/>
      </c>
      <c r="AX120" s="21" t="str">
        <f>IFERROR(VLOOKUP(Tabela1[[#This Row],[MÊS]]&amp;Tabela1[[#This Row],[MATRICULA]]&amp;"Policia"&amp;Tabela1[[#This Row],[SETOR]],BD!A:AF,31,0),"")</f>
        <v/>
      </c>
      <c r="AY120" s="21" t="str">
        <f>IFERROR(VLOOKUP(Tabela1[[#This Row],[MÊS]]&amp;Tabela1[[#This Row],[ID]]&amp;Tabela1[[#This Row],[MATRICULA]]&amp;"Policia 2"&amp;Tabela1[[#This Row],[SETOR]],BD!A:AF,26,0),"")</f>
        <v/>
      </c>
      <c r="AZ120" s="36" t="str">
        <f>IFERROR(VLOOKUP(Tabela1[[#This Row],[MÊS]]&amp;Tabela1[[#This Row],[ID]]&amp;Tabela1[[#This Row],[MATRICULA]]&amp;"Policia 3"&amp;Tabela1[[#This Row],[SETOR]],BD!A:AF,26,0),"")</f>
        <v/>
      </c>
      <c r="BA120" s="36" t="str">
        <f>IFERROR(VLOOKUP(Tabela1[[#This Row],[MÊS]]&amp;Tabela1[[#This Row],[ID]]&amp;Tabela1[[#This Row],[MATRICULA]]&amp;"Policia 4"&amp;Tabela1[[#This Row],[SETOR]],BD!A:AF,26,0),"")</f>
        <v/>
      </c>
      <c r="BB12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0" s="21" t="str">
        <f>IFERROR(AVERAGE(Tabela1[[#This Row],[M]:[M4]]),"")</f>
        <v/>
      </c>
      <c r="BD120" s="21" t="str">
        <f>IFERROR(AVERAGE(Tabela1[[#This Row],[C]:[C4]]),"")</f>
        <v/>
      </c>
      <c r="BE120" s="21" t="str">
        <f>IFERROR(AVERAGE(Tabela1[[#This Row],[PA2]:[PA 4]]),"")</f>
        <v/>
      </c>
      <c r="BF120" s="21" t="str">
        <f>IFERROR(AVERAGE(Tabela1[[#This Row],[PL]:[PL4]]),"")</f>
        <v/>
      </c>
      <c r="BG120" s="35" t="str">
        <f>IFERROR(VLOOKUP(Tabela1[[#This Row],[MÊS]]&amp;Tabela1[[#This Row],[MATRICULA]],#REF!,2,0),"")</f>
        <v/>
      </c>
      <c r="BH120" s="35" t="str">
        <f>IFERROR(VLOOKUP(Tabela1[[#This Row],[MÊS]]&amp;Tabela1[[#This Row],[MATRICULA]],#REF!,2,0),"")</f>
        <v/>
      </c>
      <c r="BI120" s="35" t="str">
        <f>IFERROR(VLOOKUP(Tabela1[[#This Row],[MÊS]]&amp;Tabela1[[#This Row],[MATRICULA]],#REF!,2,0),"")</f>
        <v/>
      </c>
      <c r="BJ120" s="35" t="str">
        <f>IFERROR(VLOOKUP(Tabela1[[#This Row],[MÊS]]&amp;Tabela1[[#This Row],[MATRICULA]],#REF!,2,0),"")</f>
        <v/>
      </c>
      <c r="BK120" s="35" t="str">
        <f>IFERROR(VLOOKUP(Tabela1[[#This Row],[MÊS]]&amp;Tabela1[[#This Row],[MATRICULA]],#REF!,2,0),"")</f>
        <v/>
      </c>
      <c r="BL120" s="21">
        <f>COUNTIF(Tabela1[[#This Row],[MOT2]:[RECEPTIVA]],"NÃO ENCONTRADA")</f>
        <v>0</v>
      </c>
      <c r="BM120" s="135" t="str">
        <f>IFERROR(VLOOKUP(Tabela1[[#This Row],[MÊS]]&amp;Tabela1[[#This Row],[ID]]&amp;Tabela1[[#This Row],[MATRICULA]]&amp;"Motorista"&amp;Tabela1[[#This Row],[SETOR]],BD!A:AF,13,0),"")</f>
        <v/>
      </c>
      <c r="BN120" s="135" t="str">
        <f>IFERROR(VLOOKUP(Tabela1[[#This Row],[MÊS]]&amp;Tabela1[[#This Row],[ID]]&amp;Tabela1[[#This Row],[MATRICULA]]&amp;"Motorista 2"&amp;Tabela1[[#This Row],[SETOR]],BD!A:AF,13,0),"")</f>
        <v/>
      </c>
      <c r="BO120" s="135" t="str">
        <f>IFERROR(VLOOKUP(Tabela1[[#This Row],[MÊS]]&amp;Tabela1[[#This Row],[ID]]&amp;Tabela1[[#This Row],[MATRICULA]]&amp;"Motorista 3"&amp;Tabela1[[#This Row],[SETOR]],BD!A:AF,13,0),"")</f>
        <v/>
      </c>
      <c r="BP120" s="135" t="str">
        <f>IFERROR(VLOOKUP(Tabela1[[#This Row],[MÊS]]&amp;Tabela1[[#This Row],[ID]]&amp;Tabela1[[#This Row],[MATRICULA]]&amp;"Motorista 4"&amp;Tabela1[[#This Row],[SETOR]],BD!A:AF,13,0),"")</f>
        <v/>
      </c>
      <c r="BQ120" s="135" t="str">
        <f>IFERROR(AVERAGE(Tabela1[[#This Row],[DMOT]:[DMOT4]]),"")</f>
        <v/>
      </c>
      <c r="BR120" s="135" t="str">
        <f>IFERROR(VLOOKUP(Tabela1[[#This Row],[MÊS]]&amp;Tabela1[[#This Row],[ID]]&amp;Tabela1[[#This Row],[MATRICULA]]&amp;"Ponto de Apoio"&amp;Tabela1[[#This Row],[SETOR]],BD!A:AF,13,0),"")</f>
        <v/>
      </c>
      <c r="BS120" s="135" t="str">
        <f>IFERROR(VLOOKUP(Tabela1[[#This Row],[MÊS]]&amp;Tabela1[[#This Row],[ID]]&amp;Tabela1[[#This Row],[MATRICULA]]&amp;"Ponto de Apoio 2"&amp;Tabela1[[#This Row],[SETOR]],BD!A:AF,13,0),"")</f>
        <v/>
      </c>
      <c r="BT120" s="135" t="str">
        <f>IFERROR(VLOOKUP(Tabela1[[#This Row],[MÊS]]&amp;Tabela1[[#This Row],[ID]]&amp;Tabela1[[#This Row],[MATRICULA]]&amp;"Ponto de Apoio 3"&amp;Tabela1[[#This Row],[SETOR]],BD!A:AF,13,0),"")</f>
        <v/>
      </c>
      <c r="BU120" s="135" t="str">
        <f>IFERROR(VLOOKUP(Tabela1[[#This Row],[MÊS]]&amp;Tabela1[[#This Row],[ID]]&amp;Tabela1[[#This Row],[MATRICULA]]&amp;"Ponto de Apoio 4"&amp;Tabela1[[#This Row],[SETOR]],BD!A:AF,13,0),"")</f>
        <v/>
      </c>
      <c r="BV120" s="135" t="str">
        <f>IFERROR(AVERAGE(Tabela1[[#This Row],[DPA]:[DPA 4]]),"")</f>
        <v/>
      </c>
      <c r="BW120" s="135" t="str">
        <f>IFERROR(VLOOKUP(Tabela1[[#This Row],[MÊS]]&amp;Tabela1[[#This Row],[ID]]&amp;Tabela1[[#This Row],[MATRICULA]]&amp;"Cliente"&amp;Tabela1[[#This Row],[SETOR]],BD!A:AF,13,0),"")</f>
        <v/>
      </c>
      <c r="BX120" s="135" t="str">
        <f>IFERROR(VLOOKUP(Tabela1[[#This Row],[MÊS]]&amp;Tabela1[[#This Row],[ID]]&amp;Tabela1[[#This Row],[MATRICULA]]&amp;"cliente 2"&amp;Tabela1[[#This Row],[SETOR]],BD!A:AF,13,0),"")</f>
        <v/>
      </c>
      <c r="BY120" s="135" t="str">
        <f>IFERROR(VLOOKUP(Tabela1[[#This Row],[MÊS]]&amp;Tabela1[[#This Row],[ID]]&amp;Tabela1[[#This Row],[MATRICULA]]&amp;"cliente 3"&amp;Tabela1[[#This Row],[SETOR]],BD!A:AF,13,0),"")</f>
        <v/>
      </c>
      <c r="BZ120" s="135" t="str">
        <f>IFERROR(VLOOKUP(Tabela1[[#This Row],[MÊS]]&amp;Tabela1[[#This Row],[ID]]&amp;Tabela1[[#This Row],[MATRICULA]]&amp;"cliente 4"&amp;Tabela1[[#This Row],[SETOR]],BD!A:AF,13,0),"")</f>
        <v/>
      </c>
      <c r="CA120" s="135" t="str">
        <f>IFERROR(AVERAGE(Tabela1[[#This Row],[DCLI]:[DCLI 4]]),"")</f>
        <v/>
      </c>
      <c r="CB120" s="135" t="str">
        <f>IFERROR(VLOOKUP(Tabela1[[#This Row],[MÊS]]&amp;Tabela1[[#This Row],[ID]]&amp;Tabela1[[#This Row],[MATRICULA]]&amp;"Policia"&amp;Tabela1[[#This Row],[SETOR]],BD!A:AF,13,0),"")</f>
        <v/>
      </c>
      <c r="CC120" s="135" t="str">
        <f>IFERROR(VLOOKUP(Tabela1[[#This Row],[MÊS]]&amp;Tabela1[[#This Row],[ID]]&amp;Tabela1[[#This Row],[MATRICULA]]&amp;"Policia 2"&amp;Tabela1[[#This Row],[SETOR]],BD!A:AF,13,0),"")</f>
        <v/>
      </c>
      <c r="CD120" s="135"/>
      <c r="CE120" s="135"/>
      <c r="CF120" s="135" t="str">
        <f>IFERROR((AVERAGE(Tabela1[[#This Row],[DPOL1]:[DPOL4]])),"")</f>
        <v/>
      </c>
      <c r="CG120" s="21" t="str">
        <f>IFERROR(VLOOKUP(Tabela1[[#This Row],[ID]]&amp;Tabela1[[#This Row],[MÊS]]&amp;Tabela1[[#This Row],[MATRICULA]],#REF!,2,0),"")</f>
        <v/>
      </c>
      <c r="CH120" s="21" t="str">
        <f>IFERROR(VLOOKUP(Tabela1[[#This Row],[ID]]&amp;Tabela1[[#This Row],[MÊS]]&amp;Tabela1[[#This Row],[MATRICULA]],#REF!,2,0),"")</f>
        <v/>
      </c>
      <c r="CI120" s="21" t="str">
        <f>IFERROR(VLOOKUP(Tabela1[[#This Row],[MÊS]]&amp;Tabela1[[#This Row],[MATRICULA]],#REF!,2,0),"")</f>
        <v/>
      </c>
    </row>
    <row r="121" spans="1:87">
      <c r="A121" s="12" t="str">
        <f>Tabela1[[#This Row],[MÊS]]&amp;Tabela1[[#This Row],[MATRICULA]]&amp;Tabela1[[#This Row],[ID]]</f>
        <v>JAN112904</v>
      </c>
      <c r="B121" s="12" t="str">
        <f>Tabela1[[#This Row],[MÊS]]&amp;Tabela1[[#This Row],[ID]]&amp;Tabela1[[#This Row],[MATRICULA]]&amp;Tabela1[[#This Row],[SETOR]]</f>
        <v>JAN411290LOGÍSTICA</v>
      </c>
      <c r="C121" s="130" t="e">
        <f>VLOOKUP(Tabela1[[#This Row],[MATRICULA]],'BD Campos'!A:D,5,0)</f>
        <v>#REF!</v>
      </c>
      <c r="D121" s="133" t="str">
        <f ca="1">IFERROR(SUM(TODAY()-Tabela1[[#This Row],[ADMISSÃO]]),"")</f>
        <v/>
      </c>
      <c r="E121" s="11" t="str">
        <f ca="1">IFERROR(TRUNC(Tabela1[[#This Row],[TEMPO DE CASA (DIAS)]]/30),"")</f>
        <v/>
      </c>
      <c r="F121" s="32" t="str">
        <f ca="1">IFERROR(SUM(Tabela1[[#This Row],[TEMPO DE CASA (MESES)]]/12),"")</f>
        <v/>
      </c>
      <c r="G121" s="133" t="str">
        <f ca="1">IF(Tabela1[[#This Row],[TEMPO DE CASA (DIAS)]]="","SEM DADOS",IF(Tabela1[[#This Row],[TEMPO DE CASA (DIAS)]]&gt;180,"&gt; 6 MESES","&lt; 6 MESES"))</f>
        <v>SEM DADOS</v>
      </c>
      <c r="H121" s="12" t="str">
        <f t="shared" si="12"/>
        <v>JANGeovana Meurer4</v>
      </c>
      <c r="I121" s="12" t="str">
        <f>IFERROR(VLOOKUP(Tabela1[[#This Row],[MATRICULA]],'BD Campos'!A:F,7,0),"")</f>
        <v/>
      </c>
      <c r="J121" s="11">
        <v>4</v>
      </c>
      <c r="K121" s="11" t="s">
        <v>669</v>
      </c>
      <c r="L121" s="136">
        <v>11290</v>
      </c>
      <c r="M121" s="12" t="str">
        <f>IFERROR(VLOOKUP(Tabela1[[#This Row],[MATRICULA]],'BD Campos'!A:B,2,0),"")</f>
        <v>JOAO VITOR RIBEIRO</v>
      </c>
      <c r="N121" s="20" t="str">
        <f>IFERROR(AVERAGE(Tabela1[[#This Row],[A1]:[A4]]),"")</f>
        <v/>
      </c>
      <c r="O121" s="20">
        <f>IFERROR(IF(Tabela1[[#This Row],[SETOR]]="RECEPTIVO","",AVERAGE(Tabela1[[#This Row],[A5]:[A6]])),"")</f>
        <v>10.000000000000002</v>
      </c>
      <c r="P121" s="20" t="str">
        <f>IFERROR(IF(Tabela1[[#This Row],[STATUS]]="INATIVO","INATIVO",IF(Tabela1[[#This Row],[STATUS]]="QRT","INATIVO",IF(Tabela1[[#This Row],[OPERACIONAL]]&gt;7.99999,"BOM","RUIM"))),"")</f>
        <v>BOM</v>
      </c>
      <c r="Q121" s="21" t="s">
        <v>667</v>
      </c>
      <c r="R121" s="12" t="s">
        <v>315</v>
      </c>
      <c r="S121" s="12" t="s">
        <v>11</v>
      </c>
      <c r="T121" s="12" t="s">
        <v>315</v>
      </c>
      <c r="U12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21" s="12">
        <f>IF(AND(Tabela1[[#This Row],[SETOR]]="UTI",Tabela1[[#This Row],[M]]&lt;&gt;""),1,IF(AND(Tabela1[[#This Row],[SETOR]]="UTI (RJ)",Tabela1[[#This Row],[M]]&lt;&gt;""),1.5,0))</f>
        <v>0</v>
      </c>
      <c r="X121" s="12">
        <f>IF(AND(Tabela1[[#This Row],[SETOR]]="UTI",Tabela1[[#This Row],[PA2]]&lt;&gt;""),1,IF(AND(Tabela1[[#This Row],[SETOR]]="UTI (RJ)",Tabela1[[#This Row],[PA2]]&lt;&gt;""),0,0))</f>
        <v>0</v>
      </c>
      <c r="Y121" s="12">
        <f>IF(AND(Tabela1[[#This Row],[SETOR]]="UTI",Tabela1[[#This Row],[C]]&lt;&gt;""),1,IF(AND(Tabela1[[#This Row],[SETOR]]="UTI (RJ)",Tabela1[[#This Row],[C]]&lt;&gt;""),1.5,0))</f>
        <v>0</v>
      </c>
      <c r="Z121" s="12">
        <f>IF(AND(Tabela1[[#This Row],[SETOR]]="UTI",Tabela1[[#This Row],[PL]]&lt;&gt;""),1,IF(AND(Tabela1[[#This Row],[SETOR]]="UTI (RJ)",Tabela1[[#This Row],[PL]]&lt;&gt;""),1,0))</f>
        <v>0</v>
      </c>
      <c r="AA121" s="21" t="str">
        <f>IFERROR(VLOOKUP(Tabela1[[#This Row],[MÊS]]&amp;Tabela1[[#This Row],[MATRICULA]]&amp;"1"&amp;Tabela1[[#This Row],[SETOR]]&amp;"PADRÃO",BD!B:AF,31,0),"")</f>
        <v/>
      </c>
      <c r="AB121" s="21" t="str">
        <f>IFERROR(VLOOKUP(Tabela1[[#This Row],[MÊS]]&amp;Tabela1[[#This Row],[MATRICULA]]&amp;"2"&amp;Tabela1[[#This Row],[SETOR]]&amp;"PADRÃO",BD!B:AF,31,0),"")</f>
        <v/>
      </c>
      <c r="AC121" s="21" t="str">
        <f>IFERROR(VLOOKUP(Tabela1[[#This Row],[MÊS]]&amp;Tabela1[[#This Row],[MATRICULA]]&amp;"3"&amp;Tabela1[[#This Row],[SETOR]]&amp;"PADRÃO",BD!B:AF,31,0),"")</f>
        <v/>
      </c>
      <c r="AD121" s="21" t="str">
        <f>IFERROR(VLOOKUP(Tabela1[[#This Row],[MÊS]]&amp;Tabela1[[#This Row],[MATRICULA]]&amp;"4"&amp;Tabela1[[#This Row],[SETOR]]&amp;"PADRÃO",BD!B:AF,25,0),"")</f>
        <v/>
      </c>
      <c r="AE121" s="21">
        <f>IFERROR(VLOOKUP(Tabela1[[#This Row],[MÊS]]&amp;Tabela1[[#This Row],[MATRICULA]]&amp;"5"&amp;Tabela1[[#This Row],[SETOR]]&amp;"PADRÃO",BD!B:AF,31,0),"")</f>
        <v>10.000000000000002</v>
      </c>
      <c r="AF121" s="21">
        <f>IFERROR(VLOOKUP(Tabela1[[#This Row],[MÊS]]&amp;Tabela1[[#This Row],[MATRICULA]]&amp;"6"&amp;Tabela1[[#This Row],[SETOR]]&amp;"PADRÃO",BD!B:AF,31,0),"")</f>
        <v>10.000000000000002</v>
      </c>
      <c r="AG121" s="21" t="str">
        <f>IFERROR(VLOOKUP(Tabela1[[#This Row],[MÊS]]&amp;Tabela1[[#This Row],[MATRICULA]]&amp;"7"&amp;Tabela1[[#This Row],[SETOR]]&amp;"PADRÃO",BD!B:AF,31,0),"")</f>
        <v/>
      </c>
      <c r="AH121" s="21" t="str">
        <f>IFERROR(VLOOKUP(Tabela1[[#This Row],[MÊS]]&amp;Tabela1[[#This Row],[ID]]&amp;Tabela1[[#This Row],[MATRICULA]]&amp;"Receptiva"&amp;Tabela1[[#This Row],[SETOR]],BD!A:AF,31,0),"")</f>
        <v/>
      </c>
      <c r="AI121" s="21" t="str">
        <f>IFERROR(VLOOKUP(Tabela1[[#This Row],[MÊS]]&amp;Tabela1[[#This Row],[ID]]&amp;Tabela1[[#This Row],[MATRICULA]]&amp;"Receptiva 2"&amp;Tabela1[[#This Row],[SETOR]],BD!A:AF,31,0),"")</f>
        <v/>
      </c>
      <c r="AJ121" s="21" t="str">
        <f>IFERROR(VLOOKUP(Tabela1[[#This Row],[MÊS]]&amp;Tabela1[[#This Row],[ID]]&amp;Tabela1[[#This Row],[MATRICULA]]&amp;"Receptiva 3"&amp;Tabela1[[#This Row],[SETOR]],BD!A:AF,31,0),"")</f>
        <v/>
      </c>
      <c r="AK121" s="21" t="str">
        <f>IFERROR(VLOOKUP(Tabela1[[#This Row],[MÊS]]&amp;Tabela1[[#This Row],[ID]]&amp;Tabela1[[#This Row],[MATRICULA]]&amp;"Receptiva 4"&amp;Tabela1[[#This Row],[SETOR]],BD!A:AF,31,0),"")</f>
        <v/>
      </c>
      <c r="AL121" s="21" t="str">
        <f>IFERROR(VLOOKUP(Tabela1[[#This Row],[MÊS]]&amp;Tabela1[[#This Row],[MATRICULA]]&amp;"Motorista"&amp;Tabela1[[#This Row],[SETOR]],BD!A:AF,31,0),"")</f>
        <v/>
      </c>
      <c r="AM121" s="21" t="str">
        <f>IFERROR(VLOOKUP(Tabela1[[#This Row],[MÊS]]&amp;Tabela1[[#This Row],[ID]]&amp;Tabela1[[#This Row],[MATRICULA]]&amp;"Motorista 2"&amp;Tabela1[[#This Row],[SETOR]],BD!A:AF,26,0),"")</f>
        <v/>
      </c>
      <c r="AN121" s="21" t="str">
        <f>IFERROR(VLOOKUP(Tabela1[[#This Row],[MÊS]]&amp;Tabela1[[#This Row],[ID]]&amp;Tabela1[[#This Row],[MATRICULA]]&amp;"Motorista 3"&amp;Tabela1[[#This Row],[SETOR]],BD!A:AF,26,0),"")</f>
        <v/>
      </c>
      <c r="AO121" s="21" t="str">
        <f>IFERROR(VLOOKUP(Tabela1[[#This Row],[MÊS]]&amp;Tabela1[[#This Row],[ID]]&amp;Tabela1[[#This Row],[MATRICULA]]&amp;"Motorista 4"&amp;Tabela1[[#This Row],[SETOR]],BD!A:AF,26,0),"")</f>
        <v/>
      </c>
      <c r="AP121" s="21" t="str">
        <f>IFERROR(VLOOKUP(Tabela1[[#This Row],[MÊS]]&amp;Tabela1[[#This Row],[MATRICULA]]&amp;"Ponto de Apoio"&amp;Tabela1[[#This Row],[SETOR]],BD!A:AF,31,0),"")</f>
        <v/>
      </c>
      <c r="AQ121" s="21" t="str">
        <f>IFERROR(VLOOKUP(Tabela1[[#This Row],[MÊS]]&amp;Tabela1[[#This Row],[ID]]&amp;Tabela1[[#This Row],[MATRICULA]]&amp;"Ponto de Apoio 2"&amp;Tabela1[[#This Row],[SETOR]],BD!A:AF,26,0),"")</f>
        <v/>
      </c>
      <c r="AR121" s="36" t="str">
        <f>IFERROR(VLOOKUP(Tabela1[[#This Row],[MÊS]]&amp;Tabela1[[#This Row],[ID]]&amp;Tabela1[[#This Row],[MATRICULA]]&amp;"Ponto de Apoio 3"&amp;Tabela1[[#This Row],[SETOR]],BD!A:AF,26,0),"")</f>
        <v/>
      </c>
      <c r="AS121" s="36" t="str">
        <f>IFERROR(VLOOKUP(Tabela1[[#This Row],[MÊS]]&amp;Tabela1[[#This Row],[ID]]&amp;Tabela1[[#This Row],[MATRICULA]]&amp;"Ponto de Apoio 4"&amp;Tabela1[[#This Row],[SETOR]],BD!A:AF,26,0),"")</f>
        <v/>
      </c>
      <c r="AT121" s="21" t="str">
        <f>IFERROR(VLOOKUP(Tabela1[[#This Row],[MÊS]]&amp;Tabela1[[#This Row],[MATRICULA]]&amp;"Cliente"&amp;Tabela1[[#This Row],[SETOR]],BD!A:AF,31,0),"")</f>
        <v/>
      </c>
      <c r="AU121" s="21" t="str">
        <f>IFERROR(VLOOKUP(Tabela1[[#This Row],[MÊS]]&amp;Tabela1[[#This Row],[ID]]&amp;Tabela1[[#This Row],[MATRICULA]]&amp;"Cliente 2"&amp;Tabela1[[#This Row],[SETOR]],BD!A:AF,26,0),"")</f>
        <v/>
      </c>
      <c r="AX121" s="21" t="str">
        <f>IFERROR(VLOOKUP(Tabela1[[#This Row],[MÊS]]&amp;Tabela1[[#This Row],[MATRICULA]]&amp;"Policia"&amp;Tabela1[[#This Row],[SETOR]],BD!A:AF,31,0),"")</f>
        <v/>
      </c>
      <c r="AY121" s="21" t="str">
        <f>IFERROR(VLOOKUP(Tabela1[[#This Row],[MÊS]]&amp;Tabela1[[#This Row],[ID]]&amp;Tabela1[[#This Row],[MATRICULA]]&amp;"Policia 2"&amp;Tabela1[[#This Row],[SETOR]],BD!A:AF,26,0),"")</f>
        <v/>
      </c>
      <c r="AZ121" s="36" t="str">
        <f>IFERROR(VLOOKUP(Tabela1[[#This Row],[MÊS]]&amp;Tabela1[[#This Row],[ID]]&amp;Tabela1[[#This Row],[MATRICULA]]&amp;"Policia 3"&amp;Tabela1[[#This Row],[SETOR]],BD!A:AF,26,0),"")</f>
        <v/>
      </c>
      <c r="BA121" s="36" t="str">
        <f>IFERROR(VLOOKUP(Tabela1[[#This Row],[MÊS]]&amp;Tabela1[[#This Row],[ID]]&amp;Tabela1[[#This Row],[MATRICULA]]&amp;"Policia 4"&amp;Tabela1[[#This Row],[SETOR]],BD!A:AF,26,0),"")</f>
        <v/>
      </c>
      <c r="BB12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1" s="21" t="str">
        <f>IFERROR(AVERAGE(Tabela1[[#This Row],[M]:[M4]]),"")</f>
        <v/>
      </c>
      <c r="BD121" s="21" t="str">
        <f>IFERROR(AVERAGE(Tabela1[[#This Row],[C]:[C4]]),"")</f>
        <v/>
      </c>
      <c r="BE121" s="21" t="str">
        <f>IFERROR(AVERAGE(Tabela1[[#This Row],[PA2]:[PA 4]]),"")</f>
        <v/>
      </c>
      <c r="BF121" s="21" t="str">
        <f>IFERROR(AVERAGE(Tabela1[[#This Row],[PL]:[PL4]]),"")</f>
        <v/>
      </c>
      <c r="BG121" s="35" t="str">
        <f>IFERROR(VLOOKUP(Tabela1[[#This Row],[MÊS]]&amp;Tabela1[[#This Row],[MATRICULA]],#REF!,2,0),"")</f>
        <v/>
      </c>
      <c r="BH121" s="35" t="str">
        <f>IFERROR(VLOOKUP(Tabela1[[#This Row],[MÊS]]&amp;Tabela1[[#This Row],[MATRICULA]],#REF!,2,0),"")</f>
        <v/>
      </c>
      <c r="BI121" s="35" t="str">
        <f>IFERROR(VLOOKUP(Tabela1[[#This Row],[MÊS]]&amp;Tabela1[[#This Row],[MATRICULA]],#REF!,2,0),"")</f>
        <v/>
      </c>
      <c r="BJ121" s="35" t="str">
        <f>IFERROR(VLOOKUP(Tabela1[[#This Row],[MÊS]]&amp;Tabela1[[#This Row],[MATRICULA]],#REF!,2,0),"")</f>
        <v/>
      </c>
      <c r="BK121" s="35" t="str">
        <f>IFERROR(VLOOKUP(Tabela1[[#This Row],[MÊS]]&amp;Tabela1[[#This Row],[MATRICULA]],#REF!,2,0),"")</f>
        <v/>
      </c>
      <c r="BL121" s="21">
        <f>COUNTIF(Tabela1[[#This Row],[MOT2]:[RECEPTIVA]],"NÃO ENCONTRADA")</f>
        <v>0</v>
      </c>
      <c r="BM121" s="135" t="str">
        <f>IFERROR(VLOOKUP(Tabela1[[#This Row],[MÊS]]&amp;Tabela1[[#This Row],[ID]]&amp;Tabela1[[#This Row],[MATRICULA]]&amp;"Motorista"&amp;Tabela1[[#This Row],[SETOR]],BD!A:AF,13,0),"")</f>
        <v/>
      </c>
      <c r="BN121" s="135" t="str">
        <f>IFERROR(VLOOKUP(Tabela1[[#This Row],[MÊS]]&amp;Tabela1[[#This Row],[ID]]&amp;Tabela1[[#This Row],[MATRICULA]]&amp;"Motorista 2"&amp;Tabela1[[#This Row],[SETOR]],BD!A:AF,13,0),"")</f>
        <v/>
      </c>
      <c r="BO121" s="135" t="str">
        <f>IFERROR(VLOOKUP(Tabela1[[#This Row],[MÊS]]&amp;Tabela1[[#This Row],[ID]]&amp;Tabela1[[#This Row],[MATRICULA]]&amp;"Motorista 3"&amp;Tabela1[[#This Row],[SETOR]],BD!A:AF,13,0),"")</f>
        <v/>
      </c>
      <c r="BP121" s="135" t="str">
        <f>IFERROR(VLOOKUP(Tabela1[[#This Row],[MÊS]]&amp;Tabela1[[#This Row],[ID]]&amp;Tabela1[[#This Row],[MATRICULA]]&amp;"Motorista 4"&amp;Tabela1[[#This Row],[SETOR]],BD!A:AF,13,0),"")</f>
        <v/>
      </c>
      <c r="BQ121" s="135" t="str">
        <f>IFERROR(AVERAGE(Tabela1[[#This Row],[DMOT]:[DMOT4]]),"")</f>
        <v/>
      </c>
      <c r="BR121" s="135" t="str">
        <f>IFERROR(VLOOKUP(Tabela1[[#This Row],[MÊS]]&amp;Tabela1[[#This Row],[ID]]&amp;Tabela1[[#This Row],[MATRICULA]]&amp;"Ponto de Apoio"&amp;Tabela1[[#This Row],[SETOR]],BD!A:AF,13,0),"")</f>
        <v/>
      </c>
      <c r="BS121" s="135" t="str">
        <f>IFERROR(VLOOKUP(Tabela1[[#This Row],[MÊS]]&amp;Tabela1[[#This Row],[ID]]&amp;Tabela1[[#This Row],[MATRICULA]]&amp;"Ponto de Apoio 2"&amp;Tabela1[[#This Row],[SETOR]],BD!A:AF,13,0),"")</f>
        <v/>
      </c>
      <c r="BT121" s="135" t="str">
        <f>IFERROR(VLOOKUP(Tabela1[[#This Row],[MÊS]]&amp;Tabela1[[#This Row],[ID]]&amp;Tabela1[[#This Row],[MATRICULA]]&amp;"Ponto de Apoio 3"&amp;Tabela1[[#This Row],[SETOR]],BD!A:AF,13,0),"")</f>
        <v/>
      </c>
      <c r="BU121" s="135" t="str">
        <f>IFERROR(VLOOKUP(Tabela1[[#This Row],[MÊS]]&amp;Tabela1[[#This Row],[ID]]&amp;Tabela1[[#This Row],[MATRICULA]]&amp;"Ponto de Apoio 4"&amp;Tabela1[[#This Row],[SETOR]],BD!A:AF,13,0),"")</f>
        <v/>
      </c>
      <c r="BV121" s="135" t="str">
        <f>IFERROR(AVERAGE(Tabela1[[#This Row],[DPA]:[DPA 4]]),"")</f>
        <v/>
      </c>
      <c r="BW121" s="135" t="str">
        <f>IFERROR(VLOOKUP(Tabela1[[#This Row],[MÊS]]&amp;Tabela1[[#This Row],[ID]]&amp;Tabela1[[#This Row],[MATRICULA]]&amp;"Cliente"&amp;Tabela1[[#This Row],[SETOR]],BD!A:AF,13,0),"")</f>
        <v/>
      </c>
      <c r="BX121" s="135" t="str">
        <f>IFERROR(VLOOKUP(Tabela1[[#This Row],[MÊS]]&amp;Tabela1[[#This Row],[ID]]&amp;Tabela1[[#This Row],[MATRICULA]]&amp;"cliente 2"&amp;Tabela1[[#This Row],[SETOR]],BD!A:AF,13,0),"")</f>
        <v/>
      </c>
      <c r="BY121" s="135" t="str">
        <f>IFERROR(VLOOKUP(Tabela1[[#This Row],[MÊS]]&amp;Tabela1[[#This Row],[ID]]&amp;Tabela1[[#This Row],[MATRICULA]]&amp;"cliente 3"&amp;Tabela1[[#This Row],[SETOR]],BD!A:AF,13,0),"")</f>
        <v/>
      </c>
      <c r="BZ121" s="135" t="str">
        <f>IFERROR(VLOOKUP(Tabela1[[#This Row],[MÊS]]&amp;Tabela1[[#This Row],[ID]]&amp;Tabela1[[#This Row],[MATRICULA]]&amp;"cliente 4"&amp;Tabela1[[#This Row],[SETOR]],BD!A:AF,13,0),"")</f>
        <v/>
      </c>
      <c r="CA121" s="135" t="str">
        <f>IFERROR(AVERAGE(Tabela1[[#This Row],[DCLI]:[DCLI 4]]),"")</f>
        <v/>
      </c>
      <c r="CB121" s="135" t="str">
        <f>IFERROR(VLOOKUP(Tabela1[[#This Row],[MÊS]]&amp;Tabela1[[#This Row],[ID]]&amp;Tabela1[[#This Row],[MATRICULA]]&amp;"Policia"&amp;Tabela1[[#This Row],[SETOR]],BD!A:AF,13,0),"")</f>
        <v/>
      </c>
      <c r="CC121" s="135" t="str">
        <f>IFERROR(VLOOKUP(Tabela1[[#This Row],[MÊS]]&amp;Tabela1[[#This Row],[ID]]&amp;Tabela1[[#This Row],[MATRICULA]]&amp;"Policia 2"&amp;Tabela1[[#This Row],[SETOR]],BD!A:AF,13,0),"")</f>
        <v/>
      </c>
      <c r="CD121" s="135"/>
      <c r="CE121" s="135"/>
      <c r="CF121" s="135" t="str">
        <f>IFERROR((AVERAGE(Tabela1[[#This Row],[DPOL1]:[DPOL4]])),"")</f>
        <v/>
      </c>
      <c r="CG121" s="21" t="str">
        <f>IFERROR(VLOOKUP(Tabela1[[#This Row],[ID]]&amp;Tabela1[[#This Row],[MÊS]]&amp;Tabela1[[#This Row],[MATRICULA]],#REF!,2,0),"")</f>
        <v/>
      </c>
      <c r="CH121" s="21" t="str">
        <f>IFERROR(VLOOKUP(Tabela1[[#This Row],[ID]]&amp;Tabela1[[#This Row],[MÊS]]&amp;Tabela1[[#This Row],[MATRICULA]],#REF!,2,0),"")</f>
        <v/>
      </c>
      <c r="CI121" s="21" t="str">
        <f>IFERROR(VLOOKUP(Tabela1[[#This Row],[MÊS]]&amp;Tabela1[[#This Row],[MATRICULA]],#REF!,2,0),"")</f>
        <v/>
      </c>
    </row>
    <row r="122" spans="1:87">
      <c r="A122" s="12" t="str">
        <f>Tabela1[[#This Row],[MÊS]]&amp;Tabela1[[#This Row],[MATRICULA]]&amp;Tabela1[[#This Row],[ID]]</f>
        <v>JAN114675</v>
      </c>
      <c r="B122" s="12" t="str">
        <f>Tabela1[[#This Row],[MÊS]]&amp;Tabela1[[#This Row],[ID]]&amp;Tabela1[[#This Row],[MATRICULA]]&amp;Tabela1[[#This Row],[SETOR]]</f>
        <v>JAN511467LOGÍSTICA</v>
      </c>
      <c r="C122" s="130" t="e">
        <f>VLOOKUP(Tabela1[[#This Row],[MATRICULA]],'BD Campos'!A:D,5,0)</f>
        <v>#REF!</v>
      </c>
      <c r="D122" s="133" t="str">
        <f ca="1">IFERROR(SUM(TODAY()-Tabela1[[#This Row],[ADMISSÃO]]),"")</f>
        <v/>
      </c>
      <c r="E122" s="11" t="str">
        <f ca="1">IFERROR(TRUNC(Tabela1[[#This Row],[TEMPO DE CASA (DIAS)]]/30),"")</f>
        <v/>
      </c>
      <c r="F122" s="32" t="str">
        <f ca="1">IFERROR(SUM(Tabela1[[#This Row],[TEMPO DE CASA (MESES)]]/12),"")</f>
        <v/>
      </c>
      <c r="G122" s="133" t="str">
        <f ca="1">IF(Tabela1[[#This Row],[TEMPO DE CASA (DIAS)]]="","SEM DADOS",IF(Tabela1[[#This Row],[TEMPO DE CASA (DIAS)]]&gt;180,"&gt; 6 MESES","&lt; 6 MESES"))</f>
        <v>SEM DADOS</v>
      </c>
      <c r="H122" s="12" t="str">
        <f t="shared" si="12"/>
        <v>JANGeovana Meurer5</v>
      </c>
      <c r="I122" s="12" t="str">
        <f>IFERROR(VLOOKUP(Tabela1[[#This Row],[MATRICULA]],'BD Campos'!A:F,7,0),"")</f>
        <v/>
      </c>
      <c r="J122" s="11">
        <v>5</v>
      </c>
      <c r="K122" s="11" t="s">
        <v>669</v>
      </c>
      <c r="L122" s="136">
        <v>11467</v>
      </c>
      <c r="M122" s="12" t="str">
        <f>IFERROR(VLOOKUP(Tabela1[[#This Row],[MATRICULA]],'BD Campos'!A:B,2,0),"")</f>
        <v>TAYSSA DANIELE CARVALHO LIMA VERDE</v>
      </c>
      <c r="N122" s="20">
        <f>IFERROR(AVERAGE(Tabela1[[#This Row],[A1]:[A4]]),"")</f>
        <v>8.2937500000000011</v>
      </c>
      <c r="O122" s="20" t="str">
        <f>IFERROR(IF(Tabela1[[#This Row],[SETOR]]="RECEPTIVO","",AVERAGE(Tabela1[[#This Row],[A5]:[A6]])),"")</f>
        <v/>
      </c>
      <c r="P122" s="20" t="str">
        <f>IFERROR(IF(Tabela1[[#This Row],[STATUS]]="INATIVO","INATIVO",IF(Tabela1[[#This Row],[STATUS]]="QRT","INATIVO",IF(Tabela1[[#This Row],[OPERACIONAL]]&gt;7.99999,"BOM","RUIM"))),"")</f>
        <v>BOM</v>
      </c>
      <c r="Q122" s="21" t="s">
        <v>667</v>
      </c>
      <c r="R122" s="12" t="s">
        <v>315</v>
      </c>
      <c r="S122" s="12" t="s">
        <v>11</v>
      </c>
      <c r="T122" s="12" t="s">
        <v>315</v>
      </c>
      <c r="U12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22" s="12">
        <f>IF(AND(Tabela1[[#This Row],[SETOR]]="UTI",Tabela1[[#This Row],[M]]&lt;&gt;""),1,IF(AND(Tabela1[[#This Row],[SETOR]]="UTI (RJ)",Tabela1[[#This Row],[M]]&lt;&gt;""),1.5,0))</f>
        <v>0</v>
      </c>
      <c r="X122" s="12">
        <f>IF(AND(Tabela1[[#This Row],[SETOR]]="UTI",Tabela1[[#This Row],[PA2]]&lt;&gt;""),1,IF(AND(Tabela1[[#This Row],[SETOR]]="UTI (RJ)",Tabela1[[#This Row],[PA2]]&lt;&gt;""),0,0))</f>
        <v>0</v>
      </c>
      <c r="Y122" s="12">
        <f>IF(AND(Tabela1[[#This Row],[SETOR]]="UTI",Tabela1[[#This Row],[C]]&lt;&gt;""),1,IF(AND(Tabela1[[#This Row],[SETOR]]="UTI (RJ)",Tabela1[[#This Row],[C]]&lt;&gt;""),1.5,0))</f>
        <v>0</v>
      </c>
      <c r="Z122" s="12">
        <f>IF(AND(Tabela1[[#This Row],[SETOR]]="UTI",Tabela1[[#This Row],[PL]]&lt;&gt;""),1,IF(AND(Tabela1[[#This Row],[SETOR]]="UTI (RJ)",Tabela1[[#This Row],[PL]]&lt;&gt;""),1,0))</f>
        <v>0</v>
      </c>
      <c r="AA122" s="21">
        <f>IFERROR(VLOOKUP(Tabela1[[#This Row],[MÊS]]&amp;Tabela1[[#This Row],[MATRICULA]]&amp;"1"&amp;Tabela1[[#This Row],[SETOR]]&amp;"PADRÃO",BD!B:AF,31,0),"")</f>
        <v>6.5874999999999995</v>
      </c>
      <c r="AB122" s="21">
        <f>IFERROR(VLOOKUP(Tabela1[[#This Row],[MÊS]]&amp;Tabela1[[#This Row],[MATRICULA]]&amp;"2"&amp;Tabela1[[#This Row],[SETOR]]&amp;"PADRÃO",BD!B:AF,31,0),"")</f>
        <v>10.000000000000002</v>
      </c>
      <c r="AC122" s="21" t="str">
        <f>IFERROR(VLOOKUP(Tabela1[[#This Row],[MÊS]]&amp;Tabela1[[#This Row],[MATRICULA]]&amp;"3"&amp;Tabela1[[#This Row],[SETOR]]&amp;"PADRÃO",BD!B:AF,31,0),"")</f>
        <v/>
      </c>
      <c r="AD122" s="21" t="str">
        <f>IFERROR(VLOOKUP(Tabela1[[#This Row],[MÊS]]&amp;Tabela1[[#This Row],[MATRICULA]]&amp;"4"&amp;Tabela1[[#This Row],[SETOR]]&amp;"PADRÃO",BD!B:AF,25,0),"")</f>
        <v/>
      </c>
      <c r="AE122" s="21" t="str">
        <f>IFERROR(VLOOKUP(Tabela1[[#This Row],[MÊS]]&amp;Tabela1[[#This Row],[MATRICULA]]&amp;"5"&amp;Tabela1[[#This Row],[SETOR]]&amp;"PADRÃO",BD!B:AF,31,0),"")</f>
        <v/>
      </c>
      <c r="AF122" s="21" t="str">
        <f>IFERROR(VLOOKUP(Tabela1[[#This Row],[MÊS]]&amp;Tabela1[[#This Row],[MATRICULA]]&amp;"6"&amp;Tabela1[[#This Row],[SETOR]]&amp;"PADRÃO",BD!B:AF,31,0),"")</f>
        <v/>
      </c>
      <c r="AG122" s="21" t="str">
        <f>IFERROR(VLOOKUP(Tabela1[[#This Row],[MÊS]]&amp;Tabela1[[#This Row],[MATRICULA]]&amp;"7"&amp;Tabela1[[#This Row],[SETOR]]&amp;"PADRÃO",BD!B:AF,31,0),"")</f>
        <v/>
      </c>
      <c r="AH122" s="21" t="str">
        <f>IFERROR(VLOOKUP(Tabela1[[#This Row],[MÊS]]&amp;Tabela1[[#This Row],[ID]]&amp;Tabela1[[#This Row],[MATRICULA]]&amp;"Receptiva"&amp;Tabela1[[#This Row],[SETOR]],BD!A:AF,31,0),"")</f>
        <v/>
      </c>
      <c r="AI122" s="21" t="str">
        <f>IFERROR(VLOOKUP(Tabela1[[#This Row],[MÊS]]&amp;Tabela1[[#This Row],[ID]]&amp;Tabela1[[#This Row],[MATRICULA]]&amp;"Receptiva 2"&amp;Tabela1[[#This Row],[SETOR]],BD!A:AF,31,0),"")</f>
        <v/>
      </c>
      <c r="AJ122" s="21" t="str">
        <f>IFERROR(VLOOKUP(Tabela1[[#This Row],[MÊS]]&amp;Tabela1[[#This Row],[ID]]&amp;Tabela1[[#This Row],[MATRICULA]]&amp;"Receptiva 3"&amp;Tabela1[[#This Row],[SETOR]],BD!A:AF,31,0),"")</f>
        <v/>
      </c>
      <c r="AK122" s="21" t="str">
        <f>IFERROR(VLOOKUP(Tabela1[[#This Row],[MÊS]]&amp;Tabela1[[#This Row],[ID]]&amp;Tabela1[[#This Row],[MATRICULA]]&amp;"Receptiva 4"&amp;Tabela1[[#This Row],[SETOR]],BD!A:AF,31,0),"")</f>
        <v/>
      </c>
      <c r="AL122" s="21">
        <f>IFERROR(VLOOKUP(Tabela1[[#This Row],[MÊS]]&amp;Tabela1[[#This Row],[MATRICULA]]&amp;"Motorista"&amp;Tabela1[[#This Row],[SETOR]],BD!A:AF,31,0),"")</f>
        <v>0</v>
      </c>
      <c r="AM122" s="21" t="str">
        <f>IFERROR(VLOOKUP(Tabela1[[#This Row],[MÊS]]&amp;Tabela1[[#This Row],[ID]]&amp;Tabela1[[#This Row],[MATRICULA]]&amp;"Motorista 2"&amp;Tabela1[[#This Row],[SETOR]],BD!A:AF,26,0),"")</f>
        <v/>
      </c>
      <c r="AN122" s="21" t="str">
        <f>IFERROR(VLOOKUP(Tabela1[[#This Row],[MÊS]]&amp;Tabela1[[#This Row],[ID]]&amp;Tabela1[[#This Row],[MATRICULA]]&amp;"Motorista 3"&amp;Tabela1[[#This Row],[SETOR]],BD!A:AF,26,0),"")</f>
        <v/>
      </c>
      <c r="AO122" s="21" t="str">
        <f>IFERROR(VLOOKUP(Tabela1[[#This Row],[MÊS]]&amp;Tabela1[[#This Row],[ID]]&amp;Tabela1[[#This Row],[MATRICULA]]&amp;"Motorista 4"&amp;Tabela1[[#This Row],[SETOR]],BD!A:AF,26,0),"")</f>
        <v/>
      </c>
      <c r="AP122" s="21" t="str">
        <f>IFERROR(VLOOKUP(Tabela1[[#This Row],[MÊS]]&amp;Tabela1[[#This Row],[MATRICULA]]&amp;"Ponto de Apoio"&amp;Tabela1[[#This Row],[SETOR]],BD!A:AF,31,0),"")</f>
        <v/>
      </c>
      <c r="AQ122" s="21" t="str">
        <f>IFERROR(VLOOKUP(Tabela1[[#This Row],[MÊS]]&amp;Tabela1[[#This Row],[ID]]&amp;Tabela1[[#This Row],[MATRICULA]]&amp;"Ponto de Apoio 2"&amp;Tabela1[[#This Row],[SETOR]],BD!A:AF,26,0),"")</f>
        <v/>
      </c>
      <c r="AR122" s="36" t="str">
        <f>IFERROR(VLOOKUP(Tabela1[[#This Row],[MÊS]]&amp;Tabela1[[#This Row],[ID]]&amp;Tabela1[[#This Row],[MATRICULA]]&amp;"Ponto de Apoio 3"&amp;Tabela1[[#This Row],[SETOR]],BD!A:AF,26,0),"")</f>
        <v/>
      </c>
      <c r="AS122" s="36" t="str">
        <f>IFERROR(VLOOKUP(Tabela1[[#This Row],[MÊS]]&amp;Tabela1[[#This Row],[ID]]&amp;Tabela1[[#This Row],[MATRICULA]]&amp;"Ponto de Apoio 4"&amp;Tabela1[[#This Row],[SETOR]],BD!A:AF,26,0),"")</f>
        <v/>
      </c>
      <c r="AT122" s="21">
        <f>IFERROR(VLOOKUP(Tabela1[[#This Row],[MÊS]]&amp;Tabela1[[#This Row],[MATRICULA]]&amp;"Cliente"&amp;Tabela1[[#This Row],[SETOR]],BD!A:AF,31,0),"")</f>
        <v>0</v>
      </c>
      <c r="AU122" s="21" t="str">
        <f>IFERROR(VLOOKUP(Tabela1[[#This Row],[MÊS]]&amp;Tabela1[[#This Row],[ID]]&amp;Tabela1[[#This Row],[MATRICULA]]&amp;"Cliente 2"&amp;Tabela1[[#This Row],[SETOR]],BD!A:AF,26,0),"")</f>
        <v/>
      </c>
      <c r="AX122" s="21" t="str">
        <f>IFERROR(VLOOKUP(Tabela1[[#This Row],[MÊS]]&amp;Tabela1[[#This Row],[MATRICULA]]&amp;"Policia"&amp;Tabela1[[#This Row],[SETOR]],BD!A:AF,31,0),"")</f>
        <v/>
      </c>
      <c r="AY122" s="21" t="str">
        <f>IFERROR(VLOOKUP(Tabela1[[#This Row],[MÊS]]&amp;Tabela1[[#This Row],[ID]]&amp;Tabela1[[#This Row],[MATRICULA]]&amp;"Policia 2"&amp;Tabela1[[#This Row],[SETOR]],BD!A:AF,26,0),"")</f>
        <v/>
      </c>
      <c r="AZ122" s="36" t="str">
        <f>IFERROR(VLOOKUP(Tabela1[[#This Row],[MÊS]]&amp;Tabela1[[#This Row],[ID]]&amp;Tabela1[[#This Row],[MATRICULA]]&amp;"Policia 3"&amp;Tabela1[[#This Row],[SETOR]],BD!A:AF,26,0),"")</f>
        <v/>
      </c>
      <c r="BA122" s="36" t="str">
        <f>IFERROR(VLOOKUP(Tabela1[[#This Row],[MÊS]]&amp;Tabela1[[#This Row],[ID]]&amp;Tabela1[[#This Row],[MATRICULA]]&amp;"Policia 4"&amp;Tabela1[[#This Row],[SETOR]],BD!A:AF,26,0),"")</f>
        <v/>
      </c>
      <c r="BB12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2" s="21">
        <f>IFERROR(AVERAGE(Tabela1[[#This Row],[M]:[M4]]),"")</f>
        <v>0</v>
      </c>
      <c r="BD122" s="21">
        <f>IFERROR(AVERAGE(Tabela1[[#This Row],[C]:[C4]]),"")</f>
        <v>0</v>
      </c>
      <c r="BE122" s="21" t="str">
        <f>IFERROR(AVERAGE(Tabela1[[#This Row],[PA2]:[PA 4]]),"")</f>
        <v/>
      </c>
      <c r="BF122" s="21" t="str">
        <f>IFERROR(AVERAGE(Tabela1[[#This Row],[PL]:[PL4]]),"")</f>
        <v/>
      </c>
      <c r="BG122" s="35" t="str">
        <f>IFERROR(VLOOKUP(Tabela1[[#This Row],[MÊS]]&amp;Tabela1[[#This Row],[MATRICULA]],#REF!,2,0),"")</f>
        <v/>
      </c>
      <c r="BH122" s="35" t="str">
        <f>IFERROR(VLOOKUP(Tabela1[[#This Row],[MÊS]]&amp;Tabela1[[#This Row],[MATRICULA]],#REF!,2,0),"")</f>
        <v/>
      </c>
      <c r="BI122" s="35" t="str">
        <f>IFERROR(VLOOKUP(Tabela1[[#This Row],[MÊS]]&amp;Tabela1[[#This Row],[MATRICULA]],#REF!,2,0),"")</f>
        <v/>
      </c>
      <c r="BJ122" s="35" t="str">
        <f>IFERROR(VLOOKUP(Tabela1[[#This Row],[MÊS]]&amp;Tabela1[[#This Row],[MATRICULA]],#REF!,2,0),"")</f>
        <v/>
      </c>
      <c r="BK122" s="35" t="str">
        <f>IFERROR(VLOOKUP(Tabela1[[#This Row],[MÊS]]&amp;Tabela1[[#This Row],[MATRICULA]],#REF!,2,0),"")</f>
        <v/>
      </c>
      <c r="BL122" s="21">
        <f>COUNTIF(Tabela1[[#This Row],[MOT2]:[RECEPTIVA]],"NÃO ENCONTRADA")</f>
        <v>0</v>
      </c>
      <c r="BM122" s="135" t="str">
        <f>IFERROR(VLOOKUP(Tabela1[[#This Row],[MÊS]]&amp;Tabela1[[#This Row],[ID]]&amp;Tabela1[[#This Row],[MATRICULA]]&amp;"Motorista"&amp;Tabela1[[#This Row],[SETOR]],BD!A:AF,13,0),"")</f>
        <v/>
      </c>
      <c r="BN122" s="135" t="str">
        <f>IFERROR(VLOOKUP(Tabela1[[#This Row],[MÊS]]&amp;Tabela1[[#This Row],[ID]]&amp;Tabela1[[#This Row],[MATRICULA]]&amp;"Motorista 2"&amp;Tabela1[[#This Row],[SETOR]],BD!A:AF,13,0),"")</f>
        <v/>
      </c>
      <c r="BO122" s="135" t="str">
        <f>IFERROR(VLOOKUP(Tabela1[[#This Row],[MÊS]]&amp;Tabela1[[#This Row],[ID]]&amp;Tabela1[[#This Row],[MATRICULA]]&amp;"Motorista 3"&amp;Tabela1[[#This Row],[SETOR]],BD!A:AF,13,0),"")</f>
        <v/>
      </c>
      <c r="BP122" s="135" t="str">
        <f>IFERROR(VLOOKUP(Tabela1[[#This Row],[MÊS]]&amp;Tabela1[[#This Row],[ID]]&amp;Tabela1[[#This Row],[MATRICULA]]&amp;"Motorista 4"&amp;Tabela1[[#This Row],[SETOR]],BD!A:AF,13,0),"")</f>
        <v/>
      </c>
      <c r="BQ122" s="135" t="str">
        <f>IFERROR(AVERAGE(Tabela1[[#This Row],[DMOT]:[DMOT4]]),"")</f>
        <v/>
      </c>
      <c r="BR122" s="135" t="str">
        <f>IFERROR(VLOOKUP(Tabela1[[#This Row],[MÊS]]&amp;Tabela1[[#This Row],[ID]]&amp;Tabela1[[#This Row],[MATRICULA]]&amp;"Ponto de Apoio"&amp;Tabela1[[#This Row],[SETOR]],BD!A:AF,13,0),"")</f>
        <v/>
      </c>
      <c r="BS122" s="135" t="str">
        <f>IFERROR(VLOOKUP(Tabela1[[#This Row],[MÊS]]&amp;Tabela1[[#This Row],[ID]]&amp;Tabela1[[#This Row],[MATRICULA]]&amp;"Ponto de Apoio 2"&amp;Tabela1[[#This Row],[SETOR]],BD!A:AF,13,0),"")</f>
        <v/>
      </c>
      <c r="BT122" s="135" t="str">
        <f>IFERROR(VLOOKUP(Tabela1[[#This Row],[MÊS]]&amp;Tabela1[[#This Row],[ID]]&amp;Tabela1[[#This Row],[MATRICULA]]&amp;"Ponto de Apoio 3"&amp;Tabela1[[#This Row],[SETOR]],BD!A:AF,13,0),"")</f>
        <v/>
      </c>
      <c r="BU122" s="135" t="str">
        <f>IFERROR(VLOOKUP(Tabela1[[#This Row],[MÊS]]&amp;Tabela1[[#This Row],[ID]]&amp;Tabela1[[#This Row],[MATRICULA]]&amp;"Ponto de Apoio 4"&amp;Tabela1[[#This Row],[SETOR]],BD!A:AF,13,0),"")</f>
        <v/>
      </c>
      <c r="BV122" s="135" t="str">
        <f>IFERROR(AVERAGE(Tabela1[[#This Row],[DPA]:[DPA 4]]),"")</f>
        <v/>
      </c>
      <c r="BW122" s="135" t="str">
        <f>IFERROR(VLOOKUP(Tabela1[[#This Row],[MÊS]]&amp;Tabela1[[#This Row],[ID]]&amp;Tabela1[[#This Row],[MATRICULA]]&amp;"Cliente"&amp;Tabela1[[#This Row],[SETOR]],BD!A:AF,13,0),"")</f>
        <v/>
      </c>
      <c r="BX122" s="135" t="str">
        <f>IFERROR(VLOOKUP(Tabela1[[#This Row],[MÊS]]&amp;Tabela1[[#This Row],[ID]]&amp;Tabela1[[#This Row],[MATRICULA]]&amp;"cliente 2"&amp;Tabela1[[#This Row],[SETOR]],BD!A:AF,13,0),"")</f>
        <v/>
      </c>
      <c r="BY122" s="135" t="str">
        <f>IFERROR(VLOOKUP(Tabela1[[#This Row],[MÊS]]&amp;Tabela1[[#This Row],[ID]]&amp;Tabela1[[#This Row],[MATRICULA]]&amp;"cliente 3"&amp;Tabela1[[#This Row],[SETOR]],BD!A:AF,13,0),"")</f>
        <v/>
      </c>
      <c r="BZ122" s="135" t="str">
        <f>IFERROR(VLOOKUP(Tabela1[[#This Row],[MÊS]]&amp;Tabela1[[#This Row],[ID]]&amp;Tabela1[[#This Row],[MATRICULA]]&amp;"cliente 4"&amp;Tabela1[[#This Row],[SETOR]],BD!A:AF,13,0),"")</f>
        <v/>
      </c>
      <c r="CA122" s="135" t="str">
        <f>IFERROR(AVERAGE(Tabela1[[#This Row],[DCLI]:[DCLI 4]]),"")</f>
        <v/>
      </c>
      <c r="CB122" s="135" t="str">
        <f>IFERROR(VLOOKUP(Tabela1[[#This Row],[MÊS]]&amp;Tabela1[[#This Row],[ID]]&amp;Tabela1[[#This Row],[MATRICULA]]&amp;"Policia"&amp;Tabela1[[#This Row],[SETOR]],BD!A:AF,13,0),"")</f>
        <v/>
      </c>
      <c r="CC122" s="135" t="str">
        <f>IFERROR(VLOOKUP(Tabela1[[#This Row],[MÊS]]&amp;Tabela1[[#This Row],[ID]]&amp;Tabela1[[#This Row],[MATRICULA]]&amp;"Policia 2"&amp;Tabela1[[#This Row],[SETOR]],BD!A:AF,13,0),"")</f>
        <v/>
      </c>
      <c r="CD122" s="135"/>
      <c r="CE122" s="135"/>
      <c r="CF122" s="135" t="str">
        <f>IFERROR((AVERAGE(Tabela1[[#This Row],[DPOL1]:[DPOL4]])),"")</f>
        <v/>
      </c>
      <c r="CG122" s="21" t="str">
        <f>IFERROR(VLOOKUP(Tabela1[[#This Row],[ID]]&amp;Tabela1[[#This Row],[MÊS]]&amp;Tabela1[[#This Row],[MATRICULA]],#REF!,2,0),"")</f>
        <v/>
      </c>
      <c r="CH122" s="21" t="str">
        <f>IFERROR(VLOOKUP(Tabela1[[#This Row],[ID]]&amp;Tabela1[[#This Row],[MÊS]]&amp;Tabela1[[#This Row],[MATRICULA]],#REF!,2,0),"")</f>
        <v/>
      </c>
      <c r="CI122" s="21" t="str">
        <f>IFERROR(VLOOKUP(Tabela1[[#This Row],[MÊS]]&amp;Tabela1[[#This Row],[MATRICULA]],#REF!,2,0),"")</f>
        <v/>
      </c>
    </row>
    <row r="123" spans="1:87">
      <c r="A123" s="12" t="str">
        <f>Tabela1[[#This Row],[MÊS]]&amp;Tabela1[[#This Row],[MATRICULA]]&amp;Tabela1[[#This Row],[ID]]</f>
        <v>JAN104896</v>
      </c>
      <c r="B123" s="12" t="str">
        <f>Tabela1[[#This Row],[MÊS]]&amp;Tabela1[[#This Row],[ID]]&amp;Tabela1[[#This Row],[MATRICULA]]&amp;Tabela1[[#This Row],[SETOR]]</f>
        <v>JAN610489LOGÍSTICA</v>
      </c>
      <c r="C123" s="130" t="e">
        <f>VLOOKUP(Tabela1[[#This Row],[MATRICULA]],'BD Campos'!A:D,5,0)</f>
        <v>#REF!</v>
      </c>
      <c r="D123" s="133" t="str">
        <f ca="1">IFERROR(SUM(TODAY()-Tabela1[[#This Row],[ADMISSÃO]]),"")</f>
        <v/>
      </c>
      <c r="E123" s="11" t="str">
        <f ca="1">IFERROR(TRUNC(Tabela1[[#This Row],[TEMPO DE CASA (DIAS)]]/30),"")</f>
        <v/>
      </c>
      <c r="F123" s="32" t="str">
        <f ca="1">IFERROR(SUM(Tabela1[[#This Row],[TEMPO DE CASA (MESES)]]/12),"")</f>
        <v/>
      </c>
      <c r="G123" s="133" t="str">
        <f ca="1">IF(Tabela1[[#This Row],[TEMPO DE CASA (DIAS)]]="","SEM DADOS",IF(Tabela1[[#This Row],[TEMPO DE CASA (DIAS)]]&gt;180,"&gt; 6 MESES","&lt; 6 MESES"))</f>
        <v>SEM DADOS</v>
      </c>
      <c r="H123" s="12" t="str">
        <f t="shared" si="12"/>
        <v>JANGeovana Meurer6</v>
      </c>
      <c r="I123" s="12" t="str">
        <f>IFERROR(VLOOKUP(Tabela1[[#This Row],[MATRICULA]],'BD Campos'!A:F,7,0),"")</f>
        <v/>
      </c>
      <c r="J123" s="11">
        <v>6</v>
      </c>
      <c r="K123" s="11" t="s">
        <v>669</v>
      </c>
      <c r="L123" s="136">
        <v>10489</v>
      </c>
      <c r="M123" s="12" t="str">
        <f>IFERROR(VLOOKUP(Tabela1[[#This Row],[MATRICULA]],'BD Campos'!A:B,2,0),"")</f>
        <v>DAVID JOÃO CARDOSO</v>
      </c>
      <c r="N123" s="20" t="str">
        <f>IFERROR(AVERAGE(Tabela1[[#This Row],[A1]:[A4]]),"")</f>
        <v/>
      </c>
      <c r="O123" s="20" t="str">
        <f>IFERROR(IF(Tabela1[[#This Row],[SETOR]]="RECEPTIVO","",AVERAGE(Tabela1[[#This Row],[A5]:[A6]])),"")</f>
        <v/>
      </c>
      <c r="P123" s="20" t="str">
        <f>IFERROR(IF(Tabela1[[#This Row],[STATUS]]="INATIVO","INATIVO",IF(Tabela1[[#This Row],[STATUS]]="QRT","INATIVO",IF(Tabela1[[#This Row],[OPERACIONAL]]&gt;7.99999,"BOM","RUIM"))),"")</f>
        <v>INATIVO</v>
      </c>
      <c r="Q123" s="21" t="s">
        <v>670</v>
      </c>
      <c r="R123" s="12" t="s">
        <v>315</v>
      </c>
      <c r="S123" s="12" t="s">
        <v>11</v>
      </c>
      <c r="T123" s="12" t="s">
        <v>315</v>
      </c>
      <c r="U12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3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23" s="12">
        <f>IF(AND(Tabela1[[#This Row],[SETOR]]="UTI",Tabela1[[#This Row],[M]]&lt;&gt;""),1,IF(AND(Tabela1[[#This Row],[SETOR]]="UTI (RJ)",Tabela1[[#This Row],[M]]&lt;&gt;""),1.5,0))</f>
        <v>0</v>
      </c>
      <c r="X123" s="12">
        <f>IF(AND(Tabela1[[#This Row],[SETOR]]="UTI",Tabela1[[#This Row],[PA2]]&lt;&gt;""),1,IF(AND(Tabela1[[#This Row],[SETOR]]="UTI (RJ)",Tabela1[[#This Row],[PA2]]&lt;&gt;""),0,0))</f>
        <v>0</v>
      </c>
      <c r="Y123" s="12">
        <f>IF(AND(Tabela1[[#This Row],[SETOR]]="UTI",Tabela1[[#This Row],[C]]&lt;&gt;""),1,IF(AND(Tabela1[[#This Row],[SETOR]]="UTI (RJ)",Tabela1[[#This Row],[C]]&lt;&gt;""),1.5,0))</f>
        <v>0</v>
      </c>
      <c r="Z123" s="12">
        <f>IF(AND(Tabela1[[#This Row],[SETOR]]="UTI",Tabela1[[#This Row],[PL]]&lt;&gt;""),1,IF(AND(Tabela1[[#This Row],[SETOR]]="UTI (RJ)",Tabela1[[#This Row],[PL]]&lt;&gt;""),1,0))</f>
        <v>0</v>
      </c>
      <c r="AA123" s="21" t="str">
        <f>IFERROR(VLOOKUP(Tabela1[[#This Row],[MÊS]]&amp;Tabela1[[#This Row],[MATRICULA]]&amp;"1"&amp;Tabela1[[#This Row],[SETOR]]&amp;"PADRÃO",BD!B:AF,31,0),"")</f>
        <v/>
      </c>
      <c r="AB123" s="21" t="str">
        <f>IFERROR(VLOOKUP(Tabela1[[#This Row],[MÊS]]&amp;Tabela1[[#This Row],[MATRICULA]]&amp;"2"&amp;Tabela1[[#This Row],[SETOR]]&amp;"PADRÃO",BD!B:AF,31,0),"")</f>
        <v/>
      </c>
      <c r="AC123" s="21" t="str">
        <f>IFERROR(VLOOKUP(Tabela1[[#This Row],[MÊS]]&amp;Tabela1[[#This Row],[MATRICULA]]&amp;"3"&amp;Tabela1[[#This Row],[SETOR]]&amp;"PADRÃO",BD!B:AF,31,0),"")</f>
        <v/>
      </c>
      <c r="AD123" s="21" t="str">
        <f>IFERROR(VLOOKUP(Tabela1[[#This Row],[MÊS]]&amp;Tabela1[[#This Row],[MATRICULA]]&amp;"4"&amp;Tabela1[[#This Row],[SETOR]]&amp;"PADRÃO",BD!B:AF,25,0),"")</f>
        <v/>
      </c>
      <c r="AE123" s="21" t="str">
        <f>IFERROR(VLOOKUP(Tabela1[[#This Row],[MÊS]]&amp;Tabela1[[#This Row],[MATRICULA]]&amp;"5"&amp;Tabela1[[#This Row],[SETOR]]&amp;"PADRÃO",BD!B:AF,31,0),"")</f>
        <v/>
      </c>
      <c r="AF123" s="21" t="str">
        <f>IFERROR(VLOOKUP(Tabela1[[#This Row],[MÊS]]&amp;Tabela1[[#This Row],[MATRICULA]]&amp;"6"&amp;Tabela1[[#This Row],[SETOR]]&amp;"PADRÃO",BD!B:AF,31,0),"")</f>
        <v/>
      </c>
      <c r="AG123" s="21" t="str">
        <f>IFERROR(VLOOKUP(Tabela1[[#This Row],[MÊS]]&amp;Tabela1[[#This Row],[MATRICULA]]&amp;"7"&amp;Tabela1[[#This Row],[SETOR]]&amp;"PADRÃO",BD!B:AF,31,0),"")</f>
        <v/>
      </c>
      <c r="AH123" s="21" t="str">
        <f>IFERROR(VLOOKUP(Tabela1[[#This Row],[MÊS]]&amp;Tabela1[[#This Row],[ID]]&amp;Tabela1[[#This Row],[MATRICULA]]&amp;"Receptiva"&amp;Tabela1[[#This Row],[SETOR]],BD!A:AF,31,0),"")</f>
        <v/>
      </c>
      <c r="AI123" s="21" t="str">
        <f>IFERROR(VLOOKUP(Tabela1[[#This Row],[MÊS]]&amp;Tabela1[[#This Row],[ID]]&amp;Tabela1[[#This Row],[MATRICULA]]&amp;"Receptiva 2"&amp;Tabela1[[#This Row],[SETOR]],BD!A:AF,31,0),"")</f>
        <v/>
      </c>
      <c r="AJ123" s="21" t="str">
        <f>IFERROR(VLOOKUP(Tabela1[[#This Row],[MÊS]]&amp;Tabela1[[#This Row],[ID]]&amp;Tabela1[[#This Row],[MATRICULA]]&amp;"Receptiva 3"&amp;Tabela1[[#This Row],[SETOR]],BD!A:AF,31,0),"")</f>
        <v/>
      </c>
      <c r="AK123" s="21" t="str">
        <f>IFERROR(VLOOKUP(Tabela1[[#This Row],[MÊS]]&amp;Tabela1[[#This Row],[ID]]&amp;Tabela1[[#This Row],[MATRICULA]]&amp;"Receptiva 4"&amp;Tabela1[[#This Row],[SETOR]],BD!A:AF,31,0),"")</f>
        <v/>
      </c>
      <c r="AL123" s="21" t="str">
        <f>IFERROR(VLOOKUP(Tabela1[[#This Row],[MÊS]]&amp;Tabela1[[#This Row],[MATRICULA]]&amp;"Motorista"&amp;Tabela1[[#This Row],[SETOR]],BD!A:AF,31,0),"")</f>
        <v/>
      </c>
      <c r="AM123" s="21" t="str">
        <f>IFERROR(VLOOKUP(Tabela1[[#This Row],[MÊS]]&amp;Tabela1[[#This Row],[ID]]&amp;Tabela1[[#This Row],[MATRICULA]]&amp;"Motorista 2"&amp;Tabela1[[#This Row],[SETOR]],BD!A:AF,26,0),"")</f>
        <v/>
      </c>
      <c r="AN123" s="21" t="str">
        <f>IFERROR(VLOOKUP(Tabela1[[#This Row],[MÊS]]&amp;Tabela1[[#This Row],[ID]]&amp;Tabela1[[#This Row],[MATRICULA]]&amp;"Motorista 3"&amp;Tabela1[[#This Row],[SETOR]],BD!A:AF,26,0),"")</f>
        <v/>
      </c>
      <c r="AO123" s="21" t="str">
        <f>IFERROR(VLOOKUP(Tabela1[[#This Row],[MÊS]]&amp;Tabela1[[#This Row],[ID]]&amp;Tabela1[[#This Row],[MATRICULA]]&amp;"Motorista 4"&amp;Tabela1[[#This Row],[SETOR]],BD!A:AF,26,0),"")</f>
        <v/>
      </c>
      <c r="AP123" s="21" t="str">
        <f>IFERROR(VLOOKUP(Tabela1[[#This Row],[MÊS]]&amp;Tabela1[[#This Row],[MATRICULA]]&amp;"Ponto de Apoio"&amp;Tabela1[[#This Row],[SETOR]],BD!A:AF,31,0),"")</f>
        <v/>
      </c>
      <c r="AQ123" s="21" t="str">
        <f>IFERROR(VLOOKUP(Tabela1[[#This Row],[MÊS]]&amp;Tabela1[[#This Row],[ID]]&amp;Tabela1[[#This Row],[MATRICULA]]&amp;"Ponto de Apoio 2"&amp;Tabela1[[#This Row],[SETOR]],BD!A:AF,26,0),"")</f>
        <v/>
      </c>
      <c r="AR123" s="36" t="str">
        <f>IFERROR(VLOOKUP(Tabela1[[#This Row],[MÊS]]&amp;Tabela1[[#This Row],[ID]]&amp;Tabela1[[#This Row],[MATRICULA]]&amp;"Ponto de Apoio 3"&amp;Tabela1[[#This Row],[SETOR]],BD!A:AF,26,0),"")</f>
        <v/>
      </c>
      <c r="AS123" s="36" t="str">
        <f>IFERROR(VLOOKUP(Tabela1[[#This Row],[MÊS]]&amp;Tabela1[[#This Row],[ID]]&amp;Tabela1[[#This Row],[MATRICULA]]&amp;"Ponto de Apoio 4"&amp;Tabela1[[#This Row],[SETOR]],BD!A:AF,26,0),"")</f>
        <v/>
      </c>
      <c r="AT123" s="21" t="str">
        <f>IFERROR(VLOOKUP(Tabela1[[#This Row],[MÊS]]&amp;Tabela1[[#This Row],[MATRICULA]]&amp;"Cliente"&amp;Tabela1[[#This Row],[SETOR]],BD!A:AF,31,0),"")</f>
        <v/>
      </c>
      <c r="AU123" s="21" t="str">
        <f>IFERROR(VLOOKUP(Tabela1[[#This Row],[MÊS]]&amp;Tabela1[[#This Row],[ID]]&amp;Tabela1[[#This Row],[MATRICULA]]&amp;"Cliente 2"&amp;Tabela1[[#This Row],[SETOR]],BD!A:AF,26,0),"")</f>
        <v/>
      </c>
      <c r="AX123" s="21" t="str">
        <f>IFERROR(VLOOKUP(Tabela1[[#This Row],[MÊS]]&amp;Tabela1[[#This Row],[MATRICULA]]&amp;"Policia"&amp;Tabela1[[#This Row],[SETOR]],BD!A:AF,31,0),"")</f>
        <v/>
      </c>
      <c r="AY123" s="21" t="str">
        <f>IFERROR(VLOOKUP(Tabela1[[#This Row],[MÊS]]&amp;Tabela1[[#This Row],[ID]]&amp;Tabela1[[#This Row],[MATRICULA]]&amp;"Policia 2"&amp;Tabela1[[#This Row],[SETOR]],BD!A:AF,26,0),"")</f>
        <v/>
      </c>
      <c r="AZ123" s="36" t="str">
        <f>IFERROR(VLOOKUP(Tabela1[[#This Row],[MÊS]]&amp;Tabela1[[#This Row],[ID]]&amp;Tabela1[[#This Row],[MATRICULA]]&amp;"Policia 3"&amp;Tabela1[[#This Row],[SETOR]],BD!A:AF,26,0),"")</f>
        <v/>
      </c>
      <c r="BA123" s="36" t="str">
        <f>IFERROR(VLOOKUP(Tabela1[[#This Row],[MÊS]]&amp;Tabela1[[#This Row],[ID]]&amp;Tabela1[[#This Row],[MATRICULA]]&amp;"Policia 4"&amp;Tabela1[[#This Row],[SETOR]],BD!A:AF,26,0),"")</f>
        <v/>
      </c>
      <c r="BB12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3" s="21" t="str">
        <f>IFERROR(AVERAGE(Tabela1[[#This Row],[M]:[M4]]),"")</f>
        <v/>
      </c>
      <c r="BD123" s="21" t="str">
        <f>IFERROR(AVERAGE(Tabela1[[#This Row],[C]:[C4]]),"")</f>
        <v/>
      </c>
      <c r="BE123" s="21" t="str">
        <f>IFERROR(AVERAGE(Tabela1[[#This Row],[PA2]:[PA 4]]),"")</f>
        <v/>
      </c>
      <c r="BF123" s="21" t="str">
        <f>IFERROR(AVERAGE(Tabela1[[#This Row],[PL]:[PL4]]),"")</f>
        <v/>
      </c>
      <c r="BG123" s="35" t="str">
        <f>IFERROR(VLOOKUP(Tabela1[[#This Row],[MÊS]]&amp;Tabela1[[#This Row],[MATRICULA]],#REF!,2,0),"")</f>
        <v/>
      </c>
      <c r="BH123" s="35" t="str">
        <f>IFERROR(VLOOKUP(Tabela1[[#This Row],[MÊS]]&amp;Tabela1[[#This Row],[MATRICULA]],#REF!,2,0),"")</f>
        <v/>
      </c>
      <c r="BI123" s="35" t="str">
        <f>IFERROR(VLOOKUP(Tabela1[[#This Row],[MÊS]]&amp;Tabela1[[#This Row],[MATRICULA]],#REF!,2,0),"")</f>
        <v/>
      </c>
      <c r="BJ123" s="35" t="str">
        <f>IFERROR(VLOOKUP(Tabela1[[#This Row],[MÊS]]&amp;Tabela1[[#This Row],[MATRICULA]],#REF!,2,0),"")</f>
        <v/>
      </c>
      <c r="BK123" s="35" t="str">
        <f>IFERROR(VLOOKUP(Tabela1[[#This Row],[MÊS]]&amp;Tabela1[[#This Row],[MATRICULA]],#REF!,2,0),"")</f>
        <v/>
      </c>
      <c r="BL123" s="21">
        <f>COUNTIF(Tabela1[[#This Row],[MOT2]:[RECEPTIVA]],"NÃO ENCONTRADA")</f>
        <v>0</v>
      </c>
      <c r="BM123" s="135" t="str">
        <f>IFERROR(VLOOKUP(Tabela1[[#This Row],[MÊS]]&amp;Tabela1[[#This Row],[ID]]&amp;Tabela1[[#This Row],[MATRICULA]]&amp;"Motorista"&amp;Tabela1[[#This Row],[SETOR]],BD!A:AF,13,0),"")</f>
        <v/>
      </c>
      <c r="BN123" s="135" t="str">
        <f>IFERROR(VLOOKUP(Tabela1[[#This Row],[MÊS]]&amp;Tabela1[[#This Row],[ID]]&amp;Tabela1[[#This Row],[MATRICULA]]&amp;"Motorista 2"&amp;Tabela1[[#This Row],[SETOR]],BD!A:AF,13,0),"")</f>
        <v/>
      </c>
      <c r="BO123" s="135" t="str">
        <f>IFERROR(VLOOKUP(Tabela1[[#This Row],[MÊS]]&amp;Tabela1[[#This Row],[ID]]&amp;Tabela1[[#This Row],[MATRICULA]]&amp;"Motorista 3"&amp;Tabela1[[#This Row],[SETOR]],BD!A:AF,13,0),"")</f>
        <v/>
      </c>
      <c r="BP123" s="135" t="str">
        <f>IFERROR(VLOOKUP(Tabela1[[#This Row],[MÊS]]&amp;Tabela1[[#This Row],[ID]]&amp;Tabela1[[#This Row],[MATRICULA]]&amp;"Motorista 4"&amp;Tabela1[[#This Row],[SETOR]],BD!A:AF,13,0),"")</f>
        <v/>
      </c>
      <c r="BQ123" s="135" t="str">
        <f>IFERROR(AVERAGE(Tabela1[[#This Row],[DMOT]:[DMOT4]]),"")</f>
        <v/>
      </c>
      <c r="BR123" s="135" t="str">
        <f>IFERROR(VLOOKUP(Tabela1[[#This Row],[MÊS]]&amp;Tabela1[[#This Row],[ID]]&amp;Tabela1[[#This Row],[MATRICULA]]&amp;"Ponto de Apoio"&amp;Tabela1[[#This Row],[SETOR]],BD!A:AF,13,0),"")</f>
        <v/>
      </c>
      <c r="BS123" s="135" t="str">
        <f>IFERROR(VLOOKUP(Tabela1[[#This Row],[MÊS]]&amp;Tabela1[[#This Row],[ID]]&amp;Tabela1[[#This Row],[MATRICULA]]&amp;"Ponto de Apoio 2"&amp;Tabela1[[#This Row],[SETOR]],BD!A:AF,13,0),"")</f>
        <v/>
      </c>
      <c r="BT123" s="135" t="str">
        <f>IFERROR(VLOOKUP(Tabela1[[#This Row],[MÊS]]&amp;Tabela1[[#This Row],[ID]]&amp;Tabela1[[#This Row],[MATRICULA]]&amp;"Ponto de Apoio 3"&amp;Tabela1[[#This Row],[SETOR]],BD!A:AF,13,0),"")</f>
        <v/>
      </c>
      <c r="BU123" s="135" t="str">
        <f>IFERROR(VLOOKUP(Tabela1[[#This Row],[MÊS]]&amp;Tabela1[[#This Row],[ID]]&amp;Tabela1[[#This Row],[MATRICULA]]&amp;"Ponto de Apoio 4"&amp;Tabela1[[#This Row],[SETOR]],BD!A:AF,13,0),"")</f>
        <v/>
      </c>
      <c r="BV123" s="135" t="str">
        <f>IFERROR(AVERAGE(Tabela1[[#This Row],[DPA]:[DPA 4]]),"")</f>
        <v/>
      </c>
      <c r="BW123" s="135" t="str">
        <f>IFERROR(VLOOKUP(Tabela1[[#This Row],[MÊS]]&amp;Tabela1[[#This Row],[ID]]&amp;Tabela1[[#This Row],[MATRICULA]]&amp;"Cliente"&amp;Tabela1[[#This Row],[SETOR]],BD!A:AF,13,0),"")</f>
        <v/>
      </c>
      <c r="BX123" s="135" t="str">
        <f>IFERROR(VLOOKUP(Tabela1[[#This Row],[MÊS]]&amp;Tabela1[[#This Row],[ID]]&amp;Tabela1[[#This Row],[MATRICULA]]&amp;"cliente 2"&amp;Tabela1[[#This Row],[SETOR]],BD!A:AF,13,0),"")</f>
        <v/>
      </c>
      <c r="BY123" s="135" t="str">
        <f>IFERROR(VLOOKUP(Tabela1[[#This Row],[MÊS]]&amp;Tabela1[[#This Row],[ID]]&amp;Tabela1[[#This Row],[MATRICULA]]&amp;"cliente 3"&amp;Tabela1[[#This Row],[SETOR]],BD!A:AF,13,0),"")</f>
        <v/>
      </c>
      <c r="BZ123" s="135" t="str">
        <f>IFERROR(VLOOKUP(Tabela1[[#This Row],[MÊS]]&amp;Tabela1[[#This Row],[ID]]&amp;Tabela1[[#This Row],[MATRICULA]]&amp;"cliente 4"&amp;Tabela1[[#This Row],[SETOR]],BD!A:AF,13,0),"")</f>
        <v/>
      </c>
      <c r="CA123" s="135" t="str">
        <f>IFERROR(AVERAGE(Tabela1[[#This Row],[DCLI]:[DCLI 4]]),"")</f>
        <v/>
      </c>
      <c r="CB123" s="135" t="str">
        <f>IFERROR(VLOOKUP(Tabela1[[#This Row],[MÊS]]&amp;Tabela1[[#This Row],[ID]]&amp;Tabela1[[#This Row],[MATRICULA]]&amp;"Policia"&amp;Tabela1[[#This Row],[SETOR]],BD!A:AF,13,0),"")</f>
        <v/>
      </c>
      <c r="CC123" s="135" t="str">
        <f>IFERROR(VLOOKUP(Tabela1[[#This Row],[MÊS]]&amp;Tabela1[[#This Row],[ID]]&amp;Tabela1[[#This Row],[MATRICULA]]&amp;"Policia 2"&amp;Tabela1[[#This Row],[SETOR]],BD!A:AF,13,0),"")</f>
        <v/>
      </c>
      <c r="CD123" s="135"/>
      <c r="CE123" s="135"/>
      <c r="CF123" s="135" t="str">
        <f>IFERROR((AVERAGE(Tabela1[[#This Row],[DPOL1]:[DPOL4]])),"")</f>
        <v/>
      </c>
      <c r="CG123" s="21" t="str">
        <f>IFERROR(VLOOKUP(Tabela1[[#This Row],[ID]]&amp;Tabela1[[#This Row],[MÊS]]&amp;Tabela1[[#This Row],[MATRICULA]],#REF!,2,0),"")</f>
        <v/>
      </c>
      <c r="CH123" s="21" t="str">
        <f>IFERROR(VLOOKUP(Tabela1[[#This Row],[ID]]&amp;Tabela1[[#This Row],[MÊS]]&amp;Tabela1[[#This Row],[MATRICULA]],#REF!,2,0),"")</f>
        <v/>
      </c>
      <c r="CI123" s="21" t="str">
        <f>IFERROR(VLOOKUP(Tabela1[[#This Row],[MÊS]]&amp;Tabela1[[#This Row],[MATRICULA]],#REF!,2,0),"")</f>
        <v/>
      </c>
    </row>
    <row r="124" spans="1:87">
      <c r="A124" s="12" t="str">
        <f>Tabela1[[#This Row],[MÊS]]&amp;Tabela1[[#This Row],[MATRICULA]]&amp;Tabela1[[#This Row],[ID]]</f>
        <v>JAN112977</v>
      </c>
      <c r="B124" s="12" t="str">
        <f>Tabela1[[#This Row],[MÊS]]&amp;Tabela1[[#This Row],[ID]]&amp;Tabela1[[#This Row],[MATRICULA]]&amp;Tabela1[[#This Row],[SETOR]]</f>
        <v>JAN711297LOGÍSTICA</v>
      </c>
      <c r="C124" s="130" t="e">
        <f>VLOOKUP(Tabela1[[#This Row],[MATRICULA]],'BD Campos'!A:D,5,0)</f>
        <v>#REF!</v>
      </c>
      <c r="D124" s="133" t="str">
        <f ca="1">IFERROR(SUM(TODAY()-Tabela1[[#This Row],[ADMISSÃO]]),"")</f>
        <v/>
      </c>
      <c r="E124" s="11" t="str">
        <f ca="1">IFERROR(TRUNC(Tabela1[[#This Row],[TEMPO DE CASA (DIAS)]]/30),"")</f>
        <v/>
      </c>
      <c r="F124" s="32" t="str">
        <f ca="1">IFERROR(SUM(Tabela1[[#This Row],[TEMPO DE CASA (MESES)]]/12),"")</f>
        <v/>
      </c>
      <c r="G124" s="133" t="str">
        <f ca="1">IF(Tabela1[[#This Row],[TEMPO DE CASA (DIAS)]]="","SEM DADOS",IF(Tabela1[[#This Row],[TEMPO DE CASA (DIAS)]]&gt;180,"&gt; 6 MESES","&lt; 6 MESES"))</f>
        <v>SEM DADOS</v>
      </c>
      <c r="H124" s="12" t="str">
        <f t="shared" si="12"/>
        <v>JANGeovana Meurer7</v>
      </c>
      <c r="I124" s="12" t="str">
        <f>IFERROR(VLOOKUP(Tabela1[[#This Row],[MATRICULA]],'BD Campos'!A:F,7,0),"")</f>
        <v/>
      </c>
      <c r="J124" s="11">
        <v>7</v>
      </c>
      <c r="K124" s="11" t="s">
        <v>669</v>
      </c>
      <c r="L124" s="136">
        <v>11297</v>
      </c>
      <c r="M124" s="12" t="str">
        <f>IFERROR(VLOOKUP(Tabela1[[#This Row],[MATRICULA]],'BD Campos'!A:B,2,0),"")</f>
        <v>HELOISE VASCONCELOS CARDOSO</v>
      </c>
      <c r="N124" s="20" t="str">
        <f>IFERROR(AVERAGE(Tabela1[[#This Row],[A1]:[A4]]),"")</f>
        <v/>
      </c>
      <c r="O124" s="20">
        <f>IFERROR(IF(Tabela1[[#This Row],[SETOR]]="RECEPTIVO","",AVERAGE(Tabela1[[#This Row],[A5]:[A6]])),"")</f>
        <v>10.000000000000002</v>
      </c>
      <c r="P124" s="20" t="str">
        <f>IFERROR(IF(Tabela1[[#This Row],[STATUS]]="INATIVO","INATIVO",IF(Tabela1[[#This Row],[STATUS]]="QRT","INATIVO",IF(Tabela1[[#This Row],[OPERACIONAL]]&gt;7.99999,"BOM","RUIM"))),"")</f>
        <v>BOM</v>
      </c>
      <c r="Q124" s="21" t="s">
        <v>667</v>
      </c>
      <c r="R124" s="12" t="s">
        <v>315</v>
      </c>
      <c r="S124" s="12" t="s">
        <v>11</v>
      </c>
      <c r="T124" s="12" t="s">
        <v>315</v>
      </c>
      <c r="U12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24" s="12">
        <f>IF(AND(Tabela1[[#This Row],[SETOR]]="UTI",Tabela1[[#This Row],[M]]&lt;&gt;""),1,IF(AND(Tabela1[[#This Row],[SETOR]]="UTI (RJ)",Tabela1[[#This Row],[M]]&lt;&gt;""),1.5,0))</f>
        <v>0</v>
      </c>
      <c r="X124" s="12">
        <f>IF(AND(Tabela1[[#This Row],[SETOR]]="UTI",Tabela1[[#This Row],[PA2]]&lt;&gt;""),1,IF(AND(Tabela1[[#This Row],[SETOR]]="UTI (RJ)",Tabela1[[#This Row],[PA2]]&lt;&gt;""),0,0))</f>
        <v>0</v>
      </c>
      <c r="Y124" s="12">
        <f>IF(AND(Tabela1[[#This Row],[SETOR]]="UTI",Tabela1[[#This Row],[C]]&lt;&gt;""),1,IF(AND(Tabela1[[#This Row],[SETOR]]="UTI (RJ)",Tabela1[[#This Row],[C]]&lt;&gt;""),1.5,0))</f>
        <v>0</v>
      </c>
      <c r="Z124" s="12">
        <f>IF(AND(Tabela1[[#This Row],[SETOR]]="UTI",Tabela1[[#This Row],[PL]]&lt;&gt;""),1,IF(AND(Tabela1[[#This Row],[SETOR]]="UTI (RJ)",Tabela1[[#This Row],[PL]]&lt;&gt;""),1,0))</f>
        <v>0</v>
      </c>
      <c r="AA124" s="21" t="str">
        <f>IFERROR(VLOOKUP(Tabela1[[#This Row],[MÊS]]&amp;Tabela1[[#This Row],[MATRICULA]]&amp;"1"&amp;Tabela1[[#This Row],[SETOR]]&amp;"PADRÃO",BD!B:AF,31,0),"")</f>
        <v/>
      </c>
      <c r="AB124" s="21" t="str">
        <f>IFERROR(VLOOKUP(Tabela1[[#This Row],[MÊS]]&amp;Tabela1[[#This Row],[MATRICULA]]&amp;"2"&amp;Tabela1[[#This Row],[SETOR]]&amp;"PADRÃO",BD!B:AF,31,0),"")</f>
        <v/>
      </c>
      <c r="AC124" s="21" t="str">
        <f>IFERROR(VLOOKUP(Tabela1[[#This Row],[MÊS]]&amp;Tabela1[[#This Row],[MATRICULA]]&amp;"3"&amp;Tabela1[[#This Row],[SETOR]]&amp;"PADRÃO",BD!B:AF,31,0),"")</f>
        <v/>
      </c>
      <c r="AD124" s="21" t="str">
        <f>IFERROR(VLOOKUP(Tabela1[[#This Row],[MÊS]]&amp;Tabela1[[#This Row],[MATRICULA]]&amp;"4"&amp;Tabela1[[#This Row],[SETOR]]&amp;"PADRÃO",BD!B:AF,25,0),"")</f>
        <v/>
      </c>
      <c r="AE124" s="21">
        <f>IFERROR(VLOOKUP(Tabela1[[#This Row],[MÊS]]&amp;Tabela1[[#This Row],[MATRICULA]]&amp;"5"&amp;Tabela1[[#This Row],[SETOR]]&amp;"PADRÃO",BD!B:AF,31,0),"")</f>
        <v>10.000000000000002</v>
      </c>
      <c r="AF124" s="21">
        <f>IFERROR(VLOOKUP(Tabela1[[#This Row],[MÊS]]&amp;Tabela1[[#This Row],[MATRICULA]]&amp;"6"&amp;Tabela1[[#This Row],[SETOR]]&amp;"PADRÃO",BD!B:AF,31,0),"")</f>
        <v>10.000000000000002</v>
      </c>
      <c r="AG124" s="21" t="str">
        <f>IFERROR(VLOOKUP(Tabela1[[#This Row],[MÊS]]&amp;Tabela1[[#This Row],[MATRICULA]]&amp;"7"&amp;Tabela1[[#This Row],[SETOR]]&amp;"PADRÃO",BD!B:AF,31,0),"")</f>
        <v/>
      </c>
      <c r="AH124" s="21" t="str">
        <f>IFERROR(VLOOKUP(Tabela1[[#This Row],[MÊS]]&amp;Tabela1[[#This Row],[ID]]&amp;Tabela1[[#This Row],[MATRICULA]]&amp;"Receptiva"&amp;Tabela1[[#This Row],[SETOR]],BD!A:AF,31,0),"")</f>
        <v/>
      </c>
      <c r="AI124" s="21" t="str">
        <f>IFERROR(VLOOKUP(Tabela1[[#This Row],[MÊS]]&amp;Tabela1[[#This Row],[ID]]&amp;Tabela1[[#This Row],[MATRICULA]]&amp;"Receptiva 2"&amp;Tabela1[[#This Row],[SETOR]],BD!A:AF,31,0),"")</f>
        <v/>
      </c>
      <c r="AJ124" s="21" t="str">
        <f>IFERROR(VLOOKUP(Tabela1[[#This Row],[MÊS]]&amp;Tabela1[[#This Row],[ID]]&amp;Tabela1[[#This Row],[MATRICULA]]&amp;"Receptiva 3"&amp;Tabela1[[#This Row],[SETOR]],BD!A:AF,31,0),"")</f>
        <v/>
      </c>
      <c r="AK124" s="21" t="str">
        <f>IFERROR(VLOOKUP(Tabela1[[#This Row],[MÊS]]&amp;Tabela1[[#This Row],[ID]]&amp;Tabela1[[#This Row],[MATRICULA]]&amp;"Receptiva 4"&amp;Tabela1[[#This Row],[SETOR]],BD!A:AF,31,0),"")</f>
        <v/>
      </c>
      <c r="AL124" s="21" t="str">
        <f>IFERROR(VLOOKUP(Tabela1[[#This Row],[MÊS]]&amp;Tabela1[[#This Row],[MATRICULA]]&amp;"Motorista"&amp;Tabela1[[#This Row],[SETOR]],BD!A:AF,31,0),"")</f>
        <v/>
      </c>
      <c r="AM124" s="21" t="str">
        <f>IFERROR(VLOOKUP(Tabela1[[#This Row],[MÊS]]&amp;Tabela1[[#This Row],[ID]]&amp;Tabela1[[#This Row],[MATRICULA]]&amp;"Motorista 2"&amp;Tabela1[[#This Row],[SETOR]],BD!A:AF,26,0),"")</f>
        <v/>
      </c>
      <c r="AN124" s="21" t="str">
        <f>IFERROR(VLOOKUP(Tabela1[[#This Row],[MÊS]]&amp;Tabela1[[#This Row],[ID]]&amp;Tabela1[[#This Row],[MATRICULA]]&amp;"Motorista 3"&amp;Tabela1[[#This Row],[SETOR]],BD!A:AF,26,0),"")</f>
        <v/>
      </c>
      <c r="AO124" s="21" t="str">
        <f>IFERROR(VLOOKUP(Tabela1[[#This Row],[MÊS]]&amp;Tabela1[[#This Row],[ID]]&amp;Tabela1[[#This Row],[MATRICULA]]&amp;"Motorista 4"&amp;Tabela1[[#This Row],[SETOR]],BD!A:AF,26,0),"")</f>
        <v/>
      </c>
      <c r="AP124" s="21" t="str">
        <f>IFERROR(VLOOKUP(Tabela1[[#This Row],[MÊS]]&amp;Tabela1[[#This Row],[MATRICULA]]&amp;"Ponto de Apoio"&amp;Tabela1[[#This Row],[SETOR]],BD!A:AF,31,0),"")</f>
        <v/>
      </c>
      <c r="AQ124" s="21" t="str">
        <f>IFERROR(VLOOKUP(Tabela1[[#This Row],[MÊS]]&amp;Tabela1[[#This Row],[ID]]&amp;Tabela1[[#This Row],[MATRICULA]]&amp;"Ponto de Apoio 2"&amp;Tabela1[[#This Row],[SETOR]],BD!A:AF,26,0),"")</f>
        <v/>
      </c>
      <c r="AR124" s="36" t="str">
        <f>IFERROR(VLOOKUP(Tabela1[[#This Row],[MÊS]]&amp;Tabela1[[#This Row],[ID]]&amp;Tabela1[[#This Row],[MATRICULA]]&amp;"Ponto de Apoio 3"&amp;Tabela1[[#This Row],[SETOR]],BD!A:AF,26,0),"")</f>
        <v/>
      </c>
      <c r="AS124" s="36" t="str">
        <f>IFERROR(VLOOKUP(Tabela1[[#This Row],[MÊS]]&amp;Tabela1[[#This Row],[ID]]&amp;Tabela1[[#This Row],[MATRICULA]]&amp;"Ponto de Apoio 4"&amp;Tabela1[[#This Row],[SETOR]],BD!A:AF,26,0),"")</f>
        <v/>
      </c>
      <c r="AT124" s="21" t="str">
        <f>IFERROR(VLOOKUP(Tabela1[[#This Row],[MÊS]]&amp;Tabela1[[#This Row],[MATRICULA]]&amp;"Cliente"&amp;Tabela1[[#This Row],[SETOR]],BD!A:AF,31,0),"")</f>
        <v/>
      </c>
      <c r="AU124" s="21" t="str">
        <f>IFERROR(VLOOKUP(Tabela1[[#This Row],[MÊS]]&amp;Tabela1[[#This Row],[ID]]&amp;Tabela1[[#This Row],[MATRICULA]]&amp;"Cliente 2"&amp;Tabela1[[#This Row],[SETOR]],BD!A:AF,26,0),"")</f>
        <v/>
      </c>
      <c r="AX124" s="21" t="str">
        <f>IFERROR(VLOOKUP(Tabela1[[#This Row],[MÊS]]&amp;Tabela1[[#This Row],[MATRICULA]]&amp;"Policia"&amp;Tabela1[[#This Row],[SETOR]],BD!A:AF,31,0),"")</f>
        <v/>
      </c>
      <c r="AY124" s="21" t="str">
        <f>IFERROR(VLOOKUP(Tabela1[[#This Row],[MÊS]]&amp;Tabela1[[#This Row],[ID]]&amp;Tabela1[[#This Row],[MATRICULA]]&amp;"Policia 2"&amp;Tabela1[[#This Row],[SETOR]],BD!A:AF,26,0),"")</f>
        <v/>
      </c>
      <c r="AZ124" s="36" t="str">
        <f>IFERROR(VLOOKUP(Tabela1[[#This Row],[MÊS]]&amp;Tabela1[[#This Row],[ID]]&amp;Tabela1[[#This Row],[MATRICULA]]&amp;"Policia 3"&amp;Tabela1[[#This Row],[SETOR]],BD!A:AF,26,0),"")</f>
        <v/>
      </c>
      <c r="BA124" s="36" t="str">
        <f>IFERROR(VLOOKUP(Tabela1[[#This Row],[MÊS]]&amp;Tabela1[[#This Row],[ID]]&amp;Tabela1[[#This Row],[MATRICULA]]&amp;"Policia 4"&amp;Tabela1[[#This Row],[SETOR]],BD!A:AF,26,0),"")</f>
        <v/>
      </c>
      <c r="BB12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4" s="21" t="str">
        <f>IFERROR(AVERAGE(Tabela1[[#This Row],[M]:[M4]]),"")</f>
        <v/>
      </c>
      <c r="BD124" s="21" t="str">
        <f>IFERROR(AVERAGE(Tabela1[[#This Row],[C]:[C4]]),"")</f>
        <v/>
      </c>
      <c r="BE124" s="21" t="str">
        <f>IFERROR(AVERAGE(Tabela1[[#This Row],[PA2]:[PA 4]]),"")</f>
        <v/>
      </c>
      <c r="BF124" s="21" t="str">
        <f>IFERROR(AVERAGE(Tabela1[[#This Row],[PL]:[PL4]]),"")</f>
        <v/>
      </c>
      <c r="BG124" s="35" t="str">
        <f>IFERROR(VLOOKUP(Tabela1[[#This Row],[MÊS]]&amp;Tabela1[[#This Row],[MATRICULA]],#REF!,2,0),"")</f>
        <v/>
      </c>
      <c r="BH124" s="35" t="str">
        <f>IFERROR(VLOOKUP(Tabela1[[#This Row],[MÊS]]&amp;Tabela1[[#This Row],[MATRICULA]],#REF!,2,0),"")</f>
        <v/>
      </c>
      <c r="BI124" s="35" t="str">
        <f>IFERROR(VLOOKUP(Tabela1[[#This Row],[MÊS]]&amp;Tabela1[[#This Row],[MATRICULA]],#REF!,2,0),"")</f>
        <v/>
      </c>
      <c r="BJ124" s="35" t="str">
        <f>IFERROR(VLOOKUP(Tabela1[[#This Row],[MÊS]]&amp;Tabela1[[#This Row],[MATRICULA]],#REF!,2,0),"")</f>
        <v/>
      </c>
      <c r="BK124" s="35" t="str">
        <f>IFERROR(VLOOKUP(Tabela1[[#This Row],[MÊS]]&amp;Tabela1[[#This Row],[MATRICULA]],#REF!,2,0),"")</f>
        <v/>
      </c>
      <c r="BL124" s="21">
        <f>COUNTIF(Tabela1[[#This Row],[MOT2]:[RECEPTIVA]],"NÃO ENCONTRADA")</f>
        <v>0</v>
      </c>
      <c r="BM124" s="135" t="str">
        <f>IFERROR(VLOOKUP(Tabela1[[#This Row],[MÊS]]&amp;Tabela1[[#This Row],[ID]]&amp;Tabela1[[#This Row],[MATRICULA]]&amp;"Motorista"&amp;Tabela1[[#This Row],[SETOR]],BD!A:AF,13,0),"")</f>
        <v/>
      </c>
      <c r="BN124" s="135" t="str">
        <f>IFERROR(VLOOKUP(Tabela1[[#This Row],[MÊS]]&amp;Tabela1[[#This Row],[ID]]&amp;Tabela1[[#This Row],[MATRICULA]]&amp;"Motorista 2"&amp;Tabela1[[#This Row],[SETOR]],BD!A:AF,13,0),"")</f>
        <v/>
      </c>
      <c r="BO124" s="135" t="str">
        <f>IFERROR(VLOOKUP(Tabela1[[#This Row],[MÊS]]&amp;Tabela1[[#This Row],[ID]]&amp;Tabela1[[#This Row],[MATRICULA]]&amp;"Motorista 3"&amp;Tabela1[[#This Row],[SETOR]],BD!A:AF,13,0),"")</f>
        <v/>
      </c>
      <c r="BP124" s="135" t="str">
        <f>IFERROR(VLOOKUP(Tabela1[[#This Row],[MÊS]]&amp;Tabela1[[#This Row],[ID]]&amp;Tabela1[[#This Row],[MATRICULA]]&amp;"Motorista 4"&amp;Tabela1[[#This Row],[SETOR]],BD!A:AF,13,0),"")</f>
        <v/>
      </c>
      <c r="BQ124" s="135" t="str">
        <f>IFERROR(AVERAGE(Tabela1[[#This Row],[DMOT]:[DMOT4]]),"")</f>
        <v/>
      </c>
      <c r="BR124" s="135" t="str">
        <f>IFERROR(VLOOKUP(Tabela1[[#This Row],[MÊS]]&amp;Tabela1[[#This Row],[ID]]&amp;Tabela1[[#This Row],[MATRICULA]]&amp;"Ponto de Apoio"&amp;Tabela1[[#This Row],[SETOR]],BD!A:AF,13,0),"")</f>
        <v/>
      </c>
      <c r="BS124" s="135" t="str">
        <f>IFERROR(VLOOKUP(Tabela1[[#This Row],[MÊS]]&amp;Tabela1[[#This Row],[ID]]&amp;Tabela1[[#This Row],[MATRICULA]]&amp;"Ponto de Apoio 2"&amp;Tabela1[[#This Row],[SETOR]],BD!A:AF,13,0),"")</f>
        <v/>
      </c>
      <c r="BT124" s="135" t="str">
        <f>IFERROR(VLOOKUP(Tabela1[[#This Row],[MÊS]]&amp;Tabela1[[#This Row],[ID]]&amp;Tabela1[[#This Row],[MATRICULA]]&amp;"Ponto de Apoio 3"&amp;Tabela1[[#This Row],[SETOR]],BD!A:AF,13,0),"")</f>
        <v/>
      </c>
      <c r="BU124" s="135" t="str">
        <f>IFERROR(VLOOKUP(Tabela1[[#This Row],[MÊS]]&amp;Tabela1[[#This Row],[ID]]&amp;Tabela1[[#This Row],[MATRICULA]]&amp;"Ponto de Apoio 4"&amp;Tabela1[[#This Row],[SETOR]],BD!A:AF,13,0),"")</f>
        <v/>
      </c>
      <c r="BV124" s="135" t="str">
        <f>IFERROR(AVERAGE(Tabela1[[#This Row],[DPA]:[DPA 4]]),"")</f>
        <v/>
      </c>
      <c r="BW124" s="135" t="str">
        <f>IFERROR(VLOOKUP(Tabela1[[#This Row],[MÊS]]&amp;Tabela1[[#This Row],[ID]]&amp;Tabela1[[#This Row],[MATRICULA]]&amp;"Cliente"&amp;Tabela1[[#This Row],[SETOR]],BD!A:AF,13,0),"")</f>
        <v/>
      </c>
      <c r="BX124" s="135" t="str">
        <f>IFERROR(VLOOKUP(Tabela1[[#This Row],[MÊS]]&amp;Tabela1[[#This Row],[ID]]&amp;Tabela1[[#This Row],[MATRICULA]]&amp;"cliente 2"&amp;Tabela1[[#This Row],[SETOR]],BD!A:AF,13,0),"")</f>
        <v/>
      </c>
      <c r="BY124" s="135" t="str">
        <f>IFERROR(VLOOKUP(Tabela1[[#This Row],[MÊS]]&amp;Tabela1[[#This Row],[ID]]&amp;Tabela1[[#This Row],[MATRICULA]]&amp;"cliente 3"&amp;Tabela1[[#This Row],[SETOR]],BD!A:AF,13,0),"")</f>
        <v/>
      </c>
      <c r="BZ124" s="135" t="str">
        <f>IFERROR(VLOOKUP(Tabela1[[#This Row],[MÊS]]&amp;Tabela1[[#This Row],[ID]]&amp;Tabela1[[#This Row],[MATRICULA]]&amp;"cliente 4"&amp;Tabela1[[#This Row],[SETOR]],BD!A:AF,13,0),"")</f>
        <v/>
      </c>
      <c r="CA124" s="135" t="str">
        <f>IFERROR(AVERAGE(Tabela1[[#This Row],[DCLI]:[DCLI 4]]),"")</f>
        <v/>
      </c>
      <c r="CB124" s="135" t="str">
        <f>IFERROR(VLOOKUP(Tabela1[[#This Row],[MÊS]]&amp;Tabela1[[#This Row],[ID]]&amp;Tabela1[[#This Row],[MATRICULA]]&amp;"Policia"&amp;Tabela1[[#This Row],[SETOR]],BD!A:AF,13,0),"")</f>
        <v/>
      </c>
      <c r="CC124" s="135" t="str">
        <f>IFERROR(VLOOKUP(Tabela1[[#This Row],[MÊS]]&amp;Tabela1[[#This Row],[ID]]&amp;Tabela1[[#This Row],[MATRICULA]]&amp;"Policia 2"&amp;Tabela1[[#This Row],[SETOR]],BD!A:AF,13,0),"")</f>
        <v/>
      </c>
      <c r="CD124" s="135"/>
      <c r="CE124" s="135"/>
      <c r="CF124" s="135" t="str">
        <f>IFERROR((AVERAGE(Tabela1[[#This Row],[DPOL1]:[DPOL4]])),"")</f>
        <v/>
      </c>
      <c r="CG124" s="21" t="str">
        <f>IFERROR(VLOOKUP(Tabela1[[#This Row],[ID]]&amp;Tabela1[[#This Row],[MÊS]]&amp;Tabela1[[#This Row],[MATRICULA]],#REF!,2,0),"")</f>
        <v/>
      </c>
      <c r="CH124" s="21" t="str">
        <f>IFERROR(VLOOKUP(Tabela1[[#This Row],[ID]]&amp;Tabela1[[#This Row],[MÊS]]&amp;Tabela1[[#This Row],[MATRICULA]],#REF!,2,0),"")</f>
        <v/>
      </c>
      <c r="CI124" s="21" t="str">
        <f>IFERROR(VLOOKUP(Tabela1[[#This Row],[MÊS]]&amp;Tabela1[[#This Row],[MATRICULA]],#REF!,2,0),"")</f>
        <v/>
      </c>
    </row>
    <row r="125" spans="1:87">
      <c r="A125" s="12" t="str">
        <f>Tabela1[[#This Row],[MÊS]]&amp;Tabela1[[#This Row],[MATRICULA]]&amp;Tabela1[[#This Row],[ID]]</f>
        <v>JAN113288</v>
      </c>
      <c r="B125" s="12" t="str">
        <f>Tabela1[[#This Row],[MÊS]]&amp;Tabela1[[#This Row],[ID]]&amp;Tabela1[[#This Row],[MATRICULA]]&amp;Tabela1[[#This Row],[SETOR]]</f>
        <v>JAN811328LOGÍSTICA</v>
      </c>
      <c r="C125" s="130" t="e">
        <f>VLOOKUP(Tabela1[[#This Row],[MATRICULA]],'BD Campos'!A:D,5,0)</f>
        <v>#REF!</v>
      </c>
      <c r="D125" s="133" t="str">
        <f ca="1">IFERROR(SUM(TODAY()-Tabela1[[#This Row],[ADMISSÃO]]),"")</f>
        <v/>
      </c>
      <c r="E125" s="11" t="str">
        <f ca="1">IFERROR(TRUNC(Tabela1[[#This Row],[TEMPO DE CASA (DIAS)]]/30),"")</f>
        <v/>
      </c>
      <c r="F125" s="32" t="str">
        <f ca="1">IFERROR(SUM(Tabela1[[#This Row],[TEMPO DE CASA (MESES)]]/12),"")</f>
        <v/>
      </c>
      <c r="G125" s="133" t="str">
        <f ca="1">IF(Tabela1[[#This Row],[TEMPO DE CASA (DIAS)]]="","SEM DADOS",IF(Tabela1[[#This Row],[TEMPO DE CASA (DIAS)]]&gt;180,"&gt; 6 MESES","&lt; 6 MESES"))</f>
        <v>SEM DADOS</v>
      </c>
      <c r="H125" s="12" t="str">
        <f t="shared" si="12"/>
        <v>JANGeovana Meurer8</v>
      </c>
      <c r="I125" s="12" t="str">
        <f>IFERROR(VLOOKUP(Tabela1[[#This Row],[MATRICULA]],'BD Campos'!A:F,7,0),"")</f>
        <v/>
      </c>
      <c r="J125" s="11">
        <v>8</v>
      </c>
      <c r="K125" s="11" t="s">
        <v>669</v>
      </c>
      <c r="L125" s="136">
        <v>11328</v>
      </c>
      <c r="M125" s="12" t="str">
        <f>IFERROR(VLOOKUP(Tabela1[[#This Row],[MATRICULA]],'BD Campos'!A:B,2,0),"")</f>
        <v>JAMILLE SUELEM DE ALMEIDA</v>
      </c>
      <c r="N125" s="20">
        <f>IFERROR(AVERAGE(Tabela1[[#This Row],[A1]:[A4]]),"")</f>
        <v>8.11</v>
      </c>
      <c r="O125" s="20" t="str">
        <f>IFERROR(IF(Tabela1[[#This Row],[SETOR]]="RECEPTIVO","",AVERAGE(Tabela1[[#This Row],[A5]:[A6]])),"")</f>
        <v/>
      </c>
      <c r="P125" s="20" t="str">
        <f>IFERROR(IF(Tabela1[[#This Row],[STATUS]]="INATIVO","INATIVO",IF(Tabela1[[#This Row],[STATUS]]="QRT","INATIVO",IF(Tabela1[[#This Row],[OPERACIONAL]]&gt;7.99999,"BOM","RUIM"))),"")</f>
        <v>BOM</v>
      </c>
      <c r="Q125" s="21" t="s">
        <v>667</v>
      </c>
      <c r="R125" s="12" t="s">
        <v>315</v>
      </c>
      <c r="S125" s="12" t="s">
        <v>11</v>
      </c>
      <c r="T125" s="12" t="s">
        <v>315</v>
      </c>
      <c r="U12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25" s="12">
        <f>IF(AND(Tabela1[[#This Row],[SETOR]]="UTI",Tabela1[[#This Row],[M]]&lt;&gt;""),1,IF(AND(Tabela1[[#This Row],[SETOR]]="UTI (RJ)",Tabela1[[#This Row],[M]]&lt;&gt;""),1.5,0))</f>
        <v>0</v>
      </c>
      <c r="X125" s="12">
        <f>IF(AND(Tabela1[[#This Row],[SETOR]]="UTI",Tabela1[[#This Row],[PA2]]&lt;&gt;""),1,IF(AND(Tabela1[[#This Row],[SETOR]]="UTI (RJ)",Tabela1[[#This Row],[PA2]]&lt;&gt;""),0,0))</f>
        <v>0</v>
      </c>
      <c r="Y125" s="12">
        <f>IF(AND(Tabela1[[#This Row],[SETOR]]="UTI",Tabela1[[#This Row],[C]]&lt;&gt;""),1,IF(AND(Tabela1[[#This Row],[SETOR]]="UTI (RJ)",Tabela1[[#This Row],[C]]&lt;&gt;""),1.5,0))</f>
        <v>0</v>
      </c>
      <c r="Z125" s="12">
        <f>IF(AND(Tabela1[[#This Row],[SETOR]]="UTI",Tabela1[[#This Row],[PL]]&lt;&gt;""),1,IF(AND(Tabela1[[#This Row],[SETOR]]="UTI (RJ)",Tabela1[[#This Row],[PL]]&lt;&gt;""),1,0))</f>
        <v>0</v>
      </c>
      <c r="AA125" s="21">
        <f>IFERROR(VLOOKUP(Tabela1[[#This Row],[MÊS]]&amp;Tabela1[[#This Row],[MATRICULA]]&amp;"1"&amp;Tabela1[[#This Row],[SETOR]]&amp;"PADRÃO",BD!B:AF,31,0),"")</f>
        <v>8.11</v>
      </c>
      <c r="AB125" s="21">
        <f>IFERROR(VLOOKUP(Tabela1[[#This Row],[MÊS]]&amp;Tabela1[[#This Row],[MATRICULA]]&amp;"2"&amp;Tabela1[[#This Row],[SETOR]]&amp;"PADRÃO",BD!B:AF,31,0),"")</f>
        <v>8.11</v>
      </c>
      <c r="AC125" s="21" t="str">
        <f>IFERROR(VLOOKUP(Tabela1[[#This Row],[MÊS]]&amp;Tabela1[[#This Row],[MATRICULA]]&amp;"3"&amp;Tabela1[[#This Row],[SETOR]]&amp;"PADRÃO",BD!B:AF,31,0),"")</f>
        <v/>
      </c>
      <c r="AD125" s="21" t="str">
        <f>IFERROR(VLOOKUP(Tabela1[[#This Row],[MÊS]]&amp;Tabela1[[#This Row],[MATRICULA]]&amp;"4"&amp;Tabela1[[#This Row],[SETOR]]&amp;"PADRÃO",BD!B:AF,25,0),"")</f>
        <v/>
      </c>
      <c r="AE125" s="21" t="str">
        <f>IFERROR(VLOOKUP(Tabela1[[#This Row],[MÊS]]&amp;Tabela1[[#This Row],[MATRICULA]]&amp;"5"&amp;Tabela1[[#This Row],[SETOR]]&amp;"PADRÃO",BD!B:AF,31,0),"")</f>
        <v/>
      </c>
      <c r="AF125" s="21" t="str">
        <f>IFERROR(VLOOKUP(Tabela1[[#This Row],[MÊS]]&amp;Tabela1[[#This Row],[MATRICULA]]&amp;"6"&amp;Tabela1[[#This Row],[SETOR]]&amp;"PADRÃO",BD!B:AF,31,0),"")</f>
        <v/>
      </c>
      <c r="AG125" s="21" t="str">
        <f>IFERROR(VLOOKUP(Tabela1[[#This Row],[MÊS]]&amp;Tabela1[[#This Row],[MATRICULA]]&amp;"7"&amp;Tabela1[[#This Row],[SETOR]]&amp;"PADRÃO",BD!B:AF,31,0),"")</f>
        <v/>
      </c>
      <c r="AH125" s="21" t="str">
        <f>IFERROR(VLOOKUP(Tabela1[[#This Row],[MÊS]]&amp;Tabela1[[#This Row],[ID]]&amp;Tabela1[[#This Row],[MATRICULA]]&amp;"Receptiva"&amp;Tabela1[[#This Row],[SETOR]],BD!A:AF,31,0),"")</f>
        <v/>
      </c>
      <c r="AI125" s="21" t="str">
        <f>IFERROR(VLOOKUP(Tabela1[[#This Row],[MÊS]]&amp;Tabela1[[#This Row],[ID]]&amp;Tabela1[[#This Row],[MATRICULA]]&amp;"Receptiva 2"&amp;Tabela1[[#This Row],[SETOR]],BD!A:AF,31,0),"")</f>
        <v/>
      </c>
      <c r="AJ125" s="21" t="str">
        <f>IFERROR(VLOOKUP(Tabela1[[#This Row],[MÊS]]&amp;Tabela1[[#This Row],[ID]]&amp;Tabela1[[#This Row],[MATRICULA]]&amp;"Receptiva 3"&amp;Tabela1[[#This Row],[SETOR]],BD!A:AF,31,0),"")</f>
        <v/>
      </c>
      <c r="AK125" s="21" t="str">
        <f>IFERROR(VLOOKUP(Tabela1[[#This Row],[MÊS]]&amp;Tabela1[[#This Row],[ID]]&amp;Tabela1[[#This Row],[MATRICULA]]&amp;"Receptiva 4"&amp;Tabela1[[#This Row],[SETOR]],BD!A:AF,31,0),"")</f>
        <v/>
      </c>
      <c r="AL125" s="21" t="str">
        <f>IFERROR(VLOOKUP(Tabela1[[#This Row],[MÊS]]&amp;Tabela1[[#This Row],[MATRICULA]]&amp;"Motorista"&amp;Tabela1[[#This Row],[SETOR]],BD!A:AF,31,0),"")</f>
        <v/>
      </c>
      <c r="AM125" s="21" t="str">
        <f>IFERROR(VLOOKUP(Tabela1[[#This Row],[MÊS]]&amp;Tabela1[[#This Row],[ID]]&amp;Tabela1[[#This Row],[MATRICULA]]&amp;"Motorista 2"&amp;Tabela1[[#This Row],[SETOR]],BD!A:AF,26,0),"")</f>
        <v/>
      </c>
      <c r="AN125" s="21" t="str">
        <f>IFERROR(VLOOKUP(Tabela1[[#This Row],[MÊS]]&amp;Tabela1[[#This Row],[ID]]&amp;Tabela1[[#This Row],[MATRICULA]]&amp;"Motorista 3"&amp;Tabela1[[#This Row],[SETOR]],BD!A:AF,26,0),"")</f>
        <v/>
      </c>
      <c r="AO125" s="21" t="str">
        <f>IFERROR(VLOOKUP(Tabela1[[#This Row],[MÊS]]&amp;Tabela1[[#This Row],[ID]]&amp;Tabela1[[#This Row],[MATRICULA]]&amp;"Motorista 4"&amp;Tabela1[[#This Row],[SETOR]],BD!A:AF,26,0),"")</f>
        <v/>
      </c>
      <c r="AP125" s="21" t="str">
        <f>IFERROR(VLOOKUP(Tabela1[[#This Row],[MÊS]]&amp;Tabela1[[#This Row],[MATRICULA]]&amp;"Ponto de Apoio"&amp;Tabela1[[#This Row],[SETOR]],BD!A:AF,31,0),"")</f>
        <v/>
      </c>
      <c r="AQ125" s="21" t="str">
        <f>IFERROR(VLOOKUP(Tabela1[[#This Row],[MÊS]]&amp;Tabela1[[#This Row],[ID]]&amp;Tabela1[[#This Row],[MATRICULA]]&amp;"Ponto de Apoio 2"&amp;Tabela1[[#This Row],[SETOR]],BD!A:AF,26,0),"")</f>
        <v/>
      </c>
      <c r="AR125" s="36" t="str">
        <f>IFERROR(VLOOKUP(Tabela1[[#This Row],[MÊS]]&amp;Tabela1[[#This Row],[ID]]&amp;Tabela1[[#This Row],[MATRICULA]]&amp;"Ponto de Apoio 3"&amp;Tabela1[[#This Row],[SETOR]],BD!A:AF,26,0),"")</f>
        <v/>
      </c>
      <c r="AS125" s="36" t="str">
        <f>IFERROR(VLOOKUP(Tabela1[[#This Row],[MÊS]]&amp;Tabela1[[#This Row],[ID]]&amp;Tabela1[[#This Row],[MATRICULA]]&amp;"Ponto de Apoio 4"&amp;Tabela1[[#This Row],[SETOR]],BD!A:AF,26,0),"")</f>
        <v/>
      </c>
      <c r="AT125" s="21">
        <f>IFERROR(VLOOKUP(Tabela1[[#This Row],[MÊS]]&amp;Tabela1[[#This Row],[MATRICULA]]&amp;"Cliente"&amp;Tabela1[[#This Row],[SETOR]],BD!A:AF,31,0),"")</f>
        <v>0</v>
      </c>
      <c r="AU125" s="21" t="str">
        <f>IFERROR(VLOOKUP(Tabela1[[#This Row],[MÊS]]&amp;Tabela1[[#This Row],[ID]]&amp;Tabela1[[#This Row],[MATRICULA]]&amp;"Cliente 2"&amp;Tabela1[[#This Row],[SETOR]],BD!A:AF,26,0),"")</f>
        <v/>
      </c>
      <c r="AX125" s="21" t="str">
        <f>IFERROR(VLOOKUP(Tabela1[[#This Row],[MÊS]]&amp;Tabela1[[#This Row],[MATRICULA]]&amp;"Policia"&amp;Tabela1[[#This Row],[SETOR]],BD!A:AF,31,0),"")</f>
        <v/>
      </c>
      <c r="AY125" s="21" t="str">
        <f>IFERROR(VLOOKUP(Tabela1[[#This Row],[MÊS]]&amp;Tabela1[[#This Row],[ID]]&amp;Tabela1[[#This Row],[MATRICULA]]&amp;"Policia 2"&amp;Tabela1[[#This Row],[SETOR]],BD!A:AF,26,0),"")</f>
        <v/>
      </c>
      <c r="AZ125" s="36" t="str">
        <f>IFERROR(VLOOKUP(Tabela1[[#This Row],[MÊS]]&amp;Tabela1[[#This Row],[ID]]&amp;Tabela1[[#This Row],[MATRICULA]]&amp;"Policia 3"&amp;Tabela1[[#This Row],[SETOR]],BD!A:AF,26,0),"")</f>
        <v/>
      </c>
      <c r="BA125" s="36" t="str">
        <f>IFERROR(VLOOKUP(Tabela1[[#This Row],[MÊS]]&amp;Tabela1[[#This Row],[ID]]&amp;Tabela1[[#This Row],[MATRICULA]]&amp;"Policia 4"&amp;Tabela1[[#This Row],[SETOR]],BD!A:AF,26,0),"")</f>
        <v/>
      </c>
      <c r="BB12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5" s="21" t="str">
        <f>IFERROR(AVERAGE(Tabela1[[#This Row],[M]:[M4]]),"")</f>
        <v/>
      </c>
      <c r="BD125" s="21">
        <f>IFERROR(AVERAGE(Tabela1[[#This Row],[C]:[C4]]),"")</f>
        <v>0</v>
      </c>
      <c r="BE125" s="21" t="str">
        <f>IFERROR(AVERAGE(Tabela1[[#This Row],[PA2]:[PA 4]]),"")</f>
        <v/>
      </c>
      <c r="BF125" s="21" t="str">
        <f>IFERROR(AVERAGE(Tabela1[[#This Row],[PL]:[PL4]]),"")</f>
        <v/>
      </c>
      <c r="BG125" s="35" t="str">
        <f>IFERROR(VLOOKUP(Tabela1[[#This Row],[MÊS]]&amp;Tabela1[[#This Row],[MATRICULA]],#REF!,2,0),"")</f>
        <v/>
      </c>
      <c r="BH125" s="35" t="str">
        <f>IFERROR(VLOOKUP(Tabela1[[#This Row],[MÊS]]&amp;Tabela1[[#This Row],[MATRICULA]],#REF!,2,0),"")</f>
        <v/>
      </c>
      <c r="BI125" s="35" t="str">
        <f>IFERROR(VLOOKUP(Tabela1[[#This Row],[MÊS]]&amp;Tabela1[[#This Row],[MATRICULA]],#REF!,2,0),"")</f>
        <v/>
      </c>
      <c r="BJ125" s="35" t="str">
        <f>IFERROR(VLOOKUP(Tabela1[[#This Row],[MÊS]]&amp;Tabela1[[#This Row],[MATRICULA]],#REF!,2,0),"")</f>
        <v/>
      </c>
      <c r="BK125" s="35" t="str">
        <f>IFERROR(VLOOKUP(Tabela1[[#This Row],[MÊS]]&amp;Tabela1[[#This Row],[MATRICULA]],#REF!,2,0),"")</f>
        <v/>
      </c>
      <c r="BL125" s="21">
        <f>COUNTIF(Tabela1[[#This Row],[MOT2]:[RECEPTIVA]],"NÃO ENCONTRADA")</f>
        <v>0</v>
      </c>
      <c r="BM125" s="135" t="str">
        <f>IFERROR(VLOOKUP(Tabela1[[#This Row],[MÊS]]&amp;Tabela1[[#This Row],[ID]]&amp;Tabela1[[#This Row],[MATRICULA]]&amp;"Motorista"&amp;Tabela1[[#This Row],[SETOR]],BD!A:AF,13,0),"")</f>
        <v/>
      </c>
      <c r="BN125" s="135" t="str">
        <f>IFERROR(VLOOKUP(Tabela1[[#This Row],[MÊS]]&amp;Tabela1[[#This Row],[ID]]&amp;Tabela1[[#This Row],[MATRICULA]]&amp;"Motorista 2"&amp;Tabela1[[#This Row],[SETOR]],BD!A:AF,13,0),"")</f>
        <v/>
      </c>
      <c r="BO125" s="135" t="str">
        <f>IFERROR(VLOOKUP(Tabela1[[#This Row],[MÊS]]&amp;Tabela1[[#This Row],[ID]]&amp;Tabela1[[#This Row],[MATRICULA]]&amp;"Motorista 3"&amp;Tabela1[[#This Row],[SETOR]],BD!A:AF,13,0),"")</f>
        <v/>
      </c>
      <c r="BP125" s="135" t="str">
        <f>IFERROR(VLOOKUP(Tabela1[[#This Row],[MÊS]]&amp;Tabela1[[#This Row],[ID]]&amp;Tabela1[[#This Row],[MATRICULA]]&amp;"Motorista 4"&amp;Tabela1[[#This Row],[SETOR]],BD!A:AF,13,0),"")</f>
        <v/>
      </c>
      <c r="BQ125" s="135" t="str">
        <f>IFERROR(AVERAGE(Tabela1[[#This Row],[DMOT]:[DMOT4]]),"")</f>
        <v/>
      </c>
      <c r="BR125" s="135" t="str">
        <f>IFERROR(VLOOKUP(Tabela1[[#This Row],[MÊS]]&amp;Tabela1[[#This Row],[ID]]&amp;Tabela1[[#This Row],[MATRICULA]]&amp;"Ponto de Apoio"&amp;Tabela1[[#This Row],[SETOR]],BD!A:AF,13,0),"")</f>
        <v/>
      </c>
      <c r="BS125" s="135" t="str">
        <f>IFERROR(VLOOKUP(Tabela1[[#This Row],[MÊS]]&amp;Tabela1[[#This Row],[ID]]&amp;Tabela1[[#This Row],[MATRICULA]]&amp;"Ponto de Apoio 2"&amp;Tabela1[[#This Row],[SETOR]],BD!A:AF,13,0),"")</f>
        <v/>
      </c>
      <c r="BT125" s="135" t="str">
        <f>IFERROR(VLOOKUP(Tabela1[[#This Row],[MÊS]]&amp;Tabela1[[#This Row],[ID]]&amp;Tabela1[[#This Row],[MATRICULA]]&amp;"Ponto de Apoio 3"&amp;Tabela1[[#This Row],[SETOR]],BD!A:AF,13,0),"")</f>
        <v/>
      </c>
      <c r="BU125" s="135" t="str">
        <f>IFERROR(VLOOKUP(Tabela1[[#This Row],[MÊS]]&amp;Tabela1[[#This Row],[ID]]&amp;Tabela1[[#This Row],[MATRICULA]]&amp;"Ponto de Apoio 4"&amp;Tabela1[[#This Row],[SETOR]],BD!A:AF,13,0),"")</f>
        <v/>
      </c>
      <c r="BV125" s="135" t="str">
        <f>IFERROR(AVERAGE(Tabela1[[#This Row],[DPA]:[DPA 4]]),"")</f>
        <v/>
      </c>
      <c r="BW125" s="135" t="str">
        <f>IFERROR(VLOOKUP(Tabela1[[#This Row],[MÊS]]&amp;Tabela1[[#This Row],[ID]]&amp;Tabela1[[#This Row],[MATRICULA]]&amp;"Cliente"&amp;Tabela1[[#This Row],[SETOR]],BD!A:AF,13,0),"")</f>
        <v/>
      </c>
      <c r="BX125" s="135" t="str">
        <f>IFERROR(VLOOKUP(Tabela1[[#This Row],[MÊS]]&amp;Tabela1[[#This Row],[ID]]&amp;Tabela1[[#This Row],[MATRICULA]]&amp;"cliente 2"&amp;Tabela1[[#This Row],[SETOR]],BD!A:AF,13,0),"")</f>
        <v/>
      </c>
      <c r="BY125" s="135" t="str">
        <f>IFERROR(VLOOKUP(Tabela1[[#This Row],[MÊS]]&amp;Tabela1[[#This Row],[ID]]&amp;Tabela1[[#This Row],[MATRICULA]]&amp;"cliente 3"&amp;Tabela1[[#This Row],[SETOR]],BD!A:AF,13,0),"")</f>
        <v/>
      </c>
      <c r="BZ125" s="135" t="str">
        <f>IFERROR(VLOOKUP(Tabela1[[#This Row],[MÊS]]&amp;Tabela1[[#This Row],[ID]]&amp;Tabela1[[#This Row],[MATRICULA]]&amp;"cliente 4"&amp;Tabela1[[#This Row],[SETOR]],BD!A:AF,13,0),"")</f>
        <v/>
      </c>
      <c r="CA125" s="135" t="str">
        <f>IFERROR(AVERAGE(Tabela1[[#This Row],[DCLI]:[DCLI 4]]),"")</f>
        <v/>
      </c>
      <c r="CB125" s="135" t="str">
        <f>IFERROR(VLOOKUP(Tabela1[[#This Row],[MÊS]]&amp;Tabela1[[#This Row],[ID]]&amp;Tabela1[[#This Row],[MATRICULA]]&amp;"Policia"&amp;Tabela1[[#This Row],[SETOR]],BD!A:AF,13,0),"")</f>
        <v/>
      </c>
      <c r="CC125" s="135" t="str">
        <f>IFERROR(VLOOKUP(Tabela1[[#This Row],[MÊS]]&amp;Tabela1[[#This Row],[ID]]&amp;Tabela1[[#This Row],[MATRICULA]]&amp;"Policia 2"&amp;Tabela1[[#This Row],[SETOR]],BD!A:AF,13,0),"")</f>
        <v/>
      </c>
      <c r="CD125" s="135"/>
      <c r="CE125" s="135"/>
      <c r="CF125" s="135" t="str">
        <f>IFERROR((AVERAGE(Tabela1[[#This Row],[DPOL1]:[DPOL4]])),"")</f>
        <v/>
      </c>
      <c r="CG125" s="21" t="str">
        <f>IFERROR(VLOOKUP(Tabela1[[#This Row],[ID]]&amp;Tabela1[[#This Row],[MÊS]]&amp;Tabela1[[#This Row],[MATRICULA]],#REF!,2,0),"")</f>
        <v/>
      </c>
      <c r="CH125" s="21" t="str">
        <f>IFERROR(VLOOKUP(Tabela1[[#This Row],[ID]]&amp;Tabela1[[#This Row],[MÊS]]&amp;Tabela1[[#This Row],[MATRICULA]],#REF!,2,0),"")</f>
        <v/>
      </c>
      <c r="CI125" s="21" t="str">
        <f>IFERROR(VLOOKUP(Tabela1[[#This Row],[MÊS]]&amp;Tabela1[[#This Row],[MATRICULA]],#REF!,2,0),"")</f>
        <v/>
      </c>
    </row>
    <row r="126" spans="1:87">
      <c r="A126" s="12" t="str">
        <f>Tabela1[[#This Row],[MÊS]]&amp;Tabela1[[#This Row],[MATRICULA]]&amp;Tabela1[[#This Row],[ID]]</f>
        <v>JAN113939</v>
      </c>
      <c r="B126" s="12" t="str">
        <f>Tabela1[[#This Row],[MÊS]]&amp;Tabela1[[#This Row],[ID]]&amp;Tabela1[[#This Row],[MATRICULA]]&amp;Tabela1[[#This Row],[SETOR]]</f>
        <v>JAN911393LOGÍSTICA</v>
      </c>
      <c r="C126" s="130" t="e">
        <f>VLOOKUP(Tabela1[[#This Row],[MATRICULA]],'BD Campos'!A:D,5,0)</f>
        <v>#REF!</v>
      </c>
      <c r="D126" s="133" t="str">
        <f ca="1">IFERROR(SUM(TODAY()-Tabela1[[#This Row],[ADMISSÃO]]),"")</f>
        <v/>
      </c>
      <c r="E126" s="11" t="str">
        <f ca="1">IFERROR(TRUNC(Tabela1[[#This Row],[TEMPO DE CASA (DIAS)]]/30),"")</f>
        <v/>
      </c>
      <c r="F126" s="32" t="str">
        <f ca="1">IFERROR(SUM(Tabela1[[#This Row],[TEMPO DE CASA (MESES)]]/12),"")</f>
        <v/>
      </c>
      <c r="G126" s="133" t="str">
        <f ca="1">IF(Tabela1[[#This Row],[TEMPO DE CASA (DIAS)]]="","SEM DADOS",IF(Tabela1[[#This Row],[TEMPO DE CASA (DIAS)]]&gt;180,"&gt; 6 MESES","&lt; 6 MESES"))</f>
        <v>SEM DADOS</v>
      </c>
      <c r="H126" s="12" t="str">
        <f t="shared" si="12"/>
        <v>JANGeovana Meurer9</v>
      </c>
      <c r="I126" s="12" t="str">
        <f>IFERROR(VLOOKUP(Tabela1[[#This Row],[MATRICULA]],'BD Campos'!A:F,7,0),"")</f>
        <v/>
      </c>
      <c r="J126" s="11">
        <v>9</v>
      </c>
      <c r="K126" s="11" t="s">
        <v>669</v>
      </c>
      <c r="L126" s="136">
        <v>11393</v>
      </c>
      <c r="M126" s="12" t="str">
        <f>IFERROR(VLOOKUP(Tabela1[[#This Row],[MATRICULA]],'BD Campos'!A:B,2,0),"")</f>
        <v>BRYANN GOMES DA SILVA</v>
      </c>
      <c r="N126" s="20" t="str">
        <f>IFERROR(AVERAGE(Tabela1[[#This Row],[A1]:[A4]]),"")</f>
        <v/>
      </c>
      <c r="O126" s="20" t="str">
        <f>IFERROR(IF(Tabela1[[#This Row],[SETOR]]="RECEPTIVO","",AVERAGE(Tabela1[[#This Row],[A5]:[A6]])),"")</f>
        <v/>
      </c>
      <c r="P126" s="20" t="str">
        <f>IFERROR(IF(Tabela1[[#This Row],[STATUS]]="INATIVO","INATIVO",IF(Tabela1[[#This Row],[STATUS]]="QRT","INATIVO",IF(Tabela1[[#This Row],[OPERACIONAL]]&gt;7.99999,"BOM","RUIM"))),"")</f>
        <v>INATIVO</v>
      </c>
      <c r="Q126" s="21" t="s">
        <v>670</v>
      </c>
      <c r="R126" s="12" t="s">
        <v>315</v>
      </c>
      <c r="S126" s="12" t="s">
        <v>11</v>
      </c>
      <c r="T126" s="12" t="s">
        <v>315</v>
      </c>
      <c r="U12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6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26" s="12">
        <f>IF(AND(Tabela1[[#This Row],[SETOR]]="UTI",Tabela1[[#This Row],[M]]&lt;&gt;""),1,IF(AND(Tabela1[[#This Row],[SETOR]]="UTI (RJ)",Tabela1[[#This Row],[M]]&lt;&gt;""),1.5,0))</f>
        <v>0</v>
      </c>
      <c r="X126" s="12">
        <f>IF(AND(Tabela1[[#This Row],[SETOR]]="UTI",Tabela1[[#This Row],[PA2]]&lt;&gt;""),1,IF(AND(Tabela1[[#This Row],[SETOR]]="UTI (RJ)",Tabela1[[#This Row],[PA2]]&lt;&gt;""),0,0))</f>
        <v>0</v>
      </c>
      <c r="Y126" s="12">
        <f>IF(AND(Tabela1[[#This Row],[SETOR]]="UTI",Tabela1[[#This Row],[C]]&lt;&gt;""),1,IF(AND(Tabela1[[#This Row],[SETOR]]="UTI (RJ)",Tabela1[[#This Row],[C]]&lt;&gt;""),1.5,0))</f>
        <v>0</v>
      </c>
      <c r="Z126" s="12">
        <f>IF(AND(Tabela1[[#This Row],[SETOR]]="UTI",Tabela1[[#This Row],[PL]]&lt;&gt;""),1,IF(AND(Tabela1[[#This Row],[SETOR]]="UTI (RJ)",Tabela1[[#This Row],[PL]]&lt;&gt;""),1,0))</f>
        <v>0</v>
      </c>
      <c r="AA126" s="21" t="str">
        <f>IFERROR(VLOOKUP(Tabela1[[#This Row],[MÊS]]&amp;Tabela1[[#This Row],[MATRICULA]]&amp;"1"&amp;Tabela1[[#This Row],[SETOR]]&amp;"PADRÃO",BD!B:AF,31,0),"")</f>
        <v/>
      </c>
      <c r="AB126" s="21" t="str">
        <f>IFERROR(VLOOKUP(Tabela1[[#This Row],[MÊS]]&amp;Tabela1[[#This Row],[MATRICULA]]&amp;"2"&amp;Tabela1[[#This Row],[SETOR]]&amp;"PADRÃO",BD!B:AF,31,0),"")</f>
        <v/>
      </c>
      <c r="AC126" s="21" t="str">
        <f>IFERROR(VLOOKUP(Tabela1[[#This Row],[MÊS]]&amp;Tabela1[[#This Row],[MATRICULA]]&amp;"3"&amp;Tabela1[[#This Row],[SETOR]]&amp;"PADRÃO",BD!B:AF,31,0),"")</f>
        <v/>
      </c>
      <c r="AD126" s="21" t="str">
        <f>IFERROR(VLOOKUP(Tabela1[[#This Row],[MÊS]]&amp;Tabela1[[#This Row],[MATRICULA]]&amp;"4"&amp;Tabela1[[#This Row],[SETOR]]&amp;"PADRÃO",BD!B:AF,25,0),"")</f>
        <v/>
      </c>
      <c r="AE126" s="21" t="str">
        <f>IFERROR(VLOOKUP(Tabela1[[#This Row],[MÊS]]&amp;Tabela1[[#This Row],[MATRICULA]]&amp;"5"&amp;Tabela1[[#This Row],[SETOR]]&amp;"PADRÃO",BD!B:AF,31,0),"")</f>
        <v/>
      </c>
      <c r="AF126" s="21" t="str">
        <f>IFERROR(VLOOKUP(Tabela1[[#This Row],[MÊS]]&amp;Tabela1[[#This Row],[MATRICULA]]&amp;"6"&amp;Tabela1[[#This Row],[SETOR]]&amp;"PADRÃO",BD!B:AF,31,0),"")</f>
        <v/>
      </c>
      <c r="AG126" s="21" t="str">
        <f>IFERROR(VLOOKUP(Tabela1[[#This Row],[MÊS]]&amp;Tabela1[[#This Row],[MATRICULA]]&amp;"7"&amp;Tabela1[[#This Row],[SETOR]]&amp;"PADRÃO",BD!B:AF,31,0),"")</f>
        <v/>
      </c>
      <c r="AH126" s="21" t="str">
        <f>IFERROR(VLOOKUP(Tabela1[[#This Row],[MÊS]]&amp;Tabela1[[#This Row],[ID]]&amp;Tabela1[[#This Row],[MATRICULA]]&amp;"Receptiva"&amp;Tabela1[[#This Row],[SETOR]],BD!A:AF,31,0),"")</f>
        <v/>
      </c>
      <c r="AI126" s="21" t="str">
        <f>IFERROR(VLOOKUP(Tabela1[[#This Row],[MÊS]]&amp;Tabela1[[#This Row],[ID]]&amp;Tabela1[[#This Row],[MATRICULA]]&amp;"Receptiva 2"&amp;Tabela1[[#This Row],[SETOR]],BD!A:AF,31,0),"")</f>
        <v/>
      </c>
      <c r="AJ126" s="21" t="str">
        <f>IFERROR(VLOOKUP(Tabela1[[#This Row],[MÊS]]&amp;Tabela1[[#This Row],[ID]]&amp;Tabela1[[#This Row],[MATRICULA]]&amp;"Receptiva 3"&amp;Tabela1[[#This Row],[SETOR]],BD!A:AF,31,0),"")</f>
        <v/>
      </c>
      <c r="AK126" s="21" t="str">
        <f>IFERROR(VLOOKUP(Tabela1[[#This Row],[MÊS]]&amp;Tabela1[[#This Row],[ID]]&amp;Tabela1[[#This Row],[MATRICULA]]&amp;"Receptiva 4"&amp;Tabela1[[#This Row],[SETOR]],BD!A:AF,31,0),"")</f>
        <v/>
      </c>
      <c r="AL126" s="21" t="str">
        <f>IFERROR(VLOOKUP(Tabela1[[#This Row],[MÊS]]&amp;Tabela1[[#This Row],[MATRICULA]]&amp;"Motorista"&amp;Tabela1[[#This Row],[SETOR]],BD!A:AF,31,0),"")</f>
        <v/>
      </c>
      <c r="AM126" s="21" t="str">
        <f>IFERROR(VLOOKUP(Tabela1[[#This Row],[MÊS]]&amp;Tabela1[[#This Row],[ID]]&amp;Tabela1[[#This Row],[MATRICULA]]&amp;"Motorista 2"&amp;Tabela1[[#This Row],[SETOR]],BD!A:AF,26,0),"")</f>
        <v/>
      </c>
      <c r="AN126" s="21" t="str">
        <f>IFERROR(VLOOKUP(Tabela1[[#This Row],[MÊS]]&amp;Tabela1[[#This Row],[ID]]&amp;Tabela1[[#This Row],[MATRICULA]]&amp;"Motorista 3"&amp;Tabela1[[#This Row],[SETOR]],BD!A:AF,26,0),"")</f>
        <v/>
      </c>
      <c r="AO126" s="21" t="str">
        <f>IFERROR(VLOOKUP(Tabela1[[#This Row],[MÊS]]&amp;Tabela1[[#This Row],[ID]]&amp;Tabela1[[#This Row],[MATRICULA]]&amp;"Motorista 4"&amp;Tabela1[[#This Row],[SETOR]],BD!A:AF,26,0),"")</f>
        <v/>
      </c>
      <c r="AP126" s="21" t="str">
        <f>IFERROR(VLOOKUP(Tabela1[[#This Row],[MÊS]]&amp;Tabela1[[#This Row],[MATRICULA]]&amp;"Ponto de Apoio"&amp;Tabela1[[#This Row],[SETOR]],BD!A:AF,31,0),"")</f>
        <v/>
      </c>
      <c r="AQ126" s="21" t="str">
        <f>IFERROR(VLOOKUP(Tabela1[[#This Row],[MÊS]]&amp;Tabela1[[#This Row],[ID]]&amp;Tabela1[[#This Row],[MATRICULA]]&amp;"Ponto de Apoio 2"&amp;Tabela1[[#This Row],[SETOR]],BD!A:AF,26,0),"")</f>
        <v/>
      </c>
      <c r="AR126" s="36" t="str">
        <f>IFERROR(VLOOKUP(Tabela1[[#This Row],[MÊS]]&amp;Tabela1[[#This Row],[ID]]&amp;Tabela1[[#This Row],[MATRICULA]]&amp;"Ponto de Apoio 3"&amp;Tabela1[[#This Row],[SETOR]],BD!A:AF,26,0),"")</f>
        <v/>
      </c>
      <c r="AS126" s="36" t="str">
        <f>IFERROR(VLOOKUP(Tabela1[[#This Row],[MÊS]]&amp;Tabela1[[#This Row],[ID]]&amp;Tabela1[[#This Row],[MATRICULA]]&amp;"Ponto de Apoio 4"&amp;Tabela1[[#This Row],[SETOR]],BD!A:AF,26,0),"")</f>
        <v/>
      </c>
      <c r="AT126" s="21" t="str">
        <f>IFERROR(VLOOKUP(Tabela1[[#This Row],[MÊS]]&amp;Tabela1[[#This Row],[MATRICULA]]&amp;"Cliente"&amp;Tabela1[[#This Row],[SETOR]],BD!A:AF,31,0),"")</f>
        <v/>
      </c>
      <c r="AU126" s="21" t="str">
        <f>IFERROR(VLOOKUP(Tabela1[[#This Row],[MÊS]]&amp;Tabela1[[#This Row],[ID]]&amp;Tabela1[[#This Row],[MATRICULA]]&amp;"Cliente 2"&amp;Tabela1[[#This Row],[SETOR]],BD!A:AF,26,0),"")</f>
        <v/>
      </c>
      <c r="AX126" s="21" t="str">
        <f>IFERROR(VLOOKUP(Tabela1[[#This Row],[MÊS]]&amp;Tabela1[[#This Row],[MATRICULA]]&amp;"Policia"&amp;Tabela1[[#This Row],[SETOR]],BD!A:AF,31,0),"")</f>
        <v/>
      </c>
      <c r="AY126" s="21" t="str">
        <f>IFERROR(VLOOKUP(Tabela1[[#This Row],[MÊS]]&amp;Tabela1[[#This Row],[ID]]&amp;Tabela1[[#This Row],[MATRICULA]]&amp;"Policia 2"&amp;Tabela1[[#This Row],[SETOR]],BD!A:AF,26,0),"")</f>
        <v/>
      </c>
      <c r="AZ126" s="36" t="str">
        <f>IFERROR(VLOOKUP(Tabela1[[#This Row],[MÊS]]&amp;Tabela1[[#This Row],[ID]]&amp;Tabela1[[#This Row],[MATRICULA]]&amp;"Policia 3"&amp;Tabela1[[#This Row],[SETOR]],BD!A:AF,26,0),"")</f>
        <v/>
      </c>
      <c r="BA126" s="36" t="str">
        <f>IFERROR(VLOOKUP(Tabela1[[#This Row],[MÊS]]&amp;Tabela1[[#This Row],[ID]]&amp;Tabela1[[#This Row],[MATRICULA]]&amp;"Policia 4"&amp;Tabela1[[#This Row],[SETOR]],BD!A:AF,26,0),"")</f>
        <v/>
      </c>
      <c r="BB12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6" s="21" t="str">
        <f>IFERROR(AVERAGE(Tabela1[[#This Row],[M]:[M4]]),"")</f>
        <v/>
      </c>
      <c r="BD126" s="21" t="str">
        <f>IFERROR(AVERAGE(Tabela1[[#This Row],[C]:[C4]]),"")</f>
        <v/>
      </c>
      <c r="BE126" s="21" t="str">
        <f>IFERROR(AVERAGE(Tabela1[[#This Row],[PA2]:[PA 4]]),"")</f>
        <v/>
      </c>
      <c r="BF126" s="21" t="str">
        <f>IFERROR(AVERAGE(Tabela1[[#This Row],[PL]:[PL4]]),"")</f>
        <v/>
      </c>
      <c r="BG126" s="35" t="str">
        <f>IFERROR(VLOOKUP(Tabela1[[#This Row],[MÊS]]&amp;Tabela1[[#This Row],[MATRICULA]],#REF!,2,0),"")</f>
        <v/>
      </c>
      <c r="BH126" s="35" t="str">
        <f>IFERROR(VLOOKUP(Tabela1[[#This Row],[MÊS]]&amp;Tabela1[[#This Row],[MATRICULA]],#REF!,2,0),"")</f>
        <v/>
      </c>
      <c r="BI126" s="35" t="str">
        <f>IFERROR(VLOOKUP(Tabela1[[#This Row],[MÊS]]&amp;Tabela1[[#This Row],[MATRICULA]],#REF!,2,0),"")</f>
        <v/>
      </c>
      <c r="BJ126" s="35" t="str">
        <f>IFERROR(VLOOKUP(Tabela1[[#This Row],[MÊS]]&amp;Tabela1[[#This Row],[MATRICULA]],#REF!,2,0),"")</f>
        <v/>
      </c>
      <c r="BK126" s="35" t="str">
        <f>IFERROR(VLOOKUP(Tabela1[[#This Row],[MÊS]]&amp;Tabela1[[#This Row],[MATRICULA]],#REF!,2,0),"")</f>
        <v/>
      </c>
      <c r="BL126" s="21">
        <f>COUNTIF(Tabela1[[#This Row],[MOT2]:[RECEPTIVA]],"NÃO ENCONTRADA")</f>
        <v>0</v>
      </c>
      <c r="BM126" s="135" t="str">
        <f>IFERROR(VLOOKUP(Tabela1[[#This Row],[MÊS]]&amp;Tabela1[[#This Row],[ID]]&amp;Tabela1[[#This Row],[MATRICULA]]&amp;"Motorista"&amp;Tabela1[[#This Row],[SETOR]],BD!A:AF,13,0),"")</f>
        <v/>
      </c>
      <c r="BN126" s="135" t="str">
        <f>IFERROR(VLOOKUP(Tabela1[[#This Row],[MÊS]]&amp;Tabela1[[#This Row],[ID]]&amp;Tabela1[[#This Row],[MATRICULA]]&amp;"Motorista 2"&amp;Tabela1[[#This Row],[SETOR]],BD!A:AF,13,0),"")</f>
        <v/>
      </c>
      <c r="BO126" s="135" t="str">
        <f>IFERROR(VLOOKUP(Tabela1[[#This Row],[MÊS]]&amp;Tabela1[[#This Row],[ID]]&amp;Tabela1[[#This Row],[MATRICULA]]&amp;"Motorista 3"&amp;Tabela1[[#This Row],[SETOR]],BD!A:AF,13,0),"")</f>
        <v/>
      </c>
      <c r="BP126" s="135" t="str">
        <f>IFERROR(VLOOKUP(Tabela1[[#This Row],[MÊS]]&amp;Tabela1[[#This Row],[ID]]&amp;Tabela1[[#This Row],[MATRICULA]]&amp;"Motorista 4"&amp;Tabela1[[#This Row],[SETOR]],BD!A:AF,13,0),"")</f>
        <v/>
      </c>
      <c r="BQ126" s="135" t="str">
        <f>IFERROR(AVERAGE(Tabela1[[#This Row],[DMOT]:[DMOT4]]),"")</f>
        <v/>
      </c>
      <c r="BR126" s="135" t="str">
        <f>IFERROR(VLOOKUP(Tabela1[[#This Row],[MÊS]]&amp;Tabela1[[#This Row],[ID]]&amp;Tabela1[[#This Row],[MATRICULA]]&amp;"Ponto de Apoio"&amp;Tabela1[[#This Row],[SETOR]],BD!A:AF,13,0),"")</f>
        <v/>
      </c>
      <c r="BS126" s="135" t="str">
        <f>IFERROR(VLOOKUP(Tabela1[[#This Row],[MÊS]]&amp;Tabela1[[#This Row],[ID]]&amp;Tabela1[[#This Row],[MATRICULA]]&amp;"Ponto de Apoio 2"&amp;Tabela1[[#This Row],[SETOR]],BD!A:AF,13,0),"")</f>
        <v/>
      </c>
      <c r="BT126" s="135" t="str">
        <f>IFERROR(VLOOKUP(Tabela1[[#This Row],[MÊS]]&amp;Tabela1[[#This Row],[ID]]&amp;Tabela1[[#This Row],[MATRICULA]]&amp;"Ponto de Apoio 3"&amp;Tabela1[[#This Row],[SETOR]],BD!A:AF,13,0),"")</f>
        <v/>
      </c>
      <c r="BU126" s="135" t="str">
        <f>IFERROR(VLOOKUP(Tabela1[[#This Row],[MÊS]]&amp;Tabela1[[#This Row],[ID]]&amp;Tabela1[[#This Row],[MATRICULA]]&amp;"Ponto de Apoio 4"&amp;Tabela1[[#This Row],[SETOR]],BD!A:AF,13,0),"")</f>
        <v/>
      </c>
      <c r="BV126" s="135" t="str">
        <f>IFERROR(AVERAGE(Tabela1[[#This Row],[DPA]:[DPA 4]]),"")</f>
        <v/>
      </c>
      <c r="BW126" s="135" t="str">
        <f>IFERROR(VLOOKUP(Tabela1[[#This Row],[MÊS]]&amp;Tabela1[[#This Row],[ID]]&amp;Tabela1[[#This Row],[MATRICULA]]&amp;"Cliente"&amp;Tabela1[[#This Row],[SETOR]],BD!A:AF,13,0),"")</f>
        <v/>
      </c>
      <c r="BX126" s="135" t="str">
        <f>IFERROR(VLOOKUP(Tabela1[[#This Row],[MÊS]]&amp;Tabela1[[#This Row],[ID]]&amp;Tabela1[[#This Row],[MATRICULA]]&amp;"cliente 2"&amp;Tabela1[[#This Row],[SETOR]],BD!A:AF,13,0),"")</f>
        <v/>
      </c>
      <c r="BY126" s="135" t="str">
        <f>IFERROR(VLOOKUP(Tabela1[[#This Row],[MÊS]]&amp;Tabela1[[#This Row],[ID]]&amp;Tabela1[[#This Row],[MATRICULA]]&amp;"cliente 3"&amp;Tabela1[[#This Row],[SETOR]],BD!A:AF,13,0),"")</f>
        <v/>
      </c>
      <c r="BZ126" s="135" t="str">
        <f>IFERROR(VLOOKUP(Tabela1[[#This Row],[MÊS]]&amp;Tabela1[[#This Row],[ID]]&amp;Tabela1[[#This Row],[MATRICULA]]&amp;"cliente 4"&amp;Tabela1[[#This Row],[SETOR]],BD!A:AF,13,0),"")</f>
        <v/>
      </c>
      <c r="CA126" s="135" t="str">
        <f>IFERROR(AVERAGE(Tabela1[[#This Row],[DCLI]:[DCLI 4]]),"")</f>
        <v/>
      </c>
      <c r="CB126" s="135" t="str">
        <f>IFERROR(VLOOKUP(Tabela1[[#This Row],[MÊS]]&amp;Tabela1[[#This Row],[ID]]&amp;Tabela1[[#This Row],[MATRICULA]]&amp;"Policia"&amp;Tabela1[[#This Row],[SETOR]],BD!A:AF,13,0),"")</f>
        <v/>
      </c>
      <c r="CC126" s="135" t="str">
        <f>IFERROR(VLOOKUP(Tabela1[[#This Row],[MÊS]]&amp;Tabela1[[#This Row],[ID]]&amp;Tabela1[[#This Row],[MATRICULA]]&amp;"Policia 2"&amp;Tabela1[[#This Row],[SETOR]],BD!A:AF,13,0),"")</f>
        <v/>
      </c>
      <c r="CD126" s="135"/>
      <c r="CE126" s="135"/>
      <c r="CF126" s="135" t="str">
        <f>IFERROR((AVERAGE(Tabela1[[#This Row],[DPOL1]:[DPOL4]])),"")</f>
        <v/>
      </c>
      <c r="CG126" s="21" t="str">
        <f>IFERROR(VLOOKUP(Tabela1[[#This Row],[ID]]&amp;Tabela1[[#This Row],[MÊS]]&amp;Tabela1[[#This Row],[MATRICULA]],#REF!,2,0),"")</f>
        <v/>
      </c>
      <c r="CH126" s="21" t="str">
        <f>IFERROR(VLOOKUP(Tabela1[[#This Row],[ID]]&amp;Tabela1[[#This Row],[MÊS]]&amp;Tabela1[[#This Row],[MATRICULA]],#REF!,2,0),"")</f>
        <v/>
      </c>
      <c r="CI126" s="21" t="str">
        <f>IFERROR(VLOOKUP(Tabela1[[#This Row],[MÊS]]&amp;Tabela1[[#This Row],[MATRICULA]],#REF!,2,0),"")</f>
        <v/>
      </c>
    </row>
    <row r="127" spans="1:87">
      <c r="A127" s="12" t="str">
        <f>Tabela1[[#This Row],[MÊS]]&amp;Tabela1[[#This Row],[MATRICULA]]&amp;Tabela1[[#This Row],[ID]]</f>
        <v>JAN1140610</v>
      </c>
      <c r="B127" s="12" t="str">
        <f>Tabela1[[#This Row],[MÊS]]&amp;Tabela1[[#This Row],[ID]]&amp;Tabela1[[#This Row],[MATRICULA]]&amp;Tabela1[[#This Row],[SETOR]]</f>
        <v>JAN1011406LOGÍSTICA</v>
      </c>
      <c r="C127" s="130" t="e">
        <f>VLOOKUP(Tabela1[[#This Row],[MATRICULA]],'BD Campos'!A:D,5,0)</f>
        <v>#REF!</v>
      </c>
      <c r="D127" s="133" t="str">
        <f ca="1">IFERROR(SUM(TODAY()-Tabela1[[#This Row],[ADMISSÃO]]),"")</f>
        <v/>
      </c>
      <c r="E127" s="11" t="str">
        <f ca="1">IFERROR(TRUNC(Tabela1[[#This Row],[TEMPO DE CASA (DIAS)]]/30),"")</f>
        <v/>
      </c>
      <c r="F127" s="32" t="str">
        <f ca="1">IFERROR(SUM(Tabela1[[#This Row],[TEMPO DE CASA (MESES)]]/12),"")</f>
        <v/>
      </c>
      <c r="G127" s="133" t="str">
        <f ca="1">IF(Tabela1[[#This Row],[TEMPO DE CASA (DIAS)]]="","SEM DADOS",IF(Tabela1[[#This Row],[TEMPO DE CASA (DIAS)]]&gt;180,"&gt; 6 MESES","&lt; 6 MESES"))</f>
        <v>SEM DADOS</v>
      </c>
      <c r="H127" s="12" t="str">
        <f t="shared" si="12"/>
        <v>JANGeovana Meurer10</v>
      </c>
      <c r="I127" s="12" t="str">
        <f>IFERROR(VLOOKUP(Tabela1[[#This Row],[MATRICULA]],'BD Campos'!A:F,7,0),"")</f>
        <v/>
      </c>
      <c r="J127" s="11">
        <v>10</v>
      </c>
      <c r="K127" s="11" t="s">
        <v>669</v>
      </c>
      <c r="L127" s="136">
        <v>11406</v>
      </c>
      <c r="M127" s="12" t="str">
        <f>IFERROR(VLOOKUP(Tabela1[[#This Row],[MATRICULA]],'BD Campos'!A:B,2,0),"")</f>
        <v>CAMILA FLORINDO REINERT</v>
      </c>
      <c r="N127" s="20" t="str">
        <f>IFERROR(AVERAGE(Tabela1[[#This Row],[A1]:[A4]]),"")</f>
        <v/>
      </c>
      <c r="O127" s="20" t="str">
        <f>IFERROR(IF(Tabela1[[#This Row],[SETOR]]="RECEPTIVO","",AVERAGE(Tabela1[[#This Row],[A5]:[A6]])),"")</f>
        <v/>
      </c>
      <c r="P127" s="20" t="str">
        <f>IFERROR(IF(Tabela1[[#This Row],[STATUS]]="INATIVO","INATIVO",IF(Tabela1[[#This Row],[STATUS]]="QRT","INATIVO",IF(Tabela1[[#This Row],[OPERACIONAL]]&gt;7.99999,"BOM","RUIM"))),"")</f>
        <v>INATIVO</v>
      </c>
      <c r="Q127" s="21" t="s">
        <v>670</v>
      </c>
      <c r="R127" s="12" t="s">
        <v>315</v>
      </c>
      <c r="S127" s="12" t="s">
        <v>11</v>
      </c>
      <c r="T127" s="12" t="s">
        <v>315</v>
      </c>
      <c r="U12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7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27" s="12">
        <f>IF(AND(Tabela1[[#This Row],[SETOR]]="UTI",Tabela1[[#This Row],[M]]&lt;&gt;""),1,IF(AND(Tabela1[[#This Row],[SETOR]]="UTI (RJ)",Tabela1[[#This Row],[M]]&lt;&gt;""),1.5,0))</f>
        <v>0</v>
      </c>
      <c r="X127" s="12">
        <f>IF(AND(Tabela1[[#This Row],[SETOR]]="UTI",Tabela1[[#This Row],[PA2]]&lt;&gt;""),1,IF(AND(Tabela1[[#This Row],[SETOR]]="UTI (RJ)",Tabela1[[#This Row],[PA2]]&lt;&gt;""),0,0))</f>
        <v>0</v>
      </c>
      <c r="Y127" s="12">
        <f>IF(AND(Tabela1[[#This Row],[SETOR]]="UTI",Tabela1[[#This Row],[C]]&lt;&gt;""),1,IF(AND(Tabela1[[#This Row],[SETOR]]="UTI (RJ)",Tabela1[[#This Row],[C]]&lt;&gt;""),1.5,0))</f>
        <v>0</v>
      </c>
      <c r="Z127" s="12">
        <f>IF(AND(Tabela1[[#This Row],[SETOR]]="UTI",Tabela1[[#This Row],[PL]]&lt;&gt;""),1,IF(AND(Tabela1[[#This Row],[SETOR]]="UTI (RJ)",Tabela1[[#This Row],[PL]]&lt;&gt;""),1,0))</f>
        <v>0</v>
      </c>
      <c r="AA127" s="21" t="str">
        <f>IFERROR(VLOOKUP(Tabela1[[#This Row],[MÊS]]&amp;Tabela1[[#This Row],[MATRICULA]]&amp;"1"&amp;Tabela1[[#This Row],[SETOR]]&amp;"PADRÃO",BD!B:AF,31,0),"")</f>
        <v/>
      </c>
      <c r="AB127" s="21" t="str">
        <f>IFERROR(VLOOKUP(Tabela1[[#This Row],[MÊS]]&amp;Tabela1[[#This Row],[MATRICULA]]&amp;"2"&amp;Tabela1[[#This Row],[SETOR]]&amp;"PADRÃO",BD!B:AF,31,0),"")</f>
        <v/>
      </c>
      <c r="AC127" s="21" t="str">
        <f>IFERROR(VLOOKUP(Tabela1[[#This Row],[MÊS]]&amp;Tabela1[[#This Row],[MATRICULA]]&amp;"3"&amp;Tabela1[[#This Row],[SETOR]]&amp;"PADRÃO",BD!B:AF,31,0),"")</f>
        <v/>
      </c>
      <c r="AD127" s="21" t="str">
        <f>IFERROR(VLOOKUP(Tabela1[[#This Row],[MÊS]]&amp;Tabela1[[#This Row],[MATRICULA]]&amp;"4"&amp;Tabela1[[#This Row],[SETOR]]&amp;"PADRÃO",BD!B:AF,25,0),"")</f>
        <v/>
      </c>
      <c r="AE127" s="21" t="str">
        <f>IFERROR(VLOOKUP(Tabela1[[#This Row],[MÊS]]&amp;Tabela1[[#This Row],[MATRICULA]]&amp;"5"&amp;Tabela1[[#This Row],[SETOR]]&amp;"PADRÃO",BD!B:AF,31,0),"")</f>
        <v/>
      </c>
      <c r="AF127" s="21" t="str">
        <f>IFERROR(VLOOKUP(Tabela1[[#This Row],[MÊS]]&amp;Tabela1[[#This Row],[MATRICULA]]&amp;"6"&amp;Tabela1[[#This Row],[SETOR]]&amp;"PADRÃO",BD!B:AF,31,0),"")</f>
        <v/>
      </c>
      <c r="AG127" s="21" t="str">
        <f>IFERROR(VLOOKUP(Tabela1[[#This Row],[MÊS]]&amp;Tabela1[[#This Row],[MATRICULA]]&amp;"7"&amp;Tabela1[[#This Row],[SETOR]]&amp;"PADRÃO",BD!B:AF,31,0),"")</f>
        <v/>
      </c>
      <c r="AH127" s="21" t="str">
        <f>IFERROR(VLOOKUP(Tabela1[[#This Row],[MÊS]]&amp;Tabela1[[#This Row],[ID]]&amp;Tabela1[[#This Row],[MATRICULA]]&amp;"Receptiva"&amp;Tabela1[[#This Row],[SETOR]],BD!A:AF,31,0),"")</f>
        <v/>
      </c>
      <c r="AI127" s="21" t="str">
        <f>IFERROR(VLOOKUP(Tabela1[[#This Row],[MÊS]]&amp;Tabela1[[#This Row],[ID]]&amp;Tabela1[[#This Row],[MATRICULA]]&amp;"Receptiva 2"&amp;Tabela1[[#This Row],[SETOR]],BD!A:AF,31,0),"")</f>
        <v/>
      </c>
      <c r="AJ127" s="21" t="str">
        <f>IFERROR(VLOOKUP(Tabela1[[#This Row],[MÊS]]&amp;Tabela1[[#This Row],[ID]]&amp;Tabela1[[#This Row],[MATRICULA]]&amp;"Receptiva 3"&amp;Tabela1[[#This Row],[SETOR]],BD!A:AF,31,0),"")</f>
        <v/>
      </c>
      <c r="AK127" s="21" t="str">
        <f>IFERROR(VLOOKUP(Tabela1[[#This Row],[MÊS]]&amp;Tabela1[[#This Row],[ID]]&amp;Tabela1[[#This Row],[MATRICULA]]&amp;"Receptiva 4"&amp;Tabela1[[#This Row],[SETOR]],BD!A:AF,31,0),"")</f>
        <v/>
      </c>
      <c r="AL127" s="21" t="str">
        <f>IFERROR(VLOOKUP(Tabela1[[#This Row],[MÊS]]&amp;Tabela1[[#This Row],[MATRICULA]]&amp;"Motorista"&amp;Tabela1[[#This Row],[SETOR]],BD!A:AF,31,0),"")</f>
        <v/>
      </c>
      <c r="AM127" s="21" t="str">
        <f>IFERROR(VLOOKUP(Tabela1[[#This Row],[MÊS]]&amp;Tabela1[[#This Row],[ID]]&amp;Tabela1[[#This Row],[MATRICULA]]&amp;"Motorista 2"&amp;Tabela1[[#This Row],[SETOR]],BD!A:AF,26,0),"")</f>
        <v/>
      </c>
      <c r="AN127" s="21" t="str">
        <f>IFERROR(VLOOKUP(Tabela1[[#This Row],[MÊS]]&amp;Tabela1[[#This Row],[ID]]&amp;Tabela1[[#This Row],[MATRICULA]]&amp;"Motorista 3"&amp;Tabela1[[#This Row],[SETOR]],BD!A:AF,26,0),"")</f>
        <v/>
      </c>
      <c r="AO127" s="21" t="str">
        <f>IFERROR(VLOOKUP(Tabela1[[#This Row],[MÊS]]&amp;Tabela1[[#This Row],[ID]]&amp;Tabela1[[#This Row],[MATRICULA]]&amp;"Motorista 4"&amp;Tabela1[[#This Row],[SETOR]],BD!A:AF,26,0),"")</f>
        <v/>
      </c>
      <c r="AP127" s="21" t="str">
        <f>IFERROR(VLOOKUP(Tabela1[[#This Row],[MÊS]]&amp;Tabela1[[#This Row],[MATRICULA]]&amp;"Ponto de Apoio"&amp;Tabela1[[#This Row],[SETOR]],BD!A:AF,31,0),"")</f>
        <v/>
      </c>
      <c r="AQ127" s="21" t="str">
        <f>IFERROR(VLOOKUP(Tabela1[[#This Row],[MÊS]]&amp;Tabela1[[#This Row],[ID]]&amp;Tabela1[[#This Row],[MATRICULA]]&amp;"Ponto de Apoio 2"&amp;Tabela1[[#This Row],[SETOR]],BD!A:AF,26,0),"")</f>
        <v/>
      </c>
      <c r="AR127" s="36" t="str">
        <f>IFERROR(VLOOKUP(Tabela1[[#This Row],[MÊS]]&amp;Tabela1[[#This Row],[ID]]&amp;Tabela1[[#This Row],[MATRICULA]]&amp;"Ponto de Apoio 3"&amp;Tabela1[[#This Row],[SETOR]],BD!A:AF,26,0),"")</f>
        <v/>
      </c>
      <c r="AS127" s="36" t="str">
        <f>IFERROR(VLOOKUP(Tabela1[[#This Row],[MÊS]]&amp;Tabela1[[#This Row],[ID]]&amp;Tabela1[[#This Row],[MATRICULA]]&amp;"Ponto de Apoio 4"&amp;Tabela1[[#This Row],[SETOR]],BD!A:AF,26,0),"")</f>
        <v/>
      </c>
      <c r="AT127" s="21" t="str">
        <f>IFERROR(VLOOKUP(Tabela1[[#This Row],[MÊS]]&amp;Tabela1[[#This Row],[MATRICULA]]&amp;"Cliente"&amp;Tabela1[[#This Row],[SETOR]],BD!A:AF,31,0),"")</f>
        <v/>
      </c>
      <c r="AU127" s="21" t="str">
        <f>IFERROR(VLOOKUP(Tabela1[[#This Row],[MÊS]]&amp;Tabela1[[#This Row],[ID]]&amp;Tabela1[[#This Row],[MATRICULA]]&amp;"Cliente 2"&amp;Tabela1[[#This Row],[SETOR]],BD!A:AF,26,0),"")</f>
        <v/>
      </c>
      <c r="AX127" s="21" t="str">
        <f>IFERROR(VLOOKUP(Tabela1[[#This Row],[MÊS]]&amp;Tabela1[[#This Row],[MATRICULA]]&amp;"Policia"&amp;Tabela1[[#This Row],[SETOR]],BD!A:AF,31,0),"")</f>
        <v/>
      </c>
      <c r="AY127" s="21" t="str">
        <f>IFERROR(VLOOKUP(Tabela1[[#This Row],[MÊS]]&amp;Tabela1[[#This Row],[ID]]&amp;Tabela1[[#This Row],[MATRICULA]]&amp;"Policia 2"&amp;Tabela1[[#This Row],[SETOR]],BD!A:AF,26,0),"")</f>
        <v/>
      </c>
      <c r="AZ127" s="36" t="str">
        <f>IFERROR(VLOOKUP(Tabela1[[#This Row],[MÊS]]&amp;Tabela1[[#This Row],[ID]]&amp;Tabela1[[#This Row],[MATRICULA]]&amp;"Policia 3"&amp;Tabela1[[#This Row],[SETOR]],BD!A:AF,26,0),"")</f>
        <v/>
      </c>
      <c r="BA127" s="36" t="str">
        <f>IFERROR(VLOOKUP(Tabela1[[#This Row],[MÊS]]&amp;Tabela1[[#This Row],[ID]]&amp;Tabela1[[#This Row],[MATRICULA]]&amp;"Policia 4"&amp;Tabela1[[#This Row],[SETOR]],BD!A:AF,26,0),"")</f>
        <v/>
      </c>
      <c r="BB12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7" s="21" t="str">
        <f>IFERROR(AVERAGE(Tabela1[[#This Row],[M]:[M4]]),"")</f>
        <v/>
      </c>
      <c r="BD127" s="21" t="str">
        <f>IFERROR(AVERAGE(Tabela1[[#This Row],[C]:[C4]]),"")</f>
        <v/>
      </c>
      <c r="BE127" s="21" t="str">
        <f>IFERROR(AVERAGE(Tabela1[[#This Row],[PA2]:[PA 4]]),"")</f>
        <v/>
      </c>
      <c r="BF127" s="21" t="str">
        <f>IFERROR(AVERAGE(Tabela1[[#This Row],[PL]:[PL4]]),"")</f>
        <v/>
      </c>
      <c r="BG127" s="35" t="str">
        <f>IFERROR(VLOOKUP(Tabela1[[#This Row],[MÊS]]&amp;Tabela1[[#This Row],[MATRICULA]],#REF!,2,0),"")</f>
        <v/>
      </c>
      <c r="BH127" s="35" t="str">
        <f>IFERROR(VLOOKUP(Tabela1[[#This Row],[MÊS]]&amp;Tabela1[[#This Row],[MATRICULA]],#REF!,2,0),"")</f>
        <v/>
      </c>
      <c r="BI127" s="35" t="str">
        <f>IFERROR(VLOOKUP(Tabela1[[#This Row],[MÊS]]&amp;Tabela1[[#This Row],[MATRICULA]],#REF!,2,0),"")</f>
        <v/>
      </c>
      <c r="BJ127" s="35" t="str">
        <f>IFERROR(VLOOKUP(Tabela1[[#This Row],[MÊS]]&amp;Tabela1[[#This Row],[MATRICULA]],#REF!,2,0),"")</f>
        <v/>
      </c>
      <c r="BK127" s="35" t="str">
        <f>IFERROR(VLOOKUP(Tabela1[[#This Row],[MÊS]]&amp;Tabela1[[#This Row],[MATRICULA]],#REF!,2,0),"")</f>
        <v/>
      </c>
      <c r="BL127" s="21">
        <f>COUNTIF(Tabela1[[#This Row],[MOT2]:[RECEPTIVA]],"NÃO ENCONTRADA")</f>
        <v>0</v>
      </c>
      <c r="BM127" s="135" t="str">
        <f>IFERROR(VLOOKUP(Tabela1[[#This Row],[MÊS]]&amp;Tabela1[[#This Row],[ID]]&amp;Tabela1[[#This Row],[MATRICULA]]&amp;"Motorista"&amp;Tabela1[[#This Row],[SETOR]],BD!A:AF,13,0),"")</f>
        <v/>
      </c>
      <c r="BN127" s="135" t="str">
        <f>IFERROR(VLOOKUP(Tabela1[[#This Row],[MÊS]]&amp;Tabela1[[#This Row],[ID]]&amp;Tabela1[[#This Row],[MATRICULA]]&amp;"Motorista 2"&amp;Tabela1[[#This Row],[SETOR]],BD!A:AF,13,0),"")</f>
        <v/>
      </c>
      <c r="BO127" s="135" t="str">
        <f>IFERROR(VLOOKUP(Tabela1[[#This Row],[MÊS]]&amp;Tabela1[[#This Row],[ID]]&amp;Tabela1[[#This Row],[MATRICULA]]&amp;"Motorista 3"&amp;Tabela1[[#This Row],[SETOR]],BD!A:AF,13,0),"")</f>
        <v/>
      </c>
      <c r="BP127" s="135" t="str">
        <f>IFERROR(VLOOKUP(Tabela1[[#This Row],[MÊS]]&amp;Tabela1[[#This Row],[ID]]&amp;Tabela1[[#This Row],[MATRICULA]]&amp;"Motorista 4"&amp;Tabela1[[#This Row],[SETOR]],BD!A:AF,13,0),"")</f>
        <v/>
      </c>
      <c r="BQ127" s="135" t="str">
        <f>IFERROR(AVERAGE(Tabela1[[#This Row],[DMOT]:[DMOT4]]),"")</f>
        <v/>
      </c>
      <c r="BR127" s="135" t="str">
        <f>IFERROR(VLOOKUP(Tabela1[[#This Row],[MÊS]]&amp;Tabela1[[#This Row],[ID]]&amp;Tabela1[[#This Row],[MATRICULA]]&amp;"Ponto de Apoio"&amp;Tabela1[[#This Row],[SETOR]],BD!A:AF,13,0),"")</f>
        <v/>
      </c>
      <c r="BS127" s="135" t="str">
        <f>IFERROR(VLOOKUP(Tabela1[[#This Row],[MÊS]]&amp;Tabela1[[#This Row],[ID]]&amp;Tabela1[[#This Row],[MATRICULA]]&amp;"Ponto de Apoio 2"&amp;Tabela1[[#This Row],[SETOR]],BD!A:AF,13,0),"")</f>
        <v/>
      </c>
      <c r="BT127" s="135" t="str">
        <f>IFERROR(VLOOKUP(Tabela1[[#This Row],[MÊS]]&amp;Tabela1[[#This Row],[ID]]&amp;Tabela1[[#This Row],[MATRICULA]]&amp;"Ponto de Apoio 3"&amp;Tabela1[[#This Row],[SETOR]],BD!A:AF,13,0),"")</f>
        <v/>
      </c>
      <c r="BU127" s="135" t="str">
        <f>IFERROR(VLOOKUP(Tabela1[[#This Row],[MÊS]]&amp;Tabela1[[#This Row],[ID]]&amp;Tabela1[[#This Row],[MATRICULA]]&amp;"Ponto de Apoio 4"&amp;Tabela1[[#This Row],[SETOR]],BD!A:AF,13,0),"")</f>
        <v/>
      </c>
      <c r="BV127" s="135" t="str">
        <f>IFERROR(AVERAGE(Tabela1[[#This Row],[DPA]:[DPA 4]]),"")</f>
        <v/>
      </c>
      <c r="BW127" s="135" t="str">
        <f>IFERROR(VLOOKUP(Tabela1[[#This Row],[MÊS]]&amp;Tabela1[[#This Row],[ID]]&amp;Tabela1[[#This Row],[MATRICULA]]&amp;"Cliente"&amp;Tabela1[[#This Row],[SETOR]],BD!A:AF,13,0),"")</f>
        <v/>
      </c>
      <c r="BX127" s="135" t="str">
        <f>IFERROR(VLOOKUP(Tabela1[[#This Row],[MÊS]]&amp;Tabela1[[#This Row],[ID]]&amp;Tabela1[[#This Row],[MATRICULA]]&amp;"cliente 2"&amp;Tabela1[[#This Row],[SETOR]],BD!A:AF,13,0),"")</f>
        <v/>
      </c>
      <c r="BY127" s="135" t="str">
        <f>IFERROR(VLOOKUP(Tabela1[[#This Row],[MÊS]]&amp;Tabela1[[#This Row],[ID]]&amp;Tabela1[[#This Row],[MATRICULA]]&amp;"cliente 3"&amp;Tabela1[[#This Row],[SETOR]],BD!A:AF,13,0),"")</f>
        <v/>
      </c>
      <c r="BZ127" s="135" t="str">
        <f>IFERROR(VLOOKUP(Tabela1[[#This Row],[MÊS]]&amp;Tabela1[[#This Row],[ID]]&amp;Tabela1[[#This Row],[MATRICULA]]&amp;"cliente 4"&amp;Tabela1[[#This Row],[SETOR]],BD!A:AF,13,0),"")</f>
        <v/>
      </c>
      <c r="CA127" s="135" t="str">
        <f>IFERROR(AVERAGE(Tabela1[[#This Row],[DCLI]:[DCLI 4]]),"")</f>
        <v/>
      </c>
      <c r="CB127" s="135" t="str">
        <f>IFERROR(VLOOKUP(Tabela1[[#This Row],[MÊS]]&amp;Tabela1[[#This Row],[ID]]&amp;Tabela1[[#This Row],[MATRICULA]]&amp;"Policia"&amp;Tabela1[[#This Row],[SETOR]],BD!A:AF,13,0),"")</f>
        <v/>
      </c>
      <c r="CC127" s="135" t="str">
        <f>IFERROR(VLOOKUP(Tabela1[[#This Row],[MÊS]]&amp;Tabela1[[#This Row],[ID]]&amp;Tabela1[[#This Row],[MATRICULA]]&amp;"Policia 2"&amp;Tabela1[[#This Row],[SETOR]],BD!A:AF,13,0),"")</f>
        <v/>
      </c>
      <c r="CD127" s="135"/>
      <c r="CE127" s="135"/>
      <c r="CF127" s="135" t="str">
        <f>IFERROR((AVERAGE(Tabela1[[#This Row],[DPOL1]:[DPOL4]])),"")</f>
        <v/>
      </c>
      <c r="CG127" s="21" t="str">
        <f>IFERROR(VLOOKUP(Tabela1[[#This Row],[ID]]&amp;Tabela1[[#This Row],[MÊS]]&amp;Tabela1[[#This Row],[MATRICULA]],#REF!,2,0),"")</f>
        <v/>
      </c>
      <c r="CH127" s="21" t="str">
        <f>IFERROR(VLOOKUP(Tabela1[[#This Row],[ID]]&amp;Tabela1[[#This Row],[MÊS]]&amp;Tabela1[[#This Row],[MATRICULA]],#REF!,2,0),"")</f>
        <v/>
      </c>
      <c r="CI127" s="21" t="str">
        <f>IFERROR(VLOOKUP(Tabela1[[#This Row],[MÊS]]&amp;Tabela1[[#This Row],[MATRICULA]],#REF!,2,0),"")</f>
        <v/>
      </c>
    </row>
    <row r="128" spans="1:87">
      <c r="A128" s="12" t="str">
        <f>Tabela1[[#This Row],[MÊS]]&amp;Tabela1[[#This Row],[MATRICULA]]&amp;Tabela1[[#This Row],[ID]]</f>
        <v>JAN1142211</v>
      </c>
      <c r="B128" s="12" t="str">
        <f>Tabela1[[#This Row],[MÊS]]&amp;Tabela1[[#This Row],[ID]]&amp;Tabela1[[#This Row],[MATRICULA]]&amp;Tabela1[[#This Row],[SETOR]]</f>
        <v>JAN1111422LOGÍSTICA</v>
      </c>
      <c r="C128" s="130" t="e">
        <f>VLOOKUP(Tabela1[[#This Row],[MATRICULA]],'BD Campos'!A:D,5,0)</f>
        <v>#REF!</v>
      </c>
      <c r="D128" s="133" t="str">
        <f ca="1">IFERROR(SUM(TODAY()-Tabela1[[#This Row],[ADMISSÃO]]),"")</f>
        <v/>
      </c>
      <c r="E128" s="11" t="str">
        <f ca="1">IFERROR(TRUNC(Tabela1[[#This Row],[TEMPO DE CASA (DIAS)]]/30),"")</f>
        <v/>
      </c>
      <c r="F128" s="32" t="str">
        <f ca="1">IFERROR(SUM(Tabela1[[#This Row],[TEMPO DE CASA (MESES)]]/12),"")</f>
        <v/>
      </c>
      <c r="G128" s="133" t="str">
        <f ca="1">IF(Tabela1[[#This Row],[TEMPO DE CASA (DIAS)]]="","SEM DADOS",IF(Tabela1[[#This Row],[TEMPO DE CASA (DIAS)]]&gt;180,"&gt; 6 MESES","&lt; 6 MESES"))</f>
        <v>SEM DADOS</v>
      </c>
      <c r="H128" s="12" t="str">
        <f t="shared" si="12"/>
        <v>JANGeovana Meurer11</v>
      </c>
      <c r="I128" s="12" t="str">
        <f>IFERROR(VLOOKUP(Tabela1[[#This Row],[MATRICULA]],'BD Campos'!A:F,7,0),"")</f>
        <v/>
      </c>
      <c r="J128" s="11">
        <v>11</v>
      </c>
      <c r="K128" s="11" t="s">
        <v>669</v>
      </c>
      <c r="L128" s="136">
        <v>11422</v>
      </c>
      <c r="M128" s="12" t="str">
        <f>IFERROR(VLOOKUP(Tabela1[[#This Row],[MATRICULA]],'BD Campos'!A:B,2,0),"")</f>
        <v>ERIKA DA SILVA</v>
      </c>
      <c r="N128" s="20">
        <f>IFERROR(AVERAGE(Tabela1[[#This Row],[A1]:[A4]]),"")</f>
        <v>8.5300000000000011</v>
      </c>
      <c r="O128" s="20" t="str">
        <f>IFERROR(IF(Tabela1[[#This Row],[SETOR]]="RECEPTIVO","",AVERAGE(Tabela1[[#This Row],[A5]:[A6]])),"")</f>
        <v/>
      </c>
      <c r="P128" s="20" t="str">
        <f>IFERROR(IF(Tabela1[[#This Row],[STATUS]]="INATIVO","INATIVO",IF(Tabela1[[#This Row],[STATUS]]="QRT","INATIVO",IF(Tabela1[[#This Row],[OPERACIONAL]]&gt;7.99999,"BOM","RUIM"))),"")</f>
        <v>BOM</v>
      </c>
      <c r="Q128" s="21" t="s">
        <v>667</v>
      </c>
      <c r="R128" s="12" t="s">
        <v>315</v>
      </c>
      <c r="S128" s="12" t="s">
        <v>11</v>
      </c>
      <c r="T128" s="12" t="s">
        <v>315</v>
      </c>
      <c r="U12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28" s="12">
        <f>IF(AND(Tabela1[[#This Row],[SETOR]]="UTI",Tabela1[[#This Row],[M]]&lt;&gt;""),1,IF(AND(Tabela1[[#This Row],[SETOR]]="UTI (RJ)",Tabela1[[#This Row],[M]]&lt;&gt;""),1.5,0))</f>
        <v>0</v>
      </c>
      <c r="X128" s="12">
        <f>IF(AND(Tabela1[[#This Row],[SETOR]]="UTI",Tabela1[[#This Row],[PA2]]&lt;&gt;""),1,IF(AND(Tabela1[[#This Row],[SETOR]]="UTI (RJ)",Tabela1[[#This Row],[PA2]]&lt;&gt;""),0,0))</f>
        <v>0</v>
      </c>
      <c r="Y128" s="12">
        <f>IF(AND(Tabela1[[#This Row],[SETOR]]="UTI",Tabela1[[#This Row],[C]]&lt;&gt;""),1,IF(AND(Tabela1[[#This Row],[SETOR]]="UTI (RJ)",Tabela1[[#This Row],[C]]&lt;&gt;""),1.5,0))</f>
        <v>0</v>
      </c>
      <c r="Z128" s="12">
        <f>IF(AND(Tabela1[[#This Row],[SETOR]]="UTI",Tabela1[[#This Row],[PL]]&lt;&gt;""),1,IF(AND(Tabela1[[#This Row],[SETOR]]="UTI (RJ)",Tabela1[[#This Row],[PL]]&lt;&gt;""),1,0))</f>
        <v>0</v>
      </c>
      <c r="AA128" s="21">
        <f>IFERROR(VLOOKUP(Tabela1[[#This Row],[MÊS]]&amp;Tabela1[[#This Row],[MATRICULA]]&amp;"1"&amp;Tabela1[[#This Row],[SETOR]]&amp;"PADRÃO",BD!B:AF,31,0),"")</f>
        <v>8.9500000000000011</v>
      </c>
      <c r="AB128" s="21">
        <f>IFERROR(VLOOKUP(Tabela1[[#This Row],[MÊS]]&amp;Tabela1[[#This Row],[MATRICULA]]&amp;"2"&amp;Tabela1[[#This Row],[SETOR]]&amp;"PADRÃO",BD!B:AF,31,0),"")</f>
        <v>8.1100000000000012</v>
      </c>
      <c r="AC128" s="21" t="str">
        <f>IFERROR(VLOOKUP(Tabela1[[#This Row],[MÊS]]&amp;Tabela1[[#This Row],[MATRICULA]]&amp;"3"&amp;Tabela1[[#This Row],[SETOR]]&amp;"PADRÃO",BD!B:AF,31,0),"")</f>
        <v/>
      </c>
      <c r="AD128" s="21" t="str">
        <f>IFERROR(VLOOKUP(Tabela1[[#This Row],[MÊS]]&amp;Tabela1[[#This Row],[MATRICULA]]&amp;"4"&amp;Tabela1[[#This Row],[SETOR]]&amp;"PADRÃO",BD!B:AF,25,0),"")</f>
        <v/>
      </c>
      <c r="AE128" s="21" t="str">
        <f>IFERROR(VLOOKUP(Tabela1[[#This Row],[MÊS]]&amp;Tabela1[[#This Row],[MATRICULA]]&amp;"5"&amp;Tabela1[[#This Row],[SETOR]]&amp;"PADRÃO",BD!B:AF,31,0),"")</f>
        <v/>
      </c>
      <c r="AF128" s="21" t="str">
        <f>IFERROR(VLOOKUP(Tabela1[[#This Row],[MÊS]]&amp;Tabela1[[#This Row],[MATRICULA]]&amp;"6"&amp;Tabela1[[#This Row],[SETOR]]&amp;"PADRÃO",BD!B:AF,31,0),"")</f>
        <v/>
      </c>
      <c r="AG128" s="21" t="str">
        <f>IFERROR(VLOOKUP(Tabela1[[#This Row],[MÊS]]&amp;Tabela1[[#This Row],[MATRICULA]]&amp;"7"&amp;Tabela1[[#This Row],[SETOR]]&amp;"PADRÃO",BD!B:AF,31,0),"")</f>
        <v/>
      </c>
      <c r="AH128" s="21" t="str">
        <f>IFERROR(VLOOKUP(Tabela1[[#This Row],[MÊS]]&amp;Tabela1[[#This Row],[ID]]&amp;Tabela1[[#This Row],[MATRICULA]]&amp;"Receptiva"&amp;Tabela1[[#This Row],[SETOR]],BD!A:AF,31,0),"")</f>
        <v/>
      </c>
      <c r="AI128" s="21" t="str">
        <f>IFERROR(VLOOKUP(Tabela1[[#This Row],[MÊS]]&amp;Tabela1[[#This Row],[ID]]&amp;Tabela1[[#This Row],[MATRICULA]]&amp;"Receptiva 2"&amp;Tabela1[[#This Row],[SETOR]],BD!A:AF,31,0),"")</f>
        <v/>
      </c>
      <c r="AJ128" s="21" t="str">
        <f>IFERROR(VLOOKUP(Tabela1[[#This Row],[MÊS]]&amp;Tabela1[[#This Row],[ID]]&amp;Tabela1[[#This Row],[MATRICULA]]&amp;"Receptiva 3"&amp;Tabela1[[#This Row],[SETOR]],BD!A:AF,31,0),"")</f>
        <v/>
      </c>
      <c r="AK128" s="21" t="str">
        <f>IFERROR(VLOOKUP(Tabela1[[#This Row],[MÊS]]&amp;Tabela1[[#This Row],[ID]]&amp;Tabela1[[#This Row],[MATRICULA]]&amp;"Receptiva 4"&amp;Tabela1[[#This Row],[SETOR]],BD!A:AF,31,0),"")</f>
        <v/>
      </c>
      <c r="AL128" s="21">
        <f>IFERROR(VLOOKUP(Tabela1[[#This Row],[MÊS]]&amp;Tabela1[[#This Row],[MATRICULA]]&amp;"Motorista"&amp;Tabela1[[#This Row],[SETOR]],BD!A:AF,31,0),"")</f>
        <v>0</v>
      </c>
      <c r="AM128" s="21" t="str">
        <f>IFERROR(VLOOKUP(Tabela1[[#This Row],[MÊS]]&amp;Tabela1[[#This Row],[ID]]&amp;Tabela1[[#This Row],[MATRICULA]]&amp;"Motorista 2"&amp;Tabela1[[#This Row],[SETOR]],BD!A:AF,26,0),"")</f>
        <v/>
      </c>
      <c r="AN128" s="21" t="str">
        <f>IFERROR(VLOOKUP(Tabela1[[#This Row],[MÊS]]&amp;Tabela1[[#This Row],[ID]]&amp;Tabela1[[#This Row],[MATRICULA]]&amp;"Motorista 3"&amp;Tabela1[[#This Row],[SETOR]],BD!A:AF,26,0),"")</f>
        <v/>
      </c>
      <c r="AO128" s="21" t="str">
        <f>IFERROR(VLOOKUP(Tabela1[[#This Row],[MÊS]]&amp;Tabela1[[#This Row],[ID]]&amp;Tabela1[[#This Row],[MATRICULA]]&amp;"Motorista 4"&amp;Tabela1[[#This Row],[SETOR]],BD!A:AF,26,0),"")</f>
        <v/>
      </c>
      <c r="AP128" s="21" t="str">
        <f>IFERROR(VLOOKUP(Tabela1[[#This Row],[MÊS]]&amp;Tabela1[[#This Row],[MATRICULA]]&amp;"Ponto de Apoio"&amp;Tabela1[[#This Row],[SETOR]],BD!A:AF,31,0),"")</f>
        <v/>
      </c>
      <c r="AQ128" s="21" t="str">
        <f>IFERROR(VLOOKUP(Tabela1[[#This Row],[MÊS]]&amp;Tabela1[[#This Row],[ID]]&amp;Tabela1[[#This Row],[MATRICULA]]&amp;"Ponto de Apoio 2"&amp;Tabela1[[#This Row],[SETOR]],BD!A:AF,26,0),"")</f>
        <v/>
      </c>
      <c r="AR128" s="36" t="str">
        <f>IFERROR(VLOOKUP(Tabela1[[#This Row],[MÊS]]&amp;Tabela1[[#This Row],[ID]]&amp;Tabela1[[#This Row],[MATRICULA]]&amp;"Ponto de Apoio 3"&amp;Tabela1[[#This Row],[SETOR]],BD!A:AF,26,0),"")</f>
        <v/>
      </c>
      <c r="AS128" s="36" t="str">
        <f>IFERROR(VLOOKUP(Tabela1[[#This Row],[MÊS]]&amp;Tabela1[[#This Row],[ID]]&amp;Tabela1[[#This Row],[MATRICULA]]&amp;"Ponto de Apoio 4"&amp;Tabela1[[#This Row],[SETOR]],BD!A:AF,26,0),"")</f>
        <v/>
      </c>
      <c r="AT128" s="21">
        <f>IFERROR(VLOOKUP(Tabela1[[#This Row],[MÊS]]&amp;Tabela1[[#This Row],[MATRICULA]]&amp;"Cliente"&amp;Tabela1[[#This Row],[SETOR]],BD!A:AF,31,0),"")</f>
        <v>0</v>
      </c>
      <c r="AU128" s="21" t="str">
        <f>IFERROR(VLOOKUP(Tabela1[[#This Row],[MÊS]]&amp;Tabela1[[#This Row],[ID]]&amp;Tabela1[[#This Row],[MATRICULA]]&amp;"Cliente 2"&amp;Tabela1[[#This Row],[SETOR]],BD!A:AF,26,0),"")</f>
        <v/>
      </c>
      <c r="AX128" s="21" t="str">
        <f>IFERROR(VLOOKUP(Tabela1[[#This Row],[MÊS]]&amp;Tabela1[[#This Row],[MATRICULA]]&amp;"Policia"&amp;Tabela1[[#This Row],[SETOR]],BD!A:AF,31,0),"")</f>
        <v/>
      </c>
      <c r="AY128" s="21" t="str">
        <f>IFERROR(VLOOKUP(Tabela1[[#This Row],[MÊS]]&amp;Tabela1[[#This Row],[ID]]&amp;Tabela1[[#This Row],[MATRICULA]]&amp;"Policia 2"&amp;Tabela1[[#This Row],[SETOR]],BD!A:AF,26,0),"")</f>
        <v/>
      </c>
      <c r="AZ128" s="36" t="str">
        <f>IFERROR(VLOOKUP(Tabela1[[#This Row],[MÊS]]&amp;Tabela1[[#This Row],[ID]]&amp;Tabela1[[#This Row],[MATRICULA]]&amp;"Policia 3"&amp;Tabela1[[#This Row],[SETOR]],BD!A:AF,26,0),"")</f>
        <v/>
      </c>
      <c r="BA128" s="36" t="str">
        <f>IFERROR(VLOOKUP(Tabela1[[#This Row],[MÊS]]&amp;Tabela1[[#This Row],[ID]]&amp;Tabela1[[#This Row],[MATRICULA]]&amp;"Policia 4"&amp;Tabela1[[#This Row],[SETOR]],BD!A:AF,26,0),"")</f>
        <v/>
      </c>
      <c r="BB12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8" s="21">
        <f>IFERROR(AVERAGE(Tabela1[[#This Row],[M]:[M4]]),"")</f>
        <v>0</v>
      </c>
      <c r="BD128" s="21">
        <f>IFERROR(AVERAGE(Tabela1[[#This Row],[C]:[C4]]),"")</f>
        <v>0</v>
      </c>
      <c r="BE128" s="21" t="str">
        <f>IFERROR(AVERAGE(Tabela1[[#This Row],[PA2]:[PA 4]]),"")</f>
        <v/>
      </c>
      <c r="BF128" s="21" t="str">
        <f>IFERROR(AVERAGE(Tabela1[[#This Row],[PL]:[PL4]]),"")</f>
        <v/>
      </c>
      <c r="BG128" s="35" t="str">
        <f>IFERROR(VLOOKUP(Tabela1[[#This Row],[MÊS]]&amp;Tabela1[[#This Row],[MATRICULA]],#REF!,2,0),"")</f>
        <v/>
      </c>
      <c r="BH128" s="35" t="str">
        <f>IFERROR(VLOOKUP(Tabela1[[#This Row],[MÊS]]&amp;Tabela1[[#This Row],[MATRICULA]],#REF!,2,0),"")</f>
        <v/>
      </c>
      <c r="BI128" s="35" t="str">
        <f>IFERROR(VLOOKUP(Tabela1[[#This Row],[MÊS]]&amp;Tabela1[[#This Row],[MATRICULA]],#REF!,2,0),"")</f>
        <v/>
      </c>
      <c r="BJ128" s="35" t="str">
        <f>IFERROR(VLOOKUP(Tabela1[[#This Row],[MÊS]]&amp;Tabela1[[#This Row],[MATRICULA]],#REF!,2,0),"")</f>
        <v/>
      </c>
      <c r="BK128" s="35" t="str">
        <f>IFERROR(VLOOKUP(Tabela1[[#This Row],[MÊS]]&amp;Tabela1[[#This Row],[MATRICULA]],#REF!,2,0),"")</f>
        <v/>
      </c>
      <c r="BL128" s="21">
        <f>COUNTIF(Tabela1[[#This Row],[MOT2]:[RECEPTIVA]],"NÃO ENCONTRADA")</f>
        <v>0</v>
      </c>
      <c r="BM128" s="135" t="str">
        <f>IFERROR(VLOOKUP(Tabela1[[#This Row],[MÊS]]&amp;Tabela1[[#This Row],[ID]]&amp;Tabela1[[#This Row],[MATRICULA]]&amp;"Motorista"&amp;Tabela1[[#This Row],[SETOR]],BD!A:AF,13,0),"")</f>
        <v/>
      </c>
      <c r="BN128" s="135" t="str">
        <f>IFERROR(VLOOKUP(Tabela1[[#This Row],[MÊS]]&amp;Tabela1[[#This Row],[ID]]&amp;Tabela1[[#This Row],[MATRICULA]]&amp;"Motorista 2"&amp;Tabela1[[#This Row],[SETOR]],BD!A:AF,13,0),"")</f>
        <v/>
      </c>
      <c r="BO128" s="135" t="str">
        <f>IFERROR(VLOOKUP(Tabela1[[#This Row],[MÊS]]&amp;Tabela1[[#This Row],[ID]]&amp;Tabela1[[#This Row],[MATRICULA]]&amp;"Motorista 3"&amp;Tabela1[[#This Row],[SETOR]],BD!A:AF,13,0),"")</f>
        <v/>
      </c>
      <c r="BP128" s="135" t="str">
        <f>IFERROR(VLOOKUP(Tabela1[[#This Row],[MÊS]]&amp;Tabela1[[#This Row],[ID]]&amp;Tabela1[[#This Row],[MATRICULA]]&amp;"Motorista 4"&amp;Tabela1[[#This Row],[SETOR]],BD!A:AF,13,0),"")</f>
        <v/>
      </c>
      <c r="BQ128" s="135" t="str">
        <f>IFERROR(AVERAGE(Tabela1[[#This Row],[DMOT]:[DMOT4]]),"")</f>
        <v/>
      </c>
      <c r="BR128" s="135" t="str">
        <f>IFERROR(VLOOKUP(Tabela1[[#This Row],[MÊS]]&amp;Tabela1[[#This Row],[ID]]&amp;Tabela1[[#This Row],[MATRICULA]]&amp;"Ponto de Apoio"&amp;Tabela1[[#This Row],[SETOR]],BD!A:AF,13,0),"")</f>
        <v/>
      </c>
      <c r="BS128" s="135" t="str">
        <f>IFERROR(VLOOKUP(Tabela1[[#This Row],[MÊS]]&amp;Tabela1[[#This Row],[ID]]&amp;Tabela1[[#This Row],[MATRICULA]]&amp;"Ponto de Apoio 2"&amp;Tabela1[[#This Row],[SETOR]],BD!A:AF,13,0),"")</f>
        <v/>
      </c>
      <c r="BT128" s="135" t="str">
        <f>IFERROR(VLOOKUP(Tabela1[[#This Row],[MÊS]]&amp;Tabela1[[#This Row],[ID]]&amp;Tabela1[[#This Row],[MATRICULA]]&amp;"Ponto de Apoio 3"&amp;Tabela1[[#This Row],[SETOR]],BD!A:AF,13,0),"")</f>
        <v/>
      </c>
      <c r="BU128" s="135" t="str">
        <f>IFERROR(VLOOKUP(Tabela1[[#This Row],[MÊS]]&amp;Tabela1[[#This Row],[ID]]&amp;Tabela1[[#This Row],[MATRICULA]]&amp;"Ponto de Apoio 4"&amp;Tabela1[[#This Row],[SETOR]],BD!A:AF,13,0),"")</f>
        <v/>
      </c>
      <c r="BV128" s="135" t="str">
        <f>IFERROR(AVERAGE(Tabela1[[#This Row],[DPA]:[DPA 4]]),"")</f>
        <v/>
      </c>
      <c r="BW128" s="135" t="str">
        <f>IFERROR(VLOOKUP(Tabela1[[#This Row],[MÊS]]&amp;Tabela1[[#This Row],[ID]]&amp;Tabela1[[#This Row],[MATRICULA]]&amp;"Cliente"&amp;Tabela1[[#This Row],[SETOR]],BD!A:AF,13,0),"")</f>
        <v/>
      </c>
      <c r="BX128" s="135" t="str">
        <f>IFERROR(VLOOKUP(Tabela1[[#This Row],[MÊS]]&amp;Tabela1[[#This Row],[ID]]&amp;Tabela1[[#This Row],[MATRICULA]]&amp;"cliente 2"&amp;Tabela1[[#This Row],[SETOR]],BD!A:AF,13,0),"")</f>
        <v/>
      </c>
      <c r="BY128" s="135" t="str">
        <f>IFERROR(VLOOKUP(Tabela1[[#This Row],[MÊS]]&amp;Tabela1[[#This Row],[ID]]&amp;Tabela1[[#This Row],[MATRICULA]]&amp;"cliente 3"&amp;Tabela1[[#This Row],[SETOR]],BD!A:AF,13,0),"")</f>
        <v/>
      </c>
      <c r="BZ128" s="135" t="str">
        <f>IFERROR(VLOOKUP(Tabela1[[#This Row],[MÊS]]&amp;Tabela1[[#This Row],[ID]]&amp;Tabela1[[#This Row],[MATRICULA]]&amp;"cliente 4"&amp;Tabela1[[#This Row],[SETOR]],BD!A:AF,13,0),"")</f>
        <v/>
      </c>
      <c r="CA128" s="135" t="str">
        <f>IFERROR(AVERAGE(Tabela1[[#This Row],[DCLI]:[DCLI 4]]),"")</f>
        <v/>
      </c>
      <c r="CB128" s="135" t="str">
        <f>IFERROR(VLOOKUP(Tabela1[[#This Row],[MÊS]]&amp;Tabela1[[#This Row],[ID]]&amp;Tabela1[[#This Row],[MATRICULA]]&amp;"Policia"&amp;Tabela1[[#This Row],[SETOR]],BD!A:AF,13,0),"")</f>
        <v/>
      </c>
      <c r="CC128" s="135" t="str">
        <f>IFERROR(VLOOKUP(Tabela1[[#This Row],[MÊS]]&amp;Tabela1[[#This Row],[ID]]&amp;Tabela1[[#This Row],[MATRICULA]]&amp;"Policia 2"&amp;Tabela1[[#This Row],[SETOR]],BD!A:AF,13,0),"")</f>
        <v/>
      </c>
      <c r="CD128" s="135"/>
      <c r="CE128" s="135"/>
      <c r="CF128" s="135" t="str">
        <f>IFERROR((AVERAGE(Tabela1[[#This Row],[DPOL1]:[DPOL4]])),"")</f>
        <v/>
      </c>
      <c r="CG128" s="21" t="str">
        <f>IFERROR(VLOOKUP(Tabela1[[#This Row],[ID]]&amp;Tabela1[[#This Row],[MÊS]]&amp;Tabela1[[#This Row],[MATRICULA]],#REF!,2,0),"")</f>
        <v/>
      </c>
      <c r="CH128" s="21" t="str">
        <f>IFERROR(VLOOKUP(Tabela1[[#This Row],[ID]]&amp;Tabela1[[#This Row],[MÊS]]&amp;Tabela1[[#This Row],[MATRICULA]],#REF!,2,0),"")</f>
        <v/>
      </c>
      <c r="CI128" s="21" t="str">
        <f>IFERROR(VLOOKUP(Tabela1[[#This Row],[MÊS]]&amp;Tabela1[[#This Row],[MATRICULA]],#REF!,2,0),"")</f>
        <v/>
      </c>
    </row>
    <row r="129" spans="1:87">
      <c r="A129" s="12" t="str">
        <f>Tabela1[[#This Row],[MÊS]]&amp;Tabela1[[#This Row],[MATRICULA]]&amp;Tabela1[[#This Row],[ID]]</f>
        <v>JAN422312</v>
      </c>
      <c r="B129" s="12" t="str">
        <f>Tabela1[[#This Row],[MÊS]]&amp;Tabela1[[#This Row],[ID]]&amp;Tabela1[[#This Row],[MATRICULA]]&amp;Tabela1[[#This Row],[SETOR]]</f>
        <v>JAN124223LOGÍSTICA</v>
      </c>
      <c r="C129" s="130" t="e">
        <f>VLOOKUP(Tabela1[[#This Row],[MATRICULA]],'BD Campos'!A:D,5,0)</f>
        <v>#REF!</v>
      </c>
      <c r="D129" s="133" t="str">
        <f ca="1">IFERROR(SUM(TODAY()-Tabela1[[#This Row],[ADMISSÃO]]),"")</f>
        <v/>
      </c>
      <c r="E129" s="11" t="str">
        <f ca="1">IFERROR(TRUNC(Tabela1[[#This Row],[TEMPO DE CASA (DIAS)]]/30),"")</f>
        <v/>
      </c>
      <c r="F129" s="32" t="str">
        <f ca="1">IFERROR(SUM(Tabela1[[#This Row],[TEMPO DE CASA (MESES)]]/12),"")</f>
        <v/>
      </c>
      <c r="G129" s="133" t="str">
        <f ca="1">IF(Tabela1[[#This Row],[TEMPO DE CASA (DIAS)]]="","SEM DADOS",IF(Tabela1[[#This Row],[TEMPO DE CASA (DIAS)]]&gt;180,"&gt; 6 MESES","&lt; 6 MESES"))</f>
        <v>SEM DADOS</v>
      </c>
      <c r="H129" s="12" t="str">
        <f t="shared" si="12"/>
        <v>JANGeovana Meurer12</v>
      </c>
      <c r="I129" s="12" t="str">
        <f>IFERROR(VLOOKUP(Tabela1[[#This Row],[MATRICULA]],'BD Campos'!A:F,7,0),"")</f>
        <v/>
      </c>
      <c r="J129" s="11">
        <v>12</v>
      </c>
      <c r="K129" s="11" t="s">
        <v>669</v>
      </c>
      <c r="L129" s="136">
        <v>4223</v>
      </c>
      <c r="M129" s="12" t="str">
        <f>IFERROR(VLOOKUP(Tabela1[[#This Row],[MATRICULA]],'BD Campos'!A:B,2,0),"")</f>
        <v>ISIS GABRIELY TEODORO</v>
      </c>
      <c r="N129" s="20">
        <f>IFERROR(AVERAGE(Tabela1[[#This Row],[A1]:[A4]]),"")</f>
        <v>0</v>
      </c>
      <c r="O129" s="20" t="str">
        <f>IFERROR(IF(Tabela1[[#This Row],[SETOR]]="RECEPTIVO","",AVERAGE(Tabela1[[#This Row],[A5]:[A6]])),"")</f>
        <v/>
      </c>
      <c r="P129" s="20" t="str">
        <f>IFERROR(IF(Tabela1[[#This Row],[STATUS]]="INATIVO","INATIVO",IF(Tabela1[[#This Row],[STATUS]]="QRT","INATIVO",IF(Tabela1[[#This Row],[OPERACIONAL]]&gt;7.99999,"BOM","RUIM"))),"")</f>
        <v>RUIM</v>
      </c>
      <c r="Q129" s="21" t="s">
        <v>667</v>
      </c>
      <c r="R129" s="12" t="s">
        <v>315</v>
      </c>
      <c r="S129" s="12" t="s">
        <v>11</v>
      </c>
      <c r="T129" s="12" t="s">
        <v>315</v>
      </c>
      <c r="U12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2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29" s="12">
        <f>IF(AND(Tabela1[[#This Row],[SETOR]]="UTI",Tabela1[[#This Row],[M]]&lt;&gt;""),1,IF(AND(Tabela1[[#This Row],[SETOR]]="UTI (RJ)",Tabela1[[#This Row],[M]]&lt;&gt;""),1.5,0))</f>
        <v>0</v>
      </c>
      <c r="X129" s="12">
        <f>IF(AND(Tabela1[[#This Row],[SETOR]]="UTI",Tabela1[[#This Row],[PA2]]&lt;&gt;""),1,IF(AND(Tabela1[[#This Row],[SETOR]]="UTI (RJ)",Tabela1[[#This Row],[PA2]]&lt;&gt;""),0,0))</f>
        <v>0</v>
      </c>
      <c r="Y129" s="12">
        <f>IF(AND(Tabela1[[#This Row],[SETOR]]="UTI",Tabela1[[#This Row],[C]]&lt;&gt;""),1,IF(AND(Tabela1[[#This Row],[SETOR]]="UTI (RJ)",Tabela1[[#This Row],[C]]&lt;&gt;""),1.5,0))</f>
        <v>0</v>
      </c>
      <c r="Z129" s="12">
        <f>IF(AND(Tabela1[[#This Row],[SETOR]]="UTI",Tabela1[[#This Row],[PL]]&lt;&gt;""),1,IF(AND(Tabela1[[#This Row],[SETOR]]="UTI (RJ)",Tabela1[[#This Row],[PL]]&lt;&gt;""),1,0))</f>
        <v>0</v>
      </c>
      <c r="AA129" s="21">
        <f>IFERROR(VLOOKUP(Tabela1[[#This Row],[MÊS]]&amp;Tabela1[[#This Row],[MATRICULA]]&amp;"1"&amp;Tabela1[[#This Row],[SETOR]]&amp;"PADRÃO",BD!B:AF,31,0),"")</f>
        <v>0</v>
      </c>
      <c r="AB129" s="21">
        <f>IFERROR(VLOOKUP(Tabela1[[#This Row],[MÊS]]&amp;Tabela1[[#This Row],[MATRICULA]]&amp;"2"&amp;Tabela1[[#This Row],[SETOR]]&amp;"PADRÃO",BD!B:AF,31,0),"")</f>
        <v>0</v>
      </c>
      <c r="AC129" s="21" t="str">
        <f>IFERROR(VLOOKUP(Tabela1[[#This Row],[MÊS]]&amp;Tabela1[[#This Row],[MATRICULA]]&amp;"3"&amp;Tabela1[[#This Row],[SETOR]]&amp;"PADRÃO",BD!B:AF,31,0),"")</f>
        <v/>
      </c>
      <c r="AD129" s="21" t="str">
        <f>IFERROR(VLOOKUP(Tabela1[[#This Row],[MÊS]]&amp;Tabela1[[#This Row],[MATRICULA]]&amp;"4"&amp;Tabela1[[#This Row],[SETOR]]&amp;"PADRÃO",BD!B:AF,25,0),"")</f>
        <v/>
      </c>
      <c r="AE129" s="21" t="str">
        <f>IFERROR(VLOOKUP(Tabela1[[#This Row],[MÊS]]&amp;Tabela1[[#This Row],[MATRICULA]]&amp;"5"&amp;Tabela1[[#This Row],[SETOR]]&amp;"PADRÃO",BD!B:AF,31,0),"")</f>
        <v/>
      </c>
      <c r="AF129" s="21" t="str">
        <f>IFERROR(VLOOKUP(Tabela1[[#This Row],[MÊS]]&amp;Tabela1[[#This Row],[MATRICULA]]&amp;"6"&amp;Tabela1[[#This Row],[SETOR]]&amp;"PADRÃO",BD!B:AF,31,0),"")</f>
        <v/>
      </c>
      <c r="AG129" s="21" t="str">
        <f>IFERROR(VLOOKUP(Tabela1[[#This Row],[MÊS]]&amp;Tabela1[[#This Row],[MATRICULA]]&amp;"7"&amp;Tabela1[[#This Row],[SETOR]]&amp;"PADRÃO",BD!B:AF,31,0),"")</f>
        <v/>
      </c>
      <c r="AH129" s="21" t="str">
        <f>IFERROR(VLOOKUP(Tabela1[[#This Row],[MÊS]]&amp;Tabela1[[#This Row],[ID]]&amp;Tabela1[[#This Row],[MATRICULA]]&amp;"Receptiva"&amp;Tabela1[[#This Row],[SETOR]],BD!A:AF,31,0),"")</f>
        <v/>
      </c>
      <c r="AI129" s="21" t="str">
        <f>IFERROR(VLOOKUP(Tabela1[[#This Row],[MÊS]]&amp;Tabela1[[#This Row],[ID]]&amp;Tabela1[[#This Row],[MATRICULA]]&amp;"Receptiva 2"&amp;Tabela1[[#This Row],[SETOR]],BD!A:AF,31,0),"")</f>
        <v/>
      </c>
      <c r="AJ129" s="21" t="str">
        <f>IFERROR(VLOOKUP(Tabela1[[#This Row],[MÊS]]&amp;Tabela1[[#This Row],[ID]]&amp;Tabela1[[#This Row],[MATRICULA]]&amp;"Receptiva 3"&amp;Tabela1[[#This Row],[SETOR]],BD!A:AF,31,0),"")</f>
        <v/>
      </c>
      <c r="AK129" s="21" t="str">
        <f>IFERROR(VLOOKUP(Tabela1[[#This Row],[MÊS]]&amp;Tabela1[[#This Row],[ID]]&amp;Tabela1[[#This Row],[MATRICULA]]&amp;"Receptiva 4"&amp;Tabela1[[#This Row],[SETOR]],BD!A:AF,31,0),"")</f>
        <v/>
      </c>
      <c r="AL129" s="21" t="str">
        <f>IFERROR(VLOOKUP(Tabela1[[#This Row],[MÊS]]&amp;Tabela1[[#This Row],[MATRICULA]]&amp;"Motorista"&amp;Tabela1[[#This Row],[SETOR]],BD!A:AF,31,0),"")</f>
        <v/>
      </c>
      <c r="AM129" s="21" t="str">
        <f>IFERROR(VLOOKUP(Tabela1[[#This Row],[MÊS]]&amp;Tabela1[[#This Row],[ID]]&amp;Tabela1[[#This Row],[MATRICULA]]&amp;"Motorista 2"&amp;Tabela1[[#This Row],[SETOR]],BD!A:AF,26,0),"")</f>
        <v/>
      </c>
      <c r="AN129" s="21" t="str">
        <f>IFERROR(VLOOKUP(Tabela1[[#This Row],[MÊS]]&amp;Tabela1[[#This Row],[ID]]&amp;Tabela1[[#This Row],[MATRICULA]]&amp;"Motorista 3"&amp;Tabela1[[#This Row],[SETOR]],BD!A:AF,26,0),"")</f>
        <v/>
      </c>
      <c r="AO129" s="21" t="str">
        <f>IFERROR(VLOOKUP(Tabela1[[#This Row],[MÊS]]&amp;Tabela1[[#This Row],[ID]]&amp;Tabela1[[#This Row],[MATRICULA]]&amp;"Motorista 4"&amp;Tabela1[[#This Row],[SETOR]],BD!A:AF,26,0),"")</f>
        <v/>
      </c>
      <c r="AP129" s="21" t="str">
        <f>IFERROR(VLOOKUP(Tabela1[[#This Row],[MÊS]]&amp;Tabela1[[#This Row],[MATRICULA]]&amp;"Ponto de Apoio"&amp;Tabela1[[#This Row],[SETOR]],BD!A:AF,31,0),"")</f>
        <v/>
      </c>
      <c r="AQ129" s="21" t="str">
        <f>IFERROR(VLOOKUP(Tabela1[[#This Row],[MÊS]]&amp;Tabela1[[#This Row],[ID]]&amp;Tabela1[[#This Row],[MATRICULA]]&amp;"Ponto de Apoio 2"&amp;Tabela1[[#This Row],[SETOR]],BD!A:AF,26,0),"")</f>
        <v/>
      </c>
      <c r="AR129" s="36" t="str">
        <f>IFERROR(VLOOKUP(Tabela1[[#This Row],[MÊS]]&amp;Tabela1[[#This Row],[ID]]&amp;Tabela1[[#This Row],[MATRICULA]]&amp;"Ponto de Apoio 3"&amp;Tabela1[[#This Row],[SETOR]],BD!A:AF,26,0),"")</f>
        <v/>
      </c>
      <c r="AS129" s="36" t="str">
        <f>IFERROR(VLOOKUP(Tabela1[[#This Row],[MÊS]]&amp;Tabela1[[#This Row],[ID]]&amp;Tabela1[[#This Row],[MATRICULA]]&amp;"Ponto de Apoio 4"&amp;Tabela1[[#This Row],[SETOR]],BD!A:AF,26,0),"")</f>
        <v/>
      </c>
      <c r="AT129" s="21" t="str">
        <f>IFERROR(VLOOKUP(Tabela1[[#This Row],[MÊS]]&amp;Tabela1[[#This Row],[MATRICULA]]&amp;"Cliente"&amp;Tabela1[[#This Row],[SETOR]],BD!A:AF,31,0),"")</f>
        <v/>
      </c>
      <c r="AU129" s="21" t="str">
        <f>IFERROR(VLOOKUP(Tabela1[[#This Row],[MÊS]]&amp;Tabela1[[#This Row],[ID]]&amp;Tabela1[[#This Row],[MATRICULA]]&amp;"Cliente 2"&amp;Tabela1[[#This Row],[SETOR]],BD!A:AF,26,0),"")</f>
        <v/>
      </c>
      <c r="AX129" s="21" t="str">
        <f>IFERROR(VLOOKUP(Tabela1[[#This Row],[MÊS]]&amp;Tabela1[[#This Row],[MATRICULA]]&amp;"Policia"&amp;Tabela1[[#This Row],[SETOR]],BD!A:AF,31,0),"")</f>
        <v/>
      </c>
      <c r="AY129" s="21" t="str">
        <f>IFERROR(VLOOKUP(Tabela1[[#This Row],[MÊS]]&amp;Tabela1[[#This Row],[ID]]&amp;Tabela1[[#This Row],[MATRICULA]]&amp;"Policia 2"&amp;Tabela1[[#This Row],[SETOR]],BD!A:AF,26,0),"")</f>
        <v/>
      </c>
      <c r="AZ129" s="36" t="str">
        <f>IFERROR(VLOOKUP(Tabela1[[#This Row],[MÊS]]&amp;Tabela1[[#This Row],[ID]]&amp;Tabela1[[#This Row],[MATRICULA]]&amp;"Policia 3"&amp;Tabela1[[#This Row],[SETOR]],BD!A:AF,26,0),"")</f>
        <v/>
      </c>
      <c r="BA129" s="36" t="str">
        <f>IFERROR(VLOOKUP(Tabela1[[#This Row],[MÊS]]&amp;Tabela1[[#This Row],[ID]]&amp;Tabela1[[#This Row],[MATRICULA]]&amp;"Policia 4"&amp;Tabela1[[#This Row],[SETOR]],BD!A:AF,26,0),"")</f>
        <v/>
      </c>
      <c r="BB12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29" s="21" t="str">
        <f>IFERROR(AVERAGE(Tabela1[[#This Row],[M]:[M4]]),"")</f>
        <v/>
      </c>
      <c r="BD129" s="21" t="str">
        <f>IFERROR(AVERAGE(Tabela1[[#This Row],[C]:[C4]]),"")</f>
        <v/>
      </c>
      <c r="BE129" s="21" t="str">
        <f>IFERROR(AVERAGE(Tabela1[[#This Row],[PA2]:[PA 4]]),"")</f>
        <v/>
      </c>
      <c r="BF129" s="21" t="str">
        <f>IFERROR(AVERAGE(Tabela1[[#This Row],[PL]:[PL4]]),"")</f>
        <v/>
      </c>
      <c r="BG129" s="35" t="str">
        <f>IFERROR(VLOOKUP(Tabela1[[#This Row],[MÊS]]&amp;Tabela1[[#This Row],[MATRICULA]],#REF!,2,0),"")</f>
        <v/>
      </c>
      <c r="BH129" s="35" t="str">
        <f>IFERROR(VLOOKUP(Tabela1[[#This Row],[MÊS]]&amp;Tabela1[[#This Row],[MATRICULA]],#REF!,2,0),"")</f>
        <v/>
      </c>
      <c r="BI129" s="35" t="str">
        <f>IFERROR(VLOOKUP(Tabela1[[#This Row],[MÊS]]&amp;Tabela1[[#This Row],[MATRICULA]],#REF!,2,0),"")</f>
        <v/>
      </c>
      <c r="BJ129" s="35" t="str">
        <f>IFERROR(VLOOKUP(Tabela1[[#This Row],[MÊS]]&amp;Tabela1[[#This Row],[MATRICULA]],#REF!,2,0),"")</f>
        <v/>
      </c>
      <c r="BK129" s="35" t="str">
        <f>IFERROR(VLOOKUP(Tabela1[[#This Row],[MÊS]]&amp;Tabela1[[#This Row],[MATRICULA]],#REF!,2,0),"")</f>
        <v/>
      </c>
      <c r="BL129" s="21">
        <f>COUNTIF(Tabela1[[#This Row],[MOT2]:[RECEPTIVA]],"NÃO ENCONTRADA")</f>
        <v>0</v>
      </c>
      <c r="BM129" s="135" t="str">
        <f>IFERROR(VLOOKUP(Tabela1[[#This Row],[MÊS]]&amp;Tabela1[[#This Row],[ID]]&amp;Tabela1[[#This Row],[MATRICULA]]&amp;"Motorista"&amp;Tabela1[[#This Row],[SETOR]],BD!A:AF,13,0),"")</f>
        <v/>
      </c>
      <c r="BN129" s="135" t="str">
        <f>IFERROR(VLOOKUP(Tabela1[[#This Row],[MÊS]]&amp;Tabela1[[#This Row],[ID]]&amp;Tabela1[[#This Row],[MATRICULA]]&amp;"Motorista 2"&amp;Tabela1[[#This Row],[SETOR]],BD!A:AF,13,0),"")</f>
        <v/>
      </c>
      <c r="BO129" s="135" t="str">
        <f>IFERROR(VLOOKUP(Tabela1[[#This Row],[MÊS]]&amp;Tabela1[[#This Row],[ID]]&amp;Tabela1[[#This Row],[MATRICULA]]&amp;"Motorista 3"&amp;Tabela1[[#This Row],[SETOR]],BD!A:AF,13,0),"")</f>
        <v/>
      </c>
      <c r="BP129" s="135" t="str">
        <f>IFERROR(VLOOKUP(Tabela1[[#This Row],[MÊS]]&amp;Tabela1[[#This Row],[ID]]&amp;Tabela1[[#This Row],[MATRICULA]]&amp;"Motorista 4"&amp;Tabela1[[#This Row],[SETOR]],BD!A:AF,13,0),"")</f>
        <v/>
      </c>
      <c r="BQ129" s="135" t="str">
        <f>IFERROR(AVERAGE(Tabela1[[#This Row],[DMOT]:[DMOT4]]),"")</f>
        <v/>
      </c>
      <c r="BR129" s="135" t="str">
        <f>IFERROR(VLOOKUP(Tabela1[[#This Row],[MÊS]]&amp;Tabela1[[#This Row],[ID]]&amp;Tabela1[[#This Row],[MATRICULA]]&amp;"Ponto de Apoio"&amp;Tabela1[[#This Row],[SETOR]],BD!A:AF,13,0),"")</f>
        <v/>
      </c>
      <c r="BS129" s="135" t="str">
        <f>IFERROR(VLOOKUP(Tabela1[[#This Row],[MÊS]]&amp;Tabela1[[#This Row],[ID]]&amp;Tabela1[[#This Row],[MATRICULA]]&amp;"Ponto de Apoio 2"&amp;Tabela1[[#This Row],[SETOR]],BD!A:AF,13,0),"")</f>
        <v/>
      </c>
      <c r="BT129" s="135" t="str">
        <f>IFERROR(VLOOKUP(Tabela1[[#This Row],[MÊS]]&amp;Tabela1[[#This Row],[ID]]&amp;Tabela1[[#This Row],[MATRICULA]]&amp;"Ponto de Apoio 3"&amp;Tabela1[[#This Row],[SETOR]],BD!A:AF,13,0),"")</f>
        <v/>
      </c>
      <c r="BU129" s="135" t="str">
        <f>IFERROR(VLOOKUP(Tabela1[[#This Row],[MÊS]]&amp;Tabela1[[#This Row],[ID]]&amp;Tabela1[[#This Row],[MATRICULA]]&amp;"Ponto de Apoio 4"&amp;Tabela1[[#This Row],[SETOR]],BD!A:AF,13,0),"")</f>
        <v/>
      </c>
      <c r="BV129" s="135" t="str">
        <f>IFERROR(AVERAGE(Tabela1[[#This Row],[DPA]:[DPA 4]]),"")</f>
        <v/>
      </c>
      <c r="BW129" s="135" t="str">
        <f>IFERROR(VLOOKUP(Tabela1[[#This Row],[MÊS]]&amp;Tabela1[[#This Row],[ID]]&amp;Tabela1[[#This Row],[MATRICULA]]&amp;"Cliente"&amp;Tabela1[[#This Row],[SETOR]],BD!A:AF,13,0),"")</f>
        <v/>
      </c>
      <c r="BX129" s="135" t="str">
        <f>IFERROR(VLOOKUP(Tabela1[[#This Row],[MÊS]]&amp;Tabela1[[#This Row],[ID]]&amp;Tabela1[[#This Row],[MATRICULA]]&amp;"cliente 2"&amp;Tabela1[[#This Row],[SETOR]],BD!A:AF,13,0),"")</f>
        <v/>
      </c>
      <c r="BY129" s="135" t="str">
        <f>IFERROR(VLOOKUP(Tabela1[[#This Row],[MÊS]]&amp;Tabela1[[#This Row],[ID]]&amp;Tabela1[[#This Row],[MATRICULA]]&amp;"cliente 3"&amp;Tabela1[[#This Row],[SETOR]],BD!A:AF,13,0),"")</f>
        <v/>
      </c>
      <c r="BZ129" s="135" t="str">
        <f>IFERROR(VLOOKUP(Tabela1[[#This Row],[MÊS]]&amp;Tabela1[[#This Row],[ID]]&amp;Tabela1[[#This Row],[MATRICULA]]&amp;"cliente 4"&amp;Tabela1[[#This Row],[SETOR]],BD!A:AF,13,0),"")</f>
        <v/>
      </c>
      <c r="CA129" s="135" t="str">
        <f>IFERROR(AVERAGE(Tabela1[[#This Row],[DCLI]:[DCLI 4]]),"")</f>
        <v/>
      </c>
      <c r="CB129" s="135" t="str">
        <f>IFERROR(VLOOKUP(Tabela1[[#This Row],[MÊS]]&amp;Tabela1[[#This Row],[ID]]&amp;Tabela1[[#This Row],[MATRICULA]]&amp;"Policia"&amp;Tabela1[[#This Row],[SETOR]],BD!A:AF,13,0),"")</f>
        <v/>
      </c>
      <c r="CC129" s="135" t="str">
        <f>IFERROR(VLOOKUP(Tabela1[[#This Row],[MÊS]]&amp;Tabela1[[#This Row],[ID]]&amp;Tabela1[[#This Row],[MATRICULA]]&amp;"Policia 2"&amp;Tabela1[[#This Row],[SETOR]],BD!A:AF,13,0),"")</f>
        <v/>
      </c>
      <c r="CD129" s="135"/>
      <c r="CE129" s="135"/>
      <c r="CF129" s="135" t="str">
        <f>IFERROR((AVERAGE(Tabela1[[#This Row],[DPOL1]:[DPOL4]])),"")</f>
        <v/>
      </c>
      <c r="CG129" s="21" t="str">
        <f>IFERROR(VLOOKUP(Tabela1[[#This Row],[ID]]&amp;Tabela1[[#This Row],[MÊS]]&amp;Tabela1[[#This Row],[MATRICULA]],#REF!,2,0),"")</f>
        <v/>
      </c>
      <c r="CH129" s="21" t="str">
        <f>IFERROR(VLOOKUP(Tabela1[[#This Row],[ID]]&amp;Tabela1[[#This Row],[MÊS]]&amp;Tabela1[[#This Row],[MATRICULA]],#REF!,2,0),"")</f>
        <v/>
      </c>
      <c r="CI129" s="21" t="str">
        <f>IFERROR(VLOOKUP(Tabela1[[#This Row],[MÊS]]&amp;Tabela1[[#This Row],[MATRICULA]],#REF!,2,0),"")</f>
        <v/>
      </c>
    </row>
    <row r="130" spans="1:87">
      <c r="A130" s="12" t="str">
        <f>Tabela1[[#This Row],[MÊS]]&amp;Tabela1[[#This Row],[MATRICULA]]&amp;Tabela1[[#This Row],[ID]]</f>
        <v>JAN1144313</v>
      </c>
      <c r="B130" s="12" t="str">
        <f>Tabela1[[#This Row],[MÊS]]&amp;Tabela1[[#This Row],[ID]]&amp;Tabela1[[#This Row],[MATRICULA]]&amp;Tabela1[[#This Row],[SETOR]]</f>
        <v>JAN1311443LOGÍSTICA</v>
      </c>
      <c r="C130" s="130" t="e">
        <f>VLOOKUP(Tabela1[[#This Row],[MATRICULA]],'BD Campos'!A:D,5,0)</f>
        <v>#REF!</v>
      </c>
      <c r="D130" s="133" t="str">
        <f ca="1">IFERROR(SUM(TODAY()-Tabela1[[#This Row],[ADMISSÃO]]),"")</f>
        <v/>
      </c>
      <c r="E130" s="11" t="str">
        <f ca="1">IFERROR(TRUNC(Tabela1[[#This Row],[TEMPO DE CASA (DIAS)]]/30),"")</f>
        <v/>
      </c>
      <c r="F130" s="32" t="str">
        <f ca="1">IFERROR(SUM(Tabela1[[#This Row],[TEMPO DE CASA (MESES)]]/12),"")</f>
        <v/>
      </c>
      <c r="G130" s="133" t="str">
        <f ca="1">IF(Tabela1[[#This Row],[TEMPO DE CASA (DIAS)]]="","SEM DADOS",IF(Tabela1[[#This Row],[TEMPO DE CASA (DIAS)]]&gt;180,"&gt; 6 MESES","&lt; 6 MESES"))</f>
        <v>SEM DADOS</v>
      </c>
      <c r="H130" s="12" t="str">
        <f t="shared" si="12"/>
        <v>JANGeovana Meurer13</v>
      </c>
      <c r="I130" s="12" t="str">
        <f>IFERROR(VLOOKUP(Tabela1[[#This Row],[MATRICULA]],'BD Campos'!A:F,7,0),"")</f>
        <v/>
      </c>
      <c r="J130" s="11">
        <v>13</v>
      </c>
      <c r="K130" s="11" t="s">
        <v>669</v>
      </c>
      <c r="L130" s="136">
        <v>11443</v>
      </c>
      <c r="M130" s="12" t="str">
        <f>IFERROR(VLOOKUP(Tabela1[[#This Row],[MATRICULA]],'BD Campos'!A:B,2,0),"")</f>
        <v>MILENA HOFFMANN</v>
      </c>
      <c r="N130" s="20">
        <f>IFERROR(AVERAGE(Tabela1[[#This Row],[A1]:[A4]]),"")</f>
        <v>9.2125000000000021</v>
      </c>
      <c r="O130" s="20" t="str">
        <f>IFERROR(IF(Tabela1[[#This Row],[SETOR]]="RECEPTIVO","",AVERAGE(Tabela1[[#This Row],[A5]:[A6]])),"")</f>
        <v/>
      </c>
      <c r="P130" s="20" t="str">
        <f>IFERROR(IF(Tabela1[[#This Row],[STATUS]]="INATIVO","INATIVO",IF(Tabela1[[#This Row],[STATUS]]="QRT","INATIVO",IF(Tabela1[[#This Row],[OPERACIONAL]]&gt;7.99999,"BOM","RUIM"))),"")</f>
        <v>BOM</v>
      </c>
      <c r="Q130" s="21" t="s">
        <v>667</v>
      </c>
      <c r="R130" s="12" t="s">
        <v>315</v>
      </c>
      <c r="S130" s="12" t="s">
        <v>11</v>
      </c>
      <c r="T130" s="12" t="s">
        <v>315</v>
      </c>
      <c r="U13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30" s="12">
        <f>IF(AND(Tabela1[[#This Row],[SETOR]]="UTI",Tabela1[[#This Row],[M]]&lt;&gt;""),1,IF(AND(Tabela1[[#This Row],[SETOR]]="UTI (RJ)",Tabela1[[#This Row],[M]]&lt;&gt;""),1.5,0))</f>
        <v>0</v>
      </c>
      <c r="X130" s="12">
        <f>IF(AND(Tabela1[[#This Row],[SETOR]]="UTI",Tabela1[[#This Row],[PA2]]&lt;&gt;""),1,IF(AND(Tabela1[[#This Row],[SETOR]]="UTI (RJ)",Tabela1[[#This Row],[PA2]]&lt;&gt;""),0,0))</f>
        <v>0</v>
      </c>
      <c r="Y130" s="12">
        <f>IF(AND(Tabela1[[#This Row],[SETOR]]="UTI",Tabela1[[#This Row],[C]]&lt;&gt;""),1,IF(AND(Tabela1[[#This Row],[SETOR]]="UTI (RJ)",Tabela1[[#This Row],[C]]&lt;&gt;""),1.5,0))</f>
        <v>0</v>
      </c>
      <c r="Z130" s="12">
        <f>IF(AND(Tabela1[[#This Row],[SETOR]]="UTI",Tabela1[[#This Row],[PL]]&lt;&gt;""),1,IF(AND(Tabela1[[#This Row],[SETOR]]="UTI (RJ)",Tabela1[[#This Row],[PL]]&lt;&gt;""),1,0))</f>
        <v>0</v>
      </c>
      <c r="AA130" s="21">
        <f>IFERROR(VLOOKUP(Tabela1[[#This Row],[MÊS]]&amp;Tabela1[[#This Row],[MATRICULA]]&amp;"1"&amp;Tabela1[[#This Row],[SETOR]]&amp;"PADRÃO",BD!B:AF,31,0),"")</f>
        <v>8.4250000000000007</v>
      </c>
      <c r="AB130" s="21">
        <f>IFERROR(VLOOKUP(Tabela1[[#This Row],[MÊS]]&amp;Tabela1[[#This Row],[MATRICULA]]&amp;"2"&amp;Tabela1[[#This Row],[SETOR]]&amp;"PADRÃO",BD!B:AF,31,0),"")</f>
        <v>10.000000000000002</v>
      </c>
      <c r="AC130" s="21" t="str">
        <f>IFERROR(VLOOKUP(Tabela1[[#This Row],[MÊS]]&amp;Tabela1[[#This Row],[MATRICULA]]&amp;"3"&amp;Tabela1[[#This Row],[SETOR]]&amp;"PADRÃO",BD!B:AF,31,0),"")</f>
        <v/>
      </c>
      <c r="AD130" s="21" t="str">
        <f>IFERROR(VLOOKUP(Tabela1[[#This Row],[MÊS]]&amp;Tabela1[[#This Row],[MATRICULA]]&amp;"4"&amp;Tabela1[[#This Row],[SETOR]]&amp;"PADRÃO",BD!B:AF,25,0),"")</f>
        <v/>
      </c>
      <c r="AE130" s="21" t="str">
        <f>IFERROR(VLOOKUP(Tabela1[[#This Row],[MÊS]]&amp;Tabela1[[#This Row],[MATRICULA]]&amp;"5"&amp;Tabela1[[#This Row],[SETOR]]&amp;"PADRÃO",BD!B:AF,31,0),"")</f>
        <v/>
      </c>
      <c r="AF130" s="21" t="str">
        <f>IFERROR(VLOOKUP(Tabela1[[#This Row],[MÊS]]&amp;Tabela1[[#This Row],[MATRICULA]]&amp;"6"&amp;Tabela1[[#This Row],[SETOR]]&amp;"PADRÃO",BD!B:AF,31,0),"")</f>
        <v/>
      </c>
      <c r="AG130" s="21" t="str">
        <f>IFERROR(VLOOKUP(Tabela1[[#This Row],[MÊS]]&amp;Tabela1[[#This Row],[MATRICULA]]&amp;"7"&amp;Tabela1[[#This Row],[SETOR]]&amp;"PADRÃO",BD!B:AF,31,0),"")</f>
        <v/>
      </c>
      <c r="AH130" s="21" t="str">
        <f>IFERROR(VLOOKUP(Tabela1[[#This Row],[MÊS]]&amp;Tabela1[[#This Row],[ID]]&amp;Tabela1[[#This Row],[MATRICULA]]&amp;"Receptiva"&amp;Tabela1[[#This Row],[SETOR]],BD!A:AF,31,0),"")</f>
        <v/>
      </c>
      <c r="AI130" s="21" t="str">
        <f>IFERROR(VLOOKUP(Tabela1[[#This Row],[MÊS]]&amp;Tabela1[[#This Row],[ID]]&amp;Tabela1[[#This Row],[MATRICULA]]&amp;"Receptiva 2"&amp;Tabela1[[#This Row],[SETOR]],BD!A:AF,31,0),"")</f>
        <v/>
      </c>
      <c r="AJ130" s="21" t="str">
        <f>IFERROR(VLOOKUP(Tabela1[[#This Row],[MÊS]]&amp;Tabela1[[#This Row],[ID]]&amp;Tabela1[[#This Row],[MATRICULA]]&amp;"Receptiva 3"&amp;Tabela1[[#This Row],[SETOR]],BD!A:AF,31,0),"")</f>
        <v/>
      </c>
      <c r="AK130" s="21" t="str">
        <f>IFERROR(VLOOKUP(Tabela1[[#This Row],[MÊS]]&amp;Tabela1[[#This Row],[ID]]&amp;Tabela1[[#This Row],[MATRICULA]]&amp;"Receptiva 4"&amp;Tabela1[[#This Row],[SETOR]],BD!A:AF,31,0),"")</f>
        <v/>
      </c>
      <c r="AL130" s="21">
        <f>IFERROR(VLOOKUP(Tabela1[[#This Row],[MÊS]]&amp;Tabela1[[#This Row],[MATRICULA]]&amp;"Motorista"&amp;Tabela1[[#This Row],[SETOR]],BD!A:AF,31,0),"")</f>
        <v>0</v>
      </c>
      <c r="AM130" s="21" t="str">
        <f>IFERROR(VLOOKUP(Tabela1[[#This Row],[MÊS]]&amp;Tabela1[[#This Row],[ID]]&amp;Tabela1[[#This Row],[MATRICULA]]&amp;"Motorista 2"&amp;Tabela1[[#This Row],[SETOR]],BD!A:AF,26,0),"")</f>
        <v/>
      </c>
      <c r="AN130" s="21" t="str">
        <f>IFERROR(VLOOKUP(Tabela1[[#This Row],[MÊS]]&amp;Tabela1[[#This Row],[ID]]&amp;Tabela1[[#This Row],[MATRICULA]]&amp;"Motorista 3"&amp;Tabela1[[#This Row],[SETOR]],BD!A:AF,26,0),"")</f>
        <v/>
      </c>
      <c r="AO130" s="21" t="str">
        <f>IFERROR(VLOOKUP(Tabela1[[#This Row],[MÊS]]&amp;Tabela1[[#This Row],[ID]]&amp;Tabela1[[#This Row],[MATRICULA]]&amp;"Motorista 4"&amp;Tabela1[[#This Row],[SETOR]],BD!A:AF,26,0),"")</f>
        <v/>
      </c>
      <c r="AP130" s="21" t="str">
        <f>IFERROR(VLOOKUP(Tabela1[[#This Row],[MÊS]]&amp;Tabela1[[#This Row],[MATRICULA]]&amp;"Ponto de Apoio"&amp;Tabela1[[#This Row],[SETOR]],BD!A:AF,31,0),"")</f>
        <v/>
      </c>
      <c r="AQ130" s="21" t="str">
        <f>IFERROR(VLOOKUP(Tabela1[[#This Row],[MÊS]]&amp;Tabela1[[#This Row],[ID]]&amp;Tabela1[[#This Row],[MATRICULA]]&amp;"Ponto de Apoio 2"&amp;Tabela1[[#This Row],[SETOR]],BD!A:AF,26,0),"")</f>
        <v/>
      </c>
      <c r="AR130" s="36" t="str">
        <f>IFERROR(VLOOKUP(Tabela1[[#This Row],[MÊS]]&amp;Tabela1[[#This Row],[ID]]&amp;Tabela1[[#This Row],[MATRICULA]]&amp;"Ponto de Apoio 3"&amp;Tabela1[[#This Row],[SETOR]],BD!A:AF,26,0),"")</f>
        <v/>
      </c>
      <c r="AS130" s="36" t="str">
        <f>IFERROR(VLOOKUP(Tabela1[[#This Row],[MÊS]]&amp;Tabela1[[#This Row],[ID]]&amp;Tabela1[[#This Row],[MATRICULA]]&amp;"Ponto de Apoio 4"&amp;Tabela1[[#This Row],[SETOR]],BD!A:AF,26,0),"")</f>
        <v/>
      </c>
      <c r="AT130" s="21">
        <f>IFERROR(VLOOKUP(Tabela1[[#This Row],[MÊS]]&amp;Tabela1[[#This Row],[MATRICULA]]&amp;"Cliente"&amp;Tabela1[[#This Row],[SETOR]],BD!A:AF,31,0),"")</f>
        <v>0</v>
      </c>
      <c r="AU130" s="21" t="str">
        <f>IFERROR(VLOOKUP(Tabela1[[#This Row],[MÊS]]&amp;Tabela1[[#This Row],[ID]]&amp;Tabela1[[#This Row],[MATRICULA]]&amp;"Cliente 2"&amp;Tabela1[[#This Row],[SETOR]],BD!A:AF,26,0),"")</f>
        <v/>
      </c>
      <c r="AX130" s="21" t="str">
        <f>IFERROR(VLOOKUP(Tabela1[[#This Row],[MÊS]]&amp;Tabela1[[#This Row],[MATRICULA]]&amp;"Policia"&amp;Tabela1[[#This Row],[SETOR]],BD!A:AF,31,0),"")</f>
        <v/>
      </c>
      <c r="AY130" s="21" t="str">
        <f>IFERROR(VLOOKUP(Tabela1[[#This Row],[MÊS]]&amp;Tabela1[[#This Row],[ID]]&amp;Tabela1[[#This Row],[MATRICULA]]&amp;"Policia 2"&amp;Tabela1[[#This Row],[SETOR]],BD!A:AF,26,0),"")</f>
        <v/>
      </c>
      <c r="AZ130" s="36" t="str">
        <f>IFERROR(VLOOKUP(Tabela1[[#This Row],[MÊS]]&amp;Tabela1[[#This Row],[ID]]&amp;Tabela1[[#This Row],[MATRICULA]]&amp;"Policia 3"&amp;Tabela1[[#This Row],[SETOR]],BD!A:AF,26,0),"")</f>
        <v/>
      </c>
      <c r="BA130" s="36" t="str">
        <f>IFERROR(VLOOKUP(Tabela1[[#This Row],[MÊS]]&amp;Tabela1[[#This Row],[ID]]&amp;Tabela1[[#This Row],[MATRICULA]]&amp;"Policia 4"&amp;Tabela1[[#This Row],[SETOR]],BD!A:AF,26,0),"")</f>
        <v/>
      </c>
      <c r="BB13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0" s="21">
        <f>IFERROR(AVERAGE(Tabela1[[#This Row],[M]:[M4]]),"")</f>
        <v>0</v>
      </c>
      <c r="BD130" s="21">
        <f>IFERROR(AVERAGE(Tabela1[[#This Row],[C]:[C4]]),"")</f>
        <v>0</v>
      </c>
      <c r="BE130" s="21" t="str">
        <f>IFERROR(AVERAGE(Tabela1[[#This Row],[PA2]:[PA 4]]),"")</f>
        <v/>
      </c>
      <c r="BF130" s="21" t="str">
        <f>IFERROR(AVERAGE(Tabela1[[#This Row],[PL]:[PL4]]),"")</f>
        <v/>
      </c>
      <c r="BG130" s="35" t="str">
        <f>IFERROR(VLOOKUP(Tabela1[[#This Row],[MÊS]]&amp;Tabela1[[#This Row],[MATRICULA]],#REF!,2,0),"")</f>
        <v/>
      </c>
      <c r="BH130" s="35" t="str">
        <f>IFERROR(VLOOKUP(Tabela1[[#This Row],[MÊS]]&amp;Tabela1[[#This Row],[MATRICULA]],#REF!,2,0),"")</f>
        <v/>
      </c>
      <c r="BI130" s="35" t="str">
        <f>IFERROR(VLOOKUP(Tabela1[[#This Row],[MÊS]]&amp;Tabela1[[#This Row],[MATRICULA]],#REF!,2,0),"")</f>
        <v/>
      </c>
      <c r="BJ130" s="35" t="str">
        <f>IFERROR(VLOOKUP(Tabela1[[#This Row],[MÊS]]&amp;Tabela1[[#This Row],[MATRICULA]],#REF!,2,0),"")</f>
        <v/>
      </c>
      <c r="BK130" s="35" t="str">
        <f>IFERROR(VLOOKUP(Tabela1[[#This Row],[MÊS]]&amp;Tabela1[[#This Row],[MATRICULA]],#REF!,2,0),"")</f>
        <v/>
      </c>
      <c r="BL130" s="21">
        <f>COUNTIF(Tabela1[[#This Row],[MOT2]:[RECEPTIVA]],"NÃO ENCONTRADA")</f>
        <v>0</v>
      </c>
      <c r="BM130" s="135" t="str">
        <f>IFERROR(VLOOKUP(Tabela1[[#This Row],[MÊS]]&amp;Tabela1[[#This Row],[ID]]&amp;Tabela1[[#This Row],[MATRICULA]]&amp;"Motorista"&amp;Tabela1[[#This Row],[SETOR]],BD!A:AF,13,0),"")</f>
        <v/>
      </c>
      <c r="BN130" s="135" t="str">
        <f>IFERROR(VLOOKUP(Tabela1[[#This Row],[MÊS]]&amp;Tabela1[[#This Row],[ID]]&amp;Tabela1[[#This Row],[MATRICULA]]&amp;"Motorista 2"&amp;Tabela1[[#This Row],[SETOR]],BD!A:AF,13,0),"")</f>
        <v/>
      </c>
      <c r="BO130" s="135" t="str">
        <f>IFERROR(VLOOKUP(Tabela1[[#This Row],[MÊS]]&amp;Tabela1[[#This Row],[ID]]&amp;Tabela1[[#This Row],[MATRICULA]]&amp;"Motorista 3"&amp;Tabela1[[#This Row],[SETOR]],BD!A:AF,13,0),"")</f>
        <v/>
      </c>
      <c r="BP130" s="135" t="str">
        <f>IFERROR(VLOOKUP(Tabela1[[#This Row],[MÊS]]&amp;Tabela1[[#This Row],[ID]]&amp;Tabela1[[#This Row],[MATRICULA]]&amp;"Motorista 4"&amp;Tabela1[[#This Row],[SETOR]],BD!A:AF,13,0),"")</f>
        <v/>
      </c>
      <c r="BQ130" s="135" t="str">
        <f>IFERROR(AVERAGE(Tabela1[[#This Row],[DMOT]:[DMOT4]]),"")</f>
        <v/>
      </c>
      <c r="BR130" s="135" t="str">
        <f>IFERROR(VLOOKUP(Tabela1[[#This Row],[MÊS]]&amp;Tabela1[[#This Row],[ID]]&amp;Tabela1[[#This Row],[MATRICULA]]&amp;"Ponto de Apoio"&amp;Tabela1[[#This Row],[SETOR]],BD!A:AF,13,0),"")</f>
        <v/>
      </c>
      <c r="BS130" s="135" t="str">
        <f>IFERROR(VLOOKUP(Tabela1[[#This Row],[MÊS]]&amp;Tabela1[[#This Row],[ID]]&amp;Tabela1[[#This Row],[MATRICULA]]&amp;"Ponto de Apoio 2"&amp;Tabela1[[#This Row],[SETOR]],BD!A:AF,13,0),"")</f>
        <v/>
      </c>
      <c r="BT130" s="135" t="str">
        <f>IFERROR(VLOOKUP(Tabela1[[#This Row],[MÊS]]&amp;Tabela1[[#This Row],[ID]]&amp;Tabela1[[#This Row],[MATRICULA]]&amp;"Ponto de Apoio 3"&amp;Tabela1[[#This Row],[SETOR]],BD!A:AF,13,0),"")</f>
        <v/>
      </c>
      <c r="BU130" s="135" t="str">
        <f>IFERROR(VLOOKUP(Tabela1[[#This Row],[MÊS]]&amp;Tabela1[[#This Row],[ID]]&amp;Tabela1[[#This Row],[MATRICULA]]&amp;"Ponto de Apoio 4"&amp;Tabela1[[#This Row],[SETOR]],BD!A:AF,13,0),"")</f>
        <v/>
      </c>
      <c r="BV130" s="135" t="str">
        <f>IFERROR(AVERAGE(Tabela1[[#This Row],[DPA]:[DPA 4]]),"")</f>
        <v/>
      </c>
      <c r="BW130" s="135" t="str">
        <f>IFERROR(VLOOKUP(Tabela1[[#This Row],[MÊS]]&amp;Tabela1[[#This Row],[ID]]&amp;Tabela1[[#This Row],[MATRICULA]]&amp;"Cliente"&amp;Tabela1[[#This Row],[SETOR]],BD!A:AF,13,0),"")</f>
        <v/>
      </c>
      <c r="BX130" s="135" t="str">
        <f>IFERROR(VLOOKUP(Tabela1[[#This Row],[MÊS]]&amp;Tabela1[[#This Row],[ID]]&amp;Tabela1[[#This Row],[MATRICULA]]&amp;"cliente 2"&amp;Tabela1[[#This Row],[SETOR]],BD!A:AF,13,0),"")</f>
        <v/>
      </c>
      <c r="BY130" s="135" t="str">
        <f>IFERROR(VLOOKUP(Tabela1[[#This Row],[MÊS]]&amp;Tabela1[[#This Row],[ID]]&amp;Tabela1[[#This Row],[MATRICULA]]&amp;"cliente 3"&amp;Tabela1[[#This Row],[SETOR]],BD!A:AF,13,0),"")</f>
        <v/>
      </c>
      <c r="BZ130" s="135" t="str">
        <f>IFERROR(VLOOKUP(Tabela1[[#This Row],[MÊS]]&amp;Tabela1[[#This Row],[ID]]&amp;Tabela1[[#This Row],[MATRICULA]]&amp;"cliente 4"&amp;Tabela1[[#This Row],[SETOR]],BD!A:AF,13,0),"")</f>
        <v/>
      </c>
      <c r="CA130" s="135" t="str">
        <f>IFERROR(AVERAGE(Tabela1[[#This Row],[DCLI]:[DCLI 4]]),"")</f>
        <v/>
      </c>
      <c r="CB130" s="135" t="str">
        <f>IFERROR(VLOOKUP(Tabela1[[#This Row],[MÊS]]&amp;Tabela1[[#This Row],[ID]]&amp;Tabela1[[#This Row],[MATRICULA]]&amp;"Policia"&amp;Tabela1[[#This Row],[SETOR]],BD!A:AF,13,0),"")</f>
        <v/>
      </c>
      <c r="CC130" s="135" t="str">
        <f>IFERROR(VLOOKUP(Tabela1[[#This Row],[MÊS]]&amp;Tabela1[[#This Row],[ID]]&amp;Tabela1[[#This Row],[MATRICULA]]&amp;"Policia 2"&amp;Tabela1[[#This Row],[SETOR]],BD!A:AF,13,0),"")</f>
        <v/>
      </c>
      <c r="CD130" s="135"/>
      <c r="CE130" s="135"/>
      <c r="CF130" s="135" t="str">
        <f>IFERROR((AVERAGE(Tabela1[[#This Row],[DPOL1]:[DPOL4]])),"")</f>
        <v/>
      </c>
      <c r="CG130" s="21" t="str">
        <f>IFERROR(VLOOKUP(Tabela1[[#This Row],[ID]]&amp;Tabela1[[#This Row],[MÊS]]&amp;Tabela1[[#This Row],[MATRICULA]],#REF!,2,0),"")</f>
        <v/>
      </c>
      <c r="CH130" s="21" t="str">
        <f>IFERROR(VLOOKUP(Tabela1[[#This Row],[ID]]&amp;Tabela1[[#This Row],[MÊS]]&amp;Tabela1[[#This Row],[MATRICULA]],#REF!,2,0),"")</f>
        <v/>
      </c>
      <c r="CI130" s="21" t="str">
        <f>IFERROR(VLOOKUP(Tabela1[[#This Row],[MÊS]]&amp;Tabela1[[#This Row],[MATRICULA]],#REF!,2,0),"")</f>
        <v/>
      </c>
    </row>
    <row r="131" spans="1:87">
      <c r="A131" s="12" t="str">
        <f>Tabela1[[#This Row],[MÊS]]&amp;Tabela1[[#This Row],[MATRICULA]]&amp;Tabela1[[#This Row],[ID]]</f>
        <v>JAN1150614</v>
      </c>
      <c r="B131" s="12" t="str">
        <f>Tabela1[[#This Row],[MÊS]]&amp;Tabela1[[#This Row],[ID]]&amp;Tabela1[[#This Row],[MATRICULA]]&amp;Tabela1[[#This Row],[SETOR]]</f>
        <v>JAN1411506LOGÍSTICA</v>
      </c>
      <c r="C131" s="130" t="e">
        <f>VLOOKUP(Tabela1[[#This Row],[MATRICULA]],'BD Campos'!A:D,5,0)</f>
        <v>#REF!</v>
      </c>
      <c r="D131" s="133" t="str">
        <f ca="1">IFERROR(SUM(TODAY()-Tabela1[[#This Row],[ADMISSÃO]]),"")</f>
        <v/>
      </c>
      <c r="E131" s="11" t="str">
        <f ca="1">IFERROR(TRUNC(Tabela1[[#This Row],[TEMPO DE CASA (DIAS)]]/30),"")</f>
        <v/>
      </c>
      <c r="F131" s="32" t="str">
        <f ca="1">IFERROR(SUM(Tabela1[[#This Row],[TEMPO DE CASA (MESES)]]/12),"")</f>
        <v/>
      </c>
      <c r="G131" s="133" t="str">
        <f ca="1">IF(Tabela1[[#This Row],[TEMPO DE CASA (DIAS)]]="","SEM DADOS",IF(Tabela1[[#This Row],[TEMPO DE CASA (DIAS)]]&gt;180,"&gt; 6 MESES","&lt; 6 MESES"))</f>
        <v>SEM DADOS</v>
      </c>
      <c r="H131" s="12" t="str">
        <f t="shared" si="12"/>
        <v>JANGeovana Meurer14</v>
      </c>
      <c r="I131" s="12" t="str">
        <f>IFERROR(VLOOKUP(Tabela1[[#This Row],[MATRICULA]],'BD Campos'!A:F,7,0),"")</f>
        <v/>
      </c>
      <c r="J131" s="11">
        <v>14</v>
      </c>
      <c r="K131" s="11" t="s">
        <v>669</v>
      </c>
      <c r="L131" s="136">
        <v>11506</v>
      </c>
      <c r="M131" s="12" t="str">
        <f>IFERROR(VLOOKUP(Tabela1[[#This Row],[MATRICULA]],'BD Campos'!A:B,2,0),"")</f>
        <v xml:space="preserve">AGATA LAIS SILVEIRA </v>
      </c>
      <c r="N131" s="20" t="str">
        <f>IFERROR(AVERAGE(Tabela1[[#This Row],[A1]:[A4]]),"")</f>
        <v/>
      </c>
      <c r="O131" s="20" t="str">
        <f>IFERROR(IF(Tabela1[[#This Row],[SETOR]]="RECEPTIVO","",AVERAGE(Tabela1[[#This Row],[A5]:[A6]])),"")</f>
        <v/>
      </c>
      <c r="P131" s="20" t="str">
        <f>IFERROR(IF(Tabela1[[#This Row],[STATUS]]="INATIVO","INATIVO",IF(Tabela1[[#This Row],[STATUS]]="QRT","INATIVO",IF(Tabela1[[#This Row],[OPERACIONAL]]&gt;7.99999,"BOM","RUIM"))),"")</f>
        <v>INATIVO</v>
      </c>
      <c r="Q131" s="21" t="s">
        <v>670</v>
      </c>
      <c r="R131" s="12" t="s">
        <v>315</v>
      </c>
      <c r="S131" s="12" t="s">
        <v>11</v>
      </c>
      <c r="T131" s="12" t="s">
        <v>315</v>
      </c>
      <c r="U13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1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31" s="12">
        <f>IF(AND(Tabela1[[#This Row],[SETOR]]="UTI",Tabela1[[#This Row],[M]]&lt;&gt;""),1,IF(AND(Tabela1[[#This Row],[SETOR]]="UTI (RJ)",Tabela1[[#This Row],[M]]&lt;&gt;""),1.5,0))</f>
        <v>0</v>
      </c>
      <c r="X131" s="12">
        <f>IF(AND(Tabela1[[#This Row],[SETOR]]="UTI",Tabela1[[#This Row],[PA2]]&lt;&gt;""),1,IF(AND(Tabela1[[#This Row],[SETOR]]="UTI (RJ)",Tabela1[[#This Row],[PA2]]&lt;&gt;""),0,0))</f>
        <v>0</v>
      </c>
      <c r="Y131" s="12">
        <f>IF(AND(Tabela1[[#This Row],[SETOR]]="UTI",Tabela1[[#This Row],[C]]&lt;&gt;""),1,IF(AND(Tabela1[[#This Row],[SETOR]]="UTI (RJ)",Tabela1[[#This Row],[C]]&lt;&gt;""),1.5,0))</f>
        <v>0</v>
      </c>
      <c r="Z131" s="12">
        <f>IF(AND(Tabela1[[#This Row],[SETOR]]="UTI",Tabela1[[#This Row],[PL]]&lt;&gt;""),1,IF(AND(Tabela1[[#This Row],[SETOR]]="UTI (RJ)",Tabela1[[#This Row],[PL]]&lt;&gt;""),1,0))</f>
        <v>0</v>
      </c>
      <c r="AA131" s="21" t="str">
        <f>IFERROR(VLOOKUP(Tabela1[[#This Row],[MÊS]]&amp;Tabela1[[#This Row],[MATRICULA]]&amp;"1"&amp;Tabela1[[#This Row],[SETOR]]&amp;"PADRÃO",BD!B:AF,31,0),"")</f>
        <v/>
      </c>
      <c r="AB131" s="21" t="str">
        <f>IFERROR(VLOOKUP(Tabela1[[#This Row],[MÊS]]&amp;Tabela1[[#This Row],[MATRICULA]]&amp;"2"&amp;Tabela1[[#This Row],[SETOR]]&amp;"PADRÃO",BD!B:AF,31,0),"")</f>
        <v/>
      </c>
      <c r="AC131" s="21" t="str">
        <f>IFERROR(VLOOKUP(Tabela1[[#This Row],[MÊS]]&amp;Tabela1[[#This Row],[MATRICULA]]&amp;"3"&amp;Tabela1[[#This Row],[SETOR]]&amp;"PADRÃO",BD!B:AF,31,0),"")</f>
        <v/>
      </c>
      <c r="AD131" s="21" t="str">
        <f>IFERROR(VLOOKUP(Tabela1[[#This Row],[MÊS]]&amp;Tabela1[[#This Row],[MATRICULA]]&amp;"4"&amp;Tabela1[[#This Row],[SETOR]]&amp;"PADRÃO",BD!B:AF,25,0),"")</f>
        <v/>
      </c>
      <c r="AE131" s="21" t="str">
        <f>IFERROR(VLOOKUP(Tabela1[[#This Row],[MÊS]]&amp;Tabela1[[#This Row],[MATRICULA]]&amp;"5"&amp;Tabela1[[#This Row],[SETOR]]&amp;"PADRÃO",BD!B:AF,31,0),"")</f>
        <v/>
      </c>
      <c r="AF131" s="21" t="str">
        <f>IFERROR(VLOOKUP(Tabela1[[#This Row],[MÊS]]&amp;Tabela1[[#This Row],[MATRICULA]]&amp;"6"&amp;Tabela1[[#This Row],[SETOR]]&amp;"PADRÃO",BD!B:AF,31,0),"")</f>
        <v/>
      </c>
      <c r="AG131" s="21" t="str">
        <f>IFERROR(VLOOKUP(Tabela1[[#This Row],[MÊS]]&amp;Tabela1[[#This Row],[MATRICULA]]&amp;"7"&amp;Tabela1[[#This Row],[SETOR]]&amp;"PADRÃO",BD!B:AF,31,0),"")</f>
        <v/>
      </c>
      <c r="AH131" s="21" t="str">
        <f>IFERROR(VLOOKUP(Tabela1[[#This Row],[MÊS]]&amp;Tabela1[[#This Row],[ID]]&amp;Tabela1[[#This Row],[MATRICULA]]&amp;"Receptiva"&amp;Tabela1[[#This Row],[SETOR]],BD!A:AF,31,0),"")</f>
        <v/>
      </c>
      <c r="AI131" s="21" t="str">
        <f>IFERROR(VLOOKUP(Tabela1[[#This Row],[MÊS]]&amp;Tabela1[[#This Row],[ID]]&amp;Tabela1[[#This Row],[MATRICULA]]&amp;"Receptiva 2"&amp;Tabela1[[#This Row],[SETOR]],BD!A:AF,31,0),"")</f>
        <v/>
      </c>
      <c r="AJ131" s="21" t="str">
        <f>IFERROR(VLOOKUP(Tabela1[[#This Row],[MÊS]]&amp;Tabela1[[#This Row],[ID]]&amp;Tabela1[[#This Row],[MATRICULA]]&amp;"Receptiva 3"&amp;Tabela1[[#This Row],[SETOR]],BD!A:AF,31,0),"")</f>
        <v/>
      </c>
      <c r="AK131" s="21" t="str">
        <f>IFERROR(VLOOKUP(Tabela1[[#This Row],[MÊS]]&amp;Tabela1[[#This Row],[ID]]&amp;Tabela1[[#This Row],[MATRICULA]]&amp;"Receptiva 4"&amp;Tabela1[[#This Row],[SETOR]],BD!A:AF,31,0),"")</f>
        <v/>
      </c>
      <c r="AL131" s="21" t="str">
        <f>IFERROR(VLOOKUP(Tabela1[[#This Row],[MÊS]]&amp;Tabela1[[#This Row],[MATRICULA]]&amp;"Motorista"&amp;Tabela1[[#This Row],[SETOR]],BD!A:AF,31,0),"")</f>
        <v/>
      </c>
      <c r="AM131" s="21" t="str">
        <f>IFERROR(VLOOKUP(Tabela1[[#This Row],[MÊS]]&amp;Tabela1[[#This Row],[ID]]&amp;Tabela1[[#This Row],[MATRICULA]]&amp;"Motorista 2"&amp;Tabela1[[#This Row],[SETOR]],BD!A:AF,26,0),"")</f>
        <v/>
      </c>
      <c r="AN131" s="21" t="str">
        <f>IFERROR(VLOOKUP(Tabela1[[#This Row],[MÊS]]&amp;Tabela1[[#This Row],[ID]]&amp;Tabela1[[#This Row],[MATRICULA]]&amp;"Motorista 3"&amp;Tabela1[[#This Row],[SETOR]],BD!A:AF,26,0),"")</f>
        <v/>
      </c>
      <c r="AO131" s="21" t="str">
        <f>IFERROR(VLOOKUP(Tabela1[[#This Row],[MÊS]]&amp;Tabela1[[#This Row],[ID]]&amp;Tabela1[[#This Row],[MATRICULA]]&amp;"Motorista 4"&amp;Tabela1[[#This Row],[SETOR]],BD!A:AF,26,0),"")</f>
        <v/>
      </c>
      <c r="AP131" s="21" t="str">
        <f>IFERROR(VLOOKUP(Tabela1[[#This Row],[MÊS]]&amp;Tabela1[[#This Row],[MATRICULA]]&amp;"Ponto de Apoio"&amp;Tabela1[[#This Row],[SETOR]],BD!A:AF,31,0),"")</f>
        <v/>
      </c>
      <c r="AQ131" s="21" t="str">
        <f>IFERROR(VLOOKUP(Tabela1[[#This Row],[MÊS]]&amp;Tabela1[[#This Row],[ID]]&amp;Tabela1[[#This Row],[MATRICULA]]&amp;"Ponto de Apoio 2"&amp;Tabela1[[#This Row],[SETOR]],BD!A:AF,26,0),"")</f>
        <v/>
      </c>
      <c r="AR131" s="36" t="str">
        <f>IFERROR(VLOOKUP(Tabela1[[#This Row],[MÊS]]&amp;Tabela1[[#This Row],[ID]]&amp;Tabela1[[#This Row],[MATRICULA]]&amp;"Ponto de Apoio 3"&amp;Tabela1[[#This Row],[SETOR]],BD!A:AF,26,0),"")</f>
        <v/>
      </c>
      <c r="AS131" s="36" t="str">
        <f>IFERROR(VLOOKUP(Tabela1[[#This Row],[MÊS]]&amp;Tabela1[[#This Row],[ID]]&amp;Tabela1[[#This Row],[MATRICULA]]&amp;"Ponto de Apoio 4"&amp;Tabela1[[#This Row],[SETOR]],BD!A:AF,26,0),"")</f>
        <v/>
      </c>
      <c r="AT131" s="21" t="str">
        <f>IFERROR(VLOOKUP(Tabela1[[#This Row],[MÊS]]&amp;Tabela1[[#This Row],[MATRICULA]]&amp;"Cliente"&amp;Tabela1[[#This Row],[SETOR]],BD!A:AF,31,0),"")</f>
        <v/>
      </c>
      <c r="AU131" s="21" t="str">
        <f>IFERROR(VLOOKUP(Tabela1[[#This Row],[MÊS]]&amp;Tabela1[[#This Row],[ID]]&amp;Tabela1[[#This Row],[MATRICULA]]&amp;"Cliente 2"&amp;Tabela1[[#This Row],[SETOR]],BD!A:AF,26,0),"")</f>
        <v/>
      </c>
      <c r="AX131" s="21" t="str">
        <f>IFERROR(VLOOKUP(Tabela1[[#This Row],[MÊS]]&amp;Tabela1[[#This Row],[MATRICULA]]&amp;"Policia"&amp;Tabela1[[#This Row],[SETOR]],BD!A:AF,31,0),"")</f>
        <v/>
      </c>
      <c r="AY131" s="21" t="str">
        <f>IFERROR(VLOOKUP(Tabela1[[#This Row],[MÊS]]&amp;Tabela1[[#This Row],[ID]]&amp;Tabela1[[#This Row],[MATRICULA]]&amp;"Policia 2"&amp;Tabela1[[#This Row],[SETOR]],BD!A:AF,26,0),"")</f>
        <v/>
      </c>
      <c r="AZ131" s="36" t="str">
        <f>IFERROR(VLOOKUP(Tabela1[[#This Row],[MÊS]]&amp;Tabela1[[#This Row],[ID]]&amp;Tabela1[[#This Row],[MATRICULA]]&amp;"Policia 3"&amp;Tabela1[[#This Row],[SETOR]],BD!A:AF,26,0),"")</f>
        <v/>
      </c>
      <c r="BA131" s="36" t="str">
        <f>IFERROR(VLOOKUP(Tabela1[[#This Row],[MÊS]]&amp;Tabela1[[#This Row],[ID]]&amp;Tabela1[[#This Row],[MATRICULA]]&amp;"Policia 4"&amp;Tabela1[[#This Row],[SETOR]],BD!A:AF,26,0),"")</f>
        <v/>
      </c>
      <c r="BB13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1" s="21" t="str">
        <f>IFERROR(AVERAGE(Tabela1[[#This Row],[M]:[M4]]),"")</f>
        <v/>
      </c>
      <c r="BD131" s="21" t="str">
        <f>IFERROR(AVERAGE(Tabela1[[#This Row],[C]:[C4]]),"")</f>
        <v/>
      </c>
      <c r="BE131" s="21" t="str">
        <f>IFERROR(AVERAGE(Tabela1[[#This Row],[PA2]:[PA 4]]),"")</f>
        <v/>
      </c>
      <c r="BF131" s="21" t="str">
        <f>IFERROR(AVERAGE(Tabela1[[#This Row],[PL]:[PL4]]),"")</f>
        <v/>
      </c>
      <c r="BG131" s="35" t="str">
        <f>IFERROR(VLOOKUP(Tabela1[[#This Row],[MÊS]]&amp;Tabela1[[#This Row],[MATRICULA]],#REF!,2,0),"")</f>
        <v/>
      </c>
      <c r="BH131" s="35" t="str">
        <f>IFERROR(VLOOKUP(Tabela1[[#This Row],[MÊS]]&amp;Tabela1[[#This Row],[MATRICULA]],#REF!,2,0),"")</f>
        <v/>
      </c>
      <c r="BI131" s="35" t="str">
        <f>IFERROR(VLOOKUP(Tabela1[[#This Row],[MÊS]]&amp;Tabela1[[#This Row],[MATRICULA]],#REF!,2,0),"")</f>
        <v/>
      </c>
      <c r="BJ131" s="35" t="str">
        <f>IFERROR(VLOOKUP(Tabela1[[#This Row],[MÊS]]&amp;Tabela1[[#This Row],[MATRICULA]],#REF!,2,0),"")</f>
        <v/>
      </c>
      <c r="BK131" s="35" t="str">
        <f>IFERROR(VLOOKUP(Tabela1[[#This Row],[MÊS]]&amp;Tabela1[[#This Row],[MATRICULA]],#REF!,2,0),"")</f>
        <v/>
      </c>
      <c r="BL131" s="21">
        <f>COUNTIF(Tabela1[[#This Row],[MOT2]:[RECEPTIVA]],"NÃO ENCONTRADA")</f>
        <v>0</v>
      </c>
      <c r="BM131" s="135" t="str">
        <f>IFERROR(VLOOKUP(Tabela1[[#This Row],[MÊS]]&amp;Tabela1[[#This Row],[ID]]&amp;Tabela1[[#This Row],[MATRICULA]]&amp;"Motorista"&amp;Tabela1[[#This Row],[SETOR]],BD!A:AF,13,0),"")</f>
        <v/>
      </c>
      <c r="BN131" s="135" t="str">
        <f>IFERROR(VLOOKUP(Tabela1[[#This Row],[MÊS]]&amp;Tabela1[[#This Row],[ID]]&amp;Tabela1[[#This Row],[MATRICULA]]&amp;"Motorista 2"&amp;Tabela1[[#This Row],[SETOR]],BD!A:AF,13,0),"")</f>
        <v/>
      </c>
      <c r="BO131" s="135" t="str">
        <f>IFERROR(VLOOKUP(Tabela1[[#This Row],[MÊS]]&amp;Tabela1[[#This Row],[ID]]&amp;Tabela1[[#This Row],[MATRICULA]]&amp;"Motorista 3"&amp;Tabela1[[#This Row],[SETOR]],BD!A:AF,13,0),"")</f>
        <v/>
      </c>
      <c r="BP131" s="135" t="str">
        <f>IFERROR(VLOOKUP(Tabela1[[#This Row],[MÊS]]&amp;Tabela1[[#This Row],[ID]]&amp;Tabela1[[#This Row],[MATRICULA]]&amp;"Motorista 4"&amp;Tabela1[[#This Row],[SETOR]],BD!A:AF,13,0),"")</f>
        <v/>
      </c>
      <c r="BQ131" s="135" t="str">
        <f>IFERROR(AVERAGE(Tabela1[[#This Row],[DMOT]:[DMOT4]]),"")</f>
        <v/>
      </c>
      <c r="BR131" s="135" t="str">
        <f>IFERROR(VLOOKUP(Tabela1[[#This Row],[MÊS]]&amp;Tabela1[[#This Row],[ID]]&amp;Tabela1[[#This Row],[MATRICULA]]&amp;"Ponto de Apoio"&amp;Tabela1[[#This Row],[SETOR]],BD!A:AF,13,0),"")</f>
        <v/>
      </c>
      <c r="BS131" s="135" t="str">
        <f>IFERROR(VLOOKUP(Tabela1[[#This Row],[MÊS]]&amp;Tabela1[[#This Row],[ID]]&amp;Tabela1[[#This Row],[MATRICULA]]&amp;"Ponto de Apoio 2"&amp;Tabela1[[#This Row],[SETOR]],BD!A:AF,13,0),"")</f>
        <v/>
      </c>
      <c r="BT131" s="135" t="str">
        <f>IFERROR(VLOOKUP(Tabela1[[#This Row],[MÊS]]&amp;Tabela1[[#This Row],[ID]]&amp;Tabela1[[#This Row],[MATRICULA]]&amp;"Ponto de Apoio 3"&amp;Tabela1[[#This Row],[SETOR]],BD!A:AF,13,0),"")</f>
        <v/>
      </c>
      <c r="BU131" s="135" t="str">
        <f>IFERROR(VLOOKUP(Tabela1[[#This Row],[MÊS]]&amp;Tabela1[[#This Row],[ID]]&amp;Tabela1[[#This Row],[MATRICULA]]&amp;"Ponto de Apoio 4"&amp;Tabela1[[#This Row],[SETOR]],BD!A:AF,13,0),"")</f>
        <v/>
      </c>
      <c r="BV131" s="135" t="str">
        <f>IFERROR(AVERAGE(Tabela1[[#This Row],[DPA]:[DPA 4]]),"")</f>
        <v/>
      </c>
      <c r="BW131" s="135" t="str">
        <f>IFERROR(VLOOKUP(Tabela1[[#This Row],[MÊS]]&amp;Tabela1[[#This Row],[ID]]&amp;Tabela1[[#This Row],[MATRICULA]]&amp;"Cliente"&amp;Tabela1[[#This Row],[SETOR]],BD!A:AF,13,0),"")</f>
        <v/>
      </c>
      <c r="BX131" s="135" t="str">
        <f>IFERROR(VLOOKUP(Tabela1[[#This Row],[MÊS]]&amp;Tabela1[[#This Row],[ID]]&amp;Tabela1[[#This Row],[MATRICULA]]&amp;"cliente 2"&amp;Tabela1[[#This Row],[SETOR]],BD!A:AF,13,0),"")</f>
        <v/>
      </c>
      <c r="BY131" s="135" t="str">
        <f>IFERROR(VLOOKUP(Tabela1[[#This Row],[MÊS]]&amp;Tabela1[[#This Row],[ID]]&amp;Tabela1[[#This Row],[MATRICULA]]&amp;"cliente 3"&amp;Tabela1[[#This Row],[SETOR]],BD!A:AF,13,0),"")</f>
        <v/>
      </c>
      <c r="BZ131" s="135" t="str">
        <f>IFERROR(VLOOKUP(Tabela1[[#This Row],[MÊS]]&amp;Tabela1[[#This Row],[ID]]&amp;Tabela1[[#This Row],[MATRICULA]]&amp;"cliente 4"&amp;Tabela1[[#This Row],[SETOR]],BD!A:AF,13,0),"")</f>
        <v/>
      </c>
      <c r="CA131" s="135" t="str">
        <f>IFERROR(AVERAGE(Tabela1[[#This Row],[DCLI]:[DCLI 4]]),"")</f>
        <v/>
      </c>
      <c r="CB131" s="135" t="str">
        <f>IFERROR(VLOOKUP(Tabela1[[#This Row],[MÊS]]&amp;Tabela1[[#This Row],[ID]]&amp;Tabela1[[#This Row],[MATRICULA]]&amp;"Policia"&amp;Tabela1[[#This Row],[SETOR]],BD!A:AF,13,0),"")</f>
        <v/>
      </c>
      <c r="CC131" s="135" t="str">
        <f>IFERROR(VLOOKUP(Tabela1[[#This Row],[MÊS]]&amp;Tabela1[[#This Row],[ID]]&amp;Tabela1[[#This Row],[MATRICULA]]&amp;"Policia 2"&amp;Tabela1[[#This Row],[SETOR]],BD!A:AF,13,0),"")</f>
        <v/>
      </c>
      <c r="CD131" s="135"/>
      <c r="CE131" s="135"/>
      <c r="CF131" s="135" t="str">
        <f>IFERROR((AVERAGE(Tabela1[[#This Row],[DPOL1]:[DPOL4]])),"")</f>
        <v/>
      </c>
      <c r="CG131" s="21" t="str">
        <f>IFERROR(VLOOKUP(Tabela1[[#This Row],[ID]]&amp;Tabela1[[#This Row],[MÊS]]&amp;Tabela1[[#This Row],[MATRICULA]],#REF!,2,0),"")</f>
        <v/>
      </c>
      <c r="CH131" s="21" t="str">
        <f>IFERROR(VLOOKUP(Tabela1[[#This Row],[ID]]&amp;Tabela1[[#This Row],[MÊS]]&amp;Tabela1[[#This Row],[MATRICULA]],#REF!,2,0),"")</f>
        <v/>
      </c>
      <c r="CI131" s="21" t="str">
        <f>IFERROR(VLOOKUP(Tabela1[[#This Row],[MÊS]]&amp;Tabela1[[#This Row],[MATRICULA]],#REF!,2,0),"")</f>
        <v/>
      </c>
    </row>
    <row r="132" spans="1:87">
      <c r="A132" s="12" t="str">
        <f>Tabela1[[#This Row],[MÊS]]&amp;Tabela1[[#This Row],[MATRICULA]]&amp;Tabela1[[#This Row],[ID]]</f>
        <v>JAN1114415</v>
      </c>
      <c r="B132" s="12" t="str">
        <f>Tabela1[[#This Row],[MÊS]]&amp;Tabela1[[#This Row],[ID]]&amp;Tabela1[[#This Row],[MATRICULA]]&amp;Tabela1[[#This Row],[SETOR]]</f>
        <v>JAN1511144LOGÍSTICA</v>
      </c>
      <c r="C132" s="130" t="e">
        <f>VLOOKUP(Tabela1[[#This Row],[MATRICULA]],'BD Campos'!A:D,5,0)</f>
        <v>#REF!</v>
      </c>
      <c r="D132" s="133" t="str">
        <f ca="1">IFERROR(SUM(TODAY()-Tabela1[[#This Row],[ADMISSÃO]]),"")</f>
        <v/>
      </c>
      <c r="E132" s="11" t="str">
        <f ca="1">IFERROR(TRUNC(Tabela1[[#This Row],[TEMPO DE CASA (DIAS)]]/30),"")</f>
        <v/>
      </c>
      <c r="F132" s="32" t="str">
        <f ca="1">IFERROR(SUM(Tabela1[[#This Row],[TEMPO DE CASA (MESES)]]/12),"")</f>
        <v/>
      </c>
      <c r="G132" s="133" t="str">
        <f ca="1">IF(Tabela1[[#This Row],[TEMPO DE CASA (DIAS)]]="","SEM DADOS",IF(Tabela1[[#This Row],[TEMPO DE CASA (DIAS)]]&gt;180,"&gt; 6 MESES","&lt; 6 MESES"))</f>
        <v>SEM DADOS</v>
      </c>
      <c r="H132" s="12" t="str">
        <f t="shared" si="12"/>
        <v>JANGeovana Meurer15</v>
      </c>
      <c r="I132" s="12" t="str">
        <f>IFERROR(VLOOKUP(Tabela1[[#This Row],[MATRICULA]],'BD Campos'!A:F,7,0),"")</f>
        <v/>
      </c>
      <c r="J132" s="11">
        <v>15</v>
      </c>
      <c r="K132" s="11" t="s">
        <v>669</v>
      </c>
      <c r="L132" s="136">
        <v>11144</v>
      </c>
      <c r="M132" s="12" t="str">
        <f>IFERROR(VLOOKUP(Tabela1[[#This Row],[MATRICULA]],'BD Campos'!A:B,2,0),"")</f>
        <v>JOSIMARI CORREA DA SILVA</v>
      </c>
      <c r="N132" s="20">
        <f>IFERROR(AVERAGE(Tabela1[[#This Row],[A1]:[A4]]),"")</f>
        <v>9.6850000000000005</v>
      </c>
      <c r="O132" s="20" t="str">
        <f>IFERROR(IF(Tabela1[[#This Row],[SETOR]]="RECEPTIVO","",AVERAGE(Tabela1[[#This Row],[A5]:[A6]])),"")</f>
        <v/>
      </c>
      <c r="P132" s="20" t="str">
        <f>IFERROR(IF(Tabela1[[#This Row],[STATUS]]="INATIVO","INATIVO",IF(Tabela1[[#This Row],[STATUS]]="QRT","INATIVO",IF(Tabela1[[#This Row],[OPERACIONAL]]&gt;7.99999,"BOM","RUIM"))),"")</f>
        <v>BOM</v>
      </c>
      <c r="Q132" s="21" t="s">
        <v>667</v>
      </c>
      <c r="R132" s="12" t="s">
        <v>315</v>
      </c>
      <c r="S132" s="12" t="s">
        <v>11</v>
      </c>
      <c r="T132" s="12" t="s">
        <v>315</v>
      </c>
      <c r="U13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32" s="12">
        <f>IF(AND(Tabela1[[#This Row],[SETOR]]="UTI",Tabela1[[#This Row],[M]]&lt;&gt;""),1,IF(AND(Tabela1[[#This Row],[SETOR]]="UTI (RJ)",Tabela1[[#This Row],[M]]&lt;&gt;""),1.5,0))</f>
        <v>0</v>
      </c>
      <c r="X132" s="12">
        <f>IF(AND(Tabela1[[#This Row],[SETOR]]="UTI",Tabela1[[#This Row],[PA2]]&lt;&gt;""),1,IF(AND(Tabela1[[#This Row],[SETOR]]="UTI (RJ)",Tabela1[[#This Row],[PA2]]&lt;&gt;""),0,0))</f>
        <v>0</v>
      </c>
      <c r="Y132" s="12">
        <f>IF(AND(Tabela1[[#This Row],[SETOR]]="UTI",Tabela1[[#This Row],[C]]&lt;&gt;""),1,IF(AND(Tabela1[[#This Row],[SETOR]]="UTI (RJ)",Tabela1[[#This Row],[C]]&lt;&gt;""),1.5,0))</f>
        <v>0</v>
      </c>
      <c r="Z132" s="12">
        <f>IF(AND(Tabela1[[#This Row],[SETOR]]="UTI",Tabela1[[#This Row],[PL]]&lt;&gt;""),1,IF(AND(Tabela1[[#This Row],[SETOR]]="UTI (RJ)",Tabela1[[#This Row],[PL]]&lt;&gt;""),1,0))</f>
        <v>0</v>
      </c>
      <c r="AA132" s="21">
        <f>IFERROR(VLOOKUP(Tabela1[[#This Row],[MÊS]]&amp;Tabela1[[#This Row],[MATRICULA]]&amp;"1"&amp;Tabela1[[#This Row],[SETOR]]&amp;"PADRÃO",BD!B:AF,31,0),"")</f>
        <v>9.6850000000000005</v>
      </c>
      <c r="AB132" s="21">
        <f>IFERROR(VLOOKUP(Tabela1[[#This Row],[MÊS]]&amp;Tabela1[[#This Row],[MATRICULA]]&amp;"2"&amp;Tabela1[[#This Row],[SETOR]]&amp;"PADRÃO",BD!B:AF,31,0),"")</f>
        <v>9.6850000000000005</v>
      </c>
      <c r="AC132" s="21" t="str">
        <f>IFERROR(VLOOKUP(Tabela1[[#This Row],[MÊS]]&amp;Tabela1[[#This Row],[MATRICULA]]&amp;"3"&amp;Tabela1[[#This Row],[SETOR]]&amp;"PADRÃO",BD!B:AF,31,0),"")</f>
        <v/>
      </c>
      <c r="AD132" s="21" t="str">
        <f>IFERROR(VLOOKUP(Tabela1[[#This Row],[MÊS]]&amp;Tabela1[[#This Row],[MATRICULA]]&amp;"4"&amp;Tabela1[[#This Row],[SETOR]]&amp;"PADRÃO",BD!B:AF,25,0),"")</f>
        <v/>
      </c>
      <c r="AE132" s="21" t="str">
        <f>IFERROR(VLOOKUP(Tabela1[[#This Row],[MÊS]]&amp;Tabela1[[#This Row],[MATRICULA]]&amp;"5"&amp;Tabela1[[#This Row],[SETOR]]&amp;"PADRÃO",BD!B:AF,31,0),"")</f>
        <v/>
      </c>
      <c r="AF132" s="21" t="str">
        <f>IFERROR(VLOOKUP(Tabela1[[#This Row],[MÊS]]&amp;Tabela1[[#This Row],[MATRICULA]]&amp;"6"&amp;Tabela1[[#This Row],[SETOR]]&amp;"PADRÃO",BD!B:AF,31,0),"")</f>
        <v/>
      </c>
      <c r="AG132" s="21" t="str">
        <f>IFERROR(VLOOKUP(Tabela1[[#This Row],[MÊS]]&amp;Tabela1[[#This Row],[MATRICULA]]&amp;"7"&amp;Tabela1[[#This Row],[SETOR]]&amp;"PADRÃO",BD!B:AF,31,0),"")</f>
        <v/>
      </c>
      <c r="AH132" s="21" t="str">
        <f>IFERROR(VLOOKUP(Tabela1[[#This Row],[MÊS]]&amp;Tabela1[[#This Row],[ID]]&amp;Tabela1[[#This Row],[MATRICULA]]&amp;"Receptiva"&amp;Tabela1[[#This Row],[SETOR]],BD!A:AF,31,0),"")</f>
        <v/>
      </c>
      <c r="AI132" s="21" t="str">
        <f>IFERROR(VLOOKUP(Tabela1[[#This Row],[MÊS]]&amp;Tabela1[[#This Row],[ID]]&amp;Tabela1[[#This Row],[MATRICULA]]&amp;"Receptiva 2"&amp;Tabela1[[#This Row],[SETOR]],BD!A:AF,31,0),"")</f>
        <v/>
      </c>
      <c r="AJ132" s="21" t="str">
        <f>IFERROR(VLOOKUP(Tabela1[[#This Row],[MÊS]]&amp;Tabela1[[#This Row],[ID]]&amp;Tabela1[[#This Row],[MATRICULA]]&amp;"Receptiva 3"&amp;Tabela1[[#This Row],[SETOR]],BD!A:AF,31,0),"")</f>
        <v/>
      </c>
      <c r="AK132" s="21" t="str">
        <f>IFERROR(VLOOKUP(Tabela1[[#This Row],[MÊS]]&amp;Tabela1[[#This Row],[ID]]&amp;Tabela1[[#This Row],[MATRICULA]]&amp;"Receptiva 4"&amp;Tabela1[[#This Row],[SETOR]],BD!A:AF,31,0),"")</f>
        <v/>
      </c>
      <c r="AL132" s="21">
        <f>IFERROR(VLOOKUP(Tabela1[[#This Row],[MÊS]]&amp;Tabela1[[#This Row],[MATRICULA]]&amp;"Motorista"&amp;Tabela1[[#This Row],[SETOR]],BD!A:AF,31,0),"")</f>
        <v>0</v>
      </c>
      <c r="AM132" s="21" t="str">
        <f>IFERROR(VLOOKUP(Tabela1[[#This Row],[MÊS]]&amp;Tabela1[[#This Row],[ID]]&amp;Tabela1[[#This Row],[MATRICULA]]&amp;"Motorista 2"&amp;Tabela1[[#This Row],[SETOR]],BD!A:AF,26,0),"")</f>
        <v/>
      </c>
      <c r="AN132" s="21" t="str">
        <f>IFERROR(VLOOKUP(Tabela1[[#This Row],[MÊS]]&amp;Tabela1[[#This Row],[ID]]&amp;Tabela1[[#This Row],[MATRICULA]]&amp;"Motorista 3"&amp;Tabela1[[#This Row],[SETOR]],BD!A:AF,26,0),"")</f>
        <v/>
      </c>
      <c r="AO132" s="21" t="str">
        <f>IFERROR(VLOOKUP(Tabela1[[#This Row],[MÊS]]&amp;Tabela1[[#This Row],[ID]]&amp;Tabela1[[#This Row],[MATRICULA]]&amp;"Motorista 4"&amp;Tabela1[[#This Row],[SETOR]],BD!A:AF,26,0),"")</f>
        <v/>
      </c>
      <c r="AP132" s="21" t="str">
        <f>IFERROR(VLOOKUP(Tabela1[[#This Row],[MÊS]]&amp;Tabela1[[#This Row],[MATRICULA]]&amp;"Ponto de Apoio"&amp;Tabela1[[#This Row],[SETOR]],BD!A:AF,31,0),"")</f>
        <v/>
      </c>
      <c r="AQ132" s="21" t="str">
        <f>IFERROR(VLOOKUP(Tabela1[[#This Row],[MÊS]]&amp;Tabela1[[#This Row],[ID]]&amp;Tabela1[[#This Row],[MATRICULA]]&amp;"Ponto de Apoio 2"&amp;Tabela1[[#This Row],[SETOR]],BD!A:AF,26,0),"")</f>
        <v/>
      </c>
      <c r="AR132" s="36" t="str">
        <f>IFERROR(VLOOKUP(Tabela1[[#This Row],[MÊS]]&amp;Tabela1[[#This Row],[ID]]&amp;Tabela1[[#This Row],[MATRICULA]]&amp;"Ponto de Apoio 3"&amp;Tabela1[[#This Row],[SETOR]],BD!A:AF,26,0),"")</f>
        <v/>
      </c>
      <c r="AS132" s="36" t="str">
        <f>IFERROR(VLOOKUP(Tabela1[[#This Row],[MÊS]]&amp;Tabela1[[#This Row],[ID]]&amp;Tabela1[[#This Row],[MATRICULA]]&amp;"Ponto de Apoio 4"&amp;Tabela1[[#This Row],[SETOR]],BD!A:AF,26,0),"")</f>
        <v/>
      </c>
      <c r="AT132" s="21" t="str">
        <f>IFERROR(VLOOKUP(Tabela1[[#This Row],[MÊS]]&amp;Tabela1[[#This Row],[MATRICULA]]&amp;"Cliente"&amp;Tabela1[[#This Row],[SETOR]],BD!A:AF,31,0),"")</f>
        <v/>
      </c>
      <c r="AU132" s="21" t="str">
        <f>IFERROR(VLOOKUP(Tabela1[[#This Row],[MÊS]]&amp;Tabela1[[#This Row],[ID]]&amp;Tabela1[[#This Row],[MATRICULA]]&amp;"Cliente 2"&amp;Tabela1[[#This Row],[SETOR]],BD!A:AF,26,0),"")</f>
        <v/>
      </c>
      <c r="AX132" s="21" t="str">
        <f>IFERROR(VLOOKUP(Tabela1[[#This Row],[MÊS]]&amp;Tabela1[[#This Row],[MATRICULA]]&amp;"Policia"&amp;Tabela1[[#This Row],[SETOR]],BD!A:AF,31,0),"")</f>
        <v/>
      </c>
      <c r="AY132" s="21" t="str">
        <f>IFERROR(VLOOKUP(Tabela1[[#This Row],[MÊS]]&amp;Tabela1[[#This Row],[ID]]&amp;Tabela1[[#This Row],[MATRICULA]]&amp;"Policia 2"&amp;Tabela1[[#This Row],[SETOR]],BD!A:AF,26,0),"")</f>
        <v/>
      </c>
      <c r="AZ132" s="36" t="str">
        <f>IFERROR(VLOOKUP(Tabela1[[#This Row],[MÊS]]&amp;Tabela1[[#This Row],[ID]]&amp;Tabela1[[#This Row],[MATRICULA]]&amp;"Policia 3"&amp;Tabela1[[#This Row],[SETOR]],BD!A:AF,26,0),"")</f>
        <v/>
      </c>
      <c r="BA132" s="36" t="str">
        <f>IFERROR(VLOOKUP(Tabela1[[#This Row],[MÊS]]&amp;Tabela1[[#This Row],[ID]]&amp;Tabela1[[#This Row],[MATRICULA]]&amp;"Policia 4"&amp;Tabela1[[#This Row],[SETOR]],BD!A:AF,26,0),"")</f>
        <v/>
      </c>
      <c r="BB13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2" s="21">
        <f>IFERROR(AVERAGE(Tabela1[[#This Row],[M]:[M4]]),"")</f>
        <v>0</v>
      </c>
      <c r="BD132" s="21" t="str">
        <f>IFERROR(AVERAGE(Tabela1[[#This Row],[C]:[C4]]),"")</f>
        <v/>
      </c>
      <c r="BE132" s="21" t="str">
        <f>IFERROR(AVERAGE(Tabela1[[#This Row],[PA2]:[PA 4]]),"")</f>
        <v/>
      </c>
      <c r="BF132" s="21" t="str">
        <f>IFERROR(AVERAGE(Tabela1[[#This Row],[PL]:[PL4]]),"")</f>
        <v/>
      </c>
      <c r="BG132" s="35" t="str">
        <f>IFERROR(VLOOKUP(Tabela1[[#This Row],[MÊS]]&amp;Tabela1[[#This Row],[MATRICULA]],#REF!,2,0),"")</f>
        <v/>
      </c>
      <c r="BH132" s="35" t="str">
        <f>IFERROR(VLOOKUP(Tabela1[[#This Row],[MÊS]]&amp;Tabela1[[#This Row],[MATRICULA]],#REF!,2,0),"")</f>
        <v/>
      </c>
      <c r="BI132" s="35" t="str">
        <f>IFERROR(VLOOKUP(Tabela1[[#This Row],[MÊS]]&amp;Tabela1[[#This Row],[MATRICULA]],#REF!,2,0),"")</f>
        <v/>
      </c>
      <c r="BJ132" s="35" t="str">
        <f>IFERROR(VLOOKUP(Tabela1[[#This Row],[MÊS]]&amp;Tabela1[[#This Row],[MATRICULA]],#REF!,2,0),"")</f>
        <v/>
      </c>
      <c r="BK132" s="35" t="str">
        <f>IFERROR(VLOOKUP(Tabela1[[#This Row],[MÊS]]&amp;Tabela1[[#This Row],[MATRICULA]],#REF!,2,0),"")</f>
        <v/>
      </c>
      <c r="BL132" s="21">
        <f>COUNTIF(Tabela1[[#This Row],[MOT2]:[RECEPTIVA]],"NÃO ENCONTRADA")</f>
        <v>0</v>
      </c>
      <c r="BM132" s="135" t="str">
        <f>IFERROR(VLOOKUP(Tabela1[[#This Row],[MÊS]]&amp;Tabela1[[#This Row],[ID]]&amp;Tabela1[[#This Row],[MATRICULA]]&amp;"Motorista"&amp;Tabela1[[#This Row],[SETOR]],BD!A:AF,13,0),"")</f>
        <v/>
      </c>
      <c r="BN132" s="135" t="str">
        <f>IFERROR(VLOOKUP(Tabela1[[#This Row],[MÊS]]&amp;Tabela1[[#This Row],[ID]]&amp;Tabela1[[#This Row],[MATRICULA]]&amp;"Motorista 2"&amp;Tabela1[[#This Row],[SETOR]],BD!A:AF,13,0),"")</f>
        <v/>
      </c>
      <c r="BO132" s="135" t="str">
        <f>IFERROR(VLOOKUP(Tabela1[[#This Row],[MÊS]]&amp;Tabela1[[#This Row],[ID]]&amp;Tabela1[[#This Row],[MATRICULA]]&amp;"Motorista 3"&amp;Tabela1[[#This Row],[SETOR]],BD!A:AF,13,0),"")</f>
        <v/>
      </c>
      <c r="BP132" s="135" t="str">
        <f>IFERROR(VLOOKUP(Tabela1[[#This Row],[MÊS]]&amp;Tabela1[[#This Row],[ID]]&amp;Tabela1[[#This Row],[MATRICULA]]&amp;"Motorista 4"&amp;Tabela1[[#This Row],[SETOR]],BD!A:AF,13,0),"")</f>
        <v/>
      </c>
      <c r="BQ132" s="135" t="str">
        <f>IFERROR(AVERAGE(Tabela1[[#This Row],[DMOT]:[DMOT4]]),"")</f>
        <v/>
      </c>
      <c r="BR132" s="135" t="str">
        <f>IFERROR(VLOOKUP(Tabela1[[#This Row],[MÊS]]&amp;Tabela1[[#This Row],[ID]]&amp;Tabela1[[#This Row],[MATRICULA]]&amp;"Ponto de Apoio"&amp;Tabela1[[#This Row],[SETOR]],BD!A:AF,13,0),"")</f>
        <v/>
      </c>
      <c r="BS132" s="135" t="str">
        <f>IFERROR(VLOOKUP(Tabela1[[#This Row],[MÊS]]&amp;Tabela1[[#This Row],[ID]]&amp;Tabela1[[#This Row],[MATRICULA]]&amp;"Ponto de Apoio 2"&amp;Tabela1[[#This Row],[SETOR]],BD!A:AF,13,0),"")</f>
        <v/>
      </c>
      <c r="BT132" s="135" t="str">
        <f>IFERROR(VLOOKUP(Tabela1[[#This Row],[MÊS]]&amp;Tabela1[[#This Row],[ID]]&amp;Tabela1[[#This Row],[MATRICULA]]&amp;"Ponto de Apoio 3"&amp;Tabela1[[#This Row],[SETOR]],BD!A:AF,13,0),"")</f>
        <v/>
      </c>
      <c r="BU132" s="135" t="str">
        <f>IFERROR(VLOOKUP(Tabela1[[#This Row],[MÊS]]&amp;Tabela1[[#This Row],[ID]]&amp;Tabela1[[#This Row],[MATRICULA]]&amp;"Ponto de Apoio 4"&amp;Tabela1[[#This Row],[SETOR]],BD!A:AF,13,0),"")</f>
        <v/>
      </c>
      <c r="BV132" s="135" t="str">
        <f>IFERROR(AVERAGE(Tabela1[[#This Row],[DPA]:[DPA 4]]),"")</f>
        <v/>
      </c>
      <c r="BW132" s="135" t="str">
        <f>IFERROR(VLOOKUP(Tabela1[[#This Row],[MÊS]]&amp;Tabela1[[#This Row],[ID]]&amp;Tabela1[[#This Row],[MATRICULA]]&amp;"Cliente"&amp;Tabela1[[#This Row],[SETOR]],BD!A:AF,13,0),"")</f>
        <v/>
      </c>
      <c r="BX132" s="135" t="str">
        <f>IFERROR(VLOOKUP(Tabela1[[#This Row],[MÊS]]&amp;Tabela1[[#This Row],[ID]]&amp;Tabela1[[#This Row],[MATRICULA]]&amp;"cliente 2"&amp;Tabela1[[#This Row],[SETOR]],BD!A:AF,13,0),"")</f>
        <v/>
      </c>
      <c r="BY132" s="135" t="str">
        <f>IFERROR(VLOOKUP(Tabela1[[#This Row],[MÊS]]&amp;Tabela1[[#This Row],[ID]]&amp;Tabela1[[#This Row],[MATRICULA]]&amp;"cliente 3"&amp;Tabela1[[#This Row],[SETOR]],BD!A:AF,13,0),"")</f>
        <v/>
      </c>
      <c r="BZ132" s="135" t="str">
        <f>IFERROR(VLOOKUP(Tabela1[[#This Row],[MÊS]]&amp;Tabela1[[#This Row],[ID]]&amp;Tabela1[[#This Row],[MATRICULA]]&amp;"cliente 4"&amp;Tabela1[[#This Row],[SETOR]],BD!A:AF,13,0),"")</f>
        <v/>
      </c>
      <c r="CA132" s="135" t="str">
        <f>IFERROR(AVERAGE(Tabela1[[#This Row],[DCLI]:[DCLI 4]]),"")</f>
        <v/>
      </c>
      <c r="CB132" s="135" t="str">
        <f>IFERROR(VLOOKUP(Tabela1[[#This Row],[MÊS]]&amp;Tabela1[[#This Row],[ID]]&amp;Tabela1[[#This Row],[MATRICULA]]&amp;"Policia"&amp;Tabela1[[#This Row],[SETOR]],BD!A:AF,13,0),"")</f>
        <v/>
      </c>
      <c r="CC132" s="135" t="str">
        <f>IFERROR(VLOOKUP(Tabela1[[#This Row],[MÊS]]&amp;Tabela1[[#This Row],[ID]]&amp;Tabela1[[#This Row],[MATRICULA]]&amp;"Policia 2"&amp;Tabela1[[#This Row],[SETOR]],BD!A:AF,13,0),"")</f>
        <v/>
      </c>
      <c r="CD132" s="135"/>
      <c r="CE132" s="135"/>
      <c r="CF132" s="135" t="str">
        <f>IFERROR((AVERAGE(Tabela1[[#This Row],[DPOL1]:[DPOL4]])),"")</f>
        <v/>
      </c>
      <c r="CG132" s="21" t="str">
        <f>IFERROR(VLOOKUP(Tabela1[[#This Row],[ID]]&amp;Tabela1[[#This Row],[MÊS]]&amp;Tabela1[[#This Row],[MATRICULA]],#REF!,2,0),"")</f>
        <v/>
      </c>
      <c r="CH132" s="21" t="str">
        <f>IFERROR(VLOOKUP(Tabela1[[#This Row],[ID]]&amp;Tabela1[[#This Row],[MÊS]]&amp;Tabela1[[#This Row],[MATRICULA]],#REF!,2,0),"")</f>
        <v/>
      </c>
      <c r="CI132" s="21" t="str">
        <f>IFERROR(VLOOKUP(Tabela1[[#This Row],[MÊS]]&amp;Tabela1[[#This Row],[MATRICULA]],#REF!,2,0),"")</f>
        <v/>
      </c>
    </row>
    <row r="133" spans="1:87">
      <c r="A133" s="12" t="str">
        <f>Tabela1[[#This Row],[MÊS]]&amp;Tabela1[[#This Row],[MATRICULA]]&amp;Tabela1[[#This Row],[ID]]</f>
        <v>JAN1121016</v>
      </c>
      <c r="B133" s="12" t="str">
        <f>Tabela1[[#This Row],[MÊS]]&amp;Tabela1[[#This Row],[ID]]&amp;Tabela1[[#This Row],[MATRICULA]]&amp;Tabela1[[#This Row],[SETOR]]</f>
        <v>JAN1611210LOGÍSTICA</v>
      </c>
      <c r="C133" s="130" t="e">
        <f>VLOOKUP(Tabela1[[#This Row],[MATRICULA]],'BD Campos'!A:D,5,0)</f>
        <v>#REF!</v>
      </c>
      <c r="D133" s="133" t="str">
        <f ca="1">IFERROR(SUM(TODAY()-Tabela1[[#This Row],[ADMISSÃO]]),"")</f>
        <v/>
      </c>
      <c r="E133" s="11" t="str">
        <f ca="1">IFERROR(TRUNC(Tabela1[[#This Row],[TEMPO DE CASA (DIAS)]]/30),"")</f>
        <v/>
      </c>
      <c r="F133" s="32" t="str">
        <f ca="1">IFERROR(SUM(Tabela1[[#This Row],[TEMPO DE CASA (MESES)]]/12),"")</f>
        <v/>
      </c>
      <c r="G133" s="133" t="str">
        <f ca="1">IF(Tabela1[[#This Row],[TEMPO DE CASA (DIAS)]]="","SEM DADOS",IF(Tabela1[[#This Row],[TEMPO DE CASA (DIAS)]]&gt;180,"&gt; 6 MESES","&lt; 6 MESES"))</f>
        <v>SEM DADOS</v>
      </c>
      <c r="H133" s="12" t="str">
        <f t="shared" si="12"/>
        <v>JANGeovana Meurer16</v>
      </c>
      <c r="I133" s="12" t="str">
        <f>IFERROR(VLOOKUP(Tabela1[[#This Row],[MATRICULA]],'BD Campos'!A:F,7,0),"")</f>
        <v/>
      </c>
      <c r="J133" s="11">
        <v>16</v>
      </c>
      <c r="K133" s="11" t="s">
        <v>669</v>
      </c>
      <c r="L133" s="136">
        <v>11210</v>
      </c>
      <c r="M133" s="12" t="str">
        <f>IFERROR(VLOOKUP(Tabela1[[#This Row],[MATRICULA]],'BD Campos'!A:B,2,0),"")</f>
        <v xml:space="preserve">BRUNO  ROBERTO DA SILVA </v>
      </c>
      <c r="N133" s="20">
        <f>IFERROR(AVERAGE(Tabela1[[#This Row],[A1]:[A4]]),"")</f>
        <v>9.6850000000000005</v>
      </c>
      <c r="O133" s="20" t="str">
        <f>IFERROR(IF(Tabela1[[#This Row],[SETOR]]="RECEPTIVO","",AVERAGE(Tabela1[[#This Row],[A5]:[A6]])),"")</f>
        <v/>
      </c>
      <c r="P133" s="20" t="str">
        <f>IFERROR(IF(Tabela1[[#This Row],[STATUS]]="INATIVO","INATIVO",IF(Tabela1[[#This Row],[STATUS]]="QRT","INATIVO",IF(Tabela1[[#This Row],[OPERACIONAL]]&gt;7.99999,"BOM","RUIM"))),"")</f>
        <v>BOM</v>
      </c>
      <c r="Q133" s="21" t="s">
        <v>667</v>
      </c>
      <c r="R133" s="12" t="s">
        <v>315</v>
      </c>
      <c r="S133" s="12" t="s">
        <v>11</v>
      </c>
      <c r="T133" s="12" t="s">
        <v>315</v>
      </c>
      <c r="U13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33" s="12">
        <f>IF(AND(Tabela1[[#This Row],[SETOR]]="UTI",Tabela1[[#This Row],[M]]&lt;&gt;""),1,IF(AND(Tabela1[[#This Row],[SETOR]]="UTI (RJ)",Tabela1[[#This Row],[M]]&lt;&gt;""),1.5,0))</f>
        <v>0</v>
      </c>
      <c r="X133" s="12">
        <f>IF(AND(Tabela1[[#This Row],[SETOR]]="UTI",Tabela1[[#This Row],[PA2]]&lt;&gt;""),1,IF(AND(Tabela1[[#This Row],[SETOR]]="UTI (RJ)",Tabela1[[#This Row],[PA2]]&lt;&gt;""),0,0))</f>
        <v>0</v>
      </c>
      <c r="Y133" s="12">
        <f>IF(AND(Tabela1[[#This Row],[SETOR]]="UTI",Tabela1[[#This Row],[C]]&lt;&gt;""),1,IF(AND(Tabela1[[#This Row],[SETOR]]="UTI (RJ)",Tabela1[[#This Row],[C]]&lt;&gt;""),1.5,0))</f>
        <v>0</v>
      </c>
      <c r="Z133" s="12">
        <f>IF(AND(Tabela1[[#This Row],[SETOR]]="UTI",Tabela1[[#This Row],[PL]]&lt;&gt;""),1,IF(AND(Tabela1[[#This Row],[SETOR]]="UTI (RJ)",Tabela1[[#This Row],[PL]]&lt;&gt;""),1,0))</f>
        <v>0</v>
      </c>
      <c r="AA133" s="21">
        <f>IFERROR(VLOOKUP(Tabela1[[#This Row],[MÊS]]&amp;Tabela1[[#This Row],[MATRICULA]]&amp;"1"&amp;Tabela1[[#This Row],[SETOR]]&amp;"PADRÃO",BD!B:AF,31,0),"")</f>
        <v>9.6850000000000005</v>
      </c>
      <c r="AB133" s="21">
        <f>IFERROR(VLOOKUP(Tabela1[[#This Row],[MÊS]]&amp;Tabela1[[#This Row],[MATRICULA]]&amp;"2"&amp;Tabela1[[#This Row],[SETOR]]&amp;"PADRÃO",BD!B:AF,31,0),"")</f>
        <v>9.6850000000000005</v>
      </c>
      <c r="AC133" s="21" t="str">
        <f>IFERROR(VLOOKUP(Tabela1[[#This Row],[MÊS]]&amp;Tabela1[[#This Row],[MATRICULA]]&amp;"3"&amp;Tabela1[[#This Row],[SETOR]]&amp;"PADRÃO",BD!B:AF,31,0),"")</f>
        <v/>
      </c>
      <c r="AD133" s="21" t="str">
        <f>IFERROR(VLOOKUP(Tabela1[[#This Row],[MÊS]]&amp;Tabela1[[#This Row],[MATRICULA]]&amp;"4"&amp;Tabela1[[#This Row],[SETOR]]&amp;"PADRÃO",BD!B:AF,25,0),"")</f>
        <v/>
      </c>
      <c r="AE133" s="21" t="str">
        <f>IFERROR(VLOOKUP(Tabela1[[#This Row],[MÊS]]&amp;Tabela1[[#This Row],[MATRICULA]]&amp;"5"&amp;Tabela1[[#This Row],[SETOR]]&amp;"PADRÃO",BD!B:AF,31,0),"")</f>
        <v/>
      </c>
      <c r="AF133" s="21" t="str">
        <f>IFERROR(VLOOKUP(Tabela1[[#This Row],[MÊS]]&amp;Tabela1[[#This Row],[MATRICULA]]&amp;"6"&amp;Tabela1[[#This Row],[SETOR]]&amp;"PADRÃO",BD!B:AF,31,0),"")</f>
        <v/>
      </c>
      <c r="AG133" s="21" t="str">
        <f>IFERROR(VLOOKUP(Tabela1[[#This Row],[MÊS]]&amp;Tabela1[[#This Row],[MATRICULA]]&amp;"7"&amp;Tabela1[[#This Row],[SETOR]]&amp;"PADRÃO",BD!B:AF,31,0),"")</f>
        <v/>
      </c>
      <c r="AH133" s="21" t="str">
        <f>IFERROR(VLOOKUP(Tabela1[[#This Row],[MÊS]]&amp;Tabela1[[#This Row],[ID]]&amp;Tabela1[[#This Row],[MATRICULA]]&amp;"Receptiva"&amp;Tabela1[[#This Row],[SETOR]],BD!A:AF,31,0),"")</f>
        <v/>
      </c>
      <c r="AI133" s="21" t="str">
        <f>IFERROR(VLOOKUP(Tabela1[[#This Row],[MÊS]]&amp;Tabela1[[#This Row],[ID]]&amp;Tabela1[[#This Row],[MATRICULA]]&amp;"Receptiva 2"&amp;Tabela1[[#This Row],[SETOR]],BD!A:AF,31,0),"")</f>
        <v/>
      </c>
      <c r="AJ133" s="21" t="str">
        <f>IFERROR(VLOOKUP(Tabela1[[#This Row],[MÊS]]&amp;Tabela1[[#This Row],[ID]]&amp;Tabela1[[#This Row],[MATRICULA]]&amp;"Receptiva 3"&amp;Tabela1[[#This Row],[SETOR]],BD!A:AF,31,0),"")</f>
        <v/>
      </c>
      <c r="AK133" s="21" t="str">
        <f>IFERROR(VLOOKUP(Tabela1[[#This Row],[MÊS]]&amp;Tabela1[[#This Row],[ID]]&amp;Tabela1[[#This Row],[MATRICULA]]&amp;"Receptiva 4"&amp;Tabela1[[#This Row],[SETOR]],BD!A:AF,31,0),"")</f>
        <v/>
      </c>
      <c r="AL133" s="21">
        <f>IFERROR(VLOOKUP(Tabela1[[#This Row],[MÊS]]&amp;Tabela1[[#This Row],[MATRICULA]]&amp;"Motorista"&amp;Tabela1[[#This Row],[SETOR]],BD!A:AF,31,0),"")</f>
        <v>0</v>
      </c>
      <c r="AM133" s="21" t="str">
        <f>IFERROR(VLOOKUP(Tabela1[[#This Row],[MÊS]]&amp;Tabela1[[#This Row],[ID]]&amp;Tabela1[[#This Row],[MATRICULA]]&amp;"Motorista 2"&amp;Tabela1[[#This Row],[SETOR]],BD!A:AF,26,0),"")</f>
        <v/>
      </c>
      <c r="AN133" s="21" t="str">
        <f>IFERROR(VLOOKUP(Tabela1[[#This Row],[MÊS]]&amp;Tabela1[[#This Row],[ID]]&amp;Tabela1[[#This Row],[MATRICULA]]&amp;"Motorista 3"&amp;Tabela1[[#This Row],[SETOR]],BD!A:AF,26,0),"")</f>
        <v/>
      </c>
      <c r="AO133" s="21" t="str">
        <f>IFERROR(VLOOKUP(Tabela1[[#This Row],[MÊS]]&amp;Tabela1[[#This Row],[ID]]&amp;Tabela1[[#This Row],[MATRICULA]]&amp;"Motorista 4"&amp;Tabela1[[#This Row],[SETOR]],BD!A:AF,26,0),"")</f>
        <v/>
      </c>
      <c r="AP133" s="21" t="str">
        <f>IFERROR(VLOOKUP(Tabela1[[#This Row],[MÊS]]&amp;Tabela1[[#This Row],[MATRICULA]]&amp;"Ponto de Apoio"&amp;Tabela1[[#This Row],[SETOR]],BD!A:AF,31,0),"")</f>
        <v/>
      </c>
      <c r="AQ133" s="21" t="str">
        <f>IFERROR(VLOOKUP(Tabela1[[#This Row],[MÊS]]&amp;Tabela1[[#This Row],[ID]]&amp;Tabela1[[#This Row],[MATRICULA]]&amp;"Ponto de Apoio 2"&amp;Tabela1[[#This Row],[SETOR]],BD!A:AF,26,0),"")</f>
        <v/>
      </c>
      <c r="AR133" s="36" t="str">
        <f>IFERROR(VLOOKUP(Tabela1[[#This Row],[MÊS]]&amp;Tabela1[[#This Row],[ID]]&amp;Tabela1[[#This Row],[MATRICULA]]&amp;"Ponto de Apoio 3"&amp;Tabela1[[#This Row],[SETOR]],BD!A:AF,26,0),"")</f>
        <v/>
      </c>
      <c r="AS133" s="36" t="str">
        <f>IFERROR(VLOOKUP(Tabela1[[#This Row],[MÊS]]&amp;Tabela1[[#This Row],[ID]]&amp;Tabela1[[#This Row],[MATRICULA]]&amp;"Ponto de Apoio 4"&amp;Tabela1[[#This Row],[SETOR]],BD!A:AF,26,0),"")</f>
        <v/>
      </c>
      <c r="AT133" s="21" t="str">
        <f>IFERROR(VLOOKUP(Tabela1[[#This Row],[MÊS]]&amp;Tabela1[[#This Row],[MATRICULA]]&amp;"Cliente"&amp;Tabela1[[#This Row],[SETOR]],BD!A:AF,31,0),"")</f>
        <v/>
      </c>
      <c r="AU133" s="21" t="str">
        <f>IFERROR(VLOOKUP(Tabela1[[#This Row],[MÊS]]&amp;Tabela1[[#This Row],[ID]]&amp;Tabela1[[#This Row],[MATRICULA]]&amp;"Cliente 2"&amp;Tabela1[[#This Row],[SETOR]],BD!A:AF,26,0),"")</f>
        <v/>
      </c>
      <c r="AX133" s="21" t="str">
        <f>IFERROR(VLOOKUP(Tabela1[[#This Row],[MÊS]]&amp;Tabela1[[#This Row],[MATRICULA]]&amp;"Policia"&amp;Tabela1[[#This Row],[SETOR]],BD!A:AF,31,0),"")</f>
        <v/>
      </c>
      <c r="AY133" s="21" t="str">
        <f>IFERROR(VLOOKUP(Tabela1[[#This Row],[MÊS]]&amp;Tabela1[[#This Row],[ID]]&amp;Tabela1[[#This Row],[MATRICULA]]&amp;"Policia 2"&amp;Tabela1[[#This Row],[SETOR]],BD!A:AF,26,0),"")</f>
        <v/>
      </c>
      <c r="AZ133" s="36" t="str">
        <f>IFERROR(VLOOKUP(Tabela1[[#This Row],[MÊS]]&amp;Tabela1[[#This Row],[ID]]&amp;Tabela1[[#This Row],[MATRICULA]]&amp;"Policia 3"&amp;Tabela1[[#This Row],[SETOR]],BD!A:AF,26,0),"")</f>
        <v/>
      </c>
      <c r="BA133" s="36" t="str">
        <f>IFERROR(VLOOKUP(Tabela1[[#This Row],[MÊS]]&amp;Tabela1[[#This Row],[ID]]&amp;Tabela1[[#This Row],[MATRICULA]]&amp;"Policia 4"&amp;Tabela1[[#This Row],[SETOR]],BD!A:AF,26,0),"")</f>
        <v/>
      </c>
      <c r="BB13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3" s="21">
        <f>IFERROR(AVERAGE(Tabela1[[#This Row],[M]:[M4]]),"")</f>
        <v>0</v>
      </c>
      <c r="BD133" s="21" t="str">
        <f>IFERROR(AVERAGE(Tabela1[[#This Row],[C]:[C4]]),"")</f>
        <v/>
      </c>
      <c r="BE133" s="21" t="str">
        <f>IFERROR(AVERAGE(Tabela1[[#This Row],[PA2]:[PA 4]]),"")</f>
        <v/>
      </c>
      <c r="BF133" s="21" t="str">
        <f>IFERROR(AVERAGE(Tabela1[[#This Row],[PL]:[PL4]]),"")</f>
        <v/>
      </c>
      <c r="BG133" s="35" t="str">
        <f>IFERROR(VLOOKUP(Tabela1[[#This Row],[MÊS]]&amp;Tabela1[[#This Row],[MATRICULA]],#REF!,2,0),"")</f>
        <v/>
      </c>
      <c r="BH133" s="35" t="str">
        <f>IFERROR(VLOOKUP(Tabela1[[#This Row],[MÊS]]&amp;Tabela1[[#This Row],[MATRICULA]],#REF!,2,0),"")</f>
        <v/>
      </c>
      <c r="BI133" s="35" t="str">
        <f>IFERROR(VLOOKUP(Tabela1[[#This Row],[MÊS]]&amp;Tabela1[[#This Row],[MATRICULA]],#REF!,2,0),"")</f>
        <v/>
      </c>
      <c r="BJ133" s="35" t="str">
        <f>IFERROR(VLOOKUP(Tabela1[[#This Row],[MÊS]]&amp;Tabela1[[#This Row],[MATRICULA]],#REF!,2,0),"")</f>
        <v/>
      </c>
      <c r="BK133" s="35" t="str">
        <f>IFERROR(VLOOKUP(Tabela1[[#This Row],[MÊS]]&amp;Tabela1[[#This Row],[MATRICULA]],#REF!,2,0),"")</f>
        <v/>
      </c>
      <c r="BL133" s="21">
        <f>COUNTIF(Tabela1[[#This Row],[MOT2]:[RECEPTIVA]],"NÃO ENCONTRADA")</f>
        <v>0</v>
      </c>
      <c r="BM133" s="135" t="str">
        <f>IFERROR(VLOOKUP(Tabela1[[#This Row],[MÊS]]&amp;Tabela1[[#This Row],[ID]]&amp;Tabela1[[#This Row],[MATRICULA]]&amp;"Motorista"&amp;Tabela1[[#This Row],[SETOR]],BD!A:AF,13,0),"")</f>
        <v/>
      </c>
      <c r="BN133" s="135" t="str">
        <f>IFERROR(VLOOKUP(Tabela1[[#This Row],[MÊS]]&amp;Tabela1[[#This Row],[ID]]&amp;Tabela1[[#This Row],[MATRICULA]]&amp;"Motorista 2"&amp;Tabela1[[#This Row],[SETOR]],BD!A:AF,13,0),"")</f>
        <v/>
      </c>
      <c r="BO133" s="135" t="str">
        <f>IFERROR(VLOOKUP(Tabela1[[#This Row],[MÊS]]&amp;Tabela1[[#This Row],[ID]]&amp;Tabela1[[#This Row],[MATRICULA]]&amp;"Motorista 3"&amp;Tabela1[[#This Row],[SETOR]],BD!A:AF,13,0),"")</f>
        <v/>
      </c>
      <c r="BP133" s="135" t="str">
        <f>IFERROR(VLOOKUP(Tabela1[[#This Row],[MÊS]]&amp;Tabela1[[#This Row],[ID]]&amp;Tabela1[[#This Row],[MATRICULA]]&amp;"Motorista 4"&amp;Tabela1[[#This Row],[SETOR]],BD!A:AF,13,0),"")</f>
        <v/>
      </c>
      <c r="BQ133" s="135" t="str">
        <f>IFERROR(AVERAGE(Tabela1[[#This Row],[DMOT]:[DMOT4]]),"")</f>
        <v/>
      </c>
      <c r="BR133" s="135" t="str">
        <f>IFERROR(VLOOKUP(Tabela1[[#This Row],[MÊS]]&amp;Tabela1[[#This Row],[ID]]&amp;Tabela1[[#This Row],[MATRICULA]]&amp;"Ponto de Apoio"&amp;Tabela1[[#This Row],[SETOR]],BD!A:AF,13,0),"")</f>
        <v/>
      </c>
      <c r="BS133" s="135" t="str">
        <f>IFERROR(VLOOKUP(Tabela1[[#This Row],[MÊS]]&amp;Tabela1[[#This Row],[ID]]&amp;Tabela1[[#This Row],[MATRICULA]]&amp;"Ponto de Apoio 2"&amp;Tabela1[[#This Row],[SETOR]],BD!A:AF,13,0),"")</f>
        <v/>
      </c>
      <c r="BT133" s="135" t="str">
        <f>IFERROR(VLOOKUP(Tabela1[[#This Row],[MÊS]]&amp;Tabela1[[#This Row],[ID]]&amp;Tabela1[[#This Row],[MATRICULA]]&amp;"Ponto de Apoio 3"&amp;Tabela1[[#This Row],[SETOR]],BD!A:AF,13,0),"")</f>
        <v/>
      </c>
      <c r="BU133" s="135" t="str">
        <f>IFERROR(VLOOKUP(Tabela1[[#This Row],[MÊS]]&amp;Tabela1[[#This Row],[ID]]&amp;Tabela1[[#This Row],[MATRICULA]]&amp;"Ponto de Apoio 4"&amp;Tabela1[[#This Row],[SETOR]],BD!A:AF,13,0),"")</f>
        <v/>
      </c>
      <c r="BV133" s="135" t="str">
        <f>IFERROR(AVERAGE(Tabela1[[#This Row],[DPA]:[DPA 4]]),"")</f>
        <v/>
      </c>
      <c r="BW133" s="135" t="str">
        <f>IFERROR(VLOOKUP(Tabela1[[#This Row],[MÊS]]&amp;Tabela1[[#This Row],[ID]]&amp;Tabela1[[#This Row],[MATRICULA]]&amp;"Cliente"&amp;Tabela1[[#This Row],[SETOR]],BD!A:AF,13,0),"")</f>
        <v/>
      </c>
      <c r="BX133" s="135" t="str">
        <f>IFERROR(VLOOKUP(Tabela1[[#This Row],[MÊS]]&amp;Tabela1[[#This Row],[ID]]&amp;Tabela1[[#This Row],[MATRICULA]]&amp;"cliente 2"&amp;Tabela1[[#This Row],[SETOR]],BD!A:AF,13,0),"")</f>
        <v/>
      </c>
      <c r="BY133" s="135" t="str">
        <f>IFERROR(VLOOKUP(Tabela1[[#This Row],[MÊS]]&amp;Tabela1[[#This Row],[ID]]&amp;Tabela1[[#This Row],[MATRICULA]]&amp;"cliente 3"&amp;Tabela1[[#This Row],[SETOR]],BD!A:AF,13,0),"")</f>
        <v/>
      </c>
      <c r="BZ133" s="135" t="str">
        <f>IFERROR(VLOOKUP(Tabela1[[#This Row],[MÊS]]&amp;Tabela1[[#This Row],[ID]]&amp;Tabela1[[#This Row],[MATRICULA]]&amp;"cliente 4"&amp;Tabela1[[#This Row],[SETOR]],BD!A:AF,13,0),"")</f>
        <v/>
      </c>
      <c r="CA133" s="135" t="str">
        <f>IFERROR(AVERAGE(Tabela1[[#This Row],[DCLI]:[DCLI 4]]),"")</f>
        <v/>
      </c>
      <c r="CB133" s="135" t="str">
        <f>IFERROR(VLOOKUP(Tabela1[[#This Row],[MÊS]]&amp;Tabela1[[#This Row],[ID]]&amp;Tabela1[[#This Row],[MATRICULA]]&amp;"Policia"&amp;Tabela1[[#This Row],[SETOR]],BD!A:AF,13,0),"")</f>
        <v/>
      </c>
      <c r="CC133" s="135" t="str">
        <f>IFERROR(VLOOKUP(Tabela1[[#This Row],[MÊS]]&amp;Tabela1[[#This Row],[ID]]&amp;Tabela1[[#This Row],[MATRICULA]]&amp;"Policia 2"&amp;Tabela1[[#This Row],[SETOR]],BD!A:AF,13,0),"")</f>
        <v/>
      </c>
      <c r="CD133" s="135"/>
      <c r="CE133" s="135"/>
      <c r="CF133" s="135" t="str">
        <f>IFERROR((AVERAGE(Tabela1[[#This Row],[DPOL1]:[DPOL4]])),"")</f>
        <v/>
      </c>
      <c r="CG133" s="21" t="str">
        <f>IFERROR(VLOOKUP(Tabela1[[#This Row],[ID]]&amp;Tabela1[[#This Row],[MÊS]]&amp;Tabela1[[#This Row],[MATRICULA]],#REF!,2,0),"")</f>
        <v/>
      </c>
      <c r="CH133" s="21" t="str">
        <f>IFERROR(VLOOKUP(Tabela1[[#This Row],[ID]]&amp;Tabela1[[#This Row],[MÊS]]&amp;Tabela1[[#This Row],[MATRICULA]],#REF!,2,0),"")</f>
        <v/>
      </c>
      <c r="CI133" s="21" t="str">
        <f>IFERROR(VLOOKUP(Tabela1[[#This Row],[MÊS]]&amp;Tabela1[[#This Row],[MATRICULA]],#REF!,2,0),"")</f>
        <v/>
      </c>
    </row>
    <row r="134" spans="1:87">
      <c r="A134" s="12" t="str">
        <f>Tabela1[[#This Row],[MÊS]]&amp;Tabela1[[#This Row],[MATRICULA]]&amp;Tabela1[[#This Row],[ID]]</f>
        <v>JAN1131717</v>
      </c>
      <c r="B134" s="12" t="str">
        <f>Tabela1[[#This Row],[MÊS]]&amp;Tabela1[[#This Row],[ID]]&amp;Tabela1[[#This Row],[MATRICULA]]&amp;Tabela1[[#This Row],[SETOR]]</f>
        <v>JAN1711317LOGÍSTICA</v>
      </c>
      <c r="C134" s="130" t="e">
        <f>VLOOKUP(Tabela1[[#This Row],[MATRICULA]],'BD Campos'!A:D,5,0)</f>
        <v>#REF!</v>
      </c>
      <c r="D134" s="133" t="str">
        <f ca="1">IFERROR(SUM(TODAY()-Tabela1[[#This Row],[ADMISSÃO]]),"")</f>
        <v/>
      </c>
      <c r="E134" s="11" t="str">
        <f ca="1">IFERROR(TRUNC(Tabela1[[#This Row],[TEMPO DE CASA (DIAS)]]/30),"")</f>
        <v/>
      </c>
      <c r="F134" s="32" t="str">
        <f ca="1">IFERROR(SUM(Tabela1[[#This Row],[TEMPO DE CASA (MESES)]]/12),"")</f>
        <v/>
      </c>
      <c r="G134" s="133" t="str">
        <f ca="1">IF(Tabela1[[#This Row],[TEMPO DE CASA (DIAS)]]="","SEM DADOS",IF(Tabela1[[#This Row],[TEMPO DE CASA (DIAS)]]&gt;180,"&gt; 6 MESES","&lt; 6 MESES"))</f>
        <v>SEM DADOS</v>
      </c>
      <c r="H134" s="12" t="str">
        <f t="shared" si="12"/>
        <v>JANGeovana Meurer17</v>
      </c>
      <c r="I134" s="12" t="str">
        <f>IFERROR(VLOOKUP(Tabela1[[#This Row],[MATRICULA]],'BD Campos'!A:F,7,0),"")</f>
        <v/>
      </c>
      <c r="J134" s="11">
        <v>17</v>
      </c>
      <c r="K134" s="11" t="s">
        <v>669</v>
      </c>
      <c r="L134" s="136">
        <v>11317</v>
      </c>
      <c r="M134" s="12" t="str">
        <f>IFERROR(VLOOKUP(Tabela1[[#This Row],[MATRICULA]],'BD Campos'!A:B,2,0),"")</f>
        <v>SWELLEM ALMEIDA DA SILVA</v>
      </c>
      <c r="N134" s="20" t="str">
        <f>IFERROR(AVERAGE(Tabela1[[#This Row],[A1]:[A4]]),"")</f>
        <v/>
      </c>
      <c r="O134" s="20">
        <f>IFERROR(IF(Tabela1[[#This Row],[SETOR]]="RECEPTIVO","",AVERAGE(Tabela1[[#This Row],[A5]:[A6]])),"")</f>
        <v>10.000000000000002</v>
      </c>
      <c r="P134" s="20" t="str">
        <f>IFERROR(IF(Tabela1[[#This Row],[STATUS]]="INATIVO","INATIVO",IF(Tabela1[[#This Row],[STATUS]]="QRT","INATIVO",IF(Tabela1[[#This Row],[OPERACIONAL]]&gt;7.99999,"BOM","RUIM"))),"")</f>
        <v>BOM</v>
      </c>
      <c r="Q134" s="21" t="s">
        <v>667</v>
      </c>
      <c r="R134" s="12" t="s">
        <v>315</v>
      </c>
      <c r="S134" s="12" t="s">
        <v>11</v>
      </c>
      <c r="T134" s="12" t="s">
        <v>315</v>
      </c>
      <c r="U13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34" s="12">
        <f>IF(AND(Tabela1[[#This Row],[SETOR]]="UTI",Tabela1[[#This Row],[M]]&lt;&gt;""),1,IF(AND(Tabela1[[#This Row],[SETOR]]="UTI (RJ)",Tabela1[[#This Row],[M]]&lt;&gt;""),1.5,0))</f>
        <v>0</v>
      </c>
      <c r="X134" s="12">
        <f>IF(AND(Tabela1[[#This Row],[SETOR]]="UTI",Tabela1[[#This Row],[PA2]]&lt;&gt;""),1,IF(AND(Tabela1[[#This Row],[SETOR]]="UTI (RJ)",Tabela1[[#This Row],[PA2]]&lt;&gt;""),0,0))</f>
        <v>0</v>
      </c>
      <c r="Y134" s="12">
        <f>IF(AND(Tabela1[[#This Row],[SETOR]]="UTI",Tabela1[[#This Row],[C]]&lt;&gt;""),1,IF(AND(Tabela1[[#This Row],[SETOR]]="UTI (RJ)",Tabela1[[#This Row],[C]]&lt;&gt;""),1.5,0))</f>
        <v>0</v>
      </c>
      <c r="Z134" s="12">
        <f>IF(AND(Tabela1[[#This Row],[SETOR]]="UTI",Tabela1[[#This Row],[PL]]&lt;&gt;""),1,IF(AND(Tabela1[[#This Row],[SETOR]]="UTI (RJ)",Tabela1[[#This Row],[PL]]&lt;&gt;""),1,0))</f>
        <v>0</v>
      </c>
      <c r="AA134" s="21" t="str">
        <f>IFERROR(VLOOKUP(Tabela1[[#This Row],[MÊS]]&amp;Tabela1[[#This Row],[MATRICULA]]&amp;"1"&amp;Tabela1[[#This Row],[SETOR]]&amp;"PADRÃO",BD!B:AF,31,0),"")</f>
        <v/>
      </c>
      <c r="AB134" s="21" t="str">
        <f>IFERROR(VLOOKUP(Tabela1[[#This Row],[MÊS]]&amp;Tabela1[[#This Row],[MATRICULA]]&amp;"2"&amp;Tabela1[[#This Row],[SETOR]]&amp;"PADRÃO",BD!B:AF,31,0),"")</f>
        <v/>
      </c>
      <c r="AC134" s="21" t="str">
        <f>IFERROR(VLOOKUP(Tabela1[[#This Row],[MÊS]]&amp;Tabela1[[#This Row],[MATRICULA]]&amp;"3"&amp;Tabela1[[#This Row],[SETOR]]&amp;"PADRÃO",BD!B:AF,31,0),"")</f>
        <v/>
      </c>
      <c r="AD134" s="21" t="str">
        <f>IFERROR(VLOOKUP(Tabela1[[#This Row],[MÊS]]&amp;Tabela1[[#This Row],[MATRICULA]]&amp;"4"&amp;Tabela1[[#This Row],[SETOR]]&amp;"PADRÃO",BD!B:AF,25,0),"")</f>
        <v/>
      </c>
      <c r="AE134" s="21">
        <f>IFERROR(VLOOKUP(Tabela1[[#This Row],[MÊS]]&amp;Tabela1[[#This Row],[MATRICULA]]&amp;"5"&amp;Tabela1[[#This Row],[SETOR]]&amp;"PADRÃO",BD!B:AF,31,0),"")</f>
        <v>10.000000000000002</v>
      </c>
      <c r="AF134" s="21">
        <f>IFERROR(VLOOKUP(Tabela1[[#This Row],[MÊS]]&amp;Tabela1[[#This Row],[MATRICULA]]&amp;"6"&amp;Tabela1[[#This Row],[SETOR]]&amp;"PADRÃO",BD!B:AF,31,0),"")</f>
        <v>10.000000000000002</v>
      </c>
      <c r="AG134" s="21" t="str">
        <f>IFERROR(VLOOKUP(Tabela1[[#This Row],[MÊS]]&amp;Tabela1[[#This Row],[MATRICULA]]&amp;"7"&amp;Tabela1[[#This Row],[SETOR]]&amp;"PADRÃO",BD!B:AF,31,0),"")</f>
        <v/>
      </c>
      <c r="AH134" s="21" t="str">
        <f>IFERROR(VLOOKUP(Tabela1[[#This Row],[MÊS]]&amp;Tabela1[[#This Row],[ID]]&amp;Tabela1[[#This Row],[MATRICULA]]&amp;"Receptiva"&amp;Tabela1[[#This Row],[SETOR]],BD!A:AF,31,0),"")</f>
        <v/>
      </c>
      <c r="AI134" s="21" t="str">
        <f>IFERROR(VLOOKUP(Tabela1[[#This Row],[MÊS]]&amp;Tabela1[[#This Row],[ID]]&amp;Tabela1[[#This Row],[MATRICULA]]&amp;"Receptiva 2"&amp;Tabela1[[#This Row],[SETOR]],BD!A:AF,31,0),"")</f>
        <v/>
      </c>
      <c r="AJ134" s="21" t="str">
        <f>IFERROR(VLOOKUP(Tabela1[[#This Row],[MÊS]]&amp;Tabela1[[#This Row],[ID]]&amp;Tabela1[[#This Row],[MATRICULA]]&amp;"Receptiva 3"&amp;Tabela1[[#This Row],[SETOR]],BD!A:AF,31,0),"")</f>
        <v/>
      </c>
      <c r="AK134" s="21" t="str">
        <f>IFERROR(VLOOKUP(Tabela1[[#This Row],[MÊS]]&amp;Tabela1[[#This Row],[ID]]&amp;Tabela1[[#This Row],[MATRICULA]]&amp;"Receptiva 4"&amp;Tabela1[[#This Row],[SETOR]],BD!A:AF,31,0),"")</f>
        <v/>
      </c>
      <c r="AL134" s="21" t="str">
        <f>IFERROR(VLOOKUP(Tabela1[[#This Row],[MÊS]]&amp;Tabela1[[#This Row],[MATRICULA]]&amp;"Motorista"&amp;Tabela1[[#This Row],[SETOR]],BD!A:AF,31,0),"")</f>
        <v/>
      </c>
      <c r="AM134" s="21" t="str">
        <f>IFERROR(VLOOKUP(Tabela1[[#This Row],[MÊS]]&amp;Tabela1[[#This Row],[ID]]&amp;Tabela1[[#This Row],[MATRICULA]]&amp;"Motorista 2"&amp;Tabela1[[#This Row],[SETOR]],BD!A:AF,26,0),"")</f>
        <v/>
      </c>
      <c r="AN134" s="21" t="str">
        <f>IFERROR(VLOOKUP(Tabela1[[#This Row],[MÊS]]&amp;Tabela1[[#This Row],[ID]]&amp;Tabela1[[#This Row],[MATRICULA]]&amp;"Motorista 3"&amp;Tabela1[[#This Row],[SETOR]],BD!A:AF,26,0),"")</f>
        <v/>
      </c>
      <c r="AO134" s="21" t="str">
        <f>IFERROR(VLOOKUP(Tabela1[[#This Row],[MÊS]]&amp;Tabela1[[#This Row],[ID]]&amp;Tabela1[[#This Row],[MATRICULA]]&amp;"Motorista 4"&amp;Tabela1[[#This Row],[SETOR]],BD!A:AF,26,0),"")</f>
        <v/>
      </c>
      <c r="AP134" s="21" t="str">
        <f>IFERROR(VLOOKUP(Tabela1[[#This Row],[MÊS]]&amp;Tabela1[[#This Row],[MATRICULA]]&amp;"Ponto de Apoio"&amp;Tabela1[[#This Row],[SETOR]],BD!A:AF,31,0),"")</f>
        <v/>
      </c>
      <c r="AQ134" s="21" t="str">
        <f>IFERROR(VLOOKUP(Tabela1[[#This Row],[MÊS]]&amp;Tabela1[[#This Row],[ID]]&amp;Tabela1[[#This Row],[MATRICULA]]&amp;"Ponto de Apoio 2"&amp;Tabela1[[#This Row],[SETOR]],BD!A:AF,26,0),"")</f>
        <v/>
      </c>
      <c r="AR134" s="36" t="str">
        <f>IFERROR(VLOOKUP(Tabela1[[#This Row],[MÊS]]&amp;Tabela1[[#This Row],[ID]]&amp;Tabela1[[#This Row],[MATRICULA]]&amp;"Ponto de Apoio 3"&amp;Tabela1[[#This Row],[SETOR]],BD!A:AF,26,0),"")</f>
        <v/>
      </c>
      <c r="AS134" s="36" t="str">
        <f>IFERROR(VLOOKUP(Tabela1[[#This Row],[MÊS]]&amp;Tabela1[[#This Row],[ID]]&amp;Tabela1[[#This Row],[MATRICULA]]&amp;"Ponto de Apoio 4"&amp;Tabela1[[#This Row],[SETOR]],BD!A:AF,26,0),"")</f>
        <v/>
      </c>
      <c r="AT134" s="21" t="str">
        <f>IFERROR(VLOOKUP(Tabela1[[#This Row],[MÊS]]&amp;Tabela1[[#This Row],[MATRICULA]]&amp;"Cliente"&amp;Tabela1[[#This Row],[SETOR]],BD!A:AF,31,0),"")</f>
        <v/>
      </c>
      <c r="AU134" s="21" t="str">
        <f>IFERROR(VLOOKUP(Tabela1[[#This Row],[MÊS]]&amp;Tabela1[[#This Row],[ID]]&amp;Tabela1[[#This Row],[MATRICULA]]&amp;"Cliente 2"&amp;Tabela1[[#This Row],[SETOR]],BD!A:AF,26,0),"")</f>
        <v/>
      </c>
      <c r="AX134" s="21" t="str">
        <f>IFERROR(VLOOKUP(Tabela1[[#This Row],[MÊS]]&amp;Tabela1[[#This Row],[MATRICULA]]&amp;"Policia"&amp;Tabela1[[#This Row],[SETOR]],BD!A:AF,31,0),"")</f>
        <v/>
      </c>
      <c r="AY134" s="21" t="str">
        <f>IFERROR(VLOOKUP(Tabela1[[#This Row],[MÊS]]&amp;Tabela1[[#This Row],[ID]]&amp;Tabela1[[#This Row],[MATRICULA]]&amp;"Policia 2"&amp;Tabela1[[#This Row],[SETOR]],BD!A:AF,26,0),"")</f>
        <v/>
      </c>
      <c r="AZ134" s="36" t="str">
        <f>IFERROR(VLOOKUP(Tabela1[[#This Row],[MÊS]]&amp;Tabela1[[#This Row],[ID]]&amp;Tabela1[[#This Row],[MATRICULA]]&amp;"Policia 3"&amp;Tabela1[[#This Row],[SETOR]],BD!A:AF,26,0),"")</f>
        <v/>
      </c>
      <c r="BA134" s="36" t="str">
        <f>IFERROR(VLOOKUP(Tabela1[[#This Row],[MÊS]]&amp;Tabela1[[#This Row],[ID]]&amp;Tabela1[[#This Row],[MATRICULA]]&amp;"Policia 4"&amp;Tabela1[[#This Row],[SETOR]],BD!A:AF,26,0),"")</f>
        <v/>
      </c>
      <c r="BB13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4" s="21" t="str">
        <f>IFERROR(AVERAGE(Tabela1[[#This Row],[M]:[M4]]),"")</f>
        <v/>
      </c>
      <c r="BD134" s="21" t="str">
        <f>IFERROR(AVERAGE(Tabela1[[#This Row],[C]:[C4]]),"")</f>
        <v/>
      </c>
      <c r="BE134" s="21" t="str">
        <f>IFERROR(AVERAGE(Tabela1[[#This Row],[PA2]:[PA 4]]),"")</f>
        <v/>
      </c>
      <c r="BF134" s="21" t="str">
        <f>IFERROR(AVERAGE(Tabela1[[#This Row],[PL]:[PL4]]),"")</f>
        <v/>
      </c>
      <c r="BG134" s="35" t="str">
        <f>IFERROR(VLOOKUP(Tabela1[[#This Row],[MÊS]]&amp;Tabela1[[#This Row],[MATRICULA]],#REF!,2,0),"")</f>
        <v/>
      </c>
      <c r="BH134" s="35" t="str">
        <f>IFERROR(VLOOKUP(Tabela1[[#This Row],[MÊS]]&amp;Tabela1[[#This Row],[MATRICULA]],#REF!,2,0),"")</f>
        <v/>
      </c>
      <c r="BI134" s="35" t="str">
        <f>IFERROR(VLOOKUP(Tabela1[[#This Row],[MÊS]]&amp;Tabela1[[#This Row],[MATRICULA]],#REF!,2,0),"")</f>
        <v/>
      </c>
      <c r="BJ134" s="35" t="str">
        <f>IFERROR(VLOOKUP(Tabela1[[#This Row],[MÊS]]&amp;Tabela1[[#This Row],[MATRICULA]],#REF!,2,0),"")</f>
        <v/>
      </c>
      <c r="BK134" s="35" t="str">
        <f>IFERROR(VLOOKUP(Tabela1[[#This Row],[MÊS]]&amp;Tabela1[[#This Row],[MATRICULA]],#REF!,2,0),"")</f>
        <v/>
      </c>
      <c r="BL134" s="21">
        <f>COUNTIF(Tabela1[[#This Row],[MOT2]:[RECEPTIVA]],"NÃO ENCONTRADA")</f>
        <v>0</v>
      </c>
      <c r="BM134" s="135" t="str">
        <f>IFERROR(VLOOKUP(Tabela1[[#This Row],[MÊS]]&amp;Tabela1[[#This Row],[ID]]&amp;Tabela1[[#This Row],[MATRICULA]]&amp;"Motorista"&amp;Tabela1[[#This Row],[SETOR]],BD!A:AF,13,0),"")</f>
        <v/>
      </c>
      <c r="BN134" s="135" t="str">
        <f>IFERROR(VLOOKUP(Tabela1[[#This Row],[MÊS]]&amp;Tabela1[[#This Row],[ID]]&amp;Tabela1[[#This Row],[MATRICULA]]&amp;"Motorista 2"&amp;Tabela1[[#This Row],[SETOR]],BD!A:AF,13,0),"")</f>
        <v/>
      </c>
      <c r="BO134" s="135" t="str">
        <f>IFERROR(VLOOKUP(Tabela1[[#This Row],[MÊS]]&amp;Tabela1[[#This Row],[ID]]&amp;Tabela1[[#This Row],[MATRICULA]]&amp;"Motorista 3"&amp;Tabela1[[#This Row],[SETOR]],BD!A:AF,13,0),"")</f>
        <v/>
      </c>
      <c r="BP134" s="135" t="str">
        <f>IFERROR(VLOOKUP(Tabela1[[#This Row],[MÊS]]&amp;Tabela1[[#This Row],[ID]]&amp;Tabela1[[#This Row],[MATRICULA]]&amp;"Motorista 4"&amp;Tabela1[[#This Row],[SETOR]],BD!A:AF,13,0),"")</f>
        <v/>
      </c>
      <c r="BQ134" s="135" t="str">
        <f>IFERROR(AVERAGE(Tabela1[[#This Row],[DMOT]:[DMOT4]]),"")</f>
        <v/>
      </c>
      <c r="BR134" s="135" t="str">
        <f>IFERROR(VLOOKUP(Tabela1[[#This Row],[MÊS]]&amp;Tabela1[[#This Row],[ID]]&amp;Tabela1[[#This Row],[MATRICULA]]&amp;"Ponto de Apoio"&amp;Tabela1[[#This Row],[SETOR]],BD!A:AF,13,0),"")</f>
        <v/>
      </c>
      <c r="BS134" s="135" t="str">
        <f>IFERROR(VLOOKUP(Tabela1[[#This Row],[MÊS]]&amp;Tabela1[[#This Row],[ID]]&amp;Tabela1[[#This Row],[MATRICULA]]&amp;"Ponto de Apoio 2"&amp;Tabela1[[#This Row],[SETOR]],BD!A:AF,13,0),"")</f>
        <v/>
      </c>
      <c r="BT134" s="135" t="str">
        <f>IFERROR(VLOOKUP(Tabela1[[#This Row],[MÊS]]&amp;Tabela1[[#This Row],[ID]]&amp;Tabela1[[#This Row],[MATRICULA]]&amp;"Ponto de Apoio 3"&amp;Tabela1[[#This Row],[SETOR]],BD!A:AF,13,0),"")</f>
        <v/>
      </c>
      <c r="BU134" s="135" t="str">
        <f>IFERROR(VLOOKUP(Tabela1[[#This Row],[MÊS]]&amp;Tabela1[[#This Row],[ID]]&amp;Tabela1[[#This Row],[MATRICULA]]&amp;"Ponto de Apoio 4"&amp;Tabela1[[#This Row],[SETOR]],BD!A:AF,13,0),"")</f>
        <v/>
      </c>
      <c r="BV134" s="135" t="str">
        <f>IFERROR(AVERAGE(Tabela1[[#This Row],[DPA]:[DPA 4]]),"")</f>
        <v/>
      </c>
      <c r="BW134" s="135" t="str">
        <f>IFERROR(VLOOKUP(Tabela1[[#This Row],[MÊS]]&amp;Tabela1[[#This Row],[ID]]&amp;Tabela1[[#This Row],[MATRICULA]]&amp;"Cliente"&amp;Tabela1[[#This Row],[SETOR]],BD!A:AF,13,0),"")</f>
        <v/>
      </c>
      <c r="BX134" s="135" t="str">
        <f>IFERROR(VLOOKUP(Tabela1[[#This Row],[MÊS]]&amp;Tabela1[[#This Row],[ID]]&amp;Tabela1[[#This Row],[MATRICULA]]&amp;"cliente 2"&amp;Tabela1[[#This Row],[SETOR]],BD!A:AF,13,0),"")</f>
        <v/>
      </c>
      <c r="BY134" s="135" t="str">
        <f>IFERROR(VLOOKUP(Tabela1[[#This Row],[MÊS]]&amp;Tabela1[[#This Row],[ID]]&amp;Tabela1[[#This Row],[MATRICULA]]&amp;"cliente 3"&amp;Tabela1[[#This Row],[SETOR]],BD!A:AF,13,0),"")</f>
        <v/>
      </c>
      <c r="BZ134" s="135" t="str">
        <f>IFERROR(VLOOKUP(Tabela1[[#This Row],[MÊS]]&amp;Tabela1[[#This Row],[ID]]&amp;Tabela1[[#This Row],[MATRICULA]]&amp;"cliente 4"&amp;Tabela1[[#This Row],[SETOR]],BD!A:AF,13,0),"")</f>
        <v/>
      </c>
      <c r="CA134" s="135" t="str">
        <f>IFERROR(AVERAGE(Tabela1[[#This Row],[DCLI]:[DCLI 4]]),"")</f>
        <v/>
      </c>
      <c r="CB134" s="135" t="str">
        <f>IFERROR(VLOOKUP(Tabela1[[#This Row],[MÊS]]&amp;Tabela1[[#This Row],[ID]]&amp;Tabela1[[#This Row],[MATRICULA]]&amp;"Policia"&amp;Tabela1[[#This Row],[SETOR]],BD!A:AF,13,0),"")</f>
        <v/>
      </c>
      <c r="CC134" s="135" t="str">
        <f>IFERROR(VLOOKUP(Tabela1[[#This Row],[MÊS]]&amp;Tabela1[[#This Row],[ID]]&amp;Tabela1[[#This Row],[MATRICULA]]&amp;"Policia 2"&amp;Tabela1[[#This Row],[SETOR]],BD!A:AF,13,0),"")</f>
        <v/>
      </c>
      <c r="CD134" s="135"/>
      <c r="CE134" s="135"/>
      <c r="CF134" s="135" t="str">
        <f>IFERROR((AVERAGE(Tabela1[[#This Row],[DPOL1]:[DPOL4]])),"")</f>
        <v/>
      </c>
      <c r="CG134" s="21" t="str">
        <f>IFERROR(VLOOKUP(Tabela1[[#This Row],[ID]]&amp;Tabela1[[#This Row],[MÊS]]&amp;Tabela1[[#This Row],[MATRICULA]],#REF!,2,0),"")</f>
        <v/>
      </c>
      <c r="CH134" s="21" t="str">
        <f>IFERROR(VLOOKUP(Tabela1[[#This Row],[ID]]&amp;Tabela1[[#This Row],[MÊS]]&amp;Tabela1[[#This Row],[MATRICULA]],#REF!,2,0),"")</f>
        <v/>
      </c>
      <c r="CI134" s="21" t="str">
        <f>IFERROR(VLOOKUP(Tabela1[[#This Row],[MÊS]]&amp;Tabela1[[#This Row],[MATRICULA]],#REF!,2,0),"")</f>
        <v/>
      </c>
    </row>
    <row r="135" spans="1:87">
      <c r="A135" s="12" t="str">
        <f>Tabela1[[#This Row],[MÊS]]&amp;Tabela1[[#This Row],[MATRICULA]]&amp;Tabela1[[#This Row],[ID]]</f>
        <v>JAN1135418</v>
      </c>
      <c r="B135" s="12" t="str">
        <f>Tabela1[[#This Row],[MÊS]]&amp;Tabela1[[#This Row],[ID]]&amp;Tabela1[[#This Row],[MATRICULA]]&amp;Tabela1[[#This Row],[SETOR]]</f>
        <v>JAN1811354LOGÍSTICA</v>
      </c>
      <c r="C135" s="130" t="e">
        <f>VLOOKUP(Tabela1[[#This Row],[MATRICULA]],'BD Campos'!A:D,5,0)</f>
        <v>#REF!</v>
      </c>
      <c r="D135" s="133" t="str">
        <f ca="1">IFERROR(SUM(TODAY()-Tabela1[[#This Row],[ADMISSÃO]]),"")</f>
        <v/>
      </c>
      <c r="E135" s="11" t="str">
        <f ca="1">IFERROR(TRUNC(Tabela1[[#This Row],[TEMPO DE CASA (DIAS)]]/30),"")</f>
        <v/>
      </c>
      <c r="F135" s="32" t="str">
        <f ca="1">IFERROR(SUM(Tabela1[[#This Row],[TEMPO DE CASA (MESES)]]/12),"")</f>
        <v/>
      </c>
      <c r="G135" s="133" t="str">
        <f ca="1">IF(Tabela1[[#This Row],[TEMPO DE CASA (DIAS)]]="","SEM DADOS",IF(Tabela1[[#This Row],[TEMPO DE CASA (DIAS)]]&gt;180,"&gt; 6 MESES","&lt; 6 MESES"))</f>
        <v>SEM DADOS</v>
      </c>
      <c r="H135" s="12" t="str">
        <f t="shared" si="12"/>
        <v>JANGeovana Meurer18</v>
      </c>
      <c r="I135" s="12" t="str">
        <f>IFERROR(VLOOKUP(Tabela1[[#This Row],[MATRICULA]],'BD Campos'!A:F,7,0),"")</f>
        <v/>
      </c>
      <c r="J135" s="11">
        <v>18</v>
      </c>
      <c r="K135" s="11" t="s">
        <v>669</v>
      </c>
      <c r="L135" s="136">
        <v>11354</v>
      </c>
      <c r="M135" s="12" t="str">
        <f>IFERROR(VLOOKUP(Tabela1[[#This Row],[MATRICULA]],'BD Campos'!A:B,2,0),"")</f>
        <v>RAYSSA LUISA DA SILVA</v>
      </c>
      <c r="N135" s="20">
        <f>IFERROR(AVERAGE(Tabela1[[#This Row],[A1]:[A4]]),"")</f>
        <v>8.2255000000000003</v>
      </c>
      <c r="O135" s="20" t="str">
        <f>IFERROR(IF(Tabela1[[#This Row],[SETOR]]="RECEPTIVO","",AVERAGE(Tabela1[[#This Row],[A5]:[A6]])),"")</f>
        <v/>
      </c>
      <c r="P135" s="20" t="str">
        <f>IFERROR(IF(Tabela1[[#This Row],[STATUS]]="INATIVO","INATIVO",IF(Tabela1[[#This Row],[STATUS]]="QRT","INATIVO",IF(Tabela1[[#This Row],[OPERACIONAL]]&gt;7.99999,"BOM","RUIM"))),"")</f>
        <v>BOM</v>
      </c>
      <c r="Q135" s="21" t="s">
        <v>667</v>
      </c>
      <c r="R135" s="12" t="s">
        <v>315</v>
      </c>
      <c r="S135" s="12" t="s">
        <v>11</v>
      </c>
      <c r="T135" s="12" t="s">
        <v>315</v>
      </c>
      <c r="U13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35" s="12">
        <f>IF(AND(Tabela1[[#This Row],[SETOR]]="UTI",Tabela1[[#This Row],[M]]&lt;&gt;""),1,IF(AND(Tabela1[[#This Row],[SETOR]]="UTI (RJ)",Tabela1[[#This Row],[M]]&lt;&gt;""),1.5,0))</f>
        <v>0</v>
      </c>
      <c r="X135" s="12">
        <f>IF(AND(Tabela1[[#This Row],[SETOR]]="UTI",Tabela1[[#This Row],[PA2]]&lt;&gt;""),1,IF(AND(Tabela1[[#This Row],[SETOR]]="UTI (RJ)",Tabela1[[#This Row],[PA2]]&lt;&gt;""),0,0))</f>
        <v>0</v>
      </c>
      <c r="Y135" s="12">
        <f>IF(AND(Tabela1[[#This Row],[SETOR]]="UTI",Tabela1[[#This Row],[C]]&lt;&gt;""),1,IF(AND(Tabela1[[#This Row],[SETOR]]="UTI (RJ)",Tabela1[[#This Row],[C]]&lt;&gt;""),1.5,0))</f>
        <v>0</v>
      </c>
      <c r="Z135" s="12">
        <f>IF(AND(Tabela1[[#This Row],[SETOR]]="UTI",Tabela1[[#This Row],[PL]]&lt;&gt;""),1,IF(AND(Tabela1[[#This Row],[SETOR]]="UTI (RJ)",Tabela1[[#This Row],[PL]]&lt;&gt;""),1,0))</f>
        <v>0</v>
      </c>
      <c r="AA135" s="21">
        <f>IFERROR(VLOOKUP(Tabela1[[#This Row],[MÊS]]&amp;Tabela1[[#This Row],[MATRICULA]]&amp;"1"&amp;Tabela1[[#This Row],[SETOR]]&amp;"PADRÃO",BD!B:AF,31,0),"")</f>
        <v>8.6035000000000004</v>
      </c>
      <c r="AB135" s="21">
        <f>IFERROR(VLOOKUP(Tabela1[[#This Row],[MÊS]]&amp;Tabela1[[#This Row],[MATRICULA]]&amp;"2"&amp;Tabela1[[#This Row],[SETOR]]&amp;"PADRÃO",BD!B:AF,31,0),"")</f>
        <v>7.8475000000000001</v>
      </c>
      <c r="AC135" s="21" t="str">
        <f>IFERROR(VLOOKUP(Tabela1[[#This Row],[MÊS]]&amp;Tabela1[[#This Row],[MATRICULA]]&amp;"3"&amp;Tabela1[[#This Row],[SETOR]]&amp;"PADRÃO",BD!B:AF,31,0),"")</f>
        <v/>
      </c>
      <c r="AD135" s="21" t="str">
        <f>IFERROR(VLOOKUP(Tabela1[[#This Row],[MÊS]]&amp;Tabela1[[#This Row],[MATRICULA]]&amp;"4"&amp;Tabela1[[#This Row],[SETOR]]&amp;"PADRÃO",BD!B:AF,25,0),"")</f>
        <v/>
      </c>
      <c r="AE135" s="21" t="str">
        <f>IFERROR(VLOOKUP(Tabela1[[#This Row],[MÊS]]&amp;Tabela1[[#This Row],[MATRICULA]]&amp;"5"&amp;Tabela1[[#This Row],[SETOR]]&amp;"PADRÃO",BD!B:AF,31,0),"")</f>
        <v/>
      </c>
      <c r="AF135" s="21" t="str">
        <f>IFERROR(VLOOKUP(Tabela1[[#This Row],[MÊS]]&amp;Tabela1[[#This Row],[MATRICULA]]&amp;"6"&amp;Tabela1[[#This Row],[SETOR]]&amp;"PADRÃO",BD!B:AF,31,0),"")</f>
        <v/>
      </c>
      <c r="AG135" s="21" t="str">
        <f>IFERROR(VLOOKUP(Tabela1[[#This Row],[MÊS]]&amp;Tabela1[[#This Row],[MATRICULA]]&amp;"7"&amp;Tabela1[[#This Row],[SETOR]]&amp;"PADRÃO",BD!B:AF,31,0),"")</f>
        <v/>
      </c>
      <c r="AH135" s="21" t="str">
        <f>IFERROR(VLOOKUP(Tabela1[[#This Row],[MÊS]]&amp;Tabela1[[#This Row],[ID]]&amp;Tabela1[[#This Row],[MATRICULA]]&amp;"Receptiva"&amp;Tabela1[[#This Row],[SETOR]],BD!A:AF,31,0),"")</f>
        <v/>
      </c>
      <c r="AI135" s="21" t="str">
        <f>IFERROR(VLOOKUP(Tabela1[[#This Row],[MÊS]]&amp;Tabela1[[#This Row],[ID]]&amp;Tabela1[[#This Row],[MATRICULA]]&amp;"Receptiva 2"&amp;Tabela1[[#This Row],[SETOR]],BD!A:AF,31,0),"")</f>
        <v/>
      </c>
      <c r="AJ135" s="21" t="str">
        <f>IFERROR(VLOOKUP(Tabela1[[#This Row],[MÊS]]&amp;Tabela1[[#This Row],[ID]]&amp;Tabela1[[#This Row],[MATRICULA]]&amp;"Receptiva 3"&amp;Tabela1[[#This Row],[SETOR]],BD!A:AF,31,0),"")</f>
        <v/>
      </c>
      <c r="AK135" s="21" t="str">
        <f>IFERROR(VLOOKUP(Tabela1[[#This Row],[MÊS]]&amp;Tabela1[[#This Row],[ID]]&amp;Tabela1[[#This Row],[MATRICULA]]&amp;"Receptiva 4"&amp;Tabela1[[#This Row],[SETOR]],BD!A:AF,31,0),"")</f>
        <v/>
      </c>
      <c r="AL135" s="21">
        <f>IFERROR(VLOOKUP(Tabela1[[#This Row],[MÊS]]&amp;Tabela1[[#This Row],[MATRICULA]]&amp;"Motorista"&amp;Tabela1[[#This Row],[SETOR]],BD!A:AF,31,0),"")</f>
        <v>0</v>
      </c>
      <c r="AM135" s="21" t="str">
        <f>IFERROR(VLOOKUP(Tabela1[[#This Row],[MÊS]]&amp;Tabela1[[#This Row],[ID]]&amp;Tabela1[[#This Row],[MATRICULA]]&amp;"Motorista 2"&amp;Tabela1[[#This Row],[SETOR]],BD!A:AF,26,0),"")</f>
        <v/>
      </c>
      <c r="AN135" s="21" t="str">
        <f>IFERROR(VLOOKUP(Tabela1[[#This Row],[MÊS]]&amp;Tabela1[[#This Row],[ID]]&amp;Tabela1[[#This Row],[MATRICULA]]&amp;"Motorista 3"&amp;Tabela1[[#This Row],[SETOR]],BD!A:AF,26,0),"")</f>
        <v/>
      </c>
      <c r="AO135" s="21" t="str">
        <f>IFERROR(VLOOKUP(Tabela1[[#This Row],[MÊS]]&amp;Tabela1[[#This Row],[ID]]&amp;Tabela1[[#This Row],[MATRICULA]]&amp;"Motorista 4"&amp;Tabela1[[#This Row],[SETOR]],BD!A:AF,26,0),"")</f>
        <v/>
      </c>
      <c r="AP135" s="21" t="str">
        <f>IFERROR(VLOOKUP(Tabela1[[#This Row],[MÊS]]&amp;Tabela1[[#This Row],[MATRICULA]]&amp;"Ponto de Apoio"&amp;Tabela1[[#This Row],[SETOR]],BD!A:AF,31,0),"")</f>
        <v/>
      </c>
      <c r="AQ135" s="21" t="str">
        <f>IFERROR(VLOOKUP(Tabela1[[#This Row],[MÊS]]&amp;Tabela1[[#This Row],[ID]]&amp;Tabela1[[#This Row],[MATRICULA]]&amp;"Ponto de Apoio 2"&amp;Tabela1[[#This Row],[SETOR]],BD!A:AF,26,0),"")</f>
        <v/>
      </c>
      <c r="AR135" s="36" t="str">
        <f>IFERROR(VLOOKUP(Tabela1[[#This Row],[MÊS]]&amp;Tabela1[[#This Row],[ID]]&amp;Tabela1[[#This Row],[MATRICULA]]&amp;"Ponto de Apoio 3"&amp;Tabela1[[#This Row],[SETOR]],BD!A:AF,26,0),"")</f>
        <v/>
      </c>
      <c r="AS135" s="36" t="str">
        <f>IFERROR(VLOOKUP(Tabela1[[#This Row],[MÊS]]&amp;Tabela1[[#This Row],[ID]]&amp;Tabela1[[#This Row],[MATRICULA]]&amp;"Ponto de Apoio 4"&amp;Tabela1[[#This Row],[SETOR]],BD!A:AF,26,0),"")</f>
        <v/>
      </c>
      <c r="AT135" s="21">
        <f>IFERROR(VLOOKUP(Tabela1[[#This Row],[MÊS]]&amp;Tabela1[[#This Row],[MATRICULA]]&amp;"Cliente"&amp;Tabela1[[#This Row],[SETOR]],BD!A:AF,31,0),"")</f>
        <v>0</v>
      </c>
      <c r="AU135" s="21" t="str">
        <f>IFERROR(VLOOKUP(Tabela1[[#This Row],[MÊS]]&amp;Tabela1[[#This Row],[ID]]&amp;Tabela1[[#This Row],[MATRICULA]]&amp;"Cliente 2"&amp;Tabela1[[#This Row],[SETOR]],BD!A:AF,26,0),"")</f>
        <v/>
      </c>
      <c r="AX135" s="21" t="str">
        <f>IFERROR(VLOOKUP(Tabela1[[#This Row],[MÊS]]&amp;Tabela1[[#This Row],[MATRICULA]]&amp;"Policia"&amp;Tabela1[[#This Row],[SETOR]],BD!A:AF,31,0),"")</f>
        <v/>
      </c>
      <c r="AY135" s="21" t="str">
        <f>IFERROR(VLOOKUP(Tabela1[[#This Row],[MÊS]]&amp;Tabela1[[#This Row],[ID]]&amp;Tabela1[[#This Row],[MATRICULA]]&amp;"Policia 2"&amp;Tabela1[[#This Row],[SETOR]],BD!A:AF,26,0),"")</f>
        <v/>
      </c>
      <c r="AZ135" s="36" t="str">
        <f>IFERROR(VLOOKUP(Tabela1[[#This Row],[MÊS]]&amp;Tabela1[[#This Row],[ID]]&amp;Tabela1[[#This Row],[MATRICULA]]&amp;"Policia 3"&amp;Tabela1[[#This Row],[SETOR]],BD!A:AF,26,0),"")</f>
        <v/>
      </c>
      <c r="BA135" s="36" t="str">
        <f>IFERROR(VLOOKUP(Tabela1[[#This Row],[MÊS]]&amp;Tabela1[[#This Row],[ID]]&amp;Tabela1[[#This Row],[MATRICULA]]&amp;"Policia 4"&amp;Tabela1[[#This Row],[SETOR]],BD!A:AF,26,0),"")</f>
        <v/>
      </c>
      <c r="BB13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5" s="21">
        <f>IFERROR(AVERAGE(Tabela1[[#This Row],[M]:[M4]]),"")</f>
        <v>0</v>
      </c>
      <c r="BD135" s="21">
        <f>IFERROR(AVERAGE(Tabela1[[#This Row],[C]:[C4]]),"")</f>
        <v>0</v>
      </c>
      <c r="BE135" s="21" t="str">
        <f>IFERROR(AVERAGE(Tabela1[[#This Row],[PA2]:[PA 4]]),"")</f>
        <v/>
      </c>
      <c r="BF135" s="21" t="str">
        <f>IFERROR(AVERAGE(Tabela1[[#This Row],[PL]:[PL4]]),"")</f>
        <v/>
      </c>
      <c r="BG135" s="35" t="str">
        <f>IFERROR(VLOOKUP(Tabela1[[#This Row],[MÊS]]&amp;Tabela1[[#This Row],[MATRICULA]],#REF!,2,0),"")</f>
        <v/>
      </c>
      <c r="BH135" s="35" t="str">
        <f>IFERROR(VLOOKUP(Tabela1[[#This Row],[MÊS]]&amp;Tabela1[[#This Row],[MATRICULA]],#REF!,2,0),"")</f>
        <v/>
      </c>
      <c r="BI135" s="35" t="str">
        <f>IFERROR(VLOOKUP(Tabela1[[#This Row],[MÊS]]&amp;Tabela1[[#This Row],[MATRICULA]],#REF!,2,0),"")</f>
        <v/>
      </c>
      <c r="BJ135" s="35" t="str">
        <f>IFERROR(VLOOKUP(Tabela1[[#This Row],[MÊS]]&amp;Tabela1[[#This Row],[MATRICULA]],#REF!,2,0),"")</f>
        <v/>
      </c>
      <c r="BK135" s="35" t="str">
        <f>IFERROR(VLOOKUP(Tabela1[[#This Row],[MÊS]]&amp;Tabela1[[#This Row],[MATRICULA]],#REF!,2,0),"")</f>
        <v/>
      </c>
      <c r="BL135" s="21">
        <f>COUNTIF(Tabela1[[#This Row],[MOT2]:[RECEPTIVA]],"NÃO ENCONTRADA")</f>
        <v>0</v>
      </c>
      <c r="BM135" s="135" t="str">
        <f>IFERROR(VLOOKUP(Tabela1[[#This Row],[MÊS]]&amp;Tabela1[[#This Row],[ID]]&amp;Tabela1[[#This Row],[MATRICULA]]&amp;"Motorista"&amp;Tabela1[[#This Row],[SETOR]],BD!A:AF,13,0),"")</f>
        <v/>
      </c>
      <c r="BN135" s="135" t="str">
        <f>IFERROR(VLOOKUP(Tabela1[[#This Row],[MÊS]]&amp;Tabela1[[#This Row],[ID]]&amp;Tabela1[[#This Row],[MATRICULA]]&amp;"Motorista 2"&amp;Tabela1[[#This Row],[SETOR]],BD!A:AF,13,0),"")</f>
        <v/>
      </c>
      <c r="BO135" s="135" t="str">
        <f>IFERROR(VLOOKUP(Tabela1[[#This Row],[MÊS]]&amp;Tabela1[[#This Row],[ID]]&amp;Tabela1[[#This Row],[MATRICULA]]&amp;"Motorista 3"&amp;Tabela1[[#This Row],[SETOR]],BD!A:AF,13,0),"")</f>
        <v/>
      </c>
      <c r="BP135" s="135" t="str">
        <f>IFERROR(VLOOKUP(Tabela1[[#This Row],[MÊS]]&amp;Tabela1[[#This Row],[ID]]&amp;Tabela1[[#This Row],[MATRICULA]]&amp;"Motorista 4"&amp;Tabela1[[#This Row],[SETOR]],BD!A:AF,13,0),"")</f>
        <v/>
      </c>
      <c r="BQ135" s="135" t="str">
        <f>IFERROR(AVERAGE(Tabela1[[#This Row],[DMOT]:[DMOT4]]),"")</f>
        <v/>
      </c>
      <c r="BR135" s="135" t="str">
        <f>IFERROR(VLOOKUP(Tabela1[[#This Row],[MÊS]]&amp;Tabela1[[#This Row],[ID]]&amp;Tabela1[[#This Row],[MATRICULA]]&amp;"Ponto de Apoio"&amp;Tabela1[[#This Row],[SETOR]],BD!A:AF,13,0),"")</f>
        <v/>
      </c>
      <c r="BS135" s="135" t="str">
        <f>IFERROR(VLOOKUP(Tabela1[[#This Row],[MÊS]]&amp;Tabela1[[#This Row],[ID]]&amp;Tabela1[[#This Row],[MATRICULA]]&amp;"Ponto de Apoio 2"&amp;Tabela1[[#This Row],[SETOR]],BD!A:AF,13,0),"")</f>
        <v/>
      </c>
      <c r="BT135" s="135" t="str">
        <f>IFERROR(VLOOKUP(Tabela1[[#This Row],[MÊS]]&amp;Tabela1[[#This Row],[ID]]&amp;Tabela1[[#This Row],[MATRICULA]]&amp;"Ponto de Apoio 3"&amp;Tabela1[[#This Row],[SETOR]],BD!A:AF,13,0),"")</f>
        <v/>
      </c>
      <c r="BU135" s="135" t="str">
        <f>IFERROR(VLOOKUP(Tabela1[[#This Row],[MÊS]]&amp;Tabela1[[#This Row],[ID]]&amp;Tabela1[[#This Row],[MATRICULA]]&amp;"Ponto de Apoio 4"&amp;Tabela1[[#This Row],[SETOR]],BD!A:AF,13,0),"")</f>
        <v/>
      </c>
      <c r="BV135" s="135" t="str">
        <f>IFERROR(AVERAGE(Tabela1[[#This Row],[DPA]:[DPA 4]]),"")</f>
        <v/>
      </c>
      <c r="BW135" s="135" t="str">
        <f>IFERROR(VLOOKUP(Tabela1[[#This Row],[MÊS]]&amp;Tabela1[[#This Row],[ID]]&amp;Tabela1[[#This Row],[MATRICULA]]&amp;"Cliente"&amp;Tabela1[[#This Row],[SETOR]],BD!A:AF,13,0),"")</f>
        <v/>
      </c>
      <c r="BX135" s="135" t="str">
        <f>IFERROR(VLOOKUP(Tabela1[[#This Row],[MÊS]]&amp;Tabela1[[#This Row],[ID]]&amp;Tabela1[[#This Row],[MATRICULA]]&amp;"cliente 2"&amp;Tabela1[[#This Row],[SETOR]],BD!A:AF,13,0),"")</f>
        <v/>
      </c>
      <c r="BY135" s="135" t="str">
        <f>IFERROR(VLOOKUP(Tabela1[[#This Row],[MÊS]]&amp;Tabela1[[#This Row],[ID]]&amp;Tabela1[[#This Row],[MATRICULA]]&amp;"cliente 3"&amp;Tabela1[[#This Row],[SETOR]],BD!A:AF,13,0),"")</f>
        <v/>
      </c>
      <c r="BZ135" s="135" t="str">
        <f>IFERROR(VLOOKUP(Tabela1[[#This Row],[MÊS]]&amp;Tabela1[[#This Row],[ID]]&amp;Tabela1[[#This Row],[MATRICULA]]&amp;"cliente 4"&amp;Tabela1[[#This Row],[SETOR]],BD!A:AF,13,0),"")</f>
        <v/>
      </c>
      <c r="CA135" s="135" t="str">
        <f>IFERROR(AVERAGE(Tabela1[[#This Row],[DCLI]:[DCLI 4]]),"")</f>
        <v/>
      </c>
      <c r="CB135" s="135" t="str">
        <f>IFERROR(VLOOKUP(Tabela1[[#This Row],[MÊS]]&amp;Tabela1[[#This Row],[ID]]&amp;Tabela1[[#This Row],[MATRICULA]]&amp;"Policia"&amp;Tabela1[[#This Row],[SETOR]],BD!A:AF,13,0),"")</f>
        <v/>
      </c>
      <c r="CC135" s="135" t="str">
        <f>IFERROR(VLOOKUP(Tabela1[[#This Row],[MÊS]]&amp;Tabela1[[#This Row],[ID]]&amp;Tabela1[[#This Row],[MATRICULA]]&amp;"Policia 2"&amp;Tabela1[[#This Row],[SETOR]],BD!A:AF,13,0),"")</f>
        <v/>
      </c>
      <c r="CD135" s="135"/>
      <c r="CE135" s="135"/>
      <c r="CF135" s="135" t="str">
        <f>IFERROR((AVERAGE(Tabela1[[#This Row],[DPOL1]:[DPOL4]])),"")</f>
        <v/>
      </c>
      <c r="CG135" s="21" t="str">
        <f>IFERROR(VLOOKUP(Tabela1[[#This Row],[ID]]&amp;Tabela1[[#This Row],[MÊS]]&amp;Tabela1[[#This Row],[MATRICULA]],#REF!,2,0),"")</f>
        <v/>
      </c>
      <c r="CH135" s="21" t="str">
        <f>IFERROR(VLOOKUP(Tabela1[[#This Row],[ID]]&amp;Tabela1[[#This Row],[MÊS]]&amp;Tabela1[[#This Row],[MATRICULA]],#REF!,2,0),"")</f>
        <v/>
      </c>
      <c r="CI135" s="21" t="str">
        <f>IFERROR(VLOOKUP(Tabela1[[#This Row],[MÊS]]&amp;Tabela1[[#This Row],[MATRICULA]],#REF!,2,0),"")</f>
        <v/>
      </c>
    </row>
    <row r="136" spans="1:87">
      <c r="A136" s="12" t="str">
        <f>Tabela1[[#This Row],[MÊS]]&amp;Tabela1[[#This Row],[MATRICULA]]&amp;Tabela1[[#This Row],[ID]]</f>
        <v>JAN1140019</v>
      </c>
      <c r="B136" s="12" t="str">
        <f>Tabela1[[#This Row],[MÊS]]&amp;Tabela1[[#This Row],[ID]]&amp;Tabela1[[#This Row],[MATRICULA]]&amp;Tabela1[[#This Row],[SETOR]]</f>
        <v>JAN1911400LOGÍSTICA</v>
      </c>
      <c r="C136" s="130" t="e">
        <f>VLOOKUP(Tabela1[[#This Row],[MATRICULA]],'BD Campos'!A:D,5,0)</f>
        <v>#REF!</v>
      </c>
      <c r="D136" s="133" t="str">
        <f ca="1">IFERROR(SUM(TODAY()-Tabela1[[#This Row],[ADMISSÃO]]),"")</f>
        <v/>
      </c>
      <c r="E136" s="11" t="str">
        <f ca="1">IFERROR(TRUNC(Tabela1[[#This Row],[TEMPO DE CASA (DIAS)]]/30),"")</f>
        <v/>
      </c>
      <c r="F136" s="32" t="str">
        <f ca="1">IFERROR(SUM(Tabela1[[#This Row],[TEMPO DE CASA (MESES)]]/12),"")</f>
        <v/>
      </c>
      <c r="G136" s="133" t="str">
        <f ca="1">IF(Tabela1[[#This Row],[TEMPO DE CASA (DIAS)]]="","SEM DADOS",IF(Tabela1[[#This Row],[TEMPO DE CASA (DIAS)]]&gt;180,"&gt; 6 MESES","&lt; 6 MESES"))</f>
        <v>SEM DADOS</v>
      </c>
      <c r="H136" s="12" t="str">
        <f t="shared" si="12"/>
        <v>JANGeovana Meurer19</v>
      </c>
      <c r="I136" s="12" t="str">
        <f>IFERROR(VLOOKUP(Tabela1[[#This Row],[MATRICULA]],'BD Campos'!A:F,7,0),"")</f>
        <v/>
      </c>
      <c r="J136" s="11">
        <v>19</v>
      </c>
      <c r="K136" s="11" t="s">
        <v>669</v>
      </c>
      <c r="L136" s="136">
        <v>11400</v>
      </c>
      <c r="M136" s="12" t="str">
        <f>IFERROR(VLOOKUP(Tabela1[[#This Row],[MATRICULA]],'BD Campos'!A:B,2,0),"")</f>
        <v>BRUNO FELIPE DE MIRA CORREA</v>
      </c>
      <c r="N136" s="20" t="str">
        <f>IFERROR(AVERAGE(Tabela1[[#This Row],[A1]:[A4]]),"")</f>
        <v/>
      </c>
      <c r="O136" s="20" t="str">
        <f>IFERROR(IF(Tabela1[[#This Row],[SETOR]]="RECEPTIVO","",AVERAGE(Tabela1[[#This Row],[A5]:[A6]])),"")</f>
        <v/>
      </c>
      <c r="P136" s="20" t="str">
        <f>IFERROR(IF(Tabela1[[#This Row],[STATUS]]="INATIVO","INATIVO",IF(Tabela1[[#This Row],[STATUS]]="QRT","INATIVO",IF(Tabela1[[#This Row],[OPERACIONAL]]&gt;7.99999,"BOM","RUIM"))),"")</f>
        <v>INATIVO</v>
      </c>
      <c r="Q136" s="21" t="s">
        <v>670</v>
      </c>
      <c r="R136" s="12" t="s">
        <v>315</v>
      </c>
      <c r="S136" s="12" t="s">
        <v>11</v>
      </c>
      <c r="T136" s="12" t="s">
        <v>315</v>
      </c>
      <c r="U13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6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36" s="12">
        <f>IF(AND(Tabela1[[#This Row],[SETOR]]="UTI",Tabela1[[#This Row],[M]]&lt;&gt;""),1,IF(AND(Tabela1[[#This Row],[SETOR]]="UTI (RJ)",Tabela1[[#This Row],[M]]&lt;&gt;""),1.5,0))</f>
        <v>0</v>
      </c>
      <c r="X136" s="12">
        <f>IF(AND(Tabela1[[#This Row],[SETOR]]="UTI",Tabela1[[#This Row],[PA2]]&lt;&gt;""),1,IF(AND(Tabela1[[#This Row],[SETOR]]="UTI (RJ)",Tabela1[[#This Row],[PA2]]&lt;&gt;""),0,0))</f>
        <v>0</v>
      </c>
      <c r="Y136" s="12">
        <f>IF(AND(Tabela1[[#This Row],[SETOR]]="UTI",Tabela1[[#This Row],[C]]&lt;&gt;""),1,IF(AND(Tabela1[[#This Row],[SETOR]]="UTI (RJ)",Tabela1[[#This Row],[C]]&lt;&gt;""),1.5,0))</f>
        <v>0</v>
      </c>
      <c r="Z136" s="12">
        <f>IF(AND(Tabela1[[#This Row],[SETOR]]="UTI",Tabela1[[#This Row],[PL]]&lt;&gt;""),1,IF(AND(Tabela1[[#This Row],[SETOR]]="UTI (RJ)",Tabela1[[#This Row],[PL]]&lt;&gt;""),1,0))</f>
        <v>0</v>
      </c>
      <c r="AA136" s="21" t="str">
        <f>IFERROR(VLOOKUP(Tabela1[[#This Row],[MÊS]]&amp;Tabela1[[#This Row],[MATRICULA]]&amp;"1"&amp;Tabela1[[#This Row],[SETOR]]&amp;"PADRÃO",BD!B:AF,31,0),"")</f>
        <v/>
      </c>
      <c r="AB136" s="21" t="str">
        <f>IFERROR(VLOOKUP(Tabela1[[#This Row],[MÊS]]&amp;Tabela1[[#This Row],[MATRICULA]]&amp;"2"&amp;Tabela1[[#This Row],[SETOR]]&amp;"PADRÃO",BD!B:AF,31,0),"")</f>
        <v/>
      </c>
      <c r="AC136" s="21" t="str">
        <f>IFERROR(VLOOKUP(Tabela1[[#This Row],[MÊS]]&amp;Tabela1[[#This Row],[MATRICULA]]&amp;"3"&amp;Tabela1[[#This Row],[SETOR]]&amp;"PADRÃO",BD!B:AF,31,0),"")</f>
        <v/>
      </c>
      <c r="AD136" s="21" t="str">
        <f>IFERROR(VLOOKUP(Tabela1[[#This Row],[MÊS]]&amp;Tabela1[[#This Row],[MATRICULA]]&amp;"4"&amp;Tabela1[[#This Row],[SETOR]]&amp;"PADRÃO",BD!B:AF,25,0),"")</f>
        <v/>
      </c>
      <c r="AE136" s="21" t="str">
        <f>IFERROR(VLOOKUP(Tabela1[[#This Row],[MÊS]]&amp;Tabela1[[#This Row],[MATRICULA]]&amp;"5"&amp;Tabela1[[#This Row],[SETOR]]&amp;"PADRÃO",BD!B:AF,31,0),"")</f>
        <v/>
      </c>
      <c r="AF136" s="21" t="str">
        <f>IFERROR(VLOOKUP(Tabela1[[#This Row],[MÊS]]&amp;Tabela1[[#This Row],[MATRICULA]]&amp;"6"&amp;Tabela1[[#This Row],[SETOR]]&amp;"PADRÃO",BD!B:AF,31,0),"")</f>
        <v/>
      </c>
      <c r="AG136" s="21" t="str">
        <f>IFERROR(VLOOKUP(Tabela1[[#This Row],[MÊS]]&amp;Tabela1[[#This Row],[MATRICULA]]&amp;"7"&amp;Tabela1[[#This Row],[SETOR]]&amp;"PADRÃO",BD!B:AF,31,0),"")</f>
        <v/>
      </c>
      <c r="AH136" s="21" t="str">
        <f>IFERROR(VLOOKUP(Tabela1[[#This Row],[MÊS]]&amp;Tabela1[[#This Row],[ID]]&amp;Tabela1[[#This Row],[MATRICULA]]&amp;"Receptiva"&amp;Tabela1[[#This Row],[SETOR]],BD!A:AF,31,0),"")</f>
        <v/>
      </c>
      <c r="AI136" s="21" t="str">
        <f>IFERROR(VLOOKUP(Tabela1[[#This Row],[MÊS]]&amp;Tabela1[[#This Row],[ID]]&amp;Tabela1[[#This Row],[MATRICULA]]&amp;"Receptiva 2"&amp;Tabela1[[#This Row],[SETOR]],BD!A:AF,31,0),"")</f>
        <v/>
      </c>
      <c r="AJ136" s="21" t="str">
        <f>IFERROR(VLOOKUP(Tabela1[[#This Row],[MÊS]]&amp;Tabela1[[#This Row],[ID]]&amp;Tabela1[[#This Row],[MATRICULA]]&amp;"Receptiva 3"&amp;Tabela1[[#This Row],[SETOR]],BD!A:AF,31,0),"")</f>
        <v/>
      </c>
      <c r="AK136" s="21" t="str">
        <f>IFERROR(VLOOKUP(Tabela1[[#This Row],[MÊS]]&amp;Tabela1[[#This Row],[ID]]&amp;Tabela1[[#This Row],[MATRICULA]]&amp;"Receptiva 4"&amp;Tabela1[[#This Row],[SETOR]],BD!A:AF,31,0),"")</f>
        <v/>
      </c>
      <c r="AL136" s="21" t="str">
        <f>IFERROR(VLOOKUP(Tabela1[[#This Row],[MÊS]]&amp;Tabela1[[#This Row],[MATRICULA]]&amp;"Motorista"&amp;Tabela1[[#This Row],[SETOR]],BD!A:AF,31,0),"")</f>
        <v/>
      </c>
      <c r="AM136" s="21" t="str">
        <f>IFERROR(VLOOKUP(Tabela1[[#This Row],[MÊS]]&amp;Tabela1[[#This Row],[ID]]&amp;Tabela1[[#This Row],[MATRICULA]]&amp;"Motorista 2"&amp;Tabela1[[#This Row],[SETOR]],BD!A:AF,26,0),"")</f>
        <v/>
      </c>
      <c r="AN136" s="21" t="str">
        <f>IFERROR(VLOOKUP(Tabela1[[#This Row],[MÊS]]&amp;Tabela1[[#This Row],[ID]]&amp;Tabela1[[#This Row],[MATRICULA]]&amp;"Motorista 3"&amp;Tabela1[[#This Row],[SETOR]],BD!A:AF,26,0),"")</f>
        <v/>
      </c>
      <c r="AO136" s="21" t="str">
        <f>IFERROR(VLOOKUP(Tabela1[[#This Row],[MÊS]]&amp;Tabela1[[#This Row],[ID]]&amp;Tabela1[[#This Row],[MATRICULA]]&amp;"Motorista 4"&amp;Tabela1[[#This Row],[SETOR]],BD!A:AF,26,0),"")</f>
        <v/>
      </c>
      <c r="AP136" s="21" t="str">
        <f>IFERROR(VLOOKUP(Tabela1[[#This Row],[MÊS]]&amp;Tabela1[[#This Row],[MATRICULA]]&amp;"Ponto de Apoio"&amp;Tabela1[[#This Row],[SETOR]],BD!A:AF,31,0),"")</f>
        <v/>
      </c>
      <c r="AQ136" s="21" t="str">
        <f>IFERROR(VLOOKUP(Tabela1[[#This Row],[MÊS]]&amp;Tabela1[[#This Row],[ID]]&amp;Tabela1[[#This Row],[MATRICULA]]&amp;"Ponto de Apoio 2"&amp;Tabela1[[#This Row],[SETOR]],BD!A:AF,26,0),"")</f>
        <v/>
      </c>
      <c r="AR136" s="36" t="str">
        <f>IFERROR(VLOOKUP(Tabela1[[#This Row],[MÊS]]&amp;Tabela1[[#This Row],[ID]]&amp;Tabela1[[#This Row],[MATRICULA]]&amp;"Ponto de Apoio 3"&amp;Tabela1[[#This Row],[SETOR]],BD!A:AF,26,0),"")</f>
        <v/>
      </c>
      <c r="AS136" s="36" t="str">
        <f>IFERROR(VLOOKUP(Tabela1[[#This Row],[MÊS]]&amp;Tabela1[[#This Row],[ID]]&amp;Tabela1[[#This Row],[MATRICULA]]&amp;"Ponto de Apoio 4"&amp;Tabela1[[#This Row],[SETOR]],BD!A:AF,26,0),"")</f>
        <v/>
      </c>
      <c r="AT136" s="21" t="str">
        <f>IFERROR(VLOOKUP(Tabela1[[#This Row],[MÊS]]&amp;Tabela1[[#This Row],[MATRICULA]]&amp;"Cliente"&amp;Tabela1[[#This Row],[SETOR]],BD!A:AF,31,0),"")</f>
        <v/>
      </c>
      <c r="AU136" s="21" t="str">
        <f>IFERROR(VLOOKUP(Tabela1[[#This Row],[MÊS]]&amp;Tabela1[[#This Row],[ID]]&amp;Tabela1[[#This Row],[MATRICULA]]&amp;"Cliente 2"&amp;Tabela1[[#This Row],[SETOR]],BD!A:AF,26,0),"")</f>
        <v/>
      </c>
      <c r="AX136" s="21" t="str">
        <f>IFERROR(VLOOKUP(Tabela1[[#This Row],[MÊS]]&amp;Tabela1[[#This Row],[MATRICULA]]&amp;"Policia"&amp;Tabela1[[#This Row],[SETOR]],BD!A:AF,31,0),"")</f>
        <v/>
      </c>
      <c r="AY136" s="21" t="str">
        <f>IFERROR(VLOOKUP(Tabela1[[#This Row],[MÊS]]&amp;Tabela1[[#This Row],[ID]]&amp;Tabela1[[#This Row],[MATRICULA]]&amp;"Policia 2"&amp;Tabela1[[#This Row],[SETOR]],BD!A:AF,26,0),"")</f>
        <v/>
      </c>
      <c r="AZ136" s="36" t="str">
        <f>IFERROR(VLOOKUP(Tabela1[[#This Row],[MÊS]]&amp;Tabela1[[#This Row],[ID]]&amp;Tabela1[[#This Row],[MATRICULA]]&amp;"Policia 3"&amp;Tabela1[[#This Row],[SETOR]],BD!A:AF,26,0),"")</f>
        <v/>
      </c>
      <c r="BA136" s="36" t="str">
        <f>IFERROR(VLOOKUP(Tabela1[[#This Row],[MÊS]]&amp;Tabela1[[#This Row],[ID]]&amp;Tabela1[[#This Row],[MATRICULA]]&amp;"Policia 4"&amp;Tabela1[[#This Row],[SETOR]],BD!A:AF,26,0),"")</f>
        <v/>
      </c>
      <c r="BB13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6" s="21" t="str">
        <f>IFERROR(AVERAGE(Tabela1[[#This Row],[M]:[M4]]),"")</f>
        <v/>
      </c>
      <c r="BD136" s="21" t="str">
        <f>IFERROR(AVERAGE(Tabela1[[#This Row],[C]:[C4]]),"")</f>
        <v/>
      </c>
      <c r="BE136" s="21" t="str">
        <f>IFERROR(AVERAGE(Tabela1[[#This Row],[PA2]:[PA 4]]),"")</f>
        <v/>
      </c>
      <c r="BF136" s="21" t="str">
        <f>IFERROR(AVERAGE(Tabela1[[#This Row],[PL]:[PL4]]),"")</f>
        <v/>
      </c>
      <c r="BG136" s="35" t="str">
        <f>IFERROR(VLOOKUP(Tabela1[[#This Row],[MÊS]]&amp;Tabela1[[#This Row],[MATRICULA]],#REF!,2,0),"")</f>
        <v/>
      </c>
      <c r="BH136" s="35" t="str">
        <f>IFERROR(VLOOKUP(Tabela1[[#This Row],[MÊS]]&amp;Tabela1[[#This Row],[MATRICULA]],#REF!,2,0),"")</f>
        <v/>
      </c>
      <c r="BI136" s="35" t="str">
        <f>IFERROR(VLOOKUP(Tabela1[[#This Row],[MÊS]]&amp;Tabela1[[#This Row],[MATRICULA]],#REF!,2,0),"")</f>
        <v/>
      </c>
      <c r="BJ136" s="35" t="str">
        <f>IFERROR(VLOOKUP(Tabela1[[#This Row],[MÊS]]&amp;Tabela1[[#This Row],[MATRICULA]],#REF!,2,0),"")</f>
        <v/>
      </c>
      <c r="BK136" s="35" t="str">
        <f>IFERROR(VLOOKUP(Tabela1[[#This Row],[MÊS]]&amp;Tabela1[[#This Row],[MATRICULA]],#REF!,2,0),"")</f>
        <v/>
      </c>
      <c r="BL136" s="21">
        <f>COUNTIF(Tabela1[[#This Row],[MOT2]:[RECEPTIVA]],"NÃO ENCONTRADA")</f>
        <v>0</v>
      </c>
      <c r="BM136" s="135" t="str">
        <f>IFERROR(VLOOKUP(Tabela1[[#This Row],[MÊS]]&amp;Tabela1[[#This Row],[ID]]&amp;Tabela1[[#This Row],[MATRICULA]]&amp;"Motorista"&amp;Tabela1[[#This Row],[SETOR]],BD!A:AF,13,0),"")</f>
        <v/>
      </c>
      <c r="BN136" s="135" t="str">
        <f>IFERROR(VLOOKUP(Tabela1[[#This Row],[MÊS]]&amp;Tabela1[[#This Row],[ID]]&amp;Tabela1[[#This Row],[MATRICULA]]&amp;"Motorista 2"&amp;Tabela1[[#This Row],[SETOR]],BD!A:AF,13,0),"")</f>
        <v/>
      </c>
      <c r="BO136" s="135" t="str">
        <f>IFERROR(VLOOKUP(Tabela1[[#This Row],[MÊS]]&amp;Tabela1[[#This Row],[ID]]&amp;Tabela1[[#This Row],[MATRICULA]]&amp;"Motorista 3"&amp;Tabela1[[#This Row],[SETOR]],BD!A:AF,13,0),"")</f>
        <v/>
      </c>
      <c r="BP136" s="135" t="str">
        <f>IFERROR(VLOOKUP(Tabela1[[#This Row],[MÊS]]&amp;Tabela1[[#This Row],[ID]]&amp;Tabela1[[#This Row],[MATRICULA]]&amp;"Motorista 4"&amp;Tabela1[[#This Row],[SETOR]],BD!A:AF,13,0),"")</f>
        <v/>
      </c>
      <c r="BQ136" s="135" t="str">
        <f>IFERROR(AVERAGE(Tabela1[[#This Row],[DMOT]:[DMOT4]]),"")</f>
        <v/>
      </c>
      <c r="BR136" s="135" t="str">
        <f>IFERROR(VLOOKUP(Tabela1[[#This Row],[MÊS]]&amp;Tabela1[[#This Row],[ID]]&amp;Tabela1[[#This Row],[MATRICULA]]&amp;"Ponto de Apoio"&amp;Tabela1[[#This Row],[SETOR]],BD!A:AF,13,0),"")</f>
        <v/>
      </c>
      <c r="BS136" s="135" t="str">
        <f>IFERROR(VLOOKUP(Tabela1[[#This Row],[MÊS]]&amp;Tabela1[[#This Row],[ID]]&amp;Tabela1[[#This Row],[MATRICULA]]&amp;"Ponto de Apoio 2"&amp;Tabela1[[#This Row],[SETOR]],BD!A:AF,13,0),"")</f>
        <v/>
      </c>
      <c r="BT136" s="135" t="str">
        <f>IFERROR(VLOOKUP(Tabela1[[#This Row],[MÊS]]&amp;Tabela1[[#This Row],[ID]]&amp;Tabela1[[#This Row],[MATRICULA]]&amp;"Ponto de Apoio 3"&amp;Tabela1[[#This Row],[SETOR]],BD!A:AF,13,0),"")</f>
        <v/>
      </c>
      <c r="BU136" s="135" t="str">
        <f>IFERROR(VLOOKUP(Tabela1[[#This Row],[MÊS]]&amp;Tabela1[[#This Row],[ID]]&amp;Tabela1[[#This Row],[MATRICULA]]&amp;"Ponto de Apoio 4"&amp;Tabela1[[#This Row],[SETOR]],BD!A:AF,13,0),"")</f>
        <v/>
      </c>
      <c r="BV136" s="135" t="str">
        <f>IFERROR(AVERAGE(Tabela1[[#This Row],[DPA]:[DPA 4]]),"")</f>
        <v/>
      </c>
      <c r="BW136" s="135" t="str">
        <f>IFERROR(VLOOKUP(Tabela1[[#This Row],[MÊS]]&amp;Tabela1[[#This Row],[ID]]&amp;Tabela1[[#This Row],[MATRICULA]]&amp;"Cliente"&amp;Tabela1[[#This Row],[SETOR]],BD!A:AF,13,0),"")</f>
        <v/>
      </c>
      <c r="BX136" s="135" t="str">
        <f>IFERROR(VLOOKUP(Tabela1[[#This Row],[MÊS]]&amp;Tabela1[[#This Row],[ID]]&amp;Tabela1[[#This Row],[MATRICULA]]&amp;"cliente 2"&amp;Tabela1[[#This Row],[SETOR]],BD!A:AF,13,0),"")</f>
        <v/>
      </c>
      <c r="BY136" s="135" t="str">
        <f>IFERROR(VLOOKUP(Tabela1[[#This Row],[MÊS]]&amp;Tabela1[[#This Row],[ID]]&amp;Tabela1[[#This Row],[MATRICULA]]&amp;"cliente 3"&amp;Tabela1[[#This Row],[SETOR]],BD!A:AF,13,0),"")</f>
        <v/>
      </c>
      <c r="BZ136" s="135" t="str">
        <f>IFERROR(VLOOKUP(Tabela1[[#This Row],[MÊS]]&amp;Tabela1[[#This Row],[ID]]&amp;Tabela1[[#This Row],[MATRICULA]]&amp;"cliente 4"&amp;Tabela1[[#This Row],[SETOR]],BD!A:AF,13,0),"")</f>
        <v/>
      </c>
      <c r="CA136" s="135" t="str">
        <f>IFERROR(AVERAGE(Tabela1[[#This Row],[DCLI]:[DCLI 4]]),"")</f>
        <v/>
      </c>
      <c r="CB136" s="135" t="str">
        <f>IFERROR(VLOOKUP(Tabela1[[#This Row],[MÊS]]&amp;Tabela1[[#This Row],[ID]]&amp;Tabela1[[#This Row],[MATRICULA]]&amp;"Policia"&amp;Tabela1[[#This Row],[SETOR]],BD!A:AF,13,0),"")</f>
        <v/>
      </c>
      <c r="CC136" s="135" t="str">
        <f>IFERROR(VLOOKUP(Tabela1[[#This Row],[MÊS]]&amp;Tabela1[[#This Row],[ID]]&amp;Tabela1[[#This Row],[MATRICULA]]&amp;"Policia 2"&amp;Tabela1[[#This Row],[SETOR]],BD!A:AF,13,0),"")</f>
        <v/>
      </c>
      <c r="CD136" s="135"/>
      <c r="CE136" s="135"/>
      <c r="CF136" s="135" t="str">
        <f>IFERROR((AVERAGE(Tabela1[[#This Row],[DPOL1]:[DPOL4]])),"")</f>
        <v/>
      </c>
      <c r="CG136" s="21" t="str">
        <f>IFERROR(VLOOKUP(Tabela1[[#This Row],[ID]]&amp;Tabela1[[#This Row],[MÊS]]&amp;Tabela1[[#This Row],[MATRICULA]],#REF!,2,0),"")</f>
        <v/>
      </c>
      <c r="CH136" s="21" t="str">
        <f>IFERROR(VLOOKUP(Tabela1[[#This Row],[ID]]&amp;Tabela1[[#This Row],[MÊS]]&amp;Tabela1[[#This Row],[MATRICULA]],#REF!,2,0),"")</f>
        <v/>
      </c>
      <c r="CI136" s="21" t="str">
        <f>IFERROR(VLOOKUP(Tabela1[[#This Row],[MÊS]]&amp;Tabela1[[#This Row],[MATRICULA]],#REF!,2,0),"")</f>
        <v/>
      </c>
    </row>
    <row r="137" spans="1:87">
      <c r="A137" s="12" t="str">
        <f>Tabela1[[#This Row],[MÊS]]&amp;Tabela1[[#This Row],[MATRICULA]]&amp;Tabela1[[#This Row],[ID]]</f>
        <v>JAN1142620</v>
      </c>
      <c r="B137" s="12" t="str">
        <f>Tabela1[[#This Row],[MÊS]]&amp;Tabela1[[#This Row],[ID]]&amp;Tabela1[[#This Row],[MATRICULA]]&amp;Tabela1[[#This Row],[SETOR]]</f>
        <v>JAN2011426LOGÍSTICA</v>
      </c>
      <c r="C137" s="130" t="e">
        <f>VLOOKUP(Tabela1[[#This Row],[MATRICULA]],'BD Campos'!A:D,5,0)</f>
        <v>#REF!</v>
      </c>
      <c r="D137" s="133" t="str">
        <f ca="1">IFERROR(SUM(TODAY()-Tabela1[[#This Row],[ADMISSÃO]]),"")</f>
        <v/>
      </c>
      <c r="E137" s="11" t="str">
        <f ca="1">IFERROR(TRUNC(Tabela1[[#This Row],[TEMPO DE CASA (DIAS)]]/30),"")</f>
        <v/>
      </c>
      <c r="F137" s="32" t="str">
        <f ca="1">IFERROR(SUM(Tabela1[[#This Row],[TEMPO DE CASA (MESES)]]/12),"")</f>
        <v/>
      </c>
      <c r="G137" s="133" t="str">
        <f ca="1">IF(Tabela1[[#This Row],[TEMPO DE CASA (DIAS)]]="","SEM DADOS",IF(Tabela1[[#This Row],[TEMPO DE CASA (DIAS)]]&gt;180,"&gt; 6 MESES","&lt; 6 MESES"))</f>
        <v>SEM DADOS</v>
      </c>
      <c r="H137" s="12" t="str">
        <f t="shared" si="12"/>
        <v>JANGeovana Meurer20</v>
      </c>
      <c r="I137" s="12" t="str">
        <f>IFERROR(VLOOKUP(Tabela1[[#This Row],[MATRICULA]],'BD Campos'!A:F,7,0),"")</f>
        <v/>
      </c>
      <c r="J137" s="11">
        <v>20</v>
      </c>
      <c r="K137" s="11" t="s">
        <v>669</v>
      </c>
      <c r="L137" s="136">
        <v>11426</v>
      </c>
      <c r="M137" s="12" t="str">
        <f>IFERROR(VLOOKUP(Tabela1[[#This Row],[MATRICULA]],'BD Campos'!A:B,2,0),"")</f>
        <v>THAIS DE SOUSA LOPES</v>
      </c>
      <c r="N137" s="20">
        <f>IFERROR(AVERAGE(Tabela1[[#This Row],[A1]:[A4]]),"")</f>
        <v>9.8425000000000011</v>
      </c>
      <c r="O137" s="20" t="str">
        <f>IFERROR(IF(Tabela1[[#This Row],[SETOR]]="RECEPTIVO","",AVERAGE(Tabela1[[#This Row],[A5]:[A6]])),"")</f>
        <v/>
      </c>
      <c r="P137" s="20" t="str">
        <f>IFERROR(IF(Tabela1[[#This Row],[STATUS]]="INATIVO","INATIVO",IF(Tabela1[[#This Row],[STATUS]]="QRT","INATIVO",IF(Tabela1[[#This Row],[OPERACIONAL]]&gt;7.99999,"BOM","RUIM"))),"")</f>
        <v>BOM</v>
      </c>
      <c r="Q137" s="21" t="s">
        <v>667</v>
      </c>
      <c r="R137" s="12" t="s">
        <v>315</v>
      </c>
      <c r="S137" s="12" t="s">
        <v>11</v>
      </c>
      <c r="T137" s="12" t="s">
        <v>315</v>
      </c>
      <c r="U13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37" s="12">
        <f>IF(AND(Tabela1[[#This Row],[SETOR]]="UTI",Tabela1[[#This Row],[M]]&lt;&gt;""),1,IF(AND(Tabela1[[#This Row],[SETOR]]="UTI (RJ)",Tabela1[[#This Row],[M]]&lt;&gt;""),1.5,0))</f>
        <v>0</v>
      </c>
      <c r="X137" s="12">
        <f>IF(AND(Tabela1[[#This Row],[SETOR]]="UTI",Tabela1[[#This Row],[PA2]]&lt;&gt;""),1,IF(AND(Tabela1[[#This Row],[SETOR]]="UTI (RJ)",Tabela1[[#This Row],[PA2]]&lt;&gt;""),0,0))</f>
        <v>0</v>
      </c>
      <c r="Y137" s="12">
        <f>IF(AND(Tabela1[[#This Row],[SETOR]]="UTI",Tabela1[[#This Row],[C]]&lt;&gt;""),1,IF(AND(Tabela1[[#This Row],[SETOR]]="UTI (RJ)",Tabela1[[#This Row],[C]]&lt;&gt;""),1.5,0))</f>
        <v>0</v>
      </c>
      <c r="Z137" s="12">
        <f>IF(AND(Tabela1[[#This Row],[SETOR]]="UTI",Tabela1[[#This Row],[PL]]&lt;&gt;""),1,IF(AND(Tabela1[[#This Row],[SETOR]]="UTI (RJ)",Tabela1[[#This Row],[PL]]&lt;&gt;""),1,0))</f>
        <v>0</v>
      </c>
      <c r="AA137" s="21">
        <f>IFERROR(VLOOKUP(Tabela1[[#This Row],[MÊS]]&amp;Tabela1[[#This Row],[MATRICULA]]&amp;"1"&amp;Tabela1[[#This Row],[SETOR]]&amp;"PADRÃO",BD!B:AF,31,0),"")</f>
        <v>10.000000000000002</v>
      </c>
      <c r="AB137" s="21">
        <f>IFERROR(VLOOKUP(Tabela1[[#This Row],[MÊS]]&amp;Tabela1[[#This Row],[MATRICULA]]&amp;"2"&amp;Tabela1[[#This Row],[SETOR]]&amp;"PADRÃO",BD!B:AF,31,0),"")</f>
        <v>9.6850000000000005</v>
      </c>
      <c r="AC137" s="21" t="str">
        <f>IFERROR(VLOOKUP(Tabela1[[#This Row],[MÊS]]&amp;Tabela1[[#This Row],[MATRICULA]]&amp;"3"&amp;Tabela1[[#This Row],[SETOR]]&amp;"PADRÃO",BD!B:AF,31,0),"")</f>
        <v/>
      </c>
      <c r="AD137" s="21" t="str">
        <f>IFERROR(VLOOKUP(Tabela1[[#This Row],[MÊS]]&amp;Tabela1[[#This Row],[MATRICULA]]&amp;"4"&amp;Tabela1[[#This Row],[SETOR]]&amp;"PADRÃO",BD!B:AF,25,0),"")</f>
        <v/>
      </c>
      <c r="AE137" s="21" t="str">
        <f>IFERROR(VLOOKUP(Tabela1[[#This Row],[MÊS]]&amp;Tabela1[[#This Row],[MATRICULA]]&amp;"5"&amp;Tabela1[[#This Row],[SETOR]]&amp;"PADRÃO",BD!B:AF,31,0),"")</f>
        <v/>
      </c>
      <c r="AF137" s="21" t="str">
        <f>IFERROR(VLOOKUP(Tabela1[[#This Row],[MÊS]]&amp;Tabela1[[#This Row],[MATRICULA]]&amp;"6"&amp;Tabela1[[#This Row],[SETOR]]&amp;"PADRÃO",BD!B:AF,31,0),"")</f>
        <v/>
      </c>
      <c r="AG137" s="21" t="str">
        <f>IFERROR(VLOOKUP(Tabela1[[#This Row],[MÊS]]&amp;Tabela1[[#This Row],[MATRICULA]]&amp;"7"&amp;Tabela1[[#This Row],[SETOR]]&amp;"PADRÃO",BD!B:AF,31,0),"")</f>
        <v/>
      </c>
      <c r="AH137" s="21" t="str">
        <f>IFERROR(VLOOKUP(Tabela1[[#This Row],[MÊS]]&amp;Tabela1[[#This Row],[ID]]&amp;Tabela1[[#This Row],[MATRICULA]]&amp;"Receptiva"&amp;Tabela1[[#This Row],[SETOR]],BD!A:AF,31,0),"")</f>
        <v/>
      </c>
      <c r="AI137" s="21" t="str">
        <f>IFERROR(VLOOKUP(Tabela1[[#This Row],[MÊS]]&amp;Tabela1[[#This Row],[ID]]&amp;Tabela1[[#This Row],[MATRICULA]]&amp;"Receptiva 2"&amp;Tabela1[[#This Row],[SETOR]],BD!A:AF,31,0),"")</f>
        <v/>
      </c>
      <c r="AJ137" s="21" t="str">
        <f>IFERROR(VLOOKUP(Tabela1[[#This Row],[MÊS]]&amp;Tabela1[[#This Row],[ID]]&amp;Tabela1[[#This Row],[MATRICULA]]&amp;"Receptiva 3"&amp;Tabela1[[#This Row],[SETOR]],BD!A:AF,31,0),"")</f>
        <v/>
      </c>
      <c r="AK137" s="21" t="str">
        <f>IFERROR(VLOOKUP(Tabela1[[#This Row],[MÊS]]&amp;Tabela1[[#This Row],[ID]]&amp;Tabela1[[#This Row],[MATRICULA]]&amp;"Receptiva 4"&amp;Tabela1[[#This Row],[SETOR]],BD!A:AF,31,0),"")</f>
        <v/>
      </c>
      <c r="AL137" s="21">
        <f>IFERROR(VLOOKUP(Tabela1[[#This Row],[MÊS]]&amp;Tabela1[[#This Row],[MATRICULA]]&amp;"Motorista"&amp;Tabela1[[#This Row],[SETOR]],BD!A:AF,31,0),"")</f>
        <v>0</v>
      </c>
      <c r="AM137" s="21" t="str">
        <f>IFERROR(VLOOKUP(Tabela1[[#This Row],[MÊS]]&amp;Tabela1[[#This Row],[ID]]&amp;Tabela1[[#This Row],[MATRICULA]]&amp;"Motorista 2"&amp;Tabela1[[#This Row],[SETOR]],BD!A:AF,26,0),"")</f>
        <v/>
      </c>
      <c r="AN137" s="21" t="str">
        <f>IFERROR(VLOOKUP(Tabela1[[#This Row],[MÊS]]&amp;Tabela1[[#This Row],[ID]]&amp;Tabela1[[#This Row],[MATRICULA]]&amp;"Motorista 3"&amp;Tabela1[[#This Row],[SETOR]],BD!A:AF,26,0),"")</f>
        <v/>
      </c>
      <c r="AO137" s="21" t="str">
        <f>IFERROR(VLOOKUP(Tabela1[[#This Row],[MÊS]]&amp;Tabela1[[#This Row],[ID]]&amp;Tabela1[[#This Row],[MATRICULA]]&amp;"Motorista 4"&amp;Tabela1[[#This Row],[SETOR]],BD!A:AF,26,0),"")</f>
        <v/>
      </c>
      <c r="AP137" s="21" t="str">
        <f>IFERROR(VLOOKUP(Tabela1[[#This Row],[MÊS]]&amp;Tabela1[[#This Row],[MATRICULA]]&amp;"Ponto de Apoio"&amp;Tabela1[[#This Row],[SETOR]],BD!A:AF,31,0),"")</f>
        <v/>
      </c>
      <c r="AQ137" s="21" t="str">
        <f>IFERROR(VLOOKUP(Tabela1[[#This Row],[MÊS]]&amp;Tabela1[[#This Row],[ID]]&amp;Tabela1[[#This Row],[MATRICULA]]&amp;"Ponto de Apoio 2"&amp;Tabela1[[#This Row],[SETOR]],BD!A:AF,26,0),"")</f>
        <v/>
      </c>
      <c r="AR137" s="36" t="str">
        <f>IFERROR(VLOOKUP(Tabela1[[#This Row],[MÊS]]&amp;Tabela1[[#This Row],[ID]]&amp;Tabela1[[#This Row],[MATRICULA]]&amp;"Ponto de Apoio 3"&amp;Tabela1[[#This Row],[SETOR]],BD!A:AF,26,0),"")</f>
        <v/>
      </c>
      <c r="AS137" s="36" t="str">
        <f>IFERROR(VLOOKUP(Tabela1[[#This Row],[MÊS]]&amp;Tabela1[[#This Row],[ID]]&amp;Tabela1[[#This Row],[MATRICULA]]&amp;"Ponto de Apoio 4"&amp;Tabela1[[#This Row],[SETOR]],BD!A:AF,26,0),"")</f>
        <v/>
      </c>
      <c r="AT137" s="21" t="str">
        <f>IFERROR(VLOOKUP(Tabela1[[#This Row],[MÊS]]&amp;Tabela1[[#This Row],[MATRICULA]]&amp;"Cliente"&amp;Tabela1[[#This Row],[SETOR]],BD!A:AF,31,0),"")</f>
        <v/>
      </c>
      <c r="AU137" s="21" t="str">
        <f>IFERROR(VLOOKUP(Tabela1[[#This Row],[MÊS]]&amp;Tabela1[[#This Row],[ID]]&amp;Tabela1[[#This Row],[MATRICULA]]&amp;"Cliente 2"&amp;Tabela1[[#This Row],[SETOR]],BD!A:AF,26,0),"")</f>
        <v/>
      </c>
      <c r="AX137" s="21" t="str">
        <f>IFERROR(VLOOKUP(Tabela1[[#This Row],[MÊS]]&amp;Tabela1[[#This Row],[MATRICULA]]&amp;"Policia"&amp;Tabela1[[#This Row],[SETOR]],BD!A:AF,31,0),"")</f>
        <v/>
      </c>
      <c r="AY137" s="21" t="str">
        <f>IFERROR(VLOOKUP(Tabela1[[#This Row],[MÊS]]&amp;Tabela1[[#This Row],[ID]]&amp;Tabela1[[#This Row],[MATRICULA]]&amp;"Policia 2"&amp;Tabela1[[#This Row],[SETOR]],BD!A:AF,26,0),"")</f>
        <v/>
      </c>
      <c r="AZ137" s="36" t="str">
        <f>IFERROR(VLOOKUP(Tabela1[[#This Row],[MÊS]]&amp;Tabela1[[#This Row],[ID]]&amp;Tabela1[[#This Row],[MATRICULA]]&amp;"Policia 3"&amp;Tabela1[[#This Row],[SETOR]],BD!A:AF,26,0),"")</f>
        <v/>
      </c>
      <c r="BA137" s="36" t="str">
        <f>IFERROR(VLOOKUP(Tabela1[[#This Row],[MÊS]]&amp;Tabela1[[#This Row],[ID]]&amp;Tabela1[[#This Row],[MATRICULA]]&amp;"Policia 4"&amp;Tabela1[[#This Row],[SETOR]],BD!A:AF,26,0),"")</f>
        <v/>
      </c>
      <c r="BB13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7" s="21">
        <f>IFERROR(AVERAGE(Tabela1[[#This Row],[M]:[M4]]),"")</f>
        <v>0</v>
      </c>
      <c r="BD137" s="21" t="str">
        <f>IFERROR(AVERAGE(Tabela1[[#This Row],[C]:[C4]]),"")</f>
        <v/>
      </c>
      <c r="BE137" s="21" t="str">
        <f>IFERROR(AVERAGE(Tabela1[[#This Row],[PA2]:[PA 4]]),"")</f>
        <v/>
      </c>
      <c r="BF137" s="21" t="str">
        <f>IFERROR(AVERAGE(Tabela1[[#This Row],[PL]:[PL4]]),"")</f>
        <v/>
      </c>
      <c r="BG137" s="35" t="str">
        <f>IFERROR(VLOOKUP(Tabela1[[#This Row],[MÊS]]&amp;Tabela1[[#This Row],[MATRICULA]],#REF!,2,0),"")</f>
        <v/>
      </c>
      <c r="BH137" s="35" t="str">
        <f>IFERROR(VLOOKUP(Tabela1[[#This Row],[MÊS]]&amp;Tabela1[[#This Row],[MATRICULA]],#REF!,2,0),"")</f>
        <v/>
      </c>
      <c r="BI137" s="35" t="str">
        <f>IFERROR(VLOOKUP(Tabela1[[#This Row],[MÊS]]&amp;Tabela1[[#This Row],[MATRICULA]],#REF!,2,0),"")</f>
        <v/>
      </c>
      <c r="BJ137" s="35" t="str">
        <f>IFERROR(VLOOKUP(Tabela1[[#This Row],[MÊS]]&amp;Tabela1[[#This Row],[MATRICULA]],#REF!,2,0),"")</f>
        <v/>
      </c>
      <c r="BK137" s="35" t="str">
        <f>IFERROR(VLOOKUP(Tabela1[[#This Row],[MÊS]]&amp;Tabela1[[#This Row],[MATRICULA]],#REF!,2,0),"")</f>
        <v/>
      </c>
      <c r="BL137" s="21">
        <f>COUNTIF(Tabela1[[#This Row],[MOT2]:[RECEPTIVA]],"NÃO ENCONTRADA")</f>
        <v>0</v>
      </c>
      <c r="BM137" s="135" t="str">
        <f>IFERROR(VLOOKUP(Tabela1[[#This Row],[MÊS]]&amp;Tabela1[[#This Row],[ID]]&amp;Tabela1[[#This Row],[MATRICULA]]&amp;"Motorista"&amp;Tabela1[[#This Row],[SETOR]],BD!A:AF,13,0),"")</f>
        <v/>
      </c>
      <c r="BN137" s="135" t="str">
        <f>IFERROR(VLOOKUP(Tabela1[[#This Row],[MÊS]]&amp;Tabela1[[#This Row],[ID]]&amp;Tabela1[[#This Row],[MATRICULA]]&amp;"Motorista 2"&amp;Tabela1[[#This Row],[SETOR]],BD!A:AF,13,0),"")</f>
        <v/>
      </c>
      <c r="BO137" s="135" t="str">
        <f>IFERROR(VLOOKUP(Tabela1[[#This Row],[MÊS]]&amp;Tabela1[[#This Row],[ID]]&amp;Tabela1[[#This Row],[MATRICULA]]&amp;"Motorista 3"&amp;Tabela1[[#This Row],[SETOR]],BD!A:AF,13,0),"")</f>
        <v/>
      </c>
      <c r="BP137" s="135" t="str">
        <f>IFERROR(VLOOKUP(Tabela1[[#This Row],[MÊS]]&amp;Tabela1[[#This Row],[ID]]&amp;Tabela1[[#This Row],[MATRICULA]]&amp;"Motorista 4"&amp;Tabela1[[#This Row],[SETOR]],BD!A:AF,13,0),"")</f>
        <v/>
      </c>
      <c r="BQ137" s="135" t="str">
        <f>IFERROR(AVERAGE(Tabela1[[#This Row],[DMOT]:[DMOT4]]),"")</f>
        <v/>
      </c>
      <c r="BR137" s="135" t="str">
        <f>IFERROR(VLOOKUP(Tabela1[[#This Row],[MÊS]]&amp;Tabela1[[#This Row],[ID]]&amp;Tabela1[[#This Row],[MATRICULA]]&amp;"Ponto de Apoio"&amp;Tabela1[[#This Row],[SETOR]],BD!A:AF,13,0),"")</f>
        <v/>
      </c>
      <c r="BS137" s="135" t="str">
        <f>IFERROR(VLOOKUP(Tabela1[[#This Row],[MÊS]]&amp;Tabela1[[#This Row],[ID]]&amp;Tabela1[[#This Row],[MATRICULA]]&amp;"Ponto de Apoio 2"&amp;Tabela1[[#This Row],[SETOR]],BD!A:AF,13,0),"")</f>
        <v/>
      </c>
      <c r="BT137" s="135" t="str">
        <f>IFERROR(VLOOKUP(Tabela1[[#This Row],[MÊS]]&amp;Tabela1[[#This Row],[ID]]&amp;Tabela1[[#This Row],[MATRICULA]]&amp;"Ponto de Apoio 3"&amp;Tabela1[[#This Row],[SETOR]],BD!A:AF,13,0),"")</f>
        <v/>
      </c>
      <c r="BU137" s="135" t="str">
        <f>IFERROR(VLOOKUP(Tabela1[[#This Row],[MÊS]]&amp;Tabela1[[#This Row],[ID]]&amp;Tabela1[[#This Row],[MATRICULA]]&amp;"Ponto de Apoio 4"&amp;Tabela1[[#This Row],[SETOR]],BD!A:AF,13,0),"")</f>
        <v/>
      </c>
      <c r="BV137" s="135" t="str">
        <f>IFERROR(AVERAGE(Tabela1[[#This Row],[DPA]:[DPA 4]]),"")</f>
        <v/>
      </c>
      <c r="BW137" s="135" t="str">
        <f>IFERROR(VLOOKUP(Tabela1[[#This Row],[MÊS]]&amp;Tabela1[[#This Row],[ID]]&amp;Tabela1[[#This Row],[MATRICULA]]&amp;"Cliente"&amp;Tabela1[[#This Row],[SETOR]],BD!A:AF,13,0),"")</f>
        <v/>
      </c>
      <c r="BX137" s="135" t="str">
        <f>IFERROR(VLOOKUP(Tabela1[[#This Row],[MÊS]]&amp;Tabela1[[#This Row],[ID]]&amp;Tabela1[[#This Row],[MATRICULA]]&amp;"cliente 2"&amp;Tabela1[[#This Row],[SETOR]],BD!A:AF,13,0),"")</f>
        <v/>
      </c>
      <c r="BY137" s="135" t="str">
        <f>IFERROR(VLOOKUP(Tabela1[[#This Row],[MÊS]]&amp;Tabela1[[#This Row],[ID]]&amp;Tabela1[[#This Row],[MATRICULA]]&amp;"cliente 3"&amp;Tabela1[[#This Row],[SETOR]],BD!A:AF,13,0),"")</f>
        <v/>
      </c>
      <c r="BZ137" s="135" t="str">
        <f>IFERROR(VLOOKUP(Tabela1[[#This Row],[MÊS]]&amp;Tabela1[[#This Row],[ID]]&amp;Tabela1[[#This Row],[MATRICULA]]&amp;"cliente 4"&amp;Tabela1[[#This Row],[SETOR]],BD!A:AF,13,0),"")</f>
        <v/>
      </c>
      <c r="CA137" s="135" t="str">
        <f>IFERROR(AVERAGE(Tabela1[[#This Row],[DCLI]:[DCLI 4]]),"")</f>
        <v/>
      </c>
      <c r="CB137" s="135" t="str">
        <f>IFERROR(VLOOKUP(Tabela1[[#This Row],[MÊS]]&amp;Tabela1[[#This Row],[ID]]&amp;Tabela1[[#This Row],[MATRICULA]]&amp;"Policia"&amp;Tabela1[[#This Row],[SETOR]],BD!A:AF,13,0),"")</f>
        <v/>
      </c>
      <c r="CC137" s="135" t="str">
        <f>IFERROR(VLOOKUP(Tabela1[[#This Row],[MÊS]]&amp;Tabela1[[#This Row],[ID]]&amp;Tabela1[[#This Row],[MATRICULA]]&amp;"Policia 2"&amp;Tabela1[[#This Row],[SETOR]],BD!A:AF,13,0),"")</f>
        <v/>
      </c>
      <c r="CD137" s="135"/>
      <c r="CE137" s="135"/>
      <c r="CF137" s="135" t="str">
        <f>IFERROR((AVERAGE(Tabela1[[#This Row],[DPOL1]:[DPOL4]])),"")</f>
        <v/>
      </c>
      <c r="CG137" s="21" t="str">
        <f>IFERROR(VLOOKUP(Tabela1[[#This Row],[ID]]&amp;Tabela1[[#This Row],[MÊS]]&amp;Tabela1[[#This Row],[MATRICULA]],#REF!,2,0),"")</f>
        <v/>
      </c>
      <c r="CH137" s="21" t="str">
        <f>IFERROR(VLOOKUP(Tabela1[[#This Row],[ID]]&amp;Tabela1[[#This Row],[MÊS]]&amp;Tabela1[[#This Row],[MATRICULA]],#REF!,2,0),"")</f>
        <v/>
      </c>
      <c r="CI137" s="21" t="str">
        <f>IFERROR(VLOOKUP(Tabela1[[#This Row],[MÊS]]&amp;Tabela1[[#This Row],[MATRICULA]],#REF!,2,0),"")</f>
        <v/>
      </c>
    </row>
    <row r="138" spans="1:87">
      <c r="A138" s="12" t="str">
        <f>Tabela1[[#This Row],[MÊS]]&amp;Tabela1[[#This Row],[MATRICULA]]&amp;Tabela1[[#This Row],[ID]]</f>
        <v>JAN1142321</v>
      </c>
      <c r="B138" s="12" t="str">
        <f>Tabela1[[#This Row],[MÊS]]&amp;Tabela1[[#This Row],[ID]]&amp;Tabela1[[#This Row],[MATRICULA]]&amp;Tabela1[[#This Row],[SETOR]]</f>
        <v>JAN2111423LOGÍSTICA</v>
      </c>
      <c r="C138" s="130" t="e">
        <f>VLOOKUP(Tabela1[[#This Row],[MATRICULA]],'BD Campos'!A:D,5,0)</f>
        <v>#REF!</v>
      </c>
      <c r="D138" s="133" t="str">
        <f ca="1">IFERROR(SUM(TODAY()-Tabela1[[#This Row],[ADMISSÃO]]),"")</f>
        <v/>
      </c>
      <c r="E138" s="11" t="str">
        <f ca="1">IFERROR(TRUNC(Tabela1[[#This Row],[TEMPO DE CASA (DIAS)]]/30),"")</f>
        <v/>
      </c>
      <c r="F138" s="32" t="str">
        <f ca="1">IFERROR(SUM(Tabela1[[#This Row],[TEMPO DE CASA (MESES)]]/12),"")</f>
        <v/>
      </c>
      <c r="G138" s="133" t="str">
        <f ca="1">IF(Tabela1[[#This Row],[TEMPO DE CASA (DIAS)]]="","SEM DADOS",IF(Tabela1[[#This Row],[TEMPO DE CASA (DIAS)]]&gt;180,"&gt; 6 MESES","&lt; 6 MESES"))</f>
        <v>SEM DADOS</v>
      </c>
      <c r="H138" s="12" t="str">
        <f t="shared" si="12"/>
        <v>JANGeovana Meurer21</v>
      </c>
      <c r="I138" s="12" t="str">
        <f>IFERROR(VLOOKUP(Tabela1[[#This Row],[MATRICULA]],'BD Campos'!A:F,7,0),"")</f>
        <v/>
      </c>
      <c r="J138" s="11">
        <v>21</v>
      </c>
      <c r="K138" s="11" t="s">
        <v>669</v>
      </c>
      <c r="L138" s="136">
        <v>11423</v>
      </c>
      <c r="M138" s="12" t="str">
        <f>IFERROR(VLOOKUP(Tabela1[[#This Row],[MATRICULA]],'BD Campos'!A:B,2,0),"")</f>
        <v>VINICIUS SCHEEL FONTES</v>
      </c>
      <c r="N138" s="20">
        <f>IFERROR(AVERAGE(Tabela1[[#This Row],[A1]:[A4]]),"")</f>
        <v>8.8292500000000018</v>
      </c>
      <c r="O138" s="20" t="str">
        <f>IFERROR(IF(Tabela1[[#This Row],[SETOR]]="RECEPTIVO","",AVERAGE(Tabela1[[#This Row],[A5]:[A6]])),"")</f>
        <v/>
      </c>
      <c r="P138" s="20" t="str">
        <f>IFERROR(IF(Tabela1[[#This Row],[STATUS]]="INATIVO","INATIVO",IF(Tabela1[[#This Row],[STATUS]]="QRT","INATIVO",IF(Tabela1[[#This Row],[OPERACIONAL]]&gt;7.99999,"BOM","RUIM"))),"")</f>
        <v>BOM</v>
      </c>
      <c r="Q138" s="21" t="s">
        <v>667</v>
      </c>
      <c r="R138" s="12" t="s">
        <v>315</v>
      </c>
      <c r="S138" s="12" t="s">
        <v>11</v>
      </c>
      <c r="T138" s="12" t="s">
        <v>315</v>
      </c>
      <c r="U13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38" s="12">
        <f>IF(AND(Tabela1[[#This Row],[SETOR]]="UTI",Tabela1[[#This Row],[M]]&lt;&gt;""),1,IF(AND(Tabela1[[#This Row],[SETOR]]="UTI (RJ)",Tabela1[[#This Row],[M]]&lt;&gt;""),1.5,0))</f>
        <v>0</v>
      </c>
      <c r="X138" s="12">
        <f>IF(AND(Tabela1[[#This Row],[SETOR]]="UTI",Tabela1[[#This Row],[PA2]]&lt;&gt;""),1,IF(AND(Tabela1[[#This Row],[SETOR]]="UTI (RJ)",Tabela1[[#This Row],[PA2]]&lt;&gt;""),0,0))</f>
        <v>0</v>
      </c>
      <c r="Y138" s="12">
        <f>IF(AND(Tabela1[[#This Row],[SETOR]]="UTI",Tabela1[[#This Row],[C]]&lt;&gt;""),1,IF(AND(Tabela1[[#This Row],[SETOR]]="UTI (RJ)",Tabela1[[#This Row],[C]]&lt;&gt;""),1.5,0))</f>
        <v>0</v>
      </c>
      <c r="Z138" s="12">
        <f>IF(AND(Tabela1[[#This Row],[SETOR]]="UTI",Tabela1[[#This Row],[PL]]&lt;&gt;""),1,IF(AND(Tabela1[[#This Row],[SETOR]]="UTI (RJ)",Tabela1[[#This Row],[PL]]&lt;&gt;""),1,0))</f>
        <v>0</v>
      </c>
      <c r="AA138" s="21">
        <f>IFERROR(VLOOKUP(Tabela1[[#This Row],[MÊS]]&amp;Tabela1[[#This Row],[MATRICULA]]&amp;"1"&amp;Tabela1[[#This Row],[SETOR]]&amp;"PADRÃO",BD!B:AF,31,0),"")</f>
        <v>9.6850000000000005</v>
      </c>
      <c r="AB138" s="21">
        <f>IFERROR(VLOOKUP(Tabela1[[#This Row],[MÊS]]&amp;Tabela1[[#This Row],[MATRICULA]]&amp;"2"&amp;Tabela1[[#This Row],[SETOR]]&amp;"PADRÃO",BD!B:AF,31,0),"")</f>
        <v>7.9735000000000014</v>
      </c>
      <c r="AC138" s="21" t="str">
        <f>IFERROR(VLOOKUP(Tabela1[[#This Row],[MÊS]]&amp;Tabela1[[#This Row],[MATRICULA]]&amp;"3"&amp;Tabela1[[#This Row],[SETOR]]&amp;"PADRÃO",BD!B:AF,31,0),"")</f>
        <v/>
      </c>
      <c r="AD138" s="21" t="str">
        <f>IFERROR(VLOOKUP(Tabela1[[#This Row],[MÊS]]&amp;Tabela1[[#This Row],[MATRICULA]]&amp;"4"&amp;Tabela1[[#This Row],[SETOR]]&amp;"PADRÃO",BD!B:AF,25,0),"")</f>
        <v/>
      </c>
      <c r="AE138" s="21" t="str">
        <f>IFERROR(VLOOKUP(Tabela1[[#This Row],[MÊS]]&amp;Tabela1[[#This Row],[MATRICULA]]&amp;"5"&amp;Tabela1[[#This Row],[SETOR]]&amp;"PADRÃO",BD!B:AF,31,0),"")</f>
        <v/>
      </c>
      <c r="AF138" s="21" t="str">
        <f>IFERROR(VLOOKUP(Tabela1[[#This Row],[MÊS]]&amp;Tabela1[[#This Row],[MATRICULA]]&amp;"6"&amp;Tabela1[[#This Row],[SETOR]]&amp;"PADRÃO",BD!B:AF,31,0),"")</f>
        <v/>
      </c>
      <c r="AG138" s="21" t="str">
        <f>IFERROR(VLOOKUP(Tabela1[[#This Row],[MÊS]]&amp;Tabela1[[#This Row],[MATRICULA]]&amp;"7"&amp;Tabela1[[#This Row],[SETOR]]&amp;"PADRÃO",BD!B:AF,31,0),"")</f>
        <v/>
      </c>
      <c r="AH138" s="21" t="str">
        <f>IFERROR(VLOOKUP(Tabela1[[#This Row],[MÊS]]&amp;Tabela1[[#This Row],[ID]]&amp;Tabela1[[#This Row],[MATRICULA]]&amp;"Receptiva"&amp;Tabela1[[#This Row],[SETOR]],BD!A:AF,31,0),"")</f>
        <v/>
      </c>
      <c r="AI138" s="21" t="str">
        <f>IFERROR(VLOOKUP(Tabela1[[#This Row],[MÊS]]&amp;Tabela1[[#This Row],[ID]]&amp;Tabela1[[#This Row],[MATRICULA]]&amp;"Receptiva 2"&amp;Tabela1[[#This Row],[SETOR]],BD!A:AF,31,0),"")</f>
        <v/>
      </c>
      <c r="AJ138" s="21" t="str">
        <f>IFERROR(VLOOKUP(Tabela1[[#This Row],[MÊS]]&amp;Tabela1[[#This Row],[ID]]&amp;Tabela1[[#This Row],[MATRICULA]]&amp;"Receptiva 3"&amp;Tabela1[[#This Row],[SETOR]],BD!A:AF,31,0),"")</f>
        <v/>
      </c>
      <c r="AK138" s="21" t="str">
        <f>IFERROR(VLOOKUP(Tabela1[[#This Row],[MÊS]]&amp;Tabela1[[#This Row],[ID]]&amp;Tabela1[[#This Row],[MATRICULA]]&amp;"Receptiva 4"&amp;Tabela1[[#This Row],[SETOR]],BD!A:AF,31,0),"")</f>
        <v/>
      </c>
      <c r="AL138" s="21">
        <f>IFERROR(VLOOKUP(Tabela1[[#This Row],[MÊS]]&amp;Tabela1[[#This Row],[MATRICULA]]&amp;"Motorista"&amp;Tabela1[[#This Row],[SETOR]],BD!A:AF,31,0),"")</f>
        <v>0</v>
      </c>
      <c r="AM138" s="21" t="str">
        <f>IFERROR(VLOOKUP(Tabela1[[#This Row],[MÊS]]&amp;Tabela1[[#This Row],[ID]]&amp;Tabela1[[#This Row],[MATRICULA]]&amp;"Motorista 2"&amp;Tabela1[[#This Row],[SETOR]],BD!A:AF,26,0),"")</f>
        <v/>
      </c>
      <c r="AN138" s="21" t="str">
        <f>IFERROR(VLOOKUP(Tabela1[[#This Row],[MÊS]]&amp;Tabela1[[#This Row],[ID]]&amp;Tabela1[[#This Row],[MATRICULA]]&amp;"Motorista 3"&amp;Tabela1[[#This Row],[SETOR]],BD!A:AF,26,0),"")</f>
        <v/>
      </c>
      <c r="AO138" s="21" t="str">
        <f>IFERROR(VLOOKUP(Tabela1[[#This Row],[MÊS]]&amp;Tabela1[[#This Row],[ID]]&amp;Tabela1[[#This Row],[MATRICULA]]&amp;"Motorista 4"&amp;Tabela1[[#This Row],[SETOR]],BD!A:AF,26,0),"")</f>
        <v/>
      </c>
      <c r="AP138" s="21" t="str">
        <f>IFERROR(VLOOKUP(Tabela1[[#This Row],[MÊS]]&amp;Tabela1[[#This Row],[MATRICULA]]&amp;"Ponto de Apoio"&amp;Tabela1[[#This Row],[SETOR]],BD!A:AF,31,0),"")</f>
        <v/>
      </c>
      <c r="AQ138" s="21" t="str">
        <f>IFERROR(VLOOKUP(Tabela1[[#This Row],[MÊS]]&amp;Tabela1[[#This Row],[ID]]&amp;Tabela1[[#This Row],[MATRICULA]]&amp;"Ponto de Apoio 2"&amp;Tabela1[[#This Row],[SETOR]],BD!A:AF,26,0),"")</f>
        <v/>
      </c>
      <c r="AR138" s="36" t="str">
        <f>IFERROR(VLOOKUP(Tabela1[[#This Row],[MÊS]]&amp;Tabela1[[#This Row],[ID]]&amp;Tabela1[[#This Row],[MATRICULA]]&amp;"Ponto de Apoio 3"&amp;Tabela1[[#This Row],[SETOR]],BD!A:AF,26,0),"")</f>
        <v/>
      </c>
      <c r="AS138" s="36" t="str">
        <f>IFERROR(VLOOKUP(Tabela1[[#This Row],[MÊS]]&amp;Tabela1[[#This Row],[ID]]&amp;Tabela1[[#This Row],[MATRICULA]]&amp;"Ponto de Apoio 4"&amp;Tabela1[[#This Row],[SETOR]],BD!A:AF,26,0),"")</f>
        <v/>
      </c>
      <c r="AT138" s="21" t="str">
        <f>IFERROR(VLOOKUP(Tabela1[[#This Row],[MÊS]]&amp;Tabela1[[#This Row],[MATRICULA]]&amp;"Cliente"&amp;Tabela1[[#This Row],[SETOR]],BD!A:AF,31,0),"")</f>
        <v/>
      </c>
      <c r="AU138" s="21" t="str">
        <f>IFERROR(VLOOKUP(Tabela1[[#This Row],[MÊS]]&amp;Tabela1[[#This Row],[ID]]&amp;Tabela1[[#This Row],[MATRICULA]]&amp;"Cliente 2"&amp;Tabela1[[#This Row],[SETOR]],BD!A:AF,26,0),"")</f>
        <v/>
      </c>
      <c r="AX138" s="21" t="str">
        <f>IFERROR(VLOOKUP(Tabela1[[#This Row],[MÊS]]&amp;Tabela1[[#This Row],[MATRICULA]]&amp;"Policia"&amp;Tabela1[[#This Row],[SETOR]],BD!A:AF,31,0),"")</f>
        <v/>
      </c>
      <c r="AY138" s="21" t="str">
        <f>IFERROR(VLOOKUP(Tabela1[[#This Row],[MÊS]]&amp;Tabela1[[#This Row],[ID]]&amp;Tabela1[[#This Row],[MATRICULA]]&amp;"Policia 2"&amp;Tabela1[[#This Row],[SETOR]],BD!A:AF,26,0),"")</f>
        <v/>
      </c>
      <c r="AZ138" s="36" t="str">
        <f>IFERROR(VLOOKUP(Tabela1[[#This Row],[MÊS]]&amp;Tabela1[[#This Row],[ID]]&amp;Tabela1[[#This Row],[MATRICULA]]&amp;"Policia 3"&amp;Tabela1[[#This Row],[SETOR]],BD!A:AF,26,0),"")</f>
        <v/>
      </c>
      <c r="BA138" s="36" t="str">
        <f>IFERROR(VLOOKUP(Tabela1[[#This Row],[MÊS]]&amp;Tabela1[[#This Row],[ID]]&amp;Tabela1[[#This Row],[MATRICULA]]&amp;"Policia 4"&amp;Tabela1[[#This Row],[SETOR]],BD!A:AF,26,0),"")</f>
        <v/>
      </c>
      <c r="BB13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8" s="21">
        <f>IFERROR(AVERAGE(Tabela1[[#This Row],[M]:[M4]]),"")</f>
        <v>0</v>
      </c>
      <c r="BD138" s="21" t="str">
        <f>IFERROR(AVERAGE(Tabela1[[#This Row],[C]:[C4]]),"")</f>
        <v/>
      </c>
      <c r="BE138" s="21" t="str">
        <f>IFERROR(AVERAGE(Tabela1[[#This Row],[PA2]:[PA 4]]),"")</f>
        <v/>
      </c>
      <c r="BF138" s="21" t="str">
        <f>IFERROR(AVERAGE(Tabela1[[#This Row],[PL]:[PL4]]),"")</f>
        <v/>
      </c>
      <c r="BG138" s="35" t="str">
        <f>IFERROR(VLOOKUP(Tabela1[[#This Row],[MÊS]]&amp;Tabela1[[#This Row],[MATRICULA]],#REF!,2,0),"")</f>
        <v/>
      </c>
      <c r="BH138" s="35" t="str">
        <f>IFERROR(VLOOKUP(Tabela1[[#This Row],[MÊS]]&amp;Tabela1[[#This Row],[MATRICULA]],#REF!,2,0),"")</f>
        <v/>
      </c>
      <c r="BI138" s="35" t="str">
        <f>IFERROR(VLOOKUP(Tabela1[[#This Row],[MÊS]]&amp;Tabela1[[#This Row],[MATRICULA]],#REF!,2,0),"")</f>
        <v/>
      </c>
      <c r="BJ138" s="35" t="str">
        <f>IFERROR(VLOOKUP(Tabela1[[#This Row],[MÊS]]&amp;Tabela1[[#This Row],[MATRICULA]],#REF!,2,0),"")</f>
        <v/>
      </c>
      <c r="BK138" s="35" t="str">
        <f>IFERROR(VLOOKUP(Tabela1[[#This Row],[MÊS]]&amp;Tabela1[[#This Row],[MATRICULA]],#REF!,2,0),"")</f>
        <v/>
      </c>
      <c r="BL138" s="21">
        <f>COUNTIF(Tabela1[[#This Row],[MOT2]:[RECEPTIVA]],"NÃO ENCONTRADA")</f>
        <v>0</v>
      </c>
      <c r="BM138" s="135" t="str">
        <f>IFERROR(VLOOKUP(Tabela1[[#This Row],[MÊS]]&amp;Tabela1[[#This Row],[ID]]&amp;Tabela1[[#This Row],[MATRICULA]]&amp;"Motorista"&amp;Tabela1[[#This Row],[SETOR]],BD!A:AF,13,0),"")</f>
        <v/>
      </c>
      <c r="BN138" s="135" t="str">
        <f>IFERROR(VLOOKUP(Tabela1[[#This Row],[MÊS]]&amp;Tabela1[[#This Row],[ID]]&amp;Tabela1[[#This Row],[MATRICULA]]&amp;"Motorista 2"&amp;Tabela1[[#This Row],[SETOR]],BD!A:AF,13,0),"")</f>
        <v/>
      </c>
      <c r="BO138" s="135" t="str">
        <f>IFERROR(VLOOKUP(Tabela1[[#This Row],[MÊS]]&amp;Tabela1[[#This Row],[ID]]&amp;Tabela1[[#This Row],[MATRICULA]]&amp;"Motorista 3"&amp;Tabela1[[#This Row],[SETOR]],BD!A:AF,13,0),"")</f>
        <v/>
      </c>
      <c r="BP138" s="135" t="str">
        <f>IFERROR(VLOOKUP(Tabela1[[#This Row],[MÊS]]&amp;Tabela1[[#This Row],[ID]]&amp;Tabela1[[#This Row],[MATRICULA]]&amp;"Motorista 4"&amp;Tabela1[[#This Row],[SETOR]],BD!A:AF,13,0),"")</f>
        <v/>
      </c>
      <c r="BQ138" s="135" t="str">
        <f>IFERROR(AVERAGE(Tabela1[[#This Row],[DMOT]:[DMOT4]]),"")</f>
        <v/>
      </c>
      <c r="BR138" s="135" t="str">
        <f>IFERROR(VLOOKUP(Tabela1[[#This Row],[MÊS]]&amp;Tabela1[[#This Row],[ID]]&amp;Tabela1[[#This Row],[MATRICULA]]&amp;"Ponto de Apoio"&amp;Tabela1[[#This Row],[SETOR]],BD!A:AF,13,0),"")</f>
        <v/>
      </c>
      <c r="BS138" s="135" t="str">
        <f>IFERROR(VLOOKUP(Tabela1[[#This Row],[MÊS]]&amp;Tabela1[[#This Row],[ID]]&amp;Tabela1[[#This Row],[MATRICULA]]&amp;"Ponto de Apoio 2"&amp;Tabela1[[#This Row],[SETOR]],BD!A:AF,13,0),"")</f>
        <v/>
      </c>
      <c r="BT138" s="135" t="str">
        <f>IFERROR(VLOOKUP(Tabela1[[#This Row],[MÊS]]&amp;Tabela1[[#This Row],[ID]]&amp;Tabela1[[#This Row],[MATRICULA]]&amp;"Ponto de Apoio 3"&amp;Tabela1[[#This Row],[SETOR]],BD!A:AF,13,0),"")</f>
        <v/>
      </c>
      <c r="BU138" s="135" t="str">
        <f>IFERROR(VLOOKUP(Tabela1[[#This Row],[MÊS]]&amp;Tabela1[[#This Row],[ID]]&amp;Tabela1[[#This Row],[MATRICULA]]&amp;"Ponto de Apoio 4"&amp;Tabela1[[#This Row],[SETOR]],BD!A:AF,13,0),"")</f>
        <v/>
      </c>
      <c r="BV138" s="135" t="str">
        <f>IFERROR(AVERAGE(Tabela1[[#This Row],[DPA]:[DPA 4]]),"")</f>
        <v/>
      </c>
      <c r="BW138" s="135" t="str">
        <f>IFERROR(VLOOKUP(Tabela1[[#This Row],[MÊS]]&amp;Tabela1[[#This Row],[ID]]&amp;Tabela1[[#This Row],[MATRICULA]]&amp;"Cliente"&amp;Tabela1[[#This Row],[SETOR]],BD!A:AF,13,0),"")</f>
        <v/>
      </c>
      <c r="BX138" s="135" t="str">
        <f>IFERROR(VLOOKUP(Tabela1[[#This Row],[MÊS]]&amp;Tabela1[[#This Row],[ID]]&amp;Tabela1[[#This Row],[MATRICULA]]&amp;"cliente 2"&amp;Tabela1[[#This Row],[SETOR]],BD!A:AF,13,0),"")</f>
        <v/>
      </c>
      <c r="BY138" s="135" t="str">
        <f>IFERROR(VLOOKUP(Tabela1[[#This Row],[MÊS]]&amp;Tabela1[[#This Row],[ID]]&amp;Tabela1[[#This Row],[MATRICULA]]&amp;"cliente 3"&amp;Tabela1[[#This Row],[SETOR]],BD!A:AF,13,0),"")</f>
        <v/>
      </c>
      <c r="BZ138" s="135" t="str">
        <f>IFERROR(VLOOKUP(Tabela1[[#This Row],[MÊS]]&amp;Tabela1[[#This Row],[ID]]&amp;Tabela1[[#This Row],[MATRICULA]]&amp;"cliente 4"&amp;Tabela1[[#This Row],[SETOR]],BD!A:AF,13,0),"")</f>
        <v/>
      </c>
      <c r="CA138" s="135" t="str">
        <f>IFERROR(AVERAGE(Tabela1[[#This Row],[DCLI]:[DCLI 4]]),"")</f>
        <v/>
      </c>
      <c r="CB138" s="135" t="str">
        <f>IFERROR(VLOOKUP(Tabela1[[#This Row],[MÊS]]&amp;Tabela1[[#This Row],[ID]]&amp;Tabela1[[#This Row],[MATRICULA]]&amp;"Policia"&amp;Tabela1[[#This Row],[SETOR]],BD!A:AF,13,0),"")</f>
        <v/>
      </c>
      <c r="CC138" s="135" t="str">
        <f>IFERROR(VLOOKUP(Tabela1[[#This Row],[MÊS]]&amp;Tabela1[[#This Row],[ID]]&amp;Tabela1[[#This Row],[MATRICULA]]&amp;"Policia 2"&amp;Tabela1[[#This Row],[SETOR]],BD!A:AF,13,0),"")</f>
        <v/>
      </c>
      <c r="CD138" s="135"/>
      <c r="CE138" s="135"/>
      <c r="CF138" s="135" t="str">
        <f>IFERROR((AVERAGE(Tabela1[[#This Row],[DPOL1]:[DPOL4]])),"")</f>
        <v/>
      </c>
      <c r="CG138" s="21" t="str">
        <f>IFERROR(VLOOKUP(Tabela1[[#This Row],[ID]]&amp;Tabela1[[#This Row],[MÊS]]&amp;Tabela1[[#This Row],[MATRICULA]],#REF!,2,0),"")</f>
        <v/>
      </c>
      <c r="CH138" s="21" t="str">
        <f>IFERROR(VLOOKUP(Tabela1[[#This Row],[ID]]&amp;Tabela1[[#This Row],[MÊS]]&amp;Tabela1[[#This Row],[MATRICULA]],#REF!,2,0),"")</f>
        <v/>
      </c>
      <c r="CI138" s="21" t="str">
        <f>IFERROR(VLOOKUP(Tabela1[[#This Row],[MÊS]]&amp;Tabela1[[#This Row],[MATRICULA]],#REF!,2,0),"")</f>
        <v/>
      </c>
    </row>
    <row r="139" spans="1:87">
      <c r="A139" s="12" t="str">
        <f>Tabela1[[#This Row],[MÊS]]&amp;Tabela1[[#This Row],[MATRICULA]]&amp;Tabela1[[#This Row],[ID]]</f>
        <v>JAN1084422</v>
      </c>
      <c r="B139" s="12" t="str">
        <f>Tabela1[[#This Row],[MÊS]]&amp;Tabela1[[#This Row],[ID]]&amp;Tabela1[[#This Row],[MATRICULA]]&amp;Tabela1[[#This Row],[SETOR]]</f>
        <v>JAN2210844LOGÍSTICA</v>
      </c>
      <c r="C139" s="130" t="e">
        <f>VLOOKUP(Tabela1[[#This Row],[MATRICULA]],'BD Campos'!A:D,5,0)</f>
        <v>#REF!</v>
      </c>
      <c r="D139" s="133" t="str">
        <f ca="1">IFERROR(SUM(TODAY()-Tabela1[[#This Row],[ADMISSÃO]]),"")</f>
        <v/>
      </c>
      <c r="E139" s="11" t="str">
        <f ca="1">IFERROR(TRUNC(Tabela1[[#This Row],[TEMPO DE CASA (DIAS)]]/30),"")</f>
        <v/>
      </c>
      <c r="F139" s="32" t="str">
        <f ca="1">IFERROR(SUM(Tabela1[[#This Row],[TEMPO DE CASA (MESES)]]/12),"")</f>
        <v/>
      </c>
      <c r="G139" s="133" t="str">
        <f ca="1">IF(Tabela1[[#This Row],[TEMPO DE CASA (DIAS)]]="","SEM DADOS",IF(Tabela1[[#This Row],[TEMPO DE CASA (DIAS)]]&gt;180,"&gt; 6 MESES","&lt; 6 MESES"))</f>
        <v>SEM DADOS</v>
      </c>
      <c r="H139" s="12" t="str">
        <f t="shared" si="12"/>
        <v>JANGeovana Meurer22</v>
      </c>
      <c r="I139" s="12" t="str">
        <f>IFERROR(VLOOKUP(Tabela1[[#This Row],[MATRICULA]],'BD Campos'!A:F,7,0),"")</f>
        <v/>
      </c>
      <c r="J139" s="11">
        <v>22</v>
      </c>
      <c r="K139" s="11" t="s">
        <v>669</v>
      </c>
      <c r="L139" s="136">
        <v>10844</v>
      </c>
      <c r="M139" s="12" t="str">
        <f>IFERROR(VLOOKUP(Tabela1[[#This Row],[MATRICULA]],'BD Campos'!A:B,2,0),"")</f>
        <v>GABRIEL CACHOEIRA MORAES</v>
      </c>
      <c r="N139" s="20" t="str">
        <f>IFERROR(AVERAGE(Tabela1[[#This Row],[A1]:[A4]]),"")</f>
        <v/>
      </c>
      <c r="O139" s="20">
        <f>IFERROR(IF(Tabela1[[#This Row],[SETOR]]="RECEPTIVO","",AVERAGE(Tabela1[[#This Row],[A5]:[A6]])),"")</f>
        <v>10.000000000000002</v>
      </c>
      <c r="P139" s="20" t="str">
        <f>IFERROR(IF(Tabela1[[#This Row],[STATUS]]="INATIVO","INATIVO",IF(Tabela1[[#This Row],[STATUS]]="QRT","INATIVO",IF(Tabela1[[#This Row],[OPERACIONAL]]&gt;7.99999,"BOM","RUIM"))),"")</f>
        <v>BOM</v>
      </c>
      <c r="Q139" s="21" t="s">
        <v>667</v>
      </c>
      <c r="R139" s="12" t="s">
        <v>315</v>
      </c>
      <c r="S139" s="12" t="s">
        <v>11</v>
      </c>
      <c r="T139" s="12" t="s">
        <v>315</v>
      </c>
      <c r="U13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3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39" s="12">
        <f>IF(AND(Tabela1[[#This Row],[SETOR]]="UTI",Tabela1[[#This Row],[M]]&lt;&gt;""),1,IF(AND(Tabela1[[#This Row],[SETOR]]="UTI (RJ)",Tabela1[[#This Row],[M]]&lt;&gt;""),1.5,0))</f>
        <v>0</v>
      </c>
      <c r="X139" s="12">
        <f>IF(AND(Tabela1[[#This Row],[SETOR]]="UTI",Tabela1[[#This Row],[PA2]]&lt;&gt;""),1,IF(AND(Tabela1[[#This Row],[SETOR]]="UTI (RJ)",Tabela1[[#This Row],[PA2]]&lt;&gt;""),0,0))</f>
        <v>0</v>
      </c>
      <c r="Y139" s="12">
        <f>IF(AND(Tabela1[[#This Row],[SETOR]]="UTI",Tabela1[[#This Row],[C]]&lt;&gt;""),1,IF(AND(Tabela1[[#This Row],[SETOR]]="UTI (RJ)",Tabela1[[#This Row],[C]]&lt;&gt;""),1.5,0))</f>
        <v>0</v>
      </c>
      <c r="Z139" s="12">
        <f>IF(AND(Tabela1[[#This Row],[SETOR]]="UTI",Tabela1[[#This Row],[PL]]&lt;&gt;""),1,IF(AND(Tabela1[[#This Row],[SETOR]]="UTI (RJ)",Tabela1[[#This Row],[PL]]&lt;&gt;""),1,0))</f>
        <v>0</v>
      </c>
      <c r="AA139" s="21" t="str">
        <f>IFERROR(VLOOKUP(Tabela1[[#This Row],[MÊS]]&amp;Tabela1[[#This Row],[MATRICULA]]&amp;"1"&amp;Tabela1[[#This Row],[SETOR]]&amp;"PADRÃO",BD!B:AF,31,0),"")</f>
        <v/>
      </c>
      <c r="AB139" s="21" t="str">
        <f>IFERROR(VLOOKUP(Tabela1[[#This Row],[MÊS]]&amp;Tabela1[[#This Row],[MATRICULA]]&amp;"2"&amp;Tabela1[[#This Row],[SETOR]]&amp;"PADRÃO",BD!B:AF,31,0),"")</f>
        <v/>
      </c>
      <c r="AC139" s="21" t="str">
        <f>IFERROR(VLOOKUP(Tabela1[[#This Row],[MÊS]]&amp;Tabela1[[#This Row],[MATRICULA]]&amp;"3"&amp;Tabela1[[#This Row],[SETOR]]&amp;"PADRÃO",BD!B:AF,31,0),"")</f>
        <v/>
      </c>
      <c r="AD139" s="21" t="str">
        <f>IFERROR(VLOOKUP(Tabela1[[#This Row],[MÊS]]&amp;Tabela1[[#This Row],[MATRICULA]]&amp;"4"&amp;Tabela1[[#This Row],[SETOR]]&amp;"PADRÃO",BD!B:AF,25,0),"")</f>
        <v/>
      </c>
      <c r="AE139" s="21">
        <f>IFERROR(VLOOKUP(Tabela1[[#This Row],[MÊS]]&amp;Tabela1[[#This Row],[MATRICULA]]&amp;"5"&amp;Tabela1[[#This Row],[SETOR]]&amp;"PADRÃO",BD!B:AF,31,0),"")</f>
        <v>10.000000000000002</v>
      </c>
      <c r="AF139" s="21">
        <f>IFERROR(VLOOKUP(Tabela1[[#This Row],[MÊS]]&amp;Tabela1[[#This Row],[MATRICULA]]&amp;"6"&amp;Tabela1[[#This Row],[SETOR]]&amp;"PADRÃO",BD!B:AF,31,0),"")</f>
        <v>10.000000000000002</v>
      </c>
      <c r="AG139" s="21" t="str">
        <f>IFERROR(VLOOKUP(Tabela1[[#This Row],[MÊS]]&amp;Tabela1[[#This Row],[MATRICULA]]&amp;"7"&amp;Tabela1[[#This Row],[SETOR]]&amp;"PADRÃO",BD!B:AF,31,0),"")</f>
        <v/>
      </c>
      <c r="AH139" s="21" t="str">
        <f>IFERROR(VLOOKUP(Tabela1[[#This Row],[MÊS]]&amp;Tabela1[[#This Row],[ID]]&amp;Tabela1[[#This Row],[MATRICULA]]&amp;"Receptiva"&amp;Tabela1[[#This Row],[SETOR]],BD!A:AF,31,0),"")</f>
        <v/>
      </c>
      <c r="AI139" s="21" t="str">
        <f>IFERROR(VLOOKUP(Tabela1[[#This Row],[MÊS]]&amp;Tabela1[[#This Row],[ID]]&amp;Tabela1[[#This Row],[MATRICULA]]&amp;"Receptiva 2"&amp;Tabela1[[#This Row],[SETOR]],BD!A:AF,31,0),"")</f>
        <v/>
      </c>
      <c r="AJ139" s="21" t="str">
        <f>IFERROR(VLOOKUP(Tabela1[[#This Row],[MÊS]]&amp;Tabela1[[#This Row],[ID]]&amp;Tabela1[[#This Row],[MATRICULA]]&amp;"Receptiva 3"&amp;Tabela1[[#This Row],[SETOR]],BD!A:AF,31,0),"")</f>
        <v/>
      </c>
      <c r="AK139" s="21" t="str">
        <f>IFERROR(VLOOKUP(Tabela1[[#This Row],[MÊS]]&amp;Tabela1[[#This Row],[ID]]&amp;Tabela1[[#This Row],[MATRICULA]]&amp;"Receptiva 4"&amp;Tabela1[[#This Row],[SETOR]],BD!A:AF,31,0),"")</f>
        <v/>
      </c>
      <c r="AL139" s="21" t="str">
        <f>IFERROR(VLOOKUP(Tabela1[[#This Row],[MÊS]]&amp;Tabela1[[#This Row],[MATRICULA]]&amp;"Motorista"&amp;Tabela1[[#This Row],[SETOR]],BD!A:AF,31,0),"")</f>
        <v/>
      </c>
      <c r="AM139" s="21" t="str">
        <f>IFERROR(VLOOKUP(Tabela1[[#This Row],[MÊS]]&amp;Tabela1[[#This Row],[ID]]&amp;Tabela1[[#This Row],[MATRICULA]]&amp;"Motorista 2"&amp;Tabela1[[#This Row],[SETOR]],BD!A:AF,26,0),"")</f>
        <v/>
      </c>
      <c r="AN139" s="21" t="str">
        <f>IFERROR(VLOOKUP(Tabela1[[#This Row],[MÊS]]&amp;Tabela1[[#This Row],[ID]]&amp;Tabela1[[#This Row],[MATRICULA]]&amp;"Motorista 3"&amp;Tabela1[[#This Row],[SETOR]],BD!A:AF,26,0),"")</f>
        <v/>
      </c>
      <c r="AO139" s="21" t="str">
        <f>IFERROR(VLOOKUP(Tabela1[[#This Row],[MÊS]]&amp;Tabela1[[#This Row],[ID]]&amp;Tabela1[[#This Row],[MATRICULA]]&amp;"Motorista 4"&amp;Tabela1[[#This Row],[SETOR]],BD!A:AF,26,0),"")</f>
        <v/>
      </c>
      <c r="AP139" s="21" t="str">
        <f>IFERROR(VLOOKUP(Tabela1[[#This Row],[MÊS]]&amp;Tabela1[[#This Row],[MATRICULA]]&amp;"Ponto de Apoio"&amp;Tabela1[[#This Row],[SETOR]],BD!A:AF,31,0),"")</f>
        <v/>
      </c>
      <c r="AQ139" s="21" t="str">
        <f>IFERROR(VLOOKUP(Tabela1[[#This Row],[MÊS]]&amp;Tabela1[[#This Row],[ID]]&amp;Tabela1[[#This Row],[MATRICULA]]&amp;"Ponto de Apoio 2"&amp;Tabela1[[#This Row],[SETOR]],BD!A:AF,26,0),"")</f>
        <v/>
      </c>
      <c r="AR139" s="36" t="str">
        <f>IFERROR(VLOOKUP(Tabela1[[#This Row],[MÊS]]&amp;Tabela1[[#This Row],[ID]]&amp;Tabela1[[#This Row],[MATRICULA]]&amp;"Ponto de Apoio 3"&amp;Tabela1[[#This Row],[SETOR]],BD!A:AF,26,0),"")</f>
        <v/>
      </c>
      <c r="AS139" s="36" t="str">
        <f>IFERROR(VLOOKUP(Tabela1[[#This Row],[MÊS]]&amp;Tabela1[[#This Row],[ID]]&amp;Tabela1[[#This Row],[MATRICULA]]&amp;"Ponto de Apoio 4"&amp;Tabela1[[#This Row],[SETOR]],BD!A:AF,26,0),"")</f>
        <v/>
      </c>
      <c r="AT139" s="21" t="str">
        <f>IFERROR(VLOOKUP(Tabela1[[#This Row],[MÊS]]&amp;Tabela1[[#This Row],[MATRICULA]]&amp;"Cliente"&amp;Tabela1[[#This Row],[SETOR]],BD!A:AF,31,0),"")</f>
        <v/>
      </c>
      <c r="AU139" s="21" t="str">
        <f>IFERROR(VLOOKUP(Tabela1[[#This Row],[MÊS]]&amp;Tabela1[[#This Row],[ID]]&amp;Tabela1[[#This Row],[MATRICULA]]&amp;"Cliente 2"&amp;Tabela1[[#This Row],[SETOR]],BD!A:AF,26,0),"")</f>
        <v/>
      </c>
      <c r="AX139" s="21" t="str">
        <f>IFERROR(VLOOKUP(Tabela1[[#This Row],[MÊS]]&amp;Tabela1[[#This Row],[MATRICULA]]&amp;"Policia"&amp;Tabela1[[#This Row],[SETOR]],BD!A:AF,31,0),"")</f>
        <v/>
      </c>
      <c r="AY139" s="21" t="str">
        <f>IFERROR(VLOOKUP(Tabela1[[#This Row],[MÊS]]&amp;Tabela1[[#This Row],[ID]]&amp;Tabela1[[#This Row],[MATRICULA]]&amp;"Policia 2"&amp;Tabela1[[#This Row],[SETOR]],BD!A:AF,26,0),"")</f>
        <v/>
      </c>
      <c r="AZ139" s="36" t="str">
        <f>IFERROR(VLOOKUP(Tabela1[[#This Row],[MÊS]]&amp;Tabela1[[#This Row],[ID]]&amp;Tabela1[[#This Row],[MATRICULA]]&amp;"Policia 3"&amp;Tabela1[[#This Row],[SETOR]],BD!A:AF,26,0),"")</f>
        <v/>
      </c>
      <c r="BA139" s="36" t="str">
        <f>IFERROR(VLOOKUP(Tabela1[[#This Row],[MÊS]]&amp;Tabela1[[#This Row],[ID]]&amp;Tabela1[[#This Row],[MATRICULA]]&amp;"Policia 4"&amp;Tabela1[[#This Row],[SETOR]],BD!A:AF,26,0),"")</f>
        <v/>
      </c>
      <c r="BB13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39" s="21" t="str">
        <f>IFERROR(AVERAGE(Tabela1[[#This Row],[M]:[M4]]),"")</f>
        <v/>
      </c>
      <c r="BD139" s="21" t="str">
        <f>IFERROR(AVERAGE(Tabela1[[#This Row],[C]:[C4]]),"")</f>
        <v/>
      </c>
      <c r="BE139" s="21" t="str">
        <f>IFERROR(AVERAGE(Tabela1[[#This Row],[PA2]:[PA 4]]),"")</f>
        <v/>
      </c>
      <c r="BF139" s="21" t="str">
        <f>IFERROR(AVERAGE(Tabela1[[#This Row],[PL]:[PL4]]),"")</f>
        <v/>
      </c>
      <c r="BG139" s="35" t="str">
        <f>IFERROR(VLOOKUP(Tabela1[[#This Row],[MÊS]]&amp;Tabela1[[#This Row],[MATRICULA]],#REF!,2,0),"")</f>
        <v/>
      </c>
      <c r="BH139" s="35" t="str">
        <f>IFERROR(VLOOKUP(Tabela1[[#This Row],[MÊS]]&amp;Tabela1[[#This Row],[MATRICULA]],#REF!,2,0),"")</f>
        <v/>
      </c>
      <c r="BI139" s="35" t="str">
        <f>IFERROR(VLOOKUP(Tabela1[[#This Row],[MÊS]]&amp;Tabela1[[#This Row],[MATRICULA]],#REF!,2,0),"")</f>
        <v/>
      </c>
      <c r="BJ139" s="35" t="str">
        <f>IFERROR(VLOOKUP(Tabela1[[#This Row],[MÊS]]&amp;Tabela1[[#This Row],[MATRICULA]],#REF!,2,0),"")</f>
        <v/>
      </c>
      <c r="BK139" s="35" t="str">
        <f>IFERROR(VLOOKUP(Tabela1[[#This Row],[MÊS]]&amp;Tabela1[[#This Row],[MATRICULA]],#REF!,2,0),"")</f>
        <v/>
      </c>
      <c r="BL139" s="21">
        <f>COUNTIF(Tabela1[[#This Row],[MOT2]:[RECEPTIVA]],"NÃO ENCONTRADA")</f>
        <v>0</v>
      </c>
      <c r="BM139" s="135" t="str">
        <f>IFERROR(VLOOKUP(Tabela1[[#This Row],[MÊS]]&amp;Tabela1[[#This Row],[ID]]&amp;Tabela1[[#This Row],[MATRICULA]]&amp;"Motorista"&amp;Tabela1[[#This Row],[SETOR]],BD!A:AF,13,0),"")</f>
        <v/>
      </c>
      <c r="BN139" s="135" t="str">
        <f>IFERROR(VLOOKUP(Tabela1[[#This Row],[MÊS]]&amp;Tabela1[[#This Row],[ID]]&amp;Tabela1[[#This Row],[MATRICULA]]&amp;"Motorista 2"&amp;Tabela1[[#This Row],[SETOR]],BD!A:AF,13,0),"")</f>
        <v/>
      </c>
      <c r="BO139" s="135" t="str">
        <f>IFERROR(VLOOKUP(Tabela1[[#This Row],[MÊS]]&amp;Tabela1[[#This Row],[ID]]&amp;Tabela1[[#This Row],[MATRICULA]]&amp;"Motorista 3"&amp;Tabela1[[#This Row],[SETOR]],BD!A:AF,13,0),"")</f>
        <v/>
      </c>
      <c r="BP139" s="135" t="str">
        <f>IFERROR(VLOOKUP(Tabela1[[#This Row],[MÊS]]&amp;Tabela1[[#This Row],[ID]]&amp;Tabela1[[#This Row],[MATRICULA]]&amp;"Motorista 4"&amp;Tabela1[[#This Row],[SETOR]],BD!A:AF,13,0),"")</f>
        <v/>
      </c>
      <c r="BQ139" s="135" t="str">
        <f>IFERROR(AVERAGE(Tabela1[[#This Row],[DMOT]:[DMOT4]]),"")</f>
        <v/>
      </c>
      <c r="BR139" s="135" t="str">
        <f>IFERROR(VLOOKUP(Tabela1[[#This Row],[MÊS]]&amp;Tabela1[[#This Row],[ID]]&amp;Tabela1[[#This Row],[MATRICULA]]&amp;"Ponto de Apoio"&amp;Tabela1[[#This Row],[SETOR]],BD!A:AF,13,0),"")</f>
        <v/>
      </c>
      <c r="BS139" s="135" t="str">
        <f>IFERROR(VLOOKUP(Tabela1[[#This Row],[MÊS]]&amp;Tabela1[[#This Row],[ID]]&amp;Tabela1[[#This Row],[MATRICULA]]&amp;"Ponto de Apoio 2"&amp;Tabela1[[#This Row],[SETOR]],BD!A:AF,13,0),"")</f>
        <v/>
      </c>
      <c r="BT139" s="135" t="str">
        <f>IFERROR(VLOOKUP(Tabela1[[#This Row],[MÊS]]&amp;Tabela1[[#This Row],[ID]]&amp;Tabela1[[#This Row],[MATRICULA]]&amp;"Ponto de Apoio 3"&amp;Tabela1[[#This Row],[SETOR]],BD!A:AF,13,0),"")</f>
        <v/>
      </c>
      <c r="BU139" s="135" t="str">
        <f>IFERROR(VLOOKUP(Tabela1[[#This Row],[MÊS]]&amp;Tabela1[[#This Row],[ID]]&amp;Tabela1[[#This Row],[MATRICULA]]&amp;"Ponto de Apoio 4"&amp;Tabela1[[#This Row],[SETOR]],BD!A:AF,13,0),"")</f>
        <v/>
      </c>
      <c r="BV139" s="135" t="str">
        <f>IFERROR(AVERAGE(Tabela1[[#This Row],[DPA]:[DPA 4]]),"")</f>
        <v/>
      </c>
      <c r="BW139" s="135" t="str">
        <f>IFERROR(VLOOKUP(Tabela1[[#This Row],[MÊS]]&amp;Tabela1[[#This Row],[ID]]&amp;Tabela1[[#This Row],[MATRICULA]]&amp;"Cliente"&amp;Tabela1[[#This Row],[SETOR]],BD!A:AF,13,0),"")</f>
        <v/>
      </c>
      <c r="BX139" s="135" t="str">
        <f>IFERROR(VLOOKUP(Tabela1[[#This Row],[MÊS]]&amp;Tabela1[[#This Row],[ID]]&amp;Tabela1[[#This Row],[MATRICULA]]&amp;"cliente 2"&amp;Tabela1[[#This Row],[SETOR]],BD!A:AF,13,0),"")</f>
        <v/>
      </c>
      <c r="BY139" s="135" t="str">
        <f>IFERROR(VLOOKUP(Tabela1[[#This Row],[MÊS]]&amp;Tabela1[[#This Row],[ID]]&amp;Tabela1[[#This Row],[MATRICULA]]&amp;"cliente 3"&amp;Tabela1[[#This Row],[SETOR]],BD!A:AF,13,0),"")</f>
        <v/>
      </c>
      <c r="BZ139" s="135" t="str">
        <f>IFERROR(VLOOKUP(Tabela1[[#This Row],[MÊS]]&amp;Tabela1[[#This Row],[ID]]&amp;Tabela1[[#This Row],[MATRICULA]]&amp;"cliente 4"&amp;Tabela1[[#This Row],[SETOR]],BD!A:AF,13,0),"")</f>
        <v/>
      </c>
      <c r="CA139" s="135" t="str">
        <f>IFERROR(AVERAGE(Tabela1[[#This Row],[DCLI]:[DCLI 4]]),"")</f>
        <v/>
      </c>
      <c r="CB139" s="135" t="str">
        <f>IFERROR(VLOOKUP(Tabela1[[#This Row],[MÊS]]&amp;Tabela1[[#This Row],[ID]]&amp;Tabela1[[#This Row],[MATRICULA]]&amp;"Policia"&amp;Tabela1[[#This Row],[SETOR]],BD!A:AF,13,0),"")</f>
        <v/>
      </c>
      <c r="CC139" s="135" t="str">
        <f>IFERROR(VLOOKUP(Tabela1[[#This Row],[MÊS]]&amp;Tabela1[[#This Row],[ID]]&amp;Tabela1[[#This Row],[MATRICULA]]&amp;"Policia 2"&amp;Tabela1[[#This Row],[SETOR]],BD!A:AF,13,0),"")</f>
        <v/>
      </c>
      <c r="CD139" s="135"/>
      <c r="CE139" s="135"/>
      <c r="CF139" s="135" t="str">
        <f>IFERROR((AVERAGE(Tabela1[[#This Row],[DPOL1]:[DPOL4]])),"")</f>
        <v/>
      </c>
      <c r="CG139" s="21" t="str">
        <f>IFERROR(VLOOKUP(Tabela1[[#This Row],[ID]]&amp;Tabela1[[#This Row],[MÊS]]&amp;Tabela1[[#This Row],[MATRICULA]],#REF!,2,0),"")</f>
        <v/>
      </c>
      <c r="CH139" s="21" t="str">
        <f>IFERROR(VLOOKUP(Tabela1[[#This Row],[ID]]&amp;Tabela1[[#This Row],[MÊS]]&amp;Tabela1[[#This Row],[MATRICULA]],#REF!,2,0),"")</f>
        <v/>
      </c>
      <c r="CI139" s="21" t="str">
        <f>IFERROR(VLOOKUP(Tabela1[[#This Row],[MÊS]]&amp;Tabela1[[#This Row],[MATRICULA]],#REF!,2,0),"")</f>
        <v/>
      </c>
    </row>
    <row r="140" spans="1:87">
      <c r="A140" s="12" t="str">
        <f>Tabela1[[#This Row],[MÊS]]&amp;Tabela1[[#This Row],[MATRICULA]]&amp;Tabela1[[#This Row],[ID]]</f>
        <v>JAN1127923</v>
      </c>
      <c r="B140" s="12" t="str">
        <f>Tabela1[[#This Row],[MÊS]]&amp;Tabela1[[#This Row],[ID]]&amp;Tabela1[[#This Row],[MATRICULA]]&amp;Tabela1[[#This Row],[SETOR]]</f>
        <v>JAN2311279LOGÍSTICA</v>
      </c>
      <c r="C140" s="130" t="e">
        <f>VLOOKUP(Tabela1[[#This Row],[MATRICULA]],'BD Campos'!A:D,5,0)</f>
        <v>#REF!</v>
      </c>
      <c r="D140" s="133" t="str">
        <f ca="1">IFERROR(SUM(TODAY()-Tabela1[[#This Row],[ADMISSÃO]]),"")</f>
        <v/>
      </c>
      <c r="E140" s="11" t="str">
        <f ca="1">IFERROR(TRUNC(Tabela1[[#This Row],[TEMPO DE CASA (DIAS)]]/30),"")</f>
        <v/>
      </c>
      <c r="F140" s="32" t="str">
        <f ca="1">IFERROR(SUM(Tabela1[[#This Row],[TEMPO DE CASA (MESES)]]/12),"")</f>
        <v/>
      </c>
      <c r="G140" s="133" t="str">
        <f ca="1">IF(Tabela1[[#This Row],[TEMPO DE CASA (DIAS)]]="","SEM DADOS",IF(Tabela1[[#This Row],[TEMPO DE CASA (DIAS)]]&gt;180,"&gt; 6 MESES","&lt; 6 MESES"))</f>
        <v>SEM DADOS</v>
      </c>
      <c r="H140" s="12" t="str">
        <f t="shared" si="12"/>
        <v>JANGeovana Meurer23</v>
      </c>
      <c r="I140" s="12" t="str">
        <f>IFERROR(VLOOKUP(Tabela1[[#This Row],[MATRICULA]],'BD Campos'!A:F,7,0),"")</f>
        <v/>
      </c>
      <c r="J140" s="11">
        <v>23</v>
      </c>
      <c r="K140" s="11" t="s">
        <v>669</v>
      </c>
      <c r="L140" s="136">
        <v>11279</v>
      </c>
      <c r="M140" s="12" t="str">
        <f>IFERROR(VLOOKUP(Tabela1[[#This Row],[MATRICULA]],'BD Campos'!A:B,2,0),"")</f>
        <v>HENRIQUE SCHIODINI CORREA</v>
      </c>
      <c r="N140" s="20">
        <f>IFERROR(AVERAGE(Tabela1[[#This Row],[A1]:[A4]]),"")</f>
        <v>9.6850000000000005</v>
      </c>
      <c r="O140" s="20" t="str">
        <f>IFERROR(IF(Tabela1[[#This Row],[SETOR]]="RECEPTIVO","",AVERAGE(Tabela1[[#This Row],[A5]:[A6]])),"")</f>
        <v/>
      </c>
      <c r="P140" s="20" t="str">
        <f>IFERROR(IF(Tabela1[[#This Row],[STATUS]]="INATIVO","INATIVO",IF(Tabela1[[#This Row],[STATUS]]="QRT","INATIVO",IF(Tabela1[[#This Row],[OPERACIONAL]]&gt;7.99999,"BOM","RUIM"))),"")</f>
        <v>BOM</v>
      </c>
      <c r="Q140" s="21" t="s">
        <v>667</v>
      </c>
      <c r="R140" s="12" t="s">
        <v>315</v>
      </c>
      <c r="S140" s="12" t="s">
        <v>11</v>
      </c>
      <c r="T140" s="12" t="s">
        <v>315</v>
      </c>
      <c r="U14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0" s="12">
        <f>IF(AND(Tabela1[[#This Row],[SETOR]]="UTI",Tabela1[[#This Row],[M]]&lt;&gt;""),1,IF(AND(Tabela1[[#This Row],[SETOR]]="UTI (RJ)",Tabela1[[#This Row],[M]]&lt;&gt;""),1.5,0))</f>
        <v>0</v>
      </c>
      <c r="X140" s="12">
        <f>IF(AND(Tabela1[[#This Row],[SETOR]]="UTI",Tabela1[[#This Row],[PA2]]&lt;&gt;""),1,IF(AND(Tabela1[[#This Row],[SETOR]]="UTI (RJ)",Tabela1[[#This Row],[PA2]]&lt;&gt;""),0,0))</f>
        <v>0</v>
      </c>
      <c r="Y140" s="12">
        <f>IF(AND(Tabela1[[#This Row],[SETOR]]="UTI",Tabela1[[#This Row],[C]]&lt;&gt;""),1,IF(AND(Tabela1[[#This Row],[SETOR]]="UTI (RJ)",Tabela1[[#This Row],[C]]&lt;&gt;""),1.5,0))</f>
        <v>0</v>
      </c>
      <c r="Z140" s="12">
        <f>IF(AND(Tabela1[[#This Row],[SETOR]]="UTI",Tabela1[[#This Row],[PL]]&lt;&gt;""),1,IF(AND(Tabela1[[#This Row],[SETOR]]="UTI (RJ)",Tabela1[[#This Row],[PL]]&lt;&gt;""),1,0))</f>
        <v>0</v>
      </c>
      <c r="AA140" s="21">
        <f>IFERROR(VLOOKUP(Tabela1[[#This Row],[MÊS]]&amp;Tabela1[[#This Row],[MATRICULA]]&amp;"1"&amp;Tabela1[[#This Row],[SETOR]]&amp;"PADRÃO",BD!B:AF,31,0),"")</f>
        <v>9.6850000000000005</v>
      </c>
      <c r="AB140" s="21">
        <f>IFERROR(VLOOKUP(Tabela1[[#This Row],[MÊS]]&amp;Tabela1[[#This Row],[MATRICULA]]&amp;"2"&amp;Tabela1[[#This Row],[SETOR]]&amp;"PADRÃO",BD!B:AF,31,0),"")</f>
        <v>9.6850000000000005</v>
      </c>
      <c r="AC140" s="21" t="str">
        <f>IFERROR(VLOOKUP(Tabela1[[#This Row],[MÊS]]&amp;Tabela1[[#This Row],[MATRICULA]]&amp;"3"&amp;Tabela1[[#This Row],[SETOR]]&amp;"PADRÃO",BD!B:AF,31,0),"")</f>
        <v/>
      </c>
      <c r="AD140" s="21" t="str">
        <f>IFERROR(VLOOKUP(Tabela1[[#This Row],[MÊS]]&amp;Tabela1[[#This Row],[MATRICULA]]&amp;"4"&amp;Tabela1[[#This Row],[SETOR]]&amp;"PADRÃO",BD!B:AF,25,0),"")</f>
        <v/>
      </c>
      <c r="AE140" s="21" t="str">
        <f>IFERROR(VLOOKUP(Tabela1[[#This Row],[MÊS]]&amp;Tabela1[[#This Row],[MATRICULA]]&amp;"5"&amp;Tabela1[[#This Row],[SETOR]]&amp;"PADRÃO",BD!B:AF,31,0),"")</f>
        <v/>
      </c>
      <c r="AF140" s="21" t="str">
        <f>IFERROR(VLOOKUP(Tabela1[[#This Row],[MÊS]]&amp;Tabela1[[#This Row],[MATRICULA]]&amp;"6"&amp;Tabela1[[#This Row],[SETOR]]&amp;"PADRÃO",BD!B:AF,31,0),"")</f>
        <v/>
      </c>
      <c r="AG140" s="21" t="str">
        <f>IFERROR(VLOOKUP(Tabela1[[#This Row],[MÊS]]&amp;Tabela1[[#This Row],[MATRICULA]]&amp;"7"&amp;Tabela1[[#This Row],[SETOR]]&amp;"PADRÃO",BD!B:AF,31,0),"")</f>
        <v/>
      </c>
      <c r="AH140" s="21" t="str">
        <f>IFERROR(VLOOKUP(Tabela1[[#This Row],[MÊS]]&amp;Tabela1[[#This Row],[ID]]&amp;Tabela1[[#This Row],[MATRICULA]]&amp;"Receptiva"&amp;Tabela1[[#This Row],[SETOR]],BD!A:AF,31,0),"")</f>
        <v/>
      </c>
      <c r="AI140" s="21" t="str">
        <f>IFERROR(VLOOKUP(Tabela1[[#This Row],[MÊS]]&amp;Tabela1[[#This Row],[ID]]&amp;Tabela1[[#This Row],[MATRICULA]]&amp;"Receptiva 2"&amp;Tabela1[[#This Row],[SETOR]],BD!A:AF,31,0),"")</f>
        <v/>
      </c>
      <c r="AJ140" s="21" t="str">
        <f>IFERROR(VLOOKUP(Tabela1[[#This Row],[MÊS]]&amp;Tabela1[[#This Row],[ID]]&amp;Tabela1[[#This Row],[MATRICULA]]&amp;"Receptiva 3"&amp;Tabela1[[#This Row],[SETOR]],BD!A:AF,31,0),"")</f>
        <v/>
      </c>
      <c r="AK140" s="21" t="str">
        <f>IFERROR(VLOOKUP(Tabela1[[#This Row],[MÊS]]&amp;Tabela1[[#This Row],[ID]]&amp;Tabela1[[#This Row],[MATRICULA]]&amp;"Receptiva 4"&amp;Tabela1[[#This Row],[SETOR]],BD!A:AF,31,0),"")</f>
        <v/>
      </c>
      <c r="AL140" s="21" t="str">
        <f>IFERROR(VLOOKUP(Tabela1[[#This Row],[MÊS]]&amp;Tabela1[[#This Row],[MATRICULA]]&amp;"Motorista"&amp;Tabela1[[#This Row],[SETOR]],BD!A:AF,31,0),"")</f>
        <v/>
      </c>
      <c r="AM140" s="21" t="str">
        <f>IFERROR(VLOOKUP(Tabela1[[#This Row],[MÊS]]&amp;Tabela1[[#This Row],[ID]]&amp;Tabela1[[#This Row],[MATRICULA]]&amp;"Motorista 2"&amp;Tabela1[[#This Row],[SETOR]],BD!A:AF,26,0),"")</f>
        <v/>
      </c>
      <c r="AN140" s="21" t="str">
        <f>IFERROR(VLOOKUP(Tabela1[[#This Row],[MÊS]]&amp;Tabela1[[#This Row],[ID]]&amp;Tabela1[[#This Row],[MATRICULA]]&amp;"Motorista 3"&amp;Tabela1[[#This Row],[SETOR]],BD!A:AF,26,0),"")</f>
        <v/>
      </c>
      <c r="AO140" s="21" t="str">
        <f>IFERROR(VLOOKUP(Tabela1[[#This Row],[MÊS]]&amp;Tabela1[[#This Row],[ID]]&amp;Tabela1[[#This Row],[MATRICULA]]&amp;"Motorista 4"&amp;Tabela1[[#This Row],[SETOR]],BD!A:AF,26,0),"")</f>
        <v/>
      </c>
      <c r="AP140" s="21" t="str">
        <f>IFERROR(VLOOKUP(Tabela1[[#This Row],[MÊS]]&amp;Tabela1[[#This Row],[MATRICULA]]&amp;"Ponto de Apoio"&amp;Tabela1[[#This Row],[SETOR]],BD!A:AF,31,0),"")</f>
        <v/>
      </c>
      <c r="AQ140" s="21" t="str">
        <f>IFERROR(VLOOKUP(Tabela1[[#This Row],[MÊS]]&amp;Tabela1[[#This Row],[ID]]&amp;Tabela1[[#This Row],[MATRICULA]]&amp;"Ponto de Apoio 2"&amp;Tabela1[[#This Row],[SETOR]],BD!A:AF,26,0),"")</f>
        <v/>
      </c>
      <c r="AR140" s="36" t="str">
        <f>IFERROR(VLOOKUP(Tabela1[[#This Row],[MÊS]]&amp;Tabela1[[#This Row],[ID]]&amp;Tabela1[[#This Row],[MATRICULA]]&amp;"Ponto de Apoio 3"&amp;Tabela1[[#This Row],[SETOR]],BD!A:AF,26,0),"")</f>
        <v/>
      </c>
      <c r="AS140" s="36" t="str">
        <f>IFERROR(VLOOKUP(Tabela1[[#This Row],[MÊS]]&amp;Tabela1[[#This Row],[ID]]&amp;Tabela1[[#This Row],[MATRICULA]]&amp;"Ponto de Apoio 4"&amp;Tabela1[[#This Row],[SETOR]],BD!A:AF,26,0),"")</f>
        <v/>
      </c>
      <c r="AT140" s="21">
        <f>IFERROR(VLOOKUP(Tabela1[[#This Row],[MÊS]]&amp;Tabela1[[#This Row],[MATRICULA]]&amp;"Cliente"&amp;Tabela1[[#This Row],[SETOR]],BD!A:AF,31,0),"")</f>
        <v>0</v>
      </c>
      <c r="AU140" s="21" t="str">
        <f>IFERROR(VLOOKUP(Tabela1[[#This Row],[MÊS]]&amp;Tabela1[[#This Row],[ID]]&amp;Tabela1[[#This Row],[MATRICULA]]&amp;"Cliente 2"&amp;Tabela1[[#This Row],[SETOR]],BD!A:AF,26,0),"")</f>
        <v/>
      </c>
      <c r="AX140" s="21" t="str">
        <f>IFERROR(VLOOKUP(Tabela1[[#This Row],[MÊS]]&amp;Tabela1[[#This Row],[MATRICULA]]&amp;"Policia"&amp;Tabela1[[#This Row],[SETOR]],BD!A:AF,31,0),"")</f>
        <v/>
      </c>
      <c r="AY140" s="21" t="str">
        <f>IFERROR(VLOOKUP(Tabela1[[#This Row],[MÊS]]&amp;Tabela1[[#This Row],[ID]]&amp;Tabela1[[#This Row],[MATRICULA]]&amp;"Policia 2"&amp;Tabela1[[#This Row],[SETOR]],BD!A:AF,26,0),"")</f>
        <v/>
      </c>
      <c r="AZ140" s="36" t="str">
        <f>IFERROR(VLOOKUP(Tabela1[[#This Row],[MÊS]]&amp;Tabela1[[#This Row],[ID]]&amp;Tabela1[[#This Row],[MATRICULA]]&amp;"Policia 3"&amp;Tabela1[[#This Row],[SETOR]],BD!A:AF,26,0),"")</f>
        <v/>
      </c>
      <c r="BA140" s="36" t="str">
        <f>IFERROR(VLOOKUP(Tabela1[[#This Row],[MÊS]]&amp;Tabela1[[#This Row],[ID]]&amp;Tabela1[[#This Row],[MATRICULA]]&amp;"Policia 4"&amp;Tabela1[[#This Row],[SETOR]],BD!A:AF,26,0),"")</f>
        <v/>
      </c>
      <c r="BB14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0" s="21" t="str">
        <f>IFERROR(AVERAGE(Tabela1[[#This Row],[M]:[M4]]),"")</f>
        <v/>
      </c>
      <c r="BD140" s="21">
        <f>IFERROR(AVERAGE(Tabela1[[#This Row],[C]:[C4]]),"")</f>
        <v>0</v>
      </c>
      <c r="BE140" s="21" t="str">
        <f>IFERROR(AVERAGE(Tabela1[[#This Row],[PA2]:[PA 4]]),"")</f>
        <v/>
      </c>
      <c r="BF140" s="21" t="str">
        <f>IFERROR(AVERAGE(Tabela1[[#This Row],[PL]:[PL4]]),"")</f>
        <v/>
      </c>
      <c r="BG140" s="35" t="str">
        <f>IFERROR(VLOOKUP(Tabela1[[#This Row],[MÊS]]&amp;Tabela1[[#This Row],[MATRICULA]],#REF!,2,0),"")</f>
        <v/>
      </c>
      <c r="BH140" s="35" t="str">
        <f>IFERROR(VLOOKUP(Tabela1[[#This Row],[MÊS]]&amp;Tabela1[[#This Row],[MATRICULA]],#REF!,2,0),"")</f>
        <v/>
      </c>
      <c r="BI140" s="35" t="str">
        <f>IFERROR(VLOOKUP(Tabela1[[#This Row],[MÊS]]&amp;Tabela1[[#This Row],[MATRICULA]],#REF!,2,0),"")</f>
        <v/>
      </c>
      <c r="BJ140" s="35" t="str">
        <f>IFERROR(VLOOKUP(Tabela1[[#This Row],[MÊS]]&amp;Tabela1[[#This Row],[MATRICULA]],#REF!,2,0),"")</f>
        <v/>
      </c>
      <c r="BK140" s="35" t="str">
        <f>IFERROR(VLOOKUP(Tabela1[[#This Row],[MÊS]]&amp;Tabela1[[#This Row],[MATRICULA]],#REF!,2,0),"")</f>
        <v/>
      </c>
      <c r="BL140" s="21">
        <f>COUNTIF(Tabela1[[#This Row],[MOT2]:[RECEPTIVA]],"NÃO ENCONTRADA")</f>
        <v>0</v>
      </c>
      <c r="BM140" s="135" t="str">
        <f>IFERROR(VLOOKUP(Tabela1[[#This Row],[MÊS]]&amp;Tabela1[[#This Row],[ID]]&amp;Tabela1[[#This Row],[MATRICULA]]&amp;"Motorista"&amp;Tabela1[[#This Row],[SETOR]],BD!A:AF,13,0),"")</f>
        <v/>
      </c>
      <c r="BN140" s="135" t="str">
        <f>IFERROR(VLOOKUP(Tabela1[[#This Row],[MÊS]]&amp;Tabela1[[#This Row],[ID]]&amp;Tabela1[[#This Row],[MATRICULA]]&amp;"Motorista 2"&amp;Tabela1[[#This Row],[SETOR]],BD!A:AF,13,0),"")</f>
        <v/>
      </c>
      <c r="BO140" s="135" t="str">
        <f>IFERROR(VLOOKUP(Tabela1[[#This Row],[MÊS]]&amp;Tabela1[[#This Row],[ID]]&amp;Tabela1[[#This Row],[MATRICULA]]&amp;"Motorista 3"&amp;Tabela1[[#This Row],[SETOR]],BD!A:AF,13,0),"")</f>
        <v/>
      </c>
      <c r="BP140" s="135" t="str">
        <f>IFERROR(VLOOKUP(Tabela1[[#This Row],[MÊS]]&amp;Tabela1[[#This Row],[ID]]&amp;Tabela1[[#This Row],[MATRICULA]]&amp;"Motorista 4"&amp;Tabela1[[#This Row],[SETOR]],BD!A:AF,13,0),"")</f>
        <v/>
      </c>
      <c r="BQ140" s="135" t="str">
        <f>IFERROR(AVERAGE(Tabela1[[#This Row],[DMOT]:[DMOT4]]),"")</f>
        <v/>
      </c>
      <c r="BR140" s="135" t="str">
        <f>IFERROR(VLOOKUP(Tabela1[[#This Row],[MÊS]]&amp;Tabela1[[#This Row],[ID]]&amp;Tabela1[[#This Row],[MATRICULA]]&amp;"Ponto de Apoio"&amp;Tabela1[[#This Row],[SETOR]],BD!A:AF,13,0),"")</f>
        <v/>
      </c>
      <c r="BS140" s="135" t="str">
        <f>IFERROR(VLOOKUP(Tabela1[[#This Row],[MÊS]]&amp;Tabela1[[#This Row],[ID]]&amp;Tabela1[[#This Row],[MATRICULA]]&amp;"Ponto de Apoio 2"&amp;Tabela1[[#This Row],[SETOR]],BD!A:AF,13,0),"")</f>
        <v/>
      </c>
      <c r="BT140" s="135" t="str">
        <f>IFERROR(VLOOKUP(Tabela1[[#This Row],[MÊS]]&amp;Tabela1[[#This Row],[ID]]&amp;Tabela1[[#This Row],[MATRICULA]]&amp;"Ponto de Apoio 3"&amp;Tabela1[[#This Row],[SETOR]],BD!A:AF,13,0),"")</f>
        <v/>
      </c>
      <c r="BU140" s="135" t="str">
        <f>IFERROR(VLOOKUP(Tabela1[[#This Row],[MÊS]]&amp;Tabela1[[#This Row],[ID]]&amp;Tabela1[[#This Row],[MATRICULA]]&amp;"Ponto de Apoio 4"&amp;Tabela1[[#This Row],[SETOR]],BD!A:AF,13,0),"")</f>
        <v/>
      </c>
      <c r="BV140" s="135" t="str">
        <f>IFERROR(AVERAGE(Tabela1[[#This Row],[DPA]:[DPA 4]]),"")</f>
        <v/>
      </c>
      <c r="BW140" s="135" t="str">
        <f>IFERROR(VLOOKUP(Tabela1[[#This Row],[MÊS]]&amp;Tabela1[[#This Row],[ID]]&amp;Tabela1[[#This Row],[MATRICULA]]&amp;"Cliente"&amp;Tabela1[[#This Row],[SETOR]],BD!A:AF,13,0),"")</f>
        <v/>
      </c>
      <c r="BX140" s="135" t="str">
        <f>IFERROR(VLOOKUP(Tabela1[[#This Row],[MÊS]]&amp;Tabela1[[#This Row],[ID]]&amp;Tabela1[[#This Row],[MATRICULA]]&amp;"cliente 2"&amp;Tabela1[[#This Row],[SETOR]],BD!A:AF,13,0),"")</f>
        <v/>
      </c>
      <c r="BY140" s="135" t="str">
        <f>IFERROR(VLOOKUP(Tabela1[[#This Row],[MÊS]]&amp;Tabela1[[#This Row],[ID]]&amp;Tabela1[[#This Row],[MATRICULA]]&amp;"cliente 3"&amp;Tabela1[[#This Row],[SETOR]],BD!A:AF,13,0),"")</f>
        <v/>
      </c>
      <c r="BZ140" s="135" t="str">
        <f>IFERROR(VLOOKUP(Tabela1[[#This Row],[MÊS]]&amp;Tabela1[[#This Row],[ID]]&amp;Tabela1[[#This Row],[MATRICULA]]&amp;"cliente 4"&amp;Tabela1[[#This Row],[SETOR]],BD!A:AF,13,0),"")</f>
        <v/>
      </c>
      <c r="CA140" s="135" t="str">
        <f>IFERROR(AVERAGE(Tabela1[[#This Row],[DCLI]:[DCLI 4]]),"")</f>
        <v/>
      </c>
      <c r="CB140" s="135" t="str">
        <f>IFERROR(VLOOKUP(Tabela1[[#This Row],[MÊS]]&amp;Tabela1[[#This Row],[ID]]&amp;Tabela1[[#This Row],[MATRICULA]]&amp;"Policia"&amp;Tabela1[[#This Row],[SETOR]],BD!A:AF,13,0),"")</f>
        <v/>
      </c>
      <c r="CC140" s="135" t="str">
        <f>IFERROR(VLOOKUP(Tabela1[[#This Row],[MÊS]]&amp;Tabela1[[#This Row],[ID]]&amp;Tabela1[[#This Row],[MATRICULA]]&amp;"Policia 2"&amp;Tabela1[[#This Row],[SETOR]],BD!A:AF,13,0),"")</f>
        <v/>
      </c>
      <c r="CD140" s="135"/>
      <c r="CE140" s="135"/>
      <c r="CF140" s="135" t="str">
        <f>IFERROR((AVERAGE(Tabela1[[#This Row],[DPOL1]:[DPOL4]])),"")</f>
        <v/>
      </c>
      <c r="CG140" s="21" t="str">
        <f>IFERROR(VLOOKUP(Tabela1[[#This Row],[ID]]&amp;Tabela1[[#This Row],[MÊS]]&amp;Tabela1[[#This Row],[MATRICULA]],#REF!,2,0),"")</f>
        <v/>
      </c>
      <c r="CH140" s="21" t="str">
        <f>IFERROR(VLOOKUP(Tabela1[[#This Row],[ID]]&amp;Tabela1[[#This Row],[MÊS]]&amp;Tabela1[[#This Row],[MATRICULA]],#REF!,2,0),"")</f>
        <v/>
      </c>
      <c r="CI140" s="21" t="str">
        <f>IFERROR(VLOOKUP(Tabela1[[#This Row],[MÊS]]&amp;Tabela1[[#This Row],[MATRICULA]],#REF!,2,0),"")</f>
        <v/>
      </c>
    </row>
    <row r="141" spans="1:87">
      <c r="A141" s="12" t="str">
        <f>Tabela1[[#This Row],[MÊS]]&amp;Tabela1[[#This Row],[MATRICULA]]&amp;Tabela1[[#This Row],[ID]]</f>
        <v>JAN1125024</v>
      </c>
      <c r="B141" s="12" t="str">
        <f>Tabela1[[#This Row],[MÊS]]&amp;Tabela1[[#This Row],[ID]]&amp;Tabela1[[#This Row],[MATRICULA]]&amp;Tabela1[[#This Row],[SETOR]]</f>
        <v>JAN2411250LOGÍSTICA</v>
      </c>
      <c r="C141" s="130" t="e">
        <f>VLOOKUP(Tabela1[[#This Row],[MATRICULA]],'BD Campos'!A:D,5,0)</f>
        <v>#REF!</v>
      </c>
      <c r="D141" s="133" t="str">
        <f ca="1">IFERROR(SUM(TODAY()-Tabela1[[#This Row],[ADMISSÃO]]),"")</f>
        <v/>
      </c>
      <c r="E141" s="11" t="str">
        <f ca="1">IFERROR(TRUNC(Tabela1[[#This Row],[TEMPO DE CASA (DIAS)]]/30),"")</f>
        <v/>
      </c>
      <c r="F141" s="32" t="str">
        <f ca="1">IFERROR(SUM(Tabela1[[#This Row],[TEMPO DE CASA (MESES)]]/12),"")</f>
        <v/>
      </c>
      <c r="G141" s="133" t="str">
        <f ca="1">IF(Tabela1[[#This Row],[TEMPO DE CASA (DIAS)]]="","SEM DADOS",IF(Tabela1[[#This Row],[TEMPO DE CASA (DIAS)]]&gt;180,"&gt; 6 MESES","&lt; 6 MESES"))</f>
        <v>SEM DADOS</v>
      </c>
      <c r="H141" s="12" t="str">
        <f t="shared" si="12"/>
        <v>JANGeovana Meurer24</v>
      </c>
      <c r="I141" s="12" t="str">
        <f>IFERROR(VLOOKUP(Tabela1[[#This Row],[MATRICULA]],'BD Campos'!A:F,7,0),"")</f>
        <v/>
      </c>
      <c r="J141" s="11">
        <v>24</v>
      </c>
      <c r="K141" s="11" t="s">
        <v>669</v>
      </c>
      <c r="L141" s="136">
        <v>11250</v>
      </c>
      <c r="M141" s="12" t="str">
        <f>IFERROR(VLOOKUP(Tabela1[[#This Row],[MATRICULA]],'BD Campos'!A:B,2,0),"")</f>
        <v>MATHEUS AUGUSTO DE ABREU</v>
      </c>
      <c r="N141" s="20" t="str">
        <f>IFERROR(AVERAGE(Tabela1[[#This Row],[A1]:[A4]]),"")</f>
        <v/>
      </c>
      <c r="O141" s="20">
        <f>IFERROR(IF(Tabela1[[#This Row],[SETOR]]="RECEPTIVO","",AVERAGE(Tabela1[[#This Row],[A5]:[A6]])),"")</f>
        <v>10.000000000000002</v>
      </c>
      <c r="P141" s="20" t="str">
        <f>IFERROR(IF(Tabela1[[#This Row],[STATUS]]="INATIVO","INATIVO",IF(Tabela1[[#This Row],[STATUS]]="QRT","INATIVO",IF(Tabela1[[#This Row],[OPERACIONAL]]&gt;7.99999,"BOM","RUIM"))),"")</f>
        <v>BOM</v>
      </c>
      <c r="Q141" s="21" t="s">
        <v>667</v>
      </c>
      <c r="R141" s="12" t="s">
        <v>315</v>
      </c>
      <c r="S141" s="12" t="s">
        <v>11</v>
      </c>
      <c r="T141" s="12" t="s">
        <v>315</v>
      </c>
      <c r="U14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1" s="12">
        <f>IF(AND(Tabela1[[#This Row],[SETOR]]="UTI",Tabela1[[#This Row],[M]]&lt;&gt;""),1,IF(AND(Tabela1[[#This Row],[SETOR]]="UTI (RJ)",Tabela1[[#This Row],[M]]&lt;&gt;""),1.5,0))</f>
        <v>0</v>
      </c>
      <c r="X141" s="12">
        <f>IF(AND(Tabela1[[#This Row],[SETOR]]="UTI",Tabela1[[#This Row],[PA2]]&lt;&gt;""),1,IF(AND(Tabela1[[#This Row],[SETOR]]="UTI (RJ)",Tabela1[[#This Row],[PA2]]&lt;&gt;""),0,0))</f>
        <v>0</v>
      </c>
      <c r="Y141" s="12">
        <f>IF(AND(Tabela1[[#This Row],[SETOR]]="UTI",Tabela1[[#This Row],[C]]&lt;&gt;""),1,IF(AND(Tabela1[[#This Row],[SETOR]]="UTI (RJ)",Tabela1[[#This Row],[C]]&lt;&gt;""),1.5,0))</f>
        <v>0</v>
      </c>
      <c r="Z141" s="12">
        <f>IF(AND(Tabela1[[#This Row],[SETOR]]="UTI",Tabela1[[#This Row],[PL]]&lt;&gt;""),1,IF(AND(Tabela1[[#This Row],[SETOR]]="UTI (RJ)",Tabela1[[#This Row],[PL]]&lt;&gt;""),1,0))</f>
        <v>0</v>
      </c>
      <c r="AA141" s="21" t="str">
        <f>IFERROR(VLOOKUP(Tabela1[[#This Row],[MÊS]]&amp;Tabela1[[#This Row],[MATRICULA]]&amp;"1"&amp;Tabela1[[#This Row],[SETOR]]&amp;"PADRÃO",BD!B:AF,31,0),"")</f>
        <v/>
      </c>
      <c r="AB141" s="21" t="str">
        <f>IFERROR(VLOOKUP(Tabela1[[#This Row],[MÊS]]&amp;Tabela1[[#This Row],[MATRICULA]]&amp;"2"&amp;Tabela1[[#This Row],[SETOR]]&amp;"PADRÃO",BD!B:AF,31,0),"")</f>
        <v/>
      </c>
      <c r="AC141" s="21" t="str">
        <f>IFERROR(VLOOKUP(Tabela1[[#This Row],[MÊS]]&amp;Tabela1[[#This Row],[MATRICULA]]&amp;"3"&amp;Tabela1[[#This Row],[SETOR]]&amp;"PADRÃO",BD!B:AF,31,0),"")</f>
        <v/>
      </c>
      <c r="AD141" s="21" t="str">
        <f>IFERROR(VLOOKUP(Tabela1[[#This Row],[MÊS]]&amp;Tabela1[[#This Row],[MATRICULA]]&amp;"4"&amp;Tabela1[[#This Row],[SETOR]]&amp;"PADRÃO",BD!B:AF,25,0),"")</f>
        <v/>
      </c>
      <c r="AE141" s="21">
        <f>IFERROR(VLOOKUP(Tabela1[[#This Row],[MÊS]]&amp;Tabela1[[#This Row],[MATRICULA]]&amp;"5"&amp;Tabela1[[#This Row],[SETOR]]&amp;"PADRÃO",BD!B:AF,31,0),"")</f>
        <v>10.000000000000002</v>
      </c>
      <c r="AF141" s="21">
        <f>IFERROR(VLOOKUP(Tabela1[[#This Row],[MÊS]]&amp;Tabela1[[#This Row],[MATRICULA]]&amp;"6"&amp;Tabela1[[#This Row],[SETOR]]&amp;"PADRÃO",BD!B:AF,31,0),"")</f>
        <v>10.000000000000002</v>
      </c>
      <c r="AG141" s="21" t="str">
        <f>IFERROR(VLOOKUP(Tabela1[[#This Row],[MÊS]]&amp;Tabela1[[#This Row],[MATRICULA]]&amp;"7"&amp;Tabela1[[#This Row],[SETOR]]&amp;"PADRÃO",BD!B:AF,31,0),"")</f>
        <v/>
      </c>
      <c r="AH141" s="21" t="str">
        <f>IFERROR(VLOOKUP(Tabela1[[#This Row],[MÊS]]&amp;Tabela1[[#This Row],[ID]]&amp;Tabela1[[#This Row],[MATRICULA]]&amp;"Receptiva"&amp;Tabela1[[#This Row],[SETOR]],BD!A:AF,31,0),"")</f>
        <v/>
      </c>
      <c r="AI141" s="21" t="str">
        <f>IFERROR(VLOOKUP(Tabela1[[#This Row],[MÊS]]&amp;Tabela1[[#This Row],[ID]]&amp;Tabela1[[#This Row],[MATRICULA]]&amp;"Receptiva 2"&amp;Tabela1[[#This Row],[SETOR]],BD!A:AF,31,0),"")</f>
        <v/>
      </c>
      <c r="AJ141" s="21" t="str">
        <f>IFERROR(VLOOKUP(Tabela1[[#This Row],[MÊS]]&amp;Tabela1[[#This Row],[ID]]&amp;Tabela1[[#This Row],[MATRICULA]]&amp;"Receptiva 3"&amp;Tabela1[[#This Row],[SETOR]],BD!A:AF,31,0),"")</f>
        <v/>
      </c>
      <c r="AK141" s="21" t="str">
        <f>IFERROR(VLOOKUP(Tabela1[[#This Row],[MÊS]]&amp;Tabela1[[#This Row],[ID]]&amp;Tabela1[[#This Row],[MATRICULA]]&amp;"Receptiva 4"&amp;Tabela1[[#This Row],[SETOR]],BD!A:AF,31,0),"")</f>
        <v/>
      </c>
      <c r="AL141" s="21" t="str">
        <f>IFERROR(VLOOKUP(Tabela1[[#This Row],[MÊS]]&amp;Tabela1[[#This Row],[MATRICULA]]&amp;"Motorista"&amp;Tabela1[[#This Row],[SETOR]],BD!A:AF,31,0),"")</f>
        <v/>
      </c>
      <c r="AM141" s="21" t="str">
        <f>IFERROR(VLOOKUP(Tabela1[[#This Row],[MÊS]]&amp;Tabela1[[#This Row],[ID]]&amp;Tabela1[[#This Row],[MATRICULA]]&amp;"Motorista 2"&amp;Tabela1[[#This Row],[SETOR]],BD!A:AF,26,0),"")</f>
        <v/>
      </c>
      <c r="AN141" s="21" t="str">
        <f>IFERROR(VLOOKUP(Tabela1[[#This Row],[MÊS]]&amp;Tabela1[[#This Row],[ID]]&amp;Tabela1[[#This Row],[MATRICULA]]&amp;"Motorista 3"&amp;Tabela1[[#This Row],[SETOR]],BD!A:AF,26,0),"")</f>
        <v/>
      </c>
      <c r="AO141" s="21" t="str">
        <f>IFERROR(VLOOKUP(Tabela1[[#This Row],[MÊS]]&amp;Tabela1[[#This Row],[ID]]&amp;Tabela1[[#This Row],[MATRICULA]]&amp;"Motorista 4"&amp;Tabela1[[#This Row],[SETOR]],BD!A:AF,26,0),"")</f>
        <v/>
      </c>
      <c r="AP141" s="21" t="str">
        <f>IFERROR(VLOOKUP(Tabela1[[#This Row],[MÊS]]&amp;Tabela1[[#This Row],[MATRICULA]]&amp;"Ponto de Apoio"&amp;Tabela1[[#This Row],[SETOR]],BD!A:AF,31,0),"")</f>
        <v/>
      </c>
      <c r="AQ141" s="21" t="str">
        <f>IFERROR(VLOOKUP(Tabela1[[#This Row],[MÊS]]&amp;Tabela1[[#This Row],[ID]]&amp;Tabela1[[#This Row],[MATRICULA]]&amp;"Ponto de Apoio 2"&amp;Tabela1[[#This Row],[SETOR]],BD!A:AF,26,0),"")</f>
        <v/>
      </c>
      <c r="AR141" s="36" t="str">
        <f>IFERROR(VLOOKUP(Tabela1[[#This Row],[MÊS]]&amp;Tabela1[[#This Row],[ID]]&amp;Tabela1[[#This Row],[MATRICULA]]&amp;"Ponto de Apoio 3"&amp;Tabela1[[#This Row],[SETOR]],BD!A:AF,26,0),"")</f>
        <v/>
      </c>
      <c r="AS141" s="36" t="str">
        <f>IFERROR(VLOOKUP(Tabela1[[#This Row],[MÊS]]&amp;Tabela1[[#This Row],[ID]]&amp;Tabela1[[#This Row],[MATRICULA]]&amp;"Ponto de Apoio 4"&amp;Tabela1[[#This Row],[SETOR]],BD!A:AF,26,0),"")</f>
        <v/>
      </c>
      <c r="AT141" s="21" t="str">
        <f>IFERROR(VLOOKUP(Tabela1[[#This Row],[MÊS]]&amp;Tabela1[[#This Row],[MATRICULA]]&amp;"Cliente"&amp;Tabela1[[#This Row],[SETOR]],BD!A:AF,31,0),"")</f>
        <v/>
      </c>
      <c r="AU141" s="21" t="str">
        <f>IFERROR(VLOOKUP(Tabela1[[#This Row],[MÊS]]&amp;Tabela1[[#This Row],[ID]]&amp;Tabela1[[#This Row],[MATRICULA]]&amp;"Cliente 2"&amp;Tabela1[[#This Row],[SETOR]],BD!A:AF,26,0),"")</f>
        <v/>
      </c>
      <c r="AX141" s="21" t="str">
        <f>IFERROR(VLOOKUP(Tabela1[[#This Row],[MÊS]]&amp;Tabela1[[#This Row],[MATRICULA]]&amp;"Policia"&amp;Tabela1[[#This Row],[SETOR]],BD!A:AF,31,0),"")</f>
        <v/>
      </c>
      <c r="AY141" s="21" t="str">
        <f>IFERROR(VLOOKUP(Tabela1[[#This Row],[MÊS]]&amp;Tabela1[[#This Row],[ID]]&amp;Tabela1[[#This Row],[MATRICULA]]&amp;"Policia 2"&amp;Tabela1[[#This Row],[SETOR]],BD!A:AF,26,0),"")</f>
        <v/>
      </c>
      <c r="AZ141" s="36" t="str">
        <f>IFERROR(VLOOKUP(Tabela1[[#This Row],[MÊS]]&amp;Tabela1[[#This Row],[ID]]&amp;Tabela1[[#This Row],[MATRICULA]]&amp;"Policia 3"&amp;Tabela1[[#This Row],[SETOR]],BD!A:AF,26,0),"")</f>
        <v/>
      </c>
      <c r="BA141" s="36" t="str">
        <f>IFERROR(VLOOKUP(Tabela1[[#This Row],[MÊS]]&amp;Tabela1[[#This Row],[ID]]&amp;Tabela1[[#This Row],[MATRICULA]]&amp;"Policia 4"&amp;Tabela1[[#This Row],[SETOR]],BD!A:AF,26,0),"")</f>
        <v/>
      </c>
      <c r="BB14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1" s="21" t="str">
        <f>IFERROR(AVERAGE(Tabela1[[#This Row],[M]:[M4]]),"")</f>
        <v/>
      </c>
      <c r="BD141" s="21" t="str">
        <f>IFERROR(AVERAGE(Tabela1[[#This Row],[C]:[C4]]),"")</f>
        <v/>
      </c>
      <c r="BE141" s="21" t="str">
        <f>IFERROR(AVERAGE(Tabela1[[#This Row],[PA2]:[PA 4]]),"")</f>
        <v/>
      </c>
      <c r="BF141" s="21" t="str">
        <f>IFERROR(AVERAGE(Tabela1[[#This Row],[PL]:[PL4]]),"")</f>
        <v/>
      </c>
      <c r="BG141" s="35" t="str">
        <f>IFERROR(VLOOKUP(Tabela1[[#This Row],[MÊS]]&amp;Tabela1[[#This Row],[MATRICULA]],#REF!,2,0),"")</f>
        <v/>
      </c>
      <c r="BH141" s="35" t="str">
        <f>IFERROR(VLOOKUP(Tabela1[[#This Row],[MÊS]]&amp;Tabela1[[#This Row],[MATRICULA]],#REF!,2,0),"")</f>
        <v/>
      </c>
      <c r="BI141" s="35" t="str">
        <f>IFERROR(VLOOKUP(Tabela1[[#This Row],[MÊS]]&amp;Tabela1[[#This Row],[MATRICULA]],#REF!,2,0),"")</f>
        <v/>
      </c>
      <c r="BJ141" s="35" t="str">
        <f>IFERROR(VLOOKUP(Tabela1[[#This Row],[MÊS]]&amp;Tabela1[[#This Row],[MATRICULA]],#REF!,2,0),"")</f>
        <v/>
      </c>
      <c r="BK141" s="35" t="str">
        <f>IFERROR(VLOOKUP(Tabela1[[#This Row],[MÊS]]&amp;Tabela1[[#This Row],[MATRICULA]],#REF!,2,0),"")</f>
        <v/>
      </c>
      <c r="BL141" s="21">
        <f>COUNTIF(Tabela1[[#This Row],[MOT2]:[RECEPTIVA]],"NÃO ENCONTRADA")</f>
        <v>0</v>
      </c>
      <c r="BM141" s="135" t="str">
        <f>IFERROR(VLOOKUP(Tabela1[[#This Row],[MÊS]]&amp;Tabela1[[#This Row],[ID]]&amp;Tabela1[[#This Row],[MATRICULA]]&amp;"Motorista"&amp;Tabela1[[#This Row],[SETOR]],BD!A:AF,13,0),"")</f>
        <v/>
      </c>
      <c r="BN141" s="135" t="str">
        <f>IFERROR(VLOOKUP(Tabela1[[#This Row],[MÊS]]&amp;Tabela1[[#This Row],[ID]]&amp;Tabela1[[#This Row],[MATRICULA]]&amp;"Motorista 2"&amp;Tabela1[[#This Row],[SETOR]],BD!A:AF,13,0),"")</f>
        <v/>
      </c>
      <c r="BO141" s="135" t="str">
        <f>IFERROR(VLOOKUP(Tabela1[[#This Row],[MÊS]]&amp;Tabela1[[#This Row],[ID]]&amp;Tabela1[[#This Row],[MATRICULA]]&amp;"Motorista 3"&amp;Tabela1[[#This Row],[SETOR]],BD!A:AF,13,0),"")</f>
        <v/>
      </c>
      <c r="BP141" s="135" t="str">
        <f>IFERROR(VLOOKUP(Tabela1[[#This Row],[MÊS]]&amp;Tabela1[[#This Row],[ID]]&amp;Tabela1[[#This Row],[MATRICULA]]&amp;"Motorista 4"&amp;Tabela1[[#This Row],[SETOR]],BD!A:AF,13,0),"")</f>
        <v/>
      </c>
      <c r="BQ141" s="135" t="str">
        <f>IFERROR(AVERAGE(Tabela1[[#This Row],[DMOT]:[DMOT4]]),"")</f>
        <v/>
      </c>
      <c r="BR141" s="135" t="str">
        <f>IFERROR(VLOOKUP(Tabela1[[#This Row],[MÊS]]&amp;Tabela1[[#This Row],[ID]]&amp;Tabela1[[#This Row],[MATRICULA]]&amp;"Ponto de Apoio"&amp;Tabela1[[#This Row],[SETOR]],BD!A:AF,13,0),"")</f>
        <v/>
      </c>
      <c r="BS141" s="135" t="str">
        <f>IFERROR(VLOOKUP(Tabela1[[#This Row],[MÊS]]&amp;Tabela1[[#This Row],[ID]]&amp;Tabela1[[#This Row],[MATRICULA]]&amp;"Ponto de Apoio 2"&amp;Tabela1[[#This Row],[SETOR]],BD!A:AF,13,0),"")</f>
        <v/>
      </c>
      <c r="BT141" s="135" t="str">
        <f>IFERROR(VLOOKUP(Tabela1[[#This Row],[MÊS]]&amp;Tabela1[[#This Row],[ID]]&amp;Tabela1[[#This Row],[MATRICULA]]&amp;"Ponto de Apoio 3"&amp;Tabela1[[#This Row],[SETOR]],BD!A:AF,13,0),"")</f>
        <v/>
      </c>
      <c r="BU141" s="135" t="str">
        <f>IFERROR(VLOOKUP(Tabela1[[#This Row],[MÊS]]&amp;Tabela1[[#This Row],[ID]]&amp;Tabela1[[#This Row],[MATRICULA]]&amp;"Ponto de Apoio 4"&amp;Tabela1[[#This Row],[SETOR]],BD!A:AF,13,0),"")</f>
        <v/>
      </c>
      <c r="BV141" s="135" t="str">
        <f>IFERROR(AVERAGE(Tabela1[[#This Row],[DPA]:[DPA 4]]),"")</f>
        <v/>
      </c>
      <c r="BW141" s="135" t="str">
        <f>IFERROR(VLOOKUP(Tabela1[[#This Row],[MÊS]]&amp;Tabela1[[#This Row],[ID]]&amp;Tabela1[[#This Row],[MATRICULA]]&amp;"Cliente"&amp;Tabela1[[#This Row],[SETOR]],BD!A:AF,13,0),"")</f>
        <v/>
      </c>
      <c r="BX141" s="135" t="str">
        <f>IFERROR(VLOOKUP(Tabela1[[#This Row],[MÊS]]&amp;Tabela1[[#This Row],[ID]]&amp;Tabela1[[#This Row],[MATRICULA]]&amp;"cliente 2"&amp;Tabela1[[#This Row],[SETOR]],BD!A:AF,13,0),"")</f>
        <v/>
      </c>
      <c r="BY141" s="135" t="str">
        <f>IFERROR(VLOOKUP(Tabela1[[#This Row],[MÊS]]&amp;Tabela1[[#This Row],[ID]]&amp;Tabela1[[#This Row],[MATRICULA]]&amp;"cliente 3"&amp;Tabela1[[#This Row],[SETOR]],BD!A:AF,13,0),"")</f>
        <v/>
      </c>
      <c r="BZ141" s="135" t="str">
        <f>IFERROR(VLOOKUP(Tabela1[[#This Row],[MÊS]]&amp;Tabela1[[#This Row],[ID]]&amp;Tabela1[[#This Row],[MATRICULA]]&amp;"cliente 4"&amp;Tabela1[[#This Row],[SETOR]],BD!A:AF,13,0),"")</f>
        <v/>
      </c>
      <c r="CA141" s="135" t="str">
        <f>IFERROR(AVERAGE(Tabela1[[#This Row],[DCLI]:[DCLI 4]]),"")</f>
        <v/>
      </c>
      <c r="CB141" s="135" t="str">
        <f>IFERROR(VLOOKUP(Tabela1[[#This Row],[MÊS]]&amp;Tabela1[[#This Row],[ID]]&amp;Tabela1[[#This Row],[MATRICULA]]&amp;"Policia"&amp;Tabela1[[#This Row],[SETOR]],BD!A:AF,13,0),"")</f>
        <v/>
      </c>
      <c r="CC141" s="135" t="str">
        <f>IFERROR(VLOOKUP(Tabela1[[#This Row],[MÊS]]&amp;Tabela1[[#This Row],[ID]]&amp;Tabela1[[#This Row],[MATRICULA]]&amp;"Policia 2"&amp;Tabela1[[#This Row],[SETOR]],BD!A:AF,13,0),"")</f>
        <v/>
      </c>
      <c r="CD141" s="135"/>
      <c r="CE141" s="135"/>
      <c r="CF141" s="135" t="str">
        <f>IFERROR((AVERAGE(Tabela1[[#This Row],[DPOL1]:[DPOL4]])),"")</f>
        <v/>
      </c>
      <c r="CG141" s="21" t="str">
        <f>IFERROR(VLOOKUP(Tabela1[[#This Row],[ID]]&amp;Tabela1[[#This Row],[MÊS]]&amp;Tabela1[[#This Row],[MATRICULA]],#REF!,2,0),"")</f>
        <v/>
      </c>
      <c r="CH141" s="21" t="str">
        <f>IFERROR(VLOOKUP(Tabela1[[#This Row],[ID]]&amp;Tabela1[[#This Row],[MÊS]]&amp;Tabela1[[#This Row],[MATRICULA]],#REF!,2,0),"")</f>
        <v/>
      </c>
      <c r="CI141" s="21" t="str">
        <f>IFERROR(VLOOKUP(Tabela1[[#This Row],[MÊS]]&amp;Tabela1[[#This Row],[MATRICULA]],#REF!,2,0),"")</f>
        <v/>
      </c>
    </row>
    <row r="142" spans="1:87">
      <c r="A142" s="12" t="str">
        <f>Tabela1[[#This Row],[MÊS]]&amp;Tabela1[[#This Row],[MATRICULA]]&amp;Tabela1[[#This Row],[ID]]</f>
        <v>JAN115031</v>
      </c>
      <c r="B142" s="12" t="str">
        <f>Tabela1[[#This Row],[MÊS]]&amp;Tabela1[[#This Row],[ID]]&amp;Tabela1[[#This Row],[MATRICULA]]&amp;Tabela1[[#This Row],[SETOR]]</f>
        <v>JAN111503LOGÍSTICA</v>
      </c>
      <c r="C142" s="130" t="e">
        <f>VLOOKUP(Tabela1[[#This Row],[MATRICULA]],'BD Campos'!A:D,5,0)</f>
        <v>#REF!</v>
      </c>
      <c r="D142" s="133" t="str">
        <f ca="1">IFERROR(SUM(TODAY()-Tabela1[[#This Row],[ADMISSÃO]]),"")</f>
        <v/>
      </c>
      <c r="E142" s="11" t="str">
        <f ca="1">IFERROR(TRUNC(Tabela1[[#This Row],[TEMPO DE CASA (DIAS)]]/30),"")</f>
        <v/>
      </c>
      <c r="F142" s="32" t="str">
        <f ca="1">IFERROR(SUM(Tabela1[[#This Row],[TEMPO DE CASA (MESES)]]/12),"")</f>
        <v/>
      </c>
      <c r="G142" s="133" t="str">
        <f ca="1">IF(Tabela1[[#This Row],[TEMPO DE CASA (DIAS)]]="","SEM DADOS",IF(Tabela1[[#This Row],[TEMPO DE CASA (DIAS)]]&gt;180,"&gt; 6 MESES","&lt; 6 MESES"))</f>
        <v>SEM DADOS</v>
      </c>
      <c r="H142" s="12" t="str">
        <f t="shared" ref="H142:H155" si="13">K142&amp;S142&amp;J142</f>
        <v>JANRichard Marques1</v>
      </c>
      <c r="I142" s="12" t="str">
        <f>IFERROR(VLOOKUP(Tabela1[[#This Row],[MATRICULA]],'BD Campos'!A:F,7,0),"")</f>
        <v/>
      </c>
      <c r="J142" s="11">
        <v>1</v>
      </c>
      <c r="K142" s="11" t="s">
        <v>669</v>
      </c>
      <c r="L142" s="136">
        <v>11503</v>
      </c>
      <c r="M142" s="12" t="str">
        <f>IFERROR(VLOOKUP(Tabela1[[#This Row],[MATRICULA]],'BD Campos'!A:B,2,0),"")</f>
        <v>LUIS FELIPE RODRIGUES SANTOS</v>
      </c>
      <c r="N142" s="20">
        <f>IFERROR(AVERAGE(Tabela1[[#This Row],[A1]:[A4]]),"")</f>
        <v>8.8975000000000009</v>
      </c>
      <c r="O142" s="20" t="str">
        <f>IFERROR(IF(Tabela1[[#This Row],[SETOR]]="RECEPTIVO","",AVERAGE(Tabela1[[#This Row],[A5]:[A6]])),"")</f>
        <v/>
      </c>
      <c r="P142" s="20" t="str">
        <f>IFERROR(IF(Tabela1[[#This Row],[STATUS]]="INATIVO","INATIVO",IF(Tabela1[[#This Row],[STATUS]]="QRT","INATIVO",IF(Tabela1[[#This Row],[OPERACIONAL]]&gt;7.99999,"BOM","RUIM"))),"")</f>
        <v>BOM</v>
      </c>
      <c r="Q142" s="21" t="s">
        <v>667</v>
      </c>
      <c r="R142" s="12" t="s">
        <v>315</v>
      </c>
      <c r="S142" s="12" t="s">
        <v>704</v>
      </c>
      <c r="T142" s="12" t="s">
        <v>315</v>
      </c>
      <c r="U14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2" s="12">
        <f>IF(AND(Tabela1[[#This Row],[SETOR]]="UTI",Tabela1[[#This Row],[M]]&lt;&gt;""),1,IF(AND(Tabela1[[#This Row],[SETOR]]="UTI (RJ)",Tabela1[[#This Row],[M]]&lt;&gt;""),1.5,0))</f>
        <v>0</v>
      </c>
      <c r="X142" s="12">
        <f>IF(AND(Tabela1[[#This Row],[SETOR]]="UTI",Tabela1[[#This Row],[PA2]]&lt;&gt;""),1,IF(AND(Tabela1[[#This Row],[SETOR]]="UTI (RJ)",Tabela1[[#This Row],[PA2]]&lt;&gt;""),0,0))</f>
        <v>0</v>
      </c>
      <c r="Y142" s="12">
        <f>IF(AND(Tabela1[[#This Row],[SETOR]]="UTI",Tabela1[[#This Row],[C]]&lt;&gt;""),1,IF(AND(Tabela1[[#This Row],[SETOR]]="UTI (RJ)",Tabela1[[#This Row],[C]]&lt;&gt;""),1.5,0))</f>
        <v>0</v>
      </c>
      <c r="Z142" s="12">
        <f>IF(AND(Tabela1[[#This Row],[SETOR]]="UTI",Tabela1[[#This Row],[PL]]&lt;&gt;""),1,IF(AND(Tabela1[[#This Row],[SETOR]]="UTI (RJ)",Tabela1[[#This Row],[PL]]&lt;&gt;""),1,0))</f>
        <v>0</v>
      </c>
      <c r="AA142" s="21">
        <f>IFERROR(VLOOKUP(Tabela1[[#This Row],[MÊS]]&amp;Tabela1[[#This Row],[MATRICULA]]&amp;"1"&amp;Tabela1[[#This Row],[SETOR]]&amp;"PADRÃO",BD!B:AF,31,0),"")</f>
        <v>8.11</v>
      </c>
      <c r="AB142" s="21">
        <f>IFERROR(VLOOKUP(Tabela1[[#This Row],[MÊS]]&amp;Tabela1[[#This Row],[MATRICULA]]&amp;"2"&amp;Tabela1[[#This Row],[SETOR]]&amp;"PADRÃO",BD!B:AF,31,0),"")</f>
        <v>9.6850000000000005</v>
      </c>
      <c r="AC142" s="21" t="str">
        <f>IFERROR(VLOOKUP(Tabela1[[#This Row],[MÊS]]&amp;Tabela1[[#This Row],[MATRICULA]]&amp;"3"&amp;Tabela1[[#This Row],[SETOR]]&amp;"PADRÃO",BD!B:AF,31,0),"")</f>
        <v/>
      </c>
      <c r="AD142" s="21" t="str">
        <f>IFERROR(VLOOKUP(Tabela1[[#This Row],[MÊS]]&amp;Tabela1[[#This Row],[MATRICULA]]&amp;"4"&amp;Tabela1[[#This Row],[SETOR]]&amp;"PADRÃO",BD!B:AF,25,0),"")</f>
        <v/>
      </c>
      <c r="AE142" s="21" t="str">
        <f>IFERROR(VLOOKUP(Tabela1[[#This Row],[MÊS]]&amp;Tabela1[[#This Row],[MATRICULA]]&amp;"5"&amp;Tabela1[[#This Row],[SETOR]]&amp;"PADRÃO",BD!B:AF,31,0),"")</f>
        <v/>
      </c>
      <c r="AF142" s="21" t="str">
        <f>IFERROR(VLOOKUP(Tabela1[[#This Row],[MÊS]]&amp;Tabela1[[#This Row],[MATRICULA]]&amp;"6"&amp;Tabela1[[#This Row],[SETOR]]&amp;"PADRÃO",BD!B:AF,31,0),"")</f>
        <v/>
      </c>
      <c r="AG142" s="21" t="str">
        <f>IFERROR(VLOOKUP(Tabela1[[#This Row],[MÊS]]&amp;Tabela1[[#This Row],[MATRICULA]]&amp;"7"&amp;Tabela1[[#This Row],[SETOR]]&amp;"PADRÃO",BD!B:AF,31,0),"")</f>
        <v/>
      </c>
      <c r="AH142" s="21" t="str">
        <f>IFERROR(VLOOKUP(Tabela1[[#This Row],[MÊS]]&amp;Tabela1[[#This Row],[ID]]&amp;Tabela1[[#This Row],[MATRICULA]]&amp;"Receptiva"&amp;Tabela1[[#This Row],[SETOR]],BD!A:AF,31,0),"")</f>
        <v/>
      </c>
      <c r="AI142" s="21" t="str">
        <f>IFERROR(VLOOKUP(Tabela1[[#This Row],[MÊS]]&amp;Tabela1[[#This Row],[ID]]&amp;Tabela1[[#This Row],[MATRICULA]]&amp;"Receptiva 2"&amp;Tabela1[[#This Row],[SETOR]],BD!A:AF,31,0),"")</f>
        <v/>
      </c>
      <c r="AJ142" s="21" t="str">
        <f>IFERROR(VLOOKUP(Tabela1[[#This Row],[MÊS]]&amp;Tabela1[[#This Row],[ID]]&amp;Tabela1[[#This Row],[MATRICULA]]&amp;"Receptiva 3"&amp;Tabela1[[#This Row],[SETOR]],BD!A:AF,31,0),"")</f>
        <v/>
      </c>
      <c r="AK142" s="21" t="str">
        <f>IFERROR(VLOOKUP(Tabela1[[#This Row],[MÊS]]&amp;Tabela1[[#This Row],[ID]]&amp;Tabela1[[#This Row],[MATRICULA]]&amp;"Receptiva 4"&amp;Tabela1[[#This Row],[SETOR]],BD!A:AF,31,0),"")</f>
        <v/>
      </c>
      <c r="AL142" s="21">
        <f>IFERROR(VLOOKUP(Tabela1[[#This Row],[MÊS]]&amp;Tabela1[[#This Row],[MATRICULA]]&amp;"Motorista"&amp;Tabela1[[#This Row],[SETOR]],BD!A:AF,31,0),"")</f>
        <v>0</v>
      </c>
      <c r="AM142" s="21" t="str">
        <f>IFERROR(VLOOKUP(Tabela1[[#This Row],[MÊS]]&amp;Tabela1[[#This Row],[ID]]&amp;Tabela1[[#This Row],[MATRICULA]]&amp;"Motorista 2"&amp;Tabela1[[#This Row],[SETOR]],BD!A:AF,26,0),"")</f>
        <v/>
      </c>
      <c r="AN142" s="21" t="str">
        <f>IFERROR(VLOOKUP(Tabela1[[#This Row],[MÊS]]&amp;Tabela1[[#This Row],[ID]]&amp;Tabela1[[#This Row],[MATRICULA]]&amp;"Motorista 3"&amp;Tabela1[[#This Row],[SETOR]],BD!A:AF,26,0),"")</f>
        <v/>
      </c>
      <c r="AO142" s="21" t="str">
        <f>IFERROR(VLOOKUP(Tabela1[[#This Row],[MÊS]]&amp;Tabela1[[#This Row],[ID]]&amp;Tabela1[[#This Row],[MATRICULA]]&amp;"Motorista 4"&amp;Tabela1[[#This Row],[SETOR]],BD!A:AF,26,0),"")</f>
        <v/>
      </c>
      <c r="AP142" s="21" t="str">
        <f>IFERROR(VLOOKUP(Tabela1[[#This Row],[MÊS]]&amp;Tabela1[[#This Row],[MATRICULA]]&amp;"Ponto de Apoio"&amp;Tabela1[[#This Row],[SETOR]],BD!A:AF,31,0),"")</f>
        <v/>
      </c>
      <c r="AQ142" s="21" t="str">
        <f>IFERROR(VLOOKUP(Tabela1[[#This Row],[MÊS]]&amp;Tabela1[[#This Row],[ID]]&amp;Tabela1[[#This Row],[MATRICULA]]&amp;"Ponto de Apoio 2"&amp;Tabela1[[#This Row],[SETOR]],BD!A:AF,26,0),"")</f>
        <v/>
      </c>
      <c r="AR142" s="36" t="str">
        <f>IFERROR(VLOOKUP(Tabela1[[#This Row],[MÊS]]&amp;Tabela1[[#This Row],[ID]]&amp;Tabela1[[#This Row],[MATRICULA]]&amp;"Ponto de Apoio 3"&amp;Tabela1[[#This Row],[SETOR]],BD!A:AF,26,0),"")</f>
        <v/>
      </c>
      <c r="AS142" s="36" t="str">
        <f>IFERROR(VLOOKUP(Tabela1[[#This Row],[MÊS]]&amp;Tabela1[[#This Row],[ID]]&amp;Tabela1[[#This Row],[MATRICULA]]&amp;"Ponto de Apoio 4"&amp;Tabela1[[#This Row],[SETOR]],BD!A:AF,26,0),"")</f>
        <v/>
      </c>
      <c r="AT142" s="21">
        <f>IFERROR(VLOOKUP(Tabela1[[#This Row],[MÊS]]&amp;Tabela1[[#This Row],[MATRICULA]]&amp;"Cliente"&amp;Tabela1[[#This Row],[SETOR]],BD!A:AF,31,0),"")</f>
        <v>0</v>
      </c>
      <c r="AU142" s="21" t="str">
        <f>IFERROR(VLOOKUP(Tabela1[[#This Row],[MÊS]]&amp;Tabela1[[#This Row],[ID]]&amp;Tabela1[[#This Row],[MATRICULA]]&amp;"Cliente 2"&amp;Tabela1[[#This Row],[SETOR]],BD!A:AF,26,0),"")</f>
        <v/>
      </c>
      <c r="AX142" s="21" t="str">
        <f>IFERROR(VLOOKUP(Tabela1[[#This Row],[MÊS]]&amp;Tabela1[[#This Row],[MATRICULA]]&amp;"Policia"&amp;Tabela1[[#This Row],[SETOR]],BD!A:AF,31,0),"")</f>
        <v/>
      </c>
      <c r="AY142" s="21" t="str">
        <f>IFERROR(VLOOKUP(Tabela1[[#This Row],[MÊS]]&amp;Tabela1[[#This Row],[ID]]&amp;Tabela1[[#This Row],[MATRICULA]]&amp;"Policia 2"&amp;Tabela1[[#This Row],[SETOR]],BD!A:AF,26,0),"")</f>
        <v/>
      </c>
      <c r="AZ142" s="36" t="str">
        <f>IFERROR(VLOOKUP(Tabela1[[#This Row],[MÊS]]&amp;Tabela1[[#This Row],[ID]]&amp;Tabela1[[#This Row],[MATRICULA]]&amp;"Policia 3"&amp;Tabela1[[#This Row],[SETOR]],BD!A:AF,26,0),"")</f>
        <v/>
      </c>
      <c r="BA142" s="36" t="str">
        <f>IFERROR(VLOOKUP(Tabela1[[#This Row],[MÊS]]&amp;Tabela1[[#This Row],[ID]]&amp;Tabela1[[#This Row],[MATRICULA]]&amp;"Policia 4"&amp;Tabela1[[#This Row],[SETOR]],BD!A:AF,26,0),"")</f>
        <v/>
      </c>
      <c r="BB14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2" s="21">
        <f>IFERROR(AVERAGE(Tabela1[[#This Row],[M]:[M4]]),"")</f>
        <v>0</v>
      </c>
      <c r="BD142" s="21">
        <f>IFERROR(AVERAGE(Tabela1[[#This Row],[C]:[C4]]),"")</f>
        <v>0</v>
      </c>
      <c r="BE142" s="21" t="str">
        <f>IFERROR(AVERAGE(Tabela1[[#This Row],[PA2]:[PA 4]]),"")</f>
        <v/>
      </c>
      <c r="BF142" s="21" t="str">
        <f>IFERROR(AVERAGE(Tabela1[[#This Row],[PL]:[PL4]]),"")</f>
        <v/>
      </c>
      <c r="BG142" s="35" t="str">
        <f>IFERROR(VLOOKUP(Tabela1[[#This Row],[MÊS]]&amp;Tabela1[[#This Row],[MATRICULA]],#REF!,2,0),"")</f>
        <v/>
      </c>
      <c r="BH142" s="35" t="str">
        <f>IFERROR(VLOOKUP(Tabela1[[#This Row],[MÊS]]&amp;Tabela1[[#This Row],[MATRICULA]],#REF!,2,0),"")</f>
        <v/>
      </c>
      <c r="BI142" s="35" t="str">
        <f>IFERROR(VLOOKUP(Tabela1[[#This Row],[MÊS]]&amp;Tabela1[[#This Row],[MATRICULA]],#REF!,2,0),"")</f>
        <v/>
      </c>
      <c r="BJ142" s="35" t="str">
        <f>IFERROR(VLOOKUP(Tabela1[[#This Row],[MÊS]]&amp;Tabela1[[#This Row],[MATRICULA]],#REF!,2,0),"")</f>
        <v/>
      </c>
      <c r="BK142" s="35" t="str">
        <f>IFERROR(VLOOKUP(Tabela1[[#This Row],[MÊS]]&amp;Tabela1[[#This Row],[MATRICULA]],#REF!,2,0),"")</f>
        <v/>
      </c>
      <c r="BL142" s="21">
        <f>COUNTIF(Tabela1[[#This Row],[MOT2]:[RECEPTIVA]],"NÃO ENCONTRADA")</f>
        <v>0</v>
      </c>
      <c r="BM142" s="135" t="str">
        <f>IFERROR(VLOOKUP(Tabela1[[#This Row],[MÊS]]&amp;Tabela1[[#This Row],[ID]]&amp;Tabela1[[#This Row],[MATRICULA]]&amp;"Motorista"&amp;Tabela1[[#This Row],[SETOR]],BD!A:AF,13,0),"")</f>
        <v/>
      </c>
      <c r="BN142" s="135" t="str">
        <f>IFERROR(VLOOKUP(Tabela1[[#This Row],[MÊS]]&amp;Tabela1[[#This Row],[ID]]&amp;Tabela1[[#This Row],[MATRICULA]]&amp;"Motorista 2"&amp;Tabela1[[#This Row],[SETOR]],BD!A:AF,13,0),"")</f>
        <v/>
      </c>
      <c r="BO142" s="135" t="str">
        <f>IFERROR(VLOOKUP(Tabela1[[#This Row],[MÊS]]&amp;Tabela1[[#This Row],[ID]]&amp;Tabela1[[#This Row],[MATRICULA]]&amp;"Motorista 3"&amp;Tabela1[[#This Row],[SETOR]],BD!A:AF,13,0),"")</f>
        <v/>
      </c>
      <c r="BP142" s="135" t="str">
        <f>IFERROR(VLOOKUP(Tabela1[[#This Row],[MÊS]]&amp;Tabela1[[#This Row],[ID]]&amp;Tabela1[[#This Row],[MATRICULA]]&amp;"Motorista 4"&amp;Tabela1[[#This Row],[SETOR]],BD!A:AF,13,0),"")</f>
        <v/>
      </c>
      <c r="BQ142" s="135" t="str">
        <f>IFERROR(AVERAGE(Tabela1[[#This Row],[DMOT]:[DMOT4]]),"")</f>
        <v/>
      </c>
      <c r="BR142" s="135" t="str">
        <f>IFERROR(VLOOKUP(Tabela1[[#This Row],[MÊS]]&amp;Tabela1[[#This Row],[ID]]&amp;Tabela1[[#This Row],[MATRICULA]]&amp;"Ponto de Apoio"&amp;Tabela1[[#This Row],[SETOR]],BD!A:AF,13,0),"")</f>
        <v/>
      </c>
      <c r="BS142" s="135" t="str">
        <f>IFERROR(VLOOKUP(Tabela1[[#This Row],[MÊS]]&amp;Tabela1[[#This Row],[ID]]&amp;Tabela1[[#This Row],[MATRICULA]]&amp;"Ponto de Apoio 2"&amp;Tabela1[[#This Row],[SETOR]],BD!A:AF,13,0),"")</f>
        <v/>
      </c>
      <c r="BT142" s="135" t="str">
        <f>IFERROR(VLOOKUP(Tabela1[[#This Row],[MÊS]]&amp;Tabela1[[#This Row],[ID]]&amp;Tabela1[[#This Row],[MATRICULA]]&amp;"Ponto de Apoio 3"&amp;Tabela1[[#This Row],[SETOR]],BD!A:AF,13,0),"")</f>
        <v/>
      </c>
      <c r="BU142" s="135" t="str">
        <f>IFERROR(VLOOKUP(Tabela1[[#This Row],[MÊS]]&amp;Tabela1[[#This Row],[ID]]&amp;Tabela1[[#This Row],[MATRICULA]]&amp;"Ponto de Apoio 4"&amp;Tabela1[[#This Row],[SETOR]],BD!A:AF,13,0),"")</f>
        <v/>
      </c>
      <c r="BV142" s="135" t="str">
        <f>IFERROR(AVERAGE(Tabela1[[#This Row],[DPA]:[DPA 4]]),"")</f>
        <v/>
      </c>
      <c r="BW142" s="135" t="str">
        <f>IFERROR(VLOOKUP(Tabela1[[#This Row],[MÊS]]&amp;Tabela1[[#This Row],[ID]]&amp;Tabela1[[#This Row],[MATRICULA]]&amp;"Cliente"&amp;Tabela1[[#This Row],[SETOR]],BD!A:AF,13,0),"")</f>
        <v/>
      </c>
      <c r="BX142" s="135" t="str">
        <f>IFERROR(VLOOKUP(Tabela1[[#This Row],[MÊS]]&amp;Tabela1[[#This Row],[ID]]&amp;Tabela1[[#This Row],[MATRICULA]]&amp;"cliente 2"&amp;Tabela1[[#This Row],[SETOR]],BD!A:AF,13,0),"")</f>
        <v/>
      </c>
      <c r="BY142" s="135" t="str">
        <f>IFERROR(VLOOKUP(Tabela1[[#This Row],[MÊS]]&amp;Tabela1[[#This Row],[ID]]&amp;Tabela1[[#This Row],[MATRICULA]]&amp;"cliente 3"&amp;Tabela1[[#This Row],[SETOR]],BD!A:AF,13,0),"")</f>
        <v/>
      </c>
      <c r="BZ142" s="135" t="str">
        <f>IFERROR(VLOOKUP(Tabela1[[#This Row],[MÊS]]&amp;Tabela1[[#This Row],[ID]]&amp;Tabela1[[#This Row],[MATRICULA]]&amp;"cliente 4"&amp;Tabela1[[#This Row],[SETOR]],BD!A:AF,13,0),"")</f>
        <v/>
      </c>
      <c r="CA142" s="135" t="str">
        <f>IFERROR(AVERAGE(Tabela1[[#This Row],[DCLI]:[DCLI 4]]),"")</f>
        <v/>
      </c>
      <c r="CB142" s="135" t="str">
        <f>IFERROR(VLOOKUP(Tabela1[[#This Row],[MÊS]]&amp;Tabela1[[#This Row],[ID]]&amp;Tabela1[[#This Row],[MATRICULA]]&amp;"Policia"&amp;Tabela1[[#This Row],[SETOR]],BD!A:AF,13,0),"")</f>
        <v/>
      </c>
      <c r="CC142" s="135" t="str">
        <f>IFERROR(VLOOKUP(Tabela1[[#This Row],[MÊS]]&amp;Tabela1[[#This Row],[ID]]&amp;Tabela1[[#This Row],[MATRICULA]]&amp;"Policia 2"&amp;Tabela1[[#This Row],[SETOR]],BD!A:AF,13,0),"")</f>
        <v/>
      </c>
      <c r="CD142" s="135"/>
      <c r="CE142" s="135"/>
      <c r="CF142" s="135" t="str">
        <f>IFERROR((AVERAGE(Tabela1[[#This Row],[DPOL1]:[DPOL4]])),"")</f>
        <v/>
      </c>
      <c r="CG142" s="21" t="str">
        <f>IFERROR(VLOOKUP(Tabela1[[#This Row],[ID]]&amp;Tabela1[[#This Row],[MÊS]]&amp;Tabela1[[#This Row],[MATRICULA]],#REF!,2,0),"")</f>
        <v/>
      </c>
      <c r="CH142" s="21" t="str">
        <f>IFERROR(VLOOKUP(Tabela1[[#This Row],[ID]]&amp;Tabela1[[#This Row],[MÊS]]&amp;Tabela1[[#This Row],[MATRICULA]],#REF!,2,0),"")</f>
        <v/>
      </c>
      <c r="CI142" s="21" t="str">
        <f>IFERROR(VLOOKUP(Tabela1[[#This Row],[MÊS]]&amp;Tabela1[[#This Row],[MATRICULA]],#REF!,2,0),"")</f>
        <v/>
      </c>
    </row>
    <row r="143" spans="1:87">
      <c r="A143" s="12" t="str">
        <f>Tabela1[[#This Row],[MÊS]]&amp;Tabela1[[#This Row],[MATRICULA]]&amp;Tabela1[[#This Row],[ID]]</f>
        <v>JAN114202</v>
      </c>
      <c r="B143" s="12" t="str">
        <f>Tabela1[[#This Row],[MÊS]]&amp;Tabela1[[#This Row],[ID]]&amp;Tabela1[[#This Row],[MATRICULA]]&amp;Tabela1[[#This Row],[SETOR]]</f>
        <v>JAN211420LOGÍSTICA</v>
      </c>
      <c r="C143" s="130" t="e">
        <f>VLOOKUP(Tabela1[[#This Row],[MATRICULA]],'BD Campos'!A:D,5,0)</f>
        <v>#REF!</v>
      </c>
      <c r="D143" s="133" t="str">
        <f ca="1">IFERROR(SUM(TODAY()-Tabela1[[#This Row],[ADMISSÃO]]),"")</f>
        <v/>
      </c>
      <c r="E143" s="11" t="str">
        <f ca="1">IFERROR(TRUNC(Tabela1[[#This Row],[TEMPO DE CASA (DIAS)]]/30),"")</f>
        <v/>
      </c>
      <c r="F143" s="32" t="str">
        <f ca="1">IFERROR(SUM(Tabela1[[#This Row],[TEMPO DE CASA (MESES)]]/12),"")</f>
        <v/>
      </c>
      <c r="G143" s="133" t="str">
        <f ca="1">IF(Tabela1[[#This Row],[TEMPO DE CASA (DIAS)]]="","SEM DADOS",IF(Tabela1[[#This Row],[TEMPO DE CASA (DIAS)]]&gt;180,"&gt; 6 MESES","&lt; 6 MESES"))</f>
        <v>SEM DADOS</v>
      </c>
      <c r="H143" s="12" t="str">
        <f t="shared" si="13"/>
        <v>JANRichard Marques2</v>
      </c>
      <c r="I143" s="12" t="str">
        <f>IFERROR(VLOOKUP(Tabela1[[#This Row],[MATRICULA]],'BD Campos'!A:F,7,0),"")</f>
        <v/>
      </c>
      <c r="J143" s="11">
        <v>2</v>
      </c>
      <c r="K143" s="11" t="s">
        <v>669</v>
      </c>
      <c r="L143" s="136">
        <v>11420</v>
      </c>
      <c r="M143" s="12" t="str">
        <f>IFERROR(VLOOKUP(Tabela1[[#This Row],[MATRICULA]],'BD Campos'!A:B,2,0),"")</f>
        <v>KELIANE CASTRO DE SOUZA</v>
      </c>
      <c r="N143" s="20">
        <f>IFERROR(AVERAGE(Tabela1[[#This Row],[A1]:[A4]]),"")</f>
        <v>8.713750000000001</v>
      </c>
      <c r="O143" s="20" t="str">
        <f>IFERROR(IF(Tabela1[[#This Row],[SETOR]]="RECEPTIVO","",AVERAGE(Tabela1[[#This Row],[A5]:[A6]])),"")</f>
        <v/>
      </c>
      <c r="P143" s="20" t="str">
        <f>IFERROR(IF(Tabela1[[#This Row],[STATUS]]="INATIVO","INATIVO",IF(Tabela1[[#This Row],[STATUS]]="QRT","INATIVO",IF(Tabela1[[#This Row],[OPERACIONAL]]&gt;7.99999,"BOM","RUIM"))),"")</f>
        <v>BOM</v>
      </c>
      <c r="Q143" s="21" t="s">
        <v>667</v>
      </c>
      <c r="R143" s="12" t="s">
        <v>315</v>
      </c>
      <c r="S143" s="12" t="s">
        <v>704</v>
      </c>
      <c r="T143" s="12" t="s">
        <v>315</v>
      </c>
      <c r="U14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3" s="12">
        <f>IF(AND(Tabela1[[#This Row],[SETOR]]="UTI",Tabela1[[#This Row],[M]]&lt;&gt;""),1,IF(AND(Tabela1[[#This Row],[SETOR]]="UTI (RJ)",Tabela1[[#This Row],[M]]&lt;&gt;""),1.5,0))</f>
        <v>0</v>
      </c>
      <c r="X143" s="12">
        <f>IF(AND(Tabela1[[#This Row],[SETOR]]="UTI",Tabela1[[#This Row],[PA2]]&lt;&gt;""),1,IF(AND(Tabela1[[#This Row],[SETOR]]="UTI (RJ)",Tabela1[[#This Row],[PA2]]&lt;&gt;""),0,0))</f>
        <v>0</v>
      </c>
      <c r="Y143" s="12">
        <f>IF(AND(Tabela1[[#This Row],[SETOR]]="UTI",Tabela1[[#This Row],[C]]&lt;&gt;""),1,IF(AND(Tabela1[[#This Row],[SETOR]]="UTI (RJ)",Tabela1[[#This Row],[C]]&lt;&gt;""),1.5,0))</f>
        <v>0</v>
      </c>
      <c r="Z143" s="12">
        <f>IF(AND(Tabela1[[#This Row],[SETOR]]="UTI",Tabela1[[#This Row],[PL]]&lt;&gt;""),1,IF(AND(Tabela1[[#This Row],[SETOR]]="UTI (RJ)",Tabela1[[#This Row],[PL]]&lt;&gt;""),1,0))</f>
        <v>0</v>
      </c>
      <c r="AA143" s="21">
        <f>IFERROR(VLOOKUP(Tabela1[[#This Row],[MÊS]]&amp;Tabela1[[#This Row],[MATRICULA]]&amp;"1"&amp;Tabela1[[#This Row],[SETOR]]&amp;"PADRÃO",BD!B:AF,31,0),"")</f>
        <v>10.000000000000002</v>
      </c>
      <c r="AB143" s="21">
        <f>IFERROR(VLOOKUP(Tabela1[[#This Row],[MÊS]]&amp;Tabela1[[#This Row],[MATRICULA]]&amp;"2"&amp;Tabela1[[#This Row],[SETOR]]&amp;"PADRÃO",BD!B:AF,31,0),"")</f>
        <v>7.4275000000000002</v>
      </c>
      <c r="AC143" s="21" t="str">
        <f>IFERROR(VLOOKUP(Tabela1[[#This Row],[MÊS]]&amp;Tabela1[[#This Row],[MATRICULA]]&amp;"3"&amp;Tabela1[[#This Row],[SETOR]]&amp;"PADRÃO",BD!B:AF,31,0),"")</f>
        <v/>
      </c>
      <c r="AD143" s="21" t="str">
        <f>IFERROR(VLOOKUP(Tabela1[[#This Row],[MÊS]]&amp;Tabela1[[#This Row],[MATRICULA]]&amp;"4"&amp;Tabela1[[#This Row],[SETOR]]&amp;"PADRÃO",BD!B:AF,25,0),"")</f>
        <v/>
      </c>
      <c r="AE143" s="21" t="str">
        <f>IFERROR(VLOOKUP(Tabela1[[#This Row],[MÊS]]&amp;Tabela1[[#This Row],[MATRICULA]]&amp;"5"&amp;Tabela1[[#This Row],[SETOR]]&amp;"PADRÃO",BD!B:AF,31,0),"")</f>
        <v/>
      </c>
      <c r="AF143" s="21" t="str">
        <f>IFERROR(VLOOKUP(Tabela1[[#This Row],[MÊS]]&amp;Tabela1[[#This Row],[MATRICULA]]&amp;"6"&amp;Tabela1[[#This Row],[SETOR]]&amp;"PADRÃO",BD!B:AF,31,0),"")</f>
        <v/>
      </c>
      <c r="AG143" s="21" t="str">
        <f>IFERROR(VLOOKUP(Tabela1[[#This Row],[MÊS]]&amp;Tabela1[[#This Row],[MATRICULA]]&amp;"7"&amp;Tabela1[[#This Row],[SETOR]]&amp;"PADRÃO",BD!B:AF,31,0),"")</f>
        <v/>
      </c>
      <c r="AH143" s="21" t="str">
        <f>IFERROR(VLOOKUP(Tabela1[[#This Row],[MÊS]]&amp;Tabela1[[#This Row],[ID]]&amp;Tabela1[[#This Row],[MATRICULA]]&amp;"Receptiva"&amp;Tabela1[[#This Row],[SETOR]],BD!A:AF,31,0),"")</f>
        <v/>
      </c>
      <c r="AI143" s="21" t="str">
        <f>IFERROR(VLOOKUP(Tabela1[[#This Row],[MÊS]]&amp;Tabela1[[#This Row],[ID]]&amp;Tabela1[[#This Row],[MATRICULA]]&amp;"Receptiva 2"&amp;Tabela1[[#This Row],[SETOR]],BD!A:AF,31,0),"")</f>
        <v/>
      </c>
      <c r="AJ143" s="21" t="str">
        <f>IFERROR(VLOOKUP(Tabela1[[#This Row],[MÊS]]&amp;Tabela1[[#This Row],[ID]]&amp;Tabela1[[#This Row],[MATRICULA]]&amp;"Receptiva 3"&amp;Tabela1[[#This Row],[SETOR]],BD!A:AF,31,0),"")</f>
        <v/>
      </c>
      <c r="AK143" s="21" t="str">
        <f>IFERROR(VLOOKUP(Tabela1[[#This Row],[MÊS]]&amp;Tabela1[[#This Row],[ID]]&amp;Tabela1[[#This Row],[MATRICULA]]&amp;"Receptiva 4"&amp;Tabela1[[#This Row],[SETOR]],BD!A:AF,31,0),"")</f>
        <v/>
      </c>
      <c r="AL143" s="21">
        <f>IFERROR(VLOOKUP(Tabela1[[#This Row],[MÊS]]&amp;Tabela1[[#This Row],[MATRICULA]]&amp;"Motorista"&amp;Tabela1[[#This Row],[SETOR]],BD!A:AF,31,0),"")</f>
        <v>0</v>
      </c>
      <c r="AM143" s="21" t="str">
        <f>IFERROR(VLOOKUP(Tabela1[[#This Row],[MÊS]]&amp;Tabela1[[#This Row],[ID]]&amp;Tabela1[[#This Row],[MATRICULA]]&amp;"Motorista 2"&amp;Tabela1[[#This Row],[SETOR]],BD!A:AF,26,0),"")</f>
        <v/>
      </c>
      <c r="AN143" s="21" t="str">
        <f>IFERROR(VLOOKUP(Tabela1[[#This Row],[MÊS]]&amp;Tabela1[[#This Row],[ID]]&amp;Tabela1[[#This Row],[MATRICULA]]&amp;"Motorista 3"&amp;Tabela1[[#This Row],[SETOR]],BD!A:AF,26,0),"")</f>
        <v/>
      </c>
      <c r="AO143" s="21" t="str">
        <f>IFERROR(VLOOKUP(Tabela1[[#This Row],[MÊS]]&amp;Tabela1[[#This Row],[ID]]&amp;Tabela1[[#This Row],[MATRICULA]]&amp;"Motorista 4"&amp;Tabela1[[#This Row],[SETOR]],BD!A:AF,26,0),"")</f>
        <v/>
      </c>
      <c r="AP143" s="21" t="str">
        <f>IFERROR(VLOOKUP(Tabela1[[#This Row],[MÊS]]&amp;Tabela1[[#This Row],[MATRICULA]]&amp;"Ponto de Apoio"&amp;Tabela1[[#This Row],[SETOR]],BD!A:AF,31,0),"")</f>
        <v/>
      </c>
      <c r="AQ143" s="21" t="str">
        <f>IFERROR(VLOOKUP(Tabela1[[#This Row],[MÊS]]&amp;Tabela1[[#This Row],[ID]]&amp;Tabela1[[#This Row],[MATRICULA]]&amp;"Ponto de Apoio 2"&amp;Tabela1[[#This Row],[SETOR]],BD!A:AF,26,0),"")</f>
        <v/>
      </c>
      <c r="AR143" s="36" t="str">
        <f>IFERROR(VLOOKUP(Tabela1[[#This Row],[MÊS]]&amp;Tabela1[[#This Row],[ID]]&amp;Tabela1[[#This Row],[MATRICULA]]&amp;"Ponto de Apoio 3"&amp;Tabela1[[#This Row],[SETOR]],BD!A:AF,26,0),"")</f>
        <v/>
      </c>
      <c r="AS143" s="36" t="str">
        <f>IFERROR(VLOOKUP(Tabela1[[#This Row],[MÊS]]&amp;Tabela1[[#This Row],[ID]]&amp;Tabela1[[#This Row],[MATRICULA]]&amp;"Ponto de Apoio 4"&amp;Tabela1[[#This Row],[SETOR]],BD!A:AF,26,0),"")</f>
        <v/>
      </c>
      <c r="AT143" s="21">
        <f>IFERROR(VLOOKUP(Tabela1[[#This Row],[MÊS]]&amp;Tabela1[[#This Row],[MATRICULA]]&amp;"Cliente"&amp;Tabela1[[#This Row],[SETOR]],BD!A:AF,31,0),"")</f>
        <v>0</v>
      </c>
      <c r="AU143" s="21" t="str">
        <f>IFERROR(VLOOKUP(Tabela1[[#This Row],[MÊS]]&amp;Tabela1[[#This Row],[ID]]&amp;Tabela1[[#This Row],[MATRICULA]]&amp;"Cliente 2"&amp;Tabela1[[#This Row],[SETOR]],BD!A:AF,26,0),"")</f>
        <v/>
      </c>
      <c r="AX143" s="21" t="str">
        <f>IFERROR(VLOOKUP(Tabela1[[#This Row],[MÊS]]&amp;Tabela1[[#This Row],[MATRICULA]]&amp;"Policia"&amp;Tabela1[[#This Row],[SETOR]],BD!A:AF,31,0),"")</f>
        <v/>
      </c>
      <c r="AY143" s="21" t="str">
        <f>IFERROR(VLOOKUP(Tabela1[[#This Row],[MÊS]]&amp;Tabela1[[#This Row],[ID]]&amp;Tabela1[[#This Row],[MATRICULA]]&amp;"Policia 2"&amp;Tabela1[[#This Row],[SETOR]],BD!A:AF,26,0),"")</f>
        <v/>
      </c>
      <c r="AZ143" s="36" t="str">
        <f>IFERROR(VLOOKUP(Tabela1[[#This Row],[MÊS]]&amp;Tabela1[[#This Row],[ID]]&amp;Tabela1[[#This Row],[MATRICULA]]&amp;"Policia 3"&amp;Tabela1[[#This Row],[SETOR]],BD!A:AF,26,0),"")</f>
        <v/>
      </c>
      <c r="BA143" s="36" t="str">
        <f>IFERROR(VLOOKUP(Tabela1[[#This Row],[MÊS]]&amp;Tabela1[[#This Row],[ID]]&amp;Tabela1[[#This Row],[MATRICULA]]&amp;"Policia 4"&amp;Tabela1[[#This Row],[SETOR]],BD!A:AF,26,0),"")</f>
        <v/>
      </c>
      <c r="BB14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3" s="21">
        <f>IFERROR(AVERAGE(Tabela1[[#This Row],[M]:[M4]]),"")</f>
        <v>0</v>
      </c>
      <c r="BD143" s="21">
        <f>IFERROR(AVERAGE(Tabela1[[#This Row],[C]:[C4]]),"")</f>
        <v>0</v>
      </c>
      <c r="BE143" s="21" t="str">
        <f>IFERROR(AVERAGE(Tabela1[[#This Row],[PA2]:[PA 4]]),"")</f>
        <v/>
      </c>
      <c r="BF143" s="21" t="str">
        <f>IFERROR(AVERAGE(Tabela1[[#This Row],[PL]:[PL4]]),"")</f>
        <v/>
      </c>
      <c r="BG143" s="35" t="str">
        <f>IFERROR(VLOOKUP(Tabela1[[#This Row],[MÊS]]&amp;Tabela1[[#This Row],[MATRICULA]],#REF!,2,0),"")</f>
        <v/>
      </c>
      <c r="BH143" s="35" t="str">
        <f>IFERROR(VLOOKUP(Tabela1[[#This Row],[MÊS]]&amp;Tabela1[[#This Row],[MATRICULA]],#REF!,2,0),"")</f>
        <v/>
      </c>
      <c r="BI143" s="35" t="str">
        <f>IFERROR(VLOOKUP(Tabela1[[#This Row],[MÊS]]&amp;Tabela1[[#This Row],[MATRICULA]],#REF!,2,0),"")</f>
        <v/>
      </c>
      <c r="BJ143" s="35" t="str">
        <f>IFERROR(VLOOKUP(Tabela1[[#This Row],[MÊS]]&amp;Tabela1[[#This Row],[MATRICULA]],#REF!,2,0),"")</f>
        <v/>
      </c>
      <c r="BK143" s="35" t="str">
        <f>IFERROR(VLOOKUP(Tabela1[[#This Row],[MÊS]]&amp;Tabela1[[#This Row],[MATRICULA]],#REF!,2,0),"")</f>
        <v/>
      </c>
      <c r="BL143" s="21">
        <f>COUNTIF(Tabela1[[#This Row],[MOT2]:[RECEPTIVA]],"NÃO ENCONTRADA")</f>
        <v>0</v>
      </c>
      <c r="BM143" s="135" t="str">
        <f>IFERROR(VLOOKUP(Tabela1[[#This Row],[MÊS]]&amp;Tabela1[[#This Row],[ID]]&amp;Tabela1[[#This Row],[MATRICULA]]&amp;"Motorista"&amp;Tabela1[[#This Row],[SETOR]],BD!A:AF,13,0),"")</f>
        <v/>
      </c>
      <c r="BN143" s="135" t="str">
        <f>IFERROR(VLOOKUP(Tabela1[[#This Row],[MÊS]]&amp;Tabela1[[#This Row],[ID]]&amp;Tabela1[[#This Row],[MATRICULA]]&amp;"Motorista 2"&amp;Tabela1[[#This Row],[SETOR]],BD!A:AF,13,0),"")</f>
        <v/>
      </c>
      <c r="BO143" s="135" t="str">
        <f>IFERROR(VLOOKUP(Tabela1[[#This Row],[MÊS]]&amp;Tabela1[[#This Row],[ID]]&amp;Tabela1[[#This Row],[MATRICULA]]&amp;"Motorista 3"&amp;Tabela1[[#This Row],[SETOR]],BD!A:AF,13,0),"")</f>
        <v/>
      </c>
      <c r="BP143" s="135" t="str">
        <f>IFERROR(VLOOKUP(Tabela1[[#This Row],[MÊS]]&amp;Tabela1[[#This Row],[ID]]&amp;Tabela1[[#This Row],[MATRICULA]]&amp;"Motorista 4"&amp;Tabela1[[#This Row],[SETOR]],BD!A:AF,13,0),"")</f>
        <v/>
      </c>
      <c r="BQ143" s="135" t="str">
        <f>IFERROR(AVERAGE(Tabela1[[#This Row],[DMOT]:[DMOT4]]),"")</f>
        <v/>
      </c>
      <c r="BR143" s="135" t="str">
        <f>IFERROR(VLOOKUP(Tabela1[[#This Row],[MÊS]]&amp;Tabela1[[#This Row],[ID]]&amp;Tabela1[[#This Row],[MATRICULA]]&amp;"Ponto de Apoio"&amp;Tabela1[[#This Row],[SETOR]],BD!A:AF,13,0),"")</f>
        <v/>
      </c>
      <c r="BS143" s="135" t="str">
        <f>IFERROR(VLOOKUP(Tabela1[[#This Row],[MÊS]]&amp;Tabela1[[#This Row],[ID]]&amp;Tabela1[[#This Row],[MATRICULA]]&amp;"Ponto de Apoio 2"&amp;Tabela1[[#This Row],[SETOR]],BD!A:AF,13,0),"")</f>
        <v/>
      </c>
      <c r="BT143" s="135" t="str">
        <f>IFERROR(VLOOKUP(Tabela1[[#This Row],[MÊS]]&amp;Tabela1[[#This Row],[ID]]&amp;Tabela1[[#This Row],[MATRICULA]]&amp;"Ponto de Apoio 3"&amp;Tabela1[[#This Row],[SETOR]],BD!A:AF,13,0),"")</f>
        <v/>
      </c>
      <c r="BU143" s="135" t="str">
        <f>IFERROR(VLOOKUP(Tabela1[[#This Row],[MÊS]]&amp;Tabela1[[#This Row],[ID]]&amp;Tabela1[[#This Row],[MATRICULA]]&amp;"Ponto de Apoio 4"&amp;Tabela1[[#This Row],[SETOR]],BD!A:AF,13,0),"")</f>
        <v/>
      </c>
      <c r="BV143" s="135" t="str">
        <f>IFERROR(AVERAGE(Tabela1[[#This Row],[DPA]:[DPA 4]]),"")</f>
        <v/>
      </c>
      <c r="BW143" s="135" t="str">
        <f>IFERROR(VLOOKUP(Tabela1[[#This Row],[MÊS]]&amp;Tabela1[[#This Row],[ID]]&amp;Tabela1[[#This Row],[MATRICULA]]&amp;"Cliente"&amp;Tabela1[[#This Row],[SETOR]],BD!A:AF,13,0),"")</f>
        <v/>
      </c>
      <c r="BX143" s="135" t="str">
        <f>IFERROR(VLOOKUP(Tabela1[[#This Row],[MÊS]]&amp;Tabela1[[#This Row],[ID]]&amp;Tabela1[[#This Row],[MATRICULA]]&amp;"cliente 2"&amp;Tabela1[[#This Row],[SETOR]],BD!A:AF,13,0),"")</f>
        <v/>
      </c>
      <c r="BY143" s="135" t="str">
        <f>IFERROR(VLOOKUP(Tabela1[[#This Row],[MÊS]]&amp;Tabela1[[#This Row],[ID]]&amp;Tabela1[[#This Row],[MATRICULA]]&amp;"cliente 3"&amp;Tabela1[[#This Row],[SETOR]],BD!A:AF,13,0),"")</f>
        <v/>
      </c>
      <c r="BZ143" s="135" t="str">
        <f>IFERROR(VLOOKUP(Tabela1[[#This Row],[MÊS]]&amp;Tabela1[[#This Row],[ID]]&amp;Tabela1[[#This Row],[MATRICULA]]&amp;"cliente 4"&amp;Tabela1[[#This Row],[SETOR]],BD!A:AF,13,0),"")</f>
        <v/>
      </c>
      <c r="CA143" s="135" t="str">
        <f>IFERROR(AVERAGE(Tabela1[[#This Row],[DCLI]:[DCLI 4]]),"")</f>
        <v/>
      </c>
      <c r="CB143" s="135" t="str">
        <f>IFERROR(VLOOKUP(Tabela1[[#This Row],[MÊS]]&amp;Tabela1[[#This Row],[ID]]&amp;Tabela1[[#This Row],[MATRICULA]]&amp;"Policia"&amp;Tabela1[[#This Row],[SETOR]],BD!A:AF,13,0),"")</f>
        <v/>
      </c>
      <c r="CC143" s="135" t="str">
        <f>IFERROR(VLOOKUP(Tabela1[[#This Row],[MÊS]]&amp;Tabela1[[#This Row],[ID]]&amp;Tabela1[[#This Row],[MATRICULA]]&amp;"Policia 2"&amp;Tabela1[[#This Row],[SETOR]],BD!A:AF,13,0),"")</f>
        <v/>
      </c>
      <c r="CD143" s="135"/>
      <c r="CE143" s="135"/>
      <c r="CF143" s="135" t="str">
        <f>IFERROR((AVERAGE(Tabela1[[#This Row],[DPOL1]:[DPOL4]])),"")</f>
        <v/>
      </c>
      <c r="CG143" s="21" t="str">
        <f>IFERROR(VLOOKUP(Tabela1[[#This Row],[ID]]&amp;Tabela1[[#This Row],[MÊS]]&amp;Tabela1[[#This Row],[MATRICULA]],#REF!,2,0),"")</f>
        <v/>
      </c>
      <c r="CH143" s="21" t="str">
        <f>IFERROR(VLOOKUP(Tabela1[[#This Row],[ID]]&amp;Tabela1[[#This Row],[MÊS]]&amp;Tabela1[[#This Row],[MATRICULA]],#REF!,2,0),"")</f>
        <v/>
      </c>
      <c r="CI143" s="21" t="str">
        <f>IFERROR(VLOOKUP(Tabela1[[#This Row],[MÊS]]&amp;Tabela1[[#This Row],[MATRICULA]],#REF!,2,0),"")</f>
        <v/>
      </c>
    </row>
    <row r="144" spans="1:87">
      <c r="A144" s="12" t="str">
        <f>Tabela1[[#This Row],[MÊS]]&amp;Tabela1[[#This Row],[MATRICULA]]&amp;Tabela1[[#This Row],[ID]]</f>
        <v>JAN114793</v>
      </c>
      <c r="B144" s="12" t="str">
        <f>Tabela1[[#This Row],[MÊS]]&amp;Tabela1[[#This Row],[ID]]&amp;Tabela1[[#This Row],[MATRICULA]]&amp;Tabela1[[#This Row],[SETOR]]</f>
        <v>JAN311479LOGÍSTICA</v>
      </c>
      <c r="C144" s="130" t="e">
        <f>VLOOKUP(Tabela1[[#This Row],[MATRICULA]],'BD Campos'!A:D,5,0)</f>
        <v>#REF!</v>
      </c>
      <c r="D144" s="133" t="str">
        <f ca="1">IFERROR(SUM(TODAY()-Tabela1[[#This Row],[ADMISSÃO]]),"")</f>
        <v/>
      </c>
      <c r="E144" s="11" t="str">
        <f ca="1">IFERROR(TRUNC(Tabela1[[#This Row],[TEMPO DE CASA (DIAS)]]/30),"")</f>
        <v/>
      </c>
      <c r="F144" s="32" t="str">
        <f ca="1">IFERROR(SUM(Tabela1[[#This Row],[TEMPO DE CASA (MESES)]]/12),"")</f>
        <v/>
      </c>
      <c r="G144" s="133" t="str">
        <f ca="1">IF(Tabela1[[#This Row],[TEMPO DE CASA (DIAS)]]="","SEM DADOS",IF(Tabela1[[#This Row],[TEMPO DE CASA (DIAS)]]&gt;180,"&gt; 6 MESES","&lt; 6 MESES"))</f>
        <v>SEM DADOS</v>
      </c>
      <c r="H144" s="12" t="str">
        <f t="shared" si="13"/>
        <v>JANRichard Marques3</v>
      </c>
      <c r="I144" s="12" t="str">
        <f>IFERROR(VLOOKUP(Tabela1[[#This Row],[MATRICULA]],'BD Campos'!A:F,7,0),"")</f>
        <v/>
      </c>
      <c r="J144" s="11">
        <v>3</v>
      </c>
      <c r="K144" s="11" t="s">
        <v>669</v>
      </c>
      <c r="L144" s="136">
        <v>11479</v>
      </c>
      <c r="M144" s="12" t="str">
        <f>IFERROR(VLOOKUP(Tabela1[[#This Row],[MATRICULA]],'BD Campos'!A:B,2,0),"")</f>
        <v>LUCIFLAINY SILVA DUARTE</v>
      </c>
      <c r="N144" s="20" t="str">
        <f>IFERROR(AVERAGE(Tabela1[[#This Row],[A1]:[A4]]),"")</f>
        <v/>
      </c>
      <c r="O144" s="20" t="str">
        <f>IFERROR(IF(Tabela1[[#This Row],[SETOR]]="RECEPTIVO","",AVERAGE(Tabela1[[#This Row],[A5]:[A6]])),"")</f>
        <v/>
      </c>
      <c r="P144" s="20" t="str">
        <f>IFERROR(IF(Tabela1[[#This Row],[STATUS]]="INATIVO","INATIVO",IF(Tabela1[[#This Row],[STATUS]]="QRT","INATIVO",IF(Tabela1[[#This Row],[OPERACIONAL]]&gt;7.99999,"BOM","RUIM"))),"")</f>
        <v>INATIVO</v>
      </c>
      <c r="Q144" s="21" t="s">
        <v>670</v>
      </c>
      <c r="R144" s="12" t="s">
        <v>315</v>
      </c>
      <c r="S144" s="12" t="s">
        <v>704</v>
      </c>
      <c r="T144" s="12" t="s">
        <v>315</v>
      </c>
      <c r="U14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4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44" s="12">
        <f>IF(AND(Tabela1[[#This Row],[SETOR]]="UTI",Tabela1[[#This Row],[M]]&lt;&gt;""),1,IF(AND(Tabela1[[#This Row],[SETOR]]="UTI (RJ)",Tabela1[[#This Row],[M]]&lt;&gt;""),1.5,0))</f>
        <v>0</v>
      </c>
      <c r="X144" s="12">
        <f>IF(AND(Tabela1[[#This Row],[SETOR]]="UTI",Tabela1[[#This Row],[PA2]]&lt;&gt;""),1,IF(AND(Tabela1[[#This Row],[SETOR]]="UTI (RJ)",Tabela1[[#This Row],[PA2]]&lt;&gt;""),0,0))</f>
        <v>0</v>
      </c>
      <c r="Y144" s="12">
        <f>IF(AND(Tabela1[[#This Row],[SETOR]]="UTI",Tabela1[[#This Row],[C]]&lt;&gt;""),1,IF(AND(Tabela1[[#This Row],[SETOR]]="UTI (RJ)",Tabela1[[#This Row],[C]]&lt;&gt;""),1.5,0))</f>
        <v>0</v>
      </c>
      <c r="Z144" s="12">
        <f>IF(AND(Tabela1[[#This Row],[SETOR]]="UTI",Tabela1[[#This Row],[PL]]&lt;&gt;""),1,IF(AND(Tabela1[[#This Row],[SETOR]]="UTI (RJ)",Tabela1[[#This Row],[PL]]&lt;&gt;""),1,0))</f>
        <v>0</v>
      </c>
      <c r="AA144" s="21" t="str">
        <f>IFERROR(VLOOKUP(Tabela1[[#This Row],[MÊS]]&amp;Tabela1[[#This Row],[MATRICULA]]&amp;"1"&amp;Tabela1[[#This Row],[SETOR]]&amp;"PADRÃO",BD!B:AF,31,0),"")</f>
        <v/>
      </c>
      <c r="AB144" s="21" t="str">
        <f>IFERROR(VLOOKUP(Tabela1[[#This Row],[MÊS]]&amp;Tabela1[[#This Row],[MATRICULA]]&amp;"2"&amp;Tabela1[[#This Row],[SETOR]]&amp;"PADRÃO",BD!B:AF,31,0),"")</f>
        <v/>
      </c>
      <c r="AC144" s="21" t="str">
        <f>IFERROR(VLOOKUP(Tabela1[[#This Row],[MÊS]]&amp;Tabela1[[#This Row],[MATRICULA]]&amp;"3"&amp;Tabela1[[#This Row],[SETOR]]&amp;"PADRÃO",BD!B:AF,31,0),"")</f>
        <v/>
      </c>
      <c r="AD144" s="21" t="str">
        <f>IFERROR(VLOOKUP(Tabela1[[#This Row],[MÊS]]&amp;Tabela1[[#This Row],[MATRICULA]]&amp;"4"&amp;Tabela1[[#This Row],[SETOR]]&amp;"PADRÃO",BD!B:AF,25,0),"")</f>
        <v/>
      </c>
      <c r="AE144" s="21" t="str">
        <f>IFERROR(VLOOKUP(Tabela1[[#This Row],[MÊS]]&amp;Tabela1[[#This Row],[MATRICULA]]&amp;"5"&amp;Tabela1[[#This Row],[SETOR]]&amp;"PADRÃO",BD!B:AF,31,0),"")</f>
        <v/>
      </c>
      <c r="AF144" s="21" t="str">
        <f>IFERROR(VLOOKUP(Tabela1[[#This Row],[MÊS]]&amp;Tabela1[[#This Row],[MATRICULA]]&amp;"6"&amp;Tabela1[[#This Row],[SETOR]]&amp;"PADRÃO",BD!B:AF,31,0),"")</f>
        <v/>
      </c>
      <c r="AG144" s="21" t="str">
        <f>IFERROR(VLOOKUP(Tabela1[[#This Row],[MÊS]]&amp;Tabela1[[#This Row],[MATRICULA]]&amp;"7"&amp;Tabela1[[#This Row],[SETOR]]&amp;"PADRÃO",BD!B:AF,31,0),"")</f>
        <v/>
      </c>
      <c r="AH144" s="21" t="str">
        <f>IFERROR(VLOOKUP(Tabela1[[#This Row],[MÊS]]&amp;Tabela1[[#This Row],[ID]]&amp;Tabela1[[#This Row],[MATRICULA]]&amp;"Receptiva"&amp;Tabela1[[#This Row],[SETOR]],BD!A:AF,31,0),"")</f>
        <v/>
      </c>
      <c r="AI144" s="21" t="str">
        <f>IFERROR(VLOOKUP(Tabela1[[#This Row],[MÊS]]&amp;Tabela1[[#This Row],[ID]]&amp;Tabela1[[#This Row],[MATRICULA]]&amp;"Receptiva 2"&amp;Tabela1[[#This Row],[SETOR]],BD!A:AF,31,0),"")</f>
        <v/>
      </c>
      <c r="AJ144" s="21" t="str">
        <f>IFERROR(VLOOKUP(Tabela1[[#This Row],[MÊS]]&amp;Tabela1[[#This Row],[ID]]&amp;Tabela1[[#This Row],[MATRICULA]]&amp;"Receptiva 3"&amp;Tabela1[[#This Row],[SETOR]],BD!A:AF,31,0),"")</f>
        <v/>
      </c>
      <c r="AK144" s="21" t="str">
        <f>IFERROR(VLOOKUP(Tabela1[[#This Row],[MÊS]]&amp;Tabela1[[#This Row],[ID]]&amp;Tabela1[[#This Row],[MATRICULA]]&amp;"Receptiva 4"&amp;Tabela1[[#This Row],[SETOR]],BD!A:AF,31,0),"")</f>
        <v/>
      </c>
      <c r="AL144" s="21" t="str">
        <f>IFERROR(VLOOKUP(Tabela1[[#This Row],[MÊS]]&amp;Tabela1[[#This Row],[MATRICULA]]&amp;"Motorista"&amp;Tabela1[[#This Row],[SETOR]],BD!A:AF,31,0),"")</f>
        <v/>
      </c>
      <c r="AM144" s="21" t="str">
        <f>IFERROR(VLOOKUP(Tabela1[[#This Row],[MÊS]]&amp;Tabela1[[#This Row],[ID]]&amp;Tabela1[[#This Row],[MATRICULA]]&amp;"Motorista 2"&amp;Tabela1[[#This Row],[SETOR]],BD!A:AF,26,0),"")</f>
        <v/>
      </c>
      <c r="AN144" s="21" t="str">
        <f>IFERROR(VLOOKUP(Tabela1[[#This Row],[MÊS]]&amp;Tabela1[[#This Row],[ID]]&amp;Tabela1[[#This Row],[MATRICULA]]&amp;"Motorista 3"&amp;Tabela1[[#This Row],[SETOR]],BD!A:AF,26,0),"")</f>
        <v/>
      </c>
      <c r="AO144" s="21" t="str">
        <f>IFERROR(VLOOKUP(Tabela1[[#This Row],[MÊS]]&amp;Tabela1[[#This Row],[ID]]&amp;Tabela1[[#This Row],[MATRICULA]]&amp;"Motorista 4"&amp;Tabela1[[#This Row],[SETOR]],BD!A:AF,26,0),"")</f>
        <v/>
      </c>
      <c r="AP144" s="21" t="str">
        <f>IFERROR(VLOOKUP(Tabela1[[#This Row],[MÊS]]&amp;Tabela1[[#This Row],[MATRICULA]]&amp;"Ponto de Apoio"&amp;Tabela1[[#This Row],[SETOR]],BD!A:AF,31,0),"")</f>
        <v/>
      </c>
      <c r="AQ144" s="21" t="str">
        <f>IFERROR(VLOOKUP(Tabela1[[#This Row],[MÊS]]&amp;Tabela1[[#This Row],[ID]]&amp;Tabela1[[#This Row],[MATRICULA]]&amp;"Ponto de Apoio 2"&amp;Tabela1[[#This Row],[SETOR]],BD!A:AF,26,0),"")</f>
        <v/>
      </c>
      <c r="AR144" s="36" t="str">
        <f>IFERROR(VLOOKUP(Tabela1[[#This Row],[MÊS]]&amp;Tabela1[[#This Row],[ID]]&amp;Tabela1[[#This Row],[MATRICULA]]&amp;"Ponto de Apoio 3"&amp;Tabela1[[#This Row],[SETOR]],BD!A:AF,26,0),"")</f>
        <v/>
      </c>
      <c r="AS144" s="36" t="str">
        <f>IFERROR(VLOOKUP(Tabela1[[#This Row],[MÊS]]&amp;Tabela1[[#This Row],[ID]]&amp;Tabela1[[#This Row],[MATRICULA]]&amp;"Ponto de Apoio 4"&amp;Tabela1[[#This Row],[SETOR]],BD!A:AF,26,0),"")</f>
        <v/>
      </c>
      <c r="AT144" s="21" t="str">
        <f>IFERROR(VLOOKUP(Tabela1[[#This Row],[MÊS]]&amp;Tabela1[[#This Row],[MATRICULA]]&amp;"Cliente"&amp;Tabela1[[#This Row],[SETOR]],BD!A:AF,31,0),"")</f>
        <v/>
      </c>
      <c r="AU144" s="21" t="str">
        <f>IFERROR(VLOOKUP(Tabela1[[#This Row],[MÊS]]&amp;Tabela1[[#This Row],[ID]]&amp;Tabela1[[#This Row],[MATRICULA]]&amp;"Cliente 2"&amp;Tabela1[[#This Row],[SETOR]],BD!A:AF,26,0),"")</f>
        <v/>
      </c>
      <c r="AX144" s="21" t="str">
        <f>IFERROR(VLOOKUP(Tabela1[[#This Row],[MÊS]]&amp;Tabela1[[#This Row],[MATRICULA]]&amp;"Policia"&amp;Tabela1[[#This Row],[SETOR]],BD!A:AF,31,0),"")</f>
        <v/>
      </c>
      <c r="AY144" s="21" t="str">
        <f>IFERROR(VLOOKUP(Tabela1[[#This Row],[MÊS]]&amp;Tabela1[[#This Row],[ID]]&amp;Tabela1[[#This Row],[MATRICULA]]&amp;"Policia 2"&amp;Tabela1[[#This Row],[SETOR]],BD!A:AF,26,0),"")</f>
        <v/>
      </c>
      <c r="AZ144" s="36" t="str">
        <f>IFERROR(VLOOKUP(Tabela1[[#This Row],[MÊS]]&amp;Tabela1[[#This Row],[ID]]&amp;Tabela1[[#This Row],[MATRICULA]]&amp;"Policia 3"&amp;Tabela1[[#This Row],[SETOR]],BD!A:AF,26,0),"")</f>
        <v/>
      </c>
      <c r="BA144" s="36" t="str">
        <f>IFERROR(VLOOKUP(Tabela1[[#This Row],[MÊS]]&amp;Tabela1[[#This Row],[ID]]&amp;Tabela1[[#This Row],[MATRICULA]]&amp;"Policia 4"&amp;Tabela1[[#This Row],[SETOR]],BD!A:AF,26,0),"")</f>
        <v/>
      </c>
      <c r="BB14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4" s="21" t="str">
        <f>IFERROR(AVERAGE(Tabela1[[#This Row],[M]:[M4]]),"")</f>
        <v/>
      </c>
      <c r="BD144" s="21" t="str">
        <f>IFERROR(AVERAGE(Tabela1[[#This Row],[C]:[C4]]),"")</f>
        <v/>
      </c>
      <c r="BE144" s="21" t="str">
        <f>IFERROR(AVERAGE(Tabela1[[#This Row],[PA2]:[PA 4]]),"")</f>
        <v/>
      </c>
      <c r="BF144" s="21" t="str">
        <f>IFERROR(AVERAGE(Tabela1[[#This Row],[PL]:[PL4]]),"")</f>
        <v/>
      </c>
      <c r="BG144" s="35" t="str">
        <f>IFERROR(VLOOKUP(Tabela1[[#This Row],[MÊS]]&amp;Tabela1[[#This Row],[MATRICULA]],#REF!,2,0),"")</f>
        <v/>
      </c>
      <c r="BH144" s="35" t="str">
        <f>IFERROR(VLOOKUP(Tabela1[[#This Row],[MÊS]]&amp;Tabela1[[#This Row],[MATRICULA]],#REF!,2,0),"")</f>
        <v/>
      </c>
      <c r="BI144" s="35" t="str">
        <f>IFERROR(VLOOKUP(Tabela1[[#This Row],[MÊS]]&amp;Tabela1[[#This Row],[MATRICULA]],#REF!,2,0),"")</f>
        <v/>
      </c>
      <c r="BJ144" s="35" t="str">
        <f>IFERROR(VLOOKUP(Tabela1[[#This Row],[MÊS]]&amp;Tabela1[[#This Row],[MATRICULA]],#REF!,2,0),"")</f>
        <v/>
      </c>
      <c r="BK144" s="35" t="str">
        <f>IFERROR(VLOOKUP(Tabela1[[#This Row],[MÊS]]&amp;Tabela1[[#This Row],[MATRICULA]],#REF!,2,0),"")</f>
        <v/>
      </c>
      <c r="BL144" s="21">
        <f>COUNTIF(Tabela1[[#This Row],[MOT2]:[RECEPTIVA]],"NÃO ENCONTRADA")</f>
        <v>0</v>
      </c>
      <c r="BM144" s="135" t="str">
        <f>IFERROR(VLOOKUP(Tabela1[[#This Row],[MÊS]]&amp;Tabela1[[#This Row],[ID]]&amp;Tabela1[[#This Row],[MATRICULA]]&amp;"Motorista"&amp;Tabela1[[#This Row],[SETOR]],BD!A:AF,13,0),"")</f>
        <v/>
      </c>
      <c r="BN144" s="135" t="str">
        <f>IFERROR(VLOOKUP(Tabela1[[#This Row],[MÊS]]&amp;Tabela1[[#This Row],[ID]]&amp;Tabela1[[#This Row],[MATRICULA]]&amp;"Motorista 2"&amp;Tabela1[[#This Row],[SETOR]],BD!A:AF,13,0),"")</f>
        <v/>
      </c>
      <c r="BO144" s="135" t="str">
        <f>IFERROR(VLOOKUP(Tabela1[[#This Row],[MÊS]]&amp;Tabela1[[#This Row],[ID]]&amp;Tabela1[[#This Row],[MATRICULA]]&amp;"Motorista 3"&amp;Tabela1[[#This Row],[SETOR]],BD!A:AF,13,0),"")</f>
        <v/>
      </c>
      <c r="BP144" s="135" t="str">
        <f>IFERROR(VLOOKUP(Tabela1[[#This Row],[MÊS]]&amp;Tabela1[[#This Row],[ID]]&amp;Tabela1[[#This Row],[MATRICULA]]&amp;"Motorista 4"&amp;Tabela1[[#This Row],[SETOR]],BD!A:AF,13,0),"")</f>
        <v/>
      </c>
      <c r="BQ144" s="135" t="str">
        <f>IFERROR(AVERAGE(Tabela1[[#This Row],[DMOT]:[DMOT4]]),"")</f>
        <v/>
      </c>
      <c r="BR144" s="135" t="str">
        <f>IFERROR(VLOOKUP(Tabela1[[#This Row],[MÊS]]&amp;Tabela1[[#This Row],[ID]]&amp;Tabela1[[#This Row],[MATRICULA]]&amp;"Ponto de Apoio"&amp;Tabela1[[#This Row],[SETOR]],BD!A:AF,13,0),"")</f>
        <v/>
      </c>
      <c r="BS144" s="135" t="str">
        <f>IFERROR(VLOOKUP(Tabela1[[#This Row],[MÊS]]&amp;Tabela1[[#This Row],[ID]]&amp;Tabela1[[#This Row],[MATRICULA]]&amp;"Ponto de Apoio 2"&amp;Tabela1[[#This Row],[SETOR]],BD!A:AF,13,0),"")</f>
        <v/>
      </c>
      <c r="BT144" s="135" t="str">
        <f>IFERROR(VLOOKUP(Tabela1[[#This Row],[MÊS]]&amp;Tabela1[[#This Row],[ID]]&amp;Tabela1[[#This Row],[MATRICULA]]&amp;"Ponto de Apoio 3"&amp;Tabela1[[#This Row],[SETOR]],BD!A:AF,13,0),"")</f>
        <v/>
      </c>
      <c r="BU144" s="135" t="str">
        <f>IFERROR(VLOOKUP(Tabela1[[#This Row],[MÊS]]&amp;Tabela1[[#This Row],[ID]]&amp;Tabela1[[#This Row],[MATRICULA]]&amp;"Ponto de Apoio 4"&amp;Tabela1[[#This Row],[SETOR]],BD!A:AF,13,0),"")</f>
        <v/>
      </c>
      <c r="BV144" s="135" t="str">
        <f>IFERROR(AVERAGE(Tabela1[[#This Row],[DPA]:[DPA 4]]),"")</f>
        <v/>
      </c>
      <c r="BW144" s="135" t="str">
        <f>IFERROR(VLOOKUP(Tabela1[[#This Row],[MÊS]]&amp;Tabela1[[#This Row],[ID]]&amp;Tabela1[[#This Row],[MATRICULA]]&amp;"Cliente"&amp;Tabela1[[#This Row],[SETOR]],BD!A:AF,13,0),"")</f>
        <v/>
      </c>
      <c r="BX144" s="135" t="str">
        <f>IFERROR(VLOOKUP(Tabela1[[#This Row],[MÊS]]&amp;Tabela1[[#This Row],[ID]]&amp;Tabela1[[#This Row],[MATRICULA]]&amp;"cliente 2"&amp;Tabela1[[#This Row],[SETOR]],BD!A:AF,13,0),"")</f>
        <v/>
      </c>
      <c r="BY144" s="135" t="str">
        <f>IFERROR(VLOOKUP(Tabela1[[#This Row],[MÊS]]&amp;Tabela1[[#This Row],[ID]]&amp;Tabela1[[#This Row],[MATRICULA]]&amp;"cliente 3"&amp;Tabela1[[#This Row],[SETOR]],BD!A:AF,13,0),"")</f>
        <v/>
      </c>
      <c r="BZ144" s="135" t="str">
        <f>IFERROR(VLOOKUP(Tabela1[[#This Row],[MÊS]]&amp;Tabela1[[#This Row],[ID]]&amp;Tabela1[[#This Row],[MATRICULA]]&amp;"cliente 4"&amp;Tabela1[[#This Row],[SETOR]],BD!A:AF,13,0),"")</f>
        <v/>
      </c>
      <c r="CA144" s="135" t="str">
        <f>IFERROR(AVERAGE(Tabela1[[#This Row],[DCLI]:[DCLI 4]]),"")</f>
        <v/>
      </c>
      <c r="CB144" s="135" t="str">
        <f>IFERROR(VLOOKUP(Tabela1[[#This Row],[MÊS]]&amp;Tabela1[[#This Row],[ID]]&amp;Tabela1[[#This Row],[MATRICULA]]&amp;"Policia"&amp;Tabela1[[#This Row],[SETOR]],BD!A:AF,13,0),"")</f>
        <v/>
      </c>
      <c r="CC144" s="135" t="str">
        <f>IFERROR(VLOOKUP(Tabela1[[#This Row],[MÊS]]&amp;Tabela1[[#This Row],[ID]]&amp;Tabela1[[#This Row],[MATRICULA]]&amp;"Policia 2"&amp;Tabela1[[#This Row],[SETOR]],BD!A:AF,13,0),"")</f>
        <v/>
      </c>
      <c r="CD144" s="135"/>
      <c r="CE144" s="135"/>
      <c r="CF144" s="135" t="str">
        <f>IFERROR((AVERAGE(Tabela1[[#This Row],[DPOL1]:[DPOL4]])),"")</f>
        <v/>
      </c>
      <c r="CG144" s="21" t="str">
        <f>IFERROR(VLOOKUP(Tabela1[[#This Row],[ID]]&amp;Tabela1[[#This Row],[MÊS]]&amp;Tabela1[[#This Row],[MATRICULA]],#REF!,2,0),"")</f>
        <v/>
      </c>
      <c r="CH144" s="21" t="str">
        <f>IFERROR(VLOOKUP(Tabela1[[#This Row],[ID]]&amp;Tabela1[[#This Row],[MÊS]]&amp;Tabela1[[#This Row],[MATRICULA]],#REF!,2,0),"")</f>
        <v/>
      </c>
      <c r="CI144" s="21" t="str">
        <f>IFERROR(VLOOKUP(Tabela1[[#This Row],[MÊS]]&amp;Tabela1[[#This Row],[MATRICULA]],#REF!,2,0),"")</f>
        <v/>
      </c>
    </row>
    <row r="145" spans="1:87">
      <c r="A145" s="12" t="str">
        <f>Tabela1[[#This Row],[MÊS]]&amp;Tabela1[[#This Row],[MATRICULA]]&amp;Tabela1[[#This Row],[ID]]</f>
        <v>JAN112054</v>
      </c>
      <c r="B145" s="12" t="str">
        <f>Tabela1[[#This Row],[MÊS]]&amp;Tabela1[[#This Row],[ID]]&amp;Tabela1[[#This Row],[MATRICULA]]&amp;Tabela1[[#This Row],[SETOR]]</f>
        <v>JAN411205LOGÍSTICA</v>
      </c>
      <c r="C145" s="130" t="e">
        <f>VLOOKUP(Tabela1[[#This Row],[MATRICULA]],'BD Campos'!A:D,5,0)</f>
        <v>#REF!</v>
      </c>
      <c r="D145" s="133" t="str">
        <f ca="1">IFERROR(SUM(TODAY()-Tabela1[[#This Row],[ADMISSÃO]]),"")</f>
        <v/>
      </c>
      <c r="E145" s="11" t="str">
        <f ca="1">IFERROR(TRUNC(Tabela1[[#This Row],[TEMPO DE CASA (DIAS)]]/30),"")</f>
        <v/>
      </c>
      <c r="F145" s="32" t="str">
        <f ca="1">IFERROR(SUM(Tabela1[[#This Row],[TEMPO DE CASA (MESES)]]/12),"")</f>
        <v/>
      </c>
      <c r="G145" s="133" t="str">
        <f ca="1">IF(Tabela1[[#This Row],[TEMPO DE CASA (DIAS)]]="","SEM DADOS",IF(Tabela1[[#This Row],[TEMPO DE CASA (DIAS)]]&gt;180,"&gt; 6 MESES","&lt; 6 MESES"))</f>
        <v>SEM DADOS</v>
      </c>
      <c r="H145" s="12" t="str">
        <f t="shared" si="13"/>
        <v>JANRichard Marques4</v>
      </c>
      <c r="I145" s="12" t="str">
        <f>IFERROR(VLOOKUP(Tabela1[[#This Row],[MATRICULA]],'BD Campos'!A:F,7,0),"")</f>
        <v/>
      </c>
      <c r="J145" s="11">
        <v>4</v>
      </c>
      <c r="K145" s="11" t="s">
        <v>669</v>
      </c>
      <c r="L145" s="136">
        <v>11205</v>
      </c>
      <c r="M145" s="12" t="str">
        <f>IFERROR(VLOOKUP(Tabela1[[#This Row],[MATRICULA]],'BD Campos'!A:B,2,0),"")</f>
        <v>MARIA EDUARDA DE SOUZA</v>
      </c>
      <c r="N145" s="20">
        <f>IFERROR(AVERAGE(Tabela1[[#This Row],[A1]:[A4]]),"")</f>
        <v>7.9</v>
      </c>
      <c r="O145" s="20" t="str">
        <f>IFERROR(IF(Tabela1[[#This Row],[SETOR]]="RECEPTIVO","",AVERAGE(Tabela1[[#This Row],[A5]:[A6]])),"")</f>
        <v/>
      </c>
      <c r="P145" s="20" t="str">
        <f>IFERROR(IF(Tabela1[[#This Row],[STATUS]]="INATIVO","INATIVO",IF(Tabela1[[#This Row],[STATUS]]="QRT","INATIVO",IF(Tabela1[[#This Row],[OPERACIONAL]]&gt;7.99999,"BOM","RUIM"))),"")</f>
        <v>RUIM</v>
      </c>
      <c r="Q145" s="21" t="s">
        <v>667</v>
      </c>
      <c r="R145" s="12" t="s">
        <v>315</v>
      </c>
      <c r="S145" s="12" t="s">
        <v>704</v>
      </c>
      <c r="T145" s="12" t="s">
        <v>315</v>
      </c>
      <c r="U14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5" s="12">
        <f>IF(AND(Tabela1[[#This Row],[SETOR]]="UTI",Tabela1[[#This Row],[M]]&lt;&gt;""),1,IF(AND(Tabela1[[#This Row],[SETOR]]="UTI (RJ)",Tabela1[[#This Row],[M]]&lt;&gt;""),1.5,0))</f>
        <v>0</v>
      </c>
      <c r="X145" s="12">
        <f>IF(AND(Tabela1[[#This Row],[SETOR]]="UTI",Tabela1[[#This Row],[PA2]]&lt;&gt;""),1,IF(AND(Tabela1[[#This Row],[SETOR]]="UTI (RJ)",Tabela1[[#This Row],[PA2]]&lt;&gt;""),0,0))</f>
        <v>0</v>
      </c>
      <c r="Y145" s="12">
        <f>IF(AND(Tabela1[[#This Row],[SETOR]]="UTI",Tabela1[[#This Row],[C]]&lt;&gt;""),1,IF(AND(Tabela1[[#This Row],[SETOR]]="UTI (RJ)",Tabela1[[#This Row],[C]]&lt;&gt;""),1.5,0))</f>
        <v>0</v>
      </c>
      <c r="Z145" s="12">
        <f>IF(AND(Tabela1[[#This Row],[SETOR]]="UTI",Tabela1[[#This Row],[PL]]&lt;&gt;""),1,IF(AND(Tabela1[[#This Row],[SETOR]]="UTI (RJ)",Tabela1[[#This Row],[PL]]&lt;&gt;""),1,0))</f>
        <v>0</v>
      </c>
      <c r="AA145" s="21">
        <f>IFERROR(VLOOKUP(Tabela1[[#This Row],[MÊS]]&amp;Tabela1[[#This Row],[MATRICULA]]&amp;"1"&amp;Tabela1[[#This Row],[SETOR]]&amp;"PADRÃO",BD!B:AF,31,0),"")</f>
        <v>9.6850000000000005</v>
      </c>
      <c r="AB145" s="21">
        <f>IFERROR(VLOOKUP(Tabela1[[#This Row],[MÊS]]&amp;Tabela1[[#This Row],[MATRICULA]]&amp;"2"&amp;Tabela1[[#This Row],[SETOR]]&amp;"PADRÃO",BD!B:AF,31,0),"")</f>
        <v>6.1150000000000011</v>
      </c>
      <c r="AC145" s="21" t="str">
        <f>IFERROR(VLOOKUP(Tabela1[[#This Row],[MÊS]]&amp;Tabela1[[#This Row],[MATRICULA]]&amp;"3"&amp;Tabela1[[#This Row],[SETOR]]&amp;"PADRÃO",BD!B:AF,31,0),"")</f>
        <v/>
      </c>
      <c r="AD145" s="21" t="str">
        <f>IFERROR(VLOOKUP(Tabela1[[#This Row],[MÊS]]&amp;Tabela1[[#This Row],[MATRICULA]]&amp;"4"&amp;Tabela1[[#This Row],[SETOR]]&amp;"PADRÃO",BD!B:AF,25,0),"")</f>
        <v/>
      </c>
      <c r="AE145" s="21" t="str">
        <f>IFERROR(VLOOKUP(Tabela1[[#This Row],[MÊS]]&amp;Tabela1[[#This Row],[MATRICULA]]&amp;"5"&amp;Tabela1[[#This Row],[SETOR]]&amp;"PADRÃO",BD!B:AF,31,0),"")</f>
        <v/>
      </c>
      <c r="AF145" s="21" t="str">
        <f>IFERROR(VLOOKUP(Tabela1[[#This Row],[MÊS]]&amp;Tabela1[[#This Row],[MATRICULA]]&amp;"6"&amp;Tabela1[[#This Row],[SETOR]]&amp;"PADRÃO",BD!B:AF,31,0),"")</f>
        <v/>
      </c>
      <c r="AG145" s="21" t="str">
        <f>IFERROR(VLOOKUP(Tabela1[[#This Row],[MÊS]]&amp;Tabela1[[#This Row],[MATRICULA]]&amp;"7"&amp;Tabela1[[#This Row],[SETOR]]&amp;"PADRÃO",BD!B:AF,31,0),"")</f>
        <v/>
      </c>
      <c r="AH145" s="21" t="str">
        <f>IFERROR(VLOOKUP(Tabela1[[#This Row],[MÊS]]&amp;Tabela1[[#This Row],[ID]]&amp;Tabela1[[#This Row],[MATRICULA]]&amp;"Receptiva"&amp;Tabela1[[#This Row],[SETOR]],BD!A:AF,31,0),"")</f>
        <v/>
      </c>
      <c r="AI145" s="21" t="str">
        <f>IFERROR(VLOOKUP(Tabela1[[#This Row],[MÊS]]&amp;Tabela1[[#This Row],[ID]]&amp;Tabela1[[#This Row],[MATRICULA]]&amp;"Receptiva 2"&amp;Tabela1[[#This Row],[SETOR]],BD!A:AF,31,0),"")</f>
        <v/>
      </c>
      <c r="AJ145" s="21" t="str">
        <f>IFERROR(VLOOKUP(Tabela1[[#This Row],[MÊS]]&amp;Tabela1[[#This Row],[ID]]&amp;Tabela1[[#This Row],[MATRICULA]]&amp;"Receptiva 3"&amp;Tabela1[[#This Row],[SETOR]],BD!A:AF,31,0),"")</f>
        <v/>
      </c>
      <c r="AK145" s="21" t="str">
        <f>IFERROR(VLOOKUP(Tabela1[[#This Row],[MÊS]]&amp;Tabela1[[#This Row],[ID]]&amp;Tabela1[[#This Row],[MATRICULA]]&amp;"Receptiva 4"&amp;Tabela1[[#This Row],[SETOR]],BD!A:AF,31,0),"")</f>
        <v/>
      </c>
      <c r="AL145" s="21">
        <f>IFERROR(VLOOKUP(Tabela1[[#This Row],[MÊS]]&amp;Tabela1[[#This Row],[MATRICULA]]&amp;"Motorista"&amp;Tabela1[[#This Row],[SETOR]],BD!A:AF,31,0),"")</f>
        <v>0</v>
      </c>
      <c r="AM145" s="21" t="str">
        <f>IFERROR(VLOOKUP(Tabela1[[#This Row],[MÊS]]&amp;Tabela1[[#This Row],[ID]]&amp;Tabela1[[#This Row],[MATRICULA]]&amp;"Motorista 2"&amp;Tabela1[[#This Row],[SETOR]],BD!A:AF,26,0),"")</f>
        <v/>
      </c>
      <c r="AN145" s="21" t="str">
        <f>IFERROR(VLOOKUP(Tabela1[[#This Row],[MÊS]]&amp;Tabela1[[#This Row],[ID]]&amp;Tabela1[[#This Row],[MATRICULA]]&amp;"Motorista 3"&amp;Tabela1[[#This Row],[SETOR]],BD!A:AF,26,0),"")</f>
        <v/>
      </c>
      <c r="AO145" s="21" t="str">
        <f>IFERROR(VLOOKUP(Tabela1[[#This Row],[MÊS]]&amp;Tabela1[[#This Row],[ID]]&amp;Tabela1[[#This Row],[MATRICULA]]&amp;"Motorista 4"&amp;Tabela1[[#This Row],[SETOR]],BD!A:AF,26,0),"")</f>
        <v/>
      </c>
      <c r="AP145" s="21" t="str">
        <f>IFERROR(VLOOKUP(Tabela1[[#This Row],[MÊS]]&amp;Tabela1[[#This Row],[MATRICULA]]&amp;"Ponto de Apoio"&amp;Tabela1[[#This Row],[SETOR]],BD!A:AF,31,0),"")</f>
        <v/>
      </c>
      <c r="AQ145" s="21" t="str">
        <f>IFERROR(VLOOKUP(Tabela1[[#This Row],[MÊS]]&amp;Tabela1[[#This Row],[ID]]&amp;Tabela1[[#This Row],[MATRICULA]]&amp;"Ponto de Apoio 2"&amp;Tabela1[[#This Row],[SETOR]],BD!A:AF,26,0),"")</f>
        <v/>
      </c>
      <c r="AR145" s="36" t="str">
        <f>IFERROR(VLOOKUP(Tabela1[[#This Row],[MÊS]]&amp;Tabela1[[#This Row],[ID]]&amp;Tabela1[[#This Row],[MATRICULA]]&amp;"Ponto de Apoio 3"&amp;Tabela1[[#This Row],[SETOR]],BD!A:AF,26,0),"")</f>
        <v/>
      </c>
      <c r="AS145" s="36" t="str">
        <f>IFERROR(VLOOKUP(Tabela1[[#This Row],[MÊS]]&amp;Tabela1[[#This Row],[ID]]&amp;Tabela1[[#This Row],[MATRICULA]]&amp;"Ponto de Apoio 4"&amp;Tabela1[[#This Row],[SETOR]],BD!A:AF,26,0),"")</f>
        <v/>
      </c>
      <c r="AT145" s="21">
        <f>IFERROR(VLOOKUP(Tabela1[[#This Row],[MÊS]]&amp;Tabela1[[#This Row],[MATRICULA]]&amp;"Cliente"&amp;Tabela1[[#This Row],[SETOR]],BD!A:AF,31,0),"")</f>
        <v>0</v>
      </c>
      <c r="AU145" s="21" t="str">
        <f>IFERROR(VLOOKUP(Tabela1[[#This Row],[MÊS]]&amp;Tabela1[[#This Row],[ID]]&amp;Tabela1[[#This Row],[MATRICULA]]&amp;"Cliente 2"&amp;Tabela1[[#This Row],[SETOR]],BD!A:AF,26,0),"")</f>
        <v/>
      </c>
      <c r="AX145" s="21" t="str">
        <f>IFERROR(VLOOKUP(Tabela1[[#This Row],[MÊS]]&amp;Tabela1[[#This Row],[MATRICULA]]&amp;"Policia"&amp;Tabela1[[#This Row],[SETOR]],BD!A:AF,31,0),"")</f>
        <v/>
      </c>
      <c r="AY145" s="21" t="str">
        <f>IFERROR(VLOOKUP(Tabela1[[#This Row],[MÊS]]&amp;Tabela1[[#This Row],[ID]]&amp;Tabela1[[#This Row],[MATRICULA]]&amp;"Policia 2"&amp;Tabela1[[#This Row],[SETOR]],BD!A:AF,26,0),"")</f>
        <v/>
      </c>
      <c r="AZ145" s="36" t="str">
        <f>IFERROR(VLOOKUP(Tabela1[[#This Row],[MÊS]]&amp;Tabela1[[#This Row],[ID]]&amp;Tabela1[[#This Row],[MATRICULA]]&amp;"Policia 3"&amp;Tabela1[[#This Row],[SETOR]],BD!A:AF,26,0),"")</f>
        <v/>
      </c>
      <c r="BA145" s="36" t="str">
        <f>IFERROR(VLOOKUP(Tabela1[[#This Row],[MÊS]]&amp;Tabela1[[#This Row],[ID]]&amp;Tabela1[[#This Row],[MATRICULA]]&amp;"Policia 4"&amp;Tabela1[[#This Row],[SETOR]],BD!A:AF,26,0),"")</f>
        <v/>
      </c>
      <c r="BB14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5" s="21">
        <f>IFERROR(AVERAGE(Tabela1[[#This Row],[M]:[M4]]),"")</f>
        <v>0</v>
      </c>
      <c r="BD145" s="21">
        <f>IFERROR(AVERAGE(Tabela1[[#This Row],[C]:[C4]]),"")</f>
        <v>0</v>
      </c>
      <c r="BE145" s="21" t="str">
        <f>IFERROR(AVERAGE(Tabela1[[#This Row],[PA2]:[PA 4]]),"")</f>
        <v/>
      </c>
      <c r="BF145" s="21" t="str">
        <f>IFERROR(AVERAGE(Tabela1[[#This Row],[PL]:[PL4]]),"")</f>
        <v/>
      </c>
      <c r="BG145" s="35" t="str">
        <f>IFERROR(VLOOKUP(Tabela1[[#This Row],[MÊS]]&amp;Tabela1[[#This Row],[MATRICULA]],#REF!,2,0),"")</f>
        <v/>
      </c>
      <c r="BH145" s="35" t="str">
        <f>IFERROR(VLOOKUP(Tabela1[[#This Row],[MÊS]]&amp;Tabela1[[#This Row],[MATRICULA]],#REF!,2,0),"")</f>
        <v/>
      </c>
      <c r="BI145" s="35" t="str">
        <f>IFERROR(VLOOKUP(Tabela1[[#This Row],[MÊS]]&amp;Tabela1[[#This Row],[MATRICULA]],#REF!,2,0),"")</f>
        <v/>
      </c>
      <c r="BJ145" s="35" t="str">
        <f>IFERROR(VLOOKUP(Tabela1[[#This Row],[MÊS]]&amp;Tabela1[[#This Row],[MATRICULA]],#REF!,2,0),"")</f>
        <v/>
      </c>
      <c r="BK145" s="35" t="str">
        <f>IFERROR(VLOOKUP(Tabela1[[#This Row],[MÊS]]&amp;Tabela1[[#This Row],[MATRICULA]],#REF!,2,0),"")</f>
        <v/>
      </c>
      <c r="BL145" s="21">
        <f>COUNTIF(Tabela1[[#This Row],[MOT2]:[RECEPTIVA]],"NÃO ENCONTRADA")</f>
        <v>0</v>
      </c>
      <c r="BM145" s="135" t="str">
        <f>IFERROR(VLOOKUP(Tabela1[[#This Row],[MÊS]]&amp;Tabela1[[#This Row],[ID]]&amp;Tabela1[[#This Row],[MATRICULA]]&amp;"Motorista"&amp;Tabela1[[#This Row],[SETOR]],BD!A:AF,13,0),"")</f>
        <v/>
      </c>
      <c r="BN145" s="135" t="str">
        <f>IFERROR(VLOOKUP(Tabela1[[#This Row],[MÊS]]&amp;Tabela1[[#This Row],[ID]]&amp;Tabela1[[#This Row],[MATRICULA]]&amp;"Motorista 2"&amp;Tabela1[[#This Row],[SETOR]],BD!A:AF,13,0),"")</f>
        <v/>
      </c>
      <c r="BO145" s="135" t="str">
        <f>IFERROR(VLOOKUP(Tabela1[[#This Row],[MÊS]]&amp;Tabela1[[#This Row],[ID]]&amp;Tabela1[[#This Row],[MATRICULA]]&amp;"Motorista 3"&amp;Tabela1[[#This Row],[SETOR]],BD!A:AF,13,0),"")</f>
        <v/>
      </c>
      <c r="BP145" s="135" t="str">
        <f>IFERROR(VLOOKUP(Tabela1[[#This Row],[MÊS]]&amp;Tabela1[[#This Row],[ID]]&amp;Tabela1[[#This Row],[MATRICULA]]&amp;"Motorista 4"&amp;Tabela1[[#This Row],[SETOR]],BD!A:AF,13,0),"")</f>
        <v/>
      </c>
      <c r="BQ145" s="135" t="str">
        <f>IFERROR(AVERAGE(Tabela1[[#This Row],[DMOT]:[DMOT4]]),"")</f>
        <v/>
      </c>
      <c r="BR145" s="135" t="str">
        <f>IFERROR(VLOOKUP(Tabela1[[#This Row],[MÊS]]&amp;Tabela1[[#This Row],[ID]]&amp;Tabela1[[#This Row],[MATRICULA]]&amp;"Ponto de Apoio"&amp;Tabela1[[#This Row],[SETOR]],BD!A:AF,13,0),"")</f>
        <v/>
      </c>
      <c r="BS145" s="135" t="str">
        <f>IFERROR(VLOOKUP(Tabela1[[#This Row],[MÊS]]&amp;Tabela1[[#This Row],[ID]]&amp;Tabela1[[#This Row],[MATRICULA]]&amp;"Ponto de Apoio 2"&amp;Tabela1[[#This Row],[SETOR]],BD!A:AF,13,0),"")</f>
        <v/>
      </c>
      <c r="BT145" s="135" t="str">
        <f>IFERROR(VLOOKUP(Tabela1[[#This Row],[MÊS]]&amp;Tabela1[[#This Row],[ID]]&amp;Tabela1[[#This Row],[MATRICULA]]&amp;"Ponto de Apoio 3"&amp;Tabela1[[#This Row],[SETOR]],BD!A:AF,13,0),"")</f>
        <v/>
      </c>
      <c r="BU145" s="135" t="str">
        <f>IFERROR(VLOOKUP(Tabela1[[#This Row],[MÊS]]&amp;Tabela1[[#This Row],[ID]]&amp;Tabela1[[#This Row],[MATRICULA]]&amp;"Ponto de Apoio 4"&amp;Tabela1[[#This Row],[SETOR]],BD!A:AF,13,0),"")</f>
        <v/>
      </c>
      <c r="BV145" s="135" t="str">
        <f>IFERROR(AVERAGE(Tabela1[[#This Row],[DPA]:[DPA 4]]),"")</f>
        <v/>
      </c>
      <c r="BW145" s="135" t="str">
        <f>IFERROR(VLOOKUP(Tabela1[[#This Row],[MÊS]]&amp;Tabela1[[#This Row],[ID]]&amp;Tabela1[[#This Row],[MATRICULA]]&amp;"Cliente"&amp;Tabela1[[#This Row],[SETOR]],BD!A:AF,13,0),"")</f>
        <v/>
      </c>
      <c r="BX145" s="135" t="str">
        <f>IFERROR(VLOOKUP(Tabela1[[#This Row],[MÊS]]&amp;Tabela1[[#This Row],[ID]]&amp;Tabela1[[#This Row],[MATRICULA]]&amp;"cliente 2"&amp;Tabela1[[#This Row],[SETOR]],BD!A:AF,13,0),"")</f>
        <v/>
      </c>
      <c r="BY145" s="135" t="str">
        <f>IFERROR(VLOOKUP(Tabela1[[#This Row],[MÊS]]&amp;Tabela1[[#This Row],[ID]]&amp;Tabela1[[#This Row],[MATRICULA]]&amp;"cliente 3"&amp;Tabela1[[#This Row],[SETOR]],BD!A:AF,13,0),"")</f>
        <v/>
      </c>
      <c r="BZ145" s="135" t="str">
        <f>IFERROR(VLOOKUP(Tabela1[[#This Row],[MÊS]]&amp;Tabela1[[#This Row],[ID]]&amp;Tabela1[[#This Row],[MATRICULA]]&amp;"cliente 4"&amp;Tabela1[[#This Row],[SETOR]],BD!A:AF,13,0),"")</f>
        <v/>
      </c>
      <c r="CA145" s="135" t="str">
        <f>IFERROR(AVERAGE(Tabela1[[#This Row],[DCLI]:[DCLI 4]]),"")</f>
        <v/>
      </c>
      <c r="CB145" s="135" t="str">
        <f>IFERROR(VLOOKUP(Tabela1[[#This Row],[MÊS]]&amp;Tabela1[[#This Row],[ID]]&amp;Tabela1[[#This Row],[MATRICULA]]&amp;"Policia"&amp;Tabela1[[#This Row],[SETOR]],BD!A:AF,13,0),"")</f>
        <v/>
      </c>
      <c r="CC145" s="135" t="str">
        <f>IFERROR(VLOOKUP(Tabela1[[#This Row],[MÊS]]&amp;Tabela1[[#This Row],[ID]]&amp;Tabela1[[#This Row],[MATRICULA]]&amp;"Policia 2"&amp;Tabela1[[#This Row],[SETOR]],BD!A:AF,13,0),"")</f>
        <v/>
      </c>
      <c r="CD145" s="135"/>
      <c r="CE145" s="135"/>
      <c r="CF145" s="135" t="str">
        <f>IFERROR((AVERAGE(Tabela1[[#This Row],[DPOL1]:[DPOL4]])),"")</f>
        <v/>
      </c>
      <c r="CG145" s="21" t="str">
        <f>IFERROR(VLOOKUP(Tabela1[[#This Row],[ID]]&amp;Tabela1[[#This Row],[MÊS]]&amp;Tabela1[[#This Row],[MATRICULA]],#REF!,2,0),"")</f>
        <v/>
      </c>
      <c r="CH145" s="21" t="str">
        <f>IFERROR(VLOOKUP(Tabela1[[#This Row],[ID]]&amp;Tabela1[[#This Row],[MÊS]]&amp;Tabela1[[#This Row],[MATRICULA]],#REF!,2,0),"")</f>
        <v/>
      </c>
      <c r="CI145" s="21" t="str">
        <f>IFERROR(VLOOKUP(Tabela1[[#This Row],[MÊS]]&amp;Tabela1[[#This Row],[MATRICULA]],#REF!,2,0),"")</f>
        <v/>
      </c>
    </row>
    <row r="146" spans="1:87">
      <c r="A146" s="12" t="str">
        <f>Tabela1[[#This Row],[MÊS]]&amp;Tabela1[[#This Row],[MATRICULA]]&amp;Tabela1[[#This Row],[ID]]</f>
        <v>JAN114995</v>
      </c>
      <c r="B146" s="12" t="str">
        <f>Tabela1[[#This Row],[MÊS]]&amp;Tabela1[[#This Row],[ID]]&amp;Tabela1[[#This Row],[MATRICULA]]&amp;Tabela1[[#This Row],[SETOR]]</f>
        <v>JAN511499LOGÍSTICA</v>
      </c>
      <c r="C146" s="130" t="e">
        <f>VLOOKUP(Tabela1[[#This Row],[MATRICULA]],'BD Campos'!A:D,5,0)</f>
        <v>#REF!</v>
      </c>
      <c r="D146" s="133" t="str">
        <f ca="1">IFERROR(SUM(TODAY()-Tabela1[[#This Row],[ADMISSÃO]]),"")</f>
        <v/>
      </c>
      <c r="E146" s="11" t="str">
        <f ca="1">IFERROR(TRUNC(Tabela1[[#This Row],[TEMPO DE CASA (DIAS)]]/30),"")</f>
        <v/>
      </c>
      <c r="F146" s="32" t="str">
        <f ca="1">IFERROR(SUM(Tabela1[[#This Row],[TEMPO DE CASA (MESES)]]/12),"")</f>
        <v/>
      </c>
      <c r="G146" s="133" t="str">
        <f ca="1">IF(Tabela1[[#This Row],[TEMPO DE CASA (DIAS)]]="","SEM DADOS",IF(Tabela1[[#This Row],[TEMPO DE CASA (DIAS)]]&gt;180,"&gt; 6 MESES","&lt; 6 MESES"))</f>
        <v>SEM DADOS</v>
      </c>
      <c r="H146" s="12" t="str">
        <f t="shared" si="13"/>
        <v>JANRichard Marques5</v>
      </c>
      <c r="I146" s="12" t="str">
        <f>IFERROR(VLOOKUP(Tabela1[[#This Row],[MATRICULA]],'BD Campos'!A:F,7,0),"")</f>
        <v/>
      </c>
      <c r="J146" s="11">
        <v>5</v>
      </c>
      <c r="K146" s="11" t="s">
        <v>669</v>
      </c>
      <c r="L146" s="136">
        <v>11499</v>
      </c>
      <c r="M146" s="12" t="str">
        <f>IFERROR(VLOOKUP(Tabela1[[#This Row],[MATRICULA]],'BD Campos'!A:B,2,0),"")</f>
        <v>NICOLAS MENDES BUENO</v>
      </c>
      <c r="N146" s="20">
        <f>IFERROR(AVERAGE(Tabela1[[#This Row],[A1]:[A4]]),"")</f>
        <v>9.2124999999999986</v>
      </c>
      <c r="O146" s="20" t="str">
        <f>IFERROR(IF(Tabela1[[#This Row],[SETOR]]="RECEPTIVO","",AVERAGE(Tabela1[[#This Row],[A5]:[A6]])),"")</f>
        <v/>
      </c>
      <c r="P146" s="20" t="str">
        <f>IFERROR(IF(Tabela1[[#This Row],[STATUS]]="INATIVO","INATIVO",IF(Tabela1[[#This Row],[STATUS]]="QRT","INATIVO",IF(Tabela1[[#This Row],[OPERACIONAL]]&gt;7.99999,"BOM","RUIM"))),"")</f>
        <v>BOM</v>
      </c>
      <c r="Q146" s="21" t="s">
        <v>667</v>
      </c>
      <c r="R146" s="12" t="s">
        <v>315</v>
      </c>
      <c r="S146" s="12" t="s">
        <v>704</v>
      </c>
      <c r="T146" s="12" t="s">
        <v>315</v>
      </c>
      <c r="U14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6" s="12">
        <f>IF(AND(Tabela1[[#This Row],[SETOR]]="UTI",Tabela1[[#This Row],[M]]&lt;&gt;""),1,IF(AND(Tabela1[[#This Row],[SETOR]]="UTI (RJ)",Tabela1[[#This Row],[M]]&lt;&gt;""),1.5,0))</f>
        <v>0</v>
      </c>
      <c r="X146" s="12">
        <f>IF(AND(Tabela1[[#This Row],[SETOR]]="UTI",Tabela1[[#This Row],[PA2]]&lt;&gt;""),1,IF(AND(Tabela1[[#This Row],[SETOR]]="UTI (RJ)",Tabela1[[#This Row],[PA2]]&lt;&gt;""),0,0))</f>
        <v>0</v>
      </c>
      <c r="Y146" s="12">
        <f>IF(AND(Tabela1[[#This Row],[SETOR]]="UTI",Tabela1[[#This Row],[C]]&lt;&gt;""),1,IF(AND(Tabela1[[#This Row],[SETOR]]="UTI (RJ)",Tabela1[[#This Row],[C]]&lt;&gt;""),1.5,0))</f>
        <v>0</v>
      </c>
      <c r="Z146" s="12">
        <f>IF(AND(Tabela1[[#This Row],[SETOR]]="UTI",Tabela1[[#This Row],[PL]]&lt;&gt;""),1,IF(AND(Tabela1[[#This Row],[SETOR]]="UTI (RJ)",Tabela1[[#This Row],[PL]]&lt;&gt;""),1,0))</f>
        <v>0</v>
      </c>
      <c r="AA146" s="21">
        <f>IFERROR(VLOOKUP(Tabela1[[#This Row],[MÊS]]&amp;Tabela1[[#This Row],[MATRICULA]]&amp;"1"&amp;Tabela1[[#This Row],[SETOR]]&amp;"PADRÃO",BD!B:AF,31,0),"")</f>
        <v>8.8449999999999989</v>
      </c>
      <c r="AB146" s="21">
        <f>IFERROR(VLOOKUP(Tabela1[[#This Row],[MÊS]]&amp;Tabela1[[#This Row],[MATRICULA]]&amp;"2"&amp;Tabela1[[#This Row],[SETOR]]&amp;"PADRÃO",BD!B:AF,31,0),"")</f>
        <v>9.58</v>
      </c>
      <c r="AC146" s="21" t="str">
        <f>IFERROR(VLOOKUP(Tabela1[[#This Row],[MÊS]]&amp;Tabela1[[#This Row],[MATRICULA]]&amp;"3"&amp;Tabela1[[#This Row],[SETOR]]&amp;"PADRÃO",BD!B:AF,31,0),"")</f>
        <v/>
      </c>
      <c r="AD146" s="21" t="str">
        <f>IFERROR(VLOOKUP(Tabela1[[#This Row],[MÊS]]&amp;Tabela1[[#This Row],[MATRICULA]]&amp;"4"&amp;Tabela1[[#This Row],[SETOR]]&amp;"PADRÃO",BD!B:AF,25,0),"")</f>
        <v/>
      </c>
      <c r="AE146" s="21" t="str">
        <f>IFERROR(VLOOKUP(Tabela1[[#This Row],[MÊS]]&amp;Tabela1[[#This Row],[MATRICULA]]&amp;"5"&amp;Tabela1[[#This Row],[SETOR]]&amp;"PADRÃO",BD!B:AF,31,0),"")</f>
        <v/>
      </c>
      <c r="AF146" s="21" t="str">
        <f>IFERROR(VLOOKUP(Tabela1[[#This Row],[MÊS]]&amp;Tabela1[[#This Row],[MATRICULA]]&amp;"6"&amp;Tabela1[[#This Row],[SETOR]]&amp;"PADRÃO",BD!B:AF,31,0),"")</f>
        <v/>
      </c>
      <c r="AG146" s="21" t="str">
        <f>IFERROR(VLOOKUP(Tabela1[[#This Row],[MÊS]]&amp;Tabela1[[#This Row],[MATRICULA]]&amp;"7"&amp;Tabela1[[#This Row],[SETOR]]&amp;"PADRÃO",BD!B:AF,31,0),"")</f>
        <v/>
      </c>
      <c r="AH146" s="21" t="str">
        <f>IFERROR(VLOOKUP(Tabela1[[#This Row],[MÊS]]&amp;Tabela1[[#This Row],[ID]]&amp;Tabela1[[#This Row],[MATRICULA]]&amp;"Receptiva"&amp;Tabela1[[#This Row],[SETOR]],BD!A:AF,31,0),"")</f>
        <v/>
      </c>
      <c r="AI146" s="21" t="str">
        <f>IFERROR(VLOOKUP(Tabela1[[#This Row],[MÊS]]&amp;Tabela1[[#This Row],[ID]]&amp;Tabela1[[#This Row],[MATRICULA]]&amp;"Receptiva 2"&amp;Tabela1[[#This Row],[SETOR]],BD!A:AF,31,0),"")</f>
        <v/>
      </c>
      <c r="AJ146" s="21" t="str">
        <f>IFERROR(VLOOKUP(Tabela1[[#This Row],[MÊS]]&amp;Tabela1[[#This Row],[ID]]&amp;Tabela1[[#This Row],[MATRICULA]]&amp;"Receptiva 3"&amp;Tabela1[[#This Row],[SETOR]],BD!A:AF,31,0),"")</f>
        <v/>
      </c>
      <c r="AK146" s="21" t="str">
        <f>IFERROR(VLOOKUP(Tabela1[[#This Row],[MÊS]]&amp;Tabela1[[#This Row],[ID]]&amp;Tabela1[[#This Row],[MATRICULA]]&amp;"Receptiva 4"&amp;Tabela1[[#This Row],[SETOR]],BD!A:AF,31,0),"")</f>
        <v/>
      </c>
      <c r="AL146" s="21">
        <f>IFERROR(VLOOKUP(Tabela1[[#This Row],[MÊS]]&amp;Tabela1[[#This Row],[MATRICULA]]&amp;"Motorista"&amp;Tabela1[[#This Row],[SETOR]],BD!A:AF,31,0),"")</f>
        <v>0</v>
      </c>
      <c r="AM146" s="21" t="str">
        <f>IFERROR(VLOOKUP(Tabela1[[#This Row],[MÊS]]&amp;Tabela1[[#This Row],[ID]]&amp;Tabela1[[#This Row],[MATRICULA]]&amp;"Motorista 2"&amp;Tabela1[[#This Row],[SETOR]],BD!A:AF,26,0),"")</f>
        <v/>
      </c>
      <c r="AN146" s="21" t="str">
        <f>IFERROR(VLOOKUP(Tabela1[[#This Row],[MÊS]]&amp;Tabela1[[#This Row],[ID]]&amp;Tabela1[[#This Row],[MATRICULA]]&amp;"Motorista 3"&amp;Tabela1[[#This Row],[SETOR]],BD!A:AF,26,0),"")</f>
        <v/>
      </c>
      <c r="AO146" s="21" t="str">
        <f>IFERROR(VLOOKUP(Tabela1[[#This Row],[MÊS]]&amp;Tabela1[[#This Row],[ID]]&amp;Tabela1[[#This Row],[MATRICULA]]&amp;"Motorista 4"&amp;Tabela1[[#This Row],[SETOR]],BD!A:AF,26,0),"")</f>
        <v/>
      </c>
      <c r="AP146" s="21" t="str">
        <f>IFERROR(VLOOKUP(Tabela1[[#This Row],[MÊS]]&amp;Tabela1[[#This Row],[MATRICULA]]&amp;"Ponto de Apoio"&amp;Tabela1[[#This Row],[SETOR]],BD!A:AF,31,0),"")</f>
        <v/>
      </c>
      <c r="AQ146" s="21" t="str">
        <f>IFERROR(VLOOKUP(Tabela1[[#This Row],[MÊS]]&amp;Tabela1[[#This Row],[ID]]&amp;Tabela1[[#This Row],[MATRICULA]]&amp;"Ponto de Apoio 2"&amp;Tabela1[[#This Row],[SETOR]],BD!A:AF,26,0),"")</f>
        <v/>
      </c>
      <c r="AR146" s="36" t="str">
        <f>IFERROR(VLOOKUP(Tabela1[[#This Row],[MÊS]]&amp;Tabela1[[#This Row],[ID]]&amp;Tabela1[[#This Row],[MATRICULA]]&amp;"Ponto de Apoio 3"&amp;Tabela1[[#This Row],[SETOR]],BD!A:AF,26,0),"")</f>
        <v/>
      </c>
      <c r="AS146" s="36" t="str">
        <f>IFERROR(VLOOKUP(Tabela1[[#This Row],[MÊS]]&amp;Tabela1[[#This Row],[ID]]&amp;Tabela1[[#This Row],[MATRICULA]]&amp;"Ponto de Apoio 4"&amp;Tabela1[[#This Row],[SETOR]],BD!A:AF,26,0),"")</f>
        <v/>
      </c>
      <c r="AT146" s="21">
        <f>IFERROR(VLOOKUP(Tabela1[[#This Row],[MÊS]]&amp;Tabela1[[#This Row],[MATRICULA]]&amp;"Cliente"&amp;Tabela1[[#This Row],[SETOR]],BD!A:AF,31,0),"")</f>
        <v>0</v>
      </c>
      <c r="AU146" s="21" t="str">
        <f>IFERROR(VLOOKUP(Tabela1[[#This Row],[MÊS]]&amp;Tabela1[[#This Row],[ID]]&amp;Tabela1[[#This Row],[MATRICULA]]&amp;"Cliente 2"&amp;Tabela1[[#This Row],[SETOR]],BD!A:AF,26,0),"")</f>
        <v/>
      </c>
      <c r="AX146" s="21" t="str">
        <f>IFERROR(VLOOKUP(Tabela1[[#This Row],[MÊS]]&amp;Tabela1[[#This Row],[MATRICULA]]&amp;"Policia"&amp;Tabela1[[#This Row],[SETOR]],BD!A:AF,31,0),"")</f>
        <v/>
      </c>
      <c r="AY146" s="21" t="str">
        <f>IFERROR(VLOOKUP(Tabela1[[#This Row],[MÊS]]&amp;Tabela1[[#This Row],[ID]]&amp;Tabela1[[#This Row],[MATRICULA]]&amp;"Policia 2"&amp;Tabela1[[#This Row],[SETOR]],BD!A:AF,26,0),"")</f>
        <v/>
      </c>
      <c r="AZ146" s="36" t="str">
        <f>IFERROR(VLOOKUP(Tabela1[[#This Row],[MÊS]]&amp;Tabela1[[#This Row],[ID]]&amp;Tabela1[[#This Row],[MATRICULA]]&amp;"Policia 3"&amp;Tabela1[[#This Row],[SETOR]],BD!A:AF,26,0),"")</f>
        <v/>
      </c>
      <c r="BA146" s="36" t="str">
        <f>IFERROR(VLOOKUP(Tabela1[[#This Row],[MÊS]]&amp;Tabela1[[#This Row],[ID]]&amp;Tabela1[[#This Row],[MATRICULA]]&amp;"Policia 4"&amp;Tabela1[[#This Row],[SETOR]],BD!A:AF,26,0),"")</f>
        <v/>
      </c>
      <c r="BB14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6" s="21">
        <f>IFERROR(AVERAGE(Tabela1[[#This Row],[M]:[M4]]),"")</f>
        <v>0</v>
      </c>
      <c r="BD146" s="21">
        <f>IFERROR(AVERAGE(Tabela1[[#This Row],[C]:[C4]]),"")</f>
        <v>0</v>
      </c>
      <c r="BE146" s="21" t="str">
        <f>IFERROR(AVERAGE(Tabela1[[#This Row],[PA2]:[PA 4]]),"")</f>
        <v/>
      </c>
      <c r="BF146" s="21" t="str">
        <f>IFERROR(AVERAGE(Tabela1[[#This Row],[PL]:[PL4]]),"")</f>
        <v/>
      </c>
      <c r="BG146" s="35" t="str">
        <f>IFERROR(VLOOKUP(Tabela1[[#This Row],[MÊS]]&amp;Tabela1[[#This Row],[MATRICULA]],#REF!,2,0),"")</f>
        <v/>
      </c>
      <c r="BH146" s="35" t="str">
        <f>IFERROR(VLOOKUP(Tabela1[[#This Row],[MÊS]]&amp;Tabela1[[#This Row],[MATRICULA]],#REF!,2,0),"")</f>
        <v/>
      </c>
      <c r="BI146" s="35" t="str">
        <f>IFERROR(VLOOKUP(Tabela1[[#This Row],[MÊS]]&amp;Tabela1[[#This Row],[MATRICULA]],#REF!,2,0),"")</f>
        <v/>
      </c>
      <c r="BJ146" s="35" t="str">
        <f>IFERROR(VLOOKUP(Tabela1[[#This Row],[MÊS]]&amp;Tabela1[[#This Row],[MATRICULA]],#REF!,2,0),"")</f>
        <v/>
      </c>
      <c r="BK146" s="35" t="str">
        <f>IFERROR(VLOOKUP(Tabela1[[#This Row],[MÊS]]&amp;Tabela1[[#This Row],[MATRICULA]],#REF!,2,0),"")</f>
        <v/>
      </c>
      <c r="BL146" s="21">
        <f>COUNTIF(Tabela1[[#This Row],[MOT2]:[RECEPTIVA]],"NÃO ENCONTRADA")</f>
        <v>0</v>
      </c>
      <c r="BM146" s="135" t="str">
        <f>IFERROR(VLOOKUP(Tabela1[[#This Row],[MÊS]]&amp;Tabela1[[#This Row],[ID]]&amp;Tabela1[[#This Row],[MATRICULA]]&amp;"Motorista"&amp;Tabela1[[#This Row],[SETOR]],BD!A:AF,13,0),"")</f>
        <v/>
      </c>
      <c r="BN146" s="135" t="str">
        <f>IFERROR(VLOOKUP(Tabela1[[#This Row],[MÊS]]&amp;Tabela1[[#This Row],[ID]]&amp;Tabela1[[#This Row],[MATRICULA]]&amp;"Motorista 2"&amp;Tabela1[[#This Row],[SETOR]],BD!A:AF,13,0),"")</f>
        <v/>
      </c>
      <c r="BO146" s="135" t="str">
        <f>IFERROR(VLOOKUP(Tabela1[[#This Row],[MÊS]]&amp;Tabela1[[#This Row],[ID]]&amp;Tabela1[[#This Row],[MATRICULA]]&amp;"Motorista 3"&amp;Tabela1[[#This Row],[SETOR]],BD!A:AF,13,0),"")</f>
        <v/>
      </c>
      <c r="BP146" s="135" t="str">
        <f>IFERROR(VLOOKUP(Tabela1[[#This Row],[MÊS]]&amp;Tabela1[[#This Row],[ID]]&amp;Tabela1[[#This Row],[MATRICULA]]&amp;"Motorista 4"&amp;Tabela1[[#This Row],[SETOR]],BD!A:AF,13,0),"")</f>
        <v/>
      </c>
      <c r="BQ146" s="135" t="str">
        <f>IFERROR(AVERAGE(Tabela1[[#This Row],[DMOT]:[DMOT4]]),"")</f>
        <v/>
      </c>
      <c r="BR146" s="135" t="str">
        <f>IFERROR(VLOOKUP(Tabela1[[#This Row],[MÊS]]&amp;Tabela1[[#This Row],[ID]]&amp;Tabela1[[#This Row],[MATRICULA]]&amp;"Ponto de Apoio"&amp;Tabela1[[#This Row],[SETOR]],BD!A:AF,13,0),"")</f>
        <v/>
      </c>
      <c r="BS146" s="135" t="str">
        <f>IFERROR(VLOOKUP(Tabela1[[#This Row],[MÊS]]&amp;Tabela1[[#This Row],[ID]]&amp;Tabela1[[#This Row],[MATRICULA]]&amp;"Ponto de Apoio 2"&amp;Tabela1[[#This Row],[SETOR]],BD!A:AF,13,0),"")</f>
        <v/>
      </c>
      <c r="BT146" s="135" t="str">
        <f>IFERROR(VLOOKUP(Tabela1[[#This Row],[MÊS]]&amp;Tabela1[[#This Row],[ID]]&amp;Tabela1[[#This Row],[MATRICULA]]&amp;"Ponto de Apoio 3"&amp;Tabela1[[#This Row],[SETOR]],BD!A:AF,13,0),"")</f>
        <v/>
      </c>
      <c r="BU146" s="135" t="str">
        <f>IFERROR(VLOOKUP(Tabela1[[#This Row],[MÊS]]&amp;Tabela1[[#This Row],[ID]]&amp;Tabela1[[#This Row],[MATRICULA]]&amp;"Ponto de Apoio 4"&amp;Tabela1[[#This Row],[SETOR]],BD!A:AF,13,0),"")</f>
        <v/>
      </c>
      <c r="BV146" s="135" t="str">
        <f>IFERROR(AVERAGE(Tabela1[[#This Row],[DPA]:[DPA 4]]),"")</f>
        <v/>
      </c>
      <c r="BW146" s="135" t="str">
        <f>IFERROR(VLOOKUP(Tabela1[[#This Row],[MÊS]]&amp;Tabela1[[#This Row],[ID]]&amp;Tabela1[[#This Row],[MATRICULA]]&amp;"Cliente"&amp;Tabela1[[#This Row],[SETOR]],BD!A:AF,13,0),"")</f>
        <v/>
      </c>
      <c r="BX146" s="135" t="str">
        <f>IFERROR(VLOOKUP(Tabela1[[#This Row],[MÊS]]&amp;Tabela1[[#This Row],[ID]]&amp;Tabela1[[#This Row],[MATRICULA]]&amp;"cliente 2"&amp;Tabela1[[#This Row],[SETOR]],BD!A:AF,13,0),"")</f>
        <v/>
      </c>
      <c r="BY146" s="135" t="str">
        <f>IFERROR(VLOOKUP(Tabela1[[#This Row],[MÊS]]&amp;Tabela1[[#This Row],[ID]]&amp;Tabela1[[#This Row],[MATRICULA]]&amp;"cliente 3"&amp;Tabela1[[#This Row],[SETOR]],BD!A:AF,13,0),"")</f>
        <v/>
      </c>
      <c r="BZ146" s="135" t="str">
        <f>IFERROR(VLOOKUP(Tabela1[[#This Row],[MÊS]]&amp;Tabela1[[#This Row],[ID]]&amp;Tabela1[[#This Row],[MATRICULA]]&amp;"cliente 4"&amp;Tabela1[[#This Row],[SETOR]],BD!A:AF,13,0),"")</f>
        <v/>
      </c>
      <c r="CA146" s="135" t="str">
        <f>IFERROR(AVERAGE(Tabela1[[#This Row],[DCLI]:[DCLI 4]]),"")</f>
        <v/>
      </c>
      <c r="CB146" s="135" t="str">
        <f>IFERROR(VLOOKUP(Tabela1[[#This Row],[MÊS]]&amp;Tabela1[[#This Row],[ID]]&amp;Tabela1[[#This Row],[MATRICULA]]&amp;"Policia"&amp;Tabela1[[#This Row],[SETOR]],BD!A:AF,13,0),"")</f>
        <v/>
      </c>
      <c r="CC146" s="135" t="str">
        <f>IFERROR(VLOOKUP(Tabela1[[#This Row],[MÊS]]&amp;Tabela1[[#This Row],[ID]]&amp;Tabela1[[#This Row],[MATRICULA]]&amp;"Policia 2"&amp;Tabela1[[#This Row],[SETOR]],BD!A:AF,13,0),"")</f>
        <v/>
      </c>
      <c r="CD146" s="135"/>
      <c r="CE146" s="135"/>
      <c r="CF146" s="135" t="str">
        <f>IFERROR((AVERAGE(Tabela1[[#This Row],[DPOL1]:[DPOL4]])),"")</f>
        <v/>
      </c>
      <c r="CG146" s="21" t="str">
        <f>IFERROR(VLOOKUP(Tabela1[[#This Row],[ID]]&amp;Tabela1[[#This Row],[MÊS]]&amp;Tabela1[[#This Row],[MATRICULA]],#REF!,2,0),"")</f>
        <v/>
      </c>
      <c r="CH146" s="21" t="str">
        <f>IFERROR(VLOOKUP(Tabela1[[#This Row],[ID]]&amp;Tabela1[[#This Row],[MÊS]]&amp;Tabela1[[#This Row],[MATRICULA]],#REF!,2,0),"")</f>
        <v/>
      </c>
      <c r="CI146" s="21" t="str">
        <f>IFERROR(VLOOKUP(Tabela1[[#This Row],[MÊS]]&amp;Tabela1[[#This Row],[MATRICULA]],#REF!,2,0),"")</f>
        <v/>
      </c>
    </row>
    <row r="147" spans="1:87">
      <c r="A147" s="12" t="str">
        <f>Tabela1[[#This Row],[MÊS]]&amp;Tabela1[[#This Row],[MATRICULA]]&amp;Tabela1[[#This Row],[ID]]</f>
        <v>JAN114686</v>
      </c>
      <c r="B147" s="12" t="str">
        <f>Tabela1[[#This Row],[MÊS]]&amp;Tabela1[[#This Row],[ID]]&amp;Tabela1[[#This Row],[MATRICULA]]&amp;Tabela1[[#This Row],[SETOR]]</f>
        <v>JAN611468LOGÍSTICA</v>
      </c>
      <c r="C147" s="130" t="e">
        <f>VLOOKUP(Tabela1[[#This Row],[MATRICULA]],'BD Campos'!A:D,5,0)</f>
        <v>#REF!</v>
      </c>
      <c r="D147" s="133" t="str">
        <f ca="1">IFERROR(SUM(TODAY()-Tabela1[[#This Row],[ADMISSÃO]]),"")</f>
        <v/>
      </c>
      <c r="E147" s="11" t="str">
        <f ca="1">IFERROR(TRUNC(Tabela1[[#This Row],[TEMPO DE CASA (DIAS)]]/30),"")</f>
        <v/>
      </c>
      <c r="F147" s="32" t="str">
        <f ca="1">IFERROR(SUM(Tabela1[[#This Row],[TEMPO DE CASA (MESES)]]/12),"")</f>
        <v/>
      </c>
      <c r="G147" s="133" t="str">
        <f ca="1">IF(Tabela1[[#This Row],[TEMPO DE CASA (DIAS)]]="","SEM DADOS",IF(Tabela1[[#This Row],[TEMPO DE CASA (DIAS)]]&gt;180,"&gt; 6 MESES","&lt; 6 MESES"))</f>
        <v>SEM DADOS</v>
      </c>
      <c r="H147" s="12" t="str">
        <f t="shared" si="13"/>
        <v>JANRichard Marques6</v>
      </c>
      <c r="I147" s="12" t="str">
        <f>IFERROR(VLOOKUP(Tabela1[[#This Row],[MATRICULA]],'BD Campos'!A:F,7,0),"")</f>
        <v/>
      </c>
      <c r="J147" s="11">
        <v>6</v>
      </c>
      <c r="K147" s="11" t="s">
        <v>669</v>
      </c>
      <c r="L147" s="136">
        <v>11468</v>
      </c>
      <c r="M147" s="12" t="str">
        <f>IFERROR(VLOOKUP(Tabela1[[#This Row],[MATRICULA]],'BD Campos'!A:B,2,0),"")</f>
        <v xml:space="preserve">RAMON DE OLIVEIRA PINTO </v>
      </c>
      <c r="N147" s="20">
        <f>IFERROR(AVERAGE(Tabela1[[#This Row],[A1]:[A4]]),"")</f>
        <v>8.661249999999999</v>
      </c>
      <c r="O147" s="20" t="str">
        <f>IFERROR(IF(Tabela1[[#This Row],[SETOR]]="RECEPTIVO","",AVERAGE(Tabela1[[#This Row],[A5]:[A6]])),"")</f>
        <v/>
      </c>
      <c r="P147" s="20" t="str">
        <f>IFERROR(IF(Tabela1[[#This Row],[STATUS]]="INATIVO","INATIVO",IF(Tabela1[[#This Row],[STATUS]]="QRT","INATIVO",IF(Tabela1[[#This Row],[OPERACIONAL]]&gt;7.99999,"BOM","RUIM"))),"")</f>
        <v>BOM</v>
      </c>
      <c r="Q147" s="21" t="s">
        <v>667</v>
      </c>
      <c r="R147" s="12" t="s">
        <v>315</v>
      </c>
      <c r="S147" s="12" t="s">
        <v>704</v>
      </c>
      <c r="T147" s="12" t="s">
        <v>315</v>
      </c>
      <c r="U14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7" s="12">
        <f>IF(AND(Tabela1[[#This Row],[SETOR]]="UTI",Tabela1[[#This Row],[M]]&lt;&gt;""),1,IF(AND(Tabela1[[#This Row],[SETOR]]="UTI (RJ)",Tabela1[[#This Row],[M]]&lt;&gt;""),1.5,0))</f>
        <v>0</v>
      </c>
      <c r="X147" s="12">
        <f>IF(AND(Tabela1[[#This Row],[SETOR]]="UTI",Tabela1[[#This Row],[PA2]]&lt;&gt;""),1,IF(AND(Tabela1[[#This Row],[SETOR]]="UTI (RJ)",Tabela1[[#This Row],[PA2]]&lt;&gt;""),0,0))</f>
        <v>0</v>
      </c>
      <c r="Y147" s="12">
        <f>IF(AND(Tabela1[[#This Row],[SETOR]]="UTI",Tabela1[[#This Row],[C]]&lt;&gt;""),1,IF(AND(Tabela1[[#This Row],[SETOR]]="UTI (RJ)",Tabela1[[#This Row],[C]]&lt;&gt;""),1.5,0))</f>
        <v>0</v>
      </c>
      <c r="Z147" s="12">
        <f>IF(AND(Tabela1[[#This Row],[SETOR]]="UTI",Tabela1[[#This Row],[PL]]&lt;&gt;""),1,IF(AND(Tabela1[[#This Row],[SETOR]]="UTI (RJ)",Tabela1[[#This Row],[PL]]&lt;&gt;""),1,0))</f>
        <v>0</v>
      </c>
      <c r="AA147" s="21">
        <f>IFERROR(VLOOKUP(Tabela1[[#This Row],[MÊS]]&amp;Tabela1[[#This Row],[MATRICULA]]&amp;"1"&amp;Tabela1[[#This Row],[SETOR]]&amp;"PADRÃO",BD!B:AF,31,0),"")</f>
        <v>9.58</v>
      </c>
      <c r="AB147" s="21">
        <f>IFERROR(VLOOKUP(Tabela1[[#This Row],[MÊS]]&amp;Tabela1[[#This Row],[MATRICULA]]&amp;"2"&amp;Tabela1[[#This Row],[SETOR]]&amp;"PADRÃO",BD!B:AF,31,0),"")</f>
        <v>7.7424999999999997</v>
      </c>
      <c r="AC147" s="21" t="str">
        <f>IFERROR(VLOOKUP(Tabela1[[#This Row],[MÊS]]&amp;Tabela1[[#This Row],[MATRICULA]]&amp;"3"&amp;Tabela1[[#This Row],[SETOR]]&amp;"PADRÃO",BD!B:AF,31,0),"")</f>
        <v/>
      </c>
      <c r="AD147" s="21" t="str">
        <f>IFERROR(VLOOKUP(Tabela1[[#This Row],[MÊS]]&amp;Tabela1[[#This Row],[MATRICULA]]&amp;"4"&amp;Tabela1[[#This Row],[SETOR]]&amp;"PADRÃO",BD!B:AF,25,0),"")</f>
        <v/>
      </c>
      <c r="AE147" s="21" t="str">
        <f>IFERROR(VLOOKUP(Tabela1[[#This Row],[MÊS]]&amp;Tabela1[[#This Row],[MATRICULA]]&amp;"5"&amp;Tabela1[[#This Row],[SETOR]]&amp;"PADRÃO",BD!B:AF,31,0),"")</f>
        <v/>
      </c>
      <c r="AF147" s="21" t="str">
        <f>IFERROR(VLOOKUP(Tabela1[[#This Row],[MÊS]]&amp;Tabela1[[#This Row],[MATRICULA]]&amp;"6"&amp;Tabela1[[#This Row],[SETOR]]&amp;"PADRÃO",BD!B:AF,31,0),"")</f>
        <v/>
      </c>
      <c r="AG147" s="21" t="str">
        <f>IFERROR(VLOOKUP(Tabela1[[#This Row],[MÊS]]&amp;Tabela1[[#This Row],[MATRICULA]]&amp;"7"&amp;Tabela1[[#This Row],[SETOR]]&amp;"PADRÃO",BD!B:AF,31,0),"")</f>
        <v/>
      </c>
      <c r="AH147" s="21" t="str">
        <f>IFERROR(VLOOKUP(Tabela1[[#This Row],[MÊS]]&amp;Tabela1[[#This Row],[ID]]&amp;Tabela1[[#This Row],[MATRICULA]]&amp;"Receptiva"&amp;Tabela1[[#This Row],[SETOR]],BD!A:AF,31,0),"")</f>
        <v/>
      </c>
      <c r="AI147" s="21" t="str">
        <f>IFERROR(VLOOKUP(Tabela1[[#This Row],[MÊS]]&amp;Tabela1[[#This Row],[ID]]&amp;Tabela1[[#This Row],[MATRICULA]]&amp;"Receptiva 2"&amp;Tabela1[[#This Row],[SETOR]],BD!A:AF,31,0),"")</f>
        <v/>
      </c>
      <c r="AJ147" s="21" t="str">
        <f>IFERROR(VLOOKUP(Tabela1[[#This Row],[MÊS]]&amp;Tabela1[[#This Row],[ID]]&amp;Tabela1[[#This Row],[MATRICULA]]&amp;"Receptiva 3"&amp;Tabela1[[#This Row],[SETOR]],BD!A:AF,31,0),"")</f>
        <v/>
      </c>
      <c r="AK147" s="21" t="str">
        <f>IFERROR(VLOOKUP(Tabela1[[#This Row],[MÊS]]&amp;Tabela1[[#This Row],[ID]]&amp;Tabela1[[#This Row],[MATRICULA]]&amp;"Receptiva 4"&amp;Tabela1[[#This Row],[SETOR]],BD!A:AF,31,0),"")</f>
        <v/>
      </c>
      <c r="AL147" s="21">
        <f>IFERROR(VLOOKUP(Tabela1[[#This Row],[MÊS]]&amp;Tabela1[[#This Row],[MATRICULA]]&amp;"Motorista"&amp;Tabela1[[#This Row],[SETOR]],BD!A:AF,31,0),"")</f>
        <v>0</v>
      </c>
      <c r="AM147" s="21" t="str">
        <f>IFERROR(VLOOKUP(Tabela1[[#This Row],[MÊS]]&amp;Tabela1[[#This Row],[ID]]&amp;Tabela1[[#This Row],[MATRICULA]]&amp;"Motorista 2"&amp;Tabela1[[#This Row],[SETOR]],BD!A:AF,26,0),"")</f>
        <v/>
      </c>
      <c r="AN147" s="21" t="str">
        <f>IFERROR(VLOOKUP(Tabela1[[#This Row],[MÊS]]&amp;Tabela1[[#This Row],[ID]]&amp;Tabela1[[#This Row],[MATRICULA]]&amp;"Motorista 3"&amp;Tabela1[[#This Row],[SETOR]],BD!A:AF,26,0),"")</f>
        <v/>
      </c>
      <c r="AO147" s="21" t="str">
        <f>IFERROR(VLOOKUP(Tabela1[[#This Row],[MÊS]]&amp;Tabela1[[#This Row],[ID]]&amp;Tabela1[[#This Row],[MATRICULA]]&amp;"Motorista 4"&amp;Tabela1[[#This Row],[SETOR]],BD!A:AF,26,0),"")</f>
        <v/>
      </c>
      <c r="AP147" s="21" t="str">
        <f>IFERROR(VLOOKUP(Tabela1[[#This Row],[MÊS]]&amp;Tabela1[[#This Row],[MATRICULA]]&amp;"Ponto de Apoio"&amp;Tabela1[[#This Row],[SETOR]],BD!A:AF,31,0),"")</f>
        <v/>
      </c>
      <c r="AQ147" s="21" t="str">
        <f>IFERROR(VLOOKUP(Tabela1[[#This Row],[MÊS]]&amp;Tabela1[[#This Row],[ID]]&amp;Tabela1[[#This Row],[MATRICULA]]&amp;"Ponto de Apoio 2"&amp;Tabela1[[#This Row],[SETOR]],BD!A:AF,26,0),"")</f>
        <v/>
      </c>
      <c r="AR147" s="36" t="str">
        <f>IFERROR(VLOOKUP(Tabela1[[#This Row],[MÊS]]&amp;Tabela1[[#This Row],[ID]]&amp;Tabela1[[#This Row],[MATRICULA]]&amp;"Ponto de Apoio 3"&amp;Tabela1[[#This Row],[SETOR]],BD!A:AF,26,0),"")</f>
        <v/>
      </c>
      <c r="AS147" s="36" t="str">
        <f>IFERROR(VLOOKUP(Tabela1[[#This Row],[MÊS]]&amp;Tabela1[[#This Row],[ID]]&amp;Tabela1[[#This Row],[MATRICULA]]&amp;"Ponto de Apoio 4"&amp;Tabela1[[#This Row],[SETOR]],BD!A:AF,26,0),"")</f>
        <v/>
      </c>
      <c r="AT147" s="21">
        <f>IFERROR(VLOOKUP(Tabela1[[#This Row],[MÊS]]&amp;Tabela1[[#This Row],[MATRICULA]]&amp;"Cliente"&amp;Tabela1[[#This Row],[SETOR]],BD!A:AF,31,0),"")</f>
        <v>0</v>
      </c>
      <c r="AU147" s="21" t="str">
        <f>IFERROR(VLOOKUP(Tabela1[[#This Row],[MÊS]]&amp;Tabela1[[#This Row],[ID]]&amp;Tabela1[[#This Row],[MATRICULA]]&amp;"Cliente 2"&amp;Tabela1[[#This Row],[SETOR]],BD!A:AF,26,0),"")</f>
        <v/>
      </c>
      <c r="AX147" s="21" t="str">
        <f>IFERROR(VLOOKUP(Tabela1[[#This Row],[MÊS]]&amp;Tabela1[[#This Row],[MATRICULA]]&amp;"Policia"&amp;Tabela1[[#This Row],[SETOR]],BD!A:AF,31,0),"")</f>
        <v/>
      </c>
      <c r="AY147" s="21" t="str">
        <f>IFERROR(VLOOKUP(Tabela1[[#This Row],[MÊS]]&amp;Tabela1[[#This Row],[ID]]&amp;Tabela1[[#This Row],[MATRICULA]]&amp;"Policia 2"&amp;Tabela1[[#This Row],[SETOR]],BD!A:AF,26,0),"")</f>
        <v/>
      </c>
      <c r="AZ147" s="36" t="str">
        <f>IFERROR(VLOOKUP(Tabela1[[#This Row],[MÊS]]&amp;Tabela1[[#This Row],[ID]]&amp;Tabela1[[#This Row],[MATRICULA]]&amp;"Policia 3"&amp;Tabela1[[#This Row],[SETOR]],BD!A:AF,26,0),"")</f>
        <v/>
      </c>
      <c r="BA147" s="36" t="str">
        <f>IFERROR(VLOOKUP(Tabela1[[#This Row],[MÊS]]&amp;Tabela1[[#This Row],[ID]]&amp;Tabela1[[#This Row],[MATRICULA]]&amp;"Policia 4"&amp;Tabela1[[#This Row],[SETOR]],BD!A:AF,26,0),"")</f>
        <v/>
      </c>
      <c r="BB14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7" s="21">
        <f>IFERROR(AVERAGE(Tabela1[[#This Row],[M]:[M4]]),"")</f>
        <v>0</v>
      </c>
      <c r="BD147" s="21">
        <f>IFERROR(AVERAGE(Tabela1[[#This Row],[C]:[C4]]),"")</f>
        <v>0</v>
      </c>
      <c r="BE147" s="21" t="str">
        <f>IFERROR(AVERAGE(Tabela1[[#This Row],[PA2]:[PA 4]]),"")</f>
        <v/>
      </c>
      <c r="BF147" s="21" t="str">
        <f>IFERROR(AVERAGE(Tabela1[[#This Row],[PL]:[PL4]]),"")</f>
        <v/>
      </c>
      <c r="BG147" s="35" t="str">
        <f>IFERROR(VLOOKUP(Tabela1[[#This Row],[MÊS]]&amp;Tabela1[[#This Row],[MATRICULA]],#REF!,2,0),"")</f>
        <v/>
      </c>
      <c r="BH147" s="35" t="str">
        <f>IFERROR(VLOOKUP(Tabela1[[#This Row],[MÊS]]&amp;Tabela1[[#This Row],[MATRICULA]],#REF!,2,0),"")</f>
        <v/>
      </c>
      <c r="BI147" s="35" t="str">
        <f>IFERROR(VLOOKUP(Tabela1[[#This Row],[MÊS]]&amp;Tabela1[[#This Row],[MATRICULA]],#REF!,2,0),"")</f>
        <v/>
      </c>
      <c r="BJ147" s="35" t="str">
        <f>IFERROR(VLOOKUP(Tabela1[[#This Row],[MÊS]]&amp;Tabela1[[#This Row],[MATRICULA]],#REF!,2,0),"")</f>
        <v/>
      </c>
      <c r="BK147" s="35" t="str">
        <f>IFERROR(VLOOKUP(Tabela1[[#This Row],[MÊS]]&amp;Tabela1[[#This Row],[MATRICULA]],#REF!,2,0),"")</f>
        <v/>
      </c>
      <c r="BL147" s="21">
        <f>COUNTIF(Tabela1[[#This Row],[MOT2]:[RECEPTIVA]],"NÃO ENCONTRADA")</f>
        <v>0</v>
      </c>
      <c r="BM147" s="135" t="str">
        <f>IFERROR(VLOOKUP(Tabela1[[#This Row],[MÊS]]&amp;Tabela1[[#This Row],[ID]]&amp;Tabela1[[#This Row],[MATRICULA]]&amp;"Motorista"&amp;Tabela1[[#This Row],[SETOR]],BD!A:AF,13,0),"")</f>
        <v/>
      </c>
      <c r="BN147" s="135" t="str">
        <f>IFERROR(VLOOKUP(Tabela1[[#This Row],[MÊS]]&amp;Tabela1[[#This Row],[ID]]&amp;Tabela1[[#This Row],[MATRICULA]]&amp;"Motorista 2"&amp;Tabela1[[#This Row],[SETOR]],BD!A:AF,13,0),"")</f>
        <v/>
      </c>
      <c r="BO147" s="135" t="str">
        <f>IFERROR(VLOOKUP(Tabela1[[#This Row],[MÊS]]&amp;Tabela1[[#This Row],[ID]]&amp;Tabela1[[#This Row],[MATRICULA]]&amp;"Motorista 3"&amp;Tabela1[[#This Row],[SETOR]],BD!A:AF,13,0),"")</f>
        <v/>
      </c>
      <c r="BP147" s="135" t="str">
        <f>IFERROR(VLOOKUP(Tabela1[[#This Row],[MÊS]]&amp;Tabela1[[#This Row],[ID]]&amp;Tabela1[[#This Row],[MATRICULA]]&amp;"Motorista 4"&amp;Tabela1[[#This Row],[SETOR]],BD!A:AF,13,0),"")</f>
        <v/>
      </c>
      <c r="BQ147" s="135" t="str">
        <f>IFERROR(AVERAGE(Tabela1[[#This Row],[DMOT]:[DMOT4]]),"")</f>
        <v/>
      </c>
      <c r="BR147" s="135" t="str">
        <f>IFERROR(VLOOKUP(Tabela1[[#This Row],[MÊS]]&amp;Tabela1[[#This Row],[ID]]&amp;Tabela1[[#This Row],[MATRICULA]]&amp;"Ponto de Apoio"&amp;Tabela1[[#This Row],[SETOR]],BD!A:AF,13,0),"")</f>
        <v/>
      </c>
      <c r="BS147" s="135" t="str">
        <f>IFERROR(VLOOKUP(Tabela1[[#This Row],[MÊS]]&amp;Tabela1[[#This Row],[ID]]&amp;Tabela1[[#This Row],[MATRICULA]]&amp;"Ponto de Apoio 2"&amp;Tabela1[[#This Row],[SETOR]],BD!A:AF,13,0),"")</f>
        <v/>
      </c>
      <c r="BT147" s="135" t="str">
        <f>IFERROR(VLOOKUP(Tabela1[[#This Row],[MÊS]]&amp;Tabela1[[#This Row],[ID]]&amp;Tabela1[[#This Row],[MATRICULA]]&amp;"Ponto de Apoio 3"&amp;Tabela1[[#This Row],[SETOR]],BD!A:AF,13,0),"")</f>
        <v/>
      </c>
      <c r="BU147" s="135" t="str">
        <f>IFERROR(VLOOKUP(Tabela1[[#This Row],[MÊS]]&amp;Tabela1[[#This Row],[ID]]&amp;Tabela1[[#This Row],[MATRICULA]]&amp;"Ponto de Apoio 4"&amp;Tabela1[[#This Row],[SETOR]],BD!A:AF,13,0),"")</f>
        <v/>
      </c>
      <c r="BV147" s="135" t="str">
        <f>IFERROR(AVERAGE(Tabela1[[#This Row],[DPA]:[DPA 4]]),"")</f>
        <v/>
      </c>
      <c r="BW147" s="135" t="str">
        <f>IFERROR(VLOOKUP(Tabela1[[#This Row],[MÊS]]&amp;Tabela1[[#This Row],[ID]]&amp;Tabela1[[#This Row],[MATRICULA]]&amp;"Cliente"&amp;Tabela1[[#This Row],[SETOR]],BD!A:AF,13,0),"")</f>
        <v/>
      </c>
      <c r="BX147" s="135" t="str">
        <f>IFERROR(VLOOKUP(Tabela1[[#This Row],[MÊS]]&amp;Tabela1[[#This Row],[ID]]&amp;Tabela1[[#This Row],[MATRICULA]]&amp;"cliente 2"&amp;Tabela1[[#This Row],[SETOR]],BD!A:AF,13,0),"")</f>
        <v/>
      </c>
      <c r="BY147" s="135" t="str">
        <f>IFERROR(VLOOKUP(Tabela1[[#This Row],[MÊS]]&amp;Tabela1[[#This Row],[ID]]&amp;Tabela1[[#This Row],[MATRICULA]]&amp;"cliente 3"&amp;Tabela1[[#This Row],[SETOR]],BD!A:AF,13,0),"")</f>
        <v/>
      </c>
      <c r="BZ147" s="135" t="str">
        <f>IFERROR(VLOOKUP(Tabela1[[#This Row],[MÊS]]&amp;Tabela1[[#This Row],[ID]]&amp;Tabela1[[#This Row],[MATRICULA]]&amp;"cliente 4"&amp;Tabela1[[#This Row],[SETOR]],BD!A:AF,13,0),"")</f>
        <v/>
      </c>
      <c r="CA147" s="135" t="str">
        <f>IFERROR(AVERAGE(Tabela1[[#This Row],[DCLI]:[DCLI 4]]),"")</f>
        <v/>
      </c>
      <c r="CB147" s="135" t="str">
        <f>IFERROR(VLOOKUP(Tabela1[[#This Row],[MÊS]]&amp;Tabela1[[#This Row],[ID]]&amp;Tabela1[[#This Row],[MATRICULA]]&amp;"Policia"&amp;Tabela1[[#This Row],[SETOR]],BD!A:AF,13,0),"")</f>
        <v/>
      </c>
      <c r="CC147" s="135" t="str">
        <f>IFERROR(VLOOKUP(Tabela1[[#This Row],[MÊS]]&amp;Tabela1[[#This Row],[ID]]&amp;Tabela1[[#This Row],[MATRICULA]]&amp;"Policia 2"&amp;Tabela1[[#This Row],[SETOR]],BD!A:AF,13,0),"")</f>
        <v/>
      </c>
      <c r="CD147" s="135"/>
      <c r="CE147" s="135"/>
      <c r="CF147" s="135" t="str">
        <f>IFERROR((AVERAGE(Tabela1[[#This Row],[DPOL1]:[DPOL4]])),"")</f>
        <v/>
      </c>
      <c r="CG147" s="21" t="str">
        <f>IFERROR(VLOOKUP(Tabela1[[#This Row],[ID]]&amp;Tabela1[[#This Row],[MÊS]]&amp;Tabela1[[#This Row],[MATRICULA]],#REF!,2,0),"")</f>
        <v/>
      </c>
      <c r="CH147" s="21" t="str">
        <f>IFERROR(VLOOKUP(Tabela1[[#This Row],[ID]]&amp;Tabela1[[#This Row],[MÊS]]&amp;Tabela1[[#This Row],[MATRICULA]],#REF!,2,0),"")</f>
        <v/>
      </c>
      <c r="CI147" s="21" t="str">
        <f>IFERROR(VLOOKUP(Tabela1[[#This Row],[MÊS]]&amp;Tabela1[[#This Row],[MATRICULA]],#REF!,2,0),"")</f>
        <v/>
      </c>
    </row>
    <row r="148" spans="1:87">
      <c r="A148" s="12" t="str">
        <f>Tabela1[[#This Row],[MÊS]]&amp;Tabela1[[#This Row],[MATRICULA]]&amp;Tabela1[[#This Row],[ID]]</f>
        <v>JAN114277</v>
      </c>
      <c r="B148" s="12" t="str">
        <f>Tabela1[[#This Row],[MÊS]]&amp;Tabela1[[#This Row],[ID]]&amp;Tabela1[[#This Row],[MATRICULA]]&amp;Tabela1[[#This Row],[SETOR]]</f>
        <v>JAN711427LOGÍSTICA</v>
      </c>
      <c r="C148" s="130" t="e">
        <f>VLOOKUP(Tabela1[[#This Row],[MATRICULA]],'BD Campos'!A:D,5,0)</f>
        <v>#REF!</v>
      </c>
      <c r="D148" s="133" t="str">
        <f ca="1">IFERROR(SUM(TODAY()-Tabela1[[#This Row],[ADMISSÃO]]),"")</f>
        <v/>
      </c>
      <c r="E148" s="11" t="str">
        <f ca="1">IFERROR(TRUNC(Tabela1[[#This Row],[TEMPO DE CASA (DIAS)]]/30),"")</f>
        <v/>
      </c>
      <c r="F148" s="32" t="str">
        <f ca="1">IFERROR(SUM(Tabela1[[#This Row],[TEMPO DE CASA (MESES)]]/12),"")</f>
        <v/>
      </c>
      <c r="G148" s="133" t="str">
        <f ca="1">IF(Tabela1[[#This Row],[TEMPO DE CASA (DIAS)]]="","SEM DADOS",IF(Tabela1[[#This Row],[TEMPO DE CASA (DIAS)]]&gt;180,"&gt; 6 MESES","&lt; 6 MESES"))</f>
        <v>SEM DADOS</v>
      </c>
      <c r="H148" s="12" t="str">
        <f t="shared" si="13"/>
        <v>JANRichard Marques7</v>
      </c>
      <c r="I148" s="12" t="str">
        <f>IFERROR(VLOOKUP(Tabela1[[#This Row],[MATRICULA]],'BD Campos'!A:F,7,0),"")</f>
        <v/>
      </c>
      <c r="J148" s="11">
        <v>7</v>
      </c>
      <c r="K148" s="11" t="s">
        <v>669</v>
      </c>
      <c r="L148" s="136">
        <v>11427</v>
      </c>
      <c r="M148" s="12" t="str">
        <f>IFERROR(VLOOKUP(Tabela1[[#This Row],[MATRICULA]],'BD Campos'!A:B,2,0),"")</f>
        <v>SARAH REBECA FARIAS BARBOSA</v>
      </c>
      <c r="N148" s="20">
        <f>IFERROR(AVERAGE(Tabela1[[#This Row],[A1]:[A4]]),"")</f>
        <v>8.2675000000000001</v>
      </c>
      <c r="O148" s="20" t="str">
        <f>IFERROR(IF(Tabela1[[#This Row],[SETOR]]="RECEPTIVO","",AVERAGE(Tabela1[[#This Row],[A5]:[A6]])),"")</f>
        <v/>
      </c>
      <c r="P148" s="20" t="str">
        <f>IFERROR(IF(Tabela1[[#This Row],[STATUS]]="INATIVO","INATIVO",IF(Tabela1[[#This Row],[STATUS]]="QRT","INATIVO",IF(Tabela1[[#This Row],[OPERACIONAL]]&gt;7.99999,"BOM","RUIM"))),"")</f>
        <v>BOM</v>
      </c>
      <c r="Q148" s="21" t="s">
        <v>667</v>
      </c>
      <c r="R148" s="12" t="s">
        <v>315</v>
      </c>
      <c r="S148" s="12" t="s">
        <v>704</v>
      </c>
      <c r="T148" s="12" t="s">
        <v>315</v>
      </c>
      <c r="U14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8" s="12">
        <f>IF(AND(Tabela1[[#This Row],[SETOR]]="UTI",Tabela1[[#This Row],[M]]&lt;&gt;""),1,IF(AND(Tabela1[[#This Row],[SETOR]]="UTI (RJ)",Tabela1[[#This Row],[M]]&lt;&gt;""),1.5,0))</f>
        <v>0</v>
      </c>
      <c r="X148" s="12">
        <f>IF(AND(Tabela1[[#This Row],[SETOR]]="UTI",Tabela1[[#This Row],[PA2]]&lt;&gt;""),1,IF(AND(Tabela1[[#This Row],[SETOR]]="UTI (RJ)",Tabela1[[#This Row],[PA2]]&lt;&gt;""),0,0))</f>
        <v>0</v>
      </c>
      <c r="Y148" s="12">
        <f>IF(AND(Tabela1[[#This Row],[SETOR]]="UTI",Tabela1[[#This Row],[C]]&lt;&gt;""),1,IF(AND(Tabela1[[#This Row],[SETOR]]="UTI (RJ)",Tabela1[[#This Row],[C]]&lt;&gt;""),1.5,0))</f>
        <v>0</v>
      </c>
      <c r="Z148" s="12">
        <f>IF(AND(Tabela1[[#This Row],[SETOR]]="UTI",Tabela1[[#This Row],[PL]]&lt;&gt;""),1,IF(AND(Tabela1[[#This Row],[SETOR]]="UTI (RJ)",Tabela1[[#This Row],[PL]]&lt;&gt;""),1,0))</f>
        <v>0</v>
      </c>
      <c r="AA148" s="21">
        <f>IFERROR(VLOOKUP(Tabela1[[#This Row],[MÊS]]&amp;Tabela1[[#This Row],[MATRICULA]]&amp;"1"&amp;Tabela1[[#This Row],[SETOR]]&amp;"PADRÃO",BD!B:AF,31,0),"")</f>
        <v>9.6850000000000005</v>
      </c>
      <c r="AB148" s="21">
        <f>IFERROR(VLOOKUP(Tabela1[[#This Row],[MÊS]]&amp;Tabela1[[#This Row],[MATRICULA]]&amp;"2"&amp;Tabela1[[#This Row],[SETOR]]&amp;"PADRÃO",BD!B:AF,31,0),"")</f>
        <v>6.85</v>
      </c>
      <c r="AC148" s="21" t="str">
        <f>IFERROR(VLOOKUP(Tabela1[[#This Row],[MÊS]]&amp;Tabela1[[#This Row],[MATRICULA]]&amp;"3"&amp;Tabela1[[#This Row],[SETOR]]&amp;"PADRÃO",BD!B:AF,31,0),"")</f>
        <v/>
      </c>
      <c r="AD148" s="21" t="str">
        <f>IFERROR(VLOOKUP(Tabela1[[#This Row],[MÊS]]&amp;Tabela1[[#This Row],[MATRICULA]]&amp;"4"&amp;Tabela1[[#This Row],[SETOR]]&amp;"PADRÃO",BD!B:AF,25,0),"")</f>
        <v/>
      </c>
      <c r="AE148" s="21" t="str">
        <f>IFERROR(VLOOKUP(Tabela1[[#This Row],[MÊS]]&amp;Tabela1[[#This Row],[MATRICULA]]&amp;"5"&amp;Tabela1[[#This Row],[SETOR]]&amp;"PADRÃO",BD!B:AF,31,0),"")</f>
        <v/>
      </c>
      <c r="AF148" s="21" t="str">
        <f>IFERROR(VLOOKUP(Tabela1[[#This Row],[MÊS]]&amp;Tabela1[[#This Row],[MATRICULA]]&amp;"6"&amp;Tabela1[[#This Row],[SETOR]]&amp;"PADRÃO",BD!B:AF,31,0),"")</f>
        <v/>
      </c>
      <c r="AG148" s="21" t="str">
        <f>IFERROR(VLOOKUP(Tabela1[[#This Row],[MÊS]]&amp;Tabela1[[#This Row],[MATRICULA]]&amp;"7"&amp;Tabela1[[#This Row],[SETOR]]&amp;"PADRÃO",BD!B:AF,31,0),"")</f>
        <v/>
      </c>
      <c r="AH148" s="21" t="str">
        <f>IFERROR(VLOOKUP(Tabela1[[#This Row],[MÊS]]&amp;Tabela1[[#This Row],[ID]]&amp;Tabela1[[#This Row],[MATRICULA]]&amp;"Receptiva"&amp;Tabela1[[#This Row],[SETOR]],BD!A:AF,31,0),"")</f>
        <v/>
      </c>
      <c r="AI148" s="21" t="str">
        <f>IFERROR(VLOOKUP(Tabela1[[#This Row],[MÊS]]&amp;Tabela1[[#This Row],[ID]]&amp;Tabela1[[#This Row],[MATRICULA]]&amp;"Receptiva 2"&amp;Tabela1[[#This Row],[SETOR]],BD!A:AF,31,0),"")</f>
        <v/>
      </c>
      <c r="AJ148" s="21" t="str">
        <f>IFERROR(VLOOKUP(Tabela1[[#This Row],[MÊS]]&amp;Tabela1[[#This Row],[ID]]&amp;Tabela1[[#This Row],[MATRICULA]]&amp;"Receptiva 3"&amp;Tabela1[[#This Row],[SETOR]],BD!A:AF,31,0),"")</f>
        <v/>
      </c>
      <c r="AK148" s="21" t="str">
        <f>IFERROR(VLOOKUP(Tabela1[[#This Row],[MÊS]]&amp;Tabela1[[#This Row],[ID]]&amp;Tabela1[[#This Row],[MATRICULA]]&amp;"Receptiva 4"&amp;Tabela1[[#This Row],[SETOR]],BD!A:AF,31,0),"")</f>
        <v/>
      </c>
      <c r="AL148" s="21">
        <f>IFERROR(VLOOKUP(Tabela1[[#This Row],[MÊS]]&amp;Tabela1[[#This Row],[MATRICULA]]&amp;"Motorista"&amp;Tabela1[[#This Row],[SETOR]],BD!A:AF,31,0),"")</f>
        <v>0</v>
      </c>
      <c r="AM148" s="21" t="str">
        <f>IFERROR(VLOOKUP(Tabela1[[#This Row],[MÊS]]&amp;Tabela1[[#This Row],[ID]]&amp;Tabela1[[#This Row],[MATRICULA]]&amp;"Motorista 2"&amp;Tabela1[[#This Row],[SETOR]],BD!A:AF,26,0),"")</f>
        <v/>
      </c>
      <c r="AN148" s="21" t="str">
        <f>IFERROR(VLOOKUP(Tabela1[[#This Row],[MÊS]]&amp;Tabela1[[#This Row],[ID]]&amp;Tabela1[[#This Row],[MATRICULA]]&amp;"Motorista 3"&amp;Tabela1[[#This Row],[SETOR]],BD!A:AF,26,0),"")</f>
        <v/>
      </c>
      <c r="AO148" s="21" t="str">
        <f>IFERROR(VLOOKUP(Tabela1[[#This Row],[MÊS]]&amp;Tabela1[[#This Row],[ID]]&amp;Tabela1[[#This Row],[MATRICULA]]&amp;"Motorista 4"&amp;Tabela1[[#This Row],[SETOR]],BD!A:AF,26,0),"")</f>
        <v/>
      </c>
      <c r="AP148" s="21" t="str">
        <f>IFERROR(VLOOKUP(Tabela1[[#This Row],[MÊS]]&amp;Tabela1[[#This Row],[MATRICULA]]&amp;"Ponto de Apoio"&amp;Tabela1[[#This Row],[SETOR]],BD!A:AF,31,0),"")</f>
        <v/>
      </c>
      <c r="AQ148" s="21" t="str">
        <f>IFERROR(VLOOKUP(Tabela1[[#This Row],[MÊS]]&amp;Tabela1[[#This Row],[ID]]&amp;Tabela1[[#This Row],[MATRICULA]]&amp;"Ponto de Apoio 2"&amp;Tabela1[[#This Row],[SETOR]],BD!A:AF,26,0),"")</f>
        <v/>
      </c>
      <c r="AR148" s="36" t="str">
        <f>IFERROR(VLOOKUP(Tabela1[[#This Row],[MÊS]]&amp;Tabela1[[#This Row],[ID]]&amp;Tabela1[[#This Row],[MATRICULA]]&amp;"Ponto de Apoio 3"&amp;Tabela1[[#This Row],[SETOR]],BD!A:AF,26,0),"")</f>
        <v/>
      </c>
      <c r="AS148" s="36" t="str">
        <f>IFERROR(VLOOKUP(Tabela1[[#This Row],[MÊS]]&amp;Tabela1[[#This Row],[ID]]&amp;Tabela1[[#This Row],[MATRICULA]]&amp;"Ponto de Apoio 4"&amp;Tabela1[[#This Row],[SETOR]],BD!A:AF,26,0),"")</f>
        <v/>
      </c>
      <c r="AT148" s="21" t="str">
        <f>IFERROR(VLOOKUP(Tabela1[[#This Row],[MÊS]]&amp;Tabela1[[#This Row],[MATRICULA]]&amp;"Cliente"&amp;Tabela1[[#This Row],[SETOR]],BD!A:AF,31,0),"")</f>
        <v/>
      </c>
      <c r="AU148" s="21" t="str">
        <f>IFERROR(VLOOKUP(Tabela1[[#This Row],[MÊS]]&amp;Tabela1[[#This Row],[ID]]&amp;Tabela1[[#This Row],[MATRICULA]]&amp;"Cliente 2"&amp;Tabela1[[#This Row],[SETOR]],BD!A:AF,26,0),"")</f>
        <v/>
      </c>
      <c r="AX148" s="21" t="str">
        <f>IFERROR(VLOOKUP(Tabela1[[#This Row],[MÊS]]&amp;Tabela1[[#This Row],[MATRICULA]]&amp;"Policia"&amp;Tabela1[[#This Row],[SETOR]],BD!A:AF,31,0),"")</f>
        <v/>
      </c>
      <c r="AY148" s="21" t="str">
        <f>IFERROR(VLOOKUP(Tabela1[[#This Row],[MÊS]]&amp;Tabela1[[#This Row],[ID]]&amp;Tabela1[[#This Row],[MATRICULA]]&amp;"Policia 2"&amp;Tabela1[[#This Row],[SETOR]],BD!A:AF,26,0),"")</f>
        <v/>
      </c>
      <c r="AZ148" s="36" t="str">
        <f>IFERROR(VLOOKUP(Tabela1[[#This Row],[MÊS]]&amp;Tabela1[[#This Row],[ID]]&amp;Tabela1[[#This Row],[MATRICULA]]&amp;"Policia 3"&amp;Tabela1[[#This Row],[SETOR]],BD!A:AF,26,0),"")</f>
        <v/>
      </c>
      <c r="BA148" s="36" t="str">
        <f>IFERROR(VLOOKUP(Tabela1[[#This Row],[MÊS]]&amp;Tabela1[[#This Row],[ID]]&amp;Tabela1[[#This Row],[MATRICULA]]&amp;"Policia 4"&amp;Tabela1[[#This Row],[SETOR]],BD!A:AF,26,0),"")</f>
        <v/>
      </c>
      <c r="BB14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8" s="21">
        <f>IFERROR(AVERAGE(Tabela1[[#This Row],[M]:[M4]]),"")</f>
        <v>0</v>
      </c>
      <c r="BD148" s="21" t="str">
        <f>IFERROR(AVERAGE(Tabela1[[#This Row],[C]:[C4]]),"")</f>
        <v/>
      </c>
      <c r="BE148" s="21" t="str">
        <f>IFERROR(AVERAGE(Tabela1[[#This Row],[PA2]:[PA 4]]),"")</f>
        <v/>
      </c>
      <c r="BF148" s="21" t="str">
        <f>IFERROR(AVERAGE(Tabela1[[#This Row],[PL]:[PL4]]),"")</f>
        <v/>
      </c>
      <c r="BG148" s="35" t="str">
        <f>IFERROR(VLOOKUP(Tabela1[[#This Row],[MÊS]]&amp;Tabela1[[#This Row],[MATRICULA]],#REF!,2,0),"")</f>
        <v/>
      </c>
      <c r="BH148" s="35" t="str">
        <f>IFERROR(VLOOKUP(Tabela1[[#This Row],[MÊS]]&amp;Tabela1[[#This Row],[MATRICULA]],#REF!,2,0),"")</f>
        <v/>
      </c>
      <c r="BI148" s="35" t="str">
        <f>IFERROR(VLOOKUP(Tabela1[[#This Row],[MÊS]]&amp;Tabela1[[#This Row],[MATRICULA]],#REF!,2,0),"")</f>
        <v/>
      </c>
      <c r="BJ148" s="35" t="str">
        <f>IFERROR(VLOOKUP(Tabela1[[#This Row],[MÊS]]&amp;Tabela1[[#This Row],[MATRICULA]],#REF!,2,0),"")</f>
        <v/>
      </c>
      <c r="BK148" s="35" t="str">
        <f>IFERROR(VLOOKUP(Tabela1[[#This Row],[MÊS]]&amp;Tabela1[[#This Row],[MATRICULA]],#REF!,2,0),"")</f>
        <v/>
      </c>
      <c r="BL148" s="21">
        <f>COUNTIF(Tabela1[[#This Row],[MOT2]:[RECEPTIVA]],"NÃO ENCONTRADA")</f>
        <v>0</v>
      </c>
      <c r="BM148" s="135" t="str">
        <f>IFERROR(VLOOKUP(Tabela1[[#This Row],[MÊS]]&amp;Tabela1[[#This Row],[ID]]&amp;Tabela1[[#This Row],[MATRICULA]]&amp;"Motorista"&amp;Tabela1[[#This Row],[SETOR]],BD!A:AF,13,0),"")</f>
        <v/>
      </c>
      <c r="BN148" s="135" t="str">
        <f>IFERROR(VLOOKUP(Tabela1[[#This Row],[MÊS]]&amp;Tabela1[[#This Row],[ID]]&amp;Tabela1[[#This Row],[MATRICULA]]&amp;"Motorista 2"&amp;Tabela1[[#This Row],[SETOR]],BD!A:AF,13,0),"")</f>
        <v/>
      </c>
      <c r="BO148" s="135" t="str">
        <f>IFERROR(VLOOKUP(Tabela1[[#This Row],[MÊS]]&amp;Tabela1[[#This Row],[ID]]&amp;Tabela1[[#This Row],[MATRICULA]]&amp;"Motorista 3"&amp;Tabela1[[#This Row],[SETOR]],BD!A:AF,13,0),"")</f>
        <v/>
      </c>
      <c r="BP148" s="135" t="str">
        <f>IFERROR(VLOOKUP(Tabela1[[#This Row],[MÊS]]&amp;Tabela1[[#This Row],[ID]]&amp;Tabela1[[#This Row],[MATRICULA]]&amp;"Motorista 4"&amp;Tabela1[[#This Row],[SETOR]],BD!A:AF,13,0),"")</f>
        <v/>
      </c>
      <c r="BQ148" s="135" t="str">
        <f>IFERROR(AVERAGE(Tabela1[[#This Row],[DMOT]:[DMOT4]]),"")</f>
        <v/>
      </c>
      <c r="BR148" s="135" t="str">
        <f>IFERROR(VLOOKUP(Tabela1[[#This Row],[MÊS]]&amp;Tabela1[[#This Row],[ID]]&amp;Tabela1[[#This Row],[MATRICULA]]&amp;"Ponto de Apoio"&amp;Tabela1[[#This Row],[SETOR]],BD!A:AF,13,0),"")</f>
        <v/>
      </c>
      <c r="BS148" s="135" t="str">
        <f>IFERROR(VLOOKUP(Tabela1[[#This Row],[MÊS]]&amp;Tabela1[[#This Row],[ID]]&amp;Tabela1[[#This Row],[MATRICULA]]&amp;"Ponto de Apoio 2"&amp;Tabela1[[#This Row],[SETOR]],BD!A:AF,13,0),"")</f>
        <v/>
      </c>
      <c r="BT148" s="135" t="str">
        <f>IFERROR(VLOOKUP(Tabela1[[#This Row],[MÊS]]&amp;Tabela1[[#This Row],[ID]]&amp;Tabela1[[#This Row],[MATRICULA]]&amp;"Ponto de Apoio 3"&amp;Tabela1[[#This Row],[SETOR]],BD!A:AF,13,0),"")</f>
        <v/>
      </c>
      <c r="BU148" s="135" t="str">
        <f>IFERROR(VLOOKUP(Tabela1[[#This Row],[MÊS]]&amp;Tabela1[[#This Row],[ID]]&amp;Tabela1[[#This Row],[MATRICULA]]&amp;"Ponto de Apoio 4"&amp;Tabela1[[#This Row],[SETOR]],BD!A:AF,13,0),"")</f>
        <v/>
      </c>
      <c r="BV148" s="135" t="str">
        <f>IFERROR(AVERAGE(Tabela1[[#This Row],[DPA]:[DPA 4]]),"")</f>
        <v/>
      </c>
      <c r="BW148" s="135" t="str">
        <f>IFERROR(VLOOKUP(Tabela1[[#This Row],[MÊS]]&amp;Tabela1[[#This Row],[ID]]&amp;Tabela1[[#This Row],[MATRICULA]]&amp;"Cliente"&amp;Tabela1[[#This Row],[SETOR]],BD!A:AF,13,0),"")</f>
        <v/>
      </c>
      <c r="BX148" s="135" t="str">
        <f>IFERROR(VLOOKUP(Tabela1[[#This Row],[MÊS]]&amp;Tabela1[[#This Row],[ID]]&amp;Tabela1[[#This Row],[MATRICULA]]&amp;"cliente 2"&amp;Tabela1[[#This Row],[SETOR]],BD!A:AF,13,0),"")</f>
        <v/>
      </c>
      <c r="BY148" s="135" t="str">
        <f>IFERROR(VLOOKUP(Tabela1[[#This Row],[MÊS]]&amp;Tabela1[[#This Row],[ID]]&amp;Tabela1[[#This Row],[MATRICULA]]&amp;"cliente 3"&amp;Tabela1[[#This Row],[SETOR]],BD!A:AF,13,0),"")</f>
        <v/>
      </c>
      <c r="BZ148" s="135" t="str">
        <f>IFERROR(VLOOKUP(Tabela1[[#This Row],[MÊS]]&amp;Tabela1[[#This Row],[ID]]&amp;Tabela1[[#This Row],[MATRICULA]]&amp;"cliente 4"&amp;Tabela1[[#This Row],[SETOR]],BD!A:AF,13,0),"")</f>
        <v/>
      </c>
      <c r="CA148" s="135" t="str">
        <f>IFERROR(AVERAGE(Tabela1[[#This Row],[DCLI]:[DCLI 4]]),"")</f>
        <v/>
      </c>
      <c r="CB148" s="135" t="str">
        <f>IFERROR(VLOOKUP(Tabela1[[#This Row],[MÊS]]&amp;Tabela1[[#This Row],[ID]]&amp;Tabela1[[#This Row],[MATRICULA]]&amp;"Policia"&amp;Tabela1[[#This Row],[SETOR]],BD!A:AF,13,0),"")</f>
        <v/>
      </c>
      <c r="CC148" s="135" t="str">
        <f>IFERROR(VLOOKUP(Tabela1[[#This Row],[MÊS]]&amp;Tabela1[[#This Row],[ID]]&amp;Tabela1[[#This Row],[MATRICULA]]&amp;"Policia 2"&amp;Tabela1[[#This Row],[SETOR]],BD!A:AF,13,0),"")</f>
        <v/>
      </c>
      <c r="CD148" s="135"/>
      <c r="CE148" s="135"/>
      <c r="CF148" s="135" t="str">
        <f>IFERROR((AVERAGE(Tabela1[[#This Row],[DPOL1]:[DPOL4]])),"")</f>
        <v/>
      </c>
      <c r="CG148" s="21" t="str">
        <f>IFERROR(VLOOKUP(Tabela1[[#This Row],[ID]]&amp;Tabela1[[#This Row],[MÊS]]&amp;Tabela1[[#This Row],[MATRICULA]],#REF!,2,0),"")</f>
        <v/>
      </c>
      <c r="CH148" s="21" t="str">
        <f>IFERROR(VLOOKUP(Tabela1[[#This Row],[ID]]&amp;Tabela1[[#This Row],[MÊS]]&amp;Tabela1[[#This Row],[MATRICULA]],#REF!,2,0),"")</f>
        <v/>
      </c>
      <c r="CI148" s="21" t="str">
        <f>IFERROR(VLOOKUP(Tabela1[[#This Row],[MÊS]]&amp;Tabela1[[#This Row],[MATRICULA]],#REF!,2,0),"")</f>
        <v/>
      </c>
    </row>
    <row r="149" spans="1:87">
      <c r="A149" s="12" t="str">
        <f>Tabela1[[#This Row],[MÊS]]&amp;Tabela1[[#This Row],[MATRICULA]]&amp;Tabela1[[#This Row],[ID]]</f>
        <v>JAN113038</v>
      </c>
      <c r="B149" s="12" t="str">
        <f>Tabela1[[#This Row],[MÊS]]&amp;Tabela1[[#This Row],[ID]]&amp;Tabela1[[#This Row],[MATRICULA]]&amp;Tabela1[[#This Row],[SETOR]]</f>
        <v>JAN811303LOGÍSTICA</v>
      </c>
      <c r="C149" s="130" t="e">
        <f>VLOOKUP(Tabela1[[#This Row],[MATRICULA]],'BD Campos'!A:D,5,0)</f>
        <v>#REF!</v>
      </c>
      <c r="D149" s="133" t="str">
        <f ca="1">IFERROR(SUM(TODAY()-Tabela1[[#This Row],[ADMISSÃO]]),"")</f>
        <v/>
      </c>
      <c r="E149" s="11" t="str">
        <f ca="1">IFERROR(TRUNC(Tabela1[[#This Row],[TEMPO DE CASA (DIAS)]]/30),"")</f>
        <v/>
      </c>
      <c r="F149" s="32" t="str">
        <f ca="1">IFERROR(SUM(Tabela1[[#This Row],[TEMPO DE CASA (MESES)]]/12),"")</f>
        <v/>
      </c>
      <c r="G149" s="133" t="str">
        <f ca="1">IF(Tabela1[[#This Row],[TEMPO DE CASA (DIAS)]]="","SEM DADOS",IF(Tabela1[[#This Row],[TEMPO DE CASA (DIAS)]]&gt;180,"&gt; 6 MESES","&lt; 6 MESES"))</f>
        <v>SEM DADOS</v>
      </c>
      <c r="H149" s="12" t="str">
        <f t="shared" si="13"/>
        <v>JANRichard Marques8</v>
      </c>
      <c r="I149" s="12" t="str">
        <f>IFERROR(VLOOKUP(Tabela1[[#This Row],[MATRICULA]],'BD Campos'!A:F,7,0),"")</f>
        <v/>
      </c>
      <c r="J149" s="11">
        <v>8</v>
      </c>
      <c r="K149" s="11" t="s">
        <v>669</v>
      </c>
      <c r="L149" s="136">
        <v>11303</v>
      </c>
      <c r="M149" s="12" t="str">
        <f>IFERROR(VLOOKUP(Tabela1[[#This Row],[MATRICULA]],'BD Campos'!A:B,2,0),"")</f>
        <v>FLAVIA CAROLINA FERREIRA TEODO</v>
      </c>
      <c r="N149" s="20" t="str">
        <f>IFERROR(AVERAGE(Tabela1[[#This Row],[A1]:[A4]]),"")</f>
        <v/>
      </c>
      <c r="O149" s="20">
        <f>IFERROR(IF(Tabela1[[#This Row],[SETOR]]="RECEPTIVO","",AVERAGE(Tabela1[[#This Row],[A5]:[A6]])),"")</f>
        <v>9.6850000000000005</v>
      </c>
      <c r="P149" s="20" t="str">
        <f>IFERROR(IF(Tabela1[[#This Row],[STATUS]]="INATIVO","INATIVO",IF(Tabela1[[#This Row],[STATUS]]="QRT","INATIVO",IF(Tabela1[[#This Row],[OPERACIONAL]]&gt;7.99999,"BOM","RUIM"))),"")</f>
        <v>BOM</v>
      </c>
      <c r="Q149" s="21" t="s">
        <v>667</v>
      </c>
      <c r="R149" s="12" t="s">
        <v>705</v>
      </c>
      <c r="S149" s="12" t="s">
        <v>704</v>
      </c>
      <c r="T149" s="12" t="s">
        <v>315</v>
      </c>
      <c r="U14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4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49" s="12">
        <f>IF(AND(Tabela1[[#This Row],[SETOR]]="UTI",Tabela1[[#This Row],[M]]&lt;&gt;""),1,IF(AND(Tabela1[[#This Row],[SETOR]]="UTI (RJ)",Tabela1[[#This Row],[M]]&lt;&gt;""),1.5,0))</f>
        <v>0</v>
      </c>
      <c r="X149" s="12">
        <f>IF(AND(Tabela1[[#This Row],[SETOR]]="UTI",Tabela1[[#This Row],[PA2]]&lt;&gt;""),1,IF(AND(Tabela1[[#This Row],[SETOR]]="UTI (RJ)",Tabela1[[#This Row],[PA2]]&lt;&gt;""),0,0))</f>
        <v>0</v>
      </c>
      <c r="Y149" s="12">
        <f>IF(AND(Tabela1[[#This Row],[SETOR]]="UTI",Tabela1[[#This Row],[C]]&lt;&gt;""),1,IF(AND(Tabela1[[#This Row],[SETOR]]="UTI (RJ)",Tabela1[[#This Row],[C]]&lt;&gt;""),1.5,0))</f>
        <v>0</v>
      </c>
      <c r="Z149" s="12">
        <f>IF(AND(Tabela1[[#This Row],[SETOR]]="UTI",Tabela1[[#This Row],[PL]]&lt;&gt;""),1,IF(AND(Tabela1[[#This Row],[SETOR]]="UTI (RJ)",Tabela1[[#This Row],[PL]]&lt;&gt;""),1,0))</f>
        <v>0</v>
      </c>
      <c r="AA149" s="21" t="str">
        <f>IFERROR(VLOOKUP(Tabela1[[#This Row],[MÊS]]&amp;Tabela1[[#This Row],[MATRICULA]]&amp;"1"&amp;Tabela1[[#This Row],[SETOR]]&amp;"PADRÃO",BD!B:AF,31,0),"")</f>
        <v/>
      </c>
      <c r="AB149" s="21" t="str">
        <f>IFERROR(VLOOKUP(Tabela1[[#This Row],[MÊS]]&amp;Tabela1[[#This Row],[MATRICULA]]&amp;"2"&amp;Tabela1[[#This Row],[SETOR]]&amp;"PADRÃO",BD!B:AF,31,0),"")</f>
        <v/>
      </c>
      <c r="AC149" s="21" t="str">
        <f>IFERROR(VLOOKUP(Tabela1[[#This Row],[MÊS]]&amp;Tabela1[[#This Row],[MATRICULA]]&amp;"3"&amp;Tabela1[[#This Row],[SETOR]]&amp;"PADRÃO",BD!B:AF,31,0),"")</f>
        <v/>
      </c>
      <c r="AD149" s="21" t="str">
        <f>IFERROR(VLOOKUP(Tabela1[[#This Row],[MÊS]]&amp;Tabela1[[#This Row],[MATRICULA]]&amp;"4"&amp;Tabela1[[#This Row],[SETOR]]&amp;"PADRÃO",BD!B:AF,25,0),"")</f>
        <v/>
      </c>
      <c r="AE149" s="21">
        <f>IFERROR(VLOOKUP(Tabela1[[#This Row],[MÊS]]&amp;Tabela1[[#This Row],[MATRICULA]]&amp;"5"&amp;Tabela1[[#This Row],[SETOR]]&amp;"PADRÃO",BD!B:AF,31,0),"")</f>
        <v>9.6850000000000005</v>
      </c>
      <c r="AF149" s="21">
        <f>IFERROR(VLOOKUP(Tabela1[[#This Row],[MÊS]]&amp;Tabela1[[#This Row],[MATRICULA]]&amp;"6"&amp;Tabela1[[#This Row],[SETOR]]&amp;"PADRÃO",BD!B:AF,31,0),"")</f>
        <v>9.6850000000000005</v>
      </c>
      <c r="AG149" s="21" t="str">
        <f>IFERROR(VLOOKUP(Tabela1[[#This Row],[MÊS]]&amp;Tabela1[[#This Row],[MATRICULA]]&amp;"7"&amp;Tabela1[[#This Row],[SETOR]]&amp;"PADRÃO",BD!B:AF,31,0),"")</f>
        <v/>
      </c>
      <c r="AH149" s="21" t="str">
        <f>IFERROR(VLOOKUP(Tabela1[[#This Row],[MÊS]]&amp;Tabela1[[#This Row],[ID]]&amp;Tabela1[[#This Row],[MATRICULA]]&amp;"Receptiva"&amp;Tabela1[[#This Row],[SETOR]],BD!A:AF,31,0),"")</f>
        <v/>
      </c>
      <c r="AI149" s="21" t="str">
        <f>IFERROR(VLOOKUP(Tabela1[[#This Row],[MÊS]]&amp;Tabela1[[#This Row],[ID]]&amp;Tabela1[[#This Row],[MATRICULA]]&amp;"Receptiva 2"&amp;Tabela1[[#This Row],[SETOR]],BD!A:AF,31,0),"")</f>
        <v/>
      </c>
      <c r="AJ149" s="21" t="str">
        <f>IFERROR(VLOOKUP(Tabela1[[#This Row],[MÊS]]&amp;Tabela1[[#This Row],[ID]]&amp;Tabela1[[#This Row],[MATRICULA]]&amp;"Receptiva 3"&amp;Tabela1[[#This Row],[SETOR]],BD!A:AF,31,0),"")</f>
        <v/>
      </c>
      <c r="AK149" s="21" t="str">
        <f>IFERROR(VLOOKUP(Tabela1[[#This Row],[MÊS]]&amp;Tabela1[[#This Row],[ID]]&amp;Tabela1[[#This Row],[MATRICULA]]&amp;"Receptiva 4"&amp;Tabela1[[#This Row],[SETOR]],BD!A:AF,31,0),"")</f>
        <v/>
      </c>
      <c r="AL149" s="21" t="str">
        <f>IFERROR(VLOOKUP(Tabela1[[#This Row],[MÊS]]&amp;Tabela1[[#This Row],[MATRICULA]]&amp;"Motorista"&amp;Tabela1[[#This Row],[SETOR]],BD!A:AF,31,0),"")</f>
        <v/>
      </c>
      <c r="AM149" s="21" t="str">
        <f>IFERROR(VLOOKUP(Tabela1[[#This Row],[MÊS]]&amp;Tabela1[[#This Row],[ID]]&amp;Tabela1[[#This Row],[MATRICULA]]&amp;"Motorista 2"&amp;Tabela1[[#This Row],[SETOR]],BD!A:AF,26,0),"")</f>
        <v/>
      </c>
      <c r="AN149" s="21" t="str">
        <f>IFERROR(VLOOKUP(Tabela1[[#This Row],[MÊS]]&amp;Tabela1[[#This Row],[ID]]&amp;Tabela1[[#This Row],[MATRICULA]]&amp;"Motorista 3"&amp;Tabela1[[#This Row],[SETOR]],BD!A:AF,26,0),"")</f>
        <v/>
      </c>
      <c r="AO149" s="21" t="str">
        <f>IFERROR(VLOOKUP(Tabela1[[#This Row],[MÊS]]&amp;Tabela1[[#This Row],[ID]]&amp;Tabela1[[#This Row],[MATRICULA]]&amp;"Motorista 4"&amp;Tabela1[[#This Row],[SETOR]],BD!A:AF,26,0),"")</f>
        <v/>
      </c>
      <c r="AP149" s="21" t="str">
        <f>IFERROR(VLOOKUP(Tabela1[[#This Row],[MÊS]]&amp;Tabela1[[#This Row],[MATRICULA]]&amp;"Ponto de Apoio"&amp;Tabela1[[#This Row],[SETOR]],BD!A:AF,31,0),"")</f>
        <v/>
      </c>
      <c r="AQ149" s="21" t="str">
        <f>IFERROR(VLOOKUP(Tabela1[[#This Row],[MÊS]]&amp;Tabela1[[#This Row],[ID]]&amp;Tabela1[[#This Row],[MATRICULA]]&amp;"Ponto de Apoio 2"&amp;Tabela1[[#This Row],[SETOR]],BD!A:AF,26,0),"")</f>
        <v/>
      </c>
      <c r="AR149" s="36" t="str">
        <f>IFERROR(VLOOKUP(Tabela1[[#This Row],[MÊS]]&amp;Tabela1[[#This Row],[ID]]&amp;Tabela1[[#This Row],[MATRICULA]]&amp;"Ponto de Apoio 3"&amp;Tabela1[[#This Row],[SETOR]],BD!A:AF,26,0),"")</f>
        <v/>
      </c>
      <c r="AS149" s="36" t="str">
        <f>IFERROR(VLOOKUP(Tabela1[[#This Row],[MÊS]]&amp;Tabela1[[#This Row],[ID]]&amp;Tabela1[[#This Row],[MATRICULA]]&amp;"Ponto de Apoio 4"&amp;Tabela1[[#This Row],[SETOR]],BD!A:AF,26,0),"")</f>
        <v/>
      </c>
      <c r="AT149" s="21" t="str">
        <f>IFERROR(VLOOKUP(Tabela1[[#This Row],[MÊS]]&amp;Tabela1[[#This Row],[MATRICULA]]&amp;"Cliente"&amp;Tabela1[[#This Row],[SETOR]],BD!A:AF,31,0),"")</f>
        <v/>
      </c>
      <c r="AU149" s="21" t="str">
        <f>IFERROR(VLOOKUP(Tabela1[[#This Row],[MÊS]]&amp;Tabela1[[#This Row],[ID]]&amp;Tabela1[[#This Row],[MATRICULA]]&amp;"Cliente 2"&amp;Tabela1[[#This Row],[SETOR]],BD!A:AF,26,0),"")</f>
        <v/>
      </c>
      <c r="AX149" s="21" t="str">
        <f>IFERROR(VLOOKUP(Tabela1[[#This Row],[MÊS]]&amp;Tabela1[[#This Row],[MATRICULA]]&amp;"Policia"&amp;Tabela1[[#This Row],[SETOR]],BD!A:AF,31,0),"")</f>
        <v/>
      </c>
      <c r="AY149" s="21" t="str">
        <f>IFERROR(VLOOKUP(Tabela1[[#This Row],[MÊS]]&amp;Tabela1[[#This Row],[ID]]&amp;Tabela1[[#This Row],[MATRICULA]]&amp;"Policia 2"&amp;Tabela1[[#This Row],[SETOR]],BD!A:AF,26,0),"")</f>
        <v/>
      </c>
      <c r="AZ149" s="36" t="str">
        <f>IFERROR(VLOOKUP(Tabela1[[#This Row],[MÊS]]&amp;Tabela1[[#This Row],[ID]]&amp;Tabela1[[#This Row],[MATRICULA]]&amp;"Policia 3"&amp;Tabela1[[#This Row],[SETOR]],BD!A:AF,26,0),"")</f>
        <v/>
      </c>
      <c r="BA149" s="36" t="str">
        <f>IFERROR(VLOOKUP(Tabela1[[#This Row],[MÊS]]&amp;Tabela1[[#This Row],[ID]]&amp;Tabela1[[#This Row],[MATRICULA]]&amp;"Policia 4"&amp;Tabela1[[#This Row],[SETOR]],BD!A:AF,26,0),"")</f>
        <v/>
      </c>
      <c r="BB14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49" s="21" t="str">
        <f>IFERROR(AVERAGE(Tabela1[[#This Row],[M]:[M4]]),"")</f>
        <v/>
      </c>
      <c r="BD149" s="21" t="str">
        <f>IFERROR(AVERAGE(Tabela1[[#This Row],[C]:[C4]]),"")</f>
        <v/>
      </c>
      <c r="BE149" s="21" t="str">
        <f>IFERROR(AVERAGE(Tabela1[[#This Row],[PA2]:[PA 4]]),"")</f>
        <v/>
      </c>
      <c r="BF149" s="21" t="str">
        <f>IFERROR(AVERAGE(Tabela1[[#This Row],[PL]:[PL4]]),"")</f>
        <v/>
      </c>
      <c r="BG149" s="35" t="str">
        <f>IFERROR(VLOOKUP(Tabela1[[#This Row],[MÊS]]&amp;Tabela1[[#This Row],[MATRICULA]],#REF!,2,0),"")</f>
        <v/>
      </c>
      <c r="BH149" s="35" t="str">
        <f>IFERROR(VLOOKUP(Tabela1[[#This Row],[MÊS]]&amp;Tabela1[[#This Row],[MATRICULA]],#REF!,2,0),"")</f>
        <v/>
      </c>
      <c r="BI149" s="35" t="str">
        <f>IFERROR(VLOOKUP(Tabela1[[#This Row],[MÊS]]&amp;Tabela1[[#This Row],[MATRICULA]],#REF!,2,0),"")</f>
        <v/>
      </c>
      <c r="BJ149" s="35" t="str">
        <f>IFERROR(VLOOKUP(Tabela1[[#This Row],[MÊS]]&amp;Tabela1[[#This Row],[MATRICULA]],#REF!,2,0),"")</f>
        <v/>
      </c>
      <c r="BK149" s="35" t="str">
        <f>IFERROR(VLOOKUP(Tabela1[[#This Row],[MÊS]]&amp;Tabela1[[#This Row],[MATRICULA]],#REF!,2,0),"")</f>
        <v/>
      </c>
      <c r="BL149" s="21">
        <f>COUNTIF(Tabela1[[#This Row],[MOT2]:[RECEPTIVA]],"NÃO ENCONTRADA")</f>
        <v>0</v>
      </c>
      <c r="BM149" s="135" t="str">
        <f>IFERROR(VLOOKUP(Tabela1[[#This Row],[MÊS]]&amp;Tabela1[[#This Row],[ID]]&amp;Tabela1[[#This Row],[MATRICULA]]&amp;"Motorista"&amp;Tabela1[[#This Row],[SETOR]],BD!A:AF,13,0),"")</f>
        <v/>
      </c>
      <c r="BN149" s="135" t="str">
        <f>IFERROR(VLOOKUP(Tabela1[[#This Row],[MÊS]]&amp;Tabela1[[#This Row],[ID]]&amp;Tabela1[[#This Row],[MATRICULA]]&amp;"Motorista 2"&amp;Tabela1[[#This Row],[SETOR]],BD!A:AF,13,0),"")</f>
        <v/>
      </c>
      <c r="BO149" s="135" t="str">
        <f>IFERROR(VLOOKUP(Tabela1[[#This Row],[MÊS]]&amp;Tabela1[[#This Row],[ID]]&amp;Tabela1[[#This Row],[MATRICULA]]&amp;"Motorista 3"&amp;Tabela1[[#This Row],[SETOR]],BD!A:AF,13,0),"")</f>
        <v/>
      </c>
      <c r="BP149" s="135" t="str">
        <f>IFERROR(VLOOKUP(Tabela1[[#This Row],[MÊS]]&amp;Tabela1[[#This Row],[ID]]&amp;Tabela1[[#This Row],[MATRICULA]]&amp;"Motorista 4"&amp;Tabela1[[#This Row],[SETOR]],BD!A:AF,13,0),"")</f>
        <v/>
      </c>
      <c r="BQ149" s="135" t="str">
        <f>IFERROR(AVERAGE(Tabela1[[#This Row],[DMOT]:[DMOT4]]),"")</f>
        <v/>
      </c>
      <c r="BR149" s="135" t="str">
        <f>IFERROR(VLOOKUP(Tabela1[[#This Row],[MÊS]]&amp;Tabela1[[#This Row],[ID]]&amp;Tabela1[[#This Row],[MATRICULA]]&amp;"Ponto de Apoio"&amp;Tabela1[[#This Row],[SETOR]],BD!A:AF,13,0),"")</f>
        <v/>
      </c>
      <c r="BS149" s="135" t="str">
        <f>IFERROR(VLOOKUP(Tabela1[[#This Row],[MÊS]]&amp;Tabela1[[#This Row],[ID]]&amp;Tabela1[[#This Row],[MATRICULA]]&amp;"Ponto de Apoio 2"&amp;Tabela1[[#This Row],[SETOR]],BD!A:AF,13,0),"")</f>
        <v/>
      </c>
      <c r="BT149" s="135" t="str">
        <f>IFERROR(VLOOKUP(Tabela1[[#This Row],[MÊS]]&amp;Tabela1[[#This Row],[ID]]&amp;Tabela1[[#This Row],[MATRICULA]]&amp;"Ponto de Apoio 3"&amp;Tabela1[[#This Row],[SETOR]],BD!A:AF,13,0),"")</f>
        <v/>
      </c>
      <c r="BU149" s="135" t="str">
        <f>IFERROR(VLOOKUP(Tabela1[[#This Row],[MÊS]]&amp;Tabela1[[#This Row],[ID]]&amp;Tabela1[[#This Row],[MATRICULA]]&amp;"Ponto de Apoio 4"&amp;Tabela1[[#This Row],[SETOR]],BD!A:AF,13,0),"")</f>
        <v/>
      </c>
      <c r="BV149" s="135" t="str">
        <f>IFERROR(AVERAGE(Tabela1[[#This Row],[DPA]:[DPA 4]]),"")</f>
        <v/>
      </c>
      <c r="BW149" s="135" t="str">
        <f>IFERROR(VLOOKUP(Tabela1[[#This Row],[MÊS]]&amp;Tabela1[[#This Row],[ID]]&amp;Tabela1[[#This Row],[MATRICULA]]&amp;"Cliente"&amp;Tabela1[[#This Row],[SETOR]],BD!A:AF,13,0),"")</f>
        <v/>
      </c>
      <c r="BX149" s="135" t="str">
        <f>IFERROR(VLOOKUP(Tabela1[[#This Row],[MÊS]]&amp;Tabela1[[#This Row],[ID]]&amp;Tabela1[[#This Row],[MATRICULA]]&amp;"cliente 2"&amp;Tabela1[[#This Row],[SETOR]],BD!A:AF,13,0),"")</f>
        <v/>
      </c>
      <c r="BY149" s="135" t="str">
        <f>IFERROR(VLOOKUP(Tabela1[[#This Row],[MÊS]]&amp;Tabela1[[#This Row],[ID]]&amp;Tabela1[[#This Row],[MATRICULA]]&amp;"cliente 3"&amp;Tabela1[[#This Row],[SETOR]],BD!A:AF,13,0),"")</f>
        <v/>
      </c>
      <c r="BZ149" s="135" t="str">
        <f>IFERROR(VLOOKUP(Tabela1[[#This Row],[MÊS]]&amp;Tabela1[[#This Row],[ID]]&amp;Tabela1[[#This Row],[MATRICULA]]&amp;"cliente 4"&amp;Tabela1[[#This Row],[SETOR]],BD!A:AF,13,0),"")</f>
        <v/>
      </c>
      <c r="CA149" s="135" t="str">
        <f>IFERROR(AVERAGE(Tabela1[[#This Row],[DCLI]:[DCLI 4]]),"")</f>
        <v/>
      </c>
      <c r="CB149" s="135" t="str">
        <f>IFERROR(VLOOKUP(Tabela1[[#This Row],[MÊS]]&amp;Tabela1[[#This Row],[ID]]&amp;Tabela1[[#This Row],[MATRICULA]]&amp;"Policia"&amp;Tabela1[[#This Row],[SETOR]],BD!A:AF,13,0),"")</f>
        <v/>
      </c>
      <c r="CC149" s="135" t="str">
        <f>IFERROR(VLOOKUP(Tabela1[[#This Row],[MÊS]]&amp;Tabela1[[#This Row],[ID]]&amp;Tabela1[[#This Row],[MATRICULA]]&amp;"Policia 2"&amp;Tabela1[[#This Row],[SETOR]],BD!A:AF,13,0),"")</f>
        <v/>
      </c>
      <c r="CD149" s="135"/>
      <c r="CE149" s="135"/>
      <c r="CF149" s="135" t="str">
        <f>IFERROR((AVERAGE(Tabela1[[#This Row],[DPOL1]:[DPOL4]])),"")</f>
        <v/>
      </c>
      <c r="CG149" s="21" t="str">
        <f>IFERROR(VLOOKUP(Tabela1[[#This Row],[ID]]&amp;Tabela1[[#This Row],[MÊS]]&amp;Tabela1[[#This Row],[MATRICULA]],#REF!,2,0),"")</f>
        <v/>
      </c>
      <c r="CH149" s="21" t="str">
        <f>IFERROR(VLOOKUP(Tabela1[[#This Row],[ID]]&amp;Tabela1[[#This Row],[MÊS]]&amp;Tabela1[[#This Row],[MATRICULA]],#REF!,2,0),"")</f>
        <v/>
      </c>
      <c r="CI149" s="21" t="str">
        <f>IFERROR(VLOOKUP(Tabela1[[#This Row],[MÊS]]&amp;Tabela1[[#This Row],[MATRICULA]],#REF!,2,0),"")</f>
        <v/>
      </c>
    </row>
    <row r="150" spans="1:87">
      <c r="A150" s="12" t="str">
        <f>Tabela1[[#This Row],[MÊS]]&amp;Tabela1[[#This Row],[MATRICULA]]&amp;Tabela1[[#This Row],[ID]]</f>
        <v>JAN109049</v>
      </c>
      <c r="B150" s="12" t="str">
        <f>Tabela1[[#This Row],[MÊS]]&amp;Tabela1[[#This Row],[ID]]&amp;Tabela1[[#This Row],[MATRICULA]]&amp;Tabela1[[#This Row],[SETOR]]</f>
        <v>JAN910904LOGÍSTICA</v>
      </c>
      <c r="C150" s="130" t="e">
        <f>VLOOKUP(Tabela1[[#This Row],[MATRICULA]],'BD Campos'!A:D,5,0)</f>
        <v>#REF!</v>
      </c>
      <c r="D150" s="133" t="str">
        <f ca="1">IFERROR(SUM(TODAY()-Tabela1[[#This Row],[ADMISSÃO]]),"")</f>
        <v/>
      </c>
      <c r="E150" s="11" t="str">
        <f ca="1">IFERROR(TRUNC(Tabela1[[#This Row],[TEMPO DE CASA (DIAS)]]/30),"")</f>
        <v/>
      </c>
      <c r="F150" s="32" t="str">
        <f ca="1">IFERROR(SUM(Tabela1[[#This Row],[TEMPO DE CASA (MESES)]]/12),"")</f>
        <v/>
      </c>
      <c r="G150" s="133" t="str">
        <f ca="1">IF(Tabela1[[#This Row],[TEMPO DE CASA (DIAS)]]="","SEM DADOS",IF(Tabela1[[#This Row],[TEMPO DE CASA (DIAS)]]&gt;180,"&gt; 6 MESES","&lt; 6 MESES"))</f>
        <v>SEM DADOS</v>
      </c>
      <c r="H150" s="12" t="str">
        <f t="shared" si="13"/>
        <v>JANRichard Marques9</v>
      </c>
      <c r="I150" s="12" t="str">
        <f>IFERROR(VLOOKUP(Tabela1[[#This Row],[MATRICULA]],'BD Campos'!A:F,7,0),"")</f>
        <v/>
      </c>
      <c r="J150" s="11">
        <v>9</v>
      </c>
      <c r="K150" s="11" t="s">
        <v>669</v>
      </c>
      <c r="L150" s="136">
        <v>10904</v>
      </c>
      <c r="M150" s="12" t="str">
        <f>IFERROR(VLOOKUP(Tabela1[[#This Row],[MATRICULA]],'BD Campos'!A:B,2,0),"")</f>
        <v>JAQUELINE FRAZÃO DE SOUZA</v>
      </c>
      <c r="N150" s="20">
        <f>IFERROR(AVERAGE(Tabela1[[#This Row],[A1]:[A4]]),"")</f>
        <v>8.4250000000000007</v>
      </c>
      <c r="O150" s="20" t="str">
        <f>IFERROR(IF(Tabela1[[#This Row],[SETOR]]="RECEPTIVO","",AVERAGE(Tabela1[[#This Row],[A5]:[A6]])),"")</f>
        <v/>
      </c>
      <c r="P150" s="20" t="str">
        <f>IFERROR(IF(Tabela1[[#This Row],[STATUS]]="INATIVO","INATIVO",IF(Tabela1[[#This Row],[STATUS]]="QRT","INATIVO",IF(Tabela1[[#This Row],[OPERACIONAL]]&gt;7.99999,"BOM","RUIM"))),"")</f>
        <v>BOM</v>
      </c>
      <c r="Q150" s="21" t="s">
        <v>667</v>
      </c>
      <c r="R150" s="12" t="s">
        <v>315</v>
      </c>
      <c r="S150" s="12" t="s">
        <v>704</v>
      </c>
      <c r="T150" s="12" t="s">
        <v>315</v>
      </c>
      <c r="U15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0" s="12">
        <f>IF(AND(Tabela1[[#This Row],[SETOR]]="UTI",Tabela1[[#This Row],[M]]&lt;&gt;""),1,IF(AND(Tabela1[[#This Row],[SETOR]]="UTI (RJ)",Tabela1[[#This Row],[M]]&lt;&gt;""),1.5,0))</f>
        <v>0</v>
      </c>
      <c r="X150" s="12">
        <f>IF(AND(Tabela1[[#This Row],[SETOR]]="UTI",Tabela1[[#This Row],[PA2]]&lt;&gt;""),1,IF(AND(Tabela1[[#This Row],[SETOR]]="UTI (RJ)",Tabela1[[#This Row],[PA2]]&lt;&gt;""),0,0))</f>
        <v>0</v>
      </c>
      <c r="Y150" s="12">
        <f>IF(AND(Tabela1[[#This Row],[SETOR]]="UTI",Tabela1[[#This Row],[C]]&lt;&gt;""),1,IF(AND(Tabela1[[#This Row],[SETOR]]="UTI (RJ)",Tabela1[[#This Row],[C]]&lt;&gt;""),1.5,0))</f>
        <v>0</v>
      </c>
      <c r="Z150" s="12">
        <f>IF(AND(Tabela1[[#This Row],[SETOR]]="UTI",Tabela1[[#This Row],[PL]]&lt;&gt;""),1,IF(AND(Tabela1[[#This Row],[SETOR]]="UTI (RJ)",Tabela1[[#This Row],[PL]]&lt;&gt;""),1,0))</f>
        <v>0</v>
      </c>
      <c r="AA150" s="21">
        <f>IFERROR(VLOOKUP(Tabela1[[#This Row],[MÊS]]&amp;Tabela1[[#This Row],[MATRICULA]]&amp;"1"&amp;Tabela1[[#This Row],[SETOR]]&amp;"PADRÃO",BD!B:AF,31,0),"")</f>
        <v>8.4250000000000007</v>
      </c>
      <c r="AB150" s="21">
        <f>IFERROR(VLOOKUP(Tabela1[[#This Row],[MÊS]]&amp;Tabela1[[#This Row],[MATRICULA]]&amp;"2"&amp;Tabela1[[#This Row],[SETOR]]&amp;"PADRÃO",BD!B:AF,31,0),"")</f>
        <v>8.4250000000000007</v>
      </c>
      <c r="AC150" s="21" t="str">
        <f>IFERROR(VLOOKUP(Tabela1[[#This Row],[MÊS]]&amp;Tabela1[[#This Row],[MATRICULA]]&amp;"3"&amp;Tabela1[[#This Row],[SETOR]]&amp;"PADRÃO",BD!B:AF,31,0),"")</f>
        <v/>
      </c>
      <c r="AD150" s="21" t="str">
        <f>IFERROR(VLOOKUP(Tabela1[[#This Row],[MÊS]]&amp;Tabela1[[#This Row],[MATRICULA]]&amp;"4"&amp;Tabela1[[#This Row],[SETOR]]&amp;"PADRÃO",BD!B:AF,25,0),"")</f>
        <v/>
      </c>
      <c r="AE150" s="21" t="str">
        <f>IFERROR(VLOOKUP(Tabela1[[#This Row],[MÊS]]&amp;Tabela1[[#This Row],[MATRICULA]]&amp;"5"&amp;Tabela1[[#This Row],[SETOR]]&amp;"PADRÃO",BD!B:AF,31,0),"")</f>
        <v/>
      </c>
      <c r="AF150" s="21" t="str">
        <f>IFERROR(VLOOKUP(Tabela1[[#This Row],[MÊS]]&amp;Tabela1[[#This Row],[MATRICULA]]&amp;"6"&amp;Tabela1[[#This Row],[SETOR]]&amp;"PADRÃO",BD!B:AF,31,0),"")</f>
        <v/>
      </c>
      <c r="AG150" s="21" t="str">
        <f>IFERROR(VLOOKUP(Tabela1[[#This Row],[MÊS]]&amp;Tabela1[[#This Row],[MATRICULA]]&amp;"7"&amp;Tabela1[[#This Row],[SETOR]]&amp;"PADRÃO",BD!B:AF,31,0),"")</f>
        <v/>
      </c>
      <c r="AH150" s="21" t="str">
        <f>IFERROR(VLOOKUP(Tabela1[[#This Row],[MÊS]]&amp;Tabela1[[#This Row],[ID]]&amp;Tabela1[[#This Row],[MATRICULA]]&amp;"Receptiva"&amp;Tabela1[[#This Row],[SETOR]],BD!A:AF,31,0),"")</f>
        <v/>
      </c>
      <c r="AI150" s="21" t="str">
        <f>IFERROR(VLOOKUP(Tabela1[[#This Row],[MÊS]]&amp;Tabela1[[#This Row],[ID]]&amp;Tabela1[[#This Row],[MATRICULA]]&amp;"Receptiva 2"&amp;Tabela1[[#This Row],[SETOR]],BD!A:AF,31,0),"")</f>
        <v/>
      </c>
      <c r="AJ150" s="21" t="str">
        <f>IFERROR(VLOOKUP(Tabela1[[#This Row],[MÊS]]&amp;Tabela1[[#This Row],[ID]]&amp;Tabela1[[#This Row],[MATRICULA]]&amp;"Receptiva 3"&amp;Tabela1[[#This Row],[SETOR]],BD!A:AF,31,0),"")</f>
        <v/>
      </c>
      <c r="AK150" s="21" t="str">
        <f>IFERROR(VLOOKUP(Tabela1[[#This Row],[MÊS]]&amp;Tabela1[[#This Row],[ID]]&amp;Tabela1[[#This Row],[MATRICULA]]&amp;"Receptiva 4"&amp;Tabela1[[#This Row],[SETOR]],BD!A:AF,31,0),"")</f>
        <v/>
      </c>
      <c r="AL150" s="21" t="str">
        <f>IFERROR(VLOOKUP(Tabela1[[#This Row],[MÊS]]&amp;Tabela1[[#This Row],[MATRICULA]]&amp;"Motorista"&amp;Tabela1[[#This Row],[SETOR]],BD!A:AF,31,0),"")</f>
        <v/>
      </c>
      <c r="AM150" s="21" t="str">
        <f>IFERROR(VLOOKUP(Tabela1[[#This Row],[MÊS]]&amp;Tabela1[[#This Row],[ID]]&amp;Tabela1[[#This Row],[MATRICULA]]&amp;"Motorista 2"&amp;Tabela1[[#This Row],[SETOR]],BD!A:AF,26,0),"")</f>
        <v/>
      </c>
      <c r="AN150" s="21" t="str">
        <f>IFERROR(VLOOKUP(Tabela1[[#This Row],[MÊS]]&amp;Tabela1[[#This Row],[ID]]&amp;Tabela1[[#This Row],[MATRICULA]]&amp;"Motorista 3"&amp;Tabela1[[#This Row],[SETOR]],BD!A:AF,26,0),"")</f>
        <v/>
      </c>
      <c r="AO150" s="21" t="str">
        <f>IFERROR(VLOOKUP(Tabela1[[#This Row],[MÊS]]&amp;Tabela1[[#This Row],[ID]]&amp;Tabela1[[#This Row],[MATRICULA]]&amp;"Motorista 4"&amp;Tabela1[[#This Row],[SETOR]],BD!A:AF,26,0),"")</f>
        <v/>
      </c>
      <c r="AP150" s="21" t="str">
        <f>IFERROR(VLOOKUP(Tabela1[[#This Row],[MÊS]]&amp;Tabela1[[#This Row],[MATRICULA]]&amp;"Ponto de Apoio"&amp;Tabela1[[#This Row],[SETOR]],BD!A:AF,31,0),"")</f>
        <v/>
      </c>
      <c r="AQ150" s="21" t="str">
        <f>IFERROR(VLOOKUP(Tabela1[[#This Row],[MÊS]]&amp;Tabela1[[#This Row],[ID]]&amp;Tabela1[[#This Row],[MATRICULA]]&amp;"Ponto de Apoio 2"&amp;Tabela1[[#This Row],[SETOR]],BD!A:AF,26,0),"")</f>
        <v/>
      </c>
      <c r="AR150" s="36" t="str">
        <f>IFERROR(VLOOKUP(Tabela1[[#This Row],[MÊS]]&amp;Tabela1[[#This Row],[ID]]&amp;Tabela1[[#This Row],[MATRICULA]]&amp;"Ponto de Apoio 3"&amp;Tabela1[[#This Row],[SETOR]],BD!A:AF,26,0),"")</f>
        <v/>
      </c>
      <c r="AS150" s="36" t="str">
        <f>IFERROR(VLOOKUP(Tabela1[[#This Row],[MÊS]]&amp;Tabela1[[#This Row],[ID]]&amp;Tabela1[[#This Row],[MATRICULA]]&amp;"Ponto de Apoio 4"&amp;Tabela1[[#This Row],[SETOR]],BD!A:AF,26,0),"")</f>
        <v/>
      </c>
      <c r="AT150" s="21">
        <f>IFERROR(VLOOKUP(Tabela1[[#This Row],[MÊS]]&amp;Tabela1[[#This Row],[MATRICULA]]&amp;"Cliente"&amp;Tabela1[[#This Row],[SETOR]],BD!A:AF,31,0),"")</f>
        <v>0</v>
      </c>
      <c r="AU150" s="21" t="str">
        <f>IFERROR(VLOOKUP(Tabela1[[#This Row],[MÊS]]&amp;Tabela1[[#This Row],[ID]]&amp;Tabela1[[#This Row],[MATRICULA]]&amp;"Cliente 2"&amp;Tabela1[[#This Row],[SETOR]],BD!A:AF,26,0),"")</f>
        <v/>
      </c>
      <c r="AX150" s="21" t="str">
        <f>IFERROR(VLOOKUP(Tabela1[[#This Row],[MÊS]]&amp;Tabela1[[#This Row],[MATRICULA]]&amp;"Policia"&amp;Tabela1[[#This Row],[SETOR]],BD!A:AF,31,0),"")</f>
        <v/>
      </c>
      <c r="AY150" s="21" t="str">
        <f>IFERROR(VLOOKUP(Tabela1[[#This Row],[MÊS]]&amp;Tabela1[[#This Row],[ID]]&amp;Tabela1[[#This Row],[MATRICULA]]&amp;"Policia 2"&amp;Tabela1[[#This Row],[SETOR]],BD!A:AF,26,0),"")</f>
        <v/>
      </c>
      <c r="AZ150" s="36" t="str">
        <f>IFERROR(VLOOKUP(Tabela1[[#This Row],[MÊS]]&amp;Tabela1[[#This Row],[ID]]&amp;Tabela1[[#This Row],[MATRICULA]]&amp;"Policia 3"&amp;Tabela1[[#This Row],[SETOR]],BD!A:AF,26,0),"")</f>
        <v/>
      </c>
      <c r="BA150" s="36" t="str">
        <f>IFERROR(VLOOKUP(Tabela1[[#This Row],[MÊS]]&amp;Tabela1[[#This Row],[ID]]&amp;Tabela1[[#This Row],[MATRICULA]]&amp;"Policia 4"&amp;Tabela1[[#This Row],[SETOR]],BD!A:AF,26,0),"")</f>
        <v/>
      </c>
      <c r="BB15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0" s="21" t="str">
        <f>IFERROR(AVERAGE(Tabela1[[#This Row],[M]:[M4]]),"")</f>
        <v/>
      </c>
      <c r="BD150" s="21">
        <f>IFERROR(AVERAGE(Tabela1[[#This Row],[C]:[C4]]),"")</f>
        <v>0</v>
      </c>
      <c r="BE150" s="21" t="str">
        <f>IFERROR(AVERAGE(Tabela1[[#This Row],[PA2]:[PA 4]]),"")</f>
        <v/>
      </c>
      <c r="BF150" s="21" t="str">
        <f>IFERROR(AVERAGE(Tabela1[[#This Row],[PL]:[PL4]]),"")</f>
        <v/>
      </c>
      <c r="BG150" s="35" t="str">
        <f>IFERROR(VLOOKUP(Tabela1[[#This Row],[MÊS]]&amp;Tabela1[[#This Row],[MATRICULA]],#REF!,2,0),"")</f>
        <v/>
      </c>
      <c r="BH150" s="35" t="str">
        <f>IFERROR(VLOOKUP(Tabela1[[#This Row],[MÊS]]&amp;Tabela1[[#This Row],[MATRICULA]],#REF!,2,0),"")</f>
        <v/>
      </c>
      <c r="BI150" s="35" t="str">
        <f>IFERROR(VLOOKUP(Tabela1[[#This Row],[MÊS]]&amp;Tabela1[[#This Row],[MATRICULA]],#REF!,2,0),"")</f>
        <v/>
      </c>
      <c r="BJ150" s="35" t="str">
        <f>IFERROR(VLOOKUP(Tabela1[[#This Row],[MÊS]]&amp;Tabela1[[#This Row],[MATRICULA]],#REF!,2,0),"")</f>
        <v/>
      </c>
      <c r="BK150" s="35" t="str">
        <f>IFERROR(VLOOKUP(Tabela1[[#This Row],[MÊS]]&amp;Tabela1[[#This Row],[MATRICULA]],#REF!,2,0),"")</f>
        <v/>
      </c>
      <c r="BL150" s="21">
        <f>COUNTIF(Tabela1[[#This Row],[MOT2]:[RECEPTIVA]],"NÃO ENCONTRADA")</f>
        <v>0</v>
      </c>
      <c r="BM150" s="135" t="str">
        <f>IFERROR(VLOOKUP(Tabela1[[#This Row],[MÊS]]&amp;Tabela1[[#This Row],[ID]]&amp;Tabela1[[#This Row],[MATRICULA]]&amp;"Motorista"&amp;Tabela1[[#This Row],[SETOR]],BD!A:AF,13,0),"")</f>
        <v/>
      </c>
      <c r="BN150" s="135" t="str">
        <f>IFERROR(VLOOKUP(Tabela1[[#This Row],[MÊS]]&amp;Tabela1[[#This Row],[ID]]&amp;Tabela1[[#This Row],[MATRICULA]]&amp;"Motorista 2"&amp;Tabela1[[#This Row],[SETOR]],BD!A:AF,13,0),"")</f>
        <v/>
      </c>
      <c r="BO150" s="135" t="str">
        <f>IFERROR(VLOOKUP(Tabela1[[#This Row],[MÊS]]&amp;Tabela1[[#This Row],[ID]]&amp;Tabela1[[#This Row],[MATRICULA]]&amp;"Motorista 3"&amp;Tabela1[[#This Row],[SETOR]],BD!A:AF,13,0),"")</f>
        <v/>
      </c>
      <c r="BP150" s="135" t="str">
        <f>IFERROR(VLOOKUP(Tabela1[[#This Row],[MÊS]]&amp;Tabela1[[#This Row],[ID]]&amp;Tabela1[[#This Row],[MATRICULA]]&amp;"Motorista 4"&amp;Tabela1[[#This Row],[SETOR]],BD!A:AF,13,0),"")</f>
        <v/>
      </c>
      <c r="BQ150" s="135" t="str">
        <f>IFERROR(AVERAGE(Tabela1[[#This Row],[DMOT]:[DMOT4]]),"")</f>
        <v/>
      </c>
      <c r="BR150" s="135" t="str">
        <f>IFERROR(VLOOKUP(Tabela1[[#This Row],[MÊS]]&amp;Tabela1[[#This Row],[ID]]&amp;Tabela1[[#This Row],[MATRICULA]]&amp;"Ponto de Apoio"&amp;Tabela1[[#This Row],[SETOR]],BD!A:AF,13,0),"")</f>
        <v/>
      </c>
      <c r="BS150" s="135" t="str">
        <f>IFERROR(VLOOKUP(Tabela1[[#This Row],[MÊS]]&amp;Tabela1[[#This Row],[ID]]&amp;Tabela1[[#This Row],[MATRICULA]]&amp;"Ponto de Apoio 2"&amp;Tabela1[[#This Row],[SETOR]],BD!A:AF,13,0),"")</f>
        <v/>
      </c>
      <c r="BT150" s="135" t="str">
        <f>IFERROR(VLOOKUP(Tabela1[[#This Row],[MÊS]]&amp;Tabela1[[#This Row],[ID]]&amp;Tabela1[[#This Row],[MATRICULA]]&amp;"Ponto de Apoio 3"&amp;Tabela1[[#This Row],[SETOR]],BD!A:AF,13,0),"")</f>
        <v/>
      </c>
      <c r="BU150" s="135" t="str">
        <f>IFERROR(VLOOKUP(Tabela1[[#This Row],[MÊS]]&amp;Tabela1[[#This Row],[ID]]&amp;Tabela1[[#This Row],[MATRICULA]]&amp;"Ponto de Apoio 4"&amp;Tabela1[[#This Row],[SETOR]],BD!A:AF,13,0),"")</f>
        <v/>
      </c>
      <c r="BV150" s="135" t="str">
        <f>IFERROR(AVERAGE(Tabela1[[#This Row],[DPA]:[DPA 4]]),"")</f>
        <v/>
      </c>
      <c r="BW150" s="135" t="str">
        <f>IFERROR(VLOOKUP(Tabela1[[#This Row],[MÊS]]&amp;Tabela1[[#This Row],[ID]]&amp;Tabela1[[#This Row],[MATRICULA]]&amp;"Cliente"&amp;Tabela1[[#This Row],[SETOR]],BD!A:AF,13,0),"")</f>
        <v/>
      </c>
      <c r="BX150" s="135" t="str">
        <f>IFERROR(VLOOKUP(Tabela1[[#This Row],[MÊS]]&amp;Tabela1[[#This Row],[ID]]&amp;Tabela1[[#This Row],[MATRICULA]]&amp;"cliente 2"&amp;Tabela1[[#This Row],[SETOR]],BD!A:AF,13,0),"")</f>
        <v/>
      </c>
      <c r="BY150" s="135" t="str">
        <f>IFERROR(VLOOKUP(Tabela1[[#This Row],[MÊS]]&amp;Tabela1[[#This Row],[ID]]&amp;Tabela1[[#This Row],[MATRICULA]]&amp;"cliente 3"&amp;Tabela1[[#This Row],[SETOR]],BD!A:AF,13,0),"")</f>
        <v/>
      </c>
      <c r="BZ150" s="135" t="str">
        <f>IFERROR(VLOOKUP(Tabela1[[#This Row],[MÊS]]&amp;Tabela1[[#This Row],[ID]]&amp;Tabela1[[#This Row],[MATRICULA]]&amp;"cliente 4"&amp;Tabela1[[#This Row],[SETOR]],BD!A:AF,13,0),"")</f>
        <v/>
      </c>
      <c r="CA150" s="135" t="str">
        <f>IFERROR(AVERAGE(Tabela1[[#This Row],[DCLI]:[DCLI 4]]),"")</f>
        <v/>
      </c>
      <c r="CB150" s="135" t="str">
        <f>IFERROR(VLOOKUP(Tabela1[[#This Row],[MÊS]]&amp;Tabela1[[#This Row],[ID]]&amp;Tabela1[[#This Row],[MATRICULA]]&amp;"Policia"&amp;Tabela1[[#This Row],[SETOR]],BD!A:AF,13,0),"")</f>
        <v/>
      </c>
      <c r="CC150" s="135" t="str">
        <f>IFERROR(VLOOKUP(Tabela1[[#This Row],[MÊS]]&amp;Tabela1[[#This Row],[ID]]&amp;Tabela1[[#This Row],[MATRICULA]]&amp;"Policia 2"&amp;Tabela1[[#This Row],[SETOR]],BD!A:AF,13,0),"")</f>
        <v/>
      </c>
      <c r="CD150" s="135"/>
      <c r="CE150" s="135"/>
      <c r="CF150" s="135" t="str">
        <f>IFERROR((AVERAGE(Tabela1[[#This Row],[DPOL1]:[DPOL4]])),"")</f>
        <v/>
      </c>
      <c r="CG150" s="21" t="str">
        <f>IFERROR(VLOOKUP(Tabela1[[#This Row],[ID]]&amp;Tabela1[[#This Row],[MÊS]]&amp;Tabela1[[#This Row],[MATRICULA]],#REF!,2,0),"")</f>
        <v/>
      </c>
      <c r="CH150" s="21" t="str">
        <f>IFERROR(VLOOKUP(Tabela1[[#This Row],[ID]]&amp;Tabela1[[#This Row],[MÊS]]&amp;Tabela1[[#This Row],[MATRICULA]],#REF!,2,0),"")</f>
        <v/>
      </c>
      <c r="CI150" s="21" t="str">
        <f>IFERROR(VLOOKUP(Tabela1[[#This Row],[MÊS]]&amp;Tabela1[[#This Row],[MATRICULA]],#REF!,2,0),"")</f>
        <v/>
      </c>
    </row>
    <row r="151" spans="1:87">
      <c r="A151" s="12" t="str">
        <f>Tabela1[[#This Row],[MÊS]]&amp;Tabela1[[#This Row],[MATRICULA]]&amp;Tabela1[[#This Row],[ID]]</f>
        <v>JAN1150210</v>
      </c>
      <c r="B151" s="12" t="str">
        <f>Tabela1[[#This Row],[MÊS]]&amp;Tabela1[[#This Row],[ID]]&amp;Tabela1[[#This Row],[MATRICULA]]&amp;Tabela1[[#This Row],[SETOR]]</f>
        <v>JAN1011502LOGÍSTICA</v>
      </c>
      <c r="C151" s="130" t="e">
        <f>VLOOKUP(Tabela1[[#This Row],[MATRICULA]],'BD Campos'!A:D,5,0)</f>
        <v>#REF!</v>
      </c>
      <c r="D151" s="133" t="str">
        <f ca="1">IFERROR(SUM(TODAY()-Tabela1[[#This Row],[ADMISSÃO]]),"")</f>
        <v/>
      </c>
      <c r="E151" s="11" t="str">
        <f ca="1">IFERROR(TRUNC(Tabela1[[#This Row],[TEMPO DE CASA (DIAS)]]/30),"")</f>
        <v/>
      </c>
      <c r="F151" s="32" t="str">
        <f ca="1">IFERROR(SUM(Tabela1[[#This Row],[TEMPO DE CASA (MESES)]]/12),"")</f>
        <v/>
      </c>
      <c r="G151" s="133" t="str">
        <f ca="1">IF(Tabela1[[#This Row],[TEMPO DE CASA (DIAS)]]="","SEM DADOS",IF(Tabela1[[#This Row],[TEMPO DE CASA (DIAS)]]&gt;180,"&gt; 6 MESES","&lt; 6 MESES"))</f>
        <v>SEM DADOS</v>
      </c>
      <c r="H151" s="12" t="str">
        <f t="shared" si="13"/>
        <v>JANRichard Marques10</v>
      </c>
      <c r="I151" s="12" t="str">
        <f>IFERROR(VLOOKUP(Tabela1[[#This Row],[MATRICULA]],'BD Campos'!A:F,7,0),"")</f>
        <v/>
      </c>
      <c r="J151" s="11">
        <v>10</v>
      </c>
      <c r="K151" s="11" t="s">
        <v>669</v>
      </c>
      <c r="L151" s="136">
        <v>11502</v>
      </c>
      <c r="M151" s="12" t="str">
        <f>IFERROR(VLOOKUP(Tabela1[[#This Row],[MATRICULA]],'BD Campos'!A:B,2,0),"")</f>
        <v>EMANUELA RODRIGUES DA SILVA</v>
      </c>
      <c r="N151" s="20">
        <f>IFERROR(AVERAGE(Tabela1[[#This Row],[A1]:[A4]]),"")</f>
        <v>8.9867500000000007</v>
      </c>
      <c r="O151" s="20" t="str">
        <f>IFERROR(IF(Tabela1[[#This Row],[SETOR]]="RECEPTIVO","",AVERAGE(Tabela1[[#This Row],[A5]:[A6]])),"")</f>
        <v/>
      </c>
      <c r="P151" s="20" t="str">
        <f>IFERROR(IF(Tabela1[[#This Row],[STATUS]]="INATIVO","INATIVO",IF(Tabela1[[#This Row],[STATUS]]="QRT","INATIVO",IF(Tabela1[[#This Row],[OPERACIONAL]]&gt;7.99999,"BOM","RUIM"))),"")</f>
        <v>BOM</v>
      </c>
      <c r="Q151" s="21" t="s">
        <v>667</v>
      </c>
      <c r="R151" s="12" t="s">
        <v>315</v>
      </c>
      <c r="S151" s="12" t="s">
        <v>704</v>
      </c>
      <c r="T151" s="12" t="s">
        <v>315</v>
      </c>
      <c r="U15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1" s="12">
        <f>IF(AND(Tabela1[[#This Row],[SETOR]]="UTI",Tabela1[[#This Row],[M]]&lt;&gt;""),1,IF(AND(Tabela1[[#This Row],[SETOR]]="UTI (RJ)",Tabela1[[#This Row],[M]]&lt;&gt;""),1.5,0))</f>
        <v>0</v>
      </c>
      <c r="X151" s="12">
        <f>IF(AND(Tabela1[[#This Row],[SETOR]]="UTI",Tabela1[[#This Row],[PA2]]&lt;&gt;""),1,IF(AND(Tabela1[[#This Row],[SETOR]]="UTI (RJ)",Tabela1[[#This Row],[PA2]]&lt;&gt;""),0,0))</f>
        <v>0</v>
      </c>
      <c r="Y151" s="12">
        <f>IF(AND(Tabela1[[#This Row],[SETOR]]="UTI",Tabela1[[#This Row],[C]]&lt;&gt;""),1,IF(AND(Tabela1[[#This Row],[SETOR]]="UTI (RJ)",Tabela1[[#This Row],[C]]&lt;&gt;""),1.5,0))</f>
        <v>0</v>
      </c>
      <c r="Z151" s="12">
        <f>IF(AND(Tabela1[[#This Row],[SETOR]]="UTI",Tabela1[[#This Row],[PL]]&lt;&gt;""),1,IF(AND(Tabela1[[#This Row],[SETOR]]="UTI (RJ)",Tabela1[[#This Row],[PL]]&lt;&gt;""),1,0))</f>
        <v>0</v>
      </c>
      <c r="AA151" s="21">
        <f>IFERROR(VLOOKUP(Tabela1[[#This Row],[MÊS]]&amp;Tabela1[[#This Row],[MATRICULA]]&amp;"1"&amp;Tabela1[[#This Row],[SETOR]]&amp;"PADRÃO",BD!B:AF,31,0),"")</f>
        <v>8.2884999999999991</v>
      </c>
      <c r="AB151" s="21">
        <f>IFERROR(VLOOKUP(Tabela1[[#This Row],[MÊS]]&amp;Tabela1[[#This Row],[MATRICULA]]&amp;"2"&amp;Tabela1[[#This Row],[SETOR]]&amp;"PADRÃO",BD!B:AF,31,0),"")</f>
        <v>9.6850000000000005</v>
      </c>
      <c r="AC151" s="21" t="str">
        <f>IFERROR(VLOOKUP(Tabela1[[#This Row],[MÊS]]&amp;Tabela1[[#This Row],[MATRICULA]]&amp;"3"&amp;Tabela1[[#This Row],[SETOR]]&amp;"PADRÃO",BD!B:AF,31,0),"")</f>
        <v/>
      </c>
      <c r="AD151" s="21" t="str">
        <f>IFERROR(VLOOKUP(Tabela1[[#This Row],[MÊS]]&amp;Tabela1[[#This Row],[MATRICULA]]&amp;"4"&amp;Tabela1[[#This Row],[SETOR]]&amp;"PADRÃO",BD!B:AF,25,0),"")</f>
        <v/>
      </c>
      <c r="AE151" s="21" t="str">
        <f>IFERROR(VLOOKUP(Tabela1[[#This Row],[MÊS]]&amp;Tabela1[[#This Row],[MATRICULA]]&amp;"5"&amp;Tabela1[[#This Row],[SETOR]]&amp;"PADRÃO",BD!B:AF,31,0),"")</f>
        <v/>
      </c>
      <c r="AF151" s="21" t="str">
        <f>IFERROR(VLOOKUP(Tabela1[[#This Row],[MÊS]]&amp;Tabela1[[#This Row],[MATRICULA]]&amp;"6"&amp;Tabela1[[#This Row],[SETOR]]&amp;"PADRÃO",BD!B:AF,31,0),"")</f>
        <v/>
      </c>
      <c r="AG151" s="21" t="str">
        <f>IFERROR(VLOOKUP(Tabela1[[#This Row],[MÊS]]&amp;Tabela1[[#This Row],[MATRICULA]]&amp;"7"&amp;Tabela1[[#This Row],[SETOR]]&amp;"PADRÃO",BD!B:AF,31,0),"")</f>
        <v/>
      </c>
      <c r="AH151" s="21" t="str">
        <f>IFERROR(VLOOKUP(Tabela1[[#This Row],[MÊS]]&amp;Tabela1[[#This Row],[ID]]&amp;Tabela1[[#This Row],[MATRICULA]]&amp;"Receptiva"&amp;Tabela1[[#This Row],[SETOR]],BD!A:AF,31,0),"")</f>
        <v/>
      </c>
      <c r="AI151" s="21" t="str">
        <f>IFERROR(VLOOKUP(Tabela1[[#This Row],[MÊS]]&amp;Tabela1[[#This Row],[ID]]&amp;Tabela1[[#This Row],[MATRICULA]]&amp;"Receptiva 2"&amp;Tabela1[[#This Row],[SETOR]],BD!A:AF,31,0),"")</f>
        <v/>
      </c>
      <c r="AJ151" s="21" t="str">
        <f>IFERROR(VLOOKUP(Tabela1[[#This Row],[MÊS]]&amp;Tabela1[[#This Row],[ID]]&amp;Tabela1[[#This Row],[MATRICULA]]&amp;"Receptiva 3"&amp;Tabela1[[#This Row],[SETOR]],BD!A:AF,31,0),"")</f>
        <v/>
      </c>
      <c r="AK151" s="21" t="str">
        <f>IFERROR(VLOOKUP(Tabela1[[#This Row],[MÊS]]&amp;Tabela1[[#This Row],[ID]]&amp;Tabela1[[#This Row],[MATRICULA]]&amp;"Receptiva 4"&amp;Tabela1[[#This Row],[SETOR]],BD!A:AF,31,0),"")</f>
        <v/>
      </c>
      <c r="AL151" s="21">
        <f>IFERROR(VLOOKUP(Tabela1[[#This Row],[MÊS]]&amp;Tabela1[[#This Row],[MATRICULA]]&amp;"Motorista"&amp;Tabela1[[#This Row],[SETOR]],BD!A:AF,31,0),"")</f>
        <v>0</v>
      </c>
      <c r="AM151" s="21" t="str">
        <f>IFERROR(VLOOKUP(Tabela1[[#This Row],[MÊS]]&amp;Tabela1[[#This Row],[ID]]&amp;Tabela1[[#This Row],[MATRICULA]]&amp;"Motorista 2"&amp;Tabela1[[#This Row],[SETOR]],BD!A:AF,26,0),"")</f>
        <v/>
      </c>
      <c r="AN151" s="21" t="str">
        <f>IFERROR(VLOOKUP(Tabela1[[#This Row],[MÊS]]&amp;Tabela1[[#This Row],[ID]]&amp;Tabela1[[#This Row],[MATRICULA]]&amp;"Motorista 3"&amp;Tabela1[[#This Row],[SETOR]],BD!A:AF,26,0),"")</f>
        <v/>
      </c>
      <c r="AO151" s="21" t="str">
        <f>IFERROR(VLOOKUP(Tabela1[[#This Row],[MÊS]]&amp;Tabela1[[#This Row],[ID]]&amp;Tabela1[[#This Row],[MATRICULA]]&amp;"Motorista 4"&amp;Tabela1[[#This Row],[SETOR]],BD!A:AF,26,0),"")</f>
        <v/>
      </c>
      <c r="AP151" s="21" t="str">
        <f>IFERROR(VLOOKUP(Tabela1[[#This Row],[MÊS]]&amp;Tabela1[[#This Row],[MATRICULA]]&amp;"Ponto de Apoio"&amp;Tabela1[[#This Row],[SETOR]],BD!A:AF,31,0),"")</f>
        <v/>
      </c>
      <c r="AQ151" s="21" t="str">
        <f>IFERROR(VLOOKUP(Tabela1[[#This Row],[MÊS]]&amp;Tabela1[[#This Row],[ID]]&amp;Tabela1[[#This Row],[MATRICULA]]&amp;"Ponto de Apoio 2"&amp;Tabela1[[#This Row],[SETOR]],BD!A:AF,26,0),"")</f>
        <v/>
      </c>
      <c r="AR151" s="36" t="str">
        <f>IFERROR(VLOOKUP(Tabela1[[#This Row],[MÊS]]&amp;Tabela1[[#This Row],[ID]]&amp;Tabela1[[#This Row],[MATRICULA]]&amp;"Ponto de Apoio 3"&amp;Tabela1[[#This Row],[SETOR]],BD!A:AF,26,0),"")</f>
        <v/>
      </c>
      <c r="AS151" s="36" t="str">
        <f>IFERROR(VLOOKUP(Tabela1[[#This Row],[MÊS]]&amp;Tabela1[[#This Row],[ID]]&amp;Tabela1[[#This Row],[MATRICULA]]&amp;"Ponto de Apoio 4"&amp;Tabela1[[#This Row],[SETOR]],BD!A:AF,26,0),"")</f>
        <v/>
      </c>
      <c r="AT151" s="21">
        <f>IFERROR(VLOOKUP(Tabela1[[#This Row],[MÊS]]&amp;Tabela1[[#This Row],[MATRICULA]]&amp;"Cliente"&amp;Tabela1[[#This Row],[SETOR]],BD!A:AF,31,0),"")</f>
        <v>0</v>
      </c>
      <c r="AU151" s="21" t="str">
        <f>IFERROR(VLOOKUP(Tabela1[[#This Row],[MÊS]]&amp;Tabela1[[#This Row],[ID]]&amp;Tabela1[[#This Row],[MATRICULA]]&amp;"Cliente 2"&amp;Tabela1[[#This Row],[SETOR]],BD!A:AF,26,0),"")</f>
        <v/>
      </c>
      <c r="AX151" s="21" t="str">
        <f>IFERROR(VLOOKUP(Tabela1[[#This Row],[MÊS]]&amp;Tabela1[[#This Row],[MATRICULA]]&amp;"Policia"&amp;Tabela1[[#This Row],[SETOR]],BD!A:AF,31,0),"")</f>
        <v/>
      </c>
      <c r="AY151" s="21" t="str">
        <f>IFERROR(VLOOKUP(Tabela1[[#This Row],[MÊS]]&amp;Tabela1[[#This Row],[ID]]&amp;Tabela1[[#This Row],[MATRICULA]]&amp;"Policia 2"&amp;Tabela1[[#This Row],[SETOR]],BD!A:AF,26,0),"")</f>
        <v/>
      </c>
      <c r="AZ151" s="36" t="str">
        <f>IFERROR(VLOOKUP(Tabela1[[#This Row],[MÊS]]&amp;Tabela1[[#This Row],[ID]]&amp;Tabela1[[#This Row],[MATRICULA]]&amp;"Policia 3"&amp;Tabela1[[#This Row],[SETOR]],BD!A:AF,26,0),"")</f>
        <v/>
      </c>
      <c r="BA151" s="36" t="str">
        <f>IFERROR(VLOOKUP(Tabela1[[#This Row],[MÊS]]&amp;Tabela1[[#This Row],[ID]]&amp;Tabela1[[#This Row],[MATRICULA]]&amp;"Policia 4"&amp;Tabela1[[#This Row],[SETOR]],BD!A:AF,26,0),"")</f>
        <v/>
      </c>
      <c r="BB15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1" s="21">
        <f>IFERROR(AVERAGE(Tabela1[[#This Row],[M]:[M4]]),"")</f>
        <v>0</v>
      </c>
      <c r="BD151" s="21">
        <f>IFERROR(AVERAGE(Tabela1[[#This Row],[C]:[C4]]),"")</f>
        <v>0</v>
      </c>
      <c r="BE151" s="21" t="str">
        <f>IFERROR(AVERAGE(Tabela1[[#This Row],[PA2]:[PA 4]]),"")</f>
        <v/>
      </c>
      <c r="BF151" s="21" t="str">
        <f>IFERROR(AVERAGE(Tabela1[[#This Row],[PL]:[PL4]]),"")</f>
        <v/>
      </c>
      <c r="BG151" s="35" t="str">
        <f>IFERROR(VLOOKUP(Tabela1[[#This Row],[MÊS]]&amp;Tabela1[[#This Row],[MATRICULA]],#REF!,2,0),"")</f>
        <v/>
      </c>
      <c r="BH151" s="35" t="str">
        <f>IFERROR(VLOOKUP(Tabela1[[#This Row],[MÊS]]&amp;Tabela1[[#This Row],[MATRICULA]],#REF!,2,0),"")</f>
        <v/>
      </c>
      <c r="BI151" s="35" t="str">
        <f>IFERROR(VLOOKUP(Tabela1[[#This Row],[MÊS]]&amp;Tabela1[[#This Row],[MATRICULA]],#REF!,2,0),"")</f>
        <v/>
      </c>
      <c r="BJ151" s="35" t="str">
        <f>IFERROR(VLOOKUP(Tabela1[[#This Row],[MÊS]]&amp;Tabela1[[#This Row],[MATRICULA]],#REF!,2,0),"")</f>
        <v/>
      </c>
      <c r="BK151" s="35" t="str">
        <f>IFERROR(VLOOKUP(Tabela1[[#This Row],[MÊS]]&amp;Tabela1[[#This Row],[MATRICULA]],#REF!,2,0),"")</f>
        <v/>
      </c>
      <c r="BL151" s="21">
        <f>COUNTIF(Tabela1[[#This Row],[MOT2]:[RECEPTIVA]],"NÃO ENCONTRADA")</f>
        <v>0</v>
      </c>
      <c r="BM151" s="135" t="str">
        <f>IFERROR(VLOOKUP(Tabela1[[#This Row],[MÊS]]&amp;Tabela1[[#This Row],[ID]]&amp;Tabela1[[#This Row],[MATRICULA]]&amp;"Motorista"&amp;Tabela1[[#This Row],[SETOR]],BD!A:AF,13,0),"")</f>
        <v/>
      </c>
      <c r="BN151" s="135" t="str">
        <f>IFERROR(VLOOKUP(Tabela1[[#This Row],[MÊS]]&amp;Tabela1[[#This Row],[ID]]&amp;Tabela1[[#This Row],[MATRICULA]]&amp;"Motorista 2"&amp;Tabela1[[#This Row],[SETOR]],BD!A:AF,13,0),"")</f>
        <v/>
      </c>
      <c r="BO151" s="135" t="str">
        <f>IFERROR(VLOOKUP(Tabela1[[#This Row],[MÊS]]&amp;Tabela1[[#This Row],[ID]]&amp;Tabela1[[#This Row],[MATRICULA]]&amp;"Motorista 3"&amp;Tabela1[[#This Row],[SETOR]],BD!A:AF,13,0),"")</f>
        <v/>
      </c>
      <c r="BP151" s="135" t="str">
        <f>IFERROR(VLOOKUP(Tabela1[[#This Row],[MÊS]]&amp;Tabela1[[#This Row],[ID]]&amp;Tabela1[[#This Row],[MATRICULA]]&amp;"Motorista 4"&amp;Tabela1[[#This Row],[SETOR]],BD!A:AF,13,0),"")</f>
        <v/>
      </c>
      <c r="BQ151" s="135" t="str">
        <f>IFERROR(AVERAGE(Tabela1[[#This Row],[DMOT]:[DMOT4]]),"")</f>
        <v/>
      </c>
      <c r="BR151" s="135" t="str">
        <f>IFERROR(VLOOKUP(Tabela1[[#This Row],[MÊS]]&amp;Tabela1[[#This Row],[ID]]&amp;Tabela1[[#This Row],[MATRICULA]]&amp;"Ponto de Apoio"&amp;Tabela1[[#This Row],[SETOR]],BD!A:AF,13,0),"")</f>
        <v/>
      </c>
      <c r="BS151" s="135" t="str">
        <f>IFERROR(VLOOKUP(Tabela1[[#This Row],[MÊS]]&amp;Tabela1[[#This Row],[ID]]&amp;Tabela1[[#This Row],[MATRICULA]]&amp;"Ponto de Apoio 2"&amp;Tabela1[[#This Row],[SETOR]],BD!A:AF,13,0),"")</f>
        <v/>
      </c>
      <c r="BT151" s="135" t="str">
        <f>IFERROR(VLOOKUP(Tabela1[[#This Row],[MÊS]]&amp;Tabela1[[#This Row],[ID]]&amp;Tabela1[[#This Row],[MATRICULA]]&amp;"Ponto de Apoio 3"&amp;Tabela1[[#This Row],[SETOR]],BD!A:AF,13,0),"")</f>
        <v/>
      </c>
      <c r="BU151" s="135" t="str">
        <f>IFERROR(VLOOKUP(Tabela1[[#This Row],[MÊS]]&amp;Tabela1[[#This Row],[ID]]&amp;Tabela1[[#This Row],[MATRICULA]]&amp;"Ponto de Apoio 4"&amp;Tabela1[[#This Row],[SETOR]],BD!A:AF,13,0),"")</f>
        <v/>
      </c>
      <c r="BV151" s="135" t="str">
        <f>IFERROR(AVERAGE(Tabela1[[#This Row],[DPA]:[DPA 4]]),"")</f>
        <v/>
      </c>
      <c r="BW151" s="135" t="str">
        <f>IFERROR(VLOOKUP(Tabela1[[#This Row],[MÊS]]&amp;Tabela1[[#This Row],[ID]]&amp;Tabela1[[#This Row],[MATRICULA]]&amp;"Cliente"&amp;Tabela1[[#This Row],[SETOR]],BD!A:AF,13,0),"")</f>
        <v/>
      </c>
      <c r="BX151" s="135" t="str">
        <f>IFERROR(VLOOKUP(Tabela1[[#This Row],[MÊS]]&amp;Tabela1[[#This Row],[ID]]&amp;Tabela1[[#This Row],[MATRICULA]]&amp;"cliente 2"&amp;Tabela1[[#This Row],[SETOR]],BD!A:AF,13,0),"")</f>
        <v/>
      </c>
      <c r="BY151" s="135" t="str">
        <f>IFERROR(VLOOKUP(Tabela1[[#This Row],[MÊS]]&amp;Tabela1[[#This Row],[ID]]&amp;Tabela1[[#This Row],[MATRICULA]]&amp;"cliente 3"&amp;Tabela1[[#This Row],[SETOR]],BD!A:AF,13,0),"")</f>
        <v/>
      </c>
      <c r="BZ151" s="135" t="str">
        <f>IFERROR(VLOOKUP(Tabela1[[#This Row],[MÊS]]&amp;Tabela1[[#This Row],[ID]]&amp;Tabela1[[#This Row],[MATRICULA]]&amp;"cliente 4"&amp;Tabela1[[#This Row],[SETOR]],BD!A:AF,13,0),"")</f>
        <v/>
      </c>
      <c r="CA151" s="135" t="str">
        <f>IFERROR(AVERAGE(Tabela1[[#This Row],[DCLI]:[DCLI 4]]),"")</f>
        <v/>
      </c>
      <c r="CB151" s="135" t="str">
        <f>IFERROR(VLOOKUP(Tabela1[[#This Row],[MÊS]]&amp;Tabela1[[#This Row],[ID]]&amp;Tabela1[[#This Row],[MATRICULA]]&amp;"Policia"&amp;Tabela1[[#This Row],[SETOR]],BD!A:AF,13,0),"")</f>
        <v/>
      </c>
      <c r="CC151" s="135" t="str">
        <f>IFERROR(VLOOKUP(Tabela1[[#This Row],[MÊS]]&amp;Tabela1[[#This Row],[ID]]&amp;Tabela1[[#This Row],[MATRICULA]]&amp;"Policia 2"&amp;Tabela1[[#This Row],[SETOR]],BD!A:AF,13,0),"")</f>
        <v/>
      </c>
      <c r="CD151" s="135"/>
      <c r="CE151" s="135"/>
      <c r="CF151" s="135" t="str">
        <f>IFERROR((AVERAGE(Tabela1[[#This Row],[DPOL1]:[DPOL4]])),"")</f>
        <v/>
      </c>
      <c r="CG151" s="21" t="str">
        <f>IFERROR(VLOOKUP(Tabela1[[#This Row],[ID]]&amp;Tabela1[[#This Row],[MÊS]]&amp;Tabela1[[#This Row],[MATRICULA]],#REF!,2,0),"")</f>
        <v/>
      </c>
      <c r="CH151" s="21" t="str">
        <f>IFERROR(VLOOKUP(Tabela1[[#This Row],[ID]]&amp;Tabela1[[#This Row],[MÊS]]&amp;Tabela1[[#This Row],[MATRICULA]],#REF!,2,0),"")</f>
        <v/>
      </c>
      <c r="CI151" s="21" t="str">
        <f>IFERROR(VLOOKUP(Tabela1[[#This Row],[MÊS]]&amp;Tabela1[[#This Row],[MATRICULA]],#REF!,2,0),"")</f>
        <v/>
      </c>
    </row>
    <row r="152" spans="1:87">
      <c r="A152" s="12" t="str">
        <f>Tabela1[[#This Row],[MÊS]]&amp;Tabela1[[#This Row],[MATRICULA]]&amp;Tabela1[[#This Row],[ID]]</f>
        <v>JAN1121811</v>
      </c>
      <c r="B152" s="12" t="str">
        <f>Tabela1[[#This Row],[MÊS]]&amp;Tabela1[[#This Row],[ID]]&amp;Tabela1[[#This Row],[MATRICULA]]&amp;Tabela1[[#This Row],[SETOR]]</f>
        <v>JAN1111218LOGÍSTICA</v>
      </c>
      <c r="C152" s="130" t="e">
        <f>VLOOKUP(Tabela1[[#This Row],[MATRICULA]],'BD Campos'!A:D,5,0)</f>
        <v>#REF!</v>
      </c>
      <c r="D152" s="133" t="str">
        <f ca="1">IFERROR(SUM(TODAY()-Tabela1[[#This Row],[ADMISSÃO]]),"")</f>
        <v/>
      </c>
      <c r="E152" s="11" t="str">
        <f ca="1">IFERROR(TRUNC(Tabela1[[#This Row],[TEMPO DE CASA (DIAS)]]/30),"")</f>
        <v/>
      </c>
      <c r="F152" s="32" t="str">
        <f ca="1">IFERROR(SUM(Tabela1[[#This Row],[TEMPO DE CASA (MESES)]]/12),"")</f>
        <v/>
      </c>
      <c r="G152" s="133" t="str">
        <f ca="1">IF(Tabela1[[#This Row],[TEMPO DE CASA (DIAS)]]="","SEM DADOS",IF(Tabela1[[#This Row],[TEMPO DE CASA (DIAS)]]&gt;180,"&gt; 6 MESES","&lt; 6 MESES"))</f>
        <v>SEM DADOS</v>
      </c>
      <c r="H152" s="12" t="str">
        <f t="shared" si="13"/>
        <v>JANRichard Marques11</v>
      </c>
      <c r="I152" s="12" t="str">
        <f>IFERROR(VLOOKUP(Tabela1[[#This Row],[MATRICULA]],'BD Campos'!A:F,7,0),"")</f>
        <v/>
      </c>
      <c r="J152" s="11">
        <v>11</v>
      </c>
      <c r="K152" s="11" t="s">
        <v>669</v>
      </c>
      <c r="L152" s="136">
        <v>11218</v>
      </c>
      <c r="M152" s="12" t="str">
        <f>IFERROR(VLOOKUP(Tabela1[[#This Row],[MATRICULA]],'BD Campos'!A:B,2,0),"")</f>
        <v>HELOIZA PADILHA</v>
      </c>
      <c r="N152" s="20">
        <f>IFERROR(AVERAGE(Tabela1[[#This Row],[A1]:[A4]]),"")</f>
        <v>10.000000000000002</v>
      </c>
      <c r="O152" s="20" t="str">
        <f>IFERROR(IF(Tabela1[[#This Row],[SETOR]]="RECEPTIVO","",AVERAGE(Tabela1[[#This Row],[A5]:[A6]])),"")</f>
        <v/>
      </c>
      <c r="P152" s="20" t="str">
        <f>IFERROR(IF(Tabela1[[#This Row],[STATUS]]="INATIVO","INATIVO",IF(Tabela1[[#This Row],[STATUS]]="QRT","INATIVO",IF(Tabela1[[#This Row],[OPERACIONAL]]&gt;7.99999,"BOM","RUIM"))),"")</f>
        <v>BOM</v>
      </c>
      <c r="Q152" s="21" t="s">
        <v>667</v>
      </c>
      <c r="R152" s="12" t="s">
        <v>315</v>
      </c>
      <c r="S152" s="12" t="s">
        <v>704</v>
      </c>
      <c r="T152" s="12" t="s">
        <v>315</v>
      </c>
      <c r="U15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2" s="12">
        <f>IF(AND(Tabela1[[#This Row],[SETOR]]="UTI",Tabela1[[#This Row],[M]]&lt;&gt;""),1,IF(AND(Tabela1[[#This Row],[SETOR]]="UTI (RJ)",Tabela1[[#This Row],[M]]&lt;&gt;""),1.5,0))</f>
        <v>0</v>
      </c>
      <c r="X152" s="12">
        <f>IF(AND(Tabela1[[#This Row],[SETOR]]="UTI",Tabela1[[#This Row],[PA2]]&lt;&gt;""),1,IF(AND(Tabela1[[#This Row],[SETOR]]="UTI (RJ)",Tabela1[[#This Row],[PA2]]&lt;&gt;""),0,0))</f>
        <v>0</v>
      </c>
      <c r="Y152" s="12">
        <f>IF(AND(Tabela1[[#This Row],[SETOR]]="UTI",Tabela1[[#This Row],[C]]&lt;&gt;""),1,IF(AND(Tabela1[[#This Row],[SETOR]]="UTI (RJ)",Tabela1[[#This Row],[C]]&lt;&gt;""),1.5,0))</f>
        <v>0</v>
      </c>
      <c r="Z152" s="12">
        <f>IF(AND(Tabela1[[#This Row],[SETOR]]="UTI",Tabela1[[#This Row],[PL]]&lt;&gt;""),1,IF(AND(Tabela1[[#This Row],[SETOR]]="UTI (RJ)",Tabela1[[#This Row],[PL]]&lt;&gt;""),1,0))</f>
        <v>0</v>
      </c>
      <c r="AA152" s="21">
        <f>IFERROR(VLOOKUP(Tabela1[[#This Row],[MÊS]]&amp;Tabela1[[#This Row],[MATRICULA]]&amp;"1"&amp;Tabela1[[#This Row],[SETOR]]&amp;"PADRÃO",BD!B:AF,31,0),"")</f>
        <v>10.000000000000002</v>
      </c>
      <c r="AB152" s="21">
        <f>IFERROR(VLOOKUP(Tabela1[[#This Row],[MÊS]]&amp;Tabela1[[#This Row],[MATRICULA]]&amp;"2"&amp;Tabela1[[#This Row],[SETOR]]&amp;"PADRÃO",BD!B:AF,31,0),"")</f>
        <v>10.000000000000002</v>
      </c>
      <c r="AC152" s="21" t="str">
        <f>IFERROR(VLOOKUP(Tabela1[[#This Row],[MÊS]]&amp;Tabela1[[#This Row],[MATRICULA]]&amp;"3"&amp;Tabela1[[#This Row],[SETOR]]&amp;"PADRÃO",BD!B:AF,31,0),"")</f>
        <v/>
      </c>
      <c r="AD152" s="21" t="str">
        <f>IFERROR(VLOOKUP(Tabela1[[#This Row],[MÊS]]&amp;Tabela1[[#This Row],[MATRICULA]]&amp;"4"&amp;Tabela1[[#This Row],[SETOR]]&amp;"PADRÃO",BD!B:AF,25,0),"")</f>
        <v/>
      </c>
      <c r="AE152" s="21" t="str">
        <f>IFERROR(VLOOKUP(Tabela1[[#This Row],[MÊS]]&amp;Tabela1[[#This Row],[MATRICULA]]&amp;"5"&amp;Tabela1[[#This Row],[SETOR]]&amp;"PADRÃO",BD!B:AF,31,0),"")</f>
        <v/>
      </c>
      <c r="AF152" s="21" t="str">
        <f>IFERROR(VLOOKUP(Tabela1[[#This Row],[MÊS]]&amp;Tabela1[[#This Row],[MATRICULA]]&amp;"6"&amp;Tabela1[[#This Row],[SETOR]]&amp;"PADRÃO",BD!B:AF,31,0),"")</f>
        <v/>
      </c>
      <c r="AG152" s="21" t="str">
        <f>IFERROR(VLOOKUP(Tabela1[[#This Row],[MÊS]]&amp;Tabela1[[#This Row],[MATRICULA]]&amp;"7"&amp;Tabela1[[#This Row],[SETOR]]&amp;"PADRÃO",BD!B:AF,31,0),"")</f>
        <v/>
      </c>
      <c r="AH152" s="21" t="str">
        <f>IFERROR(VLOOKUP(Tabela1[[#This Row],[MÊS]]&amp;Tabela1[[#This Row],[ID]]&amp;Tabela1[[#This Row],[MATRICULA]]&amp;"Receptiva"&amp;Tabela1[[#This Row],[SETOR]],BD!A:AF,31,0),"")</f>
        <v/>
      </c>
      <c r="AI152" s="21" t="str">
        <f>IFERROR(VLOOKUP(Tabela1[[#This Row],[MÊS]]&amp;Tabela1[[#This Row],[ID]]&amp;Tabela1[[#This Row],[MATRICULA]]&amp;"Receptiva 2"&amp;Tabela1[[#This Row],[SETOR]],BD!A:AF,31,0),"")</f>
        <v/>
      </c>
      <c r="AJ152" s="21" t="str">
        <f>IFERROR(VLOOKUP(Tabela1[[#This Row],[MÊS]]&amp;Tabela1[[#This Row],[ID]]&amp;Tabela1[[#This Row],[MATRICULA]]&amp;"Receptiva 3"&amp;Tabela1[[#This Row],[SETOR]],BD!A:AF,31,0),"")</f>
        <v/>
      </c>
      <c r="AK152" s="21" t="str">
        <f>IFERROR(VLOOKUP(Tabela1[[#This Row],[MÊS]]&amp;Tabela1[[#This Row],[ID]]&amp;Tabela1[[#This Row],[MATRICULA]]&amp;"Receptiva 4"&amp;Tabela1[[#This Row],[SETOR]],BD!A:AF,31,0),"")</f>
        <v/>
      </c>
      <c r="AL152" s="21">
        <f>IFERROR(VLOOKUP(Tabela1[[#This Row],[MÊS]]&amp;Tabela1[[#This Row],[MATRICULA]]&amp;"Motorista"&amp;Tabela1[[#This Row],[SETOR]],BD!A:AF,31,0),"")</f>
        <v>0</v>
      </c>
      <c r="AM152" s="21" t="str">
        <f>IFERROR(VLOOKUP(Tabela1[[#This Row],[MÊS]]&amp;Tabela1[[#This Row],[ID]]&amp;Tabela1[[#This Row],[MATRICULA]]&amp;"Motorista 2"&amp;Tabela1[[#This Row],[SETOR]],BD!A:AF,26,0),"")</f>
        <v/>
      </c>
      <c r="AN152" s="21" t="str">
        <f>IFERROR(VLOOKUP(Tabela1[[#This Row],[MÊS]]&amp;Tabela1[[#This Row],[ID]]&amp;Tabela1[[#This Row],[MATRICULA]]&amp;"Motorista 3"&amp;Tabela1[[#This Row],[SETOR]],BD!A:AF,26,0),"")</f>
        <v/>
      </c>
      <c r="AO152" s="21" t="str">
        <f>IFERROR(VLOOKUP(Tabela1[[#This Row],[MÊS]]&amp;Tabela1[[#This Row],[ID]]&amp;Tabela1[[#This Row],[MATRICULA]]&amp;"Motorista 4"&amp;Tabela1[[#This Row],[SETOR]],BD!A:AF,26,0),"")</f>
        <v/>
      </c>
      <c r="AP152" s="21" t="str">
        <f>IFERROR(VLOOKUP(Tabela1[[#This Row],[MÊS]]&amp;Tabela1[[#This Row],[MATRICULA]]&amp;"Ponto de Apoio"&amp;Tabela1[[#This Row],[SETOR]],BD!A:AF,31,0),"")</f>
        <v/>
      </c>
      <c r="AQ152" s="21" t="str">
        <f>IFERROR(VLOOKUP(Tabela1[[#This Row],[MÊS]]&amp;Tabela1[[#This Row],[ID]]&amp;Tabela1[[#This Row],[MATRICULA]]&amp;"Ponto de Apoio 2"&amp;Tabela1[[#This Row],[SETOR]],BD!A:AF,26,0),"")</f>
        <v/>
      </c>
      <c r="AR152" s="36" t="str">
        <f>IFERROR(VLOOKUP(Tabela1[[#This Row],[MÊS]]&amp;Tabela1[[#This Row],[ID]]&amp;Tabela1[[#This Row],[MATRICULA]]&amp;"Ponto de Apoio 3"&amp;Tabela1[[#This Row],[SETOR]],BD!A:AF,26,0),"")</f>
        <v/>
      </c>
      <c r="AS152" s="36" t="str">
        <f>IFERROR(VLOOKUP(Tabela1[[#This Row],[MÊS]]&amp;Tabela1[[#This Row],[ID]]&amp;Tabela1[[#This Row],[MATRICULA]]&amp;"Ponto de Apoio 4"&amp;Tabela1[[#This Row],[SETOR]],BD!A:AF,26,0),"")</f>
        <v/>
      </c>
      <c r="AT152" s="21">
        <f>IFERROR(VLOOKUP(Tabela1[[#This Row],[MÊS]]&amp;Tabela1[[#This Row],[MATRICULA]]&amp;"Cliente"&amp;Tabela1[[#This Row],[SETOR]],BD!A:AF,31,0),"")</f>
        <v>0</v>
      </c>
      <c r="AU152" s="21" t="str">
        <f>IFERROR(VLOOKUP(Tabela1[[#This Row],[MÊS]]&amp;Tabela1[[#This Row],[ID]]&amp;Tabela1[[#This Row],[MATRICULA]]&amp;"Cliente 2"&amp;Tabela1[[#This Row],[SETOR]],BD!A:AF,26,0),"")</f>
        <v/>
      </c>
      <c r="AX152" s="21" t="str">
        <f>IFERROR(VLOOKUP(Tabela1[[#This Row],[MÊS]]&amp;Tabela1[[#This Row],[MATRICULA]]&amp;"Policia"&amp;Tabela1[[#This Row],[SETOR]],BD!A:AF,31,0),"")</f>
        <v/>
      </c>
      <c r="AY152" s="21" t="str">
        <f>IFERROR(VLOOKUP(Tabela1[[#This Row],[MÊS]]&amp;Tabela1[[#This Row],[ID]]&amp;Tabela1[[#This Row],[MATRICULA]]&amp;"Policia 2"&amp;Tabela1[[#This Row],[SETOR]],BD!A:AF,26,0),"")</f>
        <v/>
      </c>
      <c r="AZ152" s="36" t="str">
        <f>IFERROR(VLOOKUP(Tabela1[[#This Row],[MÊS]]&amp;Tabela1[[#This Row],[ID]]&amp;Tabela1[[#This Row],[MATRICULA]]&amp;"Policia 3"&amp;Tabela1[[#This Row],[SETOR]],BD!A:AF,26,0),"")</f>
        <v/>
      </c>
      <c r="BA152" s="36" t="str">
        <f>IFERROR(VLOOKUP(Tabela1[[#This Row],[MÊS]]&amp;Tabela1[[#This Row],[ID]]&amp;Tabela1[[#This Row],[MATRICULA]]&amp;"Policia 4"&amp;Tabela1[[#This Row],[SETOR]],BD!A:AF,26,0),"")</f>
        <v/>
      </c>
      <c r="BB15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2" s="21">
        <f>IFERROR(AVERAGE(Tabela1[[#This Row],[M]:[M4]]),"")</f>
        <v>0</v>
      </c>
      <c r="BD152" s="21">
        <f>IFERROR(AVERAGE(Tabela1[[#This Row],[C]:[C4]]),"")</f>
        <v>0</v>
      </c>
      <c r="BE152" s="21" t="str">
        <f>IFERROR(AVERAGE(Tabela1[[#This Row],[PA2]:[PA 4]]),"")</f>
        <v/>
      </c>
      <c r="BF152" s="21" t="str">
        <f>IFERROR(AVERAGE(Tabela1[[#This Row],[PL]:[PL4]]),"")</f>
        <v/>
      </c>
      <c r="BG152" s="35" t="str">
        <f>IFERROR(VLOOKUP(Tabela1[[#This Row],[MÊS]]&amp;Tabela1[[#This Row],[MATRICULA]],#REF!,2,0),"")</f>
        <v/>
      </c>
      <c r="BH152" s="35" t="str">
        <f>IFERROR(VLOOKUP(Tabela1[[#This Row],[MÊS]]&amp;Tabela1[[#This Row],[MATRICULA]],#REF!,2,0),"")</f>
        <v/>
      </c>
      <c r="BI152" s="35" t="str">
        <f>IFERROR(VLOOKUP(Tabela1[[#This Row],[MÊS]]&amp;Tabela1[[#This Row],[MATRICULA]],#REF!,2,0),"")</f>
        <v/>
      </c>
      <c r="BJ152" s="35" t="str">
        <f>IFERROR(VLOOKUP(Tabela1[[#This Row],[MÊS]]&amp;Tabela1[[#This Row],[MATRICULA]],#REF!,2,0),"")</f>
        <v/>
      </c>
      <c r="BK152" s="35" t="str">
        <f>IFERROR(VLOOKUP(Tabela1[[#This Row],[MÊS]]&amp;Tabela1[[#This Row],[MATRICULA]],#REF!,2,0),"")</f>
        <v/>
      </c>
      <c r="BL152" s="21">
        <f>COUNTIF(Tabela1[[#This Row],[MOT2]:[RECEPTIVA]],"NÃO ENCONTRADA")</f>
        <v>0</v>
      </c>
      <c r="BM152" s="135" t="str">
        <f>IFERROR(VLOOKUP(Tabela1[[#This Row],[MÊS]]&amp;Tabela1[[#This Row],[ID]]&amp;Tabela1[[#This Row],[MATRICULA]]&amp;"Motorista"&amp;Tabela1[[#This Row],[SETOR]],BD!A:AF,13,0),"")</f>
        <v/>
      </c>
      <c r="BN152" s="135" t="str">
        <f>IFERROR(VLOOKUP(Tabela1[[#This Row],[MÊS]]&amp;Tabela1[[#This Row],[ID]]&amp;Tabela1[[#This Row],[MATRICULA]]&amp;"Motorista 2"&amp;Tabela1[[#This Row],[SETOR]],BD!A:AF,13,0),"")</f>
        <v/>
      </c>
      <c r="BO152" s="135" t="str">
        <f>IFERROR(VLOOKUP(Tabela1[[#This Row],[MÊS]]&amp;Tabela1[[#This Row],[ID]]&amp;Tabela1[[#This Row],[MATRICULA]]&amp;"Motorista 3"&amp;Tabela1[[#This Row],[SETOR]],BD!A:AF,13,0),"")</f>
        <v/>
      </c>
      <c r="BP152" s="135" t="str">
        <f>IFERROR(VLOOKUP(Tabela1[[#This Row],[MÊS]]&amp;Tabela1[[#This Row],[ID]]&amp;Tabela1[[#This Row],[MATRICULA]]&amp;"Motorista 4"&amp;Tabela1[[#This Row],[SETOR]],BD!A:AF,13,0),"")</f>
        <v/>
      </c>
      <c r="BQ152" s="135" t="str">
        <f>IFERROR(AVERAGE(Tabela1[[#This Row],[DMOT]:[DMOT4]]),"")</f>
        <v/>
      </c>
      <c r="BR152" s="135" t="str">
        <f>IFERROR(VLOOKUP(Tabela1[[#This Row],[MÊS]]&amp;Tabela1[[#This Row],[ID]]&amp;Tabela1[[#This Row],[MATRICULA]]&amp;"Ponto de Apoio"&amp;Tabela1[[#This Row],[SETOR]],BD!A:AF,13,0),"")</f>
        <v/>
      </c>
      <c r="BS152" s="135" t="str">
        <f>IFERROR(VLOOKUP(Tabela1[[#This Row],[MÊS]]&amp;Tabela1[[#This Row],[ID]]&amp;Tabela1[[#This Row],[MATRICULA]]&amp;"Ponto de Apoio 2"&amp;Tabela1[[#This Row],[SETOR]],BD!A:AF,13,0),"")</f>
        <v/>
      </c>
      <c r="BT152" s="135" t="str">
        <f>IFERROR(VLOOKUP(Tabela1[[#This Row],[MÊS]]&amp;Tabela1[[#This Row],[ID]]&amp;Tabela1[[#This Row],[MATRICULA]]&amp;"Ponto de Apoio 3"&amp;Tabela1[[#This Row],[SETOR]],BD!A:AF,13,0),"")</f>
        <v/>
      </c>
      <c r="BU152" s="135" t="str">
        <f>IFERROR(VLOOKUP(Tabela1[[#This Row],[MÊS]]&amp;Tabela1[[#This Row],[ID]]&amp;Tabela1[[#This Row],[MATRICULA]]&amp;"Ponto de Apoio 4"&amp;Tabela1[[#This Row],[SETOR]],BD!A:AF,13,0),"")</f>
        <v/>
      </c>
      <c r="BV152" s="135" t="str">
        <f>IFERROR(AVERAGE(Tabela1[[#This Row],[DPA]:[DPA 4]]),"")</f>
        <v/>
      </c>
      <c r="BW152" s="135" t="str">
        <f>IFERROR(VLOOKUP(Tabela1[[#This Row],[MÊS]]&amp;Tabela1[[#This Row],[ID]]&amp;Tabela1[[#This Row],[MATRICULA]]&amp;"Cliente"&amp;Tabela1[[#This Row],[SETOR]],BD!A:AF,13,0),"")</f>
        <v/>
      </c>
      <c r="BX152" s="135" t="str">
        <f>IFERROR(VLOOKUP(Tabela1[[#This Row],[MÊS]]&amp;Tabela1[[#This Row],[ID]]&amp;Tabela1[[#This Row],[MATRICULA]]&amp;"cliente 2"&amp;Tabela1[[#This Row],[SETOR]],BD!A:AF,13,0),"")</f>
        <v/>
      </c>
      <c r="BY152" s="135" t="str">
        <f>IFERROR(VLOOKUP(Tabela1[[#This Row],[MÊS]]&amp;Tabela1[[#This Row],[ID]]&amp;Tabela1[[#This Row],[MATRICULA]]&amp;"cliente 3"&amp;Tabela1[[#This Row],[SETOR]],BD!A:AF,13,0),"")</f>
        <v/>
      </c>
      <c r="BZ152" s="135" t="str">
        <f>IFERROR(VLOOKUP(Tabela1[[#This Row],[MÊS]]&amp;Tabela1[[#This Row],[ID]]&amp;Tabela1[[#This Row],[MATRICULA]]&amp;"cliente 4"&amp;Tabela1[[#This Row],[SETOR]],BD!A:AF,13,0),"")</f>
        <v/>
      </c>
      <c r="CA152" s="135" t="str">
        <f>IFERROR(AVERAGE(Tabela1[[#This Row],[DCLI]:[DCLI 4]]),"")</f>
        <v/>
      </c>
      <c r="CB152" s="135" t="str">
        <f>IFERROR(VLOOKUP(Tabela1[[#This Row],[MÊS]]&amp;Tabela1[[#This Row],[ID]]&amp;Tabela1[[#This Row],[MATRICULA]]&amp;"Policia"&amp;Tabela1[[#This Row],[SETOR]],BD!A:AF,13,0),"")</f>
        <v/>
      </c>
      <c r="CC152" s="135" t="str">
        <f>IFERROR(VLOOKUP(Tabela1[[#This Row],[MÊS]]&amp;Tabela1[[#This Row],[ID]]&amp;Tabela1[[#This Row],[MATRICULA]]&amp;"Policia 2"&amp;Tabela1[[#This Row],[SETOR]],BD!A:AF,13,0),"")</f>
        <v/>
      </c>
      <c r="CD152" s="135"/>
      <c r="CE152" s="135"/>
      <c r="CF152" s="135" t="str">
        <f>IFERROR((AVERAGE(Tabela1[[#This Row],[DPOL1]:[DPOL4]])),"")</f>
        <v/>
      </c>
      <c r="CG152" s="21" t="str">
        <f>IFERROR(VLOOKUP(Tabela1[[#This Row],[ID]]&amp;Tabela1[[#This Row],[MÊS]]&amp;Tabela1[[#This Row],[MATRICULA]],#REF!,2,0),"")</f>
        <v/>
      </c>
      <c r="CH152" s="21" t="str">
        <f>IFERROR(VLOOKUP(Tabela1[[#This Row],[ID]]&amp;Tabela1[[#This Row],[MÊS]]&amp;Tabela1[[#This Row],[MATRICULA]],#REF!,2,0),"")</f>
        <v/>
      </c>
      <c r="CI152" s="21" t="str">
        <f>IFERROR(VLOOKUP(Tabela1[[#This Row],[MÊS]]&amp;Tabela1[[#This Row],[MATRICULA]],#REF!,2,0),"")</f>
        <v/>
      </c>
    </row>
    <row r="153" spans="1:87">
      <c r="A153" s="12" t="str">
        <f>Tabela1[[#This Row],[MÊS]]&amp;Tabela1[[#This Row],[MATRICULA]]&amp;Tabela1[[#This Row],[ID]]</f>
        <v>JAN1108112</v>
      </c>
      <c r="B153" s="12" t="str">
        <f>Tabela1[[#This Row],[MÊS]]&amp;Tabela1[[#This Row],[ID]]&amp;Tabela1[[#This Row],[MATRICULA]]&amp;Tabela1[[#This Row],[SETOR]]</f>
        <v>JAN1211081LOGÍSTICA</v>
      </c>
      <c r="C153" s="130" t="e">
        <f>VLOOKUP(Tabela1[[#This Row],[MATRICULA]],'BD Campos'!A:D,5,0)</f>
        <v>#REF!</v>
      </c>
      <c r="D153" s="133" t="str">
        <f ca="1">IFERROR(SUM(TODAY()-Tabela1[[#This Row],[ADMISSÃO]]),"")</f>
        <v/>
      </c>
      <c r="E153" s="11" t="str">
        <f ca="1">IFERROR(TRUNC(Tabela1[[#This Row],[TEMPO DE CASA (DIAS)]]/30),"")</f>
        <v/>
      </c>
      <c r="F153" s="32" t="str">
        <f ca="1">IFERROR(SUM(Tabela1[[#This Row],[TEMPO DE CASA (MESES)]]/12),"")</f>
        <v/>
      </c>
      <c r="G153" s="133" t="str">
        <f ca="1">IF(Tabela1[[#This Row],[TEMPO DE CASA (DIAS)]]="","SEM DADOS",IF(Tabela1[[#This Row],[TEMPO DE CASA (DIAS)]]&gt;180,"&gt; 6 MESES","&lt; 6 MESES"))</f>
        <v>SEM DADOS</v>
      </c>
      <c r="H153" s="12" t="str">
        <f t="shared" si="13"/>
        <v>JANRichard Marques12</v>
      </c>
      <c r="I153" s="12" t="str">
        <f>IFERROR(VLOOKUP(Tabela1[[#This Row],[MATRICULA]],'BD Campos'!A:F,7,0),"")</f>
        <v/>
      </c>
      <c r="J153" s="11">
        <v>12</v>
      </c>
      <c r="K153" s="11" t="s">
        <v>669</v>
      </c>
      <c r="L153" s="136">
        <v>11081</v>
      </c>
      <c r="M153" s="12" t="str">
        <f>IFERROR(VLOOKUP(Tabela1[[#This Row],[MATRICULA]],'BD Campos'!A:B,2,0),"")</f>
        <v>JÉSSICA OLIVEIRA CAPISTRANO</v>
      </c>
      <c r="N153" s="20">
        <f>IFERROR(AVERAGE(Tabela1[[#This Row],[A1]:[A4]]),"")</f>
        <v>9.4224999999999994</v>
      </c>
      <c r="O153" s="20" t="str">
        <f>IFERROR(IF(Tabela1[[#This Row],[SETOR]]="RECEPTIVO","",AVERAGE(Tabela1[[#This Row],[A5]:[A6]])),"")</f>
        <v/>
      </c>
      <c r="P153" s="20" t="str">
        <f>IFERROR(IF(Tabela1[[#This Row],[STATUS]]="INATIVO","INATIVO",IF(Tabela1[[#This Row],[STATUS]]="QRT","INATIVO",IF(Tabela1[[#This Row],[OPERACIONAL]]&gt;7.99999,"BOM","RUIM"))),"")</f>
        <v>BOM</v>
      </c>
      <c r="Q153" s="21" t="s">
        <v>667</v>
      </c>
      <c r="R153" s="12" t="s">
        <v>315</v>
      </c>
      <c r="S153" s="12" t="s">
        <v>704</v>
      </c>
      <c r="T153" s="12" t="s">
        <v>315</v>
      </c>
      <c r="U15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3" s="12">
        <f>IF(AND(Tabela1[[#This Row],[SETOR]]="UTI",Tabela1[[#This Row],[M]]&lt;&gt;""),1,IF(AND(Tabela1[[#This Row],[SETOR]]="UTI (RJ)",Tabela1[[#This Row],[M]]&lt;&gt;""),1.5,0))</f>
        <v>0</v>
      </c>
      <c r="X153" s="12">
        <f>IF(AND(Tabela1[[#This Row],[SETOR]]="UTI",Tabela1[[#This Row],[PA2]]&lt;&gt;""),1,IF(AND(Tabela1[[#This Row],[SETOR]]="UTI (RJ)",Tabela1[[#This Row],[PA2]]&lt;&gt;""),0,0))</f>
        <v>0</v>
      </c>
      <c r="Y153" s="12">
        <f>IF(AND(Tabela1[[#This Row],[SETOR]]="UTI",Tabela1[[#This Row],[C]]&lt;&gt;""),1,IF(AND(Tabela1[[#This Row],[SETOR]]="UTI (RJ)",Tabela1[[#This Row],[C]]&lt;&gt;""),1.5,0))</f>
        <v>0</v>
      </c>
      <c r="Z153" s="12">
        <f>IF(AND(Tabela1[[#This Row],[SETOR]]="UTI",Tabela1[[#This Row],[PL]]&lt;&gt;""),1,IF(AND(Tabela1[[#This Row],[SETOR]]="UTI (RJ)",Tabela1[[#This Row],[PL]]&lt;&gt;""),1,0))</f>
        <v>0</v>
      </c>
      <c r="AA153" s="21">
        <f>IFERROR(VLOOKUP(Tabela1[[#This Row],[MÊS]]&amp;Tabela1[[#This Row],[MATRICULA]]&amp;"1"&amp;Tabela1[[#This Row],[SETOR]]&amp;"PADRÃO",BD!B:AF,31,0),"")</f>
        <v>9.3699999999999992</v>
      </c>
      <c r="AB153" s="21">
        <f>IFERROR(VLOOKUP(Tabela1[[#This Row],[MÊS]]&amp;Tabela1[[#This Row],[MATRICULA]]&amp;"2"&amp;Tabela1[[#This Row],[SETOR]]&amp;"PADRÃO",BD!B:AF,31,0),"")</f>
        <v>9.4750000000000014</v>
      </c>
      <c r="AC153" s="21" t="str">
        <f>IFERROR(VLOOKUP(Tabela1[[#This Row],[MÊS]]&amp;Tabela1[[#This Row],[MATRICULA]]&amp;"3"&amp;Tabela1[[#This Row],[SETOR]]&amp;"PADRÃO",BD!B:AF,31,0),"")</f>
        <v/>
      </c>
      <c r="AD153" s="21" t="str">
        <f>IFERROR(VLOOKUP(Tabela1[[#This Row],[MÊS]]&amp;Tabela1[[#This Row],[MATRICULA]]&amp;"4"&amp;Tabela1[[#This Row],[SETOR]]&amp;"PADRÃO",BD!B:AF,25,0),"")</f>
        <v/>
      </c>
      <c r="AE153" s="21" t="str">
        <f>IFERROR(VLOOKUP(Tabela1[[#This Row],[MÊS]]&amp;Tabela1[[#This Row],[MATRICULA]]&amp;"5"&amp;Tabela1[[#This Row],[SETOR]]&amp;"PADRÃO",BD!B:AF,31,0),"")</f>
        <v/>
      </c>
      <c r="AF153" s="21" t="str">
        <f>IFERROR(VLOOKUP(Tabela1[[#This Row],[MÊS]]&amp;Tabela1[[#This Row],[MATRICULA]]&amp;"6"&amp;Tabela1[[#This Row],[SETOR]]&amp;"PADRÃO",BD!B:AF,31,0),"")</f>
        <v/>
      </c>
      <c r="AG153" s="21" t="str">
        <f>IFERROR(VLOOKUP(Tabela1[[#This Row],[MÊS]]&amp;Tabela1[[#This Row],[MATRICULA]]&amp;"7"&amp;Tabela1[[#This Row],[SETOR]]&amp;"PADRÃO",BD!B:AF,31,0),"")</f>
        <v/>
      </c>
      <c r="AH153" s="21" t="str">
        <f>IFERROR(VLOOKUP(Tabela1[[#This Row],[MÊS]]&amp;Tabela1[[#This Row],[ID]]&amp;Tabela1[[#This Row],[MATRICULA]]&amp;"Receptiva"&amp;Tabela1[[#This Row],[SETOR]],BD!A:AF,31,0),"")</f>
        <v/>
      </c>
      <c r="AI153" s="21" t="str">
        <f>IFERROR(VLOOKUP(Tabela1[[#This Row],[MÊS]]&amp;Tabela1[[#This Row],[ID]]&amp;Tabela1[[#This Row],[MATRICULA]]&amp;"Receptiva 2"&amp;Tabela1[[#This Row],[SETOR]],BD!A:AF,31,0),"")</f>
        <v/>
      </c>
      <c r="AJ153" s="21" t="str">
        <f>IFERROR(VLOOKUP(Tabela1[[#This Row],[MÊS]]&amp;Tabela1[[#This Row],[ID]]&amp;Tabela1[[#This Row],[MATRICULA]]&amp;"Receptiva 3"&amp;Tabela1[[#This Row],[SETOR]],BD!A:AF,31,0),"")</f>
        <v/>
      </c>
      <c r="AK153" s="21" t="str">
        <f>IFERROR(VLOOKUP(Tabela1[[#This Row],[MÊS]]&amp;Tabela1[[#This Row],[ID]]&amp;Tabela1[[#This Row],[MATRICULA]]&amp;"Receptiva 4"&amp;Tabela1[[#This Row],[SETOR]],BD!A:AF,31,0),"")</f>
        <v/>
      </c>
      <c r="AL153" s="21">
        <f>IFERROR(VLOOKUP(Tabela1[[#This Row],[MÊS]]&amp;Tabela1[[#This Row],[MATRICULA]]&amp;"Motorista"&amp;Tabela1[[#This Row],[SETOR]],BD!A:AF,31,0),"")</f>
        <v>0</v>
      </c>
      <c r="AM153" s="21" t="str">
        <f>IFERROR(VLOOKUP(Tabela1[[#This Row],[MÊS]]&amp;Tabela1[[#This Row],[ID]]&amp;Tabela1[[#This Row],[MATRICULA]]&amp;"Motorista 2"&amp;Tabela1[[#This Row],[SETOR]],BD!A:AF,26,0),"")</f>
        <v/>
      </c>
      <c r="AN153" s="21" t="str">
        <f>IFERROR(VLOOKUP(Tabela1[[#This Row],[MÊS]]&amp;Tabela1[[#This Row],[ID]]&amp;Tabela1[[#This Row],[MATRICULA]]&amp;"Motorista 3"&amp;Tabela1[[#This Row],[SETOR]],BD!A:AF,26,0),"")</f>
        <v/>
      </c>
      <c r="AO153" s="21" t="str">
        <f>IFERROR(VLOOKUP(Tabela1[[#This Row],[MÊS]]&amp;Tabela1[[#This Row],[ID]]&amp;Tabela1[[#This Row],[MATRICULA]]&amp;"Motorista 4"&amp;Tabela1[[#This Row],[SETOR]],BD!A:AF,26,0),"")</f>
        <v/>
      </c>
      <c r="AP153" s="21" t="str">
        <f>IFERROR(VLOOKUP(Tabela1[[#This Row],[MÊS]]&amp;Tabela1[[#This Row],[MATRICULA]]&amp;"Ponto de Apoio"&amp;Tabela1[[#This Row],[SETOR]],BD!A:AF,31,0),"")</f>
        <v/>
      </c>
      <c r="AQ153" s="21" t="str">
        <f>IFERROR(VLOOKUP(Tabela1[[#This Row],[MÊS]]&amp;Tabela1[[#This Row],[ID]]&amp;Tabela1[[#This Row],[MATRICULA]]&amp;"Ponto de Apoio 2"&amp;Tabela1[[#This Row],[SETOR]],BD!A:AF,26,0),"")</f>
        <v/>
      </c>
      <c r="AR153" s="36" t="str">
        <f>IFERROR(VLOOKUP(Tabela1[[#This Row],[MÊS]]&amp;Tabela1[[#This Row],[ID]]&amp;Tabela1[[#This Row],[MATRICULA]]&amp;"Ponto de Apoio 3"&amp;Tabela1[[#This Row],[SETOR]],BD!A:AF,26,0),"")</f>
        <v/>
      </c>
      <c r="AS153" s="36" t="str">
        <f>IFERROR(VLOOKUP(Tabela1[[#This Row],[MÊS]]&amp;Tabela1[[#This Row],[ID]]&amp;Tabela1[[#This Row],[MATRICULA]]&amp;"Ponto de Apoio 4"&amp;Tabela1[[#This Row],[SETOR]],BD!A:AF,26,0),"")</f>
        <v/>
      </c>
      <c r="AT153" s="21">
        <f>IFERROR(VLOOKUP(Tabela1[[#This Row],[MÊS]]&amp;Tabela1[[#This Row],[MATRICULA]]&amp;"Cliente"&amp;Tabela1[[#This Row],[SETOR]],BD!A:AF,31,0),"")</f>
        <v>0</v>
      </c>
      <c r="AU153" s="21" t="str">
        <f>IFERROR(VLOOKUP(Tabela1[[#This Row],[MÊS]]&amp;Tabela1[[#This Row],[ID]]&amp;Tabela1[[#This Row],[MATRICULA]]&amp;"Cliente 2"&amp;Tabela1[[#This Row],[SETOR]],BD!A:AF,26,0),"")</f>
        <v/>
      </c>
      <c r="AX153" s="21" t="str">
        <f>IFERROR(VLOOKUP(Tabela1[[#This Row],[MÊS]]&amp;Tabela1[[#This Row],[MATRICULA]]&amp;"Policia"&amp;Tabela1[[#This Row],[SETOR]],BD!A:AF,31,0),"")</f>
        <v/>
      </c>
      <c r="AY153" s="21" t="str">
        <f>IFERROR(VLOOKUP(Tabela1[[#This Row],[MÊS]]&amp;Tabela1[[#This Row],[ID]]&amp;Tabela1[[#This Row],[MATRICULA]]&amp;"Policia 2"&amp;Tabela1[[#This Row],[SETOR]],BD!A:AF,26,0),"")</f>
        <v/>
      </c>
      <c r="AZ153" s="36" t="str">
        <f>IFERROR(VLOOKUP(Tabela1[[#This Row],[MÊS]]&amp;Tabela1[[#This Row],[ID]]&amp;Tabela1[[#This Row],[MATRICULA]]&amp;"Policia 3"&amp;Tabela1[[#This Row],[SETOR]],BD!A:AF,26,0),"")</f>
        <v/>
      </c>
      <c r="BA153" s="36" t="str">
        <f>IFERROR(VLOOKUP(Tabela1[[#This Row],[MÊS]]&amp;Tabela1[[#This Row],[ID]]&amp;Tabela1[[#This Row],[MATRICULA]]&amp;"Policia 4"&amp;Tabela1[[#This Row],[SETOR]],BD!A:AF,26,0),"")</f>
        <v/>
      </c>
      <c r="BB15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3" s="21">
        <f>IFERROR(AVERAGE(Tabela1[[#This Row],[M]:[M4]]),"")</f>
        <v>0</v>
      </c>
      <c r="BD153" s="21">
        <f>IFERROR(AVERAGE(Tabela1[[#This Row],[C]:[C4]]),"")</f>
        <v>0</v>
      </c>
      <c r="BE153" s="21" t="str">
        <f>IFERROR(AVERAGE(Tabela1[[#This Row],[PA2]:[PA 4]]),"")</f>
        <v/>
      </c>
      <c r="BF153" s="21" t="str">
        <f>IFERROR(AVERAGE(Tabela1[[#This Row],[PL]:[PL4]]),"")</f>
        <v/>
      </c>
      <c r="BG153" s="35" t="str">
        <f>IFERROR(VLOOKUP(Tabela1[[#This Row],[MÊS]]&amp;Tabela1[[#This Row],[MATRICULA]],#REF!,2,0),"")</f>
        <v/>
      </c>
      <c r="BH153" s="35" t="str">
        <f>IFERROR(VLOOKUP(Tabela1[[#This Row],[MÊS]]&amp;Tabela1[[#This Row],[MATRICULA]],#REF!,2,0),"")</f>
        <v/>
      </c>
      <c r="BI153" s="35" t="str">
        <f>IFERROR(VLOOKUP(Tabela1[[#This Row],[MÊS]]&amp;Tabela1[[#This Row],[MATRICULA]],#REF!,2,0),"")</f>
        <v/>
      </c>
      <c r="BJ153" s="35" t="str">
        <f>IFERROR(VLOOKUP(Tabela1[[#This Row],[MÊS]]&amp;Tabela1[[#This Row],[MATRICULA]],#REF!,2,0),"")</f>
        <v/>
      </c>
      <c r="BK153" s="35" t="str">
        <f>IFERROR(VLOOKUP(Tabela1[[#This Row],[MÊS]]&amp;Tabela1[[#This Row],[MATRICULA]],#REF!,2,0),"")</f>
        <v/>
      </c>
      <c r="BL153" s="21">
        <f>COUNTIF(Tabela1[[#This Row],[MOT2]:[RECEPTIVA]],"NÃO ENCONTRADA")</f>
        <v>0</v>
      </c>
      <c r="BM153" s="135" t="str">
        <f>IFERROR(VLOOKUP(Tabela1[[#This Row],[MÊS]]&amp;Tabela1[[#This Row],[ID]]&amp;Tabela1[[#This Row],[MATRICULA]]&amp;"Motorista"&amp;Tabela1[[#This Row],[SETOR]],BD!A:AF,13,0),"")</f>
        <v/>
      </c>
      <c r="BN153" s="135" t="str">
        <f>IFERROR(VLOOKUP(Tabela1[[#This Row],[MÊS]]&amp;Tabela1[[#This Row],[ID]]&amp;Tabela1[[#This Row],[MATRICULA]]&amp;"Motorista 2"&amp;Tabela1[[#This Row],[SETOR]],BD!A:AF,13,0),"")</f>
        <v/>
      </c>
      <c r="BO153" s="135" t="str">
        <f>IFERROR(VLOOKUP(Tabela1[[#This Row],[MÊS]]&amp;Tabela1[[#This Row],[ID]]&amp;Tabela1[[#This Row],[MATRICULA]]&amp;"Motorista 3"&amp;Tabela1[[#This Row],[SETOR]],BD!A:AF,13,0),"")</f>
        <v/>
      </c>
      <c r="BP153" s="135" t="str">
        <f>IFERROR(VLOOKUP(Tabela1[[#This Row],[MÊS]]&amp;Tabela1[[#This Row],[ID]]&amp;Tabela1[[#This Row],[MATRICULA]]&amp;"Motorista 4"&amp;Tabela1[[#This Row],[SETOR]],BD!A:AF,13,0),"")</f>
        <v/>
      </c>
      <c r="BQ153" s="135" t="str">
        <f>IFERROR(AVERAGE(Tabela1[[#This Row],[DMOT]:[DMOT4]]),"")</f>
        <v/>
      </c>
      <c r="BR153" s="135" t="str">
        <f>IFERROR(VLOOKUP(Tabela1[[#This Row],[MÊS]]&amp;Tabela1[[#This Row],[ID]]&amp;Tabela1[[#This Row],[MATRICULA]]&amp;"Ponto de Apoio"&amp;Tabela1[[#This Row],[SETOR]],BD!A:AF,13,0),"")</f>
        <v/>
      </c>
      <c r="BS153" s="135" t="str">
        <f>IFERROR(VLOOKUP(Tabela1[[#This Row],[MÊS]]&amp;Tabela1[[#This Row],[ID]]&amp;Tabela1[[#This Row],[MATRICULA]]&amp;"Ponto de Apoio 2"&amp;Tabela1[[#This Row],[SETOR]],BD!A:AF,13,0),"")</f>
        <v/>
      </c>
      <c r="BT153" s="135" t="str">
        <f>IFERROR(VLOOKUP(Tabela1[[#This Row],[MÊS]]&amp;Tabela1[[#This Row],[ID]]&amp;Tabela1[[#This Row],[MATRICULA]]&amp;"Ponto de Apoio 3"&amp;Tabela1[[#This Row],[SETOR]],BD!A:AF,13,0),"")</f>
        <v/>
      </c>
      <c r="BU153" s="135" t="str">
        <f>IFERROR(VLOOKUP(Tabela1[[#This Row],[MÊS]]&amp;Tabela1[[#This Row],[ID]]&amp;Tabela1[[#This Row],[MATRICULA]]&amp;"Ponto de Apoio 4"&amp;Tabela1[[#This Row],[SETOR]],BD!A:AF,13,0),"")</f>
        <v/>
      </c>
      <c r="BV153" s="135" t="str">
        <f>IFERROR(AVERAGE(Tabela1[[#This Row],[DPA]:[DPA 4]]),"")</f>
        <v/>
      </c>
      <c r="BW153" s="135" t="str">
        <f>IFERROR(VLOOKUP(Tabela1[[#This Row],[MÊS]]&amp;Tabela1[[#This Row],[ID]]&amp;Tabela1[[#This Row],[MATRICULA]]&amp;"Cliente"&amp;Tabela1[[#This Row],[SETOR]],BD!A:AF,13,0),"")</f>
        <v/>
      </c>
      <c r="BX153" s="135" t="str">
        <f>IFERROR(VLOOKUP(Tabela1[[#This Row],[MÊS]]&amp;Tabela1[[#This Row],[ID]]&amp;Tabela1[[#This Row],[MATRICULA]]&amp;"cliente 2"&amp;Tabela1[[#This Row],[SETOR]],BD!A:AF,13,0),"")</f>
        <v/>
      </c>
      <c r="BY153" s="135" t="str">
        <f>IFERROR(VLOOKUP(Tabela1[[#This Row],[MÊS]]&amp;Tabela1[[#This Row],[ID]]&amp;Tabela1[[#This Row],[MATRICULA]]&amp;"cliente 3"&amp;Tabela1[[#This Row],[SETOR]],BD!A:AF,13,0),"")</f>
        <v/>
      </c>
      <c r="BZ153" s="135" t="str">
        <f>IFERROR(VLOOKUP(Tabela1[[#This Row],[MÊS]]&amp;Tabela1[[#This Row],[ID]]&amp;Tabela1[[#This Row],[MATRICULA]]&amp;"cliente 4"&amp;Tabela1[[#This Row],[SETOR]],BD!A:AF,13,0),"")</f>
        <v/>
      </c>
      <c r="CA153" s="135" t="str">
        <f>IFERROR(AVERAGE(Tabela1[[#This Row],[DCLI]:[DCLI 4]]),"")</f>
        <v/>
      </c>
      <c r="CB153" s="135" t="str">
        <f>IFERROR(VLOOKUP(Tabela1[[#This Row],[MÊS]]&amp;Tabela1[[#This Row],[ID]]&amp;Tabela1[[#This Row],[MATRICULA]]&amp;"Policia"&amp;Tabela1[[#This Row],[SETOR]],BD!A:AF,13,0),"")</f>
        <v/>
      </c>
      <c r="CC153" s="135" t="str">
        <f>IFERROR(VLOOKUP(Tabela1[[#This Row],[MÊS]]&amp;Tabela1[[#This Row],[ID]]&amp;Tabela1[[#This Row],[MATRICULA]]&amp;"Policia 2"&amp;Tabela1[[#This Row],[SETOR]],BD!A:AF,13,0),"")</f>
        <v/>
      </c>
      <c r="CD153" s="135"/>
      <c r="CE153" s="135"/>
      <c r="CF153" s="135" t="str">
        <f>IFERROR((AVERAGE(Tabela1[[#This Row],[DPOL1]:[DPOL4]])),"")</f>
        <v/>
      </c>
      <c r="CG153" s="21" t="str">
        <f>IFERROR(VLOOKUP(Tabela1[[#This Row],[ID]]&amp;Tabela1[[#This Row],[MÊS]]&amp;Tabela1[[#This Row],[MATRICULA]],#REF!,2,0),"")</f>
        <v/>
      </c>
      <c r="CH153" s="21" t="str">
        <f>IFERROR(VLOOKUP(Tabela1[[#This Row],[ID]]&amp;Tabela1[[#This Row],[MÊS]]&amp;Tabela1[[#This Row],[MATRICULA]],#REF!,2,0),"")</f>
        <v/>
      </c>
      <c r="CI153" s="21" t="str">
        <f>IFERROR(VLOOKUP(Tabela1[[#This Row],[MÊS]]&amp;Tabela1[[#This Row],[MATRICULA]],#REF!,2,0),"")</f>
        <v/>
      </c>
    </row>
    <row r="154" spans="1:87">
      <c r="A154" s="12" t="str">
        <f>Tabela1[[#This Row],[MÊS]]&amp;Tabela1[[#This Row],[MATRICULA]]&amp;Tabela1[[#This Row],[ID]]</f>
        <v>JAN1141713</v>
      </c>
      <c r="B154" s="12" t="str">
        <f>Tabela1[[#This Row],[MÊS]]&amp;Tabela1[[#This Row],[ID]]&amp;Tabela1[[#This Row],[MATRICULA]]&amp;Tabela1[[#This Row],[SETOR]]</f>
        <v>JAN1311417LOGÍSTICA</v>
      </c>
      <c r="C154" s="130" t="e">
        <f>VLOOKUP(Tabela1[[#This Row],[MATRICULA]],'BD Campos'!A:D,5,0)</f>
        <v>#REF!</v>
      </c>
      <c r="D154" s="133" t="str">
        <f ca="1">IFERROR(SUM(TODAY()-Tabela1[[#This Row],[ADMISSÃO]]),"")</f>
        <v/>
      </c>
      <c r="E154" s="11" t="str">
        <f ca="1">IFERROR(TRUNC(Tabela1[[#This Row],[TEMPO DE CASA (DIAS)]]/30),"")</f>
        <v/>
      </c>
      <c r="F154" s="32" t="str">
        <f ca="1">IFERROR(SUM(Tabela1[[#This Row],[TEMPO DE CASA (MESES)]]/12),"")</f>
        <v/>
      </c>
      <c r="G154" s="133" t="str">
        <f ca="1">IF(Tabela1[[#This Row],[TEMPO DE CASA (DIAS)]]="","SEM DADOS",IF(Tabela1[[#This Row],[TEMPO DE CASA (DIAS)]]&gt;180,"&gt; 6 MESES","&lt; 6 MESES"))</f>
        <v>SEM DADOS</v>
      </c>
      <c r="H154" s="12" t="str">
        <f t="shared" si="13"/>
        <v>JANRichard Marques13</v>
      </c>
      <c r="I154" s="12" t="str">
        <f>IFERROR(VLOOKUP(Tabela1[[#This Row],[MATRICULA]],'BD Campos'!A:F,7,0),"")</f>
        <v/>
      </c>
      <c r="J154" s="11">
        <v>13</v>
      </c>
      <c r="K154" s="11" t="s">
        <v>669</v>
      </c>
      <c r="L154" s="136">
        <v>11417</v>
      </c>
      <c r="M154" s="12" t="str">
        <f>IFERROR(VLOOKUP(Tabela1[[#This Row],[MATRICULA]],'BD Campos'!A:B,2,0),"")</f>
        <v>RAYLLA THAYNA MARQUES VIEIRA</v>
      </c>
      <c r="N154" s="20" t="str">
        <f>IFERROR(AVERAGE(Tabela1[[#This Row],[A1]:[A4]]),"")</f>
        <v/>
      </c>
      <c r="O154" s="20" t="str">
        <f>IFERROR(IF(Tabela1[[#This Row],[SETOR]]="RECEPTIVO","",AVERAGE(Tabela1[[#This Row],[A5]:[A6]])),"")</f>
        <v/>
      </c>
      <c r="P154" s="20" t="str">
        <f>IFERROR(IF(Tabela1[[#This Row],[STATUS]]="INATIVO","INATIVO",IF(Tabela1[[#This Row],[STATUS]]="QRT","INATIVO",IF(Tabela1[[#This Row],[OPERACIONAL]]&gt;7.99999,"BOM","RUIM"))),"")</f>
        <v>INATIVO</v>
      </c>
      <c r="Q154" s="21" t="s">
        <v>670</v>
      </c>
      <c r="R154" s="12" t="s">
        <v>315</v>
      </c>
      <c r="S154" s="12" t="s">
        <v>704</v>
      </c>
      <c r="T154" s="12" t="s">
        <v>315</v>
      </c>
      <c r="U15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4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54" s="12">
        <f>IF(AND(Tabela1[[#This Row],[SETOR]]="UTI",Tabela1[[#This Row],[M]]&lt;&gt;""),1,IF(AND(Tabela1[[#This Row],[SETOR]]="UTI (RJ)",Tabela1[[#This Row],[M]]&lt;&gt;""),1.5,0))</f>
        <v>0</v>
      </c>
      <c r="X154" s="12">
        <f>IF(AND(Tabela1[[#This Row],[SETOR]]="UTI",Tabela1[[#This Row],[PA2]]&lt;&gt;""),1,IF(AND(Tabela1[[#This Row],[SETOR]]="UTI (RJ)",Tabela1[[#This Row],[PA2]]&lt;&gt;""),0,0))</f>
        <v>0</v>
      </c>
      <c r="Y154" s="12">
        <f>IF(AND(Tabela1[[#This Row],[SETOR]]="UTI",Tabela1[[#This Row],[C]]&lt;&gt;""),1,IF(AND(Tabela1[[#This Row],[SETOR]]="UTI (RJ)",Tabela1[[#This Row],[C]]&lt;&gt;""),1.5,0))</f>
        <v>0</v>
      </c>
      <c r="Z154" s="12">
        <f>IF(AND(Tabela1[[#This Row],[SETOR]]="UTI",Tabela1[[#This Row],[PL]]&lt;&gt;""),1,IF(AND(Tabela1[[#This Row],[SETOR]]="UTI (RJ)",Tabela1[[#This Row],[PL]]&lt;&gt;""),1,0))</f>
        <v>0</v>
      </c>
      <c r="AA154" s="21" t="str">
        <f>IFERROR(VLOOKUP(Tabela1[[#This Row],[MÊS]]&amp;Tabela1[[#This Row],[MATRICULA]]&amp;"1"&amp;Tabela1[[#This Row],[SETOR]]&amp;"PADRÃO",BD!B:AF,31,0),"")</f>
        <v/>
      </c>
      <c r="AB154" s="21" t="str">
        <f>IFERROR(VLOOKUP(Tabela1[[#This Row],[MÊS]]&amp;Tabela1[[#This Row],[MATRICULA]]&amp;"2"&amp;Tabela1[[#This Row],[SETOR]]&amp;"PADRÃO",BD!B:AF,31,0),"")</f>
        <v/>
      </c>
      <c r="AC154" s="21" t="str">
        <f>IFERROR(VLOOKUP(Tabela1[[#This Row],[MÊS]]&amp;Tabela1[[#This Row],[MATRICULA]]&amp;"3"&amp;Tabela1[[#This Row],[SETOR]]&amp;"PADRÃO",BD!B:AF,31,0),"")</f>
        <v/>
      </c>
      <c r="AD154" s="21" t="str">
        <f>IFERROR(VLOOKUP(Tabela1[[#This Row],[MÊS]]&amp;Tabela1[[#This Row],[MATRICULA]]&amp;"4"&amp;Tabela1[[#This Row],[SETOR]]&amp;"PADRÃO",BD!B:AF,25,0),"")</f>
        <v/>
      </c>
      <c r="AE154" s="21" t="str">
        <f>IFERROR(VLOOKUP(Tabela1[[#This Row],[MÊS]]&amp;Tabela1[[#This Row],[MATRICULA]]&amp;"5"&amp;Tabela1[[#This Row],[SETOR]]&amp;"PADRÃO",BD!B:AF,31,0),"")</f>
        <v/>
      </c>
      <c r="AF154" s="21" t="str">
        <f>IFERROR(VLOOKUP(Tabela1[[#This Row],[MÊS]]&amp;Tabela1[[#This Row],[MATRICULA]]&amp;"6"&amp;Tabela1[[#This Row],[SETOR]]&amp;"PADRÃO",BD!B:AF,31,0),"")</f>
        <v/>
      </c>
      <c r="AG154" s="21" t="str">
        <f>IFERROR(VLOOKUP(Tabela1[[#This Row],[MÊS]]&amp;Tabela1[[#This Row],[MATRICULA]]&amp;"7"&amp;Tabela1[[#This Row],[SETOR]]&amp;"PADRÃO",BD!B:AF,31,0),"")</f>
        <v/>
      </c>
      <c r="AH154" s="21" t="str">
        <f>IFERROR(VLOOKUP(Tabela1[[#This Row],[MÊS]]&amp;Tabela1[[#This Row],[ID]]&amp;Tabela1[[#This Row],[MATRICULA]]&amp;"Receptiva"&amp;Tabela1[[#This Row],[SETOR]],BD!A:AF,31,0),"")</f>
        <v/>
      </c>
      <c r="AI154" s="21" t="str">
        <f>IFERROR(VLOOKUP(Tabela1[[#This Row],[MÊS]]&amp;Tabela1[[#This Row],[ID]]&amp;Tabela1[[#This Row],[MATRICULA]]&amp;"Receptiva 2"&amp;Tabela1[[#This Row],[SETOR]],BD!A:AF,31,0),"")</f>
        <v/>
      </c>
      <c r="AJ154" s="21" t="str">
        <f>IFERROR(VLOOKUP(Tabela1[[#This Row],[MÊS]]&amp;Tabela1[[#This Row],[ID]]&amp;Tabela1[[#This Row],[MATRICULA]]&amp;"Receptiva 3"&amp;Tabela1[[#This Row],[SETOR]],BD!A:AF,31,0),"")</f>
        <v/>
      </c>
      <c r="AK154" s="21" t="str">
        <f>IFERROR(VLOOKUP(Tabela1[[#This Row],[MÊS]]&amp;Tabela1[[#This Row],[ID]]&amp;Tabela1[[#This Row],[MATRICULA]]&amp;"Receptiva 4"&amp;Tabela1[[#This Row],[SETOR]],BD!A:AF,31,0),"")</f>
        <v/>
      </c>
      <c r="AL154" s="21" t="str">
        <f>IFERROR(VLOOKUP(Tabela1[[#This Row],[MÊS]]&amp;Tabela1[[#This Row],[MATRICULA]]&amp;"Motorista"&amp;Tabela1[[#This Row],[SETOR]],BD!A:AF,31,0),"")</f>
        <v/>
      </c>
      <c r="AM154" s="21" t="str">
        <f>IFERROR(VLOOKUP(Tabela1[[#This Row],[MÊS]]&amp;Tabela1[[#This Row],[ID]]&amp;Tabela1[[#This Row],[MATRICULA]]&amp;"Motorista 2"&amp;Tabela1[[#This Row],[SETOR]],BD!A:AF,26,0),"")</f>
        <v/>
      </c>
      <c r="AN154" s="21" t="str">
        <f>IFERROR(VLOOKUP(Tabela1[[#This Row],[MÊS]]&amp;Tabela1[[#This Row],[ID]]&amp;Tabela1[[#This Row],[MATRICULA]]&amp;"Motorista 3"&amp;Tabela1[[#This Row],[SETOR]],BD!A:AF,26,0),"")</f>
        <v/>
      </c>
      <c r="AO154" s="21" t="str">
        <f>IFERROR(VLOOKUP(Tabela1[[#This Row],[MÊS]]&amp;Tabela1[[#This Row],[ID]]&amp;Tabela1[[#This Row],[MATRICULA]]&amp;"Motorista 4"&amp;Tabela1[[#This Row],[SETOR]],BD!A:AF,26,0),"")</f>
        <v/>
      </c>
      <c r="AP154" s="21" t="str">
        <f>IFERROR(VLOOKUP(Tabela1[[#This Row],[MÊS]]&amp;Tabela1[[#This Row],[MATRICULA]]&amp;"Ponto de Apoio"&amp;Tabela1[[#This Row],[SETOR]],BD!A:AF,31,0),"")</f>
        <v/>
      </c>
      <c r="AQ154" s="21" t="str">
        <f>IFERROR(VLOOKUP(Tabela1[[#This Row],[MÊS]]&amp;Tabela1[[#This Row],[ID]]&amp;Tabela1[[#This Row],[MATRICULA]]&amp;"Ponto de Apoio 2"&amp;Tabela1[[#This Row],[SETOR]],BD!A:AF,26,0),"")</f>
        <v/>
      </c>
      <c r="AR154" s="36" t="str">
        <f>IFERROR(VLOOKUP(Tabela1[[#This Row],[MÊS]]&amp;Tabela1[[#This Row],[ID]]&amp;Tabela1[[#This Row],[MATRICULA]]&amp;"Ponto de Apoio 3"&amp;Tabela1[[#This Row],[SETOR]],BD!A:AF,26,0),"")</f>
        <v/>
      </c>
      <c r="AS154" s="36" t="str">
        <f>IFERROR(VLOOKUP(Tabela1[[#This Row],[MÊS]]&amp;Tabela1[[#This Row],[ID]]&amp;Tabela1[[#This Row],[MATRICULA]]&amp;"Ponto de Apoio 4"&amp;Tabela1[[#This Row],[SETOR]],BD!A:AF,26,0),"")</f>
        <v/>
      </c>
      <c r="AT154" s="21" t="str">
        <f>IFERROR(VLOOKUP(Tabela1[[#This Row],[MÊS]]&amp;Tabela1[[#This Row],[MATRICULA]]&amp;"Cliente"&amp;Tabela1[[#This Row],[SETOR]],BD!A:AF,31,0),"")</f>
        <v/>
      </c>
      <c r="AU154" s="21" t="str">
        <f>IFERROR(VLOOKUP(Tabela1[[#This Row],[MÊS]]&amp;Tabela1[[#This Row],[ID]]&amp;Tabela1[[#This Row],[MATRICULA]]&amp;"Cliente 2"&amp;Tabela1[[#This Row],[SETOR]],BD!A:AF,26,0),"")</f>
        <v/>
      </c>
      <c r="AX154" s="21" t="str">
        <f>IFERROR(VLOOKUP(Tabela1[[#This Row],[MÊS]]&amp;Tabela1[[#This Row],[MATRICULA]]&amp;"Policia"&amp;Tabela1[[#This Row],[SETOR]],BD!A:AF,31,0),"")</f>
        <v/>
      </c>
      <c r="AY154" s="21" t="str">
        <f>IFERROR(VLOOKUP(Tabela1[[#This Row],[MÊS]]&amp;Tabela1[[#This Row],[ID]]&amp;Tabela1[[#This Row],[MATRICULA]]&amp;"Policia 2"&amp;Tabela1[[#This Row],[SETOR]],BD!A:AF,26,0),"")</f>
        <v/>
      </c>
      <c r="AZ154" s="36" t="str">
        <f>IFERROR(VLOOKUP(Tabela1[[#This Row],[MÊS]]&amp;Tabela1[[#This Row],[ID]]&amp;Tabela1[[#This Row],[MATRICULA]]&amp;"Policia 3"&amp;Tabela1[[#This Row],[SETOR]],BD!A:AF,26,0),"")</f>
        <v/>
      </c>
      <c r="BA154" s="36" t="str">
        <f>IFERROR(VLOOKUP(Tabela1[[#This Row],[MÊS]]&amp;Tabela1[[#This Row],[ID]]&amp;Tabela1[[#This Row],[MATRICULA]]&amp;"Policia 4"&amp;Tabela1[[#This Row],[SETOR]],BD!A:AF,26,0),"")</f>
        <v/>
      </c>
      <c r="BB15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4" s="21" t="str">
        <f>IFERROR(AVERAGE(Tabela1[[#This Row],[M]:[M4]]),"")</f>
        <v/>
      </c>
      <c r="BD154" s="21" t="str">
        <f>IFERROR(AVERAGE(Tabela1[[#This Row],[C]:[C4]]),"")</f>
        <v/>
      </c>
      <c r="BE154" s="21" t="str">
        <f>IFERROR(AVERAGE(Tabela1[[#This Row],[PA2]:[PA 4]]),"")</f>
        <v/>
      </c>
      <c r="BF154" s="21" t="str">
        <f>IFERROR(AVERAGE(Tabela1[[#This Row],[PL]:[PL4]]),"")</f>
        <v/>
      </c>
      <c r="BG154" s="35" t="str">
        <f>IFERROR(VLOOKUP(Tabela1[[#This Row],[MÊS]]&amp;Tabela1[[#This Row],[MATRICULA]],#REF!,2,0),"")</f>
        <v/>
      </c>
      <c r="BH154" s="35" t="str">
        <f>IFERROR(VLOOKUP(Tabela1[[#This Row],[MÊS]]&amp;Tabela1[[#This Row],[MATRICULA]],#REF!,2,0),"")</f>
        <v/>
      </c>
      <c r="BI154" s="35" t="str">
        <f>IFERROR(VLOOKUP(Tabela1[[#This Row],[MÊS]]&amp;Tabela1[[#This Row],[MATRICULA]],#REF!,2,0),"")</f>
        <v/>
      </c>
      <c r="BJ154" s="35" t="str">
        <f>IFERROR(VLOOKUP(Tabela1[[#This Row],[MÊS]]&amp;Tabela1[[#This Row],[MATRICULA]],#REF!,2,0),"")</f>
        <v/>
      </c>
      <c r="BK154" s="35" t="str">
        <f>IFERROR(VLOOKUP(Tabela1[[#This Row],[MÊS]]&amp;Tabela1[[#This Row],[MATRICULA]],#REF!,2,0),"")</f>
        <v/>
      </c>
      <c r="BL154" s="21">
        <f>COUNTIF(Tabela1[[#This Row],[MOT2]:[RECEPTIVA]],"NÃO ENCONTRADA")</f>
        <v>0</v>
      </c>
      <c r="BM154" s="135" t="str">
        <f>IFERROR(VLOOKUP(Tabela1[[#This Row],[MÊS]]&amp;Tabela1[[#This Row],[ID]]&amp;Tabela1[[#This Row],[MATRICULA]]&amp;"Motorista"&amp;Tabela1[[#This Row],[SETOR]],BD!A:AF,13,0),"")</f>
        <v/>
      </c>
      <c r="BN154" s="135" t="str">
        <f>IFERROR(VLOOKUP(Tabela1[[#This Row],[MÊS]]&amp;Tabela1[[#This Row],[ID]]&amp;Tabela1[[#This Row],[MATRICULA]]&amp;"Motorista 2"&amp;Tabela1[[#This Row],[SETOR]],BD!A:AF,13,0),"")</f>
        <v/>
      </c>
      <c r="BO154" s="135" t="str">
        <f>IFERROR(VLOOKUP(Tabela1[[#This Row],[MÊS]]&amp;Tabela1[[#This Row],[ID]]&amp;Tabela1[[#This Row],[MATRICULA]]&amp;"Motorista 3"&amp;Tabela1[[#This Row],[SETOR]],BD!A:AF,13,0),"")</f>
        <v/>
      </c>
      <c r="BP154" s="135" t="str">
        <f>IFERROR(VLOOKUP(Tabela1[[#This Row],[MÊS]]&amp;Tabela1[[#This Row],[ID]]&amp;Tabela1[[#This Row],[MATRICULA]]&amp;"Motorista 4"&amp;Tabela1[[#This Row],[SETOR]],BD!A:AF,13,0),"")</f>
        <v/>
      </c>
      <c r="BQ154" s="135" t="str">
        <f>IFERROR(AVERAGE(Tabela1[[#This Row],[DMOT]:[DMOT4]]),"")</f>
        <v/>
      </c>
      <c r="BR154" s="135" t="str">
        <f>IFERROR(VLOOKUP(Tabela1[[#This Row],[MÊS]]&amp;Tabela1[[#This Row],[ID]]&amp;Tabela1[[#This Row],[MATRICULA]]&amp;"Ponto de Apoio"&amp;Tabela1[[#This Row],[SETOR]],BD!A:AF,13,0),"")</f>
        <v/>
      </c>
      <c r="BS154" s="135" t="str">
        <f>IFERROR(VLOOKUP(Tabela1[[#This Row],[MÊS]]&amp;Tabela1[[#This Row],[ID]]&amp;Tabela1[[#This Row],[MATRICULA]]&amp;"Ponto de Apoio 2"&amp;Tabela1[[#This Row],[SETOR]],BD!A:AF,13,0),"")</f>
        <v/>
      </c>
      <c r="BT154" s="135" t="str">
        <f>IFERROR(VLOOKUP(Tabela1[[#This Row],[MÊS]]&amp;Tabela1[[#This Row],[ID]]&amp;Tabela1[[#This Row],[MATRICULA]]&amp;"Ponto de Apoio 3"&amp;Tabela1[[#This Row],[SETOR]],BD!A:AF,13,0),"")</f>
        <v/>
      </c>
      <c r="BU154" s="135" t="str">
        <f>IFERROR(VLOOKUP(Tabela1[[#This Row],[MÊS]]&amp;Tabela1[[#This Row],[ID]]&amp;Tabela1[[#This Row],[MATRICULA]]&amp;"Ponto de Apoio 4"&amp;Tabela1[[#This Row],[SETOR]],BD!A:AF,13,0),"")</f>
        <v/>
      </c>
      <c r="BV154" s="135" t="str">
        <f>IFERROR(AVERAGE(Tabela1[[#This Row],[DPA]:[DPA 4]]),"")</f>
        <v/>
      </c>
      <c r="BW154" s="135" t="str">
        <f>IFERROR(VLOOKUP(Tabela1[[#This Row],[MÊS]]&amp;Tabela1[[#This Row],[ID]]&amp;Tabela1[[#This Row],[MATRICULA]]&amp;"Cliente"&amp;Tabela1[[#This Row],[SETOR]],BD!A:AF,13,0),"")</f>
        <v/>
      </c>
      <c r="BX154" s="135" t="str">
        <f>IFERROR(VLOOKUP(Tabela1[[#This Row],[MÊS]]&amp;Tabela1[[#This Row],[ID]]&amp;Tabela1[[#This Row],[MATRICULA]]&amp;"cliente 2"&amp;Tabela1[[#This Row],[SETOR]],BD!A:AF,13,0),"")</f>
        <v/>
      </c>
      <c r="BY154" s="135" t="str">
        <f>IFERROR(VLOOKUP(Tabela1[[#This Row],[MÊS]]&amp;Tabela1[[#This Row],[ID]]&amp;Tabela1[[#This Row],[MATRICULA]]&amp;"cliente 3"&amp;Tabela1[[#This Row],[SETOR]],BD!A:AF,13,0),"")</f>
        <v/>
      </c>
      <c r="BZ154" s="135" t="str">
        <f>IFERROR(VLOOKUP(Tabela1[[#This Row],[MÊS]]&amp;Tabela1[[#This Row],[ID]]&amp;Tabela1[[#This Row],[MATRICULA]]&amp;"cliente 4"&amp;Tabela1[[#This Row],[SETOR]],BD!A:AF,13,0),"")</f>
        <v/>
      </c>
      <c r="CA154" s="135" t="str">
        <f>IFERROR(AVERAGE(Tabela1[[#This Row],[DCLI]:[DCLI 4]]),"")</f>
        <v/>
      </c>
      <c r="CB154" s="135" t="str">
        <f>IFERROR(VLOOKUP(Tabela1[[#This Row],[MÊS]]&amp;Tabela1[[#This Row],[ID]]&amp;Tabela1[[#This Row],[MATRICULA]]&amp;"Policia"&amp;Tabela1[[#This Row],[SETOR]],BD!A:AF,13,0),"")</f>
        <v/>
      </c>
      <c r="CC154" s="135" t="str">
        <f>IFERROR(VLOOKUP(Tabela1[[#This Row],[MÊS]]&amp;Tabela1[[#This Row],[ID]]&amp;Tabela1[[#This Row],[MATRICULA]]&amp;"Policia 2"&amp;Tabela1[[#This Row],[SETOR]],BD!A:AF,13,0),"")</f>
        <v/>
      </c>
      <c r="CD154" s="135"/>
      <c r="CE154" s="135"/>
      <c r="CF154" s="135" t="str">
        <f>IFERROR((AVERAGE(Tabela1[[#This Row],[DPOL1]:[DPOL4]])),"")</f>
        <v/>
      </c>
      <c r="CG154" s="21" t="str">
        <f>IFERROR(VLOOKUP(Tabela1[[#This Row],[ID]]&amp;Tabela1[[#This Row],[MÊS]]&amp;Tabela1[[#This Row],[MATRICULA]],#REF!,2,0),"")</f>
        <v/>
      </c>
      <c r="CH154" s="21" t="str">
        <f>IFERROR(VLOOKUP(Tabela1[[#This Row],[ID]]&amp;Tabela1[[#This Row],[MÊS]]&amp;Tabela1[[#This Row],[MATRICULA]],#REF!,2,0),"")</f>
        <v/>
      </c>
      <c r="CI154" s="21" t="str">
        <f>IFERROR(VLOOKUP(Tabela1[[#This Row],[MÊS]]&amp;Tabela1[[#This Row],[MATRICULA]],#REF!,2,0),"")</f>
        <v/>
      </c>
    </row>
    <row r="155" spans="1:87">
      <c r="A155" s="12" t="str">
        <f>Tabela1[[#This Row],[MÊS]]&amp;Tabela1[[#This Row],[MATRICULA]]&amp;Tabela1[[#This Row],[ID]]</f>
        <v>JAN1141914</v>
      </c>
      <c r="B155" s="12" t="str">
        <f>Tabela1[[#This Row],[MÊS]]&amp;Tabela1[[#This Row],[ID]]&amp;Tabela1[[#This Row],[MATRICULA]]&amp;Tabela1[[#This Row],[SETOR]]</f>
        <v>JAN1411419LOGÍSTICA</v>
      </c>
      <c r="C155" s="130" t="e">
        <f>VLOOKUP(Tabela1[[#This Row],[MATRICULA]],'BD Campos'!A:D,5,0)</f>
        <v>#REF!</v>
      </c>
      <c r="D155" s="133" t="str">
        <f ca="1">IFERROR(SUM(TODAY()-Tabela1[[#This Row],[ADMISSÃO]]),"")</f>
        <v/>
      </c>
      <c r="E155" s="11" t="str">
        <f ca="1">IFERROR(TRUNC(Tabela1[[#This Row],[TEMPO DE CASA (DIAS)]]/30),"")</f>
        <v/>
      </c>
      <c r="F155" s="32" t="str">
        <f ca="1">IFERROR(SUM(Tabela1[[#This Row],[TEMPO DE CASA (MESES)]]/12),"")</f>
        <v/>
      </c>
      <c r="G155" s="133" t="str">
        <f ca="1">IF(Tabela1[[#This Row],[TEMPO DE CASA (DIAS)]]="","SEM DADOS",IF(Tabela1[[#This Row],[TEMPO DE CASA (DIAS)]]&gt;180,"&gt; 6 MESES","&lt; 6 MESES"))</f>
        <v>SEM DADOS</v>
      </c>
      <c r="H155" s="12" t="str">
        <f t="shared" si="13"/>
        <v>JANRichard Marques14</v>
      </c>
      <c r="I155" s="12" t="str">
        <f>IFERROR(VLOOKUP(Tabela1[[#This Row],[MATRICULA]],'BD Campos'!A:F,7,0),"")</f>
        <v/>
      </c>
      <c r="J155" s="11">
        <v>14</v>
      </c>
      <c r="K155" s="11" t="s">
        <v>669</v>
      </c>
      <c r="L155" s="136">
        <v>11419</v>
      </c>
      <c r="M155" s="12" t="str">
        <f>IFERROR(VLOOKUP(Tabela1[[#This Row],[MATRICULA]],'BD Campos'!A:B,2,0),"")</f>
        <v>RUAN PABLO HARDT JOSE</v>
      </c>
      <c r="N155" s="20">
        <f>IFERROR(AVERAGE(Tabela1[[#This Row],[A1]:[A4]]),"")</f>
        <v>7.2437500000000004</v>
      </c>
      <c r="O155" s="20" t="str">
        <f>IFERROR(IF(Tabela1[[#This Row],[SETOR]]="RECEPTIVO","",AVERAGE(Tabela1[[#This Row],[A5]:[A6]])),"")</f>
        <v/>
      </c>
      <c r="P155" s="20" t="str">
        <f>IFERROR(IF(Tabela1[[#This Row],[STATUS]]="INATIVO","INATIVO",IF(Tabela1[[#This Row],[STATUS]]="QRT","INATIVO",IF(Tabela1[[#This Row],[OPERACIONAL]]&gt;7.99999,"BOM","RUIM"))),"")</f>
        <v>RUIM</v>
      </c>
      <c r="Q155" s="21" t="s">
        <v>667</v>
      </c>
      <c r="R155" s="12" t="s">
        <v>315</v>
      </c>
      <c r="S155" s="12" t="s">
        <v>704</v>
      </c>
      <c r="T155" s="12" t="s">
        <v>315</v>
      </c>
      <c r="U15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5" s="12">
        <f>IF(AND(Tabela1[[#This Row],[SETOR]]="UTI",Tabela1[[#This Row],[M]]&lt;&gt;""),1,IF(AND(Tabela1[[#This Row],[SETOR]]="UTI (RJ)",Tabela1[[#This Row],[M]]&lt;&gt;""),1.5,0))</f>
        <v>0</v>
      </c>
      <c r="X155" s="12">
        <f>IF(AND(Tabela1[[#This Row],[SETOR]]="UTI",Tabela1[[#This Row],[PA2]]&lt;&gt;""),1,IF(AND(Tabela1[[#This Row],[SETOR]]="UTI (RJ)",Tabela1[[#This Row],[PA2]]&lt;&gt;""),0,0))</f>
        <v>0</v>
      </c>
      <c r="Y155" s="12">
        <f>IF(AND(Tabela1[[#This Row],[SETOR]]="UTI",Tabela1[[#This Row],[C]]&lt;&gt;""),1,IF(AND(Tabela1[[#This Row],[SETOR]]="UTI (RJ)",Tabela1[[#This Row],[C]]&lt;&gt;""),1.5,0))</f>
        <v>0</v>
      </c>
      <c r="Z155" s="12">
        <f>IF(AND(Tabela1[[#This Row],[SETOR]]="UTI",Tabela1[[#This Row],[PL]]&lt;&gt;""),1,IF(AND(Tabela1[[#This Row],[SETOR]]="UTI (RJ)",Tabela1[[#This Row],[PL]]&lt;&gt;""),1,0))</f>
        <v>0</v>
      </c>
      <c r="AA155" s="21">
        <f>IFERROR(VLOOKUP(Tabela1[[#This Row],[MÊS]]&amp;Tabela1[[#This Row],[MATRICULA]]&amp;"1"&amp;Tabela1[[#This Row],[SETOR]]&amp;"PADRÃO",BD!B:AF,31,0),"")</f>
        <v>6.5875000000000004</v>
      </c>
      <c r="AB155" s="21">
        <f>IFERROR(VLOOKUP(Tabela1[[#This Row],[MÊS]]&amp;Tabela1[[#This Row],[MATRICULA]]&amp;"2"&amp;Tabela1[[#This Row],[SETOR]]&amp;"PADRÃO",BD!B:AF,31,0),"")</f>
        <v>7.9</v>
      </c>
      <c r="AC155" s="21" t="str">
        <f>IFERROR(VLOOKUP(Tabela1[[#This Row],[MÊS]]&amp;Tabela1[[#This Row],[MATRICULA]]&amp;"3"&amp;Tabela1[[#This Row],[SETOR]]&amp;"PADRÃO",BD!B:AF,31,0),"")</f>
        <v/>
      </c>
      <c r="AD155" s="21" t="str">
        <f>IFERROR(VLOOKUP(Tabela1[[#This Row],[MÊS]]&amp;Tabela1[[#This Row],[MATRICULA]]&amp;"4"&amp;Tabela1[[#This Row],[SETOR]]&amp;"PADRÃO",BD!B:AF,25,0),"")</f>
        <v/>
      </c>
      <c r="AE155" s="21" t="str">
        <f>IFERROR(VLOOKUP(Tabela1[[#This Row],[MÊS]]&amp;Tabela1[[#This Row],[MATRICULA]]&amp;"5"&amp;Tabela1[[#This Row],[SETOR]]&amp;"PADRÃO",BD!B:AF,31,0),"")</f>
        <v/>
      </c>
      <c r="AF155" s="21" t="str">
        <f>IFERROR(VLOOKUP(Tabela1[[#This Row],[MÊS]]&amp;Tabela1[[#This Row],[MATRICULA]]&amp;"6"&amp;Tabela1[[#This Row],[SETOR]]&amp;"PADRÃO",BD!B:AF,31,0),"")</f>
        <v/>
      </c>
      <c r="AG155" s="21" t="str">
        <f>IFERROR(VLOOKUP(Tabela1[[#This Row],[MÊS]]&amp;Tabela1[[#This Row],[MATRICULA]]&amp;"7"&amp;Tabela1[[#This Row],[SETOR]]&amp;"PADRÃO",BD!B:AF,31,0),"")</f>
        <v/>
      </c>
      <c r="AH155" s="21" t="str">
        <f>IFERROR(VLOOKUP(Tabela1[[#This Row],[MÊS]]&amp;Tabela1[[#This Row],[ID]]&amp;Tabela1[[#This Row],[MATRICULA]]&amp;"Receptiva"&amp;Tabela1[[#This Row],[SETOR]],BD!A:AF,31,0),"")</f>
        <v/>
      </c>
      <c r="AI155" s="21" t="str">
        <f>IFERROR(VLOOKUP(Tabela1[[#This Row],[MÊS]]&amp;Tabela1[[#This Row],[ID]]&amp;Tabela1[[#This Row],[MATRICULA]]&amp;"Receptiva 2"&amp;Tabela1[[#This Row],[SETOR]],BD!A:AF,31,0),"")</f>
        <v/>
      </c>
      <c r="AJ155" s="21" t="str">
        <f>IFERROR(VLOOKUP(Tabela1[[#This Row],[MÊS]]&amp;Tabela1[[#This Row],[ID]]&amp;Tabela1[[#This Row],[MATRICULA]]&amp;"Receptiva 3"&amp;Tabela1[[#This Row],[SETOR]],BD!A:AF,31,0),"")</f>
        <v/>
      </c>
      <c r="AK155" s="21" t="str">
        <f>IFERROR(VLOOKUP(Tabela1[[#This Row],[MÊS]]&amp;Tabela1[[#This Row],[ID]]&amp;Tabela1[[#This Row],[MATRICULA]]&amp;"Receptiva 4"&amp;Tabela1[[#This Row],[SETOR]],BD!A:AF,31,0),"")</f>
        <v/>
      </c>
      <c r="AL155" s="21">
        <f>IFERROR(VLOOKUP(Tabela1[[#This Row],[MÊS]]&amp;Tabela1[[#This Row],[MATRICULA]]&amp;"Motorista"&amp;Tabela1[[#This Row],[SETOR]],BD!A:AF,31,0),"")</f>
        <v>0</v>
      </c>
      <c r="AM155" s="21" t="str">
        <f>IFERROR(VLOOKUP(Tabela1[[#This Row],[MÊS]]&amp;Tabela1[[#This Row],[ID]]&amp;Tabela1[[#This Row],[MATRICULA]]&amp;"Motorista 2"&amp;Tabela1[[#This Row],[SETOR]],BD!A:AF,26,0),"")</f>
        <v/>
      </c>
      <c r="AN155" s="21" t="str">
        <f>IFERROR(VLOOKUP(Tabela1[[#This Row],[MÊS]]&amp;Tabela1[[#This Row],[ID]]&amp;Tabela1[[#This Row],[MATRICULA]]&amp;"Motorista 3"&amp;Tabela1[[#This Row],[SETOR]],BD!A:AF,26,0),"")</f>
        <v/>
      </c>
      <c r="AO155" s="21" t="str">
        <f>IFERROR(VLOOKUP(Tabela1[[#This Row],[MÊS]]&amp;Tabela1[[#This Row],[ID]]&amp;Tabela1[[#This Row],[MATRICULA]]&amp;"Motorista 4"&amp;Tabela1[[#This Row],[SETOR]],BD!A:AF,26,0),"")</f>
        <v/>
      </c>
      <c r="AP155" s="21" t="str">
        <f>IFERROR(VLOOKUP(Tabela1[[#This Row],[MÊS]]&amp;Tabela1[[#This Row],[MATRICULA]]&amp;"Ponto de Apoio"&amp;Tabela1[[#This Row],[SETOR]],BD!A:AF,31,0),"")</f>
        <v/>
      </c>
      <c r="AQ155" s="21" t="str">
        <f>IFERROR(VLOOKUP(Tabela1[[#This Row],[MÊS]]&amp;Tabela1[[#This Row],[ID]]&amp;Tabela1[[#This Row],[MATRICULA]]&amp;"Ponto de Apoio 2"&amp;Tabela1[[#This Row],[SETOR]],BD!A:AF,26,0),"")</f>
        <v/>
      </c>
      <c r="AR155" s="36" t="str">
        <f>IFERROR(VLOOKUP(Tabela1[[#This Row],[MÊS]]&amp;Tabela1[[#This Row],[ID]]&amp;Tabela1[[#This Row],[MATRICULA]]&amp;"Ponto de Apoio 3"&amp;Tabela1[[#This Row],[SETOR]],BD!A:AF,26,0),"")</f>
        <v/>
      </c>
      <c r="AS155" s="36" t="str">
        <f>IFERROR(VLOOKUP(Tabela1[[#This Row],[MÊS]]&amp;Tabela1[[#This Row],[ID]]&amp;Tabela1[[#This Row],[MATRICULA]]&amp;"Ponto de Apoio 4"&amp;Tabela1[[#This Row],[SETOR]],BD!A:AF,26,0),"")</f>
        <v/>
      </c>
      <c r="AT155" s="21" t="str">
        <f>IFERROR(VLOOKUP(Tabela1[[#This Row],[MÊS]]&amp;Tabela1[[#This Row],[MATRICULA]]&amp;"Cliente"&amp;Tabela1[[#This Row],[SETOR]],BD!A:AF,31,0),"")</f>
        <v/>
      </c>
      <c r="AU155" s="21" t="str">
        <f>IFERROR(VLOOKUP(Tabela1[[#This Row],[MÊS]]&amp;Tabela1[[#This Row],[ID]]&amp;Tabela1[[#This Row],[MATRICULA]]&amp;"Cliente 2"&amp;Tabela1[[#This Row],[SETOR]],BD!A:AF,26,0),"")</f>
        <v/>
      </c>
      <c r="AX155" s="21" t="str">
        <f>IFERROR(VLOOKUP(Tabela1[[#This Row],[MÊS]]&amp;Tabela1[[#This Row],[MATRICULA]]&amp;"Policia"&amp;Tabela1[[#This Row],[SETOR]],BD!A:AF,31,0),"")</f>
        <v/>
      </c>
      <c r="AY155" s="21" t="str">
        <f>IFERROR(VLOOKUP(Tabela1[[#This Row],[MÊS]]&amp;Tabela1[[#This Row],[ID]]&amp;Tabela1[[#This Row],[MATRICULA]]&amp;"Policia 2"&amp;Tabela1[[#This Row],[SETOR]],BD!A:AF,26,0),"")</f>
        <v/>
      </c>
      <c r="AZ155" s="36" t="str">
        <f>IFERROR(VLOOKUP(Tabela1[[#This Row],[MÊS]]&amp;Tabela1[[#This Row],[ID]]&amp;Tabela1[[#This Row],[MATRICULA]]&amp;"Policia 3"&amp;Tabela1[[#This Row],[SETOR]],BD!A:AF,26,0),"")</f>
        <v/>
      </c>
      <c r="BA155" s="36" t="str">
        <f>IFERROR(VLOOKUP(Tabela1[[#This Row],[MÊS]]&amp;Tabela1[[#This Row],[ID]]&amp;Tabela1[[#This Row],[MATRICULA]]&amp;"Policia 4"&amp;Tabela1[[#This Row],[SETOR]],BD!A:AF,26,0),"")</f>
        <v/>
      </c>
      <c r="BB15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5" s="21">
        <f>IFERROR(AVERAGE(Tabela1[[#This Row],[M]:[M4]]),"")</f>
        <v>0</v>
      </c>
      <c r="BD155" s="21" t="str">
        <f>IFERROR(AVERAGE(Tabela1[[#This Row],[C]:[C4]]),"")</f>
        <v/>
      </c>
      <c r="BE155" s="21" t="str">
        <f>IFERROR(AVERAGE(Tabela1[[#This Row],[PA2]:[PA 4]]),"")</f>
        <v/>
      </c>
      <c r="BF155" s="21" t="str">
        <f>IFERROR(AVERAGE(Tabela1[[#This Row],[PL]:[PL4]]),"")</f>
        <v/>
      </c>
      <c r="BG155" s="35" t="str">
        <f>IFERROR(VLOOKUP(Tabela1[[#This Row],[MÊS]]&amp;Tabela1[[#This Row],[MATRICULA]],#REF!,2,0),"")</f>
        <v/>
      </c>
      <c r="BH155" s="35" t="str">
        <f>IFERROR(VLOOKUP(Tabela1[[#This Row],[MÊS]]&amp;Tabela1[[#This Row],[MATRICULA]],#REF!,2,0),"")</f>
        <v/>
      </c>
      <c r="BI155" s="35" t="str">
        <f>IFERROR(VLOOKUP(Tabela1[[#This Row],[MÊS]]&amp;Tabela1[[#This Row],[MATRICULA]],#REF!,2,0),"")</f>
        <v/>
      </c>
      <c r="BJ155" s="35" t="str">
        <f>IFERROR(VLOOKUP(Tabela1[[#This Row],[MÊS]]&amp;Tabela1[[#This Row],[MATRICULA]],#REF!,2,0),"")</f>
        <v/>
      </c>
      <c r="BK155" s="35" t="str">
        <f>IFERROR(VLOOKUP(Tabela1[[#This Row],[MÊS]]&amp;Tabela1[[#This Row],[MATRICULA]],#REF!,2,0),"")</f>
        <v/>
      </c>
      <c r="BL155" s="21">
        <f>COUNTIF(Tabela1[[#This Row],[MOT2]:[RECEPTIVA]],"NÃO ENCONTRADA")</f>
        <v>0</v>
      </c>
      <c r="BM155" s="135" t="str">
        <f>IFERROR(VLOOKUP(Tabela1[[#This Row],[MÊS]]&amp;Tabela1[[#This Row],[ID]]&amp;Tabela1[[#This Row],[MATRICULA]]&amp;"Motorista"&amp;Tabela1[[#This Row],[SETOR]],BD!A:AF,13,0),"")</f>
        <v/>
      </c>
      <c r="BN155" s="135" t="str">
        <f>IFERROR(VLOOKUP(Tabela1[[#This Row],[MÊS]]&amp;Tabela1[[#This Row],[ID]]&amp;Tabela1[[#This Row],[MATRICULA]]&amp;"Motorista 2"&amp;Tabela1[[#This Row],[SETOR]],BD!A:AF,13,0),"")</f>
        <v/>
      </c>
      <c r="BO155" s="135" t="str">
        <f>IFERROR(VLOOKUP(Tabela1[[#This Row],[MÊS]]&amp;Tabela1[[#This Row],[ID]]&amp;Tabela1[[#This Row],[MATRICULA]]&amp;"Motorista 3"&amp;Tabela1[[#This Row],[SETOR]],BD!A:AF,13,0),"")</f>
        <v/>
      </c>
      <c r="BP155" s="135" t="str">
        <f>IFERROR(VLOOKUP(Tabela1[[#This Row],[MÊS]]&amp;Tabela1[[#This Row],[ID]]&amp;Tabela1[[#This Row],[MATRICULA]]&amp;"Motorista 4"&amp;Tabela1[[#This Row],[SETOR]],BD!A:AF,13,0),"")</f>
        <v/>
      </c>
      <c r="BQ155" s="135" t="str">
        <f>IFERROR(AVERAGE(Tabela1[[#This Row],[DMOT]:[DMOT4]]),"")</f>
        <v/>
      </c>
      <c r="BR155" s="135" t="str">
        <f>IFERROR(VLOOKUP(Tabela1[[#This Row],[MÊS]]&amp;Tabela1[[#This Row],[ID]]&amp;Tabela1[[#This Row],[MATRICULA]]&amp;"Ponto de Apoio"&amp;Tabela1[[#This Row],[SETOR]],BD!A:AF,13,0),"")</f>
        <v/>
      </c>
      <c r="BS155" s="135" t="str">
        <f>IFERROR(VLOOKUP(Tabela1[[#This Row],[MÊS]]&amp;Tabela1[[#This Row],[ID]]&amp;Tabela1[[#This Row],[MATRICULA]]&amp;"Ponto de Apoio 2"&amp;Tabela1[[#This Row],[SETOR]],BD!A:AF,13,0),"")</f>
        <v/>
      </c>
      <c r="BT155" s="135" t="str">
        <f>IFERROR(VLOOKUP(Tabela1[[#This Row],[MÊS]]&amp;Tabela1[[#This Row],[ID]]&amp;Tabela1[[#This Row],[MATRICULA]]&amp;"Ponto de Apoio 3"&amp;Tabela1[[#This Row],[SETOR]],BD!A:AF,13,0),"")</f>
        <v/>
      </c>
      <c r="BU155" s="135" t="str">
        <f>IFERROR(VLOOKUP(Tabela1[[#This Row],[MÊS]]&amp;Tabela1[[#This Row],[ID]]&amp;Tabela1[[#This Row],[MATRICULA]]&amp;"Ponto de Apoio 4"&amp;Tabela1[[#This Row],[SETOR]],BD!A:AF,13,0),"")</f>
        <v/>
      </c>
      <c r="BV155" s="135" t="str">
        <f>IFERROR(AVERAGE(Tabela1[[#This Row],[DPA]:[DPA 4]]),"")</f>
        <v/>
      </c>
      <c r="BW155" s="135" t="str">
        <f>IFERROR(VLOOKUP(Tabela1[[#This Row],[MÊS]]&amp;Tabela1[[#This Row],[ID]]&amp;Tabela1[[#This Row],[MATRICULA]]&amp;"Cliente"&amp;Tabela1[[#This Row],[SETOR]],BD!A:AF,13,0),"")</f>
        <v/>
      </c>
      <c r="BX155" s="135" t="str">
        <f>IFERROR(VLOOKUP(Tabela1[[#This Row],[MÊS]]&amp;Tabela1[[#This Row],[ID]]&amp;Tabela1[[#This Row],[MATRICULA]]&amp;"cliente 2"&amp;Tabela1[[#This Row],[SETOR]],BD!A:AF,13,0),"")</f>
        <v/>
      </c>
      <c r="BY155" s="135" t="str">
        <f>IFERROR(VLOOKUP(Tabela1[[#This Row],[MÊS]]&amp;Tabela1[[#This Row],[ID]]&amp;Tabela1[[#This Row],[MATRICULA]]&amp;"cliente 3"&amp;Tabela1[[#This Row],[SETOR]],BD!A:AF,13,0),"")</f>
        <v/>
      </c>
      <c r="BZ155" s="135" t="str">
        <f>IFERROR(VLOOKUP(Tabela1[[#This Row],[MÊS]]&amp;Tabela1[[#This Row],[ID]]&amp;Tabela1[[#This Row],[MATRICULA]]&amp;"cliente 4"&amp;Tabela1[[#This Row],[SETOR]],BD!A:AF,13,0),"")</f>
        <v/>
      </c>
      <c r="CA155" s="135" t="str">
        <f>IFERROR(AVERAGE(Tabela1[[#This Row],[DCLI]:[DCLI 4]]),"")</f>
        <v/>
      </c>
      <c r="CB155" s="135" t="str">
        <f>IFERROR(VLOOKUP(Tabela1[[#This Row],[MÊS]]&amp;Tabela1[[#This Row],[ID]]&amp;Tabela1[[#This Row],[MATRICULA]]&amp;"Policia"&amp;Tabela1[[#This Row],[SETOR]],BD!A:AF,13,0),"")</f>
        <v/>
      </c>
      <c r="CC155" s="135" t="str">
        <f>IFERROR(VLOOKUP(Tabela1[[#This Row],[MÊS]]&amp;Tabela1[[#This Row],[ID]]&amp;Tabela1[[#This Row],[MATRICULA]]&amp;"Policia 2"&amp;Tabela1[[#This Row],[SETOR]],BD!A:AF,13,0),"")</f>
        <v/>
      </c>
      <c r="CD155" s="135"/>
      <c r="CE155" s="135"/>
      <c r="CF155" s="135" t="str">
        <f>IFERROR((AVERAGE(Tabela1[[#This Row],[DPOL1]:[DPOL4]])),"")</f>
        <v/>
      </c>
      <c r="CG155" s="21" t="str">
        <f>IFERROR(VLOOKUP(Tabela1[[#This Row],[ID]]&amp;Tabela1[[#This Row],[MÊS]]&amp;Tabela1[[#This Row],[MATRICULA]],#REF!,2,0),"")</f>
        <v/>
      </c>
      <c r="CH155" s="21" t="str">
        <f>IFERROR(VLOOKUP(Tabela1[[#This Row],[ID]]&amp;Tabela1[[#This Row],[MÊS]]&amp;Tabela1[[#This Row],[MATRICULA]],#REF!,2,0),"")</f>
        <v/>
      </c>
      <c r="CI155" s="21" t="str">
        <f>IFERROR(VLOOKUP(Tabela1[[#This Row],[MÊS]]&amp;Tabela1[[#This Row],[MATRICULA]],#REF!,2,0),"")</f>
        <v/>
      </c>
    </row>
    <row r="156" spans="1:87">
      <c r="A156" s="12" t="str">
        <f>Tabela1[[#This Row],[MÊS]]&amp;Tabela1[[#This Row],[MATRICULA]]&amp;Tabela1[[#This Row],[ID]]</f>
        <v>JAN113011</v>
      </c>
      <c r="B156" s="12" t="str">
        <f>Tabela1[[#This Row],[MÊS]]&amp;Tabela1[[#This Row],[ID]]&amp;Tabela1[[#This Row],[MATRICULA]]&amp;Tabela1[[#This Row],[SETOR]]</f>
        <v>JAN111301LOGÍSTICA</v>
      </c>
      <c r="C156" s="130" t="e">
        <f>VLOOKUP(Tabela1[[#This Row],[MATRICULA]],'BD Campos'!A:D,5,0)</f>
        <v>#REF!</v>
      </c>
      <c r="D156" s="133" t="str">
        <f ca="1">IFERROR(SUM(TODAY()-Tabela1[[#This Row],[ADMISSÃO]]),"")</f>
        <v/>
      </c>
      <c r="E156" s="11" t="str">
        <f ca="1">IFERROR(TRUNC(Tabela1[[#This Row],[TEMPO DE CASA (DIAS)]]/30),"")</f>
        <v/>
      </c>
      <c r="F156" s="32" t="str">
        <f ca="1">IFERROR(SUM(Tabela1[[#This Row],[TEMPO DE CASA (MESES)]]/12),"")</f>
        <v/>
      </c>
      <c r="G156" s="133" t="str">
        <f ca="1">IF(Tabela1[[#This Row],[TEMPO DE CASA (DIAS)]]="","SEM DADOS",IF(Tabela1[[#This Row],[TEMPO DE CASA (DIAS)]]&gt;180,"&gt; 6 MESES","&lt; 6 MESES"))</f>
        <v>SEM DADOS</v>
      </c>
      <c r="H156" s="12" t="str">
        <f t="shared" ref="H156:H158" si="14">K156&amp;S156&amp;J156</f>
        <v>JANKayque Lima1</v>
      </c>
      <c r="I156" s="12" t="str">
        <f>IFERROR(VLOOKUP(Tabela1[[#This Row],[MATRICULA]],'BD Campos'!A:F,7,0),"")</f>
        <v/>
      </c>
      <c r="J156" s="11">
        <v>1</v>
      </c>
      <c r="K156" s="11" t="s">
        <v>669</v>
      </c>
      <c r="L156" s="136">
        <v>11301</v>
      </c>
      <c r="M156" s="12" t="str">
        <f>IFERROR(VLOOKUP(Tabela1[[#This Row],[MATRICULA]],'BD Campos'!A:B,2,0),"")</f>
        <v>FILIPE JOAO VIEIRA</v>
      </c>
      <c r="N156" s="20" t="str">
        <f>IFERROR(AVERAGE(Tabela1[[#This Row],[A1]:[A4]]),"")</f>
        <v/>
      </c>
      <c r="O156" s="20">
        <f>IFERROR(IF(Tabela1[[#This Row],[SETOR]]="RECEPTIVO","",AVERAGE(Tabela1[[#This Row],[A5]:[A6]])),"")</f>
        <v>6.85</v>
      </c>
      <c r="P156" s="20" t="str">
        <f>IFERROR(IF(Tabela1[[#This Row],[STATUS]]="INATIVO","INATIVO",IF(Tabela1[[#This Row],[STATUS]]="QRT","INATIVO",IF(Tabela1[[#This Row],[OPERACIONAL]]&gt;7.99999,"BOM","RUIM"))),"")</f>
        <v>BOM</v>
      </c>
      <c r="Q156" s="21" t="s">
        <v>667</v>
      </c>
      <c r="R156" s="12" t="s">
        <v>706</v>
      </c>
      <c r="S156" s="12" t="s">
        <v>707</v>
      </c>
      <c r="T156" s="12" t="s">
        <v>315</v>
      </c>
      <c r="U15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6" s="12">
        <f>IF(AND(Tabela1[[#This Row],[SETOR]]="UTI",Tabela1[[#This Row],[M]]&lt;&gt;""),1,IF(AND(Tabela1[[#This Row],[SETOR]]="UTI (RJ)",Tabela1[[#This Row],[M]]&lt;&gt;""),1.5,0))</f>
        <v>0</v>
      </c>
      <c r="X156" s="12">
        <f>IF(AND(Tabela1[[#This Row],[SETOR]]="UTI",Tabela1[[#This Row],[PA2]]&lt;&gt;""),1,IF(AND(Tabela1[[#This Row],[SETOR]]="UTI (RJ)",Tabela1[[#This Row],[PA2]]&lt;&gt;""),0,0))</f>
        <v>0</v>
      </c>
      <c r="Y156" s="12">
        <f>IF(AND(Tabela1[[#This Row],[SETOR]]="UTI",Tabela1[[#This Row],[C]]&lt;&gt;""),1,IF(AND(Tabela1[[#This Row],[SETOR]]="UTI (RJ)",Tabela1[[#This Row],[C]]&lt;&gt;""),1.5,0))</f>
        <v>0</v>
      </c>
      <c r="Z156" s="12">
        <f>IF(AND(Tabela1[[#This Row],[SETOR]]="UTI",Tabela1[[#This Row],[PL]]&lt;&gt;""),1,IF(AND(Tabela1[[#This Row],[SETOR]]="UTI (RJ)",Tabela1[[#This Row],[PL]]&lt;&gt;""),1,0))</f>
        <v>0</v>
      </c>
      <c r="AA156" s="21" t="str">
        <f>IFERROR(VLOOKUP(Tabela1[[#This Row],[MÊS]]&amp;Tabela1[[#This Row],[MATRICULA]]&amp;"1"&amp;Tabela1[[#This Row],[SETOR]]&amp;"PADRÃO",BD!B:AF,31,0),"")</f>
        <v/>
      </c>
      <c r="AB156" s="21" t="str">
        <f>IFERROR(VLOOKUP(Tabela1[[#This Row],[MÊS]]&amp;Tabela1[[#This Row],[MATRICULA]]&amp;"2"&amp;Tabela1[[#This Row],[SETOR]]&amp;"PADRÃO",BD!B:AF,31,0),"")</f>
        <v/>
      </c>
      <c r="AC156" s="21" t="str">
        <f>IFERROR(VLOOKUP(Tabela1[[#This Row],[MÊS]]&amp;Tabela1[[#This Row],[MATRICULA]]&amp;"3"&amp;Tabela1[[#This Row],[SETOR]]&amp;"PADRÃO",BD!B:AF,31,0),"")</f>
        <v/>
      </c>
      <c r="AD156" s="21" t="str">
        <f>IFERROR(VLOOKUP(Tabela1[[#This Row],[MÊS]]&amp;Tabela1[[#This Row],[MATRICULA]]&amp;"4"&amp;Tabela1[[#This Row],[SETOR]]&amp;"PADRÃO",BD!B:AF,25,0),"")</f>
        <v/>
      </c>
      <c r="AE156" s="21">
        <f>IFERROR(VLOOKUP(Tabela1[[#This Row],[MÊS]]&amp;Tabela1[[#This Row],[MATRICULA]]&amp;"5"&amp;Tabela1[[#This Row],[SETOR]]&amp;"PADRÃO",BD!B:AF,31,0),"")</f>
        <v>6.3774999999999986</v>
      </c>
      <c r="AF156" s="21">
        <f>IFERROR(VLOOKUP(Tabela1[[#This Row],[MÊS]]&amp;Tabela1[[#This Row],[MATRICULA]]&amp;"6"&amp;Tabela1[[#This Row],[SETOR]]&amp;"PADRÃO",BD!B:AF,31,0),"")</f>
        <v>7.3224999999999998</v>
      </c>
      <c r="AG156" s="21" t="str">
        <f>IFERROR(VLOOKUP(Tabela1[[#This Row],[MÊS]]&amp;Tabela1[[#This Row],[MATRICULA]]&amp;"7"&amp;Tabela1[[#This Row],[SETOR]]&amp;"PADRÃO",BD!B:AF,31,0),"")</f>
        <v/>
      </c>
      <c r="AH156" s="21" t="str">
        <f>IFERROR(VLOOKUP(Tabela1[[#This Row],[MÊS]]&amp;Tabela1[[#This Row],[ID]]&amp;Tabela1[[#This Row],[MATRICULA]]&amp;"Receptiva"&amp;Tabela1[[#This Row],[SETOR]],BD!A:AF,31,0),"")</f>
        <v/>
      </c>
      <c r="AI156" s="21" t="str">
        <f>IFERROR(VLOOKUP(Tabela1[[#This Row],[MÊS]]&amp;Tabela1[[#This Row],[ID]]&amp;Tabela1[[#This Row],[MATRICULA]]&amp;"Receptiva 2"&amp;Tabela1[[#This Row],[SETOR]],BD!A:AF,31,0),"")</f>
        <v/>
      </c>
      <c r="AJ156" s="21" t="str">
        <f>IFERROR(VLOOKUP(Tabela1[[#This Row],[MÊS]]&amp;Tabela1[[#This Row],[ID]]&amp;Tabela1[[#This Row],[MATRICULA]]&amp;"Receptiva 3"&amp;Tabela1[[#This Row],[SETOR]],BD!A:AF,31,0),"")</f>
        <v/>
      </c>
      <c r="AK156" s="21" t="str">
        <f>IFERROR(VLOOKUP(Tabela1[[#This Row],[MÊS]]&amp;Tabela1[[#This Row],[ID]]&amp;Tabela1[[#This Row],[MATRICULA]]&amp;"Receptiva 4"&amp;Tabela1[[#This Row],[SETOR]],BD!A:AF,31,0),"")</f>
        <v/>
      </c>
      <c r="AL156" s="21" t="str">
        <f>IFERROR(VLOOKUP(Tabela1[[#This Row],[MÊS]]&amp;Tabela1[[#This Row],[MATRICULA]]&amp;"Motorista"&amp;Tabela1[[#This Row],[SETOR]],BD!A:AF,31,0),"")</f>
        <v/>
      </c>
      <c r="AM156" s="21" t="str">
        <f>IFERROR(VLOOKUP(Tabela1[[#This Row],[MÊS]]&amp;Tabela1[[#This Row],[ID]]&amp;Tabela1[[#This Row],[MATRICULA]]&amp;"Motorista 2"&amp;Tabela1[[#This Row],[SETOR]],BD!A:AF,26,0),"")</f>
        <v/>
      </c>
      <c r="AN156" s="21" t="str">
        <f>IFERROR(VLOOKUP(Tabela1[[#This Row],[MÊS]]&amp;Tabela1[[#This Row],[ID]]&amp;Tabela1[[#This Row],[MATRICULA]]&amp;"Motorista 3"&amp;Tabela1[[#This Row],[SETOR]],BD!A:AF,26,0),"")</f>
        <v/>
      </c>
      <c r="AO156" s="21" t="str">
        <f>IFERROR(VLOOKUP(Tabela1[[#This Row],[MÊS]]&amp;Tabela1[[#This Row],[ID]]&amp;Tabela1[[#This Row],[MATRICULA]]&amp;"Motorista 4"&amp;Tabela1[[#This Row],[SETOR]],BD!A:AF,26,0),"")</f>
        <v/>
      </c>
      <c r="AP156" s="21" t="str">
        <f>IFERROR(VLOOKUP(Tabela1[[#This Row],[MÊS]]&amp;Tabela1[[#This Row],[MATRICULA]]&amp;"Ponto de Apoio"&amp;Tabela1[[#This Row],[SETOR]],BD!A:AF,31,0),"")</f>
        <v/>
      </c>
      <c r="AQ156" s="21" t="str">
        <f>IFERROR(VLOOKUP(Tabela1[[#This Row],[MÊS]]&amp;Tabela1[[#This Row],[ID]]&amp;Tabela1[[#This Row],[MATRICULA]]&amp;"Ponto de Apoio 2"&amp;Tabela1[[#This Row],[SETOR]],BD!A:AF,26,0),"")</f>
        <v/>
      </c>
      <c r="AR156" s="36" t="str">
        <f>IFERROR(VLOOKUP(Tabela1[[#This Row],[MÊS]]&amp;Tabela1[[#This Row],[ID]]&amp;Tabela1[[#This Row],[MATRICULA]]&amp;"Ponto de Apoio 3"&amp;Tabela1[[#This Row],[SETOR]],BD!A:AF,26,0),"")</f>
        <v/>
      </c>
      <c r="AS156" s="36" t="str">
        <f>IFERROR(VLOOKUP(Tabela1[[#This Row],[MÊS]]&amp;Tabela1[[#This Row],[ID]]&amp;Tabela1[[#This Row],[MATRICULA]]&amp;"Ponto de Apoio 4"&amp;Tabela1[[#This Row],[SETOR]],BD!A:AF,26,0),"")</f>
        <v/>
      </c>
      <c r="AT156" s="21" t="str">
        <f>IFERROR(VLOOKUP(Tabela1[[#This Row],[MÊS]]&amp;Tabela1[[#This Row],[MATRICULA]]&amp;"Cliente"&amp;Tabela1[[#This Row],[SETOR]],BD!A:AF,31,0),"")</f>
        <v/>
      </c>
      <c r="AU156" s="21" t="str">
        <f>IFERROR(VLOOKUP(Tabela1[[#This Row],[MÊS]]&amp;Tabela1[[#This Row],[ID]]&amp;Tabela1[[#This Row],[MATRICULA]]&amp;"Cliente 2"&amp;Tabela1[[#This Row],[SETOR]],BD!A:AF,26,0),"")</f>
        <v/>
      </c>
      <c r="AX156" s="21" t="str">
        <f>IFERROR(VLOOKUP(Tabela1[[#This Row],[MÊS]]&amp;Tabela1[[#This Row],[MATRICULA]]&amp;"Policia"&amp;Tabela1[[#This Row],[SETOR]],BD!A:AF,31,0),"")</f>
        <v/>
      </c>
      <c r="AY156" s="21" t="str">
        <f>IFERROR(VLOOKUP(Tabela1[[#This Row],[MÊS]]&amp;Tabela1[[#This Row],[ID]]&amp;Tabela1[[#This Row],[MATRICULA]]&amp;"Policia 2"&amp;Tabela1[[#This Row],[SETOR]],BD!A:AF,26,0),"")</f>
        <v/>
      </c>
      <c r="AZ156" s="36" t="str">
        <f>IFERROR(VLOOKUP(Tabela1[[#This Row],[MÊS]]&amp;Tabela1[[#This Row],[ID]]&amp;Tabela1[[#This Row],[MATRICULA]]&amp;"Policia 3"&amp;Tabela1[[#This Row],[SETOR]],BD!A:AF,26,0),"")</f>
        <v/>
      </c>
      <c r="BA156" s="36" t="str">
        <f>IFERROR(VLOOKUP(Tabela1[[#This Row],[MÊS]]&amp;Tabela1[[#This Row],[ID]]&amp;Tabela1[[#This Row],[MATRICULA]]&amp;"Policia 4"&amp;Tabela1[[#This Row],[SETOR]],BD!A:AF,26,0),"")</f>
        <v/>
      </c>
      <c r="BB15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6" s="21" t="str">
        <f>IFERROR(AVERAGE(Tabela1[[#This Row],[M]:[M4]]),"")</f>
        <v/>
      </c>
      <c r="BD156" s="21" t="str">
        <f>IFERROR(AVERAGE(Tabela1[[#This Row],[C]:[C4]]),"")</f>
        <v/>
      </c>
      <c r="BE156" s="21" t="str">
        <f>IFERROR(AVERAGE(Tabela1[[#This Row],[PA2]:[PA 4]]),"")</f>
        <v/>
      </c>
      <c r="BF156" s="21" t="str">
        <f>IFERROR(AVERAGE(Tabela1[[#This Row],[PL]:[PL4]]),"")</f>
        <v/>
      </c>
      <c r="BG156" s="35" t="str">
        <f>IFERROR(VLOOKUP(Tabela1[[#This Row],[MÊS]]&amp;Tabela1[[#This Row],[MATRICULA]],#REF!,2,0),"")</f>
        <v/>
      </c>
      <c r="BH156" s="35" t="str">
        <f>IFERROR(VLOOKUP(Tabela1[[#This Row],[MÊS]]&amp;Tabela1[[#This Row],[MATRICULA]],#REF!,2,0),"")</f>
        <v/>
      </c>
      <c r="BI156" s="35" t="str">
        <f>IFERROR(VLOOKUP(Tabela1[[#This Row],[MÊS]]&amp;Tabela1[[#This Row],[MATRICULA]],#REF!,2,0),"")</f>
        <v/>
      </c>
      <c r="BJ156" s="35" t="str">
        <f>IFERROR(VLOOKUP(Tabela1[[#This Row],[MÊS]]&amp;Tabela1[[#This Row],[MATRICULA]],#REF!,2,0),"")</f>
        <v/>
      </c>
      <c r="BK156" s="35" t="str">
        <f>IFERROR(VLOOKUP(Tabela1[[#This Row],[MÊS]]&amp;Tabela1[[#This Row],[MATRICULA]],#REF!,2,0),"")</f>
        <v/>
      </c>
      <c r="BL156" s="21">
        <f>COUNTIF(Tabela1[[#This Row],[MOT2]:[RECEPTIVA]],"NÃO ENCONTRADA")</f>
        <v>0</v>
      </c>
      <c r="BM156" s="135" t="str">
        <f>IFERROR(VLOOKUP(Tabela1[[#This Row],[MÊS]]&amp;Tabela1[[#This Row],[ID]]&amp;Tabela1[[#This Row],[MATRICULA]]&amp;"Motorista"&amp;Tabela1[[#This Row],[SETOR]],BD!A:AF,13,0),"")</f>
        <v/>
      </c>
      <c r="BN156" s="135" t="str">
        <f>IFERROR(VLOOKUP(Tabela1[[#This Row],[MÊS]]&amp;Tabela1[[#This Row],[ID]]&amp;Tabela1[[#This Row],[MATRICULA]]&amp;"Motorista 2"&amp;Tabela1[[#This Row],[SETOR]],BD!A:AF,13,0),"")</f>
        <v/>
      </c>
      <c r="BO156" s="135" t="str">
        <f>IFERROR(VLOOKUP(Tabela1[[#This Row],[MÊS]]&amp;Tabela1[[#This Row],[ID]]&amp;Tabela1[[#This Row],[MATRICULA]]&amp;"Motorista 3"&amp;Tabela1[[#This Row],[SETOR]],BD!A:AF,13,0),"")</f>
        <v/>
      </c>
      <c r="BP156" s="135" t="str">
        <f>IFERROR(VLOOKUP(Tabela1[[#This Row],[MÊS]]&amp;Tabela1[[#This Row],[ID]]&amp;Tabela1[[#This Row],[MATRICULA]]&amp;"Motorista 4"&amp;Tabela1[[#This Row],[SETOR]],BD!A:AF,13,0),"")</f>
        <v/>
      </c>
      <c r="BQ156" s="135" t="str">
        <f>IFERROR(AVERAGE(Tabela1[[#This Row],[DMOT]:[DMOT4]]),"")</f>
        <v/>
      </c>
      <c r="BR156" s="135" t="str">
        <f>IFERROR(VLOOKUP(Tabela1[[#This Row],[MÊS]]&amp;Tabela1[[#This Row],[ID]]&amp;Tabela1[[#This Row],[MATRICULA]]&amp;"Ponto de Apoio"&amp;Tabela1[[#This Row],[SETOR]],BD!A:AF,13,0),"")</f>
        <v/>
      </c>
      <c r="BS156" s="135" t="str">
        <f>IFERROR(VLOOKUP(Tabela1[[#This Row],[MÊS]]&amp;Tabela1[[#This Row],[ID]]&amp;Tabela1[[#This Row],[MATRICULA]]&amp;"Ponto de Apoio 2"&amp;Tabela1[[#This Row],[SETOR]],BD!A:AF,13,0),"")</f>
        <v/>
      </c>
      <c r="BT156" s="135" t="str">
        <f>IFERROR(VLOOKUP(Tabela1[[#This Row],[MÊS]]&amp;Tabela1[[#This Row],[ID]]&amp;Tabela1[[#This Row],[MATRICULA]]&amp;"Ponto de Apoio 3"&amp;Tabela1[[#This Row],[SETOR]],BD!A:AF,13,0),"")</f>
        <v/>
      </c>
      <c r="BU156" s="135" t="str">
        <f>IFERROR(VLOOKUP(Tabela1[[#This Row],[MÊS]]&amp;Tabela1[[#This Row],[ID]]&amp;Tabela1[[#This Row],[MATRICULA]]&amp;"Ponto de Apoio 4"&amp;Tabela1[[#This Row],[SETOR]],BD!A:AF,13,0),"")</f>
        <v/>
      </c>
      <c r="BV156" s="135" t="str">
        <f>IFERROR(AVERAGE(Tabela1[[#This Row],[DPA]:[DPA 4]]),"")</f>
        <v/>
      </c>
      <c r="BW156" s="135" t="str">
        <f>IFERROR(VLOOKUP(Tabela1[[#This Row],[MÊS]]&amp;Tabela1[[#This Row],[ID]]&amp;Tabela1[[#This Row],[MATRICULA]]&amp;"Cliente"&amp;Tabela1[[#This Row],[SETOR]],BD!A:AF,13,0),"")</f>
        <v/>
      </c>
      <c r="BX156" s="135" t="str">
        <f>IFERROR(VLOOKUP(Tabela1[[#This Row],[MÊS]]&amp;Tabela1[[#This Row],[ID]]&amp;Tabela1[[#This Row],[MATRICULA]]&amp;"cliente 2"&amp;Tabela1[[#This Row],[SETOR]],BD!A:AF,13,0),"")</f>
        <v/>
      </c>
      <c r="BY156" s="135" t="str">
        <f>IFERROR(VLOOKUP(Tabela1[[#This Row],[MÊS]]&amp;Tabela1[[#This Row],[ID]]&amp;Tabela1[[#This Row],[MATRICULA]]&amp;"cliente 3"&amp;Tabela1[[#This Row],[SETOR]],BD!A:AF,13,0),"")</f>
        <v/>
      </c>
      <c r="BZ156" s="135" t="str">
        <f>IFERROR(VLOOKUP(Tabela1[[#This Row],[MÊS]]&amp;Tabela1[[#This Row],[ID]]&amp;Tabela1[[#This Row],[MATRICULA]]&amp;"cliente 4"&amp;Tabela1[[#This Row],[SETOR]],BD!A:AF,13,0),"")</f>
        <v/>
      </c>
      <c r="CA156" s="135" t="str">
        <f>IFERROR(AVERAGE(Tabela1[[#This Row],[DCLI]:[DCLI 4]]),"")</f>
        <v/>
      </c>
      <c r="CB156" s="135" t="str">
        <f>IFERROR(VLOOKUP(Tabela1[[#This Row],[MÊS]]&amp;Tabela1[[#This Row],[ID]]&amp;Tabela1[[#This Row],[MATRICULA]]&amp;"Policia"&amp;Tabela1[[#This Row],[SETOR]],BD!A:AF,13,0),"")</f>
        <v/>
      </c>
      <c r="CC156" s="135" t="str">
        <f>IFERROR(VLOOKUP(Tabela1[[#This Row],[MÊS]]&amp;Tabela1[[#This Row],[ID]]&amp;Tabela1[[#This Row],[MATRICULA]]&amp;"Policia 2"&amp;Tabela1[[#This Row],[SETOR]],BD!A:AF,13,0),"")</f>
        <v/>
      </c>
      <c r="CD156" s="135"/>
      <c r="CE156" s="135"/>
      <c r="CF156" s="135" t="str">
        <f>IFERROR((AVERAGE(Tabela1[[#This Row],[DPOL1]:[DPOL4]])),"")</f>
        <v/>
      </c>
      <c r="CG156" s="21" t="str">
        <f>IFERROR(VLOOKUP(Tabela1[[#This Row],[ID]]&amp;Tabela1[[#This Row],[MÊS]]&amp;Tabela1[[#This Row],[MATRICULA]],#REF!,2,0),"")</f>
        <v/>
      </c>
      <c r="CH156" s="21" t="str">
        <f>IFERROR(VLOOKUP(Tabela1[[#This Row],[ID]]&amp;Tabela1[[#This Row],[MÊS]]&amp;Tabela1[[#This Row],[MATRICULA]],#REF!,2,0),"")</f>
        <v/>
      </c>
      <c r="CI156" s="21" t="str">
        <f>IFERROR(VLOOKUP(Tabela1[[#This Row],[MÊS]]&amp;Tabela1[[#This Row],[MATRICULA]],#REF!,2,0),"")</f>
        <v/>
      </c>
    </row>
    <row r="157" spans="1:87">
      <c r="A157" s="12" t="str">
        <f>Tabela1[[#This Row],[MÊS]]&amp;Tabela1[[#This Row],[MATRICULA]]&amp;Tabela1[[#This Row],[ID]]</f>
        <v>JAN113022</v>
      </c>
      <c r="B157" s="12" t="str">
        <f>Tabela1[[#This Row],[MÊS]]&amp;Tabela1[[#This Row],[ID]]&amp;Tabela1[[#This Row],[MATRICULA]]&amp;Tabela1[[#This Row],[SETOR]]</f>
        <v>JAN211302LOGÍSTICA</v>
      </c>
      <c r="C157" s="130" t="e">
        <f>VLOOKUP(Tabela1[[#This Row],[MATRICULA]],'BD Campos'!A:D,5,0)</f>
        <v>#REF!</v>
      </c>
      <c r="D157" s="133" t="str">
        <f ca="1">IFERROR(SUM(TODAY()-Tabela1[[#This Row],[ADMISSÃO]]),"")</f>
        <v/>
      </c>
      <c r="E157" s="11" t="str">
        <f ca="1">IFERROR(TRUNC(Tabela1[[#This Row],[TEMPO DE CASA (DIAS)]]/30),"")</f>
        <v/>
      </c>
      <c r="F157" s="32" t="str">
        <f ca="1">IFERROR(SUM(Tabela1[[#This Row],[TEMPO DE CASA (MESES)]]/12),"")</f>
        <v/>
      </c>
      <c r="G157" s="133" t="str">
        <f ca="1">IF(Tabela1[[#This Row],[TEMPO DE CASA (DIAS)]]="","SEM DADOS",IF(Tabela1[[#This Row],[TEMPO DE CASA (DIAS)]]&gt;180,"&gt; 6 MESES","&lt; 6 MESES"))</f>
        <v>SEM DADOS</v>
      </c>
      <c r="H157" s="12" t="str">
        <f t="shared" si="14"/>
        <v>JANKayque Lima2</v>
      </c>
      <c r="I157" s="12" t="str">
        <f>IFERROR(VLOOKUP(Tabela1[[#This Row],[MATRICULA]],'BD Campos'!A:F,7,0),"")</f>
        <v/>
      </c>
      <c r="J157" s="11">
        <v>2</v>
      </c>
      <c r="K157" s="11" t="s">
        <v>669</v>
      </c>
      <c r="L157" s="136">
        <v>11302</v>
      </c>
      <c r="M157" s="12" t="str">
        <f>IFERROR(VLOOKUP(Tabela1[[#This Row],[MATRICULA]],'BD Campos'!A:B,2,0),"")</f>
        <v>KAMILLEN PALOMA DE GÓES</v>
      </c>
      <c r="N157" s="20" t="str">
        <f>IFERROR(AVERAGE(Tabela1[[#This Row],[A1]:[A4]]),"")</f>
        <v/>
      </c>
      <c r="O157" s="20">
        <f>IFERROR(IF(Tabela1[[#This Row],[SETOR]]="RECEPTIVO","",AVERAGE(Tabela1[[#This Row],[A5]:[A6]])),"")</f>
        <v>6.9812499999999993</v>
      </c>
      <c r="P157" s="20" t="str">
        <f>IFERROR(IF(Tabela1[[#This Row],[STATUS]]="INATIVO","INATIVO",IF(Tabela1[[#This Row],[STATUS]]="QRT","INATIVO",IF(Tabela1[[#This Row],[OPERACIONAL]]&gt;7.99999,"BOM","RUIM"))),"")</f>
        <v>BOM</v>
      </c>
      <c r="Q157" s="21" t="s">
        <v>667</v>
      </c>
      <c r="R157" s="12" t="s">
        <v>706</v>
      </c>
      <c r="S157" s="12" t="s">
        <v>707</v>
      </c>
      <c r="T157" s="12" t="s">
        <v>315</v>
      </c>
      <c r="U15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7" s="12">
        <f>IF(AND(Tabela1[[#This Row],[SETOR]]="UTI",Tabela1[[#This Row],[M]]&lt;&gt;""),1,IF(AND(Tabela1[[#This Row],[SETOR]]="UTI (RJ)",Tabela1[[#This Row],[M]]&lt;&gt;""),1.5,0))</f>
        <v>0</v>
      </c>
      <c r="X157" s="12">
        <f>IF(AND(Tabela1[[#This Row],[SETOR]]="UTI",Tabela1[[#This Row],[PA2]]&lt;&gt;""),1,IF(AND(Tabela1[[#This Row],[SETOR]]="UTI (RJ)",Tabela1[[#This Row],[PA2]]&lt;&gt;""),0,0))</f>
        <v>0</v>
      </c>
      <c r="Y157" s="12">
        <f>IF(AND(Tabela1[[#This Row],[SETOR]]="UTI",Tabela1[[#This Row],[C]]&lt;&gt;""),1,IF(AND(Tabela1[[#This Row],[SETOR]]="UTI (RJ)",Tabela1[[#This Row],[C]]&lt;&gt;""),1.5,0))</f>
        <v>0</v>
      </c>
      <c r="Z157" s="12">
        <f>IF(AND(Tabela1[[#This Row],[SETOR]]="UTI",Tabela1[[#This Row],[PL]]&lt;&gt;""),1,IF(AND(Tabela1[[#This Row],[SETOR]]="UTI (RJ)",Tabela1[[#This Row],[PL]]&lt;&gt;""),1,0))</f>
        <v>0</v>
      </c>
      <c r="AA157" s="21" t="str">
        <f>IFERROR(VLOOKUP(Tabela1[[#This Row],[MÊS]]&amp;Tabela1[[#This Row],[MATRICULA]]&amp;"1"&amp;Tabela1[[#This Row],[SETOR]]&amp;"PADRÃO",BD!B:AF,31,0),"")</f>
        <v/>
      </c>
      <c r="AB157" s="21" t="str">
        <f>IFERROR(VLOOKUP(Tabela1[[#This Row],[MÊS]]&amp;Tabela1[[#This Row],[MATRICULA]]&amp;"2"&amp;Tabela1[[#This Row],[SETOR]]&amp;"PADRÃO",BD!B:AF,31,0),"")</f>
        <v/>
      </c>
      <c r="AC157" s="21" t="str">
        <f>IFERROR(VLOOKUP(Tabela1[[#This Row],[MÊS]]&amp;Tabela1[[#This Row],[MATRICULA]]&amp;"3"&amp;Tabela1[[#This Row],[SETOR]]&amp;"PADRÃO",BD!B:AF,31,0),"")</f>
        <v/>
      </c>
      <c r="AD157" s="21" t="str">
        <f>IFERROR(VLOOKUP(Tabela1[[#This Row],[MÊS]]&amp;Tabela1[[#This Row],[MATRICULA]]&amp;"4"&amp;Tabela1[[#This Row],[SETOR]]&amp;"PADRÃO",BD!B:AF,25,0),"")</f>
        <v/>
      </c>
      <c r="AE157" s="21">
        <f>IFERROR(VLOOKUP(Tabela1[[#This Row],[MÊS]]&amp;Tabela1[[#This Row],[MATRICULA]]&amp;"5"&amp;Tabela1[[#This Row],[SETOR]]&amp;"PADRÃO",BD!B:AF,31,0),"")</f>
        <v>7.1124999999999989</v>
      </c>
      <c r="AF157" s="21">
        <f>IFERROR(VLOOKUP(Tabela1[[#This Row],[MÊS]]&amp;Tabela1[[#This Row],[MATRICULA]]&amp;"6"&amp;Tabela1[[#This Row],[SETOR]]&amp;"PADRÃO",BD!B:AF,31,0),"")</f>
        <v>6.85</v>
      </c>
      <c r="AG157" s="21" t="str">
        <f>IFERROR(VLOOKUP(Tabela1[[#This Row],[MÊS]]&amp;Tabela1[[#This Row],[MATRICULA]]&amp;"7"&amp;Tabela1[[#This Row],[SETOR]]&amp;"PADRÃO",BD!B:AF,31,0),"")</f>
        <v/>
      </c>
      <c r="AH157" s="21" t="str">
        <f>IFERROR(VLOOKUP(Tabela1[[#This Row],[MÊS]]&amp;Tabela1[[#This Row],[ID]]&amp;Tabela1[[#This Row],[MATRICULA]]&amp;"Receptiva"&amp;Tabela1[[#This Row],[SETOR]],BD!A:AF,31,0),"")</f>
        <v/>
      </c>
      <c r="AI157" s="21" t="str">
        <f>IFERROR(VLOOKUP(Tabela1[[#This Row],[MÊS]]&amp;Tabela1[[#This Row],[ID]]&amp;Tabela1[[#This Row],[MATRICULA]]&amp;"Receptiva 2"&amp;Tabela1[[#This Row],[SETOR]],BD!A:AF,31,0),"")</f>
        <v/>
      </c>
      <c r="AJ157" s="21" t="str">
        <f>IFERROR(VLOOKUP(Tabela1[[#This Row],[MÊS]]&amp;Tabela1[[#This Row],[ID]]&amp;Tabela1[[#This Row],[MATRICULA]]&amp;"Receptiva 3"&amp;Tabela1[[#This Row],[SETOR]],BD!A:AF,31,0),"")</f>
        <v/>
      </c>
      <c r="AK157" s="21" t="str">
        <f>IFERROR(VLOOKUP(Tabela1[[#This Row],[MÊS]]&amp;Tabela1[[#This Row],[ID]]&amp;Tabela1[[#This Row],[MATRICULA]]&amp;"Receptiva 4"&amp;Tabela1[[#This Row],[SETOR]],BD!A:AF,31,0),"")</f>
        <v/>
      </c>
      <c r="AL157" s="21" t="str">
        <f>IFERROR(VLOOKUP(Tabela1[[#This Row],[MÊS]]&amp;Tabela1[[#This Row],[MATRICULA]]&amp;"Motorista"&amp;Tabela1[[#This Row],[SETOR]],BD!A:AF,31,0),"")</f>
        <v/>
      </c>
      <c r="AM157" s="21" t="str">
        <f>IFERROR(VLOOKUP(Tabela1[[#This Row],[MÊS]]&amp;Tabela1[[#This Row],[ID]]&amp;Tabela1[[#This Row],[MATRICULA]]&amp;"Motorista 2"&amp;Tabela1[[#This Row],[SETOR]],BD!A:AF,26,0),"")</f>
        <v/>
      </c>
      <c r="AN157" s="21" t="str">
        <f>IFERROR(VLOOKUP(Tabela1[[#This Row],[MÊS]]&amp;Tabela1[[#This Row],[ID]]&amp;Tabela1[[#This Row],[MATRICULA]]&amp;"Motorista 3"&amp;Tabela1[[#This Row],[SETOR]],BD!A:AF,26,0),"")</f>
        <v/>
      </c>
      <c r="AO157" s="21" t="str">
        <f>IFERROR(VLOOKUP(Tabela1[[#This Row],[MÊS]]&amp;Tabela1[[#This Row],[ID]]&amp;Tabela1[[#This Row],[MATRICULA]]&amp;"Motorista 4"&amp;Tabela1[[#This Row],[SETOR]],BD!A:AF,26,0),"")</f>
        <v/>
      </c>
      <c r="AP157" s="21" t="str">
        <f>IFERROR(VLOOKUP(Tabela1[[#This Row],[MÊS]]&amp;Tabela1[[#This Row],[MATRICULA]]&amp;"Ponto de Apoio"&amp;Tabela1[[#This Row],[SETOR]],BD!A:AF,31,0),"")</f>
        <v/>
      </c>
      <c r="AQ157" s="21" t="str">
        <f>IFERROR(VLOOKUP(Tabela1[[#This Row],[MÊS]]&amp;Tabela1[[#This Row],[ID]]&amp;Tabela1[[#This Row],[MATRICULA]]&amp;"Ponto de Apoio 2"&amp;Tabela1[[#This Row],[SETOR]],BD!A:AF,26,0),"")</f>
        <v/>
      </c>
      <c r="AR157" s="36" t="str">
        <f>IFERROR(VLOOKUP(Tabela1[[#This Row],[MÊS]]&amp;Tabela1[[#This Row],[ID]]&amp;Tabela1[[#This Row],[MATRICULA]]&amp;"Ponto de Apoio 3"&amp;Tabela1[[#This Row],[SETOR]],BD!A:AF,26,0),"")</f>
        <v/>
      </c>
      <c r="AS157" s="36" t="str">
        <f>IFERROR(VLOOKUP(Tabela1[[#This Row],[MÊS]]&amp;Tabela1[[#This Row],[ID]]&amp;Tabela1[[#This Row],[MATRICULA]]&amp;"Ponto de Apoio 4"&amp;Tabela1[[#This Row],[SETOR]],BD!A:AF,26,0),"")</f>
        <v/>
      </c>
      <c r="AT157" s="21" t="str">
        <f>IFERROR(VLOOKUP(Tabela1[[#This Row],[MÊS]]&amp;Tabela1[[#This Row],[MATRICULA]]&amp;"Cliente"&amp;Tabela1[[#This Row],[SETOR]],BD!A:AF,31,0),"")</f>
        <v/>
      </c>
      <c r="AU157" s="21" t="str">
        <f>IFERROR(VLOOKUP(Tabela1[[#This Row],[MÊS]]&amp;Tabela1[[#This Row],[ID]]&amp;Tabela1[[#This Row],[MATRICULA]]&amp;"Cliente 2"&amp;Tabela1[[#This Row],[SETOR]],BD!A:AF,26,0),"")</f>
        <v/>
      </c>
      <c r="AX157" s="21" t="str">
        <f>IFERROR(VLOOKUP(Tabela1[[#This Row],[MÊS]]&amp;Tabela1[[#This Row],[MATRICULA]]&amp;"Policia"&amp;Tabela1[[#This Row],[SETOR]],BD!A:AF,31,0),"")</f>
        <v/>
      </c>
      <c r="AY157" s="21" t="str">
        <f>IFERROR(VLOOKUP(Tabela1[[#This Row],[MÊS]]&amp;Tabela1[[#This Row],[ID]]&amp;Tabela1[[#This Row],[MATRICULA]]&amp;"Policia 2"&amp;Tabela1[[#This Row],[SETOR]],BD!A:AF,26,0),"")</f>
        <v/>
      </c>
      <c r="AZ157" s="36" t="str">
        <f>IFERROR(VLOOKUP(Tabela1[[#This Row],[MÊS]]&amp;Tabela1[[#This Row],[ID]]&amp;Tabela1[[#This Row],[MATRICULA]]&amp;"Policia 3"&amp;Tabela1[[#This Row],[SETOR]],BD!A:AF,26,0),"")</f>
        <v/>
      </c>
      <c r="BA157" s="36" t="str">
        <f>IFERROR(VLOOKUP(Tabela1[[#This Row],[MÊS]]&amp;Tabela1[[#This Row],[ID]]&amp;Tabela1[[#This Row],[MATRICULA]]&amp;"Policia 4"&amp;Tabela1[[#This Row],[SETOR]],BD!A:AF,26,0),"")</f>
        <v/>
      </c>
      <c r="BB15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7" s="21" t="str">
        <f>IFERROR(AVERAGE(Tabela1[[#This Row],[M]:[M4]]),"")</f>
        <v/>
      </c>
      <c r="BD157" s="21" t="str">
        <f>IFERROR(AVERAGE(Tabela1[[#This Row],[C]:[C4]]),"")</f>
        <v/>
      </c>
      <c r="BE157" s="21" t="str">
        <f>IFERROR(AVERAGE(Tabela1[[#This Row],[PA2]:[PA 4]]),"")</f>
        <v/>
      </c>
      <c r="BF157" s="21" t="str">
        <f>IFERROR(AVERAGE(Tabela1[[#This Row],[PL]:[PL4]]),"")</f>
        <v/>
      </c>
      <c r="BG157" s="35" t="str">
        <f>IFERROR(VLOOKUP(Tabela1[[#This Row],[MÊS]]&amp;Tabela1[[#This Row],[MATRICULA]],#REF!,2,0),"")</f>
        <v/>
      </c>
      <c r="BH157" s="35" t="str">
        <f>IFERROR(VLOOKUP(Tabela1[[#This Row],[MÊS]]&amp;Tabela1[[#This Row],[MATRICULA]],#REF!,2,0),"")</f>
        <v/>
      </c>
      <c r="BI157" s="35" t="str">
        <f>IFERROR(VLOOKUP(Tabela1[[#This Row],[MÊS]]&amp;Tabela1[[#This Row],[MATRICULA]],#REF!,2,0),"")</f>
        <v/>
      </c>
      <c r="BJ157" s="35" t="str">
        <f>IFERROR(VLOOKUP(Tabela1[[#This Row],[MÊS]]&amp;Tabela1[[#This Row],[MATRICULA]],#REF!,2,0),"")</f>
        <v/>
      </c>
      <c r="BK157" s="35" t="str">
        <f>IFERROR(VLOOKUP(Tabela1[[#This Row],[MÊS]]&amp;Tabela1[[#This Row],[MATRICULA]],#REF!,2,0),"")</f>
        <v/>
      </c>
      <c r="BL157" s="21">
        <f>COUNTIF(Tabela1[[#This Row],[MOT2]:[RECEPTIVA]],"NÃO ENCONTRADA")</f>
        <v>0</v>
      </c>
      <c r="BM157" s="135" t="str">
        <f>IFERROR(VLOOKUP(Tabela1[[#This Row],[MÊS]]&amp;Tabela1[[#This Row],[ID]]&amp;Tabela1[[#This Row],[MATRICULA]]&amp;"Motorista"&amp;Tabela1[[#This Row],[SETOR]],BD!A:AF,13,0),"")</f>
        <v/>
      </c>
      <c r="BN157" s="135" t="str">
        <f>IFERROR(VLOOKUP(Tabela1[[#This Row],[MÊS]]&amp;Tabela1[[#This Row],[ID]]&amp;Tabela1[[#This Row],[MATRICULA]]&amp;"Motorista 2"&amp;Tabela1[[#This Row],[SETOR]],BD!A:AF,13,0),"")</f>
        <v/>
      </c>
      <c r="BO157" s="135" t="str">
        <f>IFERROR(VLOOKUP(Tabela1[[#This Row],[MÊS]]&amp;Tabela1[[#This Row],[ID]]&amp;Tabela1[[#This Row],[MATRICULA]]&amp;"Motorista 3"&amp;Tabela1[[#This Row],[SETOR]],BD!A:AF,13,0),"")</f>
        <v/>
      </c>
      <c r="BP157" s="135" t="str">
        <f>IFERROR(VLOOKUP(Tabela1[[#This Row],[MÊS]]&amp;Tabela1[[#This Row],[ID]]&amp;Tabela1[[#This Row],[MATRICULA]]&amp;"Motorista 4"&amp;Tabela1[[#This Row],[SETOR]],BD!A:AF,13,0),"")</f>
        <v/>
      </c>
      <c r="BQ157" s="135" t="str">
        <f>IFERROR(AVERAGE(Tabela1[[#This Row],[DMOT]:[DMOT4]]),"")</f>
        <v/>
      </c>
      <c r="BR157" s="135" t="str">
        <f>IFERROR(VLOOKUP(Tabela1[[#This Row],[MÊS]]&amp;Tabela1[[#This Row],[ID]]&amp;Tabela1[[#This Row],[MATRICULA]]&amp;"Ponto de Apoio"&amp;Tabela1[[#This Row],[SETOR]],BD!A:AF,13,0),"")</f>
        <v/>
      </c>
      <c r="BS157" s="135" t="str">
        <f>IFERROR(VLOOKUP(Tabela1[[#This Row],[MÊS]]&amp;Tabela1[[#This Row],[ID]]&amp;Tabela1[[#This Row],[MATRICULA]]&amp;"Ponto de Apoio 2"&amp;Tabela1[[#This Row],[SETOR]],BD!A:AF,13,0),"")</f>
        <v/>
      </c>
      <c r="BT157" s="135" t="str">
        <f>IFERROR(VLOOKUP(Tabela1[[#This Row],[MÊS]]&amp;Tabela1[[#This Row],[ID]]&amp;Tabela1[[#This Row],[MATRICULA]]&amp;"Ponto de Apoio 3"&amp;Tabela1[[#This Row],[SETOR]],BD!A:AF,13,0),"")</f>
        <v/>
      </c>
      <c r="BU157" s="135" t="str">
        <f>IFERROR(VLOOKUP(Tabela1[[#This Row],[MÊS]]&amp;Tabela1[[#This Row],[ID]]&amp;Tabela1[[#This Row],[MATRICULA]]&amp;"Ponto de Apoio 4"&amp;Tabela1[[#This Row],[SETOR]],BD!A:AF,13,0),"")</f>
        <v/>
      </c>
      <c r="BV157" s="135" t="str">
        <f>IFERROR(AVERAGE(Tabela1[[#This Row],[DPA]:[DPA 4]]),"")</f>
        <v/>
      </c>
      <c r="BW157" s="135" t="str">
        <f>IFERROR(VLOOKUP(Tabela1[[#This Row],[MÊS]]&amp;Tabela1[[#This Row],[ID]]&amp;Tabela1[[#This Row],[MATRICULA]]&amp;"Cliente"&amp;Tabela1[[#This Row],[SETOR]],BD!A:AF,13,0),"")</f>
        <v/>
      </c>
      <c r="BX157" s="135" t="str">
        <f>IFERROR(VLOOKUP(Tabela1[[#This Row],[MÊS]]&amp;Tabela1[[#This Row],[ID]]&amp;Tabela1[[#This Row],[MATRICULA]]&amp;"cliente 2"&amp;Tabela1[[#This Row],[SETOR]],BD!A:AF,13,0),"")</f>
        <v/>
      </c>
      <c r="BY157" s="135" t="str">
        <f>IFERROR(VLOOKUP(Tabela1[[#This Row],[MÊS]]&amp;Tabela1[[#This Row],[ID]]&amp;Tabela1[[#This Row],[MATRICULA]]&amp;"cliente 3"&amp;Tabela1[[#This Row],[SETOR]],BD!A:AF,13,0),"")</f>
        <v/>
      </c>
      <c r="BZ157" s="135" t="str">
        <f>IFERROR(VLOOKUP(Tabela1[[#This Row],[MÊS]]&amp;Tabela1[[#This Row],[ID]]&amp;Tabela1[[#This Row],[MATRICULA]]&amp;"cliente 4"&amp;Tabela1[[#This Row],[SETOR]],BD!A:AF,13,0),"")</f>
        <v/>
      </c>
      <c r="CA157" s="135" t="str">
        <f>IFERROR(AVERAGE(Tabela1[[#This Row],[DCLI]:[DCLI 4]]),"")</f>
        <v/>
      </c>
      <c r="CB157" s="135" t="str">
        <f>IFERROR(VLOOKUP(Tabela1[[#This Row],[MÊS]]&amp;Tabela1[[#This Row],[ID]]&amp;Tabela1[[#This Row],[MATRICULA]]&amp;"Policia"&amp;Tabela1[[#This Row],[SETOR]],BD!A:AF,13,0),"")</f>
        <v/>
      </c>
      <c r="CC157" s="135" t="str">
        <f>IFERROR(VLOOKUP(Tabela1[[#This Row],[MÊS]]&amp;Tabela1[[#This Row],[ID]]&amp;Tabela1[[#This Row],[MATRICULA]]&amp;"Policia 2"&amp;Tabela1[[#This Row],[SETOR]],BD!A:AF,13,0),"")</f>
        <v/>
      </c>
      <c r="CD157" s="135"/>
      <c r="CE157" s="135"/>
      <c r="CF157" s="135" t="str">
        <f>IFERROR((AVERAGE(Tabela1[[#This Row],[DPOL1]:[DPOL4]])),"")</f>
        <v/>
      </c>
      <c r="CG157" s="21" t="str">
        <f>IFERROR(VLOOKUP(Tabela1[[#This Row],[ID]]&amp;Tabela1[[#This Row],[MÊS]]&amp;Tabela1[[#This Row],[MATRICULA]],#REF!,2,0),"")</f>
        <v/>
      </c>
      <c r="CH157" s="21" t="str">
        <f>IFERROR(VLOOKUP(Tabela1[[#This Row],[ID]]&amp;Tabela1[[#This Row],[MÊS]]&amp;Tabela1[[#This Row],[MATRICULA]],#REF!,2,0),"")</f>
        <v/>
      </c>
      <c r="CI157" s="21" t="str">
        <f>IFERROR(VLOOKUP(Tabela1[[#This Row],[MÊS]]&amp;Tabela1[[#This Row],[MATRICULA]],#REF!,2,0),"")</f>
        <v/>
      </c>
    </row>
    <row r="158" spans="1:87">
      <c r="A158" s="12" t="str">
        <f>Tabela1[[#This Row],[MÊS]]&amp;Tabela1[[#This Row],[MATRICULA]]&amp;Tabela1[[#This Row],[ID]]</f>
        <v>JAN112373</v>
      </c>
      <c r="B158" s="12" t="str">
        <f>Tabela1[[#This Row],[MÊS]]&amp;Tabela1[[#This Row],[ID]]&amp;Tabela1[[#This Row],[MATRICULA]]&amp;Tabela1[[#This Row],[SETOR]]</f>
        <v>JAN311237LOGÍSTICA</v>
      </c>
      <c r="C158" s="130" t="e">
        <f>VLOOKUP(Tabela1[[#This Row],[MATRICULA]],'BD Campos'!A:D,5,0)</f>
        <v>#REF!</v>
      </c>
      <c r="D158" s="133" t="str">
        <f ca="1">IFERROR(SUM(TODAY()-Tabela1[[#This Row],[ADMISSÃO]]),"")</f>
        <v/>
      </c>
      <c r="E158" s="11" t="str">
        <f ca="1">IFERROR(TRUNC(Tabela1[[#This Row],[TEMPO DE CASA (DIAS)]]/30),"")</f>
        <v/>
      </c>
      <c r="F158" s="32" t="str">
        <f ca="1">IFERROR(SUM(Tabela1[[#This Row],[TEMPO DE CASA (MESES)]]/12),"")</f>
        <v/>
      </c>
      <c r="G158" s="133" t="str">
        <f ca="1">IF(Tabela1[[#This Row],[TEMPO DE CASA (DIAS)]]="","SEM DADOS",IF(Tabela1[[#This Row],[TEMPO DE CASA (DIAS)]]&gt;180,"&gt; 6 MESES","&lt; 6 MESES"))</f>
        <v>SEM DADOS</v>
      </c>
      <c r="H158" s="12" t="str">
        <f t="shared" si="14"/>
        <v>JANKayque Lima3</v>
      </c>
      <c r="I158" s="12" t="str">
        <f>IFERROR(VLOOKUP(Tabela1[[#This Row],[MATRICULA]],'BD Campos'!A:F,7,0),"")</f>
        <v/>
      </c>
      <c r="J158" s="11">
        <v>3</v>
      </c>
      <c r="K158" s="11" t="s">
        <v>669</v>
      </c>
      <c r="L158" s="136">
        <v>11237</v>
      </c>
      <c r="M158" s="12" t="str">
        <f>IFERROR(VLOOKUP(Tabela1[[#This Row],[MATRICULA]],'BD Campos'!A:B,2,0),"")</f>
        <v>PAULA SOARES DE ASSIS</v>
      </c>
      <c r="N158" s="20" t="str">
        <f>IFERROR(AVERAGE(Tabela1[[#This Row],[A1]:[A4]]),"")</f>
        <v/>
      </c>
      <c r="O158" s="20">
        <f>IFERROR(IF(Tabela1[[#This Row],[SETOR]]="RECEPTIVO","",AVERAGE(Tabela1[[#This Row],[A5]:[A6]])),"")</f>
        <v>8.3724999999999987</v>
      </c>
      <c r="P158" s="20" t="str">
        <f>IFERROR(IF(Tabela1[[#This Row],[STATUS]]="INATIVO","INATIVO",IF(Tabela1[[#This Row],[STATUS]]="QRT","INATIVO",IF(Tabela1[[#This Row],[OPERACIONAL]]&gt;7.99999,"BOM","RUIM"))),"")</f>
        <v>BOM</v>
      </c>
      <c r="Q158" s="21" t="s">
        <v>667</v>
      </c>
      <c r="R158" s="12" t="s">
        <v>706</v>
      </c>
      <c r="S158" s="12" t="s">
        <v>707</v>
      </c>
      <c r="T158" s="12" t="s">
        <v>315</v>
      </c>
      <c r="U15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8" s="12">
        <f>IF(AND(Tabela1[[#This Row],[SETOR]]="UTI",Tabela1[[#This Row],[M]]&lt;&gt;""),1,IF(AND(Tabela1[[#This Row],[SETOR]]="UTI (RJ)",Tabela1[[#This Row],[M]]&lt;&gt;""),1.5,0))</f>
        <v>0</v>
      </c>
      <c r="X158" s="12">
        <f>IF(AND(Tabela1[[#This Row],[SETOR]]="UTI",Tabela1[[#This Row],[PA2]]&lt;&gt;""),1,IF(AND(Tabela1[[#This Row],[SETOR]]="UTI (RJ)",Tabela1[[#This Row],[PA2]]&lt;&gt;""),0,0))</f>
        <v>0</v>
      </c>
      <c r="Y158" s="12">
        <f>IF(AND(Tabela1[[#This Row],[SETOR]]="UTI",Tabela1[[#This Row],[C]]&lt;&gt;""),1,IF(AND(Tabela1[[#This Row],[SETOR]]="UTI (RJ)",Tabela1[[#This Row],[C]]&lt;&gt;""),1.5,0))</f>
        <v>0</v>
      </c>
      <c r="Z158" s="12">
        <f>IF(AND(Tabela1[[#This Row],[SETOR]]="UTI",Tabela1[[#This Row],[PL]]&lt;&gt;""),1,IF(AND(Tabela1[[#This Row],[SETOR]]="UTI (RJ)",Tabela1[[#This Row],[PL]]&lt;&gt;""),1,0))</f>
        <v>0</v>
      </c>
      <c r="AA158" s="21" t="str">
        <f>IFERROR(VLOOKUP(Tabela1[[#This Row],[MÊS]]&amp;Tabela1[[#This Row],[MATRICULA]]&amp;"1"&amp;Tabela1[[#This Row],[SETOR]]&amp;"PADRÃO",BD!B:AF,31,0),"")</f>
        <v/>
      </c>
      <c r="AB158" s="21" t="str">
        <f>IFERROR(VLOOKUP(Tabela1[[#This Row],[MÊS]]&amp;Tabela1[[#This Row],[MATRICULA]]&amp;"2"&amp;Tabela1[[#This Row],[SETOR]]&amp;"PADRÃO",BD!B:AF,31,0),"")</f>
        <v/>
      </c>
      <c r="AC158" s="21" t="str">
        <f>IFERROR(VLOOKUP(Tabela1[[#This Row],[MÊS]]&amp;Tabela1[[#This Row],[MATRICULA]]&amp;"3"&amp;Tabela1[[#This Row],[SETOR]]&amp;"PADRÃO",BD!B:AF,31,0),"")</f>
        <v/>
      </c>
      <c r="AD158" s="21" t="str">
        <f>IFERROR(VLOOKUP(Tabela1[[#This Row],[MÊS]]&amp;Tabela1[[#This Row],[MATRICULA]]&amp;"4"&amp;Tabela1[[#This Row],[SETOR]]&amp;"PADRÃO",BD!B:AF,25,0),"")</f>
        <v/>
      </c>
      <c r="AE158" s="21">
        <f>IFERROR(VLOOKUP(Tabela1[[#This Row],[MÊS]]&amp;Tabela1[[#This Row],[MATRICULA]]&amp;"5"&amp;Tabela1[[#This Row],[SETOR]]&amp;"PADRÃO",BD!B:AF,31,0),"")</f>
        <v>7.4274999999999984</v>
      </c>
      <c r="AF158" s="21">
        <f>IFERROR(VLOOKUP(Tabela1[[#This Row],[MÊS]]&amp;Tabela1[[#This Row],[MATRICULA]]&amp;"6"&amp;Tabela1[[#This Row],[SETOR]]&amp;"PADRÃO",BD!B:AF,31,0),"")</f>
        <v>9.3175000000000008</v>
      </c>
      <c r="AG158" s="21" t="str">
        <f>IFERROR(VLOOKUP(Tabela1[[#This Row],[MÊS]]&amp;Tabela1[[#This Row],[MATRICULA]]&amp;"7"&amp;Tabela1[[#This Row],[SETOR]]&amp;"PADRÃO",BD!B:AF,31,0),"")</f>
        <v/>
      </c>
      <c r="AH158" s="21" t="str">
        <f>IFERROR(VLOOKUP(Tabela1[[#This Row],[MÊS]]&amp;Tabela1[[#This Row],[ID]]&amp;Tabela1[[#This Row],[MATRICULA]]&amp;"Receptiva"&amp;Tabela1[[#This Row],[SETOR]],BD!A:AF,31,0),"")</f>
        <v/>
      </c>
      <c r="AI158" s="21" t="str">
        <f>IFERROR(VLOOKUP(Tabela1[[#This Row],[MÊS]]&amp;Tabela1[[#This Row],[ID]]&amp;Tabela1[[#This Row],[MATRICULA]]&amp;"Receptiva 2"&amp;Tabela1[[#This Row],[SETOR]],BD!A:AF,31,0),"")</f>
        <v/>
      </c>
      <c r="AJ158" s="21" t="str">
        <f>IFERROR(VLOOKUP(Tabela1[[#This Row],[MÊS]]&amp;Tabela1[[#This Row],[ID]]&amp;Tabela1[[#This Row],[MATRICULA]]&amp;"Receptiva 3"&amp;Tabela1[[#This Row],[SETOR]],BD!A:AF,31,0),"")</f>
        <v/>
      </c>
      <c r="AK158" s="21" t="str">
        <f>IFERROR(VLOOKUP(Tabela1[[#This Row],[MÊS]]&amp;Tabela1[[#This Row],[ID]]&amp;Tabela1[[#This Row],[MATRICULA]]&amp;"Receptiva 4"&amp;Tabela1[[#This Row],[SETOR]],BD!A:AF,31,0),"")</f>
        <v/>
      </c>
      <c r="AL158" s="21" t="str">
        <f>IFERROR(VLOOKUP(Tabela1[[#This Row],[MÊS]]&amp;Tabela1[[#This Row],[MATRICULA]]&amp;"Motorista"&amp;Tabela1[[#This Row],[SETOR]],BD!A:AF,31,0),"")</f>
        <v/>
      </c>
      <c r="AM158" s="21" t="str">
        <f>IFERROR(VLOOKUP(Tabela1[[#This Row],[MÊS]]&amp;Tabela1[[#This Row],[ID]]&amp;Tabela1[[#This Row],[MATRICULA]]&amp;"Motorista 2"&amp;Tabela1[[#This Row],[SETOR]],BD!A:AF,26,0),"")</f>
        <v/>
      </c>
      <c r="AN158" s="21" t="str">
        <f>IFERROR(VLOOKUP(Tabela1[[#This Row],[MÊS]]&amp;Tabela1[[#This Row],[ID]]&amp;Tabela1[[#This Row],[MATRICULA]]&amp;"Motorista 3"&amp;Tabela1[[#This Row],[SETOR]],BD!A:AF,26,0),"")</f>
        <v/>
      </c>
      <c r="AO158" s="21" t="str">
        <f>IFERROR(VLOOKUP(Tabela1[[#This Row],[MÊS]]&amp;Tabela1[[#This Row],[ID]]&amp;Tabela1[[#This Row],[MATRICULA]]&amp;"Motorista 4"&amp;Tabela1[[#This Row],[SETOR]],BD!A:AF,26,0),"")</f>
        <v/>
      </c>
      <c r="AP158" s="21" t="str">
        <f>IFERROR(VLOOKUP(Tabela1[[#This Row],[MÊS]]&amp;Tabela1[[#This Row],[MATRICULA]]&amp;"Ponto de Apoio"&amp;Tabela1[[#This Row],[SETOR]],BD!A:AF,31,0),"")</f>
        <v/>
      </c>
      <c r="AQ158" s="21" t="str">
        <f>IFERROR(VLOOKUP(Tabela1[[#This Row],[MÊS]]&amp;Tabela1[[#This Row],[ID]]&amp;Tabela1[[#This Row],[MATRICULA]]&amp;"Ponto de Apoio 2"&amp;Tabela1[[#This Row],[SETOR]],BD!A:AF,26,0),"")</f>
        <v/>
      </c>
      <c r="AR158" s="36" t="str">
        <f>IFERROR(VLOOKUP(Tabela1[[#This Row],[MÊS]]&amp;Tabela1[[#This Row],[ID]]&amp;Tabela1[[#This Row],[MATRICULA]]&amp;"Ponto de Apoio 3"&amp;Tabela1[[#This Row],[SETOR]],BD!A:AF,26,0),"")</f>
        <v/>
      </c>
      <c r="AS158" s="36" t="str">
        <f>IFERROR(VLOOKUP(Tabela1[[#This Row],[MÊS]]&amp;Tabela1[[#This Row],[ID]]&amp;Tabela1[[#This Row],[MATRICULA]]&amp;"Ponto de Apoio 4"&amp;Tabela1[[#This Row],[SETOR]],BD!A:AF,26,0),"")</f>
        <v/>
      </c>
      <c r="AT158" s="21" t="str">
        <f>IFERROR(VLOOKUP(Tabela1[[#This Row],[MÊS]]&amp;Tabela1[[#This Row],[MATRICULA]]&amp;"Cliente"&amp;Tabela1[[#This Row],[SETOR]],BD!A:AF,31,0),"")</f>
        <v/>
      </c>
      <c r="AU158" s="21" t="str">
        <f>IFERROR(VLOOKUP(Tabela1[[#This Row],[MÊS]]&amp;Tabela1[[#This Row],[ID]]&amp;Tabela1[[#This Row],[MATRICULA]]&amp;"Cliente 2"&amp;Tabela1[[#This Row],[SETOR]],BD!A:AF,26,0),"")</f>
        <v/>
      </c>
      <c r="AX158" s="21" t="str">
        <f>IFERROR(VLOOKUP(Tabela1[[#This Row],[MÊS]]&amp;Tabela1[[#This Row],[MATRICULA]]&amp;"Policia"&amp;Tabela1[[#This Row],[SETOR]],BD!A:AF,31,0),"")</f>
        <v/>
      </c>
      <c r="AY158" s="21" t="str">
        <f>IFERROR(VLOOKUP(Tabela1[[#This Row],[MÊS]]&amp;Tabela1[[#This Row],[ID]]&amp;Tabela1[[#This Row],[MATRICULA]]&amp;"Policia 2"&amp;Tabela1[[#This Row],[SETOR]],BD!A:AF,26,0),"")</f>
        <v/>
      </c>
      <c r="AZ158" s="36" t="str">
        <f>IFERROR(VLOOKUP(Tabela1[[#This Row],[MÊS]]&amp;Tabela1[[#This Row],[ID]]&amp;Tabela1[[#This Row],[MATRICULA]]&amp;"Policia 3"&amp;Tabela1[[#This Row],[SETOR]],BD!A:AF,26,0),"")</f>
        <v/>
      </c>
      <c r="BA158" s="36" t="str">
        <f>IFERROR(VLOOKUP(Tabela1[[#This Row],[MÊS]]&amp;Tabela1[[#This Row],[ID]]&amp;Tabela1[[#This Row],[MATRICULA]]&amp;"Policia 4"&amp;Tabela1[[#This Row],[SETOR]],BD!A:AF,26,0),"")</f>
        <v/>
      </c>
      <c r="BB15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8" s="21" t="str">
        <f>IFERROR(AVERAGE(Tabela1[[#This Row],[M]:[M4]]),"")</f>
        <v/>
      </c>
      <c r="BD158" s="21" t="str">
        <f>IFERROR(AVERAGE(Tabela1[[#This Row],[C]:[C4]]),"")</f>
        <v/>
      </c>
      <c r="BE158" s="21" t="str">
        <f>IFERROR(AVERAGE(Tabela1[[#This Row],[PA2]:[PA 4]]),"")</f>
        <v/>
      </c>
      <c r="BF158" s="21" t="str">
        <f>IFERROR(AVERAGE(Tabela1[[#This Row],[PL]:[PL4]]),"")</f>
        <v/>
      </c>
      <c r="BG158" s="35" t="str">
        <f>IFERROR(VLOOKUP(Tabela1[[#This Row],[MÊS]]&amp;Tabela1[[#This Row],[MATRICULA]],#REF!,2,0),"")</f>
        <v/>
      </c>
      <c r="BH158" s="35" t="str">
        <f>IFERROR(VLOOKUP(Tabela1[[#This Row],[MÊS]]&amp;Tabela1[[#This Row],[MATRICULA]],#REF!,2,0),"")</f>
        <v/>
      </c>
      <c r="BI158" s="35" t="str">
        <f>IFERROR(VLOOKUP(Tabela1[[#This Row],[MÊS]]&amp;Tabela1[[#This Row],[MATRICULA]],#REF!,2,0),"")</f>
        <v/>
      </c>
      <c r="BJ158" s="35" t="str">
        <f>IFERROR(VLOOKUP(Tabela1[[#This Row],[MÊS]]&amp;Tabela1[[#This Row],[MATRICULA]],#REF!,2,0),"")</f>
        <v/>
      </c>
      <c r="BK158" s="35" t="str">
        <f>IFERROR(VLOOKUP(Tabela1[[#This Row],[MÊS]]&amp;Tabela1[[#This Row],[MATRICULA]],#REF!,2,0),"")</f>
        <v/>
      </c>
      <c r="BL158" s="21">
        <f>COUNTIF(Tabela1[[#This Row],[MOT2]:[RECEPTIVA]],"NÃO ENCONTRADA")</f>
        <v>0</v>
      </c>
      <c r="BM158" s="135" t="str">
        <f>IFERROR(VLOOKUP(Tabela1[[#This Row],[MÊS]]&amp;Tabela1[[#This Row],[ID]]&amp;Tabela1[[#This Row],[MATRICULA]]&amp;"Motorista"&amp;Tabela1[[#This Row],[SETOR]],BD!A:AF,13,0),"")</f>
        <v/>
      </c>
      <c r="BN158" s="135" t="str">
        <f>IFERROR(VLOOKUP(Tabela1[[#This Row],[MÊS]]&amp;Tabela1[[#This Row],[ID]]&amp;Tabela1[[#This Row],[MATRICULA]]&amp;"Motorista 2"&amp;Tabela1[[#This Row],[SETOR]],BD!A:AF,13,0),"")</f>
        <v/>
      </c>
      <c r="BO158" s="135" t="str">
        <f>IFERROR(VLOOKUP(Tabela1[[#This Row],[MÊS]]&amp;Tabela1[[#This Row],[ID]]&amp;Tabela1[[#This Row],[MATRICULA]]&amp;"Motorista 3"&amp;Tabela1[[#This Row],[SETOR]],BD!A:AF,13,0),"")</f>
        <v/>
      </c>
      <c r="BP158" s="135" t="str">
        <f>IFERROR(VLOOKUP(Tabela1[[#This Row],[MÊS]]&amp;Tabela1[[#This Row],[ID]]&amp;Tabela1[[#This Row],[MATRICULA]]&amp;"Motorista 4"&amp;Tabela1[[#This Row],[SETOR]],BD!A:AF,13,0),"")</f>
        <v/>
      </c>
      <c r="BQ158" s="135" t="str">
        <f>IFERROR(AVERAGE(Tabela1[[#This Row],[DMOT]:[DMOT4]]),"")</f>
        <v/>
      </c>
      <c r="BR158" s="135" t="str">
        <f>IFERROR(VLOOKUP(Tabela1[[#This Row],[MÊS]]&amp;Tabela1[[#This Row],[ID]]&amp;Tabela1[[#This Row],[MATRICULA]]&amp;"Ponto de Apoio"&amp;Tabela1[[#This Row],[SETOR]],BD!A:AF,13,0),"")</f>
        <v/>
      </c>
      <c r="BS158" s="135" t="str">
        <f>IFERROR(VLOOKUP(Tabela1[[#This Row],[MÊS]]&amp;Tabela1[[#This Row],[ID]]&amp;Tabela1[[#This Row],[MATRICULA]]&amp;"Ponto de Apoio 2"&amp;Tabela1[[#This Row],[SETOR]],BD!A:AF,13,0),"")</f>
        <v/>
      </c>
      <c r="BT158" s="135" t="str">
        <f>IFERROR(VLOOKUP(Tabela1[[#This Row],[MÊS]]&amp;Tabela1[[#This Row],[ID]]&amp;Tabela1[[#This Row],[MATRICULA]]&amp;"Ponto de Apoio 3"&amp;Tabela1[[#This Row],[SETOR]],BD!A:AF,13,0),"")</f>
        <v/>
      </c>
      <c r="BU158" s="135" t="str">
        <f>IFERROR(VLOOKUP(Tabela1[[#This Row],[MÊS]]&amp;Tabela1[[#This Row],[ID]]&amp;Tabela1[[#This Row],[MATRICULA]]&amp;"Ponto de Apoio 4"&amp;Tabela1[[#This Row],[SETOR]],BD!A:AF,13,0),"")</f>
        <v/>
      </c>
      <c r="BV158" s="135" t="str">
        <f>IFERROR(AVERAGE(Tabela1[[#This Row],[DPA]:[DPA 4]]),"")</f>
        <v/>
      </c>
      <c r="BW158" s="135" t="str">
        <f>IFERROR(VLOOKUP(Tabela1[[#This Row],[MÊS]]&amp;Tabela1[[#This Row],[ID]]&amp;Tabela1[[#This Row],[MATRICULA]]&amp;"Cliente"&amp;Tabela1[[#This Row],[SETOR]],BD!A:AF,13,0),"")</f>
        <v/>
      </c>
      <c r="BX158" s="135" t="str">
        <f>IFERROR(VLOOKUP(Tabela1[[#This Row],[MÊS]]&amp;Tabela1[[#This Row],[ID]]&amp;Tabela1[[#This Row],[MATRICULA]]&amp;"cliente 2"&amp;Tabela1[[#This Row],[SETOR]],BD!A:AF,13,0),"")</f>
        <v/>
      </c>
      <c r="BY158" s="135" t="str">
        <f>IFERROR(VLOOKUP(Tabela1[[#This Row],[MÊS]]&amp;Tabela1[[#This Row],[ID]]&amp;Tabela1[[#This Row],[MATRICULA]]&amp;"cliente 3"&amp;Tabela1[[#This Row],[SETOR]],BD!A:AF,13,0),"")</f>
        <v/>
      </c>
      <c r="BZ158" s="135" t="str">
        <f>IFERROR(VLOOKUP(Tabela1[[#This Row],[MÊS]]&amp;Tabela1[[#This Row],[ID]]&amp;Tabela1[[#This Row],[MATRICULA]]&amp;"cliente 4"&amp;Tabela1[[#This Row],[SETOR]],BD!A:AF,13,0),"")</f>
        <v/>
      </c>
      <c r="CA158" s="135" t="str">
        <f>IFERROR(AVERAGE(Tabela1[[#This Row],[DCLI]:[DCLI 4]]),"")</f>
        <v/>
      </c>
      <c r="CB158" s="135" t="str">
        <f>IFERROR(VLOOKUP(Tabela1[[#This Row],[MÊS]]&amp;Tabela1[[#This Row],[ID]]&amp;Tabela1[[#This Row],[MATRICULA]]&amp;"Policia"&amp;Tabela1[[#This Row],[SETOR]],BD!A:AF,13,0),"")</f>
        <v/>
      </c>
      <c r="CC158" s="135" t="str">
        <f>IFERROR(VLOOKUP(Tabela1[[#This Row],[MÊS]]&amp;Tabela1[[#This Row],[ID]]&amp;Tabela1[[#This Row],[MATRICULA]]&amp;"Policia 2"&amp;Tabela1[[#This Row],[SETOR]],BD!A:AF,13,0),"")</f>
        <v/>
      </c>
      <c r="CD158" s="135"/>
      <c r="CE158" s="135"/>
      <c r="CF158" s="135" t="str">
        <f>IFERROR((AVERAGE(Tabela1[[#This Row],[DPOL1]:[DPOL4]])),"")</f>
        <v/>
      </c>
      <c r="CG158" s="21" t="str">
        <f>IFERROR(VLOOKUP(Tabela1[[#This Row],[ID]]&amp;Tabela1[[#This Row],[MÊS]]&amp;Tabela1[[#This Row],[MATRICULA]],#REF!,2,0),"")</f>
        <v/>
      </c>
      <c r="CH158" s="21" t="str">
        <f>IFERROR(VLOOKUP(Tabela1[[#This Row],[ID]]&amp;Tabela1[[#This Row],[MÊS]]&amp;Tabela1[[#This Row],[MATRICULA]],#REF!,2,0),"")</f>
        <v/>
      </c>
      <c r="CI158" s="21" t="str">
        <f>IFERROR(VLOOKUP(Tabela1[[#This Row],[MÊS]]&amp;Tabela1[[#This Row],[MATRICULA]],#REF!,2,0),"")</f>
        <v/>
      </c>
    </row>
    <row r="159" spans="1:87">
      <c r="A159" s="12" t="str">
        <f>Tabela1[[#This Row],[MÊS]]&amp;Tabela1[[#This Row],[MATRICULA]]&amp;Tabela1[[#This Row],[ID]]</f>
        <v>JAN114861</v>
      </c>
      <c r="B159" s="12" t="str">
        <f>Tabela1[[#This Row],[MÊS]]&amp;Tabela1[[#This Row],[ID]]&amp;Tabela1[[#This Row],[MATRICULA]]&amp;Tabela1[[#This Row],[SETOR]]</f>
        <v>JAN111486LOGÍSTICA</v>
      </c>
      <c r="C159" s="130" t="e">
        <f>VLOOKUP(Tabela1[[#This Row],[MATRICULA]],'BD Campos'!A:D,5,0)</f>
        <v>#REF!</v>
      </c>
      <c r="D159" s="133" t="str">
        <f ca="1">IFERROR(SUM(TODAY()-Tabela1[[#This Row],[ADMISSÃO]]),"")</f>
        <v/>
      </c>
      <c r="E159" s="11" t="str">
        <f ca="1">IFERROR(TRUNC(Tabela1[[#This Row],[TEMPO DE CASA (DIAS)]]/30),"")</f>
        <v/>
      </c>
      <c r="F159" s="32" t="str">
        <f ca="1">IFERROR(SUM(Tabela1[[#This Row],[TEMPO DE CASA (MESES)]]/12),"")</f>
        <v/>
      </c>
      <c r="G159" s="133" t="str">
        <f ca="1">IF(Tabela1[[#This Row],[TEMPO DE CASA (DIAS)]]="","SEM DADOS",IF(Tabela1[[#This Row],[TEMPO DE CASA (DIAS)]]&gt;180,"&gt; 6 MESES","&lt; 6 MESES"))</f>
        <v>SEM DADOS</v>
      </c>
      <c r="H159" s="12" t="str">
        <f t="shared" ref="H159:H167" si="15">K159&amp;S159&amp;J159</f>
        <v>JANGiulia Machado1</v>
      </c>
      <c r="I159" s="12" t="str">
        <f>IFERROR(VLOOKUP(Tabela1[[#This Row],[MATRICULA]],'BD Campos'!A:F,7,0),"")</f>
        <v/>
      </c>
      <c r="J159" s="11">
        <v>1</v>
      </c>
      <c r="K159" s="11" t="s">
        <v>669</v>
      </c>
      <c r="L159" s="136">
        <v>11486</v>
      </c>
      <c r="M159" s="12" t="str">
        <f>IFERROR(VLOOKUP(Tabela1[[#This Row],[MATRICULA]],'BD Campos'!A:B,2,0),"")</f>
        <v>ANA BEATRIZ DO CARMO</v>
      </c>
      <c r="N159" s="20">
        <f>IFERROR(AVERAGE(Tabela1[[#This Row],[A1]:[A4]]),"")</f>
        <v>8.761000000000001</v>
      </c>
      <c r="O159" s="20" t="str">
        <f>IFERROR(IF(Tabela1[[#This Row],[SETOR]]="RECEPTIVO","",AVERAGE(Tabela1[[#This Row],[A5]:[A6]])),"")</f>
        <v/>
      </c>
      <c r="P159" s="20" t="str">
        <f>IFERROR(IF(Tabela1[[#This Row],[STATUS]]="INATIVO","INATIVO",IF(Tabela1[[#This Row],[STATUS]]="QRT","INATIVO",IF(Tabela1[[#This Row],[OPERACIONAL]]&gt;7.99999,"BOM","RUIM"))),"")</f>
        <v>BOM</v>
      </c>
      <c r="Q159" s="21" t="s">
        <v>667</v>
      </c>
      <c r="R159" s="12" t="s">
        <v>708</v>
      </c>
      <c r="S159" s="12" t="s">
        <v>709</v>
      </c>
      <c r="T159" s="12" t="s">
        <v>315</v>
      </c>
      <c r="U15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5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59" s="12">
        <f>IF(AND(Tabela1[[#This Row],[SETOR]]="UTI",Tabela1[[#This Row],[M]]&lt;&gt;""),1,IF(AND(Tabela1[[#This Row],[SETOR]]="UTI (RJ)",Tabela1[[#This Row],[M]]&lt;&gt;""),1.5,0))</f>
        <v>0</v>
      </c>
      <c r="X159" s="12">
        <f>IF(AND(Tabela1[[#This Row],[SETOR]]="UTI",Tabela1[[#This Row],[PA2]]&lt;&gt;""),1,IF(AND(Tabela1[[#This Row],[SETOR]]="UTI (RJ)",Tabela1[[#This Row],[PA2]]&lt;&gt;""),0,0))</f>
        <v>0</v>
      </c>
      <c r="Y159" s="12">
        <f>IF(AND(Tabela1[[#This Row],[SETOR]]="UTI",Tabela1[[#This Row],[C]]&lt;&gt;""),1,IF(AND(Tabela1[[#This Row],[SETOR]]="UTI (RJ)",Tabela1[[#This Row],[C]]&lt;&gt;""),1.5,0))</f>
        <v>0</v>
      </c>
      <c r="Z159" s="12">
        <f>IF(AND(Tabela1[[#This Row],[SETOR]]="UTI",Tabela1[[#This Row],[PL]]&lt;&gt;""),1,IF(AND(Tabela1[[#This Row],[SETOR]]="UTI (RJ)",Tabela1[[#This Row],[PL]]&lt;&gt;""),1,0))</f>
        <v>0</v>
      </c>
      <c r="AA159" s="21">
        <f>IFERROR(VLOOKUP(Tabela1[[#This Row],[MÊS]]&amp;Tabela1[[#This Row],[MATRICULA]]&amp;"1"&amp;Tabela1[[#This Row],[SETOR]]&amp;"PADRÃO",BD!B:AF,31,0),"")</f>
        <v>8.3410000000000011</v>
      </c>
      <c r="AB159" s="21">
        <f>IFERROR(VLOOKUP(Tabela1[[#This Row],[MÊS]]&amp;Tabela1[[#This Row],[MATRICULA]]&amp;"2"&amp;Tabela1[[#This Row],[SETOR]]&amp;"PADRÃO",BD!B:AF,31,0),"")</f>
        <v>9.1810000000000009</v>
      </c>
      <c r="AC159" s="21" t="str">
        <f>IFERROR(VLOOKUP(Tabela1[[#This Row],[MÊS]]&amp;Tabela1[[#This Row],[MATRICULA]]&amp;"3"&amp;Tabela1[[#This Row],[SETOR]]&amp;"PADRÃO",BD!B:AF,31,0),"")</f>
        <v/>
      </c>
      <c r="AD159" s="21" t="str">
        <f>IFERROR(VLOOKUP(Tabela1[[#This Row],[MÊS]]&amp;Tabela1[[#This Row],[MATRICULA]]&amp;"4"&amp;Tabela1[[#This Row],[SETOR]]&amp;"PADRÃO",BD!B:AF,25,0),"")</f>
        <v/>
      </c>
      <c r="AE159" s="21" t="str">
        <f>IFERROR(VLOOKUP(Tabela1[[#This Row],[MÊS]]&amp;Tabela1[[#This Row],[MATRICULA]]&amp;"5"&amp;Tabela1[[#This Row],[SETOR]]&amp;"PADRÃO",BD!B:AF,31,0),"")</f>
        <v/>
      </c>
      <c r="AF159" s="21" t="str">
        <f>IFERROR(VLOOKUP(Tabela1[[#This Row],[MÊS]]&amp;Tabela1[[#This Row],[MATRICULA]]&amp;"6"&amp;Tabela1[[#This Row],[SETOR]]&amp;"PADRÃO",BD!B:AF,31,0),"")</f>
        <v/>
      </c>
      <c r="AG159" s="21" t="str">
        <f>IFERROR(VLOOKUP(Tabela1[[#This Row],[MÊS]]&amp;Tabela1[[#This Row],[MATRICULA]]&amp;"7"&amp;Tabela1[[#This Row],[SETOR]]&amp;"PADRÃO",BD!B:AF,31,0),"")</f>
        <v/>
      </c>
      <c r="AH159" s="21" t="str">
        <f>IFERROR(VLOOKUP(Tabela1[[#This Row],[MÊS]]&amp;Tabela1[[#This Row],[ID]]&amp;Tabela1[[#This Row],[MATRICULA]]&amp;"Receptiva"&amp;Tabela1[[#This Row],[SETOR]],BD!A:AF,31,0),"")</f>
        <v/>
      </c>
      <c r="AI159" s="21" t="str">
        <f>IFERROR(VLOOKUP(Tabela1[[#This Row],[MÊS]]&amp;Tabela1[[#This Row],[ID]]&amp;Tabela1[[#This Row],[MATRICULA]]&amp;"Receptiva 2"&amp;Tabela1[[#This Row],[SETOR]],BD!A:AF,31,0),"")</f>
        <v/>
      </c>
      <c r="AJ159" s="21" t="str">
        <f>IFERROR(VLOOKUP(Tabela1[[#This Row],[MÊS]]&amp;Tabela1[[#This Row],[ID]]&amp;Tabela1[[#This Row],[MATRICULA]]&amp;"Receptiva 3"&amp;Tabela1[[#This Row],[SETOR]],BD!A:AF,31,0),"")</f>
        <v/>
      </c>
      <c r="AK159" s="21" t="str">
        <f>IFERROR(VLOOKUP(Tabela1[[#This Row],[MÊS]]&amp;Tabela1[[#This Row],[ID]]&amp;Tabela1[[#This Row],[MATRICULA]]&amp;"Receptiva 4"&amp;Tabela1[[#This Row],[SETOR]],BD!A:AF,31,0),"")</f>
        <v/>
      </c>
      <c r="AL159" s="21" t="str">
        <f>IFERROR(VLOOKUP(Tabela1[[#This Row],[MÊS]]&amp;Tabela1[[#This Row],[MATRICULA]]&amp;"Motorista"&amp;Tabela1[[#This Row],[SETOR]],BD!A:AF,31,0),"")</f>
        <v/>
      </c>
      <c r="AM159" s="21" t="str">
        <f>IFERROR(VLOOKUP(Tabela1[[#This Row],[MÊS]]&amp;Tabela1[[#This Row],[ID]]&amp;Tabela1[[#This Row],[MATRICULA]]&amp;"Motorista 2"&amp;Tabela1[[#This Row],[SETOR]],BD!A:AF,26,0),"")</f>
        <v/>
      </c>
      <c r="AN159" s="21" t="str">
        <f>IFERROR(VLOOKUP(Tabela1[[#This Row],[MÊS]]&amp;Tabela1[[#This Row],[ID]]&amp;Tabela1[[#This Row],[MATRICULA]]&amp;"Motorista 3"&amp;Tabela1[[#This Row],[SETOR]],BD!A:AF,26,0),"")</f>
        <v/>
      </c>
      <c r="AO159" s="21" t="str">
        <f>IFERROR(VLOOKUP(Tabela1[[#This Row],[MÊS]]&amp;Tabela1[[#This Row],[ID]]&amp;Tabela1[[#This Row],[MATRICULA]]&amp;"Motorista 4"&amp;Tabela1[[#This Row],[SETOR]],BD!A:AF,26,0),"")</f>
        <v/>
      </c>
      <c r="AP159" s="21" t="str">
        <f>IFERROR(VLOOKUP(Tabela1[[#This Row],[MÊS]]&amp;Tabela1[[#This Row],[MATRICULA]]&amp;"Ponto de Apoio"&amp;Tabela1[[#This Row],[SETOR]],BD!A:AF,31,0),"")</f>
        <v/>
      </c>
      <c r="AQ159" s="21" t="str">
        <f>IFERROR(VLOOKUP(Tabela1[[#This Row],[MÊS]]&amp;Tabela1[[#This Row],[ID]]&amp;Tabela1[[#This Row],[MATRICULA]]&amp;"Ponto de Apoio 2"&amp;Tabela1[[#This Row],[SETOR]],BD!A:AF,26,0),"")</f>
        <v/>
      </c>
      <c r="AR159" s="36" t="str">
        <f>IFERROR(VLOOKUP(Tabela1[[#This Row],[MÊS]]&amp;Tabela1[[#This Row],[ID]]&amp;Tabela1[[#This Row],[MATRICULA]]&amp;"Ponto de Apoio 3"&amp;Tabela1[[#This Row],[SETOR]],BD!A:AF,26,0),"")</f>
        <v/>
      </c>
      <c r="AS159" s="36" t="str">
        <f>IFERROR(VLOOKUP(Tabela1[[#This Row],[MÊS]]&amp;Tabela1[[#This Row],[ID]]&amp;Tabela1[[#This Row],[MATRICULA]]&amp;"Ponto de Apoio 4"&amp;Tabela1[[#This Row],[SETOR]],BD!A:AF,26,0),"")</f>
        <v/>
      </c>
      <c r="AT159" s="21">
        <f>IFERROR(VLOOKUP(Tabela1[[#This Row],[MÊS]]&amp;Tabela1[[#This Row],[MATRICULA]]&amp;"Cliente"&amp;Tabela1[[#This Row],[SETOR]],BD!A:AF,31,0),"")</f>
        <v>0</v>
      </c>
      <c r="AU159" s="21" t="str">
        <f>IFERROR(VLOOKUP(Tabela1[[#This Row],[MÊS]]&amp;Tabela1[[#This Row],[ID]]&amp;Tabela1[[#This Row],[MATRICULA]]&amp;"Cliente 2"&amp;Tabela1[[#This Row],[SETOR]],BD!A:AF,26,0),"")</f>
        <v/>
      </c>
      <c r="AX159" s="21" t="str">
        <f>IFERROR(VLOOKUP(Tabela1[[#This Row],[MÊS]]&amp;Tabela1[[#This Row],[MATRICULA]]&amp;"Policia"&amp;Tabela1[[#This Row],[SETOR]],BD!A:AF,31,0),"")</f>
        <v/>
      </c>
      <c r="AY159" s="21" t="str">
        <f>IFERROR(VLOOKUP(Tabela1[[#This Row],[MÊS]]&amp;Tabela1[[#This Row],[ID]]&amp;Tabela1[[#This Row],[MATRICULA]]&amp;"Policia 2"&amp;Tabela1[[#This Row],[SETOR]],BD!A:AF,26,0),"")</f>
        <v/>
      </c>
      <c r="AZ159" s="36" t="str">
        <f>IFERROR(VLOOKUP(Tabela1[[#This Row],[MÊS]]&amp;Tabela1[[#This Row],[ID]]&amp;Tabela1[[#This Row],[MATRICULA]]&amp;"Policia 3"&amp;Tabela1[[#This Row],[SETOR]],BD!A:AF,26,0),"")</f>
        <v/>
      </c>
      <c r="BA159" s="36" t="str">
        <f>IFERROR(VLOOKUP(Tabela1[[#This Row],[MÊS]]&amp;Tabela1[[#This Row],[ID]]&amp;Tabela1[[#This Row],[MATRICULA]]&amp;"Policia 4"&amp;Tabela1[[#This Row],[SETOR]],BD!A:AF,26,0),"")</f>
        <v/>
      </c>
      <c r="BB15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59" s="21" t="str">
        <f>IFERROR(AVERAGE(Tabela1[[#This Row],[M]:[M4]]),"")</f>
        <v/>
      </c>
      <c r="BD159" s="21">
        <f>IFERROR(AVERAGE(Tabela1[[#This Row],[C]:[C4]]),"")</f>
        <v>0</v>
      </c>
      <c r="BE159" s="21" t="str">
        <f>IFERROR(AVERAGE(Tabela1[[#This Row],[PA2]:[PA 4]]),"")</f>
        <v/>
      </c>
      <c r="BF159" s="21" t="str">
        <f>IFERROR(AVERAGE(Tabela1[[#This Row],[PL]:[PL4]]),"")</f>
        <v/>
      </c>
      <c r="BG159" s="35" t="str">
        <f>IFERROR(VLOOKUP(Tabela1[[#This Row],[MÊS]]&amp;Tabela1[[#This Row],[MATRICULA]],#REF!,2,0),"")</f>
        <v/>
      </c>
      <c r="BH159" s="35" t="str">
        <f>IFERROR(VLOOKUP(Tabela1[[#This Row],[MÊS]]&amp;Tabela1[[#This Row],[MATRICULA]],#REF!,2,0),"")</f>
        <v/>
      </c>
      <c r="BI159" s="35" t="str">
        <f>IFERROR(VLOOKUP(Tabela1[[#This Row],[MÊS]]&amp;Tabela1[[#This Row],[MATRICULA]],#REF!,2,0),"")</f>
        <v/>
      </c>
      <c r="BJ159" s="35" t="str">
        <f>IFERROR(VLOOKUP(Tabela1[[#This Row],[MÊS]]&amp;Tabela1[[#This Row],[MATRICULA]],#REF!,2,0),"")</f>
        <v/>
      </c>
      <c r="BK159" s="35" t="str">
        <f>IFERROR(VLOOKUP(Tabela1[[#This Row],[MÊS]]&amp;Tabela1[[#This Row],[MATRICULA]],#REF!,2,0),"")</f>
        <v/>
      </c>
      <c r="BL159" s="21">
        <f>COUNTIF(Tabela1[[#This Row],[MOT2]:[RECEPTIVA]],"NÃO ENCONTRADA")</f>
        <v>0</v>
      </c>
      <c r="BM159" s="135" t="str">
        <f>IFERROR(VLOOKUP(Tabela1[[#This Row],[MÊS]]&amp;Tabela1[[#This Row],[ID]]&amp;Tabela1[[#This Row],[MATRICULA]]&amp;"Motorista"&amp;Tabela1[[#This Row],[SETOR]],BD!A:AF,13,0),"")</f>
        <v/>
      </c>
      <c r="BN159" s="135" t="str">
        <f>IFERROR(VLOOKUP(Tabela1[[#This Row],[MÊS]]&amp;Tabela1[[#This Row],[ID]]&amp;Tabela1[[#This Row],[MATRICULA]]&amp;"Motorista 2"&amp;Tabela1[[#This Row],[SETOR]],BD!A:AF,13,0),"")</f>
        <v/>
      </c>
      <c r="BO159" s="135" t="str">
        <f>IFERROR(VLOOKUP(Tabela1[[#This Row],[MÊS]]&amp;Tabela1[[#This Row],[ID]]&amp;Tabela1[[#This Row],[MATRICULA]]&amp;"Motorista 3"&amp;Tabela1[[#This Row],[SETOR]],BD!A:AF,13,0),"")</f>
        <v/>
      </c>
      <c r="BP159" s="135" t="str">
        <f>IFERROR(VLOOKUP(Tabela1[[#This Row],[MÊS]]&amp;Tabela1[[#This Row],[ID]]&amp;Tabela1[[#This Row],[MATRICULA]]&amp;"Motorista 4"&amp;Tabela1[[#This Row],[SETOR]],BD!A:AF,13,0),"")</f>
        <v/>
      </c>
      <c r="BQ159" s="135" t="str">
        <f>IFERROR(AVERAGE(Tabela1[[#This Row],[DMOT]:[DMOT4]]),"")</f>
        <v/>
      </c>
      <c r="BR159" s="135" t="str">
        <f>IFERROR(VLOOKUP(Tabela1[[#This Row],[MÊS]]&amp;Tabela1[[#This Row],[ID]]&amp;Tabela1[[#This Row],[MATRICULA]]&amp;"Ponto de Apoio"&amp;Tabela1[[#This Row],[SETOR]],BD!A:AF,13,0),"")</f>
        <v/>
      </c>
      <c r="BS159" s="135" t="str">
        <f>IFERROR(VLOOKUP(Tabela1[[#This Row],[MÊS]]&amp;Tabela1[[#This Row],[ID]]&amp;Tabela1[[#This Row],[MATRICULA]]&amp;"Ponto de Apoio 2"&amp;Tabela1[[#This Row],[SETOR]],BD!A:AF,13,0),"")</f>
        <v/>
      </c>
      <c r="BT159" s="135" t="str">
        <f>IFERROR(VLOOKUP(Tabela1[[#This Row],[MÊS]]&amp;Tabela1[[#This Row],[ID]]&amp;Tabela1[[#This Row],[MATRICULA]]&amp;"Ponto de Apoio 3"&amp;Tabela1[[#This Row],[SETOR]],BD!A:AF,13,0),"")</f>
        <v/>
      </c>
      <c r="BU159" s="135" t="str">
        <f>IFERROR(VLOOKUP(Tabela1[[#This Row],[MÊS]]&amp;Tabela1[[#This Row],[ID]]&amp;Tabela1[[#This Row],[MATRICULA]]&amp;"Ponto de Apoio 4"&amp;Tabela1[[#This Row],[SETOR]],BD!A:AF,13,0),"")</f>
        <v/>
      </c>
      <c r="BV159" s="135" t="str">
        <f>IFERROR(AVERAGE(Tabela1[[#This Row],[DPA]:[DPA 4]]),"")</f>
        <v/>
      </c>
      <c r="BW159" s="135" t="str">
        <f>IFERROR(VLOOKUP(Tabela1[[#This Row],[MÊS]]&amp;Tabela1[[#This Row],[ID]]&amp;Tabela1[[#This Row],[MATRICULA]]&amp;"Cliente"&amp;Tabela1[[#This Row],[SETOR]],BD!A:AF,13,0),"")</f>
        <v/>
      </c>
      <c r="BX159" s="135" t="str">
        <f>IFERROR(VLOOKUP(Tabela1[[#This Row],[MÊS]]&amp;Tabela1[[#This Row],[ID]]&amp;Tabela1[[#This Row],[MATRICULA]]&amp;"cliente 2"&amp;Tabela1[[#This Row],[SETOR]],BD!A:AF,13,0),"")</f>
        <v/>
      </c>
      <c r="BY159" s="135" t="str">
        <f>IFERROR(VLOOKUP(Tabela1[[#This Row],[MÊS]]&amp;Tabela1[[#This Row],[ID]]&amp;Tabela1[[#This Row],[MATRICULA]]&amp;"cliente 3"&amp;Tabela1[[#This Row],[SETOR]],BD!A:AF,13,0),"")</f>
        <v/>
      </c>
      <c r="BZ159" s="135" t="str">
        <f>IFERROR(VLOOKUP(Tabela1[[#This Row],[MÊS]]&amp;Tabela1[[#This Row],[ID]]&amp;Tabela1[[#This Row],[MATRICULA]]&amp;"cliente 4"&amp;Tabela1[[#This Row],[SETOR]],BD!A:AF,13,0),"")</f>
        <v/>
      </c>
      <c r="CA159" s="135" t="str">
        <f>IFERROR(AVERAGE(Tabela1[[#This Row],[DCLI]:[DCLI 4]]),"")</f>
        <v/>
      </c>
      <c r="CB159" s="135" t="str">
        <f>IFERROR(VLOOKUP(Tabela1[[#This Row],[MÊS]]&amp;Tabela1[[#This Row],[ID]]&amp;Tabela1[[#This Row],[MATRICULA]]&amp;"Policia"&amp;Tabela1[[#This Row],[SETOR]],BD!A:AF,13,0),"")</f>
        <v/>
      </c>
      <c r="CC159" s="135" t="str">
        <f>IFERROR(VLOOKUP(Tabela1[[#This Row],[MÊS]]&amp;Tabela1[[#This Row],[ID]]&amp;Tabela1[[#This Row],[MATRICULA]]&amp;"Policia 2"&amp;Tabela1[[#This Row],[SETOR]],BD!A:AF,13,0),"")</f>
        <v/>
      </c>
      <c r="CD159" s="135"/>
      <c r="CE159" s="135"/>
      <c r="CF159" s="135" t="str">
        <f>IFERROR((AVERAGE(Tabela1[[#This Row],[DPOL1]:[DPOL4]])),"")</f>
        <v/>
      </c>
      <c r="CG159" s="21" t="str">
        <f>IFERROR(VLOOKUP(Tabela1[[#This Row],[ID]]&amp;Tabela1[[#This Row],[MÊS]]&amp;Tabela1[[#This Row],[MATRICULA]],#REF!,2,0),"")</f>
        <v/>
      </c>
      <c r="CH159" s="21" t="str">
        <f>IFERROR(VLOOKUP(Tabela1[[#This Row],[ID]]&amp;Tabela1[[#This Row],[MÊS]]&amp;Tabela1[[#This Row],[MATRICULA]],#REF!,2,0),"")</f>
        <v/>
      </c>
      <c r="CI159" s="21" t="str">
        <f>IFERROR(VLOOKUP(Tabela1[[#This Row],[MÊS]]&amp;Tabela1[[#This Row],[MATRICULA]],#REF!,2,0),"")</f>
        <v/>
      </c>
    </row>
    <row r="160" spans="1:87">
      <c r="A160" s="12" t="str">
        <f>Tabela1[[#This Row],[MÊS]]&amp;Tabela1[[#This Row],[MATRICULA]]&amp;Tabela1[[#This Row],[ID]]</f>
        <v>JAN112312</v>
      </c>
      <c r="B160" s="12" t="str">
        <f>Tabela1[[#This Row],[MÊS]]&amp;Tabela1[[#This Row],[ID]]&amp;Tabela1[[#This Row],[MATRICULA]]&amp;Tabela1[[#This Row],[SETOR]]</f>
        <v>JAN211231LOGÍSTICA</v>
      </c>
      <c r="C160" s="130" t="e">
        <f>VLOOKUP(Tabela1[[#This Row],[MATRICULA]],'BD Campos'!A:D,5,0)</f>
        <v>#REF!</v>
      </c>
      <c r="D160" s="133" t="str">
        <f ca="1">IFERROR(SUM(TODAY()-Tabela1[[#This Row],[ADMISSÃO]]),"")</f>
        <v/>
      </c>
      <c r="E160" s="11" t="str">
        <f ca="1">IFERROR(TRUNC(Tabela1[[#This Row],[TEMPO DE CASA (DIAS)]]/30),"")</f>
        <v/>
      </c>
      <c r="F160" s="32" t="str">
        <f ca="1">IFERROR(SUM(Tabela1[[#This Row],[TEMPO DE CASA (MESES)]]/12),"")</f>
        <v/>
      </c>
      <c r="G160" s="133" t="str">
        <f ca="1">IF(Tabela1[[#This Row],[TEMPO DE CASA (DIAS)]]="","SEM DADOS",IF(Tabela1[[#This Row],[TEMPO DE CASA (DIAS)]]&gt;180,"&gt; 6 MESES","&lt; 6 MESES"))</f>
        <v>SEM DADOS</v>
      </c>
      <c r="H160" s="12" t="str">
        <f t="shared" si="15"/>
        <v>JANGiulia Machado2</v>
      </c>
      <c r="I160" s="12" t="str">
        <f>IFERROR(VLOOKUP(Tabela1[[#This Row],[MATRICULA]],'BD Campos'!A:F,7,0),"")</f>
        <v/>
      </c>
      <c r="J160" s="11">
        <v>2</v>
      </c>
      <c r="K160" s="11" t="s">
        <v>669</v>
      </c>
      <c r="L160" s="136">
        <v>11231</v>
      </c>
      <c r="M160" s="12" t="str">
        <f>IFERROR(VLOOKUP(Tabela1[[#This Row],[MATRICULA]],'BD Campos'!A:B,2,0),"")</f>
        <v>ARYELLE DE JESUS DA SILVA</v>
      </c>
      <c r="N160" s="20">
        <f>IFERROR(AVERAGE(Tabela1[[#This Row],[A1]:[A4]]),"")</f>
        <v>10</v>
      </c>
      <c r="O160" s="20" t="str">
        <f>IFERROR(IF(Tabela1[[#This Row],[SETOR]]="RECEPTIVO","",AVERAGE(Tabela1[[#This Row],[A5]:[A6]])),"")</f>
        <v/>
      </c>
      <c r="P160" s="20" t="str">
        <f>IFERROR(IF(Tabela1[[#This Row],[STATUS]]="INATIVO","INATIVO",IF(Tabela1[[#This Row],[STATUS]]="QRT","INATIVO",IF(Tabela1[[#This Row],[OPERACIONAL]]&gt;7.99999,"BOM","RUIM"))),"")</f>
        <v>BOM</v>
      </c>
      <c r="Q160" s="21" t="s">
        <v>667</v>
      </c>
      <c r="R160" s="12" t="s">
        <v>708</v>
      </c>
      <c r="S160" s="12" t="s">
        <v>709</v>
      </c>
      <c r="T160" s="12" t="s">
        <v>315</v>
      </c>
      <c r="U16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60" s="12">
        <f>IF(AND(Tabela1[[#This Row],[SETOR]]="UTI",Tabela1[[#This Row],[M]]&lt;&gt;""),1,IF(AND(Tabela1[[#This Row],[SETOR]]="UTI (RJ)",Tabela1[[#This Row],[M]]&lt;&gt;""),1.5,0))</f>
        <v>0</v>
      </c>
      <c r="X160" s="12">
        <f>IF(AND(Tabela1[[#This Row],[SETOR]]="UTI",Tabela1[[#This Row],[PA2]]&lt;&gt;""),1,IF(AND(Tabela1[[#This Row],[SETOR]]="UTI (RJ)",Tabela1[[#This Row],[PA2]]&lt;&gt;""),0,0))</f>
        <v>0</v>
      </c>
      <c r="Y160" s="12">
        <f>IF(AND(Tabela1[[#This Row],[SETOR]]="UTI",Tabela1[[#This Row],[C]]&lt;&gt;""),1,IF(AND(Tabela1[[#This Row],[SETOR]]="UTI (RJ)",Tabela1[[#This Row],[C]]&lt;&gt;""),1.5,0))</f>
        <v>0</v>
      </c>
      <c r="Z160" s="12">
        <f>IF(AND(Tabela1[[#This Row],[SETOR]]="UTI",Tabela1[[#This Row],[PL]]&lt;&gt;""),1,IF(AND(Tabela1[[#This Row],[SETOR]]="UTI (RJ)",Tabela1[[#This Row],[PL]]&lt;&gt;""),1,0))</f>
        <v>0</v>
      </c>
      <c r="AA160" s="21">
        <f>IFERROR(VLOOKUP(Tabela1[[#This Row],[MÊS]]&amp;Tabela1[[#This Row],[MATRICULA]]&amp;"1"&amp;Tabela1[[#This Row],[SETOR]]&amp;"PADRÃO",BD!B:AF,31,0),"")</f>
        <v>10</v>
      </c>
      <c r="AB160" s="21">
        <f>IFERROR(VLOOKUP(Tabela1[[#This Row],[MÊS]]&amp;Tabela1[[#This Row],[MATRICULA]]&amp;"2"&amp;Tabela1[[#This Row],[SETOR]]&amp;"PADRÃO",BD!B:AF,31,0),"")</f>
        <v>10.000000000000002</v>
      </c>
      <c r="AC160" s="21" t="str">
        <f>IFERROR(VLOOKUP(Tabela1[[#This Row],[MÊS]]&amp;Tabela1[[#This Row],[MATRICULA]]&amp;"3"&amp;Tabela1[[#This Row],[SETOR]]&amp;"PADRÃO",BD!B:AF,31,0),"")</f>
        <v/>
      </c>
      <c r="AD160" s="21" t="str">
        <f>IFERROR(VLOOKUP(Tabela1[[#This Row],[MÊS]]&amp;Tabela1[[#This Row],[MATRICULA]]&amp;"4"&amp;Tabela1[[#This Row],[SETOR]]&amp;"PADRÃO",BD!B:AF,25,0),"")</f>
        <v/>
      </c>
      <c r="AE160" s="21" t="str">
        <f>IFERROR(VLOOKUP(Tabela1[[#This Row],[MÊS]]&amp;Tabela1[[#This Row],[MATRICULA]]&amp;"5"&amp;Tabela1[[#This Row],[SETOR]]&amp;"PADRÃO",BD!B:AF,31,0),"")</f>
        <v/>
      </c>
      <c r="AF160" s="21" t="str">
        <f>IFERROR(VLOOKUP(Tabela1[[#This Row],[MÊS]]&amp;Tabela1[[#This Row],[MATRICULA]]&amp;"6"&amp;Tabela1[[#This Row],[SETOR]]&amp;"PADRÃO",BD!B:AF,31,0),"")</f>
        <v/>
      </c>
      <c r="AG160" s="21" t="str">
        <f>IFERROR(VLOOKUP(Tabela1[[#This Row],[MÊS]]&amp;Tabela1[[#This Row],[MATRICULA]]&amp;"7"&amp;Tabela1[[#This Row],[SETOR]]&amp;"PADRÃO",BD!B:AF,31,0),"")</f>
        <v/>
      </c>
      <c r="AH160" s="21" t="str">
        <f>IFERROR(VLOOKUP(Tabela1[[#This Row],[MÊS]]&amp;Tabela1[[#This Row],[ID]]&amp;Tabela1[[#This Row],[MATRICULA]]&amp;"Receptiva"&amp;Tabela1[[#This Row],[SETOR]],BD!A:AF,31,0),"")</f>
        <v/>
      </c>
      <c r="AI160" s="21" t="str">
        <f>IFERROR(VLOOKUP(Tabela1[[#This Row],[MÊS]]&amp;Tabela1[[#This Row],[ID]]&amp;Tabela1[[#This Row],[MATRICULA]]&amp;"Receptiva 2"&amp;Tabela1[[#This Row],[SETOR]],BD!A:AF,31,0),"")</f>
        <v/>
      </c>
      <c r="AJ160" s="21" t="str">
        <f>IFERROR(VLOOKUP(Tabela1[[#This Row],[MÊS]]&amp;Tabela1[[#This Row],[ID]]&amp;Tabela1[[#This Row],[MATRICULA]]&amp;"Receptiva 3"&amp;Tabela1[[#This Row],[SETOR]],BD!A:AF,31,0),"")</f>
        <v/>
      </c>
      <c r="AK160" s="21" t="str">
        <f>IFERROR(VLOOKUP(Tabela1[[#This Row],[MÊS]]&amp;Tabela1[[#This Row],[ID]]&amp;Tabela1[[#This Row],[MATRICULA]]&amp;"Receptiva 4"&amp;Tabela1[[#This Row],[SETOR]],BD!A:AF,31,0),"")</f>
        <v/>
      </c>
      <c r="AL160" s="21" t="str">
        <f>IFERROR(VLOOKUP(Tabela1[[#This Row],[MÊS]]&amp;Tabela1[[#This Row],[MATRICULA]]&amp;"Motorista"&amp;Tabela1[[#This Row],[SETOR]],BD!A:AF,31,0),"")</f>
        <v/>
      </c>
      <c r="AM160" s="21" t="str">
        <f>IFERROR(VLOOKUP(Tabela1[[#This Row],[MÊS]]&amp;Tabela1[[#This Row],[ID]]&amp;Tabela1[[#This Row],[MATRICULA]]&amp;"Motorista 2"&amp;Tabela1[[#This Row],[SETOR]],BD!A:AF,26,0),"")</f>
        <v/>
      </c>
      <c r="AN160" s="21" t="str">
        <f>IFERROR(VLOOKUP(Tabela1[[#This Row],[MÊS]]&amp;Tabela1[[#This Row],[ID]]&amp;Tabela1[[#This Row],[MATRICULA]]&amp;"Motorista 3"&amp;Tabela1[[#This Row],[SETOR]],BD!A:AF,26,0),"")</f>
        <v/>
      </c>
      <c r="AO160" s="21" t="str">
        <f>IFERROR(VLOOKUP(Tabela1[[#This Row],[MÊS]]&amp;Tabela1[[#This Row],[ID]]&amp;Tabela1[[#This Row],[MATRICULA]]&amp;"Motorista 4"&amp;Tabela1[[#This Row],[SETOR]],BD!A:AF,26,0),"")</f>
        <v/>
      </c>
      <c r="AP160" s="21" t="str">
        <f>IFERROR(VLOOKUP(Tabela1[[#This Row],[MÊS]]&amp;Tabela1[[#This Row],[MATRICULA]]&amp;"Ponto de Apoio"&amp;Tabela1[[#This Row],[SETOR]],BD!A:AF,31,0),"")</f>
        <v/>
      </c>
      <c r="AQ160" s="21" t="str">
        <f>IFERROR(VLOOKUP(Tabela1[[#This Row],[MÊS]]&amp;Tabela1[[#This Row],[ID]]&amp;Tabela1[[#This Row],[MATRICULA]]&amp;"Ponto de Apoio 2"&amp;Tabela1[[#This Row],[SETOR]],BD!A:AF,26,0),"")</f>
        <v/>
      </c>
      <c r="AR160" s="36" t="str">
        <f>IFERROR(VLOOKUP(Tabela1[[#This Row],[MÊS]]&amp;Tabela1[[#This Row],[ID]]&amp;Tabela1[[#This Row],[MATRICULA]]&amp;"Ponto de Apoio 3"&amp;Tabela1[[#This Row],[SETOR]],BD!A:AF,26,0),"")</f>
        <v/>
      </c>
      <c r="AS160" s="36" t="str">
        <f>IFERROR(VLOOKUP(Tabela1[[#This Row],[MÊS]]&amp;Tabela1[[#This Row],[ID]]&amp;Tabela1[[#This Row],[MATRICULA]]&amp;"Ponto de Apoio 4"&amp;Tabela1[[#This Row],[SETOR]],BD!A:AF,26,0),"")</f>
        <v/>
      </c>
      <c r="AT160" s="21" t="str">
        <f>IFERROR(VLOOKUP(Tabela1[[#This Row],[MÊS]]&amp;Tabela1[[#This Row],[MATRICULA]]&amp;"Cliente"&amp;Tabela1[[#This Row],[SETOR]],BD!A:AF,31,0),"")</f>
        <v>SIM</v>
      </c>
      <c r="AU160" s="21" t="str">
        <f>IFERROR(VLOOKUP(Tabela1[[#This Row],[MÊS]]&amp;Tabela1[[#This Row],[ID]]&amp;Tabela1[[#This Row],[MATRICULA]]&amp;"Cliente 2"&amp;Tabela1[[#This Row],[SETOR]],BD!A:AF,26,0),"")</f>
        <v/>
      </c>
      <c r="AX160" s="21" t="str">
        <f>IFERROR(VLOOKUP(Tabela1[[#This Row],[MÊS]]&amp;Tabela1[[#This Row],[MATRICULA]]&amp;"Policia"&amp;Tabela1[[#This Row],[SETOR]],BD!A:AF,31,0),"")</f>
        <v/>
      </c>
      <c r="AY160" s="21" t="str">
        <f>IFERROR(VLOOKUP(Tabela1[[#This Row],[MÊS]]&amp;Tabela1[[#This Row],[ID]]&amp;Tabela1[[#This Row],[MATRICULA]]&amp;"Policia 2"&amp;Tabela1[[#This Row],[SETOR]],BD!A:AF,26,0),"")</f>
        <v/>
      </c>
      <c r="AZ160" s="36" t="str">
        <f>IFERROR(VLOOKUP(Tabela1[[#This Row],[MÊS]]&amp;Tabela1[[#This Row],[ID]]&amp;Tabela1[[#This Row],[MATRICULA]]&amp;"Policia 3"&amp;Tabela1[[#This Row],[SETOR]],BD!A:AF,26,0),"")</f>
        <v/>
      </c>
      <c r="BA160" s="36" t="str">
        <f>IFERROR(VLOOKUP(Tabela1[[#This Row],[MÊS]]&amp;Tabela1[[#This Row],[ID]]&amp;Tabela1[[#This Row],[MATRICULA]]&amp;"Policia 4"&amp;Tabela1[[#This Row],[SETOR]],BD!A:AF,26,0),"")</f>
        <v/>
      </c>
      <c r="BB16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60" s="21" t="str">
        <f>IFERROR(AVERAGE(Tabela1[[#This Row],[M]:[M4]]),"")</f>
        <v/>
      </c>
      <c r="BD160" s="21" t="str">
        <f>IFERROR(AVERAGE(Tabela1[[#This Row],[C]:[C4]]),"")</f>
        <v/>
      </c>
      <c r="BE160" s="21" t="str">
        <f>IFERROR(AVERAGE(Tabela1[[#This Row],[PA2]:[PA 4]]),"")</f>
        <v/>
      </c>
      <c r="BF160" s="21" t="str">
        <f>IFERROR(AVERAGE(Tabela1[[#This Row],[PL]:[PL4]]),"")</f>
        <v/>
      </c>
      <c r="BG160" s="35" t="str">
        <f>IFERROR(VLOOKUP(Tabela1[[#This Row],[MÊS]]&amp;Tabela1[[#This Row],[MATRICULA]],#REF!,2,0),"")</f>
        <v/>
      </c>
      <c r="BH160" s="35" t="str">
        <f>IFERROR(VLOOKUP(Tabela1[[#This Row],[MÊS]]&amp;Tabela1[[#This Row],[MATRICULA]],#REF!,2,0),"")</f>
        <v/>
      </c>
      <c r="BI160" s="35" t="str">
        <f>IFERROR(VLOOKUP(Tabela1[[#This Row],[MÊS]]&amp;Tabela1[[#This Row],[MATRICULA]],#REF!,2,0),"")</f>
        <v/>
      </c>
      <c r="BJ160" s="35" t="str">
        <f>IFERROR(VLOOKUP(Tabela1[[#This Row],[MÊS]]&amp;Tabela1[[#This Row],[MATRICULA]],#REF!,2,0),"")</f>
        <v/>
      </c>
      <c r="BK160" s="35" t="str">
        <f>IFERROR(VLOOKUP(Tabela1[[#This Row],[MÊS]]&amp;Tabela1[[#This Row],[MATRICULA]],#REF!,2,0),"")</f>
        <v/>
      </c>
      <c r="BL160" s="21">
        <f>COUNTIF(Tabela1[[#This Row],[MOT2]:[RECEPTIVA]],"NÃO ENCONTRADA")</f>
        <v>0</v>
      </c>
      <c r="BM160" s="135" t="str">
        <f>IFERROR(VLOOKUP(Tabela1[[#This Row],[MÊS]]&amp;Tabela1[[#This Row],[ID]]&amp;Tabela1[[#This Row],[MATRICULA]]&amp;"Motorista"&amp;Tabela1[[#This Row],[SETOR]],BD!A:AF,13,0),"")</f>
        <v/>
      </c>
      <c r="BN160" s="135" t="str">
        <f>IFERROR(VLOOKUP(Tabela1[[#This Row],[MÊS]]&amp;Tabela1[[#This Row],[ID]]&amp;Tabela1[[#This Row],[MATRICULA]]&amp;"Motorista 2"&amp;Tabela1[[#This Row],[SETOR]],BD!A:AF,13,0),"")</f>
        <v/>
      </c>
      <c r="BO160" s="135" t="str">
        <f>IFERROR(VLOOKUP(Tabela1[[#This Row],[MÊS]]&amp;Tabela1[[#This Row],[ID]]&amp;Tabela1[[#This Row],[MATRICULA]]&amp;"Motorista 3"&amp;Tabela1[[#This Row],[SETOR]],BD!A:AF,13,0),"")</f>
        <v/>
      </c>
      <c r="BP160" s="135" t="str">
        <f>IFERROR(VLOOKUP(Tabela1[[#This Row],[MÊS]]&amp;Tabela1[[#This Row],[ID]]&amp;Tabela1[[#This Row],[MATRICULA]]&amp;"Motorista 4"&amp;Tabela1[[#This Row],[SETOR]],BD!A:AF,13,0),"")</f>
        <v/>
      </c>
      <c r="BQ160" s="135" t="str">
        <f>IFERROR(AVERAGE(Tabela1[[#This Row],[DMOT]:[DMOT4]]),"")</f>
        <v/>
      </c>
      <c r="BR160" s="135" t="str">
        <f>IFERROR(VLOOKUP(Tabela1[[#This Row],[MÊS]]&amp;Tabela1[[#This Row],[ID]]&amp;Tabela1[[#This Row],[MATRICULA]]&amp;"Ponto de Apoio"&amp;Tabela1[[#This Row],[SETOR]],BD!A:AF,13,0),"")</f>
        <v/>
      </c>
      <c r="BS160" s="135" t="str">
        <f>IFERROR(VLOOKUP(Tabela1[[#This Row],[MÊS]]&amp;Tabela1[[#This Row],[ID]]&amp;Tabela1[[#This Row],[MATRICULA]]&amp;"Ponto de Apoio 2"&amp;Tabela1[[#This Row],[SETOR]],BD!A:AF,13,0),"")</f>
        <v/>
      </c>
      <c r="BT160" s="135" t="str">
        <f>IFERROR(VLOOKUP(Tabela1[[#This Row],[MÊS]]&amp;Tabela1[[#This Row],[ID]]&amp;Tabela1[[#This Row],[MATRICULA]]&amp;"Ponto de Apoio 3"&amp;Tabela1[[#This Row],[SETOR]],BD!A:AF,13,0),"")</f>
        <v/>
      </c>
      <c r="BU160" s="135" t="str">
        <f>IFERROR(VLOOKUP(Tabela1[[#This Row],[MÊS]]&amp;Tabela1[[#This Row],[ID]]&amp;Tabela1[[#This Row],[MATRICULA]]&amp;"Ponto de Apoio 4"&amp;Tabela1[[#This Row],[SETOR]],BD!A:AF,13,0),"")</f>
        <v/>
      </c>
      <c r="BV160" s="135" t="str">
        <f>IFERROR(AVERAGE(Tabela1[[#This Row],[DPA]:[DPA 4]]),"")</f>
        <v/>
      </c>
      <c r="BW160" s="135" t="str">
        <f>IFERROR(VLOOKUP(Tabela1[[#This Row],[MÊS]]&amp;Tabela1[[#This Row],[ID]]&amp;Tabela1[[#This Row],[MATRICULA]]&amp;"Cliente"&amp;Tabela1[[#This Row],[SETOR]],BD!A:AF,13,0),"")</f>
        <v/>
      </c>
      <c r="BX160" s="135" t="str">
        <f>IFERROR(VLOOKUP(Tabela1[[#This Row],[MÊS]]&amp;Tabela1[[#This Row],[ID]]&amp;Tabela1[[#This Row],[MATRICULA]]&amp;"cliente 2"&amp;Tabela1[[#This Row],[SETOR]],BD!A:AF,13,0),"")</f>
        <v/>
      </c>
      <c r="BY160" s="135" t="str">
        <f>IFERROR(VLOOKUP(Tabela1[[#This Row],[MÊS]]&amp;Tabela1[[#This Row],[ID]]&amp;Tabela1[[#This Row],[MATRICULA]]&amp;"cliente 3"&amp;Tabela1[[#This Row],[SETOR]],BD!A:AF,13,0),"")</f>
        <v/>
      </c>
      <c r="BZ160" s="135" t="str">
        <f>IFERROR(VLOOKUP(Tabela1[[#This Row],[MÊS]]&amp;Tabela1[[#This Row],[ID]]&amp;Tabela1[[#This Row],[MATRICULA]]&amp;"cliente 4"&amp;Tabela1[[#This Row],[SETOR]],BD!A:AF,13,0),"")</f>
        <v/>
      </c>
      <c r="CA160" s="135" t="str">
        <f>IFERROR(AVERAGE(Tabela1[[#This Row],[DCLI]:[DCLI 4]]),"")</f>
        <v/>
      </c>
      <c r="CB160" s="135" t="str">
        <f>IFERROR(VLOOKUP(Tabela1[[#This Row],[MÊS]]&amp;Tabela1[[#This Row],[ID]]&amp;Tabela1[[#This Row],[MATRICULA]]&amp;"Policia"&amp;Tabela1[[#This Row],[SETOR]],BD!A:AF,13,0),"")</f>
        <v/>
      </c>
      <c r="CC160" s="135" t="str">
        <f>IFERROR(VLOOKUP(Tabela1[[#This Row],[MÊS]]&amp;Tabela1[[#This Row],[ID]]&amp;Tabela1[[#This Row],[MATRICULA]]&amp;"Policia 2"&amp;Tabela1[[#This Row],[SETOR]],BD!A:AF,13,0),"")</f>
        <v/>
      </c>
      <c r="CD160" s="135"/>
      <c r="CE160" s="135"/>
      <c r="CF160" s="135" t="str">
        <f>IFERROR((AVERAGE(Tabela1[[#This Row],[DPOL1]:[DPOL4]])),"")</f>
        <v/>
      </c>
      <c r="CG160" s="21" t="str">
        <f>IFERROR(VLOOKUP(Tabela1[[#This Row],[ID]]&amp;Tabela1[[#This Row],[MÊS]]&amp;Tabela1[[#This Row],[MATRICULA]],#REF!,2,0),"")</f>
        <v/>
      </c>
      <c r="CH160" s="21" t="str">
        <f>IFERROR(VLOOKUP(Tabela1[[#This Row],[ID]]&amp;Tabela1[[#This Row],[MÊS]]&amp;Tabela1[[#This Row],[MATRICULA]],#REF!,2,0),"")</f>
        <v/>
      </c>
      <c r="CI160" s="21" t="str">
        <f>IFERROR(VLOOKUP(Tabela1[[#This Row],[MÊS]]&amp;Tabela1[[#This Row],[MATRICULA]],#REF!,2,0),"")</f>
        <v/>
      </c>
    </row>
    <row r="161" spans="1:87">
      <c r="A161" s="12" t="str">
        <f>Tabela1[[#This Row],[MÊS]]&amp;Tabela1[[#This Row],[MATRICULA]]&amp;Tabela1[[#This Row],[ID]]</f>
        <v>JAN114443</v>
      </c>
      <c r="B161" s="12" t="str">
        <f>Tabela1[[#This Row],[MÊS]]&amp;Tabela1[[#This Row],[ID]]&amp;Tabela1[[#This Row],[MATRICULA]]&amp;Tabela1[[#This Row],[SETOR]]</f>
        <v>JAN311444LOGÍSTICA</v>
      </c>
      <c r="C161" s="130" t="e">
        <f>VLOOKUP(Tabela1[[#This Row],[MATRICULA]],'BD Campos'!A:D,5,0)</f>
        <v>#REF!</v>
      </c>
      <c r="D161" s="133" t="str">
        <f ca="1">IFERROR(SUM(TODAY()-Tabela1[[#This Row],[ADMISSÃO]]),"")</f>
        <v/>
      </c>
      <c r="E161" s="11" t="str">
        <f ca="1">IFERROR(TRUNC(Tabela1[[#This Row],[TEMPO DE CASA (DIAS)]]/30),"")</f>
        <v/>
      </c>
      <c r="F161" s="32" t="str">
        <f ca="1">IFERROR(SUM(Tabela1[[#This Row],[TEMPO DE CASA (MESES)]]/12),"")</f>
        <v/>
      </c>
      <c r="G161" s="133" t="str">
        <f ca="1">IF(Tabela1[[#This Row],[TEMPO DE CASA (DIAS)]]="","SEM DADOS",IF(Tabela1[[#This Row],[TEMPO DE CASA (DIAS)]]&gt;180,"&gt; 6 MESES","&lt; 6 MESES"))</f>
        <v>SEM DADOS</v>
      </c>
      <c r="H161" s="12" t="str">
        <f t="shared" si="15"/>
        <v>JANGiulia Machado3</v>
      </c>
      <c r="I161" s="12" t="str">
        <f>IFERROR(VLOOKUP(Tabela1[[#This Row],[MATRICULA]],'BD Campos'!A:F,7,0),"")</f>
        <v/>
      </c>
      <c r="J161" s="11">
        <v>3</v>
      </c>
      <c r="K161" s="11" t="s">
        <v>669</v>
      </c>
      <c r="L161" s="136">
        <v>11444</v>
      </c>
      <c r="M161" s="12" t="str">
        <f>IFERROR(VLOOKUP(Tabela1[[#This Row],[MATRICULA]],'BD Campos'!A:B,2,0),"")</f>
        <v>FELIPE CARLOS HUMMELGEN</v>
      </c>
      <c r="N161" s="20">
        <f>IFERROR(AVERAGE(Tabela1[[#This Row],[A1]:[A4]]),"")</f>
        <v>8.9080000000000013</v>
      </c>
      <c r="O161" s="20" t="str">
        <f>IFERROR(IF(Tabela1[[#This Row],[SETOR]]="RECEPTIVO","",AVERAGE(Tabela1[[#This Row],[A5]:[A6]])),"")</f>
        <v/>
      </c>
      <c r="P161" s="20" t="str">
        <f>IFERROR(IF(Tabela1[[#This Row],[STATUS]]="INATIVO","INATIVO",IF(Tabela1[[#This Row],[STATUS]]="QRT","INATIVO",IF(Tabela1[[#This Row],[OPERACIONAL]]&gt;7.99999,"BOM","RUIM"))),"")</f>
        <v>BOM</v>
      </c>
      <c r="Q161" s="21" t="s">
        <v>667</v>
      </c>
      <c r="R161" s="12" t="s">
        <v>708</v>
      </c>
      <c r="S161" s="12" t="s">
        <v>709</v>
      </c>
      <c r="T161" s="12" t="s">
        <v>315</v>
      </c>
      <c r="U16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61" s="12">
        <f>IF(AND(Tabela1[[#This Row],[SETOR]]="UTI",Tabela1[[#This Row],[M]]&lt;&gt;""),1,IF(AND(Tabela1[[#This Row],[SETOR]]="UTI (RJ)",Tabela1[[#This Row],[M]]&lt;&gt;""),1.5,0))</f>
        <v>0</v>
      </c>
      <c r="X161" s="12">
        <f>IF(AND(Tabela1[[#This Row],[SETOR]]="UTI",Tabela1[[#This Row],[PA2]]&lt;&gt;""),1,IF(AND(Tabela1[[#This Row],[SETOR]]="UTI (RJ)",Tabela1[[#This Row],[PA2]]&lt;&gt;""),0,0))</f>
        <v>0</v>
      </c>
      <c r="Y161" s="12">
        <f>IF(AND(Tabela1[[#This Row],[SETOR]]="UTI",Tabela1[[#This Row],[C]]&lt;&gt;""),1,IF(AND(Tabela1[[#This Row],[SETOR]]="UTI (RJ)",Tabela1[[#This Row],[C]]&lt;&gt;""),1.5,0))</f>
        <v>0</v>
      </c>
      <c r="Z161" s="12">
        <f>IF(AND(Tabela1[[#This Row],[SETOR]]="UTI",Tabela1[[#This Row],[PL]]&lt;&gt;""),1,IF(AND(Tabela1[[#This Row],[SETOR]]="UTI (RJ)",Tabela1[[#This Row],[PL]]&lt;&gt;""),1,0))</f>
        <v>0</v>
      </c>
      <c r="AA161" s="21">
        <f>IFERROR(VLOOKUP(Tabela1[[#This Row],[MÊS]]&amp;Tabela1[[#This Row],[MATRICULA]]&amp;"1"&amp;Tabela1[[#This Row],[SETOR]]&amp;"PADRÃO",BD!B:AF,31,0),"")</f>
        <v>9.3700000000000028</v>
      </c>
      <c r="AB161" s="21">
        <f>IFERROR(VLOOKUP(Tabela1[[#This Row],[MÊS]]&amp;Tabela1[[#This Row],[MATRICULA]]&amp;"2"&amp;Tabela1[[#This Row],[SETOR]]&amp;"PADRÃO",BD!B:AF,31,0),"")</f>
        <v>8.4460000000000015</v>
      </c>
      <c r="AC161" s="21" t="str">
        <f>IFERROR(VLOOKUP(Tabela1[[#This Row],[MÊS]]&amp;Tabela1[[#This Row],[MATRICULA]]&amp;"3"&amp;Tabela1[[#This Row],[SETOR]]&amp;"PADRÃO",BD!B:AF,31,0),"")</f>
        <v/>
      </c>
      <c r="AD161" s="21" t="str">
        <f>IFERROR(VLOOKUP(Tabela1[[#This Row],[MÊS]]&amp;Tabela1[[#This Row],[MATRICULA]]&amp;"4"&amp;Tabela1[[#This Row],[SETOR]]&amp;"PADRÃO",BD!B:AF,25,0),"")</f>
        <v/>
      </c>
      <c r="AE161" s="21" t="str">
        <f>IFERROR(VLOOKUP(Tabela1[[#This Row],[MÊS]]&amp;Tabela1[[#This Row],[MATRICULA]]&amp;"5"&amp;Tabela1[[#This Row],[SETOR]]&amp;"PADRÃO",BD!B:AF,31,0),"")</f>
        <v/>
      </c>
      <c r="AF161" s="21" t="str">
        <f>IFERROR(VLOOKUP(Tabela1[[#This Row],[MÊS]]&amp;Tabela1[[#This Row],[MATRICULA]]&amp;"6"&amp;Tabela1[[#This Row],[SETOR]]&amp;"PADRÃO",BD!B:AF,31,0),"")</f>
        <v/>
      </c>
      <c r="AG161" s="21" t="str">
        <f>IFERROR(VLOOKUP(Tabela1[[#This Row],[MÊS]]&amp;Tabela1[[#This Row],[MATRICULA]]&amp;"7"&amp;Tabela1[[#This Row],[SETOR]]&amp;"PADRÃO",BD!B:AF,31,0),"")</f>
        <v/>
      </c>
      <c r="AH161" s="21" t="str">
        <f>IFERROR(VLOOKUP(Tabela1[[#This Row],[MÊS]]&amp;Tabela1[[#This Row],[ID]]&amp;Tabela1[[#This Row],[MATRICULA]]&amp;"Receptiva"&amp;Tabela1[[#This Row],[SETOR]],BD!A:AF,31,0),"")</f>
        <v/>
      </c>
      <c r="AI161" s="21" t="str">
        <f>IFERROR(VLOOKUP(Tabela1[[#This Row],[MÊS]]&amp;Tabela1[[#This Row],[ID]]&amp;Tabela1[[#This Row],[MATRICULA]]&amp;"Receptiva 2"&amp;Tabela1[[#This Row],[SETOR]],BD!A:AF,31,0),"")</f>
        <v/>
      </c>
      <c r="AJ161" s="21" t="str">
        <f>IFERROR(VLOOKUP(Tabela1[[#This Row],[MÊS]]&amp;Tabela1[[#This Row],[ID]]&amp;Tabela1[[#This Row],[MATRICULA]]&amp;"Receptiva 3"&amp;Tabela1[[#This Row],[SETOR]],BD!A:AF,31,0),"")</f>
        <v/>
      </c>
      <c r="AK161" s="21" t="str">
        <f>IFERROR(VLOOKUP(Tabela1[[#This Row],[MÊS]]&amp;Tabela1[[#This Row],[ID]]&amp;Tabela1[[#This Row],[MATRICULA]]&amp;"Receptiva 4"&amp;Tabela1[[#This Row],[SETOR]],BD!A:AF,31,0),"")</f>
        <v/>
      </c>
      <c r="AL161" s="21" t="str">
        <f>IFERROR(VLOOKUP(Tabela1[[#This Row],[MÊS]]&amp;Tabela1[[#This Row],[MATRICULA]]&amp;"Motorista"&amp;Tabela1[[#This Row],[SETOR]],BD!A:AF,31,0),"")</f>
        <v/>
      </c>
      <c r="AM161" s="21" t="str">
        <f>IFERROR(VLOOKUP(Tabela1[[#This Row],[MÊS]]&amp;Tabela1[[#This Row],[ID]]&amp;Tabela1[[#This Row],[MATRICULA]]&amp;"Motorista 2"&amp;Tabela1[[#This Row],[SETOR]],BD!A:AF,26,0),"")</f>
        <v/>
      </c>
      <c r="AN161" s="21" t="str">
        <f>IFERROR(VLOOKUP(Tabela1[[#This Row],[MÊS]]&amp;Tabela1[[#This Row],[ID]]&amp;Tabela1[[#This Row],[MATRICULA]]&amp;"Motorista 3"&amp;Tabela1[[#This Row],[SETOR]],BD!A:AF,26,0),"")</f>
        <v/>
      </c>
      <c r="AO161" s="21" t="str">
        <f>IFERROR(VLOOKUP(Tabela1[[#This Row],[MÊS]]&amp;Tabela1[[#This Row],[ID]]&amp;Tabela1[[#This Row],[MATRICULA]]&amp;"Motorista 4"&amp;Tabela1[[#This Row],[SETOR]],BD!A:AF,26,0),"")</f>
        <v/>
      </c>
      <c r="AP161" s="21" t="str">
        <f>IFERROR(VLOOKUP(Tabela1[[#This Row],[MÊS]]&amp;Tabela1[[#This Row],[MATRICULA]]&amp;"Ponto de Apoio"&amp;Tabela1[[#This Row],[SETOR]],BD!A:AF,31,0),"")</f>
        <v/>
      </c>
      <c r="AQ161" s="21" t="str">
        <f>IFERROR(VLOOKUP(Tabela1[[#This Row],[MÊS]]&amp;Tabela1[[#This Row],[ID]]&amp;Tabela1[[#This Row],[MATRICULA]]&amp;"Ponto de Apoio 2"&amp;Tabela1[[#This Row],[SETOR]],BD!A:AF,26,0),"")</f>
        <v/>
      </c>
      <c r="AR161" s="36" t="str">
        <f>IFERROR(VLOOKUP(Tabela1[[#This Row],[MÊS]]&amp;Tabela1[[#This Row],[ID]]&amp;Tabela1[[#This Row],[MATRICULA]]&amp;"Ponto de Apoio 3"&amp;Tabela1[[#This Row],[SETOR]],BD!A:AF,26,0),"")</f>
        <v/>
      </c>
      <c r="AS161" s="36" t="str">
        <f>IFERROR(VLOOKUP(Tabela1[[#This Row],[MÊS]]&amp;Tabela1[[#This Row],[ID]]&amp;Tabela1[[#This Row],[MATRICULA]]&amp;"Ponto de Apoio 4"&amp;Tabela1[[#This Row],[SETOR]],BD!A:AF,26,0),"")</f>
        <v/>
      </c>
      <c r="AT161" s="21">
        <f>IFERROR(VLOOKUP(Tabela1[[#This Row],[MÊS]]&amp;Tabela1[[#This Row],[MATRICULA]]&amp;"Cliente"&amp;Tabela1[[#This Row],[SETOR]],BD!A:AF,31,0),"")</f>
        <v>0</v>
      </c>
      <c r="AU161" s="21" t="str">
        <f>IFERROR(VLOOKUP(Tabela1[[#This Row],[MÊS]]&amp;Tabela1[[#This Row],[ID]]&amp;Tabela1[[#This Row],[MATRICULA]]&amp;"Cliente 2"&amp;Tabela1[[#This Row],[SETOR]],BD!A:AF,26,0),"")</f>
        <v/>
      </c>
      <c r="AX161" s="21" t="str">
        <f>IFERROR(VLOOKUP(Tabela1[[#This Row],[MÊS]]&amp;Tabela1[[#This Row],[MATRICULA]]&amp;"Policia"&amp;Tabela1[[#This Row],[SETOR]],BD!A:AF,31,0),"")</f>
        <v/>
      </c>
      <c r="AY161" s="21" t="str">
        <f>IFERROR(VLOOKUP(Tabela1[[#This Row],[MÊS]]&amp;Tabela1[[#This Row],[ID]]&amp;Tabela1[[#This Row],[MATRICULA]]&amp;"Policia 2"&amp;Tabela1[[#This Row],[SETOR]],BD!A:AF,26,0),"")</f>
        <v/>
      </c>
      <c r="AZ161" s="36" t="str">
        <f>IFERROR(VLOOKUP(Tabela1[[#This Row],[MÊS]]&amp;Tabela1[[#This Row],[ID]]&amp;Tabela1[[#This Row],[MATRICULA]]&amp;"Policia 3"&amp;Tabela1[[#This Row],[SETOR]],BD!A:AF,26,0),"")</f>
        <v/>
      </c>
      <c r="BA161" s="36" t="str">
        <f>IFERROR(VLOOKUP(Tabela1[[#This Row],[MÊS]]&amp;Tabela1[[#This Row],[ID]]&amp;Tabela1[[#This Row],[MATRICULA]]&amp;"Policia 4"&amp;Tabela1[[#This Row],[SETOR]],BD!A:AF,26,0),"")</f>
        <v/>
      </c>
      <c r="BB16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61" s="21" t="str">
        <f>IFERROR(AVERAGE(Tabela1[[#This Row],[M]:[M4]]),"")</f>
        <v/>
      </c>
      <c r="BD161" s="21">
        <f>IFERROR(AVERAGE(Tabela1[[#This Row],[C]:[C4]]),"")</f>
        <v>0</v>
      </c>
      <c r="BE161" s="21" t="str">
        <f>IFERROR(AVERAGE(Tabela1[[#This Row],[PA2]:[PA 4]]),"")</f>
        <v/>
      </c>
      <c r="BF161" s="21" t="str">
        <f>IFERROR(AVERAGE(Tabela1[[#This Row],[PL]:[PL4]]),"")</f>
        <v/>
      </c>
      <c r="BG161" s="35" t="str">
        <f>IFERROR(VLOOKUP(Tabela1[[#This Row],[MÊS]]&amp;Tabela1[[#This Row],[MATRICULA]],#REF!,2,0),"")</f>
        <v/>
      </c>
      <c r="BH161" s="35" t="str">
        <f>IFERROR(VLOOKUP(Tabela1[[#This Row],[MÊS]]&amp;Tabela1[[#This Row],[MATRICULA]],#REF!,2,0),"")</f>
        <v/>
      </c>
      <c r="BI161" s="35" t="str">
        <f>IFERROR(VLOOKUP(Tabela1[[#This Row],[MÊS]]&amp;Tabela1[[#This Row],[MATRICULA]],#REF!,2,0),"")</f>
        <v/>
      </c>
      <c r="BJ161" s="35" t="str">
        <f>IFERROR(VLOOKUP(Tabela1[[#This Row],[MÊS]]&amp;Tabela1[[#This Row],[MATRICULA]],#REF!,2,0),"")</f>
        <v/>
      </c>
      <c r="BK161" s="35" t="str">
        <f>IFERROR(VLOOKUP(Tabela1[[#This Row],[MÊS]]&amp;Tabela1[[#This Row],[MATRICULA]],#REF!,2,0),"")</f>
        <v/>
      </c>
      <c r="BL161" s="21">
        <f>COUNTIF(Tabela1[[#This Row],[MOT2]:[RECEPTIVA]],"NÃO ENCONTRADA")</f>
        <v>0</v>
      </c>
      <c r="BM161" s="135" t="str">
        <f>IFERROR(VLOOKUP(Tabela1[[#This Row],[MÊS]]&amp;Tabela1[[#This Row],[ID]]&amp;Tabela1[[#This Row],[MATRICULA]]&amp;"Motorista"&amp;Tabela1[[#This Row],[SETOR]],BD!A:AF,13,0),"")</f>
        <v/>
      </c>
      <c r="BN161" s="135" t="str">
        <f>IFERROR(VLOOKUP(Tabela1[[#This Row],[MÊS]]&amp;Tabela1[[#This Row],[ID]]&amp;Tabela1[[#This Row],[MATRICULA]]&amp;"Motorista 2"&amp;Tabela1[[#This Row],[SETOR]],BD!A:AF,13,0),"")</f>
        <v/>
      </c>
      <c r="BO161" s="135" t="str">
        <f>IFERROR(VLOOKUP(Tabela1[[#This Row],[MÊS]]&amp;Tabela1[[#This Row],[ID]]&amp;Tabela1[[#This Row],[MATRICULA]]&amp;"Motorista 3"&amp;Tabela1[[#This Row],[SETOR]],BD!A:AF,13,0),"")</f>
        <v/>
      </c>
      <c r="BP161" s="135" t="str">
        <f>IFERROR(VLOOKUP(Tabela1[[#This Row],[MÊS]]&amp;Tabela1[[#This Row],[ID]]&amp;Tabela1[[#This Row],[MATRICULA]]&amp;"Motorista 4"&amp;Tabela1[[#This Row],[SETOR]],BD!A:AF,13,0),"")</f>
        <v/>
      </c>
      <c r="BQ161" s="135" t="str">
        <f>IFERROR(AVERAGE(Tabela1[[#This Row],[DMOT]:[DMOT4]]),"")</f>
        <v/>
      </c>
      <c r="BR161" s="135" t="str">
        <f>IFERROR(VLOOKUP(Tabela1[[#This Row],[MÊS]]&amp;Tabela1[[#This Row],[ID]]&amp;Tabela1[[#This Row],[MATRICULA]]&amp;"Ponto de Apoio"&amp;Tabela1[[#This Row],[SETOR]],BD!A:AF,13,0),"")</f>
        <v/>
      </c>
      <c r="BS161" s="135" t="str">
        <f>IFERROR(VLOOKUP(Tabela1[[#This Row],[MÊS]]&amp;Tabela1[[#This Row],[ID]]&amp;Tabela1[[#This Row],[MATRICULA]]&amp;"Ponto de Apoio 2"&amp;Tabela1[[#This Row],[SETOR]],BD!A:AF,13,0),"")</f>
        <v/>
      </c>
      <c r="BT161" s="135" t="str">
        <f>IFERROR(VLOOKUP(Tabela1[[#This Row],[MÊS]]&amp;Tabela1[[#This Row],[ID]]&amp;Tabela1[[#This Row],[MATRICULA]]&amp;"Ponto de Apoio 3"&amp;Tabela1[[#This Row],[SETOR]],BD!A:AF,13,0),"")</f>
        <v/>
      </c>
      <c r="BU161" s="135" t="str">
        <f>IFERROR(VLOOKUP(Tabela1[[#This Row],[MÊS]]&amp;Tabela1[[#This Row],[ID]]&amp;Tabela1[[#This Row],[MATRICULA]]&amp;"Ponto de Apoio 4"&amp;Tabela1[[#This Row],[SETOR]],BD!A:AF,13,0),"")</f>
        <v/>
      </c>
      <c r="BV161" s="135" t="str">
        <f>IFERROR(AVERAGE(Tabela1[[#This Row],[DPA]:[DPA 4]]),"")</f>
        <v/>
      </c>
      <c r="BW161" s="135" t="str">
        <f>IFERROR(VLOOKUP(Tabela1[[#This Row],[MÊS]]&amp;Tabela1[[#This Row],[ID]]&amp;Tabela1[[#This Row],[MATRICULA]]&amp;"Cliente"&amp;Tabela1[[#This Row],[SETOR]],BD!A:AF,13,0),"")</f>
        <v/>
      </c>
      <c r="BX161" s="135" t="str">
        <f>IFERROR(VLOOKUP(Tabela1[[#This Row],[MÊS]]&amp;Tabela1[[#This Row],[ID]]&amp;Tabela1[[#This Row],[MATRICULA]]&amp;"cliente 2"&amp;Tabela1[[#This Row],[SETOR]],BD!A:AF,13,0),"")</f>
        <v/>
      </c>
      <c r="BY161" s="135" t="str">
        <f>IFERROR(VLOOKUP(Tabela1[[#This Row],[MÊS]]&amp;Tabela1[[#This Row],[ID]]&amp;Tabela1[[#This Row],[MATRICULA]]&amp;"cliente 3"&amp;Tabela1[[#This Row],[SETOR]],BD!A:AF,13,0),"")</f>
        <v/>
      </c>
      <c r="BZ161" s="135" t="str">
        <f>IFERROR(VLOOKUP(Tabela1[[#This Row],[MÊS]]&amp;Tabela1[[#This Row],[ID]]&amp;Tabela1[[#This Row],[MATRICULA]]&amp;"cliente 4"&amp;Tabela1[[#This Row],[SETOR]],BD!A:AF,13,0),"")</f>
        <v/>
      </c>
      <c r="CA161" s="135" t="str">
        <f>IFERROR(AVERAGE(Tabela1[[#This Row],[DCLI]:[DCLI 4]]),"")</f>
        <v/>
      </c>
      <c r="CB161" s="135" t="str">
        <f>IFERROR(VLOOKUP(Tabela1[[#This Row],[MÊS]]&amp;Tabela1[[#This Row],[ID]]&amp;Tabela1[[#This Row],[MATRICULA]]&amp;"Policia"&amp;Tabela1[[#This Row],[SETOR]],BD!A:AF,13,0),"")</f>
        <v/>
      </c>
      <c r="CC161" s="135" t="str">
        <f>IFERROR(VLOOKUP(Tabela1[[#This Row],[MÊS]]&amp;Tabela1[[#This Row],[ID]]&amp;Tabela1[[#This Row],[MATRICULA]]&amp;"Policia 2"&amp;Tabela1[[#This Row],[SETOR]],BD!A:AF,13,0),"")</f>
        <v/>
      </c>
      <c r="CD161" s="135"/>
      <c r="CE161" s="135"/>
      <c r="CF161" s="135" t="str">
        <f>IFERROR((AVERAGE(Tabela1[[#This Row],[DPOL1]:[DPOL4]])),"")</f>
        <v/>
      </c>
      <c r="CG161" s="21" t="str">
        <f>IFERROR(VLOOKUP(Tabela1[[#This Row],[ID]]&amp;Tabela1[[#This Row],[MÊS]]&amp;Tabela1[[#This Row],[MATRICULA]],#REF!,2,0),"")</f>
        <v/>
      </c>
      <c r="CH161" s="21" t="str">
        <f>IFERROR(VLOOKUP(Tabela1[[#This Row],[ID]]&amp;Tabela1[[#This Row],[MÊS]]&amp;Tabela1[[#This Row],[MATRICULA]],#REF!,2,0),"")</f>
        <v/>
      </c>
      <c r="CI161" s="21" t="str">
        <f>IFERROR(VLOOKUP(Tabela1[[#This Row],[MÊS]]&amp;Tabela1[[#This Row],[MATRICULA]],#REF!,2,0),"")</f>
        <v/>
      </c>
    </row>
    <row r="162" spans="1:87">
      <c r="A162" s="12" t="str">
        <f>Tabela1[[#This Row],[MÊS]]&amp;Tabela1[[#This Row],[MATRICULA]]&amp;Tabela1[[#This Row],[ID]]</f>
        <v>JAN114884</v>
      </c>
      <c r="B162" s="12" t="str">
        <f>Tabela1[[#This Row],[MÊS]]&amp;Tabela1[[#This Row],[ID]]&amp;Tabela1[[#This Row],[MATRICULA]]&amp;Tabela1[[#This Row],[SETOR]]</f>
        <v>JAN411488LOGÍSTICA</v>
      </c>
      <c r="C162" s="130" t="e">
        <f>VLOOKUP(Tabela1[[#This Row],[MATRICULA]],'BD Campos'!A:D,5,0)</f>
        <v>#REF!</v>
      </c>
      <c r="D162" s="133" t="str">
        <f ca="1">IFERROR(SUM(TODAY()-Tabela1[[#This Row],[ADMISSÃO]]),"")</f>
        <v/>
      </c>
      <c r="E162" s="11" t="str">
        <f ca="1">IFERROR(TRUNC(Tabela1[[#This Row],[TEMPO DE CASA (DIAS)]]/30),"")</f>
        <v/>
      </c>
      <c r="F162" s="32" t="str">
        <f ca="1">IFERROR(SUM(Tabela1[[#This Row],[TEMPO DE CASA (MESES)]]/12),"")</f>
        <v/>
      </c>
      <c r="G162" s="133" t="str">
        <f ca="1">IF(Tabela1[[#This Row],[TEMPO DE CASA (DIAS)]]="","SEM DADOS",IF(Tabela1[[#This Row],[TEMPO DE CASA (DIAS)]]&gt;180,"&gt; 6 MESES","&lt; 6 MESES"))</f>
        <v>SEM DADOS</v>
      </c>
      <c r="H162" s="12" t="str">
        <f t="shared" si="15"/>
        <v>JANGiulia Machado4</v>
      </c>
      <c r="I162" s="12" t="str">
        <f>IFERROR(VLOOKUP(Tabela1[[#This Row],[MATRICULA]],'BD Campos'!A:F,7,0),"")</f>
        <v/>
      </c>
      <c r="J162" s="11">
        <v>4</v>
      </c>
      <c r="K162" s="11" t="s">
        <v>669</v>
      </c>
      <c r="L162" s="136">
        <v>11488</v>
      </c>
      <c r="M162" s="12" t="str">
        <f>IFERROR(VLOOKUP(Tabela1[[#This Row],[MATRICULA]],'BD Campos'!A:B,2,0),"")</f>
        <v>GABRIELA LUIZA MARTINS DE CARVALHO</v>
      </c>
      <c r="N162" s="20">
        <f>IFERROR(AVERAGE(Tabela1[[#This Row],[A1]:[A4]]),"")</f>
        <v>7.8580000000000005</v>
      </c>
      <c r="O162" s="20" t="str">
        <f>IFERROR(IF(Tabela1[[#This Row],[SETOR]]="RECEPTIVO","",AVERAGE(Tabela1[[#This Row],[A5]:[A6]])),"")</f>
        <v/>
      </c>
      <c r="P162" s="20" t="str">
        <f>IFERROR(IF(Tabela1[[#This Row],[STATUS]]="INATIVO","INATIVO",IF(Tabela1[[#This Row],[STATUS]]="QRT","INATIVO",IF(Tabela1[[#This Row],[OPERACIONAL]]&gt;7.99999,"BOM","RUIM"))),"")</f>
        <v>RUIM</v>
      </c>
      <c r="Q162" s="21" t="s">
        <v>667</v>
      </c>
      <c r="R162" s="12" t="s">
        <v>708</v>
      </c>
      <c r="S162" s="12" t="s">
        <v>709</v>
      </c>
      <c r="T162" s="12" t="s">
        <v>315</v>
      </c>
      <c r="U16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62" s="12">
        <f>IF(AND(Tabela1[[#This Row],[SETOR]]="UTI",Tabela1[[#This Row],[M]]&lt;&gt;""),1,IF(AND(Tabela1[[#This Row],[SETOR]]="UTI (RJ)",Tabela1[[#This Row],[M]]&lt;&gt;""),1.5,0))</f>
        <v>0</v>
      </c>
      <c r="X162" s="12">
        <f>IF(AND(Tabela1[[#This Row],[SETOR]]="UTI",Tabela1[[#This Row],[PA2]]&lt;&gt;""),1,IF(AND(Tabela1[[#This Row],[SETOR]]="UTI (RJ)",Tabela1[[#This Row],[PA2]]&lt;&gt;""),0,0))</f>
        <v>0</v>
      </c>
      <c r="Y162" s="12">
        <f>IF(AND(Tabela1[[#This Row],[SETOR]]="UTI",Tabela1[[#This Row],[C]]&lt;&gt;""),1,IF(AND(Tabela1[[#This Row],[SETOR]]="UTI (RJ)",Tabela1[[#This Row],[C]]&lt;&gt;""),1.5,0))</f>
        <v>0</v>
      </c>
      <c r="Z162" s="12">
        <f>IF(AND(Tabela1[[#This Row],[SETOR]]="UTI",Tabela1[[#This Row],[PL]]&lt;&gt;""),1,IF(AND(Tabela1[[#This Row],[SETOR]]="UTI (RJ)",Tabela1[[#This Row],[PL]]&lt;&gt;""),1,0))</f>
        <v>0</v>
      </c>
      <c r="AA162" s="21">
        <f>IFERROR(VLOOKUP(Tabela1[[#This Row],[MÊS]]&amp;Tabela1[[#This Row],[MATRICULA]]&amp;"1"&amp;Tabela1[[#This Row],[SETOR]]&amp;"PADRÃO",BD!B:AF,31,0),"")</f>
        <v>7.6060000000000008</v>
      </c>
      <c r="AB162" s="21">
        <f>IFERROR(VLOOKUP(Tabela1[[#This Row],[MÊS]]&amp;Tabela1[[#This Row],[MATRICULA]]&amp;"2"&amp;Tabela1[[#This Row],[SETOR]]&amp;"PADRÃO",BD!B:AF,31,0),"")</f>
        <v>8.1100000000000012</v>
      </c>
      <c r="AC162" s="21" t="str">
        <f>IFERROR(VLOOKUP(Tabela1[[#This Row],[MÊS]]&amp;Tabela1[[#This Row],[MATRICULA]]&amp;"3"&amp;Tabela1[[#This Row],[SETOR]]&amp;"PADRÃO",BD!B:AF,31,0),"")</f>
        <v/>
      </c>
      <c r="AD162" s="21" t="str">
        <f>IFERROR(VLOOKUP(Tabela1[[#This Row],[MÊS]]&amp;Tabela1[[#This Row],[MATRICULA]]&amp;"4"&amp;Tabela1[[#This Row],[SETOR]]&amp;"PADRÃO",BD!B:AF,25,0),"")</f>
        <v/>
      </c>
      <c r="AE162" s="21" t="str">
        <f>IFERROR(VLOOKUP(Tabela1[[#This Row],[MÊS]]&amp;Tabela1[[#This Row],[MATRICULA]]&amp;"5"&amp;Tabela1[[#This Row],[SETOR]]&amp;"PADRÃO",BD!B:AF,31,0),"")</f>
        <v/>
      </c>
      <c r="AF162" s="21" t="str">
        <f>IFERROR(VLOOKUP(Tabela1[[#This Row],[MÊS]]&amp;Tabela1[[#This Row],[MATRICULA]]&amp;"6"&amp;Tabela1[[#This Row],[SETOR]]&amp;"PADRÃO",BD!B:AF,31,0),"")</f>
        <v/>
      </c>
      <c r="AG162" s="21" t="str">
        <f>IFERROR(VLOOKUP(Tabela1[[#This Row],[MÊS]]&amp;Tabela1[[#This Row],[MATRICULA]]&amp;"7"&amp;Tabela1[[#This Row],[SETOR]]&amp;"PADRÃO",BD!B:AF,31,0),"")</f>
        <v/>
      </c>
      <c r="AH162" s="21" t="str">
        <f>IFERROR(VLOOKUP(Tabela1[[#This Row],[MÊS]]&amp;Tabela1[[#This Row],[ID]]&amp;Tabela1[[#This Row],[MATRICULA]]&amp;"Receptiva"&amp;Tabela1[[#This Row],[SETOR]],BD!A:AF,31,0),"")</f>
        <v/>
      </c>
      <c r="AI162" s="21" t="str">
        <f>IFERROR(VLOOKUP(Tabela1[[#This Row],[MÊS]]&amp;Tabela1[[#This Row],[ID]]&amp;Tabela1[[#This Row],[MATRICULA]]&amp;"Receptiva 2"&amp;Tabela1[[#This Row],[SETOR]],BD!A:AF,31,0),"")</f>
        <v/>
      </c>
      <c r="AJ162" s="21" t="str">
        <f>IFERROR(VLOOKUP(Tabela1[[#This Row],[MÊS]]&amp;Tabela1[[#This Row],[ID]]&amp;Tabela1[[#This Row],[MATRICULA]]&amp;"Receptiva 3"&amp;Tabela1[[#This Row],[SETOR]],BD!A:AF,31,0),"")</f>
        <v/>
      </c>
      <c r="AK162" s="21" t="str">
        <f>IFERROR(VLOOKUP(Tabela1[[#This Row],[MÊS]]&amp;Tabela1[[#This Row],[ID]]&amp;Tabela1[[#This Row],[MATRICULA]]&amp;"Receptiva 4"&amp;Tabela1[[#This Row],[SETOR]],BD!A:AF,31,0),"")</f>
        <v/>
      </c>
      <c r="AL162" s="21" t="str">
        <f>IFERROR(VLOOKUP(Tabela1[[#This Row],[MÊS]]&amp;Tabela1[[#This Row],[MATRICULA]]&amp;"Motorista"&amp;Tabela1[[#This Row],[SETOR]],BD!A:AF,31,0),"")</f>
        <v/>
      </c>
      <c r="AM162" s="21" t="str">
        <f>IFERROR(VLOOKUP(Tabela1[[#This Row],[MÊS]]&amp;Tabela1[[#This Row],[ID]]&amp;Tabela1[[#This Row],[MATRICULA]]&amp;"Motorista 2"&amp;Tabela1[[#This Row],[SETOR]],BD!A:AF,26,0),"")</f>
        <v/>
      </c>
      <c r="AN162" s="21" t="str">
        <f>IFERROR(VLOOKUP(Tabela1[[#This Row],[MÊS]]&amp;Tabela1[[#This Row],[ID]]&amp;Tabela1[[#This Row],[MATRICULA]]&amp;"Motorista 3"&amp;Tabela1[[#This Row],[SETOR]],BD!A:AF,26,0),"")</f>
        <v/>
      </c>
      <c r="AO162" s="21" t="str">
        <f>IFERROR(VLOOKUP(Tabela1[[#This Row],[MÊS]]&amp;Tabela1[[#This Row],[ID]]&amp;Tabela1[[#This Row],[MATRICULA]]&amp;"Motorista 4"&amp;Tabela1[[#This Row],[SETOR]],BD!A:AF,26,0),"")</f>
        <v/>
      </c>
      <c r="AP162" s="21" t="str">
        <f>IFERROR(VLOOKUP(Tabela1[[#This Row],[MÊS]]&amp;Tabela1[[#This Row],[MATRICULA]]&amp;"Ponto de Apoio"&amp;Tabela1[[#This Row],[SETOR]],BD!A:AF,31,0),"")</f>
        <v/>
      </c>
      <c r="AQ162" s="21" t="str">
        <f>IFERROR(VLOOKUP(Tabela1[[#This Row],[MÊS]]&amp;Tabela1[[#This Row],[ID]]&amp;Tabela1[[#This Row],[MATRICULA]]&amp;"Ponto de Apoio 2"&amp;Tabela1[[#This Row],[SETOR]],BD!A:AF,26,0),"")</f>
        <v/>
      </c>
      <c r="AR162" s="36" t="str">
        <f>IFERROR(VLOOKUP(Tabela1[[#This Row],[MÊS]]&amp;Tabela1[[#This Row],[ID]]&amp;Tabela1[[#This Row],[MATRICULA]]&amp;"Ponto de Apoio 3"&amp;Tabela1[[#This Row],[SETOR]],BD!A:AF,26,0),"")</f>
        <v/>
      </c>
      <c r="AS162" s="36" t="str">
        <f>IFERROR(VLOOKUP(Tabela1[[#This Row],[MÊS]]&amp;Tabela1[[#This Row],[ID]]&amp;Tabela1[[#This Row],[MATRICULA]]&amp;"Ponto de Apoio 4"&amp;Tabela1[[#This Row],[SETOR]],BD!A:AF,26,0),"")</f>
        <v/>
      </c>
      <c r="AT162" s="21" t="str">
        <f>IFERROR(VLOOKUP(Tabela1[[#This Row],[MÊS]]&amp;Tabela1[[#This Row],[MATRICULA]]&amp;"Cliente"&amp;Tabela1[[#This Row],[SETOR]],BD!A:AF,31,0),"")</f>
        <v>SIM</v>
      </c>
      <c r="AU162" s="21" t="str">
        <f>IFERROR(VLOOKUP(Tabela1[[#This Row],[MÊS]]&amp;Tabela1[[#This Row],[ID]]&amp;Tabela1[[#This Row],[MATRICULA]]&amp;"Cliente 2"&amp;Tabela1[[#This Row],[SETOR]],BD!A:AF,26,0),"")</f>
        <v/>
      </c>
      <c r="AX162" s="21" t="str">
        <f>IFERROR(VLOOKUP(Tabela1[[#This Row],[MÊS]]&amp;Tabela1[[#This Row],[MATRICULA]]&amp;"Policia"&amp;Tabela1[[#This Row],[SETOR]],BD!A:AF,31,0),"")</f>
        <v/>
      </c>
      <c r="AY162" s="21" t="str">
        <f>IFERROR(VLOOKUP(Tabela1[[#This Row],[MÊS]]&amp;Tabela1[[#This Row],[ID]]&amp;Tabela1[[#This Row],[MATRICULA]]&amp;"Policia 2"&amp;Tabela1[[#This Row],[SETOR]],BD!A:AF,26,0),"")</f>
        <v/>
      </c>
      <c r="AZ162" s="36" t="str">
        <f>IFERROR(VLOOKUP(Tabela1[[#This Row],[MÊS]]&amp;Tabela1[[#This Row],[ID]]&amp;Tabela1[[#This Row],[MATRICULA]]&amp;"Policia 3"&amp;Tabela1[[#This Row],[SETOR]],BD!A:AF,26,0),"")</f>
        <v/>
      </c>
      <c r="BA162" s="36" t="str">
        <f>IFERROR(VLOOKUP(Tabela1[[#This Row],[MÊS]]&amp;Tabela1[[#This Row],[ID]]&amp;Tabela1[[#This Row],[MATRICULA]]&amp;"Policia 4"&amp;Tabela1[[#This Row],[SETOR]],BD!A:AF,26,0),"")</f>
        <v/>
      </c>
      <c r="BB16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62" s="21" t="str">
        <f>IFERROR(AVERAGE(Tabela1[[#This Row],[M]:[M4]]),"")</f>
        <v/>
      </c>
      <c r="BD162" s="21" t="str">
        <f>IFERROR(AVERAGE(Tabela1[[#This Row],[C]:[C4]]),"")</f>
        <v/>
      </c>
      <c r="BE162" s="21" t="str">
        <f>IFERROR(AVERAGE(Tabela1[[#This Row],[PA2]:[PA 4]]),"")</f>
        <v/>
      </c>
      <c r="BF162" s="21" t="str">
        <f>IFERROR(AVERAGE(Tabela1[[#This Row],[PL]:[PL4]]),"")</f>
        <v/>
      </c>
      <c r="BG162" s="35" t="str">
        <f>IFERROR(VLOOKUP(Tabela1[[#This Row],[MÊS]]&amp;Tabela1[[#This Row],[MATRICULA]],#REF!,2,0),"")</f>
        <v/>
      </c>
      <c r="BH162" s="35" t="str">
        <f>IFERROR(VLOOKUP(Tabela1[[#This Row],[MÊS]]&amp;Tabela1[[#This Row],[MATRICULA]],#REF!,2,0),"")</f>
        <v/>
      </c>
      <c r="BI162" s="35" t="str">
        <f>IFERROR(VLOOKUP(Tabela1[[#This Row],[MÊS]]&amp;Tabela1[[#This Row],[MATRICULA]],#REF!,2,0),"")</f>
        <v/>
      </c>
      <c r="BJ162" s="35" t="str">
        <f>IFERROR(VLOOKUP(Tabela1[[#This Row],[MÊS]]&amp;Tabela1[[#This Row],[MATRICULA]],#REF!,2,0),"")</f>
        <v/>
      </c>
      <c r="BK162" s="35" t="str">
        <f>IFERROR(VLOOKUP(Tabela1[[#This Row],[MÊS]]&amp;Tabela1[[#This Row],[MATRICULA]],#REF!,2,0),"")</f>
        <v/>
      </c>
      <c r="BL162" s="21">
        <f>COUNTIF(Tabela1[[#This Row],[MOT2]:[RECEPTIVA]],"NÃO ENCONTRADA")</f>
        <v>0</v>
      </c>
      <c r="BM162" s="135" t="str">
        <f>IFERROR(VLOOKUP(Tabela1[[#This Row],[MÊS]]&amp;Tabela1[[#This Row],[ID]]&amp;Tabela1[[#This Row],[MATRICULA]]&amp;"Motorista"&amp;Tabela1[[#This Row],[SETOR]],BD!A:AF,13,0),"")</f>
        <v/>
      </c>
      <c r="BN162" s="135" t="str">
        <f>IFERROR(VLOOKUP(Tabela1[[#This Row],[MÊS]]&amp;Tabela1[[#This Row],[ID]]&amp;Tabela1[[#This Row],[MATRICULA]]&amp;"Motorista 2"&amp;Tabela1[[#This Row],[SETOR]],BD!A:AF,13,0),"")</f>
        <v/>
      </c>
      <c r="BO162" s="135" t="str">
        <f>IFERROR(VLOOKUP(Tabela1[[#This Row],[MÊS]]&amp;Tabela1[[#This Row],[ID]]&amp;Tabela1[[#This Row],[MATRICULA]]&amp;"Motorista 3"&amp;Tabela1[[#This Row],[SETOR]],BD!A:AF,13,0),"")</f>
        <v/>
      </c>
      <c r="BP162" s="135" t="str">
        <f>IFERROR(VLOOKUP(Tabela1[[#This Row],[MÊS]]&amp;Tabela1[[#This Row],[ID]]&amp;Tabela1[[#This Row],[MATRICULA]]&amp;"Motorista 4"&amp;Tabela1[[#This Row],[SETOR]],BD!A:AF,13,0),"")</f>
        <v/>
      </c>
      <c r="BQ162" s="135" t="str">
        <f>IFERROR(AVERAGE(Tabela1[[#This Row],[DMOT]:[DMOT4]]),"")</f>
        <v/>
      </c>
      <c r="BR162" s="135" t="str">
        <f>IFERROR(VLOOKUP(Tabela1[[#This Row],[MÊS]]&amp;Tabela1[[#This Row],[ID]]&amp;Tabela1[[#This Row],[MATRICULA]]&amp;"Ponto de Apoio"&amp;Tabela1[[#This Row],[SETOR]],BD!A:AF,13,0),"")</f>
        <v/>
      </c>
      <c r="BS162" s="135" t="str">
        <f>IFERROR(VLOOKUP(Tabela1[[#This Row],[MÊS]]&amp;Tabela1[[#This Row],[ID]]&amp;Tabela1[[#This Row],[MATRICULA]]&amp;"Ponto de Apoio 2"&amp;Tabela1[[#This Row],[SETOR]],BD!A:AF,13,0),"")</f>
        <v/>
      </c>
      <c r="BT162" s="135" t="str">
        <f>IFERROR(VLOOKUP(Tabela1[[#This Row],[MÊS]]&amp;Tabela1[[#This Row],[ID]]&amp;Tabela1[[#This Row],[MATRICULA]]&amp;"Ponto de Apoio 3"&amp;Tabela1[[#This Row],[SETOR]],BD!A:AF,13,0),"")</f>
        <v/>
      </c>
      <c r="BU162" s="135" t="str">
        <f>IFERROR(VLOOKUP(Tabela1[[#This Row],[MÊS]]&amp;Tabela1[[#This Row],[ID]]&amp;Tabela1[[#This Row],[MATRICULA]]&amp;"Ponto de Apoio 4"&amp;Tabela1[[#This Row],[SETOR]],BD!A:AF,13,0),"")</f>
        <v/>
      </c>
      <c r="BV162" s="135" t="str">
        <f>IFERROR(AVERAGE(Tabela1[[#This Row],[DPA]:[DPA 4]]),"")</f>
        <v/>
      </c>
      <c r="BW162" s="135" t="str">
        <f>IFERROR(VLOOKUP(Tabela1[[#This Row],[MÊS]]&amp;Tabela1[[#This Row],[ID]]&amp;Tabela1[[#This Row],[MATRICULA]]&amp;"Cliente"&amp;Tabela1[[#This Row],[SETOR]],BD!A:AF,13,0),"")</f>
        <v/>
      </c>
      <c r="BX162" s="135" t="str">
        <f>IFERROR(VLOOKUP(Tabela1[[#This Row],[MÊS]]&amp;Tabela1[[#This Row],[ID]]&amp;Tabela1[[#This Row],[MATRICULA]]&amp;"cliente 2"&amp;Tabela1[[#This Row],[SETOR]],BD!A:AF,13,0),"")</f>
        <v/>
      </c>
      <c r="BY162" s="135" t="str">
        <f>IFERROR(VLOOKUP(Tabela1[[#This Row],[MÊS]]&amp;Tabela1[[#This Row],[ID]]&amp;Tabela1[[#This Row],[MATRICULA]]&amp;"cliente 3"&amp;Tabela1[[#This Row],[SETOR]],BD!A:AF,13,0),"")</f>
        <v/>
      </c>
      <c r="BZ162" s="135" t="str">
        <f>IFERROR(VLOOKUP(Tabela1[[#This Row],[MÊS]]&amp;Tabela1[[#This Row],[ID]]&amp;Tabela1[[#This Row],[MATRICULA]]&amp;"cliente 4"&amp;Tabela1[[#This Row],[SETOR]],BD!A:AF,13,0),"")</f>
        <v/>
      </c>
      <c r="CA162" s="135" t="str">
        <f>IFERROR(AVERAGE(Tabela1[[#This Row],[DCLI]:[DCLI 4]]),"")</f>
        <v/>
      </c>
      <c r="CB162" s="135" t="str">
        <f>IFERROR(VLOOKUP(Tabela1[[#This Row],[MÊS]]&amp;Tabela1[[#This Row],[ID]]&amp;Tabela1[[#This Row],[MATRICULA]]&amp;"Policia"&amp;Tabela1[[#This Row],[SETOR]],BD!A:AF,13,0),"")</f>
        <v/>
      </c>
      <c r="CC162" s="135" t="str">
        <f>IFERROR(VLOOKUP(Tabela1[[#This Row],[MÊS]]&amp;Tabela1[[#This Row],[ID]]&amp;Tabela1[[#This Row],[MATRICULA]]&amp;"Policia 2"&amp;Tabela1[[#This Row],[SETOR]],BD!A:AF,13,0),"")</f>
        <v/>
      </c>
      <c r="CD162" s="135"/>
      <c r="CE162" s="135"/>
      <c r="CF162" s="135" t="str">
        <f>IFERROR((AVERAGE(Tabela1[[#This Row],[DPOL1]:[DPOL4]])),"")</f>
        <v/>
      </c>
      <c r="CG162" s="21" t="str">
        <f>IFERROR(VLOOKUP(Tabela1[[#This Row],[ID]]&amp;Tabela1[[#This Row],[MÊS]]&amp;Tabela1[[#This Row],[MATRICULA]],#REF!,2,0),"")</f>
        <v/>
      </c>
      <c r="CH162" s="21" t="str">
        <f>IFERROR(VLOOKUP(Tabela1[[#This Row],[ID]]&amp;Tabela1[[#This Row],[MÊS]]&amp;Tabela1[[#This Row],[MATRICULA]],#REF!,2,0),"")</f>
        <v/>
      </c>
      <c r="CI162" s="21" t="str">
        <f>IFERROR(VLOOKUP(Tabela1[[#This Row],[MÊS]]&amp;Tabela1[[#This Row],[MATRICULA]],#REF!,2,0),"")</f>
        <v/>
      </c>
    </row>
    <row r="163" spans="1:87">
      <c r="A163" s="12" t="str">
        <f>Tabela1[[#This Row],[MÊS]]&amp;Tabela1[[#This Row],[MATRICULA]]&amp;Tabela1[[#This Row],[ID]]</f>
        <v>JAN114955</v>
      </c>
      <c r="B163" s="12" t="str">
        <f>Tabela1[[#This Row],[MÊS]]&amp;Tabela1[[#This Row],[ID]]&amp;Tabela1[[#This Row],[MATRICULA]]&amp;Tabela1[[#This Row],[SETOR]]</f>
        <v>JAN511495LOGÍSTICA</v>
      </c>
      <c r="C163" s="130" t="e">
        <f>VLOOKUP(Tabela1[[#This Row],[MATRICULA]],'BD Campos'!A:D,5,0)</f>
        <v>#REF!</v>
      </c>
      <c r="D163" s="133" t="str">
        <f ca="1">IFERROR(SUM(TODAY()-Tabela1[[#This Row],[ADMISSÃO]]),"")</f>
        <v/>
      </c>
      <c r="E163" s="11" t="str">
        <f ca="1">IFERROR(TRUNC(Tabela1[[#This Row],[TEMPO DE CASA (DIAS)]]/30),"")</f>
        <v/>
      </c>
      <c r="F163" s="32" t="str">
        <f ca="1">IFERROR(SUM(Tabela1[[#This Row],[TEMPO DE CASA (MESES)]]/12),"")</f>
        <v/>
      </c>
      <c r="G163" s="133" t="str">
        <f ca="1">IF(Tabela1[[#This Row],[TEMPO DE CASA (DIAS)]]="","SEM DADOS",IF(Tabela1[[#This Row],[TEMPO DE CASA (DIAS)]]&gt;180,"&gt; 6 MESES","&lt; 6 MESES"))</f>
        <v>SEM DADOS</v>
      </c>
      <c r="H163" s="12" t="str">
        <f t="shared" si="15"/>
        <v>JANGiulia Machado5</v>
      </c>
      <c r="I163" s="12" t="str">
        <f>IFERROR(VLOOKUP(Tabela1[[#This Row],[MATRICULA]],'BD Campos'!A:F,7,0),"")</f>
        <v/>
      </c>
      <c r="J163" s="11">
        <v>5</v>
      </c>
      <c r="K163" s="11" t="s">
        <v>669</v>
      </c>
      <c r="L163" s="136">
        <v>11495</v>
      </c>
      <c r="M163" s="12" t="str">
        <f>IFERROR(VLOOKUP(Tabela1[[#This Row],[MATRICULA]],'BD Campos'!A:B,2,0),"")</f>
        <v>JULIA DA SILVEIRA GOMES FERREIRA DA ROSA</v>
      </c>
      <c r="N163" s="20">
        <f>IFERROR(AVERAGE(Tabela1[[#This Row],[A1]:[A4]]),"")</f>
        <v>8.0154999999999994</v>
      </c>
      <c r="O163" s="20" t="str">
        <f>IFERROR(IF(Tabela1[[#This Row],[SETOR]]="RECEPTIVO","",AVERAGE(Tabela1[[#This Row],[A5]:[A6]])),"")</f>
        <v/>
      </c>
      <c r="P163" s="20" t="str">
        <f>IFERROR(IF(Tabela1[[#This Row],[STATUS]]="INATIVO","INATIVO",IF(Tabela1[[#This Row],[STATUS]]="QRT","INATIVO",IF(Tabela1[[#This Row],[OPERACIONAL]]&gt;7.99999,"BOM","RUIM"))),"")</f>
        <v>BOM</v>
      </c>
      <c r="Q163" s="21" t="s">
        <v>667</v>
      </c>
      <c r="R163" s="12" t="s">
        <v>708</v>
      </c>
      <c r="S163" s="12" t="s">
        <v>709</v>
      </c>
      <c r="T163" s="12" t="s">
        <v>315</v>
      </c>
      <c r="U16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63" s="12">
        <f>IF(AND(Tabela1[[#This Row],[SETOR]]="UTI",Tabela1[[#This Row],[M]]&lt;&gt;""),1,IF(AND(Tabela1[[#This Row],[SETOR]]="UTI (RJ)",Tabela1[[#This Row],[M]]&lt;&gt;""),1.5,0))</f>
        <v>0</v>
      </c>
      <c r="X163" s="12">
        <f>IF(AND(Tabela1[[#This Row],[SETOR]]="UTI",Tabela1[[#This Row],[PA2]]&lt;&gt;""),1,IF(AND(Tabela1[[#This Row],[SETOR]]="UTI (RJ)",Tabela1[[#This Row],[PA2]]&lt;&gt;""),0,0))</f>
        <v>0</v>
      </c>
      <c r="Y163" s="12">
        <f>IF(AND(Tabela1[[#This Row],[SETOR]]="UTI",Tabela1[[#This Row],[C]]&lt;&gt;""),1,IF(AND(Tabela1[[#This Row],[SETOR]]="UTI (RJ)",Tabela1[[#This Row],[C]]&lt;&gt;""),1.5,0))</f>
        <v>0</v>
      </c>
      <c r="Z163" s="12">
        <f>IF(AND(Tabela1[[#This Row],[SETOR]]="UTI",Tabela1[[#This Row],[PL]]&lt;&gt;""),1,IF(AND(Tabela1[[#This Row],[SETOR]]="UTI (RJ)",Tabela1[[#This Row],[PL]]&lt;&gt;""),1,0))</f>
        <v>0</v>
      </c>
      <c r="AA163" s="21">
        <f>IFERROR(VLOOKUP(Tabela1[[#This Row],[MÊS]]&amp;Tabela1[[#This Row],[MATRICULA]]&amp;"1"&amp;Tabela1[[#This Row],[SETOR]]&amp;"PADRÃO",BD!B:AF,31,0),"")</f>
        <v>7.8999999999999995</v>
      </c>
      <c r="AB163" s="21">
        <f>IFERROR(VLOOKUP(Tabela1[[#This Row],[MÊS]]&amp;Tabela1[[#This Row],[MATRICULA]]&amp;"2"&amp;Tabela1[[#This Row],[SETOR]]&amp;"PADRÃO",BD!B:AF,31,0),"")</f>
        <v>8.1310000000000002</v>
      </c>
      <c r="AC163" s="21" t="str">
        <f>IFERROR(VLOOKUP(Tabela1[[#This Row],[MÊS]]&amp;Tabela1[[#This Row],[MATRICULA]]&amp;"3"&amp;Tabela1[[#This Row],[SETOR]]&amp;"PADRÃO",BD!B:AF,31,0),"")</f>
        <v/>
      </c>
      <c r="AD163" s="21" t="str">
        <f>IFERROR(VLOOKUP(Tabela1[[#This Row],[MÊS]]&amp;Tabela1[[#This Row],[MATRICULA]]&amp;"4"&amp;Tabela1[[#This Row],[SETOR]]&amp;"PADRÃO",BD!B:AF,25,0),"")</f>
        <v/>
      </c>
      <c r="AE163" s="21" t="str">
        <f>IFERROR(VLOOKUP(Tabela1[[#This Row],[MÊS]]&amp;Tabela1[[#This Row],[MATRICULA]]&amp;"5"&amp;Tabela1[[#This Row],[SETOR]]&amp;"PADRÃO",BD!B:AF,31,0),"")</f>
        <v/>
      </c>
      <c r="AF163" s="21" t="str">
        <f>IFERROR(VLOOKUP(Tabela1[[#This Row],[MÊS]]&amp;Tabela1[[#This Row],[MATRICULA]]&amp;"6"&amp;Tabela1[[#This Row],[SETOR]]&amp;"PADRÃO",BD!B:AF,31,0),"")</f>
        <v/>
      </c>
      <c r="AG163" s="21" t="str">
        <f>IFERROR(VLOOKUP(Tabela1[[#This Row],[MÊS]]&amp;Tabela1[[#This Row],[MATRICULA]]&amp;"7"&amp;Tabela1[[#This Row],[SETOR]]&amp;"PADRÃO",BD!B:AF,31,0),"")</f>
        <v/>
      </c>
      <c r="AH163" s="21" t="str">
        <f>IFERROR(VLOOKUP(Tabela1[[#This Row],[MÊS]]&amp;Tabela1[[#This Row],[ID]]&amp;Tabela1[[#This Row],[MATRICULA]]&amp;"Receptiva"&amp;Tabela1[[#This Row],[SETOR]],BD!A:AF,31,0),"")</f>
        <v/>
      </c>
      <c r="AI163" s="21" t="str">
        <f>IFERROR(VLOOKUP(Tabela1[[#This Row],[MÊS]]&amp;Tabela1[[#This Row],[ID]]&amp;Tabela1[[#This Row],[MATRICULA]]&amp;"Receptiva 2"&amp;Tabela1[[#This Row],[SETOR]],BD!A:AF,31,0),"")</f>
        <v/>
      </c>
      <c r="AJ163" s="21" t="str">
        <f>IFERROR(VLOOKUP(Tabela1[[#This Row],[MÊS]]&amp;Tabela1[[#This Row],[ID]]&amp;Tabela1[[#This Row],[MATRICULA]]&amp;"Receptiva 3"&amp;Tabela1[[#This Row],[SETOR]],BD!A:AF,31,0),"")</f>
        <v/>
      </c>
      <c r="AK163" s="21" t="str">
        <f>IFERROR(VLOOKUP(Tabela1[[#This Row],[MÊS]]&amp;Tabela1[[#This Row],[ID]]&amp;Tabela1[[#This Row],[MATRICULA]]&amp;"Receptiva 4"&amp;Tabela1[[#This Row],[SETOR]],BD!A:AF,31,0),"")</f>
        <v/>
      </c>
      <c r="AL163" s="21" t="str">
        <f>IFERROR(VLOOKUP(Tabela1[[#This Row],[MÊS]]&amp;Tabela1[[#This Row],[MATRICULA]]&amp;"Motorista"&amp;Tabela1[[#This Row],[SETOR]],BD!A:AF,31,0),"")</f>
        <v/>
      </c>
      <c r="AM163" s="21" t="str">
        <f>IFERROR(VLOOKUP(Tabela1[[#This Row],[MÊS]]&amp;Tabela1[[#This Row],[ID]]&amp;Tabela1[[#This Row],[MATRICULA]]&amp;"Motorista 2"&amp;Tabela1[[#This Row],[SETOR]],BD!A:AF,26,0),"")</f>
        <v/>
      </c>
      <c r="AN163" s="21" t="str">
        <f>IFERROR(VLOOKUP(Tabela1[[#This Row],[MÊS]]&amp;Tabela1[[#This Row],[ID]]&amp;Tabela1[[#This Row],[MATRICULA]]&amp;"Motorista 3"&amp;Tabela1[[#This Row],[SETOR]],BD!A:AF,26,0),"")</f>
        <v/>
      </c>
      <c r="AO163" s="21" t="str">
        <f>IFERROR(VLOOKUP(Tabela1[[#This Row],[MÊS]]&amp;Tabela1[[#This Row],[ID]]&amp;Tabela1[[#This Row],[MATRICULA]]&amp;"Motorista 4"&amp;Tabela1[[#This Row],[SETOR]],BD!A:AF,26,0),"")</f>
        <v/>
      </c>
      <c r="AP163" s="21" t="str">
        <f>IFERROR(VLOOKUP(Tabela1[[#This Row],[MÊS]]&amp;Tabela1[[#This Row],[MATRICULA]]&amp;"Ponto de Apoio"&amp;Tabela1[[#This Row],[SETOR]],BD!A:AF,31,0),"")</f>
        <v/>
      </c>
      <c r="AQ163" s="21" t="str">
        <f>IFERROR(VLOOKUP(Tabela1[[#This Row],[MÊS]]&amp;Tabela1[[#This Row],[ID]]&amp;Tabela1[[#This Row],[MATRICULA]]&amp;"Ponto de Apoio 2"&amp;Tabela1[[#This Row],[SETOR]],BD!A:AF,26,0),"")</f>
        <v/>
      </c>
      <c r="AR163" s="36" t="str">
        <f>IFERROR(VLOOKUP(Tabela1[[#This Row],[MÊS]]&amp;Tabela1[[#This Row],[ID]]&amp;Tabela1[[#This Row],[MATRICULA]]&amp;"Ponto de Apoio 3"&amp;Tabela1[[#This Row],[SETOR]],BD!A:AF,26,0),"")</f>
        <v/>
      </c>
      <c r="AS163" s="36" t="str">
        <f>IFERROR(VLOOKUP(Tabela1[[#This Row],[MÊS]]&amp;Tabela1[[#This Row],[ID]]&amp;Tabela1[[#This Row],[MATRICULA]]&amp;"Ponto de Apoio 4"&amp;Tabela1[[#This Row],[SETOR]],BD!A:AF,26,0),"")</f>
        <v/>
      </c>
      <c r="AT163" s="21" t="str">
        <f>IFERROR(VLOOKUP(Tabela1[[#This Row],[MÊS]]&amp;Tabela1[[#This Row],[MATRICULA]]&amp;"Cliente"&amp;Tabela1[[#This Row],[SETOR]],BD!A:AF,31,0),"")</f>
        <v>SIM</v>
      </c>
      <c r="AU163" s="21" t="str">
        <f>IFERROR(VLOOKUP(Tabela1[[#This Row],[MÊS]]&amp;Tabela1[[#This Row],[ID]]&amp;Tabela1[[#This Row],[MATRICULA]]&amp;"Cliente 2"&amp;Tabela1[[#This Row],[SETOR]],BD!A:AF,26,0),"")</f>
        <v/>
      </c>
      <c r="AX163" s="21" t="str">
        <f>IFERROR(VLOOKUP(Tabela1[[#This Row],[MÊS]]&amp;Tabela1[[#This Row],[MATRICULA]]&amp;"Policia"&amp;Tabela1[[#This Row],[SETOR]],BD!A:AF,31,0),"")</f>
        <v/>
      </c>
      <c r="AY163" s="21" t="str">
        <f>IFERROR(VLOOKUP(Tabela1[[#This Row],[MÊS]]&amp;Tabela1[[#This Row],[ID]]&amp;Tabela1[[#This Row],[MATRICULA]]&amp;"Policia 2"&amp;Tabela1[[#This Row],[SETOR]],BD!A:AF,26,0),"")</f>
        <v/>
      </c>
      <c r="AZ163" s="36" t="str">
        <f>IFERROR(VLOOKUP(Tabela1[[#This Row],[MÊS]]&amp;Tabela1[[#This Row],[ID]]&amp;Tabela1[[#This Row],[MATRICULA]]&amp;"Policia 3"&amp;Tabela1[[#This Row],[SETOR]],BD!A:AF,26,0),"")</f>
        <v/>
      </c>
      <c r="BA163" s="36" t="str">
        <f>IFERROR(VLOOKUP(Tabela1[[#This Row],[MÊS]]&amp;Tabela1[[#This Row],[ID]]&amp;Tabela1[[#This Row],[MATRICULA]]&amp;"Policia 4"&amp;Tabela1[[#This Row],[SETOR]],BD!A:AF,26,0),"")</f>
        <v/>
      </c>
      <c r="BB16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63" s="21" t="str">
        <f>IFERROR(AVERAGE(Tabela1[[#This Row],[M]:[M4]]),"")</f>
        <v/>
      </c>
      <c r="BD163" s="21" t="str">
        <f>IFERROR(AVERAGE(Tabela1[[#This Row],[C]:[C4]]),"")</f>
        <v/>
      </c>
      <c r="BE163" s="21" t="str">
        <f>IFERROR(AVERAGE(Tabela1[[#This Row],[PA2]:[PA 4]]),"")</f>
        <v/>
      </c>
      <c r="BF163" s="21" t="str">
        <f>IFERROR(AVERAGE(Tabela1[[#This Row],[PL]:[PL4]]),"")</f>
        <v/>
      </c>
      <c r="BG163" s="35" t="str">
        <f>IFERROR(VLOOKUP(Tabela1[[#This Row],[MÊS]]&amp;Tabela1[[#This Row],[MATRICULA]],#REF!,2,0),"")</f>
        <v/>
      </c>
      <c r="BH163" s="35" t="str">
        <f>IFERROR(VLOOKUP(Tabela1[[#This Row],[MÊS]]&amp;Tabela1[[#This Row],[MATRICULA]],#REF!,2,0),"")</f>
        <v/>
      </c>
      <c r="BI163" s="35" t="str">
        <f>IFERROR(VLOOKUP(Tabela1[[#This Row],[MÊS]]&amp;Tabela1[[#This Row],[MATRICULA]],#REF!,2,0),"")</f>
        <v/>
      </c>
      <c r="BJ163" s="35" t="str">
        <f>IFERROR(VLOOKUP(Tabela1[[#This Row],[MÊS]]&amp;Tabela1[[#This Row],[MATRICULA]],#REF!,2,0),"")</f>
        <v/>
      </c>
      <c r="BK163" s="35" t="str">
        <f>IFERROR(VLOOKUP(Tabela1[[#This Row],[MÊS]]&amp;Tabela1[[#This Row],[MATRICULA]],#REF!,2,0),"")</f>
        <v/>
      </c>
      <c r="BL163" s="21">
        <f>COUNTIF(Tabela1[[#This Row],[MOT2]:[RECEPTIVA]],"NÃO ENCONTRADA")</f>
        <v>0</v>
      </c>
      <c r="BM163" s="135" t="str">
        <f>IFERROR(VLOOKUP(Tabela1[[#This Row],[MÊS]]&amp;Tabela1[[#This Row],[ID]]&amp;Tabela1[[#This Row],[MATRICULA]]&amp;"Motorista"&amp;Tabela1[[#This Row],[SETOR]],BD!A:AF,13,0),"")</f>
        <v/>
      </c>
      <c r="BN163" s="135" t="str">
        <f>IFERROR(VLOOKUP(Tabela1[[#This Row],[MÊS]]&amp;Tabela1[[#This Row],[ID]]&amp;Tabela1[[#This Row],[MATRICULA]]&amp;"Motorista 2"&amp;Tabela1[[#This Row],[SETOR]],BD!A:AF,13,0),"")</f>
        <v/>
      </c>
      <c r="BO163" s="135" t="str">
        <f>IFERROR(VLOOKUP(Tabela1[[#This Row],[MÊS]]&amp;Tabela1[[#This Row],[ID]]&amp;Tabela1[[#This Row],[MATRICULA]]&amp;"Motorista 3"&amp;Tabela1[[#This Row],[SETOR]],BD!A:AF,13,0),"")</f>
        <v/>
      </c>
      <c r="BP163" s="135" t="str">
        <f>IFERROR(VLOOKUP(Tabela1[[#This Row],[MÊS]]&amp;Tabela1[[#This Row],[ID]]&amp;Tabela1[[#This Row],[MATRICULA]]&amp;"Motorista 4"&amp;Tabela1[[#This Row],[SETOR]],BD!A:AF,13,0),"")</f>
        <v/>
      </c>
      <c r="BQ163" s="135" t="str">
        <f>IFERROR(AVERAGE(Tabela1[[#This Row],[DMOT]:[DMOT4]]),"")</f>
        <v/>
      </c>
      <c r="BR163" s="135" t="str">
        <f>IFERROR(VLOOKUP(Tabela1[[#This Row],[MÊS]]&amp;Tabela1[[#This Row],[ID]]&amp;Tabela1[[#This Row],[MATRICULA]]&amp;"Ponto de Apoio"&amp;Tabela1[[#This Row],[SETOR]],BD!A:AF,13,0),"")</f>
        <v/>
      </c>
      <c r="BS163" s="135" t="str">
        <f>IFERROR(VLOOKUP(Tabela1[[#This Row],[MÊS]]&amp;Tabela1[[#This Row],[ID]]&amp;Tabela1[[#This Row],[MATRICULA]]&amp;"Ponto de Apoio 2"&amp;Tabela1[[#This Row],[SETOR]],BD!A:AF,13,0),"")</f>
        <v/>
      </c>
      <c r="BT163" s="135" t="str">
        <f>IFERROR(VLOOKUP(Tabela1[[#This Row],[MÊS]]&amp;Tabela1[[#This Row],[ID]]&amp;Tabela1[[#This Row],[MATRICULA]]&amp;"Ponto de Apoio 3"&amp;Tabela1[[#This Row],[SETOR]],BD!A:AF,13,0),"")</f>
        <v/>
      </c>
      <c r="BU163" s="135" t="str">
        <f>IFERROR(VLOOKUP(Tabela1[[#This Row],[MÊS]]&amp;Tabela1[[#This Row],[ID]]&amp;Tabela1[[#This Row],[MATRICULA]]&amp;"Ponto de Apoio 4"&amp;Tabela1[[#This Row],[SETOR]],BD!A:AF,13,0),"")</f>
        <v/>
      </c>
      <c r="BV163" s="135" t="str">
        <f>IFERROR(AVERAGE(Tabela1[[#This Row],[DPA]:[DPA 4]]),"")</f>
        <v/>
      </c>
      <c r="BW163" s="135" t="str">
        <f>IFERROR(VLOOKUP(Tabela1[[#This Row],[MÊS]]&amp;Tabela1[[#This Row],[ID]]&amp;Tabela1[[#This Row],[MATRICULA]]&amp;"Cliente"&amp;Tabela1[[#This Row],[SETOR]],BD!A:AF,13,0),"")</f>
        <v/>
      </c>
      <c r="BX163" s="135" t="str">
        <f>IFERROR(VLOOKUP(Tabela1[[#This Row],[MÊS]]&amp;Tabela1[[#This Row],[ID]]&amp;Tabela1[[#This Row],[MATRICULA]]&amp;"cliente 2"&amp;Tabela1[[#This Row],[SETOR]],BD!A:AF,13,0),"")</f>
        <v/>
      </c>
      <c r="BY163" s="135" t="str">
        <f>IFERROR(VLOOKUP(Tabela1[[#This Row],[MÊS]]&amp;Tabela1[[#This Row],[ID]]&amp;Tabela1[[#This Row],[MATRICULA]]&amp;"cliente 3"&amp;Tabela1[[#This Row],[SETOR]],BD!A:AF,13,0),"")</f>
        <v/>
      </c>
      <c r="BZ163" s="135" t="str">
        <f>IFERROR(VLOOKUP(Tabela1[[#This Row],[MÊS]]&amp;Tabela1[[#This Row],[ID]]&amp;Tabela1[[#This Row],[MATRICULA]]&amp;"cliente 4"&amp;Tabela1[[#This Row],[SETOR]],BD!A:AF,13,0),"")</f>
        <v/>
      </c>
      <c r="CA163" s="135" t="str">
        <f>IFERROR(AVERAGE(Tabela1[[#This Row],[DCLI]:[DCLI 4]]),"")</f>
        <v/>
      </c>
      <c r="CB163" s="135" t="str">
        <f>IFERROR(VLOOKUP(Tabela1[[#This Row],[MÊS]]&amp;Tabela1[[#This Row],[ID]]&amp;Tabela1[[#This Row],[MATRICULA]]&amp;"Policia"&amp;Tabela1[[#This Row],[SETOR]],BD!A:AF,13,0),"")</f>
        <v/>
      </c>
      <c r="CC163" s="135" t="str">
        <f>IFERROR(VLOOKUP(Tabela1[[#This Row],[MÊS]]&amp;Tabela1[[#This Row],[ID]]&amp;Tabela1[[#This Row],[MATRICULA]]&amp;"Policia 2"&amp;Tabela1[[#This Row],[SETOR]],BD!A:AF,13,0),"")</f>
        <v/>
      </c>
      <c r="CD163" s="135"/>
      <c r="CE163" s="135"/>
      <c r="CF163" s="135" t="str">
        <f>IFERROR((AVERAGE(Tabela1[[#This Row],[DPOL1]:[DPOL4]])),"")</f>
        <v/>
      </c>
      <c r="CG163" s="21" t="str">
        <f>IFERROR(VLOOKUP(Tabela1[[#This Row],[ID]]&amp;Tabela1[[#This Row],[MÊS]]&amp;Tabela1[[#This Row],[MATRICULA]],#REF!,2,0),"")</f>
        <v/>
      </c>
      <c r="CH163" s="21" t="str">
        <f>IFERROR(VLOOKUP(Tabela1[[#This Row],[ID]]&amp;Tabela1[[#This Row],[MÊS]]&amp;Tabela1[[#This Row],[MATRICULA]],#REF!,2,0),"")</f>
        <v/>
      </c>
      <c r="CI163" s="21" t="str">
        <f>IFERROR(VLOOKUP(Tabela1[[#This Row],[MÊS]]&amp;Tabela1[[#This Row],[MATRICULA]],#REF!,2,0),"")</f>
        <v/>
      </c>
    </row>
    <row r="164" spans="1:87">
      <c r="A164" s="12" t="str">
        <f>Tabela1[[#This Row],[MÊS]]&amp;Tabela1[[#This Row],[MATRICULA]]&amp;Tabela1[[#This Row],[ID]]</f>
        <v>JAN114096</v>
      </c>
      <c r="B164" s="12" t="str">
        <f>Tabela1[[#This Row],[MÊS]]&amp;Tabela1[[#This Row],[ID]]&amp;Tabela1[[#This Row],[MATRICULA]]&amp;Tabela1[[#This Row],[SETOR]]</f>
        <v>JAN611409LOGÍSTICA</v>
      </c>
      <c r="C164" s="130" t="e">
        <f>VLOOKUP(Tabela1[[#This Row],[MATRICULA]],'BD Campos'!A:D,5,0)</f>
        <v>#REF!</v>
      </c>
      <c r="D164" s="133" t="str">
        <f ca="1">IFERROR(SUM(TODAY()-Tabela1[[#This Row],[ADMISSÃO]]),"")</f>
        <v/>
      </c>
      <c r="E164" s="11" t="str">
        <f ca="1">IFERROR(TRUNC(Tabela1[[#This Row],[TEMPO DE CASA (DIAS)]]/30),"")</f>
        <v/>
      </c>
      <c r="F164" s="32" t="str">
        <f ca="1">IFERROR(SUM(Tabela1[[#This Row],[TEMPO DE CASA (MESES)]]/12),"")</f>
        <v/>
      </c>
      <c r="G164" s="133" t="str">
        <f ca="1">IF(Tabela1[[#This Row],[TEMPO DE CASA (DIAS)]]="","SEM DADOS",IF(Tabela1[[#This Row],[TEMPO DE CASA (DIAS)]]&gt;180,"&gt; 6 MESES","&lt; 6 MESES"))</f>
        <v>SEM DADOS</v>
      </c>
      <c r="H164" s="12" t="str">
        <f t="shared" si="15"/>
        <v>JANGiulia Machado6</v>
      </c>
      <c r="I164" s="12" t="str">
        <f>IFERROR(VLOOKUP(Tabela1[[#This Row],[MATRICULA]],'BD Campos'!A:F,7,0),"")</f>
        <v/>
      </c>
      <c r="J164" s="11">
        <v>6</v>
      </c>
      <c r="K164" s="11" t="s">
        <v>669</v>
      </c>
      <c r="L164" s="136">
        <v>11409</v>
      </c>
      <c r="M164" s="12" t="str">
        <f>IFERROR(VLOOKUP(Tabela1[[#This Row],[MATRICULA]],'BD Campos'!A:B,2,0),"")</f>
        <v>KEVYN LUIZ DOS SANTOS DA SILVA</v>
      </c>
      <c r="N164" s="20">
        <f>IFERROR(AVERAGE(Tabela1[[#This Row],[A1]:[A4]]),"")</f>
        <v>10</v>
      </c>
      <c r="O164" s="20" t="str">
        <f>IFERROR(IF(Tabela1[[#This Row],[SETOR]]="RECEPTIVO","",AVERAGE(Tabela1[[#This Row],[A5]:[A6]])),"")</f>
        <v/>
      </c>
      <c r="P164" s="20" t="str">
        <f>IFERROR(IF(Tabela1[[#This Row],[STATUS]]="INATIVO","INATIVO",IF(Tabela1[[#This Row],[STATUS]]="QRT","INATIVO",IF(Tabela1[[#This Row],[OPERACIONAL]]&gt;7.99999,"BOM","RUIM"))),"")</f>
        <v>BOM</v>
      </c>
      <c r="Q164" s="21" t="s">
        <v>667</v>
      </c>
      <c r="R164" s="12" t="s">
        <v>708</v>
      </c>
      <c r="S164" s="12" t="s">
        <v>709</v>
      </c>
      <c r="T164" s="12" t="s">
        <v>315</v>
      </c>
      <c r="U16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64" s="12">
        <f>IF(AND(Tabela1[[#This Row],[SETOR]]="UTI",Tabela1[[#This Row],[M]]&lt;&gt;""),1,IF(AND(Tabela1[[#This Row],[SETOR]]="UTI (RJ)",Tabela1[[#This Row],[M]]&lt;&gt;""),1.5,0))</f>
        <v>0</v>
      </c>
      <c r="X164" s="12">
        <f>IF(AND(Tabela1[[#This Row],[SETOR]]="UTI",Tabela1[[#This Row],[PA2]]&lt;&gt;""),1,IF(AND(Tabela1[[#This Row],[SETOR]]="UTI (RJ)",Tabela1[[#This Row],[PA2]]&lt;&gt;""),0,0))</f>
        <v>0</v>
      </c>
      <c r="Y164" s="12">
        <f>IF(AND(Tabela1[[#This Row],[SETOR]]="UTI",Tabela1[[#This Row],[C]]&lt;&gt;""),1,IF(AND(Tabela1[[#This Row],[SETOR]]="UTI (RJ)",Tabela1[[#This Row],[C]]&lt;&gt;""),1.5,0))</f>
        <v>0</v>
      </c>
      <c r="Z164" s="12">
        <f>IF(AND(Tabela1[[#This Row],[SETOR]]="UTI",Tabela1[[#This Row],[PL]]&lt;&gt;""),1,IF(AND(Tabela1[[#This Row],[SETOR]]="UTI (RJ)",Tabela1[[#This Row],[PL]]&lt;&gt;""),1,0))</f>
        <v>0</v>
      </c>
      <c r="AA164" s="21">
        <f>IFERROR(VLOOKUP(Tabela1[[#This Row],[MÊS]]&amp;Tabela1[[#This Row],[MATRICULA]]&amp;"1"&amp;Tabela1[[#This Row],[SETOR]]&amp;"PADRÃO",BD!B:AF,31,0),"")</f>
        <v>10</v>
      </c>
      <c r="AB164" s="21">
        <f>IFERROR(VLOOKUP(Tabela1[[#This Row],[MÊS]]&amp;Tabela1[[#This Row],[MATRICULA]]&amp;"2"&amp;Tabela1[[#This Row],[SETOR]]&amp;"PADRÃO",BD!B:AF,31,0),"")</f>
        <v>10</v>
      </c>
      <c r="AC164" s="21" t="str">
        <f>IFERROR(VLOOKUP(Tabela1[[#This Row],[MÊS]]&amp;Tabela1[[#This Row],[MATRICULA]]&amp;"3"&amp;Tabela1[[#This Row],[SETOR]]&amp;"PADRÃO",BD!B:AF,31,0),"")</f>
        <v/>
      </c>
      <c r="AD164" s="21" t="str">
        <f>IFERROR(VLOOKUP(Tabela1[[#This Row],[MÊS]]&amp;Tabela1[[#This Row],[MATRICULA]]&amp;"4"&amp;Tabela1[[#This Row],[SETOR]]&amp;"PADRÃO",BD!B:AF,25,0),"")</f>
        <v/>
      </c>
      <c r="AE164" s="21" t="str">
        <f>IFERROR(VLOOKUP(Tabela1[[#This Row],[MÊS]]&amp;Tabela1[[#This Row],[MATRICULA]]&amp;"5"&amp;Tabela1[[#This Row],[SETOR]]&amp;"PADRÃO",BD!B:AF,31,0),"")</f>
        <v/>
      </c>
      <c r="AF164" s="21" t="str">
        <f>IFERROR(VLOOKUP(Tabela1[[#This Row],[MÊS]]&amp;Tabela1[[#This Row],[MATRICULA]]&amp;"6"&amp;Tabela1[[#This Row],[SETOR]]&amp;"PADRÃO",BD!B:AF,31,0),"")</f>
        <v/>
      </c>
      <c r="AG164" s="21" t="str">
        <f>IFERROR(VLOOKUP(Tabela1[[#This Row],[MÊS]]&amp;Tabela1[[#This Row],[MATRICULA]]&amp;"7"&amp;Tabela1[[#This Row],[SETOR]]&amp;"PADRÃO",BD!B:AF,31,0),"")</f>
        <v/>
      </c>
      <c r="AH164" s="21" t="str">
        <f>IFERROR(VLOOKUP(Tabela1[[#This Row],[MÊS]]&amp;Tabela1[[#This Row],[ID]]&amp;Tabela1[[#This Row],[MATRICULA]]&amp;"Receptiva"&amp;Tabela1[[#This Row],[SETOR]],BD!A:AF,31,0),"")</f>
        <v/>
      </c>
      <c r="AI164" s="21" t="str">
        <f>IFERROR(VLOOKUP(Tabela1[[#This Row],[MÊS]]&amp;Tabela1[[#This Row],[ID]]&amp;Tabela1[[#This Row],[MATRICULA]]&amp;"Receptiva 2"&amp;Tabela1[[#This Row],[SETOR]],BD!A:AF,31,0),"")</f>
        <v/>
      </c>
      <c r="AJ164" s="21" t="str">
        <f>IFERROR(VLOOKUP(Tabela1[[#This Row],[MÊS]]&amp;Tabela1[[#This Row],[ID]]&amp;Tabela1[[#This Row],[MATRICULA]]&amp;"Receptiva 3"&amp;Tabela1[[#This Row],[SETOR]],BD!A:AF,31,0),"")</f>
        <v/>
      </c>
      <c r="AK164" s="21" t="str">
        <f>IFERROR(VLOOKUP(Tabela1[[#This Row],[MÊS]]&amp;Tabela1[[#This Row],[ID]]&amp;Tabela1[[#This Row],[MATRICULA]]&amp;"Receptiva 4"&amp;Tabela1[[#This Row],[SETOR]],BD!A:AF,31,0),"")</f>
        <v/>
      </c>
      <c r="AL164" s="21" t="str">
        <f>IFERROR(VLOOKUP(Tabela1[[#This Row],[MÊS]]&amp;Tabela1[[#This Row],[MATRICULA]]&amp;"Motorista"&amp;Tabela1[[#This Row],[SETOR]],BD!A:AF,31,0),"")</f>
        <v/>
      </c>
      <c r="AM164" s="21" t="str">
        <f>IFERROR(VLOOKUP(Tabela1[[#This Row],[MÊS]]&amp;Tabela1[[#This Row],[ID]]&amp;Tabela1[[#This Row],[MATRICULA]]&amp;"Motorista 2"&amp;Tabela1[[#This Row],[SETOR]],BD!A:AF,26,0),"")</f>
        <v/>
      </c>
      <c r="AN164" s="21" t="str">
        <f>IFERROR(VLOOKUP(Tabela1[[#This Row],[MÊS]]&amp;Tabela1[[#This Row],[ID]]&amp;Tabela1[[#This Row],[MATRICULA]]&amp;"Motorista 3"&amp;Tabela1[[#This Row],[SETOR]],BD!A:AF,26,0),"")</f>
        <v/>
      </c>
      <c r="AO164" s="21" t="str">
        <f>IFERROR(VLOOKUP(Tabela1[[#This Row],[MÊS]]&amp;Tabela1[[#This Row],[ID]]&amp;Tabela1[[#This Row],[MATRICULA]]&amp;"Motorista 4"&amp;Tabela1[[#This Row],[SETOR]],BD!A:AF,26,0),"")</f>
        <v/>
      </c>
      <c r="AP164" s="21" t="str">
        <f>IFERROR(VLOOKUP(Tabela1[[#This Row],[MÊS]]&amp;Tabela1[[#This Row],[MATRICULA]]&amp;"Ponto de Apoio"&amp;Tabela1[[#This Row],[SETOR]],BD!A:AF,31,0),"")</f>
        <v/>
      </c>
      <c r="AQ164" s="21" t="str">
        <f>IFERROR(VLOOKUP(Tabela1[[#This Row],[MÊS]]&amp;Tabela1[[#This Row],[ID]]&amp;Tabela1[[#This Row],[MATRICULA]]&amp;"Ponto de Apoio 2"&amp;Tabela1[[#This Row],[SETOR]],BD!A:AF,26,0),"")</f>
        <v/>
      </c>
      <c r="AR164" s="36" t="str">
        <f>IFERROR(VLOOKUP(Tabela1[[#This Row],[MÊS]]&amp;Tabela1[[#This Row],[ID]]&amp;Tabela1[[#This Row],[MATRICULA]]&amp;"Ponto de Apoio 3"&amp;Tabela1[[#This Row],[SETOR]],BD!A:AF,26,0),"")</f>
        <v/>
      </c>
      <c r="AS164" s="36" t="str">
        <f>IFERROR(VLOOKUP(Tabela1[[#This Row],[MÊS]]&amp;Tabela1[[#This Row],[ID]]&amp;Tabela1[[#This Row],[MATRICULA]]&amp;"Ponto de Apoio 4"&amp;Tabela1[[#This Row],[SETOR]],BD!A:AF,26,0),"")</f>
        <v/>
      </c>
      <c r="AT164" s="21" t="str">
        <f>IFERROR(VLOOKUP(Tabela1[[#This Row],[MÊS]]&amp;Tabela1[[#This Row],[MATRICULA]]&amp;"Cliente"&amp;Tabela1[[#This Row],[SETOR]],BD!A:AF,31,0),"")</f>
        <v>SIM</v>
      </c>
      <c r="AU164" s="21" t="str">
        <f>IFERROR(VLOOKUP(Tabela1[[#This Row],[MÊS]]&amp;Tabela1[[#This Row],[ID]]&amp;Tabela1[[#This Row],[MATRICULA]]&amp;"Cliente 2"&amp;Tabela1[[#This Row],[SETOR]],BD!A:AF,26,0),"")</f>
        <v/>
      </c>
      <c r="AX164" s="21" t="str">
        <f>IFERROR(VLOOKUP(Tabela1[[#This Row],[MÊS]]&amp;Tabela1[[#This Row],[MATRICULA]]&amp;"Policia"&amp;Tabela1[[#This Row],[SETOR]],BD!A:AF,31,0),"")</f>
        <v/>
      </c>
      <c r="AY164" s="21" t="str">
        <f>IFERROR(VLOOKUP(Tabela1[[#This Row],[MÊS]]&amp;Tabela1[[#This Row],[ID]]&amp;Tabela1[[#This Row],[MATRICULA]]&amp;"Policia 2"&amp;Tabela1[[#This Row],[SETOR]],BD!A:AF,26,0),"")</f>
        <v/>
      </c>
      <c r="AZ164" s="36" t="str">
        <f>IFERROR(VLOOKUP(Tabela1[[#This Row],[MÊS]]&amp;Tabela1[[#This Row],[ID]]&amp;Tabela1[[#This Row],[MATRICULA]]&amp;"Policia 3"&amp;Tabela1[[#This Row],[SETOR]],BD!A:AF,26,0),"")</f>
        <v/>
      </c>
      <c r="BA164" s="36" t="str">
        <f>IFERROR(VLOOKUP(Tabela1[[#This Row],[MÊS]]&amp;Tabela1[[#This Row],[ID]]&amp;Tabela1[[#This Row],[MATRICULA]]&amp;"Policia 4"&amp;Tabela1[[#This Row],[SETOR]],BD!A:AF,26,0),"")</f>
        <v/>
      </c>
      <c r="BB16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64" s="21" t="str">
        <f>IFERROR(AVERAGE(Tabela1[[#This Row],[M]:[M4]]),"")</f>
        <v/>
      </c>
      <c r="BD164" s="21" t="str">
        <f>IFERROR(AVERAGE(Tabela1[[#This Row],[C]:[C4]]),"")</f>
        <v/>
      </c>
      <c r="BE164" s="21" t="str">
        <f>IFERROR(AVERAGE(Tabela1[[#This Row],[PA2]:[PA 4]]),"")</f>
        <v/>
      </c>
      <c r="BF164" s="21" t="str">
        <f>IFERROR(AVERAGE(Tabela1[[#This Row],[PL]:[PL4]]),"")</f>
        <v/>
      </c>
      <c r="BG164" s="35" t="str">
        <f>IFERROR(VLOOKUP(Tabela1[[#This Row],[MÊS]]&amp;Tabela1[[#This Row],[MATRICULA]],#REF!,2,0),"")</f>
        <v/>
      </c>
      <c r="BH164" s="35" t="str">
        <f>IFERROR(VLOOKUP(Tabela1[[#This Row],[MÊS]]&amp;Tabela1[[#This Row],[MATRICULA]],#REF!,2,0),"")</f>
        <v/>
      </c>
      <c r="BI164" s="35" t="str">
        <f>IFERROR(VLOOKUP(Tabela1[[#This Row],[MÊS]]&amp;Tabela1[[#This Row],[MATRICULA]],#REF!,2,0),"")</f>
        <v/>
      </c>
      <c r="BJ164" s="35" t="str">
        <f>IFERROR(VLOOKUP(Tabela1[[#This Row],[MÊS]]&amp;Tabela1[[#This Row],[MATRICULA]],#REF!,2,0),"")</f>
        <v/>
      </c>
      <c r="BK164" s="35" t="str">
        <f>IFERROR(VLOOKUP(Tabela1[[#This Row],[MÊS]]&amp;Tabela1[[#This Row],[MATRICULA]],#REF!,2,0),"")</f>
        <v/>
      </c>
      <c r="BL164" s="21">
        <f>COUNTIF(Tabela1[[#This Row],[MOT2]:[RECEPTIVA]],"NÃO ENCONTRADA")</f>
        <v>0</v>
      </c>
      <c r="BM164" s="135" t="str">
        <f>IFERROR(VLOOKUP(Tabela1[[#This Row],[MÊS]]&amp;Tabela1[[#This Row],[ID]]&amp;Tabela1[[#This Row],[MATRICULA]]&amp;"Motorista"&amp;Tabela1[[#This Row],[SETOR]],BD!A:AF,13,0),"")</f>
        <v/>
      </c>
      <c r="BN164" s="135" t="str">
        <f>IFERROR(VLOOKUP(Tabela1[[#This Row],[MÊS]]&amp;Tabela1[[#This Row],[ID]]&amp;Tabela1[[#This Row],[MATRICULA]]&amp;"Motorista 2"&amp;Tabela1[[#This Row],[SETOR]],BD!A:AF,13,0),"")</f>
        <v/>
      </c>
      <c r="BO164" s="135" t="str">
        <f>IFERROR(VLOOKUP(Tabela1[[#This Row],[MÊS]]&amp;Tabela1[[#This Row],[ID]]&amp;Tabela1[[#This Row],[MATRICULA]]&amp;"Motorista 3"&amp;Tabela1[[#This Row],[SETOR]],BD!A:AF,13,0),"")</f>
        <v/>
      </c>
      <c r="BP164" s="135" t="str">
        <f>IFERROR(VLOOKUP(Tabela1[[#This Row],[MÊS]]&amp;Tabela1[[#This Row],[ID]]&amp;Tabela1[[#This Row],[MATRICULA]]&amp;"Motorista 4"&amp;Tabela1[[#This Row],[SETOR]],BD!A:AF,13,0),"")</f>
        <v/>
      </c>
      <c r="BQ164" s="135" t="str">
        <f>IFERROR(AVERAGE(Tabela1[[#This Row],[DMOT]:[DMOT4]]),"")</f>
        <v/>
      </c>
      <c r="BR164" s="135" t="str">
        <f>IFERROR(VLOOKUP(Tabela1[[#This Row],[MÊS]]&amp;Tabela1[[#This Row],[ID]]&amp;Tabela1[[#This Row],[MATRICULA]]&amp;"Ponto de Apoio"&amp;Tabela1[[#This Row],[SETOR]],BD!A:AF,13,0),"")</f>
        <v/>
      </c>
      <c r="BS164" s="135" t="str">
        <f>IFERROR(VLOOKUP(Tabela1[[#This Row],[MÊS]]&amp;Tabela1[[#This Row],[ID]]&amp;Tabela1[[#This Row],[MATRICULA]]&amp;"Ponto de Apoio 2"&amp;Tabela1[[#This Row],[SETOR]],BD!A:AF,13,0),"")</f>
        <v/>
      </c>
      <c r="BT164" s="135" t="str">
        <f>IFERROR(VLOOKUP(Tabela1[[#This Row],[MÊS]]&amp;Tabela1[[#This Row],[ID]]&amp;Tabela1[[#This Row],[MATRICULA]]&amp;"Ponto de Apoio 3"&amp;Tabela1[[#This Row],[SETOR]],BD!A:AF,13,0),"")</f>
        <v/>
      </c>
      <c r="BU164" s="135" t="str">
        <f>IFERROR(VLOOKUP(Tabela1[[#This Row],[MÊS]]&amp;Tabela1[[#This Row],[ID]]&amp;Tabela1[[#This Row],[MATRICULA]]&amp;"Ponto de Apoio 4"&amp;Tabela1[[#This Row],[SETOR]],BD!A:AF,13,0),"")</f>
        <v/>
      </c>
      <c r="BV164" s="135" t="str">
        <f>IFERROR(AVERAGE(Tabela1[[#This Row],[DPA]:[DPA 4]]),"")</f>
        <v/>
      </c>
      <c r="BW164" s="135" t="str">
        <f>IFERROR(VLOOKUP(Tabela1[[#This Row],[MÊS]]&amp;Tabela1[[#This Row],[ID]]&amp;Tabela1[[#This Row],[MATRICULA]]&amp;"Cliente"&amp;Tabela1[[#This Row],[SETOR]],BD!A:AF,13,0),"")</f>
        <v/>
      </c>
      <c r="BX164" s="135" t="str">
        <f>IFERROR(VLOOKUP(Tabela1[[#This Row],[MÊS]]&amp;Tabela1[[#This Row],[ID]]&amp;Tabela1[[#This Row],[MATRICULA]]&amp;"cliente 2"&amp;Tabela1[[#This Row],[SETOR]],BD!A:AF,13,0),"")</f>
        <v/>
      </c>
      <c r="BY164" s="135" t="str">
        <f>IFERROR(VLOOKUP(Tabela1[[#This Row],[MÊS]]&amp;Tabela1[[#This Row],[ID]]&amp;Tabela1[[#This Row],[MATRICULA]]&amp;"cliente 3"&amp;Tabela1[[#This Row],[SETOR]],BD!A:AF,13,0),"")</f>
        <v/>
      </c>
      <c r="BZ164" s="135" t="str">
        <f>IFERROR(VLOOKUP(Tabela1[[#This Row],[MÊS]]&amp;Tabela1[[#This Row],[ID]]&amp;Tabela1[[#This Row],[MATRICULA]]&amp;"cliente 4"&amp;Tabela1[[#This Row],[SETOR]],BD!A:AF,13,0),"")</f>
        <v/>
      </c>
      <c r="CA164" s="135" t="str">
        <f>IFERROR(AVERAGE(Tabela1[[#This Row],[DCLI]:[DCLI 4]]),"")</f>
        <v/>
      </c>
      <c r="CB164" s="135" t="str">
        <f>IFERROR(VLOOKUP(Tabela1[[#This Row],[MÊS]]&amp;Tabela1[[#This Row],[ID]]&amp;Tabela1[[#This Row],[MATRICULA]]&amp;"Policia"&amp;Tabela1[[#This Row],[SETOR]],BD!A:AF,13,0),"")</f>
        <v/>
      </c>
      <c r="CC164" s="135" t="str">
        <f>IFERROR(VLOOKUP(Tabela1[[#This Row],[MÊS]]&amp;Tabela1[[#This Row],[ID]]&amp;Tabela1[[#This Row],[MATRICULA]]&amp;"Policia 2"&amp;Tabela1[[#This Row],[SETOR]],BD!A:AF,13,0),"")</f>
        <v/>
      </c>
      <c r="CD164" s="135"/>
      <c r="CE164" s="135"/>
      <c r="CF164" s="135" t="str">
        <f>IFERROR((AVERAGE(Tabela1[[#This Row],[DPOL1]:[DPOL4]])),"")</f>
        <v/>
      </c>
      <c r="CG164" s="21" t="str">
        <f>IFERROR(VLOOKUP(Tabela1[[#This Row],[ID]]&amp;Tabela1[[#This Row],[MÊS]]&amp;Tabela1[[#This Row],[MATRICULA]],#REF!,2,0),"")</f>
        <v/>
      </c>
      <c r="CH164" s="21" t="str">
        <f>IFERROR(VLOOKUP(Tabela1[[#This Row],[ID]]&amp;Tabela1[[#This Row],[MÊS]]&amp;Tabela1[[#This Row],[MATRICULA]],#REF!,2,0),"")</f>
        <v/>
      </c>
      <c r="CI164" s="21" t="str">
        <f>IFERROR(VLOOKUP(Tabela1[[#This Row],[MÊS]]&amp;Tabela1[[#This Row],[MATRICULA]],#REF!,2,0),"")</f>
        <v/>
      </c>
    </row>
    <row r="165" spans="1:87">
      <c r="A165" s="12" t="str">
        <f>Tabela1[[#This Row],[MÊS]]&amp;Tabela1[[#This Row],[MATRICULA]]&amp;Tabela1[[#This Row],[ID]]</f>
        <v>JAN114937</v>
      </c>
      <c r="B165" s="12" t="str">
        <f>Tabela1[[#This Row],[MÊS]]&amp;Tabela1[[#This Row],[ID]]&amp;Tabela1[[#This Row],[MATRICULA]]&amp;Tabela1[[#This Row],[SETOR]]</f>
        <v>JAN711493LOGÍSTICA</v>
      </c>
      <c r="C165" s="130" t="e">
        <f>VLOOKUP(Tabela1[[#This Row],[MATRICULA]],'BD Campos'!A:D,5,0)</f>
        <v>#REF!</v>
      </c>
      <c r="D165" s="133" t="str">
        <f ca="1">IFERROR(SUM(TODAY()-Tabela1[[#This Row],[ADMISSÃO]]),"")</f>
        <v/>
      </c>
      <c r="E165" s="11" t="str">
        <f ca="1">IFERROR(TRUNC(Tabela1[[#This Row],[TEMPO DE CASA (DIAS)]]/30),"")</f>
        <v/>
      </c>
      <c r="F165" s="32" t="str">
        <f ca="1">IFERROR(SUM(Tabela1[[#This Row],[TEMPO DE CASA (MESES)]]/12),"")</f>
        <v/>
      </c>
      <c r="G165" s="133" t="str">
        <f ca="1">IF(Tabela1[[#This Row],[TEMPO DE CASA (DIAS)]]="","SEM DADOS",IF(Tabela1[[#This Row],[TEMPO DE CASA (DIAS)]]&gt;180,"&gt; 6 MESES","&lt; 6 MESES"))</f>
        <v>SEM DADOS</v>
      </c>
      <c r="H165" s="12" t="str">
        <f t="shared" si="15"/>
        <v>JANGiulia Machado7</v>
      </c>
      <c r="I165" s="12" t="str">
        <f>IFERROR(VLOOKUP(Tabela1[[#This Row],[MATRICULA]],'BD Campos'!A:F,7,0),"")</f>
        <v/>
      </c>
      <c r="J165" s="11">
        <v>7</v>
      </c>
      <c r="K165" s="11" t="s">
        <v>669</v>
      </c>
      <c r="L165" s="136">
        <v>11493</v>
      </c>
      <c r="M165" s="12" t="str">
        <f>IFERROR(VLOOKUP(Tabela1[[#This Row],[MATRICULA]],'BD Campos'!A:B,2,0),"")</f>
        <v>MARCOS NASCIMENTO DALESSANDRO</v>
      </c>
      <c r="N165" s="20" t="str">
        <f>IFERROR(AVERAGE(Tabela1[[#This Row],[A1]:[A4]]),"")</f>
        <v/>
      </c>
      <c r="O165" s="20" t="str">
        <f>IFERROR(IF(Tabela1[[#This Row],[SETOR]]="RECEPTIVO","",AVERAGE(Tabela1[[#This Row],[A5]:[A6]])),"")</f>
        <v/>
      </c>
      <c r="P165" s="20" t="str">
        <f>IFERROR(IF(Tabela1[[#This Row],[STATUS]]="INATIVO","INATIVO",IF(Tabela1[[#This Row],[STATUS]]="QRT","INATIVO",IF(Tabela1[[#This Row],[OPERACIONAL]]&gt;7.99999,"BOM","RUIM"))),"")</f>
        <v>INATIVO</v>
      </c>
      <c r="Q165" s="21" t="s">
        <v>670</v>
      </c>
      <c r="R165" s="12" t="s">
        <v>708</v>
      </c>
      <c r="S165" s="12" t="s">
        <v>709</v>
      </c>
      <c r="T165" s="12" t="s">
        <v>315</v>
      </c>
      <c r="U16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5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65" s="12">
        <f>IF(AND(Tabela1[[#This Row],[SETOR]]="UTI",Tabela1[[#This Row],[M]]&lt;&gt;""),1,IF(AND(Tabela1[[#This Row],[SETOR]]="UTI (RJ)",Tabela1[[#This Row],[M]]&lt;&gt;""),1.5,0))</f>
        <v>0</v>
      </c>
      <c r="X165" s="12">
        <f>IF(AND(Tabela1[[#This Row],[SETOR]]="UTI",Tabela1[[#This Row],[PA2]]&lt;&gt;""),1,IF(AND(Tabela1[[#This Row],[SETOR]]="UTI (RJ)",Tabela1[[#This Row],[PA2]]&lt;&gt;""),0,0))</f>
        <v>0</v>
      </c>
      <c r="Y165" s="12">
        <f>IF(AND(Tabela1[[#This Row],[SETOR]]="UTI",Tabela1[[#This Row],[C]]&lt;&gt;""),1,IF(AND(Tabela1[[#This Row],[SETOR]]="UTI (RJ)",Tabela1[[#This Row],[C]]&lt;&gt;""),1.5,0))</f>
        <v>0</v>
      </c>
      <c r="Z165" s="12">
        <f>IF(AND(Tabela1[[#This Row],[SETOR]]="UTI",Tabela1[[#This Row],[PL]]&lt;&gt;""),1,IF(AND(Tabela1[[#This Row],[SETOR]]="UTI (RJ)",Tabela1[[#This Row],[PL]]&lt;&gt;""),1,0))</f>
        <v>0</v>
      </c>
      <c r="AA165" s="21" t="str">
        <f>IFERROR(VLOOKUP(Tabela1[[#This Row],[MÊS]]&amp;Tabela1[[#This Row],[MATRICULA]]&amp;"1"&amp;Tabela1[[#This Row],[SETOR]]&amp;"PADRÃO",BD!B:AF,31,0),"")</f>
        <v/>
      </c>
      <c r="AB165" s="21" t="str">
        <f>IFERROR(VLOOKUP(Tabela1[[#This Row],[MÊS]]&amp;Tabela1[[#This Row],[MATRICULA]]&amp;"2"&amp;Tabela1[[#This Row],[SETOR]]&amp;"PADRÃO",BD!B:AF,31,0),"")</f>
        <v/>
      </c>
      <c r="AC165" s="21" t="str">
        <f>IFERROR(VLOOKUP(Tabela1[[#This Row],[MÊS]]&amp;Tabela1[[#This Row],[MATRICULA]]&amp;"3"&amp;Tabela1[[#This Row],[SETOR]]&amp;"PADRÃO",BD!B:AF,31,0),"")</f>
        <v/>
      </c>
      <c r="AD165" s="21" t="str">
        <f>IFERROR(VLOOKUP(Tabela1[[#This Row],[MÊS]]&amp;Tabela1[[#This Row],[MATRICULA]]&amp;"4"&amp;Tabela1[[#This Row],[SETOR]]&amp;"PADRÃO",BD!B:AF,25,0),"")</f>
        <v/>
      </c>
      <c r="AE165" s="21" t="str">
        <f>IFERROR(VLOOKUP(Tabela1[[#This Row],[MÊS]]&amp;Tabela1[[#This Row],[MATRICULA]]&amp;"5"&amp;Tabela1[[#This Row],[SETOR]]&amp;"PADRÃO",BD!B:AF,31,0),"")</f>
        <v/>
      </c>
      <c r="AF165" s="21" t="str">
        <f>IFERROR(VLOOKUP(Tabela1[[#This Row],[MÊS]]&amp;Tabela1[[#This Row],[MATRICULA]]&amp;"6"&amp;Tabela1[[#This Row],[SETOR]]&amp;"PADRÃO",BD!B:AF,31,0),"")</f>
        <v/>
      </c>
      <c r="AG165" s="21" t="str">
        <f>IFERROR(VLOOKUP(Tabela1[[#This Row],[MÊS]]&amp;Tabela1[[#This Row],[MATRICULA]]&amp;"7"&amp;Tabela1[[#This Row],[SETOR]]&amp;"PADRÃO",BD!B:AF,31,0),"")</f>
        <v/>
      </c>
      <c r="AH165" s="21" t="str">
        <f>IFERROR(VLOOKUP(Tabela1[[#This Row],[MÊS]]&amp;Tabela1[[#This Row],[ID]]&amp;Tabela1[[#This Row],[MATRICULA]]&amp;"Receptiva"&amp;Tabela1[[#This Row],[SETOR]],BD!A:AF,31,0),"")</f>
        <v/>
      </c>
      <c r="AI165" s="21" t="str">
        <f>IFERROR(VLOOKUP(Tabela1[[#This Row],[MÊS]]&amp;Tabela1[[#This Row],[ID]]&amp;Tabela1[[#This Row],[MATRICULA]]&amp;"Receptiva 2"&amp;Tabela1[[#This Row],[SETOR]],BD!A:AF,31,0),"")</f>
        <v/>
      </c>
      <c r="AJ165" s="21" t="str">
        <f>IFERROR(VLOOKUP(Tabela1[[#This Row],[MÊS]]&amp;Tabela1[[#This Row],[ID]]&amp;Tabela1[[#This Row],[MATRICULA]]&amp;"Receptiva 3"&amp;Tabela1[[#This Row],[SETOR]],BD!A:AF,31,0),"")</f>
        <v/>
      </c>
      <c r="AK165" s="21" t="str">
        <f>IFERROR(VLOOKUP(Tabela1[[#This Row],[MÊS]]&amp;Tabela1[[#This Row],[ID]]&amp;Tabela1[[#This Row],[MATRICULA]]&amp;"Receptiva 4"&amp;Tabela1[[#This Row],[SETOR]],BD!A:AF,31,0),"")</f>
        <v/>
      </c>
      <c r="AL165" s="21" t="str">
        <f>IFERROR(VLOOKUP(Tabela1[[#This Row],[MÊS]]&amp;Tabela1[[#This Row],[MATRICULA]]&amp;"Motorista"&amp;Tabela1[[#This Row],[SETOR]],BD!A:AF,31,0),"")</f>
        <v/>
      </c>
      <c r="AM165" s="21" t="str">
        <f>IFERROR(VLOOKUP(Tabela1[[#This Row],[MÊS]]&amp;Tabela1[[#This Row],[ID]]&amp;Tabela1[[#This Row],[MATRICULA]]&amp;"Motorista 2"&amp;Tabela1[[#This Row],[SETOR]],BD!A:AF,26,0),"")</f>
        <v/>
      </c>
      <c r="AN165" s="21" t="str">
        <f>IFERROR(VLOOKUP(Tabela1[[#This Row],[MÊS]]&amp;Tabela1[[#This Row],[ID]]&amp;Tabela1[[#This Row],[MATRICULA]]&amp;"Motorista 3"&amp;Tabela1[[#This Row],[SETOR]],BD!A:AF,26,0),"")</f>
        <v/>
      </c>
      <c r="AO165" s="21" t="str">
        <f>IFERROR(VLOOKUP(Tabela1[[#This Row],[MÊS]]&amp;Tabela1[[#This Row],[ID]]&amp;Tabela1[[#This Row],[MATRICULA]]&amp;"Motorista 4"&amp;Tabela1[[#This Row],[SETOR]],BD!A:AF,26,0),"")</f>
        <v/>
      </c>
      <c r="AP165" s="21" t="str">
        <f>IFERROR(VLOOKUP(Tabela1[[#This Row],[MÊS]]&amp;Tabela1[[#This Row],[MATRICULA]]&amp;"Ponto de Apoio"&amp;Tabela1[[#This Row],[SETOR]],BD!A:AF,31,0),"")</f>
        <v/>
      </c>
      <c r="AQ165" s="21" t="str">
        <f>IFERROR(VLOOKUP(Tabela1[[#This Row],[MÊS]]&amp;Tabela1[[#This Row],[ID]]&amp;Tabela1[[#This Row],[MATRICULA]]&amp;"Ponto de Apoio 2"&amp;Tabela1[[#This Row],[SETOR]],BD!A:AF,26,0),"")</f>
        <v/>
      </c>
      <c r="AR165" s="36" t="str">
        <f>IFERROR(VLOOKUP(Tabela1[[#This Row],[MÊS]]&amp;Tabela1[[#This Row],[ID]]&amp;Tabela1[[#This Row],[MATRICULA]]&amp;"Ponto de Apoio 3"&amp;Tabela1[[#This Row],[SETOR]],BD!A:AF,26,0),"")</f>
        <v/>
      </c>
      <c r="AS165" s="36" t="str">
        <f>IFERROR(VLOOKUP(Tabela1[[#This Row],[MÊS]]&amp;Tabela1[[#This Row],[ID]]&amp;Tabela1[[#This Row],[MATRICULA]]&amp;"Ponto de Apoio 4"&amp;Tabela1[[#This Row],[SETOR]],BD!A:AF,26,0),"")</f>
        <v/>
      </c>
      <c r="AT165" s="21" t="str">
        <f>IFERROR(VLOOKUP(Tabela1[[#This Row],[MÊS]]&amp;Tabela1[[#This Row],[MATRICULA]]&amp;"Cliente"&amp;Tabela1[[#This Row],[SETOR]],BD!A:AF,31,0),"")</f>
        <v/>
      </c>
      <c r="AU165" s="21" t="str">
        <f>IFERROR(VLOOKUP(Tabela1[[#This Row],[MÊS]]&amp;Tabela1[[#This Row],[ID]]&amp;Tabela1[[#This Row],[MATRICULA]]&amp;"Cliente 2"&amp;Tabela1[[#This Row],[SETOR]],BD!A:AF,26,0),"")</f>
        <v/>
      </c>
      <c r="AX165" s="21" t="str">
        <f>IFERROR(VLOOKUP(Tabela1[[#This Row],[MÊS]]&amp;Tabela1[[#This Row],[MATRICULA]]&amp;"Policia"&amp;Tabela1[[#This Row],[SETOR]],BD!A:AF,31,0),"")</f>
        <v/>
      </c>
      <c r="AY165" s="21" t="str">
        <f>IFERROR(VLOOKUP(Tabela1[[#This Row],[MÊS]]&amp;Tabela1[[#This Row],[ID]]&amp;Tabela1[[#This Row],[MATRICULA]]&amp;"Policia 2"&amp;Tabela1[[#This Row],[SETOR]],BD!A:AF,26,0),"")</f>
        <v/>
      </c>
      <c r="AZ165" s="36" t="str">
        <f>IFERROR(VLOOKUP(Tabela1[[#This Row],[MÊS]]&amp;Tabela1[[#This Row],[ID]]&amp;Tabela1[[#This Row],[MATRICULA]]&amp;"Policia 3"&amp;Tabela1[[#This Row],[SETOR]],BD!A:AF,26,0),"")</f>
        <v/>
      </c>
      <c r="BA165" s="36" t="str">
        <f>IFERROR(VLOOKUP(Tabela1[[#This Row],[MÊS]]&amp;Tabela1[[#This Row],[ID]]&amp;Tabela1[[#This Row],[MATRICULA]]&amp;"Policia 4"&amp;Tabela1[[#This Row],[SETOR]],BD!A:AF,26,0),"")</f>
        <v/>
      </c>
      <c r="BB16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65" s="21" t="str">
        <f>IFERROR(AVERAGE(Tabela1[[#This Row],[M]:[M4]]),"")</f>
        <v/>
      </c>
      <c r="BD165" s="21" t="str">
        <f>IFERROR(AVERAGE(Tabela1[[#This Row],[C]:[C4]]),"")</f>
        <v/>
      </c>
      <c r="BE165" s="21" t="str">
        <f>IFERROR(AVERAGE(Tabela1[[#This Row],[PA2]:[PA 4]]),"")</f>
        <v/>
      </c>
      <c r="BF165" s="21" t="str">
        <f>IFERROR(AVERAGE(Tabela1[[#This Row],[PL]:[PL4]]),"")</f>
        <v/>
      </c>
      <c r="BG165" s="35" t="str">
        <f>IFERROR(VLOOKUP(Tabela1[[#This Row],[MÊS]]&amp;Tabela1[[#This Row],[MATRICULA]],#REF!,2,0),"")</f>
        <v/>
      </c>
      <c r="BH165" s="35" t="str">
        <f>IFERROR(VLOOKUP(Tabela1[[#This Row],[MÊS]]&amp;Tabela1[[#This Row],[MATRICULA]],#REF!,2,0),"")</f>
        <v/>
      </c>
      <c r="BI165" s="35" t="str">
        <f>IFERROR(VLOOKUP(Tabela1[[#This Row],[MÊS]]&amp;Tabela1[[#This Row],[MATRICULA]],#REF!,2,0),"")</f>
        <v/>
      </c>
      <c r="BJ165" s="35" t="str">
        <f>IFERROR(VLOOKUP(Tabela1[[#This Row],[MÊS]]&amp;Tabela1[[#This Row],[MATRICULA]],#REF!,2,0),"")</f>
        <v/>
      </c>
      <c r="BK165" s="35" t="str">
        <f>IFERROR(VLOOKUP(Tabela1[[#This Row],[MÊS]]&amp;Tabela1[[#This Row],[MATRICULA]],#REF!,2,0),"")</f>
        <v/>
      </c>
      <c r="BL165" s="21">
        <f>COUNTIF(Tabela1[[#This Row],[MOT2]:[RECEPTIVA]],"NÃO ENCONTRADA")</f>
        <v>0</v>
      </c>
      <c r="BM165" s="135" t="str">
        <f>IFERROR(VLOOKUP(Tabela1[[#This Row],[MÊS]]&amp;Tabela1[[#This Row],[ID]]&amp;Tabela1[[#This Row],[MATRICULA]]&amp;"Motorista"&amp;Tabela1[[#This Row],[SETOR]],BD!A:AF,13,0),"")</f>
        <v/>
      </c>
      <c r="BN165" s="135" t="str">
        <f>IFERROR(VLOOKUP(Tabela1[[#This Row],[MÊS]]&amp;Tabela1[[#This Row],[ID]]&amp;Tabela1[[#This Row],[MATRICULA]]&amp;"Motorista 2"&amp;Tabela1[[#This Row],[SETOR]],BD!A:AF,13,0),"")</f>
        <v/>
      </c>
      <c r="BO165" s="135" t="str">
        <f>IFERROR(VLOOKUP(Tabela1[[#This Row],[MÊS]]&amp;Tabela1[[#This Row],[ID]]&amp;Tabela1[[#This Row],[MATRICULA]]&amp;"Motorista 3"&amp;Tabela1[[#This Row],[SETOR]],BD!A:AF,13,0),"")</f>
        <v/>
      </c>
      <c r="BP165" s="135" t="str">
        <f>IFERROR(VLOOKUP(Tabela1[[#This Row],[MÊS]]&amp;Tabela1[[#This Row],[ID]]&amp;Tabela1[[#This Row],[MATRICULA]]&amp;"Motorista 4"&amp;Tabela1[[#This Row],[SETOR]],BD!A:AF,13,0),"")</f>
        <v/>
      </c>
      <c r="BQ165" s="135" t="str">
        <f>IFERROR(AVERAGE(Tabela1[[#This Row],[DMOT]:[DMOT4]]),"")</f>
        <v/>
      </c>
      <c r="BR165" s="135" t="str">
        <f>IFERROR(VLOOKUP(Tabela1[[#This Row],[MÊS]]&amp;Tabela1[[#This Row],[ID]]&amp;Tabela1[[#This Row],[MATRICULA]]&amp;"Ponto de Apoio"&amp;Tabela1[[#This Row],[SETOR]],BD!A:AF,13,0),"")</f>
        <v/>
      </c>
      <c r="BS165" s="135" t="str">
        <f>IFERROR(VLOOKUP(Tabela1[[#This Row],[MÊS]]&amp;Tabela1[[#This Row],[ID]]&amp;Tabela1[[#This Row],[MATRICULA]]&amp;"Ponto de Apoio 2"&amp;Tabela1[[#This Row],[SETOR]],BD!A:AF,13,0),"")</f>
        <v/>
      </c>
      <c r="BT165" s="135" t="str">
        <f>IFERROR(VLOOKUP(Tabela1[[#This Row],[MÊS]]&amp;Tabela1[[#This Row],[ID]]&amp;Tabela1[[#This Row],[MATRICULA]]&amp;"Ponto de Apoio 3"&amp;Tabela1[[#This Row],[SETOR]],BD!A:AF,13,0),"")</f>
        <v/>
      </c>
      <c r="BU165" s="135" t="str">
        <f>IFERROR(VLOOKUP(Tabela1[[#This Row],[MÊS]]&amp;Tabela1[[#This Row],[ID]]&amp;Tabela1[[#This Row],[MATRICULA]]&amp;"Ponto de Apoio 4"&amp;Tabela1[[#This Row],[SETOR]],BD!A:AF,13,0),"")</f>
        <v/>
      </c>
      <c r="BV165" s="135" t="str">
        <f>IFERROR(AVERAGE(Tabela1[[#This Row],[DPA]:[DPA 4]]),"")</f>
        <v/>
      </c>
      <c r="BW165" s="135" t="str">
        <f>IFERROR(VLOOKUP(Tabela1[[#This Row],[MÊS]]&amp;Tabela1[[#This Row],[ID]]&amp;Tabela1[[#This Row],[MATRICULA]]&amp;"Cliente"&amp;Tabela1[[#This Row],[SETOR]],BD!A:AF,13,0),"")</f>
        <v/>
      </c>
      <c r="BX165" s="135" t="str">
        <f>IFERROR(VLOOKUP(Tabela1[[#This Row],[MÊS]]&amp;Tabela1[[#This Row],[ID]]&amp;Tabela1[[#This Row],[MATRICULA]]&amp;"cliente 2"&amp;Tabela1[[#This Row],[SETOR]],BD!A:AF,13,0),"")</f>
        <v/>
      </c>
      <c r="BY165" s="135" t="str">
        <f>IFERROR(VLOOKUP(Tabela1[[#This Row],[MÊS]]&amp;Tabela1[[#This Row],[ID]]&amp;Tabela1[[#This Row],[MATRICULA]]&amp;"cliente 3"&amp;Tabela1[[#This Row],[SETOR]],BD!A:AF,13,0),"")</f>
        <v/>
      </c>
      <c r="BZ165" s="135" t="str">
        <f>IFERROR(VLOOKUP(Tabela1[[#This Row],[MÊS]]&amp;Tabela1[[#This Row],[ID]]&amp;Tabela1[[#This Row],[MATRICULA]]&amp;"cliente 4"&amp;Tabela1[[#This Row],[SETOR]],BD!A:AF,13,0),"")</f>
        <v/>
      </c>
      <c r="CA165" s="135" t="str">
        <f>IFERROR(AVERAGE(Tabela1[[#This Row],[DCLI]:[DCLI 4]]),"")</f>
        <v/>
      </c>
      <c r="CB165" s="135" t="str">
        <f>IFERROR(VLOOKUP(Tabela1[[#This Row],[MÊS]]&amp;Tabela1[[#This Row],[ID]]&amp;Tabela1[[#This Row],[MATRICULA]]&amp;"Policia"&amp;Tabela1[[#This Row],[SETOR]],BD!A:AF,13,0),"")</f>
        <v/>
      </c>
      <c r="CC165" s="135" t="str">
        <f>IFERROR(VLOOKUP(Tabela1[[#This Row],[MÊS]]&amp;Tabela1[[#This Row],[ID]]&amp;Tabela1[[#This Row],[MATRICULA]]&amp;"Policia 2"&amp;Tabela1[[#This Row],[SETOR]],BD!A:AF,13,0),"")</f>
        <v/>
      </c>
      <c r="CD165" s="135"/>
      <c r="CE165" s="135"/>
      <c r="CF165" s="135" t="str">
        <f>IFERROR((AVERAGE(Tabela1[[#This Row],[DPOL1]:[DPOL4]])),"")</f>
        <v/>
      </c>
      <c r="CG165" s="21" t="str">
        <f>IFERROR(VLOOKUP(Tabela1[[#This Row],[ID]]&amp;Tabela1[[#This Row],[MÊS]]&amp;Tabela1[[#This Row],[MATRICULA]],#REF!,2,0),"")</f>
        <v/>
      </c>
      <c r="CH165" s="21" t="str">
        <f>IFERROR(VLOOKUP(Tabela1[[#This Row],[ID]]&amp;Tabela1[[#This Row],[MÊS]]&amp;Tabela1[[#This Row],[MATRICULA]],#REF!,2,0),"")</f>
        <v/>
      </c>
      <c r="CI165" s="21" t="str">
        <f>IFERROR(VLOOKUP(Tabela1[[#This Row],[MÊS]]&amp;Tabela1[[#This Row],[MATRICULA]],#REF!,2,0),"")</f>
        <v/>
      </c>
    </row>
    <row r="166" spans="1:87">
      <c r="A166" s="12" t="str">
        <f>Tabela1[[#This Row],[MÊS]]&amp;Tabela1[[#This Row],[MATRICULA]]&amp;Tabela1[[#This Row],[ID]]</f>
        <v>JAN113538</v>
      </c>
      <c r="B166" s="12" t="str">
        <f>Tabela1[[#This Row],[MÊS]]&amp;Tabela1[[#This Row],[ID]]&amp;Tabela1[[#This Row],[MATRICULA]]&amp;Tabela1[[#This Row],[SETOR]]</f>
        <v>JAN811353LOGÍSTICA</v>
      </c>
      <c r="C166" s="130" t="e">
        <f>VLOOKUP(Tabela1[[#This Row],[MATRICULA]],'BD Campos'!A:D,5,0)</f>
        <v>#REF!</v>
      </c>
      <c r="D166" s="133" t="str">
        <f ca="1">IFERROR(SUM(TODAY()-Tabela1[[#This Row],[ADMISSÃO]]),"")</f>
        <v/>
      </c>
      <c r="E166" s="11" t="str">
        <f ca="1">IFERROR(TRUNC(Tabela1[[#This Row],[TEMPO DE CASA (DIAS)]]/30),"")</f>
        <v/>
      </c>
      <c r="F166" s="32" t="str">
        <f ca="1">IFERROR(SUM(Tabela1[[#This Row],[TEMPO DE CASA (MESES)]]/12),"")</f>
        <v/>
      </c>
      <c r="G166" s="133" t="str">
        <f ca="1">IF(Tabela1[[#This Row],[TEMPO DE CASA (DIAS)]]="","SEM DADOS",IF(Tabela1[[#This Row],[TEMPO DE CASA (DIAS)]]&gt;180,"&gt; 6 MESES","&lt; 6 MESES"))</f>
        <v>SEM DADOS</v>
      </c>
      <c r="H166" s="12" t="str">
        <f t="shared" si="15"/>
        <v>JANGiulia Machado8</v>
      </c>
      <c r="I166" s="12" t="str">
        <f>IFERROR(VLOOKUP(Tabela1[[#This Row],[MATRICULA]],'BD Campos'!A:F,7,0),"")</f>
        <v/>
      </c>
      <c r="J166" s="11">
        <v>8</v>
      </c>
      <c r="K166" s="11" t="s">
        <v>669</v>
      </c>
      <c r="L166" s="136">
        <v>11353</v>
      </c>
      <c r="M166" s="12" t="str">
        <f>IFERROR(VLOOKUP(Tabela1[[#This Row],[MATRICULA]],'BD Campos'!A:B,2,0),"")</f>
        <v>MARIA FERNANDA CORDOVA BORGES</v>
      </c>
      <c r="N166" s="20">
        <f>IFERROR(AVERAGE(Tabela1[[#This Row],[A1]:[A4]]),"")</f>
        <v>10</v>
      </c>
      <c r="O166" s="20" t="str">
        <f>IFERROR(IF(Tabela1[[#This Row],[SETOR]]="RECEPTIVO","",AVERAGE(Tabela1[[#This Row],[A5]:[A6]])),"")</f>
        <v/>
      </c>
      <c r="P166" s="20" t="str">
        <f>IFERROR(IF(Tabela1[[#This Row],[STATUS]]="INATIVO","INATIVO",IF(Tabela1[[#This Row],[STATUS]]="QRT","INATIVO",IF(Tabela1[[#This Row],[OPERACIONAL]]&gt;7.99999,"BOM","RUIM"))),"")</f>
        <v>BOM</v>
      </c>
      <c r="Q166" s="21" t="s">
        <v>667</v>
      </c>
      <c r="R166" s="12" t="s">
        <v>708</v>
      </c>
      <c r="S166" s="12" t="s">
        <v>709</v>
      </c>
      <c r="T166" s="12" t="s">
        <v>315</v>
      </c>
      <c r="U16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66" s="12">
        <f>IF(AND(Tabela1[[#This Row],[SETOR]]="UTI",Tabela1[[#This Row],[M]]&lt;&gt;""),1,IF(AND(Tabela1[[#This Row],[SETOR]]="UTI (RJ)",Tabela1[[#This Row],[M]]&lt;&gt;""),1.5,0))</f>
        <v>0</v>
      </c>
      <c r="X166" s="12">
        <f>IF(AND(Tabela1[[#This Row],[SETOR]]="UTI",Tabela1[[#This Row],[PA2]]&lt;&gt;""),1,IF(AND(Tabela1[[#This Row],[SETOR]]="UTI (RJ)",Tabela1[[#This Row],[PA2]]&lt;&gt;""),0,0))</f>
        <v>0</v>
      </c>
      <c r="Y166" s="12">
        <f>IF(AND(Tabela1[[#This Row],[SETOR]]="UTI",Tabela1[[#This Row],[C]]&lt;&gt;""),1,IF(AND(Tabela1[[#This Row],[SETOR]]="UTI (RJ)",Tabela1[[#This Row],[C]]&lt;&gt;""),1.5,0))</f>
        <v>0</v>
      </c>
      <c r="Z166" s="12">
        <f>IF(AND(Tabela1[[#This Row],[SETOR]]="UTI",Tabela1[[#This Row],[PL]]&lt;&gt;""),1,IF(AND(Tabela1[[#This Row],[SETOR]]="UTI (RJ)",Tabela1[[#This Row],[PL]]&lt;&gt;""),1,0))</f>
        <v>0</v>
      </c>
      <c r="AA166" s="21">
        <f>IFERROR(VLOOKUP(Tabela1[[#This Row],[MÊS]]&amp;Tabela1[[#This Row],[MATRICULA]]&amp;"1"&amp;Tabela1[[#This Row],[SETOR]]&amp;"PADRÃO",BD!B:AF,31,0),"")</f>
        <v>10</v>
      </c>
      <c r="AB166" s="21">
        <f>IFERROR(VLOOKUP(Tabela1[[#This Row],[MÊS]]&amp;Tabela1[[#This Row],[MATRICULA]]&amp;"2"&amp;Tabela1[[#This Row],[SETOR]]&amp;"PADRÃO",BD!B:AF,31,0),"")</f>
        <v>10.000000000000002</v>
      </c>
      <c r="AC166" s="21" t="str">
        <f>IFERROR(VLOOKUP(Tabela1[[#This Row],[MÊS]]&amp;Tabela1[[#This Row],[MATRICULA]]&amp;"3"&amp;Tabela1[[#This Row],[SETOR]]&amp;"PADRÃO",BD!B:AF,31,0),"")</f>
        <v/>
      </c>
      <c r="AD166" s="21" t="str">
        <f>IFERROR(VLOOKUP(Tabela1[[#This Row],[MÊS]]&amp;Tabela1[[#This Row],[MATRICULA]]&amp;"4"&amp;Tabela1[[#This Row],[SETOR]]&amp;"PADRÃO",BD!B:AF,25,0),"")</f>
        <v/>
      </c>
      <c r="AE166" s="21" t="str">
        <f>IFERROR(VLOOKUP(Tabela1[[#This Row],[MÊS]]&amp;Tabela1[[#This Row],[MATRICULA]]&amp;"5"&amp;Tabela1[[#This Row],[SETOR]]&amp;"PADRÃO",BD!B:AF,31,0),"")</f>
        <v/>
      </c>
      <c r="AF166" s="21" t="str">
        <f>IFERROR(VLOOKUP(Tabela1[[#This Row],[MÊS]]&amp;Tabela1[[#This Row],[MATRICULA]]&amp;"6"&amp;Tabela1[[#This Row],[SETOR]]&amp;"PADRÃO",BD!B:AF,31,0),"")</f>
        <v/>
      </c>
      <c r="AG166" s="21" t="str">
        <f>IFERROR(VLOOKUP(Tabela1[[#This Row],[MÊS]]&amp;Tabela1[[#This Row],[MATRICULA]]&amp;"7"&amp;Tabela1[[#This Row],[SETOR]]&amp;"PADRÃO",BD!B:AF,31,0),"")</f>
        <v/>
      </c>
      <c r="AH166" s="21" t="str">
        <f>IFERROR(VLOOKUP(Tabela1[[#This Row],[MÊS]]&amp;Tabela1[[#This Row],[ID]]&amp;Tabela1[[#This Row],[MATRICULA]]&amp;"Receptiva"&amp;Tabela1[[#This Row],[SETOR]],BD!A:AF,31,0),"")</f>
        <v/>
      </c>
      <c r="AI166" s="21" t="str">
        <f>IFERROR(VLOOKUP(Tabela1[[#This Row],[MÊS]]&amp;Tabela1[[#This Row],[ID]]&amp;Tabela1[[#This Row],[MATRICULA]]&amp;"Receptiva 2"&amp;Tabela1[[#This Row],[SETOR]],BD!A:AF,31,0),"")</f>
        <v/>
      </c>
      <c r="AJ166" s="21" t="str">
        <f>IFERROR(VLOOKUP(Tabela1[[#This Row],[MÊS]]&amp;Tabela1[[#This Row],[ID]]&amp;Tabela1[[#This Row],[MATRICULA]]&amp;"Receptiva 3"&amp;Tabela1[[#This Row],[SETOR]],BD!A:AF,31,0),"")</f>
        <v/>
      </c>
      <c r="AK166" s="21" t="str">
        <f>IFERROR(VLOOKUP(Tabela1[[#This Row],[MÊS]]&amp;Tabela1[[#This Row],[ID]]&amp;Tabela1[[#This Row],[MATRICULA]]&amp;"Receptiva 4"&amp;Tabela1[[#This Row],[SETOR]],BD!A:AF,31,0),"")</f>
        <v/>
      </c>
      <c r="AL166" s="21" t="str">
        <f>IFERROR(VLOOKUP(Tabela1[[#This Row],[MÊS]]&amp;Tabela1[[#This Row],[MATRICULA]]&amp;"Motorista"&amp;Tabela1[[#This Row],[SETOR]],BD!A:AF,31,0),"")</f>
        <v/>
      </c>
      <c r="AM166" s="21" t="str">
        <f>IFERROR(VLOOKUP(Tabela1[[#This Row],[MÊS]]&amp;Tabela1[[#This Row],[ID]]&amp;Tabela1[[#This Row],[MATRICULA]]&amp;"Motorista 2"&amp;Tabela1[[#This Row],[SETOR]],BD!A:AF,26,0),"")</f>
        <v/>
      </c>
      <c r="AN166" s="21" t="str">
        <f>IFERROR(VLOOKUP(Tabela1[[#This Row],[MÊS]]&amp;Tabela1[[#This Row],[ID]]&amp;Tabela1[[#This Row],[MATRICULA]]&amp;"Motorista 3"&amp;Tabela1[[#This Row],[SETOR]],BD!A:AF,26,0),"")</f>
        <v/>
      </c>
      <c r="AO166" s="21" t="str">
        <f>IFERROR(VLOOKUP(Tabela1[[#This Row],[MÊS]]&amp;Tabela1[[#This Row],[ID]]&amp;Tabela1[[#This Row],[MATRICULA]]&amp;"Motorista 4"&amp;Tabela1[[#This Row],[SETOR]],BD!A:AF,26,0),"")</f>
        <v/>
      </c>
      <c r="AP166" s="21" t="str">
        <f>IFERROR(VLOOKUP(Tabela1[[#This Row],[MÊS]]&amp;Tabela1[[#This Row],[MATRICULA]]&amp;"Ponto de Apoio"&amp;Tabela1[[#This Row],[SETOR]],BD!A:AF,31,0),"")</f>
        <v/>
      </c>
      <c r="AQ166" s="21" t="str">
        <f>IFERROR(VLOOKUP(Tabela1[[#This Row],[MÊS]]&amp;Tabela1[[#This Row],[ID]]&amp;Tabela1[[#This Row],[MATRICULA]]&amp;"Ponto de Apoio 2"&amp;Tabela1[[#This Row],[SETOR]],BD!A:AF,26,0),"")</f>
        <v/>
      </c>
      <c r="AR166" s="36" t="str">
        <f>IFERROR(VLOOKUP(Tabela1[[#This Row],[MÊS]]&amp;Tabela1[[#This Row],[ID]]&amp;Tabela1[[#This Row],[MATRICULA]]&amp;"Ponto de Apoio 3"&amp;Tabela1[[#This Row],[SETOR]],BD!A:AF,26,0),"")</f>
        <v/>
      </c>
      <c r="AS166" s="36" t="str">
        <f>IFERROR(VLOOKUP(Tabela1[[#This Row],[MÊS]]&amp;Tabela1[[#This Row],[ID]]&amp;Tabela1[[#This Row],[MATRICULA]]&amp;"Ponto de Apoio 4"&amp;Tabela1[[#This Row],[SETOR]],BD!A:AF,26,0),"")</f>
        <v/>
      </c>
      <c r="AT166" s="21" t="str">
        <f>IFERROR(VLOOKUP(Tabela1[[#This Row],[MÊS]]&amp;Tabela1[[#This Row],[MATRICULA]]&amp;"Cliente"&amp;Tabela1[[#This Row],[SETOR]],BD!A:AF,31,0),"")</f>
        <v>SIM</v>
      </c>
      <c r="AU166" s="21" t="str">
        <f>IFERROR(VLOOKUP(Tabela1[[#This Row],[MÊS]]&amp;Tabela1[[#This Row],[ID]]&amp;Tabela1[[#This Row],[MATRICULA]]&amp;"Cliente 2"&amp;Tabela1[[#This Row],[SETOR]],BD!A:AF,26,0),"")</f>
        <v/>
      </c>
      <c r="AX166" s="21" t="str">
        <f>IFERROR(VLOOKUP(Tabela1[[#This Row],[MÊS]]&amp;Tabela1[[#This Row],[MATRICULA]]&amp;"Policia"&amp;Tabela1[[#This Row],[SETOR]],BD!A:AF,31,0),"")</f>
        <v/>
      </c>
      <c r="AY166" s="21" t="str">
        <f>IFERROR(VLOOKUP(Tabela1[[#This Row],[MÊS]]&amp;Tabela1[[#This Row],[ID]]&amp;Tabela1[[#This Row],[MATRICULA]]&amp;"Policia 2"&amp;Tabela1[[#This Row],[SETOR]],BD!A:AF,26,0),"")</f>
        <v/>
      </c>
      <c r="AZ166" s="36" t="str">
        <f>IFERROR(VLOOKUP(Tabela1[[#This Row],[MÊS]]&amp;Tabela1[[#This Row],[ID]]&amp;Tabela1[[#This Row],[MATRICULA]]&amp;"Policia 3"&amp;Tabela1[[#This Row],[SETOR]],BD!A:AF,26,0),"")</f>
        <v/>
      </c>
      <c r="BA166" s="36" t="str">
        <f>IFERROR(VLOOKUP(Tabela1[[#This Row],[MÊS]]&amp;Tabela1[[#This Row],[ID]]&amp;Tabela1[[#This Row],[MATRICULA]]&amp;"Policia 4"&amp;Tabela1[[#This Row],[SETOR]],BD!A:AF,26,0),"")</f>
        <v/>
      </c>
      <c r="BB16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66" s="21" t="str">
        <f>IFERROR(AVERAGE(Tabela1[[#This Row],[M]:[M4]]),"")</f>
        <v/>
      </c>
      <c r="BD166" s="21" t="str">
        <f>IFERROR(AVERAGE(Tabela1[[#This Row],[C]:[C4]]),"")</f>
        <v/>
      </c>
      <c r="BE166" s="21" t="str">
        <f>IFERROR(AVERAGE(Tabela1[[#This Row],[PA2]:[PA 4]]),"")</f>
        <v/>
      </c>
      <c r="BF166" s="21" t="str">
        <f>IFERROR(AVERAGE(Tabela1[[#This Row],[PL]:[PL4]]),"")</f>
        <v/>
      </c>
      <c r="BG166" s="35" t="str">
        <f>IFERROR(VLOOKUP(Tabela1[[#This Row],[MÊS]]&amp;Tabela1[[#This Row],[MATRICULA]],#REF!,2,0),"")</f>
        <v/>
      </c>
      <c r="BH166" s="35" t="str">
        <f>IFERROR(VLOOKUP(Tabela1[[#This Row],[MÊS]]&amp;Tabela1[[#This Row],[MATRICULA]],#REF!,2,0),"")</f>
        <v/>
      </c>
      <c r="BI166" s="35" t="str">
        <f>IFERROR(VLOOKUP(Tabela1[[#This Row],[MÊS]]&amp;Tabela1[[#This Row],[MATRICULA]],#REF!,2,0),"")</f>
        <v/>
      </c>
      <c r="BJ166" s="35" t="str">
        <f>IFERROR(VLOOKUP(Tabela1[[#This Row],[MÊS]]&amp;Tabela1[[#This Row],[MATRICULA]],#REF!,2,0),"")</f>
        <v/>
      </c>
      <c r="BK166" s="35" t="str">
        <f>IFERROR(VLOOKUP(Tabela1[[#This Row],[MÊS]]&amp;Tabela1[[#This Row],[MATRICULA]],#REF!,2,0),"")</f>
        <v/>
      </c>
      <c r="BL166" s="21">
        <f>COUNTIF(Tabela1[[#This Row],[MOT2]:[RECEPTIVA]],"NÃO ENCONTRADA")</f>
        <v>0</v>
      </c>
      <c r="BM166" s="135" t="str">
        <f>IFERROR(VLOOKUP(Tabela1[[#This Row],[MÊS]]&amp;Tabela1[[#This Row],[ID]]&amp;Tabela1[[#This Row],[MATRICULA]]&amp;"Motorista"&amp;Tabela1[[#This Row],[SETOR]],BD!A:AF,13,0),"")</f>
        <v/>
      </c>
      <c r="BN166" s="135" t="str">
        <f>IFERROR(VLOOKUP(Tabela1[[#This Row],[MÊS]]&amp;Tabela1[[#This Row],[ID]]&amp;Tabela1[[#This Row],[MATRICULA]]&amp;"Motorista 2"&amp;Tabela1[[#This Row],[SETOR]],BD!A:AF,13,0),"")</f>
        <v/>
      </c>
      <c r="BO166" s="135" t="str">
        <f>IFERROR(VLOOKUP(Tabela1[[#This Row],[MÊS]]&amp;Tabela1[[#This Row],[ID]]&amp;Tabela1[[#This Row],[MATRICULA]]&amp;"Motorista 3"&amp;Tabela1[[#This Row],[SETOR]],BD!A:AF,13,0),"")</f>
        <v/>
      </c>
      <c r="BP166" s="135" t="str">
        <f>IFERROR(VLOOKUP(Tabela1[[#This Row],[MÊS]]&amp;Tabela1[[#This Row],[ID]]&amp;Tabela1[[#This Row],[MATRICULA]]&amp;"Motorista 4"&amp;Tabela1[[#This Row],[SETOR]],BD!A:AF,13,0),"")</f>
        <v/>
      </c>
      <c r="BQ166" s="135" t="str">
        <f>IFERROR(AVERAGE(Tabela1[[#This Row],[DMOT]:[DMOT4]]),"")</f>
        <v/>
      </c>
      <c r="BR166" s="135" t="str">
        <f>IFERROR(VLOOKUP(Tabela1[[#This Row],[MÊS]]&amp;Tabela1[[#This Row],[ID]]&amp;Tabela1[[#This Row],[MATRICULA]]&amp;"Ponto de Apoio"&amp;Tabela1[[#This Row],[SETOR]],BD!A:AF,13,0),"")</f>
        <v/>
      </c>
      <c r="BS166" s="135" t="str">
        <f>IFERROR(VLOOKUP(Tabela1[[#This Row],[MÊS]]&amp;Tabela1[[#This Row],[ID]]&amp;Tabela1[[#This Row],[MATRICULA]]&amp;"Ponto de Apoio 2"&amp;Tabela1[[#This Row],[SETOR]],BD!A:AF,13,0),"")</f>
        <v/>
      </c>
      <c r="BT166" s="135" t="str">
        <f>IFERROR(VLOOKUP(Tabela1[[#This Row],[MÊS]]&amp;Tabela1[[#This Row],[ID]]&amp;Tabela1[[#This Row],[MATRICULA]]&amp;"Ponto de Apoio 3"&amp;Tabela1[[#This Row],[SETOR]],BD!A:AF,13,0),"")</f>
        <v/>
      </c>
      <c r="BU166" s="135" t="str">
        <f>IFERROR(VLOOKUP(Tabela1[[#This Row],[MÊS]]&amp;Tabela1[[#This Row],[ID]]&amp;Tabela1[[#This Row],[MATRICULA]]&amp;"Ponto de Apoio 4"&amp;Tabela1[[#This Row],[SETOR]],BD!A:AF,13,0),"")</f>
        <v/>
      </c>
      <c r="BV166" s="135" t="str">
        <f>IFERROR(AVERAGE(Tabela1[[#This Row],[DPA]:[DPA 4]]),"")</f>
        <v/>
      </c>
      <c r="BW166" s="135" t="str">
        <f>IFERROR(VLOOKUP(Tabela1[[#This Row],[MÊS]]&amp;Tabela1[[#This Row],[ID]]&amp;Tabela1[[#This Row],[MATRICULA]]&amp;"Cliente"&amp;Tabela1[[#This Row],[SETOR]],BD!A:AF,13,0),"")</f>
        <v/>
      </c>
      <c r="BX166" s="135" t="str">
        <f>IFERROR(VLOOKUP(Tabela1[[#This Row],[MÊS]]&amp;Tabela1[[#This Row],[ID]]&amp;Tabela1[[#This Row],[MATRICULA]]&amp;"cliente 2"&amp;Tabela1[[#This Row],[SETOR]],BD!A:AF,13,0),"")</f>
        <v/>
      </c>
      <c r="BY166" s="135" t="str">
        <f>IFERROR(VLOOKUP(Tabela1[[#This Row],[MÊS]]&amp;Tabela1[[#This Row],[ID]]&amp;Tabela1[[#This Row],[MATRICULA]]&amp;"cliente 3"&amp;Tabela1[[#This Row],[SETOR]],BD!A:AF,13,0),"")</f>
        <v/>
      </c>
      <c r="BZ166" s="135" t="str">
        <f>IFERROR(VLOOKUP(Tabela1[[#This Row],[MÊS]]&amp;Tabela1[[#This Row],[ID]]&amp;Tabela1[[#This Row],[MATRICULA]]&amp;"cliente 4"&amp;Tabela1[[#This Row],[SETOR]],BD!A:AF,13,0),"")</f>
        <v/>
      </c>
      <c r="CA166" s="135" t="str">
        <f>IFERROR(AVERAGE(Tabela1[[#This Row],[DCLI]:[DCLI 4]]),"")</f>
        <v/>
      </c>
      <c r="CB166" s="135" t="str">
        <f>IFERROR(VLOOKUP(Tabela1[[#This Row],[MÊS]]&amp;Tabela1[[#This Row],[ID]]&amp;Tabela1[[#This Row],[MATRICULA]]&amp;"Policia"&amp;Tabela1[[#This Row],[SETOR]],BD!A:AF,13,0),"")</f>
        <v/>
      </c>
      <c r="CC166" s="135" t="str">
        <f>IFERROR(VLOOKUP(Tabela1[[#This Row],[MÊS]]&amp;Tabela1[[#This Row],[ID]]&amp;Tabela1[[#This Row],[MATRICULA]]&amp;"Policia 2"&amp;Tabela1[[#This Row],[SETOR]],BD!A:AF,13,0),"")</f>
        <v/>
      </c>
      <c r="CD166" s="135"/>
      <c r="CE166" s="135"/>
      <c r="CF166" s="135" t="str">
        <f>IFERROR((AVERAGE(Tabela1[[#This Row],[DPOL1]:[DPOL4]])),"")</f>
        <v/>
      </c>
      <c r="CG166" s="21" t="str">
        <f>IFERROR(VLOOKUP(Tabela1[[#This Row],[ID]]&amp;Tabela1[[#This Row],[MÊS]]&amp;Tabela1[[#This Row],[MATRICULA]],#REF!,2,0),"")</f>
        <v/>
      </c>
      <c r="CH166" s="21" t="str">
        <f>IFERROR(VLOOKUP(Tabela1[[#This Row],[ID]]&amp;Tabela1[[#This Row],[MÊS]]&amp;Tabela1[[#This Row],[MATRICULA]],#REF!,2,0),"")</f>
        <v/>
      </c>
      <c r="CI166" s="21" t="str">
        <f>IFERROR(VLOOKUP(Tabela1[[#This Row],[MÊS]]&amp;Tabela1[[#This Row],[MATRICULA]],#REF!,2,0),"")</f>
        <v/>
      </c>
    </row>
    <row r="167" spans="1:87">
      <c r="A167" s="12" t="str">
        <f>Tabela1[[#This Row],[MÊS]]&amp;Tabela1[[#This Row],[MATRICULA]]&amp;Tabela1[[#This Row],[ID]]</f>
        <v>JAN114859</v>
      </c>
      <c r="B167" s="12" t="str">
        <f>Tabela1[[#This Row],[MÊS]]&amp;Tabela1[[#This Row],[ID]]&amp;Tabela1[[#This Row],[MATRICULA]]&amp;Tabela1[[#This Row],[SETOR]]</f>
        <v>JAN911485LOGÍSTICA</v>
      </c>
      <c r="C167" s="130" t="e">
        <f>VLOOKUP(Tabela1[[#This Row],[MATRICULA]],'BD Campos'!A:D,5,0)</f>
        <v>#REF!</v>
      </c>
      <c r="D167" s="133" t="str">
        <f ca="1">IFERROR(SUM(TODAY()-Tabela1[[#This Row],[ADMISSÃO]]),"")</f>
        <v/>
      </c>
      <c r="E167" s="11" t="str">
        <f ca="1">IFERROR(TRUNC(Tabela1[[#This Row],[TEMPO DE CASA (DIAS)]]/30),"")</f>
        <v/>
      </c>
      <c r="F167" s="32" t="str">
        <f ca="1">IFERROR(SUM(Tabela1[[#This Row],[TEMPO DE CASA (MESES)]]/12),"")</f>
        <v/>
      </c>
      <c r="G167" s="133" t="str">
        <f ca="1">IF(Tabela1[[#This Row],[TEMPO DE CASA (DIAS)]]="","SEM DADOS",IF(Tabela1[[#This Row],[TEMPO DE CASA (DIAS)]]&gt;180,"&gt; 6 MESES","&lt; 6 MESES"))</f>
        <v>SEM DADOS</v>
      </c>
      <c r="H167" s="12" t="str">
        <f t="shared" si="15"/>
        <v>JANGiulia Machado9</v>
      </c>
      <c r="I167" s="12" t="str">
        <f>IFERROR(VLOOKUP(Tabela1[[#This Row],[MATRICULA]],'BD Campos'!A:F,7,0),"")</f>
        <v/>
      </c>
      <c r="J167" s="11">
        <v>9</v>
      </c>
      <c r="K167" s="11" t="s">
        <v>669</v>
      </c>
      <c r="L167" s="136">
        <v>11485</v>
      </c>
      <c r="M167" s="12" t="str">
        <f>IFERROR(VLOOKUP(Tabela1[[#This Row],[MATRICULA]],'BD Campos'!A:B,2,0),"")</f>
        <v>ROSSIELE DE SOUZA MARTINS</v>
      </c>
      <c r="N167" s="20">
        <f>IFERROR(AVERAGE(Tabela1[[#This Row],[A1]:[A4]]),"")</f>
        <v>7.7634999999999996</v>
      </c>
      <c r="O167" s="20" t="str">
        <f>IFERROR(IF(Tabela1[[#This Row],[SETOR]]="RECEPTIVO","",AVERAGE(Tabela1[[#This Row],[A5]:[A6]])),"")</f>
        <v/>
      </c>
      <c r="P167" s="20" t="str">
        <f>IFERROR(IF(Tabela1[[#This Row],[STATUS]]="INATIVO","INATIVO",IF(Tabela1[[#This Row],[STATUS]]="QRT","INATIVO",IF(Tabela1[[#This Row],[OPERACIONAL]]&gt;7.99999,"BOM","RUIM"))),"")</f>
        <v>RUIM</v>
      </c>
      <c r="Q167" s="21" t="s">
        <v>667</v>
      </c>
      <c r="R167" s="12" t="s">
        <v>708</v>
      </c>
      <c r="S167" s="12" t="s">
        <v>709</v>
      </c>
      <c r="T167" s="12" t="s">
        <v>315</v>
      </c>
      <c r="U16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67" s="12">
        <f>IF(AND(Tabela1[[#This Row],[SETOR]]="UTI",Tabela1[[#This Row],[M]]&lt;&gt;""),1,IF(AND(Tabela1[[#This Row],[SETOR]]="UTI (RJ)",Tabela1[[#This Row],[M]]&lt;&gt;""),1.5,0))</f>
        <v>0</v>
      </c>
      <c r="X167" s="12">
        <f>IF(AND(Tabela1[[#This Row],[SETOR]]="UTI",Tabela1[[#This Row],[PA2]]&lt;&gt;""),1,IF(AND(Tabela1[[#This Row],[SETOR]]="UTI (RJ)",Tabela1[[#This Row],[PA2]]&lt;&gt;""),0,0))</f>
        <v>0</v>
      </c>
      <c r="Y167" s="12">
        <f>IF(AND(Tabela1[[#This Row],[SETOR]]="UTI",Tabela1[[#This Row],[C]]&lt;&gt;""),1,IF(AND(Tabela1[[#This Row],[SETOR]]="UTI (RJ)",Tabela1[[#This Row],[C]]&lt;&gt;""),1.5,0))</f>
        <v>0</v>
      </c>
      <c r="Z167" s="12">
        <f>IF(AND(Tabela1[[#This Row],[SETOR]]="UTI",Tabela1[[#This Row],[PL]]&lt;&gt;""),1,IF(AND(Tabela1[[#This Row],[SETOR]]="UTI (RJ)",Tabela1[[#This Row],[PL]]&lt;&gt;""),1,0))</f>
        <v>0</v>
      </c>
      <c r="AA167" s="21">
        <f>IFERROR(VLOOKUP(Tabela1[[#This Row],[MÊS]]&amp;Tabela1[[#This Row],[MATRICULA]]&amp;"1"&amp;Tabela1[[#This Row],[SETOR]]&amp;"PADRÃO",BD!B:AF,31,0),"")</f>
        <v>8.2884999999999991</v>
      </c>
      <c r="AB167" s="21">
        <f>IFERROR(VLOOKUP(Tabela1[[#This Row],[MÊS]]&amp;Tabela1[[#This Row],[MATRICULA]]&amp;"2"&amp;Tabela1[[#This Row],[SETOR]]&amp;"PADRÃO",BD!B:AF,31,0),"")</f>
        <v>7.2385000000000002</v>
      </c>
      <c r="AC167" s="21" t="str">
        <f>IFERROR(VLOOKUP(Tabela1[[#This Row],[MÊS]]&amp;Tabela1[[#This Row],[MATRICULA]]&amp;"3"&amp;Tabela1[[#This Row],[SETOR]]&amp;"PADRÃO",BD!B:AF,31,0),"")</f>
        <v/>
      </c>
      <c r="AD167" s="21" t="str">
        <f>IFERROR(VLOOKUP(Tabela1[[#This Row],[MÊS]]&amp;Tabela1[[#This Row],[MATRICULA]]&amp;"4"&amp;Tabela1[[#This Row],[SETOR]]&amp;"PADRÃO",BD!B:AF,25,0),"")</f>
        <v/>
      </c>
      <c r="AE167" s="21" t="str">
        <f>IFERROR(VLOOKUP(Tabela1[[#This Row],[MÊS]]&amp;Tabela1[[#This Row],[MATRICULA]]&amp;"5"&amp;Tabela1[[#This Row],[SETOR]]&amp;"PADRÃO",BD!B:AF,31,0),"")</f>
        <v/>
      </c>
      <c r="AF167" s="21" t="str">
        <f>IFERROR(VLOOKUP(Tabela1[[#This Row],[MÊS]]&amp;Tabela1[[#This Row],[MATRICULA]]&amp;"6"&amp;Tabela1[[#This Row],[SETOR]]&amp;"PADRÃO",BD!B:AF,31,0),"")</f>
        <v/>
      </c>
      <c r="AG167" s="21" t="str">
        <f>IFERROR(VLOOKUP(Tabela1[[#This Row],[MÊS]]&amp;Tabela1[[#This Row],[MATRICULA]]&amp;"7"&amp;Tabela1[[#This Row],[SETOR]]&amp;"PADRÃO",BD!B:AF,31,0),"")</f>
        <v/>
      </c>
      <c r="AH167" s="21" t="str">
        <f>IFERROR(VLOOKUP(Tabela1[[#This Row],[MÊS]]&amp;Tabela1[[#This Row],[ID]]&amp;Tabela1[[#This Row],[MATRICULA]]&amp;"Receptiva"&amp;Tabela1[[#This Row],[SETOR]],BD!A:AF,31,0),"")</f>
        <v/>
      </c>
      <c r="AI167" s="21" t="str">
        <f>IFERROR(VLOOKUP(Tabela1[[#This Row],[MÊS]]&amp;Tabela1[[#This Row],[ID]]&amp;Tabela1[[#This Row],[MATRICULA]]&amp;"Receptiva 2"&amp;Tabela1[[#This Row],[SETOR]],BD!A:AF,31,0),"")</f>
        <v/>
      </c>
      <c r="AJ167" s="21" t="str">
        <f>IFERROR(VLOOKUP(Tabela1[[#This Row],[MÊS]]&amp;Tabela1[[#This Row],[ID]]&amp;Tabela1[[#This Row],[MATRICULA]]&amp;"Receptiva 3"&amp;Tabela1[[#This Row],[SETOR]],BD!A:AF,31,0),"")</f>
        <v/>
      </c>
      <c r="AK167" s="21" t="str">
        <f>IFERROR(VLOOKUP(Tabela1[[#This Row],[MÊS]]&amp;Tabela1[[#This Row],[ID]]&amp;Tabela1[[#This Row],[MATRICULA]]&amp;"Receptiva 4"&amp;Tabela1[[#This Row],[SETOR]],BD!A:AF,31,0),"")</f>
        <v/>
      </c>
      <c r="AL167" s="21" t="str">
        <f>IFERROR(VLOOKUP(Tabela1[[#This Row],[MÊS]]&amp;Tabela1[[#This Row],[MATRICULA]]&amp;"Motorista"&amp;Tabela1[[#This Row],[SETOR]],BD!A:AF,31,0),"")</f>
        <v/>
      </c>
      <c r="AM167" s="21" t="str">
        <f>IFERROR(VLOOKUP(Tabela1[[#This Row],[MÊS]]&amp;Tabela1[[#This Row],[ID]]&amp;Tabela1[[#This Row],[MATRICULA]]&amp;"Motorista 2"&amp;Tabela1[[#This Row],[SETOR]],BD!A:AF,26,0),"")</f>
        <v/>
      </c>
      <c r="AN167" s="21" t="str">
        <f>IFERROR(VLOOKUP(Tabela1[[#This Row],[MÊS]]&amp;Tabela1[[#This Row],[ID]]&amp;Tabela1[[#This Row],[MATRICULA]]&amp;"Motorista 3"&amp;Tabela1[[#This Row],[SETOR]],BD!A:AF,26,0),"")</f>
        <v/>
      </c>
      <c r="AO167" s="21" t="str">
        <f>IFERROR(VLOOKUP(Tabela1[[#This Row],[MÊS]]&amp;Tabela1[[#This Row],[ID]]&amp;Tabela1[[#This Row],[MATRICULA]]&amp;"Motorista 4"&amp;Tabela1[[#This Row],[SETOR]],BD!A:AF,26,0),"")</f>
        <v/>
      </c>
      <c r="AP167" s="21" t="str">
        <f>IFERROR(VLOOKUP(Tabela1[[#This Row],[MÊS]]&amp;Tabela1[[#This Row],[MATRICULA]]&amp;"Ponto de Apoio"&amp;Tabela1[[#This Row],[SETOR]],BD!A:AF,31,0),"")</f>
        <v/>
      </c>
      <c r="AQ167" s="21" t="str">
        <f>IFERROR(VLOOKUP(Tabela1[[#This Row],[MÊS]]&amp;Tabela1[[#This Row],[ID]]&amp;Tabela1[[#This Row],[MATRICULA]]&amp;"Ponto de Apoio 2"&amp;Tabela1[[#This Row],[SETOR]],BD!A:AF,26,0),"")</f>
        <v/>
      </c>
      <c r="AR167" s="36" t="str">
        <f>IFERROR(VLOOKUP(Tabela1[[#This Row],[MÊS]]&amp;Tabela1[[#This Row],[ID]]&amp;Tabela1[[#This Row],[MATRICULA]]&amp;"Ponto de Apoio 3"&amp;Tabela1[[#This Row],[SETOR]],BD!A:AF,26,0),"")</f>
        <v/>
      </c>
      <c r="AS167" s="36" t="str">
        <f>IFERROR(VLOOKUP(Tabela1[[#This Row],[MÊS]]&amp;Tabela1[[#This Row],[ID]]&amp;Tabela1[[#This Row],[MATRICULA]]&amp;"Ponto de Apoio 4"&amp;Tabela1[[#This Row],[SETOR]],BD!A:AF,26,0),"")</f>
        <v/>
      </c>
      <c r="AT167" s="21" t="str">
        <f>IFERROR(VLOOKUP(Tabela1[[#This Row],[MÊS]]&amp;Tabela1[[#This Row],[MATRICULA]]&amp;"Cliente"&amp;Tabela1[[#This Row],[SETOR]],BD!A:AF,31,0),"")</f>
        <v>SIM</v>
      </c>
      <c r="AU167" s="21" t="str">
        <f>IFERROR(VLOOKUP(Tabela1[[#This Row],[MÊS]]&amp;Tabela1[[#This Row],[ID]]&amp;Tabela1[[#This Row],[MATRICULA]]&amp;"Cliente 2"&amp;Tabela1[[#This Row],[SETOR]],BD!A:AF,26,0),"")</f>
        <v/>
      </c>
      <c r="AX167" s="21" t="str">
        <f>IFERROR(VLOOKUP(Tabela1[[#This Row],[MÊS]]&amp;Tabela1[[#This Row],[MATRICULA]]&amp;"Policia"&amp;Tabela1[[#This Row],[SETOR]],BD!A:AF,31,0),"")</f>
        <v/>
      </c>
      <c r="AY167" s="21" t="str">
        <f>IFERROR(VLOOKUP(Tabela1[[#This Row],[MÊS]]&amp;Tabela1[[#This Row],[ID]]&amp;Tabela1[[#This Row],[MATRICULA]]&amp;"Policia 2"&amp;Tabela1[[#This Row],[SETOR]],BD!A:AF,26,0),"")</f>
        <v/>
      </c>
      <c r="AZ167" s="36" t="str">
        <f>IFERROR(VLOOKUP(Tabela1[[#This Row],[MÊS]]&amp;Tabela1[[#This Row],[ID]]&amp;Tabela1[[#This Row],[MATRICULA]]&amp;"Policia 3"&amp;Tabela1[[#This Row],[SETOR]],BD!A:AF,26,0),"")</f>
        <v/>
      </c>
      <c r="BA167" s="36" t="str">
        <f>IFERROR(VLOOKUP(Tabela1[[#This Row],[MÊS]]&amp;Tabela1[[#This Row],[ID]]&amp;Tabela1[[#This Row],[MATRICULA]]&amp;"Policia 4"&amp;Tabela1[[#This Row],[SETOR]],BD!A:AF,26,0),"")</f>
        <v/>
      </c>
      <c r="BB16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JULIANO</v>
      </c>
      <c r="BC167" s="21" t="str">
        <f>IFERROR(AVERAGE(Tabela1[[#This Row],[M]:[M4]]),"")</f>
        <v/>
      </c>
      <c r="BD167" s="21" t="str">
        <f>IFERROR(AVERAGE(Tabela1[[#This Row],[C]:[C4]]),"")</f>
        <v/>
      </c>
      <c r="BE167" s="21" t="str">
        <f>IFERROR(AVERAGE(Tabela1[[#This Row],[PA2]:[PA 4]]),"")</f>
        <v/>
      </c>
      <c r="BF167" s="21" t="str">
        <f>IFERROR(AVERAGE(Tabela1[[#This Row],[PL]:[PL4]]),"")</f>
        <v/>
      </c>
      <c r="BG167" s="35" t="str">
        <f>IFERROR(VLOOKUP(Tabela1[[#This Row],[MÊS]]&amp;Tabela1[[#This Row],[MATRICULA]],#REF!,2,0),"")</f>
        <v/>
      </c>
      <c r="BH167" s="35" t="str">
        <f>IFERROR(VLOOKUP(Tabela1[[#This Row],[MÊS]]&amp;Tabela1[[#This Row],[MATRICULA]],#REF!,2,0),"")</f>
        <v/>
      </c>
      <c r="BI167" s="35" t="str">
        <f>IFERROR(VLOOKUP(Tabela1[[#This Row],[MÊS]]&amp;Tabela1[[#This Row],[MATRICULA]],#REF!,2,0),"")</f>
        <v/>
      </c>
      <c r="BJ167" s="35" t="str">
        <f>IFERROR(VLOOKUP(Tabela1[[#This Row],[MÊS]]&amp;Tabela1[[#This Row],[MATRICULA]],#REF!,2,0),"")</f>
        <v/>
      </c>
      <c r="BK167" s="35" t="str">
        <f>IFERROR(VLOOKUP(Tabela1[[#This Row],[MÊS]]&amp;Tabela1[[#This Row],[MATRICULA]],#REF!,2,0),"")</f>
        <v/>
      </c>
      <c r="BL167" s="21">
        <f>COUNTIF(Tabela1[[#This Row],[MOT2]:[RECEPTIVA]],"NÃO ENCONTRADA")</f>
        <v>0</v>
      </c>
      <c r="BM167" s="135" t="str">
        <f>IFERROR(VLOOKUP(Tabela1[[#This Row],[MÊS]]&amp;Tabela1[[#This Row],[ID]]&amp;Tabela1[[#This Row],[MATRICULA]]&amp;"Motorista"&amp;Tabela1[[#This Row],[SETOR]],BD!A:AF,13,0),"")</f>
        <v/>
      </c>
      <c r="BN167" s="135" t="str">
        <f>IFERROR(VLOOKUP(Tabela1[[#This Row],[MÊS]]&amp;Tabela1[[#This Row],[ID]]&amp;Tabela1[[#This Row],[MATRICULA]]&amp;"Motorista 2"&amp;Tabela1[[#This Row],[SETOR]],BD!A:AF,13,0),"")</f>
        <v/>
      </c>
      <c r="BO167" s="135" t="str">
        <f>IFERROR(VLOOKUP(Tabela1[[#This Row],[MÊS]]&amp;Tabela1[[#This Row],[ID]]&amp;Tabela1[[#This Row],[MATRICULA]]&amp;"Motorista 3"&amp;Tabela1[[#This Row],[SETOR]],BD!A:AF,13,0),"")</f>
        <v/>
      </c>
      <c r="BP167" s="135" t="str">
        <f>IFERROR(VLOOKUP(Tabela1[[#This Row],[MÊS]]&amp;Tabela1[[#This Row],[ID]]&amp;Tabela1[[#This Row],[MATRICULA]]&amp;"Motorista 4"&amp;Tabela1[[#This Row],[SETOR]],BD!A:AF,13,0),"")</f>
        <v/>
      </c>
      <c r="BQ167" s="135" t="str">
        <f>IFERROR(AVERAGE(Tabela1[[#This Row],[DMOT]:[DMOT4]]),"")</f>
        <v/>
      </c>
      <c r="BR167" s="135" t="str">
        <f>IFERROR(VLOOKUP(Tabela1[[#This Row],[MÊS]]&amp;Tabela1[[#This Row],[ID]]&amp;Tabela1[[#This Row],[MATRICULA]]&amp;"Ponto de Apoio"&amp;Tabela1[[#This Row],[SETOR]],BD!A:AF,13,0),"")</f>
        <v/>
      </c>
      <c r="BS167" s="135" t="str">
        <f>IFERROR(VLOOKUP(Tabela1[[#This Row],[MÊS]]&amp;Tabela1[[#This Row],[ID]]&amp;Tabela1[[#This Row],[MATRICULA]]&amp;"Ponto de Apoio 2"&amp;Tabela1[[#This Row],[SETOR]],BD!A:AF,13,0),"")</f>
        <v/>
      </c>
      <c r="BT167" s="135" t="str">
        <f>IFERROR(VLOOKUP(Tabela1[[#This Row],[MÊS]]&amp;Tabela1[[#This Row],[ID]]&amp;Tabela1[[#This Row],[MATRICULA]]&amp;"Ponto de Apoio 3"&amp;Tabela1[[#This Row],[SETOR]],BD!A:AF,13,0),"")</f>
        <v/>
      </c>
      <c r="BU167" s="135" t="str">
        <f>IFERROR(VLOOKUP(Tabela1[[#This Row],[MÊS]]&amp;Tabela1[[#This Row],[ID]]&amp;Tabela1[[#This Row],[MATRICULA]]&amp;"Ponto de Apoio 4"&amp;Tabela1[[#This Row],[SETOR]],BD!A:AF,13,0),"")</f>
        <v/>
      </c>
      <c r="BV167" s="135" t="str">
        <f>IFERROR(AVERAGE(Tabela1[[#This Row],[DPA]:[DPA 4]]),"")</f>
        <v/>
      </c>
      <c r="BW167" s="135" t="str">
        <f>IFERROR(VLOOKUP(Tabela1[[#This Row],[MÊS]]&amp;Tabela1[[#This Row],[ID]]&amp;Tabela1[[#This Row],[MATRICULA]]&amp;"Cliente"&amp;Tabela1[[#This Row],[SETOR]],BD!A:AF,13,0),"")</f>
        <v/>
      </c>
      <c r="BX167" s="135" t="str">
        <f>IFERROR(VLOOKUP(Tabela1[[#This Row],[MÊS]]&amp;Tabela1[[#This Row],[ID]]&amp;Tabela1[[#This Row],[MATRICULA]]&amp;"cliente 2"&amp;Tabela1[[#This Row],[SETOR]],BD!A:AF,13,0),"")</f>
        <v/>
      </c>
      <c r="BY167" s="135" t="str">
        <f>IFERROR(VLOOKUP(Tabela1[[#This Row],[MÊS]]&amp;Tabela1[[#This Row],[ID]]&amp;Tabela1[[#This Row],[MATRICULA]]&amp;"cliente 3"&amp;Tabela1[[#This Row],[SETOR]],BD!A:AF,13,0),"")</f>
        <v/>
      </c>
      <c r="BZ167" s="135" t="str">
        <f>IFERROR(VLOOKUP(Tabela1[[#This Row],[MÊS]]&amp;Tabela1[[#This Row],[ID]]&amp;Tabela1[[#This Row],[MATRICULA]]&amp;"cliente 4"&amp;Tabela1[[#This Row],[SETOR]],BD!A:AF,13,0),"")</f>
        <v/>
      </c>
      <c r="CA167" s="135" t="str">
        <f>IFERROR(AVERAGE(Tabela1[[#This Row],[DCLI]:[DCLI 4]]),"")</f>
        <v/>
      </c>
      <c r="CB167" s="135" t="str">
        <f>IFERROR(VLOOKUP(Tabela1[[#This Row],[MÊS]]&amp;Tabela1[[#This Row],[ID]]&amp;Tabela1[[#This Row],[MATRICULA]]&amp;"Policia"&amp;Tabela1[[#This Row],[SETOR]],BD!A:AF,13,0),"")</f>
        <v/>
      </c>
      <c r="CC167" s="135" t="str">
        <f>IFERROR(VLOOKUP(Tabela1[[#This Row],[MÊS]]&amp;Tabela1[[#This Row],[ID]]&amp;Tabela1[[#This Row],[MATRICULA]]&amp;"Policia 2"&amp;Tabela1[[#This Row],[SETOR]],BD!A:AF,13,0),"")</f>
        <v/>
      </c>
      <c r="CD167" s="135"/>
      <c r="CE167" s="135"/>
      <c r="CF167" s="135" t="str">
        <f>IFERROR((AVERAGE(Tabela1[[#This Row],[DPOL1]:[DPOL4]])),"")</f>
        <v/>
      </c>
      <c r="CG167" s="21" t="str">
        <f>IFERROR(VLOOKUP(Tabela1[[#This Row],[ID]]&amp;Tabela1[[#This Row],[MÊS]]&amp;Tabela1[[#This Row],[MATRICULA]],#REF!,2,0),"")</f>
        <v/>
      </c>
      <c r="CH167" s="21" t="str">
        <f>IFERROR(VLOOKUP(Tabela1[[#This Row],[ID]]&amp;Tabela1[[#This Row],[MÊS]]&amp;Tabela1[[#This Row],[MATRICULA]],#REF!,2,0),"")</f>
        <v/>
      </c>
      <c r="CI167" s="21" t="str">
        <f>IFERROR(VLOOKUP(Tabela1[[#This Row],[MÊS]]&amp;Tabela1[[#This Row],[MATRICULA]],#REF!,2,0),"")</f>
        <v/>
      </c>
    </row>
    <row r="168" spans="1:87">
      <c r="A168" s="12" t="str">
        <f>Tabela1[[#This Row],[MÊS]]&amp;Tabela1[[#This Row],[MATRICULA]]&amp;Tabela1[[#This Row],[ID]]</f>
        <v>JAN112011</v>
      </c>
      <c r="B168" s="12" t="str">
        <f>Tabela1[[#This Row],[MÊS]]&amp;Tabela1[[#This Row],[ID]]&amp;Tabela1[[#This Row],[MATRICULA]]&amp;Tabela1[[#This Row],[SETOR]]</f>
        <v>JAN111201TRANSFERÊNCIA</v>
      </c>
      <c r="C168" s="130" t="e">
        <f>VLOOKUP(Tabela1[[#This Row],[MATRICULA]],'BD Campos'!A:D,5,0)</f>
        <v>#REF!</v>
      </c>
      <c r="D168" s="133" t="str">
        <f ca="1">IFERROR(SUM(TODAY()-Tabela1[[#This Row],[ADMISSÃO]]),"")</f>
        <v/>
      </c>
      <c r="E168" s="11" t="str">
        <f ca="1">IFERROR(TRUNC(Tabela1[[#This Row],[TEMPO DE CASA (DIAS)]]/30),"")</f>
        <v/>
      </c>
      <c r="F168" s="32" t="str">
        <f ca="1">IFERROR(SUM(Tabela1[[#This Row],[TEMPO DE CASA (MESES)]]/12),"")</f>
        <v/>
      </c>
      <c r="G168" s="133" t="str">
        <f ca="1">IF(Tabela1[[#This Row],[TEMPO DE CASA (DIAS)]]="","SEM DADOS",IF(Tabela1[[#This Row],[TEMPO DE CASA (DIAS)]]&gt;180,"&gt; 6 MESES","&lt; 6 MESES"))</f>
        <v>SEM DADOS</v>
      </c>
      <c r="H168" s="12" t="str">
        <f t="shared" ref="H168:H181" si="16">K168&amp;S168&amp;J168</f>
        <v>JANGustavo Miralha1</v>
      </c>
      <c r="I168" s="12" t="str">
        <f>IFERROR(VLOOKUP(Tabela1[[#This Row],[MATRICULA]],'BD Campos'!A:F,7,0),"")</f>
        <v/>
      </c>
      <c r="J168" s="11">
        <v>1</v>
      </c>
      <c r="K168" s="11" t="s">
        <v>669</v>
      </c>
      <c r="L168" s="136">
        <v>11201</v>
      </c>
      <c r="M168" s="12" t="str">
        <f>IFERROR(VLOOKUP(Tabela1[[#This Row],[MATRICULA]],'BD Campos'!A:B,2,0),"")</f>
        <v>LEUDYS DEL ROSARIO GARCIA</v>
      </c>
      <c r="N168" s="20" t="str">
        <f>IFERROR(AVERAGE(Tabela1[[#This Row],[A1]:[A4]]),"")</f>
        <v/>
      </c>
      <c r="O168" s="20" t="str">
        <f>IFERROR(IF(Tabela1[[#This Row],[SETOR]]="RECEPTIVO","",AVERAGE(Tabela1[[#This Row],[A5]:[A6]])),"")</f>
        <v/>
      </c>
      <c r="P168" s="20" t="str">
        <f>IFERROR(IF(Tabela1[[#This Row],[STATUS]]="INATIVO","INATIVO",IF(Tabela1[[#This Row],[STATUS]]="QRT","INATIVO",IF(Tabela1[[#This Row],[OPERACIONAL]]&gt;7.99999,"BOM","RUIM"))),"")</f>
        <v>INATIVO</v>
      </c>
      <c r="Q168" s="21" t="s">
        <v>670</v>
      </c>
      <c r="R168" s="12" t="s">
        <v>710</v>
      </c>
      <c r="S168" s="12" t="s">
        <v>711</v>
      </c>
      <c r="T168" s="12" t="s">
        <v>192</v>
      </c>
      <c r="U16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8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168" s="12">
        <f>IF(AND(Tabela1[[#This Row],[SETOR]]="UTI",Tabela1[[#This Row],[M]]&lt;&gt;""),1,IF(AND(Tabela1[[#This Row],[SETOR]]="UTI (RJ)",Tabela1[[#This Row],[M]]&lt;&gt;""),1.5,0))</f>
        <v>0</v>
      </c>
      <c r="X168" s="12">
        <f>IF(AND(Tabela1[[#This Row],[SETOR]]="UTI",Tabela1[[#This Row],[PA2]]&lt;&gt;""),1,IF(AND(Tabela1[[#This Row],[SETOR]]="UTI (RJ)",Tabela1[[#This Row],[PA2]]&lt;&gt;""),0,0))</f>
        <v>0</v>
      </c>
      <c r="Y168" s="12">
        <f>IF(AND(Tabela1[[#This Row],[SETOR]]="UTI",Tabela1[[#This Row],[C]]&lt;&gt;""),1,IF(AND(Tabela1[[#This Row],[SETOR]]="UTI (RJ)",Tabela1[[#This Row],[C]]&lt;&gt;""),1.5,0))</f>
        <v>0</v>
      </c>
      <c r="Z168" s="12">
        <f>IF(AND(Tabela1[[#This Row],[SETOR]]="UTI",Tabela1[[#This Row],[PL]]&lt;&gt;""),1,IF(AND(Tabela1[[#This Row],[SETOR]]="UTI (RJ)",Tabela1[[#This Row],[PL]]&lt;&gt;""),1,0))</f>
        <v>0</v>
      </c>
      <c r="AA168" s="21" t="str">
        <f>IFERROR(VLOOKUP(Tabela1[[#This Row],[MÊS]]&amp;Tabela1[[#This Row],[MATRICULA]]&amp;"1"&amp;Tabela1[[#This Row],[SETOR]]&amp;"PADRÃO",BD!B:AF,31,0),"")</f>
        <v/>
      </c>
      <c r="AB168" s="21" t="str">
        <f>IFERROR(VLOOKUP(Tabela1[[#This Row],[MÊS]]&amp;Tabela1[[#This Row],[MATRICULA]]&amp;"2"&amp;Tabela1[[#This Row],[SETOR]]&amp;"PADRÃO",BD!B:AF,31,0),"")</f>
        <v/>
      </c>
      <c r="AC168" s="21" t="str">
        <f>IFERROR(VLOOKUP(Tabela1[[#This Row],[MÊS]]&amp;Tabela1[[#This Row],[MATRICULA]]&amp;"3"&amp;Tabela1[[#This Row],[SETOR]]&amp;"PADRÃO",BD!B:AF,31,0),"")</f>
        <v/>
      </c>
      <c r="AD168" s="21" t="str">
        <f>IFERROR(VLOOKUP(Tabela1[[#This Row],[MÊS]]&amp;Tabela1[[#This Row],[MATRICULA]]&amp;"4"&amp;Tabela1[[#This Row],[SETOR]]&amp;"PADRÃO",BD!B:AF,25,0),"")</f>
        <v/>
      </c>
      <c r="AE168" s="21" t="str">
        <f>IFERROR(VLOOKUP(Tabela1[[#This Row],[MÊS]]&amp;Tabela1[[#This Row],[MATRICULA]]&amp;"5"&amp;Tabela1[[#This Row],[SETOR]]&amp;"PADRÃO",BD!B:AF,31,0),"")</f>
        <v/>
      </c>
      <c r="AF168" s="21" t="str">
        <f>IFERROR(VLOOKUP(Tabela1[[#This Row],[MÊS]]&amp;Tabela1[[#This Row],[MATRICULA]]&amp;"6"&amp;Tabela1[[#This Row],[SETOR]]&amp;"PADRÃO",BD!B:AF,31,0),"")</f>
        <v/>
      </c>
      <c r="AG168" s="21" t="str">
        <f>IFERROR(VLOOKUP(Tabela1[[#This Row],[MÊS]]&amp;Tabela1[[#This Row],[MATRICULA]]&amp;"7"&amp;Tabela1[[#This Row],[SETOR]]&amp;"PADRÃO",BD!B:AF,31,0),"")</f>
        <v/>
      </c>
      <c r="AH168" s="21" t="str">
        <f>IFERROR(VLOOKUP(Tabela1[[#This Row],[MÊS]]&amp;Tabela1[[#This Row],[ID]]&amp;Tabela1[[#This Row],[MATRICULA]]&amp;"Receptiva"&amp;Tabela1[[#This Row],[SETOR]],BD!A:AF,31,0),"")</f>
        <v/>
      </c>
      <c r="AI168" s="21" t="str">
        <f>IFERROR(VLOOKUP(Tabela1[[#This Row],[MÊS]]&amp;Tabela1[[#This Row],[ID]]&amp;Tabela1[[#This Row],[MATRICULA]]&amp;"Receptiva 2"&amp;Tabela1[[#This Row],[SETOR]],BD!A:AF,31,0),"")</f>
        <v/>
      </c>
      <c r="AJ168" s="21" t="str">
        <f>IFERROR(VLOOKUP(Tabela1[[#This Row],[MÊS]]&amp;Tabela1[[#This Row],[ID]]&amp;Tabela1[[#This Row],[MATRICULA]]&amp;"Receptiva 3"&amp;Tabela1[[#This Row],[SETOR]],BD!A:AF,31,0),"")</f>
        <v/>
      </c>
      <c r="AK168" s="21" t="str">
        <f>IFERROR(VLOOKUP(Tabela1[[#This Row],[MÊS]]&amp;Tabela1[[#This Row],[ID]]&amp;Tabela1[[#This Row],[MATRICULA]]&amp;"Receptiva 4"&amp;Tabela1[[#This Row],[SETOR]],BD!A:AF,31,0),"")</f>
        <v/>
      </c>
      <c r="AL168" s="21" t="str">
        <f>IFERROR(VLOOKUP(Tabela1[[#This Row],[MÊS]]&amp;Tabela1[[#This Row],[MATRICULA]]&amp;"Motorista"&amp;Tabela1[[#This Row],[SETOR]],BD!A:AF,31,0),"")</f>
        <v/>
      </c>
      <c r="AM168" s="21" t="str">
        <f>IFERROR(VLOOKUP(Tabela1[[#This Row],[MÊS]]&amp;Tabela1[[#This Row],[ID]]&amp;Tabela1[[#This Row],[MATRICULA]]&amp;"Motorista 2"&amp;Tabela1[[#This Row],[SETOR]],BD!A:AF,26,0),"")</f>
        <v/>
      </c>
      <c r="AN168" s="21" t="str">
        <f>IFERROR(VLOOKUP(Tabela1[[#This Row],[MÊS]]&amp;Tabela1[[#This Row],[ID]]&amp;Tabela1[[#This Row],[MATRICULA]]&amp;"Motorista 3"&amp;Tabela1[[#This Row],[SETOR]],BD!A:AF,26,0),"")</f>
        <v/>
      </c>
      <c r="AO168" s="21" t="str">
        <f>IFERROR(VLOOKUP(Tabela1[[#This Row],[MÊS]]&amp;Tabela1[[#This Row],[ID]]&amp;Tabela1[[#This Row],[MATRICULA]]&amp;"Motorista 4"&amp;Tabela1[[#This Row],[SETOR]],BD!A:AF,26,0),"")</f>
        <v/>
      </c>
      <c r="AP168" s="21" t="str">
        <f>IFERROR(VLOOKUP(Tabela1[[#This Row],[MÊS]]&amp;Tabela1[[#This Row],[MATRICULA]]&amp;"Ponto de Apoio"&amp;Tabela1[[#This Row],[SETOR]],BD!A:AF,31,0),"")</f>
        <v/>
      </c>
      <c r="AQ168" s="21" t="str">
        <f>IFERROR(VLOOKUP(Tabela1[[#This Row],[MÊS]]&amp;Tabela1[[#This Row],[ID]]&amp;Tabela1[[#This Row],[MATRICULA]]&amp;"Ponto de Apoio 2"&amp;Tabela1[[#This Row],[SETOR]],BD!A:AF,26,0),"")</f>
        <v/>
      </c>
      <c r="AR168" s="36" t="str">
        <f>IFERROR(VLOOKUP(Tabela1[[#This Row],[MÊS]]&amp;Tabela1[[#This Row],[ID]]&amp;Tabela1[[#This Row],[MATRICULA]]&amp;"Ponto de Apoio 3"&amp;Tabela1[[#This Row],[SETOR]],BD!A:AF,26,0),"")</f>
        <v/>
      </c>
      <c r="AS168" s="36" t="str">
        <f>IFERROR(VLOOKUP(Tabela1[[#This Row],[MÊS]]&amp;Tabela1[[#This Row],[ID]]&amp;Tabela1[[#This Row],[MATRICULA]]&amp;"Ponto de Apoio 4"&amp;Tabela1[[#This Row],[SETOR]],BD!A:AF,26,0),"")</f>
        <v/>
      </c>
      <c r="AT168" s="21" t="str">
        <f>IFERROR(VLOOKUP(Tabela1[[#This Row],[MÊS]]&amp;Tabela1[[#This Row],[MATRICULA]]&amp;"Cliente"&amp;Tabela1[[#This Row],[SETOR]],BD!A:AF,31,0),"")</f>
        <v/>
      </c>
      <c r="AU168" s="21" t="str">
        <f>IFERROR(VLOOKUP(Tabela1[[#This Row],[MÊS]]&amp;Tabela1[[#This Row],[ID]]&amp;Tabela1[[#This Row],[MATRICULA]]&amp;"Cliente 2"&amp;Tabela1[[#This Row],[SETOR]],BD!A:AF,26,0),"")</f>
        <v/>
      </c>
      <c r="AX168" s="21" t="str">
        <f>IFERROR(VLOOKUP(Tabela1[[#This Row],[MÊS]]&amp;Tabela1[[#This Row],[MATRICULA]]&amp;"Policia"&amp;Tabela1[[#This Row],[SETOR]],BD!A:AF,31,0),"")</f>
        <v/>
      </c>
      <c r="AY168" s="21" t="str">
        <f>IFERROR(VLOOKUP(Tabela1[[#This Row],[MÊS]]&amp;Tabela1[[#This Row],[ID]]&amp;Tabela1[[#This Row],[MATRICULA]]&amp;"Policia 2"&amp;Tabela1[[#This Row],[SETOR]],BD!A:AF,26,0),"")</f>
        <v/>
      </c>
      <c r="AZ168" s="36" t="str">
        <f>IFERROR(VLOOKUP(Tabela1[[#This Row],[MÊS]]&amp;Tabela1[[#This Row],[ID]]&amp;Tabela1[[#This Row],[MATRICULA]]&amp;"Policia 3"&amp;Tabela1[[#This Row],[SETOR]],BD!A:AF,26,0),"")</f>
        <v/>
      </c>
      <c r="BA168" s="36" t="str">
        <f>IFERROR(VLOOKUP(Tabela1[[#This Row],[MÊS]]&amp;Tabela1[[#This Row],[ID]]&amp;Tabela1[[#This Row],[MATRICULA]]&amp;"Policia 4"&amp;Tabela1[[#This Row],[SETOR]],BD!A:AF,26,0),"")</f>
        <v/>
      </c>
      <c r="BB16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68" s="21" t="str">
        <f>IFERROR(AVERAGE(Tabela1[[#This Row],[M]:[M4]]),"")</f>
        <v/>
      </c>
      <c r="BD168" s="21" t="str">
        <f>IFERROR(AVERAGE(Tabela1[[#This Row],[C]:[C4]]),"")</f>
        <v/>
      </c>
      <c r="BE168" s="21" t="str">
        <f>IFERROR(AVERAGE(Tabela1[[#This Row],[PA2]:[PA 4]]),"")</f>
        <v/>
      </c>
      <c r="BF168" s="21" t="str">
        <f>IFERROR(AVERAGE(Tabela1[[#This Row],[PL]:[PL4]]),"")</f>
        <v/>
      </c>
      <c r="BG168" s="35" t="str">
        <f>IFERROR(VLOOKUP(Tabela1[[#This Row],[MÊS]]&amp;Tabela1[[#This Row],[MATRICULA]],#REF!,2,0),"")</f>
        <v/>
      </c>
      <c r="BH168" s="35" t="str">
        <f>IFERROR(VLOOKUP(Tabela1[[#This Row],[MÊS]]&amp;Tabela1[[#This Row],[MATRICULA]],#REF!,2,0),"")</f>
        <v/>
      </c>
      <c r="BI168" s="35" t="str">
        <f>IFERROR(VLOOKUP(Tabela1[[#This Row],[MÊS]]&amp;Tabela1[[#This Row],[MATRICULA]],#REF!,2,0),"")</f>
        <v/>
      </c>
      <c r="BJ168" s="35" t="str">
        <f>IFERROR(VLOOKUP(Tabela1[[#This Row],[MÊS]]&amp;Tabela1[[#This Row],[MATRICULA]],#REF!,2,0),"")</f>
        <v/>
      </c>
      <c r="BK168" s="35" t="str">
        <f>IFERROR(VLOOKUP(Tabela1[[#This Row],[MÊS]]&amp;Tabela1[[#This Row],[MATRICULA]],#REF!,2,0),"")</f>
        <v/>
      </c>
      <c r="BL168" s="21">
        <f>COUNTIF(Tabela1[[#This Row],[MOT2]:[RECEPTIVA]],"NÃO ENCONTRADA")</f>
        <v>0</v>
      </c>
      <c r="BM168" s="135" t="str">
        <f>IFERROR(VLOOKUP(Tabela1[[#This Row],[MÊS]]&amp;Tabela1[[#This Row],[ID]]&amp;Tabela1[[#This Row],[MATRICULA]]&amp;"Motorista"&amp;Tabela1[[#This Row],[SETOR]],BD!A:AF,13,0),"")</f>
        <v/>
      </c>
      <c r="BN168" s="135" t="str">
        <f>IFERROR(VLOOKUP(Tabela1[[#This Row],[MÊS]]&amp;Tabela1[[#This Row],[ID]]&amp;Tabela1[[#This Row],[MATRICULA]]&amp;"Motorista 2"&amp;Tabela1[[#This Row],[SETOR]],BD!A:AF,13,0),"")</f>
        <v/>
      </c>
      <c r="BO168" s="135" t="str">
        <f>IFERROR(VLOOKUP(Tabela1[[#This Row],[MÊS]]&amp;Tabela1[[#This Row],[ID]]&amp;Tabela1[[#This Row],[MATRICULA]]&amp;"Motorista 3"&amp;Tabela1[[#This Row],[SETOR]],BD!A:AF,13,0),"")</f>
        <v/>
      </c>
      <c r="BP168" s="135" t="str">
        <f>IFERROR(VLOOKUP(Tabela1[[#This Row],[MÊS]]&amp;Tabela1[[#This Row],[ID]]&amp;Tabela1[[#This Row],[MATRICULA]]&amp;"Motorista 4"&amp;Tabela1[[#This Row],[SETOR]],BD!A:AF,13,0),"")</f>
        <v/>
      </c>
      <c r="BQ168" s="135" t="str">
        <f>IFERROR(AVERAGE(Tabela1[[#This Row],[DMOT]:[DMOT4]]),"")</f>
        <v/>
      </c>
      <c r="BR168" s="135" t="str">
        <f>IFERROR(VLOOKUP(Tabela1[[#This Row],[MÊS]]&amp;Tabela1[[#This Row],[ID]]&amp;Tabela1[[#This Row],[MATRICULA]]&amp;"Ponto de Apoio"&amp;Tabela1[[#This Row],[SETOR]],BD!A:AF,13,0),"")</f>
        <v/>
      </c>
      <c r="BS168" s="135" t="str">
        <f>IFERROR(VLOOKUP(Tabela1[[#This Row],[MÊS]]&amp;Tabela1[[#This Row],[ID]]&amp;Tabela1[[#This Row],[MATRICULA]]&amp;"Ponto de Apoio 2"&amp;Tabela1[[#This Row],[SETOR]],BD!A:AF,13,0),"")</f>
        <v/>
      </c>
      <c r="BT168" s="135" t="str">
        <f>IFERROR(VLOOKUP(Tabela1[[#This Row],[MÊS]]&amp;Tabela1[[#This Row],[ID]]&amp;Tabela1[[#This Row],[MATRICULA]]&amp;"Ponto de Apoio 3"&amp;Tabela1[[#This Row],[SETOR]],BD!A:AF,13,0),"")</f>
        <v/>
      </c>
      <c r="BU168" s="135" t="str">
        <f>IFERROR(VLOOKUP(Tabela1[[#This Row],[MÊS]]&amp;Tabela1[[#This Row],[ID]]&amp;Tabela1[[#This Row],[MATRICULA]]&amp;"Ponto de Apoio 4"&amp;Tabela1[[#This Row],[SETOR]],BD!A:AF,13,0),"")</f>
        <v/>
      </c>
      <c r="BV168" s="135" t="str">
        <f>IFERROR(AVERAGE(Tabela1[[#This Row],[DPA]:[DPA 4]]),"")</f>
        <v/>
      </c>
      <c r="BW168" s="135" t="str">
        <f>IFERROR(VLOOKUP(Tabela1[[#This Row],[MÊS]]&amp;Tabela1[[#This Row],[ID]]&amp;Tabela1[[#This Row],[MATRICULA]]&amp;"Cliente"&amp;Tabela1[[#This Row],[SETOR]],BD!A:AF,13,0),"")</f>
        <v/>
      </c>
      <c r="BX168" s="135" t="str">
        <f>IFERROR(VLOOKUP(Tabela1[[#This Row],[MÊS]]&amp;Tabela1[[#This Row],[ID]]&amp;Tabela1[[#This Row],[MATRICULA]]&amp;"cliente 2"&amp;Tabela1[[#This Row],[SETOR]],BD!A:AF,13,0),"")</f>
        <v/>
      </c>
      <c r="BY168" s="135" t="str">
        <f>IFERROR(VLOOKUP(Tabela1[[#This Row],[MÊS]]&amp;Tabela1[[#This Row],[ID]]&amp;Tabela1[[#This Row],[MATRICULA]]&amp;"cliente 3"&amp;Tabela1[[#This Row],[SETOR]],BD!A:AF,13,0),"")</f>
        <v/>
      </c>
      <c r="BZ168" s="135" t="str">
        <f>IFERROR(VLOOKUP(Tabela1[[#This Row],[MÊS]]&amp;Tabela1[[#This Row],[ID]]&amp;Tabela1[[#This Row],[MATRICULA]]&amp;"cliente 4"&amp;Tabela1[[#This Row],[SETOR]],BD!A:AF,13,0),"")</f>
        <v/>
      </c>
      <c r="CA168" s="135" t="str">
        <f>IFERROR(AVERAGE(Tabela1[[#This Row],[DCLI]:[DCLI 4]]),"")</f>
        <v/>
      </c>
      <c r="CB168" s="135" t="str">
        <f>IFERROR(VLOOKUP(Tabela1[[#This Row],[MÊS]]&amp;Tabela1[[#This Row],[ID]]&amp;Tabela1[[#This Row],[MATRICULA]]&amp;"Policia"&amp;Tabela1[[#This Row],[SETOR]],BD!A:AF,13,0),"")</f>
        <v/>
      </c>
      <c r="CC168" s="135" t="str">
        <f>IFERROR(VLOOKUP(Tabela1[[#This Row],[MÊS]]&amp;Tabela1[[#This Row],[ID]]&amp;Tabela1[[#This Row],[MATRICULA]]&amp;"Policia 2"&amp;Tabela1[[#This Row],[SETOR]],BD!A:AF,13,0),"")</f>
        <v/>
      </c>
      <c r="CD168" s="135"/>
      <c r="CE168" s="135"/>
      <c r="CF168" s="135" t="str">
        <f>IFERROR((AVERAGE(Tabela1[[#This Row],[DPOL1]:[DPOL4]])),"")</f>
        <v/>
      </c>
      <c r="CG168" s="21" t="str">
        <f>IFERROR(VLOOKUP(Tabela1[[#This Row],[ID]]&amp;Tabela1[[#This Row],[MÊS]]&amp;Tabela1[[#This Row],[MATRICULA]],#REF!,2,0),"")</f>
        <v/>
      </c>
      <c r="CH168" s="21" t="str">
        <f>IFERROR(VLOOKUP(Tabela1[[#This Row],[ID]]&amp;Tabela1[[#This Row],[MÊS]]&amp;Tabela1[[#This Row],[MATRICULA]],#REF!,2,0),"")</f>
        <v/>
      </c>
      <c r="CI168" s="21" t="str">
        <f>IFERROR(VLOOKUP(Tabela1[[#This Row],[MÊS]]&amp;Tabela1[[#This Row],[MATRICULA]],#REF!,2,0),"")</f>
        <v/>
      </c>
    </row>
    <row r="169" spans="1:87">
      <c r="A169" s="12" t="str">
        <f>Tabela1[[#This Row],[MÊS]]&amp;Tabela1[[#This Row],[MATRICULA]]&amp;Tabela1[[#This Row],[ID]]</f>
        <v>JAN112752</v>
      </c>
      <c r="B169" s="12" t="str">
        <f>Tabela1[[#This Row],[MÊS]]&amp;Tabela1[[#This Row],[ID]]&amp;Tabela1[[#This Row],[MATRICULA]]&amp;Tabela1[[#This Row],[SETOR]]</f>
        <v>JAN211275TRANSFERÊNCIA</v>
      </c>
      <c r="C169" s="130" t="e">
        <f>VLOOKUP(Tabela1[[#This Row],[MATRICULA]],'BD Campos'!A:D,5,0)</f>
        <v>#REF!</v>
      </c>
      <c r="D169" s="133" t="str">
        <f ca="1">IFERROR(SUM(TODAY()-Tabela1[[#This Row],[ADMISSÃO]]),"")</f>
        <v/>
      </c>
      <c r="E169" s="11" t="str">
        <f ca="1">IFERROR(TRUNC(Tabela1[[#This Row],[TEMPO DE CASA (DIAS)]]/30),"")</f>
        <v/>
      </c>
      <c r="F169" s="32" t="str">
        <f ca="1">IFERROR(SUM(Tabela1[[#This Row],[TEMPO DE CASA (MESES)]]/12),"")</f>
        <v/>
      </c>
      <c r="G169" s="133" t="str">
        <f ca="1">IF(Tabela1[[#This Row],[TEMPO DE CASA (DIAS)]]="","SEM DADOS",IF(Tabela1[[#This Row],[TEMPO DE CASA (DIAS)]]&gt;180,"&gt; 6 MESES","&lt; 6 MESES"))</f>
        <v>SEM DADOS</v>
      </c>
      <c r="H169" s="12" t="str">
        <f t="shared" si="16"/>
        <v>JANGustavo Miralha2</v>
      </c>
      <c r="I169" s="12" t="str">
        <f>IFERROR(VLOOKUP(Tabela1[[#This Row],[MATRICULA]],'BD Campos'!A:F,7,0),"")</f>
        <v/>
      </c>
      <c r="J169" s="11">
        <v>2</v>
      </c>
      <c r="K169" s="11" t="s">
        <v>669</v>
      </c>
      <c r="L169" s="136">
        <v>11275</v>
      </c>
      <c r="M169" s="12" t="str">
        <f>IFERROR(VLOOKUP(Tabela1[[#This Row],[MATRICULA]],'BD Campos'!A:B,2,0),"")</f>
        <v>ISABELY NUNES</v>
      </c>
      <c r="N169" s="20">
        <f>IFERROR(AVERAGE(Tabela1[[#This Row],[A1]:[A4]]),"")</f>
        <v>4.3194999999999997</v>
      </c>
      <c r="O169" s="20" t="str">
        <f>IFERROR(IF(Tabela1[[#This Row],[SETOR]]="RECEPTIVO","",AVERAGE(Tabela1[[#This Row],[A5]:[A6]])),"")</f>
        <v/>
      </c>
      <c r="P169" s="20" t="str">
        <f>IFERROR(IF(Tabela1[[#This Row],[STATUS]]="INATIVO","INATIVO",IF(Tabela1[[#This Row],[STATUS]]="QRT","INATIVO",IF(Tabela1[[#This Row],[OPERACIONAL]]&gt;7.99999,"BOM","RUIM"))),"")</f>
        <v>RUIM</v>
      </c>
      <c r="Q169" s="21" t="s">
        <v>667</v>
      </c>
      <c r="R169" s="12" t="s">
        <v>710</v>
      </c>
      <c r="S169" s="12" t="s">
        <v>711</v>
      </c>
      <c r="T169" s="12" t="s">
        <v>192</v>
      </c>
      <c r="U16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6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69" s="12">
        <f>IF(AND(Tabela1[[#This Row],[SETOR]]="UTI",Tabela1[[#This Row],[M]]&lt;&gt;""),1,IF(AND(Tabela1[[#This Row],[SETOR]]="UTI (RJ)",Tabela1[[#This Row],[M]]&lt;&gt;""),1.5,0))</f>
        <v>0</v>
      </c>
      <c r="X169" s="12">
        <f>IF(AND(Tabela1[[#This Row],[SETOR]]="UTI",Tabela1[[#This Row],[PA2]]&lt;&gt;""),1,IF(AND(Tabela1[[#This Row],[SETOR]]="UTI (RJ)",Tabela1[[#This Row],[PA2]]&lt;&gt;""),0,0))</f>
        <v>0</v>
      </c>
      <c r="Y169" s="12">
        <f>IF(AND(Tabela1[[#This Row],[SETOR]]="UTI",Tabela1[[#This Row],[C]]&lt;&gt;""),1,IF(AND(Tabela1[[#This Row],[SETOR]]="UTI (RJ)",Tabela1[[#This Row],[C]]&lt;&gt;""),1.5,0))</f>
        <v>0</v>
      </c>
      <c r="Z169" s="12">
        <f>IF(AND(Tabela1[[#This Row],[SETOR]]="UTI",Tabela1[[#This Row],[PL]]&lt;&gt;""),1,IF(AND(Tabela1[[#This Row],[SETOR]]="UTI (RJ)",Tabela1[[#This Row],[PL]]&lt;&gt;""),1,0))</f>
        <v>0</v>
      </c>
      <c r="AA169" s="21">
        <f>IFERROR(VLOOKUP(Tabela1[[#This Row],[MÊS]]&amp;Tabela1[[#This Row],[MATRICULA]]&amp;"1"&amp;Tabela1[[#This Row],[SETOR]]&amp;"PADRÃO",BD!B:AF,31,0),"")</f>
        <v>0</v>
      </c>
      <c r="AB169" s="21">
        <f>IFERROR(VLOOKUP(Tabela1[[#This Row],[MÊS]]&amp;Tabela1[[#This Row],[MATRICULA]]&amp;"2"&amp;Tabela1[[#This Row],[SETOR]]&amp;"PADRÃO",BD!B:AF,31,0),"")</f>
        <v>8.6389999999999993</v>
      </c>
      <c r="AC169" s="21" t="str">
        <f>IFERROR(VLOOKUP(Tabela1[[#This Row],[MÊS]]&amp;Tabela1[[#This Row],[MATRICULA]]&amp;"3"&amp;Tabela1[[#This Row],[SETOR]]&amp;"PADRÃO",BD!B:AF,31,0),"")</f>
        <v/>
      </c>
      <c r="AD169" s="21" t="str">
        <f>IFERROR(VLOOKUP(Tabela1[[#This Row],[MÊS]]&amp;Tabela1[[#This Row],[MATRICULA]]&amp;"4"&amp;Tabela1[[#This Row],[SETOR]]&amp;"PADRÃO",BD!B:AF,25,0),"")</f>
        <v/>
      </c>
      <c r="AE169" s="21" t="str">
        <f>IFERROR(VLOOKUP(Tabela1[[#This Row],[MÊS]]&amp;Tabela1[[#This Row],[MATRICULA]]&amp;"5"&amp;Tabela1[[#This Row],[SETOR]]&amp;"PADRÃO",BD!B:AF,31,0),"")</f>
        <v/>
      </c>
      <c r="AF169" s="21" t="str">
        <f>IFERROR(VLOOKUP(Tabela1[[#This Row],[MÊS]]&amp;Tabela1[[#This Row],[MATRICULA]]&amp;"6"&amp;Tabela1[[#This Row],[SETOR]]&amp;"PADRÃO",BD!B:AF,31,0),"")</f>
        <v/>
      </c>
      <c r="AG169" s="21" t="str">
        <f>IFERROR(VLOOKUP(Tabela1[[#This Row],[MÊS]]&amp;Tabela1[[#This Row],[MATRICULA]]&amp;"7"&amp;Tabela1[[#This Row],[SETOR]]&amp;"PADRÃO",BD!B:AF,31,0),"")</f>
        <v/>
      </c>
      <c r="AH169" s="21" t="str">
        <f>IFERROR(VLOOKUP(Tabela1[[#This Row],[MÊS]]&amp;Tabela1[[#This Row],[ID]]&amp;Tabela1[[#This Row],[MATRICULA]]&amp;"Receptiva"&amp;Tabela1[[#This Row],[SETOR]],BD!A:AF,31,0),"")</f>
        <v/>
      </c>
      <c r="AI169" s="21" t="str">
        <f>IFERROR(VLOOKUP(Tabela1[[#This Row],[MÊS]]&amp;Tabela1[[#This Row],[ID]]&amp;Tabela1[[#This Row],[MATRICULA]]&amp;"Receptiva 2"&amp;Tabela1[[#This Row],[SETOR]],BD!A:AF,31,0),"")</f>
        <v/>
      </c>
      <c r="AJ169" s="21" t="str">
        <f>IFERROR(VLOOKUP(Tabela1[[#This Row],[MÊS]]&amp;Tabela1[[#This Row],[ID]]&amp;Tabela1[[#This Row],[MATRICULA]]&amp;"Receptiva 3"&amp;Tabela1[[#This Row],[SETOR]],BD!A:AF,31,0),"")</f>
        <v/>
      </c>
      <c r="AK169" s="21" t="str">
        <f>IFERROR(VLOOKUP(Tabela1[[#This Row],[MÊS]]&amp;Tabela1[[#This Row],[ID]]&amp;Tabela1[[#This Row],[MATRICULA]]&amp;"Receptiva 4"&amp;Tabela1[[#This Row],[SETOR]],BD!A:AF,31,0),"")</f>
        <v/>
      </c>
      <c r="AL169" s="21">
        <f>IFERROR(VLOOKUP(Tabela1[[#This Row],[MÊS]]&amp;Tabela1[[#This Row],[MATRICULA]]&amp;"Motorista"&amp;Tabela1[[#This Row],[SETOR]],BD!A:AF,31,0),"")</f>
        <v>0</v>
      </c>
      <c r="AM169" s="21" t="str">
        <f>IFERROR(VLOOKUP(Tabela1[[#This Row],[MÊS]]&amp;Tabela1[[#This Row],[ID]]&amp;Tabela1[[#This Row],[MATRICULA]]&amp;"Motorista 2"&amp;Tabela1[[#This Row],[SETOR]],BD!A:AF,26,0),"")</f>
        <v/>
      </c>
      <c r="AN169" s="21" t="str">
        <f>IFERROR(VLOOKUP(Tabela1[[#This Row],[MÊS]]&amp;Tabela1[[#This Row],[ID]]&amp;Tabela1[[#This Row],[MATRICULA]]&amp;"Motorista 3"&amp;Tabela1[[#This Row],[SETOR]],BD!A:AF,26,0),"")</f>
        <v/>
      </c>
      <c r="AO169" s="21" t="str">
        <f>IFERROR(VLOOKUP(Tabela1[[#This Row],[MÊS]]&amp;Tabela1[[#This Row],[ID]]&amp;Tabela1[[#This Row],[MATRICULA]]&amp;"Motorista 4"&amp;Tabela1[[#This Row],[SETOR]],BD!A:AF,26,0),"")</f>
        <v/>
      </c>
      <c r="AP169" s="21" t="str">
        <f>IFERROR(VLOOKUP(Tabela1[[#This Row],[MÊS]]&amp;Tabela1[[#This Row],[MATRICULA]]&amp;"Ponto de Apoio"&amp;Tabela1[[#This Row],[SETOR]],BD!A:AF,31,0),"")</f>
        <v/>
      </c>
      <c r="AQ169" s="21" t="str">
        <f>IFERROR(VLOOKUP(Tabela1[[#This Row],[MÊS]]&amp;Tabela1[[#This Row],[ID]]&amp;Tabela1[[#This Row],[MATRICULA]]&amp;"Ponto de Apoio 2"&amp;Tabela1[[#This Row],[SETOR]],BD!A:AF,26,0),"")</f>
        <v/>
      </c>
      <c r="AR169" s="36" t="str">
        <f>IFERROR(VLOOKUP(Tabela1[[#This Row],[MÊS]]&amp;Tabela1[[#This Row],[ID]]&amp;Tabela1[[#This Row],[MATRICULA]]&amp;"Ponto de Apoio 3"&amp;Tabela1[[#This Row],[SETOR]],BD!A:AF,26,0),"")</f>
        <v/>
      </c>
      <c r="AS169" s="36" t="str">
        <f>IFERROR(VLOOKUP(Tabela1[[#This Row],[MÊS]]&amp;Tabela1[[#This Row],[ID]]&amp;Tabela1[[#This Row],[MATRICULA]]&amp;"Ponto de Apoio 4"&amp;Tabela1[[#This Row],[SETOR]],BD!A:AF,26,0),"")</f>
        <v/>
      </c>
      <c r="AT169" s="21" t="str">
        <f>IFERROR(VLOOKUP(Tabela1[[#This Row],[MÊS]]&amp;Tabela1[[#This Row],[MATRICULA]]&amp;"Cliente"&amp;Tabela1[[#This Row],[SETOR]],BD!A:AF,31,0),"")</f>
        <v/>
      </c>
      <c r="AU169" s="21" t="str">
        <f>IFERROR(VLOOKUP(Tabela1[[#This Row],[MÊS]]&amp;Tabela1[[#This Row],[ID]]&amp;Tabela1[[#This Row],[MATRICULA]]&amp;"Cliente 2"&amp;Tabela1[[#This Row],[SETOR]],BD!A:AF,26,0),"")</f>
        <v/>
      </c>
      <c r="AX169" s="21" t="str">
        <f>IFERROR(VLOOKUP(Tabela1[[#This Row],[MÊS]]&amp;Tabela1[[#This Row],[MATRICULA]]&amp;"Policia"&amp;Tabela1[[#This Row],[SETOR]],BD!A:AF,31,0),"")</f>
        <v/>
      </c>
      <c r="AY169" s="21" t="str">
        <f>IFERROR(VLOOKUP(Tabela1[[#This Row],[MÊS]]&amp;Tabela1[[#This Row],[ID]]&amp;Tabela1[[#This Row],[MATRICULA]]&amp;"Policia 2"&amp;Tabela1[[#This Row],[SETOR]],BD!A:AF,26,0),"")</f>
        <v/>
      </c>
      <c r="AZ169" s="36" t="str">
        <f>IFERROR(VLOOKUP(Tabela1[[#This Row],[MÊS]]&amp;Tabela1[[#This Row],[ID]]&amp;Tabela1[[#This Row],[MATRICULA]]&amp;"Policia 3"&amp;Tabela1[[#This Row],[SETOR]],BD!A:AF,26,0),"")</f>
        <v/>
      </c>
      <c r="BA169" s="36" t="str">
        <f>IFERROR(VLOOKUP(Tabela1[[#This Row],[MÊS]]&amp;Tabela1[[#This Row],[ID]]&amp;Tabela1[[#This Row],[MATRICULA]]&amp;"Policia 4"&amp;Tabela1[[#This Row],[SETOR]],BD!A:AF,26,0),"")</f>
        <v/>
      </c>
      <c r="BB16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69" s="21">
        <f>IFERROR(AVERAGE(Tabela1[[#This Row],[M]:[M4]]),"")</f>
        <v>0</v>
      </c>
      <c r="BD169" s="21" t="str">
        <f>IFERROR(AVERAGE(Tabela1[[#This Row],[C]:[C4]]),"")</f>
        <v/>
      </c>
      <c r="BE169" s="21" t="str">
        <f>IFERROR(AVERAGE(Tabela1[[#This Row],[PA2]:[PA 4]]),"")</f>
        <v/>
      </c>
      <c r="BF169" s="21" t="str">
        <f>IFERROR(AVERAGE(Tabela1[[#This Row],[PL]:[PL4]]),"")</f>
        <v/>
      </c>
      <c r="BG169" s="35" t="str">
        <f>IFERROR(VLOOKUP(Tabela1[[#This Row],[MÊS]]&amp;Tabela1[[#This Row],[MATRICULA]],#REF!,2,0),"")</f>
        <v/>
      </c>
      <c r="BH169" s="35" t="str">
        <f>IFERROR(VLOOKUP(Tabela1[[#This Row],[MÊS]]&amp;Tabela1[[#This Row],[MATRICULA]],#REF!,2,0),"")</f>
        <v/>
      </c>
      <c r="BI169" s="35" t="str">
        <f>IFERROR(VLOOKUP(Tabela1[[#This Row],[MÊS]]&amp;Tabela1[[#This Row],[MATRICULA]],#REF!,2,0),"")</f>
        <v/>
      </c>
      <c r="BJ169" s="35" t="str">
        <f>IFERROR(VLOOKUP(Tabela1[[#This Row],[MÊS]]&amp;Tabela1[[#This Row],[MATRICULA]],#REF!,2,0),"")</f>
        <v/>
      </c>
      <c r="BK169" s="35" t="str">
        <f>IFERROR(VLOOKUP(Tabela1[[#This Row],[MÊS]]&amp;Tabela1[[#This Row],[MATRICULA]],#REF!,2,0),"")</f>
        <v/>
      </c>
      <c r="BL169" s="21">
        <f>COUNTIF(Tabela1[[#This Row],[MOT2]:[RECEPTIVA]],"NÃO ENCONTRADA")</f>
        <v>0</v>
      </c>
      <c r="BM169" s="135" t="str">
        <f>IFERROR(VLOOKUP(Tabela1[[#This Row],[MÊS]]&amp;Tabela1[[#This Row],[ID]]&amp;Tabela1[[#This Row],[MATRICULA]]&amp;"Motorista"&amp;Tabela1[[#This Row],[SETOR]],BD!A:AF,13,0),"")</f>
        <v/>
      </c>
      <c r="BN169" s="135" t="str">
        <f>IFERROR(VLOOKUP(Tabela1[[#This Row],[MÊS]]&amp;Tabela1[[#This Row],[ID]]&amp;Tabela1[[#This Row],[MATRICULA]]&amp;"Motorista 2"&amp;Tabela1[[#This Row],[SETOR]],BD!A:AF,13,0),"")</f>
        <v/>
      </c>
      <c r="BO169" s="135" t="str">
        <f>IFERROR(VLOOKUP(Tabela1[[#This Row],[MÊS]]&amp;Tabela1[[#This Row],[ID]]&amp;Tabela1[[#This Row],[MATRICULA]]&amp;"Motorista 3"&amp;Tabela1[[#This Row],[SETOR]],BD!A:AF,13,0),"")</f>
        <v/>
      </c>
      <c r="BP169" s="135" t="str">
        <f>IFERROR(VLOOKUP(Tabela1[[#This Row],[MÊS]]&amp;Tabela1[[#This Row],[ID]]&amp;Tabela1[[#This Row],[MATRICULA]]&amp;"Motorista 4"&amp;Tabela1[[#This Row],[SETOR]],BD!A:AF,13,0),"")</f>
        <v/>
      </c>
      <c r="BQ169" s="135" t="str">
        <f>IFERROR(AVERAGE(Tabela1[[#This Row],[DMOT]:[DMOT4]]),"")</f>
        <v/>
      </c>
      <c r="BR169" s="135" t="str">
        <f>IFERROR(VLOOKUP(Tabela1[[#This Row],[MÊS]]&amp;Tabela1[[#This Row],[ID]]&amp;Tabela1[[#This Row],[MATRICULA]]&amp;"Ponto de Apoio"&amp;Tabela1[[#This Row],[SETOR]],BD!A:AF,13,0),"")</f>
        <v/>
      </c>
      <c r="BS169" s="135" t="str">
        <f>IFERROR(VLOOKUP(Tabela1[[#This Row],[MÊS]]&amp;Tabela1[[#This Row],[ID]]&amp;Tabela1[[#This Row],[MATRICULA]]&amp;"Ponto de Apoio 2"&amp;Tabela1[[#This Row],[SETOR]],BD!A:AF,13,0),"")</f>
        <v/>
      </c>
      <c r="BT169" s="135" t="str">
        <f>IFERROR(VLOOKUP(Tabela1[[#This Row],[MÊS]]&amp;Tabela1[[#This Row],[ID]]&amp;Tabela1[[#This Row],[MATRICULA]]&amp;"Ponto de Apoio 3"&amp;Tabela1[[#This Row],[SETOR]],BD!A:AF,13,0),"")</f>
        <v/>
      </c>
      <c r="BU169" s="135" t="str">
        <f>IFERROR(VLOOKUP(Tabela1[[#This Row],[MÊS]]&amp;Tabela1[[#This Row],[ID]]&amp;Tabela1[[#This Row],[MATRICULA]]&amp;"Ponto de Apoio 4"&amp;Tabela1[[#This Row],[SETOR]],BD!A:AF,13,0),"")</f>
        <v/>
      </c>
      <c r="BV169" s="135" t="str">
        <f>IFERROR(AVERAGE(Tabela1[[#This Row],[DPA]:[DPA 4]]),"")</f>
        <v/>
      </c>
      <c r="BW169" s="135" t="str">
        <f>IFERROR(VLOOKUP(Tabela1[[#This Row],[MÊS]]&amp;Tabela1[[#This Row],[ID]]&amp;Tabela1[[#This Row],[MATRICULA]]&amp;"Cliente"&amp;Tabela1[[#This Row],[SETOR]],BD!A:AF,13,0),"")</f>
        <v/>
      </c>
      <c r="BX169" s="135" t="str">
        <f>IFERROR(VLOOKUP(Tabela1[[#This Row],[MÊS]]&amp;Tabela1[[#This Row],[ID]]&amp;Tabela1[[#This Row],[MATRICULA]]&amp;"cliente 2"&amp;Tabela1[[#This Row],[SETOR]],BD!A:AF,13,0),"")</f>
        <v/>
      </c>
      <c r="BY169" s="135" t="str">
        <f>IFERROR(VLOOKUP(Tabela1[[#This Row],[MÊS]]&amp;Tabela1[[#This Row],[ID]]&amp;Tabela1[[#This Row],[MATRICULA]]&amp;"cliente 3"&amp;Tabela1[[#This Row],[SETOR]],BD!A:AF,13,0),"")</f>
        <v/>
      </c>
      <c r="BZ169" s="135" t="str">
        <f>IFERROR(VLOOKUP(Tabela1[[#This Row],[MÊS]]&amp;Tabela1[[#This Row],[ID]]&amp;Tabela1[[#This Row],[MATRICULA]]&amp;"cliente 4"&amp;Tabela1[[#This Row],[SETOR]],BD!A:AF,13,0),"")</f>
        <v/>
      </c>
      <c r="CA169" s="135" t="str">
        <f>IFERROR(AVERAGE(Tabela1[[#This Row],[DCLI]:[DCLI 4]]),"")</f>
        <v/>
      </c>
      <c r="CB169" s="135" t="str">
        <f>IFERROR(VLOOKUP(Tabela1[[#This Row],[MÊS]]&amp;Tabela1[[#This Row],[ID]]&amp;Tabela1[[#This Row],[MATRICULA]]&amp;"Policia"&amp;Tabela1[[#This Row],[SETOR]],BD!A:AF,13,0),"")</f>
        <v/>
      </c>
      <c r="CC169" s="135" t="str">
        <f>IFERROR(VLOOKUP(Tabela1[[#This Row],[MÊS]]&amp;Tabela1[[#This Row],[ID]]&amp;Tabela1[[#This Row],[MATRICULA]]&amp;"Policia 2"&amp;Tabela1[[#This Row],[SETOR]],BD!A:AF,13,0),"")</f>
        <v/>
      </c>
      <c r="CD169" s="135"/>
      <c r="CE169" s="135"/>
      <c r="CF169" s="135" t="str">
        <f>IFERROR((AVERAGE(Tabela1[[#This Row],[DPOL1]:[DPOL4]])),"")</f>
        <v/>
      </c>
      <c r="CG169" s="21" t="str">
        <f>IFERROR(VLOOKUP(Tabela1[[#This Row],[ID]]&amp;Tabela1[[#This Row],[MÊS]]&amp;Tabela1[[#This Row],[MATRICULA]],#REF!,2,0),"")</f>
        <v/>
      </c>
      <c r="CH169" s="21" t="str">
        <f>IFERROR(VLOOKUP(Tabela1[[#This Row],[ID]]&amp;Tabela1[[#This Row],[MÊS]]&amp;Tabela1[[#This Row],[MATRICULA]],#REF!,2,0),"")</f>
        <v/>
      </c>
      <c r="CI169" s="21" t="str">
        <f>IFERROR(VLOOKUP(Tabela1[[#This Row],[MÊS]]&amp;Tabela1[[#This Row],[MATRICULA]],#REF!,2,0),"")</f>
        <v/>
      </c>
    </row>
    <row r="170" spans="1:87">
      <c r="A170" s="12" t="str">
        <f>Tabela1[[#This Row],[MÊS]]&amp;Tabela1[[#This Row],[MATRICULA]]&amp;Tabela1[[#This Row],[ID]]</f>
        <v>JAN112853</v>
      </c>
      <c r="B170" s="12" t="str">
        <f>Tabela1[[#This Row],[MÊS]]&amp;Tabela1[[#This Row],[ID]]&amp;Tabela1[[#This Row],[MATRICULA]]&amp;Tabela1[[#This Row],[SETOR]]</f>
        <v>JAN311285TRANSFERÊNCIA</v>
      </c>
      <c r="C170" s="130" t="e">
        <f>VLOOKUP(Tabela1[[#This Row],[MATRICULA]],'BD Campos'!A:D,5,0)</f>
        <v>#REF!</v>
      </c>
      <c r="D170" s="133" t="str">
        <f ca="1">IFERROR(SUM(TODAY()-Tabela1[[#This Row],[ADMISSÃO]]),"")</f>
        <v/>
      </c>
      <c r="E170" s="11" t="str">
        <f ca="1">IFERROR(TRUNC(Tabela1[[#This Row],[TEMPO DE CASA (DIAS)]]/30),"")</f>
        <v/>
      </c>
      <c r="F170" s="32" t="str">
        <f ca="1">IFERROR(SUM(Tabela1[[#This Row],[TEMPO DE CASA (MESES)]]/12),"")</f>
        <v/>
      </c>
      <c r="G170" s="133" t="str">
        <f ca="1">IF(Tabela1[[#This Row],[TEMPO DE CASA (DIAS)]]="","SEM DADOS",IF(Tabela1[[#This Row],[TEMPO DE CASA (DIAS)]]&gt;180,"&gt; 6 MESES","&lt; 6 MESES"))</f>
        <v>SEM DADOS</v>
      </c>
      <c r="H170" s="12" t="str">
        <f t="shared" si="16"/>
        <v>JANGustavo Miralha3</v>
      </c>
      <c r="I170" s="12" t="str">
        <f>IFERROR(VLOOKUP(Tabela1[[#This Row],[MATRICULA]],'BD Campos'!A:F,7,0),"")</f>
        <v/>
      </c>
      <c r="J170" s="11">
        <v>3</v>
      </c>
      <c r="K170" s="11" t="s">
        <v>669</v>
      </c>
      <c r="L170" s="136">
        <v>11285</v>
      </c>
      <c r="M170" s="12" t="str">
        <f>IFERROR(VLOOKUP(Tabela1[[#This Row],[MATRICULA]],'BD Campos'!A:B,2,0),"")</f>
        <v>LAIS DA SILVA GUERREIRO DE ARRUDA</v>
      </c>
      <c r="N170" s="20">
        <f>IFERROR(AVERAGE(Tabela1[[#This Row],[A1]:[A4]]),"")</f>
        <v>3.5823999999999998</v>
      </c>
      <c r="O170" s="20" t="str">
        <f>IFERROR(IF(Tabela1[[#This Row],[SETOR]]="RECEPTIVO","",AVERAGE(Tabela1[[#This Row],[A5]:[A6]])),"")</f>
        <v/>
      </c>
      <c r="P170" s="20" t="str">
        <f>IFERROR(IF(Tabela1[[#This Row],[STATUS]]="INATIVO","INATIVO",IF(Tabela1[[#This Row],[STATUS]]="QRT","INATIVO",IF(Tabela1[[#This Row],[OPERACIONAL]]&gt;7.99999,"BOM","RUIM"))),"")</f>
        <v>RUIM</v>
      </c>
      <c r="Q170" s="21" t="s">
        <v>667</v>
      </c>
      <c r="R170" s="12" t="s">
        <v>710</v>
      </c>
      <c r="S170" s="12" t="s">
        <v>711</v>
      </c>
      <c r="T170" s="12" t="s">
        <v>192</v>
      </c>
      <c r="U17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0" s="12">
        <f>IF(AND(Tabela1[[#This Row],[SETOR]]="UTI",Tabela1[[#This Row],[M]]&lt;&gt;""),1,IF(AND(Tabela1[[#This Row],[SETOR]]="UTI (RJ)",Tabela1[[#This Row],[M]]&lt;&gt;""),1.5,0))</f>
        <v>0</v>
      </c>
      <c r="X170" s="12">
        <f>IF(AND(Tabela1[[#This Row],[SETOR]]="UTI",Tabela1[[#This Row],[PA2]]&lt;&gt;""),1,IF(AND(Tabela1[[#This Row],[SETOR]]="UTI (RJ)",Tabela1[[#This Row],[PA2]]&lt;&gt;""),0,0))</f>
        <v>0</v>
      </c>
      <c r="Y170" s="12">
        <f>IF(AND(Tabela1[[#This Row],[SETOR]]="UTI",Tabela1[[#This Row],[C]]&lt;&gt;""),1,IF(AND(Tabela1[[#This Row],[SETOR]]="UTI (RJ)",Tabela1[[#This Row],[C]]&lt;&gt;""),1.5,0))</f>
        <v>0</v>
      </c>
      <c r="Z170" s="12">
        <f>IF(AND(Tabela1[[#This Row],[SETOR]]="UTI",Tabela1[[#This Row],[PL]]&lt;&gt;""),1,IF(AND(Tabela1[[#This Row],[SETOR]]="UTI (RJ)",Tabela1[[#This Row],[PL]]&lt;&gt;""),1,0))</f>
        <v>0</v>
      </c>
      <c r="AA170" s="21">
        <f>IFERROR(VLOOKUP(Tabela1[[#This Row],[MÊS]]&amp;Tabela1[[#This Row],[MATRICULA]]&amp;"1"&amp;Tabela1[[#This Row],[SETOR]]&amp;"PADRÃO",BD!B:AF,31,0),"")</f>
        <v>7.1647999999999996</v>
      </c>
      <c r="AB170" s="21">
        <f>IFERROR(VLOOKUP(Tabela1[[#This Row],[MÊS]]&amp;Tabela1[[#This Row],[MATRICULA]]&amp;"2"&amp;Tabela1[[#This Row],[SETOR]]&amp;"PADRÃO",BD!B:AF,31,0),"")</f>
        <v>0</v>
      </c>
      <c r="AC170" s="21" t="str">
        <f>IFERROR(VLOOKUP(Tabela1[[#This Row],[MÊS]]&amp;Tabela1[[#This Row],[MATRICULA]]&amp;"3"&amp;Tabela1[[#This Row],[SETOR]]&amp;"PADRÃO",BD!B:AF,31,0),"")</f>
        <v/>
      </c>
      <c r="AD170" s="21" t="str">
        <f>IFERROR(VLOOKUP(Tabela1[[#This Row],[MÊS]]&amp;Tabela1[[#This Row],[MATRICULA]]&amp;"4"&amp;Tabela1[[#This Row],[SETOR]]&amp;"PADRÃO",BD!B:AF,25,0),"")</f>
        <v/>
      </c>
      <c r="AE170" s="21" t="str">
        <f>IFERROR(VLOOKUP(Tabela1[[#This Row],[MÊS]]&amp;Tabela1[[#This Row],[MATRICULA]]&amp;"5"&amp;Tabela1[[#This Row],[SETOR]]&amp;"PADRÃO",BD!B:AF,31,0),"")</f>
        <v/>
      </c>
      <c r="AF170" s="21" t="str">
        <f>IFERROR(VLOOKUP(Tabela1[[#This Row],[MÊS]]&amp;Tabela1[[#This Row],[MATRICULA]]&amp;"6"&amp;Tabela1[[#This Row],[SETOR]]&amp;"PADRÃO",BD!B:AF,31,0),"")</f>
        <v/>
      </c>
      <c r="AG170" s="21" t="str">
        <f>IFERROR(VLOOKUP(Tabela1[[#This Row],[MÊS]]&amp;Tabela1[[#This Row],[MATRICULA]]&amp;"7"&amp;Tabela1[[#This Row],[SETOR]]&amp;"PADRÃO",BD!B:AF,31,0),"")</f>
        <v/>
      </c>
      <c r="AH170" s="21" t="str">
        <f>IFERROR(VLOOKUP(Tabela1[[#This Row],[MÊS]]&amp;Tabela1[[#This Row],[ID]]&amp;Tabela1[[#This Row],[MATRICULA]]&amp;"Receptiva"&amp;Tabela1[[#This Row],[SETOR]],BD!A:AF,31,0),"")</f>
        <v/>
      </c>
      <c r="AI170" s="21" t="str">
        <f>IFERROR(VLOOKUP(Tabela1[[#This Row],[MÊS]]&amp;Tabela1[[#This Row],[ID]]&amp;Tabela1[[#This Row],[MATRICULA]]&amp;"Receptiva 2"&amp;Tabela1[[#This Row],[SETOR]],BD!A:AF,31,0),"")</f>
        <v/>
      </c>
      <c r="AJ170" s="21" t="str">
        <f>IFERROR(VLOOKUP(Tabela1[[#This Row],[MÊS]]&amp;Tabela1[[#This Row],[ID]]&amp;Tabela1[[#This Row],[MATRICULA]]&amp;"Receptiva 3"&amp;Tabela1[[#This Row],[SETOR]],BD!A:AF,31,0),"")</f>
        <v/>
      </c>
      <c r="AK170" s="21" t="str">
        <f>IFERROR(VLOOKUP(Tabela1[[#This Row],[MÊS]]&amp;Tabela1[[#This Row],[ID]]&amp;Tabela1[[#This Row],[MATRICULA]]&amp;"Receptiva 4"&amp;Tabela1[[#This Row],[SETOR]],BD!A:AF,31,0),"")</f>
        <v/>
      </c>
      <c r="AL170" s="21">
        <f>IFERROR(VLOOKUP(Tabela1[[#This Row],[MÊS]]&amp;Tabela1[[#This Row],[MATRICULA]]&amp;"Motorista"&amp;Tabela1[[#This Row],[SETOR]],BD!A:AF,31,0),"")</f>
        <v>0</v>
      </c>
      <c r="AM170" s="21" t="str">
        <f>IFERROR(VLOOKUP(Tabela1[[#This Row],[MÊS]]&amp;Tabela1[[#This Row],[ID]]&amp;Tabela1[[#This Row],[MATRICULA]]&amp;"Motorista 2"&amp;Tabela1[[#This Row],[SETOR]],BD!A:AF,26,0),"")</f>
        <v/>
      </c>
      <c r="AN170" s="21" t="str">
        <f>IFERROR(VLOOKUP(Tabela1[[#This Row],[MÊS]]&amp;Tabela1[[#This Row],[ID]]&amp;Tabela1[[#This Row],[MATRICULA]]&amp;"Motorista 3"&amp;Tabela1[[#This Row],[SETOR]],BD!A:AF,26,0),"")</f>
        <v/>
      </c>
      <c r="AO170" s="21" t="str">
        <f>IFERROR(VLOOKUP(Tabela1[[#This Row],[MÊS]]&amp;Tabela1[[#This Row],[ID]]&amp;Tabela1[[#This Row],[MATRICULA]]&amp;"Motorista 4"&amp;Tabela1[[#This Row],[SETOR]],BD!A:AF,26,0),"")</f>
        <v/>
      </c>
      <c r="AP170" s="21" t="str">
        <f>IFERROR(VLOOKUP(Tabela1[[#This Row],[MÊS]]&amp;Tabela1[[#This Row],[MATRICULA]]&amp;"Ponto de Apoio"&amp;Tabela1[[#This Row],[SETOR]],BD!A:AF,31,0),"")</f>
        <v/>
      </c>
      <c r="AQ170" s="21" t="str">
        <f>IFERROR(VLOOKUP(Tabela1[[#This Row],[MÊS]]&amp;Tabela1[[#This Row],[ID]]&amp;Tabela1[[#This Row],[MATRICULA]]&amp;"Ponto de Apoio 2"&amp;Tabela1[[#This Row],[SETOR]],BD!A:AF,26,0),"")</f>
        <v/>
      </c>
      <c r="AR170" s="36" t="str">
        <f>IFERROR(VLOOKUP(Tabela1[[#This Row],[MÊS]]&amp;Tabela1[[#This Row],[ID]]&amp;Tabela1[[#This Row],[MATRICULA]]&amp;"Ponto de Apoio 3"&amp;Tabela1[[#This Row],[SETOR]],BD!A:AF,26,0),"")</f>
        <v/>
      </c>
      <c r="AS170" s="36" t="str">
        <f>IFERROR(VLOOKUP(Tabela1[[#This Row],[MÊS]]&amp;Tabela1[[#This Row],[ID]]&amp;Tabela1[[#This Row],[MATRICULA]]&amp;"Ponto de Apoio 4"&amp;Tabela1[[#This Row],[SETOR]],BD!A:AF,26,0),"")</f>
        <v/>
      </c>
      <c r="AT170" s="21" t="str">
        <f>IFERROR(VLOOKUP(Tabela1[[#This Row],[MÊS]]&amp;Tabela1[[#This Row],[MATRICULA]]&amp;"Cliente"&amp;Tabela1[[#This Row],[SETOR]],BD!A:AF,31,0),"")</f>
        <v/>
      </c>
      <c r="AU170" s="21" t="str">
        <f>IFERROR(VLOOKUP(Tabela1[[#This Row],[MÊS]]&amp;Tabela1[[#This Row],[ID]]&amp;Tabela1[[#This Row],[MATRICULA]]&amp;"Cliente 2"&amp;Tabela1[[#This Row],[SETOR]],BD!A:AF,26,0),"")</f>
        <v/>
      </c>
      <c r="AX170" s="21" t="str">
        <f>IFERROR(VLOOKUP(Tabela1[[#This Row],[MÊS]]&amp;Tabela1[[#This Row],[MATRICULA]]&amp;"Policia"&amp;Tabela1[[#This Row],[SETOR]],BD!A:AF,31,0),"")</f>
        <v/>
      </c>
      <c r="AY170" s="21" t="str">
        <f>IFERROR(VLOOKUP(Tabela1[[#This Row],[MÊS]]&amp;Tabela1[[#This Row],[ID]]&amp;Tabela1[[#This Row],[MATRICULA]]&amp;"Policia 2"&amp;Tabela1[[#This Row],[SETOR]],BD!A:AF,26,0),"")</f>
        <v/>
      </c>
      <c r="AZ170" s="36" t="str">
        <f>IFERROR(VLOOKUP(Tabela1[[#This Row],[MÊS]]&amp;Tabela1[[#This Row],[ID]]&amp;Tabela1[[#This Row],[MATRICULA]]&amp;"Policia 3"&amp;Tabela1[[#This Row],[SETOR]],BD!A:AF,26,0),"")</f>
        <v/>
      </c>
      <c r="BA170" s="36" t="str">
        <f>IFERROR(VLOOKUP(Tabela1[[#This Row],[MÊS]]&amp;Tabela1[[#This Row],[ID]]&amp;Tabela1[[#This Row],[MATRICULA]]&amp;"Policia 4"&amp;Tabela1[[#This Row],[SETOR]],BD!A:AF,26,0),"")</f>
        <v/>
      </c>
      <c r="BB17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0" s="21">
        <f>IFERROR(AVERAGE(Tabela1[[#This Row],[M]:[M4]]),"")</f>
        <v>0</v>
      </c>
      <c r="BD170" s="21" t="str">
        <f>IFERROR(AVERAGE(Tabela1[[#This Row],[C]:[C4]]),"")</f>
        <v/>
      </c>
      <c r="BE170" s="21" t="str">
        <f>IFERROR(AVERAGE(Tabela1[[#This Row],[PA2]:[PA 4]]),"")</f>
        <v/>
      </c>
      <c r="BF170" s="21" t="str">
        <f>IFERROR(AVERAGE(Tabela1[[#This Row],[PL]:[PL4]]),"")</f>
        <v/>
      </c>
      <c r="BG170" s="35" t="str">
        <f>IFERROR(VLOOKUP(Tabela1[[#This Row],[MÊS]]&amp;Tabela1[[#This Row],[MATRICULA]],#REF!,2,0),"")</f>
        <v/>
      </c>
      <c r="BH170" s="35" t="str">
        <f>IFERROR(VLOOKUP(Tabela1[[#This Row],[MÊS]]&amp;Tabela1[[#This Row],[MATRICULA]],#REF!,2,0),"")</f>
        <v/>
      </c>
      <c r="BI170" s="35" t="str">
        <f>IFERROR(VLOOKUP(Tabela1[[#This Row],[MÊS]]&amp;Tabela1[[#This Row],[MATRICULA]],#REF!,2,0),"")</f>
        <v/>
      </c>
      <c r="BJ170" s="35" t="str">
        <f>IFERROR(VLOOKUP(Tabela1[[#This Row],[MÊS]]&amp;Tabela1[[#This Row],[MATRICULA]],#REF!,2,0),"")</f>
        <v/>
      </c>
      <c r="BK170" s="35" t="str">
        <f>IFERROR(VLOOKUP(Tabela1[[#This Row],[MÊS]]&amp;Tabela1[[#This Row],[MATRICULA]],#REF!,2,0),"")</f>
        <v/>
      </c>
      <c r="BL170" s="21">
        <f>COUNTIF(Tabela1[[#This Row],[MOT2]:[RECEPTIVA]],"NÃO ENCONTRADA")</f>
        <v>0</v>
      </c>
      <c r="BM170" s="135" t="str">
        <f>IFERROR(VLOOKUP(Tabela1[[#This Row],[MÊS]]&amp;Tabela1[[#This Row],[ID]]&amp;Tabela1[[#This Row],[MATRICULA]]&amp;"Motorista"&amp;Tabela1[[#This Row],[SETOR]],BD!A:AF,13,0),"")</f>
        <v/>
      </c>
      <c r="BN170" s="135" t="str">
        <f>IFERROR(VLOOKUP(Tabela1[[#This Row],[MÊS]]&amp;Tabela1[[#This Row],[ID]]&amp;Tabela1[[#This Row],[MATRICULA]]&amp;"Motorista 2"&amp;Tabela1[[#This Row],[SETOR]],BD!A:AF,13,0),"")</f>
        <v/>
      </c>
      <c r="BO170" s="135" t="str">
        <f>IFERROR(VLOOKUP(Tabela1[[#This Row],[MÊS]]&amp;Tabela1[[#This Row],[ID]]&amp;Tabela1[[#This Row],[MATRICULA]]&amp;"Motorista 3"&amp;Tabela1[[#This Row],[SETOR]],BD!A:AF,13,0),"")</f>
        <v/>
      </c>
      <c r="BP170" s="135" t="str">
        <f>IFERROR(VLOOKUP(Tabela1[[#This Row],[MÊS]]&amp;Tabela1[[#This Row],[ID]]&amp;Tabela1[[#This Row],[MATRICULA]]&amp;"Motorista 4"&amp;Tabela1[[#This Row],[SETOR]],BD!A:AF,13,0),"")</f>
        <v/>
      </c>
      <c r="BQ170" s="135" t="str">
        <f>IFERROR(AVERAGE(Tabela1[[#This Row],[DMOT]:[DMOT4]]),"")</f>
        <v/>
      </c>
      <c r="BR170" s="135" t="str">
        <f>IFERROR(VLOOKUP(Tabela1[[#This Row],[MÊS]]&amp;Tabela1[[#This Row],[ID]]&amp;Tabela1[[#This Row],[MATRICULA]]&amp;"Ponto de Apoio"&amp;Tabela1[[#This Row],[SETOR]],BD!A:AF,13,0),"")</f>
        <v/>
      </c>
      <c r="BS170" s="135" t="str">
        <f>IFERROR(VLOOKUP(Tabela1[[#This Row],[MÊS]]&amp;Tabela1[[#This Row],[ID]]&amp;Tabela1[[#This Row],[MATRICULA]]&amp;"Ponto de Apoio 2"&amp;Tabela1[[#This Row],[SETOR]],BD!A:AF,13,0),"")</f>
        <v/>
      </c>
      <c r="BT170" s="135" t="str">
        <f>IFERROR(VLOOKUP(Tabela1[[#This Row],[MÊS]]&amp;Tabela1[[#This Row],[ID]]&amp;Tabela1[[#This Row],[MATRICULA]]&amp;"Ponto de Apoio 3"&amp;Tabela1[[#This Row],[SETOR]],BD!A:AF,13,0),"")</f>
        <v/>
      </c>
      <c r="BU170" s="135" t="str">
        <f>IFERROR(VLOOKUP(Tabela1[[#This Row],[MÊS]]&amp;Tabela1[[#This Row],[ID]]&amp;Tabela1[[#This Row],[MATRICULA]]&amp;"Ponto de Apoio 4"&amp;Tabela1[[#This Row],[SETOR]],BD!A:AF,13,0),"")</f>
        <v/>
      </c>
      <c r="BV170" s="135" t="str">
        <f>IFERROR(AVERAGE(Tabela1[[#This Row],[DPA]:[DPA 4]]),"")</f>
        <v/>
      </c>
      <c r="BW170" s="135" t="str">
        <f>IFERROR(VLOOKUP(Tabela1[[#This Row],[MÊS]]&amp;Tabela1[[#This Row],[ID]]&amp;Tabela1[[#This Row],[MATRICULA]]&amp;"Cliente"&amp;Tabela1[[#This Row],[SETOR]],BD!A:AF,13,0),"")</f>
        <v/>
      </c>
      <c r="BX170" s="135" t="str">
        <f>IFERROR(VLOOKUP(Tabela1[[#This Row],[MÊS]]&amp;Tabela1[[#This Row],[ID]]&amp;Tabela1[[#This Row],[MATRICULA]]&amp;"cliente 2"&amp;Tabela1[[#This Row],[SETOR]],BD!A:AF,13,0),"")</f>
        <v/>
      </c>
      <c r="BY170" s="135" t="str">
        <f>IFERROR(VLOOKUP(Tabela1[[#This Row],[MÊS]]&amp;Tabela1[[#This Row],[ID]]&amp;Tabela1[[#This Row],[MATRICULA]]&amp;"cliente 3"&amp;Tabela1[[#This Row],[SETOR]],BD!A:AF,13,0),"")</f>
        <v/>
      </c>
      <c r="BZ170" s="135" t="str">
        <f>IFERROR(VLOOKUP(Tabela1[[#This Row],[MÊS]]&amp;Tabela1[[#This Row],[ID]]&amp;Tabela1[[#This Row],[MATRICULA]]&amp;"cliente 4"&amp;Tabela1[[#This Row],[SETOR]],BD!A:AF,13,0),"")</f>
        <v/>
      </c>
      <c r="CA170" s="135" t="str">
        <f>IFERROR(AVERAGE(Tabela1[[#This Row],[DCLI]:[DCLI 4]]),"")</f>
        <v/>
      </c>
      <c r="CB170" s="135" t="str">
        <f>IFERROR(VLOOKUP(Tabela1[[#This Row],[MÊS]]&amp;Tabela1[[#This Row],[ID]]&amp;Tabela1[[#This Row],[MATRICULA]]&amp;"Policia"&amp;Tabela1[[#This Row],[SETOR]],BD!A:AF,13,0),"")</f>
        <v/>
      </c>
      <c r="CC170" s="135" t="str">
        <f>IFERROR(VLOOKUP(Tabela1[[#This Row],[MÊS]]&amp;Tabela1[[#This Row],[ID]]&amp;Tabela1[[#This Row],[MATRICULA]]&amp;"Policia 2"&amp;Tabela1[[#This Row],[SETOR]],BD!A:AF,13,0),"")</f>
        <v/>
      </c>
      <c r="CD170" s="135"/>
      <c r="CE170" s="135"/>
      <c r="CF170" s="135" t="str">
        <f>IFERROR((AVERAGE(Tabela1[[#This Row],[DPOL1]:[DPOL4]])),"")</f>
        <v/>
      </c>
      <c r="CG170" s="21" t="str">
        <f>IFERROR(VLOOKUP(Tabela1[[#This Row],[ID]]&amp;Tabela1[[#This Row],[MÊS]]&amp;Tabela1[[#This Row],[MATRICULA]],#REF!,2,0),"")</f>
        <v/>
      </c>
      <c r="CH170" s="21" t="str">
        <f>IFERROR(VLOOKUP(Tabela1[[#This Row],[ID]]&amp;Tabela1[[#This Row],[MÊS]]&amp;Tabela1[[#This Row],[MATRICULA]],#REF!,2,0),"")</f>
        <v/>
      </c>
      <c r="CI170" s="21" t="str">
        <f>IFERROR(VLOOKUP(Tabela1[[#This Row],[MÊS]]&amp;Tabela1[[#This Row],[MATRICULA]],#REF!,2,0),"")</f>
        <v/>
      </c>
    </row>
    <row r="171" spans="1:87">
      <c r="A171" s="12" t="str">
        <f>Tabela1[[#This Row],[MÊS]]&amp;Tabela1[[#This Row],[MATRICULA]]&amp;Tabela1[[#This Row],[ID]]</f>
        <v>JAN113054</v>
      </c>
      <c r="B171" s="12" t="str">
        <f>Tabela1[[#This Row],[MÊS]]&amp;Tabela1[[#This Row],[ID]]&amp;Tabela1[[#This Row],[MATRICULA]]&amp;Tabela1[[#This Row],[SETOR]]</f>
        <v>JAN411305TRANSFERÊNCIA</v>
      </c>
      <c r="C171" s="130" t="e">
        <f>VLOOKUP(Tabela1[[#This Row],[MATRICULA]],'BD Campos'!A:D,5,0)</f>
        <v>#REF!</v>
      </c>
      <c r="D171" s="133" t="str">
        <f ca="1">IFERROR(SUM(TODAY()-Tabela1[[#This Row],[ADMISSÃO]]),"")</f>
        <v/>
      </c>
      <c r="E171" s="11" t="str">
        <f ca="1">IFERROR(TRUNC(Tabela1[[#This Row],[TEMPO DE CASA (DIAS)]]/30),"")</f>
        <v/>
      </c>
      <c r="F171" s="32" t="str">
        <f ca="1">IFERROR(SUM(Tabela1[[#This Row],[TEMPO DE CASA (MESES)]]/12),"")</f>
        <v/>
      </c>
      <c r="G171" s="133" t="str">
        <f ca="1">IF(Tabela1[[#This Row],[TEMPO DE CASA (DIAS)]]="","SEM DADOS",IF(Tabela1[[#This Row],[TEMPO DE CASA (DIAS)]]&gt;180,"&gt; 6 MESES","&lt; 6 MESES"))</f>
        <v>SEM DADOS</v>
      </c>
      <c r="H171" s="12" t="str">
        <f t="shared" si="16"/>
        <v>JANGustavo Miralha4</v>
      </c>
      <c r="I171" s="12" t="str">
        <f>IFERROR(VLOOKUP(Tabela1[[#This Row],[MATRICULA]],'BD Campos'!A:F,7,0),"")</f>
        <v/>
      </c>
      <c r="J171" s="11">
        <v>4</v>
      </c>
      <c r="K171" s="11" t="s">
        <v>669</v>
      </c>
      <c r="L171" s="136">
        <v>11305</v>
      </c>
      <c r="M171" s="12" t="str">
        <f>IFERROR(VLOOKUP(Tabela1[[#This Row],[MATRICULA]],'BD Campos'!A:B,2,0),"")</f>
        <v>MATHEUS FERNANDES GARCIA</v>
      </c>
      <c r="N171" s="20">
        <f>IFERROR(AVERAGE(Tabela1[[#This Row],[A1]:[A4]]),"")</f>
        <v>7.165</v>
      </c>
      <c r="O171" s="20" t="str">
        <f>IFERROR(IF(Tabela1[[#This Row],[SETOR]]="RECEPTIVO","",AVERAGE(Tabela1[[#This Row],[A5]:[A6]])),"")</f>
        <v/>
      </c>
      <c r="P171" s="20" t="str">
        <f>IFERROR(IF(Tabela1[[#This Row],[STATUS]]="INATIVO","INATIVO",IF(Tabela1[[#This Row],[STATUS]]="QRT","INATIVO",IF(Tabela1[[#This Row],[OPERACIONAL]]&gt;7.99999,"BOM","RUIM"))),"")</f>
        <v>RUIM</v>
      </c>
      <c r="Q171" s="21" t="s">
        <v>667</v>
      </c>
      <c r="R171" s="12" t="s">
        <v>710</v>
      </c>
      <c r="S171" s="12" t="s">
        <v>711</v>
      </c>
      <c r="T171" s="12" t="s">
        <v>192</v>
      </c>
      <c r="U17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1" s="12">
        <f>IF(AND(Tabela1[[#This Row],[SETOR]]="UTI",Tabela1[[#This Row],[M]]&lt;&gt;""),1,IF(AND(Tabela1[[#This Row],[SETOR]]="UTI (RJ)",Tabela1[[#This Row],[M]]&lt;&gt;""),1.5,0))</f>
        <v>0</v>
      </c>
      <c r="X171" s="12">
        <f>IF(AND(Tabela1[[#This Row],[SETOR]]="UTI",Tabela1[[#This Row],[PA2]]&lt;&gt;""),1,IF(AND(Tabela1[[#This Row],[SETOR]]="UTI (RJ)",Tabela1[[#This Row],[PA2]]&lt;&gt;""),0,0))</f>
        <v>0</v>
      </c>
      <c r="Y171" s="12">
        <f>IF(AND(Tabela1[[#This Row],[SETOR]]="UTI",Tabela1[[#This Row],[C]]&lt;&gt;""),1,IF(AND(Tabela1[[#This Row],[SETOR]]="UTI (RJ)",Tabela1[[#This Row],[C]]&lt;&gt;""),1.5,0))</f>
        <v>0</v>
      </c>
      <c r="Z171" s="12">
        <f>IF(AND(Tabela1[[#This Row],[SETOR]]="UTI",Tabela1[[#This Row],[PL]]&lt;&gt;""),1,IF(AND(Tabela1[[#This Row],[SETOR]]="UTI (RJ)",Tabela1[[#This Row],[PL]]&lt;&gt;""),1,0))</f>
        <v>0</v>
      </c>
      <c r="AA171" s="21">
        <f>IFERROR(VLOOKUP(Tabela1[[#This Row],[MÊS]]&amp;Tabela1[[#This Row],[MATRICULA]]&amp;"1"&amp;Tabela1[[#This Row],[SETOR]]&amp;"PADRÃO",BD!B:AF,31,0),"")</f>
        <v>6.1150000000000002</v>
      </c>
      <c r="AB171" s="21">
        <f>IFERROR(VLOOKUP(Tabela1[[#This Row],[MÊS]]&amp;Tabela1[[#This Row],[MATRICULA]]&amp;"2"&amp;Tabela1[[#This Row],[SETOR]]&amp;"PADRÃO",BD!B:AF,31,0),"")</f>
        <v>8.2149999999999999</v>
      </c>
      <c r="AC171" s="21" t="str">
        <f>IFERROR(VLOOKUP(Tabela1[[#This Row],[MÊS]]&amp;Tabela1[[#This Row],[MATRICULA]]&amp;"3"&amp;Tabela1[[#This Row],[SETOR]]&amp;"PADRÃO",BD!B:AF,31,0),"")</f>
        <v/>
      </c>
      <c r="AD171" s="21" t="str">
        <f>IFERROR(VLOOKUP(Tabela1[[#This Row],[MÊS]]&amp;Tabela1[[#This Row],[MATRICULA]]&amp;"4"&amp;Tabela1[[#This Row],[SETOR]]&amp;"PADRÃO",BD!B:AF,25,0),"")</f>
        <v/>
      </c>
      <c r="AE171" s="21" t="str">
        <f>IFERROR(VLOOKUP(Tabela1[[#This Row],[MÊS]]&amp;Tabela1[[#This Row],[MATRICULA]]&amp;"5"&amp;Tabela1[[#This Row],[SETOR]]&amp;"PADRÃO",BD!B:AF,31,0),"")</f>
        <v/>
      </c>
      <c r="AF171" s="21" t="str">
        <f>IFERROR(VLOOKUP(Tabela1[[#This Row],[MÊS]]&amp;Tabela1[[#This Row],[MATRICULA]]&amp;"6"&amp;Tabela1[[#This Row],[SETOR]]&amp;"PADRÃO",BD!B:AF,31,0),"")</f>
        <v/>
      </c>
      <c r="AG171" s="21" t="str">
        <f>IFERROR(VLOOKUP(Tabela1[[#This Row],[MÊS]]&amp;Tabela1[[#This Row],[MATRICULA]]&amp;"7"&amp;Tabela1[[#This Row],[SETOR]]&amp;"PADRÃO",BD!B:AF,31,0),"")</f>
        <v/>
      </c>
      <c r="AH171" s="21" t="str">
        <f>IFERROR(VLOOKUP(Tabela1[[#This Row],[MÊS]]&amp;Tabela1[[#This Row],[ID]]&amp;Tabela1[[#This Row],[MATRICULA]]&amp;"Receptiva"&amp;Tabela1[[#This Row],[SETOR]],BD!A:AF,31,0),"")</f>
        <v/>
      </c>
      <c r="AI171" s="21" t="str">
        <f>IFERROR(VLOOKUP(Tabela1[[#This Row],[MÊS]]&amp;Tabela1[[#This Row],[ID]]&amp;Tabela1[[#This Row],[MATRICULA]]&amp;"Receptiva 2"&amp;Tabela1[[#This Row],[SETOR]],BD!A:AF,31,0),"")</f>
        <v/>
      </c>
      <c r="AJ171" s="21" t="str">
        <f>IFERROR(VLOOKUP(Tabela1[[#This Row],[MÊS]]&amp;Tabela1[[#This Row],[ID]]&amp;Tabela1[[#This Row],[MATRICULA]]&amp;"Receptiva 3"&amp;Tabela1[[#This Row],[SETOR]],BD!A:AF,31,0),"")</f>
        <v/>
      </c>
      <c r="AK171" s="21" t="str">
        <f>IFERROR(VLOOKUP(Tabela1[[#This Row],[MÊS]]&amp;Tabela1[[#This Row],[ID]]&amp;Tabela1[[#This Row],[MATRICULA]]&amp;"Receptiva 4"&amp;Tabela1[[#This Row],[SETOR]],BD!A:AF,31,0),"")</f>
        <v/>
      </c>
      <c r="AL171" s="21">
        <f>IFERROR(VLOOKUP(Tabela1[[#This Row],[MÊS]]&amp;Tabela1[[#This Row],[MATRICULA]]&amp;"Motorista"&amp;Tabela1[[#This Row],[SETOR]],BD!A:AF,31,0),"")</f>
        <v>0</v>
      </c>
      <c r="AM171" s="21" t="str">
        <f>IFERROR(VLOOKUP(Tabela1[[#This Row],[MÊS]]&amp;Tabela1[[#This Row],[ID]]&amp;Tabela1[[#This Row],[MATRICULA]]&amp;"Motorista 2"&amp;Tabela1[[#This Row],[SETOR]],BD!A:AF,26,0),"")</f>
        <v/>
      </c>
      <c r="AN171" s="21" t="str">
        <f>IFERROR(VLOOKUP(Tabela1[[#This Row],[MÊS]]&amp;Tabela1[[#This Row],[ID]]&amp;Tabela1[[#This Row],[MATRICULA]]&amp;"Motorista 3"&amp;Tabela1[[#This Row],[SETOR]],BD!A:AF,26,0),"")</f>
        <v/>
      </c>
      <c r="AO171" s="21" t="str">
        <f>IFERROR(VLOOKUP(Tabela1[[#This Row],[MÊS]]&amp;Tabela1[[#This Row],[ID]]&amp;Tabela1[[#This Row],[MATRICULA]]&amp;"Motorista 4"&amp;Tabela1[[#This Row],[SETOR]],BD!A:AF,26,0),"")</f>
        <v/>
      </c>
      <c r="AP171" s="21" t="str">
        <f>IFERROR(VLOOKUP(Tabela1[[#This Row],[MÊS]]&amp;Tabela1[[#This Row],[MATRICULA]]&amp;"Ponto de Apoio"&amp;Tabela1[[#This Row],[SETOR]],BD!A:AF,31,0),"")</f>
        <v/>
      </c>
      <c r="AQ171" s="21" t="str">
        <f>IFERROR(VLOOKUP(Tabela1[[#This Row],[MÊS]]&amp;Tabela1[[#This Row],[ID]]&amp;Tabela1[[#This Row],[MATRICULA]]&amp;"Ponto de Apoio 2"&amp;Tabela1[[#This Row],[SETOR]],BD!A:AF,26,0),"")</f>
        <v/>
      </c>
      <c r="AR171" s="36" t="str">
        <f>IFERROR(VLOOKUP(Tabela1[[#This Row],[MÊS]]&amp;Tabela1[[#This Row],[ID]]&amp;Tabela1[[#This Row],[MATRICULA]]&amp;"Ponto de Apoio 3"&amp;Tabela1[[#This Row],[SETOR]],BD!A:AF,26,0),"")</f>
        <v/>
      </c>
      <c r="AS171" s="36" t="str">
        <f>IFERROR(VLOOKUP(Tabela1[[#This Row],[MÊS]]&amp;Tabela1[[#This Row],[ID]]&amp;Tabela1[[#This Row],[MATRICULA]]&amp;"Ponto de Apoio 4"&amp;Tabela1[[#This Row],[SETOR]],BD!A:AF,26,0),"")</f>
        <v/>
      </c>
      <c r="AT171" s="21" t="str">
        <f>IFERROR(VLOOKUP(Tabela1[[#This Row],[MÊS]]&amp;Tabela1[[#This Row],[MATRICULA]]&amp;"Cliente"&amp;Tabela1[[#This Row],[SETOR]],BD!A:AF,31,0),"")</f>
        <v/>
      </c>
      <c r="AU171" s="21" t="str">
        <f>IFERROR(VLOOKUP(Tabela1[[#This Row],[MÊS]]&amp;Tabela1[[#This Row],[ID]]&amp;Tabela1[[#This Row],[MATRICULA]]&amp;"Cliente 2"&amp;Tabela1[[#This Row],[SETOR]],BD!A:AF,26,0),"")</f>
        <v/>
      </c>
      <c r="AX171" s="21" t="str">
        <f>IFERROR(VLOOKUP(Tabela1[[#This Row],[MÊS]]&amp;Tabela1[[#This Row],[MATRICULA]]&amp;"Policia"&amp;Tabela1[[#This Row],[SETOR]],BD!A:AF,31,0),"")</f>
        <v/>
      </c>
      <c r="AY171" s="21" t="str">
        <f>IFERROR(VLOOKUP(Tabela1[[#This Row],[MÊS]]&amp;Tabela1[[#This Row],[ID]]&amp;Tabela1[[#This Row],[MATRICULA]]&amp;"Policia 2"&amp;Tabela1[[#This Row],[SETOR]],BD!A:AF,26,0),"")</f>
        <v/>
      </c>
      <c r="AZ171" s="36" t="str">
        <f>IFERROR(VLOOKUP(Tabela1[[#This Row],[MÊS]]&amp;Tabela1[[#This Row],[ID]]&amp;Tabela1[[#This Row],[MATRICULA]]&amp;"Policia 3"&amp;Tabela1[[#This Row],[SETOR]],BD!A:AF,26,0),"")</f>
        <v/>
      </c>
      <c r="BA171" s="36" t="str">
        <f>IFERROR(VLOOKUP(Tabela1[[#This Row],[MÊS]]&amp;Tabela1[[#This Row],[ID]]&amp;Tabela1[[#This Row],[MATRICULA]]&amp;"Policia 4"&amp;Tabela1[[#This Row],[SETOR]],BD!A:AF,26,0),"")</f>
        <v/>
      </c>
      <c r="BB17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1" s="21">
        <f>IFERROR(AVERAGE(Tabela1[[#This Row],[M]:[M4]]),"")</f>
        <v>0</v>
      </c>
      <c r="BD171" s="21" t="str">
        <f>IFERROR(AVERAGE(Tabela1[[#This Row],[C]:[C4]]),"")</f>
        <v/>
      </c>
      <c r="BE171" s="21" t="str">
        <f>IFERROR(AVERAGE(Tabela1[[#This Row],[PA2]:[PA 4]]),"")</f>
        <v/>
      </c>
      <c r="BF171" s="21" t="str">
        <f>IFERROR(AVERAGE(Tabela1[[#This Row],[PL]:[PL4]]),"")</f>
        <v/>
      </c>
      <c r="BG171" s="35" t="str">
        <f>IFERROR(VLOOKUP(Tabela1[[#This Row],[MÊS]]&amp;Tabela1[[#This Row],[MATRICULA]],#REF!,2,0),"")</f>
        <v/>
      </c>
      <c r="BH171" s="35" t="str">
        <f>IFERROR(VLOOKUP(Tabela1[[#This Row],[MÊS]]&amp;Tabela1[[#This Row],[MATRICULA]],#REF!,2,0),"")</f>
        <v/>
      </c>
      <c r="BI171" s="35" t="str">
        <f>IFERROR(VLOOKUP(Tabela1[[#This Row],[MÊS]]&amp;Tabela1[[#This Row],[MATRICULA]],#REF!,2,0),"")</f>
        <v/>
      </c>
      <c r="BJ171" s="35" t="str">
        <f>IFERROR(VLOOKUP(Tabela1[[#This Row],[MÊS]]&amp;Tabela1[[#This Row],[MATRICULA]],#REF!,2,0),"")</f>
        <v/>
      </c>
      <c r="BK171" s="35" t="str">
        <f>IFERROR(VLOOKUP(Tabela1[[#This Row],[MÊS]]&amp;Tabela1[[#This Row],[MATRICULA]],#REF!,2,0),"")</f>
        <v/>
      </c>
      <c r="BL171" s="21">
        <f>COUNTIF(Tabela1[[#This Row],[MOT2]:[RECEPTIVA]],"NÃO ENCONTRADA")</f>
        <v>0</v>
      </c>
      <c r="BM171" s="135" t="str">
        <f>IFERROR(VLOOKUP(Tabela1[[#This Row],[MÊS]]&amp;Tabela1[[#This Row],[ID]]&amp;Tabela1[[#This Row],[MATRICULA]]&amp;"Motorista"&amp;Tabela1[[#This Row],[SETOR]],BD!A:AF,13,0),"")</f>
        <v/>
      </c>
      <c r="BN171" s="135" t="str">
        <f>IFERROR(VLOOKUP(Tabela1[[#This Row],[MÊS]]&amp;Tabela1[[#This Row],[ID]]&amp;Tabela1[[#This Row],[MATRICULA]]&amp;"Motorista 2"&amp;Tabela1[[#This Row],[SETOR]],BD!A:AF,13,0),"")</f>
        <v/>
      </c>
      <c r="BO171" s="135" t="str">
        <f>IFERROR(VLOOKUP(Tabela1[[#This Row],[MÊS]]&amp;Tabela1[[#This Row],[ID]]&amp;Tabela1[[#This Row],[MATRICULA]]&amp;"Motorista 3"&amp;Tabela1[[#This Row],[SETOR]],BD!A:AF,13,0),"")</f>
        <v/>
      </c>
      <c r="BP171" s="135" t="str">
        <f>IFERROR(VLOOKUP(Tabela1[[#This Row],[MÊS]]&amp;Tabela1[[#This Row],[ID]]&amp;Tabela1[[#This Row],[MATRICULA]]&amp;"Motorista 4"&amp;Tabela1[[#This Row],[SETOR]],BD!A:AF,13,0),"")</f>
        <v/>
      </c>
      <c r="BQ171" s="135" t="str">
        <f>IFERROR(AVERAGE(Tabela1[[#This Row],[DMOT]:[DMOT4]]),"")</f>
        <v/>
      </c>
      <c r="BR171" s="135" t="str">
        <f>IFERROR(VLOOKUP(Tabela1[[#This Row],[MÊS]]&amp;Tabela1[[#This Row],[ID]]&amp;Tabela1[[#This Row],[MATRICULA]]&amp;"Ponto de Apoio"&amp;Tabela1[[#This Row],[SETOR]],BD!A:AF,13,0),"")</f>
        <v/>
      </c>
      <c r="BS171" s="135" t="str">
        <f>IFERROR(VLOOKUP(Tabela1[[#This Row],[MÊS]]&amp;Tabela1[[#This Row],[ID]]&amp;Tabela1[[#This Row],[MATRICULA]]&amp;"Ponto de Apoio 2"&amp;Tabela1[[#This Row],[SETOR]],BD!A:AF,13,0),"")</f>
        <v/>
      </c>
      <c r="BT171" s="135" t="str">
        <f>IFERROR(VLOOKUP(Tabela1[[#This Row],[MÊS]]&amp;Tabela1[[#This Row],[ID]]&amp;Tabela1[[#This Row],[MATRICULA]]&amp;"Ponto de Apoio 3"&amp;Tabela1[[#This Row],[SETOR]],BD!A:AF,13,0),"")</f>
        <v/>
      </c>
      <c r="BU171" s="135" t="str">
        <f>IFERROR(VLOOKUP(Tabela1[[#This Row],[MÊS]]&amp;Tabela1[[#This Row],[ID]]&amp;Tabela1[[#This Row],[MATRICULA]]&amp;"Ponto de Apoio 4"&amp;Tabela1[[#This Row],[SETOR]],BD!A:AF,13,0),"")</f>
        <v/>
      </c>
      <c r="BV171" s="135" t="str">
        <f>IFERROR(AVERAGE(Tabela1[[#This Row],[DPA]:[DPA 4]]),"")</f>
        <v/>
      </c>
      <c r="BW171" s="135" t="str">
        <f>IFERROR(VLOOKUP(Tabela1[[#This Row],[MÊS]]&amp;Tabela1[[#This Row],[ID]]&amp;Tabela1[[#This Row],[MATRICULA]]&amp;"Cliente"&amp;Tabela1[[#This Row],[SETOR]],BD!A:AF,13,0),"")</f>
        <v/>
      </c>
      <c r="BX171" s="135" t="str">
        <f>IFERROR(VLOOKUP(Tabela1[[#This Row],[MÊS]]&amp;Tabela1[[#This Row],[ID]]&amp;Tabela1[[#This Row],[MATRICULA]]&amp;"cliente 2"&amp;Tabela1[[#This Row],[SETOR]],BD!A:AF,13,0),"")</f>
        <v/>
      </c>
      <c r="BY171" s="135" t="str">
        <f>IFERROR(VLOOKUP(Tabela1[[#This Row],[MÊS]]&amp;Tabela1[[#This Row],[ID]]&amp;Tabela1[[#This Row],[MATRICULA]]&amp;"cliente 3"&amp;Tabela1[[#This Row],[SETOR]],BD!A:AF,13,0),"")</f>
        <v/>
      </c>
      <c r="BZ171" s="135" t="str">
        <f>IFERROR(VLOOKUP(Tabela1[[#This Row],[MÊS]]&amp;Tabela1[[#This Row],[ID]]&amp;Tabela1[[#This Row],[MATRICULA]]&amp;"cliente 4"&amp;Tabela1[[#This Row],[SETOR]],BD!A:AF,13,0),"")</f>
        <v/>
      </c>
      <c r="CA171" s="135" t="str">
        <f>IFERROR(AVERAGE(Tabela1[[#This Row],[DCLI]:[DCLI 4]]),"")</f>
        <v/>
      </c>
      <c r="CB171" s="135" t="str">
        <f>IFERROR(VLOOKUP(Tabela1[[#This Row],[MÊS]]&amp;Tabela1[[#This Row],[ID]]&amp;Tabela1[[#This Row],[MATRICULA]]&amp;"Policia"&amp;Tabela1[[#This Row],[SETOR]],BD!A:AF,13,0),"")</f>
        <v/>
      </c>
      <c r="CC171" s="135" t="str">
        <f>IFERROR(VLOOKUP(Tabela1[[#This Row],[MÊS]]&amp;Tabela1[[#This Row],[ID]]&amp;Tabela1[[#This Row],[MATRICULA]]&amp;"Policia 2"&amp;Tabela1[[#This Row],[SETOR]],BD!A:AF,13,0),"")</f>
        <v/>
      </c>
      <c r="CD171" s="135"/>
      <c r="CE171" s="135"/>
      <c r="CF171" s="135" t="str">
        <f>IFERROR((AVERAGE(Tabela1[[#This Row],[DPOL1]:[DPOL4]])),"")</f>
        <v/>
      </c>
      <c r="CG171" s="21" t="str">
        <f>IFERROR(VLOOKUP(Tabela1[[#This Row],[ID]]&amp;Tabela1[[#This Row],[MÊS]]&amp;Tabela1[[#This Row],[MATRICULA]],#REF!,2,0),"")</f>
        <v/>
      </c>
      <c r="CH171" s="21" t="str">
        <f>IFERROR(VLOOKUP(Tabela1[[#This Row],[ID]]&amp;Tabela1[[#This Row],[MÊS]]&amp;Tabela1[[#This Row],[MATRICULA]],#REF!,2,0),"")</f>
        <v/>
      </c>
      <c r="CI171" s="21" t="str">
        <f>IFERROR(VLOOKUP(Tabela1[[#This Row],[MÊS]]&amp;Tabela1[[#This Row],[MATRICULA]],#REF!,2,0),"")</f>
        <v/>
      </c>
    </row>
    <row r="172" spans="1:87">
      <c r="A172" s="12" t="str">
        <f>Tabela1[[#This Row],[MÊS]]&amp;Tabela1[[#This Row],[MATRICULA]]&amp;Tabela1[[#This Row],[ID]]</f>
        <v>JAN113495</v>
      </c>
      <c r="B172" s="12" t="str">
        <f>Tabela1[[#This Row],[MÊS]]&amp;Tabela1[[#This Row],[ID]]&amp;Tabela1[[#This Row],[MATRICULA]]&amp;Tabela1[[#This Row],[SETOR]]</f>
        <v>JAN511349TRANSFERÊNCIA</v>
      </c>
      <c r="C172" s="130" t="e">
        <f>VLOOKUP(Tabela1[[#This Row],[MATRICULA]],'BD Campos'!A:D,5,0)</f>
        <v>#REF!</v>
      </c>
      <c r="D172" s="133" t="str">
        <f ca="1">IFERROR(SUM(TODAY()-Tabela1[[#This Row],[ADMISSÃO]]),"")</f>
        <v/>
      </c>
      <c r="E172" s="11" t="str">
        <f ca="1">IFERROR(TRUNC(Tabela1[[#This Row],[TEMPO DE CASA (DIAS)]]/30),"")</f>
        <v/>
      </c>
      <c r="F172" s="32" t="str">
        <f ca="1">IFERROR(SUM(Tabela1[[#This Row],[TEMPO DE CASA (MESES)]]/12),"")</f>
        <v/>
      </c>
      <c r="G172" s="133" t="str">
        <f ca="1">IF(Tabela1[[#This Row],[TEMPO DE CASA (DIAS)]]="","SEM DADOS",IF(Tabela1[[#This Row],[TEMPO DE CASA (DIAS)]]&gt;180,"&gt; 6 MESES","&lt; 6 MESES"))</f>
        <v>SEM DADOS</v>
      </c>
      <c r="H172" s="12" t="str">
        <f t="shared" si="16"/>
        <v>JANGustavo Miralha5</v>
      </c>
      <c r="I172" s="12" t="str">
        <f>IFERROR(VLOOKUP(Tabela1[[#This Row],[MATRICULA]],'BD Campos'!A:F,7,0),"")</f>
        <v/>
      </c>
      <c r="J172" s="11">
        <v>5</v>
      </c>
      <c r="K172" s="11" t="s">
        <v>669</v>
      </c>
      <c r="L172" s="136">
        <v>11349</v>
      </c>
      <c r="M172" s="12" t="str">
        <f>IFERROR(VLOOKUP(Tabela1[[#This Row],[MATRICULA]],'BD Campos'!A:B,2,0),"")</f>
        <v>ANTONIO DA SILVA NETO</v>
      </c>
      <c r="N172" s="20">
        <f>IFERROR(AVERAGE(Tabela1[[#This Row],[A1]:[A4]]),"")</f>
        <v>9.3109999999999999</v>
      </c>
      <c r="O172" s="20" t="str">
        <f>IFERROR(IF(Tabela1[[#This Row],[SETOR]]="RECEPTIVO","",AVERAGE(Tabela1[[#This Row],[A5]:[A6]])),"")</f>
        <v/>
      </c>
      <c r="P172" s="20" t="str">
        <f>IFERROR(IF(Tabela1[[#This Row],[STATUS]]="INATIVO","INATIVO",IF(Tabela1[[#This Row],[STATUS]]="QRT","INATIVO",IF(Tabela1[[#This Row],[OPERACIONAL]]&gt;7.99999,"BOM","RUIM"))),"")</f>
        <v>BOM</v>
      </c>
      <c r="Q172" s="21" t="s">
        <v>667</v>
      </c>
      <c r="R172" s="12" t="s">
        <v>710</v>
      </c>
      <c r="S172" s="12" t="s">
        <v>711</v>
      </c>
      <c r="T172" s="12" t="s">
        <v>192</v>
      </c>
      <c r="U17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2" s="12">
        <f>IF(AND(Tabela1[[#This Row],[SETOR]]="UTI",Tabela1[[#This Row],[M]]&lt;&gt;""),1,IF(AND(Tabela1[[#This Row],[SETOR]]="UTI (RJ)",Tabela1[[#This Row],[M]]&lt;&gt;""),1.5,0))</f>
        <v>0</v>
      </c>
      <c r="X172" s="12">
        <f>IF(AND(Tabela1[[#This Row],[SETOR]]="UTI",Tabela1[[#This Row],[PA2]]&lt;&gt;""),1,IF(AND(Tabela1[[#This Row],[SETOR]]="UTI (RJ)",Tabela1[[#This Row],[PA2]]&lt;&gt;""),0,0))</f>
        <v>0</v>
      </c>
      <c r="Y172" s="12">
        <f>IF(AND(Tabela1[[#This Row],[SETOR]]="UTI",Tabela1[[#This Row],[C]]&lt;&gt;""),1,IF(AND(Tabela1[[#This Row],[SETOR]]="UTI (RJ)",Tabela1[[#This Row],[C]]&lt;&gt;""),1.5,0))</f>
        <v>0</v>
      </c>
      <c r="Z172" s="12">
        <f>IF(AND(Tabela1[[#This Row],[SETOR]]="UTI",Tabela1[[#This Row],[PL]]&lt;&gt;""),1,IF(AND(Tabela1[[#This Row],[SETOR]]="UTI (RJ)",Tabela1[[#This Row],[PL]]&lt;&gt;""),1,0))</f>
        <v>0</v>
      </c>
      <c r="AA172" s="21">
        <f>IFERROR(VLOOKUP(Tabela1[[#This Row],[MÊS]]&amp;Tabela1[[#This Row],[MATRICULA]]&amp;"1"&amp;Tabela1[[#This Row],[SETOR]]&amp;"PADRÃO",BD!B:AF,31,0),"")</f>
        <v>8.6179999999999986</v>
      </c>
      <c r="AB172" s="21">
        <f>IFERROR(VLOOKUP(Tabela1[[#This Row],[MÊS]]&amp;Tabela1[[#This Row],[MATRICULA]]&amp;"2"&amp;Tabela1[[#This Row],[SETOR]]&amp;"PADRÃO",BD!B:AF,31,0),"")</f>
        <v>10.004000000000001</v>
      </c>
      <c r="AC172" s="21" t="str">
        <f>IFERROR(VLOOKUP(Tabela1[[#This Row],[MÊS]]&amp;Tabela1[[#This Row],[MATRICULA]]&amp;"3"&amp;Tabela1[[#This Row],[SETOR]]&amp;"PADRÃO",BD!B:AF,31,0),"")</f>
        <v/>
      </c>
      <c r="AD172" s="21" t="str">
        <f>IFERROR(VLOOKUP(Tabela1[[#This Row],[MÊS]]&amp;Tabela1[[#This Row],[MATRICULA]]&amp;"4"&amp;Tabela1[[#This Row],[SETOR]]&amp;"PADRÃO",BD!B:AF,25,0),"")</f>
        <v/>
      </c>
      <c r="AE172" s="21" t="str">
        <f>IFERROR(VLOOKUP(Tabela1[[#This Row],[MÊS]]&amp;Tabela1[[#This Row],[MATRICULA]]&amp;"5"&amp;Tabela1[[#This Row],[SETOR]]&amp;"PADRÃO",BD!B:AF,31,0),"")</f>
        <v/>
      </c>
      <c r="AF172" s="21" t="str">
        <f>IFERROR(VLOOKUP(Tabela1[[#This Row],[MÊS]]&amp;Tabela1[[#This Row],[MATRICULA]]&amp;"6"&amp;Tabela1[[#This Row],[SETOR]]&amp;"PADRÃO",BD!B:AF,31,0),"")</f>
        <v/>
      </c>
      <c r="AG172" s="21" t="str">
        <f>IFERROR(VLOOKUP(Tabela1[[#This Row],[MÊS]]&amp;Tabela1[[#This Row],[MATRICULA]]&amp;"7"&amp;Tabela1[[#This Row],[SETOR]]&amp;"PADRÃO",BD!B:AF,31,0),"")</f>
        <v/>
      </c>
      <c r="AH172" s="21" t="str">
        <f>IFERROR(VLOOKUP(Tabela1[[#This Row],[MÊS]]&amp;Tabela1[[#This Row],[ID]]&amp;Tabela1[[#This Row],[MATRICULA]]&amp;"Receptiva"&amp;Tabela1[[#This Row],[SETOR]],BD!A:AF,31,0),"")</f>
        <v/>
      </c>
      <c r="AI172" s="21" t="str">
        <f>IFERROR(VLOOKUP(Tabela1[[#This Row],[MÊS]]&amp;Tabela1[[#This Row],[ID]]&amp;Tabela1[[#This Row],[MATRICULA]]&amp;"Receptiva 2"&amp;Tabela1[[#This Row],[SETOR]],BD!A:AF,31,0),"")</f>
        <v/>
      </c>
      <c r="AJ172" s="21" t="str">
        <f>IFERROR(VLOOKUP(Tabela1[[#This Row],[MÊS]]&amp;Tabela1[[#This Row],[ID]]&amp;Tabela1[[#This Row],[MATRICULA]]&amp;"Receptiva 3"&amp;Tabela1[[#This Row],[SETOR]],BD!A:AF,31,0),"")</f>
        <v/>
      </c>
      <c r="AK172" s="21" t="str">
        <f>IFERROR(VLOOKUP(Tabela1[[#This Row],[MÊS]]&amp;Tabela1[[#This Row],[ID]]&amp;Tabela1[[#This Row],[MATRICULA]]&amp;"Receptiva 4"&amp;Tabela1[[#This Row],[SETOR]],BD!A:AF,31,0),"")</f>
        <v/>
      </c>
      <c r="AL172" s="21">
        <f>IFERROR(VLOOKUP(Tabela1[[#This Row],[MÊS]]&amp;Tabela1[[#This Row],[MATRICULA]]&amp;"Motorista"&amp;Tabela1[[#This Row],[SETOR]],BD!A:AF,31,0),"")</f>
        <v>0</v>
      </c>
      <c r="AM172" s="21" t="str">
        <f>IFERROR(VLOOKUP(Tabela1[[#This Row],[MÊS]]&amp;Tabela1[[#This Row],[ID]]&amp;Tabela1[[#This Row],[MATRICULA]]&amp;"Motorista 2"&amp;Tabela1[[#This Row],[SETOR]],BD!A:AF,26,0),"")</f>
        <v/>
      </c>
      <c r="AN172" s="21" t="str">
        <f>IFERROR(VLOOKUP(Tabela1[[#This Row],[MÊS]]&amp;Tabela1[[#This Row],[ID]]&amp;Tabela1[[#This Row],[MATRICULA]]&amp;"Motorista 3"&amp;Tabela1[[#This Row],[SETOR]],BD!A:AF,26,0),"")</f>
        <v/>
      </c>
      <c r="AO172" s="21" t="str">
        <f>IFERROR(VLOOKUP(Tabela1[[#This Row],[MÊS]]&amp;Tabela1[[#This Row],[ID]]&amp;Tabela1[[#This Row],[MATRICULA]]&amp;"Motorista 4"&amp;Tabela1[[#This Row],[SETOR]],BD!A:AF,26,0),"")</f>
        <v/>
      </c>
      <c r="AP172" s="21" t="str">
        <f>IFERROR(VLOOKUP(Tabela1[[#This Row],[MÊS]]&amp;Tabela1[[#This Row],[MATRICULA]]&amp;"Ponto de Apoio"&amp;Tabela1[[#This Row],[SETOR]],BD!A:AF,31,0),"")</f>
        <v/>
      </c>
      <c r="AQ172" s="21" t="str">
        <f>IFERROR(VLOOKUP(Tabela1[[#This Row],[MÊS]]&amp;Tabela1[[#This Row],[ID]]&amp;Tabela1[[#This Row],[MATRICULA]]&amp;"Ponto de Apoio 2"&amp;Tabela1[[#This Row],[SETOR]],BD!A:AF,26,0),"")</f>
        <v/>
      </c>
      <c r="AR172" s="36" t="str">
        <f>IFERROR(VLOOKUP(Tabela1[[#This Row],[MÊS]]&amp;Tabela1[[#This Row],[ID]]&amp;Tabela1[[#This Row],[MATRICULA]]&amp;"Ponto de Apoio 3"&amp;Tabela1[[#This Row],[SETOR]],BD!A:AF,26,0),"")</f>
        <v/>
      </c>
      <c r="AS172" s="36" t="str">
        <f>IFERROR(VLOOKUP(Tabela1[[#This Row],[MÊS]]&amp;Tabela1[[#This Row],[ID]]&amp;Tabela1[[#This Row],[MATRICULA]]&amp;"Ponto de Apoio 4"&amp;Tabela1[[#This Row],[SETOR]],BD!A:AF,26,0),"")</f>
        <v/>
      </c>
      <c r="AT172" s="21" t="str">
        <f>IFERROR(VLOOKUP(Tabela1[[#This Row],[MÊS]]&amp;Tabela1[[#This Row],[MATRICULA]]&amp;"Cliente"&amp;Tabela1[[#This Row],[SETOR]],BD!A:AF,31,0),"")</f>
        <v/>
      </c>
      <c r="AU172" s="21" t="str">
        <f>IFERROR(VLOOKUP(Tabela1[[#This Row],[MÊS]]&amp;Tabela1[[#This Row],[ID]]&amp;Tabela1[[#This Row],[MATRICULA]]&amp;"Cliente 2"&amp;Tabela1[[#This Row],[SETOR]],BD!A:AF,26,0),"")</f>
        <v/>
      </c>
      <c r="AX172" s="21" t="str">
        <f>IFERROR(VLOOKUP(Tabela1[[#This Row],[MÊS]]&amp;Tabela1[[#This Row],[MATRICULA]]&amp;"Policia"&amp;Tabela1[[#This Row],[SETOR]],BD!A:AF,31,0),"")</f>
        <v/>
      </c>
      <c r="AY172" s="21" t="str">
        <f>IFERROR(VLOOKUP(Tabela1[[#This Row],[MÊS]]&amp;Tabela1[[#This Row],[ID]]&amp;Tabela1[[#This Row],[MATRICULA]]&amp;"Policia 2"&amp;Tabela1[[#This Row],[SETOR]],BD!A:AF,26,0),"")</f>
        <v/>
      </c>
      <c r="AZ172" s="36" t="str">
        <f>IFERROR(VLOOKUP(Tabela1[[#This Row],[MÊS]]&amp;Tabela1[[#This Row],[ID]]&amp;Tabela1[[#This Row],[MATRICULA]]&amp;"Policia 3"&amp;Tabela1[[#This Row],[SETOR]],BD!A:AF,26,0),"")</f>
        <v/>
      </c>
      <c r="BA172" s="36" t="str">
        <f>IFERROR(VLOOKUP(Tabela1[[#This Row],[MÊS]]&amp;Tabela1[[#This Row],[ID]]&amp;Tabela1[[#This Row],[MATRICULA]]&amp;"Policia 4"&amp;Tabela1[[#This Row],[SETOR]],BD!A:AF,26,0),"")</f>
        <v/>
      </c>
      <c r="BB17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2" s="21">
        <f>IFERROR(AVERAGE(Tabela1[[#This Row],[M]:[M4]]),"")</f>
        <v>0</v>
      </c>
      <c r="BD172" s="21" t="str">
        <f>IFERROR(AVERAGE(Tabela1[[#This Row],[C]:[C4]]),"")</f>
        <v/>
      </c>
      <c r="BE172" s="21" t="str">
        <f>IFERROR(AVERAGE(Tabela1[[#This Row],[PA2]:[PA 4]]),"")</f>
        <v/>
      </c>
      <c r="BF172" s="21" t="str">
        <f>IFERROR(AVERAGE(Tabela1[[#This Row],[PL]:[PL4]]),"")</f>
        <v/>
      </c>
      <c r="BG172" s="35" t="str">
        <f>IFERROR(VLOOKUP(Tabela1[[#This Row],[MÊS]]&amp;Tabela1[[#This Row],[MATRICULA]],#REF!,2,0),"")</f>
        <v/>
      </c>
      <c r="BH172" s="35" t="str">
        <f>IFERROR(VLOOKUP(Tabela1[[#This Row],[MÊS]]&amp;Tabela1[[#This Row],[MATRICULA]],#REF!,2,0),"")</f>
        <v/>
      </c>
      <c r="BI172" s="35" t="str">
        <f>IFERROR(VLOOKUP(Tabela1[[#This Row],[MÊS]]&amp;Tabela1[[#This Row],[MATRICULA]],#REF!,2,0),"")</f>
        <v/>
      </c>
      <c r="BJ172" s="35" t="str">
        <f>IFERROR(VLOOKUP(Tabela1[[#This Row],[MÊS]]&amp;Tabela1[[#This Row],[MATRICULA]],#REF!,2,0),"")</f>
        <v/>
      </c>
      <c r="BK172" s="35" t="str">
        <f>IFERROR(VLOOKUP(Tabela1[[#This Row],[MÊS]]&amp;Tabela1[[#This Row],[MATRICULA]],#REF!,2,0),"")</f>
        <v/>
      </c>
      <c r="BL172" s="21">
        <f>COUNTIF(Tabela1[[#This Row],[MOT2]:[RECEPTIVA]],"NÃO ENCONTRADA")</f>
        <v>0</v>
      </c>
      <c r="BM172" s="135" t="str">
        <f>IFERROR(VLOOKUP(Tabela1[[#This Row],[MÊS]]&amp;Tabela1[[#This Row],[ID]]&amp;Tabela1[[#This Row],[MATRICULA]]&amp;"Motorista"&amp;Tabela1[[#This Row],[SETOR]],BD!A:AF,13,0),"")</f>
        <v/>
      </c>
      <c r="BN172" s="135" t="str">
        <f>IFERROR(VLOOKUP(Tabela1[[#This Row],[MÊS]]&amp;Tabela1[[#This Row],[ID]]&amp;Tabela1[[#This Row],[MATRICULA]]&amp;"Motorista 2"&amp;Tabela1[[#This Row],[SETOR]],BD!A:AF,13,0),"")</f>
        <v/>
      </c>
      <c r="BO172" s="135" t="str">
        <f>IFERROR(VLOOKUP(Tabela1[[#This Row],[MÊS]]&amp;Tabela1[[#This Row],[ID]]&amp;Tabela1[[#This Row],[MATRICULA]]&amp;"Motorista 3"&amp;Tabela1[[#This Row],[SETOR]],BD!A:AF,13,0),"")</f>
        <v/>
      </c>
      <c r="BP172" s="135" t="str">
        <f>IFERROR(VLOOKUP(Tabela1[[#This Row],[MÊS]]&amp;Tabela1[[#This Row],[ID]]&amp;Tabela1[[#This Row],[MATRICULA]]&amp;"Motorista 4"&amp;Tabela1[[#This Row],[SETOR]],BD!A:AF,13,0),"")</f>
        <v/>
      </c>
      <c r="BQ172" s="135" t="str">
        <f>IFERROR(AVERAGE(Tabela1[[#This Row],[DMOT]:[DMOT4]]),"")</f>
        <v/>
      </c>
      <c r="BR172" s="135" t="str">
        <f>IFERROR(VLOOKUP(Tabela1[[#This Row],[MÊS]]&amp;Tabela1[[#This Row],[ID]]&amp;Tabela1[[#This Row],[MATRICULA]]&amp;"Ponto de Apoio"&amp;Tabela1[[#This Row],[SETOR]],BD!A:AF,13,0),"")</f>
        <v/>
      </c>
      <c r="BS172" s="135" t="str">
        <f>IFERROR(VLOOKUP(Tabela1[[#This Row],[MÊS]]&amp;Tabela1[[#This Row],[ID]]&amp;Tabela1[[#This Row],[MATRICULA]]&amp;"Ponto de Apoio 2"&amp;Tabela1[[#This Row],[SETOR]],BD!A:AF,13,0),"")</f>
        <v/>
      </c>
      <c r="BT172" s="135" t="str">
        <f>IFERROR(VLOOKUP(Tabela1[[#This Row],[MÊS]]&amp;Tabela1[[#This Row],[ID]]&amp;Tabela1[[#This Row],[MATRICULA]]&amp;"Ponto de Apoio 3"&amp;Tabela1[[#This Row],[SETOR]],BD!A:AF,13,0),"")</f>
        <v/>
      </c>
      <c r="BU172" s="135" t="str">
        <f>IFERROR(VLOOKUP(Tabela1[[#This Row],[MÊS]]&amp;Tabela1[[#This Row],[ID]]&amp;Tabela1[[#This Row],[MATRICULA]]&amp;"Ponto de Apoio 4"&amp;Tabela1[[#This Row],[SETOR]],BD!A:AF,13,0),"")</f>
        <v/>
      </c>
      <c r="BV172" s="135" t="str">
        <f>IFERROR(AVERAGE(Tabela1[[#This Row],[DPA]:[DPA 4]]),"")</f>
        <v/>
      </c>
      <c r="BW172" s="135" t="str">
        <f>IFERROR(VLOOKUP(Tabela1[[#This Row],[MÊS]]&amp;Tabela1[[#This Row],[ID]]&amp;Tabela1[[#This Row],[MATRICULA]]&amp;"Cliente"&amp;Tabela1[[#This Row],[SETOR]],BD!A:AF,13,0),"")</f>
        <v/>
      </c>
      <c r="BX172" s="135" t="str">
        <f>IFERROR(VLOOKUP(Tabela1[[#This Row],[MÊS]]&amp;Tabela1[[#This Row],[ID]]&amp;Tabela1[[#This Row],[MATRICULA]]&amp;"cliente 2"&amp;Tabela1[[#This Row],[SETOR]],BD!A:AF,13,0),"")</f>
        <v/>
      </c>
      <c r="BY172" s="135" t="str">
        <f>IFERROR(VLOOKUP(Tabela1[[#This Row],[MÊS]]&amp;Tabela1[[#This Row],[ID]]&amp;Tabela1[[#This Row],[MATRICULA]]&amp;"cliente 3"&amp;Tabela1[[#This Row],[SETOR]],BD!A:AF,13,0),"")</f>
        <v/>
      </c>
      <c r="BZ172" s="135" t="str">
        <f>IFERROR(VLOOKUP(Tabela1[[#This Row],[MÊS]]&amp;Tabela1[[#This Row],[ID]]&amp;Tabela1[[#This Row],[MATRICULA]]&amp;"cliente 4"&amp;Tabela1[[#This Row],[SETOR]],BD!A:AF,13,0),"")</f>
        <v/>
      </c>
      <c r="CA172" s="135" t="str">
        <f>IFERROR(AVERAGE(Tabela1[[#This Row],[DCLI]:[DCLI 4]]),"")</f>
        <v/>
      </c>
      <c r="CB172" s="135" t="str">
        <f>IFERROR(VLOOKUP(Tabela1[[#This Row],[MÊS]]&amp;Tabela1[[#This Row],[ID]]&amp;Tabela1[[#This Row],[MATRICULA]]&amp;"Policia"&amp;Tabela1[[#This Row],[SETOR]],BD!A:AF,13,0),"")</f>
        <v/>
      </c>
      <c r="CC172" s="135" t="str">
        <f>IFERROR(VLOOKUP(Tabela1[[#This Row],[MÊS]]&amp;Tabela1[[#This Row],[ID]]&amp;Tabela1[[#This Row],[MATRICULA]]&amp;"Policia 2"&amp;Tabela1[[#This Row],[SETOR]],BD!A:AF,13,0),"")</f>
        <v/>
      </c>
      <c r="CD172" s="135"/>
      <c r="CE172" s="135"/>
      <c r="CF172" s="135" t="str">
        <f>IFERROR((AVERAGE(Tabela1[[#This Row],[DPOL1]:[DPOL4]])),"")</f>
        <v/>
      </c>
      <c r="CG172" s="21" t="str">
        <f>IFERROR(VLOOKUP(Tabela1[[#This Row],[ID]]&amp;Tabela1[[#This Row],[MÊS]]&amp;Tabela1[[#This Row],[MATRICULA]],#REF!,2,0),"")</f>
        <v/>
      </c>
      <c r="CH172" s="21" t="str">
        <f>IFERROR(VLOOKUP(Tabela1[[#This Row],[ID]]&amp;Tabela1[[#This Row],[MÊS]]&amp;Tabela1[[#This Row],[MATRICULA]],#REF!,2,0),"")</f>
        <v/>
      </c>
      <c r="CI172" s="21" t="str">
        <f>IFERROR(VLOOKUP(Tabela1[[#This Row],[MÊS]]&amp;Tabela1[[#This Row],[MATRICULA]],#REF!,2,0),"")</f>
        <v/>
      </c>
    </row>
    <row r="173" spans="1:87">
      <c r="A173" s="12" t="str">
        <f>Tabela1[[#This Row],[MÊS]]&amp;Tabela1[[#This Row],[MATRICULA]]&amp;Tabela1[[#This Row],[ID]]</f>
        <v>JAN113716</v>
      </c>
      <c r="B173" s="12" t="str">
        <f>Tabela1[[#This Row],[MÊS]]&amp;Tabela1[[#This Row],[ID]]&amp;Tabela1[[#This Row],[MATRICULA]]&amp;Tabela1[[#This Row],[SETOR]]</f>
        <v>JAN611371TRANSFERÊNCIA</v>
      </c>
      <c r="C173" s="130" t="e">
        <f>VLOOKUP(Tabela1[[#This Row],[MATRICULA]],'BD Campos'!A:D,5,0)</f>
        <v>#REF!</v>
      </c>
      <c r="D173" s="133" t="str">
        <f ca="1">IFERROR(SUM(TODAY()-Tabela1[[#This Row],[ADMISSÃO]]),"")</f>
        <v/>
      </c>
      <c r="E173" s="11" t="str">
        <f ca="1">IFERROR(TRUNC(Tabela1[[#This Row],[TEMPO DE CASA (DIAS)]]/30),"")</f>
        <v/>
      </c>
      <c r="F173" s="32" t="str">
        <f ca="1">IFERROR(SUM(Tabela1[[#This Row],[TEMPO DE CASA (MESES)]]/12),"")</f>
        <v/>
      </c>
      <c r="G173" s="133" t="str">
        <f ca="1">IF(Tabela1[[#This Row],[TEMPO DE CASA (DIAS)]]="","SEM DADOS",IF(Tabela1[[#This Row],[TEMPO DE CASA (DIAS)]]&gt;180,"&gt; 6 MESES","&lt; 6 MESES"))</f>
        <v>SEM DADOS</v>
      </c>
      <c r="H173" s="12" t="str">
        <f t="shared" si="16"/>
        <v>JANGustavo Miralha6</v>
      </c>
      <c r="I173" s="12" t="str">
        <f>IFERROR(VLOOKUP(Tabela1[[#This Row],[MATRICULA]],'BD Campos'!A:F,7,0),"")</f>
        <v/>
      </c>
      <c r="J173" s="11">
        <v>6</v>
      </c>
      <c r="K173" s="11" t="s">
        <v>669</v>
      </c>
      <c r="L173" s="136">
        <v>11371</v>
      </c>
      <c r="M173" s="12" t="str">
        <f>IFERROR(VLOOKUP(Tabela1[[#This Row],[MATRICULA]],'BD Campos'!A:B,2,0),"")</f>
        <v xml:space="preserve">STEFANIE PRISCILA VIEIRA DO CARMO </v>
      </c>
      <c r="N173" s="20">
        <f>IFERROR(AVERAGE(Tabela1[[#This Row],[A1]:[A4]]),"")</f>
        <v>5.8314000000000004</v>
      </c>
      <c r="O173" s="20" t="str">
        <f>IFERROR(IF(Tabela1[[#This Row],[SETOR]]="RECEPTIVO","",AVERAGE(Tabela1[[#This Row],[A5]:[A6]])),"")</f>
        <v/>
      </c>
      <c r="P173" s="20" t="str">
        <f>IFERROR(IF(Tabela1[[#This Row],[STATUS]]="INATIVO","INATIVO",IF(Tabela1[[#This Row],[STATUS]]="QRT","INATIVO",IF(Tabela1[[#This Row],[OPERACIONAL]]&gt;7.99999,"BOM","RUIM"))),"")</f>
        <v>RUIM</v>
      </c>
      <c r="Q173" s="21" t="s">
        <v>667</v>
      </c>
      <c r="R173" s="12" t="s">
        <v>710</v>
      </c>
      <c r="S173" s="12" t="s">
        <v>711</v>
      </c>
      <c r="T173" s="12" t="s">
        <v>192</v>
      </c>
      <c r="U17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3" s="12">
        <f>IF(AND(Tabela1[[#This Row],[SETOR]]="UTI",Tabela1[[#This Row],[M]]&lt;&gt;""),1,IF(AND(Tabela1[[#This Row],[SETOR]]="UTI (RJ)",Tabela1[[#This Row],[M]]&lt;&gt;""),1.5,0))</f>
        <v>0</v>
      </c>
      <c r="X173" s="12">
        <f>IF(AND(Tabela1[[#This Row],[SETOR]]="UTI",Tabela1[[#This Row],[PA2]]&lt;&gt;""),1,IF(AND(Tabela1[[#This Row],[SETOR]]="UTI (RJ)",Tabela1[[#This Row],[PA2]]&lt;&gt;""),0,0))</f>
        <v>0</v>
      </c>
      <c r="Y173" s="12">
        <f>IF(AND(Tabela1[[#This Row],[SETOR]]="UTI",Tabela1[[#This Row],[C]]&lt;&gt;""),1,IF(AND(Tabela1[[#This Row],[SETOR]]="UTI (RJ)",Tabela1[[#This Row],[C]]&lt;&gt;""),1.5,0))</f>
        <v>0</v>
      </c>
      <c r="Z173" s="12">
        <f>IF(AND(Tabela1[[#This Row],[SETOR]]="UTI",Tabela1[[#This Row],[PL]]&lt;&gt;""),1,IF(AND(Tabela1[[#This Row],[SETOR]]="UTI (RJ)",Tabela1[[#This Row],[PL]]&lt;&gt;""),1,0))</f>
        <v>0</v>
      </c>
      <c r="AA173" s="21">
        <f>IFERROR(VLOOKUP(Tabela1[[#This Row],[MÊS]]&amp;Tabela1[[#This Row],[MATRICULA]]&amp;"1"&amp;Tabela1[[#This Row],[SETOR]]&amp;"PADRÃO",BD!B:AF,31,0),"")</f>
        <v>5.4638</v>
      </c>
      <c r="AB173" s="21">
        <f>IFERROR(VLOOKUP(Tabela1[[#This Row],[MÊS]]&amp;Tabela1[[#This Row],[MATRICULA]]&amp;"2"&amp;Tabela1[[#This Row],[SETOR]]&amp;"PADRÃO",BD!B:AF,31,0),"")</f>
        <v>6.1989999999999998</v>
      </c>
      <c r="AC173" s="21" t="str">
        <f>IFERROR(VLOOKUP(Tabela1[[#This Row],[MÊS]]&amp;Tabela1[[#This Row],[MATRICULA]]&amp;"3"&amp;Tabela1[[#This Row],[SETOR]]&amp;"PADRÃO",BD!B:AF,31,0),"")</f>
        <v/>
      </c>
      <c r="AD173" s="21" t="str">
        <f>IFERROR(VLOOKUP(Tabela1[[#This Row],[MÊS]]&amp;Tabela1[[#This Row],[MATRICULA]]&amp;"4"&amp;Tabela1[[#This Row],[SETOR]]&amp;"PADRÃO",BD!B:AF,25,0),"")</f>
        <v/>
      </c>
      <c r="AE173" s="21" t="str">
        <f>IFERROR(VLOOKUP(Tabela1[[#This Row],[MÊS]]&amp;Tabela1[[#This Row],[MATRICULA]]&amp;"5"&amp;Tabela1[[#This Row],[SETOR]]&amp;"PADRÃO",BD!B:AF,31,0),"")</f>
        <v/>
      </c>
      <c r="AF173" s="21" t="str">
        <f>IFERROR(VLOOKUP(Tabela1[[#This Row],[MÊS]]&amp;Tabela1[[#This Row],[MATRICULA]]&amp;"6"&amp;Tabela1[[#This Row],[SETOR]]&amp;"PADRÃO",BD!B:AF,31,0),"")</f>
        <v/>
      </c>
      <c r="AG173" s="21" t="str">
        <f>IFERROR(VLOOKUP(Tabela1[[#This Row],[MÊS]]&amp;Tabela1[[#This Row],[MATRICULA]]&amp;"7"&amp;Tabela1[[#This Row],[SETOR]]&amp;"PADRÃO",BD!B:AF,31,0),"")</f>
        <v/>
      </c>
      <c r="AH173" s="21" t="str">
        <f>IFERROR(VLOOKUP(Tabela1[[#This Row],[MÊS]]&amp;Tabela1[[#This Row],[ID]]&amp;Tabela1[[#This Row],[MATRICULA]]&amp;"Receptiva"&amp;Tabela1[[#This Row],[SETOR]],BD!A:AF,31,0),"")</f>
        <v/>
      </c>
      <c r="AI173" s="21" t="str">
        <f>IFERROR(VLOOKUP(Tabela1[[#This Row],[MÊS]]&amp;Tabela1[[#This Row],[ID]]&amp;Tabela1[[#This Row],[MATRICULA]]&amp;"Receptiva 2"&amp;Tabela1[[#This Row],[SETOR]],BD!A:AF,31,0),"")</f>
        <v/>
      </c>
      <c r="AJ173" s="21" t="str">
        <f>IFERROR(VLOOKUP(Tabela1[[#This Row],[MÊS]]&amp;Tabela1[[#This Row],[ID]]&amp;Tabela1[[#This Row],[MATRICULA]]&amp;"Receptiva 3"&amp;Tabela1[[#This Row],[SETOR]],BD!A:AF,31,0),"")</f>
        <v/>
      </c>
      <c r="AK173" s="21" t="str">
        <f>IFERROR(VLOOKUP(Tabela1[[#This Row],[MÊS]]&amp;Tabela1[[#This Row],[ID]]&amp;Tabela1[[#This Row],[MATRICULA]]&amp;"Receptiva 4"&amp;Tabela1[[#This Row],[SETOR]],BD!A:AF,31,0),"")</f>
        <v/>
      </c>
      <c r="AL173" s="21">
        <f>IFERROR(VLOOKUP(Tabela1[[#This Row],[MÊS]]&amp;Tabela1[[#This Row],[MATRICULA]]&amp;"Motorista"&amp;Tabela1[[#This Row],[SETOR]],BD!A:AF,31,0),"")</f>
        <v>0</v>
      </c>
      <c r="AM173" s="21" t="str">
        <f>IFERROR(VLOOKUP(Tabela1[[#This Row],[MÊS]]&amp;Tabela1[[#This Row],[ID]]&amp;Tabela1[[#This Row],[MATRICULA]]&amp;"Motorista 2"&amp;Tabela1[[#This Row],[SETOR]],BD!A:AF,26,0),"")</f>
        <v/>
      </c>
      <c r="AN173" s="21" t="str">
        <f>IFERROR(VLOOKUP(Tabela1[[#This Row],[MÊS]]&amp;Tabela1[[#This Row],[ID]]&amp;Tabela1[[#This Row],[MATRICULA]]&amp;"Motorista 3"&amp;Tabela1[[#This Row],[SETOR]],BD!A:AF,26,0),"")</f>
        <v/>
      </c>
      <c r="AO173" s="21" t="str">
        <f>IFERROR(VLOOKUP(Tabela1[[#This Row],[MÊS]]&amp;Tabela1[[#This Row],[ID]]&amp;Tabela1[[#This Row],[MATRICULA]]&amp;"Motorista 4"&amp;Tabela1[[#This Row],[SETOR]],BD!A:AF,26,0),"")</f>
        <v/>
      </c>
      <c r="AP173" s="21" t="str">
        <f>IFERROR(VLOOKUP(Tabela1[[#This Row],[MÊS]]&amp;Tabela1[[#This Row],[MATRICULA]]&amp;"Ponto de Apoio"&amp;Tabela1[[#This Row],[SETOR]],BD!A:AF,31,0),"")</f>
        <v/>
      </c>
      <c r="AQ173" s="21" t="str">
        <f>IFERROR(VLOOKUP(Tabela1[[#This Row],[MÊS]]&amp;Tabela1[[#This Row],[ID]]&amp;Tabela1[[#This Row],[MATRICULA]]&amp;"Ponto de Apoio 2"&amp;Tabela1[[#This Row],[SETOR]],BD!A:AF,26,0),"")</f>
        <v/>
      </c>
      <c r="AR173" s="36" t="str">
        <f>IFERROR(VLOOKUP(Tabela1[[#This Row],[MÊS]]&amp;Tabela1[[#This Row],[ID]]&amp;Tabela1[[#This Row],[MATRICULA]]&amp;"Ponto de Apoio 3"&amp;Tabela1[[#This Row],[SETOR]],BD!A:AF,26,0),"")</f>
        <v/>
      </c>
      <c r="AS173" s="36" t="str">
        <f>IFERROR(VLOOKUP(Tabela1[[#This Row],[MÊS]]&amp;Tabela1[[#This Row],[ID]]&amp;Tabela1[[#This Row],[MATRICULA]]&amp;"Ponto de Apoio 4"&amp;Tabela1[[#This Row],[SETOR]],BD!A:AF,26,0),"")</f>
        <v/>
      </c>
      <c r="AT173" s="21" t="str">
        <f>IFERROR(VLOOKUP(Tabela1[[#This Row],[MÊS]]&amp;Tabela1[[#This Row],[MATRICULA]]&amp;"Cliente"&amp;Tabela1[[#This Row],[SETOR]],BD!A:AF,31,0),"")</f>
        <v/>
      </c>
      <c r="AU173" s="21" t="str">
        <f>IFERROR(VLOOKUP(Tabela1[[#This Row],[MÊS]]&amp;Tabela1[[#This Row],[ID]]&amp;Tabela1[[#This Row],[MATRICULA]]&amp;"Cliente 2"&amp;Tabela1[[#This Row],[SETOR]],BD!A:AF,26,0),"")</f>
        <v/>
      </c>
      <c r="AX173" s="21" t="str">
        <f>IFERROR(VLOOKUP(Tabela1[[#This Row],[MÊS]]&amp;Tabela1[[#This Row],[MATRICULA]]&amp;"Policia"&amp;Tabela1[[#This Row],[SETOR]],BD!A:AF,31,0),"")</f>
        <v/>
      </c>
      <c r="AY173" s="21" t="str">
        <f>IFERROR(VLOOKUP(Tabela1[[#This Row],[MÊS]]&amp;Tabela1[[#This Row],[ID]]&amp;Tabela1[[#This Row],[MATRICULA]]&amp;"Policia 2"&amp;Tabela1[[#This Row],[SETOR]],BD!A:AF,26,0),"")</f>
        <v/>
      </c>
      <c r="AZ173" s="36" t="str">
        <f>IFERROR(VLOOKUP(Tabela1[[#This Row],[MÊS]]&amp;Tabela1[[#This Row],[ID]]&amp;Tabela1[[#This Row],[MATRICULA]]&amp;"Policia 3"&amp;Tabela1[[#This Row],[SETOR]],BD!A:AF,26,0),"")</f>
        <v/>
      </c>
      <c r="BA173" s="36" t="str">
        <f>IFERROR(VLOOKUP(Tabela1[[#This Row],[MÊS]]&amp;Tabela1[[#This Row],[ID]]&amp;Tabela1[[#This Row],[MATRICULA]]&amp;"Policia 4"&amp;Tabela1[[#This Row],[SETOR]],BD!A:AF,26,0),"")</f>
        <v/>
      </c>
      <c r="BB17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3" s="21">
        <f>IFERROR(AVERAGE(Tabela1[[#This Row],[M]:[M4]]),"")</f>
        <v>0</v>
      </c>
      <c r="BD173" s="21" t="str">
        <f>IFERROR(AVERAGE(Tabela1[[#This Row],[C]:[C4]]),"")</f>
        <v/>
      </c>
      <c r="BE173" s="21" t="str">
        <f>IFERROR(AVERAGE(Tabela1[[#This Row],[PA2]:[PA 4]]),"")</f>
        <v/>
      </c>
      <c r="BF173" s="21" t="str">
        <f>IFERROR(AVERAGE(Tabela1[[#This Row],[PL]:[PL4]]),"")</f>
        <v/>
      </c>
      <c r="BG173" s="35" t="str">
        <f>IFERROR(VLOOKUP(Tabela1[[#This Row],[MÊS]]&amp;Tabela1[[#This Row],[MATRICULA]],#REF!,2,0),"")</f>
        <v/>
      </c>
      <c r="BH173" s="35" t="str">
        <f>IFERROR(VLOOKUP(Tabela1[[#This Row],[MÊS]]&amp;Tabela1[[#This Row],[MATRICULA]],#REF!,2,0),"")</f>
        <v/>
      </c>
      <c r="BI173" s="35" t="str">
        <f>IFERROR(VLOOKUP(Tabela1[[#This Row],[MÊS]]&amp;Tabela1[[#This Row],[MATRICULA]],#REF!,2,0),"")</f>
        <v/>
      </c>
      <c r="BJ173" s="35" t="str">
        <f>IFERROR(VLOOKUP(Tabela1[[#This Row],[MÊS]]&amp;Tabela1[[#This Row],[MATRICULA]],#REF!,2,0),"")</f>
        <v/>
      </c>
      <c r="BK173" s="35" t="str">
        <f>IFERROR(VLOOKUP(Tabela1[[#This Row],[MÊS]]&amp;Tabela1[[#This Row],[MATRICULA]],#REF!,2,0),"")</f>
        <v/>
      </c>
      <c r="BL173" s="21">
        <f>COUNTIF(Tabela1[[#This Row],[MOT2]:[RECEPTIVA]],"NÃO ENCONTRADA")</f>
        <v>0</v>
      </c>
      <c r="BM173" s="135" t="str">
        <f>IFERROR(VLOOKUP(Tabela1[[#This Row],[MÊS]]&amp;Tabela1[[#This Row],[ID]]&amp;Tabela1[[#This Row],[MATRICULA]]&amp;"Motorista"&amp;Tabela1[[#This Row],[SETOR]],BD!A:AF,13,0),"")</f>
        <v/>
      </c>
      <c r="BN173" s="135" t="str">
        <f>IFERROR(VLOOKUP(Tabela1[[#This Row],[MÊS]]&amp;Tabela1[[#This Row],[ID]]&amp;Tabela1[[#This Row],[MATRICULA]]&amp;"Motorista 2"&amp;Tabela1[[#This Row],[SETOR]],BD!A:AF,13,0),"")</f>
        <v/>
      </c>
      <c r="BO173" s="135" t="str">
        <f>IFERROR(VLOOKUP(Tabela1[[#This Row],[MÊS]]&amp;Tabela1[[#This Row],[ID]]&amp;Tabela1[[#This Row],[MATRICULA]]&amp;"Motorista 3"&amp;Tabela1[[#This Row],[SETOR]],BD!A:AF,13,0),"")</f>
        <v/>
      </c>
      <c r="BP173" s="135" t="str">
        <f>IFERROR(VLOOKUP(Tabela1[[#This Row],[MÊS]]&amp;Tabela1[[#This Row],[ID]]&amp;Tabela1[[#This Row],[MATRICULA]]&amp;"Motorista 4"&amp;Tabela1[[#This Row],[SETOR]],BD!A:AF,13,0),"")</f>
        <v/>
      </c>
      <c r="BQ173" s="135" t="str">
        <f>IFERROR(AVERAGE(Tabela1[[#This Row],[DMOT]:[DMOT4]]),"")</f>
        <v/>
      </c>
      <c r="BR173" s="135" t="str">
        <f>IFERROR(VLOOKUP(Tabela1[[#This Row],[MÊS]]&amp;Tabela1[[#This Row],[ID]]&amp;Tabela1[[#This Row],[MATRICULA]]&amp;"Ponto de Apoio"&amp;Tabela1[[#This Row],[SETOR]],BD!A:AF,13,0),"")</f>
        <v/>
      </c>
      <c r="BS173" s="135" t="str">
        <f>IFERROR(VLOOKUP(Tabela1[[#This Row],[MÊS]]&amp;Tabela1[[#This Row],[ID]]&amp;Tabela1[[#This Row],[MATRICULA]]&amp;"Ponto de Apoio 2"&amp;Tabela1[[#This Row],[SETOR]],BD!A:AF,13,0),"")</f>
        <v/>
      </c>
      <c r="BT173" s="135" t="str">
        <f>IFERROR(VLOOKUP(Tabela1[[#This Row],[MÊS]]&amp;Tabela1[[#This Row],[ID]]&amp;Tabela1[[#This Row],[MATRICULA]]&amp;"Ponto de Apoio 3"&amp;Tabela1[[#This Row],[SETOR]],BD!A:AF,13,0),"")</f>
        <v/>
      </c>
      <c r="BU173" s="135" t="str">
        <f>IFERROR(VLOOKUP(Tabela1[[#This Row],[MÊS]]&amp;Tabela1[[#This Row],[ID]]&amp;Tabela1[[#This Row],[MATRICULA]]&amp;"Ponto de Apoio 4"&amp;Tabela1[[#This Row],[SETOR]],BD!A:AF,13,0),"")</f>
        <v/>
      </c>
      <c r="BV173" s="135" t="str">
        <f>IFERROR(AVERAGE(Tabela1[[#This Row],[DPA]:[DPA 4]]),"")</f>
        <v/>
      </c>
      <c r="BW173" s="135" t="str">
        <f>IFERROR(VLOOKUP(Tabela1[[#This Row],[MÊS]]&amp;Tabela1[[#This Row],[ID]]&amp;Tabela1[[#This Row],[MATRICULA]]&amp;"Cliente"&amp;Tabela1[[#This Row],[SETOR]],BD!A:AF,13,0),"")</f>
        <v/>
      </c>
      <c r="BX173" s="135" t="str">
        <f>IFERROR(VLOOKUP(Tabela1[[#This Row],[MÊS]]&amp;Tabela1[[#This Row],[ID]]&amp;Tabela1[[#This Row],[MATRICULA]]&amp;"cliente 2"&amp;Tabela1[[#This Row],[SETOR]],BD!A:AF,13,0),"")</f>
        <v/>
      </c>
      <c r="BY173" s="135" t="str">
        <f>IFERROR(VLOOKUP(Tabela1[[#This Row],[MÊS]]&amp;Tabela1[[#This Row],[ID]]&amp;Tabela1[[#This Row],[MATRICULA]]&amp;"cliente 3"&amp;Tabela1[[#This Row],[SETOR]],BD!A:AF,13,0),"")</f>
        <v/>
      </c>
      <c r="BZ173" s="135" t="str">
        <f>IFERROR(VLOOKUP(Tabela1[[#This Row],[MÊS]]&amp;Tabela1[[#This Row],[ID]]&amp;Tabela1[[#This Row],[MATRICULA]]&amp;"cliente 4"&amp;Tabela1[[#This Row],[SETOR]],BD!A:AF,13,0),"")</f>
        <v/>
      </c>
      <c r="CA173" s="135" t="str">
        <f>IFERROR(AVERAGE(Tabela1[[#This Row],[DCLI]:[DCLI 4]]),"")</f>
        <v/>
      </c>
      <c r="CB173" s="135" t="str">
        <f>IFERROR(VLOOKUP(Tabela1[[#This Row],[MÊS]]&amp;Tabela1[[#This Row],[ID]]&amp;Tabela1[[#This Row],[MATRICULA]]&amp;"Policia"&amp;Tabela1[[#This Row],[SETOR]],BD!A:AF,13,0),"")</f>
        <v/>
      </c>
      <c r="CC173" s="135" t="str">
        <f>IFERROR(VLOOKUP(Tabela1[[#This Row],[MÊS]]&amp;Tabela1[[#This Row],[ID]]&amp;Tabela1[[#This Row],[MATRICULA]]&amp;"Policia 2"&amp;Tabela1[[#This Row],[SETOR]],BD!A:AF,13,0),"")</f>
        <v/>
      </c>
      <c r="CD173" s="135"/>
      <c r="CE173" s="135"/>
      <c r="CF173" s="135" t="str">
        <f>IFERROR((AVERAGE(Tabela1[[#This Row],[DPOL1]:[DPOL4]])),"")</f>
        <v/>
      </c>
      <c r="CG173" s="21" t="str">
        <f>IFERROR(VLOOKUP(Tabela1[[#This Row],[ID]]&amp;Tabela1[[#This Row],[MÊS]]&amp;Tabela1[[#This Row],[MATRICULA]],#REF!,2,0),"")</f>
        <v/>
      </c>
      <c r="CH173" s="21" t="str">
        <f>IFERROR(VLOOKUP(Tabela1[[#This Row],[ID]]&amp;Tabela1[[#This Row],[MÊS]]&amp;Tabela1[[#This Row],[MATRICULA]],#REF!,2,0),"")</f>
        <v/>
      </c>
      <c r="CI173" s="21" t="str">
        <f>IFERROR(VLOOKUP(Tabela1[[#This Row],[MÊS]]&amp;Tabela1[[#This Row],[MATRICULA]],#REF!,2,0),"")</f>
        <v/>
      </c>
    </row>
    <row r="174" spans="1:87">
      <c r="A174" s="12" t="str">
        <f>Tabela1[[#This Row],[MÊS]]&amp;Tabela1[[#This Row],[MATRICULA]]&amp;Tabela1[[#This Row],[ID]]</f>
        <v>JAN114507</v>
      </c>
      <c r="B174" s="12" t="str">
        <f>Tabela1[[#This Row],[MÊS]]&amp;Tabela1[[#This Row],[ID]]&amp;Tabela1[[#This Row],[MATRICULA]]&amp;Tabela1[[#This Row],[SETOR]]</f>
        <v>JAN711450TRANSFERÊNCIA</v>
      </c>
      <c r="C174" s="130" t="e">
        <f>VLOOKUP(Tabela1[[#This Row],[MATRICULA]],'BD Campos'!A:D,5,0)</f>
        <v>#REF!</v>
      </c>
      <c r="D174" s="133" t="str">
        <f ca="1">IFERROR(SUM(TODAY()-Tabela1[[#This Row],[ADMISSÃO]]),"")</f>
        <v/>
      </c>
      <c r="E174" s="11" t="str">
        <f ca="1">IFERROR(TRUNC(Tabela1[[#This Row],[TEMPO DE CASA (DIAS)]]/30),"")</f>
        <v/>
      </c>
      <c r="F174" s="32" t="str">
        <f ca="1">IFERROR(SUM(Tabela1[[#This Row],[TEMPO DE CASA (MESES)]]/12),"")</f>
        <v/>
      </c>
      <c r="G174" s="133" t="str">
        <f ca="1">IF(Tabela1[[#This Row],[TEMPO DE CASA (DIAS)]]="","SEM DADOS",IF(Tabela1[[#This Row],[TEMPO DE CASA (DIAS)]]&gt;180,"&gt; 6 MESES","&lt; 6 MESES"))</f>
        <v>SEM DADOS</v>
      </c>
      <c r="H174" s="12" t="str">
        <f t="shared" si="16"/>
        <v>JANGustavo Miralha7</v>
      </c>
      <c r="I174" s="12" t="str">
        <f>IFERROR(VLOOKUP(Tabela1[[#This Row],[MATRICULA]],'BD Campos'!A:F,7,0),"")</f>
        <v/>
      </c>
      <c r="J174" s="11">
        <v>7</v>
      </c>
      <c r="K174" s="11" t="s">
        <v>669</v>
      </c>
      <c r="L174" s="136">
        <v>11450</v>
      </c>
      <c r="M174" s="12" t="str">
        <f>IFERROR(VLOOKUP(Tabela1[[#This Row],[MATRICULA]],'BD Campos'!A:B,2,0),"")</f>
        <v>VICTOR GABRIEL ULINSKI</v>
      </c>
      <c r="N174" s="20">
        <f>IFERROR(AVERAGE(Tabela1[[#This Row],[A1]:[A4]]),"")</f>
        <v>8.1645000000000003</v>
      </c>
      <c r="O174" s="20" t="str">
        <f>IFERROR(IF(Tabela1[[#This Row],[SETOR]]="RECEPTIVO","",AVERAGE(Tabela1[[#This Row],[A5]:[A6]])),"")</f>
        <v/>
      </c>
      <c r="P174" s="20" t="str">
        <f>IFERROR(IF(Tabela1[[#This Row],[STATUS]]="INATIVO","INATIVO",IF(Tabela1[[#This Row],[STATUS]]="QRT","INATIVO",IF(Tabela1[[#This Row],[OPERACIONAL]]&gt;7.99999,"BOM","RUIM"))),"")</f>
        <v>BOM</v>
      </c>
      <c r="Q174" s="21" t="s">
        <v>667</v>
      </c>
      <c r="R174" s="12" t="s">
        <v>710</v>
      </c>
      <c r="S174" s="12" t="s">
        <v>711</v>
      </c>
      <c r="T174" s="12" t="s">
        <v>192</v>
      </c>
      <c r="U17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4" s="12">
        <f>IF(AND(Tabela1[[#This Row],[SETOR]]="UTI",Tabela1[[#This Row],[M]]&lt;&gt;""),1,IF(AND(Tabela1[[#This Row],[SETOR]]="UTI (RJ)",Tabela1[[#This Row],[M]]&lt;&gt;""),1.5,0))</f>
        <v>0</v>
      </c>
      <c r="X174" s="12">
        <f>IF(AND(Tabela1[[#This Row],[SETOR]]="UTI",Tabela1[[#This Row],[PA2]]&lt;&gt;""),1,IF(AND(Tabela1[[#This Row],[SETOR]]="UTI (RJ)",Tabela1[[#This Row],[PA2]]&lt;&gt;""),0,0))</f>
        <v>0</v>
      </c>
      <c r="Y174" s="12">
        <f>IF(AND(Tabela1[[#This Row],[SETOR]]="UTI",Tabela1[[#This Row],[C]]&lt;&gt;""),1,IF(AND(Tabela1[[#This Row],[SETOR]]="UTI (RJ)",Tabela1[[#This Row],[C]]&lt;&gt;""),1.5,0))</f>
        <v>0</v>
      </c>
      <c r="Z174" s="12">
        <f>IF(AND(Tabela1[[#This Row],[SETOR]]="UTI",Tabela1[[#This Row],[PL]]&lt;&gt;""),1,IF(AND(Tabela1[[#This Row],[SETOR]]="UTI (RJ)",Tabela1[[#This Row],[PL]]&lt;&gt;""),1,0))</f>
        <v>0</v>
      </c>
      <c r="AA174" s="21">
        <f>IFERROR(VLOOKUP(Tabela1[[#This Row],[MÊS]]&amp;Tabela1[[#This Row],[MATRICULA]]&amp;"1"&amp;Tabela1[[#This Row],[SETOR]]&amp;"PADRÃO",BD!B:AF,31,0),"")</f>
        <v>10.004000000000001</v>
      </c>
      <c r="AB174" s="21">
        <f>IFERROR(VLOOKUP(Tabela1[[#This Row],[MÊS]]&amp;Tabela1[[#This Row],[MATRICULA]]&amp;"2"&amp;Tabela1[[#This Row],[SETOR]]&amp;"PADRÃO",BD!B:AF,31,0),"")</f>
        <v>6.3249999999999993</v>
      </c>
      <c r="AC174" s="21" t="str">
        <f>IFERROR(VLOOKUP(Tabela1[[#This Row],[MÊS]]&amp;Tabela1[[#This Row],[MATRICULA]]&amp;"3"&amp;Tabela1[[#This Row],[SETOR]]&amp;"PADRÃO",BD!B:AF,31,0),"")</f>
        <v/>
      </c>
      <c r="AD174" s="21" t="str">
        <f>IFERROR(VLOOKUP(Tabela1[[#This Row],[MÊS]]&amp;Tabela1[[#This Row],[MATRICULA]]&amp;"4"&amp;Tabela1[[#This Row],[SETOR]]&amp;"PADRÃO",BD!B:AF,25,0),"")</f>
        <v/>
      </c>
      <c r="AE174" s="21" t="str">
        <f>IFERROR(VLOOKUP(Tabela1[[#This Row],[MÊS]]&amp;Tabela1[[#This Row],[MATRICULA]]&amp;"5"&amp;Tabela1[[#This Row],[SETOR]]&amp;"PADRÃO",BD!B:AF,31,0),"")</f>
        <v/>
      </c>
      <c r="AF174" s="21" t="str">
        <f>IFERROR(VLOOKUP(Tabela1[[#This Row],[MÊS]]&amp;Tabela1[[#This Row],[MATRICULA]]&amp;"6"&amp;Tabela1[[#This Row],[SETOR]]&amp;"PADRÃO",BD!B:AF,31,0),"")</f>
        <v/>
      </c>
      <c r="AG174" s="21" t="str">
        <f>IFERROR(VLOOKUP(Tabela1[[#This Row],[MÊS]]&amp;Tabela1[[#This Row],[MATRICULA]]&amp;"7"&amp;Tabela1[[#This Row],[SETOR]]&amp;"PADRÃO",BD!B:AF,31,0),"")</f>
        <v/>
      </c>
      <c r="AH174" s="21" t="str">
        <f>IFERROR(VLOOKUP(Tabela1[[#This Row],[MÊS]]&amp;Tabela1[[#This Row],[ID]]&amp;Tabela1[[#This Row],[MATRICULA]]&amp;"Receptiva"&amp;Tabela1[[#This Row],[SETOR]],BD!A:AF,31,0),"")</f>
        <v/>
      </c>
      <c r="AI174" s="21" t="str">
        <f>IFERROR(VLOOKUP(Tabela1[[#This Row],[MÊS]]&amp;Tabela1[[#This Row],[ID]]&amp;Tabela1[[#This Row],[MATRICULA]]&amp;"Receptiva 2"&amp;Tabela1[[#This Row],[SETOR]],BD!A:AF,31,0),"")</f>
        <v/>
      </c>
      <c r="AJ174" s="21" t="str">
        <f>IFERROR(VLOOKUP(Tabela1[[#This Row],[MÊS]]&amp;Tabela1[[#This Row],[ID]]&amp;Tabela1[[#This Row],[MATRICULA]]&amp;"Receptiva 3"&amp;Tabela1[[#This Row],[SETOR]],BD!A:AF,31,0),"")</f>
        <v/>
      </c>
      <c r="AK174" s="21" t="str">
        <f>IFERROR(VLOOKUP(Tabela1[[#This Row],[MÊS]]&amp;Tabela1[[#This Row],[ID]]&amp;Tabela1[[#This Row],[MATRICULA]]&amp;"Receptiva 4"&amp;Tabela1[[#This Row],[SETOR]],BD!A:AF,31,0),"")</f>
        <v/>
      </c>
      <c r="AL174" s="21">
        <f>IFERROR(VLOOKUP(Tabela1[[#This Row],[MÊS]]&amp;Tabela1[[#This Row],[MATRICULA]]&amp;"Motorista"&amp;Tabela1[[#This Row],[SETOR]],BD!A:AF,31,0),"")</f>
        <v>0</v>
      </c>
      <c r="AM174" s="21" t="str">
        <f>IFERROR(VLOOKUP(Tabela1[[#This Row],[MÊS]]&amp;Tabela1[[#This Row],[ID]]&amp;Tabela1[[#This Row],[MATRICULA]]&amp;"Motorista 2"&amp;Tabela1[[#This Row],[SETOR]],BD!A:AF,26,0),"")</f>
        <v/>
      </c>
      <c r="AN174" s="21" t="str">
        <f>IFERROR(VLOOKUP(Tabela1[[#This Row],[MÊS]]&amp;Tabela1[[#This Row],[ID]]&amp;Tabela1[[#This Row],[MATRICULA]]&amp;"Motorista 3"&amp;Tabela1[[#This Row],[SETOR]],BD!A:AF,26,0),"")</f>
        <v/>
      </c>
      <c r="AO174" s="21" t="str">
        <f>IFERROR(VLOOKUP(Tabela1[[#This Row],[MÊS]]&amp;Tabela1[[#This Row],[ID]]&amp;Tabela1[[#This Row],[MATRICULA]]&amp;"Motorista 4"&amp;Tabela1[[#This Row],[SETOR]],BD!A:AF,26,0),"")</f>
        <v/>
      </c>
      <c r="AP174" s="21" t="str">
        <f>IFERROR(VLOOKUP(Tabela1[[#This Row],[MÊS]]&amp;Tabela1[[#This Row],[MATRICULA]]&amp;"Ponto de Apoio"&amp;Tabela1[[#This Row],[SETOR]],BD!A:AF,31,0),"")</f>
        <v/>
      </c>
      <c r="AQ174" s="21" t="str">
        <f>IFERROR(VLOOKUP(Tabela1[[#This Row],[MÊS]]&amp;Tabela1[[#This Row],[ID]]&amp;Tabela1[[#This Row],[MATRICULA]]&amp;"Ponto de Apoio 2"&amp;Tabela1[[#This Row],[SETOR]],BD!A:AF,26,0),"")</f>
        <v/>
      </c>
      <c r="AR174" s="36" t="str">
        <f>IFERROR(VLOOKUP(Tabela1[[#This Row],[MÊS]]&amp;Tabela1[[#This Row],[ID]]&amp;Tabela1[[#This Row],[MATRICULA]]&amp;"Ponto de Apoio 3"&amp;Tabela1[[#This Row],[SETOR]],BD!A:AF,26,0),"")</f>
        <v/>
      </c>
      <c r="AS174" s="36" t="str">
        <f>IFERROR(VLOOKUP(Tabela1[[#This Row],[MÊS]]&amp;Tabela1[[#This Row],[ID]]&amp;Tabela1[[#This Row],[MATRICULA]]&amp;"Ponto de Apoio 4"&amp;Tabela1[[#This Row],[SETOR]],BD!A:AF,26,0),"")</f>
        <v/>
      </c>
      <c r="AT174" s="21" t="str">
        <f>IFERROR(VLOOKUP(Tabela1[[#This Row],[MÊS]]&amp;Tabela1[[#This Row],[MATRICULA]]&amp;"Cliente"&amp;Tabela1[[#This Row],[SETOR]],BD!A:AF,31,0),"")</f>
        <v/>
      </c>
      <c r="AU174" s="21" t="str">
        <f>IFERROR(VLOOKUP(Tabela1[[#This Row],[MÊS]]&amp;Tabela1[[#This Row],[ID]]&amp;Tabela1[[#This Row],[MATRICULA]]&amp;"Cliente 2"&amp;Tabela1[[#This Row],[SETOR]],BD!A:AF,26,0),"")</f>
        <v/>
      </c>
      <c r="AX174" s="21" t="str">
        <f>IFERROR(VLOOKUP(Tabela1[[#This Row],[MÊS]]&amp;Tabela1[[#This Row],[MATRICULA]]&amp;"Policia"&amp;Tabela1[[#This Row],[SETOR]],BD!A:AF,31,0),"")</f>
        <v/>
      </c>
      <c r="AY174" s="21" t="str">
        <f>IFERROR(VLOOKUP(Tabela1[[#This Row],[MÊS]]&amp;Tabela1[[#This Row],[ID]]&amp;Tabela1[[#This Row],[MATRICULA]]&amp;"Policia 2"&amp;Tabela1[[#This Row],[SETOR]],BD!A:AF,26,0),"")</f>
        <v/>
      </c>
      <c r="AZ174" s="36" t="str">
        <f>IFERROR(VLOOKUP(Tabela1[[#This Row],[MÊS]]&amp;Tabela1[[#This Row],[ID]]&amp;Tabela1[[#This Row],[MATRICULA]]&amp;"Policia 3"&amp;Tabela1[[#This Row],[SETOR]],BD!A:AF,26,0),"")</f>
        <v/>
      </c>
      <c r="BA174" s="36" t="str">
        <f>IFERROR(VLOOKUP(Tabela1[[#This Row],[MÊS]]&amp;Tabela1[[#This Row],[ID]]&amp;Tabela1[[#This Row],[MATRICULA]]&amp;"Policia 4"&amp;Tabela1[[#This Row],[SETOR]],BD!A:AF,26,0),"")</f>
        <v/>
      </c>
      <c r="BB17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4" s="21">
        <f>IFERROR(AVERAGE(Tabela1[[#This Row],[M]:[M4]]),"")</f>
        <v>0</v>
      </c>
      <c r="BD174" s="21" t="str">
        <f>IFERROR(AVERAGE(Tabela1[[#This Row],[C]:[C4]]),"")</f>
        <v/>
      </c>
      <c r="BE174" s="21" t="str">
        <f>IFERROR(AVERAGE(Tabela1[[#This Row],[PA2]:[PA 4]]),"")</f>
        <v/>
      </c>
      <c r="BF174" s="21" t="str">
        <f>IFERROR(AVERAGE(Tabela1[[#This Row],[PL]:[PL4]]),"")</f>
        <v/>
      </c>
      <c r="BG174" s="35" t="str">
        <f>IFERROR(VLOOKUP(Tabela1[[#This Row],[MÊS]]&amp;Tabela1[[#This Row],[MATRICULA]],#REF!,2,0),"")</f>
        <v/>
      </c>
      <c r="BH174" s="35" t="str">
        <f>IFERROR(VLOOKUP(Tabela1[[#This Row],[MÊS]]&amp;Tabela1[[#This Row],[MATRICULA]],#REF!,2,0),"")</f>
        <v/>
      </c>
      <c r="BI174" s="35" t="str">
        <f>IFERROR(VLOOKUP(Tabela1[[#This Row],[MÊS]]&amp;Tabela1[[#This Row],[MATRICULA]],#REF!,2,0),"")</f>
        <v/>
      </c>
      <c r="BJ174" s="35" t="str">
        <f>IFERROR(VLOOKUP(Tabela1[[#This Row],[MÊS]]&amp;Tabela1[[#This Row],[MATRICULA]],#REF!,2,0),"")</f>
        <v/>
      </c>
      <c r="BK174" s="35" t="str">
        <f>IFERROR(VLOOKUP(Tabela1[[#This Row],[MÊS]]&amp;Tabela1[[#This Row],[MATRICULA]],#REF!,2,0),"")</f>
        <v/>
      </c>
      <c r="BL174" s="21">
        <f>COUNTIF(Tabela1[[#This Row],[MOT2]:[RECEPTIVA]],"NÃO ENCONTRADA")</f>
        <v>0</v>
      </c>
      <c r="BM174" s="135" t="str">
        <f>IFERROR(VLOOKUP(Tabela1[[#This Row],[MÊS]]&amp;Tabela1[[#This Row],[ID]]&amp;Tabela1[[#This Row],[MATRICULA]]&amp;"Motorista"&amp;Tabela1[[#This Row],[SETOR]],BD!A:AF,13,0),"")</f>
        <v/>
      </c>
      <c r="BN174" s="135" t="str">
        <f>IFERROR(VLOOKUP(Tabela1[[#This Row],[MÊS]]&amp;Tabela1[[#This Row],[ID]]&amp;Tabela1[[#This Row],[MATRICULA]]&amp;"Motorista 2"&amp;Tabela1[[#This Row],[SETOR]],BD!A:AF,13,0),"")</f>
        <v/>
      </c>
      <c r="BO174" s="135" t="str">
        <f>IFERROR(VLOOKUP(Tabela1[[#This Row],[MÊS]]&amp;Tabela1[[#This Row],[ID]]&amp;Tabela1[[#This Row],[MATRICULA]]&amp;"Motorista 3"&amp;Tabela1[[#This Row],[SETOR]],BD!A:AF,13,0),"")</f>
        <v/>
      </c>
      <c r="BP174" s="135" t="str">
        <f>IFERROR(VLOOKUP(Tabela1[[#This Row],[MÊS]]&amp;Tabela1[[#This Row],[ID]]&amp;Tabela1[[#This Row],[MATRICULA]]&amp;"Motorista 4"&amp;Tabela1[[#This Row],[SETOR]],BD!A:AF,13,0),"")</f>
        <v/>
      </c>
      <c r="BQ174" s="135" t="str">
        <f>IFERROR(AVERAGE(Tabela1[[#This Row],[DMOT]:[DMOT4]]),"")</f>
        <v/>
      </c>
      <c r="BR174" s="135" t="str">
        <f>IFERROR(VLOOKUP(Tabela1[[#This Row],[MÊS]]&amp;Tabela1[[#This Row],[ID]]&amp;Tabela1[[#This Row],[MATRICULA]]&amp;"Ponto de Apoio"&amp;Tabela1[[#This Row],[SETOR]],BD!A:AF,13,0),"")</f>
        <v/>
      </c>
      <c r="BS174" s="135" t="str">
        <f>IFERROR(VLOOKUP(Tabela1[[#This Row],[MÊS]]&amp;Tabela1[[#This Row],[ID]]&amp;Tabela1[[#This Row],[MATRICULA]]&amp;"Ponto de Apoio 2"&amp;Tabela1[[#This Row],[SETOR]],BD!A:AF,13,0),"")</f>
        <v/>
      </c>
      <c r="BT174" s="135" t="str">
        <f>IFERROR(VLOOKUP(Tabela1[[#This Row],[MÊS]]&amp;Tabela1[[#This Row],[ID]]&amp;Tabela1[[#This Row],[MATRICULA]]&amp;"Ponto de Apoio 3"&amp;Tabela1[[#This Row],[SETOR]],BD!A:AF,13,0),"")</f>
        <v/>
      </c>
      <c r="BU174" s="135" t="str">
        <f>IFERROR(VLOOKUP(Tabela1[[#This Row],[MÊS]]&amp;Tabela1[[#This Row],[ID]]&amp;Tabela1[[#This Row],[MATRICULA]]&amp;"Ponto de Apoio 4"&amp;Tabela1[[#This Row],[SETOR]],BD!A:AF,13,0),"")</f>
        <v/>
      </c>
      <c r="BV174" s="135" t="str">
        <f>IFERROR(AVERAGE(Tabela1[[#This Row],[DPA]:[DPA 4]]),"")</f>
        <v/>
      </c>
      <c r="BW174" s="135" t="str">
        <f>IFERROR(VLOOKUP(Tabela1[[#This Row],[MÊS]]&amp;Tabela1[[#This Row],[ID]]&amp;Tabela1[[#This Row],[MATRICULA]]&amp;"Cliente"&amp;Tabela1[[#This Row],[SETOR]],BD!A:AF,13,0),"")</f>
        <v/>
      </c>
      <c r="BX174" s="135" t="str">
        <f>IFERROR(VLOOKUP(Tabela1[[#This Row],[MÊS]]&amp;Tabela1[[#This Row],[ID]]&amp;Tabela1[[#This Row],[MATRICULA]]&amp;"cliente 2"&amp;Tabela1[[#This Row],[SETOR]],BD!A:AF,13,0),"")</f>
        <v/>
      </c>
      <c r="BY174" s="135" t="str">
        <f>IFERROR(VLOOKUP(Tabela1[[#This Row],[MÊS]]&amp;Tabela1[[#This Row],[ID]]&amp;Tabela1[[#This Row],[MATRICULA]]&amp;"cliente 3"&amp;Tabela1[[#This Row],[SETOR]],BD!A:AF,13,0),"")</f>
        <v/>
      </c>
      <c r="BZ174" s="135" t="str">
        <f>IFERROR(VLOOKUP(Tabela1[[#This Row],[MÊS]]&amp;Tabela1[[#This Row],[ID]]&amp;Tabela1[[#This Row],[MATRICULA]]&amp;"cliente 4"&amp;Tabela1[[#This Row],[SETOR]],BD!A:AF,13,0),"")</f>
        <v/>
      </c>
      <c r="CA174" s="135" t="str">
        <f>IFERROR(AVERAGE(Tabela1[[#This Row],[DCLI]:[DCLI 4]]),"")</f>
        <v/>
      </c>
      <c r="CB174" s="135" t="str">
        <f>IFERROR(VLOOKUP(Tabela1[[#This Row],[MÊS]]&amp;Tabela1[[#This Row],[ID]]&amp;Tabela1[[#This Row],[MATRICULA]]&amp;"Policia"&amp;Tabela1[[#This Row],[SETOR]],BD!A:AF,13,0),"")</f>
        <v/>
      </c>
      <c r="CC174" s="135" t="str">
        <f>IFERROR(VLOOKUP(Tabela1[[#This Row],[MÊS]]&amp;Tabela1[[#This Row],[ID]]&amp;Tabela1[[#This Row],[MATRICULA]]&amp;"Policia 2"&amp;Tabela1[[#This Row],[SETOR]],BD!A:AF,13,0),"")</f>
        <v/>
      </c>
      <c r="CD174" s="135"/>
      <c r="CE174" s="135"/>
      <c r="CF174" s="135" t="str">
        <f>IFERROR((AVERAGE(Tabela1[[#This Row],[DPOL1]:[DPOL4]])),"")</f>
        <v/>
      </c>
      <c r="CG174" s="21" t="str">
        <f>IFERROR(VLOOKUP(Tabela1[[#This Row],[ID]]&amp;Tabela1[[#This Row],[MÊS]]&amp;Tabela1[[#This Row],[MATRICULA]],#REF!,2,0),"")</f>
        <v/>
      </c>
      <c r="CH174" s="21" t="str">
        <f>IFERROR(VLOOKUP(Tabela1[[#This Row],[ID]]&amp;Tabela1[[#This Row],[MÊS]]&amp;Tabela1[[#This Row],[MATRICULA]],#REF!,2,0),"")</f>
        <v/>
      </c>
      <c r="CI174" s="21" t="str">
        <f>IFERROR(VLOOKUP(Tabela1[[#This Row],[MÊS]]&amp;Tabela1[[#This Row],[MATRICULA]],#REF!,2,0),"")</f>
        <v/>
      </c>
    </row>
    <row r="175" spans="1:87">
      <c r="A175" s="12" t="str">
        <f>Tabela1[[#This Row],[MÊS]]&amp;Tabela1[[#This Row],[MATRICULA]]&amp;Tabela1[[#This Row],[ID]]</f>
        <v>JAN114658</v>
      </c>
      <c r="B175" s="12" t="str">
        <f>Tabela1[[#This Row],[MÊS]]&amp;Tabela1[[#This Row],[ID]]&amp;Tabela1[[#This Row],[MATRICULA]]&amp;Tabela1[[#This Row],[SETOR]]</f>
        <v>JAN811465TRANSFERÊNCIA</v>
      </c>
      <c r="C175" s="130" t="e">
        <f>VLOOKUP(Tabela1[[#This Row],[MATRICULA]],'BD Campos'!A:D,5,0)</f>
        <v>#REF!</v>
      </c>
      <c r="D175" s="133" t="str">
        <f ca="1">IFERROR(SUM(TODAY()-Tabela1[[#This Row],[ADMISSÃO]]),"")</f>
        <v/>
      </c>
      <c r="E175" s="11" t="str">
        <f ca="1">IFERROR(TRUNC(Tabela1[[#This Row],[TEMPO DE CASA (DIAS)]]/30),"")</f>
        <v/>
      </c>
      <c r="F175" s="32" t="str">
        <f ca="1">IFERROR(SUM(Tabela1[[#This Row],[TEMPO DE CASA (MESES)]]/12),"")</f>
        <v/>
      </c>
      <c r="G175" s="133" t="str">
        <f ca="1">IF(Tabela1[[#This Row],[TEMPO DE CASA (DIAS)]]="","SEM DADOS",IF(Tabela1[[#This Row],[TEMPO DE CASA (DIAS)]]&gt;180,"&gt; 6 MESES","&lt; 6 MESES"))</f>
        <v>SEM DADOS</v>
      </c>
      <c r="H175" s="12" t="str">
        <f t="shared" si="16"/>
        <v>JANGustavo Miralha8</v>
      </c>
      <c r="I175" s="12" t="str">
        <f>IFERROR(VLOOKUP(Tabela1[[#This Row],[MATRICULA]],'BD Campos'!A:F,7,0),"")</f>
        <v/>
      </c>
      <c r="J175" s="11">
        <v>8</v>
      </c>
      <c r="K175" s="11" t="s">
        <v>669</v>
      </c>
      <c r="L175" s="136">
        <v>11465</v>
      </c>
      <c r="M175" s="12" t="str">
        <f>IFERROR(VLOOKUP(Tabela1[[#This Row],[MATRICULA]],'BD Campos'!A:B,2,0),"")</f>
        <v>ANGY FABIANA ORTIZ SALAS</v>
      </c>
      <c r="N175" s="20">
        <f>IFERROR(AVERAGE(Tabela1[[#This Row],[A1]:[A4]]),"")</f>
        <v>7.0619999999999994</v>
      </c>
      <c r="O175" s="20" t="str">
        <f>IFERROR(IF(Tabela1[[#This Row],[SETOR]]="RECEPTIVO","",AVERAGE(Tabela1[[#This Row],[A5]:[A6]])),"")</f>
        <v/>
      </c>
      <c r="P175" s="20" t="str">
        <f>IFERROR(IF(Tabela1[[#This Row],[STATUS]]="INATIVO","INATIVO",IF(Tabela1[[#This Row],[STATUS]]="QRT","INATIVO",IF(Tabela1[[#This Row],[OPERACIONAL]]&gt;7.99999,"BOM","RUIM"))),"")</f>
        <v>RUIM</v>
      </c>
      <c r="Q175" s="21" t="s">
        <v>667</v>
      </c>
      <c r="R175" s="12" t="s">
        <v>710</v>
      </c>
      <c r="S175" s="12" t="s">
        <v>711</v>
      </c>
      <c r="T175" s="12" t="s">
        <v>192</v>
      </c>
      <c r="U17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5" s="12">
        <f>IF(AND(Tabela1[[#This Row],[SETOR]]="UTI",Tabela1[[#This Row],[M]]&lt;&gt;""),1,IF(AND(Tabela1[[#This Row],[SETOR]]="UTI (RJ)",Tabela1[[#This Row],[M]]&lt;&gt;""),1.5,0))</f>
        <v>0</v>
      </c>
      <c r="X175" s="12">
        <f>IF(AND(Tabela1[[#This Row],[SETOR]]="UTI",Tabela1[[#This Row],[PA2]]&lt;&gt;""),1,IF(AND(Tabela1[[#This Row],[SETOR]]="UTI (RJ)",Tabela1[[#This Row],[PA2]]&lt;&gt;""),0,0))</f>
        <v>0</v>
      </c>
      <c r="Y175" s="12">
        <f>IF(AND(Tabela1[[#This Row],[SETOR]]="UTI",Tabela1[[#This Row],[C]]&lt;&gt;""),1,IF(AND(Tabela1[[#This Row],[SETOR]]="UTI (RJ)",Tabela1[[#This Row],[C]]&lt;&gt;""),1.5,0))</f>
        <v>0</v>
      </c>
      <c r="Z175" s="12">
        <f>IF(AND(Tabela1[[#This Row],[SETOR]]="UTI",Tabela1[[#This Row],[PL]]&lt;&gt;""),1,IF(AND(Tabela1[[#This Row],[SETOR]]="UTI (RJ)",Tabela1[[#This Row],[PL]]&lt;&gt;""),1,0))</f>
        <v>0</v>
      </c>
      <c r="AA175" s="21">
        <f>IFERROR(VLOOKUP(Tabela1[[#This Row],[MÊS]]&amp;Tabela1[[#This Row],[MATRICULA]]&amp;"1"&amp;Tabela1[[#This Row],[SETOR]]&amp;"PADRÃO",BD!B:AF,31,0),"")</f>
        <v>8.6389999999999993</v>
      </c>
      <c r="AB175" s="21">
        <f>IFERROR(VLOOKUP(Tabela1[[#This Row],[MÊS]]&amp;Tabela1[[#This Row],[MATRICULA]]&amp;"2"&amp;Tabela1[[#This Row],[SETOR]]&amp;"PADRÃO",BD!B:AF,31,0),"")</f>
        <v>5.4849999999999994</v>
      </c>
      <c r="AC175" s="21" t="str">
        <f>IFERROR(VLOOKUP(Tabela1[[#This Row],[MÊS]]&amp;Tabela1[[#This Row],[MATRICULA]]&amp;"3"&amp;Tabela1[[#This Row],[SETOR]]&amp;"PADRÃO",BD!B:AF,31,0),"")</f>
        <v/>
      </c>
      <c r="AD175" s="21" t="str">
        <f>IFERROR(VLOOKUP(Tabela1[[#This Row],[MÊS]]&amp;Tabela1[[#This Row],[MATRICULA]]&amp;"4"&amp;Tabela1[[#This Row],[SETOR]]&amp;"PADRÃO",BD!B:AF,25,0),"")</f>
        <v/>
      </c>
      <c r="AE175" s="21" t="str">
        <f>IFERROR(VLOOKUP(Tabela1[[#This Row],[MÊS]]&amp;Tabela1[[#This Row],[MATRICULA]]&amp;"5"&amp;Tabela1[[#This Row],[SETOR]]&amp;"PADRÃO",BD!B:AF,31,0),"")</f>
        <v/>
      </c>
      <c r="AF175" s="21" t="str">
        <f>IFERROR(VLOOKUP(Tabela1[[#This Row],[MÊS]]&amp;Tabela1[[#This Row],[MATRICULA]]&amp;"6"&amp;Tabela1[[#This Row],[SETOR]]&amp;"PADRÃO",BD!B:AF,31,0),"")</f>
        <v/>
      </c>
      <c r="AG175" s="21" t="str">
        <f>IFERROR(VLOOKUP(Tabela1[[#This Row],[MÊS]]&amp;Tabela1[[#This Row],[MATRICULA]]&amp;"7"&amp;Tabela1[[#This Row],[SETOR]]&amp;"PADRÃO",BD!B:AF,31,0),"")</f>
        <v/>
      </c>
      <c r="AH175" s="21" t="str">
        <f>IFERROR(VLOOKUP(Tabela1[[#This Row],[MÊS]]&amp;Tabela1[[#This Row],[ID]]&amp;Tabela1[[#This Row],[MATRICULA]]&amp;"Receptiva"&amp;Tabela1[[#This Row],[SETOR]],BD!A:AF,31,0),"")</f>
        <v/>
      </c>
      <c r="AI175" s="21" t="str">
        <f>IFERROR(VLOOKUP(Tabela1[[#This Row],[MÊS]]&amp;Tabela1[[#This Row],[ID]]&amp;Tabela1[[#This Row],[MATRICULA]]&amp;"Receptiva 2"&amp;Tabela1[[#This Row],[SETOR]],BD!A:AF,31,0),"")</f>
        <v/>
      </c>
      <c r="AJ175" s="21" t="str">
        <f>IFERROR(VLOOKUP(Tabela1[[#This Row],[MÊS]]&amp;Tabela1[[#This Row],[ID]]&amp;Tabela1[[#This Row],[MATRICULA]]&amp;"Receptiva 3"&amp;Tabela1[[#This Row],[SETOR]],BD!A:AF,31,0),"")</f>
        <v/>
      </c>
      <c r="AK175" s="21" t="str">
        <f>IFERROR(VLOOKUP(Tabela1[[#This Row],[MÊS]]&amp;Tabela1[[#This Row],[ID]]&amp;Tabela1[[#This Row],[MATRICULA]]&amp;"Receptiva 4"&amp;Tabela1[[#This Row],[SETOR]],BD!A:AF,31,0),"")</f>
        <v/>
      </c>
      <c r="AL175" s="21">
        <f>IFERROR(VLOOKUP(Tabela1[[#This Row],[MÊS]]&amp;Tabela1[[#This Row],[MATRICULA]]&amp;"Motorista"&amp;Tabela1[[#This Row],[SETOR]],BD!A:AF,31,0),"")</f>
        <v>0</v>
      </c>
      <c r="AM175" s="21" t="str">
        <f>IFERROR(VLOOKUP(Tabela1[[#This Row],[MÊS]]&amp;Tabela1[[#This Row],[ID]]&amp;Tabela1[[#This Row],[MATRICULA]]&amp;"Motorista 2"&amp;Tabela1[[#This Row],[SETOR]],BD!A:AF,26,0),"")</f>
        <v/>
      </c>
      <c r="AN175" s="21" t="str">
        <f>IFERROR(VLOOKUP(Tabela1[[#This Row],[MÊS]]&amp;Tabela1[[#This Row],[ID]]&amp;Tabela1[[#This Row],[MATRICULA]]&amp;"Motorista 3"&amp;Tabela1[[#This Row],[SETOR]],BD!A:AF,26,0),"")</f>
        <v/>
      </c>
      <c r="AO175" s="21" t="str">
        <f>IFERROR(VLOOKUP(Tabela1[[#This Row],[MÊS]]&amp;Tabela1[[#This Row],[ID]]&amp;Tabela1[[#This Row],[MATRICULA]]&amp;"Motorista 4"&amp;Tabela1[[#This Row],[SETOR]],BD!A:AF,26,0),"")</f>
        <v/>
      </c>
      <c r="AP175" s="21" t="str">
        <f>IFERROR(VLOOKUP(Tabela1[[#This Row],[MÊS]]&amp;Tabela1[[#This Row],[MATRICULA]]&amp;"Ponto de Apoio"&amp;Tabela1[[#This Row],[SETOR]],BD!A:AF,31,0),"")</f>
        <v/>
      </c>
      <c r="AQ175" s="21" t="str">
        <f>IFERROR(VLOOKUP(Tabela1[[#This Row],[MÊS]]&amp;Tabela1[[#This Row],[ID]]&amp;Tabela1[[#This Row],[MATRICULA]]&amp;"Ponto de Apoio 2"&amp;Tabela1[[#This Row],[SETOR]],BD!A:AF,26,0),"")</f>
        <v/>
      </c>
      <c r="AR175" s="36" t="str">
        <f>IFERROR(VLOOKUP(Tabela1[[#This Row],[MÊS]]&amp;Tabela1[[#This Row],[ID]]&amp;Tabela1[[#This Row],[MATRICULA]]&amp;"Ponto de Apoio 3"&amp;Tabela1[[#This Row],[SETOR]],BD!A:AF,26,0),"")</f>
        <v/>
      </c>
      <c r="AS175" s="36" t="str">
        <f>IFERROR(VLOOKUP(Tabela1[[#This Row],[MÊS]]&amp;Tabela1[[#This Row],[ID]]&amp;Tabela1[[#This Row],[MATRICULA]]&amp;"Ponto de Apoio 4"&amp;Tabela1[[#This Row],[SETOR]],BD!A:AF,26,0),"")</f>
        <v/>
      </c>
      <c r="AT175" s="21" t="str">
        <f>IFERROR(VLOOKUP(Tabela1[[#This Row],[MÊS]]&amp;Tabela1[[#This Row],[MATRICULA]]&amp;"Cliente"&amp;Tabela1[[#This Row],[SETOR]],BD!A:AF,31,0),"")</f>
        <v/>
      </c>
      <c r="AU175" s="21" t="str">
        <f>IFERROR(VLOOKUP(Tabela1[[#This Row],[MÊS]]&amp;Tabela1[[#This Row],[ID]]&amp;Tabela1[[#This Row],[MATRICULA]]&amp;"Cliente 2"&amp;Tabela1[[#This Row],[SETOR]],BD!A:AF,26,0),"")</f>
        <v/>
      </c>
      <c r="AX175" s="21" t="str">
        <f>IFERROR(VLOOKUP(Tabela1[[#This Row],[MÊS]]&amp;Tabela1[[#This Row],[MATRICULA]]&amp;"Policia"&amp;Tabela1[[#This Row],[SETOR]],BD!A:AF,31,0),"")</f>
        <v/>
      </c>
      <c r="AY175" s="21" t="str">
        <f>IFERROR(VLOOKUP(Tabela1[[#This Row],[MÊS]]&amp;Tabela1[[#This Row],[ID]]&amp;Tabela1[[#This Row],[MATRICULA]]&amp;"Policia 2"&amp;Tabela1[[#This Row],[SETOR]],BD!A:AF,26,0),"")</f>
        <v/>
      </c>
      <c r="AZ175" s="36" t="str">
        <f>IFERROR(VLOOKUP(Tabela1[[#This Row],[MÊS]]&amp;Tabela1[[#This Row],[ID]]&amp;Tabela1[[#This Row],[MATRICULA]]&amp;"Policia 3"&amp;Tabela1[[#This Row],[SETOR]],BD!A:AF,26,0),"")</f>
        <v/>
      </c>
      <c r="BA175" s="36" t="str">
        <f>IFERROR(VLOOKUP(Tabela1[[#This Row],[MÊS]]&amp;Tabela1[[#This Row],[ID]]&amp;Tabela1[[#This Row],[MATRICULA]]&amp;"Policia 4"&amp;Tabela1[[#This Row],[SETOR]],BD!A:AF,26,0),"")</f>
        <v/>
      </c>
      <c r="BB17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5" s="21">
        <f>IFERROR(AVERAGE(Tabela1[[#This Row],[M]:[M4]]),"")</f>
        <v>0</v>
      </c>
      <c r="BD175" s="21" t="str">
        <f>IFERROR(AVERAGE(Tabela1[[#This Row],[C]:[C4]]),"")</f>
        <v/>
      </c>
      <c r="BE175" s="21" t="str">
        <f>IFERROR(AVERAGE(Tabela1[[#This Row],[PA2]:[PA 4]]),"")</f>
        <v/>
      </c>
      <c r="BF175" s="21" t="str">
        <f>IFERROR(AVERAGE(Tabela1[[#This Row],[PL]:[PL4]]),"")</f>
        <v/>
      </c>
      <c r="BG175" s="35" t="str">
        <f>IFERROR(VLOOKUP(Tabela1[[#This Row],[MÊS]]&amp;Tabela1[[#This Row],[MATRICULA]],#REF!,2,0),"")</f>
        <v/>
      </c>
      <c r="BH175" s="35" t="str">
        <f>IFERROR(VLOOKUP(Tabela1[[#This Row],[MÊS]]&amp;Tabela1[[#This Row],[MATRICULA]],#REF!,2,0),"")</f>
        <v/>
      </c>
      <c r="BI175" s="35" t="str">
        <f>IFERROR(VLOOKUP(Tabela1[[#This Row],[MÊS]]&amp;Tabela1[[#This Row],[MATRICULA]],#REF!,2,0),"")</f>
        <v/>
      </c>
      <c r="BJ175" s="35" t="str">
        <f>IFERROR(VLOOKUP(Tabela1[[#This Row],[MÊS]]&amp;Tabela1[[#This Row],[MATRICULA]],#REF!,2,0),"")</f>
        <v/>
      </c>
      <c r="BK175" s="35" t="str">
        <f>IFERROR(VLOOKUP(Tabela1[[#This Row],[MÊS]]&amp;Tabela1[[#This Row],[MATRICULA]],#REF!,2,0),"")</f>
        <v/>
      </c>
      <c r="BL175" s="21">
        <f>COUNTIF(Tabela1[[#This Row],[MOT2]:[RECEPTIVA]],"NÃO ENCONTRADA")</f>
        <v>0</v>
      </c>
      <c r="BM175" s="135" t="str">
        <f>IFERROR(VLOOKUP(Tabela1[[#This Row],[MÊS]]&amp;Tabela1[[#This Row],[ID]]&amp;Tabela1[[#This Row],[MATRICULA]]&amp;"Motorista"&amp;Tabela1[[#This Row],[SETOR]],BD!A:AF,13,0),"")</f>
        <v/>
      </c>
      <c r="BN175" s="135" t="str">
        <f>IFERROR(VLOOKUP(Tabela1[[#This Row],[MÊS]]&amp;Tabela1[[#This Row],[ID]]&amp;Tabela1[[#This Row],[MATRICULA]]&amp;"Motorista 2"&amp;Tabela1[[#This Row],[SETOR]],BD!A:AF,13,0),"")</f>
        <v/>
      </c>
      <c r="BO175" s="135" t="str">
        <f>IFERROR(VLOOKUP(Tabela1[[#This Row],[MÊS]]&amp;Tabela1[[#This Row],[ID]]&amp;Tabela1[[#This Row],[MATRICULA]]&amp;"Motorista 3"&amp;Tabela1[[#This Row],[SETOR]],BD!A:AF,13,0),"")</f>
        <v/>
      </c>
      <c r="BP175" s="135" t="str">
        <f>IFERROR(VLOOKUP(Tabela1[[#This Row],[MÊS]]&amp;Tabela1[[#This Row],[ID]]&amp;Tabela1[[#This Row],[MATRICULA]]&amp;"Motorista 4"&amp;Tabela1[[#This Row],[SETOR]],BD!A:AF,13,0),"")</f>
        <v/>
      </c>
      <c r="BQ175" s="135" t="str">
        <f>IFERROR(AVERAGE(Tabela1[[#This Row],[DMOT]:[DMOT4]]),"")</f>
        <v/>
      </c>
      <c r="BR175" s="135" t="str">
        <f>IFERROR(VLOOKUP(Tabela1[[#This Row],[MÊS]]&amp;Tabela1[[#This Row],[ID]]&amp;Tabela1[[#This Row],[MATRICULA]]&amp;"Ponto de Apoio"&amp;Tabela1[[#This Row],[SETOR]],BD!A:AF,13,0),"")</f>
        <v/>
      </c>
      <c r="BS175" s="135" t="str">
        <f>IFERROR(VLOOKUP(Tabela1[[#This Row],[MÊS]]&amp;Tabela1[[#This Row],[ID]]&amp;Tabela1[[#This Row],[MATRICULA]]&amp;"Ponto de Apoio 2"&amp;Tabela1[[#This Row],[SETOR]],BD!A:AF,13,0),"")</f>
        <v/>
      </c>
      <c r="BT175" s="135" t="str">
        <f>IFERROR(VLOOKUP(Tabela1[[#This Row],[MÊS]]&amp;Tabela1[[#This Row],[ID]]&amp;Tabela1[[#This Row],[MATRICULA]]&amp;"Ponto de Apoio 3"&amp;Tabela1[[#This Row],[SETOR]],BD!A:AF,13,0),"")</f>
        <v/>
      </c>
      <c r="BU175" s="135" t="str">
        <f>IFERROR(VLOOKUP(Tabela1[[#This Row],[MÊS]]&amp;Tabela1[[#This Row],[ID]]&amp;Tabela1[[#This Row],[MATRICULA]]&amp;"Ponto de Apoio 4"&amp;Tabela1[[#This Row],[SETOR]],BD!A:AF,13,0),"")</f>
        <v/>
      </c>
      <c r="BV175" s="135" t="str">
        <f>IFERROR(AVERAGE(Tabela1[[#This Row],[DPA]:[DPA 4]]),"")</f>
        <v/>
      </c>
      <c r="BW175" s="135" t="str">
        <f>IFERROR(VLOOKUP(Tabela1[[#This Row],[MÊS]]&amp;Tabela1[[#This Row],[ID]]&amp;Tabela1[[#This Row],[MATRICULA]]&amp;"Cliente"&amp;Tabela1[[#This Row],[SETOR]],BD!A:AF,13,0),"")</f>
        <v/>
      </c>
      <c r="BX175" s="135" t="str">
        <f>IFERROR(VLOOKUP(Tabela1[[#This Row],[MÊS]]&amp;Tabela1[[#This Row],[ID]]&amp;Tabela1[[#This Row],[MATRICULA]]&amp;"cliente 2"&amp;Tabela1[[#This Row],[SETOR]],BD!A:AF,13,0),"")</f>
        <v/>
      </c>
      <c r="BY175" s="135" t="str">
        <f>IFERROR(VLOOKUP(Tabela1[[#This Row],[MÊS]]&amp;Tabela1[[#This Row],[ID]]&amp;Tabela1[[#This Row],[MATRICULA]]&amp;"cliente 3"&amp;Tabela1[[#This Row],[SETOR]],BD!A:AF,13,0),"")</f>
        <v/>
      </c>
      <c r="BZ175" s="135" t="str">
        <f>IFERROR(VLOOKUP(Tabela1[[#This Row],[MÊS]]&amp;Tabela1[[#This Row],[ID]]&amp;Tabela1[[#This Row],[MATRICULA]]&amp;"cliente 4"&amp;Tabela1[[#This Row],[SETOR]],BD!A:AF,13,0),"")</f>
        <v/>
      </c>
      <c r="CA175" s="135" t="str">
        <f>IFERROR(AVERAGE(Tabela1[[#This Row],[DCLI]:[DCLI 4]]),"")</f>
        <v/>
      </c>
      <c r="CB175" s="135" t="str">
        <f>IFERROR(VLOOKUP(Tabela1[[#This Row],[MÊS]]&amp;Tabela1[[#This Row],[ID]]&amp;Tabela1[[#This Row],[MATRICULA]]&amp;"Policia"&amp;Tabela1[[#This Row],[SETOR]],BD!A:AF,13,0),"")</f>
        <v/>
      </c>
      <c r="CC175" s="135" t="str">
        <f>IFERROR(VLOOKUP(Tabela1[[#This Row],[MÊS]]&amp;Tabela1[[#This Row],[ID]]&amp;Tabela1[[#This Row],[MATRICULA]]&amp;"Policia 2"&amp;Tabela1[[#This Row],[SETOR]],BD!A:AF,13,0),"")</f>
        <v/>
      </c>
      <c r="CD175" s="135"/>
      <c r="CE175" s="135"/>
      <c r="CF175" s="135" t="str">
        <f>IFERROR((AVERAGE(Tabela1[[#This Row],[DPOL1]:[DPOL4]])),"")</f>
        <v/>
      </c>
      <c r="CG175" s="21" t="str">
        <f>IFERROR(VLOOKUP(Tabela1[[#This Row],[ID]]&amp;Tabela1[[#This Row],[MÊS]]&amp;Tabela1[[#This Row],[MATRICULA]],#REF!,2,0),"")</f>
        <v/>
      </c>
      <c r="CH175" s="21" t="str">
        <f>IFERROR(VLOOKUP(Tabela1[[#This Row],[ID]]&amp;Tabela1[[#This Row],[MÊS]]&amp;Tabela1[[#This Row],[MATRICULA]],#REF!,2,0),"")</f>
        <v/>
      </c>
      <c r="CI175" s="21" t="str">
        <f>IFERROR(VLOOKUP(Tabela1[[#This Row],[MÊS]]&amp;Tabela1[[#This Row],[MATRICULA]],#REF!,2,0),"")</f>
        <v/>
      </c>
    </row>
    <row r="176" spans="1:87">
      <c r="A176" s="12" t="str">
        <f>Tabela1[[#This Row],[MÊS]]&amp;Tabela1[[#This Row],[MATRICULA]]&amp;Tabela1[[#This Row],[ID]]</f>
        <v>JAN114879</v>
      </c>
      <c r="B176" s="12" t="str">
        <f>Tabela1[[#This Row],[MÊS]]&amp;Tabela1[[#This Row],[ID]]&amp;Tabela1[[#This Row],[MATRICULA]]&amp;Tabela1[[#This Row],[SETOR]]</f>
        <v>JAN911487TRANSFERÊNCIA</v>
      </c>
      <c r="C176" s="130" t="e">
        <f>VLOOKUP(Tabela1[[#This Row],[MATRICULA]],'BD Campos'!A:D,5,0)</f>
        <v>#REF!</v>
      </c>
      <c r="D176" s="133" t="str">
        <f ca="1">IFERROR(SUM(TODAY()-Tabela1[[#This Row],[ADMISSÃO]]),"")</f>
        <v/>
      </c>
      <c r="E176" s="11" t="str">
        <f ca="1">IFERROR(TRUNC(Tabela1[[#This Row],[TEMPO DE CASA (DIAS)]]/30),"")</f>
        <v/>
      </c>
      <c r="F176" s="32" t="str">
        <f ca="1">IFERROR(SUM(Tabela1[[#This Row],[TEMPO DE CASA (MESES)]]/12),"")</f>
        <v/>
      </c>
      <c r="G176" s="133" t="str">
        <f ca="1">IF(Tabela1[[#This Row],[TEMPO DE CASA (DIAS)]]="","SEM DADOS",IF(Tabela1[[#This Row],[TEMPO DE CASA (DIAS)]]&gt;180,"&gt; 6 MESES","&lt; 6 MESES"))</f>
        <v>SEM DADOS</v>
      </c>
      <c r="H176" s="12" t="str">
        <f t="shared" si="16"/>
        <v>JANGustavo Miralha9</v>
      </c>
      <c r="I176" s="12" t="str">
        <f>IFERROR(VLOOKUP(Tabela1[[#This Row],[MATRICULA]],'BD Campos'!A:F,7,0),"")</f>
        <v/>
      </c>
      <c r="J176" s="11">
        <v>9</v>
      </c>
      <c r="K176" s="11" t="s">
        <v>669</v>
      </c>
      <c r="L176" s="136">
        <v>11487</v>
      </c>
      <c r="M176" s="12" t="str">
        <f>IFERROR(VLOOKUP(Tabela1[[#This Row],[MATRICULA]],'BD Campos'!A:B,2,0),"")</f>
        <v>CARLOS EDUARDO KRAISCH</v>
      </c>
      <c r="N176" s="20">
        <f>IFERROR(AVERAGE(Tabela1[[#This Row],[A1]:[A4]]),"")</f>
        <v>7.7424999999999997</v>
      </c>
      <c r="O176" s="20" t="str">
        <f>IFERROR(IF(Tabela1[[#This Row],[SETOR]]="RECEPTIVO","",AVERAGE(Tabela1[[#This Row],[A5]:[A6]])),"")</f>
        <v/>
      </c>
      <c r="P176" s="20" t="str">
        <f>IFERROR(IF(Tabela1[[#This Row],[STATUS]]="INATIVO","INATIVO",IF(Tabela1[[#This Row],[STATUS]]="QRT","INATIVO",IF(Tabela1[[#This Row],[OPERACIONAL]]&gt;7.99999,"BOM","RUIM"))),"")</f>
        <v>RUIM</v>
      </c>
      <c r="Q176" s="21" t="s">
        <v>667</v>
      </c>
      <c r="R176" s="12" t="s">
        <v>710</v>
      </c>
      <c r="S176" s="12" t="s">
        <v>711</v>
      </c>
      <c r="T176" s="12" t="s">
        <v>192</v>
      </c>
      <c r="U17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6" s="12">
        <f>IF(AND(Tabela1[[#This Row],[SETOR]]="UTI",Tabela1[[#This Row],[M]]&lt;&gt;""),1,IF(AND(Tabela1[[#This Row],[SETOR]]="UTI (RJ)",Tabela1[[#This Row],[M]]&lt;&gt;""),1.5,0))</f>
        <v>0</v>
      </c>
      <c r="X176" s="12">
        <f>IF(AND(Tabela1[[#This Row],[SETOR]]="UTI",Tabela1[[#This Row],[PA2]]&lt;&gt;""),1,IF(AND(Tabela1[[#This Row],[SETOR]]="UTI (RJ)",Tabela1[[#This Row],[PA2]]&lt;&gt;""),0,0))</f>
        <v>0</v>
      </c>
      <c r="Y176" s="12">
        <f>IF(AND(Tabela1[[#This Row],[SETOR]]="UTI",Tabela1[[#This Row],[C]]&lt;&gt;""),1,IF(AND(Tabela1[[#This Row],[SETOR]]="UTI (RJ)",Tabela1[[#This Row],[C]]&lt;&gt;""),1.5,0))</f>
        <v>0</v>
      </c>
      <c r="Z176" s="12">
        <f>IF(AND(Tabela1[[#This Row],[SETOR]]="UTI",Tabela1[[#This Row],[PL]]&lt;&gt;""),1,IF(AND(Tabela1[[#This Row],[SETOR]]="UTI (RJ)",Tabela1[[#This Row],[PL]]&lt;&gt;""),1,0))</f>
        <v>0</v>
      </c>
      <c r="AA176" s="21">
        <f>IFERROR(VLOOKUP(Tabela1[[#This Row],[MÊS]]&amp;Tabela1[[#This Row],[MATRICULA]]&amp;"1"&amp;Tabela1[[#This Row],[SETOR]]&amp;"PADRÃO",BD!B:AF,31,0),"")</f>
        <v>8.8974999999999991</v>
      </c>
      <c r="AB176" s="21">
        <f>IFERROR(VLOOKUP(Tabela1[[#This Row],[MÊS]]&amp;Tabela1[[#This Row],[MATRICULA]]&amp;"2"&amp;Tabela1[[#This Row],[SETOR]]&amp;"PADRÃO",BD!B:AF,31,0),"")</f>
        <v>6.5874999999999995</v>
      </c>
      <c r="AC176" s="21" t="str">
        <f>IFERROR(VLOOKUP(Tabela1[[#This Row],[MÊS]]&amp;Tabela1[[#This Row],[MATRICULA]]&amp;"3"&amp;Tabela1[[#This Row],[SETOR]]&amp;"PADRÃO",BD!B:AF,31,0),"")</f>
        <v/>
      </c>
      <c r="AD176" s="21" t="str">
        <f>IFERROR(VLOOKUP(Tabela1[[#This Row],[MÊS]]&amp;Tabela1[[#This Row],[MATRICULA]]&amp;"4"&amp;Tabela1[[#This Row],[SETOR]]&amp;"PADRÃO",BD!B:AF,25,0),"")</f>
        <v/>
      </c>
      <c r="AE176" s="21" t="str">
        <f>IFERROR(VLOOKUP(Tabela1[[#This Row],[MÊS]]&amp;Tabela1[[#This Row],[MATRICULA]]&amp;"5"&amp;Tabela1[[#This Row],[SETOR]]&amp;"PADRÃO",BD!B:AF,31,0),"")</f>
        <v/>
      </c>
      <c r="AF176" s="21" t="str">
        <f>IFERROR(VLOOKUP(Tabela1[[#This Row],[MÊS]]&amp;Tabela1[[#This Row],[MATRICULA]]&amp;"6"&amp;Tabela1[[#This Row],[SETOR]]&amp;"PADRÃO",BD!B:AF,31,0),"")</f>
        <v/>
      </c>
      <c r="AG176" s="21" t="str">
        <f>IFERROR(VLOOKUP(Tabela1[[#This Row],[MÊS]]&amp;Tabela1[[#This Row],[MATRICULA]]&amp;"7"&amp;Tabela1[[#This Row],[SETOR]]&amp;"PADRÃO",BD!B:AF,31,0),"")</f>
        <v/>
      </c>
      <c r="AH176" s="21" t="str">
        <f>IFERROR(VLOOKUP(Tabela1[[#This Row],[MÊS]]&amp;Tabela1[[#This Row],[ID]]&amp;Tabela1[[#This Row],[MATRICULA]]&amp;"Receptiva"&amp;Tabela1[[#This Row],[SETOR]],BD!A:AF,31,0),"")</f>
        <v/>
      </c>
      <c r="AI176" s="21" t="str">
        <f>IFERROR(VLOOKUP(Tabela1[[#This Row],[MÊS]]&amp;Tabela1[[#This Row],[ID]]&amp;Tabela1[[#This Row],[MATRICULA]]&amp;"Receptiva 2"&amp;Tabela1[[#This Row],[SETOR]],BD!A:AF,31,0),"")</f>
        <v/>
      </c>
      <c r="AJ176" s="21" t="str">
        <f>IFERROR(VLOOKUP(Tabela1[[#This Row],[MÊS]]&amp;Tabela1[[#This Row],[ID]]&amp;Tabela1[[#This Row],[MATRICULA]]&amp;"Receptiva 3"&amp;Tabela1[[#This Row],[SETOR]],BD!A:AF,31,0),"")</f>
        <v/>
      </c>
      <c r="AK176" s="21" t="str">
        <f>IFERROR(VLOOKUP(Tabela1[[#This Row],[MÊS]]&amp;Tabela1[[#This Row],[ID]]&amp;Tabela1[[#This Row],[MATRICULA]]&amp;"Receptiva 4"&amp;Tabela1[[#This Row],[SETOR]],BD!A:AF,31,0),"")</f>
        <v/>
      </c>
      <c r="AL176" s="21">
        <f>IFERROR(VLOOKUP(Tabela1[[#This Row],[MÊS]]&amp;Tabela1[[#This Row],[MATRICULA]]&amp;"Motorista"&amp;Tabela1[[#This Row],[SETOR]],BD!A:AF,31,0),"")</f>
        <v>0</v>
      </c>
      <c r="AM176" s="21" t="str">
        <f>IFERROR(VLOOKUP(Tabela1[[#This Row],[MÊS]]&amp;Tabela1[[#This Row],[ID]]&amp;Tabela1[[#This Row],[MATRICULA]]&amp;"Motorista 2"&amp;Tabela1[[#This Row],[SETOR]],BD!A:AF,26,0),"")</f>
        <v/>
      </c>
      <c r="AN176" s="21" t="str">
        <f>IFERROR(VLOOKUP(Tabela1[[#This Row],[MÊS]]&amp;Tabela1[[#This Row],[ID]]&amp;Tabela1[[#This Row],[MATRICULA]]&amp;"Motorista 3"&amp;Tabela1[[#This Row],[SETOR]],BD!A:AF,26,0),"")</f>
        <v/>
      </c>
      <c r="AO176" s="21" t="str">
        <f>IFERROR(VLOOKUP(Tabela1[[#This Row],[MÊS]]&amp;Tabela1[[#This Row],[ID]]&amp;Tabela1[[#This Row],[MATRICULA]]&amp;"Motorista 4"&amp;Tabela1[[#This Row],[SETOR]],BD!A:AF,26,0),"")</f>
        <v/>
      </c>
      <c r="AP176" s="21" t="str">
        <f>IFERROR(VLOOKUP(Tabela1[[#This Row],[MÊS]]&amp;Tabela1[[#This Row],[MATRICULA]]&amp;"Ponto de Apoio"&amp;Tabela1[[#This Row],[SETOR]],BD!A:AF,31,0),"")</f>
        <v/>
      </c>
      <c r="AQ176" s="21" t="str">
        <f>IFERROR(VLOOKUP(Tabela1[[#This Row],[MÊS]]&amp;Tabela1[[#This Row],[ID]]&amp;Tabela1[[#This Row],[MATRICULA]]&amp;"Ponto de Apoio 2"&amp;Tabela1[[#This Row],[SETOR]],BD!A:AF,26,0),"")</f>
        <v/>
      </c>
      <c r="AR176" s="36" t="str">
        <f>IFERROR(VLOOKUP(Tabela1[[#This Row],[MÊS]]&amp;Tabela1[[#This Row],[ID]]&amp;Tabela1[[#This Row],[MATRICULA]]&amp;"Ponto de Apoio 3"&amp;Tabela1[[#This Row],[SETOR]],BD!A:AF,26,0),"")</f>
        <v/>
      </c>
      <c r="AS176" s="36" t="str">
        <f>IFERROR(VLOOKUP(Tabela1[[#This Row],[MÊS]]&amp;Tabela1[[#This Row],[ID]]&amp;Tabela1[[#This Row],[MATRICULA]]&amp;"Ponto de Apoio 4"&amp;Tabela1[[#This Row],[SETOR]],BD!A:AF,26,0),"")</f>
        <v/>
      </c>
      <c r="AT176" s="21" t="str">
        <f>IFERROR(VLOOKUP(Tabela1[[#This Row],[MÊS]]&amp;Tabela1[[#This Row],[MATRICULA]]&amp;"Cliente"&amp;Tabela1[[#This Row],[SETOR]],BD!A:AF,31,0),"")</f>
        <v/>
      </c>
      <c r="AU176" s="21" t="str">
        <f>IFERROR(VLOOKUP(Tabela1[[#This Row],[MÊS]]&amp;Tabela1[[#This Row],[ID]]&amp;Tabela1[[#This Row],[MATRICULA]]&amp;"Cliente 2"&amp;Tabela1[[#This Row],[SETOR]],BD!A:AF,26,0),"")</f>
        <v/>
      </c>
      <c r="AX176" s="21" t="str">
        <f>IFERROR(VLOOKUP(Tabela1[[#This Row],[MÊS]]&amp;Tabela1[[#This Row],[MATRICULA]]&amp;"Policia"&amp;Tabela1[[#This Row],[SETOR]],BD!A:AF,31,0),"")</f>
        <v/>
      </c>
      <c r="AY176" s="21" t="str">
        <f>IFERROR(VLOOKUP(Tabela1[[#This Row],[MÊS]]&amp;Tabela1[[#This Row],[ID]]&amp;Tabela1[[#This Row],[MATRICULA]]&amp;"Policia 2"&amp;Tabela1[[#This Row],[SETOR]],BD!A:AF,26,0),"")</f>
        <v/>
      </c>
      <c r="AZ176" s="36" t="str">
        <f>IFERROR(VLOOKUP(Tabela1[[#This Row],[MÊS]]&amp;Tabela1[[#This Row],[ID]]&amp;Tabela1[[#This Row],[MATRICULA]]&amp;"Policia 3"&amp;Tabela1[[#This Row],[SETOR]],BD!A:AF,26,0),"")</f>
        <v/>
      </c>
      <c r="BA176" s="36" t="str">
        <f>IFERROR(VLOOKUP(Tabela1[[#This Row],[MÊS]]&amp;Tabela1[[#This Row],[ID]]&amp;Tabela1[[#This Row],[MATRICULA]]&amp;"Policia 4"&amp;Tabela1[[#This Row],[SETOR]],BD!A:AF,26,0),"")</f>
        <v/>
      </c>
      <c r="BB17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6" s="21">
        <f>IFERROR(AVERAGE(Tabela1[[#This Row],[M]:[M4]]),"")</f>
        <v>0</v>
      </c>
      <c r="BD176" s="21" t="str">
        <f>IFERROR(AVERAGE(Tabela1[[#This Row],[C]:[C4]]),"")</f>
        <v/>
      </c>
      <c r="BE176" s="21" t="str">
        <f>IFERROR(AVERAGE(Tabela1[[#This Row],[PA2]:[PA 4]]),"")</f>
        <v/>
      </c>
      <c r="BF176" s="21" t="str">
        <f>IFERROR(AVERAGE(Tabela1[[#This Row],[PL]:[PL4]]),"")</f>
        <v/>
      </c>
      <c r="BG176" s="35" t="str">
        <f>IFERROR(VLOOKUP(Tabela1[[#This Row],[MÊS]]&amp;Tabela1[[#This Row],[MATRICULA]],#REF!,2,0),"")</f>
        <v/>
      </c>
      <c r="BH176" s="35" t="str">
        <f>IFERROR(VLOOKUP(Tabela1[[#This Row],[MÊS]]&amp;Tabela1[[#This Row],[MATRICULA]],#REF!,2,0),"")</f>
        <v/>
      </c>
      <c r="BI176" s="35" t="str">
        <f>IFERROR(VLOOKUP(Tabela1[[#This Row],[MÊS]]&amp;Tabela1[[#This Row],[MATRICULA]],#REF!,2,0),"")</f>
        <v/>
      </c>
      <c r="BJ176" s="35" t="str">
        <f>IFERROR(VLOOKUP(Tabela1[[#This Row],[MÊS]]&amp;Tabela1[[#This Row],[MATRICULA]],#REF!,2,0),"")</f>
        <v/>
      </c>
      <c r="BK176" s="35" t="str">
        <f>IFERROR(VLOOKUP(Tabela1[[#This Row],[MÊS]]&amp;Tabela1[[#This Row],[MATRICULA]],#REF!,2,0),"")</f>
        <v/>
      </c>
      <c r="BL176" s="21">
        <f>COUNTIF(Tabela1[[#This Row],[MOT2]:[RECEPTIVA]],"NÃO ENCONTRADA")</f>
        <v>0</v>
      </c>
      <c r="BM176" s="135" t="str">
        <f>IFERROR(VLOOKUP(Tabela1[[#This Row],[MÊS]]&amp;Tabela1[[#This Row],[ID]]&amp;Tabela1[[#This Row],[MATRICULA]]&amp;"Motorista"&amp;Tabela1[[#This Row],[SETOR]],BD!A:AF,13,0),"")</f>
        <v/>
      </c>
      <c r="BN176" s="135" t="str">
        <f>IFERROR(VLOOKUP(Tabela1[[#This Row],[MÊS]]&amp;Tabela1[[#This Row],[ID]]&amp;Tabela1[[#This Row],[MATRICULA]]&amp;"Motorista 2"&amp;Tabela1[[#This Row],[SETOR]],BD!A:AF,13,0),"")</f>
        <v/>
      </c>
      <c r="BO176" s="135" t="str">
        <f>IFERROR(VLOOKUP(Tabela1[[#This Row],[MÊS]]&amp;Tabela1[[#This Row],[ID]]&amp;Tabela1[[#This Row],[MATRICULA]]&amp;"Motorista 3"&amp;Tabela1[[#This Row],[SETOR]],BD!A:AF,13,0),"")</f>
        <v/>
      </c>
      <c r="BP176" s="135" t="str">
        <f>IFERROR(VLOOKUP(Tabela1[[#This Row],[MÊS]]&amp;Tabela1[[#This Row],[ID]]&amp;Tabela1[[#This Row],[MATRICULA]]&amp;"Motorista 4"&amp;Tabela1[[#This Row],[SETOR]],BD!A:AF,13,0),"")</f>
        <v/>
      </c>
      <c r="BQ176" s="135" t="str">
        <f>IFERROR(AVERAGE(Tabela1[[#This Row],[DMOT]:[DMOT4]]),"")</f>
        <v/>
      </c>
      <c r="BR176" s="135" t="str">
        <f>IFERROR(VLOOKUP(Tabela1[[#This Row],[MÊS]]&amp;Tabela1[[#This Row],[ID]]&amp;Tabela1[[#This Row],[MATRICULA]]&amp;"Ponto de Apoio"&amp;Tabela1[[#This Row],[SETOR]],BD!A:AF,13,0),"")</f>
        <v/>
      </c>
      <c r="BS176" s="135" t="str">
        <f>IFERROR(VLOOKUP(Tabela1[[#This Row],[MÊS]]&amp;Tabela1[[#This Row],[ID]]&amp;Tabela1[[#This Row],[MATRICULA]]&amp;"Ponto de Apoio 2"&amp;Tabela1[[#This Row],[SETOR]],BD!A:AF,13,0),"")</f>
        <v/>
      </c>
      <c r="BT176" s="135" t="str">
        <f>IFERROR(VLOOKUP(Tabela1[[#This Row],[MÊS]]&amp;Tabela1[[#This Row],[ID]]&amp;Tabela1[[#This Row],[MATRICULA]]&amp;"Ponto de Apoio 3"&amp;Tabela1[[#This Row],[SETOR]],BD!A:AF,13,0),"")</f>
        <v/>
      </c>
      <c r="BU176" s="135" t="str">
        <f>IFERROR(VLOOKUP(Tabela1[[#This Row],[MÊS]]&amp;Tabela1[[#This Row],[ID]]&amp;Tabela1[[#This Row],[MATRICULA]]&amp;"Ponto de Apoio 4"&amp;Tabela1[[#This Row],[SETOR]],BD!A:AF,13,0),"")</f>
        <v/>
      </c>
      <c r="BV176" s="135" t="str">
        <f>IFERROR(AVERAGE(Tabela1[[#This Row],[DPA]:[DPA 4]]),"")</f>
        <v/>
      </c>
      <c r="BW176" s="135" t="str">
        <f>IFERROR(VLOOKUP(Tabela1[[#This Row],[MÊS]]&amp;Tabela1[[#This Row],[ID]]&amp;Tabela1[[#This Row],[MATRICULA]]&amp;"Cliente"&amp;Tabela1[[#This Row],[SETOR]],BD!A:AF,13,0),"")</f>
        <v/>
      </c>
      <c r="BX176" s="135" t="str">
        <f>IFERROR(VLOOKUP(Tabela1[[#This Row],[MÊS]]&amp;Tabela1[[#This Row],[ID]]&amp;Tabela1[[#This Row],[MATRICULA]]&amp;"cliente 2"&amp;Tabela1[[#This Row],[SETOR]],BD!A:AF,13,0),"")</f>
        <v/>
      </c>
      <c r="BY176" s="135" t="str">
        <f>IFERROR(VLOOKUP(Tabela1[[#This Row],[MÊS]]&amp;Tabela1[[#This Row],[ID]]&amp;Tabela1[[#This Row],[MATRICULA]]&amp;"cliente 3"&amp;Tabela1[[#This Row],[SETOR]],BD!A:AF,13,0),"")</f>
        <v/>
      </c>
      <c r="BZ176" s="135" t="str">
        <f>IFERROR(VLOOKUP(Tabela1[[#This Row],[MÊS]]&amp;Tabela1[[#This Row],[ID]]&amp;Tabela1[[#This Row],[MATRICULA]]&amp;"cliente 4"&amp;Tabela1[[#This Row],[SETOR]],BD!A:AF,13,0),"")</f>
        <v/>
      </c>
      <c r="CA176" s="135" t="str">
        <f>IFERROR(AVERAGE(Tabela1[[#This Row],[DCLI]:[DCLI 4]]),"")</f>
        <v/>
      </c>
      <c r="CB176" s="135" t="str">
        <f>IFERROR(VLOOKUP(Tabela1[[#This Row],[MÊS]]&amp;Tabela1[[#This Row],[ID]]&amp;Tabela1[[#This Row],[MATRICULA]]&amp;"Policia"&amp;Tabela1[[#This Row],[SETOR]],BD!A:AF,13,0),"")</f>
        <v/>
      </c>
      <c r="CC176" s="135" t="str">
        <f>IFERROR(VLOOKUP(Tabela1[[#This Row],[MÊS]]&amp;Tabela1[[#This Row],[ID]]&amp;Tabela1[[#This Row],[MATRICULA]]&amp;"Policia 2"&amp;Tabela1[[#This Row],[SETOR]],BD!A:AF,13,0),"")</f>
        <v/>
      </c>
      <c r="CD176" s="135"/>
      <c r="CE176" s="135"/>
      <c r="CF176" s="135" t="str">
        <f>IFERROR((AVERAGE(Tabela1[[#This Row],[DPOL1]:[DPOL4]])),"")</f>
        <v/>
      </c>
      <c r="CG176" s="21" t="str">
        <f>IFERROR(VLOOKUP(Tabela1[[#This Row],[ID]]&amp;Tabela1[[#This Row],[MÊS]]&amp;Tabela1[[#This Row],[MATRICULA]],#REF!,2,0),"")</f>
        <v/>
      </c>
      <c r="CH176" s="21" t="str">
        <f>IFERROR(VLOOKUP(Tabela1[[#This Row],[ID]]&amp;Tabela1[[#This Row],[MÊS]]&amp;Tabela1[[#This Row],[MATRICULA]],#REF!,2,0),"")</f>
        <v/>
      </c>
      <c r="CI176" s="21" t="str">
        <f>IFERROR(VLOOKUP(Tabela1[[#This Row],[MÊS]]&amp;Tabela1[[#This Row],[MATRICULA]],#REF!,2,0),"")</f>
        <v/>
      </c>
    </row>
    <row r="177" spans="1:87">
      <c r="A177" s="12" t="str">
        <f>Tabela1[[#This Row],[MÊS]]&amp;Tabela1[[#This Row],[MATRICULA]]&amp;Tabela1[[#This Row],[ID]]</f>
        <v>JAN1150910</v>
      </c>
      <c r="B177" s="12" t="str">
        <f>Tabela1[[#This Row],[MÊS]]&amp;Tabela1[[#This Row],[ID]]&amp;Tabela1[[#This Row],[MATRICULA]]&amp;Tabela1[[#This Row],[SETOR]]</f>
        <v>JAN1011509TRANSFERÊNCIA</v>
      </c>
      <c r="C177" s="130" t="e">
        <f>VLOOKUP(Tabela1[[#This Row],[MATRICULA]],'BD Campos'!A:D,5,0)</f>
        <v>#REF!</v>
      </c>
      <c r="D177" s="133" t="str">
        <f ca="1">IFERROR(SUM(TODAY()-Tabela1[[#This Row],[ADMISSÃO]]),"")</f>
        <v/>
      </c>
      <c r="E177" s="11" t="str">
        <f ca="1">IFERROR(TRUNC(Tabela1[[#This Row],[TEMPO DE CASA (DIAS)]]/30),"")</f>
        <v/>
      </c>
      <c r="F177" s="32" t="str">
        <f ca="1">IFERROR(SUM(Tabela1[[#This Row],[TEMPO DE CASA (MESES)]]/12),"")</f>
        <v/>
      </c>
      <c r="G177" s="133" t="str">
        <f ca="1">IF(Tabela1[[#This Row],[TEMPO DE CASA (DIAS)]]="","SEM DADOS",IF(Tabela1[[#This Row],[TEMPO DE CASA (DIAS)]]&gt;180,"&gt; 6 MESES","&lt; 6 MESES"))</f>
        <v>SEM DADOS</v>
      </c>
      <c r="H177" s="12" t="str">
        <f t="shared" si="16"/>
        <v>JANGustavo Miralha10</v>
      </c>
      <c r="I177" s="12" t="str">
        <f>IFERROR(VLOOKUP(Tabela1[[#This Row],[MATRICULA]],'BD Campos'!A:F,7,0),"")</f>
        <v/>
      </c>
      <c r="J177" s="11">
        <v>10</v>
      </c>
      <c r="K177" s="11" t="s">
        <v>669</v>
      </c>
      <c r="L177" s="136">
        <v>11509</v>
      </c>
      <c r="M177" s="12" t="str">
        <f>IFERROR(VLOOKUP(Tabela1[[#This Row],[MATRICULA]],'BD Campos'!A:B,2,0),"")</f>
        <v>CLEWERTON RODRIGUES</v>
      </c>
      <c r="N177" s="20">
        <f>IFERROR(AVERAGE(Tabela1[[#This Row],[A1]:[A4]]),"")</f>
        <v>8.4774999999999991</v>
      </c>
      <c r="O177" s="20" t="str">
        <f>IFERROR(IF(Tabela1[[#This Row],[SETOR]]="RECEPTIVO","",AVERAGE(Tabela1[[#This Row],[A5]:[A6]])),"")</f>
        <v/>
      </c>
      <c r="P177" s="20" t="str">
        <f>IFERROR(IF(Tabela1[[#This Row],[STATUS]]="INATIVO","INATIVO",IF(Tabela1[[#This Row],[STATUS]]="QRT","INATIVO",IF(Tabela1[[#This Row],[OPERACIONAL]]&gt;7.99999,"BOM","RUIM"))),"")</f>
        <v>BOM</v>
      </c>
      <c r="Q177" s="21" t="s">
        <v>667</v>
      </c>
      <c r="R177" s="12" t="s">
        <v>710</v>
      </c>
      <c r="S177" s="12" t="s">
        <v>711</v>
      </c>
      <c r="T177" s="12" t="s">
        <v>192</v>
      </c>
      <c r="U17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7" s="12">
        <f>IF(AND(Tabela1[[#This Row],[SETOR]]="UTI",Tabela1[[#This Row],[M]]&lt;&gt;""),1,IF(AND(Tabela1[[#This Row],[SETOR]]="UTI (RJ)",Tabela1[[#This Row],[M]]&lt;&gt;""),1.5,0))</f>
        <v>0</v>
      </c>
      <c r="X177" s="12">
        <f>IF(AND(Tabela1[[#This Row],[SETOR]]="UTI",Tabela1[[#This Row],[PA2]]&lt;&gt;""),1,IF(AND(Tabela1[[#This Row],[SETOR]]="UTI (RJ)",Tabela1[[#This Row],[PA2]]&lt;&gt;""),0,0))</f>
        <v>0</v>
      </c>
      <c r="Y177" s="12">
        <f>IF(AND(Tabela1[[#This Row],[SETOR]]="UTI",Tabela1[[#This Row],[C]]&lt;&gt;""),1,IF(AND(Tabela1[[#This Row],[SETOR]]="UTI (RJ)",Tabela1[[#This Row],[C]]&lt;&gt;""),1.5,0))</f>
        <v>0</v>
      </c>
      <c r="Z177" s="12">
        <f>IF(AND(Tabela1[[#This Row],[SETOR]]="UTI",Tabela1[[#This Row],[PL]]&lt;&gt;""),1,IF(AND(Tabela1[[#This Row],[SETOR]]="UTI (RJ)",Tabela1[[#This Row],[PL]]&lt;&gt;""),1,0))</f>
        <v>0</v>
      </c>
      <c r="AA177" s="21">
        <f>IFERROR(VLOOKUP(Tabela1[[#This Row],[MÊS]]&amp;Tabela1[[#This Row],[MATRICULA]]&amp;"1"&amp;Tabela1[[#This Row],[SETOR]]&amp;"PADRÃO",BD!B:AF,31,0),"")</f>
        <v>8.2149999999999999</v>
      </c>
      <c r="AB177" s="21">
        <f>IFERROR(VLOOKUP(Tabela1[[#This Row],[MÊS]]&amp;Tabela1[[#This Row],[MATRICULA]]&amp;"2"&amp;Tabela1[[#This Row],[SETOR]]&amp;"PADRÃO",BD!B:AF,31,0),"")</f>
        <v>8.7399999999999984</v>
      </c>
      <c r="AC177" s="21" t="str">
        <f>IFERROR(VLOOKUP(Tabela1[[#This Row],[MÊS]]&amp;Tabela1[[#This Row],[MATRICULA]]&amp;"3"&amp;Tabela1[[#This Row],[SETOR]]&amp;"PADRÃO",BD!B:AF,31,0),"")</f>
        <v/>
      </c>
      <c r="AD177" s="21" t="str">
        <f>IFERROR(VLOOKUP(Tabela1[[#This Row],[MÊS]]&amp;Tabela1[[#This Row],[MATRICULA]]&amp;"4"&amp;Tabela1[[#This Row],[SETOR]]&amp;"PADRÃO",BD!B:AF,25,0),"")</f>
        <v/>
      </c>
      <c r="AE177" s="21" t="str">
        <f>IFERROR(VLOOKUP(Tabela1[[#This Row],[MÊS]]&amp;Tabela1[[#This Row],[MATRICULA]]&amp;"5"&amp;Tabela1[[#This Row],[SETOR]]&amp;"PADRÃO",BD!B:AF,31,0),"")</f>
        <v/>
      </c>
      <c r="AF177" s="21" t="str">
        <f>IFERROR(VLOOKUP(Tabela1[[#This Row],[MÊS]]&amp;Tabela1[[#This Row],[MATRICULA]]&amp;"6"&amp;Tabela1[[#This Row],[SETOR]]&amp;"PADRÃO",BD!B:AF,31,0),"")</f>
        <v/>
      </c>
      <c r="AG177" s="21" t="str">
        <f>IFERROR(VLOOKUP(Tabela1[[#This Row],[MÊS]]&amp;Tabela1[[#This Row],[MATRICULA]]&amp;"7"&amp;Tabela1[[#This Row],[SETOR]]&amp;"PADRÃO",BD!B:AF,31,0),"")</f>
        <v/>
      </c>
      <c r="AH177" s="21" t="str">
        <f>IFERROR(VLOOKUP(Tabela1[[#This Row],[MÊS]]&amp;Tabela1[[#This Row],[ID]]&amp;Tabela1[[#This Row],[MATRICULA]]&amp;"Receptiva"&amp;Tabela1[[#This Row],[SETOR]],BD!A:AF,31,0),"")</f>
        <v/>
      </c>
      <c r="AI177" s="21" t="str">
        <f>IFERROR(VLOOKUP(Tabela1[[#This Row],[MÊS]]&amp;Tabela1[[#This Row],[ID]]&amp;Tabela1[[#This Row],[MATRICULA]]&amp;"Receptiva 2"&amp;Tabela1[[#This Row],[SETOR]],BD!A:AF,31,0),"")</f>
        <v/>
      </c>
      <c r="AJ177" s="21" t="str">
        <f>IFERROR(VLOOKUP(Tabela1[[#This Row],[MÊS]]&amp;Tabela1[[#This Row],[ID]]&amp;Tabela1[[#This Row],[MATRICULA]]&amp;"Receptiva 3"&amp;Tabela1[[#This Row],[SETOR]],BD!A:AF,31,0),"")</f>
        <v/>
      </c>
      <c r="AK177" s="21" t="str">
        <f>IFERROR(VLOOKUP(Tabela1[[#This Row],[MÊS]]&amp;Tabela1[[#This Row],[ID]]&amp;Tabela1[[#This Row],[MATRICULA]]&amp;"Receptiva 4"&amp;Tabela1[[#This Row],[SETOR]],BD!A:AF,31,0),"")</f>
        <v/>
      </c>
      <c r="AL177" s="21">
        <f>IFERROR(VLOOKUP(Tabela1[[#This Row],[MÊS]]&amp;Tabela1[[#This Row],[MATRICULA]]&amp;"Motorista"&amp;Tabela1[[#This Row],[SETOR]],BD!A:AF,31,0),"")</f>
        <v>0</v>
      </c>
      <c r="AM177" s="21" t="str">
        <f>IFERROR(VLOOKUP(Tabela1[[#This Row],[MÊS]]&amp;Tabela1[[#This Row],[ID]]&amp;Tabela1[[#This Row],[MATRICULA]]&amp;"Motorista 2"&amp;Tabela1[[#This Row],[SETOR]],BD!A:AF,26,0),"")</f>
        <v/>
      </c>
      <c r="AN177" s="21" t="str">
        <f>IFERROR(VLOOKUP(Tabela1[[#This Row],[MÊS]]&amp;Tabela1[[#This Row],[ID]]&amp;Tabela1[[#This Row],[MATRICULA]]&amp;"Motorista 3"&amp;Tabela1[[#This Row],[SETOR]],BD!A:AF,26,0),"")</f>
        <v/>
      </c>
      <c r="AO177" s="21" t="str">
        <f>IFERROR(VLOOKUP(Tabela1[[#This Row],[MÊS]]&amp;Tabela1[[#This Row],[ID]]&amp;Tabela1[[#This Row],[MATRICULA]]&amp;"Motorista 4"&amp;Tabela1[[#This Row],[SETOR]],BD!A:AF,26,0),"")</f>
        <v/>
      </c>
      <c r="AP177" s="21" t="str">
        <f>IFERROR(VLOOKUP(Tabela1[[#This Row],[MÊS]]&amp;Tabela1[[#This Row],[MATRICULA]]&amp;"Ponto de Apoio"&amp;Tabela1[[#This Row],[SETOR]],BD!A:AF,31,0),"")</f>
        <v/>
      </c>
      <c r="AQ177" s="21" t="str">
        <f>IFERROR(VLOOKUP(Tabela1[[#This Row],[MÊS]]&amp;Tabela1[[#This Row],[ID]]&amp;Tabela1[[#This Row],[MATRICULA]]&amp;"Ponto de Apoio 2"&amp;Tabela1[[#This Row],[SETOR]],BD!A:AF,26,0),"")</f>
        <v/>
      </c>
      <c r="AR177" s="36" t="str">
        <f>IFERROR(VLOOKUP(Tabela1[[#This Row],[MÊS]]&amp;Tabela1[[#This Row],[ID]]&amp;Tabela1[[#This Row],[MATRICULA]]&amp;"Ponto de Apoio 3"&amp;Tabela1[[#This Row],[SETOR]],BD!A:AF,26,0),"")</f>
        <v/>
      </c>
      <c r="AS177" s="36" t="str">
        <f>IFERROR(VLOOKUP(Tabela1[[#This Row],[MÊS]]&amp;Tabela1[[#This Row],[ID]]&amp;Tabela1[[#This Row],[MATRICULA]]&amp;"Ponto de Apoio 4"&amp;Tabela1[[#This Row],[SETOR]],BD!A:AF,26,0),"")</f>
        <v/>
      </c>
      <c r="AT177" s="21" t="str">
        <f>IFERROR(VLOOKUP(Tabela1[[#This Row],[MÊS]]&amp;Tabela1[[#This Row],[MATRICULA]]&amp;"Cliente"&amp;Tabela1[[#This Row],[SETOR]],BD!A:AF,31,0),"")</f>
        <v/>
      </c>
      <c r="AU177" s="21" t="str">
        <f>IFERROR(VLOOKUP(Tabela1[[#This Row],[MÊS]]&amp;Tabela1[[#This Row],[ID]]&amp;Tabela1[[#This Row],[MATRICULA]]&amp;"Cliente 2"&amp;Tabela1[[#This Row],[SETOR]],BD!A:AF,26,0),"")</f>
        <v/>
      </c>
      <c r="AX177" s="21" t="str">
        <f>IFERROR(VLOOKUP(Tabela1[[#This Row],[MÊS]]&amp;Tabela1[[#This Row],[MATRICULA]]&amp;"Policia"&amp;Tabela1[[#This Row],[SETOR]],BD!A:AF,31,0),"")</f>
        <v/>
      </c>
      <c r="AY177" s="21" t="str">
        <f>IFERROR(VLOOKUP(Tabela1[[#This Row],[MÊS]]&amp;Tabela1[[#This Row],[ID]]&amp;Tabela1[[#This Row],[MATRICULA]]&amp;"Policia 2"&amp;Tabela1[[#This Row],[SETOR]],BD!A:AF,26,0),"")</f>
        <v/>
      </c>
      <c r="AZ177" s="36" t="str">
        <f>IFERROR(VLOOKUP(Tabela1[[#This Row],[MÊS]]&amp;Tabela1[[#This Row],[ID]]&amp;Tabela1[[#This Row],[MATRICULA]]&amp;"Policia 3"&amp;Tabela1[[#This Row],[SETOR]],BD!A:AF,26,0),"")</f>
        <v/>
      </c>
      <c r="BA177" s="36" t="str">
        <f>IFERROR(VLOOKUP(Tabela1[[#This Row],[MÊS]]&amp;Tabela1[[#This Row],[ID]]&amp;Tabela1[[#This Row],[MATRICULA]]&amp;"Policia 4"&amp;Tabela1[[#This Row],[SETOR]],BD!A:AF,26,0),"")</f>
        <v/>
      </c>
      <c r="BB17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7" s="21">
        <f>IFERROR(AVERAGE(Tabela1[[#This Row],[M]:[M4]]),"")</f>
        <v>0</v>
      </c>
      <c r="BD177" s="21" t="str">
        <f>IFERROR(AVERAGE(Tabela1[[#This Row],[C]:[C4]]),"")</f>
        <v/>
      </c>
      <c r="BE177" s="21" t="str">
        <f>IFERROR(AVERAGE(Tabela1[[#This Row],[PA2]:[PA 4]]),"")</f>
        <v/>
      </c>
      <c r="BF177" s="21" t="str">
        <f>IFERROR(AVERAGE(Tabela1[[#This Row],[PL]:[PL4]]),"")</f>
        <v/>
      </c>
      <c r="BG177" s="35" t="str">
        <f>IFERROR(VLOOKUP(Tabela1[[#This Row],[MÊS]]&amp;Tabela1[[#This Row],[MATRICULA]],#REF!,2,0),"")</f>
        <v/>
      </c>
      <c r="BH177" s="35" t="str">
        <f>IFERROR(VLOOKUP(Tabela1[[#This Row],[MÊS]]&amp;Tabela1[[#This Row],[MATRICULA]],#REF!,2,0),"")</f>
        <v/>
      </c>
      <c r="BI177" s="35" t="str">
        <f>IFERROR(VLOOKUP(Tabela1[[#This Row],[MÊS]]&amp;Tabela1[[#This Row],[MATRICULA]],#REF!,2,0),"")</f>
        <v/>
      </c>
      <c r="BJ177" s="35" t="str">
        <f>IFERROR(VLOOKUP(Tabela1[[#This Row],[MÊS]]&amp;Tabela1[[#This Row],[MATRICULA]],#REF!,2,0),"")</f>
        <v/>
      </c>
      <c r="BK177" s="35" t="str">
        <f>IFERROR(VLOOKUP(Tabela1[[#This Row],[MÊS]]&amp;Tabela1[[#This Row],[MATRICULA]],#REF!,2,0),"")</f>
        <v/>
      </c>
      <c r="BL177" s="21">
        <f>COUNTIF(Tabela1[[#This Row],[MOT2]:[RECEPTIVA]],"NÃO ENCONTRADA")</f>
        <v>0</v>
      </c>
      <c r="BM177" s="135" t="str">
        <f>IFERROR(VLOOKUP(Tabela1[[#This Row],[MÊS]]&amp;Tabela1[[#This Row],[ID]]&amp;Tabela1[[#This Row],[MATRICULA]]&amp;"Motorista"&amp;Tabela1[[#This Row],[SETOR]],BD!A:AF,13,0),"")</f>
        <v/>
      </c>
      <c r="BN177" s="135" t="str">
        <f>IFERROR(VLOOKUP(Tabela1[[#This Row],[MÊS]]&amp;Tabela1[[#This Row],[ID]]&amp;Tabela1[[#This Row],[MATRICULA]]&amp;"Motorista 2"&amp;Tabela1[[#This Row],[SETOR]],BD!A:AF,13,0),"")</f>
        <v/>
      </c>
      <c r="BO177" s="135" t="str">
        <f>IFERROR(VLOOKUP(Tabela1[[#This Row],[MÊS]]&amp;Tabela1[[#This Row],[ID]]&amp;Tabela1[[#This Row],[MATRICULA]]&amp;"Motorista 3"&amp;Tabela1[[#This Row],[SETOR]],BD!A:AF,13,0),"")</f>
        <v/>
      </c>
      <c r="BP177" s="135" t="str">
        <f>IFERROR(VLOOKUP(Tabela1[[#This Row],[MÊS]]&amp;Tabela1[[#This Row],[ID]]&amp;Tabela1[[#This Row],[MATRICULA]]&amp;"Motorista 4"&amp;Tabela1[[#This Row],[SETOR]],BD!A:AF,13,0),"")</f>
        <v/>
      </c>
      <c r="BQ177" s="135" t="str">
        <f>IFERROR(AVERAGE(Tabela1[[#This Row],[DMOT]:[DMOT4]]),"")</f>
        <v/>
      </c>
      <c r="BR177" s="135" t="str">
        <f>IFERROR(VLOOKUP(Tabela1[[#This Row],[MÊS]]&amp;Tabela1[[#This Row],[ID]]&amp;Tabela1[[#This Row],[MATRICULA]]&amp;"Ponto de Apoio"&amp;Tabela1[[#This Row],[SETOR]],BD!A:AF,13,0),"")</f>
        <v/>
      </c>
      <c r="BS177" s="135" t="str">
        <f>IFERROR(VLOOKUP(Tabela1[[#This Row],[MÊS]]&amp;Tabela1[[#This Row],[ID]]&amp;Tabela1[[#This Row],[MATRICULA]]&amp;"Ponto de Apoio 2"&amp;Tabela1[[#This Row],[SETOR]],BD!A:AF,13,0),"")</f>
        <v/>
      </c>
      <c r="BT177" s="135" t="str">
        <f>IFERROR(VLOOKUP(Tabela1[[#This Row],[MÊS]]&amp;Tabela1[[#This Row],[ID]]&amp;Tabela1[[#This Row],[MATRICULA]]&amp;"Ponto de Apoio 3"&amp;Tabela1[[#This Row],[SETOR]],BD!A:AF,13,0),"")</f>
        <v/>
      </c>
      <c r="BU177" s="135" t="str">
        <f>IFERROR(VLOOKUP(Tabela1[[#This Row],[MÊS]]&amp;Tabela1[[#This Row],[ID]]&amp;Tabela1[[#This Row],[MATRICULA]]&amp;"Ponto de Apoio 4"&amp;Tabela1[[#This Row],[SETOR]],BD!A:AF,13,0),"")</f>
        <v/>
      </c>
      <c r="BV177" s="135" t="str">
        <f>IFERROR(AVERAGE(Tabela1[[#This Row],[DPA]:[DPA 4]]),"")</f>
        <v/>
      </c>
      <c r="BW177" s="135" t="str">
        <f>IFERROR(VLOOKUP(Tabela1[[#This Row],[MÊS]]&amp;Tabela1[[#This Row],[ID]]&amp;Tabela1[[#This Row],[MATRICULA]]&amp;"Cliente"&amp;Tabela1[[#This Row],[SETOR]],BD!A:AF,13,0),"")</f>
        <v/>
      </c>
      <c r="BX177" s="135" t="str">
        <f>IFERROR(VLOOKUP(Tabela1[[#This Row],[MÊS]]&amp;Tabela1[[#This Row],[ID]]&amp;Tabela1[[#This Row],[MATRICULA]]&amp;"cliente 2"&amp;Tabela1[[#This Row],[SETOR]],BD!A:AF,13,0),"")</f>
        <v/>
      </c>
      <c r="BY177" s="135" t="str">
        <f>IFERROR(VLOOKUP(Tabela1[[#This Row],[MÊS]]&amp;Tabela1[[#This Row],[ID]]&amp;Tabela1[[#This Row],[MATRICULA]]&amp;"cliente 3"&amp;Tabela1[[#This Row],[SETOR]],BD!A:AF,13,0),"")</f>
        <v/>
      </c>
      <c r="BZ177" s="135" t="str">
        <f>IFERROR(VLOOKUP(Tabela1[[#This Row],[MÊS]]&amp;Tabela1[[#This Row],[ID]]&amp;Tabela1[[#This Row],[MATRICULA]]&amp;"cliente 4"&amp;Tabela1[[#This Row],[SETOR]],BD!A:AF,13,0),"")</f>
        <v/>
      </c>
      <c r="CA177" s="135" t="str">
        <f>IFERROR(AVERAGE(Tabela1[[#This Row],[DCLI]:[DCLI 4]]),"")</f>
        <v/>
      </c>
      <c r="CB177" s="135" t="str">
        <f>IFERROR(VLOOKUP(Tabela1[[#This Row],[MÊS]]&amp;Tabela1[[#This Row],[ID]]&amp;Tabela1[[#This Row],[MATRICULA]]&amp;"Policia"&amp;Tabela1[[#This Row],[SETOR]],BD!A:AF,13,0),"")</f>
        <v/>
      </c>
      <c r="CC177" s="135" t="str">
        <f>IFERROR(VLOOKUP(Tabela1[[#This Row],[MÊS]]&amp;Tabela1[[#This Row],[ID]]&amp;Tabela1[[#This Row],[MATRICULA]]&amp;"Policia 2"&amp;Tabela1[[#This Row],[SETOR]],BD!A:AF,13,0),"")</f>
        <v/>
      </c>
      <c r="CD177" s="135"/>
      <c r="CE177" s="135"/>
      <c r="CF177" s="135" t="str">
        <f>IFERROR((AVERAGE(Tabela1[[#This Row],[DPOL1]:[DPOL4]])),"")</f>
        <v/>
      </c>
      <c r="CG177" s="21" t="str">
        <f>IFERROR(VLOOKUP(Tabela1[[#This Row],[ID]]&amp;Tabela1[[#This Row],[MÊS]]&amp;Tabela1[[#This Row],[MATRICULA]],#REF!,2,0),"")</f>
        <v/>
      </c>
      <c r="CH177" s="21" t="str">
        <f>IFERROR(VLOOKUP(Tabela1[[#This Row],[ID]]&amp;Tabela1[[#This Row],[MÊS]]&amp;Tabela1[[#This Row],[MATRICULA]],#REF!,2,0),"")</f>
        <v/>
      </c>
      <c r="CI177" s="21" t="str">
        <f>IFERROR(VLOOKUP(Tabela1[[#This Row],[MÊS]]&amp;Tabela1[[#This Row],[MATRICULA]],#REF!,2,0),"")</f>
        <v/>
      </c>
    </row>
    <row r="178" spans="1:87">
      <c r="A178" s="12" t="str">
        <f>Tabela1[[#This Row],[MÊS]]&amp;Tabela1[[#This Row],[MATRICULA]]&amp;Tabela1[[#This Row],[ID]]</f>
        <v>JAN1150511</v>
      </c>
      <c r="B178" s="12" t="str">
        <f>Tabela1[[#This Row],[MÊS]]&amp;Tabela1[[#This Row],[ID]]&amp;Tabela1[[#This Row],[MATRICULA]]&amp;Tabela1[[#This Row],[SETOR]]</f>
        <v>JAN1111505TRANSFERÊNCIA</v>
      </c>
      <c r="C178" s="130" t="e">
        <f>VLOOKUP(Tabela1[[#This Row],[MATRICULA]],'BD Campos'!A:D,5,0)</f>
        <v>#REF!</v>
      </c>
      <c r="D178" s="133" t="str">
        <f ca="1">IFERROR(SUM(TODAY()-Tabela1[[#This Row],[ADMISSÃO]]),"")</f>
        <v/>
      </c>
      <c r="E178" s="11" t="str">
        <f ca="1">IFERROR(TRUNC(Tabela1[[#This Row],[TEMPO DE CASA (DIAS)]]/30),"")</f>
        <v/>
      </c>
      <c r="F178" s="32" t="str">
        <f ca="1">IFERROR(SUM(Tabela1[[#This Row],[TEMPO DE CASA (MESES)]]/12),"")</f>
        <v/>
      </c>
      <c r="G178" s="133" t="str">
        <f ca="1">IF(Tabela1[[#This Row],[TEMPO DE CASA (DIAS)]]="","SEM DADOS",IF(Tabela1[[#This Row],[TEMPO DE CASA (DIAS)]]&gt;180,"&gt; 6 MESES","&lt; 6 MESES"))</f>
        <v>SEM DADOS</v>
      </c>
      <c r="H178" s="12" t="str">
        <f t="shared" si="16"/>
        <v>JANGustavo Miralha11</v>
      </c>
      <c r="I178" s="12" t="str">
        <f>IFERROR(VLOOKUP(Tabela1[[#This Row],[MATRICULA]],'BD Campos'!A:F,7,0),"")</f>
        <v/>
      </c>
      <c r="J178" s="11">
        <v>11</v>
      </c>
      <c r="K178" s="11" t="s">
        <v>669</v>
      </c>
      <c r="L178" s="136">
        <v>11505</v>
      </c>
      <c r="M178" s="12" t="str">
        <f>IFERROR(VLOOKUP(Tabela1[[#This Row],[MATRICULA]],'BD Campos'!A:B,2,0),"")</f>
        <v>DAYANE MACÊDO DE OLIVEIRA GUIMARÃES</v>
      </c>
      <c r="N178" s="20">
        <f>IFERROR(AVERAGE(Tabela1[[#This Row],[A1]:[A4]]),"")</f>
        <v>7.7319000000000013</v>
      </c>
      <c r="O178" s="20" t="str">
        <f>IFERROR(IF(Tabela1[[#This Row],[SETOR]]="RECEPTIVO","",AVERAGE(Tabela1[[#This Row],[A5]:[A6]])),"")</f>
        <v/>
      </c>
      <c r="P178" s="20" t="str">
        <f>IFERROR(IF(Tabela1[[#This Row],[STATUS]]="INATIVO","INATIVO",IF(Tabela1[[#This Row],[STATUS]]="QRT","INATIVO",IF(Tabela1[[#This Row],[OPERACIONAL]]&gt;7.99999,"BOM","RUIM"))),"")</f>
        <v>RUIM</v>
      </c>
      <c r="Q178" s="21" t="s">
        <v>667</v>
      </c>
      <c r="R178" s="12" t="s">
        <v>710</v>
      </c>
      <c r="S178" s="12" t="s">
        <v>711</v>
      </c>
      <c r="T178" s="12" t="s">
        <v>192</v>
      </c>
      <c r="U17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8" s="12">
        <f>IF(AND(Tabela1[[#This Row],[SETOR]]="UTI",Tabela1[[#This Row],[M]]&lt;&gt;""),1,IF(AND(Tabela1[[#This Row],[SETOR]]="UTI (RJ)",Tabela1[[#This Row],[M]]&lt;&gt;""),1.5,0))</f>
        <v>0</v>
      </c>
      <c r="X178" s="12">
        <f>IF(AND(Tabela1[[#This Row],[SETOR]]="UTI",Tabela1[[#This Row],[PA2]]&lt;&gt;""),1,IF(AND(Tabela1[[#This Row],[SETOR]]="UTI (RJ)",Tabela1[[#This Row],[PA2]]&lt;&gt;""),0,0))</f>
        <v>0</v>
      </c>
      <c r="Y178" s="12">
        <f>IF(AND(Tabela1[[#This Row],[SETOR]]="UTI",Tabela1[[#This Row],[C]]&lt;&gt;""),1,IF(AND(Tabela1[[#This Row],[SETOR]]="UTI (RJ)",Tabela1[[#This Row],[C]]&lt;&gt;""),1.5,0))</f>
        <v>0</v>
      </c>
      <c r="Z178" s="12">
        <f>IF(AND(Tabela1[[#This Row],[SETOR]]="UTI",Tabela1[[#This Row],[PL]]&lt;&gt;""),1,IF(AND(Tabela1[[#This Row],[SETOR]]="UTI (RJ)",Tabela1[[#This Row],[PL]]&lt;&gt;""),1,0))</f>
        <v>0</v>
      </c>
      <c r="AA178" s="21">
        <f>IFERROR(VLOOKUP(Tabela1[[#This Row],[MÊS]]&amp;Tabela1[[#This Row],[MATRICULA]]&amp;"1"&amp;Tabela1[[#This Row],[SETOR]]&amp;"PADRÃO",BD!B:AF,31,0),"")</f>
        <v>10.000000000000002</v>
      </c>
      <c r="AB178" s="21">
        <f>IFERROR(VLOOKUP(Tabela1[[#This Row],[MÊS]]&amp;Tabela1[[#This Row],[MATRICULA]]&amp;"2"&amp;Tabela1[[#This Row],[SETOR]]&amp;"PADRÃO",BD!B:AF,31,0),"")</f>
        <v>5.4638</v>
      </c>
      <c r="AC178" s="21" t="str">
        <f>IFERROR(VLOOKUP(Tabela1[[#This Row],[MÊS]]&amp;Tabela1[[#This Row],[MATRICULA]]&amp;"3"&amp;Tabela1[[#This Row],[SETOR]]&amp;"PADRÃO",BD!B:AF,31,0),"")</f>
        <v/>
      </c>
      <c r="AD178" s="21" t="str">
        <f>IFERROR(VLOOKUP(Tabela1[[#This Row],[MÊS]]&amp;Tabela1[[#This Row],[MATRICULA]]&amp;"4"&amp;Tabela1[[#This Row],[SETOR]]&amp;"PADRÃO",BD!B:AF,25,0),"")</f>
        <v/>
      </c>
      <c r="AE178" s="21" t="str">
        <f>IFERROR(VLOOKUP(Tabela1[[#This Row],[MÊS]]&amp;Tabela1[[#This Row],[MATRICULA]]&amp;"5"&amp;Tabela1[[#This Row],[SETOR]]&amp;"PADRÃO",BD!B:AF,31,0),"")</f>
        <v/>
      </c>
      <c r="AF178" s="21" t="str">
        <f>IFERROR(VLOOKUP(Tabela1[[#This Row],[MÊS]]&amp;Tabela1[[#This Row],[MATRICULA]]&amp;"6"&amp;Tabela1[[#This Row],[SETOR]]&amp;"PADRÃO",BD!B:AF,31,0),"")</f>
        <v/>
      </c>
      <c r="AG178" s="21" t="str">
        <f>IFERROR(VLOOKUP(Tabela1[[#This Row],[MÊS]]&amp;Tabela1[[#This Row],[MATRICULA]]&amp;"7"&amp;Tabela1[[#This Row],[SETOR]]&amp;"PADRÃO",BD!B:AF,31,0),"")</f>
        <v/>
      </c>
      <c r="AH178" s="21" t="str">
        <f>IFERROR(VLOOKUP(Tabela1[[#This Row],[MÊS]]&amp;Tabela1[[#This Row],[ID]]&amp;Tabela1[[#This Row],[MATRICULA]]&amp;"Receptiva"&amp;Tabela1[[#This Row],[SETOR]],BD!A:AF,31,0),"")</f>
        <v/>
      </c>
      <c r="AI178" s="21" t="str">
        <f>IFERROR(VLOOKUP(Tabela1[[#This Row],[MÊS]]&amp;Tabela1[[#This Row],[ID]]&amp;Tabela1[[#This Row],[MATRICULA]]&amp;"Receptiva 2"&amp;Tabela1[[#This Row],[SETOR]],BD!A:AF,31,0),"")</f>
        <v/>
      </c>
      <c r="AJ178" s="21" t="str">
        <f>IFERROR(VLOOKUP(Tabela1[[#This Row],[MÊS]]&amp;Tabela1[[#This Row],[ID]]&amp;Tabela1[[#This Row],[MATRICULA]]&amp;"Receptiva 3"&amp;Tabela1[[#This Row],[SETOR]],BD!A:AF,31,0),"")</f>
        <v/>
      </c>
      <c r="AK178" s="21" t="str">
        <f>IFERROR(VLOOKUP(Tabela1[[#This Row],[MÊS]]&amp;Tabela1[[#This Row],[ID]]&amp;Tabela1[[#This Row],[MATRICULA]]&amp;"Receptiva 4"&amp;Tabela1[[#This Row],[SETOR]],BD!A:AF,31,0),"")</f>
        <v/>
      </c>
      <c r="AL178" s="21">
        <f>IFERROR(VLOOKUP(Tabela1[[#This Row],[MÊS]]&amp;Tabela1[[#This Row],[MATRICULA]]&amp;"Motorista"&amp;Tabela1[[#This Row],[SETOR]],BD!A:AF,31,0),"")</f>
        <v>0</v>
      </c>
      <c r="AM178" s="21" t="str">
        <f>IFERROR(VLOOKUP(Tabela1[[#This Row],[MÊS]]&amp;Tabela1[[#This Row],[ID]]&amp;Tabela1[[#This Row],[MATRICULA]]&amp;"Motorista 2"&amp;Tabela1[[#This Row],[SETOR]],BD!A:AF,26,0),"")</f>
        <v/>
      </c>
      <c r="AN178" s="21" t="str">
        <f>IFERROR(VLOOKUP(Tabela1[[#This Row],[MÊS]]&amp;Tabela1[[#This Row],[ID]]&amp;Tabela1[[#This Row],[MATRICULA]]&amp;"Motorista 3"&amp;Tabela1[[#This Row],[SETOR]],BD!A:AF,26,0),"")</f>
        <v/>
      </c>
      <c r="AO178" s="21" t="str">
        <f>IFERROR(VLOOKUP(Tabela1[[#This Row],[MÊS]]&amp;Tabela1[[#This Row],[ID]]&amp;Tabela1[[#This Row],[MATRICULA]]&amp;"Motorista 4"&amp;Tabela1[[#This Row],[SETOR]],BD!A:AF,26,0),"")</f>
        <v/>
      </c>
      <c r="AP178" s="21" t="str">
        <f>IFERROR(VLOOKUP(Tabela1[[#This Row],[MÊS]]&amp;Tabela1[[#This Row],[MATRICULA]]&amp;"Ponto de Apoio"&amp;Tabela1[[#This Row],[SETOR]],BD!A:AF,31,0),"")</f>
        <v/>
      </c>
      <c r="AQ178" s="21" t="str">
        <f>IFERROR(VLOOKUP(Tabela1[[#This Row],[MÊS]]&amp;Tabela1[[#This Row],[ID]]&amp;Tabela1[[#This Row],[MATRICULA]]&amp;"Ponto de Apoio 2"&amp;Tabela1[[#This Row],[SETOR]],BD!A:AF,26,0),"")</f>
        <v/>
      </c>
      <c r="AR178" s="36" t="str">
        <f>IFERROR(VLOOKUP(Tabela1[[#This Row],[MÊS]]&amp;Tabela1[[#This Row],[ID]]&amp;Tabela1[[#This Row],[MATRICULA]]&amp;"Ponto de Apoio 3"&amp;Tabela1[[#This Row],[SETOR]],BD!A:AF,26,0),"")</f>
        <v/>
      </c>
      <c r="AS178" s="36" t="str">
        <f>IFERROR(VLOOKUP(Tabela1[[#This Row],[MÊS]]&amp;Tabela1[[#This Row],[ID]]&amp;Tabela1[[#This Row],[MATRICULA]]&amp;"Ponto de Apoio 4"&amp;Tabela1[[#This Row],[SETOR]],BD!A:AF,26,0),"")</f>
        <v/>
      </c>
      <c r="AT178" s="21" t="str">
        <f>IFERROR(VLOOKUP(Tabela1[[#This Row],[MÊS]]&amp;Tabela1[[#This Row],[MATRICULA]]&amp;"Cliente"&amp;Tabela1[[#This Row],[SETOR]],BD!A:AF,31,0),"")</f>
        <v/>
      </c>
      <c r="AU178" s="21" t="str">
        <f>IFERROR(VLOOKUP(Tabela1[[#This Row],[MÊS]]&amp;Tabela1[[#This Row],[ID]]&amp;Tabela1[[#This Row],[MATRICULA]]&amp;"Cliente 2"&amp;Tabela1[[#This Row],[SETOR]],BD!A:AF,26,0),"")</f>
        <v/>
      </c>
      <c r="AX178" s="21" t="str">
        <f>IFERROR(VLOOKUP(Tabela1[[#This Row],[MÊS]]&amp;Tabela1[[#This Row],[MATRICULA]]&amp;"Policia"&amp;Tabela1[[#This Row],[SETOR]],BD!A:AF,31,0),"")</f>
        <v/>
      </c>
      <c r="AY178" s="21" t="str">
        <f>IFERROR(VLOOKUP(Tabela1[[#This Row],[MÊS]]&amp;Tabela1[[#This Row],[ID]]&amp;Tabela1[[#This Row],[MATRICULA]]&amp;"Policia 2"&amp;Tabela1[[#This Row],[SETOR]],BD!A:AF,26,0),"")</f>
        <v/>
      </c>
      <c r="AZ178" s="36" t="str">
        <f>IFERROR(VLOOKUP(Tabela1[[#This Row],[MÊS]]&amp;Tabela1[[#This Row],[ID]]&amp;Tabela1[[#This Row],[MATRICULA]]&amp;"Policia 3"&amp;Tabela1[[#This Row],[SETOR]],BD!A:AF,26,0),"")</f>
        <v/>
      </c>
      <c r="BA178" s="36" t="str">
        <f>IFERROR(VLOOKUP(Tabela1[[#This Row],[MÊS]]&amp;Tabela1[[#This Row],[ID]]&amp;Tabela1[[#This Row],[MATRICULA]]&amp;"Policia 4"&amp;Tabela1[[#This Row],[SETOR]],BD!A:AF,26,0),"")</f>
        <v/>
      </c>
      <c r="BB17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8" s="21">
        <f>IFERROR(AVERAGE(Tabela1[[#This Row],[M]:[M4]]),"")</f>
        <v>0</v>
      </c>
      <c r="BD178" s="21" t="str">
        <f>IFERROR(AVERAGE(Tabela1[[#This Row],[C]:[C4]]),"")</f>
        <v/>
      </c>
      <c r="BE178" s="21" t="str">
        <f>IFERROR(AVERAGE(Tabela1[[#This Row],[PA2]:[PA 4]]),"")</f>
        <v/>
      </c>
      <c r="BF178" s="21" t="str">
        <f>IFERROR(AVERAGE(Tabela1[[#This Row],[PL]:[PL4]]),"")</f>
        <v/>
      </c>
      <c r="BG178" s="35" t="str">
        <f>IFERROR(VLOOKUP(Tabela1[[#This Row],[MÊS]]&amp;Tabela1[[#This Row],[MATRICULA]],#REF!,2,0),"")</f>
        <v/>
      </c>
      <c r="BH178" s="35" t="str">
        <f>IFERROR(VLOOKUP(Tabela1[[#This Row],[MÊS]]&amp;Tabela1[[#This Row],[MATRICULA]],#REF!,2,0),"")</f>
        <v/>
      </c>
      <c r="BI178" s="35" t="str">
        <f>IFERROR(VLOOKUP(Tabela1[[#This Row],[MÊS]]&amp;Tabela1[[#This Row],[MATRICULA]],#REF!,2,0),"")</f>
        <v/>
      </c>
      <c r="BJ178" s="35" t="str">
        <f>IFERROR(VLOOKUP(Tabela1[[#This Row],[MÊS]]&amp;Tabela1[[#This Row],[MATRICULA]],#REF!,2,0),"")</f>
        <v/>
      </c>
      <c r="BK178" s="35" t="str">
        <f>IFERROR(VLOOKUP(Tabela1[[#This Row],[MÊS]]&amp;Tabela1[[#This Row],[MATRICULA]],#REF!,2,0),"")</f>
        <v/>
      </c>
      <c r="BL178" s="21">
        <f>COUNTIF(Tabela1[[#This Row],[MOT2]:[RECEPTIVA]],"NÃO ENCONTRADA")</f>
        <v>0</v>
      </c>
      <c r="BM178" s="135" t="str">
        <f>IFERROR(VLOOKUP(Tabela1[[#This Row],[MÊS]]&amp;Tabela1[[#This Row],[ID]]&amp;Tabela1[[#This Row],[MATRICULA]]&amp;"Motorista"&amp;Tabela1[[#This Row],[SETOR]],BD!A:AF,13,0),"")</f>
        <v/>
      </c>
      <c r="BN178" s="135" t="str">
        <f>IFERROR(VLOOKUP(Tabela1[[#This Row],[MÊS]]&amp;Tabela1[[#This Row],[ID]]&amp;Tabela1[[#This Row],[MATRICULA]]&amp;"Motorista 2"&amp;Tabela1[[#This Row],[SETOR]],BD!A:AF,13,0),"")</f>
        <v/>
      </c>
      <c r="BO178" s="135" t="str">
        <f>IFERROR(VLOOKUP(Tabela1[[#This Row],[MÊS]]&amp;Tabela1[[#This Row],[ID]]&amp;Tabela1[[#This Row],[MATRICULA]]&amp;"Motorista 3"&amp;Tabela1[[#This Row],[SETOR]],BD!A:AF,13,0),"")</f>
        <v/>
      </c>
      <c r="BP178" s="135" t="str">
        <f>IFERROR(VLOOKUP(Tabela1[[#This Row],[MÊS]]&amp;Tabela1[[#This Row],[ID]]&amp;Tabela1[[#This Row],[MATRICULA]]&amp;"Motorista 4"&amp;Tabela1[[#This Row],[SETOR]],BD!A:AF,13,0),"")</f>
        <v/>
      </c>
      <c r="BQ178" s="135" t="str">
        <f>IFERROR(AVERAGE(Tabela1[[#This Row],[DMOT]:[DMOT4]]),"")</f>
        <v/>
      </c>
      <c r="BR178" s="135" t="str">
        <f>IFERROR(VLOOKUP(Tabela1[[#This Row],[MÊS]]&amp;Tabela1[[#This Row],[ID]]&amp;Tabela1[[#This Row],[MATRICULA]]&amp;"Ponto de Apoio"&amp;Tabela1[[#This Row],[SETOR]],BD!A:AF,13,0),"")</f>
        <v/>
      </c>
      <c r="BS178" s="135" t="str">
        <f>IFERROR(VLOOKUP(Tabela1[[#This Row],[MÊS]]&amp;Tabela1[[#This Row],[ID]]&amp;Tabela1[[#This Row],[MATRICULA]]&amp;"Ponto de Apoio 2"&amp;Tabela1[[#This Row],[SETOR]],BD!A:AF,13,0),"")</f>
        <v/>
      </c>
      <c r="BT178" s="135" t="str">
        <f>IFERROR(VLOOKUP(Tabela1[[#This Row],[MÊS]]&amp;Tabela1[[#This Row],[ID]]&amp;Tabela1[[#This Row],[MATRICULA]]&amp;"Ponto de Apoio 3"&amp;Tabela1[[#This Row],[SETOR]],BD!A:AF,13,0),"")</f>
        <v/>
      </c>
      <c r="BU178" s="135" t="str">
        <f>IFERROR(VLOOKUP(Tabela1[[#This Row],[MÊS]]&amp;Tabela1[[#This Row],[ID]]&amp;Tabela1[[#This Row],[MATRICULA]]&amp;"Ponto de Apoio 4"&amp;Tabela1[[#This Row],[SETOR]],BD!A:AF,13,0),"")</f>
        <v/>
      </c>
      <c r="BV178" s="135" t="str">
        <f>IFERROR(AVERAGE(Tabela1[[#This Row],[DPA]:[DPA 4]]),"")</f>
        <v/>
      </c>
      <c r="BW178" s="135" t="str">
        <f>IFERROR(VLOOKUP(Tabela1[[#This Row],[MÊS]]&amp;Tabela1[[#This Row],[ID]]&amp;Tabela1[[#This Row],[MATRICULA]]&amp;"Cliente"&amp;Tabela1[[#This Row],[SETOR]],BD!A:AF,13,0),"")</f>
        <v/>
      </c>
      <c r="BX178" s="135" t="str">
        <f>IFERROR(VLOOKUP(Tabela1[[#This Row],[MÊS]]&amp;Tabela1[[#This Row],[ID]]&amp;Tabela1[[#This Row],[MATRICULA]]&amp;"cliente 2"&amp;Tabela1[[#This Row],[SETOR]],BD!A:AF,13,0),"")</f>
        <v/>
      </c>
      <c r="BY178" s="135" t="str">
        <f>IFERROR(VLOOKUP(Tabela1[[#This Row],[MÊS]]&amp;Tabela1[[#This Row],[ID]]&amp;Tabela1[[#This Row],[MATRICULA]]&amp;"cliente 3"&amp;Tabela1[[#This Row],[SETOR]],BD!A:AF,13,0),"")</f>
        <v/>
      </c>
      <c r="BZ178" s="135" t="str">
        <f>IFERROR(VLOOKUP(Tabela1[[#This Row],[MÊS]]&amp;Tabela1[[#This Row],[ID]]&amp;Tabela1[[#This Row],[MATRICULA]]&amp;"cliente 4"&amp;Tabela1[[#This Row],[SETOR]],BD!A:AF,13,0),"")</f>
        <v/>
      </c>
      <c r="CA178" s="135" t="str">
        <f>IFERROR(AVERAGE(Tabela1[[#This Row],[DCLI]:[DCLI 4]]),"")</f>
        <v/>
      </c>
      <c r="CB178" s="135" t="str">
        <f>IFERROR(VLOOKUP(Tabela1[[#This Row],[MÊS]]&amp;Tabela1[[#This Row],[ID]]&amp;Tabela1[[#This Row],[MATRICULA]]&amp;"Policia"&amp;Tabela1[[#This Row],[SETOR]],BD!A:AF,13,0),"")</f>
        <v/>
      </c>
      <c r="CC178" s="135" t="str">
        <f>IFERROR(VLOOKUP(Tabela1[[#This Row],[MÊS]]&amp;Tabela1[[#This Row],[ID]]&amp;Tabela1[[#This Row],[MATRICULA]]&amp;"Policia 2"&amp;Tabela1[[#This Row],[SETOR]],BD!A:AF,13,0),"")</f>
        <v/>
      </c>
      <c r="CD178" s="135"/>
      <c r="CE178" s="135"/>
      <c r="CF178" s="135" t="str">
        <f>IFERROR((AVERAGE(Tabela1[[#This Row],[DPOL1]:[DPOL4]])),"")</f>
        <v/>
      </c>
      <c r="CG178" s="21" t="str">
        <f>IFERROR(VLOOKUP(Tabela1[[#This Row],[ID]]&amp;Tabela1[[#This Row],[MÊS]]&amp;Tabela1[[#This Row],[MATRICULA]],#REF!,2,0),"")</f>
        <v/>
      </c>
      <c r="CH178" s="21" t="str">
        <f>IFERROR(VLOOKUP(Tabela1[[#This Row],[ID]]&amp;Tabela1[[#This Row],[MÊS]]&amp;Tabela1[[#This Row],[MATRICULA]],#REF!,2,0),"")</f>
        <v/>
      </c>
      <c r="CI178" s="21" t="str">
        <f>IFERROR(VLOOKUP(Tabela1[[#This Row],[MÊS]]&amp;Tabela1[[#This Row],[MATRICULA]],#REF!,2,0),"")</f>
        <v/>
      </c>
    </row>
    <row r="179" spans="1:87">
      <c r="A179" s="12" t="str">
        <f>Tabela1[[#This Row],[MÊS]]&amp;Tabela1[[#This Row],[MATRICULA]]&amp;Tabela1[[#This Row],[ID]]</f>
        <v>JAN1151312</v>
      </c>
      <c r="B179" s="12" t="str">
        <f>Tabela1[[#This Row],[MÊS]]&amp;Tabela1[[#This Row],[ID]]&amp;Tabela1[[#This Row],[MATRICULA]]&amp;Tabela1[[#This Row],[SETOR]]</f>
        <v>JAN1211513TRANSFERÊNCIA</v>
      </c>
      <c r="C179" s="130" t="e">
        <f>VLOOKUP(Tabela1[[#This Row],[MATRICULA]],'BD Campos'!A:D,5,0)</f>
        <v>#REF!</v>
      </c>
      <c r="D179" s="133" t="str">
        <f ca="1">IFERROR(SUM(TODAY()-Tabela1[[#This Row],[ADMISSÃO]]),"")</f>
        <v/>
      </c>
      <c r="E179" s="11" t="str">
        <f ca="1">IFERROR(TRUNC(Tabela1[[#This Row],[TEMPO DE CASA (DIAS)]]/30),"")</f>
        <v/>
      </c>
      <c r="F179" s="32" t="str">
        <f ca="1">IFERROR(SUM(Tabela1[[#This Row],[TEMPO DE CASA (MESES)]]/12),"")</f>
        <v/>
      </c>
      <c r="G179" s="133" t="str">
        <f ca="1">IF(Tabela1[[#This Row],[TEMPO DE CASA (DIAS)]]="","SEM DADOS",IF(Tabela1[[#This Row],[TEMPO DE CASA (DIAS)]]&gt;180,"&gt; 6 MESES","&lt; 6 MESES"))</f>
        <v>SEM DADOS</v>
      </c>
      <c r="H179" s="12" t="str">
        <f t="shared" si="16"/>
        <v>JANGustavo Miralha12</v>
      </c>
      <c r="I179" s="12" t="str">
        <f>IFERROR(VLOOKUP(Tabela1[[#This Row],[MATRICULA]],'BD Campos'!A:F,7,0),"")</f>
        <v/>
      </c>
      <c r="J179" s="11">
        <v>12</v>
      </c>
      <c r="K179" s="11" t="s">
        <v>669</v>
      </c>
      <c r="L179" s="136">
        <v>11513</v>
      </c>
      <c r="M179" s="12" t="str">
        <f>IFERROR(VLOOKUP(Tabela1[[#This Row],[MATRICULA]],'BD Campos'!A:B,2,0),"")</f>
        <v>LUCAS DUARTE DE OLIVEIRA</v>
      </c>
      <c r="N179" s="20">
        <f>IFERROR(AVERAGE(Tabela1[[#This Row],[A1]:[A4]]),"")</f>
        <v>9.1075000000000017</v>
      </c>
      <c r="O179" s="20" t="str">
        <f>IFERROR(IF(Tabela1[[#This Row],[SETOR]]="RECEPTIVO","",AVERAGE(Tabela1[[#This Row],[A5]:[A6]])),"")</f>
        <v/>
      </c>
      <c r="P179" s="20" t="str">
        <f>IFERROR(IF(Tabela1[[#This Row],[STATUS]]="INATIVO","INATIVO",IF(Tabela1[[#This Row],[STATUS]]="QRT","INATIVO",IF(Tabela1[[#This Row],[OPERACIONAL]]&gt;7.99999,"BOM","RUIM"))),"")</f>
        <v>BOM</v>
      </c>
      <c r="Q179" s="21" t="s">
        <v>667</v>
      </c>
      <c r="R179" s="12" t="s">
        <v>710</v>
      </c>
      <c r="S179" s="12" t="s">
        <v>711</v>
      </c>
      <c r="T179" s="12" t="s">
        <v>192</v>
      </c>
      <c r="U17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7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79" s="12">
        <f>IF(AND(Tabela1[[#This Row],[SETOR]]="UTI",Tabela1[[#This Row],[M]]&lt;&gt;""),1,IF(AND(Tabela1[[#This Row],[SETOR]]="UTI (RJ)",Tabela1[[#This Row],[M]]&lt;&gt;""),1.5,0))</f>
        <v>0</v>
      </c>
      <c r="X179" s="12">
        <f>IF(AND(Tabela1[[#This Row],[SETOR]]="UTI",Tabela1[[#This Row],[PA2]]&lt;&gt;""),1,IF(AND(Tabela1[[#This Row],[SETOR]]="UTI (RJ)",Tabela1[[#This Row],[PA2]]&lt;&gt;""),0,0))</f>
        <v>0</v>
      </c>
      <c r="Y179" s="12">
        <f>IF(AND(Tabela1[[#This Row],[SETOR]]="UTI",Tabela1[[#This Row],[C]]&lt;&gt;""),1,IF(AND(Tabela1[[#This Row],[SETOR]]="UTI (RJ)",Tabela1[[#This Row],[C]]&lt;&gt;""),1.5,0))</f>
        <v>0</v>
      </c>
      <c r="Z179" s="12">
        <f>IF(AND(Tabela1[[#This Row],[SETOR]]="UTI",Tabela1[[#This Row],[PL]]&lt;&gt;""),1,IF(AND(Tabela1[[#This Row],[SETOR]]="UTI (RJ)",Tabela1[[#This Row],[PL]]&lt;&gt;""),1,0))</f>
        <v>0</v>
      </c>
      <c r="AA179" s="21">
        <f>IFERROR(VLOOKUP(Tabela1[[#This Row],[MÊS]]&amp;Tabela1[[#This Row],[MATRICULA]]&amp;"1"&amp;Tabela1[[#This Row],[SETOR]]&amp;"PADRÃO",BD!B:AF,31,0),"")</f>
        <v>10.000000000000002</v>
      </c>
      <c r="AB179" s="21">
        <f>IFERROR(VLOOKUP(Tabela1[[#This Row],[MÊS]]&amp;Tabela1[[#This Row],[MATRICULA]]&amp;"2"&amp;Tabela1[[#This Row],[SETOR]]&amp;"PADRÃO",BD!B:AF,31,0),"")</f>
        <v>8.2149999999999999</v>
      </c>
      <c r="AC179" s="21" t="str">
        <f>IFERROR(VLOOKUP(Tabela1[[#This Row],[MÊS]]&amp;Tabela1[[#This Row],[MATRICULA]]&amp;"3"&amp;Tabela1[[#This Row],[SETOR]]&amp;"PADRÃO",BD!B:AF,31,0),"")</f>
        <v/>
      </c>
      <c r="AD179" s="21" t="str">
        <f>IFERROR(VLOOKUP(Tabela1[[#This Row],[MÊS]]&amp;Tabela1[[#This Row],[MATRICULA]]&amp;"4"&amp;Tabela1[[#This Row],[SETOR]]&amp;"PADRÃO",BD!B:AF,25,0),"")</f>
        <v/>
      </c>
      <c r="AE179" s="21" t="str">
        <f>IFERROR(VLOOKUP(Tabela1[[#This Row],[MÊS]]&amp;Tabela1[[#This Row],[MATRICULA]]&amp;"5"&amp;Tabela1[[#This Row],[SETOR]]&amp;"PADRÃO",BD!B:AF,31,0),"")</f>
        <v/>
      </c>
      <c r="AF179" s="21" t="str">
        <f>IFERROR(VLOOKUP(Tabela1[[#This Row],[MÊS]]&amp;Tabela1[[#This Row],[MATRICULA]]&amp;"6"&amp;Tabela1[[#This Row],[SETOR]]&amp;"PADRÃO",BD!B:AF,31,0),"")</f>
        <v/>
      </c>
      <c r="AG179" s="21" t="str">
        <f>IFERROR(VLOOKUP(Tabela1[[#This Row],[MÊS]]&amp;Tabela1[[#This Row],[MATRICULA]]&amp;"7"&amp;Tabela1[[#This Row],[SETOR]]&amp;"PADRÃO",BD!B:AF,31,0),"")</f>
        <v/>
      </c>
      <c r="AH179" s="21" t="str">
        <f>IFERROR(VLOOKUP(Tabela1[[#This Row],[MÊS]]&amp;Tabela1[[#This Row],[ID]]&amp;Tabela1[[#This Row],[MATRICULA]]&amp;"Receptiva"&amp;Tabela1[[#This Row],[SETOR]],BD!A:AF,31,0),"")</f>
        <v/>
      </c>
      <c r="AI179" s="21" t="str">
        <f>IFERROR(VLOOKUP(Tabela1[[#This Row],[MÊS]]&amp;Tabela1[[#This Row],[ID]]&amp;Tabela1[[#This Row],[MATRICULA]]&amp;"Receptiva 2"&amp;Tabela1[[#This Row],[SETOR]],BD!A:AF,31,0),"")</f>
        <v/>
      </c>
      <c r="AJ179" s="21" t="str">
        <f>IFERROR(VLOOKUP(Tabela1[[#This Row],[MÊS]]&amp;Tabela1[[#This Row],[ID]]&amp;Tabela1[[#This Row],[MATRICULA]]&amp;"Receptiva 3"&amp;Tabela1[[#This Row],[SETOR]],BD!A:AF,31,0),"")</f>
        <v/>
      </c>
      <c r="AK179" s="21" t="str">
        <f>IFERROR(VLOOKUP(Tabela1[[#This Row],[MÊS]]&amp;Tabela1[[#This Row],[ID]]&amp;Tabela1[[#This Row],[MATRICULA]]&amp;"Receptiva 4"&amp;Tabela1[[#This Row],[SETOR]],BD!A:AF,31,0),"")</f>
        <v/>
      </c>
      <c r="AL179" s="21">
        <f>IFERROR(VLOOKUP(Tabela1[[#This Row],[MÊS]]&amp;Tabela1[[#This Row],[MATRICULA]]&amp;"Motorista"&amp;Tabela1[[#This Row],[SETOR]],BD!A:AF,31,0),"")</f>
        <v>0</v>
      </c>
      <c r="AM179" s="21" t="str">
        <f>IFERROR(VLOOKUP(Tabela1[[#This Row],[MÊS]]&amp;Tabela1[[#This Row],[ID]]&amp;Tabela1[[#This Row],[MATRICULA]]&amp;"Motorista 2"&amp;Tabela1[[#This Row],[SETOR]],BD!A:AF,26,0),"")</f>
        <v/>
      </c>
      <c r="AN179" s="21" t="str">
        <f>IFERROR(VLOOKUP(Tabela1[[#This Row],[MÊS]]&amp;Tabela1[[#This Row],[ID]]&amp;Tabela1[[#This Row],[MATRICULA]]&amp;"Motorista 3"&amp;Tabela1[[#This Row],[SETOR]],BD!A:AF,26,0),"")</f>
        <v/>
      </c>
      <c r="AO179" s="21" t="str">
        <f>IFERROR(VLOOKUP(Tabela1[[#This Row],[MÊS]]&amp;Tabela1[[#This Row],[ID]]&amp;Tabela1[[#This Row],[MATRICULA]]&amp;"Motorista 4"&amp;Tabela1[[#This Row],[SETOR]],BD!A:AF,26,0),"")</f>
        <v/>
      </c>
      <c r="AP179" s="21" t="str">
        <f>IFERROR(VLOOKUP(Tabela1[[#This Row],[MÊS]]&amp;Tabela1[[#This Row],[MATRICULA]]&amp;"Ponto de Apoio"&amp;Tabela1[[#This Row],[SETOR]],BD!A:AF,31,0),"")</f>
        <v/>
      </c>
      <c r="AQ179" s="21" t="str">
        <f>IFERROR(VLOOKUP(Tabela1[[#This Row],[MÊS]]&amp;Tabela1[[#This Row],[ID]]&amp;Tabela1[[#This Row],[MATRICULA]]&amp;"Ponto de Apoio 2"&amp;Tabela1[[#This Row],[SETOR]],BD!A:AF,26,0),"")</f>
        <v/>
      </c>
      <c r="AR179" s="36" t="str">
        <f>IFERROR(VLOOKUP(Tabela1[[#This Row],[MÊS]]&amp;Tabela1[[#This Row],[ID]]&amp;Tabela1[[#This Row],[MATRICULA]]&amp;"Ponto de Apoio 3"&amp;Tabela1[[#This Row],[SETOR]],BD!A:AF,26,0),"")</f>
        <v/>
      </c>
      <c r="AS179" s="36" t="str">
        <f>IFERROR(VLOOKUP(Tabela1[[#This Row],[MÊS]]&amp;Tabela1[[#This Row],[ID]]&amp;Tabela1[[#This Row],[MATRICULA]]&amp;"Ponto de Apoio 4"&amp;Tabela1[[#This Row],[SETOR]],BD!A:AF,26,0),"")</f>
        <v/>
      </c>
      <c r="AT179" s="21" t="str">
        <f>IFERROR(VLOOKUP(Tabela1[[#This Row],[MÊS]]&amp;Tabela1[[#This Row],[MATRICULA]]&amp;"Cliente"&amp;Tabela1[[#This Row],[SETOR]],BD!A:AF,31,0),"")</f>
        <v/>
      </c>
      <c r="AU179" s="21" t="str">
        <f>IFERROR(VLOOKUP(Tabela1[[#This Row],[MÊS]]&amp;Tabela1[[#This Row],[ID]]&amp;Tabela1[[#This Row],[MATRICULA]]&amp;"Cliente 2"&amp;Tabela1[[#This Row],[SETOR]],BD!A:AF,26,0),"")</f>
        <v/>
      </c>
      <c r="AX179" s="21" t="str">
        <f>IFERROR(VLOOKUP(Tabela1[[#This Row],[MÊS]]&amp;Tabela1[[#This Row],[MATRICULA]]&amp;"Policia"&amp;Tabela1[[#This Row],[SETOR]],BD!A:AF,31,0),"")</f>
        <v/>
      </c>
      <c r="AY179" s="21" t="str">
        <f>IFERROR(VLOOKUP(Tabela1[[#This Row],[MÊS]]&amp;Tabela1[[#This Row],[ID]]&amp;Tabela1[[#This Row],[MATRICULA]]&amp;"Policia 2"&amp;Tabela1[[#This Row],[SETOR]],BD!A:AF,26,0),"")</f>
        <v/>
      </c>
      <c r="AZ179" s="36" t="str">
        <f>IFERROR(VLOOKUP(Tabela1[[#This Row],[MÊS]]&amp;Tabela1[[#This Row],[ID]]&amp;Tabela1[[#This Row],[MATRICULA]]&amp;"Policia 3"&amp;Tabela1[[#This Row],[SETOR]],BD!A:AF,26,0),"")</f>
        <v/>
      </c>
      <c r="BA179" s="36" t="str">
        <f>IFERROR(VLOOKUP(Tabela1[[#This Row],[MÊS]]&amp;Tabela1[[#This Row],[ID]]&amp;Tabela1[[#This Row],[MATRICULA]]&amp;"Policia 4"&amp;Tabela1[[#This Row],[SETOR]],BD!A:AF,26,0),"")</f>
        <v/>
      </c>
      <c r="BB17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79" s="21">
        <f>IFERROR(AVERAGE(Tabela1[[#This Row],[M]:[M4]]),"")</f>
        <v>0</v>
      </c>
      <c r="BD179" s="21" t="str">
        <f>IFERROR(AVERAGE(Tabela1[[#This Row],[C]:[C4]]),"")</f>
        <v/>
      </c>
      <c r="BE179" s="21" t="str">
        <f>IFERROR(AVERAGE(Tabela1[[#This Row],[PA2]:[PA 4]]),"")</f>
        <v/>
      </c>
      <c r="BF179" s="21" t="str">
        <f>IFERROR(AVERAGE(Tabela1[[#This Row],[PL]:[PL4]]),"")</f>
        <v/>
      </c>
      <c r="BG179" s="35" t="str">
        <f>IFERROR(VLOOKUP(Tabela1[[#This Row],[MÊS]]&amp;Tabela1[[#This Row],[MATRICULA]],#REF!,2,0),"")</f>
        <v/>
      </c>
      <c r="BH179" s="35" t="str">
        <f>IFERROR(VLOOKUP(Tabela1[[#This Row],[MÊS]]&amp;Tabela1[[#This Row],[MATRICULA]],#REF!,2,0),"")</f>
        <v/>
      </c>
      <c r="BI179" s="35" t="str">
        <f>IFERROR(VLOOKUP(Tabela1[[#This Row],[MÊS]]&amp;Tabela1[[#This Row],[MATRICULA]],#REF!,2,0),"")</f>
        <v/>
      </c>
      <c r="BJ179" s="35" t="str">
        <f>IFERROR(VLOOKUP(Tabela1[[#This Row],[MÊS]]&amp;Tabela1[[#This Row],[MATRICULA]],#REF!,2,0),"")</f>
        <v/>
      </c>
      <c r="BK179" s="35" t="str">
        <f>IFERROR(VLOOKUP(Tabela1[[#This Row],[MÊS]]&amp;Tabela1[[#This Row],[MATRICULA]],#REF!,2,0),"")</f>
        <v/>
      </c>
      <c r="BL179" s="21">
        <f>COUNTIF(Tabela1[[#This Row],[MOT2]:[RECEPTIVA]],"NÃO ENCONTRADA")</f>
        <v>0</v>
      </c>
      <c r="BM179" s="135" t="str">
        <f>IFERROR(VLOOKUP(Tabela1[[#This Row],[MÊS]]&amp;Tabela1[[#This Row],[ID]]&amp;Tabela1[[#This Row],[MATRICULA]]&amp;"Motorista"&amp;Tabela1[[#This Row],[SETOR]],BD!A:AF,13,0),"")</f>
        <v/>
      </c>
      <c r="BN179" s="135" t="str">
        <f>IFERROR(VLOOKUP(Tabela1[[#This Row],[MÊS]]&amp;Tabela1[[#This Row],[ID]]&amp;Tabela1[[#This Row],[MATRICULA]]&amp;"Motorista 2"&amp;Tabela1[[#This Row],[SETOR]],BD!A:AF,13,0),"")</f>
        <v/>
      </c>
      <c r="BO179" s="135" t="str">
        <f>IFERROR(VLOOKUP(Tabela1[[#This Row],[MÊS]]&amp;Tabela1[[#This Row],[ID]]&amp;Tabela1[[#This Row],[MATRICULA]]&amp;"Motorista 3"&amp;Tabela1[[#This Row],[SETOR]],BD!A:AF,13,0),"")</f>
        <v/>
      </c>
      <c r="BP179" s="135" t="str">
        <f>IFERROR(VLOOKUP(Tabela1[[#This Row],[MÊS]]&amp;Tabela1[[#This Row],[ID]]&amp;Tabela1[[#This Row],[MATRICULA]]&amp;"Motorista 4"&amp;Tabela1[[#This Row],[SETOR]],BD!A:AF,13,0),"")</f>
        <v/>
      </c>
      <c r="BQ179" s="135" t="str">
        <f>IFERROR(AVERAGE(Tabela1[[#This Row],[DMOT]:[DMOT4]]),"")</f>
        <v/>
      </c>
      <c r="BR179" s="135" t="str">
        <f>IFERROR(VLOOKUP(Tabela1[[#This Row],[MÊS]]&amp;Tabela1[[#This Row],[ID]]&amp;Tabela1[[#This Row],[MATRICULA]]&amp;"Ponto de Apoio"&amp;Tabela1[[#This Row],[SETOR]],BD!A:AF,13,0),"")</f>
        <v/>
      </c>
      <c r="BS179" s="135" t="str">
        <f>IFERROR(VLOOKUP(Tabela1[[#This Row],[MÊS]]&amp;Tabela1[[#This Row],[ID]]&amp;Tabela1[[#This Row],[MATRICULA]]&amp;"Ponto de Apoio 2"&amp;Tabela1[[#This Row],[SETOR]],BD!A:AF,13,0),"")</f>
        <v/>
      </c>
      <c r="BT179" s="135" t="str">
        <f>IFERROR(VLOOKUP(Tabela1[[#This Row],[MÊS]]&amp;Tabela1[[#This Row],[ID]]&amp;Tabela1[[#This Row],[MATRICULA]]&amp;"Ponto de Apoio 3"&amp;Tabela1[[#This Row],[SETOR]],BD!A:AF,13,0),"")</f>
        <v/>
      </c>
      <c r="BU179" s="135" t="str">
        <f>IFERROR(VLOOKUP(Tabela1[[#This Row],[MÊS]]&amp;Tabela1[[#This Row],[ID]]&amp;Tabela1[[#This Row],[MATRICULA]]&amp;"Ponto de Apoio 4"&amp;Tabela1[[#This Row],[SETOR]],BD!A:AF,13,0),"")</f>
        <v/>
      </c>
      <c r="BV179" s="135" t="str">
        <f>IFERROR(AVERAGE(Tabela1[[#This Row],[DPA]:[DPA 4]]),"")</f>
        <v/>
      </c>
      <c r="BW179" s="135" t="str">
        <f>IFERROR(VLOOKUP(Tabela1[[#This Row],[MÊS]]&amp;Tabela1[[#This Row],[ID]]&amp;Tabela1[[#This Row],[MATRICULA]]&amp;"Cliente"&amp;Tabela1[[#This Row],[SETOR]],BD!A:AF,13,0),"")</f>
        <v/>
      </c>
      <c r="BX179" s="135" t="str">
        <f>IFERROR(VLOOKUP(Tabela1[[#This Row],[MÊS]]&amp;Tabela1[[#This Row],[ID]]&amp;Tabela1[[#This Row],[MATRICULA]]&amp;"cliente 2"&amp;Tabela1[[#This Row],[SETOR]],BD!A:AF,13,0),"")</f>
        <v/>
      </c>
      <c r="BY179" s="135" t="str">
        <f>IFERROR(VLOOKUP(Tabela1[[#This Row],[MÊS]]&amp;Tabela1[[#This Row],[ID]]&amp;Tabela1[[#This Row],[MATRICULA]]&amp;"cliente 3"&amp;Tabela1[[#This Row],[SETOR]],BD!A:AF,13,0),"")</f>
        <v/>
      </c>
      <c r="BZ179" s="135" t="str">
        <f>IFERROR(VLOOKUP(Tabela1[[#This Row],[MÊS]]&amp;Tabela1[[#This Row],[ID]]&amp;Tabela1[[#This Row],[MATRICULA]]&amp;"cliente 4"&amp;Tabela1[[#This Row],[SETOR]],BD!A:AF,13,0),"")</f>
        <v/>
      </c>
      <c r="CA179" s="135" t="str">
        <f>IFERROR(AVERAGE(Tabela1[[#This Row],[DCLI]:[DCLI 4]]),"")</f>
        <v/>
      </c>
      <c r="CB179" s="135" t="str">
        <f>IFERROR(VLOOKUP(Tabela1[[#This Row],[MÊS]]&amp;Tabela1[[#This Row],[ID]]&amp;Tabela1[[#This Row],[MATRICULA]]&amp;"Policia"&amp;Tabela1[[#This Row],[SETOR]],BD!A:AF,13,0),"")</f>
        <v/>
      </c>
      <c r="CC179" s="135" t="str">
        <f>IFERROR(VLOOKUP(Tabela1[[#This Row],[MÊS]]&amp;Tabela1[[#This Row],[ID]]&amp;Tabela1[[#This Row],[MATRICULA]]&amp;"Policia 2"&amp;Tabela1[[#This Row],[SETOR]],BD!A:AF,13,0),"")</f>
        <v/>
      </c>
      <c r="CD179" s="135"/>
      <c r="CE179" s="135"/>
      <c r="CF179" s="135" t="str">
        <f>IFERROR((AVERAGE(Tabela1[[#This Row],[DPOL1]:[DPOL4]])),"")</f>
        <v/>
      </c>
      <c r="CG179" s="21" t="str">
        <f>IFERROR(VLOOKUP(Tabela1[[#This Row],[ID]]&amp;Tabela1[[#This Row],[MÊS]]&amp;Tabela1[[#This Row],[MATRICULA]],#REF!,2,0),"")</f>
        <v/>
      </c>
      <c r="CH179" s="21" t="str">
        <f>IFERROR(VLOOKUP(Tabela1[[#This Row],[ID]]&amp;Tabela1[[#This Row],[MÊS]]&amp;Tabela1[[#This Row],[MATRICULA]],#REF!,2,0),"")</f>
        <v/>
      </c>
      <c r="CI179" s="21" t="str">
        <f>IFERROR(VLOOKUP(Tabela1[[#This Row],[MÊS]]&amp;Tabela1[[#This Row],[MATRICULA]],#REF!,2,0),"")</f>
        <v/>
      </c>
    </row>
    <row r="180" spans="1:87">
      <c r="A180" s="12" t="str">
        <f>Tabela1[[#This Row],[MÊS]]&amp;Tabela1[[#This Row],[MATRICULA]]&amp;Tabela1[[#This Row],[ID]]</f>
        <v>JAN1150413</v>
      </c>
      <c r="B180" s="12" t="str">
        <f>Tabela1[[#This Row],[MÊS]]&amp;Tabela1[[#This Row],[ID]]&amp;Tabela1[[#This Row],[MATRICULA]]&amp;Tabela1[[#This Row],[SETOR]]</f>
        <v>JAN1311504TRANSFERÊNCIA</v>
      </c>
      <c r="C180" s="130" t="e">
        <f>VLOOKUP(Tabela1[[#This Row],[MATRICULA]],'BD Campos'!A:D,5,0)</f>
        <v>#REF!</v>
      </c>
      <c r="D180" s="133" t="str">
        <f ca="1">IFERROR(SUM(TODAY()-Tabela1[[#This Row],[ADMISSÃO]]),"")</f>
        <v/>
      </c>
      <c r="E180" s="11" t="str">
        <f ca="1">IFERROR(TRUNC(Tabela1[[#This Row],[TEMPO DE CASA (DIAS)]]/30),"")</f>
        <v/>
      </c>
      <c r="F180" s="32" t="str">
        <f ca="1">IFERROR(SUM(Tabela1[[#This Row],[TEMPO DE CASA (MESES)]]/12),"")</f>
        <v/>
      </c>
      <c r="G180" s="133" t="str">
        <f ca="1">IF(Tabela1[[#This Row],[TEMPO DE CASA (DIAS)]]="","SEM DADOS",IF(Tabela1[[#This Row],[TEMPO DE CASA (DIAS)]]&gt;180,"&gt; 6 MESES","&lt; 6 MESES"))</f>
        <v>SEM DADOS</v>
      </c>
      <c r="H180" s="12" t="str">
        <f t="shared" si="16"/>
        <v>JANGustavo Miralha13</v>
      </c>
      <c r="I180" s="12" t="str">
        <f>IFERROR(VLOOKUP(Tabela1[[#This Row],[MATRICULA]],'BD Campos'!A:F,7,0),"")</f>
        <v/>
      </c>
      <c r="J180" s="11">
        <v>13</v>
      </c>
      <c r="K180" s="11" t="s">
        <v>669</v>
      </c>
      <c r="L180" s="136">
        <v>11504</v>
      </c>
      <c r="M180" s="12" t="str">
        <f>IFERROR(VLOOKUP(Tabela1[[#This Row],[MATRICULA]],'BD Campos'!A:B,2,0),"")</f>
        <v>GUTEMBERG BEZERRA ALVES DA LUZ</v>
      </c>
      <c r="N180" s="20">
        <f>IFERROR(AVERAGE(Tabela1[[#This Row],[A1]:[A4]]),"")</f>
        <v>3.6874999999999996</v>
      </c>
      <c r="O180" s="20" t="str">
        <f>IFERROR(IF(Tabela1[[#This Row],[SETOR]]="RECEPTIVO","",AVERAGE(Tabela1[[#This Row],[A5]:[A6]])),"")</f>
        <v/>
      </c>
      <c r="P180" s="20" t="str">
        <f>IFERROR(IF(Tabela1[[#This Row],[STATUS]]="INATIVO","INATIVO",IF(Tabela1[[#This Row],[STATUS]]="QRT","INATIVO",IF(Tabela1[[#This Row],[OPERACIONAL]]&gt;7.99999,"BOM","RUIM"))),"")</f>
        <v>RUIM</v>
      </c>
      <c r="Q180" s="21" t="s">
        <v>667</v>
      </c>
      <c r="R180" s="12" t="s">
        <v>710</v>
      </c>
      <c r="S180" s="12" t="s">
        <v>711</v>
      </c>
      <c r="T180" s="12" t="s">
        <v>192</v>
      </c>
      <c r="U18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0" s="12">
        <f>IF(AND(Tabela1[[#This Row],[SETOR]]="UTI",Tabela1[[#This Row],[M]]&lt;&gt;""),1,IF(AND(Tabela1[[#This Row],[SETOR]]="UTI (RJ)",Tabela1[[#This Row],[M]]&lt;&gt;""),1.5,0))</f>
        <v>0</v>
      </c>
      <c r="X180" s="12">
        <f>IF(AND(Tabela1[[#This Row],[SETOR]]="UTI",Tabela1[[#This Row],[PA2]]&lt;&gt;""),1,IF(AND(Tabela1[[#This Row],[SETOR]]="UTI (RJ)",Tabela1[[#This Row],[PA2]]&lt;&gt;""),0,0))</f>
        <v>0</v>
      </c>
      <c r="Y180" s="12">
        <f>IF(AND(Tabela1[[#This Row],[SETOR]]="UTI",Tabela1[[#This Row],[C]]&lt;&gt;""),1,IF(AND(Tabela1[[#This Row],[SETOR]]="UTI (RJ)",Tabela1[[#This Row],[C]]&lt;&gt;""),1.5,0))</f>
        <v>0</v>
      </c>
      <c r="Z180" s="12">
        <f>IF(AND(Tabela1[[#This Row],[SETOR]]="UTI",Tabela1[[#This Row],[PL]]&lt;&gt;""),1,IF(AND(Tabela1[[#This Row],[SETOR]]="UTI (RJ)",Tabela1[[#This Row],[PL]]&lt;&gt;""),1,0))</f>
        <v>0</v>
      </c>
      <c r="AA180" s="21">
        <f>IFERROR(VLOOKUP(Tabela1[[#This Row],[MÊS]]&amp;Tabela1[[#This Row],[MATRICULA]]&amp;"1"&amp;Tabela1[[#This Row],[SETOR]]&amp;"PADRÃO",BD!B:AF,31,0),"")</f>
        <v>0</v>
      </c>
      <c r="AB180" s="21">
        <f>IFERROR(VLOOKUP(Tabela1[[#This Row],[MÊS]]&amp;Tabela1[[#This Row],[MATRICULA]]&amp;"2"&amp;Tabela1[[#This Row],[SETOR]]&amp;"PADRÃO",BD!B:AF,31,0),"")</f>
        <v>7.3749999999999991</v>
      </c>
      <c r="AC180" s="21" t="str">
        <f>IFERROR(VLOOKUP(Tabela1[[#This Row],[MÊS]]&amp;Tabela1[[#This Row],[MATRICULA]]&amp;"3"&amp;Tabela1[[#This Row],[SETOR]]&amp;"PADRÃO",BD!B:AF,31,0),"")</f>
        <v/>
      </c>
      <c r="AD180" s="21" t="str">
        <f>IFERROR(VLOOKUP(Tabela1[[#This Row],[MÊS]]&amp;Tabela1[[#This Row],[MATRICULA]]&amp;"4"&amp;Tabela1[[#This Row],[SETOR]]&amp;"PADRÃO",BD!B:AF,25,0),"")</f>
        <v/>
      </c>
      <c r="AE180" s="21" t="str">
        <f>IFERROR(VLOOKUP(Tabela1[[#This Row],[MÊS]]&amp;Tabela1[[#This Row],[MATRICULA]]&amp;"5"&amp;Tabela1[[#This Row],[SETOR]]&amp;"PADRÃO",BD!B:AF,31,0),"")</f>
        <v/>
      </c>
      <c r="AF180" s="21" t="str">
        <f>IFERROR(VLOOKUP(Tabela1[[#This Row],[MÊS]]&amp;Tabela1[[#This Row],[MATRICULA]]&amp;"6"&amp;Tabela1[[#This Row],[SETOR]]&amp;"PADRÃO",BD!B:AF,31,0),"")</f>
        <v/>
      </c>
      <c r="AG180" s="21" t="str">
        <f>IFERROR(VLOOKUP(Tabela1[[#This Row],[MÊS]]&amp;Tabela1[[#This Row],[MATRICULA]]&amp;"7"&amp;Tabela1[[#This Row],[SETOR]]&amp;"PADRÃO",BD!B:AF,31,0),"")</f>
        <v/>
      </c>
      <c r="AH180" s="21" t="str">
        <f>IFERROR(VLOOKUP(Tabela1[[#This Row],[MÊS]]&amp;Tabela1[[#This Row],[ID]]&amp;Tabela1[[#This Row],[MATRICULA]]&amp;"Receptiva"&amp;Tabela1[[#This Row],[SETOR]],BD!A:AF,31,0),"")</f>
        <v/>
      </c>
      <c r="AI180" s="21" t="str">
        <f>IFERROR(VLOOKUP(Tabela1[[#This Row],[MÊS]]&amp;Tabela1[[#This Row],[ID]]&amp;Tabela1[[#This Row],[MATRICULA]]&amp;"Receptiva 2"&amp;Tabela1[[#This Row],[SETOR]],BD!A:AF,31,0),"")</f>
        <v/>
      </c>
      <c r="AJ180" s="21" t="str">
        <f>IFERROR(VLOOKUP(Tabela1[[#This Row],[MÊS]]&amp;Tabela1[[#This Row],[ID]]&amp;Tabela1[[#This Row],[MATRICULA]]&amp;"Receptiva 3"&amp;Tabela1[[#This Row],[SETOR]],BD!A:AF,31,0),"")</f>
        <v/>
      </c>
      <c r="AK180" s="21" t="str">
        <f>IFERROR(VLOOKUP(Tabela1[[#This Row],[MÊS]]&amp;Tabela1[[#This Row],[ID]]&amp;Tabela1[[#This Row],[MATRICULA]]&amp;"Receptiva 4"&amp;Tabela1[[#This Row],[SETOR]],BD!A:AF,31,0),"")</f>
        <v/>
      </c>
      <c r="AL180" s="21">
        <f>IFERROR(VLOOKUP(Tabela1[[#This Row],[MÊS]]&amp;Tabela1[[#This Row],[MATRICULA]]&amp;"Motorista"&amp;Tabela1[[#This Row],[SETOR]],BD!A:AF,31,0),"")</f>
        <v>0</v>
      </c>
      <c r="AM180" s="21" t="str">
        <f>IFERROR(VLOOKUP(Tabela1[[#This Row],[MÊS]]&amp;Tabela1[[#This Row],[ID]]&amp;Tabela1[[#This Row],[MATRICULA]]&amp;"Motorista 2"&amp;Tabela1[[#This Row],[SETOR]],BD!A:AF,26,0),"")</f>
        <v/>
      </c>
      <c r="AN180" s="21" t="str">
        <f>IFERROR(VLOOKUP(Tabela1[[#This Row],[MÊS]]&amp;Tabela1[[#This Row],[ID]]&amp;Tabela1[[#This Row],[MATRICULA]]&amp;"Motorista 3"&amp;Tabela1[[#This Row],[SETOR]],BD!A:AF,26,0),"")</f>
        <v/>
      </c>
      <c r="AO180" s="21" t="str">
        <f>IFERROR(VLOOKUP(Tabela1[[#This Row],[MÊS]]&amp;Tabela1[[#This Row],[ID]]&amp;Tabela1[[#This Row],[MATRICULA]]&amp;"Motorista 4"&amp;Tabela1[[#This Row],[SETOR]],BD!A:AF,26,0),"")</f>
        <v/>
      </c>
      <c r="AP180" s="21" t="str">
        <f>IFERROR(VLOOKUP(Tabela1[[#This Row],[MÊS]]&amp;Tabela1[[#This Row],[MATRICULA]]&amp;"Ponto de Apoio"&amp;Tabela1[[#This Row],[SETOR]],BD!A:AF,31,0),"")</f>
        <v/>
      </c>
      <c r="AQ180" s="21" t="str">
        <f>IFERROR(VLOOKUP(Tabela1[[#This Row],[MÊS]]&amp;Tabela1[[#This Row],[ID]]&amp;Tabela1[[#This Row],[MATRICULA]]&amp;"Ponto de Apoio 2"&amp;Tabela1[[#This Row],[SETOR]],BD!A:AF,26,0),"")</f>
        <v/>
      </c>
      <c r="AR180" s="36" t="str">
        <f>IFERROR(VLOOKUP(Tabela1[[#This Row],[MÊS]]&amp;Tabela1[[#This Row],[ID]]&amp;Tabela1[[#This Row],[MATRICULA]]&amp;"Ponto de Apoio 3"&amp;Tabela1[[#This Row],[SETOR]],BD!A:AF,26,0),"")</f>
        <v/>
      </c>
      <c r="AS180" s="36" t="str">
        <f>IFERROR(VLOOKUP(Tabela1[[#This Row],[MÊS]]&amp;Tabela1[[#This Row],[ID]]&amp;Tabela1[[#This Row],[MATRICULA]]&amp;"Ponto de Apoio 4"&amp;Tabela1[[#This Row],[SETOR]],BD!A:AF,26,0),"")</f>
        <v/>
      </c>
      <c r="AT180" s="21" t="str">
        <f>IFERROR(VLOOKUP(Tabela1[[#This Row],[MÊS]]&amp;Tabela1[[#This Row],[MATRICULA]]&amp;"Cliente"&amp;Tabela1[[#This Row],[SETOR]],BD!A:AF,31,0),"")</f>
        <v/>
      </c>
      <c r="AU180" s="21" t="str">
        <f>IFERROR(VLOOKUP(Tabela1[[#This Row],[MÊS]]&amp;Tabela1[[#This Row],[ID]]&amp;Tabela1[[#This Row],[MATRICULA]]&amp;"Cliente 2"&amp;Tabela1[[#This Row],[SETOR]],BD!A:AF,26,0),"")</f>
        <v/>
      </c>
      <c r="AX180" s="21" t="str">
        <f>IFERROR(VLOOKUP(Tabela1[[#This Row],[MÊS]]&amp;Tabela1[[#This Row],[MATRICULA]]&amp;"Policia"&amp;Tabela1[[#This Row],[SETOR]],BD!A:AF,31,0),"")</f>
        <v/>
      </c>
      <c r="AY180" s="21" t="str">
        <f>IFERROR(VLOOKUP(Tabela1[[#This Row],[MÊS]]&amp;Tabela1[[#This Row],[ID]]&amp;Tabela1[[#This Row],[MATRICULA]]&amp;"Policia 2"&amp;Tabela1[[#This Row],[SETOR]],BD!A:AF,26,0),"")</f>
        <v/>
      </c>
      <c r="AZ180" s="36" t="str">
        <f>IFERROR(VLOOKUP(Tabela1[[#This Row],[MÊS]]&amp;Tabela1[[#This Row],[ID]]&amp;Tabela1[[#This Row],[MATRICULA]]&amp;"Policia 3"&amp;Tabela1[[#This Row],[SETOR]],BD!A:AF,26,0),"")</f>
        <v/>
      </c>
      <c r="BA180" s="36" t="str">
        <f>IFERROR(VLOOKUP(Tabela1[[#This Row],[MÊS]]&amp;Tabela1[[#This Row],[ID]]&amp;Tabela1[[#This Row],[MATRICULA]]&amp;"Policia 4"&amp;Tabela1[[#This Row],[SETOR]],BD!A:AF,26,0),"")</f>
        <v/>
      </c>
      <c r="BB18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0" s="21">
        <f>IFERROR(AVERAGE(Tabela1[[#This Row],[M]:[M4]]),"")</f>
        <v>0</v>
      </c>
      <c r="BD180" s="21" t="str">
        <f>IFERROR(AVERAGE(Tabela1[[#This Row],[C]:[C4]]),"")</f>
        <v/>
      </c>
      <c r="BE180" s="21" t="str">
        <f>IFERROR(AVERAGE(Tabela1[[#This Row],[PA2]:[PA 4]]),"")</f>
        <v/>
      </c>
      <c r="BF180" s="21" t="str">
        <f>IFERROR(AVERAGE(Tabela1[[#This Row],[PL]:[PL4]]),"")</f>
        <v/>
      </c>
      <c r="BG180" s="35" t="str">
        <f>IFERROR(VLOOKUP(Tabela1[[#This Row],[MÊS]]&amp;Tabela1[[#This Row],[MATRICULA]],#REF!,2,0),"")</f>
        <v/>
      </c>
      <c r="BH180" s="35" t="str">
        <f>IFERROR(VLOOKUP(Tabela1[[#This Row],[MÊS]]&amp;Tabela1[[#This Row],[MATRICULA]],#REF!,2,0),"")</f>
        <v/>
      </c>
      <c r="BI180" s="35" t="str">
        <f>IFERROR(VLOOKUP(Tabela1[[#This Row],[MÊS]]&amp;Tabela1[[#This Row],[MATRICULA]],#REF!,2,0),"")</f>
        <v/>
      </c>
      <c r="BJ180" s="35" t="str">
        <f>IFERROR(VLOOKUP(Tabela1[[#This Row],[MÊS]]&amp;Tabela1[[#This Row],[MATRICULA]],#REF!,2,0),"")</f>
        <v/>
      </c>
      <c r="BK180" s="35" t="str">
        <f>IFERROR(VLOOKUP(Tabela1[[#This Row],[MÊS]]&amp;Tabela1[[#This Row],[MATRICULA]],#REF!,2,0),"")</f>
        <v/>
      </c>
      <c r="BL180" s="21">
        <f>COUNTIF(Tabela1[[#This Row],[MOT2]:[RECEPTIVA]],"NÃO ENCONTRADA")</f>
        <v>0</v>
      </c>
      <c r="BM180" s="135" t="str">
        <f>IFERROR(VLOOKUP(Tabela1[[#This Row],[MÊS]]&amp;Tabela1[[#This Row],[ID]]&amp;Tabela1[[#This Row],[MATRICULA]]&amp;"Motorista"&amp;Tabela1[[#This Row],[SETOR]],BD!A:AF,13,0),"")</f>
        <v/>
      </c>
      <c r="BN180" s="135" t="str">
        <f>IFERROR(VLOOKUP(Tabela1[[#This Row],[MÊS]]&amp;Tabela1[[#This Row],[ID]]&amp;Tabela1[[#This Row],[MATRICULA]]&amp;"Motorista 2"&amp;Tabela1[[#This Row],[SETOR]],BD!A:AF,13,0),"")</f>
        <v/>
      </c>
      <c r="BO180" s="135" t="str">
        <f>IFERROR(VLOOKUP(Tabela1[[#This Row],[MÊS]]&amp;Tabela1[[#This Row],[ID]]&amp;Tabela1[[#This Row],[MATRICULA]]&amp;"Motorista 3"&amp;Tabela1[[#This Row],[SETOR]],BD!A:AF,13,0),"")</f>
        <v/>
      </c>
      <c r="BP180" s="135" t="str">
        <f>IFERROR(VLOOKUP(Tabela1[[#This Row],[MÊS]]&amp;Tabela1[[#This Row],[ID]]&amp;Tabela1[[#This Row],[MATRICULA]]&amp;"Motorista 4"&amp;Tabela1[[#This Row],[SETOR]],BD!A:AF,13,0),"")</f>
        <v/>
      </c>
      <c r="BQ180" s="135" t="str">
        <f>IFERROR(AVERAGE(Tabela1[[#This Row],[DMOT]:[DMOT4]]),"")</f>
        <v/>
      </c>
      <c r="BR180" s="135" t="str">
        <f>IFERROR(VLOOKUP(Tabela1[[#This Row],[MÊS]]&amp;Tabela1[[#This Row],[ID]]&amp;Tabela1[[#This Row],[MATRICULA]]&amp;"Ponto de Apoio"&amp;Tabela1[[#This Row],[SETOR]],BD!A:AF,13,0),"")</f>
        <v/>
      </c>
      <c r="BS180" s="135" t="str">
        <f>IFERROR(VLOOKUP(Tabela1[[#This Row],[MÊS]]&amp;Tabela1[[#This Row],[ID]]&amp;Tabela1[[#This Row],[MATRICULA]]&amp;"Ponto de Apoio 2"&amp;Tabela1[[#This Row],[SETOR]],BD!A:AF,13,0),"")</f>
        <v/>
      </c>
      <c r="BT180" s="135" t="str">
        <f>IFERROR(VLOOKUP(Tabela1[[#This Row],[MÊS]]&amp;Tabela1[[#This Row],[ID]]&amp;Tabela1[[#This Row],[MATRICULA]]&amp;"Ponto de Apoio 3"&amp;Tabela1[[#This Row],[SETOR]],BD!A:AF,13,0),"")</f>
        <v/>
      </c>
      <c r="BU180" s="135" t="str">
        <f>IFERROR(VLOOKUP(Tabela1[[#This Row],[MÊS]]&amp;Tabela1[[#This Row],[ID]]&amp;Tabela1[[#This Row],[MATRICULA]]&amp;"Ponto de Apoio 4"&amp;Tabela1[[#This Row],[SETOR]],BD!A:AF,13,0),"")</f>
        <v/>
      </c>
      <c r="BV180" s="135" t="str">
        <f>IFERROR(AVERAGE(Tabela1[[#This Row],[DPA]:[DPA 4]]),"")</f>
        <v/>
      </c>
      <c r="BW180" s="135" t="str">
        <f>IFERROR(VLOOKUP(Tabela1[[#This Row],[MÊS]]&amp;Tabela1[[#This Row],[ID]]&amp;Tabela1[[#This Row],[MATRICULA]]&amp;"Cliente"&amp;Tabela1[[#This Row],[SETOR]],BD!A:AF,13,0),"")</f>
        <v/>
      </c>
      <c r="BX180" s="135" t="str">
        <f>IFERROR(VLOOKUP(Tabela1[[#This Row],[MÊS]]&amp;Tabela1[[#This Row],[ID]]&amp;Tabela1[[#This Row],[MATRICULA]]&amp;"cliente 2"&amp;Tabela1[[#This Row],[SETOR]],BD!A:AF,13,0),"")</f>
        <v/>
      </c>
      <c r="BY180" s="135" t="str">
        <f>IFERROR(VLOOKUP(Tabela1[[#This Row],[MÊS]]&amp;Tabela1[[#This Row],[ID]]&amp;Tabela1[[#This Row],[MATRICULA]]&amp;"cliente 3"&amp;Tabela1[[#This Row],[SETOR]],BD!A:AF,13,0),"")</f>
        <v/>
      </c>
      <c r="BZ180" s="135" t="str">
        <f>IFERROR(VLOOKUP(Tabela1[[#This Row],[MÊS]]&amp;Tabela1[[#This Row],[ID]]&amp;Tabela1[[#This Row],[MATRICULA]]&amp;"cliente 4"&amp;Tabela1[[#This Row],[SETOR]],BD!A:AF,13,0),"")</f>
        <v/>
      </c>
      <c r="CA180" s="135" t="str">
        <f>IFERROR(AVERAGE(Tabela1[[#This Row],[DCLI]:[DCLI 4]]),"")</f>
        <v/>
      </c>
      <c r="CB180" s="135" t="str">
        <f>IFERROR(VLOOKUP(Tabela1[[#This Row],[MÊS]]&amp;Tabela1[[#This Row],[ID]]&amp;Tabela1[[#This Row],[MATRICULA]]&amp;"Policia"&amp;Tabela1[[#This Row],[SETOR]],BD!A:AF,13,0),"")</f>
        <v/>
      </c>
      <c r="CC180" s="135" t="str">
        <f>IFERROR(VLOOKUP(Tabela1[[#This Row],[MÊS]]&amp;Tabela1[[#This Row],[ID]]&amp;Tabela1[[#This Row],[MATRICULA]]&amp;"Policia 2"&amp;Tabela1[[#This Row],[SETOR]],BD!A:AF,13,0),"")</f>
        <v/>
      </c>
      <c r="CD180" s="135"/>
      <c r="CE180" s="135"/>
      <c r="CF180" s="135" t="str">
        <f>IFERROR((AVERAGE(Tabela1[[#This Row],[DPOL1]:[DPOL4]])),"")</f>
        <v/>
      </c>
      <c r="CG180" s="21" t="str">
        <f>IFERROR(VLOOKUP(Tabela1[[#This Row],[ID]]&amp;Tabela1[[#This Row],[MÊS]]&amp;Tabela1[[#This Row],[MATRICULA]],#REF!,2,0),"")</f>
        <v/>
      </c>
      <c r="CH180" s="21" t="str">
        <f>IFERROR(VLOOKUP(Tabela1[[#This Row],[ID]]&amp;Tabela1[[#This Row],[MÊS]]&amp;Tabela1[[#This Row],[MATRICULA]],#REF!,2,0),"")</f>
        <v/>
      </c>
      <c r="CI180" s="21" t="str">
        <f>IFERROR(VLOOKUP(Tabela1[[#This Row],[MÊS]]&amp;Tabela1[[#This Row],[MATRICULA]],#REF!,2,0),"")</f>
        <v/>
      </c>
    </row>
    <row r="181" spans="1:87">
      <c r="A181" s="12" t="str">
        <f>Tabela1[[#This Row],[MÊS]]&amp;Tabela1[[#This Row],[MATRICULA]]&amp;Tabela1[[#This Row],[ID]]</f>
        <v>JAN1151914</v>
      </c>
      <c r="B181" s="12" t="str">
        <f>Tabela1[[#This Row],[MÊS]]&amp;Tabela1[[#This Row],[ID]]&amp;Tabela1[[#This Row],[MATRICULA]]&amp;Tabela1[[#This Row],[SETOR]]</f>
        <v>JAN1411519TRANSFERÊNCIA</v>
      </c>
      <c r="C181" s="130" t="e">
        <f>VLOOKUP(Tabela1[[#This Row],[MATRICULA]],'BD Campos'!A:D,5,0)</f>
        <v>#REF!</v>
      </c>
      <c r="D181" s="133" t="str">
        <f ca="1">IFERROR(SUM(TODAY()-Tabela1[[#This Row],[ADMISSÃO]]),"")</f>
        <v/>
      </c>
      <c r="E181" s="11" t="str">
        <f ca="1">IFERROR(TRUNC(Tabela1[[#This Row],[TEMPO DE CASA (DIAS)]]/30),"")</f>
        <v/>
      </c>
      <c r="F181" s="32" t="str">
        <f ca="1">IFERROR(SUM(Tabela1[[#This Row],[TEMPO DE CASA (MESES)]]/12),"")</f>
        <v/>
      </c>
      <c r="G181" s="133" t="str">
        <f ca="1">IF(Tabela1[[#This Row],[TEMPO DE CASA (DIAS)]]="","SEM DADOS",IF(Tabela1[[#This Row],[TEMPO DE CASA (DIAS)]]&gt;180,"&gt; 6 MESES","&lt; 6 MESES"))</f>
        <v>SEM DADOS</v>
      </c>
      <c r="H181" s="12" t="str">
        <f t="shared" si="16"/>
        <v>JANGustavo Miralha14</v>
      </c>
      <c r="I181" s="12" t="str">
        <f>IFERROR(VLOOKUP(Tabela1[[#This Row],[MATRICULA]],'BD Campos'!A:F,7,0),"")</f>
        <v/>
      </c>
      <c r="J181" s="11">
        <v>14</v>
      </c>
      <c r="K181" s="11" t="s">
        <v>669</v>
      </c>
      <c r="L181" s="136">
        <v>11519</v>
      </c>
      <c r="M181" s="12" t="str">
        <f>IFERROR(VLOOKUP(Tabela1[[#This Row],[MATRICULA]],'BD Campos'!A:B,2,0),"")</f>
        <v>KAUANE MAIARA MAZETTI MOURA</v>
      </c>
      <c r="N181" s="20">
        <f>IFERROR(AVERAGE(Tabela1[[#This Row],[A1]:[A4]]),"")</f>
        <v>8.4164999999999992</v>
      </c>
      <c r="O181" s="20" t="str">
        <f>IFERROR(IF(Tabela1[[#This Row],[SETOR]]="RECEPTIVO","",AVERAGE(Tabela1[[#This Row],[A5]:[A6]])),"")</f>
        <v/>
      </c>
      <c r="P181" s="20" t="str">
        <f>IFERROR(IF(Tabela1[[#This Row],[STATUS]]="INATIVO","INATIVO",IF(Tabela1[[#This Row],[STATUS]]="QRT","INATIVO",IF(Tabela1[[#This Row],[OPERACIONAL]]&gt;7.99999,"BOM","RUIM"))),"")</f>
        <v>BOM</v>
      </c>
      <c r="Q181" s="21" t="s">
        <v>667</v>
      </c>
      <c r="R181" s="12" t="s">
        <v>710</v>
      </c>
      <c r="S181" s="12" t="s">
        <v>711</v>
      </c>
      <c r="T181" s="12" t="s">
        <v>192</v>
      </c>
      <c r="U18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1" s="12">
        <f>IF(AND(Tabela1[[#This Row],[SETOR]]="UTI",Tabela1[[#This Row],[M]]&lt;&gt;""),1,IF(AND(Tabela1[[#This Row],[SETOR]]="UTI (RJ)",Tabela1[[#This Row],[M]]&lt;&gt;""),1.5,0))</f>
        <v>0</v>
      </c>
      <c r="X181" s="12">
        <f>IF(AND(Tabela1[[#This Row],[SETOR]]="UTI",Tabela1[[#This Row],[PA2]]&lt;&gt;""),1,IF(AND(Tabela1[[#This Row],[SETOR]]="UTI (RJ)",Tabela1[[#This Row],[PA2]]&lt;&gt;""),0,0))</f>
        <v>0</v>
      </c>
      <c r="Y181" s="12">
        <f>IF(AND(Tabela1[[#This Row],[SETOR]]="UTI",Tabela1[[#This Row],[C]]&lt;&gt;""),1,IF(AND(Tabela1[[#This Row],[SETOR]]="UTI (RJ)",Tabela1[[#This Row],[C]]&lt;&gt;""),1.5,0))</f>
        <v>0</v>
      </c>
      <c r="Z181" s="12">
        <f>IF(AND(Tabela1[[#This Row],[SETOR]]="UTI",Tabela1[[#This Row],[PL]]&lt;&gt;""),1,IF(AND(Tabela1[[#This Row],[SETOR]]="UTI (RJ)",Tabela1[[#This Row],[PL]]&lt;&gt;""),1,0))</f>
        <v>0</v>
      </c>
      <c r="AA181" s="21">
        <f>IFERROR(VLOOKUP(Tabela1[[#This Row],[MÊS]]&amp;Tabela1[[#This Row],[MATRICULA]]&amp;"1"&amp;Tabela1[[#This Row],[SETOR]]&amp;"PADRÃO",BD!B:AF,31,0),"")</f>
        <v>8.2149999999999999</v>
      </c>
      <c r="AB181" s="21">
        <f>IFERROR(VLOOKUP(Tabela1[[#This Row],[MÊS]]&amp;Tabela1[[#This Row],[MATRICULA]]&amp;"2"&amp;Tabela1[[#This Row],[SETOR]]&amp;"PADRÃO",BD!B:AF,31,0),"")</f>
        <v>8.6179999999999986</v>
      </c>
      <c r="AC181" s="21" t="str">
        <f>IFERROR(VLOOKUP(Tabela1[[#This Row],[MÊS]]&amp;Tabela1[[#This Row],[MATRICULA]]&amp;"3"&amp;Tabela1[[#This Row],[SETOR]]&amp;"PADRÃO",BD!B:AF,31,0),"")</f>
        <v/>
      </c>
      <c r="AD181" s="21" t="str">
        <f>IFERROR(VLOOKUP(Tabela1[[#This Row],[MÊS]]&amp;Tabela1[[#This Row],[MATRICULA]]&amp;"4"&amp;Tabela1[[#This Row],[SETOR]]&amp;"PADRÃO",BD!B:AF,25,0),"")</f>
        <v/>
      </c>
      <c r="AE181" s="21" t="str">
        <f>IFERROR(VLOOKUP(Tabela1[[#This Row],[MÊS]]&amp;Tabela1[[#This Row],[MATRICULA]]&amp;"5"&amp;Tabela1[[#This Row],[SETOR]]&amp;"PADRÃO",BD!B:AF,31,0),"")</f>
        <v/>
      </c>
      <c r="AF181" s="21" t="str">
        <f>IFERROR(VLOOKUP(Tabela1[[#This Row],[MÊS]]&amp;Tabela1[[#This Row],[MATRICULA]]&amp;"6"&amp;Tabela1[[#This Row],[SETOR]]&amp;"PADRÃO",BD!B:AF,31,0),"")</f>
        <v/>
      </c>
      <c r="AG181" s="21" t="str">
        <f>IFERROR(VLOOKUP(Tabela1[[#This Row],[MÊS]]&amp;Tabela1[[#This Row],[MATRICULA]]&amp;"7"&amp;Tabela1[[#This Row],[SETOR]]&amp;"PADRÃO",BD!B:AF,31,0),"")</f>
        <v/>
      </c>
      <c r="AH181" s="21" t="str">
        <f>IFERROR(VLOOKUP(Tabela1[[#This Row],[MÊS]]&amp;Tabela1[[#This Row],[ID]]&amp;Tabela1[[#This Row],[MATRICULA]]&amp;"Receptiva"&amp;Tabela1[[#This Row],[SETOR]],BD!A:AF,31,0),"")</f>
        <v/>
      </c>
      <c r="AI181" s="21" t="str">
        <f>IFERROR(VLOOKUP(Tabela1[[#This Row],[MÊS]]&amp;Tabela1[[#This Row],[ID]]&amp;Tabela1[[#This Row],[MATRICULA]]&amp;"Receptiva 2"&amp;Tabela1[[#This Row],[SETOR]],BD!A:AF,31,0),"")</f>
        <v/>
      </c>
      <c r="AJ181" s="21" t="str">
        <f>IFERROR(VLOOKUP(Tabela1[[#This Row],[MÊS]]&amp;Tabela1[[#This Row],[ID]]&amp;Tabela1[[#This Row],[MATRICULA]]&amp;"Receptiva 3"&amp;Tabela1[[#This Row],[SETOR]],BD!A:AF,31,0),"")</f>
        <v/>
      </c>
      <c r="AK181" s="21" t="str">
        <f>IFERROR(VLOOKUP(Tabela1[[#This Row],[MÊS]]&amp;Tabela1[[#This Row],[ID]]&amp;Tabela1[[#This Row],[MATRICULA]]&amp;"Receptiva 4"&amp;Tabela1[[#This Row],[SETOR]],BD!A:AF,31,0),"")</f>
        <v/>
      </c>
      <c r="AL181" s="21">
        <f>IFERROR(VLOOKUP(Tabela1[[#This Row],[MÊS]]&amp;Tabela1[[#This Row],[MATRICULA]]&amp;"Motorista"&amp;Tabela1[[#This Row],[SETOR]],BD!A:AF,31,0),"")</f>
        <v>0</v>
      </c>
      <c r="AM181" s="21" t="str">
        <f>IFERROR(VLOOKUP(Tabela1[[#This Row],[MÊS]]&amp;Tabela1[[#This Row],[ID]]&amp;Tabela1[[#This Row],[MATRICULA]]&amp;"Motorista 2"&amp;Tabela1[[#This Row],[SETOR]],BD!A:AF,26,0),"")</f>
        <v/>
      </c>
      <c r="AN181" s="21" t="str">
        <f>IFERROR(VLOOKUP(Tabela1[[#This Row],[MÊS]]&amp;Tabela1[[#This Row],[ID]]&amp;Tabela1[[#This Row],[MATRICULA]]&amp;"Motorista 3"&amp;Tabela1[[#This Row],[SETOR]],BD!A:AF,26,0),"")</f>
        <v/>
      </c>
      <c r="AO181" s="21" t="str">
        <f>IFERROR(VLOOKUP(Tabela1[[#This Row],[MÊS]]&amp;Tabela1[[#This Row],[ID]]&amp;Tabela1[[#This Row],[MATRICULA]]&amp;"Motorista 4"&amp;Tabela1[[#This Row],[SETOR]],BD!A:AF,26,0),"")</f>
        <v/>
      </c>
      <c r="AP181" s="21" t="str">
        <f>IFERROR(VLOOKUP(Tabela1[[#This Row],[MÊS]]&amp;Tabela1[[#This Row],[MATRICULA]]&amp;"Ponto de Apoio"&amp;Tabela1[[#This Row],[SETOR]],BD!A:AF,31,0),"")</f>
        <v/>
      </c>
      <c r="AQ181" s="21" t="str">
        <f>IFERROR(VLOOKUP(Tabela1[[#This Row],[MÊS]]&amp;Tabela1[[#This Row],[ID]]&amp;Tabela1[[#This Row],[MATRICULA]]&amp;"Ponto de Apoio 2"&amp;Tabela1[[#This Row],[SETOR]],BD!A:AF,26,0),"")</f>
        <v/>
      </c>
      <c r="AR181" s="36" t="str">
        <f>IFERROR(VLOOKUP(Tabela1[[#This Row],[MÊS]]&amp;Tabela1[[#This Row],[ID]]&amp;Tabela1[[#This Row],[MATRICULA]]&amp;"Ponto de Apoio 3"&amp;Tabela1[[#This Row],[SETOR]],BD!A:AF,26,0),"")</f>
        <v/>
      </c>
      <c r="AS181" s="36" t="str">
        <f>IFERROR(VLOOKUP(Tabela1[[#This Row],[MÊS]]&amp;Tabela1[[#This Row],[ID]]&amp;Tabela1[[#This Row],[MATRICULA]]&amp;"Ponto de Apoio 4"&amp;Tabela1[[#This Row],[SETOR]],BD!A:AF,26,0),"")</f>
        <v/>
      </c>
      <c r="AT181" s="21" t="str">
        <f>IFERROR(VLOOKUP(Tabela1[[#This Row],[MÊS]]&amp;Tabela1[[#This Row],[MATRICULA]]&amp;"Cliente"&amp;Tabela1[[#This Row],[SETOR]],BD!A:AF,31,0),"")</f>
        <v/>
      </c>
      <c r="AU181" s="21" t="str">
        <f>IFERROR(VLOOKUP(Tabela1[[#This Row],[MÊS]]&amp;Tabela1[[#This Row],[ID]]&amp;Tabela1[[#This Row],[MATRICULA]]&amp;"Cliente 2"&amp;Tabela1[[#This Row],[SETOR]],BD!A:AF,26,0),"")</f>
        <v/>
      </c>
      <c r="AX181" s="21" t="str">
        <f>IFERROR(VLOOKUP(Tabela1[[#This Row],[MÊS]]&amp;Tabela1[[#This Row],[MATRICULA]]&amp;"Policia"&amp;Tabela1[[#This Row],[SETOR]],BD!A:AF,31,0),"")</f>
        <v/>
      </c>
      <c r="AY181" s="21" t="str">
        <f>IFERROR(VLOOKUP(Tabela1[[#This Row],[MÊS]]&amp;Tabela1[[#This Row],[ID]]&amp;Tabela1[[#This Row],[MATRICULA]]&amp;"Policia 2"&amp;Tabela1[[#This Row],[SETOR]],BD!A:AF,26,0),"")</f>
        <v/>
      </c>
      <c r="AZ181" s="36" t="str">
        <f>IFERROR(VLOOKUP(Tabela1[[#This Row],[MÊS]]&amp;Tabela1[[#This Row],[ID]]&amp;Tabela1[[#This Row],[MATRICULA]]&amp;"Policia 3"&amp;Tabela1[[#This Row],[SETOR]],BD!A:AF,26,0),"")</f>
        <v/>
      </c>
      <c r="BA181" s="36" t="str">
        <f>IFERROR(VLOOKUP(Tabela1[[#This Row],[MÊS]]&amp;Tabela1[[#This Row],[ID]]&amp;Tabela1[[#This Row],[MATRICULA]]&amp;"Policia 4"&amp;Tabela1[[#This Row],[SETOR]],BD!A:AF,26,0),"")</f>
        <v/>
      </c>
      <c r="BB18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1" s="21">
        <f>IFERROR(AVERAGE(Tabela1[[#This Row],[M]:[M4]]),"")</f>
        <v>0</v>
      </c>
      <c r="BD181" s="21" t="str">
        <f>IFERROR(AVERAGE(Tabela1[[#This Row],[C]:[C4]]),"")</f>
        <v/>
      </c>
      <c r="BE181" s="21" t="str">
        <f>IFERROR(AVERAGE(Tabela1[[#This Row],[PA2]:[PA 4]]),"")</f>
        <v/>
      </c>
      <c r="BF181" s="21" t="str">
        <f>IFERROR(AVERAGE(Tabela1[[#This Row],[PL]:[PL4]]),"")</f>
        <v/>
      </c>
      <c r="BG181" s="35" t="str">
        <f>IFERROR(VLOOKUP(Tabela1[[#This Row],[MÊS]]&amp;Tabela1[[#This Row],[MATRICULA]],#REF!,2,0),"")</f>
        <v/>
      </c>
      <c r="BH181" s="35" t="str">
        <f>IFERROR(VLOOKUP(Tabela1[[#This Row],[MÊS]]&amp;Tabela1[[#This Row],[MATRICULA]],#REF!,2,0),"")</f>
        <v/>
      </c>
      <c r="BI181" s="35" t="str">
        <f>IFERROR(VLOOKUP(Tabela1[[#This Row],[MÊS]]&amp;Tabela1[[#This Row],[MATRICULA]],#REF!,2,0),"")</f>
        <v/>
      </c>
      <c r="BJ181" s="35" t="str">
        <f>IFERROR(VLOOKUP(Tabela1[[#This Row],[MÊS]]&amp;Tabela1[[#This Row],[MATRICULA]],#REF!,2,0),"")</f>
        <v/>
      </c>
      <c r="BK181" s="35" t="str">
        <f>IFERROR(VLOOKUP(Tabela1[[#This Row],[MÊS]]&amp;Tabela1[[#This Row],[MATRICULA]],#REF!,2,0),"")</f>
        <v/>
      </c>
      <c r="BL181" s="21">
        <f>COUNTIF(Tabela1[[#This Row],[MOT2]:[RECEPTIVA]],"NÃO ENCONTRADA")</f>
        <v>0</v>
      </c>
      <c r="BM181" s="135" t="str">
        <f>IFERROR(VLOOKUP(Tabela1[[#This Row],[MÊS]]&amp;Tabela1[[#This Row],[ID]]&amp;Tabela1[[#This Row],[MATRICULA]]&amp;"Motorista"&amp;Tabela1[[#This Row],[SETOR]],BD!A:AF,13,0),"")</f>
        <v/>
      </c>
      <c r="BN181" s="135" t="str">
        <f>IFERROR(VLOOKUP(Tabela1[[#This Row],[MÊS]]&amp;Tabela1[[#This Row],[ID]]&amp;Tabela1[[#This Row],[MATRICULA]]&amp;"Motorista 2"&amp;Tabela1[[#This Row],[SETOR]],BD!A:AF,13,0),"")</f>
        <v/>
      </c>
      <c r="BO181" s="135" t="str">
        <f>IFERROR(VLOOKUP(Tabela1[[#This Row],[MÊS]]&amp;Tabela1[[#This Row],[ID]]&amp;Tabela1[[#This Row],[MATRICULA]]&amp;"Motorista 3"&amp;Tabela1[[#This Row],[SETOR]],BD!A:AF,13,0),"")</f>
        <v/>
      </c>
      <c r="BP181" s="135" t="str">
        <f>IFERROR(VLOOKUP(Tabela1[[#This Row],[MÊS]]&amp;Tabela1[[#This Row],[ID]]&amp;Tabela1[[#This Row],[MATRICULA]]&amp;"Motorista 4"&amp;Tabela1[[#This Row],[SETOR]],BD!A:AF,13,0),"")</f>
        <v/>
      </c>
      <c r="BQ181" s="135" t="str">
        <f>IFERROR(AVERAGE(Tabela1[[#This Row],[DMOT]:[DMOT4]]),"")</f>
        <v/>
      </c>
      <c r="BR181" s="135" t="str">
        <f>IFERROR(VLOOKUP(Tabela1[[#This Row],[MÊS]]&amp;Tabela1[[#This Row],[ID]]&amp;Tabela1[[#This Row],[MATRICULA]]&amp;"Ponto de Apoio"&amp;Tabela1[[#This Row],[SETOR]],BD!A:AF,13,0),"")</f>
        <v/>
      </c>
      <c r="BS181" s="135" t="str">
        <f>IFERROR(VLOOKUP(Tabela1[[#This Row],[MÊS]]&amp;Tabela1[[#This Row],[ID]]&amp;Tabela1[[#This Row],[MATRICULA]]&amp;"Ponto de Apoio 2"&amp;Tabela1[[#This Row],[SETOR]],BD!A:AF,13,0),"")</f>
        <v/>
      </c>
      <c r="BT181" s="135" t="str">
        <f>IFERROR(VLOOKUP(Tabela1[[#This Row],[MÊS]]&amp;Tabela1[[#This Row],[ID]]&amp;Tabela1[[#This Row],[MATRICULA]]&amp;"Ponto de Apoio 3"&amp;Tabela1[[#This Row],[SETOR]],BD!A:AF,13,0),"")</f>
        <v/>
      </c>
      <c r="BU181" s="135" t="str">
        <f>IFERROR(VLOOKUP(Tabela1[[#This Row],[MÊS]]&amp;Tabela1[[#This Row],[ID]]&amp;Tabela1[[#This Row],[MATRICULA]]&amp;"Ponto de Apoio 4"&amp;Tabela1[[#This Row],[SETOR]],BD!A:AF,13,0),"")</f>
        <v/>
      </c>
      <c r="BV181" s="135" t="str">
        <f>IFERROR(AVERAGE(Tabela1[[#This Row],[DPA]:[DPA 4]]),"")</f>
        <v/>
      </c>
      <c r="BW181" s="135" t="str">
        <f>IFERROR(VLOOKUP(Tabela1[[#This Row],[MÊS]]&amp;Tabela1[[#This Row],[ID]]&amp;Tabela1[[#This Row],[MATRICULA]]&amp;"Cliente"&amp;Tabela1[[#This Row],[SETOR]],BD!A:AF,13,0),"")</f>
        <v/>
      </c>
      <c r="BX181" s="135" t="str">
        <f>IFERROR(VLOOKUP(Tabela1[[#This Row],[MÊS]]&amp;Tabela1[[#This Row],[ID]]&amp;Tabela1[[#This Row],[MATRICULA]]&amp;"cliente 2"&amp;Tabela1[[#This Row],[SETOR]],BD!A:AF,13,0),"")</f>
        <v/>
      </c>
      <c r="BY181" s="135" t="str">
        <f>IFERROR(VLOOKUP(Tabela1[[#This Row],[MÊS]]&amp;Tabela1[[#This Row],[ID]]&amp;Tabela1[[#This Row],[MATRICULA]]&amp;"cliente 3"&amp;Tabela1[[#This Row],[SETOR]],BD!A:AF,13,0),"")</f>
        <v/>
      </c>
      <c r="BZ181" s="135" t="str">
        <f>IFERROR(VLOOKUP(Tabela1[[#This Row],[MÊS]]&amp;Tabela1[[#This Row],[ID]]&amp;Tabela1[[#This Row],[MATRICULA]]&amp;"cliente 4"&amp;Tabela1[[#This Row],[SETOR]],BD!A:AF,13,0),"")</f>
        <v/>
      </c>
      <c r="CA181" s="135" t="str">
        <f>IFERROR(AVERAGE(Tabela1[[#This Row],[DCLI]:[DCLI 4]]),"")</f>
        <v/>
      </c>
      <c r="CB181" s="135" t="str">
        <f>IFERROR(VLOOKUP(Tabela1[[#This Row],[MÊS]]&amp;Tabela1[[#This Row],[ID]]&amp;Tabela1[[#This Row],[MATRICULA]]&amp;"Policia"&amp;Tabela1[[#This Row],[SETOR]],BD!A:AF,13,0),"")</f>
        <v/>
      </c>
      <c r="CC181" s="135" t="str">
        <f>IFERROR(VLOOKUP(Tabela1[[#This Row],[MÊS]]&amp;Tabela1[[#This Row],[ID]]&amp;Tabela1[[#This Row],[MATRICULA]]&amp;"Policia 2"&amp;Tabela1[[#This Row],[SETOR]],BD!A:AF,13,0),"")</f>
        <v/>
      </c>
      <c r="CD181" s="135"/>
      <c r="CE181" s="135"/>
      <c r="CF181" s="135" t="str">
        <f>IFERROR((AVERAGE(Tabela1[[#This Row],[DPOL1]:[DPOL4]])),"")</f>
        <v/>
      </c>
      <c r="CG181" s="21" t="str">
        <f>IFERROR(VLOOKUP(Tabela1[[#This Row],[ID]]&amp;Tabela1[[#This Row],[MÊS]]&amp;Tabela1[[#This Row],[MATRICULA]],#REF!,2,0),"")</f>
        <v/>
      </c>
      <c r="CH181" s="21" t="str">
        <f>IFERROR(VLOOKUP(Tabela1[[#This Row],[ID]]&amp;Tabela1[[#This Row],[MÊS]]&amp;Tabela1[[#This Row],[MATRICULA]],#REF!,2,0),"")</f>
        <v/>
      </c>
      <c r="CI181" s="21" t="str">
        <f>IFERROR(VLOOKUP(Tabela1[[#This Row],[MÊS]]&amp;Tabela1[[#This Row],[MATRICULA]],#REF!,2,0),"")</f>
        <v/>
      </c>
    </row>
    <row r="182" spans="1:87">
      <c r="A182" s="12" t="str">
        <f>Tabela1[[#This Row],[MÊS]]&amp;Tabela1[[#This Row],[MATRICULA]]&amp;Tabela1[[#This Row],[ID]]</f>
        <v>JAN112411</v>
      </c>
      <c r="B182" s="12" t="str">
        <f>Tabela1[[#This Row],[MÊS]]&amp;Tabela1[[#This Row],[ID]]&amp;Tabela1[[#This Row],[MATRICULA]]&amp;Tabela1[[#This Row],[SETOR]]</f>
        <v>JAN111241TRANSFERÊNCIA</v>
      </c>
      <c r="C182" s="130" t="e">
        <f>VLOOKUP(Tabela1[[#This Row],[MATRICULA]],'BD Campos'!A:D,5,0)</f>
        <v>#REF!</v>
      </c>
      <c r="D182" s="133" t="str">
        <f ca="1">IFERROR(SUM(TODAY()-Tabela1[[#This Row],[ADMISSÃO]]),"")</f>
        <v/>
      </c>
      <c r="E182" s="11" t="str">
        <f ca="1">IFERROR(TRUNC(Tabela1[[#This Row],[TEMPO DE CASA (DIAS)]]/30),"")</f>
        <v/>
      </c>
      <c r="F182" s="32" t="str">
        <f ca="1">IFERROR(SUM(Tabela1[[#This Row],[TEMPO DE CASA (MESES)]]/12),"")</f>
        <v/>
      </c>
      <c r="G182" s="133" t="str">
        <f ca="1">IF(Tabela1[[#This Row],[TEMPO DE CASA (DIAS)]]="","SEM DADOS",IF(Tabela1[[#This Row],[TEMPO DE CASA (DIAS)]]&gt;180,"&gt; 6 MESES","&lt; 6 MESES"))</f>
        <v>SEM DADOS</v>
      </c>
      <c r="H182" s="12" t="str">
        <f t="shared" ref="H182:H195" si="17">K182&amp;S182&amp;J182</f>
        <v>JANAna Caroline1</v>
      </c>
      <c r="I182" s="12" t="str">
        <f>IFERROR(VLOOKUP(Tabela1[[#This Row],[MATRICULA]],'BD Campos'!A:F,7,0),"")</f>
        <v/>
      </c>
      <c r="J182" s="11">
        <v>1</v>
      </c>
      <c r="K182" s="11" t="s">
        <v>669</v>
      </c>
      <c r="L182" s="136">
        <v>11241</v>
      </c>
      <c r="M182" s="12" t="str">
        <f>IFERROR(VLOOKUP(Tabela1[[#This Row],[MATRICULA]],'BD Campos'!A:B,2,0),"")</f>
        <v>BIANCA RIBEIRO CARVALHO</v>
      </c>
      <c r="N182" s="20">
        <f>IFERROR(AVERAGE(Tabela1[[#This Row],[A1]:[A4]]),"")</f>
        <v>0</v>
      </c>
      <c r="O182" s="20" t="str">
        <f>IFERROR(IF(Tabela1[[#This Row],[SETOR]]="RECEPTIVO","",AVERAGE(Tabela1[[#This Row],[A5]:[A6]])),"")</f>
        <v/>
      </c>
      <c r="P182" s="20" t="str">
        <f>IFERROR(IF(Tabela1[[#This Row],[STATUS]]="INATIVO","INATIVO",IF(Tabela1[[#This Row],[STATUS]]="QRT","INATIVO",IF(Tabela1[[#This Row],[OPERACIONAL]]&gt;7.99999,"BOM","RUIM"))),"")</f>
        <v>RUIM</v>
      </c>
      <c r="Q182" s="21" t="s">
        <v>667</v>
      </c>
      <c r="R182" s="12" t="s">
        <v>712</v>
      </c>
      <c r="S182" s="12" t="s">
        <v>713</v>
      </c>
      <c r="T182" s="12" t="s">
        <v>192</v>
      </c>
      <c r="U18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2" s="12">
        <f>IF(AND(Tabela1[[#This Row],[SETOR]]="UTI",Tabela1[[#This Row],[M]]&lt;&gt;""),1,IF(AND(Tabela1[[#This Row],[SETOR]]="UTI (RJ)",Tabela1[[#This Row],[M]]&lt;&gt;""),1.5,0))</f>
        <v>0</v>
      </c>
      <c r="X182" s="12">
        <f>IF(AND(Tabela1[[#This Row],[SETOR]]="UTI",Tabela1[[#This Row],[PA2]]&lt;&gt;""),1,IF(AND(Tabela1[[#This Row],[SETOR]]="UTI (RJ)",Tabela1[[#This Row],[PA2]]&lt;&gt;""),0,0))</f>
        <v>0</v>
      </c>
      <c r="Y182" s="12">
        <f>IF(AND(Tabela1[[#This Row],[SETOR]]="UTI",Tabela1[[#This Row],[C]]&lt;&gt;""),1,IF(AND(Tabela1[[#This Row],[SETOR]]="UTI (RJ)",Tabela1[[#This Row],[C]]&lt;&gt;""),1.5,0))</f>
        <v>0</v>
      </c>
      <c r="Z182" s="12">
        <f>IF(AND(Tabela1[[#This Row],[SETOR]]="UTI",Tabela1[[#This Row],[PL]]&lt;&gt;""),1,IF(AND(Tabela1[[#This Row],[SETOR]]="UTI (RJ)",Tabela1[[#This Row],[PL]]&lt;&gt;""),1,0))</f>
        <v>0</v>
      </c>
      <c r="AA182" s="21">
        <f>IFERROR(VLOOKUP(Tabela1[[#This Row],[MÊS]]&amp;Tabela1[[#This Row],[MATRICULA]]&amp;"1"&amp;Tabela1[[#This Row],[SETOR]]&amp;"PADRÃO",BD!B:AF,31,0),"")</f>
        <v>0</v>
      </c>
      <c r="AB182" s="21">
        <f>IFERROR(VLOOKUP(Tabela1[[#This Row],[MÊS]]&amp;Tabela1[[#This Row],[MATRICULA]]&amp;"2"&amp;Tabela1[[#This Row],[SETOR]]&amp;"PADRÃO",BD!B:AF,31,0),"")</f>
        <v>0</v>
      </c>
      <c r="AC182" s="21" t="str">
        <f>IFERROR(VLOOKUP(Tabela1[[#This Row],[MÊS]]&amp;Tabela1[[#This Row],[MATRICULA]]&amp;"3"&amp;Tabela1[[#This Row],[SETOR]]&amp;"PADRÃO",BD!B:AF,31,0),"")</f>
        <v/>
      </c>
      <c r="AD182" s="21" t="str">
        <f>IFERROR(VLOOKUP(Tabela1[[#This Row],[MÊS]]&amp;Tabela1[[#This Row],[MATRICULA]]&amp;"4"&amp;Tabela1[[#This Row],[SETOR]]&amp;"PADRÃO",BD!B:AF,25,0),"")</f>
        <v/>
      </c>
      <c r="AE182" s="21" t="str">
        <f>IFERROR(VLOOKUP(Tabela1[[#This Row],[MÊS]]&amp;Tabela1[[#This Row],[MATRICULA]]&amp;"5"&amp;Tabela1[[#This Row],[SETOR]]&amp;"PADRÃO",BD!B:AF,31,0),"")</f>
        <v/>
      </c>
      <c r="AF182" s="21" t="str">
        <f>IFERROR(VLOOKUP(Tabela1[[#This Row],[MÊS]]&amp;Tabela1[[#This Row],[MATRICULA]]&amp;"6"&amp;Tabela1[[#This Row],[SETOR]]&amp;"PADRÃO",BD!B:AF,31,0),"")</f>
        <v/>
      </c>
      <c r="AG182" s="21" t="str">
        <f>IFERROR(VLOOKUP(Tabela1[[#This Row],[MÊS]]&amp;Tabela1[[#This Row],[MATRICULA]]&amp;"7"&amp;Tabela1[[#This Row],[SETOR]]&amp;"PADRÃO",BD!B:AF,31,0),"")</f>
        <v/>
      </c>
      <c r="AH182" s="21" t="str">
        <f>IFERROR(VLOOKUP(Tabela1[[#This Row],[MÊS]]&amp;Tabela1[[#This Row],[ID]]&amp;Tabela1[[#This Row],[MATRICULA]]&amp;"Receptiva"&amp;Tabela1[[#This Row],[SETOR]],BD!A:AF,31,0),"")</f>
        <v/>
      </c>
      <c r="AI182" s="21" t="str">
        <f>IFERROR(VLOOKUP(Tabela1[[#This Row],[MÊS]]&amp;Tabela1[[#This Row],[ID]]&amp;Tabela1[[#This Row],[MATRICULA]]&amp;"Receptiva 2"&amp;Tabela1[[#This Row],[SETOR]],BD!A:AF,31,0),"")</f>
        <v/>
      </c>
      <c r="AJ182" s="21" t="str">
        <f>IFERROR(VLOOKUP(Tabela1[[#This Row],[MÊS]]&amp;Tabela1[[#This Row],[ID]]&amp;Tabela1[[#This Row],[MATRICULA]]&amp;"Receptiva 3"&amp;Tabela1[[#This Row],[SETOR]],BD!A:AF,31,0),"")</f>
        <v/>
      </c>
      <c r="AK182" s="21" t="str">
        <f>IFERROR(VLOOKUP(Tabela1[[#This Row],[MÊS]]&amp;Tabela1[[#This Row],[ID]]&amp;Tabela1[[#This Row],[MATRICULA]]&amp;"Receptiva 4"&amp;Tabela1[[#This Row],[SETOR]],BD!A:AF,31,0),"")</f>
        <v/>
      </c>
      <c r="AL182" s="21" t="str">
        <f>IFERROR(VLOOKUP(Tabela1[[#This Row],[MÊS]]&amp;Tabela1[[#This Row],[MATRICULA]]&amp;"Motorista"&amp;Tabela1[[#This Row],[SETOR]],BD!A:AF,31,0),"")</f>
        <v/>
      </c>
      <c r="AM182" s="21" t="str">
        <f>IFERROR(VLOOKUP(Tabela1[[#This Row],[MÊS]]&amp;Tabela1[[#This Row],[ID]]&amp;Tabela1[[#This Row],[MATRICULA]]&amp;"Motorista 2"&amp;Tabela1[[#This Row],[SETOR]],BD!A:AF,26,0),"")</f>
        <v/>
      </c>
      <c r="AN182" s="21" t="str">
        <f>IFERROR(VLOOKUP(Tabela1[[#This Row],[MÊS]]&amp;Tabela1[[#This Row],[ID]]&amp;Tabela1[[#This Row],[MATRICULA]]&amp;"Motorista 3"&amp;Tabela1[[#This Row],[SETOR]],BD!A:AF,26,0),"")</f>
        <v/>
      </c>
      <c r="AO182" s="21" t="str">
        <f>IFERROR(VLOOKUP(Tabela1[[#This Row],[MÊS]]&amp;Tabela1[[#This Row],[ID]]&amp;Tabela1[[#This Row],[MATRICULA]]&amp;"Motorista 4"&amp;Tabela1[[#This Row],[SETOR]],BD!A:AF,26,0),"")</f>
        <v/>
      </c>
      <c r="AP182" s="21" t="str">
        <f>IFERROR(VLOOKUP(Tabela1[[#This Row],[MÊS]]&amp;Tabela1[[#This Row],[MATRICULA]]&amp;"Ponto de Apoio"&amp;Tabela1[[#This Row],[SETOR]],BD!A:AF,31,0),"")</f>
        <v/>
      </c>
      <c r="AQ182" s="21" t="str">
        <f>IFERROR(VLOOKUP(Tabela1[[#This Row],[MÊS]]&amp;Tabela1[[#This Row],[ID]]&amp;Tabela1[[#This Row],[MATRICULA]]&amp;"Ponto de Apoio 2"&amp;Tabela1[[#This Row],[SETOR]],BD!A:AF,26,0),"")</f>
        <v/>
      </c>
      <c r="AR182" s="36" t="str">
        <f>IFERROR(VLOOKUP(Tabela1[[#This Row],[MÊS]]&amp;Tabela1[[#This Row],[ID]]&amp;Tabela1[[#This Row],[MATRICULA]]&amp;"Ponto de Apoio 3"&amp;Tabela1[[#This Row],[SETOR]],BD!A:AF,26,0),"")</f>
        <v/>
      </c>
      <c r="AS182" s="36" t="str">
        <f>IFERROR(VLOOKUP(Tabela1[[#This Row],[MÊS]]&amp;Tabela1[[#This Row],[ID]]&amp;Tabela1[[#This Row],[MATRICULA]]&amp;"Ponto de Apoio 4"&amp;Tabela1[[#This Row],[SETOR]],BD!A:AF,26,0),"")</f>
        <v/>
      </c>
      <c r="AT182" s="21" t="str">
        <f>IFERROR(VLOOKUP(Tabela1[[#This Row],[MÊS]]&amp;Tabela1[[#This Row],[MATRICULA]]&amp;"Cliente"&amp;Tabela1[[#This Row],[SETOR]],BD!A:AF,31,0),"")</f>
        <v/>
      </c>
      <c r="AU182" s="21" t="str">
        <f>IFERROR(VLOOKUP(Tabela1[[#This Row],[MÊS]]&amp;Tabela1[[#This Row],[ID]]&amp;Tabela1[[#This Row],[MATRICULA]]&amp;"Cliente 2"&amp;Tabela1[[#This Row],[SETOR]],BD!A:AF,26,0),"")</f>
        <v/>
      </c>
      <c r="AX182" s="21" t="str">
        <f>IFERROR(VLOOKUP(Tabela1[[#This Row],[MÊS]]&amp;Tabela1[[#This Row],[MATRICULA]]&amp;"Policia"&amp;Tabela1[[#This Row],[SETOR]],BD!A:AF,31,0),"")</f>
        <v/>
      </c>
      <c r="AY182" s="21" t="str">
        <f>IFERROR(VLOOKUP(Tabela1[[#This Row],[MÊS]]&amp;Tabela1[[#This Row],[ID]]&amp;Tabela1[[#This Row],[MATRICULA]]&amp;"Policia 2"&amp;Tabela1[[#This Row],[SETOR]],BD!A:AF,26,0),"")</f>
        <v/>
      </c>
      <c r="AZ182" s="36" t="str">
        <f>IFERROR(VLOOKUP(Tabela1[[#This Row],[MÊS]]&amp;Tabela1[[#This Row],[ID]]&amp;Tabela1[[#This Row],[MATRICULA]]&amp;"Policia 3"&amp;Tabela1[[#This Row],[SETOR]],BD!A:AF,26,0),"")</f>
        <v/>
      </c>
      <c r="BA182" s="36" t="str">
        <f>IFERROR(VLOOKUP(Tabela1[[#This Row],[MÊS]]&amp;Tabela1[[#This Row],[ID]]&amp;Tabela1[[#This Row],[MATRICULA]]&amp;"Policia 4"&amp;Tabela1[[#This Row],[SETOR]],BD!A:AF,26,0),"")</f>
        <v/>
      </c>
      <c r="BB18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2" s="21" t="str">
        <f>IFERROR(AVERAGE(Tabela1[[#This Row],[M]:[M4]]),"")</f>
        <v/>
      </c>
      <c r="BD182" s="21" t="str">
        <f>IFERROR(AVERAGE(Tabela1[[#This Row],[C]:[C4]]),"")</f>
        <v/>
      </c>
      <c r="BE182" s="21" t="str">
        <f>IFERROR(AVERAGE(Tabela1[[#This Row],[PA2]:[PA 4]]),"")</f>
        <v/>
      </c>
      <c r="BF182" s="21" t="str">
        <f>IFERROR(AVERAGE(Tabela1[[#This Row],[PL]:[PL4]]),"")</f>
        <v/>
      </c>
      <c r="BG182" s="35" t="str">
        <f>IFERROR(VLOOKUP(Tabela1[[#This Row],[MÊS]]&amp;Tabela1[[#This Row],[MATRICULA]],#REF!,2,0),"")</f>
        <v/>
      </c>
      <c r="BH182" s="35" t="str">
        <f>IFERROR(VLOOKUP(Tabela1[[#This Row],[MÊS]]&amp;Tabela1[[#This Row],[MATRICULA]],#REF!,2,0),"")</f>
        <v/>
      </c>
      <c r="BI182" s="35" t="str">
        <f>IFERROR(VLOOKUP(Tabela1[[#This Row],[MÊS]]&amp;Tabela1[[#This Row],[MATRICULA]],#REF!,2,0),"")</f>
        <v/>
      </c>
      <c r="BJ182" s="35" t="str">
        <f>IFERROR(VLOOKUP(Tabela1[[#This Row],[MÊS]]&amp;Tabela1[[#This Row],[MATRICULA]],#REF!,2,0),"")</f>
        <v/>
      </c>
      <c r="BK182" s="35" t="str">
        <f>IFERROR(VLOOKUP(Tabela1[[#This Row],[MÊS]]&amp;Tabela1[[#This Row],[MATRICULA]],#REF!,2,0),"")</f>
        <v/>
      </c>
      <c r="BL182" s="21">
        <f>COUNTIF(Tabela1[[#This Row],[MOT2]:[RECEPTIVA]],"NÃO ENCONTRADA")</f>
        <v>0</v>
      </c>
      <c r="BM182" s="135" t="str">
        <f>IFERROR(VLOOKUP(Tabela1[[#This Row],[MÊS]]&amp;Tabela1[[#This Row],[ID]]&amp;Tabela1[[#This Row],[MATRICULA]]&amp;"Motorista"&amp;Tabela1[[#This Row],[SETOR]],BD!A:AF,13,0),"")</f>
        <v/>
      </c>
      <c r="BN182" s="135" t="str">
        <f>IFERROR(VLOOKUP(Tabela1[[#This Row],[MÊS]]&amp;Tabela1[[#This Row],[ID]]&amp;Tabela1[[#This Row],[MATRICULA]]&amp;"Motorista 2"&amp;Tabela1[[#This Row],[SETOR]],BD!A:AF,13,0),"")</f>
        <v/>
      </c>
      <c r="BO182" s="135" t="str">
        <f>IFERROR(VLOOKUP(Tabela1[[#This Row],[MÊS]]&amp;Tabela1[[#This Row],[ID]]&amp;Tabela1[[#This Row],[MATRICULA]]&amp;"Motorista 3"&amp;Tabela1[[#This Row],[SETOR]],BD!A:AF,13,0),"")</f>
        <v/>
      </c>
      <c r="BP182" s="135" t="str">
        <f>IFERROR(VLOOKUP(Tabela1[[#This Row],[MÊS]]&amp;Tabela1[[#This Row],[ID]]&amp;Tabela1[[#This Row],[MATRICULA]]&amp;"Motorista 4"&amp;Tabela1[[#This Row],[SETOR]],BD!A:AF,13,0),"")</f>
        <v/>
      </c>
      <c r="BQ182" s="135" t="str">
        <f>IFERROR(AVERAGE(Tabela1[[#This Row],[DMOT]:[DMOT4]]),"")</f>
        <v/>
      </c>
      <c r="BR182" s="135" t="str">
        <f>IFERROR(VLOOKUP(Tabela1[[#This Row],[MÊS]]&amp;Tabela1[[#This Row],[ID]]&amp;Tabela1[[#This Row],[MATRICULA]]&amp;"Ponto de Apoio"&amp;Tabela1[[#This Row],[SETOR]],BD!A:AF,13,0),"")</f>
        <v/>
      </c>
      <c r="BS182" s="135" t="str">
        <f>IFERROR(VLOOKUP(Tabela1[[#This Row],[MÊS]]&amp;Tabela1[[#This Row],[ID]]&amp;Tabela1[[#This Row],[MATRICULA]]&amp;"Ponto de Apoio 2"&amp;Tabela1[[#This Row],[SETOR]],BD!A:AF,13,0),"")</f>
        <v/>
      </c>
      <c r="BT182" s="135" t="str">
        <f>IFERROR(VLOOKUP(Tabela1[[#This Row],[MÊS]]&amp;Tabela1[[#This Row],[ID]]&amp;Tabela1[[#This Row],[MATRICULA]]&amp;"Ponto de Apoio 3"&amp;Tabela1[[#This Row],[SETOR]],BD!A:AF,13,0),"")</f>
        <v/>
      </c>
      <c r="BU182" s="135" t="str">
        <f>IFERROR(VLOOKUP(Tabela1[[#This Row],[MÊS]]&amp;Tabela1[[#This Row],[ID]]&amp;Tabela1[[#This Row],[MATRICULA]]&amp;"Ponto de Apoio 4"&amp;Tabela1[[#This Row],[SETOR]],BD!A:AF,13,0),"")</f>
        <v/>
      </c>
      <c r="BV182" s="135" t="str">
        <f>IFERROR(AVERAGE(Tabela1[[#This Row],[DPA]:[DPA 4]]),"")</f>
        <v/>
      </c>
      <c r="BW182" s="135" t="str">
        <f>IFERROR(VLOOKUP(Tabela1[[#This Row],[MÊS]]&amp;Tabela1[[#This Row],[ID]]&amp;Tabela1[[#This Row],[MATRICULA]]&amp;"Cliente"&amp;Tabela1[[#This Row],[SETOR]],BD!A:AF,13,0),"")</f>
        <v/>
      </c>
      <c r="BX182" s="135" t="str">
        <f>IFERROR(VLOOKUP(Tabela1[[#This Row],[MÊS]]&amp;Tabela1[[#This Row],[ID]]&amp;Tabela1[[#This Row],[MATRICULA]]&amp;"cliente 2"&amp;Tabela1[[#This Row],[SETOR]],BD!A:AF,13,0),"")</f>
        <v/>
      </c>
      <c r="BY182" s="135" t="str">
        <f>IFERROR(VLOOKUP(Tabela1[[#This Row],[MÊS]]&amp;Tabela1[[#This Row],[ID]]&amp;Tabela1[[#This Row],[MATRICULA]]&amp;"cliente 3"&amp;Tabela1[[#This Row],[SETOR]],BD!A:AF,13,0),"")</f>
        <v/>
      </c>
      <c r="BZ182" s="135" t="str">
        <f>IFERROR(VLOOKUP(Tabela1[[#This Row],[MÊS]]&amp;Tabela1[[#This Row],[ID]]&amp;Tabela1[[#This Row],[MATRICULA]]&amp;"cliente 4"&amp;Tabela1[[#This Row],[SETOR]],BD!A:AF,13,0),"")</f>
        <v/>
      </c>
      <c r="CA182" s="135" t="str">
        <f>IFERROR(AVERAGE(Tabela1[[#This Row],[DCLI]:[DCLI 4]]),"")</f>
        <v/>
      </c>
      <c r="CB182" s="135" t="str">
        <f>IFERROR(VLOOKUP(Tabela1[[#This Row],[MÊS]]&amp;Tabela1[[#This Row],[ID]]&amp;Tabela1[[#This Row],[MATRICULA]]&amp;"Policia"&amp;Tabela1[[#This Row],[SETOR]],BD!A:AF,13,0),"")</f>
        <v/>
      </c>
      <c r="CC182" s="135" t="str">
        <f>IFERROR(VLOOKUP(Tabela1[[#This Row],[MÊS]]&amp;Tabela1[[#This Row],[ID]]&amp;Tabela1[[#This Row],[MATRICULA]]&amp;"Policia 2"&amp;Tabela1[[#This Row],[SETOR]],BD!A:AF,13,0),"")</f>
        <v/>
      </c>
      <c r="CD182" s="135"/>
      <c r="CE182" s="135"/>
      <c r="CF182" s="135" t="str">
        <f>IFERROR((AVERAGE(Tabela1[[#This Row],[DPOL1]:[DPOL4]])),"")</f>
        <v/>
      </c>
      <c r="CG182" s="21" t="str">
        <f>IFERROR(VLOOKUP(Tabela1[[#This Row],[ID]]&amp;Tabela1[[#This Row],[MÊS]]&amp;Tabela1[[#This Row],[MATRICULA]],#REF!,2,0),"")</f>
        <v/>
      </c>
      <c r="CH182" s="21" t="str">
        <f>IFERROR(VLOOKUP(Tabela1[[#This Row],[ID]]&amp;Tabela1[[#This Row],[MÊS]]&amp;Tabela1[[#This Row],[MATRICULA]],#REF!,2,0),"")</f>
        <v/>
      </c>
      <c r="CI182" s="21" t="str">
        <f>IFERROR(VLOOKUP(Tabela1[[#This Row],[MÊS]]&amp;Tabela1[[#This Row],[MATRICULA]],#REF!,2,0),"")</f>
        <v/>
      </c>
    </row>
    <row r="183" spans="1:87">
      <c r="A183" s="12" t="str">
        <f>Tabela1[[#This Row],[MÊS]]&amp;Tabela1[[#This Row],[MATRICULA]]&amp;Tabela1[[#This Row],[ID]]</f>
        <v>JAN112402</v>
      </c>
      <c r="B183" s="12" t="str">
        <f>Tabela1[[#This Row],[MÊS]]&amp;Tabela1[[#This Row],[ID]]&amp;Tabela1[[#This Row],[MATRICULA]]&amp;Tabela1[[#This Row],[SETOR]]</f>
        <v>JAN211240TRANSFERÊNCIA</v>
      </c>
      <c r="C183" s="130" t="e">
        <f>VLOOKUP(Tabela1[[#This Row],[MATRICULA]],'BD Campos'!A:D,5,0)</f>
        <v>#REF!</v>
      </c>
      <c r="D183" s="133" t="str">
        <f ca="1">IFERROR(SUM(TODAY()-Tabela1[[#This Row],[ADMISSÃO]]),"")</f>
        <v/>
      </c>
      <c r="E183" s="11" t="str">
        <f ca="1">IFERROR(TRUNC(Tabela1[[#This Row],[TEMPO DE CASA (DIAS)]]/30),"")</f>
        <v/>
      </c>
      <c r="F183" s="32" t="str">
        <f ca="1">IFERROR(SUM(Tabela1[[#This Row],[TEMPO DE CASA (MESES)]]/12),"")</f>
        <v/>
      </c>
      <c r="G183" s="133" t="str">
        <f ca="1">IF(Tabela1[[#This Row],[TEMPO DE CASA (DIAS)]]="","SEM DADOS",IF(Tabela1[[#This Row],[TEMPO DE CASA (DIAS)]]&gt;180,"&gt; 6 MESES","&lt; 6 MESES"))</f>
        <v>SEM DADOS</v>
      </c>
      <c r="H183" s="12" t="str">
        <f t="shared" si="17"/>
        <v>JANAna Caroline2</v>
      </c>
      <c r="I183" s="12" t="str">
        <f>IFERROR(VLOOKUP(Tabela1[[#This Row],[MATRICULA]],'BD Campos'!A:F,7,0),"")</f>
        <v/>
      </c>
      <c r="J183" s="11">
        <v>2</v>
      </c>
      <c r="K183" s="11" t="s">
        <v>669</v>
      </c>
      <c r="L183" s="136">
        <v>11240</v>
      </c>
      <c r="M183" s="12" t="str">
        <f>IFERROR(VLOOKUP(Tabela1[[#This Row],[MATRICULA]],'BD Campos'!A:B,2,0),"")</f>
        <v>KENDRIO MURILLO DE LIMA SELLES</v>
      </c>
      <c r="N183" s="20">
        <f>IFERROR(AVERAGE(Tabela1[[#This Row],[A1]:[A4]]),"")</f>
        <v>7.5344999999999995</v>
      </c>
      <c r="O183" s="20" t="str">
        <f>IFERROR(IF(Tabela1[[#This Row],[SETOR]]="RECEPTIVO","",AVERAGE(Tabela1[[#This Row],[A5]:[A6]])),"")</f>
        <v/>
      </c>
      <c r="P183" s="20" t="str">
        <f>IFERROR(IF(Tabela1[[#This Row],[STATUS]]="INATIVO","INATIVO",IF(Tabela1[[#This Row],[STATUS]]="QRT","INATIVO",IF(Tabela1[[#This Row],[OPERACIONAL]]&gt;7.99999,"BOM","RUIM"))),"")</f>
        <v>RUIM</v>
      </c>
      <c r="Q183" s="21" t="s">
        <v>667</v>
      </c>
      <c r="R183" s="12" t="s">
        <v>712</v>
      </c>
      <c r="S183" s="12" t="s">
        <v>713</v>
      </c>
      <c r="T183" s="12" t="s">
        <v>192</v>
      </c>
      <c r="U18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3" s="12">
        <f>IF(AND(Tabela1[[#This Row],[SETOR]]="UTI",Tabela1[[#This Row],[M]]&lt;&gt;""),1,IF(AND(Tabela1[[#This Row],[SETOR]]="UTI (RJ)",Tabela1[[#This Row],[M]]&lt;&gt;""),1.5,0))</f>
        <v>0</v>
      </c>
      <c r="X183" s="12">
        <f>IF(AND(Tabela1[[#This Row],[SETOR]]="UTI",Tabela1[[#This Row],[PA2]]&lt;&gt;""),1,IF(AND(Tabela1[[#This Row],[SETOR]]="UTI (RJ)",Tabela1[[#This Row],[PA2]]&lt;&gt;""),0,0))</f>
        <v>0</v>
      </c>
      <c r="Y183" s="12">
        <f>IF(AND(Tabela1[[#This Row],[SETOR]]="UTI",Tabela1[[#This Row],[C]]&lt;&gt;""),1,IF(AND(Tabela1[[#This Row],[SETOR]]="UTI (RJ)",Tabela1[[#This Row],[C]]&lt;&gt;""),1.5,0))</f>
        <v>0</v>
      </c>
      <c r="Z183" s="12">
        <f>IF(AND(Tabela1[[#This Row],[SETOR]]="UTI",Tabela1[[#This Row],[PL]]&lt;&gt;""),1,IF(AND(Tabela1[[#This Row],[SETOR]]="UTI (RJ)",Tabela1[[#This Row],[PL]]&lt;&gt;""),1,0))</f>
        <v>0</v>
      </c>
      <c r="AA183" s="21">
        <f>IFERROR(VLOOKUP(Tabela1[[#This Row],[MÊS]]&amp;Tabela1[[#This Row],[MATRICULA]]&amp;"1"&amp;Tabela1[[#This Row],[SETOR]]&amp;"PADRÃO",BD!B:AF,31,0),"")</f>
        <v>6.43</v>
      </c>
      <c r="AB183" s="21">
        <f>IFERROR(VLOOKUP(Tabela1[[#This Row],[MÊS]]&amp;Tabela1[[#This Row],[MATRICULA]]&amp;"2"&amp;Tabela1[[#This Row],[SETOR]]&amp;"PADRÃO",BD!B:AF,31,0),"")</f>
        <v>8.6389999999999993</v>
      </c>
      <c r="AC183" s="21" t="str">
        <f>IFERROR(VLOOKUP(Tabela1[[#This Row],[MÊS]]&amp;Tabela1[[#This Row],[MATRICULA]]&amp;"3"&amp;Tabela1[[#This Row],[SETOR]]&amp;"PADRÃO",BD!B:AF,31,0),"")</f>
        <v/>
      </c>
      <c r="AD183" s="21" t="str">
        <f>IFERROR(VLOOKUP(Tabela1[[#This Row],[MÊS]]&amp;Tabela1[[#This Row],[MATRICULA]]&amp;"4"&amp;Tabela1[[#This Row],[SETOR]]&amp;"PADRÃO",BD!B:AF,25,0),"")</f>
        <v/>
      </c>
      <c r="AE183" s="21" t="str">
        <f>IFERROR(VLOOKUP(Tabela1[[#This Row],[MÊS]]&amp;Tabela1[[#This Row],[MATRICULA]]&amp;"5"&amp;Tabela1[[#This Row],[SETOR]]&amp;"PADRÃO",BD!B:AF,31,0),"")</f>
        <v/>
      </c>
      <c r="AF183" s="21" t="str">
        <f>IFERROR(VLOOKUP(Tabela1[[#This Row],[MÊS]]&amp;Tabela1[[#This Row],[MATRICULA]]&amp;"6"&amp;Tabela1[[#This Row],[SETOR]]&amp;"PADRÃO",BD!B:AF,31,0),"")</f>
        <v/>
      </c>
      <c r="AG183" s="21" t="str">
        <f>IFERROR(VLOOKUP(Tabela1[[#This Row],[MÊS]]&amp;Tabela1[[#This Row],[MATRICULA]]&amp;"7"&amp;Tabela1[[#This Row],[SETOR]]&amp;"PADRÃO",BD!B:AF,31,0),"")</f>
        <v/>
      </c>
      <c r="AH183" s="21" t="str">
        <f>IFERROR(VLOOKUP(Tabela1[[#This Row],[MÊS]]&amp;Tabela1[[#This Row],[ID]]&amp;Tabela1[[#This Row],[MATRICULA]]&amp;"Receptiva"&amp;Tabela1[[#This Row],[SETOR]],BD!A:AF,31,0),"")</f>
        <v/>
      </c>
      <c r="AI183" s="21" t="str">
        <f>IFERROR(VLOOKUP(Tabela1[[#This Row],[MÊS]]&amp;Tabela1[[#This Row],[ID]]&amp;Tabela1[[#This Row],[MATRICULA]]&amp;"Receptiva 2"&amp;Tabela1[[#This Row],[SETOR]],BD!A:AF,31,0),"")</f>
        <v/>
      </c>
      <c r="AJ183" s="21" t="str">
        <f>IFERROR(VLOOKUP(Tabela1[[#This Row],[MÊS]]&amp;Tabela1[[#This Row],[ID]]&amp;Tabela1[[#This Row],[MATRICULA]]&amp;"Receptiva 3"&amp;Tabela1[[#This Row],[SETOR]],BD!A:AF,31,0),"")</f>
        <v/>
      </c>
      <c r="AK183" s="21" t="str">
        <f>IFERROR(VLOOKUP(Tabela1[[#This Row],[MÊS]]&amp;Tabela1[[#This Row],[ID]]&amp;Tabela1[[#This Row],[MATRICULA]]&amp;"Receptiva 4"&amp;Tabela1[[#This Row],[SETOR]],BD!A:AF,31,0),"")</f>
        <v/>
      </c>
      <c r="AL183" s="21">
        <f>IFERROR(VLOOKUP(Tabela1[[#This Row],[MÊS]]&amp;Tabela1[[#This Row],[MATRICULA]]&amp;"Motorista"&amp;Tabela1[[#This Row],[SETOR]],BD!A:AF,31,0),"")</f>
        <v>0</v>
      </c>
      <c r="AM183" s="21" t="str">
        <f>IFERROR(VLOOKUP(Tabela1[[#This Row],[MÊS]]&amp;Tabela1[[#This Row],[ID]]&amp;Tabela1[[#This Row],[MATRICULA]]&amp;"Motorista 2"&amp;Tabela1[[#This Row],[SETOR]],BD!A:AF,26,0),"")</f>
        <v/>
      </c>
      <c r="AN183" s="21" t="str">
        <f>IFERROR(VLOOKUP(Tabela1[[#This Row],[MÊS]]&amp;Tabela1[[#This Row],[ID]]&amp;Tabela1[[#This Row],[MATRICULA]]&amp;"Motorista 3"&amp;Tabela1[[#This Row],[SETOR]],BD!A:AF,26,0),"")</f>
        <v/>
      </c>
      <c r="AO183" s="21" t="str">
        <f>IFERROR(VLOOKUP(Tabela1[[#This Row],[MÊS]]&amp;Tabela1[[#This Row],[ID]]&amp;Tabela1[[#This Row],[MATRICULA]]&amp;"Motorista 4"&amp;Tabela1[[#This Row],[SETOR]],BD!A:AF,26,0),"")</f>
        <v/>
      </c>
      <c r="AP183" s="21" t="str">
        <f>IFERROR(VLOOKUP(Tabela1[[#This Row],[MÊS]]&amp;Tabela1[[#This Row],[MATRICULA]]&amp;"Ponto de Apoio"&amp;Tabela1[[#This Row],[SETOR]],BD!A:AF,31,0),"")</f>
        <v/>
      </c>
      <c r="AQ183" s="21" t="str">
        <f>IFERROR(VLOOKUP(Tabela1[[#This Row],[MÊS]]&amp;Tabela1[[#This Row],[ID]]&amp;Tabela1[[#This Row],[MATRICULA]]&amp;"Ponto de Apoio 2"&amp;Tabela1[[#This Row],[SETOR]],BD!A:AF,26,0),"")</f>
        <v/>
      </c>
      <c r="AR183" s="36" t="str">
        <f>IFERROR(VLOOKUP(Tabela1[[#This Row],[MÊS]]&amp;Tabela1[[#This Row],[ID]]&amp;Tabela1[[#This Row],[MATRICULA]]&amp;"Ponto de Apoio 3"&amp;Tabela1[[#This Row],[SETOR]],BD!A:AF,26,0),"")</f>
        <v/>
      </c>
      <c r="AS183" s="36" t="str">
        <f>IFERROR(VLOOKUP(Tabela1[[#This Row],[MÊS]]&amp;Tabela1[[#This Row],[ID]]&amp;Tabela1[[#This Row],[MATRICULA]]&amp;"Ponto de Apoio 4"&amp;Tabela1[[#This Row],[SETOR]],BD!A:AF,26,0),"")</f>
        <v/>
      </c>
      <c r="AT183" s="21" t="str">
        <f>IFERROR(VLOOKUP(Tabela1[[#This Row],[MÊS]]&amp;Tabela1[[#This Row],[MATRICULA]]&amp;"Cliente"&amp;Tabela1[[#This Row],[SETOR]],BD!A:AF,31,0),"")</f>
        <v/>
      </c>
      <c r="AU183" s="21" t="str">
        <f>IFERROR(VLOOKUP(Tabela1[[#This Row],[MÊS]]&amp;Tabela1[[#This Row],[ID]]&amp;Tabela1[[#This Row],[MATRICULA]]&amp;"Cliente 2"&amp;Tabela1[[#This Row],[SETOR]],BD!A:AF,26,0),"")</f>
        <v/>
      </c>
      <c r="AX183" s="21" t="str">
        <f>IFERROR(VLOOKUP(Tabela1[[#This Row],[MÊS]]&amp;Tabela1[[#This Row],[MATRICULA]]&amp;"Policia"&amp;Tabela1[[#This Row],[SETOR]],BD!A:AF,31,0),"")</f>
        <v/>
      </c>
      <c r="AY183" s="21" t="str">
        <f>IFERROR(VLOOKUP(Tabela1[[#This Row],[MÊS]]&amp;Tabela1[[#This Row],[ID]]&amp;Tabela1[[#This Row],[MATRICULA]]&amp;"Policia 2"&amp;Tabela1[[#This Row],[SETOR]],BD!A:AF,26,0),"")</f>
        <v/>
      </c>
      <c r="AZ183" s="36" t="str">
        <f>IFERROR(VLOOKUP(Tabela1[[#This Row],[MÊS]]&amp;Tabela1[[#This Row],[ID]]&amp;Tabela1[[#This Row],[MATRICULA]]&amp;"Policia 3"&amp;Tabela1[[#This Row],[SETOR]],BD!A:AF,26,0),"")</f>
        <v/>
      </c>
      <c r="BA183" s="36" t="str">
        <f>IFERROR(VLOOKUP(Tabela1[[#This Row],[MÊS]]&amp;Tabela1[[#This Row],[ID]]&amp;Tabela1[[#This Row],[MATRICULA]]&amp;"Policia 4"&amp;Tabela1[[#This Row],[SETOR]],BD!A:AF,26,0),"")</f>
        <v/>
      </c>
      <c r="BB18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3" s="21">
        <f>IFERROR(AVERAGE(Tabela1[[#This Row],[M]:[M4]]),"")</f>
        <v>0</v>
      </c>
      <c r="BD183" s="21" t="str">
        <f>IFERROR(AVERAGE(Tabela1[[#This Row],[C]:[C4]]),"")</f>
        <v/>
      </c>
      <c r="BE183" s="21" t="str">
        <f>IFERROR(AVERAGE(Tabela1[[#This Row],[PA2]:[PA 4]]),"")</f>
        <v/>
      </c>
      <c r="BF183" s="21" t="str">
        <f>IFERROR(AVERAGE(Tabela1[[#This Row],[PL]:[PL4]]),"")</f>
        <v/>
      </c>
      <c r="BG183" s="35" t="str">
        <f>IFERROR(VLOOKUP(Tabela1[[#This Row],[MÊS]]&amp;Tabela1[[#This Row],[MATRICULA]],#REF!,2,0),"")</f>
        <v/>
      </c>
      <c r="BH183" s="35" t="str">
        <f>IFERROR(VLOOKUP(Tabela1[[#This Row],[MÊS]]&amp;Tabela1[[#This Row],[MATRICULA]],#REF!,2,0),"")</f>
        <v/>
      </c>
      <c r="BI183" s="35" t="str">
        <f>IFERROR(VLOOKUP(Tabela1[[#This Row],[MÊS]]&amp;Tabela1[[#This Row],[MATRICULA]],#REF!,2,0),"")</f>
        <v/>
      </c>
      <c r="BJ183" s="35" t="str">
        <f>IFERROR(VLOOKUP(Tabela1[[#This Row],[MÊS]]&amp;Tabela1[[#This Row],[MATRICULA]],#REF!,2,0),"")</f>
        <v/>
      </c>
      <c r="BK183" s="35" t="str">
        <f>IFERROR(VLOOKUP(Tabela1[[#This Row],[MÊS]]&amp;Tabela1[[#This Row],[MATRICULA]],#REF!,2,0),"")</f>
        <v/>
      </c>
      <c r="BL183" s="21">
        <f>COUNTIF(Tabela1[[#This Row],[MOT2]:[RECEPTIVA]],"NÃO ENCONTRADA")</f>
        <v>0</v>
      </c>
      <c r="BM183" s="135" t="str">
        <f>IFERROR(VLOOKUP(Tabela1[[#This Row],[MÊS]]&amp;Tabela1[[#This Row],[ID]]&amp;Tabela1[[#This Row],[MATRICULA]]&amp;"Motorista"&amp;Tabela1[[#This Row],[SETOR]],BD!A:AF,13,0),"")</f>
        <v/>
      </c>
      <c r="BN183" s="135" t="str">
        <f>IFERROR(VLOOKUP(Tabela1[[#This Row],[MÊS]]&amp;Tabela1[[#This Row],[ID]]&amp;Tabela1[[#This Row],[MATRICULA]]&amp;"Motorista 2"&amp;Tabela1[[#This Row],[SETOR]],BD!A:AF,13,0),"")</f>
        <v/>
      </c>
      <c r="BO183" s="135" t="str">
        <f>IFERROR(VLOOKUP(Tabela1[[#This Row],[MÊS]]&amp;Tabela1[[#This Row],[ID]]&amp;Tabela1[[#This Row],[MATRICULA]]&amp;"Motorista 3"&amp;Tabela1[[#This Row],[SETOR]],BD!A:AF,13,0),"")</f>
        <v/>
      </c>
      <c r="BP183" s="135" t="str">
        <f>IFERROR(VLOOKUP(Tabela1[[#This Row],[MÊS]]&amp;Tabela1[[#This Row],[ID]]&amp;Tabela1[[#This Row],[MATRICULA]]&amp;"Motorista 4"&amp;Tabela1[[#This Row],[SETOR]],BD!A:AF,13,0),"")</f>
        <v/>
      </c>
      <c r="BQ183" s="135" t="str">
        <f>IFERROR(AVERAGE(Tabela1[[#This Row],[DMOT]:[DMOT4]]),"")</f>
        <v/>
      </c>
      <c r="BR183" s="135" t="str">
        <f>IFERROR(VLOOKUP(Tabela1[[#This Row],[MÊS]]&amp;Tabela1[[#This Row],[ID]]&amp;Tabela1[[#This Row],[MATRICULA]]&amp;"Ponto de Apoio"&amp;Tabela1[[#This Row],[SETOR]],BD!A:AF,13,0),"")</f>
        <v/>
      </c>
      <c r="BS183" s="135" t="str">
        <f>IFERROR(VLOOKUP(Tabela1[[#This Row],[MÊS]]&amp;Tabela1[[#This Row],[ID]]&amp;Tabela1[[#This Row],[MATRICULA]]&amp;"Ponto de Apoio 2"&amp;Tabela1[[#This Row],[SETOR]],BD!A:AF,13,0),"")</f>
        <v/>
      </c>
      <c r="BT183" s="135" t="str">
        <f>IFERROR(VLOOKUP(Tabela1[[#This Row],[MÊS]]&amp;Tabela1[[#This Row],[ID]]&amp;Tabela1[[#This Row],[MATRICULA]]&amp;"Ponto de Apoio 3"&amp;Tabela1[[#This Row],[SETOR]],BD!A:AF,13,0),"")</f>
        <v/>
      </c>
      <c r="BU183" s="135" t="str">
        <f>IFERROR(VLOOKUP(Tabela1[[#This Row],[MÊS]]&amp;Tabela1[[#This Row],[ID]]&amp;Tabela1[[#This Row],[MATRICULA]]&amp;"Ponto de Apoio 4"&amp;Tabela1[[#This Row],[SETOR]],BD!A:AF,13,0),"")</f>
        <v/>
      </c>
      <c r="BV183" s="135" t="str">
        <f>IFERROR(AVERAGE(Tabela1[[#This Row],[DPA]:[DPA 4]]),"")</f>
        <v/>
      </c>
      <c r="BW183" s="135" t="str">
        <f>IFERROR(VLOOKUP(Tabela1[[#This Row],[MÊS]]&amp;Tabela1[[#This Row],[ID]]&amp;Tabela1[[#This Row],[MATRICULA]]&amp;"Cliente"&amp;Tabela1[[#This Row],[SETOR]],BD!A:AF,13,0),"")</f>
        <v/>
      </c>
      <c r="BX183" s="135" t="str">
        <f>IFERROR(VLOOKUP(Tabela1[[#This Row],[MÊS]]&amp;Tabela1[[#This Row],[ID]]&amp;Tabela1[[#This Row],[MATRICULA]]&amp;"cliente 2"&amp;Tabela1[[#This Row],[SETOR]],BD!A:AF,13,0),"")</f>
        <v/>
      </c>
      <c r="BY183" s="135" t="str">
        <f>IFERROR(VLOOKUP(Tabela1[[#This Row],[MÊS]]&amp;Tabela1[[#This Row],[ID]]&amp;Tabela1[[#This Row],[MATRICULA]]&amp;"cliente 3"&amp;Tabela1[[#This Row],[SETOR]],BD!A:AF,13,0),"")</f>
        <v/>
      </c>
      <c r="BZ183" s="135" t="str">
        <f>IFERROR(VLOOKUP(Tabela1[[#This Row],[MÊS]]&amp;Tabela1[[#This Row],[ID]]&amp;Tabela1[[#This Row],[MATRICULA]]&amp;"cliente 4"&amp;Tabela1[[#This Row],[SETOR]],BD!A:AF,13,0),"")</f>
        <v/>
      </c>
      <c r="CA183" s="135" t="str">
        <f>IFERROR(AVERAGE(Tabela1[[#This Row],[DCLI]:[DCLI 4]]),"")</f>
        <v/>
      </c>
      <c r="CB183" s="135" t="str">
        <f>IFERROR(VLOOKUP(Tabela1[[#This Row],[MÊS]]&amp;Tabela1[[#This Row],[ID]]&amp;Tabela1[[#This Row],[MATRICULA]]&amp;"Policia"&amp;Tabela1[[#This Row],[SETOR]],BD!A:AF,13,0),"")</f>
        <v/>
      </c>
      <c r="CC183" s="135" t="str">
        <f>IFERROR(VLOOKUP(Tabela1[[#This Row],[MÊS]]&amp;Tabela1[[#This Row],[ID]]&amp;Tabela1[[#This Row],[MATRICULA]]&amp;"Policia 2"&amp;Tabela1[[#This Row],[SETOR]],BD!A:AF,13,0),"")</f>
        <v/>
      </c>
      <c r="CD183" s="135"/>
      <c r="CE183" s="135"/>
      <c r="CF183" s="135" t="str">
        <f>IFERROR((AVERAGE(Tabela1[[#This Row],[DPOL1]:[DPOL4]])),"")</f>
        <v/>
      </c>
      <c r="CG183" s="21" t="str">
        <f>IFERROR(VLOOKUP(Tabela1[[#This Row],[ID]]&amp;Tabela1[[#This Row],[MÊS]]&amp;Tabela1[[#This Row],[MATRICULA]],#REF!,2,0),"")</f>
        <v/>
      </c>
      <c r="CH183" s="21" t="str">
        <f>IFERROR(VLOOKUP(Tabela1[[#This Row],[ID]]&amp;Tabela1[[#This Row],[MÊS]]&amp;Tabela1[[#This Row],[MATRICULA]],#REF!,2,0),"")</f>
        <v/>
      </c>
      <c r="CI183" s="21" t="str">
        <f>IFERROR(VLOOKUP(Tabela1[[#This Row],[MÊS]]&amp;Tabela1[[#This Row],[MATRICULA]],#REF!,2,0),"")</f>
        <v/>
      </c>
    </row>
    <row r="184" spans="1:87">
      <c r="A184" s="12" t="str">
        <f>Tabela1[[#This Row],[MÊS]]&amp;Tabela1[[#This Row],[MATRICULA]]&amp;Tabela1[[#This Row],[ID]]</f>
        <v>JAN112553</v>
      </c>
      <c r="B184" s="12" t="str">
        <f>Tabela1[[#This Row],[MÊS]]&amp;Tabela1[[#This Row],[ID]]&amp;Tabela1[[#This Row],[MATRICULA]]&amp;Tabela1[[#This Row],[SETOR]]</f>
        <v>JAN311255TRANSFERÊNCIA</v>
      </c>
      <c r="C184" s="130" t="e">
        <f>VLOOKUP(Tabela1[[#This Row],[MATRICULA]],'BD Campos'!A:D,5,0)</f>
        <v>#REF!</v>
      </c>
      <c r="D184" s="133" t="str">
        <f ca="1">IFERROR(SUM(TODAY()-Tabela1[[#This Row],[ADMISSÃO]]),"")</f>
        <v/>
      </c>
      <c r="E184" s="11" t="str">
        <f ca="1">IFERROR(TRUNC(Tabela1[[#This Row],[TEMPO DE CASA (DIAS)]]/30),"")</f>
        <v/>
      </c>
      <c r="F184" s="32" t="str">
        <f ca="1">IFERROR(SUM(Tabela1[[#This Row],[TEMPO DE CASA (MESES)]]/12),"")</f>
        <v/>
      </c>
      <c r="G184" s="133" t="str">
        <f ca="1">IF(Tabela1[[#This Row],[TEMPO DE CASA (DIAS)]]="","SEM DADOS",IF(Tabela1[[#This Row],[TEMPO DE CASA (DIAS)]]&gt;180,"&gt; 6 MESES","&lt; 6 MESES"))</f>
        <v>SEM DADOS</v>
      </c>
      <c r="H184" s="12" t="str">
        <f t="shared" si="17"/>
        <v>JANAna Caroline3</v>
      </c>
      <c r="I184" s="12" t="str">
        <f>IFERROR(VLOOKUP(Tabela1[[#This Row],[MATRICULA]],'BD Campos'!A:F,7,0),"")</f>
        <v/>
      </c>
      <c r="J184" s="11">
        <v>3</v>
      </c>
      <c r="K184" s="11" t="s">
        <v>669</v>
      </c>
      <c r="L184" s="136">
        <v>11255</v>
      </c>
      <c r="M184" s="12" t="str">
        <f>IFERROR(VLOOKUP(Tabela1[[#This Row],[MATRICULA]],'BD Campos'!A:B,2,0),"")</f>
        <v xml:space="preserve">PAULO HENRICK OLIVEIRA SANTOS </v>
      </c>
      <c r="N184" s="20">
        <f>IFERROR(AVERAGE(Tabela1[[#This Row],[A1]:[A4]]),"")</f>
        <v>3.2149999999999999</v>
      </c>
      <c r="O184" s="20" t="str">
        <f>IFERROR(IF(Tabela1[[#This Row],[SETOR]]="RECEPTIVO","",AVERAGE(Tabela1[[#This Row],[A5]:[A6]])),"")</f>
        <v/>
      </c>
      <c r="P184" s="20" t="str">
        <f>IFERROR(IF(Tabela1[[#This Row],[STATUS]]="INATIVO","INATIVO",IF(Tabela1[[#This Row],[STATUS]]="QRT","INATIVO",IF(Tabela1[[#This Row],[OPERACIONAL]]&gt;7.99999,"BOM","RUIM"))),"")</f>
        <v>RUIM</v>
      </c>
      <c r="Q184" s="21" t="s">
        <v>667</v>
      </c>
      <c r="R184" s="12" t="s">
        <v>712</v>
      </c>
      <c r="S184" s="12" t="s">
        <v>713</v>
      </c>
      <c r="T184" s="12" t="s">
        <v>192</v>
      </c>
      <c r="U18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4" s="12">
        <f>IF(AND(Tabela1[[#This Row],[SETOR]]="UTI",Tabela1[[#This Row],[M]]&lt;&gt;""),1,IF(AND(Tabela1[[#This Row],[SETOR]]="UTI (RJ)",Tabela1[[#This Row],[M]]&lt;&gt;""),1.5,0))</f>
        <v>0</v>
      </c>
      <c r="X184" s="12">
        <f>IF(AND(Tabela1[[#This Row],[SETOR]]="UTI",Tabela1[[#This Row],[PA2]]&lt;&gt;""),1,IF(AND(Tabela1[[#This Row],[SETOR]]="UTI (RJ)",Tabela1[[#This Row],[PA2]]&lt;&gt;""),0,0))</f>
        <v>0</v>
      </c>
      <c r="Y184" s="12">
        <f>IF(AND(Tabela1[[#This Row],[SETOR]]="UTI",Tabela1[[#This Row],[C]]&lt;&gt;""),1,IF(AND(Tabela1[[#This Row],[SETOR]]="UTI (RJ)",Tabela1[[#This Row],[C]]&lt;&gt;""),1.5,0))</f>
        <v>0</v>
      </c>
      <c r="Z184" s="12">
        <f>IF(AND(Tabela1[[#This Row],[SETOR]]="UTI",Tabela1[[#This Row],[PL]]&lt;&gt;""),1,IF(AND(Tabela1[[#This Row],[SETOR]]="UTI (RJ)",Tabela1[[#This Row],[PL]]&lt;&gt;""),1,0))</f>
        <v>0</v>
      </c>
      <c r="AA184" s="21">
        <f>IFERROR(VLOOKUP(Tabela1[[#This Row],[MÊS]]&amp;Tabela1[[#This Row],[MATRICULA]]&amp;"1"&amp;Tabela1[[#This Row],[SETOR]]&amp;"PADRÃO",BD!B:AF,31,0),"")</f>
        <v>6.43</v>
      </c>
      <c r="AB184" s="21">
        <f>IFERROR(VLOOKUP(Tabela1[[#This Row],[MÊS]]&amp;Tabela1[[#This Row],[MATRICULA]]&amp;"2"&amp;Tabela1[[#This Row],[SETOR]]&amp;"PADRÃO",BD!B:AF,31,0),"")</f>
        <v>0</v>
      </c>
      <c r="AC184" s="21" t="str">
        <f>IFERROR(VLOOKUP(Tabela1[[#This Row],[MÊS]]&amp;Tabela1[[#This Row],[MATRICULA]]&amp;"3"&amp;Tabela1[[#This Row],[SETOR]]&amp;"PADRÃO",BD!B:AF,31,0),"")</f>
        <v/>
      </c>
      <c r="AD184" s="21" t="str">
        <f>IFERROR(VLOOKUP(Tabela1[[#This Row],[MÊS]]&amp;Tabela1[[#This Row],[MATRICULA]]&amp;"4"&amp;Tabela1[[#This Row],[SETOR]]&amp;"PADRÃO",BD!B:AF,25,0),"")</f>
        <v/>
      </c>
      <c r="AE184" s="21" t="str">
        <f>IFERROR(VLOOKUP(Tabela1[[#This Row],[MÊS]]&amp;Tabela1[[#This Row],[MATRICULA]]&amp;"5"&amp;Tabela1[[#This Row],[SETOR]]&amp;"PADRÃO",BD!B:AF,31,0),"")</f>
        <v/>
      </c>
      <c r="AF184" s="21" t="str">
        <f>IFERROR(VLOOKUP(Tabela1[[#This Row],[MÊS]]&amp;Tabela1[[#This Row],[MATRICULA]]&amp;"6"&amp;Tabela1[[#This Row],[SETOR]]&amp;"PADRÃO",BD!B:AF,31,0),"")</f>
        <v/>
      </c>
      <c r="AG184" s="21" t="str">
        <f>IFERROR(VLOOKUP(Tabela1[[#This Row],[MÊS]]&amp;Tabela1[[#This Row],[MATRICULA]]&amp;"7"&amp;Tabela1[[#This Row],[SETOR]]&amp;"PADRÃO",BD!B:AF,31,0),"")</f>
        <v/>
      </c>
      <c r="AH184" s="21" t="str">
        <f>IFERROR(VLOOKUP(Tabela1[[#This Row],[MÊS]]&amp;Tabela1[[#This Row],[ID]]&amp;Tabela1[[#This Row],[MATRICULA]]&amp;"Receptiva"&amp;Tabela1[[#This Row],[SETOR]],BD!A:AF,31,0),"")</f>
        <v/>
      </c>
      <c r="AI184" s="21" t="str">
        <f>IFERROR(VLOOKUP(Tabela1[[#This Row],[MÊS]]&amp;Tabela1[[#This Row],[ID]]&amp;Tabela1[[#This Row],[MATRICULA]]&amp;"Receptiva 2"&amp;Tabela1[[#This Row],[SETOR]],BD!A:AF,31,0),"")</f>
        <v/>
      </c>
      <c r="AJ184" s="21" t="str">
        <f>IFERROR(VLOOKUP(Tabela1[[#This Row],[MÊS]]&amp;Tabela1[[#This Row],[ID]]&amp;Tabela1[[#This Row],[MATRICULA]]&amp;"Receptiva 3"&amp;Tabela1[[#This Row],[SETOR]],BD!A:AF,31,0),"")</f>
        <v/>
      </c>
      <c r="AK184" s="21" t="str">
        <f>IFERROR(VLOOKUP(Tabela1[[#This Row],[MÊS]]&amp;Tabela1[[#This Row],[ID]]&amp;Tabela1[[#This Row],[MATRICULA]]&amp;"Receptiva 4"&amp;Tabela1[[#This Row],[SETOR]],BD!A:AF,31,0),"")</f>
        <v/>
      </c>
      <c r="AL184" s="21">
        <f>IFERROR(VLOOKUP(Tabela1[[#This Row],[MÊS]]&amp;Tabela1[[#This Row],[MATRICULA]]&amp;"Motorista"&amp;Tabela1[[#This Row],[SETOR]],BD!A:AF,31,0),"")</f>
        <v>0</v>
      </c>
      <c r="AM184" s="21" t="str">
        <f>IFERROR(VLOOKUP(Tabela1[[#This Row],[MÊS]]&amp;Tabela1[[#This Row],[ID]]&amp;Tabela1[[#This Row],[MATRICULA]]&amp;"Motorista 2"&amp;Tabela1[[#This Row],[SETOR]],BD!A:AF,26,0),"")</f>
        <v/>
      </c>
      <c r="AN184" s="21" t="str">
        <f>IFERROR(VLOOKUP(Tabela1[[#This Row],[MÊS]]&amp;Tabela1[[#This Row],[ID]]&amp;Tabela1[[#This Row],[MATRICULA]]&amp;"Motorista 3"&amp;Tabela1[[#This Row],[SETOR]],BD!A:AF,26,0),"")</f>
        <v/>
      </c>
      <c r="AO184" s="21" t="str">
        <f>IFERROR(VLOOKUP(Tabela1[[#This Row],[MÊS]]&amp;Tabela1[[#This Row],[ID]]&amp;Tabela1[[#This Row],[MATRICULA]]&amp;"Motorista 4"&amp;Tabela1[[#This Row],[SETOR]],BD!A:AF,26,0),"")</f>
        <v/>
      </c>
      <c r="AP184" s="21" t="str">
        <f>IFERROR(VLOOKUP(Tabela1[[#This Row],[MÊS]]&amp;Tabela1[[#This Row],[MATRICULA]]&amp;"Ponto de Apoio"&amp;Tabela1[[#This Row],[SETOR]],BD!A:AF,31,0),"")</f>
        <v/>
      </c>
      <c r="AQ184" s="21" t="str">
        <f>IFERROR(VLOOKUP(Tabela1[[#This Row],[MÊS]]&amp;Tabela1[[#This Row],[ID]]&amp;Tabela1[[#This Row],[MATRICULA]]&amp;"Ponto de Apoio 2"&amp;Tabela1[[#This Row],[SETOR]],BD!A:AF,26,0),"")</f>
        <v/>
      </c>
      <c r="AR184" s="36" t="str">
        <f>IFERROR(VLOOKUP(Tabela1[[#This Row],[MÊS]]&amp;Tabela1[[#This Row],[ID]]&amp;Tabela1[[#This Row],[MATRICULA]]&amp;"Ponto de Apoio 3"&amp;Tabela1[[#This Row],[SETOR]],BD!A:AF,26,0),"")</f>
        <v/>
      </c>
      <c r="AS184" s="36" t="str">
        <f>IFERROR(VLOOKUP(Tabela1[[#This Row],[MÊS]]&amp;Tabela1[[#This Row],[ID]]&amp;Tabela1[[#This Row],[MATRICULA]]&amp;"Ponto de Apoio 4"&amp;Tabela1[[#This Row],[SETOR]],BD!A:AF,26,0),"")</f>
        <v/>
      </c>
      <c r="AT184" s="21" t="str">
        <f>IFERROR(VLOOKUP(Tabela1[[#This Row],[MÊS]]&amp;Tabela1[[#This Row],[MATRICULA]]&amp;"Cliente"&amp;Tabela1[[#This Row],[SETOR]],BD!A:AF,31,0),"")</f>
        <v/>
      </c>
      <c r="AU184" s="21" t="str">
        <f>IFERROR(VLOOKUP(Tabela1[[#This Row],[MÊS]]&amp;Tabela1[[#This Row],[ID]]&amp;Tabela1[[#This Row],[MATRICULA]]&amp;"Cliente 2"&amp;Tabela1[[#This Row],[SETOR]],BD!A:AF,26,0),"")</f>
        <v/>
      </c>
      <c r="AX184" s="21" t="str">
        <f>IFERROR(VLOOKUP(Tabela1[[#This Row],[MÊS]]&amp;Tabela1[[#This Row],[MATRICULA]]&amp;"Policia"&amp;Tabela1[[#This Row],[SETOR]],BD!A:AF,31,0),"")</f>
        <v/>
      </c>
      <c r="AY184" s="21" t="str">
        <f>IFERROR(VLOOKUP(Tabela1[[#This Row],[MÊS]]&amp;Tabela1[[#This Row],[ID]]&amp;Tabela1[[#This Row],[MATRICULA]]&amp;"Policia 2"&amp;Tabela1[[#This Row],[SETOR]],BD!A:AF,26,0),"")</f>
        <v/>
      </c>
      <c r="AZ184" s="36" t="str">
        <f>IFERROR(VLOOKUP(Tabela1[[#This Row],[MÊS]]&amp;Tabela1[[#This Row],[ID]]&amp;Tabela1[[#This Row],[MATRICULA]]&amp;"Policia 3"&amp;Tabela1[[#This Row],[SETOR]],BD!A:AF,26,0),"")</f>
        <v/>
      </c>
      <c r="BA184" s="36" t="str">
        <f>IFERROR(VLOOKUP(Tabela1[[#This Row],[MÊS]]&amp;Tabela1[[#This Row],[ID]]&amp;Tabela1[[#This Row],[MATRICULA]]&amp;"Policia 4"&amp;Tabela1[[#This Row],[SETOR]],BD!A:AF,26,0),"")</f>
        <v/>
      </c>
      <c r="BB18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4" s="21">
        <f>IFERROR(AVERAGE(Tabela1[[#This Row],[M]:[M4]]),"")</f>
        <v>0</v>
      </c>
      <c r="BD184" s="21" t="str">
        <f>IFERROR(AVERAGE(Tabela1[[#This Row],[C]:[C4]]),"")</f>
        <v/>
      </c>
      <c r="BE184" s="21" t="str">
        <f>IFERROR(AVERAGE(Tabela1[[#This Row],[PA2]:[PA 4]]),"")</f>
        <v/>
      </c>
      <c r="BF184" s="21" t="str">
        <f>IFERROR(AVERAGE(Tabela1[[#This Row],[PL]:[PL4]]),"")</f>
        <v/>
      </c>
      <c r="BG184" s="35" t="str">
        <f>IFERROR(VLOOKUP(Tabela1[[#This Row],[MÊS]]&amp;Tabela1[[#This Row],[MATRICULA]],#REF!,2,0),"")</f>
        <v/>
      </c>
      <c r="BH184" s="35" t="str">
        <f>IFERROR(VLOOKUP(Tabela1[[#This Row],[MÊS]]&amp;Tabela1[[#This Row],[MATRICULA]],#REF!,2,0),"")</f>
        <v/>
      </c>
      <c r="BI184" s="35" t="str">
        <f>IFERROR(VLOOKUP(Tabela1[[#This Row],[MÊS]]&amp;Tabela1[[#This Row],[MATRICULA]],#REF!,2,0),"")</f>
        <v/>
      </c>
      <c r="BJ184" s="35" t="str">
        <f>IFERROR(VLOOKUP(Tabela1[[#This Row],[MÊS]]&amp;Tabela1[[#This Row],[MATRICULA]],#REF!,2,0),"")</f>
        <v/>
      </c>
      <c r="BK184" s="35" t="str">
        <f>IFERROR(VLOOKUP(Tabela1[[#This Row],[MÊS]]&amp;Tabela1[[#This Row],[MATRICULA]],#REF!,2,0),"")</f>
        <v/>
      </c>
      <c r="BL184" s="21">
        <f>COUNTIF(Tabela1[[#This Row],[MOT2]:[RECEPTIVA]],"NÃO ENCONTRADA")</f>
        <v>0</v>
      </c>
      <c r="BM184" s="135" t="str">
        <f>IFERROR(VLOOKUP(Tabela1[[#This Row],[MÊS]]&amp;Tabela1[[#This Row],[ID]]&amp;Tabela1[[#This Row],[MATRICULA]]&amp;"Motorista"&amp;Tabela1[[#This Row],[SETOR]],BD!A:AF,13,0),"")</f>
        <v/>
      </c>
      <c r="BN184" s="135" t="str">
        <f>IFERROR(VLOOKUP(Tabela1[[#This Row],[MÊS]]&amp;Tabela1[[#This Row],[ID]]&amp;Tabela1[[#This Row],[MATRICULA]]&amp;"Motorista 2"&amp;Tabela1[[#This Row],[SETOR]],BD!A:AF,13,0),"")</f>
        <v/>
      </c>
      <c r="BO184" s="135" t="str">
        <f>IFERROR(VLOOKUP(Tabela1[[#This Row],[MÊS]]&amp;Tabela1[[#This Row],[ID]]&amp;Tabela1[[#This Row],[MATRICULA]]&amp;"Motorista 3"&amp;Tabela1[[#This Row],[SETOR]],BD!A:AF,13,0),"")</f>
        <v/>
      </c>
      <c r="BP184" s="135" t="str">
        <f>IFERROR(VLOOKUP(Tabela1[[#This Row],[MÊS]]&amp;Tabela1[[#This Row],[ID]]&amp;Tabela1[[#This Row],[MATRICULA]]&amp;"Motorista 4"&amp;Tabela1[[#This Row],[SETOR]],BD!A:AF,13,0),"")</f>
        <v/>
      </c>
      <c r="BQ184" s="135" t="str">
        <f>IFERROR(AVERAGE(Tabela1[[#This Row],[DMOT]:[DMOT4]]),"")</f>
        <v/>
      </c>
      <c r="BR184" s="135" t="str">
        <f>IFERROR(VLOOKUP(Tabela1[[#This Row],[MÊS]]&amp;Tabela1[[#This Row],[ID]]&amp;Tabela1[[#This Row],[MATRICULA]]&amp;"Ponto de Apoio"&amp;Tabela1[[#This Row],[SETOR]],BD!A:AF,13,0),"")</f>
        <v/>
      </c>
      <c r="BS184" s="135" t="str">
        <f>IFERROR(VLOOKUP(Tabela1[[#This Row],[MÊS]]&amp;Tabela1[[#This Row],[ID]]&amp;Tabela1[[#This Row],[MATRICULA]]&amp;"Ponto de Apoio 2"&amp;Tabela1[[#This Row],[SETOR]],BD!A:AF,13,0),"")</f>
        <v/>
      </c>
      <c r="BT184" s="135" t="str">
        <f>IFERROR(VLOOKUP(Tabela1[[#This Row],[MÊS]]&amp;Tabela1[[#This Row],[ID]]&amp;Tabela1[[#This Row],[MATRICULA]]&amp;"Ponto de Apoio 3"&amp;Tabela1[[#This Row],[SETOR]],BD!A:AF,13,0),"")</f>
        <v/>
      </c>
      <c r="BU184" s="135" t="str">
        <f>IFERROR(VLOOKUP(Tabela1[[#This Row],[MÊS]]&amp;Tabela1[[#This Row],[ID]]&amp;Tabela1[[#This Row],[MATRICULA]]&amp;"Ponto de Apoio 4"&amp;Tabela1[[#This Row],[SETOR]],BD!A:AF,13,0),"")</f>
        <v/>
      </c>
      <c r="BV184" s="135" t="str">
        <f>IFERROR(AVERAGE(Tabela1[[#This Row],[DPA]:[DPA 4]]),"")</f>
        <v/>
      </c>
      <c r="BW184" s="135" t="str">
        <f>IFERROR(VLOOKUP(Tabela1[[#This Row],[MÊS]]&amp;Tabela1[[#This Row],[ID]]&amp;Tabela1[[#This Row],[MATRICULA]]&amp;"Cliente"&amp;Tabela1[[#This Row],[SETOR]],BD!A:AF,13,0),"")</f>
        <v/>
      </c>
      <c r="BX184" s="135" t="str">
        <f>IFERROR(VLOOKUP(Tabela1[[#This Row],[MÊS]]&amp;Tabela1[[#This Row],[ID]]&amp;Tabela1[[#This Row],[MATRICULA]]&amp;"cliente 2"&amp;Tabela1[[#This Row],[SETOR]],BD!A:AF,13,0),"")</f>
        <v/>
      </c>
      <c r="BY184" s="135" t="str">
        <f>IFERROR(VLOOKUP(Tabela1[[#This Row],[MÊS]]&amp;Tabela1[[#This Row],[ID]]&amp;Tabela1[[#This Row],[MATRICULA]]&amp;"cliente 3"&amp;Tabela1[[#This Row],[SETOR]],BD!A:AF,13,0),"")</f>
        <v/>
      </c>
      <c r="BZ184" s="135" t="str">
        <f>IFERROR(VLOOKUP(Tabela1[[#This Row],[MÊS]]&amp;Tabela1[[#This Row],[ID]]&amp;Tabela1[[#This Row],[MATRICULA]]&amp;"cliente 4"&amp;Tabela1[[#This Row],[SETOR]],BD!A:AF,13,0),"")</f>
        <v/>
      </c>
      <c r="CA184" s="135" t="str">
        <f>IFERROR(AVERAGE(Tabela1[[#This Row],[DCLI]:[DCLI 4]]),"")</f>
        <v/>
      </c>
      <c r="CB184" s="135" t="str">
        <f>IFERROR(VLOOKUP(Tabela1[[#This Row],[MÊS]]&amp;Tabela1[[#This Row],[ID]]&amp;Tabela1[[#This Row],[MATRICULA]]&amp;"Policia"&amp;Tabela1[[#This Row],[SETOR]],BD!A:AF,13,0),"")</f>
        <v/>
      </c>
      <c r="CC184" s="135" t="str">
        <f>IFERROR(VLOOKUP(Tabela1[[#This Row],[MÊS]]&amp;Tabela1[[#This Row],[ID]]&amp;Tabela1[[#This Row],[MATRICULA]]&amp;"Policia 2"&amp;Tabela1[[#This Row],[SETOR]],BD!A:AF,13,0),"")</f>
        <v/>
      </c>
      <c r="CD184" s="135"/>
      <c r="CE184" s="135"/>
      <c r="CF184" s="135" t="str">
        <f>IFERROR((AVERAGE(Tabela1[[#This Row],[DPOL1]:[DPOL4]])),"")</f>
        <v/>
      </c>
      <c r="CG184" s="21" t="str">
        <f>IFERROR(VLOOKUP(Tabela1[[#This Row],[ID]]&amp;Tabela1[[#This Row],[MÊS]]&amp;Tabela1[[#This Row],[MATRICULA]],#REF!,2,0),"")</f>
        <v/>
      </c>
      <c r="CH184" s="21" t="str">
        <f>IFERROR(VLOOKUP(Tabela1[[#This Row],[ID]]&amp;Tabela1[[#This Row],[MÊS]]&amp;Tabela1[[#This Row],[MATRICULA]],#REF!,2,0),"")</f>
        <v/>
      </c>
      <c r="CI184" s="21" t="str">
        <f>IFERROR(VLOOKUP(Tabela1[[#This Row],[MÊS]]&amp;Tabela1[[#This Row],[MATRICULA]],#REF!,2,0),"")</f>
        <v/>
      </c>
    </row>
    <row r="185" spans="1:87">
      <c r="A185" s="12" t="str">
        <f>Tabela1[[#This Row],[MÊS]]&amp;Tabela1[[#This Row],[MATRICULA]]&amp;Tabela1[[#This Row],[ID]]</f>
        <v>JAN112804</v>
      </c>
      <c r="B185" s="12" t="str">
        <f>Tabela1[[#This Row],[MÊS]]&amp;Tabela1[[#This Row],[ID]]&amp;Tabela1[[#This Row],[MATRICULA]]&amp;Tabela1[[#This Row],[SETOR]]</f>
        <v>JAN411280TRANSFERÊNCIA</v>
      </c>
      <c r="C185" s="130" t="e">
        <f>VLOOKUP(Tabela1[[#This Row],[MATRICULA]],'BD Campos'!A:D,5,0)</f>
        <v>#REF!</v>
      </c>
      <c r="D185" s="133" t="str">
        <f ca="1">IFERROR(SUM(TODAY()-Tabela1[[#This Row],[ADMISSÃO]]),"")</f>
        <v/>
      </c>
      <c r="E185" s="11" t="str">
        <f ca="1">IFERROR(TRUNC(Tabela1[[#This Row],[TEMPO DE CASA (DIAS)]]/30),"")</f>
        <v/>
      </c>
      <c r="F185" s="32" t="str">
        <f ca="1">IFERROR(SUM(Tabela1[[#This Row],[TEMPO DE CASA (MESES)]]/12),"")</f>
        <v/>
      </c>
      <c r="G185" s="133" t="str">
        <f ca="1">IF(Tabela1[[#This Row],[TEMPO DE CASA (DIAS)]]="","SEM DADOS",IF(Tabela1[[#This Row],[TEMPO DE CASA (DIAS)]]&gt;180,"&gt; 6 MESES","&lt; 6 MESES"))</f>
        <v>SEM DADOS</v>
      </c>
      <c r="H185" s="12" t="str">
        <f t="shared" si="17"/>
        <v>JANAna Caroline4</v>
      </c>
      <c r="I185" s="12" t="str">
        <f>IFERROR(VLOOKUP(Tabela1[[#This Row],[MATRICULA]],'BD Campos'!A:F,7,0),"")</f>
        <v/>
      </c>
      <c r="J185" s="11">
        <v>4</v>
      </c>
      <c r="K185" s="11" t="s">
        <v>669</v>
      </c>
      <c r="L185" s="136">
        <v>11280</v>
      </c>
      <c r="M185" s="12" t="str">
        <f>IFERROR(VLOOKUP(Tabela1[[#This Row],[MATRICULA]],'BD Campos'!A:B,2,0),"")</f>
        <v>ANA BEATRIZ RAICHELT MEURER</v>
      </c>
      <c r="N185" s="20">
        <f>IFERROR(AVERAGE(Tabela1[[#This Row],[A1]:[A4]]),"")</f>
        <v>9.4487500000000004</v>
      </c>
      <c r="O185" s="20" t="str">
        <f>IFERROR(IF(Tabela1[[#This Row],[SETOR]]="RECEPTIVO","",AVERAGE(Tabela1[[#This Row],[A5]:[A6]])),"")</f>
        <v/>
      </c>
      <c r="P185" s="20" t="str">
        <f>IFERROR(IF(Tabela1[[#This Row],[STATUS]]="INATIVO","INATIVO",IF(Tabela1[[#This Row],[STATUS]]="QRT","INATIVO",IF(Tabela1[[#This Row],[OPERACIONAL]]&gt;7.99999,"BOM","RUIM"))),"")</f>
        <v>BOM</v>
      </c>
      <c r="Q185" s="21" t="s">
        <v>667</v>
      </c>
      <c r="R185" s="12" t="s">
        <v>712</v>
      </c>
      <c r="S185" s="12" t="s">
        <v>713</v>
      </c>
      <c r="T185" s="12" t="s">
        <v>192</v>
      </c>
      <c r="U18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5" s="12">
        <f>IF(AND(Tabela1[[#This Row],[SETOR]]="UTI",Tabela1[[#This Row],[M]]&lt;&gt;""),1,IF(AND(Tabela1[[#This Row],[SETOR]]="UTI (RJ)",Tabela1[[#This Row],[M]]&lt;&gt;""),1.5,0))</f>
        <v>0</v>
      </c>
      <c r="X185" s="12">
        <f>IF(AND(Tabela1[[#This Row],[SETOR]]="UTI",Tabela1[[#This Row],[PA2]]&lt;&gt;""),1,IF(AND(Tabela1[[#This Row],[SETOR]]="UTI (RJ)",Tabela1[[#This Row],[PA2]]&lt;&gt;""),0,0))</f>
        <v>0</v>
      </c>
      <c r="Y185" s="12">
        <f>IF(AND(Tabela1[[#This Row],[SETOR]]="UTI",Tabela1[[#This Row],[C]]&lt;&gt;""),1,IF(AND(Tabela1[[#This Row],[SETOR]]="UTI (RJ)",Tabela1[[#This Row],[C]]&lt;&gt;""),1.5,0))</f>
        <v>0</v>
      </c>
      <c r="Z185" s="12">
        <f>IF(AND(Tabela1[[#This Row],[SETOR]]="UTI",Tabela1[[#This Row],[PL]]&lt;&gt;""),1,IF(AND(Tabela1[[#This Row],[SETOR]]="UTI (RJ)",Tabela1[[#This Row],[PL]]&lt;&gt;""),1,0))</f>
        <v>0</v>
      </c>
      <c r="AA185" s="21">
        <f>IFERROR(VLOOKUP(Tabela1[[#This Row],[MÊS]]&amp;Tabela1[[#This Row],[MATRICULA]]&amp;"1"&amp;Tabela1[[#This Row],[SETOR]]&amp;"PADRÃO",BD!B:AF,31,0),"")</f>
        <v>8.8974999999999991</v>
      </c>
      <c r="AB185" s="21">
        <f>IFERROR(VLOOKUP(Tabela1[[#This Row],[MÊS]]&amp;Tabela1[[#This Row],[MATRICULA]]&amp;"2"&amp;Tabela1[[#This Row],[SETOR]]&amp;"PADRÃO",BD!B:AF,31,0),"")</f>
        <v>10</v>
      </c>
      <c r="AC185" s="21" t="str">
        <f>IFERROR(VLOOKUP(Tabela1[[#This Row],[MÊS]]&amp;Tabela1[[#This Row],[MATRICULA]]&amp;"3"&amp;Tabela1[[#This Row],[SETOR]]&amp;"PADRÃO",BD!B:AF,31,0),"")</f>
        <v/>
      </c>
      <c r="AD185" s="21" t="str">
        <f>IFERROR(VLOOKUP(Tabela1[[#This Row],[MÊS]]&amp;Tabela1[[#This Row],[MATRICULA]]&amp;"4"&amp;Tabela1[[#This Row],[SETOR]]&amp;"PADRÃO",BD!B:AF,25,0),"")</f>
        <v/>
      </c>
      <c r="AE185" s="21" t="str">
        <f>IFERROR(VLOOKUP(Tabela1[[#This Row],[MÊS]]&amp;Tabela1[[#This Row],[MATRICULA]]&amp;"5"&amp;Tabela1[[#This Row],[SETOR]]&amp;"PADRÃO",BD!B:AF,31,0),"")</f>
        <v/>
      </c>
      <c r="AF185" s="21" t="str">
        <f>IFERROR(VLOOKUP(Tabela1[[#This Row],[MÊS]]&amp;Tabela1[[#This Row],[MATRICULA]]&amp;"6"&amp;Tabela1[[#This Row],[SETOR]]&amp;"PADRÃO",BD!B:AF,31,0),"")</f>
        <v/>
      </c>
      <c r="AG185" s="21" t="str">
        <f>IFERROR(VLOOKUP(Tabela1[[#This Row],[MÊS]]&amp;Tabela1[[#This Row],[MATRICULA]]&amp;"7"&amp;Tabela1[[#This Row],[SETOR]]&amp;"PADRÃO",BD!B:AF,31,0),"")</f>
        <v/>
      </c>
      <c r="AH185" s="21" t="str">
        <f>IFERROR(VLOOKUP(Tabela1[[#This Row],[MÊS]]&amp;Tabela1[[#This Row],[ID]]&amp;Tabela1[[#This Row],[MATRICULA]]&amp;"Receptiva"&amp;Tabela1[[#This Row],[SETOR]],BD!A:AF,31,0),"")</f>
        <v/>
      </c>
      <c r="AI185" s="21" t="str">
        <f>IFERROR(VLOOKUP(Tabela1[[#This Row],[MÊS]]&amp;Tabela1[[#This Row],[ID]]&amp;Tabela1[[#This Row],[MATRICULA]]&amp;"Receptiva 2"&amp;Tabela1[[#This Row],[SETOR]],BD!A:AF,31,0),"")</f>
        <v/>
      </c>
      <c r="AJ185" s="21" t="str">
        <f>IFERROR(VLOOKUP(Tabela1[[#This Row],[MÊS]]&amp;Tabela1[[#This Row],[ID]]&amp;Tabela1[[#This Row],[MATRICULA]]&amp;"Receptiva 3"&amp;Tabela1[[#This Row],[SETOR]],BD!A:AF,31,0),"")</f>
        <v/>
      </c>
      <c r="AK185" s="21" t="str">
        <f>IFERROR(VLOOKUP(Tabela1[[#This Row],[MÊS]]&amp;Tabela1[[#This Row],[ID]]&amp;Tabela1[[#This Row],[MATRICULA]]&amp;"Receptiva 4"&amp;Tabela1[[#This Row],[SETOR]],BD!A:AF,31,0),"")</f>
        <v/>
      </c>
      <c r="AL185" s="21">
        <f>IFERROR(VLOOKUP(Tabela1[[#This Row],[MÊS]]&amp;Tabela1[[#This Row],[MATRICULA]]&amp;"Motorista"&amp;Tabela1[[#This Row],[SETOR]],BD!A:AF,31,0),"")</f>
        <v>0</v>
      </c>
      <c r="AM185" s="21" t="str">
        <f>IFERROR(VLOOKUP(Tabela1[[#This Row],[MÊS]]&amp;Tabela1[[#This Row],[ID]]&amp;Tabela1[[#This Row],[MATRICULA]]&amp;"Motorista 2"&amp;Tabela1[[#This Row],[SETOR]],BD!A:AF,26,0),"")</f>
        <v/>
      </c>
      <c r="AN185" s="21" t="str">
        <f>IFERROR(VLOOKUP(Tabela1[[#This Row],[MÊS]]&amp;Tabela1[[#This Row],[ID]]&amp;Tabela1[[#This Row],[MATRICULA]]&amp;"Motorista 3"&amp;Tabela1[[#This Row],[SETOR]],BD!A:AF,26,0),"")</f>
        <v/>
      </c>
      <c r="AO185" s="21" t="str">
        <f>IFERROR(VLOOKUP(Tabela1[[#This Row],[MÊS]]&amp;Tabela1[[#This Row],[ID]]&amp;Tabela1[[#This Row],[MATRICULA]]&amp;"Motorista 4"&amp;Tabela1[[#This Row],[SETOR]],BD!A:AF,26,0),"")</f>
        <v/>
      </c>
      <c r="AP185" s="21" t="str">
        <f>IFERROR(VLOOKUP(Tabela1[[#This Row],[MÊS]]&amp;Tabela1[[#This Row],[MATRICULA]]&amp;"Ponto de Apoio"&amp;Tabela1[[#This Row],[SETOR]],BD!A:AF,31,0),"")</f>
        <v/>
      </c>
      <c r="AQ185" s="21" t="str">
        <f>IFERROR(VLOOKUP(Tabela1[[#This Row],[MÊS]]&amp;Tabela1[[#This Row],[ID]]&amp;Tabela1[[#This Row],[MATRICULA]]&amp;"Ponto de Apoio 2"&amp;Tabela1[[#This Row],[SETOR]],BD!A:AF,26,0),"")</f>
        <v/>
      </c>
      <c r="AR185" s="36" t="str">
        <f>IFERROR(VLOOKUP(Tabela1[[#This Row],[MÊS]]&amp;Tabela1[[#This Row],[ID]]&amp;Tabela1[[#This Row],[MATRICULA]]&amp;"Ponto de Apoio 3"&amp;Tabela1[[#This Row],[SETOR]],BD!A:AF,26,0),"")</f>
        <v/>
      </c>
      <c r="AS185" s="36" t="str">
        <f>IFERROR(VLOOKUP(Tabela1[[#This Row],[MÊS]]&amp;Tabela1[[#This Row],[ID]]&amp;Tabela1[[#This Row],[MATRICULA]]&amp;"Ponto de Apoio 4"&amp;Tabela1[[#This Row],[SETOR]],BD!A:AF,26,0),"")</f>
        <v/>
      </c>
      <c r="AT185" s="21" t="str">
        <f>IFERROR(VLOOKUP(Tabela1[[#This Row],[MÊS]]&amp;Tabela1[[#This Row],[MATRICULA]]&amp;"Cliente"&amp;Tabela1[[#This Row],[SETOR]],BD!A:AF,31,0),"")</f>
        <v/>
      </c>
      <c r="AU185" s="21" t="str">
        <f>IFERROR(VLOOKUP(Tabela1[[#This Row],[MÊS]]&amp;Tabela1[[#This Row],[ID]]&amp;Tabela1[[#This Row],[MATRICULA]]&amp;"Cliente 2"&amp;Tabela1[[#This Row],[SETOR]],BD!A:AF,26,0),"")</f>
        <v/>
      </c>
      <c r="AX185" s="21" t="str">
        <f>IFERROR(VLOOKUP(Tabela1[[#This Row],[MÊS]]&amp;Tabela1[[#This Row],[MATRICULA]]&amp;"Policia"&amp;Tabela1[[#This Row],[SETOR]],BD!A:AF,31,0),"")</f>
        <v/>
      </c>
      <c r="AY185" s="21" t="str">
        <f>IFERROR(VLOOKUP(Tabela1[[#This Row],[MÊS]]&amp;Tabela1[[#This Row],[ID]]&amp;Tabela1[[#This Row],[MATRICULA]]&amp;"Policia 2"&amp;Tabela1[[#This Row],[SETOR]],BD!A:AF,26,0),"")</f>
        <v/>
      </c>
      <c r="AZ185" s="36" t="str">
        <f>IFERROR(VLOOKUP(Tabela1[[#This Row],[MÊS]]&amp;Tabela1[[#This Row],[ID]]&amp;Tabela1[[#This Row],[MATRICULA]]&amp;"Policia 3"&amp;Tabela1[[#This Row],[SETOR]],BD!A:AF,26,0),"")</f>
        <v/>
      </c>
      <c r="BA185" s="36" t="str">
        <f>IFERROR(VLOOKUP(Tabela1[[#This Row],[MÊS]]&amp;Tabela1[[#This Row],[ID]]&amp;Tabela1[[#This Row],[MATRICULA]]&amp;"Policia 4"&amp;Tabela1[[#This Row],[SETOR]],BD!A:AF,26,0),"")</f>
        <v/>
      </c>
      <c r="BB18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5" s="21">
        <f>IFERROR(AVERAGE(Tabela1[[#This Row],[M]:[M4]]),"")</f>
        <v>0</v>
      </c>
      <c r="BD185" s="21" t="str">
        <f>IFERROR(AVERAGE(Tabela1[[#This Row],[C]:[C4]]),"")</f>
        <v/>
      </c>
      <c r="BE185" s="21" t="str">
        <f>IFERROR(AVERAGE(Tabela1[[#This Row],[PA2]:[PA 4]]),"")</f>
        <v/>
      </c>
      <c r="BF185" s="21" t="str">
        <f>IFERROR(AVERAGE(Tabela1[[#This Row],[PL]:[PL4]]),"")</f>
        <v/>
      </c>
      <c r="BG185" s="35" t="str">
        <f>IFERROR(VLOOKUP(Tabela1[[#This Row],[MÊS]]&amp;Tabela1[[#This Row],[MATRICULA]],#REF!,2,0),"")</f>
        <v/>
      </c>
      <c r="BH185" s="35" t="str">
        <f>IFERROR(VLOOKUP(Tabela1[[#This Row],[MÊS]]&amp;Tabela1[[#This Row],[MATRICULA]],#REF!,2,0),"")</f>
        <v/>
      </c>
      <c r="BI185" s="35" t="str">
        <f>IFERROR(VLOOKUP(Tabela1[[#This Row],[MÊS]]&amp;Tabela1[[#This Row],[MATRICULA]],#REF!,2,0),"")</f>
        <v/>
      </c>
      <c r="BJ185" s="35" t="str">
        <f>IFERROR(VLOOKUP(Tabela1[[#This Row],[MÊS]]&amp;Tabela1[[#This Row],[MATRICULA]],#REF!,2,0),"")</f>
        <v/>
      </c>
      <c r="BK185" s="35" t="str">
        <f>IFERROR(VLOOKUP(Tabela1[[#This Row],[MÊS]]&amp;Tabela1[[#This Row],[MATRICULA]],#REF!,2,0),"")</f>
        <v/>
      </c>
      <c r="BL185" s="21">
        <f>COUNTIF(Tabela1[[#This Row],[MOT2]:[RECEPTIVA]],"NÃO ENCONTRADA")</f>
        <v>0</v>
      </c>
      <c r="BM185" s="135" t="str">
        <f>IFERROR(VLOOKUP(Tabela1[[#This Row],[MÊS]]&amp;Tabela1[[#This Row],[ID]]&amp;Tabela1[[#This Row],[MATRICULA]]&amp;"Motorista"&amp;Tabela1[[#This Row],[SETOR]],BD!A:AF,13,0),"")</f>
        <v/>
      </c>
      <c r="BN185" s="135" t="str">
        <f>IFERROR(VLOOKUP(Tabela1[[#This Row],[MÊS]]&amp;Tabela1[[#This Row],[ID]]&amp;Tabela1[[#This Row],[MATRICULA]]&amp;"Motorista 2"&amp;Tabela1[[#This Row],[SETOR]],BD!A:AF,13,0),"")</f>
        <v/>
      </c>
      <c r="BO185" s="135" t="str">
        <f>IFERROR(VLOOKUP(Tabela1[[#This Row],[MÊS]]&amp;Tabela1[[#This Row],[ID]]&amp;Tabela1[[#This Row],[MATRICULA]]&amp;"Motorista 3"&amp;Tabela1[[#This Row],[SETOR]],BD!A:AF,13,0),"")</f>
        <v/>
      </c>
      <c r="BP185" s="135" t="str">
        <f>IFERROR(VLOOKUP(Tabela1[[#This Row],[MÊS]]&amp;Tabela1[[#This Row],[ID]]&amp;Tabela1[[#This Row],[MATRICULA]]&amp;"Motorista 4"&amp;Tabela1[[#This Row],[SETOR]],BD!A:AF,13,0),"")</f>
        <v/>
      </c>
      <c r="BQ185" s="135" t="str">
        <f>IFERROR(AVERAGE(Tabela1[[#This Row],[DMOT]:[DMOT4]]),"")</f>
        <v/>
      </c>
      <c r="BR185" s="135" t="str">
        <f>IFERROR(VLOOKUP(Tabela1[[#This Row],[MÊS]]&amp;Tabela1[[#This Row],[ID]]&amp;Tabela1[[#This Row],[MATRICULA]]&amp;"Ponto de Apoio"&amp;Tabela1[[#This Row],[SETOR]],BD!A:AF,13,0),"")</f>
        <v/>
      </c>
      <c r="BS185" s="135" t="str">
        <f>IFERROR(VLOOKUP(Tabela1[[#This Row],[MÊS]]&amp;Tabela1[[#This Row],[ID]]&amp;Tabela1[[#This Row],[MATRICULA]]&amp;"Ponto de Apoio 2"&amp;Tabela1[[#This Row],[SETOR]],BD!A:AF,13,0),"")</f>
        <v/>
      </c>
      <c r="BT185" s="135" t="str">
        <f>IFERROR(VLOOKUP(Tabela1[[#This Row],[MÊS]]&amp;Tabela1[[#This Row],[ID]]&amp;Tabela1[[#This Row],[MATRICULA]]&amp;"Ponto de Apoio 3"&amp;Tabela1[[#This Row],[SETOR]],BD!A:AF,13,0),"")</f>
        <v/>
      </c>
      <c r="BU185" s="135" t="str">
        <f>IFERROR(VLOOKUP(Tabela1[[#This Row],[MÊS]]&amp;Tabela1[[#This Row],[ID]]&amp;Tabela1[[#This Row],[MATRICULA]]&amp;"Ponto de Apoio 4"&amp;Tabela1[[#This Row],[SETOR]],BD!A:AF,13,0),"")</f>
        <v/>
      </c>
      <c r="BV185" s="135" t="str">
        <f>IFERROR(AVERAGE(Tabela1[[#This Row],[DPA]:[DPA 4]]),"")</f>
        <v/>
      </c>
      <c r="BW185" s="135" t="str">
        <f>IFERROR(VLOOKUP(Tabela1[[#This Row],[MÊS]]&amp;Tabela1[[#This Row],[ID]]&amp;Tabela1[[#This Row],[MATRICULA]]&amp;"Cliente"&amp;Tabela1[[#This Row],[SETOR]],BD!A:AF,13,0),"")</f>
        <v/>
      </c>
      <c r="BX185" s="135" t="str">
        <f>IFERROR(VLOOKUP(Tabela1[[#This Row],[MÊS]]&amp;Tabela1[[#This Row],[ID]]&amp;Tabela1[[#This Row],[MATRICULA]]&amp;"cliente 2"&amp;Tabela1[[#This Row],[SETOR]],BD!A:AF,13,0),"")</f>
        <v/>
      </c>
      <c r="BY185" s="135" t="str">
        <f>IFERROR(VLOOKUP(Tabela1[[#This Row],[MÊS]]&amp;Tabela1[[#This Row],[ID]]&amp;Tabela1[[#This Row],[MATRICULA]]&amp;"cliente 3"&amp;Tabela1[[#This Row],[SETOR]],BD!A:AF,13,0),"")</f>
        <v/>
      </c>
      <c r="BZ185" s="135" t="str">
        <f>IFERROR(VLOOKUP(Tabela1[[#This Row],[MÊS]]&amp;Tabela1[[#This Row],[ID]]&amp;Tabela1[[#This Row],[MATRICULA]]&amp;"cliente 4"&amp;Tabela1[[#This Row],[SETOR]],BD!A:AF,13,0),"")</f>
        <v/>
      </c>
      <c r="CA185" s="135" t="str">
        <f>IFERROR(AVERAGE(Tabela1[[#This Row],[DCLI]:[DCLI 4]]),"")</f>
        <v/>
      </c>
      <c r="CB185" s="135" t="str">
        <f>IFERROR(VLOOKUP(Tabela1[[#This Row],[MÊS]]&amp;Tabela1[[#This Row],[ID]]&amp;Tabela1[[#This Row],[MATRICULA]]&amp;"Policia"&amp;Tabela1[[#This Row],[SETOR]],BD!A:AF,13,0),"")</f>
        <v/>
      </c>
      <c r="CC185" s="135" t="str">
        <f>IFERROR(VLOOKUP(Tabela1[[#This Row],[MÊS]]&amp;Tabela1[[#This Row],[ID]]&amp;Tabela1[[#This Row],[MATRICULA]]&amp;"Policia 2"&amp;Tabela1[[#This Row],[SETOR]],BD!A:AF,13,0),"")</f>
        <v/>
      </c>
      <c r="CD185" s="135"/>
      <c r="CE185" s="135"/>
      <c r="CF185" s="135" t="str">
        <f>IFERROR((AVERAGE(Tabela1[[#This Row],[DPOL1]:[DPOL4]])),"")</f>
        <v/>
      </c>
      <c r="CG185" s="21" t="str">
        <f>IFERROR(VLOOKUP(Tabela1[[#This Row],[ID]]&amp;Tabela1[[#This Row],[MÊS]]&amp;Tabela1[[#This Row],[MATRICULA]],#REF!,2,0),"")</f>
        <v/>
      </c>
      <c r="CH185" s="21" t="str">
        <f>IFERROR(VLOOKUP(Tabela1[[#This Row],[ID]]&amp;Tabela1[[#This Row],[MÊS]]&amp;Tabela1[[#This Row],[MATRICULA]],#REF!,2,0),"")</f>
        <v/>
      </c>
      <c r="CI185" s="21" t="str">
        <f>IFERROR(VLOOKUP(Tabela1[[#This Row],[MÊS]]&amp;Tabela1[[#This Row],[MATRICULA]],#REF!,2,0),"")</f>
        <v/>
      </c>
    </row>
    <row r="186" spans="1:87">
      <c r="A186" s="12" t="str">
        <f>Tabela1[[#This Row],[MÊS]]&amp;Tabela1[[#This Row],[MATRICULA]]&amp;Tabela1[[#This Row],[ID]]</f>
        <v>JAN112785</v>
      </c>
      <c r="B186" s="12" t="str">
        <f>Tabela1[[#This Row],[MÊS]]&amp;Tabela1[[#This Row],[ID]]&amp;Tabela1[[#This Row],[MATRICULA]]&amp;Tabela1[[#This Row],[SETOR]]</f>
        <v>JAN511278TRANSFERÊNCIA</v>
      </c>
      <c r="C186" s="130" t="e">
        <f>VLOOKUP(Tabela1[[#This Row],[MATRICULA]],'BD Campos'!A:D,5,0)</f>
        <v>#REF!</v>
      </c>
      <c r="D186" s="133" t="str">
        <f ca="1">IFERROR(SUM(TODAY()-Tabela1[[#This Row],[ADMISSÃO]]),"")</f>
        <v/>
      </c>
      <c r="E186" s="11" t="str">
        <f ca="1">IFERROR(TRUNC(Tabela1[[#This Row],[TEMPO DE CASA (DIAS)]]/30),"")</f>
        <v/>
      </c>
      <c r="F186" s="32" t="str">
        <f ca="1">IFERROR(SUM(Tabela1[[#This Row],[TEMPO DE CASA (MESES)]]/12),"")</f>
        <v/>
      </c>
      <c r="G186" s="133" t="str">
        <f ca="1">IF(Tabela1[[#This Row],[TEMPO DE CASA (DIAS)]]="","SEM DADOS",IF(Tabela1[[#This Row],[TEMPO DE CASA (DIAS)]]&gt;180,"&gt; 6 MESES","&lt; 6 MESES"))</f>
        <v>SEM DADOS</v>
      </c>
      <c r="H186" s="12" t="str">
        <f t="shared" si="17"/>
        <v>JANAna Caroline5</v>
      </c>
      <c r="I186" s="12" t="str">
        <f>IFERROR(VLOOKUP(Tabela1[[#This Row],[MATRICULA]],'BD Campos'!A:F,7,0),"")</f>
        <v/>
      </c>
      <c r="J186" s="11">
        <v>5</v>
      </c>
      <c r="K186" s="11" t="s">
        <v>669</v>
      </c>
      <c r="L186" s="136">
        <v>11278</v>
      </c>
      <c r="M186" s="12" t="str">
        <f>IFERROR(VLOOKUP(Tabela1[[#This Row],[MATRICULA]],'BD Campos'!A:B,2,0),"")</f>
        <v>NICOLE ALAIANE MODESTO DE LIMA FLORES</v>
      </c>
      <c r="N186" s="20">
        <f>IFERROR(AVERAGE(Tabela1[[#This Row],[A1]:[A4]]),"")</f>
        <v>5.6738</v>
      </c>
      <c r="O186" s="20" t="str">
        <f>IFERROR(IF(Tabela1[[#This Row],[SETOR]]="RECEPTIVO","",AVERAGE(Tabela1[[#This Row],[A5]:[A6]])),"")</f>
        <v/>
      </c>
      <c r="P186" s="20" t="str">
        <f>IFERROR(IF(Tabela1[[#This Row],[STATUS]]="INATIVO","INATIVO",IF(Tabela1[[#This Row],[STATUS]]="QRT","INATIVO",IF(Tabela1[[#This Row],[OPERACIONAL]]&gt;7.99999,"BOM","RUIM"))),"")</f>
        <v>RUIM</v>
      </c>
      <c r="Q186" s="21" t="s">
        <v>667</v>
      </c>
      <c r="R186" s="12" t="s">
        <v>712</v>
      </c>
      <c r="S186" s="12" t="s">
        <v>713</v>
      </c>
      <c r="T186" s="12" t="s">
        <v>192</v>
      </c>
      <c r="U18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6" s="12">
        <f>IF(AND(Tabela1[[#This Row],[SETOR]]="UTI",Tabela1[[#This Row],[M]]&lt;&gt;""),1,IF(AND(Tabela1[[#This Row],[SETOR]]="UTI (RJ)",Tabela1[[#This Row],[M]]&lt;&gt;""),1.5,0))</f>
        <v>0</v>
      </c>
      <c r="X186" s="12">
        <f>IF(AND(Tabela1[[#This Row],[SETOR]]="UTI",Tabela1[[#This Row],[PA2]]&lt;&gt;""),1,IF(AND(Tabela1[[#This Row],[SETOR]]="UTI (RJ)",Tabela1[[#This Row],[PA2]]&lt;&gt;""),0,0))</f>
        <v>0</v>
      </c>
      <c r="Y186" s="12">
        <f>IF(AND(Tabela1[[#This Row],[SETOR]]="UTI",Tabela1[[#This Row],[C]]&lt;&gt;""),1,IF(AND(Tabela1[[#This Row],[SETOR]]="UTI (RJ)",Tabela1[[#This Row],[C]]&lt;&gt;""),1.5,0))</f>
        <v>0</v>
      </c>
      <c r="Z186" s="12">
        <f>IF(AND(Tabela1[[#This Row],[SETOR]]="UTI",Tabela1[[#This Row],[PL]]&lt;&gt;""),1,IF(AND(Tabela1[[#This Row],[SETOR]]="UTI (RJ)",Tabela1[[#This Row],[PL]]&lt;&gt;""),1,0))</f>
        <v>0</v>
      </c>
      <c r="AA186" s="21">
        <f>IFERROR(VLOOKUP(Tabela1[[#This Row],[MÊS]]&amp;Tabela1[[#This Row],[MATRICULA]]&amp;"1"&amp;Tabela1[[#This Row],[SETOR]]&amp;"PADRÃO",BD!B:AF,31,0),"")</f>
        <v>5.7787999999999995</v>
      </c>
      <c r="AB186" s="21">
        <f>IFERROR(VLOOKUP(Tabela1[[#This Row],[MÊS]]&amp;Tabela1[[#This Row],[MATRICULA]]&amp;"2"&amp;Tabela1[[#This Row],[SETOR]]&amp;"PADRÃO",BD!B:AF,31,0),"")</f>
        <v>5.5687999999999995</v>
      </c>
      <c r="AC186" s="21" t="str">
        <f>IFERROR(VLOOKUP(Tabela1[[#This Row],[MÊS]]&amp;Tabela1[[#This Row],[MATRICULA]]&amp;"3"&amp;Tabela1[[#This Row],[SETOR]]&amp;"PADRÃO",BD!B:AF,31,0),"")</f>
        <v/>
      </c>
      <c r="AD186" s="21" t="str">
        <f>IFERROR(VLOOKUP(Tabela1[[#This Row],[MÊS]]&amp;Tabela1[[#This Row],[MATRICULA]]&amp;"4"&amp;Tabela1[[#This Row],[SETOR]]&amp;"PADRÃO",BD!B:AF,25,0),"")</f>
        <v/>
      </c>
      <c r="AE186" s="21" t="str">
        <f>IFERROR(VLOOKUP(Tabela1[[#This Row],[MÊS]]&amp;Tabela1[[#This Row],[MATRICULA]]&amp;"5"&amp;Tabela1[[#This Row],[SETOR]]&amp;"PADRÃO",BD!B:AF,31,0),"")</f>
        <v/>
      </c>
      <c r="AF186" s="21" t="str">
        <f>IFERROR(VLOOKUP(Tabela1[[#This Row],[MÊS]]&amp;Tabela1[[#This Row],[MATRICULA]]&amp;"6"&amp;Tabela1[[#This Row],[SETOR]]&amp;"PADRÃO",BD!B:AF,31,0),"")</f>
        <v/>
      </c>
      <c r="AG186" s="21" t="str">
        <f>IFERROR(VLOOKUP(Tabela1[[#This Row],[MÊS]]&amp;Tabela1[[#This Row],[MATRICULA]]&amp;"7"&amp;Tabela1[[#This Row],[SETOR]]&amp;"PADRÃO",BD!B:AF,31,0),"")</f>
        <v/>
      </c>
      <c r="AH186" s="21" t="str">
        <f>IFERROR(VLOOKUP(Tabela1[[#This Row],[MÊS]]&amp;Tabela1[[#This Row],[ID]]&amp;Tabela1[[#This Row],[MATRICULA]]&amp;"Receptiva"&amp;Tabela1[[#This Row],[SETOR]],BD!A:AF,31,0),"")</f>
        <v/>
      </c>
      <c r="AI186" s="21" t="str">
        <f>IFERROR(VLOOKUP(Tabela1[[#This Row],[MÊS]]&amp;Tabela1[[#This Row],[ID]]&amp;Tabela1[[#This Row],[MATRICULA]]&amp;"Receptiva 2"&amp;Tabela1[[#This Row],[SETOR]],BD!A:AF,31,0),"")</f>
        <v/>
      </c>
      <c r="AJ186" s="21" t="str">
        <f>IFERROR(VLOOKUP(Tabela1[[#This Row],[MÊS]]&amp;Tabela1[[#This Row],[ID]]&amp;Tabela1[[#This Row],[MATRICULA]]&amp;"Receptiva 3"&amp;Tabela1[[#This Row],[SETOR]],BD!A:AF,31,0),"")</f>
        <v/>
      </c>
      <c r="AK186" s="21" t="str">
        <f>IFERROR(VLOOKUP(Tabela1[[#This Row],[MÊS]]&amp;Tabela1[[#This Row],[ID]]&amp;Tabela1[[#This Row],[MATRICULA]]&amp;"Receptiva 4"&amp;Tabela1[[#This Row],[SETOR]],BD!A:AF,31,0),"")</f>
        <v/>
      </c>
      <c r="AL186" s="21">
        <f>IFERROR(VLOOKUP(Tabela1[[#This Row],[MÊS]]&amp;Tabela1[[#This Row],[MATRICULA]]&amp;"Motorista"&amp;Tabela1[[#This Row],[SETOR]],BD!A:AF,31,0),"")</f>
        <v>0</v>
      </c>
      <c r="AM186" s="21" t="str">
        <f>IFERROR(VLOOKUP(Tabela1[[#This Row],[MÊS]]&amp;Tabela1[[#This Row],[ID]]&amp;Tabela1[[#This Row],[MATRICULA]]&amp;"Motorista 2"&amp;Tabela1[[#This Row],[SETOR]],BD!A:AF,26,0),"")</f>
        <v/>
      </c>
      <c r="AN186" s="21" t="str">
        <f>IFERROR(VLOOKUP(Tabela1[[#This Row],[MÊS]]&amp;Tabela1[[#This Row],[ID]]&amp;Tabela1[[#This Row],[MATRICULA]]&amp;"Motorista 3"&amp;Tabela1[[#This Row],[SETOR]],BD!A:AF,26,0),"")</f>
        <v/>
      </c>
      <c r="AO186" s="21" t="str">
        <f>IFERROR(VLOOKUP(Tabela1[[#This Row],[MÊS]]&amp;Tabela1[[#This Row],[ID]]&amp;Tabela1[[#This Row],[MATRICULA]]&amp;"Motorista 4"&amp;Tabela1[[#This Row],[SETOR]],BD!A:AF,26,0),"")</f>
        <v/>
      </c>
      <c r="AP186" s="21" t="str">
        <f>IFERROR(VLOOKUP(Tabela1[[#This Row],[MÊS]]&amp;Tabela1[[#This Row],[MATRICULA]]&amp;"Ponto de Apoio"&amp;Tabela1[[#This Row],[SETOR]],BD!A:AF,31,0),"")</f>
        <v/>
      </c>
      <c r="AQ186" s="21" t="str">
        <f>IFERROR(VLOOKUP(Tabela1[[#This Row],[MÊS]]&amp;Tabela1[[#This Row],[ID]]&amp;Tabela1[[#This Row],[MATRICULA]]&amp;"Ponto de Apoio 2"&amp;Tabela1[[#This Row],[SETOR]],BD!A:AF,26,0),"")</f>
        <v/>
      </c>
      <c r="AR186" s="36" t="str">
        <f>IFERROR(VLOOKUP(Tabela1[[#This Row],[MÊS]]&amp;Tabela1[[#This Row],[ID]]&amp;Tabela1[[#This Row],[MATRICULA]]&amp;"Ponto de Apoio 3"&amp;Tabela1[[#This Row],[SETOR]],BD!A:AF,26,0),"")</f>
        <v/>
      </c>
      <c r="AS186" s="36" t="str">
        <f>IFERROR(VLOOKUP(Tabela1[[#This Row],[MÊS]]&amp;Tabela1[[#This Row],[ID]]&amp;Tabela1[[#This Row],[MATRICULA]]&amp;"Ponto de Apoio 4"&amp;Tabela1[[#This Row],[SETOR]],BD!A:AF,26,0),"")</f>
        <v/>
      </c>
      <c r="AT186" s="21" t="str">
        <f>IFERROR(VLOOKUP(Tabela1[[#This Row],[MÊS]]&amp;Tabela1[[#This Row],[MATRICULA]]&amp;"Cliente"&amp;Tabela1[[#This Row],[SETOR]],BD!A:AF,31,0),"")</f>
        <v/>
      </c>
      <c r="AU186" s="21" t="str">
        <f>IFERROR(VLOOKUP(Tabela1[[#This Row],[MÊS]]&amp;Tabela1[[#This Row],[ID]]&amp;Tabela1[[#This Row],[MATRICULA]]&amp;"Cliente 2"&amp;Tabela1[[#This Row],[SETOR]],BD!A:AF,26,0),"")</f>
        <v/>
      </c>
      <c r="AX186" s="21" t="str">
        <f>IFERROR(VLOOKUP(Tabela1[[#This Row],[MÊS]]&amp;Tabela1[[#This Row],[MATRICULA]]&amp;"Policia"&amp;Tabela1[[#This Row],[SETOR]],BD!A:AF,31,0),"")</f>
        <v/>
      </c>
      <c r="AY186" s="21" t="str">
        <f>IFERROR(VLOOKUP(Tabela1[[#This Row],[MÊS]]&amp;Tabela1[[#This Row],[ID]]&amp;Tabela1[[#This Row],[MATRICULA]]&amp;"Policia 2"&amp;Tabela1[[#This Row],[SETOR]],BD!A:AF,26,0),"")</f>
        <v/>
      </c>
      <c r="AZ186" s="36" t="str">
        <f>IFERROR(VLOOKUP(Tabela1[[#This Row],[MÊS]]&amp;Tabela1[[#This Row],[ID]]&amp;Tabela1[[#This Row],[MATRICULA]]&amp;"Policia 3"&amp;Tabela1[[#This Row],[SETOR]],BD!A:AF,26,0),"")</f>
        <v/>
      </c>
      <c r="BA186" s="36" t="str">
        <f>IFERROR(VLOOKUP(Tabela1[[#This Row],[MÊS]]&amp;Tabela1[[#This Row],[ID]]&amp;Tabela1[[#This Row],[MATRICULA]]&amp;"Policia 4"&amp;Tabela1[[#This Row],[SETOR]],BD!A:AF,26,0),"")</f>
        <v/>
      </c>
      <c r="BB18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6" s="21">
        <f>IFERROR(AVERAGE(Tabela1[[#This Row],[M]:[M4]]),"")</f>
        <v>0</v>
      </c>
      <c r="BD186" s="21" t="str">
        <f>IFERROR(AVERAGE(Tabela1[[#This Row],[C]:[C4]]),"")</f>
        <v/>
      </c>
      <c r="BE186" s="21" t="str">
        <f>IFERROR(AVERAGE(Tabela1[[#This Row],[PA2]:[PA 4]]),"")</f>
        <v/>
      </c>
      <c r="BF186" s="21" t="str">
        <f>IFERROR(AVERAGE(Tabela1[[#This Row],[PL]:[PL4]]),"")</f>
        <v/>
      </c>
      <c r="BG186" s="35" t="str">
        <f>IFERROR(VLOOKUP(Tabela1[[#This Row],[MÊS]]&amp;Tabela1[[#This Row],[MATRICULA]],#REF!,2,0),"")</f>
        <v/>
      </c>
      <c r="BH186" s="35" t="str">
        <f>IFERROR(VLOOKUP(Tabela1[[#This Row],[MÊS]]&amp;Tabela1[[#This Row],[MATRICULA]],#REF!,2,0),"")</f>
        <v/>
      </c>
      <c r="BI186" s="35" t="str">
        <f>IFERROR(VLOOKUP(Tabela1[[#This Row],[MÊS]]&amp;Tabela1[[#This Row],[MATRICULA]],#REF!,2,0),"")</f>
        <v/>
      </c>
      <c r="BJ186" s="35" t="str">
        <f>IFERROR(VLOOKUP(Tabela1[[#This Row],[MÊS]]&amp;Tabela1[[#This Row],[MATRICULA]],#REF!,2,0),"")</f>
        <v/>
      </c>
      <c r="BK186" s="35" t="str">
        <f>IFERROR(VLOOKUP(Tabela1[[#This Row],[MÊS]]&amp;Tabela1[[#This Row],[MATRICULA]],#REF!,2,0),"")</f>
        <v/>
      </c>
      <c r="BL186" s="21">
        <f>COUNTIF(Tabela1[[#This Row],[MOT2]:[RECEPTIVA]],"NÃO ENCONTRADA")</f>
        <v>0</v>
      </c>
      <c r="BM186" s="135" t="str">
        <f>IFERROR(VLOOKUP(Tabela1[[#This Row],[MÊS]]&amp;Tabela1[[#This Row],[ID]]&amp;Tabela1[[#This Row],[MATRICULA]]&amp;"Motorista"&amp;Tabela1[[#This Row],[SETOR]],BD!A:AF,13,0),"")</f>
        <v/>
      </c>
      <c r="BN186" s="135" t="str">
        <f>IFERROR(VLOOKUP(Tabela1[[#This Row],[MÊS]]&amp;Tabela1[[#This Row],[ID]]&amp;Tabela1[[#This Row],[MATRICULA]]&amp;"Motorista 2"&amp;Tabela1[[#This Row],[SETOR]],BD!A:AF,13,0),"")</f>
        <v/>
      </c>
      <c r="BO186" s="135" t="str">
        <f>IFERROR(VLOOKUP(Tabela1[[#This Row],[MÊS]]&amp;Tabela1[[#This Row],[ID]]&amp;Tabela1[[#This Row],[MATRICULA]]&amp;"Motorista 3"&amp;Tabela1[[#This Row],[SETOR]],BD!A:AF,13,0),"")</f>
        <v/>
      </c>
      <c r="BP186" s="135" t="str">
        <f>IFERROR(VLOOKUP(Tabela1[[#This Row],[MÊS]]&amp;Tabela1[[#This Row],[ID]]&amp;Tabela1[[#This Row],[MATRICULA]]&amp;"Motorista 4"&amp;Tabela1[[#This Row],[SETOR]],BD!A:AF,13,0),"")</f>
        <v/>
      </c>
      <c r="BQ186" s="135" t="str">
        <f>IFERROR(AVERAGE(Tabela1[[#This Row],[DMOT]:[DMOT4]]),"")</f>
        <v/>
      </c>
      <c r="BR186" s="135" t="str">
        <f>IFERROR(VLOOKUP(Tabela1[[#This Row],[MÊS]]&amp;Tabela1[[#This Row],[ID]]&amp;Tabela1[[#This Row],[MATRICULA]]&amp;"Ponto de Apoio"&amp;Tabela1[[#This Row],[SETOR]],BD!A:AF,13,0),"")</f>
        <v/>
      </c>
      <c r="BS186" s="135" t="str">
        <f>IFERROR(VLOOKUP(Tabela1[[#This Row],[MÊS]]&amp;Tabela1[[#This Row],[ID]]&amp;Tabela1[[#This Row],[MATRICULA]]&amp;"Ponto de Apoio 2"&amp;Tabela1[[#This Row],[SETOR]],BD!A:AF,13,0),"")</f>
        <v/>
      </c>
      <c r="BT186" s="135" t="str">
        <f>IFERROR(VLOOKUP(Tabela1[[#This Row],[MÊS]]&amp;Tabela1[[#This Row],[ID]]&amp;Tabela1[[#This Row],[MATRICULA]]&amp;"Ponto de Apoio 3"&amp;Tabela1[[#This Row],[SETOR]],BD!A:AF,13,0),"")</f>
        <v/>
      </c>
      <c r="BU186" s="135" t="str">
        <f>IFERROR(VLOOKUP(Tabela1[[#This Row],[MÊS]]&amp;Tabela1[[#This Row],[ID]]&amp;Tabela1[[#This Row],[MATRICULA]]&amp;"Ponto de Apoio 4"&amp;Tabela1[[#This Row],[SETOR]],BD!A:AF,13,0),"")</f>
        <v/>
      </c>
      <c r="BV186" s="135" t="str">
        <f>IFERROR(AVERAGE(Tabela1[[#This Row],[DPA]:[DPA 4]]),"")</f>
        <v/>
      </c>
      <c r="BW186" s="135" t="str">
        <f>IFERROR(VLOOKUP(Tabela1[[#This Row],[MÊS]]&amp;Tabela1[[#This Row],[ID]]&amp;Tabela1[[#This Row],[MATRICULA]]&amp;"Cliente"&amp;Tabela1[[#This Row],[SETOR]],BD!A:AF,13,0),"")</f>
        <v/>
      </c>
      <c r="BX186" s="135" t="str">
        <f>IFERROR(VLOOKUP(Tabela1[[#This Row],[MÊS]]&amp;Tabela1[[#This Row],[ID]]&amp;Tabela1[[#This Row],[MATRICULA]]&amp;"cliente 2"&amp;Tabela1[[#This Row],[SETOR]],BD!A:AF,13,0),"")</f>
        <v/>
      </c>
      <c r="BY186" s="135" t="str">
        <f>IFERROR(VLOOKUP(Tabela1[[#This Row],[MÊS]]&amp;Tabela1[[#This Row],[ID]]&amp;Tabela1[[#This Row],[MATRICULA]]&amp;"cliente 3"&amp;Tabela1[[#This Row],[SETOR]],BD!A:AF,13,0),"")</f>
        <v/>
      </c>
      <c r="BZ186" s="135" t="str">
        <f>IFERROR(VLOOKUP(Tabela1[[#This Row],[MÊS]]&amp;Tabela1[[#This Row],[ID]]&amp;Tabela1[[#This Row],[MATRICULA]]&amp;"cliente 4"&amp;Tabela1[[#This Row],[SETOR]],BD!A:AF,13,0),"")</f>
        <v/>
      </c>
      <c r="CA186" s="135" t="str">
        <f>IFERROR(AVERAGE(Tabela1[[#This Row],[DCLI]:[DCLI 4]]),"")</f>
        <v/>
      </c>
      <c r="CB186" s="135" t="str">
        <f>IFERROR(VLOOKUP(Tabela1[[#This Row],[MÊS]]&amp;Tabela1[[#This Row],[ID]]&amp;Tabela1[[#This Row],[MATRICULA]]&amp;"Policia"&amp;Tabela1[[#This Row],[SETOR]],BD!A:AF,13,0),"")</f>
        <v/>
      </c>
      <c r="CC186" s="135" t="str">
        <f>IFERROR(VLOOKUP(Tabela1[[#This Row],[MÊS]]&amp;Tabela1[[#This Row],[ID]]&amp;Tabela1[[#This Row],[MATRICULA]]&amp;"Policia 2"&amp;Tabela1[[#This Row],[SETOR]],BD!A:AF,13,0),"")</f>
        <v/>
      </c>
      <c r="CD186" s="135"/>
      <c r="CE186" s="135"/>
      <c r="CF186" s="135" t="str">
        <f>IFERROR((AVERAGE(Tabela1[[#This Row],[DPOL1]:[DPOL4]])),"")</f>
        <v/>
      </c>
      <c r="CG186" s="21" t="str">
        <f>IFERROR(VLOOKUP(Tabela1[[#This Row],[ID]]&amp;Tabela1[[#This Row],[MÊS]]&amp;Tabela1[[#This Row],[MATRICULA]],#REF!,2,0),"")</f>
        <v/>
      </c>
      <c r="CH186" s="21" t="str">
        <f>IFERROR(VLOOKUP(Tabela1[[#This Row],[ID]]&amp;Tabela1[[#This Row],[MÊS]]&amp;Tabela1[[#This Row],[MATRICULA]],#REF!,2,0),"")</f>
        <v/>
      </c>
      <c r="CI186" s="21" t="str">
        <f>IFERROR(VLOOKUP(Tabela1[[#This Row],[MÊS]]&amp;Tabela1[[#This Row],[MATRICULA]],#REF!,2,0),"")</f>
        <v/>
      </c>
    </row>
    <row r="187" spans="1:87">
      <c r="A187" s="12" t="str">
        <f>Tabela1[[#This Row],[MÊS]]&amp;Tabela1[[#This Row],[MATRICULA]]&amp;Tabela1[[#This Row],[ID]]</f>
        <v>JAN113136</v>
      </c>
      <c r="B187" s="12" t="str">
        <f>Tabela1[[#This Row],[MÊS]]&amp;Tabela1[[#This Row],[ID]]&amp;Tabela1[[#This Row],[MATRICULA]]&amp;Tabela1[[#This Row],[SETOR]]</f>
        <v>JAN611313TRANSFERÊNCIA</v>
      </c>
      <c r="C187" s="130" t="e">
        <f>VLOOKUP(Tabela1[[#This Row],[MATRICULA]],'BD Campos'!A:D,5,0)</f>
        <v>#REF!</v>
      </c>
      <c r="D187" s="133" t="str">
        <f ca="1">IFERROR(SUM(TODAY()-Tabela1[[#This Row],[ADMISSÃO]]),"")</f>
        <v/>
      </c>
      <c r="E187" s="11" t="str">
        <f ca="1">IFERROR(TRUNC(Tabela1[[#This Row],[TEMPO DE CASA (DIAS)]]/30),"")</f>
        <v/>
      </c>
      <c r="F187" s="32" t="str">
        <f ca="1">IFERROR(SUM(Tabela1[[#This Row],[TEMPO DE CASA (MESES)]]/12),"")</f>
        <v/>
      </c>
      <c r="G187" s="133" t="str">
        <f ca="1">IF(Tabela1[[#This Row],[TEMPO DE CASA (DIAS)]]="","SEM DADOS",IF(Tabela1[[#This Row],[TEMPO DE CASA (DIAS)]]&gt;180,"&gt; 6 MESES","&lt; 6 MESES"))</f>
        <v>SEM DADOS</v>
      </c>
      <c r="H187" s="12" t="str">
        <f t="shared" si="17"/>
        <v>JANAna Caroline6</v>
      </c>
      <c r="I187" s="12" t="str">
        <f>IFERROR(VLOOKUP(Tabela1[[#This Row],[MATRICULA]],'BD Campos'!A:F,7,0),"")</f>
        <v/>
      </c>
      <c r="J187" s="11">
        <v>6</v>
      </c>
      <c r="K187" s="11" t="s">
        <v>669</v>
      </c>
      <c r="L187" s="136">
        <v>11313</v>
      </c>
      <c r="M187" s="12" t="str">
        <f>IFERROR(VLOOKUP(Tabela1[[#This Row],[MATRICULA]],'BD Campos'!A:B,2,0),"")</f>
        <v>THALITA ARAUJO DA SILVA</v>
      </c>
      <c r="N187" s="20">
        <f>IFERROR(AVERAGE(Tabela1[[#This Row],[A1]:[A4]]),"")</f>
        <v>0</v>
      </c>
      <c r="O187" s="20" t="str">
        <f>IFERROR(IF(Tabela1[[#This Row],[SETOR]]="RECEPTIVO","",AVERAGE(Tabela1[[#This Row],[A5]:[A6]])),"")</f>
        <v/>
      </c>
      <c r="P187" s="20" t="str">
        <f>IFERROR(IF(Tabela1[[#This Row],[STATUS]]="INATIVO","INATIVO",IF(Tabela1[[#This Row],[STATUS]]="QRT","INATIVO",IF(Tabela1[[#This Row],[OPERACIONAL]]&gt;7.99999,"BOM","RUIM"))),"")</f>
        <v>RUIM</v>
      </c>
      <c r="Q187" s="21" t="s">
        <v>667</v>
      </c>
      <c r="R187" s="12" t="s">
        <v>712</v>
      </c>
      <c r="S187" s="12" t="s">
        <v>713</v>
      </c>
      <c r="T187" s="12" t="s">
        <v>192</v>
      </c>
      <c r="U18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7" s="12">
        <f>IF(AND(Tabela1[[#This Row],[SETOR]]="UTI",Tabela1[[#This Row],[M]]&lt;&gt;""),1,IF(AND(Tabela1[[#This Row],[SETOR]]="UTI (RJ)",Tabela1[[#This Row],[M]]&lt;&gt;""),1.5,0))</f>
        <v>0</v>
      </c>
      <c r="X187" s="12">
        <f>IF(AND(Tabela1[[#This Row],[SETOR]]="UTI",Tabela1[[#This Row],[PA2]]&lt;&gt;""),1,IF(AND(Tabela1[[#This Row],[SETOR]]="UTI (RJ)",Tabela1[[#This Row],[PA2]]&lt;&gt;""),0,0))</f>
        <v>0</v>
      </c>
      <c r="Y187" s="12">
        <f>IF(AND(Tabela1[[#This Row],[SETOR]]="UTI",Tabela1[[#This Row],[C]]&lt;&gt;""),1,IF(AND(Tabela1[[#This Row],[SETOR]]="UTI (RJ)",Tabela1[[#This Row],[C]]&lt;&gt;""),1.5,0))</f>
        <v>0</v>
      </c>
      <c r="Z187" s="12">
        <f>IF(AND(Tabela1[[#This Row],[SETOR]]="UTI",Tabela1[[#This Row],[PL]]&lt;&gt;""),1,IF(AND(Tabela1[[#This Row],[SETOR]]="UTI (RJ)",Tabela1[[#This Row],[PL]]&lt;&gt;""),1,0))</f>
        <v>0</v>
      </c>
      <c r="AA187" s="21">
        <f>IFERROR(VLOOKUP(Tabela1[[#This Row],[MÊS]]&amp;Tabela1[[#This Row],[MATRICULA]]&amp;"1"&amp;Tabela1[[#This Row],[SETOR]]&amp;"PADRÃO",BD!B:AF,31,0),"")</f>
        <v>0</v>
      </c>
      <c r="AB187" s="21">
        <f>IFERROR(VLOOKUP(Tabela1[[#This Row],[MÊS]]&amp;Tabela1[[#This Row],[MATRICULA]]&amp;"2"&amp;Tabela1[[#This Row],[SETOR]]&amp;"PADRÃO",BD!B:AF,31,0),"")</f>
        <v>0</v>
      </c>
      <c r="AC187" s="21" t="str">
        <f>IFERROR(VLOOKUP(Tabela1[[#This Row],[MÊS]]&amp;Tabela1[[#This Row],[MATRICULA]]&amp;"3"&amp;Tabela1[[#This Row],[SETOR]]&amp;"PADRÃO",BD!B:AF,31,0),"")</f>
        <v/>
      </c>
      <c r="AD187" s="21" t="str">
        <f>IFERROR(VLOOKUP(Tabela1[[#This Row],[MÊS]]&amp;Tabela1[[#This Row],[MATRICULA]]&amp;"4"&amp;Tabela1[[#This Row],[SETOR]]&amp;"PADRÃO",BD!B:AF,25,0),"")</f>
        <v/>
      </c>
      <c r="AE187" s="21" t="str">
        <f>IFERROR(VLOOKUP(Tabela1[[#This Row],[MÊS]]&amp;Tabela1[[#This Row],[MATRICULA]]&amp;"5"&amp;Tabela1[[#This Row],[SETOR]]&amp;"PADRÃO",BD!B:AF,31,0),"")</f>
        <v/>
      </c>
      <c r="AF187" s="21" t="str">
        <f>IFERROR(VLOOKUP(Tabela1[[#This Row],[MÊS]]&amp;Tabela1[[#This Row],[MATRICULA]]&amp;"6"&amp;Tabela1[[#This Row],[SETOR]]&amp;"PADRÃO",BD!B:AF,31,0),"")</f>
        <v/>
      </c>
      <c r="AG187" s="21" t="str">
        <f>IFERROR(VLOOKUP(Tabela1[[#This Row],[MÊS]]&amp;Tabela1[[#This Row],[MATRICULA]]&amp;"7"&amp;Tabela1[[#This Row],[SETOR]]&amp;"PADRÃO",BD!B:AF,31,0),"")</f>
        <v/>
      </c>
      <c r="AH187" s="21" t="str">
        <f>IFERROR(VLOOKUP(Tabela1[[#This Row],[MÊS]]&amp;Tabela1[[#This Row],[ID]]&amp;Tabela1[[#This Row],[MATRICULA]]&amp;"Receptiva"&amp;Tabela1[[#This Row],[SETOR]],BD!A:AF,31,0),"")</f>
        <v/>
      </c>
      <c r="AI187" s="21" t="str">
        <f>IFERROR(VLOOKUP(Tabela1[[#This Row],[MÊS]]&amp;Tabela1[[#This Row],[ID]]&amp;Tabela1[[#This Row],[MATRICULA]]&amp;"Receptiva 2"&amp;Tabela1[[#This Row],[SETOR]],BD!A:AF,31,0),"")</f>
        <v/>
      </c>
      <c r="AJ187" s="21" t="str">
        <f>IFERROR(VLOOKUP(Tabela1[[#This Row],[MÊS]]&amp;Tabela1[[#This Row],[ID]]&amp;Tabela1[[#This Row],[MATRICULA]]&amp;"Receptiva 3"&amp;Tabela1[[#This Row],[SETOR]],BD!A:AF,31,0),"")</f>
        <v/>
      </c>
      <c r="AK187" s="21" t="str">
        <f>IFERROR(VLOOKUP(Tabela1[[#This Row],[MÊS]]&amp;Tabela1[[#This Row],[ID]]&amp;Tabela1[[#This Row],[MATRICULA]]&amp;"Receptiva 4"&amp;Tabela1[[#This Row],[SETOR]],BD!A:AF,31,0),"")</f>
        <v/>
      </c>
      <c r="AL187" s="21" t="str">
        <f>IFERROR(VLOOKUP(Tabela1[[#This Row],[MÊS]]&amp;Tabela1[[#This Row],[MATRICULA]]&amp;"Motorista"&amp;Tabela1[[#This Row],[SETOR]],BD!A:AF,31,0),"")</f>
        <v/>
      </c>
      <c r="AM187" s="21" t="str">
        <f>IFERROR(VLOOKUP(Tabela1[[#This Row],[MÊS]]&amp;Tabela1[[#This Row],[ID]]&amp;Tabela1[[#This Row],[MATRICULA]]&amp;"Motorista 2"&amp;Tabela1[[#This Row],[SETOR]],BD!A:AF,26,0),"")</f>
        <v/>
      </c>
      <c r="AN187" s="21" t="str">
        <f>IFERROR(VLOOKUP(Tabela1[[#This Row],[MÊS]]&amp;Tabela1[[#This Row],[ID]]&amp;Tabela1[[#This Row],[MATRICULA]]&amp;"Motorista 3"&amp;Tabela1[[#This Row],[SETOR]],BD!A:AF,26,0),"")</f>
        <v/>
      </c>
      <c r="AO187" s="21" t="str">
        <f>IFERROR(VLOOKUP(Tabela1[[#This Row],[MÊS]]&amp;Tabela1[[#This Row],[ID]]&amp;Tabela1[[#This Row],[MATRICULA]]&amp;"Motorista 4"&amp;Tabela1[[#This Row],[SETOR]],BD!A:AF,26,0),"")</f>
        <v/>
      </c>
      <c r="AP187" s="21" t="str">
        <f>IFERROR(VLOOKUP(Tabela1[[#This Row],[MÊS]]&amp;Tabela1[[#This Row],[MATRICULA]]&amp;"Ponto de Apoio"&amp;Tabela1[[#This Row],[SETOR]],BD!A:AF,31,0),"")</f>
        <v/>
      </c>
      <c r="AQ187" s="21" t="str">
        <f>IFERROR(VLOOKUP(Tabela1[[#This Row],[MÊS]]&amp;Tabela1[[#This Row],[ID]]&amp;Tabela1[[#This Row],[MATRICULA]]&amp;"Ponto de Apoio 2"&amp;Tabela1[[#This Row],[SETOR]],BD!A:AF,26,0),"")</f>
        <v/>
      </c>
      <c r="AR187" s="36" t="str">
        <f>IFERROR(VLOOKUP(Tabela1[[#This Row],[MÊS]]&amp;Tabela1[[#This Row],[ID]]&amp;Tabela1[[#This Row],[MATRICULA]]&amp;"Ponto de Apoio 3"&amp;Tabela1[[#This Row],[SETOR]],BD!A:AF,26,0),"")</f>
        <v/>
      </c>
      <c r="AS187" s="36" t="str">
        <f>IFERROR(VLOOKUP(Tabela1[[#This Row],[MÊS]]&amp;Tabela1[[#This Row],[ID]]&amp;Tabela1[[#This Row],[MATRICULA]]&amp;"Ponto de Apoio 4"&amp;Tabela1[[#This Row],[SETOR]],BD!A:AF,26,0),"")</f>
        <v/>
      </c>
      <c r="AT187" s="21" t="str">
        <f>IFERROR(VLOOKUP(Tabela1[[#This Row],[MÊS]]&amp;Tabela1[[#This Row],[MATRICULA]]&amp;"Cliente"&amp;Tabela1[[#This Row],[SETOR]],BD!A:AF,31,0),"")</f>
        <v/>
      </c>
      <c r="AU187" s="21" t="str">
        <f>IFERROR(VLOOKUP(Tabela1[[#This Row],[MÊS]]&amp;Tabela1[[#This Row],[ID]]&amp;Tabela1[[#This Row],[MATRICULA]]&amp;"Cliente 2"&amp;Tabela1[[#This Row],[SETOR]],BD!A:AF,26,0),"")</f>
        <v/>
      </c>
      <c r="AX187" s="21" t="str">
        <f>IFERROR(VLOOKUP(Tabela1[[#This Row],[MÊS]]&amp;Tabela1[[#This Row],[MATRICULA]]&amp;"Policia"&amp;Tabela1[[#This Row],[SETOR]],BD!A:AF,31,0),"")</f>
        <v/>
      </c>
      <c r="AY187" s="21" t="str">
        <f>IFERROR(VLOOKUP(Tabela1[[#This Row],[MÊS]]&amp;Tabela1[[#This Row],[ID]]&amp;Tabela1[[#This Row],[MATRICULA]]&amp;"Policia 2"&amp;Tabela1[[#This Row],[SETOR]],BD!A:AF,26,0),"")</f>
        <v/>
      </c>
      <c r="AZ187" s="36" t="str">
        <f>IFERROR(VLOOKUP(Tabela1[[#This Row],[MÊS]]&amp;Tabela1[[#This Row],[ID]]&amp;Tabela1[[#This Row],[MATRICULA]]&amp;"Policia 3"&amp;Tabela1[[#This Row],[SETOR]],BD!A:AF,26,0),"")</f>
        <v/>
      </c>
      <c r="BA187" s="36" t="str">
        <f>IFERROR(VLOOKUP(Tabela1[[#This Row],[MÊS]]&amp;Tabela1[[#This Row],[ID]]&amp;Tabela1[[#This Row],[MATRICULA]]&amp;"Policia 4"&amp;Tabela1[[#This Row],[SETOR]],BD!A:AF,26,0),"")</f>
        <v/>
      </c>
      <c r="BB18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7" s="21" t="str">
        <f>IFERROR(AVERAGE(Tabela1[[#This Row],[M]:[M4]]),"")</f>
        <v/>
      </c>
      <c r="BD187" s="21" t="str">
        <f>IFERROR(AVERAGE(Tabela1[[#This Row],[C]:[C4]]),"")</f>
        <v/>
      </c>
      <c r="BE187" s="21" t="str">
        <f>IFERROR(AVERAGE(Tabela1[[#This Row],[PA2]:[PA 4]]),"")</f>
        <v/>
      </c>
      <c r="BF187" s="21" t="str">
        <f>IFERROR(AVERAGE(Tabela1[[#This Row],[PL]:[PL4]]),"")</f>
        <v/>
      </c>
      <c r="BG187" s="35" t="str">
        <f>IFERROR(VLOOKUP(Tabela1[[#This Row],[MÊS]]&amp;Tabela1[[#This Row],[MATRICULA]],#REF!,2,0),"")</f>
        <v/>
      </c>
      <c r="BH187" s="35" t="str">
        <f>IFERROR(VLOOKUP(Tabela1[[#This Row],[MÊS]]&amp;Tabela1[[#This Row],[MATRICULA]],#REF!,2,0),"")</f>
        <v/>
      </c>
      <c r="BI187" s="35" t="str">
        <f>IFERROR(VLOOKUP(Tabela1[[#This Row],[MÊS]]&amp;Tabela1[[#This Row],[MATRICULA]],#REF!,2,0),"")</f>
        <v/>
      </c>
      <c r="BJ187" s="35" t="str">
        <f>IFERROR(VLOOKUP(Tabela1[[#This Row],[MÊS]]&amp;Tabela1[[#This Row],[MATRICULA]],#REF!,2,0),"")</f>
        <v/>
      </c>
      <c r="BK187" s="35" t="str">
        <f>IFERROR(VLOOKUP(Tabela1[[#This Row],[MÊS]]&amp;Tabela1[[#This Row],[MATRICULA]],#REF!,2,0),"")</f>
        <v/>
      </c>
      <c r="BL187" s="21">
        <f>COUNTIF(Tabela1[[#This Row],[MOT2]:[RECEPTIVA]],"NÃO ENCONTRADA")</f>
        <v>0</v>
      </c>
      <c r="BM187" s="135" t="str">
        <f>IFERROR(VLOOKUP(Tabela1[[#This Row],[MÊS]]&amp;Tabela1[[#This Row],[ID]]&amp;Tabela1[[#This Row],[MATRICULA]]&amp;"Motorista"&amp;Tabela1[[#This Row],[SETOR]],BD!A:AF,13,0),"")</f>
        <v/>
      </c>
      <c r="BN187" s="135" t="str">
        <f>IFERROR(VLOOKUP(Tabela1[[#This Row],[MÊS]]&amp;Tabela1[[#This Row],[ID]]&amp;Tabela1[[#This Row],[MATRICULA]]&amp;"Motorista 2"&amp;Tabela1[[#This Row],[SETOR]],BD!A:AF,13,0),"")</f>
        <v/>
      </c>
      <c r="BO187" s="135" t="str">
        <f>IFERROR(VLOOKUP(Tabela1[[#This Row],[MÊS]]&amp;Tabela1[[#This Row],[ID]]&amp;Tabela1[[#This Row],[MATRICULA]]&amp;"Motorista 3"&amp;Tabela1[[#This Row],[SETOR]],BD!A:AF,13,0),"")</f>
        <v/>
      </c>
      <c r="BP187" s="135" t="str">
        <f>IFERROR(VLOOKUP(Tabela1[[#This Row],[MÊS]]&amp;Tabela1[[#This Row],[ID]]&amp;Tabela1[[#This Row],[MATRICULA]]&amp;"Motorista 4"&amp;Tabela1[[#This Row],[SETOR]],BD!A:AF,13,0),"")</f>
        <v/>
      </c>
      <c r="BQ187" s="135" t="str">
        <f>IFERROR(AVERAGE(Tabela1[[#This Row],[DMOT]:[DMOT4]]),"")</f>
        <v/>
      </c>
      <c r="BR187" s="135" t="str">
        <f>IFERROR(VLOOKUP(Tabela1[[#This Row],[MÊS]]&amp;Tabela1[[#This Row],[ID]]&amp;Tabela1[[#This Row],[MATRICULA]]&amp;"Ponto de Apoio"&amp;Tabela1[[#This Row],[SETOR]],BD!A:AF,13,0),"")</f>
        <v/>
      </c>
      <c r="BS187" s="135" t="str">
        <f>IFERROR(VLOOKUP(Tabela1[[#This Row],[MÊS]]&amp;Tabela1[[#This Row],[ID]]&amp;Tabela1[[#This Row],[MATRICULA]]&amp;"Ponto de Apoio 2"&amp;Tabela1[[#This Row],[SETOR]],BD!A:AF,13,0),"")</f>
        <v/>
      </c>
      <c r="BT187" s="135" t="str">
        <f>IFERROR(VLOOKUP(Tabela1[[#This Row],[MÊS]]&amp;Tabela1[[#This Row],[ID]]&amp;Tabela1[[#This Row],[MATRICULA]]&amp;"Ponto de Apoio 3"&amp;Tabela1[[#This Row],[SETOR]],BD!A:AF,13,0),"")</f>
        <v/>
      </c>
      <c r="BU187" s="135" t="str">
        <f>IFERROR(VLOOKUP(Tabela1[[#This Row],[MÊS]]&amp;Tabela1[[#This Row],[ID]]&amp;Tabela1[[#This Row],[MATRICULA]]&amp;"Ponto de Apoio 4"&amp;Tabela1[[#This Row],[SETOR]],BD!A:AF,13,0),"")</f>
        <v/>
      </c>
      <c r="BV187" s="135" t="str">
        <f>IFERROR(AVERAGE(Tabela1[[#This Row],[DPA]:[DPA 4]]),"")</f>
        <v/>
      </c>
      <c r="BW187" s="135" t="str">
        <f>IFERROR(VLOOKUP(Tabela1[[#This Row],[MÊS]]&amp;Tabela1[[#This Row],[ID]]&amp;Tabela1[[#This Row],[MATRICULA]]&amp;"Cliente"&amp;Tabela1[[#This Row],[SETOR]],BD!A:AF,13,0),"")</f>
        <v/>
      </c>
      <c r="BX187" s="135" t="str">
        <f>IFERROR(VLOOKUP(Tabela1[[#This Row],[MÊS]]&amp;Tabela1[[#This Row],[ID]]&amp;Tabela1[[#This Row],[MATRICULA]]&amp;"cliente 2"&amp;Tabela1[[#This Row],[SETOR]],BD!A:AF,13,0),"")</f>
        <v/>
      </c>
      <c r="BY187" s="135" t="str">
        <f>IFERROR(VLOOKUP(Tabela1[[#This Row],[MÊS]]&amp;Tabela1[[#This Row],[ID]]&amp;Tabela1[[#This Row],[MATRICULA]]&amp;"cliente 3"&amp;Tabela1[[#This Row],[SETOR]],BD!A:AF,13,0),"")</f>
        <v/>
      </c>
      <c r="BZ187" s="135" t="str">
        <f>IFERROR(VLOOKUP(Tabela1[[#This Row],[MÊS]]&amp;Tabela1[[#This Row],[ID]]&amp;Tabela1[[#This Row],[MATRICULA]]&amp;"cliente 4"&amp;Tabela1[[#This Row],[SETOR]],BD!A:AF,13,0),"")</f>
        <v/>
      </c>
      <c r="CA187" s="135" t="str">
        <f>IFERROR(AVERAGE(Tabela1[[#This Row],[DCLI]:[DCLI 4]]),"")</f>
        <v/>
      </c>
      <c r="CB187" s="135" t="str">
        <f>IFERROR(VLOOKUP(Tabela1[[#This Row],[MÊS]]&amp;Tabela1[[#This Row],[ID]]&amp;Tabela1[[#This Row],[MATRICULA]]&amp;"Policia"&amp;Tabela1[[#This Row],[SETOR]],BD!A:AF,13,0),"")</f>
        <v/>
      </c>
      <c r="CC187" s="135" t="str">
        <f>IFERROR(VLOOKUP(Tabela1[[#This Row],[MÊS]]&amp;Tabela1[[#This Row],[ID]]&amp;Tabela1[[#This Row],[MATRICULA]]&amp;"Policia 2"&amp;Tabela1[[#This Row],[SETOR]],BD!A:AF,13,0),"")</f>
        <v/>
      </c>
      <c r="CD187" s="135"/>
      <c r="CE187" s="135"/>
      <c r="CF187" s="135" t="str">
        <f>IFERROR((AVERAGE(Tabela1[[#This Row],[DPOL1]:[DPOL4]])),"")</f>
        <v/>
      </c>
      <c r="CG187" s="21" t="str">
        <f>IFERROR(VLOOKUP(Tabela1[[#This Row],[ID]]&amp;Tabela1[[#This Row],[MÊS]]&amp;Tabela1[[#This Row],[MATRICULA]],#REF!,2,0),"")</f>
        <v/>
      </c>
      <c r="CH187" s="21" t="str">
        <f>IFERROR(VLOOKUP(Tabela1[[#This Row],[ID]]&amp;Tabela1[[#This Row],[MÊS]]&amp;Tabela1[[#This Row],[MATRICULA]],#REF!,2,0),"")</f>
        <v/>
      </c>
      <c r="CI187" s="21" t="str">
        <f>IFERROR(VLOOKUP(Tabela1[[#This Row],[MÊS]]&amp;Tabela1[[#This Row],[MATRICULA]],#REF!,2,0),"")</f>
        <v/>
      </c>
    </row>
    <row r="188" spans="1:87">
      <c r="A188" s="12" t="str">
        <f>Tabela1[[#This Row],[MÊS]]&amp;Tabela1[[#This Row],[MATRICULA]]&amp;Tabela1[[#This Row],[ID]]</f>
        <v>JAN113217</v>
      </c>
      <c r="B188" s="12" t="str">
        <f>Tabela1[[#This Row],[MÊS]]&amp;Tabela1[[#This Row],[ID]]&amp;Tabela1[[#This Row],[MATRICULA]]&amp;Tabela1[[#This Row],[SETOR]]</f>
        <v>JAN711321TRANSFERÊNCIA</v>
      </c>
      <c r="C188" s="130" t="e">
        <f>VLOOKUP(Tabela1[[#This Row],[MATRICULA]],'BD Campos'!A:D,5,0)</f>
        <v>#REF!</v>
      </c>
      <c r="D188" s="133" t="str">
        <f ca="1">IFERROR(SUM(TODAY()-Tabela1[[#This Row],[ADMISSÃO]]),"")</f>
        <v/>
      </c>
      <c r="E188" s="11" t="str">
        <f ca="1">IFERROR(TRUNC(Tabela1[[#This Row],[TEMPO DE CASA (DIAS)]]/30),"")</f>
        <v/>
      </c>
      <c r="F188" s="32" t="str">
        <f ca="1">IFERROR(SUM(Tabela1[[#This Row],[TEMPO DE CASA (MESES)]]/12),"")</f>
        <v/>
      </c>
      <c r="G188" s="133" t="str">
        <f ca="1">IF(Tabela1[[#This Row],[TEMPO DE CASA (DIAS)]]="","SEM DADOS",IF(Tabela1[[#This Row],[TEMPO DE CASA (DIAS)]]&gt;180,"&gt; 6 MESES","&lt; 6 MESES"))</f>
        <v>SEM DADOS</v>
      </c>
      <c r="H188" s="12" t="str">
        <f t="shared" si="17"/>
        <v>JANAna Caroline7</v>
      </c>
      <c r="I188" s="12" t="str">
        <f>IFERROR(VLOOKUP(Tabela1[[#This Row],[MATRICULA]],'BD Campos'!A:F,7,0),"")</f>
        <v/>
      </c>
      <c r="J188" s="11">
        <v>7</v>
      </c>
      <c r="K188" s="11" t="s">
        <v>669</v>
      </c>
      <c r="L188" s="136">
        <v>11321</v>
      </c>
      <c r="M188" s="12" t="str">
        <f>IFERROR(VLOOKUP(Tabela1[[#This Row],[MATRICULA]],'BD Campos'!A:B,2,0),"")</f>
        <v>KISLA HIANY DE ARAÚJO PEREIRA</v>
      </c>
      <c r="N188" s="20">
        <f>IFERROR(AVERAGE(Tabela1[[#This Row],[A1]:[A4]]),"")</f>
        <v>0</v>
      </c>
      <c r="O188" s="20" t="str">
        <f>IFERROR(IF(Tabela1[[#This Row],[SETOR]]="RECEPTIVO","",AVERAGE(Tabela1[[#This Row],[A5]:[A6]])),"")</f>
        <v/>
      </c>
      <c r="P188" s="20" t="str">
        <f>IFERROR(IF(Tabela1[[#This Row],[STATUS]]="INATIVO","INATIVO",IF(Tabela1[[#This Row],[STATUS]]="QRT","INATIVO",IF(Tabela1[[#This Row],[OPERACIONAL]]&gt;7.99999,"BOM","RUIM"))),"")</f>
        <v>RUIM</v>
      </c>
      <c r="Q188" s="21" t="s">
        <v>667</v>
      </c>
      <c r="R188" s="12" t="s">
        <v>712</v>
      </c>
      <c r="S188" s="12" t="s">
        <v>713</v>
      </c>
      <c r="T188" s="12" t="s">
        <v>192</v>
      </c>
      <c r="U18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8" s="12">
        <f>IF(AND(Tabela1[[#This Row],[SETOR]]="UTI",Tabela1[[#This Row],[M]]&lt;&gt;""),1,IF(AND(Tabela1[[#This Row],[SETOR]]="UTI (RJ)",Tabela1[[#This Row],[M]]&lt;&gt;""),1.5,0))</f>
        <v>0</v>
      </c>
      <c r="X188" s="12">
        <f>IF(AND(Tabela1[[#This Row],[SETOR]]="UTI",Tabela1[[#This Row],[PA2]]&lt;&gt;""),1,IF(AND(Tabela1[[#This Row],[SETOR]]="UTI (RJ)",Tabela1[[#This Row],[PA2]]&lt;&gt;""),0,0))</f>
        <v>0</v>
      </c>
      <c r="Y188" s="12">
        <f>IF(AND(Tabela1[[#This Row],[SETOR]]="UTI",Tabela1[[#This Row],[C]]&lt;&gt;""),1,IF(AND(Tabela1[[#This Row],[SETOR]]="UTI (RJ)",Tabela1[[#This Row],[C]]&lt;&gt;""),1.5,0))</f>
        <v>0</v>
      </c>
      <c r="Z188" s="12">
        <f>IF(AND(Tabela1[[#This Row],[SETOR]]="UTI",Tabela1[[#This Row],[PL]]&lt;&gt;""),1,IF(AND(Tabela1[[#This Row],[SETOR]]="UTI (RJ)",Tabela1[[#This Row],[PL]]&lt;&gt;""),1,0))</f>
        <v>0</v>
      </c>
      <c r="AA188" s="21">
        <f>IFERROR(VLOOKUP(Tabela1[[#This Row],[MÊS]]&amp;Tabela1[[#This Row],[MATRICULA]]&amp;"1"&amp;Tabela1[[#This Row],[SETOR]]&amp;"PADRÃO",BD!B:AF,31,0),"")</f>
        <v>0</v>
      </c>
      <c r="AB188" s="21">
        <f>IFERROR(VLOOKUP(Tabela1[[#This Row],[MÊS]]&amp;Tabela1[[#This Row],[MATRICULA]]&amp;"2"&amp;Tabela1[[#This Row],[SETOR]]&amp;"PADRÃO",BD!B:AF,31,0),"")</f>
        <v>0</v>
      </c>
      <c r="AC188" s="21" t="str">
        <f>IFERROR(VLOOKUP(Tabela1[[#This Row],[MÊS]]&amp;Tabela1[[#This Row],[MATRICULA]]&amp;"3"&amp;Tabela1[[#This Row],[SETOR]]&amp;"PADRÃO",BD!B:AF,31,0),"")</f>
        <v/>
      </c>
      <c r="AD188" s="21" t="str">
        <f>IFERROR(VLOOKUP(Tabela1[[#This Row],[MÊS]]&amp;Tabela1[[#This Row],[MATRICULA]]&amp;"4"&amp;Tabela1[[#This Row],[SETOR]]&amp;"PADRÃO",BD!B:AF,25,0),"")</f>
        <v/>
      </c>
      <c r="AE188" s="21" t="str">
        <f>IFERROR(VLOOKUP(Tabela1[[#This Row],[MÊS]]&amp;Tabela1[[#This Row],[MATRICULA]]&amp;"5"&amp;Tabela1[[#This Row],[SETOR]]&amp;"PADRÃO",BD!B:AF,31,0),"")</f>
        <v/>
      </c>
      <c r="AF188" s="21" t="str">
        <f>IFERROR(VLOOKUP(Tabela1[[#This Row],[MÊS]]&amp;Tabela1[[#This Row],[MATRICULA]]&amp;"6"&amp;Tabela1[[#This Row],[SETOR]]&amp;"PADRÃO",BD!B:AF,31,0),"")</f>
        <v/>
      </c>
      <c r="AG188" s="21" t="str">
        <f>IFERROR(VLOOKUP(Tabela1[[#This Row],[MÊS]]&amp;Tabela1[[#This Row],[MATRICULA]]&amp;"7"&amp;Tabela1[[#This Row],[SETOR]]&amp;"PADRÃO",BD!B:AF,31,0),"")</f>
        <v/>
      </c>
      <c r="AH188" s="21" t="str">
        <f>IFERROR(VLOOKUP(Tabela1[[#This Row],[MÊS]]&amp;Tabela1[[#This Row],[ID]]&amp;Tabela1[[#This Row],[MATRICULA]]&amp;"Receptiva"&amp;Tabela1[[#This Row],[SETOR]],BD!A:AF,31,0),"")</f>
        <v/>
      </c>
      <c r="AI188" s="21" t="str">
        <f>IFERROR(VLOOKUP(Tabela1[[#This Row],[MÊS]]&amp;Tabela1[[#This Row],[ID]]&amp;Tabela1[[#This Row],[MATRICULA]]&amp;"Receptiva 2"&amp;Tabela1[[#This Row],[SETOR]],BD!A:AF,31,0),"")</f>
        <v/>
      </c>
      <c r="AJ188" s="21" t="str">
        <f>IFERROR(VLOOKUP(Tabela1[[#This Row],[MÊS]]&amp;Tabela1[[#This Row],[ID]]&amp;Tabela1[[#This Row],[MATRICULA]]&amp;"Receptiva 3"&amp;Tabela1[[#This Row],[SETOR]],BD!A:AF,31,0),"")</f>
        <v/>
      </c>
      <c r="AK188" s="21" t="str">
        <f>IFERROR(VLOOKUP(Tabela1[[#This Row],[MÊS]]&amp;Tabela1[[#This Row],[ID]]&amp;Tabela1[[#This Row],[MATRICULA]]&amp;"Receptiva 4"&amp;Tabela1[[#This Row],[SETOR]],BD!A:AF,31,0),"")</f>
        <v/>
      </c>
      <c r="AL188" s="21" t="str">
        <f>IFERROR(VLOOKUP(Tabela1[[#This Row],[MÊS]]&amp;Tabela1[[#This Row],[MATRICULA]]&amp;"Motorista"&amp;Tabela1[[#This Row],[SETOR]],BD!A:AF,31,0),"")</f>
        <v/>
      </c>
      <c r="AM188" s="21" t="str">
        <f>IFERROR(VLOOKUP(Tabela1[[#This Row],[MÊS]]&amp;Tabela1[[#This Row],[ID]]&amp;Tabela1[[#This Row],[MATRICULA]]&amp;"Motorista 2"&amp;Tabela1[[#This Row],[SETOR]],BD!A:AF,26,0),"")</f>
        <v/>
      </c>
      <c r="AN188" s="21" t="str">
        <f>IFERROR(VLOOKUP(Tabela1[[#This Row],[MÊS]]&amp;Tabela1[[#This Row],[ID]]&amp;Tabela1[[#This Row],[MATRICULA]]&amp;"Motorista 3"&amp;Tabela1[[#This Row],[SETOR]],BD!A:AF,26,0),"")</f>
        <v/>
      </c>
      <c r="AO188" s="21" t="str">
        <f>IFERROR(VLOOKUP(Tabela1[[#This Row],[MÊS]]&amp;Tabela1[[#This Row],[ID]]&amp;Tabela1[[#This Row],[MATRICULA]]&amp;"Motorista 4"&amp;Tabela1[[#This Row],[SETOR]],BD!A:AF,26,0),"")</f>
        <v/>
      </c>
      <c r="AP188" s="21" t="str">
        <f>IFERROR(VLOOKUP(Tabela1[[#This Row],[MÊS]]&amp;Tabela1[[#This Row],[MATRICULA]]&amp;"Ponto de Apoio"&amp;Tabela1[[#This Row],[SETOR]],BD!A:AF,31,0),"")</f>
        <v/>
      </c>
      <c r="AQ188" s="21" t="str">
        <f>IFERROR(VLOOKUP(Tabela1[[#This Row],[MÊS]]&amp;Tabela1[[#This Row],[ID]]&amp;Tabela1[[#This Row],[MATRICULA]]&amp;"Ponto de Apoio 2"&amp;Tabela1[[#This Row],[SETOR]],BD!A:AF,26,0),"")</f>
        <v/>
      </c>
      <c r="AR188" s="36" t="str">
        <f>IFERROR(VLOOKUP(Tabela1[[#This Row],[MÊS]]&amp;Tabela1[[#This Row],[ID]]&amp;Tabela1[[#This Row],[MATRICULA]]&amp;"Ponto de Apoio 3"&amp;Tabela1[[#This Row],[SETOR]],BD!A:AF,26,0),"")</f>
        <v/>
      </c>
      <c r="AS188" s="36" t="str">
        <f>IFERROR(VLOOKUP(Tabela1[[#This Row],[MÊS]]&amp;Tabela1[[#This Row],[ID]]&amp;Tabela1[[#This Row],[MATRICULA]]&amp;"Ponto de Apoio 4"&amp;Tabela1[[#This Row],[SETOR]],BD!A:AF,26,0),"")</f>
        <v/>
      </c>
      <c r="AT188" s="21" t="str">
        <f>IFERROR(VLOOKUP(Tabela1[[#This Row],[MÊS]]&amp;Tabela1[[#This Row],[MATRICULA]]&amp;"Cliente"&amp;Tabela1[[#This Row],[SETOR]],BD!A:AF,31,0),"")</f>
        <v/>
      </c>
      <c r="AU188" s="21" t="str">
        <f>IFERROR(VLOOKUP(Tabela1[[#This Row],[MÊS]]&amp;Tabela1[[#This Row],[ID]]&amp;Tabela1[[#This Row],[MATRICULA]]&amp;"Cliente 2"&amp;Tabela1[[#This Row],[SETOR]],BD!A:AF,26,0),"")</f>
        <v/>
      </c>
      <c r="AX188" s="21" t="str">
        <f>IFERROR(VLOOKUP(Tabela1[[#This Row],[MÊS]]&amp;Tabela1[[#This Row],[MATRICULA]]&amp;"Policia"&amp;Tabela1[[#This Row],[SETOR]],BD!A:AF,31,0),"")</f>
        <v/>
      </c>
      <c r="AY188" s="21" t="str">
        <f>IFERROR(VLOOKUP(Tabela1[[#This Row],[MÊS]]&amp;Tabela1[[#This Row],[ID]]&amp;Tabela1[[#This Row],[MATRICULA]]&amp;"Policia 2"&amp;Tabela1[[#This Row],[SETOR]],BD!A:AF,26,0),"")</f>
        <v/>
      </c>
      <c r="AZ188" s="36" t="str">
        <f>IFERROR(VLOOKUP(Tabela1[[#This Row],[MÊS]]&amp;Tabela1[[#This Row],[ID]]&amp;Tabela1[[#This Row],[MATRICULA]]&amp;"Policia 3"&amp;Tabela1[[#This Row],[SETOR]],BD!A:AF,26,0),"")</f>
        <v/>
      </c>
      <c r="BA188" s="36" t="str">
        <f>IFERROR(VLOOKUP(Tabela1[[#This Row],[MÊS]]&amp;Tabela1[[#This Row],[ID]]&amp;Tabela1[[#This Row],[MATRICULA]]&amp;"Policia 4"&amp;Tabela1[[#This Row],[SETOR]],BD!A:AF,26,0),"")</f>
        <v/>
      </c>
      <c r="BB18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8" s="21" t="str">
        <f>IFERROR(AVERAGE(Tabela1[[#This Row],[M]:[M4]]),"")</f>
        <v/>
      </c>
      <c r="BD188" s="21" t="str">
        <f>IFERROR(AVERAGE(Tabela1[[#This Row],[C]:[C4]]),"")</f>
        <v/>
      </c>
      <c r="BE188" s="21" t="str">
        <f>IFERROR(AVERAGE(Tabela1[[#This Row],[PA2]:[PA 4]]),"")</f>
        <v/>
      </c>
      <c r="BF188" s="21" t="str">
        <f>IFERROR(AVERAGE(Tabela1[[#This Row],[PL]:[PL4]]),"")</f>
        <v/>
      </c>
      <c r="BG188" s="35" t="str">
        <f>IFERROR(VLOOKUP(Tabela1[[#This Row],[MÊS]]&amp;Tabela1[[#This Row],[MATRICULA]],#REF!,2,0),"")</f>
        <v/>
      </c>
      <c r="BH188" s="35" t="str">
        <f>IFERROR(VLOOKUP(Tabela1[[#This Row],[MÊS]]&amp;Tabela1[[#This Row],[MATRICULA]],#REF!,2,0),"")</f>
        <v/>
      </c>
      <c r="BI188" s="35" t="str">
        <f>IFERROR(VLOOKUP(Tabela1[[#This Row],[MÊS]]&amp;Tabela1[[#This Row],[MATRICULA]],#REF!,2,0),"")</f>
        <v/>
      </c>
      <c r="BJ188" s="35" t="str">
        <f>IFERROR(VLOOKUP(Tabela1[[#This Row],[MÊS]]&amp;Tabela1[[#This Row],[MATRICULA]],#REF!,2,0),"")</f>
        <v/>
      </c>
      <c r="BK188" s="35" t="str">
        <f>IFERROR(VLOOKUP(Tabela1[[#This Row],[MÊS]]&amp;Tabela1[[#This Row],[MATRICULA]],#REF!,2,0),"")</f>
        <v/>
      </c>
      <c r="BL188" s="21">
        <f>COUNTIF(Tabela1[[#This Row],[MOT2]:[RECEPTIVA]],"NÃO ENCONTRADA")</f>
        <v>0</v>
      </c>
      <c r="BM188" s="135" t="str">
        <f>IFERROR(VLOOKUP(Tabela1[[#This Row],[MÊS]]&amp;Tabela1[[#This Row],[ID]]&amp;Tabela1[[#This Row],[MATRICULA]]&amp;"Motorista"&amp;Tabela1[[#This Row],[SETOR]],BD!A:AF,13,0),"")</f>
        <v/>
      </c>
      <c r="BN188" s="135" t="str">
        <f>IFERROR(VLOOKUP(Tabela1[[#This Row],[MÊS]]&amp;Tabela1[[#This Row],[ID]]&amp;Tabela1[[#This Row],[MATRICULA]]&amp;"Motorista 2"&amp;Tabela1[[#This Row],[SETOR]],BD!A:AF,13,0),"")</f>
        <v/>
      </c>
      <c r="BO188" s="135" t="str">
        <f>IFERROR(VLOOKUP(Tabela1[[#This Row],[MÊS]]&amp;Tabela1[[#This Row],[ID]]&amp;Tabela1[[#This Row],[MATRICULA]]&amp;"Motorista 3"&amp;Tabela1[[#This Row],[SETOR]],BD!A:AF,13,0),"")</f>
        <v/>
      </c>
      <c r="BP188" s="135" t="str">
        <f>IFERROR(VLOOKUP(Tabela1[[#This Row],[MÊS]]&amp;Tabela1[[#This Row],[ID]]&amp;Tabela1[[#This Row],[MATRICULA]]&amp;"Motorista 4"&amp;Tabela1[[#This Row],[SETOR]],BD!A:AF,13,0),"")</f>
        <v/>
      </c>
      <c r="BQ188" s="135" t="str">
        <f>IFERROR(AVERAGE(Tabela1[[#This Row],[DMOT]:[DMOT4]]),"")</f>
        <v/>
      </c>
      <c r="BR188" s="135" t="str">
        <f>IFERROR(VLOOKUP(Tabela1[[#This Row],[MÊS]]&amp;Tabela1[[#This Row],[ID]]&amp;Tabela1[[#This Row],[MATRICULA]]&amp;"Ponto de Apoio"&amp;Tabela1[[#This Row],[SETOR]],BD!A:AF,13,0),"")</f>
        <v/>
      </c>
      <c r="BS188" s="135" t="str">
        <f>IFERROR(VLOOKUP(Tabela1[[#This Row],[MÊS]]&amp;Tabela1[[#This Row],[ID]]&amp;Tabela1[[#This Row],[MATRICULA]]&amp;"Ponto de Apoio 2"&amp;Tabela1[[#This Row],[SETOR]],BD!A:AF,13,0),"")</f>
        <v/>
      </c>
      <c r="BT188" s="135" t="str">
        <f>IFERROR(VLOOKUP(Tabela1[[#This Row],[MÊS]]&amp;Tabela1[[#This Row],[ID]]&amp;Tabela1[[#This Row],[MATRICULA]]&amp;"Ponto de Apoio 3"&amp;Tabela1[[#This Row],[SETOR]],BD!A:AF,13,0),"")</f>
        <v/>
      </c>
      <c r="BU188" s="135" t="str">
        <f>IFERROR(VLOOKUP(Tabela1[[#This Row],[MÊS]]&amp;Tabela1[[#This Row],[ID]]&amp;Tabela1[[#This Row],[MATRICULA]]&amp;"Ponto de Apoio 4"&amp;Tabela1[[#This Row],[SETOR]],BD!A:AF,13,0),"")</f>
        <v/>
      </c>
      <c r="BV188" s="135" t="str">
        <f>IFERROR(AVERAGE(Tabela1[[#This Row],[DPA]:[DPA 4]]),"")</f>
        <v/>
      </c>
      <c r="BW188" s="135" t="str">
        <f>IFERROR(VLOOKUP(Tabela1[[#This Row],[MÊS]]&amp;Tabela1[[#This Row],[ID]]&amp;Tabela1[[#This Row],[MATRICULA]]&amp;"Cliente"&amp;Tabela1[[#This Row],[SETOR]],BD!A:AF,13,0),"")</f>
        <v/>
      </c>
      <c r="BX188" s="135" t="str">
        <f>IFERROR(VLOOKUP(Tabela1[[#This Row],[MÊS]]&amp;Tabela1[[#This Row],[ID]]&amp;Tabela1[[#This Row],[MATRICULA]]&amp;"cliente 2"&amp;Tabela1[[#This Row],[SETOR]],BD!A:AF,13,0),"")</f>
        <v/>
      </c>
      <c r="BY188" s="135" t="str">
        <f>IFERROR(VLOOKUP(Tabela1[[#This Row],[MÊS]]&amp;Tabela1[[#This Row],[ID]]&amp;Tabela1[[#This Row],[MATRICULA]]&amp;"cliente 3"&amp;Tabela1[[#This Row],[SETOR]],BD!A:AF,13,0),"")</f>
        <v/>
      </c>
      <c r="BZ188" s="135" t="str">
        <f>IFERROR(VLOOKUP(Tabela1[[#This Row],[MÊS]]&amp;Tabela1[[#This Row],[ID]]&amp;Tabela1[[#This Row],[MATRICULA]]&amp;"cliente 4"&amp;Tabela1[[#This Row],[SETOR]],BD!A:AF,13,0),"")</f>
        <v/>
      </c>
      <c r="CA188" s="135" t="str">
        <f>IFERROR(AVERAGE(Tabela1[[#This Row],[DCLI]:[DCLI 4]]),"")</f>
        <v/>
      </c>
      <c r="CB188" s="135" t="str">
        <f>IFERROR(VLOOKUP(Tabela1[[#This Row],[MÊS]]&amp;Tabela1[[#This Row],[ID]]&amp;Tabela1[[#This Row],[MATRICULA]]&amp;"Policia"&amp;Tabela1[[#This Row],[SETOR]],BD!A:AF,13,0),"")</f>
        <v/>
      </c>
      <c r="CC188" s="135" t="str">
        <f>IFERROR(VLOOKUP(Tabela1[[#This Row],[MÊS]]&amp;Tabela1[[#This Row],[ID]]&amp;Tabela1[[#This Row],[MATRICULA]]&amp;"Policia 2"&amp;Tabela1[[#This Row],[SETOR]],BD!A:AF,13,0),"")</f>
        <v/>
      </c>
      <c r="CD188" s="135"/>
      <c r="CE188" s="135"/>
      <c r="CF188" s="135" t="str">
        <f>IFERROR((AVERAGE(Tabela1[[#This Row],[DPOL1]:[DPOL4]])),"")</f>
        <v/>
      </c>
      <c r="CG188" s="21" t="str">
        <f>IFERROR(VLOOKUP(Tabela1[[#This Row],[ID]]&amp;Tabela1[[#This Row],[MÊS]]&amp;Tabela1[[#This Row],[MATRICULA]],#REF!,2,0),"")</f>
        <v/>
      </c>
      <c r="CH188" s="21" t="str">
        <f>IFERROR(VLOOKUP(Tabela1[[#This Row],[ID]]&amp;Tabela1[[#This Row],[MÊS]]&amp;Tabela1[[#This Row],[MATRICULA]],#REF!,2,0),"")</f>
        <v/>
      </c>
      <c r="CI188" s="21" t="str">
        <f>IFERROR(VLOOKUP(Tabela1[[#This Row],[MÊS]]&amp;Tabela1[[#This Row],[MATRICULA]],#REF!,2,0),"")</f>
        <v/>
      </c>
    </row>
    <row r="189" spans="1:87">
      <c r="A189" s="12" t="str">
        <f>Tabela1[[#This Row],[MÊS]]&amp;Tabela1[[#This Row],[MATRICULA]]&amp;Tabela1[[#This Row],[ID]]</f>
        <v>JAN113298</v>
      </c>
      <c r="B189" s="12" t="str">
        <f>Tabela1[[#This Row],[MÊS]]&amp;Tabela1[[#This Row],[ID]]&amp;Tabela1[[#This Row],[MATRICULA]]&amp;Tabela1[[#This Row],[SETOR]]</f>
        <v>JAN811329TRANSFERÊNCIA</v>
      </c>
      <c r="C189" s="130" t="e">
        <f>VLOOKUP(Tabela1[[#This Row],[MATRICULA]],'BD Campos'!A:D,5,0)</f>
        <v>#REF!</v>
      </c>
      <c r="D189" s="133" t="str">
        <f ca="1">IFERROR(SUM(TODAY()-Tabela1[[#This Row],[ADMISSÃO]]),"")</f>
        <v/>
      </c>
      <c r="E189" s="11" t="str">
        <f ca="1">IFERROR(TRUNC(Tabela1[[#This Row],[TEMPO DE CASA (DIAS)]]/30),"")</f>
        <v/>
      </c>
      <c r="F189" s="32" t="str">
        <f ca="1">IFERROR(SUM(Tabela1[[#This Row],[TEMPO DE CASA (MESES)]]/12),"")</f>
        <v/>
      </c>
      <c r="G189" s="133" t="str">
        <f ca="1">IF(Tabela1[[#This Row],[TEMPO DE CASA (DIAS)]]="","SEM DADOS",IF(Tabela1[[#This Row],[TEMPO DE CASA (DIAS)]]&gt;180,"&gt; 6 MESES","&lt; 6 MESES"))</f>
        <v>SEM DADOS</v>
      </c>
      <c r="H189" s="12" t="str">
        <f t="shared" si="17"/>
        <v>JANAna Caroline8</v>
      </c>
      <c r="I189" s="12" t="str">
        <f>IFERROR(VLOOKUP(Tabela1[[#This Row],[MATRICULA]],'BD Campos'!A:F,7,0),"")</f>
        <v/>
      </c>
      <c r="J189" s="11">
        <v>8</v>
      </c>
      <c r="K189" s="11" t="s">
        <v>669</v>
      </c>
      <c r="L189" s="136">
        <v>11329</v>
      </c>
      <c r="M189" s="12" t="str">
        <f>IFERROR(VLOOKUP(Tabela1[[#This Row],[MATRICULA]],'BD Campos'!A:B,2,0),"")</f>
        <v>NANCIS JOANNA GARCIA MARVAL</v>
      </c>
      <c r="N189" s="20">
        <f>IFERROR(AVERAGE(Tabela1[[#This Row],[A1]:[A4]]),"")</f>
        <v>8.1624999999999996</v>
      </c>
      <c r="O189" s="20" t="str">
        <f>IFERROR(IF(Tabela1[[#This Row],[SETOR]]="RECEPTIVO","",AVERAGE(Tabela1[[#This Row],[A5]:[A6]])),"")</f>
        <v/>
      </c>
      <c r="P189" s="20" t="str">
        <f>IFERROR(IF(Tabela1[[#This Row],[STATUS]]="INATIVO","INATIVO",IF(Tabela1[[#This Row],[STATUS]]="QRT","INATIVO",IF(Tabela1[[#This Row],[OPERACIONAL]]&gt;7.99999,"BOM","RUIM"))),"")</f>
        <v>BOM</v>
      </c>
      <c r="Q189" s="21" t="s">
        <v>667</v>
      </c>
      <c r="R189" s="12" t="s">
        <v>712</v>
      </c>
      <c r="S189" s="12" t="s">
        <v>713</v>
      </c>
      <c r="T189" s="12" t="s">
        <v>192</v>
      </c>
      <c r="U18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8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89" s="12">
        <f>IF(AND(Tabela1[[#This Row],[SETOR]]="UTI",Tabela1[[#This Row],[M]]&lt;&gt;""),1,IF(AND(Tabela1[[#This Row],[SETOR]]="UTI (RJ)",Tabela1[[#This Row],[M]]&lt;&gt;""),1.5,0))</f>
        <v>0</v>
      </c>
      <c r="X189" s="12">
        <f>IF(AND(Tabela1[[#This Row],[SETOR]]="UTI",Tabela1[[#This Row],[PA2]]&lt;&gt;""),1,IF(AND(Tabela1[[#This Row],[SETOR]]="UTI (RJ)",Tabela1[[#This Row],[PA2]]&lt;&gt;""),0,0))</f>
        <v>0</v>
      </c>
      <c r="Y189" s="12">
        <f>IF(AND(Tabela1[[#This Row],[SETOR]]="UTI",Tabela1[[#This Row],[C]]&lt;&gt;""),1,IF(AND(Tabela1[[#This Row],[SETOR]]="UTI (RJ)",Tabela1[[#This Row],[C]]&lt;&gt;""),1.5,0))</f>
        <v>0</v>
      </c>
      <c r="Z189" s="12">
        <f>IF(AND(Tabela1[[#This Row],[SETOR]]="UTI",Tabela1[[#This Row],[PL]]&lt;&gt;""),1,IF(AND(Tabela1[[#This Row],[SETOR]]="UTI (RJ)",Tabela1[[#This Row],[PL]]&lt;&gt;""),1,0))</f>
        <v>0</v>
      </c>
      <c r="AA189" s="21">
        <f>IFERROR(VLOOKUP(Tabela1[[#This Row],[MÊS]]&amp;Tabela1[[#This Row],[MATRICULA]]&amp;"1"&amp;Tabela1[[#This Row],[SETOR]]&amp;"PADRÃO",BD!B:AF,31,0),"")</f>
        <v>8.2149999999999999</v>
      </c>
      <c r="AB189" s="21">
        <f>IFERROR(VLOOKUP(Tabela1[[#This Row],[MÊS]]&amp;Tabela1[[#This Row],[MATRICULA]]&amp;"2"&amp;Tabela1[[#This Row],[SETOR]]&amp;"PADRÃO",BD!B:AF,31,0),"")</f>
        <v>8.11</v>
      </c>
      <c r="AC189" s="21" t="str">
        <f>IFERROR(VLOOKUP(Tabela1[[#This Row],[MÊS]]&amp;Tabela1[[#This Row],[MATRICULA]]&amp;"3"&amp;Tabela1[[#This Row],[SETOR]]&amp;"PADRÃO",BD!B:AF,31,0),"")</f>
        <v/>
      </c>
      <c r="AD189" s="21" t="str">
        <f>IFERROR(VLOOKUP(Tabela1[[#This Row],[MÊS]]&amp;Tabela1[[#This Row],[MATRICULA]]&amp;"4"&amp;Tabela1[[#This Row],[SETOR]]&amp;"PADRÃO",BD!B:AF,25,0),"")</f>
        <v/>
      </c>
      <c r="AE189" s="21" t="str">
        <f>IFERROR(VLOOKUP(Tabela1[[#This Row],[MÊS]]&amp;Tabela1[[#This Row],[MATRICULA]]&amp;"5"&amp;Tabela1[[#This Row],[SETOR]]&amp;"PADRÃO",BD!B:AF,31,0),"")</f>
        <v/>
      </c>
      <c r="AF189" s="21" t="str">
        <f>IFERROR(VLOOKUP(Tabela1[[#This Row],[MÊS]]&amp;Tabela1[[#This Row],[MATRICULA]]&amp;"6"&amp;Tabela1[[#This Row],[SETOR]]&amp;"PADRÃO",BD!B:AF,31,0),"")</f>
        <v/>
      </c>
      <c r="AG189" s="21" t="str">
        <f>IFERROR(VLOOKUP(Tabela1[[#This Row],[MÊS]]&amp;Tabela1[[#This Row],[MATRICULA]]&amp;"7"&amp;Tabela1[[#This Row],[SETOR]]&amp;"PADRÃO",BD!B:AF,31,0),"")</f>
        <v/>
      </c>
      <c r="AH189" s="21" t="str">
        <f>IFERROR(VLOOKUP(Tabela1[[#This Row],[MÊS]]&amp;Tabela1[[#This Row],[ID]]&amp;Tabela1[[#This Row],[MATRICULA]]&amp;"Receptiva"&amp;Tabela1[[#This Row],[SETOR]],BD!A:AF,31,0),"")</f>
        <v/>
      </c>
      <c r="AI189" s="21" t="str">
        <f>IFERROR(VLOOKUP(Tabela1[[#This Row],[MÊS]]&amp;Tabela1[[#This Row],[ID]]&amp;Tabela1[[#This Row],[MATRICULA]]&amp;"Receptiva 2"&amp;Tabela1[[#This Row],[SETOR]],BD!A:AF,31,0),"")</f>
        <v/>
      </c>
      <c r="AJ189" s="21" t="str">
        <f>IFERROR(VLOOKUP(Tabela1[[#This Row],[MÊS]]&amp;Tabela1[[#This Row],[ID]]&amp;Tabela1[[#This Row],[MATRICULA]]&amp;"Receptiva 3"&amp;Tabela1[[#This Row],[SETOR]],BD!A:AF,31,0),"")</f>
        <v/>
      </c>
      <c r="AK189" s="21" t="str">
        <f>IFERROR(VLOOKUP(Tabela1[[#This Row],[MÊS]]&amp;Tabela1[[#This Row],[ID]]&amp;Tabela1[[#This Row],[MATRICULA]]&amp;"Receptiva 4"&amp;Tabela1[[#This Row],[SETOR]],BD!A:AF,31,0),"")</f>
        <v/>
      </c>
      <c r="AL189" s="21">
        <f>IFERROR(VLOOKUP(Tabela1[[#This Row],[MÊS]]&amp;Tabela1[[#This Row],[MATRICULA]]&amp;"Motorista"&amp;Tabela1[[#This Row],[SETOR]],BD!A:AF,31,0),"")</f>
        <v>0</v>
      </c>
      <c r="AM189" s="21" t="str">
        <f>IFERROR(VLOOKUP(Tabela1[[#This Row],[MÊS]]&amp;Tabela1[[#This Row],[ID]]&amp;Tabela1[[#This Row],[MATRICULA]]&amp;"Motorista 2"&amp;Tabela1[[#This Row],[SETOR]],BD!A:AF,26,0),"")</f>
        <v/>
      </c>
      <c r="AN189" s="21" t="str">
        <f>IFERROR(VLOOKUP(Tabela1[[#This Row],[MÊS]]&amp;Tabela1[[#This Row],[ID]]&amp;Tabela1[[#This Row],[MATRICULA]]&amp;"Motorista 3"&amp;Tabela1[[#This Row],[SETOR]],BD!A:AF,26,0),"")</f>
        <v/>
      </c>
      <c r="AO189" s="21" t="str">
        <f>IFERROR(VLOOKUP(Tabela1[[#This Row],[MÊS]]&amp;Tabela1[[#This Row],[ID]]&amp;Tabela1[[#This Row],[MATRICULA]]&amp;"Motorista 4"&amp;Tabela1[[#This Row],[SETOR]],BD!A:AF,26,0),"")</f>
        <v/>
      </c>
      <c r="AP189" s="21" t="str">
        <f>IFERROR(VLOOKUP(Tabela1[[#This Row],[MÊS]]&amp;Tabela1[[#This Row],[MATRICULA]]&amp;"Ponto de Apoio"&amp;Tabela1[[#This Row],[SETOR]],BD!A:AF,31,0),"")</f>
        <v/>
      </c>
      <c r="AQ189" s="21" t="str">
        <f>IFERROR(VLOOKUP(Tabela1[[#This Row],[MÊS]]&amp;Tabela1[[#This Row],[ID]]&amp;Tabela1[[#This Row],[MATRICULA]]&amp;"Ponto de Apoio 2"&amp;Tabela1[[#This Row],[SETOR]],BD!A:AF,26,0),"")</f>
        <v/>
      </c>
      <c r="AR189" s="36" t="str">
        <f>IFERROR(VLOOKUP(Tabela1[[#This Row],[MÊS]]&amp;Tabela1[[#This Row],[ID]]&amp;Tabela1[[#This Row],[MATRICULA]]&amp;"Ponto de Apoio 3"&amp;Tabela1[[#This Row],[SETOR]],BD!A:AF,26,0),"")</f>
        <v/>
      </c>
      <c r="AS189" s="36" t="str">
        <f>IFERROR(VLOOKUP(Tabela1[[#This Row],[MÊS]]&amp;Tabela1[[#This Row],[ID]]&amp;Tabela1[[#This Row],[MATRICULA]]&amp;"Ponto de Apoio 4"&amp;Tabela1[[#This Row],[SETOR]],BD!A:AF,26,0),"")</f>
        <v/>
      </c>
      <c r="AT189" s="21" t="str">
        <f>IFERROR(VLOOKUP(Tabela1[[#This Row],[MÊS]]&amp;Tabela1[[#This Row],[MATRICULA]]&amp;"Cliente"&amp;Tabela1[[#This Row],[SETOR]],BD!A:AF,31,0),"")</f>
        <v/>
      </c>
      <c r="AU189" s="21" t="str">
        <f>IFERROR(VLOOKUP(Tabela1[[#This Row],[MÊS]]&amp;Tabela1[[#This Row],[ID]]&amp;Tabela1[[#This Row],[MATRICULA]]&amp;"Cliente 2"&amp;Tabela1[[#This Row],[SETOR]],BD!A:AF,26,0),"")</f>
        <v/>
      </c>
      <c r="AX189" s="21" t="str">
        <f>IFERROR(VLOOKUP(Tabela1[[#This Row],[MÊS]]&amp;Tabela1[[#This Row],[MATRICULA]]&amp;"Policia"&amp;Tabela1[[#This Row],[SETOR]],BD!A:AF,31,0),"")</f>
        <v/>
      </c>
      <c r="AY189" s="21" t="str">
        <f>IFERROR(VLOOKUP(Tabela1[[#This Row],[MÊS]]&amp;Tabela1[[#This Row],[ID]]&amp;Tabela1[[#This Row],[MATRICULA]]&amp;"Policia 2"&amp;Tabela1[[#This Row],[SETOR]],BD!A:AF,26,0),"")</f>
        <v/>
      </c>
      <c r="AZ189" s="36" t="str">
        <f>IFERROR(VLOOKUP(Tabela1[[#This Row],[MÊS]]&amp;Tabela1[[#This Row],[ID]]&amp;Tabela1[[#This Row],[MATRICULA]]&amp;"Policia 3"&amp;Tabela1[[#This Row],[SETOR]],BD!A:AF,26,0),"")</f>
        <v/>
      </c>
      <c r="BA189" s="36" t="str">
        <f>IFERROR(VLOOKUP(Tabela1[[#This Row],[MÊS]]&amp;Tabela1[[#This Row],[ID]]&amp;Tabela1[[#This Row],[MATRICULA]]&amp;"Policia 4"&amp;Tabela1[[#This Row],[SETOR]],BD!A:AF,26,0),"")</f>
        <v/>
      </c>
      <c r="BB18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89" s="21">
        <f>IFERROR(AVERAGE(Tabela1[[#This Row],[M]:[M4]]),"")</f>
        <v>0</v>
      </c>
      <c r="BD189" s="21" t="str">
        <f>IFERROR(AVERAGE(Tabela1[[#This Row],[C]:[C4]]),"")</f>
        <v/>
      </c>
      <c r="BE189" s="21" t="str">
        <f>IFERROR(AVERAGE(Tabela1[[#This Row],[PA2]:[PA 4]]),"")</f>
        <v/>
      </c>
      <c r="BF189" s="21" t="str">
        <f>IFERROR(AVERAGE(Tabela1[[#This Row],[PL]:[PL4]]),"")</f>
        <v/>
      </c>
      <c r="BG189" s="35" t="str">
        <f>IFERROR(VLOOKUP(Tabela1[[#This Row],[MÊS]]&amp;Tabela1[[#This Row],[MATRICULA]],#REF!,2,0),"")</f>
        <v/>
      </c>
      <c r="BH189" s="35" t="str">
        <f>IFERROR(VLOOKUP(Tabela1[[#This Row],[MÊS]]&amp;Tabela1[[#This Row],[MATRICULA]],#REF!,2,0),"")</f>
        <v/>
      </c>
      <c r="BI189" s="35" t="str">
        <f>IFERROR(VLOOKUP(Tabela1[[#This Row],[MÊS]]&amp;Tabela1[[#This Row],[MATRICULA]],#REF!,2,0),"")</f>
        <v/>
      </c>
      <c r="BJ189" s="35" t="str">
        <f>IFERROR(VLOOKUP(Tabela1[[#This Row],[MÊS]]&amp;Tabela1[[#This Row],[MATRICULA]],#REF!,2,0),"")</f>
        <v/>
      </c>
      <c r="BK189" s="35" t="str">
        <f>IFERROR(VLOOKUP(Tabela1[[#This Row],[MÊS]]&amp;Tabela1[[#This Row],[MATRICULA]],#REF!,2,0),"")</f>
        <v/>
      </c>
      <c r="BL189" s="21">
        <f>COUNTIF(Tabela1[[#This Row],[MOT2]:[RECEPTIVA]],"NÃO ENCONTRADA")</f>
        <v>0</v>
      </c>
      <c r="BM189" s="135" t="str">
        <f>IFERROR(VLOOKUP(Tabela1[[#This Row],[MÊS]]&amp;Tabela1[[#This Row],[ID]]&amp;Tabela1[[#This Row],[MATRICULA]]&amp;"Motorista"&amp;Tabela1[[#This Row],[SETOR]],BD!A:AF,13,0),"")</f>
        <v/>
      </c>
      <c r="BN189" s="135" t="str">
        <f>IFERROR(VLOOKUP(Tabela1[[#This Row],[MÊS]]&amp;Tabela1[[#This Row],[ID]]&amp;Tabela1[[#This Row],[MATRICULA]]&amp;"Motorista 2"&amp;Tabela1[[#This Row],[SETOR]],BD!A:AF,13,0),"")</f>
        <v/>
      </c>
      <c r="BO189" s="135" t="str">
        <f>IFERROR(VLOOKUP(Tabela1[[#This Row],[MÊS]]&amp;Tabela1[[#This Row],[ID]]&amp;Tabela1[[#This Row],[MATRICULA]]&amp;"Motorista 3"&amp;Tabela1[[#This Row],[SETOR]],BD!A:AF,13,0),"")</f>
        <v/>
      </c>
      <c r="BP189" s="135" t="str">
        <f>IFERROR(VLOOKUP(Tabela1[[#This Row],[MÊS]]&amp;Tabela1[[#This Row],[ID]]&amp;Tabela1[[#This Row],[MATRICULA]]&amp;"Motorista 4"&amp;Tabela1[[#This Row],[SETOR]],BD!A:AF,13,0),"")</f>
        <v/>
      </c>
      <c r="BQ189" s="135" t="str">
        <f>IFERROR(AVERAGE(Tabela1[[#This Row],[DMOT]:[DMOT4]]),"")</f>
        <v/>
      </c>
      <c r="BR189" s="135" t="str">
        <f>IFERROR(VLOOKUP(Tabela1[[#This Row],[MÊS]]&amp;Tabela1[[#This Row],[ID]]&amp;Tabela1[[#This Row],[MATRICULA]]&amp;"Ponto de Apoio"&amp;Tabela1[[#This Row],[SETOR]],BD!A:AF,13,0),"")</f>
        <v/>
      </c>
      <c r="BS189" s="135" t="str">
        <f>IFERROR(VLOOKUP(Tabela1[[#This Row],[MÊS]]&amp;Tabela1[[#This Row],[ID]]&amp;Tabela1[[#This Row],[MATRICULA]]&amp;"Ponto de Apoio 2"&amp;Tabela1[[#This Row],[SETOR]],BD!A:AF,13,0),"")</f>
        <v/>
      </c>
      <c r="BT189" s="135" t="str">
        <f>IFERROR(VLOOKUP(Tabela1[[#This Row],[MÊS]]&amp;Tabela1[[#This Row],[ID]]&amp;Tabela1[[#This Row],[MATRICULA]]&amp;"Ponto de Apoio 3"&amp;Tabela1[[#This Row],[SETOR]],BD!A:AF,13,0),"")</f>
        <v/>
      </c>
      <c r="BU189" s="135" t="str">
        <f>IFERROR(VLOOKUP(Tabela1[[#This Row],[MÊS]]&amp;Tabela1[[#This Row],[ID]]&amp;Tabela1[[#This Row],[MATRICULA]]&amp;"Ponto de Apoio 4"&amp;Tabela1[[#This Row],[SETOR]],BD!A:AF,13,0),"")</f>
        <v/>
      </c>
      <c r="BV189" s="135" t="str">
        <f>IFERROR(AVERAGE(Tabela1[[#This Row],[DPA]:[DPA 4]]),"")</f>
        <v/>
      </c>
      <c r="BW189" s="135" t="str">
        <f>IFERROR(VLOOKUP(Tabela1[[#This Row],[MÊS]]&amp;Tabela1[[#This Row],[ID]]&amp;Tabela1[[#This Row],[MATRICULA]]&amp;"Cliente"&amp;Tabela1[[#This Row],[SETOR]],BD!A:AF,13,0),"")</f>
        <v/>
      </c>
      <c r="BX189" s="135" t="str">
        <f>IFERROR(VLOOKUP(Tabela1[[#This Row],[MÊS]]&amp;Tabela1[[#This Row],[ID]]&amp;Tabela1[[#This Row],[MATRICULA]]&amp;"cliente 2"&amp;Tabela1[[#This Row],[SETOR]],BD!A:AF,13,0),"")</f>
        <v/>
      </c>
      <c r="BY189" s="135" t="str">
        <f>IFERROR(VLOOKUP(Tabela1[[#This Row],[MÊS]]&amp;Tabela1[[#This Row],[ID]]&amp;Tabela1[[#This Row],[MATRICULA]]&amp;"cliente 3"&amp;Tabela1[[#This Row],[SETOR]],BD!A:AF,13,0),"")</f>
        <v/>
      </c>
      <c r="BZ189" s="135" t="str">
        <f>IFERROR(VLOOKUP(Tabela1[[#This Row],[MÊS]]&amp;Tabela1[[#This Row],[ID]]&amp;Tabela1[[#This Row],[MATRICULA]]&amp;"cliente 4"&amp;Tabela1[[#This Row],[SETOR]],BD!A:AF,13,0),"")</f>
        <v/>
      </c>
      <c r="CA189" s="135" t="str">
        <f>IFERROR(AVERAGE(Tabela1[[#This Row],[DCLI]:[DCLI 4]]),"")</f>
        <v/>
      </c>
      <c r="CB189" s="135" t="str">
        <f>IFERROR(VLOOKUP(Tabela1[[#This Row],[MÊS]]&amp;Tabela1[[#This Row],[ID]]&amp;Tabela1[[#This Row],[MATRICULA]]&amp;"Policia"&amp;Tabela1[[#This Row],[SETOR]],BD!A:AF,13,0),"")</f>
        <v/>
      </c>
      <c r="CC189" s="135" t="str">
        <f>IFERROR(VLOOKUP(Tabela1[[#This Row],[MÊS]]&amp;Tabela1[[#This Row],[ID]]&amp;Tabela1[[#This Row],[MATRICULA]]&amp;"Policia 2"&amp;Tabela1[[#This Row],[SETOR]],BD!A:AF,13,0),"")</f>
        <v/>
      </c>
      <c r="CD189" s="135"/>
      <c r="CE189" s="135"/>
      <c r="CF189" s="135" t="str">
        <f>IFERROR((AVERAGE(Tabela1[[#This Row],[DPOL1]:[DPOL4]])),"")</f>
        <v/>
      </c>
      <c r="CG189" s="21" t="str">
        <f>IFERROR(VLOOKUP(Tabela1[[#This Row],[ID]]&amp;Tabela1[[#This Row],[MÊS]]&amp;Tabela1[[#This Row],[MATRICULA]],#REF!,2,0),"")</f>
        <v/>
      </c>
      <c r="CH189" s="21" t="str">
        <f>IFERROR(VLOOKUP(Tabela1[[#This Row],[ID]]&amp;Tabela1[[#This Row],[MÊS]]&amp;Tabela1[[#This Row],[MATRICULA]],#REF!,2,0),"")</f>
        <v/>
      </c>
      <c r="CI189" s="21" t="str">
        <f>IFERROR(VLOOKUP(Tabela1[[#This Row],[MÊS]]&amp;Tabela1[[#This Row],[MATRICULA]],#REF!,2,0),"")</f>
        <v/>
      </c>
    </row>
    <row r="190" spans="1:87">
      <c r="A190" s="12" t="str">
        <f>Tabela1[[#This Row],[MÊS]]&amp;Tabela1[[#This Row],[MATRICULA]]&amp;Tabela1[[#This Row],[ID]]</f>
        <v>JAN113409</v>
      </c>
      <c r="B190" s="12" t="str">
        <f>Tabela1[[#This Row],[MÊS]]&amp;Tabela1[[#This Row],[ID]]&amp;Tabela1[[#This Row],[MATRICULA]]&amp;Tabela1[[#This Row],[SETOR]]</f>
        <v>JAN911340TRANSFERÊNCIA</v>
      </c>
      <c r="C190" s="130" t="e">
        <f>VLOOKUP(Tabela1[[#This Row],[MATRICULA]],'BD Campos'!A:D,5,0)</f>
        <v>#REF!</v>
      </c>
      <c r="D190" s="133" t="str">
        <f ca="1">IFERROR(SUM(TODAY()-Tabela1[[#This Row],[ADMISSÃO]]),"")</f>
        <v/>
      </c>
      <c r="E190" s="11" t="str">
        <f ca="1">IFERROR(TRUNC(Tabela1[[#This Row],[TEMPO DE CASA (DIAS)]]/30),"")</f>
        <v/>
      </c>
      <c r="F190" s="32" t="str">
        <f ca="1">IFERROR(SUM(Tabela1[[#This Row],[TEMPO DE CASA (MESES)]]/12),"")</f>
        <v/>
      </c>
      <c r="G190" s="133" t="str">
        <f ca="1">IF(Tabela1[[#This Row],[TEMPO DE CASA (DIAS)]]="","SEM DADOS",IF(Tabela1[[#This Row],[TEMPO DE CASA (DIAS)]]&gt;180,"&gt; 6 MESES","&lt; 6 MESES"))</f>
        <v>SEM DADOS</v>
      </c>
      <c r="H190" s="12" t="str">
        <f t="shared" si="17"/>
        <v>JANAna Caroline9</v>
      </c>
      <c r="I190" s="12" t="str">
        <f>IFERROR(VLOOKUP(Tabela1[[#This Row],[MATRICULA]],'BD Campos'!A:F,7,0),"")</f>
        <v/>
      </c>
      <c r="J190" s="11">
        <v>9</v>
      </c>
      <c r="K190" s="11" t="s">
        <v>669</v>
      </c>
      <c r="L190" s="136">
        <v>11340</v>
      </c>
      <c r="M190" s="12" t="str">
        <f>IFERROR(VLOOKUP(Tabela1[[#This Row],[MATRICULA]],'BD Campos'!A:B,2,0),"")</f>
        <v>ALEXSANDRO OLIVEIRA</v>
      </c>
      <c r="N190" s="20">
        <f>IFERROR(AVERAGE(Tabela1[[#This Row],[A1]:[A4]]),"")</f>
        <v>7.7949999999999999</v>
      </c>
      <c r="O190" s="20" t="str">
        <f>IFERROR(IF(Tabela1[[#This Row],[SETOR]]="RECEPTIVO","",AVERAGE(Tabela1[[#This Row],[A5]:[A6]])),"")</f>
        <v/>
      </c>
      <c r="P190" s="20" t="str">
        <f>IFERROR(IF(Tabela1[[#This Row],[STATUS]]="INATIVO","INATIVO",IF(Tabela1[[#This Row],[STATUS]]="QRT","INATIVO",IF(Tabela1[[#This Row],[OPERACIONAL]]&gt;7.99999,"BOM","RUIM"))),"")</f>
        <v>RUIM</v>
      </c>
      <c r="Q190" s="21" t="s">
        <v>667</v>
      </c>
      <c r="R190" s="12" t="s">
        <v>712</v>
      </c>
      <c r="S190" s="12" t="s">
        <v>713</v>
      </c>
      <c r="T190" s="12" t="s">
        <v>192</v>
      </c>
      <c r="U19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0" s="12">
        <f>IF(AND(Tabela1[[#This Row],[SETOR]]="UTI",Tabela1[[#This Row],[M]]&lt;&gt;""),1,IF(AND(Tabela1[[#This Row],[SETOR]]="UTI (RJ)",Tabela1[[#This Row],[M]]&lt;&gt;""),1.5,0))</f>
        <v>0</v>
      </c>
      <c r="X190" s="12">
        <f>IF(AND(Tabela1[[#This Row],[SETOR]]="UTI",Tabela1[[#This Row],[PA2]]&lt;&gt;""),1,IF(AND(Tabela1[[#This Row],[SETOR]]="UTI (RJ)",Tabela1[[#This Row],[PA2]]&lt;&gt;""),0,0))</f>
        <v>0</v>
      </c>
      <c r="Y190" s="12">
        <f>IF(AND(Tabela1[[#This Row],[SETOR]]="UTI",Tabela1[[#This Row],[C]]&lt;&gt;""),1,IF(AND(Tabela1[[#This Row],[SETOR]]="UTI (RJ)",Tabela1[[#This Row],[C]]&lt;&gt;""),1.5,0))</f>
        <v>0</v>
      </c>
      <c r="Z190" s="12">
        <f>IF(AND(Tabela1[[#This Row],[SETOR]]="UTI",Tabela1[[#This Row],[PL]]&lt;&gt;""),1,IF(AND(Tabela1[[#This Row],[SETOR]]="UTI (RJ)",Tabela1[[#This Row],[PL]]&lt;&gt;""),1,0))</f>
        <v>0</v>
      </c>
      <c r="AA190" s="21">
        <f>IFERROR(VLOOKUP(Tabela1[[#This Row],[MÊS]]&amp;Tabela1[[#This Row],[MATRICULA]]&amp;"1"&amp;Tabela1[[#This Row],[SETOR]]&amp;"PADRÃO",BD!B:AF,31,0),"")</f>
        <v>7.7950000000000008</v>
      </c>
      <c r="AB190" s="21">
        <f>IFERROR(VLOOKUP(Tabela1[[#This Row],[MÊS]]&amp;Tabela1[[#This Row],[MATRICULA]]&amp;"2"&amp;Tabela1[[#This Row],[SETOR]]&amp;"PADRÃO",BD!B:AF,31,0),"")</f>
        <v>7.794999999999999</v>
      </c>
      <c r="AC190" s="21" t="str">
        <f>IFERROR(VLOOKUP(Tabela1[[#This Row],[MÊS]]&amp;Tabela1[[#This Row],[MATRICULA]]&amp;"3"&amp;Tabela1[[#This Row],[SETOR]]&amp;"PADRÃO",BD!B:AF,31,0),"")</f>
        <v/>
      </c>
      <c r="AD190" s="21" t="str">
        <f>IFERROR(VLOOKUP(Tabela1[[#This Row],[MÊS]]&amp;Tabela1[[#This Row],[MATRICULA]]&amp;"4"&amp;Tabela1[[#This Row],[SETOR]]&amp;"PADRÃO",BD!B:AF,25,0),"")</f>
        <v/>
      </c>
      <c r="AE190" s="21" t="str">
        <f>IFERROR(VLOOKUP(Tabela1[[#This Row],[MÊS]]&amp;Tabela1[[#This Row],[MATRICULA]]&amp;"5"&amp;Tabela1[[#This Row],[SETOR]]&amp;"PADRÃO",BD!B:AF,31,0),"")</f>
        <v/>
      </c>
      <c r="AF190" s="21" t="str">
        <f>IFERROR(VLOOKUP(Tabela1[[#This Row],[MÊS]]&amp;Tabela1[[#This Row],[MATRICULA]]&amp;"6"&amp;Tabela1[[#This Row],[SETOR]]&amp;"PADRÃO",BD!B:AF,31,0),"")</f>
        <v/>
      </c>
      <c r="AG190" s="21" t="str">
        <f>IFERROR(VLOOKUP(Tabela1[[#This Row],[MÊS]]&amp;Tabela1[[#This Row],[MATRICULA]]&amp;"7"&amp;Tabela1[[#This Row],[SETOR]]&amp;"PADRÃO",BD!B:AF,31,0),"")</f>
        <v/>
      </c>
      <c r="AH190" s="21" t="str">
        <f>IFERROR(VLOOKUP(Tabela1[[#This Row],[MÊS]]&amp;Tabela1[[#This Row],[ID]]&amp;Tabela1[[#This Row],[MATRICULA]]&amp;"Receptiva"&amp;Tabela1[[#This Row],[SETOR]],BD!A:AF,31,0),"")</f>
        <v/>
      </c>
      <c r="AI190" s="21" t="str">
        <f>IFERROR(VLOOKUP(Tabela1[[#This Row],[MÊS]]&amp;Tabela1[[#This Row],[ID]]&amp;Tabela1[[#This Row],[MATRICULA]]&amp;"Receptiva 2"&amp;Tabela1[[#This Row],[SETOR]],BD!A:AF,31,0),"")</f>
        <v/>
      </c>
      <c r="AJ190" s="21" t="str">
        <f>IFERROR(VLOOKUP(Tabela1[[#This Row],[MÊS]]&amp;Tabela1[[#This Row],[ID]]&amp;Tabela1[[#This Row],[MATRICULA]]&amp;"Receptiva 3"&amp;Tabela1[[#This Row],[SETOR]],BD!A:AF,31,0),"")</f>
        <v/>
      </c>
      <c r="AK190" s="21" t="str">
        <f>IFERROR(VLOOKUP(Tabela1[[#This Row],[MÊS]]&amp;Tabela1[[#This Row],[ID]]&amp;Tabela1[[#This Row],[MATRICULA]]&amp;"Receptiva 4"&amp;Tabela1[[#This Row],[SETOR]],BD!A:AF,31,0),"")</f>
        <v/>
      </c>
      <c r="AL190" s="21">
        <f>IFERROR(VLOOKUP(Tabela1[[#This Row],[MÊS]]&amp;Tabela1[[#This Row],[MATRICULA]]&amp;"Motorista"&amp;Tabela1[[#This Row],[SETOR]],BD!A:AF,31,0),"")</f>
        <v>0</v>
      </c>
      <c r="AM190" s="21" t="str">
        <f>IFERROR(VLOOKUP(Tabela1[[#This Row],[MÊS]]&amp;Tabela1[[#This Row],[ID]]&amp;Tabela1[[#This Row],[MATRICULA]]&amp;"Motorista 2"&amp;Tabela1[[#This Row],[SETOR]],BD!A:AF,26,0),"")</f>
        <v/>
      </c>
      <c r="AN190" s="21" t="str">
        <f>IFERROR(VLOOKUP(Tabela1[[#This Row],[MÊS]]&amp;Tabela1[[#This Row],[ID]]&amp;Tabela1[[#This Row],[MATRICULA]]&amp;"Motorista 3"&amp;Tabela1[[#This Row],[SETOR]],BD!A:AF,26,0),"")</f>
        <v/>
      </c>
      <c r="AO190" s="21" t="str">
        <f>IFERROR(VLOOKUP(Tabela1[[#This Row],[MÊS]]&amp;Tabela1[[#This Row],[ID]]&amp;Tabela1[[#This Row],[MATRICULA]]&amp;"Motorista 4"&amp;Tabela1[[#This Row],[SETOR]],BD!A:AF,26,0),"")</f>
        <v/>
      </c>
      <c r="AP190" s="21" t="str">
        <f>IFERROR(VLOOKUP(Tabela1[[#This Row],[MÊS]]&amp;Tabela1[[#This Row],[MATRICULA]]&amp;"Ponto de Apoio"&amp;Tabela1[[#This Row],[SETOR]],BD!A:AF,31,0),"")</f>
        <v/>
      </c>
      <c r="AQ190" s="21" t="str">
        <f>IFERROR(VLOOKUP(Tabela1[[#This Row],[MÊS]]&amp;Tabela1[[#This Row],[ID]]&amp;Tabela1[[#This Row],[MATRICULA]]&amp;"Ponto de Apoio 2"&amp;Tabela1[[#This Row],[SETOR]],BD!A:AF,26,0),"")</f>
        <v/>
      </c>
      <c r="AR190" s="36" t="str">
        <f>IFERROR(VLOOKUP(Tabela1[[#This Row],[MÊS]]&amp;Tabela1[[#This Row],[ID]]&amp;Tabela1[[#This Row],[MATRICULA]]&amp;"Ponto de Apoio 3"&amp;Tabela1[[#This Row],[SETOR]],BD!A:AF,26,0),"")</f>
        <v/>
      </c>
      <c r="AS190" s="36" t="str">
        <f>IFERROR(VLOOKUP(Tabela1[[#This Row],[MÊS]]&amp;Tabela1[[#This Row],[ID]]&amp;Tabela1[[#This Row],[MATRICULA]]&amp;"Ponto de Apoio 4"&amp;Tabela1[[#This Row],[SETOR]],BD!A:AF,26,0),"")</f>
        <v/>
      </c>
      <c r="AT190" s="21" t="str">
        <f>IFERROR(VLOOKUP(Tabela1[[#This Row],[MÊS]]&amp;Tabela1[[#This Row],[MATRICULA]]&amp;"Cliente"&amp;Tabela1[[#This Row],[SETOR]],BD!A:AF,31,0),"")</f>
        <v/>
      </c>
      <c r="AU190" s="21" t="str">
        <f>IFERROR(VLOOKUP(Tabela1[[#This Row],[MÊS]]&amp;Tabela1[[#This Row],[ID]]&amp;Tabela1[[#This Row],[MATRICULA]]&amp;"Cliente 2"&amp;Tabela1[[#This Row],[SETOR]],BD!A:AF,26,0),"")</f>
        <v/>
      </c>
      <c r="AX190" s="21" t="str">
        <f>IFERROR(VLOOKUP(Tabela1[[#This Row],[MÊS]]&amp;Tabela1[[#This Row],[MATRICULA]]&amp;"Policia"&amp;Tabela1[[#This Row],[SETOR]],BD!A:AF,31,0),"")</f>
        <v/>
      </c>
      <c r="AY190" s="21" t="str">
        <f>IFERROR(VLOOKUP(Tabela1[[#This Row],[MÊS]]&amp;Tabela1[[#This Row],[ID]]&amp;Tabela1[[#This Row],[MATRICULA]]&amp;"Policia 2"&amp;Tabela1[[#This Row],[SETOR]],BD!A:AF,26,0),"")</f>
        <v/>
      </c>
      <c r="AZ190" s="36" t="str">
        <f>IFERROR(VLOOKUP(Tabela1[[#This Row],[MÊS]]&amp;Tabela1[[#This Row],[ID]]&amp;Tabela1[[#This Row],[MATRICULA]]&amp;"Policia 3"&amp;Tabela1[[#This Row],[SETOR]],BD!A:AF,26,0),"")</f>
        <v/>
      </c>
      <c r="BA190" s="36" t="str">
        <f>IFERROR(VLOOKUP(Tabela1[[#This Row],[MÊS]]&amp;Tabela1[[#This Row],[ID]]&amp;Tabela1[[#This Row],[MATRICULA]]&amp;"Policia 4"&amp;Tabela1[[#This Row],[SETOR]],BD!A:AF,26,0),"")</f>
        <v/>
      </c>
      <c r="BB19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0" s="21">
        <f>IFERROR(AVERAGE(Tabela1[[#This Row],[M]:[M4]]),"")</f>
        <v>0</v>
      </c>
      <c r="BD190" s="21" t="str">
        <f>IFERROR(AVERAGE(Tabela1[[#This Row],[C]:[C4]]),"")</f>
        <v/>
      </c>
      <c r="BE190" s="21" t="str">
        <f>IFERROR(AVERAGE(Tabela1[[#This Row],[PA2]:[PA 4]]),"")</f>
        <v/>
      </c>
      <c r="BF190" s="21" t="str">
        <f>IFERROR(AVERAGE(Tabela1[[#This Row],[PL]:[PL4]]),"")</f>
        <v/>
      </c>
      <c r="BG190" s="35" t="str">
        <f>IFERROR(VLOOKUP(Tabela1[[#This Row],[MÊS]]&amp;Tabela1[[#This Row],[MATRICULA]],#REF!,2,0),"")</f>
        <v/>
      </c>
      <c r="BH190" s="35" t="str">
        <f>IFERROR(VLOOKUP(Tabela1[[#This Row],[MÊS]]&amp;Tabela1[[#This Row],[MATRICULA]],#REF!,2,0),"")</f>
        <v/>
      </c>
      <c r="BI190" s="35" t="str">
        <f>IFERROR(VLOOKUP(Tabela1[[#This Row],[MÊS]]&amp;Tabela1[[#This Row],[MATRICULA]],#REF!,2,0),"")</f>
        <v/>
      </c>
      <c r="BJ190" s="35" t="str">
        <f>IFERROR(VLOOKUP(Tabela1[[#This Row],[MÊS]]&amp;Tabela1[[#This Row],[MATRICULA]],#REF!,2,0),"")</f>
        <v/>
      </c>
      <c r="BK190" s="35" t="str">
        <f>IFERROR(VLOOKUP(Tabela1[[#This Row],[MÊS]]&amp;Tabela1[[#This Row],[MATRICULA]],#REF!,2,0),"")</f>
        <v/>
      </c>
      <c r="BL190" s="21">
        <f>COUNTIF(Tabela1[[#This Row],[MOT2]:[RECEPTIVA]],"NÃO ENCONTRADA")</f>
        <v>0</v>
      </c>
      <c r="BM190" s="135" t="str">
        <f>IFERROR(VLOOKUP(Tabela1[[#This Row],[MÊS]]&amp;Tabela1[[#This Row],[ID]]&amp;Tabela1[[#This Row],[MATRICULA]]&amp;"Motorista"&amp;Tabela1[[#This Row],[SETOR]],BD!A:AF,13,0),"")</f>
        <v/>
      </c>
      <c r="BN190" s="135" t="str">
        <f>IFERROR(VLOOKUP(Tabela1[[#This Row],[MÊS]]&amp;Tabela1[[#This Row],[ID]]&amp;Tabela1[[#This Row],[MATRICULA]]&amp;"Motorista 2"&amp;Tabela1[[#This Row],[SETOR]],BD!A:AF,13,0),"")</f>
        <v/>
      </c>
      <c r="BO190" s="135" t="str">
        <f>IFERROR(VLOOKUP(Tabela1[[#This Row],[MÊS]]&amp;Tabela1[[#This Row],[ID]]&amp;Tabela1[[#This Row],[MATRICULA]]&amp;"Motorista 3"&amp;Tabela1[[#This Row],[SETOR]],BD!A:AF,13,0),"")</f>
        <v/>
      </c>
      <c r="BP190" s="135" t="str">
        <f>IFERROR(VLOOKUP(Tabela1[[#This Row],[MÊS]]&amp;Tabela1[[#This Row],[ID]]&amp;Tabela1[[#This Row],[MATRICULA]]&amp;"Motorista 4"&amp;Tabela1[[#This Row],[SETOR]],BD!A:AF,13,0),"")</f>
        <v/>
      </c>
      <c r="BQ190" s="135" t="str">
        <f>IFERROR(AVERAGE(Tabela1[[#This Row],[DMOT]:[DMOT4]]),"")</f>
        <v/>
      </c>
      <c r="BR190" s="135" t="str">
        <f>IFERROR(VLOOKUP(Tabela1[[#This Row],[MÊS]]&amp;Tabela1[[#This Row],[ID]]&amp;Tabela1[[#This Row],[MATRICULA]]&amp;"Ponto de Apoio"&amp;Tabela1[[#This Row],[SETOR]],BD!A:AF,13,0),"")</f>
        <v/>
      </c>
      <c r="BS190" s="135" t="str">
        <f>IFERROR(VLOOKUP(Tabela1[[#This Row],[MÊS]]&amp;Tabela1[[#This Row],[ID]]&amp;Tabela1[[#This Row],[MATRICULA]]&amp;"Ponto de Apoio 2"&amp;Tabela1[[#This Row],[SETOR]],BD!A:AF,13,0),"")</f>
        <v/>
      </c>
      <c r="BT190" s="135" t="str">
        <f>IFERROR(VLOOKUP(Tabela1[[#This Row],[MÊS]]&amp;Tabela1[[#This Row],[ID]]&amp;Tabela1[[#This Row],[MATRICULA]]&amp;"Ponto de Apoio 3"&amp;Tabela1[[#This Row],[SETOR]],BD!A:AF,13,0),"")</f>
        <v/>
      </c>
      <c r="BU190" s="135" t="str">
        <f>IFERROR(VLOOKUP(Tabela1[[#This Row],[MÊS]]&amp;Tabela1[[#This Row],[ID]]&amp;Tabela1[[#This Row],[MATRICULA]]&amp;"Ponto de Apoio 4"&amp;Tabela1[[#This Row],[SETOR]],BD!A:AF,13,0),"")</f>
        <v/>
      </c>
      <c r="BV190" s="135" t="str">
        <f>IFERROR(AVERAGE(Tabela1[[#This Row],[DPA]:[DPA 4]]),"")</f>
        <v/>
      </c>
      <c r="BW190" s="135" t="str">
        <f>IFERROR(VLOOKUP(Tabela1[[#This Row],[MÊS]]&amp;Tabela1[[#This Row],[ID]]&amp;Tabela1[[#This Row],[MATRICULA]]&amp;"Cliente"&amp;Tabela1[[#This Row],[SETOR]],BD!A:AF,13,0),"")</f>
        <v/>
      </c>
      <c r="BX190" s="135" t="str">
        <f>IFERROR(VLOOKUP(Tabela1[[#This Row],[MÊS]]&amp;Tabela1[[#This Row],[ID]]&amp;Tabela1[[#This Row],[MATRICULA]]&amp;"cliente 2"&amp;Tabela1[[#This Row],[SETOR]],BD!A:AF,13,0),"")</f>
        <v/>
      </c>
      <c r="BY190" s="135" t="str">
        <f>IFERROR(VLOOKUP(Tabela1[[#This Row],[MÊS]]&amp;Tabela1[[#This Row],[ID]]&amp;Tabela1[[#This Row],[MATRICULA]]&amp;"cliente 3"&amp;Tabela1[[#This Row],[SETOR]],BD!A:AF,13,0),"")</f>
        <v/>
      </c>
      <c r="BZ190" s="135" t="str">
        <f>IFERROR(VLOOKUP(Tabela1[[#This Row],[MÊS]]&amp;Tabela1[[#This Row],[ID]]&amp;Tabela1[[#This Row],[MATRICULA]]&amp;"cliente 4"&amp;Tabela1[[#This Row],[SETOR]],BD!A:AF,13,0),"")</f>
        <v/>
      </c>
      <c r="CA190" s="135" t="str">
        <f>IFERROR(AVERAGE(Tabela1[[#This Row],[DCLI]:[DCLI 4]]),"")</f>
        <v/>
      </c>
      <c r="CB190" s="135" t="str">
        <f>IFERROR(VLOOKUP(Tabela1[[#This Row],[MÊS]]&amp;Tabela1[[#This Row],[ID]]&amp;Tabela1[[#This Row],[MATRICULA]]&amp;"Policia"&amp;Tabela1[[#This Row],[SETOR]],BD!A:AF,13,0),"")</f>
        <v/>
      </c>
      <c r="CC190" s="135" t="str">
        <f>IFERROR(VLOOKUP(Tabela1[[#This Row],[MÊS]]&amp;Tabela1[[#This Row],[ID]]&amp;Tabela1[[#This Row],[MATRICULA]]&amp;"Policia 2"&amp;Tabela1[[#This Row],[SETOR]],BD!A:AF,13,0),"")</f>
        <v/>
      </c>
      <c r="CD190" s="135"/>
      <c r="CE190" s="135"/>
      <c r="CF190" s="135" t="str">
        <f>IFERROR((AVERAGE(Tabela1[[#This Row],[DPOL1]:[DPOL4]])),"")</f>
        <v/>
      </c>
      <c r="CG190" s="21" t="str">
        <f>IFERROR(VLOOKUP(Tabela1[[#This Row],[ID]]&amp;Tabela1[[#This Row],[MÊS]]&amp;Tabela1[[#This Row],[MATRICULA]],#REF!,2,0),"")</f>
        <v/>
      </c>
      <c r="CH190" s="21" t="str">
        <f>IFERROR(VLOOKUP(Tabela1[[#This Row],[ID]]&amp;Tabela1[[#This Row],[MÊS]]&amp;Tabela1[[#This Row],[MATRICULA]],#REF!,2,0),"")</f>
        <v/>
      </c>
      <c r="CI190" s="21" t="str">
        <f>IFERROR(VLOOKUP(Tabela1[[#This Row],[MÊS]]&amp;Tabela1[[#This Row],[MATRICULA]],#REF!,2,0),"")</f>
        <v/>
      </c>
    </row>
    <row r="191" spans="1:87">
      <c r="A191" s="12" t="str">
        <f>Tabela1[[#This Row],[MÊS]]&amp;Tabela1[[#This Row],[MATRICULA]]&amp;Tabela1[[#This Row],[ID]]</f>
        <v>JAN1135210</v>
      </c>
      <c r="B191" s="12" t="str">
        <f>Tabela1[[#This Row],[MÊS]]&amp;Tabela1[[#This Row],[ID]]&amp;Tabela1[[#This Row],[MATRICULA]]&amp;Tabela1[[#This Row],[SETOR]]</f>
        <v>JAN1011352TRANSFERÊNCIA</v>
      </c>
      <c r="C191" s="130" t="e">
        <f>VLOOKUP(Tabela1[[#This Row],[MATRICULA]],'BD Campos'!A:D,5,0)</f>
        <v>#REF!</v>
      </c>
      <c r="D191" s="133" t="str">
        <f ca="1">IFERROR(SUM(TODAY()-Tabela1[[#This Row],[ADMISSÃO]]),"")</f>
        <v/>
      </c>
      <c r="E191" s="11" t="str">
        <f ca="1">IFERROR(TRUNC(Tabela1[[#This Row],[TEMPO DE CASA (DIAS)]]/30),"")</f>
        <v/>
      </c>
      <c r="F191" s="32" t="str">
        <f ca="1">IFERROR(SUM(Tabela1[[#This Row],[TEMPO DE CASA (MESES)]]/12),"")</f>
        <v/>
      </c>
      <c r="G191" s="133" t="str">
        <f ca="1">IF(Tabela1[[#This Row],[TEMPO DE CASA (DIAS)]]="","SEM DADOS",IF(Tabela1[[#This Row],[TEMPO DE CASA (DIAS)]]&gt;180,"&gt; 6 MESES","&lt; 6 MESES"))</f>
        <v>SEM DADOS</v>
      </c>
      <c r="H191" s="12" t="str">
        <f t="shared" si="17"/>
        <v>JANAna Caroline10</v>
      </c>
      <c r="I191" s="12" t="str">
        <f>IFERROR(VLOOKUP(Tabela1[[#This Row],[MATRICULA]],'BD Campos'!A:F,7,0),"")</f>
        <v/>
      </c>
      <c r="J191" s="11">
        <v>10</v>
      </c>
      <c r="K191" s="11" t="s">
        <v>669</v>
      </c>
      <c r="L191" s="136">
        <v>11352</v>
      </c>
      <c r="M191" s="12" t="str">
        <f>IFERROR(VLOOKUP(Tabela1[[#This Row],[MATRICULA]],'BD Campos'!A:B,2,0),"")</f>
        <v>GABRIELLE DE LIMA DOS SANTOS</v>
      </c>
      <c r="N191" s="20">
        <f>IFERROR(AVERAGE(Tabela1[[#This Row],[A1]:[A4]]),"")</f>
        <v>6.4192999999999998</v>
      </c>
      <c r="O191" s="20" t="str">
        <f>IFERROR(IF(Tabela1[[#This Row],[SETOR]]="RECEPTIVO","",AVERAGE(Tabela1[[#This Row],[A5]:[A6]])),"")</f>
        <v/>
      </c>
      <c r="P191" s="20" t="str">
        <f>IFERROR(IF(Tabela1[[#This Row],[STATUS]]="INATIVO","INATIVO",IF(Tabela1[[#This Row],[STATUS]]="QRT","INATIVO",IF(Tabela1[[#This Row],[OPERACIONAL]]&gt;7.99999,"BOM","RUIM"))),"")</f>
        <v>RUIM</v>
      </c>
      <c r="Q191" s="21" t="s">
        <v>667</v>
      </c>
      <c r="R191" s="12" t="s">
        <v>712</v>
      </c>
      <c r="S191" s="12" t="s">
        <v>713</v>
      </c>
      <c r="T191" s="12" t="s">
        <v>192</v>
      </c>
      <c r="U19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1" s="12">
        <f>IF(AND(Tabela1[[#This Row],[SETOR]]="UTI",Tabela1[[#This Row],[M]]&lt;&gt;""),1,IF(AND(Tabela1[[#This Row],[SETOR]]="UTI (RJ)",Tabela1[[#This Row],[M]]&lt;&gt;""),1.5,0))</f>
        <v>0</v>
      </c>
      <c r="X191" s="12">
        <f>IF(AND(Tabela1[[#This Row],[SETOR]]="UTI",Tabela1[[#This Row],[PA2]]&lt;&gt;""),1,IF(AND(Tabela1[[#This Row],[SETOR]]="UTI (RJ)",Tabela1[[#This Row],[PA2]]&lt;&gt;""),0,0))</f>
        <v>0</v>
      </c>
      <c r="Y191" s="12">
        <f>IF(AND(Tabela1[[#This Row],[SETOR]]="UTI",Tabela1[[#This Row],[C]]&lt;&gt;""),1,IF(AND(Tabela1[[#This Row],[SETOR]]="UTI (RJ)",Tabela1[[#This Row],[C]]&lt;&gt;""),1.5,0))</f>
        <v>0</v>
      </c>
      <c r="Z191" s="12">
        <f>IF(AND(Tabela1[[#This Row],[SETOR]]="UTI",Tabela1[[#This Row],[PL]]&lt;&gt;""),1,IF(AND(Tabela1[[#This Row],[SETOR]]="UTI (RJ)",Tabela1[[#This Row],[PL]]&lt;&gt;""),1,0))</f>
        <v>0</v>
      </c>
      <c r="AA191" s="21">
        <f>IFERROR(VLOOKUP(Tabela1[[#This Row],[MÊS]]&amp;Tabela1[[#This Row],[MATRICULA]]&amp;"1"&amp;Tabela1[[#This Row],[SETOR]]&amp;"PADRÃO",BD!B:AF,31,0),"")</f>
        <v>5.7787999999999995</v>
      </c>
      <c r="AB191" s="21">
        <f>IFERROR(VLOOKUP(Tabela1[[#This Row],[MÊS]]&amp;Tabela1[[#This Row],[MATRICULA]]&amp;"2"&amp;Tabela1[[#This Row],[SETOR]]&amp;"PADRÃO",BD!B:AF,31,0),"")</f>
        <v>7.0597999999999992</v>
      </c>
      <c r="AC191" s="21" t="str">
        <f>IFERROR(VLOOKUP(Tabela1[[#This Row],[MÊS]]&amp;Tabela1[[#This Row],[MATRICULA]]&amp;"3"&amp;Tabela1[[#This Row],[SETOR]]&amp;"PADRÃO",BD!B:AF,31,0),"")</f>
        <v/>
      </c>
      <c r="AD191" s="21" t="str">
        <f>IFERROR(VLOOKUP(Tabela1[[#This Row],[MÊS]]&amp;Tabela1[[#This Row],[MATRICULA]]&amp;"4"&amp;Tabela1[[#This Row],[SETOR]]&amp;"PADRÃO",BD!B:AF,25,0),"")</f>
        <v/>
      </c>
      <c r="AE191" s="21" t="str">
        <f>IFERROR(VLOOKUP(Tabela1[[#This Row],[MÊS]]&amp;Tabela1[[#This Row],[MATRICULA]]&amp;"5"&amp;Tabela1[[#This Row],[SETOR]]&amp;"PADRÃO",BD!B:AF,31,0),"")</f>
        <v/>
      </c>
      <c r="AF191" s="21" t="str">
        <f>IFERROR(VLOOKUP(Tabela1[[#This Row],[MÊS]]&amp;Tabela1[[#This Row],[MATRICULA]]&amp;"6"&amp;Tabela1[[#This Row],[SETOR]]&amp;"PADRÃO",BD!B:AF,31,0),"")</f>
        <v/>
      </c>
      <c r="AG191" s="21" t="str">
        <f>IFERROR(VLOOKUP(Tabela1[[#This Row],[MÊS]]&amp;Tabela1[[#This Row],[MATRICULA]]&amp;"7"&amp;Tabela1[[#This Row],[SETOR]]&amp;"PADRÃO",BD!B:AF,31,0),"")</f>
        <v/>
      </c>
      <c r="AH191" s="21" t="str">
        <f>IFERROR(VLOOKUP(Tabela1[[#This Row],[MÊS]]&amp;Tabela1[[#This Row],[ID]]&amp;Tabela1[[#This Row],[MATRICULA]]&amp;"Receptiva"&amp;Tabela1[[#This Row],[SETOR]],BD!A:AF,31,0),"")</f>
        <v/>
      </c>
      <c r="AI191" s="21" t="str">
        <f>IFERROR(VLOOKUP(Tabela1[[#This Row],[MÊS]]&amp;Tabela1[[#This Row],[ID]]&amp;Tabela1[[#This Row],[MATRICULA]]&amp;"Receptiva 2"&amp;Tabela1[[#This Row],[SETOR]],BD!A:AF,31,0),"")</f>
        <v/>
      </c>
      <c r="AJ191" s="21" t="str">
        <f>IFERROR(VLOOKUP(Tabela1[[#This Row],[MÊS]]&amp;Tabela1[[#This Row],[ID]]&amp;Tabela1[[#This Row],[MATRICULA]]&amp;"Receptiva 3"&amp;Tabela1[[#This Row],[SETOR]],BD!A:AF,31,0),"")</f>
        <v/>
      </c>
      <c r="AK191" s="21" t="str">
        <f>IFERROR(VLOOKUP(Tabela1[[#This Row],[MÊS]]&amp;Tabela1[[#This Row],[ID]]&amp;Tabela1[[#This Row],[MATRICULA]]&amp;"Receptiva 4"&amp;Tabela1[[#This Row],[SETOR]],BD!A:AF,31,0),"")</f>
        <v/>
      </c>
      <c r="AL191" s="21">
        <f>IFERROR(VLOOKUP(Tabela1[[#This Row],[MÊS]]&amp;Tabela1[[#This Row],[MATRICULA]]&amp;"Motorista"&amp;Tabela1[[#This Row],[SETOR]],BD!A:AF,31,0),"")</f>
        <v>0</v>
      </c>
      <c r="AM191" s="21" t="str">
        <f>IFERROR(VLOOKUP(Tabela1[[#This Row],[MÊS]]&amp;Tabela1[[#This Row],[ID]]&amp;Tabela1[[#This Row],[MATRICULA]]&amp;"Motorista 2"&amp;Tabela1[[#This Row],[SETOR]],BD!A:AF,26,0),"")</f>
        <v/>
      </c>
      <c r="AN191" s="21" t="str">
        <f>IFERROR(VLOOKUP(Tabela1[[#This Row],[MÊS]]&amp;Tabela1[[#This Row],[ID]]&amp;Tabela1[[#This Row],[MATRICULA]]&amp;"Motorista 3"&amp;Tabela1[[#This Row],[SETOR]],BD!A:AF,26,0),"")</f>
        <v/>
      </c>
      <c r="AO191" s="21" t="str">
        <f>IFERROR(VLOOKUP(Tabela1[[#This Row],[MÊS]]&amp;Tabela1[[#This Row],[ID]]&amp;Tabela1[[#This Row],[MATRICULA]]&amp;"Motorista 4"&amp;Tabela1[[#This Row],[SETOR]],BD!A:AF,26,0),"")</f>
        <v/>
      </c>
      <c r="AP191" s="21" t="str">
        <f>IFERROR(VLOOKUP(Tabela1[[#This Row],[MÊS]]&amp;Tabela1[[#This Row],[MATRICULA]]&amp;"Ponto de Apoio"&amp;Tabela1[[#This Row],[SETOR]],BD!A:AF,31,0),"")</f>
        <v/>
      </c>
      <c r="AQ191" s="21" t="str">
        <f>IFERROR(VLOOKUP(Tabela1[[#This Row],[MÊS]]&amp;Tabela1[[#This Row],[ID]]&amp;Tabela1[[#This Row],[MATRICULA]]&amp;"Ponto de Apoio 2"&amp;Tabela1[[#This Row],[SETOR]],BD!A:AF,26,0),"")</f>
        <v/>
      </c>
      <c r="AR191" s="36" t="str">
        <f>IFERROR(VLOOKUP(Tabela1[[#This Row],[MÊS]]&amp;Tabela1[[#This Row],[ID]]&amp;Tabela1[[#This Row],[MATRICULA]]&amp;"Ponto de Apoio 3"&amp;Tabela1[[#This Row],[SETOR]],BD!A:AF,26,0),"")</f>
        <v/>
      </c>
      <c r="AS191" s="36" t="str">
        <f>IFERROR(VLOOKUP(Tabela1[[#This Row],[MÊS]]&amp;Tabela1[[#This Row],[ID]]&amp;Tabela1[[#This Row],[MATRICULA]]&amp;"Ponto de Apoio 4"&amp;Tabela1[[#This Row],[SETOR]],BD!A:AF,26,0),"")</f>
        <v/>
      </c>
      <c r="AT191" s="21" t="str">
        <f>IFERROR(VLOOKUP(Tabela1[[#This Row],[MÊS]]&amp;Tabela1[[#This Row],[MATRICULA]]&amp;"Cliente"&amp;Tabela1[[#This Row],[SETOR]],BD!A:AF,31,0),"")</f>
        <v/>
      </c>
      <c r="AU191" s="21" t="str">
        <f>IFERROR(VLOOKUP(Tabela1[[#This Row],[MÊS]]&amp;Tabela1[[#This Row],[ID]]&amp;Tabela1[[#This Row],[MATRICULA]]&amp;"Cliente 2"&amp;Tabela1[[#This Row],[SETOR]],BD!A:AF,26,0),"")</f>
        <v/>
      </c>
      <c r="AX191" s="21" t="str">
        <f>IFERROR(VLOOKUP(Tabela1[[#This Row],[MÊS]]&amp;Tabela1[[#This Row],[MATRICULA]]&amp;"Policia"&amp;Tabela1[[#This Row],[SETOR]],BD!A:AF,31,0),"")</f>
        <v/>
      </c>
      <c r="AY191" s="21" t="str">
        <f>IFERROR(VLOOKUP(Tabela1[[#This Row],[MÊS]]&amp;Tabela1[[#This Row],[ID]]&amp;Tabela1[[#This Row],[MATRICULA]]&amp;"Policia 2"&amp;Tabela1[[#This Row],[SETOR]],BD!A:AF,26,0),"")</f>
        <v/>
      </c>
      <c r="AZ191" s="36" t="str">
        <f>IFERROR(VLOOKUP(Tabela1[[#This Row],[MÊS]]&amp;Tabela1[[#This Row],[ID]]&amp;Tabela1[[#This Row],[MATRICULA]]&amp;"Policia 3"&amp;Tabela1[[#This Row],[SETOR]],BD!A:AF,26,0),"")</f>
        <v/>
      </c>
      <c r="BA191" s="36" t="str">
        <f>IFERROR(VLOOKUP(Tabela1[[#This Row],[MÊS]]&amp;Tabela1[[#This Row],[ID]]&amp;Tabela1[[#This Row],[MATRICULA]]&amp;"Policia 4"&amp;Tabela1[[#This Row],[SETOR]],BD!A:AF,26,0),"")</f>
        <v/>
      </c>
      <c r="BB19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1" s="21">
        <f>IFERROR(AVERAGE(Tabela1[[#This Row],[M]:[M4]]),"")</f>
        <v>0</v>
      </c>
      <c r="BD191" s="21" t="str">
        <f>IFERROR(AVERAGE(Tabela1[[#This Row],[C]:[C4]]),"")</f>
        <v/>
      </c>
      <c r="BE191" s="21" t="str">
        <f>IFERROR(AVERAGE(Tabela1[[#This Row],[PA2]:[PA 4]]),"")</f>
        <v/>
      </c>
      <c r="BF191" s="21" t="str">
        <f>IFERROR(AVERAGE(Tabela1[[#This Row],[PL]:[PL4]]),"")</f>
        <v/>
      </c>
      <c r="BG191" s="35" t="str">
        <f>IFERROR(VLOOKUP(Tabela1[[#This Row],[MÊS]]&amp;Tabela1[[#This Row],[MATRICULA]],#REF!,2,0),"")</f>
        <v/>
      </c>
      <c r="BH191" s="35" t="str">
        <f>IFERROR(VLOOKUP(Tabela1[[#This Row],[MÊS]]&amp;Tabela1[[#This Row],[MATRICULA]],#REF!,2,0),"")</f>
        <v/>
      </c>
      <c r="BI191" s="35" t="str">
        <f>IFERROR(VLOOKUP(Tabela1[[#This Row],[MÊS]]&amp;Tabela1[[#This Row],[MATRICULA]],#REF!,2,0),"")</f>
        <v/>
      </c>
      <c r="BJ191" s="35" t="str">
        <f>IFERROR(VLOOKUP(Tabela1[[#This Row],[MÊS]]&amp;Tabela1[[#This Row],[MATRICULA]],#REF!,2,0),"")</f>
        <v/>
      </c>
      <c r="BK191" s="35" t="str">
        <f>IFERROR(VLOOKUP(Tabela1[[#This Row],[MÊS]]&amp;Tabela1[[#This Row],[MATRICULA]],#REF!,2,0),"")</f>
        <v/>
      </c>
      <c r="BL191" s="21">
        <f>COUNTIF(Tabela1[[#This Row],[MOT2]:[RECEPTIVA]],"NÃO ENCONTRADA")</f>
        <v>0</v>
      </c>
      <c r="BM191" s="135" t="str">
        <f>IFERROR(VLOOKUP(Tabela1[[#This Row],[MÊS]]&amp;Tabela1[[#This Row],[ID]]&amp;Tabela1[[#This Row],[MATRICULA]]&amp;"Motorista"&amp;Tabela1[[#This Row],[SETOR]],BD!A:AF,13,0),"")</f>
        <v/>
      </c>
      <c r="BN191" s="135" t="str">
        <f>IFERROR(VLOOKUP(Tabela1[[#This Row],[MÊS]]&amp;Tabela1[[#This Row],[ID]]&amp;Tabela1[[#This Row],[MATRICULA]]&amp;"Motorista 2"&amp;Tabela1[[#This Row],[SETOR]],BD!A:AF,13,0),"")</f>
        <v/>
      </c>
      <c r="BO191" s="135" t="str">
        <f>IFERROR(VLOOKUP(Tabela1[[#This Row],[MÊS]]&amp;Tabela1[[#This Row],[ID]]&amp;Tabela1[[#This Row],[MATRICULA]]&amp;"Motorista 3"&amp;Tabela1[[#This Row],[SETOR]],BD!A:AF,13,0),"")</f>
        <v/>
      </c>
      <c r="BP191" s="135" t="str">
        <f>IFERROR(VLOOKUP(Tabela1[[#This Row],[MÊS]]&amp;Tabela1[[#This Row],[ID]]&amp;Tabela1[[#This Row],[MATRICULA]]&amp;"Motorista 4"&amp;Tabela1[[#This Row],[SETOR]],BD!A:AF,13,0),"")</f>
        <v/>
      </c>
      <c r="BQ191" s="135" t="str">
        <f>IFERROR(AVERAGE(Tabela1[[#This Row],[DMOT]:[DMOT4]]),"")</f>
        <v/>
      </c>
      <c r="BR191" s="135" t="str">
        <f>IFERROR(VLOOKUP(Tabela1[[#This Row],[MÊS]]&amp;Tabela1[[#This Row],[ID]]&amp;Tabela1[[#This Row],[MATRICULA]]&amp;"Ponto de Apoio"&amp;Tabela1[[#This Row],[SETOR]],BD!A:AF,13,0),"")</f>
        <v/>
      </c>
      <c r="BS191" s="135" t="str">
        <f>IFERROR(VLOOKUP(Tabela1[[#This Row],[MÊS]]&amp;Tabela1[[#This Row],[ID]]&amp;Tabela1[[#This Row],[MATRICULA]]&amp;"Ponto de Apoio 2"&amp;Tabela1[[#This Row],[SETOR]],BD!A:AF,13,0),"")</f>
        <v/>
      </c>
      <c r="BT191" s="135" t="str">
        <f>IFERROR(VLOOKUP(Tabela1[[#This Row],[MÊS]]&amp;Tabela1[[#This Row],[ID]]&amp;Tabela1[[#This Row],[MATRICULA]]&amp;"Ponto de Apoio 3"&amp;Tabela1[[#This Row],[SETOR]],BD!A:AF,13,0),"")</f>
        <v/>
      </c>
      <c r="BU191" s="135" t="str">
        <f>IFERROR(VLOOKUP(Tabela1[[#This Row],[MÊS]]&amp;Tabela1[[#This Row],[ID]]&amp;Tabela1[[#This Row],[MATRICULA]]&amp;"Ponto de Apoio 4"&amp;Tabela1[[#This Row],[SETOR]],BD!A:AF,13,0),"")</f>
        <v/>
      </c>
      <c r="BV191" s="135" t="str">
        <f>IFERROR(AVERAGE(Tabela1[[#This Row],[DPA]:[DPA 4]]),"")</f>
        <v/>
      </c>
      <c r="BW191" s="135" t="str">
        <f>IFERROR(VLOOKUP(Tabela1[[#This Row],[MÊS]]&amp;Tabela1[[#This Row],[ID]]&amp;Tabela1[[#This Row],[MATRICULA]]&amp;"Cliente"&amp;Tabela1[[#This Row],[SETOR]],BD!A:AF,13,0),"")</f>
        <v/>
      </c>
      <c r="BX191" s="135" t="str">
        <f>IFERROR(VLOOKUP(Tabela1[[#This Row],[MÊS]]&amp;Tabela1[[#This Row],[ID]]&amp;Tabela1[[#This Row],[MATRICULA]]&amp;"cliente 2"&amp;Tabela1[[#This Row],[SETOR]],BD!A:AF,13,0),"")</f>
        <v/>
      </c>
      <c r="BY191" s="135" t="str">
        <f>IFERROR(VLOOKUP(Tabela1[[#This Row],[MÊS]]&amp;Tabela1[[#This Row],[ID]]&amp;Tabela1[[#This Row],[MATRICULA]]&amp;"cliente 3"&amp;Tabela1[[#This Row],[SETOR]],BD!A:AF,13,0),"")</f>
        <v/>
      </c>
      <c r="BZ191" s="135" t="str">
        <f>IFERROR(VLOOKUP(Tabela1[[#This Row],[MÊS]]&amp;Tabela1[[#This Row],[ID]]&amp;Tabela1[[#This Row],[MATRICULA]]&amp;"cliente 4"&amp;Tabela1[[#This Row],[SETOR]],BD!A:AF,13,0),"")</f>
        <v/>
      </c>
      <c r="CA191" s="135" t="str">
        <f>IFERROR(AVERAGE(Tabela1[[#This Row],[DCLI]:[DCLI 4]]),"")</f>
        <v/>
      </c>
      <c r="CB191" s="135" t="str">
        <f>IFERROR(VLOOKUP(Tabela1[[#This Row],[MÊS]]&amp;Tabela1[[#This Row],[ID]]&amp;Tabela1[[#This Row],[MATRICULA]]&amp;"Policia"&amp;Tabela1[[#This Row],[SETOR]],BD!A:AF,13,0),"")</f>
        <v/>
      </c>
      <c r="CC191" s="135" t="str">
        <f>IFERROR(VLOOKUP(Tabela1[[#This Row],[MÊS]]&amp;Tabela1[[#This Row],[ID]]&amp;Tabela1[[#This Row],[MATRICULA]]&amp;"Policia 2"&amp;Tabela1[[#This Row],[SETOR]],BD!A:AF,13,0),"")</f>
        <v/>
      </c>
      <c r="CD191" s="135"/>
      <c r="CE191" s="135"/>
      <c r="CF191" s="135" t="str">
        <f>IFERROR((AVERAGE(Tabela1[[#This Row],[DPOL1]:[DPOL4]])),"")</f>
        <v/>
      </c>
      <c r="CG191" s="21" t="str">
        <f>IFERROR(VLOOKUP(Tabela1[[#This Row],[ID]]&amp;Tabela1[[#This Row],[MÊS]]&amp;Tabela1[[#This Row],[MATRICULA]],#REF!,2,0),"")</f>
        <v/>
      </c>
      <c r="CH191" s="21" t="str">
        <f>IFERROR(VLOOKUP(Tabela1[[#This Row],[ID]]&amp;Tabela1[[#This Row],[MÊS]]&amp;Tabela1[[#This Row],[MATRICULA]],#REF!,2,0),"")</f>
        <v/>
      </c>
      <c r="CI191" s="21" t="str">
        <f>IFERROR(VLOOKUP(Tabela1[[#This Row],[MÊS]]&amp;Tabela1[[#This Row],[MATRICULA]],#REF!,2,0),"")</f>
        <v/>
      </c>
    </row>
    <row r="192" spans="1:87">
      <c r="A192" s="12" t="str">
        <f>Tabela1[[#This Row],[MÊS]]&amp;Tabela1[[#This Row],[MATRICULA]]&amp;Tabela1[[#This Row],[ID]]</f>
        <v>JAN1145311</v>
      </c>
      <c r="B192" s="12" t="str">
        <f>Tabela1[[#This Row],[MÊS]]&amp;Tabela1[[#This Row],[ID]]&amp;Tabela1[[#This Row],[MATRICULA]]&amp;Tabela1[[#This Row],[SETOR]]</f>
        <v>JAN1111453TRANSFERÊNCIA</v>
      </c>
      <c r="C192" s="130" t="e">
        <f>VLOOKUP(Tabela1[[#This Row],[MATRICULA]],'BD Campos'!A:D,5,0)</f>
        <v>#REF!</v>
      </c>
      <c r="D192" s="133" t="str">
        <f ca="1">IFERROR(SUM(TODAY()-Tabela1[[#This Row],[ADMISSÃO]]),"")</f>
        <v/>
      </c>
      <c r="E192" s="11" t="str">
        <f ca="1">IFERROR(TRUNC(Tabela1[[#This Row],[TEMPO DE CASA (DIAS)]]/30),"")</f>
        <v/>
      </c>
      <c r="F192" s="32" t="str">
        <f ca="1">IFERROR(SUM(Tabela1[[#This Row],[TEMPO DE CASA (MESES)]]/12),"")</f>
        <v/>
      </c>
      <c r="G192" s="133" t="str">
        <f ca="1">IF(Tabela1[[#This Row],[TEMPO DE CASA (DIAS)]]="","SEM DADOS",IF(Tabela1[[#This Row],[TEMPO DE CASA (DIAS)]]&gt;180,"&gt; 6 MESES","&lt; 6 MESES"))</f>
        <v>SEM DADOS</v>
      </c>
      <c r="H192" s="12" t="str">
        <f t="shared" si="17"/>
        <v>JANAna Caroline11</v>
      </c>
      <c r="I192" s="12" t="str">
        <f>IFERROR(VLOOKUP(Tabela1[[#This Row],[MATRICULA]],'BD Campos'!A:F,7,0),"")</f>
        <v/>
      </c>
      <c r="J192" s="11">
        <v>11</v>
      </c>
      <c r="K192" s="11" t="s">
        <v>669</v>
      </c>
      <c r="L192" s="136">
        <v>11453</v>
      </c>
      <c r="M192" s="12" t="str">
        <f>IFERROR(VLOOKUP(Tabela1[[#This Row],[MATRICULA]],'BD Campos'!A:B,2,0),"")</f>
        <v>FERNANDA FREITAS DE RAMOS</v>
      </c>
      <c r="N192" s="20">
        <f>IFERROR(AVERAGE(Tabela1[[#This Row],[A1]:[A4]]),"")</f>
        <v>0</v>
      </c>
      <c r="O192" s="20" t="str">
        <f>IFERROR(IF(Tabela1[[#This Row],[SETOR]]="RECEPTIVO","",AVERAGE(Tabela1[[#This Row],[A5]:[A6]])),"")</f>
        <v/>
      </c>
      <c r="P192" s="20" t="str">
        <f>IFERROR(IF(Tabela1[[#This Row],[STATUS]]="INATIVO","INATIVO",IF(Tabela1[[#This Row],[STATUS]]="QRT","INATIVO",IF(Tabela1[[#This Row],[OPERACIONAL]]&gt;7.99999,"BOM","RUIM"))),"")</f>
        <v>RUIM</v>
      </c>
      <c r="Q192" s="21" t="s">
        <v>667</v>
      </c>
      <c r="R192" s="12" t="s">
        <v>712</v>
      </c>
      <c r="S192" s="12" t="s">
        <v>713</v>
      </c>
      <c r="T192" s="12" t="s">
        <v>192</v>
      </c>
      <c r="U19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2" s="12">
        <f>IF(AND(Tabela1[[#This Row],[SETOR]]="UTI",Tabela1[[#This Row],[M]]&lt;&gt;""),1,IF(AND(Tabela1[[#This Row],[SETOR]]="UTI (RJ)",Tabela1[[#This Row],[M]]&lt;&gt;""),1.5,0))</f>
        <v>0</v>
      </c>
      <c r="X192" s="12">
        <f>IF(AND(Tabela1[[#This Row],[SETOR]]="UTI",Tabela1[[#This Row],[PA2]]&lt;&gt;""),1,IF(AND(Tabela1[[#This Row],[SETOR]]="UTI (RJ)",Tabela1[[#This Row],[PA2]]&lt;&gt;""),0,0))</f>
        <v>0</v>
      </c>
      <c r="Y192" s="12">
        <f>IF(AND(Tabela1[[#This Row],[SETOR]]="UTI",Tabela1[[#This Row],[C]]&lt;&gt;""),1,IF(AND(Tabela1[[#This Row],[SETOR]]="UTI (RJ)",Tabela1[[#This Row],[C]]&lt;&gt;""),1.5,0))</f>
        <v>0</v>
      </c>
      <c r="Z192" s="12">
        <f>IF(AND(Tabela1[[#This Row],[SETOR]]="UTI",Tabela1[[#This Row],[PL]]&lt;&gt;""),1,IF(AND(Tabela1[[#This Row],[SETOR]]="UTI (RJ)",Tabela1[[#This Row],[PL]]&lt;&gt;""),1,0))</f>
        <v>0</v>
      </c>
      <c r="AA192" s="21">
        <f>IFERROR(VLOOKUP(Tabela1[[#This Row],[MÊS]]&amp;Tabela1[[#This Row],[MATRICULA]]&amp;"1"&amp;Tabela1[[#This Row],[SETOR]]&amp;"PADRÃO",BD!B:AF,31,0),"")</f>
        <v>0</v>
      </c>
      <c r="AB192" s="21">
        <f>IFERROR(VLOOKUP(Tabela1[[#This Row],[MÊS]]&amp;Tabela1[[#This Row],[MATRICULA]]&amp;"2"&amp;Tabela1[[#This Row],[SETOR]]&amp;"PADRÃO",BD!B:AF,31,0),"")</f>
        <v>0</v>
      </c>
      <c r="AC192" s="21" t="str">
        <f>IFERROR(VLOOKUP(Tabela1[[#This Row],[MÊS]]&amp;Tabela1[[#This Row],[MATRICULA]]&amp;"3"&amp;Tabela1[[#This Row],[SETOR]]&amp;"PADRÃO",BD!B:AF,31,0),"")</f>
        <v/>
      </c>
      <c r="AD192" s="21" t="str">
        <f>IFERROR(VLOOKUP(Tabela1[[#This Row],[MÊS]]&amp;Tabela1[[#This Row],[MATRICULA]]&amp;"4"&amp;Tabela1[[#This Row],[SETOR]]&amp;"PADRÃO",BD!B:AF,25,0),"")</f>
        <v/>
      </c>
      <c r="AE192" s="21" t="str">
        <f>IFERROR(VLOOKUP(Tabela1[[#This Row],[MÊS]]&amp;Tabela1[[#This Row],[MATRICULA]]&amp;"5"&amp;Tabela1[[#This Row],[SETOR]]&amp;"PADRÃO",BD!B:AF,31,0),"")</f>
        <v/>
      </c>
      <c r="AF192" s="21" t="str">
        <f>IFERROR(VLOOKUP(Tabela1[[#This Row],[MÊS]]&amp;Tabela1[[#This Row],[MATRICULA]]&amp;"6"&amp;Tabela1[[#This Row],[SETOR]]&amp;"PADRÃO",BD!B:AF,31,0),"")</f>
        <v/>
      </c>
      <c r="AG192" s="21" t="str">
        <f>IFERROR(VLOOKUP(Tabela1[[#This Row],[MÊS]]&amp;Tabela1[[#This Row],[MATRICULA]]&amp;"7"&amp;Tabela1[[#This Row],[SETOR]]&amp;"PADRÃO",BD!B:AF,31,0),"")</f>
        <v/>
      </c>
      <c r="AH192" s="21" t="str">
        <f>IFERROR(VLOOKUP(Tabela1[[#This Row],[MÊS]]&amp;Tabela1[[#This Row],[ID]]&amp;Tabela1[[#This Row],[MATRICULA]]&amp;"Receptiva"&amp;Tabela1[[#This Row],[SETOR]],BD!A:AF,31,0),"")</f>
        <v/>
      </c>
      <c r="AI192" s="21" t="str">
        <f>IFERROR(VLOOKUP(Tabela1[[#This Row],[MÊS]]&amp;Tabela1[[#This Row],[ID]]&amp;Tabela1[[#This Row],[MATRICULA]]&amp;"Receptiva 2"&amp;Tabela1[[#This Row],[SETOR]],BD!A:AF,31,0),"")</f>
        <v/>
      </c>
      <c r="AJ192" s="21" t="str">
        <f>IFERROR(VLOOKUP(Tabela1[[#This Row],[MÊS]]&amp;Tabela1[[#This Row],[ID]]&amp;Tabela1[[#This Row],[MATRICULA]]&amp;"Receptiva 3"&amp;Tabela1[[#This Row],[SETOR]],BD!A:AF,31,0),"")</f>
        <v/>
      </c>
      <c r="AK192" s="21" t="str">
        <f>IFERROR(VLOOKUP(Tabela1[[#This Row],[MÊS]]&amp;Tabela1[[#This Row],[ID]]&amp;Tabela1[[#This Row],[MATRICULA]]&amp;"Receptiva 4"&amp;Tabela1[[#This Row],[SETOR]],BD!A:AF,31,0),"")</f>
        <v/>
      </c>
      <c r="AL192" s="21" t="str">
        <f>IFERROR(VLOOKUP(Tabela1[[#This Row],[MÊS]]&amp;Tabela1[[#This Row],[MATRICULA]]&amp;"Motorista"&amp;Tabela1[[#This Row],[SETOR]],BD!A:AF,31,0),"")</f>
        <v/>
      </c>
      <c r="AM192" s="21" t="str">
        <f>IFERROR(VLOOKUP(Tabela1[[#This Row],[MÊS]]&amp;Tabela1[[#This Row],[ID]]&amp;Tabela1[[#This Row],[MATRICULA]]&amp;"Motorista 2"&amp;Tabela1[[#This Row],[SETOR]],BD!A:AF,26,0),"")</f>
        <v/>
      </c>
      <c r="AN192" s="21" t="str">
        <f>IFERROR(VLOOKUP(Tabela1[[#This Row],[MÊS]]&amp;Tabela1[[#This Row],[ID]]&amp;Tabela1[[#This Row],[MATRICULA]]&amp;"Motorista 3"&amp;Tabela1[[#This Row],[SETOR]],BD!A:AF,26,0),"")</f>
        <v/>
      </c>
      <c r="AO192" s="21" t="str">
        <f>IFERROR(VLOOKUP(Tabela1[[#This Row],[MÊS]]&amp;Tabela1[[#This Row],[ID]]&amp;Tabela1[[#This Row],[MATRICULA]]&amp;"Motorista 4"&amp;Tabela1[[#This Row],[SETOR]],BD!A:AF,26,0),"")</f>
        <v/>
      </c>
      <c r="AP192" s="21" t="str">
        <f>IFERROR(VLOOKUP(Tabela1[[#This Row],[MÊS]]&amp;Tabela1[[#This Row],[MATRICULA]]&amp;"Ponto de Apoio"&amp;Tabela1[[#This Row],[SETOR]],BD!A:AF,31,0),"")</f>
        <v/>
      </c>
      <c r="AQ192" s="21" t="str">
        <f>IFERROR(VLOOKUP(Tabela1[[#This Row],[MÊS]]&amp;Tabela1[[#This Row],[ID]]&amp;Tabela1[[#This Row],[MATRICULA]]&amp;"Ponto de Apoio 2"&amp;Tabela1[[#This Row],[SETOR]],BD!A:AF,26,0),"")</f>
        <v/>
      </c>
      <c r="AR192" s="36" t="str">
        <f>IFERROR(VLOOKUP(Tabela1[[#This Row],[MÊS]]&amp;Tabela1[[#This Row],[ID]]&amp;Tabela1[[#This Row],[MATRICULA]]&amp;"Ponto de Apoio 3"&amp;Tabela1[[#This Row],[SETOR]],BD!A:AF,26,0),"")</f>
        <v/>
      </c>
      <c r="AS192" s="36" t="str">
        <f>IFERROR(VLOOKUP(Tabela1[[#This Row],[MÊS]]&amp;Tabela1[[#This Row],[ID]]&amp;Tabela1[[#This Row],[MATRICULA]]&amp;"Ponto de Apoio 4"&amp;Tabela1[[#This Row],[SETOR]],BD!A:AF,26,0),"")</f>
        <v/>
      </c>
      <c r="AT192" s="21" t="str">
        <f>IFERROR(VLOOKUP(Tabela1[[#This Row],[MÊS]]&amp;Tabela1[[#This Row],[MATRICULA]]&amp;"Cliente"&amp;Tabela1[[#This Row],[SETOR]],BD!A:AF,31,0),"")</f>
        <v/>
      </c>
      <c r="AU192" s="21" t="str">
        <f>IFERROR(VLOOKUP(Tabela1[[#This Row],[MÊS]]&amp;Tabela1[[#This Row],[ID]]&amp;Tabela1[[#This Row],[MATRICULA]]&amp;"Cliente 2"&amp;Tabela1[[#This Row],[SETOR]],BD!A:AF,26,0),"")</f>
        <v/>
      </c>
      <c r="AX192" s="21" t="str">
        <f>IFERROR(VLOOKUP(Tabela1[[#This Row],[MÊS]]&amp;Tabela1[[#This Row],[MATRICULA]]&amp;"Policia"&amp;Tabela1[[#This Row],[SETOR]],BD!A:AF,31,0),"")</f>
        <v/>
      </c>
      <c r="AY192" s="21" t="str">
        <f>IFERROR(VLOOKUP(Tabela1[[#This Row],[MÊS]]&amp;Tabela1[[#This Row],[ID]]&amp;Tabela1[[#This Row],[MATRICULA]]&amp;"Policia 2"&amp;Tabela1[[#This Row],[SETOR]],BD!A:AF,26,0),"")</f>
        <v/>
      </c>
      <c r="AZ192" s="36" t="str">
        <f>IFERROR(VLOOKUP(Tabela1[[#This Row],[MÊS]]&amp;Tabela1[[#This Row],[ID]]&amp;Tabela1[[#This Row],[MATRICULA]]&amp;"Policia 3"&amp;Tabela1[[#This Row],[SETOR]],BD!A:AF,26,0),"")</f>
        <v/>
      </c>
      <c r="BA192" s="36" t="str">
        <f>IFERROR(VLOOKUP(Tabela1[[#This Row],[MÊS]]&amp;Tabela1[[#This Row],[ID]]&amp;Tabela1[[#This Row],[MATRICULA]]&amp;"Policia 4"&amp;Tabela1[[#This Row],[SETOR]],BD!A:AF,26,0),"")</f>
        <v/>
      </c>
      <c r="BB19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2" s="21" t="str">
        <f>IFERROR(AVERAGE(Tabela1[[#This Row],[M]:[M4]]),"")</f>
        <v/>
      </c>
      <c r="BD192" s="21" t="str">
        <f>IFERROR(AVERAGE(Tabela1[[#This Row],[C]:[C4]]),"")</f>
        <v/>
      </c>
      <c r="BE192" s="21" t="str">
        <f>IFERROR(AVERAGE(Tabela1[[#This Row],[PA2]:[PA 4]]),"")</f>
        <v/>
      </c>
      <c r="BF192" s="21" t="str">
        <f>IFERROR(AVERAGE(Tabela1[[#This Row],[PL]:[PL4]]),"")</f>
        <v/>
      </c>
      <c r="BG192" s="35" t="str">
        <f>IFERROR(VLOOKUP(Tabela1[[#This Row],[MÊS]]&amp;Tabela1[[#This Row],[MATRICULA]],#REF!,2,0),"")</f>
        <v/>
      </c>
      <c r="BH192" s="35" t="str">
        <f>IFERROR(VLOOKUP(Tabela1[[#This Row],[MÊS]]&amp;Tabela1[[#This Row],[MATRICULA]],#REF!,2,0),"")</f>
        <v/>
      </c>
      <c r="BI192" s="35" t="str">
        <f>IFERROR(VLOOKUP(Tabela1[[#This Row],[MÊS]]&amp;Tabela1[[#This Row],[MATRICULA]],#REF!,2,0),"")</f>
        <v/>
      </c>
      <c r="BJ192" s="35" t="str">
        <f>IFERROR(VLOOKUP(Tabela1[[#This Row],[MÊS]]&amp;Tabela1[[#This Row],[MATRICULA]],#REF!,2,0),"")</f>
        <v/>
      </c>
      <c r="BK192" s="35" t="str">
        <f>IFERROR(VLOOKUP(Tabela1[[#This Row],[MÊS]]&amp;Tabela1[[#This Row],[MATRICULA]],#REF!,2,0),"")</f>
        <v/>
      </c>
      <c r="BL192" s="21">
        <f>COUNTIF(Tabela1[[#This Row],[MOT2]:[RECEPTIVA]],"NÃO ENCONTRADA")</f>
        <v>0</v>
      </c>
      <c r="BM192" s="135" t="str">
        <f>IFERROR(VLOOKUP(Tabela1[[#This Row],[MÊS]]&amp;Tabela1[[#This Row],[ID]]&amp;Tabela1[[#This Row],[MATRICULA]]&amp;"Motorista"&amp;Tabela1[[#This Row],[SETOR]],BD!A:AF,13,0),"")</f>
        <v/>
      </c>
      <c r="BN192" s="135" t="str">
        <f>IFERROR(VLOOKUP(Tabela1[[#This Row],[MÊS]]&amp;Tabela1[[#This Row],[ID]]&amp;Tabela1[[#This Row],[MATRICULA]]&amp;"Motorista 2"&amp;Tabela1[[#This Row],[SETOR]],BD!A:AF,13,0),"")</f>
        <v/>
      </c>
      <c r="BO192" s="135" t="str">
        <f>IFERROR(VLOOKUP(Tabela1[[#This Row],[MÊS]]&amp;Tabela1[[#This Row],[ID]]&amp;Tabela1[[#This Row],[MATRICULA]]&amp;"Motorista 3"&amp;Tabela1[[#This Row],[SETOR]],BD!A:AF,13,0),"")</f>
        <v/>
      </c>
      <c r="BP192" s="135" t="str">
        <f>IFERROR(VLOOKUP(Tabela1[[#This Row],[MÊS]]&amp;Tabela1[[#This Row],[ID]]&amp;Tabela1[[#This Row],[MATRICULA]]&amp;"Motorista 4"&amp;Tabela1[[#This Row],[SETOR]],BD!A:AF,13,0),"")</f>
        <v/>
      </c>
      <c r="BQ192" s="135" t="str">
        <f>IFERROR(AVERAGE(Tabela1[[#This Row],[DMOT]:[DMOT4]]),"")</f>
        <v/>
      </c>
      <c r="BR192" s="135" t="str">
        <f>IFERROR(VLOOKUP(Tabela1[[#This Row],[MÊS]]&amp;Tabela1[[#This Row],[ID]]&amp;Tabela1[[#This Row],[MATRICULA]]&amp;"Ponto de Apoio"&amp;Tabela1[[#This Row],[SETOR]],BD!A:AF,13,0),"")</f>
        <v/>
      </c>
      <c r="BS192" s="135" t="str">
        <f>IFERROR(VLOOKUP(Tabela1[[#This Row],[MÊS]]&amp;Tabela1[[#This Row],[ID]]&amp;Tabela1[[#This Row],[MATRICULA]]&amp;"Ponto de Apoio 2"&amp;Tabela1[[#This Row],[SETOR]],BD!A:AF,13,0),"")</f>
        <v/>
      </c>
      <c r="BT192" s="135" t="str">
        <f>IFERROR(VLOOKUP(Tabela1[[#This Row],[MÊS]]&amp;Tabela1[[#This Row],[ID]]&amp;Tabela1[[#This Row],[MATRICULA]]&amp;"Ponto de Apoio 3"&amp;Tabela1[[#This Row],[SETOR]],BD!A:AF,13,0),"")</f>
        <v/>
      </c>
      <c r="BU192" s="135" t="str">
        <f>IFERROR(VLOOKUP(Tabela1[[#This Row],[MÊS]]&amp;Tabela1[[#This Row],[ID]]&amp;Tabela1[[#This Row],[MATRICULA]]&amp;"Ponto de Apoio 4"&amp;Tabela1[[#This Row],[SETOR]],BD!A:AF,13,0),"")</f>
        <v/>
      </c>
      <c r="BV192" s="135" t="str">
        <f>IFERROR(AVERAGE(Tabela1[[#This Row],[DPA]:[DPA 4]]),"")</f>
        <v/>
      </c>
      <c r="BW192" s="135" t="str">
        <f>IFERROR(VLOOKUP(Tabela1[[#This Row],[MÊS]]&amp;Tabela1[[#This Row],[ID]]&amp;Tabela1[[#This Row],[MATRICULA]]&amp;"Cliente"&amp;Tabela1[[#This Row],[SETOR]],BD!A:AF,13,0),"")</f>
        <v/>
      </c>
      <c r="BX192" s="135" t="str">
        <f>IFERROR(VLOOKUP(Tabela1[[#This Row],[MÊS]]&amp;Tabela1[[#This Row],[ID]]&amp;Tabela1[[#This Row],[MATRICULA]]&amp;"cliente 2"&amp;Tabela1[[#This Row],[SETOR]],BD!A:AF,13,0),"")</f>
        <v/>
      </c>
      <c r="BY192" s="135" t="str">
        <f>IFERROR(VLOOKUP(Tabela1[[#This Row],[MÊS]]&amp;Tabela1[[#This Row],[ID]]&amp;Tabela1[[#This Row],[MATRICULA]]&amp;"cliente 3"&amp;Tabela1[[#This Row],[SETOR]],BD!A:AF,13,0),"")</f>
        <v/>
      </c>
      <c r="BZ192" s="135" t="str">
        <f>IFERROR(VLOOKUP(Tabela1[[#This Row],[MÊS]]&amp;Tabela1[[#This Row],[ID]]&amp;Tabela1[[#This Row],[MATRICULA]]&amp;"cliente 4"&amp;Tabela1[[#This Row],[SETOR]],BD!A:AF,13,0),"")</f>
        <v/>
      </c>
      <c r="CA192" s="135" t="str">
        <f>IFERROR(AVERAGE(Tabela1[[#This Row],[DCLI]:[DCLI 4]]),"")</f>
        <v/>
      </c>
      <c r="CB192" s="135" t="str">
        <f>IFERROR(VLOOKUP(Tabela1[[#This Row],[MÊS]]&amp;Tabela1[[#This Row],[ID]]&amp;Tabela1[[#This Row],[MATRICULA]]&amp;"Policia"&amp;Tabela1[[#This Row],[SETOR]],BD!A:AF,13,0),"")</f>
        <v/>
      </c>
      <c r="CC192" s="135" t="str">
        <f>IFERROR(VLOOKUP(Tabela1[[#This Row],[MÊS]]&amp;Tabela1[[#This Row],[ID]]&amp;Tabela1[[#This Row],[MATRICULA]]&amp;"Policia 2"&amp;Tabela1[[#This Row],[SETOR]],BD!A:AF,13,0),"")</f>
        <v/>
      </c>
      <c r="CD192" s="135"/>
      <c r="CE192" s="135"/>
      <c r="CF192" s="135" t="str">
        <f>IFERROR((AVERAGE(Tabela1[[#This Row],[DPOL1]:[DPOL4]])),"")</f>
        <v/>
      </c>
      <c r="CG192" s="21" t="str">
        <f>IFERROR(VLOOKUP(Tabela1[[#This Row],[ID]]&amp;Tabela1[[#This Row],[MÊS]]&amp;Tabela1[[#This Row],[MATRICULA]],#REF!,2,0),"")</f>
        <v/>
      </c>
      <c r="CH192" s="21" t="str">
        <f>IFERROR(VLOOKUP(Tabela1[[#This Row],[ID]]&amp;Tabela1[[#This Row],[MÊS]]&amp;Tabela1[[#This Row],[MATRICULA]],#REF!,2,0),"")</f>
        <v/>
      </c>
      <c r="CI192" s="21" t="str">
        <f>IFERROR(VLOOKUP(Tabela1[[#This Row],[MÊS]]&amp;Tabela1[[#This Row],[MATRICULA]],#REF!,2,0),"")</f>
        <v/>
      </c>
    </row>
    <row r="193" spans="1:87">
      <c r="A193" s="12" t="str">
        <f>Tabela1[[#This Row],[MÊS]]&amp;Tabela1[[#This Row],[MATRICULA]]&amp;Tabela1[[#This Row],[ID]]</f>
        <v>JAN1150112</v>
      </c>
      <c r="B193" s="12" t="str">
        <f>Tabela1[[#This Row],[MÊS]]&amp;Tabela1[[#This Row],[ID]]&amp;Tabela1[[#This Row],[MATRICULA]]&amp;Tabela1[[#This Row],[SETOR]]</f>
        <v>JAN1211501TRANSFERÊNCIA</v>
      </c>
      <c r="C193" s="130" t="e">
        <f>VLOOKUP(Tabela1[[#This Row],[MATRICULA]],'BD Campos'!A:D,5,0)</f>
        <v>#REF!</v>
      </c>
      <c r="D193" s="133" t="str">
        <f ca="1">IFERROR(SUM(TODAY()-Tabela1[[#This Row],[ADMISSÃO]]),"")</f>
        <v/>
      </c>
      <c r="E193" s="11" t="str">
        <f ca="1">IFERROR(TRUNC(Tabela1[[#This Row],[TEMPO DE CASA (DIAS)]]/30),"")</f>
        <v/>
      </c>
      <c r="F193" s="32" t="str">
        <f ca="1">IFERROR(SUM(Tabela1[[#This Row],[TEMPO DE CASA (MESES)]]/12),"")</f>
        <v/>
      </c>
      <c r="G193" s="133" t="str">
        <f ca="1">IF(Tabela1[[#This Row],[TEMPO DE CASA (DIAS)]]="","SEM DADOS",IF(Tabela1[[#This Row],[TEMPO DE CASA (DIAS)]]&gt;180,"&gt; 6 MESES","&lt; 6 MESES"))</f>
        <v>SEM DADOS</v>
      </c>
      <c r="H193" s="12" t="str">
        <f t="shared" si="17"/>
        <v>JANAna Caroline12</v>
      </c>
      <c r="I193" s="12" t="str">
        <f>IFERROR(VLOOKUP(Tabela1[[#This Row],[MATRICULA]],'BD Campos'!A:F,7,0),"")</f>
        <v/>
      </c>
      <c r="J193" s="11">
        <v>12</v>
      </c>
      <c r="K193" s="11" t="s">
        <v>669</v>
      </c>
      <c r="L193" s="136">
        <v>11501</v>
      </c>
      <c r="M193" s="12" t="str">
        <f>IFERROR(VLOOKUP(Tabela1[[#This Row],[MATRICULA]],'BD Campos'!A:B,2,0),"")</f>
        <v>THAIS DOS SANTOS FRAGA</v>
      </c>
      <c r="N193" s="20">
        <f>IFERROR(AVERAGE(Tabela1[[#This Row],[A1]:[A4]]),"")</f>
        <v>3.9237499999999996</v>
      </c>
      <c r="O193" s="20" t="str">
        <f>IFERROR(IF(Tabela1[[#This Row],[SETOR]]="RECEPTIVO","",AVERAGE(Tabela1[[#This Row],[A5]:[A6]])),"")</f>
        <v/>
      </c>
      <c r="P193" s="20" t="str">
        <f>IFERROR(IF(Tabela1[[#This Row],[STATUS]]="INATIVO","INATIVO",IF(Tabela1[[#This Row],[STATUS]]="QRT","INATIVO",IF(Tabela1[[#This Row],[OPERACIONAL]]&gt;7.99999,"BOM","RUIM"))),"")</f>
        <v>RUIM</v>
      </c>
      <c r="Q193" s="21" t="s">
        <v>667</v>
      </c>
      <c r="R193" s="12" t="s">
        <v>712</v>
      </c>
      <c r="S193" s="12" t="s">
        <v>713</v>
      </c>
      <c r="T193" s="12" t="s">
        <v>192</v>
      </c>
      <c r="U19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3" s="12">
        <f>IF(AND(Tabela1[[#This Row],[SETOR]]="UTI",Tabela1[[#This Row],[M]]&lt;&gt;""),1,IF(AND(Tabela1[[#This Row],[SETOR]]="UTI (RJ)",Tabela1[[#This Row],[M]]&lt;&gt;""),1.5,0))</f>
        <v>0</v>
      </c>
      <c r="X193" s="12">
        <f>IF(AND(Tabela1[[#This Row],[SETOR]]="UTI",Tabela1[[#This Row],[PA2]]&lt;&gt;""),1,IF(AND(Tabela1[[#This Row],[SETOR]]="UTI (RJ)",Tabela1[[#This Row],[PA2]]&lt;&gt;""),0,0))</f>
        <v>0</v>
      </c>
      <c r="Y193" s="12">
        <f>IF(AND(Tabela1[[#This Row],[SETOR]]="UTI",Tabela1[[#This Row],[C]]&lt;&gt;""),1,IF(AND(Tabela1[[#This Row],[SETOR]]="UTI (RJ)",Tabela1[[#This Row],[C]]&lt;&gt;""),1.5,0))</f>
        <v>0</v>
      </c>
      <c r="Z193" s="12">
        <f>IF(AND(Tabela1[[#This Row],[SETOR]]="UTI",Tabela1[[#This Row],[PL]]&lt;&gt;""),1,IF(AND(Tabela1[[#This Row],[SETOR]]="UTI (RJ)",Tabela1[[#This Row],[PL]]&lt;&gt;""),1,0))</f>
        <v>0</v>
      </c>
      <c r="AA193" s="21">
        <f>IFERROR(VLOOKUP(Tabela1[[#This Row],[MÊS]]&amp;Tabela1[[#This Row],[MATRICULA]]&amp;"1"&amp;Tabela1[[#This Row],[SETOR]]&amp;"PADRÃO",BD!B:AF,31,0),"")</f>
        <v>7.8474999999999993</v>
      </c>
      <c r="AB193" s="21">
        <f>IFERROR(VLOOKUP(Tabela1[[#This Row],[MÊS]]&amp;Tabela1[[#This Row],[MATRICULA]]&amp;"2"&amp;Tabela1[[#This Row],[SETOR]]&amp;"PADRÃO",BD!B:AF,31,0),"")</f>
        <v>0</v>
      </c>
      <c r="AC193" s="21" t="str">
        <f>IFERROR(VLOOKUP(Tabela1[[#This Row],[MÊS]]&amp;Tabela1[[#This Row],[MATRICULA]]&amp;"3"&amp;Tabela1[[#This Row],[SETOR]]&amp;"PADRÃO",BD!B:AF,31,0),"")</f>
        <v/>
      </c>
      <c r="AD193" s="21" t="str">
        <f>IFERROR(VLOOKUP(Tabela1[[#This Row],[MÊS]]&amp;Tabela1[[#This Row],[MATRICULA]]&amp;"4"&amp;Tabela1[[#This Row],[SETOR]]&amp;"PADRÃO",BD!B:AF,25,0),"")</f>
        <v/>
      </c>
      <c r="AE193" s="21" t="str">
        <f>IFERROR(VLOOKUP(Tabela1[[#This Row],[MÊS]]&amp;Tabela1[[#This Row],[MATRICULA]]&amp;"5"&amp;Tabela1[[#This Row],[SETOR]]&amp;"PADRÃO",BD!B:AF,31,0),"")</f>
        <v/>
      </c>
      <c r="AF193" s="21" t="str">
        <f>IFERROR(VLOOKUP(Tabela1[[#This Row],[MÊS]]&amp;Tabela1[[#This Row],[MATRICULA]]&amp;"6"&amp;Tabela1[[#This Row],[SETOR]]&amp;"PADRÃO",BD!B:AF,31,0),"")</f>
        <v/>
      </c>
      <c r="AG193" s="21" t="str">
        <f>IFERROR(VLOOKUP(Tabela1[[#This Row],[MÊS]]&amp;Tabela1[[#This Row],[MATRICULA]]&amp;"7"&amp;Tabela1[[#This Row],[SETOR]]&amp;"PADRÃO",BD!B:AF,31,0),"")</f>
        <v/>
      </c>
      <c r="AH193" s="21" t="str">
        <f>IFERROR(VLOOKUP(Tabela1[[#This Row],[MÊS]]&amp;Tabela1[[#This Row],[ID]]&amp;Tabela1[[#This Row],[MATRICULA]]&amp;"Receptiva"&amp;Tabela1[[#This Row],[SETOR]],BD!A:AF,31,0),"")</f>
        <v/>
      </c>
      <c r="AI193" s="21" t="str">
        <f>IFERROR(VLOOKUP(Tabela1[[#This Row],[MÊS]]&amp;Tabela1[[#This Row],[ID]]&amp;Tabela1[[#This Row],[MATRICULA]]&amp;"Receptiva 2"&amp;Tabela1[[#This Row],[SETOR]],BD!A:AF,31,0),"")</f>
        <v/>
      </c>
      <c r="AJ193" s="21" t="str">
        <f>IFERROR(VLOOKUP(Tabela1[[#This Row],[MÊS]]&amp;Tabela1[[#This Row],[ID]]&amp;Tabela1[[#This Row],[MATRICULA]]&amp;"Receptiva 3"&amp;Tabela1[[#This Row],[SETOR]],BD!A:AF,31,0),"")</f>
        <v/>
      </c>
      <c r="AK193" s="21" t="str">
        <f>IFERROR(VLOOKUP(Tabela1[[#This Row],[MÊS]]&amp;Tabela1[[#This Row],[ID]]&amp;Tabela1[[#This Row],[MATRICULA]]&amp;"Receptiva 4"&amp;Tabela1[[#This Row],[SETOR]],BD!A:AF,31,0),"")</f>
        <v/>
      </c>
      <c r="AL193" s="21">
        <f>IFERROR(VLOOKUP(Tabela1[[#This Row],[MÊS]]&amp;Tabela1[[#This Row],[MATRICULA]]&amp;"Motorista"&amp;Tabela1[[#This Row],[SETOR]],BD!A:AF,31,0),"")</f>
        <v>0</v>
      </c>
      <c r="AM193" s="21" t="str">
        <f>IFERROR(VLOOKUP(Tabela1[[#This Row],[MÊS]]&amp;Tabela1[[#This Row],[ID]]&amp;Tabela1[[#This Row],[MATRICULA]]&amp;"Motorista 2"&amp;Tabela1[[#This Row],[SETOR]],BD!A:AF,26,0),"")</f>
        <v/>
      </c>
      <c r="AN193" s="21" t="str">
        <f>IFERROR(VLOOKUP(Tabela1[[#This Row],[MÊS]]&amp;Tabela1[[#This Row],[ID]]&amp;Tabela1[[#This Row],[MATRICULA]]&amp;"Motorista 3"&amp;Tabela1[[#This Row],[SETOR]],BD!A:AF,26,0),"")</f>
        <v/>
      </c>
      <c r="AO193" s="21" t="str">
        <f>IFERROR(VLOOKUP(Tabela1[[#This Row],[MÊS]]&amp;Tabela1[[#This Row],[ID]]&amp;Tabela1[[#This Row],[MATRICULA]]&amp;"Motorista 4"&amp;Tabela1[[#This Row],[SETOR]],BD!A:AF,26,0),"")</f>
        <v/>
      </c>
      <c r="AP193" s="21" t="str">
        <f>IFERROR(VLOOKUP(Tabela1[[#This Row],[MÊS]]&amp;Tabela1[[#This Row],[MATRICULA]]&amp;"Ponto de Apoio"&amp;Tabela1[[#This Row],[SETOR]],BD!A:AF,31,0),"")</f>
        <v/>
      </c>
      <c r="AQ193" s="21" t="str">
        <f>IFERROR(VLOOKUP(Tabela1[[#This Row],[MÊS]]&amp;Tabela1[[#This Row],[ID]]&amp;Tabela1[[#This Row],[MATRICULA]]&amp;"Ponto de Apoio 2"&amp;Tabela1[[#This Row],[SETOR]],BD!A:AF,26,0),"")</f>
        <v/>
      </c>
      <c r="AR193" s="36" t="str">
        <f>IFERROR(VLOOKUP(Tabela1[[#This Row],[MÊS]]&amp;Tabela1[[#This Row],[ID]]&amp;Tabela1[[#This Row],[MATRICULA]]&amp;"Ponto de Apoio 3"&amp;Tabela1[[#This Row],[SETOR]],BD!A:AF,26,0),"")</f>
        <v/>
      </c>
      <c r="AS193" s="36" t="str">
        <f>IFERROR(VLOOKUP(Tabela1[[#This Row],[MÊS]]&amp;Tabela1[[#This Row],[ID]]&amp;Tabela1[[#This Row],[MATRICULA]]&amp;"Ponto de Apoio 4"&amp;Tabela1[[#This Row],[SETOR]],BD!A:AF,26,0),"")</f>
        <v/>
      </c>
      <c r="AT193" s="21" t="str">
        <f>IFERROR(VLOOKUP(Tabela1[[#This Row],[MÊS]]&amp;Tabela1[[#This Row],[MATRICULA]]&amp;"Cliente"&amp;Tabela1[[#This Row],[SETOR]],BD!A:AF,31,0),"")</f>
        <v/>
      </c>
      <c r="AU193" s="21" t="str">
        <f>IFERROR(VLOOKUP(Tabela1[[#This Row],[MÊS]]&amp;Tabela1[[#This Row],[ID]]&amp;Tabela1[[#This Row],[MATRICULA]]&amp;"Cliente 2"&amp;Tabela1[[#This Row],[SETOR]],BD!A:AF,26,0),"")</f>
        <v/>
      </c>
      <c r="AX193" s="21" t="str">
        <f>IFERROR(VLOOKUP(Tabela1[[#This Row],[MÊS]]&amp;Tabela1[[#This Row],[MATRICULA]]&amp;"Policia"&amp;Tabela1[[#This Row],[SETOR]],BD!A:AF,31,0),"")</f>
        <v/>
      </c>
      <c r="AY193" s="21" t="str">
        <f>IFERROR(VLOOKUP(Tabela1[[#This Row],[MÊS]]&amp;Tabela1[[#This Row],[ID]]&amp;Tabela1[[#This Row],[MATRICULA]]&amp;"Policia 2"&amp;Tabela1[[#This Row],[SETOR]],BD!A:AF,26,0),"")</f>
        <v/>
      </c>
      <c r="AZ193" s="36" t="str">
        <f>IFERROR(VLOOKUP(Tabela1[[#This Row],[MÊS]]&amp;Tabela1[[#This Row],[ID]]&amp;Tabela1[[#This Row],[MATRICULA]]&amp;"Policia 3"&amp;Tabela1[[#This Row],[SETOR]],BD!A:AF,26,0),"")</f>
        <v/>
      </c>
      <c r="BA193" s="36" t="str">
        <f>IFERROR(VLOOKUP(Tabela1[[#This Row],[MÊS]]&amp;Tabela1[[#This Row],[ID]]&amp;Tabela1[[#This Row],[MATRICULA]]&amp;"Policia 4"&amp;Tabela1[[#This Row],[SETOR]],BD!A:AF,26,0),"")</f>
        <v/>
      </c>
      <c r="BB19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3" s="21">
        <f>IFERROR(AVERAGE(Tabela1[[#This Row],[M]:[M4]]),"")</f>
        <v>0</v>
      </c>
      <c r="BD193" s="21" t="str">
        <f>IFERROR(AVERAGE(Tabela1[[#This Row],[C]:[C4]]),"")</f>
        <v/>
      </c>
      <c r="BE193" s="21" t="str">
        <f>IFERROR(AVERAGE(Tabela1[[#This Row],[PA2]:[PA 4]]),"")</f>
        <v/>
      </c>
      <c r="BF193" s="21" t="str">
        <f>IFERROR(AVERAGE(Tabela1[[#This Row],[PL]:[PL4]]),"")</f>
        <v/>
      </c>
      <c r="BG193" s="35" t="str">
        <f>IFERROR(VLOOKUP(Tabela1[[#This Row],[MÊS]]&amp;Tabela1[[#This Row],[MATRICULA]],#REF!,2,0),"")</f>
        <v/>
      </c>
      <c r="BH193" s="35" t="str">
        <f>IFERROR(VLOOKUP(Tabela1[[#This Row],[MÊS]]&amp;Tabela1[[#This Row],[MATRICULA]],#REF!,2,0),"")</f>
        <v/>
      </c>
      <c r="BI193" s="35" t="str">
        <f>IFERROR(VLOOKUP(Tabela1[[#This Row],[MÊS]]&amp;Tabela1[[#This Row],[MATRICULA]],#REF!,2,0),"")</f>
        <v/>
      </c>
      <c r="BJ193" s="35" t="str">
        <f>IFERROR(VLOOKUP(Tabela1[[#This Row],[MÊS]]&amp;Tabela1[[#This Row],[MATRICULA]],#REF!,2,0),"")</f>
        <v/>
      </c>
      <c r="BK193" s="35" t="str">
        <f>IFERROR(VLOOKUP(Tabela1[[#This Row],[MÊS]]&amp;Tabela1[[#This Row],[MATRICULA]],#REF!,2,0),"")</f>
        <v/>
      </c>
      <c r="BL193" s="21">
        <f>COUNTIF(Tabela1[[#This Row],[MOT2]:[RECEPTIVA]],"NÃO ENCONTRADA")</f>
        <v>0</v>
      </c>
      <c r="BM193" s="135" t="str">
        <f>IFERROR(VLOOKUP(Tabela1[[#This Row],[MÊS]]&amp;Tabela1[[#This Row],[ID]]&amp;Tabela1[[#This Row],[MATRICULA]]&amp;"Motorista"&amp;Tabela1[[#This Row],[SETOR]],BD!A:AF,13,0),"")</f>
        <v/>
      </c>
      <c r="BN193" s="135" t="str">
        <f>IFERROR(VLOOKUP(Tabela1[[#This Row],[MÊS]]&amp;Tabela1[[#This Row],[ID]]&amp;Tabela1[[#This Row],[MATRICULA]]&amp;"Motorista 2"&amp;Tabela1[[#This Row],[SETOR]],BD!A:AF,13,0),"")</f>
        <v/>
      </c>
      <c r="BO193" s="135" t="str">
        <f>IFERROR(VLOOKUP(Tabela1[[#This Row],[MÊS]]&amp;Tabela1[[#This Row],[ID]]&amp;Tabela1[[#This Row],[MATRICULA]]&amp;"Motorista 3"&amp;Tabela1[[#This Row],[SETOR]],BD!A:AF,13,0),"")</f>
        <v/>
      </c>
      <c r="BP193" s="135" t="str">
        <f>IFERROR(VLOOKUP(Tabela1[[#This Row],[MÊS]]&amp;Tabela1[[#This Row],[ID]]&amp;Tabela1[[#This Row],[MATRICULA]]&amp;"Motorista 4"&amp;Tabela1[[#This Row],[SETOR]],BD!A:AF,13,0),"")</f>
        <v/>
      </c>
      <c r="BQ193" s="135" t="str">
        <f>IFERROR(AVERAGE(Tabela1[[#This Row],[DMOT]:[DMOT4]]),"")</f>
        <v/>
      </c>
      <c r="BR193" s="135" t="str">
        <f>IFERROR(VLOOKUP(Tabela1[[#This Row],[MÊS]]&amp;Tabela1[[#This Row],[ID]]&amp;Tabela1[[#This Row],[MATRICULA]]&amp;"Ponto de Apoio"&amp;Tabela1[[#This Row],[SETOR]],BD!A:AF,13,0),"")</f>
        <v/>
      </c>
      <c r="BS193" s="135" t="str">
        <f>IFERROR(VLOOKUP(Tabela1[[#This Row],[MÊS]]&amp;Tabela1[[#This Row],[ID]]&amp;Tabela1[[#This Row],[MATRICULA]]&amp;"Ponto de Apoio 2"&amp;Tabela1[[#This Row],[SETOR]],BD!A:AF,13,0),"")</f>
        <v/>
      </c>
      <c r="BT193" s="135" t="str">
        <f>IFERROR(VLOOKUP(Tabela1[[#This Row],[MÊS]]&amp;Tabela1[[#This Row],[ID]]&amp;Tabela1[[#This Row],[MATRICULA]]&amp;"Ponto de Apoio 3"&amp;Tabela1[[#This Row],[SETOR]],BD!A:AF,13,0),"")</f>
        <v/>
      </c>
      <c r="BU193" s="135" t="str">
        <f>IFERROR(VLOOKUP(Tabela1[[#This Row],[MÊS]]&amp;Tabela1[[#This Row],[ID]]&amp;Tabela1[[#This Row],[MATRICULA]]&amp;"Ponto de Apoio 4"&amp;Tabela1[[#This Row],[SETOR]],BD!A:AF,13,0),"")</f>
        <v/>
      </c>
      <c r="BV193" s="135" t="str">
        <f>IFERROR(AVERAGE(Tabela1[[#This Row],[DPA]:[DPA 4]]),"")</f>
        <v/>
      </c>
      <c r="BW193" s="135" t="str">
        <f>IFERROR(VLOOKUP(Tabela1[[#This Row],[MÊS]]&amp;Tabela1[[#This Row],[ID]]&amp;Tabela1[[#This Row],[MATRICULA]]&amp;"Cliente"&amp;Tabela1[[#This Row],[SETOR]],BD!A:AF,13,0),"")</f>
        <v/>
      </c>
      <c r="BX193" s="135" t="str">
        <f>IFERROR(VLOOKUP(Tabela1[[#This Row],[MÊS]]&amp;Tabela1[[#This Row],[ID]]&amp;Tabela1[[#This Row],[MATRICULA]]&amp;"cliente 2"&amp;Tabela1[[#This Row],[SETOR]],BD!A:AF,13,0),"")</f>
        <v/>
      </c>
      <c r="BY193" s="135" t="str">
        <f>IFERROR(VLOOKUP(Tabela1[[#This Row],[MÊS]]&amp;Tabela1[[#This Row],[ID]]&amp;Tabela1[[#This Row],[MATRICULA]]&amp;"cliente 3"&amp;Tabela1[[#This Row],[SETOR]],BD!A:AF,13,0),"")</f>
        <v/>
      </c>
      <c r="BZ193" s="135" t="str">
        <f>IFERROR(VLOOKUP(Tabela1[[#This Row],[MÊS]]&amp;Tabela1[[#This Row],[ID]]&amp;Tabela1[[#This Row],[MATRICULA]]&amp;"cliente 4"&amp;Tabela1[[#This Row],[SETOR]],BD!A:AF,13,0),"")</f>
        <v/>
      </c>
      <c r="CA193" s="135" t="str">
        <f>IFERROR(AVERAGE(Tabela1[[#This Row],[DCLI]:[DCLI 4]]),"")</f>
        <v/>
      </c>
      <c r="CB193" s="135" t="str">
        <f>IFERROR(VLOOKUP(Tabela1[[#This Row],[MÊS]]&amp;Tabela1[[#This Row],[ID]]&amp;Tabela1[[#This Row],[MATRICULA]]&amp;"Policia"&amp;Tabela1[[#This Row],[SETOR]],BD!A:AF,13,0),"")</f>
        <v/>
      </c>
      <c r="CC193" s="135" t="str">
        <f>IFERROR(VLOOKUP(Tabela1[[#This Row],[MÊS]]&amp;Tabela1[[#This Row],[ID]]&amp;Tabela1[[#This Row],[MATRICULA]]&amp;"Policia 2"&amp;Tabela1[[#This Row],[SETOR]],BD!A:AF,13,0),"")</f>
        <v/>
      </c>
      <c r="CD193" s="135"/>
      <c r="CE193" s="135"/>
      <c r="CF193" s="135" t="str">
        <f>IFERROR((AVERAGE(Tabela1[[#This Row],[DPOL1]:[DPOL4]])),"")</f>
        <v/>
      </c>
      <c r="CG193" s="21" t="str">
        <f>IFERROR(VLOOKUP(Tabela1[[#This Row],[ID]]&amp;Tabela1[[#This Row],[MÊS]]&amp;Tabela1[[#This Row],[MATRICULA]],#REF!,2,0),"")</f>
        <v/>
      </c>
      <c r="CH193" s="21" t="str">
        <f>IFERROR(VLOOKUP(Tabela1[[#This Row],[ID]]&amp;Tabela1[[#This Row],[MÊS]]&amp;Tabela1[[#This Row],[MATRICULA]],#REF!,2,0),"")</f>
        <v/>
      </c>
      <c r="CI193" s="21" t="str">
        <f>IFERROR(VLOOKUP(Tabela1[[#This Row],[MÊS]]&amp;Tabela1[[#This Row],[MATRICULA]],#REF!,2,0),"")</f>
        <v/>
      </c>
    </row>
    <row r="194" spans="1:87">
      <c r="A194" s="12" t="str">
        <f>Tabela1[[#This Row],[MÊS]]&amp;Tabela1[[#This Row],[MATRICULA]]&amp;Tabela1[[#This Row],[ID]]</f>
        <v>JAN1151213</v>
      </c>
      <c r="B194" s="12" t="str">
        <f>Tabela1[[#This Row],[MÊS]]&amp;Tabela1[[#This Row],[ID]]&amp;Tabela1[[#This Row],[MATRICULA]]&amp;Tabela1[[#This Row],[SETOR]]</f>
        <v>JAN1311512TRANSFERÊNCIA</v>
      </c>
      <c r="C194" s="130" t="e">
        <f>VLOOKUP(Tabela1[[#This Row],[MATRICULA]],'BD Campos'!A:D,5,0)</f>
        <v>#REF!</v>
      </c>
      <c r="D194" s="133" t="str">
        <f ca="1">IFERROR(SUM(TODAY()-Tabela1[[#This Row],[ADMISSÃO]]),"")</f>
        <v/>
      </c>
      <c r="E194" s="11" t="str">
        <f ca="1">IFERROR(TRUNC(Tabela1[[#This Row],[TEMPO DE CASA (DIAS)]]/30),"")</f>
        <v/>
      </c>
      <c r="F194" s="32" t="str">
        <f ca="1">IFERROR(SUM(Tabela1[[#This Row],[TEMPO DE CASA (MESES)]]/12),"")</f>
        <v/>
      </c>
      <c r="G194" s="133" t="str">
        <f ca="1">IF(Tabela1[[#This Row],[TEMPO DE CASA (DIAS)]]="","SEM DADOS",IF(Tabela1[[#This Row],[TEMPO DE CASA (DIAS)]]&gt;180,"&gt; 6 MESES","&lt; 6 MESES"))</f>
        <v>SEM DADOS</v>
      </c>
      <c r="H194" s="12" t="str">
        <f t="shared" si="17"/>
        <v>JANAna Caroline13</v>
      </c>
      <c r="I194" s="12" t="str">
        <f>IFERROR(VLOOKUP(Tabela1[[#This Row],[MATRICULA]],'BD Campos'!A:F,7,0),"")</f>
        <v/>
      </c>
      <c r="J194" s="11">
        <v>13</v>
      </c>
      <c r="K194" s="11" t="s">
        <v>669</v>
      </c>
      <c r="L194" s="136">
        <v>11512</v>
      </c>
      <c r="M194" s="12" t="str">
        <f>IFERROR(VLOOKUP(Tabela1[[#This Row],[MATRICULA]],'BD Campos'!A:B,2,0),"")</f>
        <v>CLEBER NATAN RAMOS</v>
      </c>
      <c r="N194" s="20">
        <f>IFERROR(AVERAGE(Tabela1[[#This Row],[A1]:[A4]]),"")</f>
        <v>6.8605</v>
      </c>
      <c r="O194" s="20" t="str">
        <f>IFERROR(IF(Tabela1[[#This Row],[SETOR]]="RECEPTIVO","",AVERAGE(Tabela1[[#This Row],[A5]:[A6]])),"")</f>
        <v/>
      </c>
      <c r="P194" s="20" t="str">
        <f>IFERROR(IF(Tabela1[[#This Row],[STATUS]]="INATIVO","INATIVO",IF(Tabela1[[#This Row],[STATUS]]="QRT","INATIVO",IF(Tabela1[[#This Row],[OPERACIONAL]]&gt;7.99999,"BOM","RUIM"))),"")</f>
        <v>RUIM</v>
      </c>
      <c r="Q194" s="21" t="s">
        <v>667</v>
      </c>
      <c r="R194" s="12" t="s">
        <v>712</v>
      </c>
      <c r="S194" s="12" t="s">
        <v>713</v>
      </c>
      <c r="T194" s="12" t="s">
        <v>192</v>
      </c>
      <c r="U19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4" s="12">
        <f>IF(AND(Tabela1[[#This Row],[SETOR]]="UTI",Tabela1[[#This Row],[M]]&lt;&gt;""),1,IF(AND(Tabela1[[#This Row],[SETOR]]="UTI (RJ)",Tabela1[[#This Row],[M]]&lt;&gt;""),1.5,0))</f>
        <v>0</v>
      </c>
      <c r="X194" s="12">
        <f>IF(AND(Tabela1[[#This Row],[SETOR]]="UTI",Tabela1[[#This Row],[PA2]]&lt;&gt;""),1,IF(AND(Tabela1[[#This Row],[SETOR]]="UTI (RJ)",Tabela1[[#This Row],[PA2]]&lt;&gt;""),0,0))</f>
        <v>0</v>
      </c>
      <c r="Y194" s="12">
        <f>IF(AND(Tabela1[[#This Row],[SETOR]]="UTI",Tabela1[[#This Row],[C]]&lt;&gt;""),1,IF(AND(Tabela1[[#This Row],[SETOR]]="UTI (RJ)",Tabela1[[#This Row],[C]]&lt;&gt;""),1.5,0))</f>
        <v>0</v>
      </c>
      <c r="Z194" s="12">
        <f>IF(AND(Tabela1[[#This Row],[SETOR]]="UTI",Tabela1[[#This Row],[PL]]&lt;&gt;""),1,IF(AND(Tabela1[[#This Row],[SETOR]]="UTI (RJ)",Tabela1[[#This Row],[PL]]&lt;&gt;""),1,0))</f>
        <v>0</v>
      </c>
      <c r="AA194" s="21">
        <f>IFERROR(VLOOKUP(Tabela1[[#This Row],[MÊS]]&amp;Tabela1[[#This Row],[MATRICULA]]&amp;"1"&amp;Tabela1[[#This Row],[SETOR]]&amp;"PADRÃO",BD!B:AF,31,0),"")</f>
        <v>5.1384999999999996</v>
      </c>
      <c r="AB194" s="21">
        <f>IFERROR(VLOOKUP(Tabela1[[#This Row],[MÊS]]&amp;Tabela1[[#This Row],[MATRICULA]]&amp;"2"&amp;Tabela1[[#This Row],[SETOR]]&amp;"PADRÃO",BD!B:AF,31,0),"")</f>
        <v>8.5824999999999996</v>
      </c>
      <c r="AC194" s="21" t="str">
        <f>IFERROR(VLOOKUP(Tabela1[[#This Row],[MÊS]]&amp;Tabela1[[#This Row],[MATRICULA]]&amp;"3"&amp;Tabela1[[#This Row],[SETOR]]&amp;"PADRÃO",BD!B:AF,31,0),"")</f>
        <v/>
      </c>
      <c r="AD194" s="21" t="str">
        <f>IFERROR(VLOOKUP(Tabela1[[#This Row],[MÊS]]&amp;Tabela1[[#This Row],[MATRICULA]]&amp;"4"&amp;Tabela1[[#This Row],[SETOR]]&amp;"PADRÃO",BD!B:AF,25,0),"")</f>
        <v/>
      </c>
      <c r="AE194" s="21" t="str">
        <f>IFERROR(VLOOKUP(Tabela1[[#This Row],[MÊS]]&amp;Tabela1[[#This Row],[MATRICULA]]&amp;"5"&amp;Tabela1[[#This Row],[SETOR]]&amp;"PADRÃO",BD!B:AF,31,0),"")</f>
        <v/>
      </c>
      <c r="AF194" s="21" t="str">
        <f>IFERROR(VLOOKUP(Tabela1[[#This Row],[MÊS]]&amp;Tabela1[[#This Row],[MATRICULA]]&amp;"6"&amp;Tabela1[[#This Row],[SETOR]]&amp;"PADRÃO",BD!B:AF,31,0),"")</f>
        <v/>
      </c>
      <c r="AG194" s="21" t="str">
        <f>IFERROR(VLOOKUP(Tabela1[[#This Row],[MÊS]]&amp;Tabela1[[#This Row],[MATRICULA]]&amp;"7"&amp;Tabela1[[#This Row],[SETOR]]&amp;"PADRÃO",BD!B:AF,31,0),"")</f>
        <v/>
      </c>
      <c r="AH194" s="21" t="str">
        <f>IFERROR(VLOOKUP(Tabela1[[#This Row],[MÊS]]&amp;Tabela1[[#This Row],[ID]]&amp;Tabela1[[#This Row],[MATRICULA]]&amp;"Receptiva"&amp;Tabela1[[#This Row],[SETOR]],BD!A:AF,31,0),"")</f>
        <v/>
      </c>
      <c r="AI194" s="21" t="str">
        <f>IFERROR(VLOOKUP(Tabela1[[#This Row],[MÊS]]&amp;Tabela1[[#This Row],[ID]]&amp;Tabela1[[#This Row],[MATRICULA]]&amp;"Receptiva 2"&amp;Tabela1[[#This Row],[SETOR]],BD!A:AF,31,0),"")</f>
        <v/>
      </c>
      <c r="AJ194" s="21" t="str">
        <f>IFERROR(VLOOKUP(Tabela1[[#This Row],[MÊS]]&amp;Tabela1[[#This Row],[ID]]&amp;Tabela1[[#This Row],[MATRICULA]]&amp;"Receptiva 3"&amp;Tabela1[[#This Row],[SETOR]],BD!A:AF,31,0),"")</f>
        <v/>
      </c>
      <c r="AK194" s="21" t="str">
        <f>IFERROR(VLOOKUP(Tabela1[[#This Row],[MÊS]]&amp;Tabela1[[#This Row],[ID]]&amp;Tabela1[[#This Row],[MATRICULA]]&amp;"Receptiva 4"&amp;Tabela1[[#This Row],[SETOR]],BD!A:AF,31,0),"")</f>
        <v/>
      </c>
      <c r="AL194" s="21">
        <f>IFERROR(VLOOKUP(Tabela1[[#This Row],[MÊS]]&amp;Tabela1[[#This Row],[MATRICULA]]&amp;"Motorista"&amp;Tabela1[[#This Row],[SETOR]],BD!A:AF,31,0),"")</f>
        <v>0</v>
      </c>
      <c r="AM194" s="21" t="str">
        <f>IFERROR(VLOOKUP(Tabela1[[#This Row],[MÊS]]&amp;Tabela1[[#This Row],[ID]]&amp;Tabela1[[#This Row],[MATRICULA]]&amp;"Motorista 2"&amp;Tabela1[[#This Row],[SETOR]],BD!A:AF,26,0),"")</f>
        <v/>
      </c>
      <c r="AN194" s="21" t="str">
        <f>IFERROR(VLOOKUP(Tabela1[[#This Row],[MÊS]]&amp;Tabela1[[#This Row],[ID]]&amp;Tabela1[[#This Row],[MATRICULA]]&amp;"Motorista 3"&amp;Tabela1[[#This Row],[SETOR]],BD!A:AF,26,0),"")</f>
        <v/>
      </c>
      <c r="AO194" s="21" t="str">
        <f>IFERROR(VLOOKUP(Tabela1[[#This Row],[MÊS]]&amp;Tabela1[[#This Row],[ID]]&amp;Tabela1[[#This Row],[MATRICULA]]&amp;"Motorista 4"&amp;Tabela1[[#This Row],[SETOR]],BD!A:AF,26,0),"")</f>
        <v/>
      </c>
      <c r="AP194" s="21" t="str">
        <f>IFERROR(VLOOKUP(Tabela1[[#This Row],[MÊS]]&amp;Tabela1[[#This Row],[MATRICULA]]&amp;"Ponto de Apoio"&amp;Tabela1[[#This Row],[SETOR]],BD!A:AF,31,0),"")</f>
        <v/>
      </c>
      <c r="AQ194" s="21" t="str">
        <f>IFERROR(VLOOKUP(Tabela1[[#This Row],[MÊS]]&amp;Tabela1[[#This Row],[ID]]&amp;Tabela1[[#This Row],[MATRICULA]]&amp;"Ponto de Apoio 2"&amp;Tabela1[[#This Row],[SETOR]],BD!A:AF,26,0),"")</f>
        <v/>
      </c>
      <c r="AR194" s="36" t="str">
        <f>IFERROR(VLOOKUP(Tabela1[[#This Row],[MÊS]]&amp;Tabela1[[#This Row],[ID]]&amp;Tabela1[[#This Row],[MATRICULA]]&amp;"Ponto de Apoio 3"&amp;Tabela1[[#This Row],[SETOR]],BD!A:AF,26,0),"")</f>
        <v/>
      </c>
      <c r="AS194" s="36" t="str">
        <f>IFERROR(VLOOKUP(Tabela1[[#This Row],[MÊS]]&amp;Tabela1[[#This Row],[ID]]&amp;Tabela1[[#This Row],[MATRICULA]]&amp;"Ponto de Apoio 4"&amp;Tabela1[[#This Row],[SETOR]],BD!A:AF,26,0),"")</f>
        <v/>
      </c>
      <c r="AT194" s="21" t="str">
        <f>IFERROR(VLOOKUP(Tabela1[[#This Row],[MÊS]]&amp;Tabela1[[#This Row],[MATRICULA]]&amp;"Cliente"&amp;Tabela1[[#This Row],[SETOR]],BD!A:AF,31,0),"")</f>
        <v/>
      </c>
      <c r="AU194" s="21" t="str">
        <f>IFERROR(VLOOKUP(Tabela1[[#This Row],[MÊS]]&amp;Tabela1[[#This Row],[ID]]&amp;Tabela1[[#This Row],[MATRICULA]]&amp;"Cliente 2"&amp;Tabela1[[#This Row],[SETOR]],BD!A:AF,26,0),"")</f>
        <v/>
      </c>
      <c r="AX194" s="21" t="str">
        <f>IFERROR(VLOOKUP(Tabela1[[#This Row],[MÊS]]&amp;Tabela1[[#This Row],[MATRICULA]]&amp;"Policia"&amp;Tabela1[[#This Row],[SETOR]],BD!A:AF,31,0),"")</f>
        <v/>
      </c>
      <c r="AY194" s="21" t="str">
        <f>IFERROR(VLOOKUP(Tabela1[[#This Row],[MÊS]]&amp;Tabela1[[#This Row],[ID]]&amp;Tabela1[[#This Row],[MATRICULA]]&amp;"Policia 2"&amp;Tabela1[[#This Row],[SETOR]],BD!A:AF,26,0),"")</f>
        <v/>
      </c>
      <c r="AZ194" s="36" t="str">
        <f>IFERROR(VLOOKUP(Tabela1[[#This Row],[MÊS]]&amp;Tabela1[[#This Row],[ID]]&amp;Tabela1[[#This Row],[MATRICULA]]&amp;"Policia 3"&amp;Tabela1[[#This Row],[SETOR]],BD!A:AF,26,0),"")</f>
        <v/>
      </c>
      <c r="BA194" s="36" t="str">
        <f>IFERROR(VLOOKUP(Tabela1[[#This Row],[MÊS]]&amp;Tabela1[[#This Row],[ID]]&amp;Tabela1[[#This Row],[MATRICULA]]&amp;"Policia 4"&amp;Tabela1[[#This Row],[SETOR]],BD!A:AF,26,0),"")</f>
        <v/>
      </c>
      <c r="BB19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4" s="21">
        <f>IFERROR(AVERAGE(Tabela1[[#This Row],[M]:[M4]]),"")</f>
        <v>0</v>
      </c>
      <c r="BD194" s="21" t="str">
        <f>IFERROR(AVERAGE(Tabela1[[#This Row],[C]:[C4]]),"")</f>
        <v/>
      </c>
      <c r="BE194" s="21" t="str">
        <f>IFERROR(AVERAGE(Tabela1[[#This Row],[PA2]:[PA 4]]),"")</f>
        <v/>
      </c>
      <c r="BF194" s="21" t="str">
        <f>IFERROR(AVERAGE(Tabela1[[#This Row],[PL]:[PL4]]),"")</f>
        <v/>
      </c>
      <c r="BG194" s="35" t="str">
        <f>IFERROR(VLOOKUP(Tabela1[[#This Row],[MÊS]]&amp;Tabela1[[#This Row],[MATRICULA]],#REF!,2,0),"")</f>
        <v/>
      </c>
      <c r="BH194" s="35" t="str">
        <f>IFERROR(VLOOKUP(Tabela1[[#This Row],[MÊS]]&amp;Tabela1[[#This Row],[MATRICULA]],#REF!,2,0),"")</f>
        <v/>
      </c>
      <c r="BI194" s="35" t="str">
        <f>IFERROR(VLOOKUP(Tabela1[[#This Row],[MÊS]]&amp;Tabela1[[#This Row],[MATRICULA]],#REF!,2,0),"")</f>
        <v/>
      </c>
      <c r="BJ194" s="35" t="str">
        <f>IFERROR(VLOOKUP(Tabela1[[#This Row],[MÊS]]&amp;Tabela1[[#This Row],[MATRICULA]],#REF!,2,0),"")</f>
        <v/>
      </c>
      <c r="BK194" s="35" t="str">
        <f>IFERROR(VLOOKUP(Tabela1[[#This Row],[MÊS]]&amp;Tabela1[[#This Row],[MATRICULA]],#REF!,2,0),"")</f>
        <v/>
      </c>
      <c r="BL194" s="21">
        <f>COUNTIF(Tabela1[[#This Row],[MOT2]:[RECEPTIVA]],"NÃO ENCONTRADA")</f>
        <v>0</v>
      </c>
      <c r="BM194" s="135" t="str">
        <f>IFERROR(VLOOKUP(Tabela1[[#This Row],[MÊS]]&amp;Tabela1[[#This Row],[ID]]&amp;Tabela1[[#This Row],[MATRICULA]]&amp;"Motorista"&amp;Tabela1[[#This Row],[SETOR]],BD!A:AF,13,0),"")</f>
        <v/>
      </c>
      <c r="BN194" s="135" t="str">
        <f>IFERROR(VLOOKUP(Tabela1[[#This Row],[MÊS]]&amp;Tabela1[[#This Row],[ID]]&amp;Tabela1[[#This Row],[MATRICULA]]&amp;"Motorista 2"&amp;Tabela1[[#This Row],[SETOR]],BD!A:AF,13,0),"")</f>
        <v/>
      </c>
      <c r="BO194" s="135" t="str">
        <f>IFERROR(VLOOKUP(Tabela1[[#This Row],[MÊS]]&amp;Tabela1[[#This Row],[ID]]&amp;Tabela1[[#This Row],[MATRICULA]]&amp;"Motorista 3"&amp;Tabela1[[#This Row],[SETOR]],BD!A:AF,13,0),"")</f>
        <v/>
      </c>
      <c r="BP194" s="135" t="str">
        <f>IFERROR(VLOOKUP(Tabela1[[#This Row],[MÊS]]&amp;Tabela1[[#This Row],[ID]]&amp;Tabela1[[#This Row],[MATRICULA]]&amp;"Motorista 4"&amp;Tabela1[[#This Row],[SETOR]],BD!A:AF,13,0),"")</f>
        <v/>
      </c>
      <c r="BQ194" s="135" t="str">
        <f>IFERROR(AVERAGE(Tabela1[[#This Row],[DMOT]:[DMOT4]]),"")</f>
        <v/>
      </c>
      <c r="BR194" s="135" t="str">
        <f>IFERROR(VLOOKUP(Tabela1[[#This Row],[MÊS]]&amp;Tabela1[[#This Row],[ID]]&amp;Tabela1[[#This Row],[MATRICULA]]&amp;"Ponto de Apoio"&amp;Tabela1[[#This Row],[SETOR]],BD!A:AF,13,0),"")</f>
        <v/>
      </c>
      <c r="BS194" s="135" t="str">
        <f>IFERROR(VLOOKUP(Tabela1[[#This Row],[MÊS]]&amp;Tabela1[[#This Row],[ID]]&amp;Tabela1[[#This Row],[MATRICULA]]&amp;"Ponto de Apoio 2"&amp;Tabela1[[#This Row],[SETOR]],BD!A:AF,13,0),"")</f>
        <v/>
      </c>
      <c r="BT194" s="135" t="str">
        <f>IFERROR(VLOOKUP(Tabela1[[#This Row],[MÊS]]&amp;Tabela1[[#This Row],[ID]]&amp;Tabela1[[#This Row],[MATRICULA]]&amp;"Ponto de Apoio 3"&amp;Tabela1[[#This Row],[SETOR]],BD!A:AF,13,0),"")</f>
        <v/>
      </c>
      <c r="BU194" s="135" t="str">
        <f>IFERROR(VLOOKUP(Tabela1[[#This Row],[MÊS]]&amp;Tabela1[[#This Row],[ID]]&amp;Tabela1[[#This Row],[MATRICULA]]&amp;"Ponto de Apoio 4"&amp;Tabela1[[#This Row],[SETOR]],BD!A:AF,13,0),"")</f>
        <v/>
      </c>
      <c r="BV194" s="135" t="str">
        <f>IFERROR(AVERAGE(Tabela1[[#This Row],[DPA]:[DPA 4]]),"")</f>
        <v/>
      </c>
      <c r="BW194" s="135" t="str">
        <f>IFERROR(VLOOKUP(Tabela1[[#This Row],[MÊS]]&amp;Tabela1[[#This Row],[ID]]&amp;Tabela1[[#This Row],[MATRICULA]]&amp;"Cliente"&amp;Tabela1[[#This Row],[SETOR]],BD!A:AF,13,0),"")</f>
        <v/>
      </c>
      <c r="BX194" s="135" t="str">
        <f>IFERROR(VLOOKUP(Tabela1[[#This Row],[MÊS]]&amp;Tabela1[[#This Row],[ID]]&amp;Tabela1[[#This Row],[MATRICULA]]&amp;"cliente 2"&amp;Tabela1[[#This Row],[SETOR]],BD!A:AF,13,0),"")</f>
        <v/>
      </c>
      <c r="BY194" s="135" t="str">
        <f>IFERROR(VLOOKUP(Tabela1[[#This Row],[MÊS]]&amp;Tabela1[[#This Row],[ID]]&amp;Tabela1[[#This Row],[MATRICULA]]&amp;"cliente 3"&amp;Tabela1[[#This Row],[SETOR]],BD!A:AF,13,0),"")</f>
        <v/>
      </c>
      <c r="BZ194" s="135" t="str">
        <f>IFERROR(VLOOKUP(Tabela1[[#This Row],[MÊS]]&amp;Tabela1[[#This Row],[ID]]&amp;Tabela1[[#This Row],[MATRICULA]]&amp;"cliente 4"&amp;Tabela1[[#This Row],[SETOR]],BD!A:AF,13,0),"")</f>
        <v/>
      </c>
      <c r="CA194" s="135" t="str">
        <f>IFERROR(AVERAGE(Tabela1[[#This Row],[DCLI]:[DCLI 4]]),"")</f>
        <v/>
      </c>
      <c r="CB194" s="135" t="str">
        <f>IFERROR(VLOOKUP(Tabela1[[#This Row],[MÊS]]&amp;Tabela1[[#This Row],[ID]]&amp;Tabela1[[#This Row],[MATRICULA]]&amp;"Policia"&amp;Tabela1[[#This Row],[SETOR]],BD!A:AF,13,0),"")</f>
        <v/>
      </c>
      <c r="CC194" s="135" t="str">
        <f>IFERROR(VLOOKUP(Tabela1[[#This Row],[MÊS]]&amp;Tabela1[[#This Row],[ID]]&amp;Tabela1[[#This Row],[MATRICULA]]&amp;"Policia 2"&amp;Tabela1[[#This Row],[SETOR]],BD!A:AF,13,0),"")</f>
        <v/>
      </c>
      <c r="CD194" s="135"/>
      <c r="CE194" s="135"/>
      <c r="CF194" s="135" t="str">
        <f>IFERROR((AVERAGE(Tabela1[[#This Row],[DPOL1]:[DPOL4]])),"")</f>
        <v/>
      </c>
      <c r="CG194" s="21" t="str">
        <f>IFERROR(VLOOKUP(Tabela1[[#This Row],[ID]]&amp;Tabela1[[#This Row],[MÊS]]&amp;Tabela1[[#This Row],[MATRICULA]],#REF!,2,0),"")</f>
        <v/>
      </c>
      <c r="CH194" s="21" t="str">
        <f>IFERROR(VLOOKUP(Tabela1[[#This Row],[ID]]&amp;Tabela1[[#This Row],[MÊS]]&amp;Tabela1[[#This Row],[MATRICULA]],#REF!,2,0),"")</f>
        <v/>
      </c>
      <c r="CI194" s="21" t="str">
        <f>IFERROR(VLOOKUP(Tabela1[[#This Row],[MÊS]]&amp;Tabela1[[#This Row],[MATRICULA]],#REF!,2,0),"")</f>
        <v/>
      </c>
    </row>
    <row r="195" spans="1:87">
      <c r="A195" s="12" t="str">
        <f>Tabela1[[#This Row],[MÊS]]&amp;Tabela1[[#This Row],[MATRICULA]]&amp;Tabela1[[#This Row],[ID]]</f>
        <v>JAN1151614</v>
      </c>
      <c r="B195" s="12" t="str">
        <f>Tabela1[[#This Row],[MÊS]]&amp;Tabela1[[#This Row],[ID]]&amp;Tabela1[[#This Row],[MATRICULA]]&amp;Tabela1[[#This Row],[SETOR]]</f>
        <v>JAN1411516TRANSFERÊNCIA</v>
      </c>
      <c r="C195" s="130" t="e">
        <f>VLOOKUP(Tabela1[[#This Row],[MATRICULA]],'BD Campos'!A:D,5,0)</f>
        <v>#REF!</v>
      </c>
      <c r="D195" s="133" t="str">
        <f ca="1">IFERROR(SUM(TODAY()-Tabela1[[#This Row],[ADMISSÃO]]),"")</f>
        <v/>
      </c>
      <c r="E195" s="11" t="str">
        <f ca="1">IFERROR(TRUNC(Tabela1[[#This Row],[TEMPO DE CASA (DIAS)]]/30),"")</f>
        <v/>
      </c>
      <c r="F195" s="32" t="str">
        <f ca="1">IFERROR(SUM(Tabela1[[#This Row],[TEMPO DE CASA (MESES)]]/12),"")</f>
        <v/>
      </c>
      <c r="G195" s="133" t="str">
        <f ca="1">IF(Tabela1[[#This Row],[TEMPO DE CASA (DIAS)]]="","SEM DADOS",IF(Tabela1[[#This Row],[TEMPO DE CASA (DIAS)]]&gt;180,"&gt; 6 MESES","&lt; 6 MESES"))</f>
        <v>SEM DADOS</v>
      </c>
      <c r="H195" s="12" t="str">
        <f t="shared" si="17"/>
        <v>JANAna Caroline14</v>
      </c>
      <c r="I195" s="12" t="str">
        <f>IFERROR(VLOOKUP(Tabela1[[#This Row],[MATRICULA]],'BD Campos'!A:F,7,0),"")</f>
        <v/>
      </c>
      <c r="J195" s="11">
        <v>14</v>
      </c>
      <c r="K195" s="11" t="s">
        <v>669</v>
      </c>
      <c r="L195" s="136">
        <v>11516</v>
      </c>
      <c r="M195" s="12" t="str">
        <f>IFERROR(VLOOKUP(Tabela1[[#This Row],[MATRICULA]],'BD Campos'!A:B,2,0),"")</f>
        <v>FLAVIANE SILVEIRA DA SILVA</v>
      </c>
      <c r="N195" s="20">
        <f>IFERROR(AVERAGE(Tabela1[[#This Row],[A1]:[A4]]),"")</f>
        <v>3.11</v>
      </c>
      <c r="O195" s="20" t="str">
        <f>IFERROR(IF(Tabela1[[#This Row],[SETOR]]="RECEPTIVO","",AVERAGE(Tabela1[[#This Row],[A5]:[A6]])),"")</f>
        <v/>
      </c>
      <c r="P195" s="20" t="str">
        <f>IFERROR(IF(Tabela1[[#This Row],[STATUS]]="INATIVO","INATIVO",IF(Tabela1[[#This Row],[STATUS]]="QRT","INATIVO",IF(Tabela1[[#This Row],[OPERACIONAL]]&gt;7.99999,"BOM","RUIM"))),"")</f>
        <v>RUIM</v>
      </c>
      <c r="Q195" s="21" t="s">
        <v>667</v>
      </c>
      <c r="R195" s="12" t="s">
        <v>712</v>
      </c>
      <c r="S195" s="12" t="s">
        <v>713</v>
      </c>
      <c r="T195" s="12" t="s">
        <v>192</v>
      </c>
      <c r="U19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5" s="12">
        <f>IF(AND(Tabela1[[#This Row],[SETOR]]="UTI",Tabela1[[#This Row],[M]]&lt;&gt;""),1,IF(AND(Tabela1[[#This Row],[SETOR]]="UTI (RJ)",Tabela1[[#This Row],[M]]&lt;&gt;""),1.5,0))</f>
        <v>0</v>
      </c>
      <c r="X195" s="12">
        <f>IF(AND(Tabela1[[#This Row],[SETOR]]="UTI",Tabela1[[#This Row],[PA2]]&lt;&gt;""),1,IF(AND(Tabela1[[#This Row],[SETOR]]="UTI (RJ)",Tabela1[[#This Row],[PA2]]&lt;&gt;""),0,0))</f>
        <v>0</v>
      </c>
      <c r="Y195" s="12">
        <f>IF(AND(Tabela1[[#This Row],[SETOR]]="UTI",Tabela1[[#This Row],[C]]&lt;&gt;""),1,IF(AND(Tabela1[[#This Row],[SETOR]]="UTI (RJ)",Tabela1[[#This Row],[C]]&lt;&gt;""),1.5,0))</f>
        <v>0</v>
      </c>
      <c r="Z195" s="12">
        <f>IF(AND(Tabela1[[#This Row],[SETOR]]="UTI",Tabela1[[#This Row],[PL]]&lt;&gt;""),1,IF(AND(Tabela1[[#This Row],[SETOR]]="UTI (RJ)",Tabela1[[#This Row],[PL]]&lt;&gt;""),1,0))</f>
        <v>0</v>
      </c>
      <c r="AA195" s="21">
        <f>IFERROR(VLOOKUP(Tabela1[[#This Row],[MÊS]]&amp;Tabela1[[#This Row],[MATRICULA]]&amp;"1"&amp;Tabela1[[#This Row],[SETOR]]&amp;"PADRÃO",BD!B:AF,31,0),"")</f>
        <v>6.22</v>
      </c>
      <c r="AB195" s="21">
        <f>IFERROR(VLOOKUP(Tabela1[[#This Row],[MÊS]]&amp;Tabela1[[#This Row],[MATRICULA]]&amp;"2"&amp;Tabela1[[#This Row],[SETOR]]&amp;"PADRÃO",BD!B:AF,31,0),"")</f>
        <v>0</v>
      </c>
      <c r="AC195" s="21" t="str">
        <f>IFERROR(VLOOKUP(Tabela1[[#This Row],[MÊS]]&amp;Tabela1[[#This Row],[MATRICULA]]&amp;"3"&amp;Tabela1[[#This Row],[SETOR]]&amp;"PADRÃO",BD!B:AF,31,0),"")</f>
        <v/>
      </c>
      <c r="AD195" s="21" t="str">
        <f>IFERROR(VLOOKUP(Tabela1[[#This Row],[MÊS]]&amp;Tabela1[[#This Row],[MATRICULA]]&amp;"4"&amp;Tabela1[[#This Row],[SETOR]]&amp;"PADRÃO",BD!B:AF,25,0),"")</f>
        <v/>
      </c>
      <c r="AE195" s="21" t="str">
        <f>IFERROR(VLOOKUP(Tabela1[[#This Row],[MÊS]]&amp;Tabela1[[#This Row],[MATRICULA]]&amp;"5"&amp;Tabela1[[#This Row],[SETOR]]&amp;"PADRÃO",BD!B:AF,31,0),"")</f>
        <v/>
      </c>
      <c r="AF195" s="21" t="str">
        <f>IFERROR(VLOOKUP(Tabela1[[#This Row],[MÊS]]&amp;Tabela1[[#This Row],[MATRICULA]]&amp;"6"&amp;Tabela1[[#This Row],[SETOR]]&amp;"PADRÃO",BD!B:AF,31,0),"")</f>
        <v/>
      </c>
      <c r="AG195" s="21" t="str">
        <f>IFERROR(VLOOKUP(Tabela1[[#This Row],[MÊS]]&amp;Tabela1[[#This Row],[MATRICULA]]&amp;"7"&amp;Tabela1[[#This Row],[SETOR]]&amp;"PADRÃO",BD!B:AF,31,0),"")</f>
        <v/>
      </c>
      <c r="AH195" s="21" t="str">
        <f>IFERROR(VLOOKUP(Tabela1[[#This Row],[MÊS]]&amp;Tabela1[[#This Row],[ID]]&amp;Tabela1[[#This Row],[MATRICULA]]&amp;"Receptiva"&amp;Tabela1[[#This Row],[SETOR]],BD!A:AF,31,0),"")</f>
        <v/>
      </c>
      <c r="AI195" s="21" t="str">
        <f>IFERROR(VLOOKUP(Tabela1[[#This Row],[MÊS]]&amp;Tabela1[[#This Row],[ID]]&amp;Tabela1[[#This Row],[MATRICULA]]&amp;"Receptiva 2"&amp;Tabela1[[#This Row],[SETOR]],BD!A:AF,31,0),"")</f>
        <v/>
      </c>
      <c r="AJ195" s="21" t="str">
        <f>IFERROR(VLOOKUP(Tabela1[[#This Row],[MÊS]]&amp;Tabela1[[#This Row],[ID]]&amp;Tabela1[[#This Row],[MATRICULA]]&amp;"Receptiva 3"&amp;Tabela1[[#This Row],[SETOR]],BD!A:AF,31,0),"")</f>
        <v/>
      </c>
      <c r="AK195" s="21" t="str">
        <f>IFERROR(VLOOKUP(Tabela1[[#This Row],[MÊS]]&amp;Tabela1[[#This Row],[ID]]&amp;Tabela1[[#This Row],[MATRICULA]]&amp;"Receptiva 4"&amp;Tabela1[[#This Row],[SETOR]],BD!A:AF,31,0),"")</f>
        <v/>
      </c>
      <c r="AL195" s="21">
        <f>IFERROR(VLOOKUP(Tabela1[[#This Row],[MÊS]]&amp;Tabela1[[#This Row],[MATRICULA]]&amp;"Motorista"&amp;Tabela1[[#This Row],[SETOR]],BD!A:AF,31,0),"")</f>
        <v>0</v>
      </c>
      <c r="AM195" s="21" t="str">
        <f>IFERROR(VLOOKUP(Tabela1[[#This Row],[MÊS]]&amp;Tabela1[[#This Row],[ID]]&amp;Tabela1[[#This Row],[MATRICULA]]&amp;"Motorista 2"&amp;Tabela1[[#This Row],[SETOR]],BD!A:AF,26,0),"")</f>
        <v/>
      </c>
      <c r="AN195" s="21" t="str">
        <f>IFERROR(VLOOKUP(Tabela1[[#This Row],[MÊS]]&amp;Tabela1[[#This Row],[ID]]&amp;Tabela1[[#This Row],[MATRICULA]]&amp;"Motorista 3"&amp;Tabela1[[#This Row],[SETOR]],BD!A:AF,26,0),"")</f>
        <v/>
      </c>
      <c r="AO195" s="21" t="str">
        <f>IFERROR(VLOOKUP(Tabela1[[#This Row],[MÊS]]&amp;Tabela1[[#This Row],[ID]]&amp;Tabela1[[#This Row],[MATRICULA]]&amp;"Motorista 4"&amp;Tabela1[[#This Row],[SETOR]],BD!A:AF,26,0),"")</f>
        <v/>
      </c>
      <c r="AP195" s="21" t="str">
        <f>IFERROR(VLOOKUP(Tabela1[[#This Row],[MÊS]]&amp;Tabela1[[#This Row],[MATRICULA]]&amp;"Ponto de Apoio"&amp;Tabela1[[#This Row],[SETOR]],BD!A:AF,31,0),"")</f>
        <v/>
      </c>
      <c r="AQ195" s="21" t="str">
        <f>IFERROR(VLOOKUP(Tabela1[[#This Row],[MÊS]]&amp;Tabela1[[#This Row],[ID]]&amp;Tabela1[[#This Row],[MATRICULA]]&amp;"Ponto de Apoio 2"&amp;Tabela1[[#This Row],[SETOR]],BD!A:AF,26,0),"")</f>
        <v/>
      </c>
      <c r="AR195" s="36" t="str">
        <f>IFERROR(VLOOKUP(Tabela1[[#This Row],[MÊS]]&amp;Tabela1[[#This Row],[ID]]&amp;Tabela1[[#This Row],[MATRICULA]]&amp;"Ponto de Apoio 3"&amp;Tabela1[[#This Row],[SETOR]],BD!A:AF,26,0),"")</f>
        <v/>
      </c>
      <c r="AS195" s="36" t="str">
        <f>IFERROR(VLOOKUP(Tabela1[[#This Row],[MÊS]]&amp;Tabela1[[#This Row],[ID]]&amp;Tabela1[[#This Row],[MATRICULA]]&amp;"Ponto de Apoio 4"&amp;Tabela1[[#This Row],[SETOR]],BD!A:AF,26,0),"")</f>
        <v/>
      </c>
      <c r="AT195" s="21" t="str">
        <f>IFERROR(VLOOKUP(Tabela1[[#This Row],[MÊS]]&amp;Tabela1[[#This Row],[MATRICULA]]&amp;"Cliente"&amp;Tabela1[[#This Row],[SETOR]],BD!A:AF,31,0),"")</f>
        <v/>
      </c>
      <c r="AU195" s="21" t="str">
        <f>IFERROR(VLOOKUP(Tabela1[[#This Row],[MÊS]]&amp;Tabela1[[#This Row],[ID]]&amp;Tabela1[[#This Row],[MATRICULA]]&amp;"Cliente 2"&amp;Tabela1[[#This Row],[SETOR]],BD!A:AF,26,0),"")</f>
        <v/>
      </c>
      <c r="AX195" s="21" t="str">
        <f>IFERROR(VLOOKUP(Tabela1[[#This Row],[MÊS]]&amp;Tabela1[[#This Row],[MATRICULA]]&amp;"Policia"&amp;Tabela1[[#This Row],[SETOR]],BD!A:AF,31,0),"")</f>
        <v/>
      </c>
      <c r="AY195" s="21" t="str">
        <f>IFERROR(VLOOKUP(Tabela1[[#This Row],[MÊS]]&amp;Tabela1[[#This Row],[ID]]&amp;Tabela1[[#This Row],[MATRICULA]]&amp;"Policia 2"&amp;Tabela1[[#This Row],[SETOR]],BD!A:AF,26,0),"")</f>
        <v/>
      </c>
      <c r="AZ195" s="36" t="str">
        <f>IFERROR(VLOOKUP(Tabela1[[#This Row],[MÊS]]&amp;Tabela1[[#This Row],[ID]]&amp;Tabela1[[#This Row],[MATRICULA]]&amp;"Policia 3"&amp;Tabela1[[#This Row],[SETOR]],BD!A:AF,26,0),"")</f>
        <v/>
      </c>
      <c r="BA195" s="36" t="str">
        <f>IFERROR(VLOOKUP(Tabela1[[#This Row],[MÊS]]&amp;Tabela1[[#This Row],[ID]]&amp;Tabela1[[#This Row],[MATRICULA]]&amp;"Policia 4"&amp;Tabela1[[#This Row],[SETOR]],BD!A:AF,26,0),"")</f>
        <v/>
      </c>
      <c r="BB19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5" s="21">
        <f>IFERROR(AVERAGE(Tabela1[[#This Row],[M]:[M4]]),"")</f>
        <v>0</v>
      </c>
      <c r="BD195" s="21" t="str">
        <f>IFERROR(AVERAGE(Tabela1[[#This Row],[C]:[C4]]),"")</f>
        <v/>
      </c>
      <c r="BE195" s="21" t="str">
        <f>IFERROR(AVERAGE(Tabela1[[#This Row],[PA2]:[PA 4]]),"")</f>
        <v/>
      </c>
      <c r="BF195" s="21" t="str">
        <f>IFERROR(AVERAGE(Tabela1[[#This Row],[PL]:[PL4]]),"")</f>
        <v/>
      </c>
      <c r="BG195" s="35" t="str">
        <f>IFERROR(VLOOKUP(Tabela1[[#This Row],[MÊS]]&amp;Tabela1[[#This Row],[MATRICULA]],#REF!,2,0),"")</f>
        <v/>
      </c>
      <c r="BH195" s="35" t="str">
        <f>IFERROR(VLOOKUP(Tabela1[[#This Row],[MÊS]]&amp;Tabela1[[#This Row],[MATRICULA]],#REF!,2,0),"")</f>
        <v/>
      </c>
      <c r="BI195" s="35" t="str">
        <f>IFERROR(VLOOKUP(Tabela1[[#This Row],[MÊS]]&amp;Tabela1[[#This Row],[MATRICULA]],#REF!,2,0),"")</f>
        <v/>
      </c>
      <c r="BJ195" s="35" t="str">
        <f>IFERROR(VLOOKUP(Tabela1[[#This Row],[MÊS]]&amp;Tabela1[[#This Row],[MATRICULA]],#REF!,2,0),"")</f>
        <v/>
      </c>
      <c r="BK195" s="35" t="str">
        <f>IFERROR(VLOOKUP(Tabela1[[#This Row],[MÊS]]&amp;Tabela1[[#This Row],[MATRICULA]],#REF!,2,0),"")</f>
        <v/>
      </c>
      <c r="BL195" s="21">
        <f>COUNTIF(Tabela1[[#This Row],[MOT2]:[RECEPTIVA]],"NÃO ENCONTRADA")</f>
        <v>0</v>
      </c>
      <c r="BM195" s="135" t="str">
        <f>IFERROR(VLOOKUP(Tabela1[[#This Row],[MÊS]]&amp;Tabela1[[#This Row],[ID]]&amp;Tabela1[[#This Row],[MATRICULA]]&amp;"Motorista"&amp;Tabela1[[#This Row],[SETOR]],BD!A:AF,13,0),"")</f>
        <v/>
      </c>
      <c r="BN195" s="135" t="str">
        <f>IFERROR(VLOOKUP(Tabela1[[#This Row],[MÊS]]&amp;Tabela1[[#This Row],[ID]]&amp;Tabela1[[#This Row],[MATRICULA]]&amp;"Motorista 2"&amp;Tabela1[[#This Row],[SETOR]],BD!A:AF,13,0),"")</f>
        <v/>
      </c>
      <c r="BO195" s="135" t="str">
        <f>IFERROR(VLOOKUP(Tabela1[[#This Row],[MÊS]]&amp;Tabela1[[#This Row],[ID]]&amp;Tabela1[[#This Row],[MATRICULA]]&amp;"Motorista 3"&amp;Tabela1[[#This Row],[SETOR]],BD!A:AF,13,0),"")</f>
        <v/>
      </c>
      <c r="BP195" s="135" t="str">
        <f>IFERROR(VLOOKUP(Tabela1[[#This Row],[MÊS]]&amp;Tabela1[[#This Row],[ID]]&amp;Tabela1[[#This Row],[MATRICULA]]&amp;"Motorista 4"&amp;Tabela1[[#This Row],[SETOR]],BD!A:AF,13,0),"")</f>
        <v/>
      </c>
      <c r="BQ195" s="135" t="str">
        <f>IFERROR(AVERAGE(Tabela1[[#This Row],[DMOT]:[DMOT4]]),"")</f>
        <v/>
      </c>
      <c r="BR195" s="135" t="str">
        <f>IFERROR(VLOOKUP(Tabela1[[#This Row],[MÊS]]&amp;Tabela1[[#This Row],[ID]]&amp;Tabela1[[#This Row],[MATRICULA]]&amp;"Ponto de Apoio"&amp;Tabela1[[#This Row],[SETOR]],BD!A:AF,13,0),"")</f>
        <v/>
      </c>
      <c r="BS195" s="135" t="str">
        <f>IFERROR(VLOOKUP(Tabela1[[#This Row],[MÊS]]&amp;Tabela1[[#This Row],[ID]]&amp;Tabela1[[#This Row],[MATRICULA]]&amp;"Ponto de Apoio 2"&amp;Tabela1[[#This Row],[SETOR]],BD!A:AF,13,0),"")</f>
        <v/>
      </c>
      <c r="BT195" s="135" t="str">
        <f>IFERROR(VLOOKUP(Tabela1[[#This Row],[MÊS]]&amp;Tabela1[[#This Row],[ID]]&amp;Tabela1[[#This Row],[MATRICULA]]&amp;"Ponto de Apoio 3"&amp;Tabela1[[#This Row],[SETOR]],BD!A:AF,13,0),"")</f>
        <v/>
      </c>
      <c r="BU195" s="135" t="str">
        <f>IFERROR(VLOOKUP(Tabela1[[#This Row],[MÊS]]&amp;Tabela1[[#This Row],[ID]]&amp;Tabela1[[#This Row],[MATRICULA]]&amp;"Ponto de Apoio 4"&amp;Tabela1[[#This Row],[SETOR]],BD!A:AF,13,0),"")</f>
        <v/>
      </c>
      <c r="BV195" s="135" t="str">
        <f>IFERROR(AVERAGE(Tabela1[[#This Row],[DPA]:[DPA 4]]),"")</f>
        <v/>
      </c>
      <c r="BW195" s="135" t="str">
        <f>IFERROR(VLOOKUP(Tabela1[[#This Row],[MÊS]]&amp;Tabela1[[#This Row],[ID]]&amp;Tabela1[[#This Row],[MATRICULA]]&amp;"Cliente"&amp;Tabela1[[#This Row],[SETOR]],BD!A:AF,13,0),"")</f>
        <v/>
      </c>
      <c r="BX195" s="135" t="str">
        <f>IFERROR(VLOOKUP(Tabela1[[#This Row],[MÊS]]&amp;Tabela1[[#This Row],[ID]]&amp;Tabela1[[#This Row],[MATRICULA]]&amp;"cliente 2"&amp;Tabela1[[#This Row],[SETOR]],BD!A:AF,13,0),"")</f>
        <v/>
      </c>
      <c r="BY195" s="135" t="str">
        <f>IFERROR(VLOOKUP(Tabela1[[#This Row],[MÊS]]&amp;Tabela1[[#This Row],[ID]]&amp;Tabela1[[#This Row],[MATRICULA]]&amp;"cliente 3"&amp;Tabela1[[#This Row],[SETOR]],BD!A:AF,13,0),"")</f>
        <v/>
      </c>
      <c r="BZ195" s="135" t="str">
        <f>IFERROR(VLOOKUP(Tabela1[[#This Row],[MÊS]]&amp;Tabela1[[#This Row],[ID]]&amp;Tabela1[[#This Row],[MATRICULA]]&amp;"cliente 4"&amp;Tabela1[[#This Row],[SETOR]],BD!A:AF,13,0),"")</f>
        <v/>
      </c>
      <c r="CA195" s="135" t="str">
        <f>IFERROR(AVERAGE(Tabela1[[#This Row],[DCLI]:[DCLI 4]]),"")</f>
        <v/>
      </c>
      <c r="CB195" s="135" t="str">
        <f>IFERROR(VLOOKUP(Tabela1[[#This Row],[MÊS]]&amp;Tabela1[[#This Row],[ID]]&amp;Tabela1[[#This Row],[MATRICULA]]&amp;"Policia"&amp;Tabela1[[#This Row],[SETOR]],BD!A:AF,13,0),"")</f>
        <v/>
      </c>
      <c r="CC195" s="135" t="str">
        <f>IFERROR(VLOOKUP(Tabela1[[#This Row],[MÊS]]&amp;Tabela1[[#This Row],[ID]]&amp;Tabela1[[#This Row],[MATRICULA]]&amp;"Policia 2"&amp;Tabela1[[#This Row],[SETOR]],BD!A:AF,13,0),"")</f>
        <v/>
      </c>
      <c r="CD195" s="135"/>
      <c r="CE195" s="135"/>
      <c r="CF195" s="135" t="str">
        <f>IFERROR((AVERAGE(Tabela1[[#This Row],[DPOL1]:[DPOL4]])),"")</f>
        <v/>
      </c>
      <c r="CG195" s="21" t="str">
        <f>IFERROR(VLOOKUP(Tabela1[[#This Row],[ID]]&amp;Tabela1[[#This Row],[MÊS]]&amp;Tabela1[[#This Row],[MATRICULA]],#REF!,2,0),"")</f>
        <v/>
      </c>
      <c r="CH195" s="21" t="str">
        <f>IFERROR(VLOOKUP(Tabela1[[#This Row],[ID]]&amp;Tabela1[[#This Row],[MÊS]]&amp;Tabela1[[#This Row],[MATRICULA]],#REF!,2,0),"")</f>
        <v/>
      </c>
      <c r="CI195" s="21" t="str">
        <f>IFERROR(VLOOKUP(Tabela1[[#This Row],[MÊS]]&amp;Tabela1[[#This Row],[MATRICULA]],#REF!,2,0),"")</f>
        <v/>
      </c>
    </row>
    <row r="196" spans="1:87">
      <c r="A196" s="12" t="str">
        <f>Tabela1[[#This Row],[MÊS]]&amp;Tabela1[[#This Row],[MATRICULA]]&amp;Tabela1[[#This Row],[ID]]</f>
        <v>JAN113801</v>
      </c>
      <c r="B196" s="12" t="str">
        <f>Tabela1[[#This Row],[MÊS]]&amp;Tabela1[[#This Row],[ID]]&amp;Tabela1[[#This Row],[MATRICULA]]&amp;Tabela1[[#This Row],[SETOR]]</f>
        <v>JAN111380TRANSFERÊNCIA</v>
      </c>
      <c r="C196" s="130" t="e">
        <f>VLOOKUP(Tabela1[[#This Row],[MATRICULA]],'BD Campos'!A:D,5,0)</f>
        <v>#REF!</v>
      </c>
      <c r="D196" s="133" t="str">
        <f ca="1">IFERROR(SUM(TODAY()-Tabela1[[#This Row],[ADMISSÃO]]),"")</f>
        <v/>
      </c>
      <c r="E196" s="11" t="str">
        <f ca="1">IFERROR(TRUNC(Tabela1[[#This Row],[TEMPO DE CASA (DIAS)]]/30),"")</f>
        <v/>
      </c>
      <c r="F196" s="32" t="str">
        <f ca="1">IFERROR(SUM(Tabela1[[#This Row],[TEMPO DE CASA (MESES)]]/12),"")</f>
        <v/>
      </c>
      <c r="G196" s="133" t="str">
        <f ca="1">IF(Tabela1[[#This Row],[TEMPO DE CASA (DIAS)]]="","SEM DADOS",IF(Tabela1[[#This Row],[TEMPO DE CASA (DIAS)]]&gt;180,"&gt; 6 MESES","&lt; 6 MESES"))</f>
        <v>SEM DADOS</v>
      </c>
      <c r="H196" s="12" t="str">
        <f t="shared" ref="H196:H209" si="18">K196&amp;S196&amp;J196</f>
        <v>JANRodrigo Barros1</v>
      </c>
      <c r="I196" s="12" t="str">
        <f>IFERROR(VLOOKUP(Tabela1[[#This Row],[MATRICULA]],'BD Campos'!A:F,7,0),"")</f>
        <v/>
      </c>
      <c r="J196" s="11">
        <v>1</v>
      </c>
      <c r="K196" s="11" t="s">
        <v>669</v>
      </c>
      <c r="L196" s="136">
        <v>11380</v>
      </c>
      <c r="M196" s="12" t="str">
        <f>IFERROR(VLOOKUP(Tabela1[[#This Row],[MATRICULA]],'BD Campos'!A:B,2,0),"")</f>
        <v>DABYNI CRISTINA KREUTZFELD</v>
      </c>
      <c r="N196" s="20">
        <f>IFERROR(AVERAGE(Tabela1[[#This Row],[A1]:[A4]]),"")</f>
        <v>9.741500000000002</v>
      </c>
      <c r="O196" s="20" t="str">
        <f>IFERROR(IF(Tabela1[[#This Row],[SETOR]]="RECEPTIVO","",AVERAGE(Tabela1[[#This Row],[A5]:[A6]])),"")</f>
        <v/>
      </c>
      <c r="P196" s="20" t="str">
        <f>IFERROR(IF(Tabela1[[#This Row],[STATUS]]="INATIVO","INATIVO",IF(Tabela1[[#This Row],[STATUS]]="QRT","INATIVO",IF(Tabela1[[#This Row],[OPERACIONAL]]&gt;7.99999,"BOM","RUIM"))),"")</f>
        <v>BOM</v>
      </c>
      <c r="Q196" s="21" t="s">
        <v>667</v>
      </c>
      <c r="R196" s="12" t="s">
        <v>714</v>
      </c>
      <c r="S196" s="12" t="s">
        <v>715</v>
      </c>
      <c r="T196" s="12" t="s">
        <v>192</v>
      </c>
      <c r="U19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6" s="12">
        <f>IF(AND(Tabela1[[#This Row],[SETOR]]="UTI",Tabela1[[#This Row],[M]]&lt;&gt;""),1,IF(AND(Tabela1[[#This Row],[SETOR]]="UTI (RJ)",Tabela1[[#This Row],[M]]&lt;&gt;""),1.5,0))</f>
        <v>0</v>
      </c>
      <c r="X196" s="12">
        <f>IF(AND(Tabela1[[#This Row],[SETOR]]="UTI",Tabela1[[#This Row],[PA2]]&lt;&gt;""),1,IF(AND(Tabela1[[#This Row],[SETOR]]="UTI (RJ)",Tabela1[[#This Row],[PA2]]&lt;&gt;""),0,0))</f>
        <v>0</v>
      </c>
      <c r="Y196" s="12">
        <f>IF(AND(Tabela1[[#This Row],[SETOR]]="UTI",Tabela1[[#This Row],[C]]&lt;&gt;""),1,IF(AND(Tabela1[[#This Row],[SETOR]]="UTI (RJ)",Tabela1[[#This Row],[C]]&lt;&gt;""),1.5,0))</f>
        <v>0</v>
      </c>
      <c r="Z196" s="12">
        <f>IF(AND(Tabela1[[#This Row],[SETOR]]="UTI",Tabela1[[#This Row],[PL]]&lt;&gt;""),1,IF(AND(Tabela1[[#This Row],[SETOR]]="UTI (RJ)",Tabela1[[#This Row],[PL]]&lt;&gt;""),1,0))</f>
        <v>0</v>
      </c>
      <c r="AA196" s="21">
        <f>IFERROR(VLOOKUP(Tabela1[[#This Row],[MÊS]]&amp;Tabela1[[#This Row],[MATRICULA]]&amp;"1"&amp;Tabela1[[#This Row],[SETOR]]&amp;"PADRÃO",BD!B:AF,31,0),"")</f>
        <v>9.479000000000001</v>
      </c>
      <c r="AB196" s="21">
        <f>IFERROR(VLOOKUP(Tabela1[[#This Row],[MÊS]]&amp;Tabela1[[#This Row],[MATRICULA]]&amp;"2"&amp;Tabela1[[#This Row],[SETOR]]&amp;"PADRÃO",BD!B:AF,31,0),"")</f>
        <v>10.004000000000001</v>
      </c>
      <c r="AC196" s="21" t="str">
        <f>IFERROR(VLOOKUP(Tabela1[[#This Row],[MÊS]]&amp;Tabela1[[#This Row],[MATRICULA]]&amp;"3"&amp;Tabela1[[#This Row],[SETOR]]&amp;"PADRÃO",BD!B:AF,31,0),"")</f>
        <v/>
      </c>
      <c r="AD196" s="21" t="str">
        <f>IFERROR(VLOOKUP(Tabela1[[#This Row],[MÊS]]&amp;Tabela1[[#This Row],[MATRICULA]]&amp;"4"&amp;Tabela1[[#This Row],[SETOR]]&amp;"PADRÃO",BD!B:AF,25,0),"")</f>
        <v/>
      </c>
      <c r="AE196" s="21" t="str">
        <f>IFERROR(VLOOKUP(Tabela1[[#This Row],[MÊS]]&amp;Tabela1[[#This Row],[MATRICULA]]&amp;"5"&amp;Tabela1[[#This Row],[SETOR]]&amp;"PADRÃO",BD!B:AF,31,0),"")</f>
        <v/>
      </c>
      <c r="AF196" s="21" t="str">
        <f>IFERROR(VLOOKUP(Tabela1[[#This Row],[MÊS]]&amp;Tabela1[[#This Row],[MATRICULA]]&amp;"6"&amp;Tabela1[[#This Row],[SETOR]]&amp;"PADRÃO",BD!B:AF,31,0),"")</f>
        <v/>
      </c>
      <c r="AG196" s="21" t="str">
        <f>IFERROR(VLOOKUP(Tabela1[[#This Row],[MÊS]]&amp;Tabela1[[#This Row],[MATRICULA]]&amp;"7"&amp;Tabela1[[#This Row],[SETOR]]&amp;"PADRÃO",BD!B:AF,31,0),"")</f>
        <v/>
      </c>
      <c r="AH196" s="21" t="str">
        <f>IFERROR(VLOOKUP(Tabela1[[#This Row],[MÊS]]&amp;Tabela1[[#This Row],[ID]]&amp;Tabela1[[#This Row],[MATRICULA]]&amp;"Receptiva"&amp;Tabela1[[#This Row],[SETOR]],BD!A:AF,31,0),"")</f>
        <v/>
      </c>
      <c r="AI196" s="21" t="str">
        <f>IFERROR(VLOOKUP(Tabela1[[#This Row],[MÊS]]&amp;Tabela1[[#This Row],[ID]]&amp;Tabela1[[#This Row],[MATRICULA]]&amp;"Receptiva 2"&amp;Tabela1[[#This Row],[SETOR]],BD!A:AF,31,0),"")</f>
        <v/>
      </c>
      <c r="AJ196" s="21" t="str">
        <f>IFERROR(VLOOKUP(Tabela1[[#This Row],[MÊS]]&amp;Tabela1[[#This Row],[ID]]&amp;Tabela1[[#This Row],[MATRICULA]]&amp;"Receptiva 3"&amp;Tabela1[[#This Row],[SETOR]],BD!A:AF,31,0),"")</f>
        <v/>
      </c>
      <c r="AK196" s="21" t="str">
        <f>IFERROR(VLOOKUP(Tabela1[[#This Row],[MÊS]]&amp;Tabela1[[#This Row],[ID]]&amp;Tabela1[[#This Row],[MATRICULA]]&amp;"Receptiva 4"&amp;Tabela1[[#This Row],[SETOR]],BD!A:AF,31,0),"")</f>
        <v/>
      </c>
      <c r="AL196" s="21">
        <f>IFERROR(VLOOKUP(Tabela1[[#This Row],[MÊS]]&amp;Tabela1[[#This Row],[MATRICULA]]&amp;"Motorista"&amp;Tabela1[[#This Row],[SETOR]],BD!A:AF,31,0),"")</f>
        <v>0</v>
      </c>
      <c r="AM196" s="21" t="str">
        <f>IFERROR(VLOOKUP(Tabela1[[#This Row],[MÊS]]&amp;Tabela1[[#This Row],[ID]]&amp;Tabela1[[#This Row],[MATRICULA]]&amp;"Motorista 2"&amp;Tabela1[[#This Row],[SETOR]],BD!A:AF,26,0),"")</f>
        <v/>
      </c>
      <c r="AN196" s="21" t="str">
        <f>IFERROR(VLOOKUP(Tabela1[[#This Row],[MÊS]]&amp;Tabela1[[#This Row],[ID]]&amp;Tabela1[[#This Row],[MATRICULA]]&amp;"Motorista 3"&amp;Tabela1[[#This Row],[SETOR]],BD!A:AF,26,0),"")</f>
        <v/>
      </c>
      <c r="AO196" s="21" t="str">
        <f>IFERROR(VLOOKUP(Tabela1[[#This Row],[MÊS]]&amp;Tabela1[[#This Row],[ID]]&amp;Tabela1[[#This Row],[MATRICULA]]&amp;"Motorista 4"&amp;Tabela1[[#This Row],[SETOR]],BD!A:AF,26,0),"")</f>
        <v/>
      </c>
      <c r="AP196" s="21" t="str">
        <f>IFERROR(VLOOKUP(Tabela1[[#This Row],[MÊS]]&amp;Tabela1[[#This Row],[MATRICULA]]&amp;"Ponto de Apoio"&amp;Tabela1[[#This Row],[SETOR]],BD!A:AF,31,0),"")</f>
        <v/>
      </c>
      <c r="AQ196" s="21" t="str">
        <f>IFERROR(VLOOKUP(Tabela1[[#This Row],[MÊS]]&amp;Tabela1[[#This Row],[ID]]&amp;Tabela1[[#This Row],[MATRICULA]]&amp;"Ponto de Apoio 2"&amp;Tabela1[[#This Row],[SETOR]],BD!A:AF,26,0),"")</f>
        <v/>
      </c>
      <c r="AR196" s="36" t="str">
        <f>IFERROR(VLOOKUP(Tabela1[[#This Row],[MÊS]]&amp;Tabela1[[#This Row],[ID]]&amp;Tabela1[[#This Row],[MATRICULA]]&amp;"Ponto de Apoio 3"&amp;Tabela1[[#This Row],[SETOR]],BD!A:AF,26,0),"")</f>
        <v/>
      </c>
      <c r="AS196" s="36" t="str">
        <f>IFERROR(VLOOKUP(Tabela1[[#This Row],[MÊS]]&amp;Tabela1[[#This Row],[ID]]&amp;Tabela1[[#This Row],[MATRICULA]]&amp;"Ponto de Apoio 4"&amp;Tabela1[[#This Row],[SETOR]],BD!A:AF,26,0),"")</f>
        <v/>
      </c>
      <c r="AT196" s="21" t="str">
        <f>IFERROR(VLOOKUP(Tabela1[[#This Row],[MÊS]]&amp;Tabela1[[#This Row],[MATRICULA]]&amp;"Cliente"&amp;Tabela1[[#This Row],[SETOR]],BD!A:AF,31,0),"")</f>
        <v/>
      </c>
      <c r="AU196" s="21" t="str">
        <f>IFERROR(VLOOKUP(Tabela1[[#This Row],[MÊS]]&amp;Tabela1[[#This Row],[ID]]&amp;Tabela1[[#This Row],[MATRICULA]]&amp;"Cliente 2"&amp;Tabela1[[#This Row],[SETOR]],BD!A:AF,26,0),"")</f>
        <v/>
      </c>
      <c r="AX196" s="21" t="str">
        <f>IFERROR(VLOOKUP(Tabela1[[#This Row],[MÊS]]&amp;Tabela1[[#This Row],[MATRICULA]]&amp;"Policia"&amp;Tabela1[[#This Row],[SETOR]],BD!A:AF,31,0),"")</f>
        <v/>
      </c>
      <c r="AY196" s="21" t="str">
        <f>IFERROR(VLOOKUP(Tabela1[[#This Row],[MÊS]]&amp;Tabela1[[#This Row],[ID]]&amp;Tabela1[[#This Row],[MATRICULA]]&amp;"Policia 2"&amp;Tabela1[[#This Row],[SETOR]],BD!A:AF,26,0),"")</f>
        <v/>
      </c>
      <c r="AZ196" s="36" t="str">
        <f>IFERROR(VLOOKUP(Tabela1[[#This Row],[MÊS]]&amp;Tabela1[[#This Row],[ID]]&amp;Tabela1[[#This Row],[MATRICULA]]&amp;"Policia 3"&amp;Tabela1[[#This Row],[SETOR]],BD!A:AF,26,0),"")</f>
        <v/>
      </c>
      <c r="BA196" s="36" t="str">
        <f>IFERROR(VLOOKUP(Tabela1[[#This Row],[MÊS]]&amp;Tabela1[[#This Row],[ID]]&amp;Tabela1[[#This Row],[MATRICULA]]&amp;"Policia 4"&amp;Tabela1[[#This Row],[SETOR]],BD!A:AF,26,0),"")</f>
        <v/>
      </c>
      <c r="BB19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6" s="21">
        <f>IFERROR(AVERAGE(Tabela1[[#This Row],[M]:[M4]]),"")</f>
        <v>0</v>
      </c>
      <c r="BD196" s="21" t="str">
        <f>IFERROR(AVERAGE(Tabela1[[#This Row],[C]:[C4]]),"")</f>
        <v/>
      </c>
      <c r="BE196" s="21" t="str">
        <f>IFERROR(AVERAGE(Tabela1[[#This Row],[PA2]:[PA 4]]),"")</f>
        <v/>
      </c>
      <c r="BF196" s="21" t="str">
        <f>IFERROR(AVERAGE(Tabela1[[#This Row],[PL]:[PL4]]),"")</f>
        <v/>
      </c>
      <c r="BG196" s="35" t="str">
        <f>IFERROR(VLOOKUP(Tabela1[[#This Row],[MÊS]]&amp;Tabela1[[#This Row],[MATRICULA]],#REF!,2,0),"")</f>
        <v/>
      </c>
      <c r="BH196" s="35" t="str">
        <f>IFERROR(VLOOKUP(Tabela1[[#This Row],[MÊS]]&amp;Tabela1[[#This Row],[MATRICULA]],#REF!,2,0),"")</f>
        <v/>
      </c>
      <c r="BI196" s="35" t="str">
        <f>IFERROR(VLOOKUP(Tabela1[[#This Row],[MÊS]]&amp;Tabela1[[#This Row],[MATRICULA]],#REF!,2,0),"")</f>
        <v/>
      </c>
      <c r="BJ196" s="35" t="str">
        <f>IFERROR(VLOOKUP(Tabela1[[#This Row],[MÊS]]&amp;Tabela1[[#This Row],[MATRICULA]],#REF!,2,0),"")</f>
        <v/>
      </c>
      <c r="BK196" s="35" t="str">
        <f>IFERROR(VLOOKUP(Tabela1[[#This Row],[MÊS]]&amp;Tabela1[[#This Row],[MATRICULA]],#REF!,2,0),"")</f>
        <v/>
      </c>
      <c r="BL196" s="21">
        <f>COUNTIF(Tabela1[[#This Row],[MOT2]:[RECEPTIVA]],"NÃO ENCONTRADA")</f>
        <v>0</v>
      </c>
      <c r="BM196" s="135" t="str">
        <f>IFERROR(VLOOKUP(Tabela1[[#This Row],[MÊS]]&amp;Tabela1[[#This Row],[ID]]&amp;Tabela1[[#This Row],[MATRICULA]]&amp;"Motorista"&amp;Tabela1[[#This Row],[SETOR]],BD!A:AF,13,0),"")</f>
        <v/>
      </c>
      <c r="BN196" s="135" t="str">
        <f>IFERROR(VLOOKUP(Tabela1[[#This Row],[MÊS]]&amp;Tabela1[[#This Row],[ID]]&amp;Tabela1[[#This Row],[MATRICULA]]&amp;"Motorista 2"&amp;Tabela1[[#This Row],[SETOR]],BD!A:AF,13,0),"")</f>
        <v/>
      </c>
      <c r="BO196" s="135" t="str">
        <f>IFERROR(VLOOKUP(Tabela1[[#This Row],[MÊS]]&amp;Tabela1[[#This Row],[ID]]&amp;Tabela1[[#This Row],[MATRICULA]]&amp;"Motorista 3"&amp;Tabela1[[#This Row],[SETOR]],BD!A:AF,13,0),"")</f>
        <v/>
      </c>
      <c r="BP196" s="135" t="str">
        <f>IFERROR(VLOOKUP(Tabela1[[#This Row],[MÊS]]&amp;Tabela1[[#This Row],[ID]]&amp;Tabela1[[#This Row],[MATRICULA]]&amp;"Motorista 4"&amp;Tabela1[[#This Row],[SETOR]],BD!A:AF,13,0),"")</f>
        <v/>
      </c>
      <c r="BQ196" s="135" t="str">
        <f>IFERROR(AVERAGE(Tabela1[[#This Row],[DMOT]:[DMOT4]]),"")</f>
        <v/>
      </c>
      <c r="BR196" s="135" t="str">
        <f>IFERROR(VLOOKUP(Tabela1[[#This Row],[MÊS]]&amp;Tabela1[[#This Row],[ID]]&amp;Tabela1[[#This Row],[MATRICULA]]&amp;"Ponto de Apoio"&amp;Tabela1[[#This Row],[SETOR]],BD!A:AF,13,0),"")</f>
        <v/>
      </c>
      <c r="BS196" s="135" t="str">
        <f>IFERROR(VLOOKUP(Tabela1[[#This Row],[MÊS]]&amp;Tabela1[[#This Row],[ID]]&amp;Tabela1[[#This Row],[MATRICULA]]&amp;"Ponto de Apoio 2"&amp;Tabela1[[#This Row],[SETOR]],BD!A:AF,13,0),"")</f>
        <v/>
      </c>
      <c r="BT196" s="135" t="str">
        <f>IFERROR(VLOOKUP(Tabela1[[#This Row],[MÊS]]&amp;Tabela1[[#This Row],[ID]]&amp;Tabela1[[#This Row],[MATRICULA]]&amp;"Ponto de Apoio 3"&amp;Tabela1[[#This Row],[SETOR]],BD!A:AF,13,0),"")</f>
        <v/>
      </c>
      <c r="BU196" s="135" t="str">
        <f>IFERROR(VLOOKUP(Tabela1[[#This Row],[MÊS]]&amp;Tabela1[[#This Row],[ID]]&amp;Tabela1[[#This Row],[MATRICULA]]&amp;"Ponto de Apoio 4"&amp;Tabela1[[#This Row],[SETOR]],BD!A:AF,13,0),"")</f>
        <v/>
      </c>
      <c r="BV196" s="135" t="str">
        <f>IFERROR(AVERAGE(Tabela1[[#This Row],[DPA]:[DPA 4]]),"")</f>
        <v/>
      </c>
      <c r="BW196" s="135" t="str">
        <f>IFERROR(VLOOKUP(Tabela1[[#This Row],[MÊS]]&amp;Tabela1[[#This Row],[ID]]&amp;Tabela1[[#This Row],[MATRICULA]]&amp;"Cliente"&amp;Tabela1[[#This Row],[SETOR]],BD!A:AF,13,0),"")</f>
        <v/>
      </c>
      <c r="BX196" s="135" t="str">
        <f>IFERROR(VLOOKUP(Tabela1[[#This Row],[MÊS]]&amp;Tabela1[[#This Row],[ID]]&amp;Tabela1[[#This Row],[MATRICULA]]&amp;"cliente 2"&amp;Tabela1[[#This Row],[SETOR]],BD!A:AF,13,0),"")</f>
        <v/>
      </c>
      <c r="BY196" s="135" t="str">
        <f>IFERROR(VLOOKUP(Tabela1[[#This Row],[MÊS]]&amp;Tabela1[[#This Row],[ID]]&amp;Tabela1[[#This Row],[MATRICULA]]&amp;"cliente 3"&amp;Tabela1[[#This Row],[SETOR]],BD!A:AF,13,0),"")</f>
        <v/>
      </c>
      <c r="BZ196" s="135" t="str">
        <f>IFERROR(VLOOKUP(Tabela1[[#This Row],[MÊS]]&amp;Tabela1[[#This Row],[ID]]&amp;Tabela1[[#This Row],[MATRICULA]]&amp;"cliente 4"&amp;Tabela1[[#This Row],[SETOR]],BD!A:AF,13,0),"")</f>
        <v/>
      </c>
      <c r="CA196" s="135" t="str">
        <f>IFERROR(AVERAGE(Tabela1[[#This Row],[DCLI]:[DCLI 4]]),"")</f>
        <v/>
      </c>
      <c r="CB196" s="135" t="str">
        <f>IFERROR(VLOOKUP(Tabela1[[#This Row],[MÊS]]&amp;Tabela1[[#This Row],[ID]]&amp;Tabela1[[#This Row],[MATRICULA]]&amp;"Policia"&amp;Tabela1[[#This Row],[SETOR]],BD!A:AF,13,0),"")</f>
        <v/>
      </c>
      <c r="CC196" s="135" t="str">
        <f>IFERROR(VLOOKUP(Tabela1[[#This Row],[MÊS]]&amp;Tabela1[[#This Row],[ID]]&amp;Tabela1[[#This Row],[MATRICULA]]&amp;"Policia 2"&amp;Tabela1[[#This Row],[SETOR]],BD!A:AF,13,0),"")</f>
        <v/>
      </c>
      <c r="CD196" s="135"/>
      <c r="CE196" s="135"/>
      <c r="CF196" s="135" t="str">
        <f>IFERROR((AVERAGE(Tabela1[[#This Row],[DPOL1]:[DPOL4]])),"")</f>
        <v/>
      </c>
      <c r="CG196" s="21" t="str">
        <f>IFERROR(VLOOKUP(Tabela1[[#This Row],[ID]]&amp;Tabela1[[#This Row],[MÊS]]&amp;Tabela1[[#This Row],[MATRICULA]],#REF!,2,0),"")</f>
        <v/>
      </c>
      <c r="CH196" s="21" t="str">
        <f>IFERROR(VLOOKUP(Tabela1[[#This Row],[ID]]&amp;Tabela1[[#This Row],[MÊS]]&amp;Tabela1[[#This Row],[MATRICULA]],#REF!,2,0),"")</f>
        <v/>
      </c>
      <c r="CI196" s="21" t="str">
        <f>IFERROR(VLOOKUP(Tabela1[[#This Row],[MÊS]]&amp;Tabela1[[#This Row],[MATRICULA]],#REF!,2,0),"")</f>
        <v/>
      </c>
    </row>
    <row r="197" spans="1:87">
      <c r="A197" s="12" t="str">
        <f>Tabela1[[#This Row],[MÊS]]&amp;Tabela1[[#This Row],[MATRICULA]]&amp;Tabela1[[#This Row],[ID]]</f>
        <v>JAN112862</v>
      </c>
      <c r="B197" s="12" t="str">
        <f>Tabela1[[#This Row],[MÊS]]&amp;Tabela1[[#This Row],[ID]]&amp;Tabela1[[#This Row],[MATRICULA]]&amp;Tabela1[[#This Row],[SETOR]]</f>
        <v>JAN211286TRANSFERÊNCIA</v>
      </c>
      <c r="C197" s="130" t="e">
        <f>VLOOKUP(Tabela1[[#This Row],[MATRICULA]],'BD Campos'!A:D,5,0)</f>
        <v>#REF!</v>
      </c>
      <c r="D197" s="133" t="str">
        <f ca="1">IFERROR(SUM(TODAY()-Tabela1[[#This Row],[ADMISSÃO]]),"")</f>
        <v/>
      </c>
      <c r="E197" s="11" t="str">
        <f ca="1">IFERROR(TRUNC(Tabela1[[#This Row],[TEMPO DE CASA (DIAS)]]/30),"")</f>
        <v/>
      </c>
      <c r="F197" s="32" t="str">
        <f ca="1">IFERROR(SUM(Tabela1[[#This Row],[TEMPO DE CASA (MESES)]]/12),"")</f>
        <v/>
      </c>
      <c r="G197" s="133" t="str">
        <f ca="1">IF(Tabela1[[#This Row],[TEMPO DE CASA (DIAS)]]="","SEM DADOS",IF(Tabela1[[#This Row],[TEMPO DE CASA (DIAS)]]&gt;180,"&gt; 6 MESES","&lt; 6 MESES"))</f>
        <v>SEM DADOS</v>
      </c>
      <c r="H197" s="12" t="str">
        <f t="shared" si="18"/>
        <v>JANRodrigo Barros2</v>
      </c>
      <c r="I197" s="12" t="str">
        <f>IFERROR(VLOOKUP(Tabela1[[#This Row],[MATRICULA]],'BD Campos'!A:F,7,0),"")</f>
        <v/>
      </c>
      <c r="J197" s="11">
        <v>2</v>
      </c>
      <c r="K197" s="11" t="s">
        <v>669</v>
      </c>
      <c r="L197" s="136">
        <v>11286</v>
      </c>
      <c r="M197" s="12" t="str">
        <f>IFERROR(VLOOKUP(Tabela1[[#This Row],[MATRICULA]],'BD Campos'!A:B,2,0),"")</f>
        <v>ISMAEL ELIAS BRANCO PEREIRA</v>
      </c>
      <c r="N197" s="20">
        <f>IFERROR(AVERAGE(Tabela1[[#This Row],[A1]:[A4]]),"")</f>
        <v>9.2932500000000005</v>
      </c>
      <c r="O197" s="20" t="str">
        <f>IFERROR(IF(Tabela1[[#This Row],[SETOR]]="RECEPTIVO","",AVERAGE(Tabela1[[#This Row],[A5]:[A6]])),"")</f>
        <v/>
      </c>
      <c r="P197" s="20" t="str">
        <f>IFERROR(IF(Tabela1[[#This Row],[STATUS]]="INATIVO","INATIVO",IF(Tabela1[[#This Row],[STATUS]]="QRT","INATIVO",IF(Tabela1[[#This Row],[OPERACIONAL]]&gt;7.99999,"BOM","RUIM"))),"")</f>
        <v>BOM</v>
      </c>
      <c r="Q197" s="21" t="s">
        <v>667</v>
      </c>
      <c r="R197" s="12" t="s">
        <v>714</v>
      </c>
      <c r="S197" s="12" t="s">
        <v>715</v>
      </c>
      <c r="T197" s="12" t="s">
        <v>192</v>
      </c>
      <c r="U19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7" s="12">
        <f>IF(AND(Tabela1[[#This Row],[SETOR]]="UTI",Tabela1[[#This Row],[M]]&lt;&gt;""),1,IF(AND(Tabela1[[#This Row],[SETOR]]="UTI (RJ)",Tabela1[[#This Row],[M]]&lt;&gt;""),1.5,0))</f>
        <v>0</v>
      </c>
      <c r="X197" s="12">
        <f>IF(AND(Tabela1[[#This Row],[SETOR]]="UTI",Tabela1[[#This Row],[PA2]]&lt;&gt;""),1,IF(AND(Tabela1[[#This Row],[SETOR]]="UTI (RJ)",Tabela1[[#This Row],[PA2]]&lt;&gt;""),0,0))</f>
        <v>0</v>
      </c>
      <c r="Y197" s="12">
        <f>IF(AND(Tabela1[[#This Row],[SETOR]]="UTI",Tabela1[[#This Row],[C]]&lt;&gt;""),1,IF(AND(Tabela1[[#This Row],[SETOR]]="UTI (RJ)",Tabela1[[#This Row],[C]]&lt;&gt;""),1.5,0))</f>
        <v>0</v>
      </c>
      <c r="Z197" s="12">
        <f>IF(AND(Tabela1[[#This Row],[SETOR]]="UTI",Tabela1[[#This Row],[PL]]&lt;&gt;""),1,IF(AND(Tabela1[[#This Row],[SETOR]]="UTI (RJ)",Tabela1[[#This Row],[PL]]&lt;&gt;""),1,0))</f>
        <v>0</v>
      </c>
      <c r="AA197" s="21">
        <f>IFERROR(VLOOKUP(Tabela1[[#This Row],[MÊS]]&amp;Tabela1[[#This Row],[MATRICULA]]&amp;"1"&amp;Tabela1[[#This Row],[SETOR]]&amp;"PADRÃO",BD!B:AF,31,0),"")</f>
        <v>8.8974999999999991</v>
      </c>
      <c r="AB197" s="21">
        <f>IFERROR(VLOOKUP(Tabela1[[#This Row],[MÊS]]&amp;Tabela1[[#This Row],[MATRICULA]]&amp;"2"&amp;Tabela1[[#This Row],[SETOR]]&amp;"PADRÃO",BD!B:AF,31,0),"")</f>
        <v>9.6890000000000001</v>
      </c>
      <c r="AC197" s="21" t="str">
        <f>IFERROR(VLOOKUP(Tabela1[[#This Row],[MÊS]]&amp;Tabela1[[#This Row],[MATRICULA]]&amp;"3"&amp;Tabela1[[#This Row],[SETOR]]&amp;"PADRÃO",BD!B:AF,31,0),"")</f>
        <v/>
      </c>
      <c r="AD197" s="21" t="str">
        <f>IFERROR(VLOOKUP(Tabela1[[#This Row],[MÊS]]&amp;Tabela1[[#This Row],[MATRICULA]]&amp;"4"&amp;Tabela1[[#This Row],[SETOR]]&amp;"PADRÃO",BD!B:AF,25,0),"")</f>
        <v/>
      </c>
      <c r="AE197" s="21" t="str">
        <f>IFERROR(VLOOKUP(Tabela1[[#This Row],[MÊS]]&amp;Tabela1[[#This Row],[MATRICULA]]&amp;"5"&amp;Tabela1[[#This Row],[SETOR]]&amp;"PADRÃO",BD!B:AF,31,0),"")</f>
        <v/>
      </c>
      <c r="AF197" s="21" t="str">
        <f>IFERROR(VLOOKUP(Tabela1[[#This Row],[MÊS]]&amp;Tabela1[[#This Row],[MATRICULA]]&amp;"6"&amp;Tabela1[[#This Row],[SETOR]]&amp;"PADRÃO",BD!B:AF,31,0),"")</f>
        <v/>
      </c>
      <c r="AG197" s="21" t="str">
        <f>IFERROR(VLOOKUP(Tabela1[[#This Row],[MÊS]]&amp;Tabela1[[#This Row],[MATRICULA]]&amp;"7"&amp;Tabela1[[#This Row],[SETOR]]&amp;"PADRÃO",BD!B:AF,31,0),"")</f>
        <v/>
      </c>
      <c r="AH197" s="21" t="str">
        <f>IFERROR(VLOOKUP(Tabela1[[#This Row],[MÊS]]&amp;Tabela1[[#This Row],[ID]]&amp;Tabela1[[#This Row],[MATRICULA]]&amp;"Receptiva"&amp;Tabela1[[#This Row],[SETOR]],BD!A:AF,31,0),"")</f>
        <v/>
      </c>
      <c r="AI197" s="21" t="str">
        <f>IFERROR(VLOOKUP(Tabela1[[#This Row],[MÊS]]&amp;Tabela1[[#This Row],[ID]]&amp;Tabela1[[#This Row],[MATRICULA]]&amp;"Receptiva 2"&amp;Tabela1[[#This Row],[SETOR]],BD!A:AF,31,0),"")</f>
        <v/>
      </c>
      <c r="AJ197" s="21" t="str">
        <f>IFERROR(VLOOKUP(Tabela1[[#This Row],[MÊS]]&amp;Tabela1[[#This Row],[ID]]&amp;Tabela1[[#This Row],[MATRICULA]]&amp;"Receptiva 3"&amp;Tabela1[[#This Row],[SETOR]],BD!A:AF,31,0),"")</f>
        <v/>
      </c>
      <c r="AK197" s="21" t="str">
        <f>IFERROR(VLOOKUP(Tabela1[[#This Row],[MÊS]]&amp;Tabela1[[#This Row],[ID]]&amp;Tabela1[[#This Row],[MATRICULA]]&amp;"Receptiva 4"&amp;Tabela1[[#This Row],[SETOR]],BD!A:AF,31,0),"")</f>
        <v/>
      </c>
      <c r="AL197" s="21">
        <f>IFERROR(VLOOKUP(Tabela1[[#This Row],[MÊS]]&amp;Tabela1[[#This Row],[MATRICULA]]&amp;"Motorista"&amp;Tabela1[[#This Row],[SETOR]],BD!A:AF,31,0),"")</f>
        <v>0</v>
      </c>
      <c r="AM197" s="21" t="str">
        <f>IFERROR(VLOOKUP(Tabela1[[#This Row],[MÊS]]&amp;Tabela1[[#This Row],[ID]]&amp;Tabela1[[#This Row],[MATRICULA]]&amp;"Motorista 2"&amp;Tabela1[[#This Row],[SETOR]],BD!A:AF,26,0),"")</f>
        <v/>
      </c>
      <c r="AN197" s="21" t="str">
        <f>IFERROR(VLOOKUP(Tabela1[[#This Row],[MÊS]]&amp;Tabela1[[#This Row],[ID]]&amp;Tabela1[[#This Row],[MATRICULA]]&amp;"Motorista 3"&amp;Tabela1[[#This Row],[SETOR]],BD!A:AF,26,0),"")</f>
        <v/>
      </c>
      <c r="AO197" s="21" t="str">
        <f>IFERROR(VLOOKUP(Tabela1[[#This Row],[MÊS]]&amp;Tabela1[[#This Row],[ID]]&amp;Tabela1[[#This Row],[MATRICULA]]&amp;"Motorista 4"&amp;Tabela1[[#This Row],[SETOR]],BD!A:AF,26,0),"")</f>
        <v/>
      </c>
      <c r="AP197" s="21" t="str">
        <f>IFERROR(VLOOKUP(Tabela1[[#This Row],[MÊS]]&amp;Tabela1[[#This Row],[MATRICULA]]&amp;"Ponto de Apoio"&amp;Tabela1[[#This Row],[SETOR]],BD!A:AF,31,0),"")</f>
        <v/>
      </c>
      <c r="AQ197" s="21" t="str">
        <f>IFERROR(VLOOKUP(Tabela1[[#This Row],[MÊS]]&amp;Tabela1[[#This Row],[ID]]&amp;Tabela1[[#This Row],[MATRICULA]]&amp;"Ponto de Apoio 2"&amp;Tabela1[[#This Row],[SETOR]],BD!A:AF,26,0),"")</f>
        <v/>
      </c>
      <c r="AR197" s="36" t="str">
        <f>IFERROR(VLOOKUP(Tabela1[[#This Row],[MÊS]]&amp;Tabela1[[#This Row],[ID]]&amp;Tabela1[[#This Row],[MATRICULA]]&amp;"Ponto de Apoio 3"&amp;Tabela1[[#This Row],[SETOR]],BD!A:AF,26,0),"")</f>
        <v/>
      </c>
      <c r="AS197" s="36" t="str">
        <f>IFERROR(VLOOKUP(Tabela1[[#This Row],[MÊS]]&amp;Tabela1[[#This Row],[ID]]&amp;Tabela1[[#This Row],[MATRICULA]]&amp;"Ponto de Apoio 4"&amp;Tabela1[[#This Row],[SETOR]],BD!A:AF,26,0),"")</f>
        <v/>
      </c>
      <c r="AT197" s="21" t="str">
        <f>IFERROR(VLOOKUP(Tabela1[[#This Row],[MÊS]]&amp;Tabela1[[#This Row],[MATRICULA]]&amp;"Cliente"&amp;Tabela1[[#This Row],[SETOR]],BD!A:AF,31,0),"")</f>
        <v/>
      </c>
      <c r="AU197" s="21" t="str">
        <f>IFERROR(VLOOKUP(Tabela1[[#This Row],[MÊS]]&amp;Tabela1[[#This Row],[ID]]&amp;Tabela1[[#This Row],[MATRICULA]]&amp;"Cliente 2"&amp;Tabela1[[#This Row],[SETOR]],BD!A:AF,26,0),"")</f>
        <v/>
      </c>
      <c r="AX197" s="21" t="str">
        <f>IFERROR(VLOOKUP(Tabela1[[#This Row],[MÊS]]&amp;Tabela1[[#This Row],[MATRICULA]]&amp;"Policia"&amp;Tabela1[[#This Row],[SETOR]],BD!A:AF,31,0),"")</f>
        <v/>
      </c>
      <c r="AY197" s="21" t="str">
        <f>IFERROR(VLOOKUP(Tabela1[[#This Row],[MÊS]]&amp;Tabela1[[#This Row],[ID]]&amp;Tabela1[[#This Row],[MATRICULA]]&amp;"Policia 2"&amp;Tabela1[[#This Row],[SETOR]],BD!A:AF,26,0),"")</f>
        <v/>
      </c>
      <c r="AZ197" s="36" t="str">
        <f>IFERROR(VLOOKUP(Tabela1[[#This Row],[MÊS]]&amp;Tabela1[[#This Row],[ID]]&amp;Tabela1[[#This Row],[MATRICULA]]&amp;"Policia 3"&amp;Tabela1[[#This Row],[SETOR]],BD!A:AF,26,0),"")</f>
        <v/>
      </c>
      <c r="BA197" s="36" t="str">
        <f>IFERROR(VLOOKUP(Tabela1[[#This Row],[MÊS]]&amp;Tabela1[[#This Row],[ID]]&amp;Tabela1[[#This Row],[MATRICULA]]&amp;"Policia 4"&amp;Tabela1[[#This Row],[SETOR]],BD!A:AF,26,0),"")</f>
        <v/>
      </c>
      <c r="BB19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7" s="21">
        <f>IFERROR(AVERAGE(Tabela1[[#This Row],[M]:[M4]]),"")</f>
        <v>0</v>
      </c>
      <c r="BD197" s="21" t="str">
        <f>IFERROR(AVERAGE(Tabela1[[#This Row],[C]:[C4]]),"")</f>
        <v/>
      </c>
      <c r="BE197" s="21" t="str">
        <f>IFERROR(AVERAGE(Tabela1[[#This Row],[PA2]:[PA 4]]),"")</f>
        <v/>
      </c>
      <c r="BF197" s="21" t="str">
        <f>IFERROR(AVERAGE(Tabela1[[#This Row],[PL]:[PL4]]),"")</f>
        <v/>
      </c>
      <c r="BG197" s="35" t="str">
        <f>IFERROR(VLOOKUP(Tabela1[[#This Row],[MÊS]]&amp;Tabela1[[#This Row],[MATRICULA]],#REF!,2,0),"")</f>
        <v/>
      </c>
      <c r="BH197" s="35" t="str">
        <f>IFERROR(VLOOKUP(Tabela1[[#This Row],[MÊS]]&amp;Tabela1[[#This Row],[MATRICULA]],#REF!,2,0),"")</f>
        <v/>
      </c>
      <c r="BI197" s="35" t="str">
        <f>IFERROR(VLOOKUP(Tabela1[[#This Row],[MÊS]]&amp;Tabela1[[#This Row],[MATRICULA]],#REF!,2,0),"")</f>
        <v/>
      </c>
      <c r="BJ197" s="35" t="str">
        <f>IFERROR(VLOOKUP(Tabela1[[#This Row],[MÊS]]&amp;Tabela1[[#This Row],[MATRICULA]],#REF!,2,0),"")</f>
        <v/>
      </c>
      <c r="BK197" s="35" t="str">
        <f>IFERROR(VLOOKUP(Tabela1[[#This Row],[MÊS]]&amp;Tabela1[[#This Row],[MATRICULA]],#REF!,2,0),"")</f>
        <v/>
      </c>
      <c r="BL197" s="21">
        <f>COUNTIF(Tabela1[[#This Row],[MOT2]:[RECEPTIVA]],"NÃO ENCONTRADA")</f>
        <v>0</v>
      </c>
      <c r="BM197" s="135" t="str">
        <f>IFERROR(VLOOKUP(Tabela1[[#This Row],[MÊS]]&amp;Tabela1[[#This Row],[ID]]&amp;Tabela1[[#This Row],[MATRICULA]]&amp;"Motorista"&amp;Tabela1[[#This Row],[SETOR]],BD!A:AF,13,0),"")</f>
        <v/>
      </c>
      <c r="BN197" s="135" t="str">
        <f>IFERROR(VLOOKUP(Tabela1[[#This Row],[MÊS]]&amp;Tabela1[[#This Row],[ID]]&amp;Tabela1[[#This Row],[MATRICULA]]&amp;"Motorista 2"&amp;Tabela1[[#This Row],[SETOR]],BD!A:AF,13,0),"")</f>
        <v/>
      </c>
      <c r="BO197" s="135" t="str">
        <f>IFERROR(VLOOKUP(Tabela1[[#This Row],[MÊS]]&amp;Tabela1[[#This Row],[ID]]&amp;Tabela1[[#This Row],[MATRICULA]]&amp;"Motorista 3"&amp;Tabela1[[#This Row],[SETOR]],BD!A:AF,13,0),"")</f>
        <v/>
      </c>
      <c r="BP197" s="135" t="str">
        <f>IFERROR(VLOOKUP(Tabela1[[#This Row],[MÊS]]&amp;Tabela1[[#This Row],[ID]]&amp;Tabela1[[#This Row],[MATRICULA]]&amp;"Motorista 4"&amp;Tabela1[[#This Row],[SETOR]],BD!A:AF,13,0),"")</f>
        <v/>
      </c>
      <c r="BQ197" s="135" t="str">
        <f>IFERROR(AVERAGE(Tabela1[[#This Row],[DMOT]:[DMOT4]]),"")</f>
        <v/>
      </c>
      <c r="BR197" s="135" t="str">
        <f>IFERROR(VLOOKUP(Tabela1[[#This Row],[MÊS]]&amp;Tabela1[[#This Row],[ID]]&amp;Tabela1[[#This Row],[MATRICULA]]&amp;"Ponto de Apoio"&amp;Tabela1[[#This Row],[SETOR]],BD!A:AF,13,0),"")</f>
        <v/>
      </c>
      <c r="BS197" s="135" t="str">
        <f>IFERROR(VLOOKUP(Tabela1[[#This Row],[MÊS]]&amp;Tabela1[[#This Row],[ID]]&amp;Tabela1[[#This Row],[MATRICULA]]&amp;"Ponto de Apoio 2"&amp;Tabela1[[#This Row],[SETOR]],BD!A:AF,13,0),"")</f>
        <v/>
      </c>
      <c r="BT197" s="135" t="str">
        <f>IFERROR(VLOOKUP(Tabela1[[#This Row],[MÊS]]&amp;Tabela1[[#This Row],[ID]]&amp;Tabela1[[#This Row],[MATRICULA]]&amp;"Ponto de Apoio 3"&amp;Tabela1[[#This Row],[SETOR]],BD!A:AF,13,0),"")</f>
        <v/>
      </c>
      <c r="BU197" s="135" t="str">
        <f>IFERROR(VLOOKUP(Tabela1[[#This Row],[MÊS]]&amp;Tabela1[[#This Row],[ID]]&amp;Tabela1[[#This Row],[MATRICULA]]&amp;"Ponto de Apoio 4"&amp;Tabela1[[#This Row],[SETOR]],BD!A:AF,13,0),"")</f>
        <v/>
      </c>
      <c r="BV197" s="135" t="str">
        <f>IFERROR(AVERAGE(Tabela1[[#This Row],[DPA]:[DPA 4]]),"")</f>
        <v/>
      </c>
      <c r="BW197" s="135" t="str">
        <f>IFERROR(VLOOKUP(Tabela1[[#This Row],[MÊS]]&amp;Tabela1[[#This Row],[ID]]&amp;Tabela1[[#This Row],[MATRICULA]]&amp;"Cliente"&amp;Tabela1[[#This Row],[SETOR]],BD!A:AF,13,0),"")</f>
        <v/>
      </c>
      <c r="BX197" s="135" t="str">
        <f>IFERROR(VLOOKUP(Tabela1[[#This Row],[MÊS]]&amp;Tabela1[[#This Row],[ID]]&amp;Tabela1[[#This Row],[MATRICULA]]&amp;"cliente 2"&amp;Tabela1[[#This Row],[SETOR]],BD!A:AF,13,0),"")</f>
        <v/>
      </c>
      <c r="BY197" s="135" t="str">
        <f>IFERROR(VLOOKUP(Tabela1[[#This Row],[MÊS]]&amp;Tabela1[[#This Row],[ID]]&amp;Tabela1[[#This Row],[MATRICULA]]&amp;"cliente 3"&amp;Tabela1[[#This Row],[SETOR]],BD!A:AF,13,0),"")</f>
        <v/>
      </c>
      <c r="BZ197" s="135" t="str">
        <f>IFERROR(VLOOKUP(Tabela1[[#This Row],[MÊS]]&amp;Tabela1[[#This Row],[ID]]&amp;Tabela1[[#This Row],[MATRICULA]]&amp;"cliente 4"&amp;Tabela1[[#This Row],[SETOR]],BD!A:AF,13,0),"")</f>
        <v/>
      </c>
      <c r="CA197" s="135" t="str">
        <f>IFERROR(AVERAGE(Tabela1[[#This Row],[DCLI]:[DCLI 4]]),"")</f>
        <v/>
      </c>
      <c r="CB197" s="135" t="str">
        <f>IFERROR(VLOOKUP(Tabela1[[#This Row],[MÊS]]&amp;Tabela1[[#This Row],[ID]]&amp;Tabela1[[#This Row],[MATRICULA]]&amp;"Policia"&amp;Tabela1[[#This Row],[SETOR]],BD!A:AF,13,0),"")</f>
        <v/>
      </c>
      <c r="CC197" s="135" t="str">
        <f>IFERROR(VLOOKUP(Tabela1[[#This Row],[MÊS]]&amp;Tabela1[[#This Row],[ID]]&amp;Tabela1[[#This Row],[MATRICULA]]&amp;"Policia 2"&amp;Tabela1[[#This Row],[SETOR]],BD!A:AF,13,0),"")</f>
        <v/>
      </c>
      <c r="CD197" s="135"/>
      <c r="CE197" s="135"/>
      <c r="CF197" s="135" t="str">
        <f>IFERROR((AVERAGE(Tabela1[[#This Row],[DPOL1]:[DPOL4]])),"")</f>
        <v/>
      </c>
      <c r="CG197" s="21" t="str">
        <f>IFERROR(VLOOKUP(Tabela1[[#This Row],[ID]]&amp;Tabela1[[#This Row],[MÊS]]&amp;Tabela1[[#This Row],[MATRICULA]],#REF!,2,0),"")</f>
        <v/>
      </c>
      <c r="CH197" s="21" t="str">
        <f>IFERROR(VLOOKUP(Tabela1[[#This Row],[ID]]&amp;Tabela1[[#This Row],[MÊS]]&amp;Tabela1[[#This Row],[MATRICULA]],#REF!,2,0),"")</f>
        <v/>
      </c>
      <c r="CI197" s="21" t="str">
        <f>IFERROR(VLOOKUP(Tabela1[[#This Row],[MÊS]]&amp;Tabela1[[#This Row],[MATRICULA]],#REF!,2,0),"")</f>
        <v/>
      </c>
    </row>
    <row r="198" spans="1:87">
      <c r="A198" s="12" t="str">
        <f>Tabela1[[#This Row],[MÊS]]&amp;Tabela1[[#This Row],[MATRICULA]]&amp;Tabela1[[#This Row],[ID]]</f>
        <v>JAN113263</v>
      </c>
      <c r="B198" s="12" t="str">
        <f>Tabela1[[#This Row],[MÊS]]&amp;Tabela1[[#This Row],[ID]]&amp;Tabela1[[#This Row],[MATRICULA]]&amp;Tabela1[[#This Row],[SETOR]]</f>
        <v>JAN311326TRANSFERÊNCIA</v>
      </c>
      <c r="C198" s="130" t="e">
        <f>VLOOKUP(Tabela1[[#This Row],[MATRICULA]],'BD Campos'!A:D,5,0)</f>
        <v>#REF!</v>
      </c>
      <c r="D198" s="133" t="str">
        <f ca="1">IFERROR(SUM(TODAY()-Tabela1[[#This Row],[ADMISSÃO]]),"")</f>
        <v/>
      </c>
      <c r="E198" s="11" t="str">
        <f ca="1">IFERROR(TRUNC(Tabela1[[#This Row],[TEMPO DE CASA (DIAS)]]/30),"")</f>
        <v/>
      </c>
      <c r="F198" s="32" t="str">
        <f ca="1">IFERROR(SUM(Tabela1[[#This Row],[TEMPO DE CASA (MESES)]]/12),"")</f>
        <v/>
      </c>
      <c r="G198" s="133" t="str">
        <f ca="1">IF(Tabela1[[#This Row],[TEMPO DE CASA (DIAS)]]="","SEM DADOS",IF(Tabela1[[#This Row],[TEMPO DE CASA (DIAS)]]&gt;180,"&gt; 6 MESES","&lt; 6 MESES"))</f>
        <v>SEM DADOS</v>
      </c>
      <c r="H198" s="12" t="str">
        <f t="shared" si="18"/>
        <v>JANRodrigo Barros3</v>
      </c>
      <c r="I198" s="12" t="str">
        <f>IFERROR(VLOOKUP(Tabela1[[#This Row],[MATRICULA]],'BD Campos'!A:F,7,0),"")</f>
        <v/>
      </c>
      <c r="J198" s="11">
        <v>3</v>
      </c>
      <c r="K198" s="11" t="s">
        <v>669</v>
      </c>
      <c r="L198" s="136">
        <v>11326</v>
      </c>
      <c r="M198" s="12" t="str">
        <f>IFERROR(VLOOKUP(Tabela1[[#This Row],[MATRICULA]],'BD Campos'!A:B,2,0),"")</f>
        <v>JOÃO GABRIEL MILLER FLORINDO</v>
      </c>
      <c r="N198" s="20">
        <f>IFERROR(AVERAGE(Tabela1[[#This Row],[A1]:[A4]]),"")</f>
        <v>0</v>
      </c>
      <c r="O198" s="20" t="str">
        <f>IFERROR(IF(Tabela1[[#This Row],[SETOR]]="RECEPTIVO","",AVERAGE(Tabela1[[#This Row],[A5]:[A6]])),"")</f>
        <v/>
      </c>
      <c r="P198" s="20" t="str">
        <f>IFERROR(IF(Tabela1[[#This Row],[STATUS]]="INATIVO","INATIVO",IF(Tabela1[[#This Row],[STATUS]]="QRT","INATIVO",IF(Tabela1[[#This Row],[OPERACIONAL]]&gt;7.99999,"BOM","RUIM"))),"")</f>
        <v>RUIM</v>
      </c>
      <c r="Q198" s="21" t="s">
        <v>667</v>
      </c>
      <c r="R198" s="12" t="s">
        <v>714</v>
      </c>
      <c r="S198" s="12" t="s">
        <v>715</v>
      </c>
      <c r="T198" s="12" t="s">
        <v>192</v>
      </c>
      <c r="U19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8" s="12">
        <f>IF(AND(Tabela1[[#This Row],[SETOR]]="UTI",Tabela1[[#This Row],[M]]&lt;&gt;""),1,IF(AND(Tabela1[[#This Row],[SETOR]]="UTI (RJ)",Tabela1[[#This Row],[M]]&lt;&gt;""),1.5,0))</f>
        <v>0</v>
      </c>
      <c r="X198" s="12">
        <f>IF(AND(Tabela1[[#This Row],[SETOR]]="UTI",Tabela1[[#This Row],[PA2]]&lt;&gt;""),1,IF(AND(Tabela1[[#This Row],[SETOR]]="UTI (RJ)",Tabela1[[#This Row],[PA2]]&lt;&gt;""),0,0))</f>
        <v>0</v>
      </c>
      <c r="Y198" s="12">
        <f>IF(AND(Tabela1[[#This Row],[SETOR]]="UTI",Tabela1[[#This Row],[C]]&lt;&gt;""),1,IF(AND(Tabela1[[#This Row],[SETOR]]="UTI (RJ)",Tabela1[[#This Row],[C]]&lt;&gt;""),1.5,0))</f>
        <v>0</v>
      </c>
      <c r="Z198" s="12">
        <f>IF(AND(Tabela1[[#This Row],[SETOR]]="UTI",Tabela1[[#This Row],[PL]]&lt;&gt;""),1,IF(AND(Tabela1[[#This Row],[SETOR]]="UTI (RJ)",Tabela1[[#This Row],[PL]]&lt;&gt;""),1,0))</f>
        <v>0</v>
      </c>
      <c r="AA198" s="21">
        <f>IFERROR(VLOOKUP(Tabela1[[#This Row],[MÊS]]&amp;Tabela1[[#This Row],[MATRICULA]]&amp;"1"&amp;Tabela1[[#This Row],[SETOR]]&amp;"PADRÃO",BD!B:AF,31,0),"")</f>
        <v>0</v>
      </c>
      <c r="AB198" s="21">
        <f>IFERROR(VLOOKUP(Tabela1[[#This Row],[MÊS]]&amp;Tabela1[[#This Row],[MATRICULA]]&amp;"2"&amp;Tabela1[[#This Row],[SETOR]]&amp;"PADRÃO",BD!B:AF,31,0),"")</f>
        <v>0</v>
      </c>
      <c r="AC198" s="21" t="str">
        <f>IFERROR(VLOOKUP(Tabela1[[#This Row],[MÊS]]&amp;Tabela1[[#This Row],[MATRICULA]]&amp;"3"&amp;Tabela1[[#This Row],[SETOR]]&amp;"PADRÃO",BD!B:AF,31,0),"")</f>
        <v/>
      </c>
      <c r="AD198" s="21" t="str">
        <f>IFERROR(VLOOKUP(Tabela1[[#This Row],[MÊS]]&amp;Tabela1[[#This Row],[MATRICULA]]&amp;"4"&amp;Tabela1[[#This Row],[SETOR]]&amp;"PADRÃO",BD!B:AF,25,0),"")</f>
        <v/>
      </c>
      <c r="AE198" s="21" t="str">
        <f>IFERROR(VLOOKUP(Tabela1[[#This Row],[MÊS]]&amp;Tabela1[[#This Row],[MATRICULA]]&amp;"5"&amp;Tabela1[[#This Row],[SETOR]]&amp;"PADRÃO",BD!B:AF,31,0),"")</f>
        <v/>
      </c>
      <c r="AF198" s="21" t="str">
        <f>IFERROR(VLOOKUP(Tabela1[[#This Row],[MÊS]]&amp;Tabela1[[#This Row],[MATRICULA]]&amp;"6"&amp;Tabela1[[#This Row],[SETOR]]&amp;"PADRÃO",BD!B:AF,31,0),"")</f>
        <v/>
      </c>
      <c r="AG198" s="21" t="str">
        <f>IFERROR(VLOOKUP(Tabela1[[#This Row],[MÊS]]&amp;Tabela1[[#This Row],[MATRICULA]]&amp;"7"&amp;Tabela1[[#This Row],[SETOR]]&amp;"PADRÃO",BD!B:AF,31,0),"")</f>
        <v/>
      </c>
      <c r="AH198" s="21" t="str">
        <f>IFERROR(VLOOKUP(Tabela1[[#This Row],[MÊS]]&amp;Tabela1[[#This Row],[ID]]&amp;Tabela1[[#This Row],[MATRICULA]]&amp;"Receptiva"&amp;Tabela1[[#This Row],[SETOR]],BD!A:AF,31,0),"")</f>
        <v/>
      </c>
      <c r="AI198" s="21" t="str">
        <f>IFERROR(VLOOKUP(Tabela1[[#This Row],[MÊS]]&amp;Tabela1[[#This Row],[ID]]&amp;Tabela1[[#This Row],[MATRICULA]]&amp;"Receptiva 2"&amp;Tabela1[[#This Row],[SETOR]],BD!A:AF,31,0),"")</f>
        <v/>
      </c>
      <c r="AJ198" s="21" t="str">
        <f>IFERROR(VLOOKUP(Tabela1[[#This Row],[MÊS]]&amp;Tabela1[[#This Row],[ID]]&amp;Tabela1[[#This Row],[MATRICULA]]&amp;"Receptiva 3"&amp;Tabela1[[#This Row],[SETOR]],BD!A:AF,31,0),"")</f>
        <v/>
      </c>
      <c r="AK198" s="21" t="str">
        <f>IFERROR(VLOOKUP(Tabela1[[#This Row],[MÊS]]&amp;Tabela1[[#This Row],[ID]]&amp;Tabela1[[#This Row],[MATRICULA]]&amp;"Receptiva 4"&amp;Tabela1[[#This Row],[SETOR]],BD!A:AF,31,0),"")</f>
        <v/>
      </c>
      <c r="AL198" s="21" t="str">
        <f>IFERROR(VLOOKUP(Tabela1[[#This Row],[MÊS]]&amp;Tabela1[[#This Row],[MATRICULA]]&amp;"Motorista"&amp;Tabela1[[#This Row],[SETOR]],BD!A:AF,31,0),"")</f>
        <v/>
      </c>
      <c r="AM198" s="21" t="str">
        <f>IFERROR(VLOOKUP(Tabela1[[#This Row],[MÊS]]&amp;Tabela1[[#This Row],[ID]]&amp;Tabela1[[#This Row],[MATRICULA]]&amp;"Motorista 2"&amp;Tabela1[[#This Row],[SETOR]],BD!A:AF,26,0),"")</f>
        <v/>
      </c>
      <c r="AN198" s="21" t="str">
        <f>IFERROR(VLOOKUP(Tabela1[[#This Row],[MÊS]]&amp;Tabela1[[#This Row],[ID]]&amp;Tabela1[[#This Row],[MATRICULA]]&amp;"Motorista 3"&amp;Tabela1[[#This Row],[SETOR]],BD!A:AF,26,0),"")</f>
        <v/>
      </c>
      <c r="AO198" s="21" t="str">
        <f>IFERROR(VLOOKUP(Tabela1[[#This Row],[MÊS]]&amp;Tabela1[[#This Row],[ID]]&amp;Tabela1[[#This Row],[MATRICULA]]&amp;"Motorista 4"&amp;Tabela1[[#This Row],[SETOR]],BD!A:AF,26,0),"")</f>
        <v/>
      </c>
      <c r="AP198" s="21" t="str">
        <f>IFERROR(VLOOKUP(Tabela1[[#This Row],[MÊS]]&amp;Tabela1[[#This Row],[MATRICULA]]&amp;"Ponto de Apoio"&amp;Tabela1[[#This Row],[SETOR]],BD!A:AF,31,0),"")</f>
        <v/>
      </c>
      <c r="AQ198" s="21" t="str">
        <f>IFERROR(VLOOKUP(Tabela1[[#This Row],[MÊS]]&amp;Tabela1[[#This Row],[ID]]&amp;Tabela1[[#This Row],[MATRICULA]]&amp;"Ponto de Apoio 2"&amp;Tabela1[[#This Row],[SETOR]],BD!A:AF,26,0),"")</f>
        <v/>
      </c>
      <c r="AR198" s="36" t="str">
        <f>IFERROR(VLOOKUP(Tabela1[[#This Row],[MÊS]]&amp;Tabela1[[#This Row],[ID]]&amp;Tabela1[[#This Row],[MATRICULA]]&amp;"Ponto de Apoio 3"&amp;Tabela1[[#This Row],[SETOR]],BD!A:AF,26,0),"")</f>
        <v/>
      </c>
      <c r="AS198" s="36" t="str">
        <f>IFERROR(VLOOKUP(Tabela1[[#This Row],[MÊS]]&amp;Tabela1[[#This Row],[ID]]&amp;Tabela1[[#This Row],[MATRICULA]]&amp;"Ponto de Apoio 4"&amp;Tabela1[[#This Row],[SETOR]],BD!A:AF,26,0),"")</f>
        <v/>
      </c>
      <c r="AT198" s="21" t="str">
        <f>IFERROR(VLOOKUP(Tabela1[[#This Row],[MÊS]]&amp;Tabela1[[#This Row],[MATRICULA]]&amp;"Cliente"&amp;Tabela1[[#This Row],[SETOR]],BD!A:AF,31,0),"")</f>
        <v/>
      </c>
      <c r="AU198" s="21" t="str">
        <f>IFERROR(VLOOKUP(Tabela1[[#This Row],[MÊS]]&amp;Tabela1[[#This Row],[ID]]&amp;Tabela1[[#This Row],[MATRICULA]]&amp;"Cliente 2"&amp;Tabela1[[#This Row],[SETOR]],BD!A:AF,26,0),"")</f>
        <v/>
      </c>
      <c r="AX198" s="21" t="str">
        <f>IFERROR(VLOOKUP(Tabela1[[#This Row],[MÊS]]&amp;Tabela1[[#This Row],[MATRICULA]]&amp;"Policia"&amp;Tabela1[[#This Row],[SETOR]],BD!A:AF,31,0),"")</f>
        <v/>
      </c>
      <c r="AY198" s="21" t="str">
        <f>IFERROR(VLOOKUP(Tabela1[[#This Row],[MÊS]]&amp;Tabela1[[#This Row],[ID]]&amp;Tabela1[[#This Row],[MATRICULA]]&amp;"Policia 2"&amp;Tabela1[[#This Row],[SETOR]],BD!A:AF,26,0),"")</f>
        <v/>
      </c>
      <c r="AZ198" s="36" t="str">
        <f>IFERROR(VLOOKUP(Tabela1[[#This Row],[MÊS]]&amp;Tabela1[[#This Row],[ID]]&amp;Tabela1[[#This Row],[MATRICULA]]&amp;"Policia 3"&amp;Tabela1[[#This Row],[SETOR]],BD!A:AF,26,0),"")</f>
        <v/>
      </c>
      <c r="BA198" s="36" t="str">
        <f>IFERROR(VLOOKUP(Tabela1[[#This Row],[MÊS]]&amp;Tabela1[[#This Row],[ID]]&amp;Tabela1[[#This Row],[MATRICULA]]&amp;"Policia 4"&amp;Tabela1[[#This Row],[SETOR]],BD!A:AF,26,0),"")</f>
        <v/>
      </c>
      <c r="BB19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8" s="21" t="str">
        <f>IFERROR(AVERAGE(Tabela1[[#This Row],[M]:[M4]]),"")</f>
        <v/>
      </c>
      <c r="BD198" s="21" t="str">
        <f>IFERROR(AVERAGE(Tabela1[[#This Row],[C]:[C4]]),"")</f>
        <v/>
      </c>
      <c r="BE198" s="21" t="str">
        <f>IFERROR(AVERAGE(Tabela1[[#This Row],[PA2]:[PA 4]]),"")</f>
        <v/>
      </c>
      <c r="BF198" s="21" t="str">
        <f>IFERROR(AVERAGE(Tabela1[[#This Row],[PL]:[PL4]]),"")</f>
        <v/>
      </c>
      <c r="BG198" s="35" t="str">
        <f>IFERROR(VLOOKUP(Tabela1[[#This Row],[MÊS]]&amp;Tabela1[[#This Row],[MATRICULA]],#REF!,2,0),"")</f>
        <v/>
      </c>
      <c r="BH198" s="35" t="str">
        <f>IFERROR(VLOOKUP(Tabela1[[#This Row],[MÊS]]&amp;Tabela1[[#This Row],[MATRICULA]],#REF!,2,0),"")</f>
        <v/>
      </c>
      <c r="BI198" s="35" t="str">
        <f>IFERROR(VLOOKUP(Tabela1[[#This Row],[MÊS]]&amp;Tabela1[[#This Row],[MATRICULA]],#REF!,2,0),"")</f>
        <v/>
      </c>
      <c r="BJ198" s="35" t="str">
        <f>IFERROR(VLOOKUP(Tabela1[[#This Row],[MÊS]]&amp;Tabela1[[#This Row],[MATRICULA]],#REF!,2,0),"")</f>
        <v/>
      </c>
      <c r="BK198" s="35" t="str">
        <f>IFERROR(VLOOKUP(Tabela1[[#This Row],[MÊS]]&amp;Tabela1[[#This Row],[MATRICULA]],#REF!,2,0),"")</f>
        <v/>
      </c>
      <c r="BL198" s="21">
        <f>COUNTIF(Tabela1[[#This Row],[MOT2]:[RECEPTIVA]],"NÃO ENCONTRADA")</f>
        <v>0</v>
      </c>
      <c r="BM198" s="135" t="str">
        <f>IFERROR(VLOOKUP(Tabela1[[#This Row],[MÊS]]&amp;Tabela1[[#This Row],[ID]]&amp;Tabela1[[#This Row],[MATRICULA]]&amp;"Motorista"&amp;Tabela1[[#This Row],[SETOR]],BD!A:AF,13,0),"")</f>
        <v/>
      </c>
      <c r="BN198" s="135" t="str">
        <f>IFERROR(VLOOKUP(Tabela1[[#This Row],[MÊS]]&amp;Tabela1[[#This Row],[ID]]&amp;Tabela1[[#This Row],[MATRICULA]]&amp;"Motorista 2"&amp;Tabela1[[#This Row],[SETOR]],BD!A:AF,13,0),"")</f>
        <v/>
      </c>
      <c r="BO198" s="135" t="str">
        <f>IFERROR(VLOOKUP(Tabela1[[#This Row],[MÊS]]&amp;Tabela1[[#This Row],[ID]]&amp;Tabela1[[#This Row],[MATRICULA]]&amp;"Motorista 3"&amp;Tabela1[[#This Row],[SETOR]],BD!A:AF,13,0),"")</f>
        <v/>
      </c>
      <c r="BP198" s="135" t="str">
        <f>IFERROR(VLOOKUP(Tabela1[[#This Row],[MÊS]]&amp;Tabela1[[#This Row],[ID]]&amp;Tabela1[[#This Row],[MATRICULA]]&amp;"Motorista 4"&amp;Tabela1[[#This Row],[SETOR]],BD!A:AF,13,0),"")</f>
        <v/>
      </c>
      <c r="BQ198" s="135" t="str">
        <f>IFERROR(AVERAGE(Tabela1[[#This Row],[DMOT]:[DMOT4]]),"")</f>
        <v/>
      </c>
      <c r="BR198" s="135" t="str">
        <f>IFERROR(VLOOKUP(Tabela1[[#This Row],[MÊS]]&amp;Tabela1[[#This Row],[ID]]&amp;Tabela1[[#This Row],[MATRICULA]]&amp;"Ponto de Apoio"&amp;Tabela1[[#This Row],[SETOR]],BD!A:AF,13,0),"")</f>
        <v/>
      </c>
      <c r="BS198" s="135" t="str">
        <f>IFERROR(VLOOKUP(Tabela1[[#This Row],[MÊS]]&amp;Tabela1[[#This Row],[ID]]&amp;Tabela1[[#This Row],[MATRICULA]]&amp;"Ponto de Apoio 2"&amp;Tabela1[[#This Row],[SETOR]],BD!A:AF,13,0),"")</f>
        <v/>
      </c>
      <c r="BT198" s="135" t="str">
        <f>IFERROR(VLOOKUP(Tabela1[[#This Row],[MÊS]]&amp;Tabela1[[#This Row],[ID]]&amp;Tabela1[[#This Row],[MATRICULA]]&amp;"Ponto de Apoio 3"&amp;Tabela1[[#This Row],[SETOR]],BD!A:AF,13,0),"")</f>
        <v/>
      </c>
      <c r="BU198" s="135" t="str">
        <f>IFERROR(VLOOKUP(Tabela1[[#This Row],[MÊS]]&amp;Tabela1[[#This Row],[ID]]&amp;Tabela1[[#This Row],[MATRICULA]]&amp;"Ponto de Apoio 4"&amp;Tabela1[[#This Row],[SETOR]],BD!A:AF,13,0),"")</f>
        <v/>
      </c>
      <c r="BV198" s="135" t="str">
        <f>IFERROR(AVERAGE(Tabela1[[#This Row],[DPA]:[DPA 4]]),"")</f>
        <v/>
      </c>
      <c r="BW198" s="135" t="str">
        <f>IFERROR(VLOOKUP(Tabela1[[#This Row],[MÊS]]&amp;Tabela1[[#This Row],[ID]]&amp;Tabela1[[#This Row],[MATRICULA]]&amp;"Cliente"&amp;Tabela1[[#This Row],[SETOR]],BD!A:AF,13,0),"")</f>
        <v/>
      </c>
      <c r="BX198" s="135" t="str">
        <f>IFERROR(VLOOKUP(Tabela1[[#This Row],[MÊS]]&amp;Tabela1[[#This Row],[ID]]&amp;Tabela1[[#This Row],[MATRICULA]]&amp;"cliente 2"&amp;Tabela1[[#This Row],[SETOR]],BD!A:AF,13,0),"")</f>
        <v/>
      </c>
      <c r="BY198" s="135" t="str">
        <f>IFERROR(VLOOKUP(Tabela1[[#This Row],[MÊS]]&amp;Tabela1[[#This Row],[ID]]&amp;Tabela1[[#This Row],[MATRICULA]]&amp;"cliente 3"&amp;Tabela1[[#This Row],[SETOR]],BD!A:AF,13,0),"")</f>
        <v/>
      </c>
      <c r="BZ198" s="135" t="str">
        <f>IFERROR(VLOOKUP(Tabela1[[#This Row],[MÊS]]&amp;Tabela1[[#This Row],[ID]]&amp;Tabela1[[#This Row],[MATRICULA]]&amp;"cliente 4"&amp;Tabela1[[#This Row],[SETOR]],BD!A:AF,13,0),"")</f>
        <v/>
      </c>
      <c r="CA198" s="135" t="str">
        <f>IFERROR(AVERAGE(Tabela1[[#This Row],[DCLI]:[DCLI 4]]),"")</f>
        <v/>
      </c>
      <c r="CB198" s="135" t="str">
        <f>IFERROR(VLOOKUP(Tabela1[[#This Row],[MÊS]]&amp;Tabela1[[#This Row],[ID]]&amp;Tabela1[[#This Row],[MATRICULA]]&amp;"Policia"&amp;Tabela1[[#This Row],[SETOR]],BD!A:AF,13,0),"")</f>
        <v/>
      </c>
      <c r="CC198" s="135" t="str">
        <f>IFERROR(VLOOKUP(Tabela1[[#This Row],[MÊS]]&amp;Tabela1[[#This Row],[ID]]&amp;Tabela1[[#This Row],[MATRICULA]]&amp;"Policia 2"&amp;Tabela1[[#This Row],[SETOR]],BD!A:AF,13,0),"")</f>
        <v/>
      </c>
      <c r="CD198" s="135"/>
      <c r="CE198" s="135"/>
      <c r="CF198" s="135" t="str">
        <f>IFERROR((AVERAGE(Tabela1[[#This Row],[DPOL1]:[DPOL4]])),"")</f>
        <v/>
      </c>
      <c r="CG198" s="21" t="str">
        <f>IFERROR(VLOOKUP(Tabela1[[#This Row],[ID]]&amp;Tabela1[[#This Row],[MÊS]]&amp;Tabela1[[#This Row],[MATRICULA]],#REF!,2,0),"")</f>
        <v/>
      </c>
      <c r="CH198" s="21" t="str">
        <f>IFERROR(VLOOKUP(Tabela1[[#This Row],[ID]]&amp;Tabela1[[#This Row],[MÊS]]&amp;Tabela1[[#This Row],[MATRICULA]],#REF!,2,0),"")</f>
        <v/>
      </c>
      <c r="CI198" s="21" t="str">
        <f>IFERROR(VLOOKUP(Tabela1[[#This Row],[MÊS]]&amp;Tabela1[[#This Row],[MATRICULA]],#REF!,2,0),"")</f>
        <v/>
      </c>
    </row>
    <row r="199" spans="1:87">
      <c r="A199" s="12" t="str">
        <f>Tabela1[[#This Row],[MÊS]]&amp;Tabela1[[#This Row],[MATRICULA]]&amp;Tabela1[[#This Row],[ID]]</f>
        <v>JAN113414</v>
      </c>
      <c r="B199" s="12" t="str">
        <f>Tabela1[[#This Row],[MÊS]]&amp;Tabela1[[#This Row],[ID]]&amp;Tabela1[[#This Row],[MATRICULA]]&amp;Tabela1[[#This Row],[SETOR]]</f>
        <v>JAN411341TRANSFERÊNCIA</v>
      </c>
      <c r="C199" s="130" t="e">
        <f>VLOOKUP(Tabela1[[#This Row],[MATRICULA]],'BD Campos'!A:D,5,0)</f>
        <v>#REF!</v>
      </c>
      <c r="D199" s="133" t="str">
        <f ca="1">IFERROR(SUM(TODAY()-Tabela1[[#This Row],[ADMISSÃO]]),"")</f>
        <v/>
      </c>
      <c r="E199" s="11" t="str">
        <f ca="1">IFERROR(TRUNC(Tabela1[[#This Row],[TEMPO DE CASA (DIAS)]]/30),"")</f>
        <v/>
      </c>
      <c r="F199" s="32" t="str">
        <f ca="1">IFERROR(SUM(Tabela1[[#This Row],[TEMPO DE CASA (MESES)]]/12),"")</f>
        <v/>
      </c>
      <c r="G199" s="133" t="str">
        <f ca="1">IF(Tabela1[[#This Row],[TEMPO DE CASA (DIAS)]]="","SEM DADOS",IF(Tabela1[[#This Row],[TEMPO DE CASA (DIAS)]]&gt;180,"&gt; 6 MESES","&lt; 6 MESES"))</f>
        <v>SEM DADOS</v>
      </c>
      <c r="H199" s="12" t="str">
        <f t="shared" si="18"/>
        <v>JANRodrigo Barros4</v>
      </c>
      <c r="I199" s="12" t="str">
        <f>IFERROR(VLOOKUP(Tabela1[[#This Row],[MATRICULA]],'BD Campos'!A:F,7,0),"")</f>
        <v/>
      </c>
      <c r="J199" s="11">
        <v>4</v>
      </c>
      <c r="K199" s="11" t="s">
        <v>669</v>
      </c>
      <c r="L199" s="136">
        <v>11341</v>
      </c>
      <c r="M199" s="12" t="str">
        <f>IFERROR(VLOOKUP(Tabela1[[#This Row],[MATRICULA]],'BD Campos'!A:B,2,0),"")</f>
        <v>JOSIELEN GOMES</v>
      </c>
      <c r="N199" s="20">
        <f>IFERROR(AVERAGE(Tabela1[[#This Row],[A1]:[A4]]),"")</f>
        <v>9.6890000000000001</v>
      </c>
      <c r="O199" s="20" t="str">
        <f>IFERROR(IF(Tabela1[[#This Row],[SETOR]]="RECEPTIVO","",AVERAGE(Tabela1[[#This Row],[A5]:[A6]])),"")</f>
        <v/>
      </c>
      <c r="P199" s="20" t="str">
        <f>IFERROR(IF(Tabela1[[#This Row],[STATUS]]="INATIVO","INATIVO",IF(Tabela1[[#This Row],[STATUS]]="QRT","INATIVO",IF(Tabela1[[#This Row],[OPERACIONAL]]&gt;7.99999,"BOM","RUIM"))),"")</f>
        <v>BOM</v>
      </c>
      <c r="Q199" s="21" t="s">
        <v>667</v>
      </c>
      <c r="R199" s="12" t="s">
        <v>714</v>
      </c>
      <c r="S199" s="12" t="s">
        <v>715</v>
      </c>
      <c r="T199" s="12" t="s">
        <v>192</v>
      </c>
      <c r="U19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19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199" s="12">
        <f>IF(AND(Tabela1[[#This Row],[SETOR]]="UTI",Tabela1[[#This Row],[M]]&lt;&gt;""),1,IF(AND(Tabela1[[#This Row],[SETOR]]="UTI (RJ)",Tabela1[[#This Row],[M]]&lt;&gt;""),1.5,0))</f>
        <v>0</v>
      </c>
      <c r="X199" s="12">
        <f>IF(AND(Tabela1[[#This Row],[SETOR]]="UTI",Tabela1[[#This Row],[PA2]]&lt;&gt;""),1,IF(AND(Tabela1[[#This Row],[SETOR]]="UTI (RJ)",Tabela1[[#This Row],[PA2]]&lt;&gt;""),0,0))</f>
        <v>0</v>
      </c>
      <c r="Y199" s="12">
        <f>IF(AND(Tabela1[[#This Row],[SETOR]]="UTI",Tabela1[[#This Row],[C]]&lt;&gt;""),1,IF(AND(Tabela1[[#This Row],[SETOR]]="UTI (RJ)",Tabela1[[#This Row],[C]]&lt;&gt;""),1.5,0))</f>
        <v>0</v>
      </c>
      <c r="Z199" s="12">
        <f>IF(AND(Tabela1[[#This Row],[SETOR]]="UTI",Tabela1[[#This Row],[PL]]&lt;&gt;""),1,IF(AND(Tabela1[[#This Row],[SETOR]]="UTI (RJ)",Tabela1[[#This Row],[PL]]&lt;&gt;""),1,0))</f>
        <v>0</v>
      </c>
      <c r="AA199" s="21">
        <f>IFERROR(VLOOKUP(Tabela1[[#This Row],[MÊS]]&amp;Tabela1[[#This Row],[MATRICULA]]&amp;"1"&amp;Tabela1[[#This Row],[SETOR]]&amp;"PADRÃO",BD!B:AF,31,0),"")</f>
        <v>9.6890000000000001</v>
      </c>
      <c r="AB199" s="21">
        <f>IFERROR(VLOOKUP(Tabela1[[#This Row],[MÊS]]&amp;Tabela1[[#This Row],[MATRICULA]]&amp;"2"&amp;Tabela1[[#This Row],[SETOR]]&amp;"PADRÃO",BD!B:AF,31,0),"")</f>
        <v>9.6890000000000001</v>
      </c>
      <c r="AC199" s="21" t="str">
        <f>IFERROR(VLOOKUP(Tabela1[[#This Row],[MÊS]]&amp;Tabela1[[#This Row],[MATRICULA]]&amp;"3"&amp;Tabela1[[#This Row],[SETOR]]&amp;"PADRÃO",BD!B:AF,31,0),"")</f>
        <v/>
      </c>
      <c r="AD199" s="21" t="str">
        <f>IFERROR(VLOOKUP(Tabela1[[#This Row],[MÊS]]&amp;Tabela1[[#This Row],[MATRICULA]]&amp;"4"&amp;Tabela1[[#This Row],[SETOR]]&amp;"PADRÃO",BD!B:AF,25,0),"")</f>
        <v/>
      </c>
      <c r="AE199" s="21" t="str">
        <f>IFERROR(VLOOKUP(Tabela1[[#This Row],[MÊS]]&amp;Tabela1[[#This Row],[MATRICULA]]&amp;"5"&amp;Tabela1[[#This Row],[SETOR]]&amp;"PADRÃO",BD!B:AF,31,0),"")</f>
        <v/>
      </c>
      <c r="AF199" s="21" t="str">
        <f>IFERROR(VLOOKUP(Tabela1[[#This Row],[MÊS]]&amp;Tabela1[[#This Row],[MATRICULA]]&amp;"6"&amp;Tabela1[[#This Row],[SETOR]]&amp;"PADRÃO",BD!B:AF,31,0),"")</f>
        <v/>
      </c>
      <c r="AG199" s="21" t="str">
        <f>IFERROR(VLOOKUP(Tabela1[[#This Row],[MÊS]]&amp;Tabela1[[#This Row],[MATRICULA]]&amp;"7"&amp;Tabela1[[#This Row],[SETOR]]&amp;"PADRÃO",BD!B:AF,31,0),"")</f>
        <v/>
      </c>
      <c r="AH199" s="21" t="str">
        <f>IFERROR(VLOOKUP(Tabela1[[#This Row],[MÊS]]&amp;Tabela1[[#This Row],[ID]]&amp;Tabela1[[#This Row],[MATRICULA]]&amp;"Receptiva"&amp;Tabela1[[#This Row],[SETOR]],BD!A:AF,31,0),"")</f>
        <v/>
      </c>
      <c r="AI199" s="21" t="str">
        <f>IFERROR(VLOOKUP(Tabela1[[#This Row],[MÊS]]&amp;Tabela1[[#This Row],[ID]]&amp;Tabela1[[#This Row],[MATRICULA]]&amp;"Receptiva 2"&amp;Tabela1[[#This Row],[SETOR]],BD!A:AF,31,0),"")</f>
        <v/>
      </c>
      <c r="AJ199" s="21" t="str">
        <f>IFERROR(VLOOKUP(Tabela1[[#This Row],[MÊS]]&amp;Tabela1[[#This Row],[ID]]&amp;Tabela1[[#This Row],[MATRICULA]]&amp;"Receptiva 3"&amp;Tabela1[[#This Row],[SETOR]],BD!A:AF,31,0),"")</f>
        <v/>
      </c>
      <c r="AK199" s="21" t="str">
        <f>IFERROR(VLOOKUP(Tabela1[[#This Row],[MÊS]]&amp;Tabela1[[#This Row],[ID]]&amp;Tabela1[[#This Row],[MATRICULA]]&amp;"Receptiva 4"&amp;Tabela1[[#This Row],[SETOR]],BD!A:AF,31,0),"")</f>
        <v/>
      </c>
      <c r="AL199" s="21">
        <f>IFERROR(VLOOKUP(Tabela1[[#This Row],[MÊS]]&amp;Tabela1[[#This Row],[MATRICULA]]&amp;"Motorista"&amp;Tabela1[[#This Row],[SETOR]],BD!A:AF,31,0),"")</f>
        <v>0</v>
      </c>
      <c r="AM199" s="21" t="str">
        <f>IFERROR(VLOOKUP(Tabela1[[#This Row],[MÊS]]&amp;Tabela1[[#This Row],[ID]]&amp;Tabela1[[#This Row],[MATRICULA]]&amp;"Motorista 2"&amp;Tabela1[[#This Row],[SETOR]],BD!A:AF,26,0),"")</f>
        <v/>
      </c>
      <c r="AN199" s="21" t="str">
        <f>IFERROR(VLOOKUP(Tabela1[[#This Row],[MÊS]]&amp;Tabela1[[#This Row],[ID]]&amp;Tabela1[[#This Row],[MATRICULA]]&amp;"Motorista 3"&amp;Tabela1[[#This Row],[SETOR]],BD!A:AF,26,0),"")</f>
        <v/>
      </c>
      <c r="AO199" s="21" t="str">
        <f>IFERROR(VLOOKUP(Tabela1[[#This Row],[MÊS]]&amp;Tabela1[[#This Row],[ID]]&amp;Tabela1[[#This Row],[MATRICULA]]&amp;"Motorista 4"&amp;Tabela1[[#This Row],[SETOR]],BD!A:AF,26,0),"")</f>
        <v/>
      </c>
      <c r="AP199" s="21" t="str">
        <f>IFERROR(VLOOKUP(Tabela1[[#This Row],[MÊS]]&amp;Tabela1[[#This Row],[MATRICULA]]&amp;"Ponto de Apoio"&amp;Tabela1[[#This Row],[SETOR]],BD!A:AF,31,0),"")</f>
        <v/>
      </c>
      <c r="AQ199" s="21" t="str">
        <f>IFERROR(VLOOKUP(Tabela1[[#This Row],[MÊS]]&amp;Tabela1[[#This Row],[ID]]&amp;Tabela1[[#This Row],[MATRICULA]]&amp;"Ponto de Apoio 2"&amp;Tabela1[[#This Row],[SETOR]],BD!A:AF,26,0),"")</f>
        <v/>
      </c>
      <c r="AR199" s="36" t="str">
        <f>IFERROR(VLOOKUP(Tabela1[[#This Row],[MÊS]]&amp;Tabela1[[#This Row],[ID]]&amp;Tabela1[[#This Row],[MATRICULA]]&amp;"Ponto de Apoio 3"&amp;Tabela1[[#This Row],[SETOR]],BD!A:AF,26,0),"")</f>
        <v/>
      </c>
      <c r="AS199" s="36" t="str">
        <f>IFERROR(VLOOKUP(Tabela1[[#This Row],[MÊS]]&amp;Tabela1[[#This Row],[ID]]&amp;Tabela1[[#This Row],[MATRICULA]]&amp;"Ponto de Apoio 4"&amp;Tabela1[[#This Row],[SETOR]],BD!A:AF,26,0),"")</f>
        <v/>
      </c>
      <c r="AT199" s="21" t="str">
        <f>IFERROR(VLOOKUP(Tabela1[[#This Row],[MÊS]]&amp;Tabela1[[#This Row],[MATRICULA]]&amp;"Cliente"&amp;Tabela1[[#This Row],[SETOR]],BD!A:AF,31,0),"")</f>
        <v/>
      </c>
      <c r="AU199" s="21" t="str">
        <f>IFERROR(VLOOKUP(Tabela1[[#This Row],[MÊS]]&amp;Tabela1[[#This Row],[ID]]&amp;Tabela1[[#This Row],[MATRICULA]]&amp;"Cliente 2"&amp;Tabela1[[#This Row],[SETOR]],BD!A:AF,26,0),"")</f>
        <v/>
      </c>
      <c r="AX199" s="21" t="str">
        <f>IFERROR(VLOOKUP(Tabela1[[#This Row],[MÊS]]&amp;Tabela1[[#This Row],[MATRICULA]]&amp;"Policia"&amp;Tabela1[[#This Row],[SETOR]],BD!A:AF,31,0),"")</f>
        <v/>
      </c>
      <c r="AY199" s="21" t="str">
        <f>IFERROR(VLOOKUP(Tabela1[[#This Row],[MÊS]]&amp;Tabela1[[#This Row],[ID]]&amp;Tabela1[[#This Row],[MATRICULA]]&amp;"Policia 2"&amp;Tabela1[[#This Row],[SETOR]],BD!A:AF,26,0),"")</f>
        <v/>
      </c>
      <c r="AZ199" s="36" t="str">
        <f>IFERROR(VLOOKUP(Tabela1[[#This Row],[MÊS]]&amp;Tabela1[[#This Row],[ID]]&amp;Tabela1[[#This Row],[MATRICULA]]&amp;"Policia 3"&amp;Tabela1[[#This Row],[SETOR]],BD!A:AF,26,0),"")</f>
        <v/>
      </c>
      <c r="BA199" s="36" t="str">
        <f>IFERROR(VLOOKUP(Tabela1[[#This Row],[MÊS]]&amp;Tabela1[[#This Row],[ID]]&amp;Tabela1[[#This Row],[MATRICULA]]&amp;"Policia 4"&amp;Tabela1[[#This Row],[SETOR]],BD!A:AF,26,0),"")</f>
        <v/>
      </c>
      <c r="BB19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199" s="21">
        <f>IFERROR(AVERAGE(Tabela1[[#This Row],[M]:[M4]]),"")</f>
        <v>0</v>
      </c>
      <c r="BD199" s="21" t="str">
        <f>IFERROR(AVERAGE(Tabela1[[#This Row],[C]:[C4]]),"")</f>
        <v/>
      </c>
      <c r="BE199" s="21" t="str">
        <f>IFERROR(AVERAGE(Tabela1[[#This Row],[PA2]:[PA 4]]),"")</f>
        <v/>
      </c>
      <c r="BF199" s="21" t="str">
        <f>IFERROR(AVERAGE(Tabela1[[#This Row],[PL]:[PL4]]),"")</f>
        <v/>
      </c>
      <c r="BG199" s="35" t="str">
        <f>IFERROR(VLOOKUP(Tabela1[[#This Row],[MÊS]]&amp;Tabela1[[#This Row],[MATRICULA]],#REF!,2,0),"")</f>
        <v/>
      </c>
      <c r="BH199" s="35" t="str">
        <f>IFERROR(VLOOKUP(Tabela1[[#This Row],[MÊS]]&amp;Tabela1[[#This Row],[MATRICULA]],#REF!,2,0),"")</f>
        <v/>
      </c>
      <c r="BI199" s="35" t="str">
        <f>IFERROR(VLOOKUP(Tabela1[[#This Row],[MÊS]]&amp;Tabela1[[#This Row],[MATRICULA]],#REF!,2,0),"")</f>
        <v/>
      </c>
      <c r="BJ199" s="35" t="str">
        <f>IFERROR(VLOOKUP(Tabela1[[#This Row],[MÊS]]&amp;Tabela1[[#This Row],[MATRICULA]],#REF!,2,0),"")</f>
        <v/>
      </c>
      <c r="BK199" s="35" t="str">
        <f>IFERROR(VLOOKUP(Tabela1[[#This Row],[MÊS]]&amp;Tabela1[[#This Row],[MATRICULA]],#REF!,2,0),"")</f>
        <v/>
      </c>
      <c r="BL199" s="21">
        <f>COUNTIF(Tabela1[[#This Row],[MOT2]:[RECEPTIVA]],"NÃO ENCONTRADA")</f>
        <v>0</v>
      </c>
      <c r="BM199" s="135" t="str">
        <f>IFERROR(VLOOKUP(Tabela1[[#This Row],[MÊS]]&amp;Tabela1[[#This Row],[ID]]&amp;Tabela1[[#This Row],[MATRICULA]]&amp;"Motorista"&amp;Tabela1[[#This Row],[SETOR]],BD!A:AF,13,0),"")</f>
        <v/>
      </c>
      <c r="BN199" s="135" t="str">
        <f>IFERROR(VLOOKUP(Tabela1[[#This Row],[MÊS]]&amp;Tabela1[[#This Row],[ID]]&amp;Tabela1[[#This Row],[MATRICULA]]&amp;"Motorista 2"&amp;Tabela1[[#This Row],[SETOR]],BD!A:AF,13,0),"")</f>
        <v/>
      </c>
      <c r="BO199" s="135" t="str">
        <f>IFERROR(VLOOKUP(Tabela1[[#This Row],[MÊS]]&amp;Tabela1[[#This Row],[ID]]&amp;Tabela1[[#This Row],[MATRICULA]]&amp;"Motorista 3"&amp;Tabela1[[#This Row],[SETOR]],BD!A:AF,13,0),"")</f>
        <v/>
      </c>
      <c r="BP199" s="135" t="str">
        <f>IFERROR(VLOOKUP(Tabela1[[#This Row],[MÊS]]&amp;Tabela1[[#This Row],[ID]]&amp;Tabela1[[#This Row],[MATRICULA]]&amp;"Motorista 4"&amp;Tabela1[[#This Row],[SETOR]],BD!A:AF,13,0),"")</f>
        <v/>
      </c>
      <c r="BQ199" s="135" t="str">
        <f>IFERROR(AVERAGE(Tabela1[[#This Row],[DMOT]:[DMOT4]]),"")</f>
        <v/>
      </c>
      <c r="BR199" s="135" t="str">
        <f>IFERROR(VLOOKUP(Tabela1[[#This Row],[MÊS]]&amp;Tabela1[[#This Row],[ID]]&amp;Tabela1[[#This Row],[MATRICULA]]&amp;"Ponto de Apoio"&amp;Tabela1[[#This Row],[SETOR]],BD!A:AF,13,0),"")</f>
        <v/>
      </c>
      <c r="BS199" s="135" t="str">
        <f>IFERROR(VLOOKUP(Tabela1[[#This Row],[MÊS]]&amp;Tabela1[[#This Row],[ID]]&amp;Tabela1[[#This Row],[MATRICULA]]&amp;"Ponto de Apoio 2"&amp;Tabela1[[#This Row],[SETOR]],BD!A:AF,13,0),"")</f>
        <v/>
      </c>
      <c r="BT199" s="135" t="str">
        <f>IFERROR(VLOOKUP(Tabela1[[#This Row],[MÊS]]&amp;Tabela1[[#This Row],[ID]]&amp;Tabela1[[#This Row],[MATRICULA]]&amp;"Ponto de Apoio 3"&amp;Tabela1[[#This Row],[SETOR]],BD!A:AF,13,0),"")</f>
        <v/>
      </c>
      <c r="BU199" s="135" t="str">
        <f>IFERROR(VLOOKUP(Tabela1[[#This Row],[MÊS]]&amp;Tabela1[[#This Row],[ID]]&amp;Tabela1[[#This Row],[MATRICULA]]&amp;"Ponto de Apoio 4"&amp;Tabela1[[#This Row],[SETOR]],BD!A:AF,13,0),"")</f>
        <v/>
      </c>
      <c r="BV199" s="135" t="str">
        <f>IFERROR(AVERAGE(Tabela1[[#This Row],[DPA]:[DPA 4]]),"")</f>
        <v/>
      </c>
      <c r="BW199" s="135" t="str">
        <f>IFERROR(VLOOKUP(Tabela1[[#This Row],[MÊS]]&amp;Tabela1[[#This Row],[ID]]&amp;Tabela1[[#This Row],[MATRICULA]]&amp;"Cliente"&amp;Tabela1[[#This Row],[SETOR]],BD!A:AF,13,0),"")</f>
        <v/>
      </c>
      <c r="BX199" s="135" t="str">
        <f>IFERROR(VLOOKUP(Tabela1[[#This Row],[MÊS]]&amp;Tabela1[[#This Row],[ID]]&amp;Tabela1[[#This Row],[MATRICULA]]&amp;"cliente 2"&amp;Tabela1[[#This Row],[SETOR]],BD!A:AF,13,0),"")</f>
        <v/>
      </c>
      <c r="BY199" s="135" t="str">
        <f>IFERROR(VLOOKUP(Tabela1[[#This Row],[MÊS]]&amp;Tabela1[[#This Row],[ID]]&amp;Tabela1[[#This Row],[MATRICULA]]&amp;"cliente 3"&amp;Tabela1[[#This Row],[SETOR]],BD!A:AF,13,0),"")</f>
        <v/>
      </c>
      <c r="BZ199" s="135" t="str">
        <f>IFERROR(VLOOKUP(Tabela1[[#This Row],[MÊS]]&amp;Tabela1[[#This Row],[ID]]&amp;Tabela1[[#This Row],[MATRICULA]]&amp;"cliente 4"&amp;Tabela1[[#This Row],[SETOR]],BD!A:AF,13,0),"")</f>
        <v/>
      </c>
      <c r="CA199" s="135" t="str">
        <f>IFERROR(AVERAGE(Tabela1[[#This Row],[DCLI]:[DCLI 4]]),"")</f>
        <v/>
      </c>
      <c r="CB199" s="135" t="str">
        <f>IFERROR(VLOOKUP(Tabela1[[#This Row],[MÊS]]&amp;Tabela1[[#This Row],[ID]]&amp;Tabela1[[#This Row],[MATRICULA]]&amp;"Policia"&amp;Tabela1[[#This Row],[SETOR]],BD!A:AF,13,0),"")</f>
        <v/>
      </c>
      <c r="CC199" s="135" t="str">
        <f>IFERROR(VLOOKUP(Tabela1[[#This Row],[MÊS]]&amp;Tabela1[[#This Row],[ID]]&amp;Tabela1[[#This Row],[MATRICULA]]&amp;"Policia 2"&amp;Tabela1[[#This Row],[SETOR]],BD!A:AF,13,0),"")</f>
        <v/>
      </c>
      <c r="CD199" s="135"/>
      <c r="CE199" s="135"/>
      <c r="CF199" s="135" t="str">
        <f>IFERROR((AVERAGE(Tabela1[[#This Row],[DPOL1]:[DPOL4]])),"")</f>
        <v/>
      </c>
      <c r="CG199" s="21" t="str">
        <f>IFERROR(VLOOKUP(Tabela1[[#This Row],[ID]]&amp;Tabela1[[#This Row],[MÊS]]&amp;Tabela1[[#This Row],[MATRICULA]],#REF!,2,0),"")</f>
        <v/>
      </c>
      <c r="CH199" s="21" t="str">
        <f>IFERROR(VLOOKUP(Tabela1[[#This Row],[ID]]&amp;Tabela1[[#This Row],[MÊS]]&amp;Tabela1[[#This Row],[MATRICULA]],#REF!,2,0),"")</f>
        <v/>
      </c>
      <c r="CI199" s="21" t="str">
        <f>IFERROR(VLOOKUP(Tabela1[[#This Row],[MÊS]]&amp;Tabela1[[#This Row],[MATRICULA]],#REF!,2,0),"")</f>
        <v/>
      </c>
    </row>
    <row r="200" spans="1:87">
      <c r="A200" s="12" t="str">
        <f>Tabela1[[#This Row],[MÊS]]&amp;Tabela1[[#This Row],[MATRICULA]]&amp;Tabela1[[#This Row],[ID]]</f>
        <v>JAN109545</v>
      </c>
      <c r="B200" s="12" t="str">
        <f>Tabela1[[#This Row],[MÊS]]&amp;Tabela1[[#This Row],[ID]]&amp;Tabela1[[#This Row],[MATRICULA]]&amp;Tabela1[[#This Row],[SETOR]]</f>
        <v>JAN510954TRANSFERÊNCIA</v>
      </c>
      <c r="C200" s="130" t="e">
        <f>VLOOKUP(Tabela1[[#This Row],[MATRICULA]],'BD Campos'!A:D,5,0)</f>
        <v>#REF!</v>
      </c>
      <c r="D200" s="133" t="str">
        <f ca="1">IFERROR(SUM(TODAY()-Tabela1[[#This Row],[ADMISSÃO]]),"")</f>
        <v/>
      </c>
      <c r="E200" s="11" t="str">
        <f ca="1">IFERROR(TRUNC(Tabela1[[#This Row],[TEMPO DE CASA (DIAS)]]/30),"")</f>
        <v/>
      </c>
      <c r="F200" s="32" t="str">
        <f ca="1">IFERROR(SUM(Tabela1[[#This Row],[TEMPO DE CASA (MESES)]]/12),"")</f>
        <v/>
      </c>
      <c r="G200" s="133" t="str">
        <f ca="1">IF(Tabela1[[#This Row],[TEMPO DE CASA (DIAS)]]="","SEM DADOS",IF(Tabela1[[#This Row],[TEMPO DE CASA (DIAS)]]&gt;180,"&gt; 6 MESES","&lt; 6 MESES"))</f>
        <v>SEM DADOS</v>
      </c>
      <c r="H200" s="12" t="str">
        <f t="shared" si="18"/>
        <v>JANRodrigo Barros5</v>
      </c>
      <c r="I200" s="12" t="str">
        <f>IFERROR(VLOOKUP(Tabela1[[#This Row],[MATRICULA]],'BD Campos'!A:F,7,0),"")</f>
        <v/>
      </c>
      <c r="J200" s="11">
        <v>5</v>
      </c>
      <c r="K200" s="11" t="s">
        <v>669</v>
      </c>
      <c r="L200" s="136">
        <v>10954</v>
      </c>
      <c r="M200" s="12" t="str">
        <f>IFERROR(VLOOKUP(Tabela1[[#This Row],[MATRICULA]],'BD Campos'!A:B,2,0),"")</f>
        <v>KEVTON ROCHA DA SILVA </v>
      </c>
      <c r="N200" s="20" t="str">
        <f>IFERROR(AVERAGE(Tabela1[[#This Row],[A1]:[A4]]),"")</f>
        <v/>
      </c>
      <c r="O200" s="20" t="str">
        <f>IFERROR(IF(Tabela1[[#This Row],[SETOR]]="RECEPTIVO","",AVERAGE(Tabela1[[#This Row],[A5]:[A6]])),"")</f>
        <v/>
      </c>
      <c r="P200" s="20" t="str">
        <f>IFERROR(IF(Tabela1[[#This Row],[STATUS]]="INATIVO","INATIVO",IF(Tabela1[[#This Row],[STATUS]]="QRT","INATIVO",IF(Tabela1[[#This Row],[OPERACIONAL]]&gt;7.99999,"BOM","RUIM"))),"")</f>
        <v>INATIVO</v>
      </c>
      <c r="Q200" s="21" t="s">
        <v>670</v>
      </c>
      <c r="R200" s="12" t="s">
        <v>714</v>
      </c>
      <c r="S200" s="12" t="s">
        <v>715</v>
      </c>
      <c r="T200" s="12" t="s">
        <v>192</v>
      </c>
      <c r="U20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0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200" s="12">
        <f>IF(AND(Tabela1[[#This Row],[SETOR]]="UTI",Tabela1[[#This Row],[M]]&lt;&gt;""),1,IF(AND(Tabela1[[#This Row],[SETOR]]="UTI (RJ)",Tabela1[[#This Row],[M]]&lt;&gt;""),1.5,0))</f>
        <v>0</v>
      </c>
      <c r="X200" s="12">
        <f>IF(AND(Tabela1[[#This Row],[SETOR]]="UTI",Tabela1[[#This Row],[PA2]]&lt;&gt;""),1,IF(AND(Tabela1[[#This Row],[SETOR]]="UTI (RJ)",Tabela1[[#This Row],[PA2]]&lt;&gt;""),0,0))</f>
        <v>0</v>
      </c>
      <c r="Y200" s="12">
        <f>IF(AND(Tabela1[[#This Row],[SETOR]]="UTI",Tabela1[[#This Row],[C]]&lt;&gt;""),1,IF(AND(Tabela1[[#This Row],[SETOR]]="UTI (RJ)",Tabela1[[#This Row],[C]]&lt;&gt;""),1.5,0))</f>
        <v>0</v>
      </c>
      <c r="Z200" s="12">
        <f>IF(AND(Tabela1[[#This Row],[SETOR]]="UTI",Tabela1[[#This Row],[PL]]&lt;&gt;""),1,IF(AND(Tabela1[[#This Row],[SETOR]]="UTI (RJ)",Tabela1[[#This Row],[PL]]&lt;&gt;""),1,0))</f>
        <v>0</v>
      </c>
      <c r="AA200" s="21" t="str">
        <f>IFERROR(VLOOKUP(Tabela1[[#This Row],[MÊS]]&amp;Tabela1[[#This Row],[MATRICULA]]&amp;"1"&amp;Tabela1[[#This Row],[SETOR]]&amp;"PADRÃO",BD!B:AF,31,0),"")</f>
        <v/>
      </c>
      <c r="AB200" s="21" t="str">
        <f>IFERROR(VLOOKUP(Tabela1[[#This Row],[MÊS]]&amp;Tabela1[[#This Row],[MATRICULA]]&amp;"2"&amp;Tabela1[[#This Row],[SETOR]]&amp;"PADRÃO",BD!B:AF,31,0),"")</f>
        <v/>
      </c>
      <c r="AC200" s="21" t="str">
        <f>IFERROR(VLOOKUP(Tabela1[[#This Row],[MÊS]]&amp;Tabela1[[#This Row],[MATRICULA]]&amp;"3"&amp;Tabela1[[#This Row],[SETOR]]&amp;"PADRÃO",BD!B:AF,31,0),"")</f>
        <v/>
      </c>
      <c r="AD200" s="21" t="str">
        <f>IFERROR(VLOOKUP(Tabela1[[#This Row],[MÊS]]&amp;Tabela1[[#This Row],[MATRICULA]]&amp;"4"&amp;Tabela1[[#This Row],[SETOR]]&amp;"PADRÃO",BD!B:AF,25,0),"")</f>
        <v/>
      </c>
      <c r="AE200" s="21" t="str">
        <f>IFERROR(VLOOKUP(Tabela1[[#This Row],[MÊS]]&amp;Tabela1[[#This Row],[MATRICULA]]&amp;"5"&amp;Tabela1[[#This Row],[SETOR]]&amp;"PADRÃO",BD!B:AF,31,0),"")</f>
        <v/>
      </c>
      <c r="AF200" s="21" t="str">
        <f>IFERROR(VLOOKUP(Tabela1[[#This Row],[MÊS]]&amp;Tabela1[[#This Row],[MATRICULA]]&amp;"6"&amp;Tabela1[[#This Row],[SETOR]]&amp;"PADRÃO",BD!B:AF,31,0),"")</f>
        <v/>
      </c>
      <c r="AG200" s="21" t="str">
        <f>IFERROR(VLOOKUP(Tabela1[[#This Row],[MÊS]]&amp;Tabela1[[#This Row],[MATRICULA]]&amp;"7"&amp;Tabela1[[#This Row],[SETOR]]&amp;"PADRÃO",BD!B:AF,31,0),"")</f>
        <v/>
      </c>
      <c r="AH200" s="21" t="str">
        <f>IFERROR(VLOOKUP(Tabela1[[#This Row],[MÊS]]&amp;Tabela1[[#This Row],[ID]]&amp;Tabela1[[#This Row],[MATRICULA]]&amp;"Receptiva"&amp;Tabela1[[#This Row],[SETOR]],BD!A:AF,31,0),"")</f>
        <v/>
      </c>
      <c r="AI200" s="21" t="str">
        <f>IFERROR(VLOOKUP(Tabela1[[#This Row],[MÊS]]&amp;Tabela1[[#This Row],[ID]]&amp;Tabela1[[#This Row],[MATRICULA]]&amp;"Receptiva 2"&amp;Tabela1[[#This Row],[SETOR]],BD!A:AF,31,0),"")</f>
        <v/>
      </c>
      <c r="AJ200" s="21" t="str">
        <f>IFERROR(VLOOKUP(Tabela1[[#This Row],[MÊS]]&amp;Tabela1[[#This Row],[ID]]&amp;Tabela1[[#This Row],[MATRICULA]]&amp;"Receptiva 3"&amp;Tabela1[[#This Row],[SETOR]],BD!A:AF,31,0),"")</f>
        <v/>
      </c>
      <c r="AK200" s="21" t="str">
        <f>IFERROR(VLOOKUP(Tabela1[[#This Row],[MÊS]]&amp;Tabela1[[#This Row],[ID]]&amp;Tabela1[[#This Row],[MATRICULA]]&amp;"Receptiva 4"&amp;Tabela1[[#This Row],[SETOR]],BD!A:AF,31,0),"")</f>
        <v/>
      </c>
      <c r="AL200" s="21" t="str">
        <f>IFERROR(VLOOKUP(Tabela1[[#This Row],[MÊS]]&amp;Tabela1[[#This Row],[MATRICULA]]&amp;"Motorista"&amp;Tabela1[[#This Row],[SETOR]],BD!A:AF,31,0),"")</f>
        <v/>
      </c>
      <c r="AM200" s="21" t="str">
        <f>IFERROR(VLOOKUP(Tabela1[[#This Row],[MÊS]]&amp;Tabela1[[#This Row],[ID]]&amp;Tabela1[[#This Row],[MATRICULA]]&amp;"Motorista 2"&amp;Tabela1[[#This Row],[SETOR]],BD!A:AF,26,0),"")</f>
        <v/>
      </c>
      <c r="AN200" s="21" t="str">
        <f>IFERROR(VLOOKUP(Tabela1[[#This Row],[MÊS]]&amp;Tabela1[[#This Row],[ID]]&amp;Tabela1[[#This Row],[MATRICULA]]&amp;"Motorista 3"&amp;Tabela1[[#This Row],[SETOR]],BD!A:AF,26,0),"")</f>
        <v/>
      </c>
      <c r="AO200" s="21" t="str">
        <f>IFERROR(VLOOKUP(Tabela1[[#This Row],[MÊS]]&amp;Tabela1[[#This Row],[ID]]&amp;Tabela1[[#This Row],[MATRICULA]]&amp;"Motorista 4"&amp;Tabela1[[#This Row],[SETOR]],BD!A:AF,26,0),"")</f>
        <v/>
      </c>
      <c r="AP200" s="21" t="str">
        <f>IFERROR(VLOOKUP(Tabela1[[#This Row],[MÊS]]&amp;Tabela1[[#This Row],[MATRICULA]]&amp;"Ponto de Apoio"&amp;Tabela1[[#This Row],[SETOR]],BD!A:AF,31,0),"")</f>
        <v/>
      </c>
      <c r="AQ200" s="21" t="str">
        <f>IFERROR(VLOOKUP(Tabela1[[#This Row],[MÊS]]&amp;Tabela1[[#This Row],[ID]]&amp;Tabela1[[#This Row],[MATRICULA]]&amp;"Ponto de Apoio 2"&amp;Tabela1[[#This Row],[SETOR]],BD!A:AF,26,0),"")</f>
        <v/>
      </c>
      <c r="AR200" s="36" t="str">
        <f>IFERROR(VLOOKUP(Tabela1[[#This Row],[MÊS]]&amp;Tabela1[[#This Row],[ID]]&amp;Tabela1[[#This Row],[MATRICULA]]&amp;"Ponto de Apoio 3"&amp;Tabela1[[#This Row],[SETOR]],BD!A:AF,26,0),"")</f>
        <v/>
      </c>
      <c r="AS200" s="36" t="str">
        <f>IFERROR(VLOOKUP(Tabela1[[#This Row],[MÊS]]&amp;Tabela1[[#This Row],[ID]]&amp;Tabela1[[#This Row],[MATRICULA]]&amp;"Ponto de Apoio 4"&amp;Tabela1[[#This Row],[SETOR]],BD!A:AF,26,0),"")</f>
        <v/>
      </c>
      <c r="AT200" s="21" t="str">
        <f>IFERROR(VLOOKUP(Tabela1[[#This Row],[MÊS]]&amp;Tabela1[[#This Row],[MATRICULA]]&amp;"Cliente"&amp;Tabela1[[#This Row],[SETOR]],BD!A:AF,31,0),"")</f>
        <v/>
      </c>
      <c r="AU200" s="21" t="str">
        <f>IFERROR(VLOOKUP(Tabela1[[#This Row],[MÊS]]&amp;Tabela1[[#This Row],[ID]]&amp;Tabela1[[#This Row],[MATRICULA]]&amp;"Cliente 2"&amp;Tabela1[[#This Row],[SETOR]],BD!A:AF,26,0),"")</f>
        <v/>
      </c>
      <c r="AX200" s="21" t="str">
        <f>IFERROR(VLOOKUP(Tabela1[[#This Row],[MÊS]]&amp;Tabela1[[#This Row],[MATRICULA]]&amp;"Policia"&amp;Tabela1[[#This Row],[SETOR]],BD!A:AF,31,0),"")</f>
        <v/>
      </c>
      <c r="AY200" s="21" t="str">
        <f>IFERROR(VLOOKUP(Tabela1[[#This Row],[MÊS]]&amp;Tabela1[[#This Row],[ID]]&amp;Tabela1[[#This Row],[MATRICULA]]&amp;"Policia 2"&amp;Tabela1[[#This Row],[SETOR]],BD!A:AF,26,0),"")</f>
        <v/>
      </c>
      <c r="AZ200" s="36" t="str">
        <f>IFERROR(VLOOKUP(Tabela1[[#This Row],[MÊS]]&amp;Tabela1[[#This Row],[ID]]&amp;Tabela1[[#This Row],[MATRICULA]]&amp;"Policia 3"&amp;Tabela1[[#This Row],[SETOR]],BD!A:AF,26,0),"")</f>
        <v/>
      </c>
      <c r="BA200" s="36" t="str">
        <f>IFERROR(VLOOKUP(Tabela1[[#This Row],[MÊS]]&amp;Tabela1[[#This Row],[ID]]&amp;Tabela1[[#This Row],[MATRICULA]]&amp;"Policia 4"&amp;Tabela1[[#This Row],[SETOR]],BD!A:AF,26,0),"")</f>
        <v/>
      </c>
      <c r="BB20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0" s="21" t="str">
        <f>IFERROR(AVERAGE(Tabela1[[#This Row],[M]:[M4]]),"")</f>
        <v/>
      </c>
      <c r="BD200" s="21" t="str">
        <f>IFERROR(AVERAGE(Tabela1[[#This Row],[C]:[C4]]),"")</f>
        <v/>
      </c>
      <c r="BE200" s="21" t="str">
        <f>IFERROR(AVERAGE(Tabela1[[#This Row],[PA2]:[PA 4]]),"")</f>
        <v/>
      </c>
      <c r="BF200" s="21" t="str">
        <f>IFERROR(AVERAGE(Tabela1[[#This Row],[PL]:[PL4]]),"")</f>
        <v/>
      </c>
      <c r="BG200" s="35" t="str">
        <f>IFERROR(VLOOKUP(Tabela1[[#This Row],[MÊS]]&amp;Tabela1[[#This Row],[MATRICULA]],#REF!,2,0),"")</f>
        <v/>
      </c>
      <c r="BH200" s="35" t="str">
        <f>IFERROR(VLOOKUP(Tabela1[[#This Row],[MÊS]]&amp;Tabela1[[#This Row],[MATRICULA]],#REF!,2,0),"")</f>
        <v/>
      </c>
      <c r="BI200" s="35" t="str">
        <f>IFERROR(VLOOKUP(Tabela1[[#This Row],[MÊS]]&amp;Tabela1[[#This Row],[MATRICULA]],#REF!,2,0),"")</f>
        <v/>
      </c>
      <c r="BJ200" s="35" t="str">
        <f>IFERROR(VLOOKUP(Tabela1[[#This Row],[MÊS]]&amp;Tabela1[[#This Row],[MATRICULA]],#REF!,2,0),"")</f>
        <v/>
      </c>
      <c r="BK200" s="35" t="str">
        <f>IFERROR(VLOOKUP(Tabela1[[#This Row],[MÊS]]&amp;Tabela1[[#This Row],[MATRICULA]],#REF!,2,0),"")</f>
        <v/>
      </c>
      <c r="BL200" s="21">
        <f>COUNTIF(Tabela1[[#This Row],[MOT2]:[RECEPTIVA]],"NÃO ENCONTRADA")</f>
        <v>0</v>
      </c>
      <c r="BM200" s="135" t="str">
        <f>IFERROR(VLOOKUP(Tabela1[[#This Row],[MÊS]]&amp;Tabela1[[#This Row],[ID]]&amp;Tabela1[[#This Row],[MATRICULA]]&amp;"Motorista"&amp;Tabela1[[#This Row],[SETOR]],BD!A:AF,13,0),"")</f>
        <v/>
      </c>
      <c r="BN200" s="135" t="str">
        <f>IFERROR(VLOOKUP(Tabela1[[#This Row],[MÊS]]&amp;Tabela1[[#This Row],[ID]]&amp;Tabela1[[#This Row],[MATRICULA]]&amp;"Motorista 2"&amp;Tabela1[[#This Row],[SETOR]],BD!A:AF,13,0),"")</f>
        <v/>
      </c>
      <c r="BO200" s="135" t="str">
        <f>IFERROR(VLOOKUP(Tabela1[[#This Row],[MÊS]]&amp;Tabela1[[#This Row],[ID]]&amp;Tabela1[[#This Row],[MATRICULA]]&amp;"Motorista 3"&amp;Tabela1[[#This Row],[SETOR]],BD!A:AF,13,0),"")</f>
        <v/>
      </c>
      <c r="BP200" s="135" t="str">
        <f>IFERROR(VLOOKUP(Tabela1[[#This Row],[MÊS]]&amp;Tabela1[[#This Row],[ID]]&amp;Tabela1[[#This Row],[MATRICULA]]&amp;"Motorista 4"&amp;Tabela1[[#This Row],[SETOR]],BD!A:AF,13,0),"")</f>
        <v/>
      </c>
      <c r="BQ200" s="135" t="str">
        <f>IFERROR(AVERAGE(Tabela1[[#This Row],[DMOT]:[DMOT4]]),"")</f>
        <v/>
      </c>
      <c r="BR200" s="135" t="str">
        <f>IFERROR(VLOOKUP(Tabela1[[#This Row],[MÊS]]&amp;Tabela1[[#This Row],[ID]]&amp;Tabela1[[#This Row],[MATRICULA]]&amp;"Ponto de Apoio"&amp;Tabela1[[#This Row],[SETOR]],BD!A:AF,13,0),"")</f>
        <v/>
      </c>
      <c r="BS200" s="135" t="str">
        <f>IFERROR(VLOOKUP(Tabela1[[#This Row],[MÊS]]&amp;Tabela1[[#This Row],[ID]]&amp;Tabela1[[#This Row],[MATRICULA]]&amp;"Ponto de Apoio 2"&amp;Tabela1[[#This Row],[SETOR]],BD!A:AF,13,0),"")</f>
        <v/>
      </c>
      <c r="BT200" s="135" t="str">
        <f>IFERROR(VLOOKUP(Tabela1[[#This Row],[MÊS]]&amp;Tabela1[[#This Row],[ID]]&amp;Tabela1[[#This Row],[MATRICULA]]&amp;"Ponto de Apoio 3"&amp;Tabela1[[#This Row],[SETOR]],BD!A:AF,13,0),"")</f>
        <v/>
      </c>
      <c r="BU200" s="135" t="str">
        <f>IFERROR(VLOOKUP(Tabela1[[#This Row],[MÊS]]&amp;Tabela1[[#This Row],[ID]]&amp;Tabela1[[#This Row],[MATRICULA]]&amp;"Ponto de Apoio 4"&amp;Tabela1[[#This Row],[SETOR]],BD!A:AF,13,0),"")</f>
        <v/>
      </c>
      <c r="BV200" s="135" t="str">
        <f>IFERROR(AVERAGE(Tabela1[[#This Row],[DPA]:[DPA 4]]),"")</f>
        <v/>
      </c>
      <c r="BW200" s="135" t="str">
        <f>IFERROR(VLOOKUP(Tabela1[[#This Row],[MÊS]]&amp;Tabela1[[#This Row],[ID]]&amp;Tabela1[[#This Row],[MATRICULA]]&amp;"Cliente"&amp;Tabela1[[#This Row],[SETOR]],BD!A:AF,13,0),"")</f>
        <v/>
      </c>
      <c r="BX200" s="135" t="str">
        <f>IFERROR(VLOOKUP(Tabela1[[#This Row],[MÊS]]&amp;Tabela1[[#This Row],[ID]]&amp;Tabela1[[#This Row],[MATRICULA]]&amp;"cliente 2"&amp;Tabela1[[#This Row],[SETOR]],BD!A:AF,13,0),"")</f>
        <v/>
      </c>
      <c r="BY200" s="135" t="str">
        <f>IFERROR(VLOOKUP(Tabela1[[#This Row],[MÊS]]&amp;Tabela1[[#This Row],[ID]]&amp;Tabela1[[#This Row],[MATRICULA]]&amp;"cliente 3"&amp;Tabela1[[#This Row],[SETOR]],BD!A:AF,13,0),"")</f>
        <v/>
      </c>
      <c r="BZ200" s="135" t="str">
        <f>IFERROR(VLOOKUP(Tabela1[[#This Row],[MÊS]]&amp;Tabela1[[#This Row],[ID]]&amp;Tabela1[[#This Row],[MATRICULA]]&amp;"cliente 4"&amp;Tabela1[[#This Row],[SETOR]],BD!A:AF,13,0),"")</f>
        <v/>
      </c>
      <c r="CA200" s="135" t="str">
        <f>IFERROR(AVERAGE(Tabela1[[#This Row],[DCLI]:[DCLI 4]]),"")</f>
        <v/>
      </c>
      <c r="CB200" s="135" t="str">
        <f>IFERROR(VLOOKUP(Tabela1[[#This Row],[MÊS]]&amp;Tabela1[[#This Row],[ID]]&amp;Tabela1[[#This Row],[MATRICULA]]&amp;"Policia"&amp;Tabela1[[#This Row],[SETOR]],BD!A:AF,13,0),"")</f>
        <v/>
      </c>
      <c r="CC200" s="135" t="str">
        <f>IFERROR(VLOOKUP(Tabela1[[#This Row],[MÊS]]&amp;Tabela1[[#This Row],[ID]]&amp;Tabela1[[#This Row],[MATRICULA]]&amp;"Policia 2"&amp;Tabela1[[#This Row],[SETOR]],BD!A:AF,13,0),"")</f>
        <v/>
      </c>
      <c r="CD200" s="135"/>
      <c r="CE200" s="135"/>
      <c r="CF200" s="135" t="str">
        <f>IFERROR((AVERAGE(Tabela1[[#This Row],[DPOL1]:[DPOL4]])),"")</f>
        <v/>
      </c>
      <c r="CG200" s="21" t="str">
        <f>IFERROR(VLOOKUP(Tabela1[[#This Row],[ID]]&amp;Tabela1[[#This Row],[MÊS]]&amp;Tabela1[[#This Row],[MATRICULA]],#REF!,2,0),"")</f>
        <v/>
      </c>
      <c r="CH200" s="21" t="str">
        <f>IFERROR(VLOOKUP(Tabela1[[#This Row],[ID]]&amp;Tabela1[[#This Row],[MÊS]]&amp;Tabela1[[#This Row],[MATRICULA]],#REF!,2,0),"")</f>
        <v/>
      </c>
      <c r="CI200" s="21" t="str">
        <f>IFERROR(VLOOKUP(Tabela1[[#This Row],[MÊS]]&amp;Tabela1[[#This Row],[MATRICULA]],#REF!,2,0),"")</f>
        <v/>
      </c>
    </row>
    <row r="201" spans="1:87">
      <c r="A201" s="12" t="str">
        <f>Tabela1[[#This Row],[MÊS]]&amp;Tabela1[[#This Row],[MATRICULA]]&amp;Tabela1[[#This Row],[ID]]</f>
        <v>JAN113866</v>
      </c>
      <c r="B201" s="12" t="str">
        <f>Tabela1[[#This Row],[MÊS]]&amp;Tabela1[[#This Row],[ID]]&amp;Tabela1[[#This Row],[MATRICULA]]&amp;Tabela1[[#This Row],[SETOR]]</f>
        <v>JAN611386TRANSFERÊNCIA</v>
      </c>
      <c r="C201" s="130" t="e">
        <f>VLOOKUP(Tabela1[[#This Row],[MATRICULA]],'BD Campos'!A:D,5,0)</f>
        <v>#REF!</v>
      </c>
      <c r="D201" s="133" t="str">
        <f ca="1">IFERROR(SUM(TODAY()-Tabela1[[#This Row],[ADMISSÃO]]),"")</f>
        <v/>
      </c>
      <c r="E201" s="11" t="str">
        <f ca="1">IFERROR(TRUNC(Tabela1[[#This Row],[TEMPO DE CASA (DIAS)]]/30),"")</f>
        <v/>
      </c>
      <c r="F201" s="32" t="str">
        <f ca="1">IFERROR(SUM(Tabela1[[#This Row],[TEMPO DE CASA (MESES)]]/12),"")</f>
        <v/>
      </c>
      <c r="G201" s="133" t="str">
        <f ca="1">IF(Tabela1[[#This Row],[TEMPO DE CASA (DIAS)]]="","SEM DADOS",IF(Tabela1[[#This Row],[TEMPO DE CASA (DIAS)]]&gt;180,"&gt; 6 MESES","&lt; 6 MESES"))</f>
        <v>SEM DADOS</v>
      </c>
      <c r="H201" s="12" t="str">
        <f t="shared" si="18"/>
        <v>JANRodrigo Barros6</v>
      </c>
      <c r="I201" s="12" t="str">
        <f>IFERROR(VLOOKUP(Tabela1[[#This Row],[MATRICULA]],'BD Campos'!A:F,7,0),"")</f>
        <v/>
      </c>
      <c r="J201" s="11">
        <v>6</v>
      </c>
      <c r="K201" s="11" t="s">
        <v>669</v>
      </c>
      <c r="L201" s="136">
        <v>11386</v>
      </c>
      <c r="M201" s="12" t="str">
        <f>IFERROR(VLOOKUP(Tabela1[[#This Row],[MATRICULA]],'BD Campos'!A:B,2,0),"")</f>
        <v>LARISSA VITORIA CORREA</v>
      </c>
      <c r="N201" s="20">
        <f>IFERROR(AVERAGE(Tabela1[[#This Row],[A1]:[A4]]),"")</f>
        <v>7.8652499999999996</v>
      </c>
      <c r="O201" s="20" t="str">
        <f>IFERROR(IF(Tabela1[[#This Row],[SETOR]]="RECEPTIVO","",AVERAGE(Tabela1[[#This Row],[A5]:[A6]])),"")</f>
        <v/>
      </c>
      <c r="P201" s="20" t="str">
        <f>IFERROR(IF(Tabela1[[#This Row],[STATUS]]="INATIVO","INATIVO",IF(Tabela1[[#This Row],[STATUS]]="QRT","INATIVO",IF(Tabela1[[#This Row],[OPERACIONAL]]&gt;7.99999,"BOM","RUIM"))),"")</f>
        <v>RUIM</v>
      </c>
      <c r="Q201" s="21" t="s">
        <v>667</v>
      </c>
      <c r="R201" s="12" t="s">
        <v>714</v>
      </c>
      <c r="S201" s="12" t="s">
        <v>715</v>
      </c>
      <c r="T201" s="12" t="s">
        <v>192</v>
      </c>
      <c r="U20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1" s="12">
        <f>IF(AND(Tabela1[[#This Row],[SETOR]]="UTI",Tabela1[[#This Row],[M]]&lt;&gt;""),1,IF(AND(Tabela1[[#This Row],[SETOR]]="UTI (RJ)",Tabela1[[#This Row],[M]]&lt;&gt;""),1.5,0))</f>
        <v>0</v>
      </c>
      <c r="X201" s="12">
        <f>IF(AND(Tabela1[[#This Row],[SETOR]]="UTI",Tabela1[[#This Row],[PA2]]&lt;&gt;""),1,IF(AND(Tabela1[[#This Row],[SETOR]]="UTI (RJ)",Tabela1[[#This Row],[PA2]]&lt;&gt;""),0,0))</f>
        <v>0</v>
      </c>
      <c r="Y201" s="12">
        <f>IF(AND(Tabela1[[#This Row],[SETOR]]="UTI",Tabela1[[#This Row],[C]]&lt;&gt;""),1,IF(AND(Tabela1[[#This Row],[SETOR]]="UTI (RJ)",Tabela1[[#This Row],[C]]&lt;&gt;""),1.5,0))</f>
        <v>0</v>
      </c>
      <c r="Z201" s="12">
        <f>IF(AND(Tabela1[[#This Row],[SETOR]]="UTI",Tabela1[[#This Row],[PL]]&lt;&gt;""),1,IF(AND(Tabela1[[#This Row],[SETOR]]="UTI (RJ)",Tabela1[[#This Row],[PL]]&lt;&gt;""),1,0))</f>
        <v>0</v>
      </c>
      <c r="AA201" s="21">
        <f>IFERROR(VLOOKUP(Tabela1[[#This Row],[MÊS]]&amp;Tabela1[[#This Row],[MATRICULA]]&amp;"1"&amp;Tabela1[[#This Row],[SETOR]]&amp;"PADRÃO",BD!B:AF,31,0),"")</f>
        <v>7.0429999999999993</v>
      </c>
      <c r="AB201" s="21">
        <f>IFERROR(VLOOKUP(Tabela1[[#This Row],[MÊS]]&amp;Tabela1[[#This Row],[MATRICULA]]&amp;"2"&amp;Tabela1[[#This Row],[SETOR]]&amp;"PADRÃO",BD!B:AF,31,0),"")</f>
        <v>8.6875</v>
      </c>
      <c r="AC201" s="21" t="str">
        <f>IFERROR(VLOOKUP(Tabela1[[#This Row],[MÊS]]&amp;Tabela1[[#This Row],[MATRICULA]]&amp;"3"&amp;Tabela1[[#This Row],[SETOR]]&amp;"PADRÃO",BD!B:AF,31,0),"")</f>
        <v/>
      </c>
      <c r="AD201" s="21" t="str">
        <f>IFERROR(VLOOKUP(Tabela1[[#This Row],[MÊS]]&amp;Tabela1[[#This Row],[MATRICULA]]&amp;"4"&amp;Tabela1[[#This Row],[SETOR]]&amp;"PADRÃO",BD!B:AF,25,0),"")</f>
        <v/>
      </c>
      <c r="AE201" s="21" t="str">
        <f>IFERROR(VLOOKUP(Tabela1[[#This Row],[MÊS]]&amp;Tabela1[[#This Row],[MATRICULA]]&amp;"5"&amp;Tabela1[[#This Row],[SETOR]]&amp;"PADRÃO",BD!B:AF,31,0),"")</f>
        <v/>
      </c>
      <c r="AF201" s="21" t="str">
        <f>IFERROR(VLOOKUP(Tabela1[[#This Row],[MÊS]]&amp;Tabela1[[#This Row],[MATRICULA]]&amp;"6"&amp;Tabela1[[#This Row],[SETOR]]&amp;"PADRÃO",BD!B:AF,31,0),"")</f>
        <v/>
      </c>
      <c r="AG201" s="21" t="str">
        <f>IFERROR(VLOOKUP(Tabela1[[#This Row],[MÊS]]&amp;Tabela1[[#This Row],[MATRICULA]]&amp;"7"&amp;Tabela1[[#This Row],[SETOR]]&amp;"PADRÃO",BD!B:AF,31,0),"")</f>
        <v/>
      </c>
      <c r="AH201" s="21" t="str">
        <f>IFERROR(VLOOKUP(Tabela1[[#This Row],[MÊS]]&amp;Tabela1[[#This Row],[ID]]&amp;Tabela1[[#This Row],[MATRICULA]]&amp;"Receptiva"&amp;Tabela1[[#This Row],[SETOR]],BD!A:AF,31,0),"")</f>
        <v/>
      </c>
      <c r="AI201" s="21" t="str">
        <f>IFERROR(VLOOKUP(Tabela1[[#This Row],[MÊS]]&amp;Tabela1[[#This Row],[ID]]&amp;Tabela1[[#This Row],[MATRICULA]]&amp;"Receptiva 2"&amp;Tabela1[[#This Row],[SETOR]],BD!A:AF,31,0),"")</f>
        <v/>
      </c>
      <c r="AJ201" s="21" t="str">
        <f>IFERROR(VLOOKUP(Tabela1[[#This Row],[MÊS]]&amp;Tabela1[[#This Row],[ID]]&amp;Tabela1[[#This Row],[MATRICULA]]&amp;"Receptiva 3"&amp;Tabela1[[#This Row],[SETOR]],BD!A:AF,31,0),"")</f>
        <v/>
      </c>
      <c r="AK201" s="21" t="str">
        <f>IFERROR(VLOOKUP(Tabela1[[#This Row],[MÊS]]&amp;Tabela1[[#This Row],[ID]]&amp;Tabela1[[#This Row],[MATRICULA]]&amp;"Receptiva 4"&amp;Tabela1[[#This Row],[SETOR]],BD!A:AF,31,0),"")</f>
        <v/>
      </c>
      <c r="AL201" s="21">
        <f>IFERROR(VLOOKUP(Tabela1[[#This Row],[MÊS]]&amp;Tabela1[[#This Row],[MATRICULA]]&amp;"Motorista"&amp;Tabela1[[#This Row],[SETOR]],BD!A:AF,31,0),"")</f>
        <v>0</v>
      </c>
      <c r="AM201" s="21" t="str">
        <f>IFERROR(VLOOKUP(Tabela1[[#This Row],[MÊS]]&amp;Tabela1[[#This Row],[ID]]&amp;Tabela1[[#This Row],[MATRICULA]]&amp;"Motorista 2"&amp;Tabela1[[#This Row],[SETOR]],BD!A:AF,26,0),"")</f>
        <v/>
      </c>
      <c r="AN201" s="21" t="str">
        <f>IFERROR(VLOOKUP(Tabela1[[#This Row],[MÊS]]&amp;Tabela1[[#This Row],[ID]]&amp;Tabela1[[#This Row],[MATRICULA]]&amp;"Motorista 3"&amp;Tabela1[[#This Row],[SETOR]],BD!A:AF,26,0),"")</f>
        <v/>
      </c>
      <c r="AO201" s="21" t="str">
        <f>IFERROR(VLOOKUP(Tabela1[[#This Row],[MÊS]]&amp;Tabela1[[#This Row],[ID]]&amp;Tabela1[[#This Row],[MATRICULA]]&amp;"Motorista 4"&amp;Tabela1[[#This Row],[SETOR]],BD!A:AF,26,0),"")</f>
        <v/>
      </c>
      <c r="AP201" s="21" t="str">
        <f>IFERROR(VLOOKUP(Tabela1[[#This Row],[MÊS]]&amp;Tabela1[[#This Row],[MATRICULA]]&amp;"Ponto de Apoio"&amp;Tabela1[[#This Row],[SETOR]],BD!A:AF,31,0),"")</f>
        <v/>
      </c>
      <c r="AQ201" s="21" t="str">
        <f>IFERROR(VLOOKUP(Tabela1[[#This Row],[MÊS]]&amp;Tabela1[[#This Row],[ID]]&amp;Tabela1[[#This Row],[MATRICULA]]&amp;"Ponto de Apoio 2"&amp;Tabela1[[#This Row],[SETOR]],BD!A:AF,26,0),"")</f>
        <v/>
      </c>
      <c r="AR201" s="36" t="str">
        <f>IFERROR(VLOOKUP(Tabela1[[#This Row],[MÊS]]&amp;Tabela1[[#This Row],[ID]]&amp;Tabela1[[#This Row],[MATRICULA]]&amp;"Ponto de Apoio 3"&amp;Tabela1[[#This Row],[SETOR]],BD!A:AF,26,0),"")</f>
        <v/>
      </c>
      <c r="AS201" s="36" t="str">
        <f>IFERROR(VLOOKUP(Tabela1[[#This Row],[MÊS]]&amp;Tabela1[[#This Row],[ID]]&amp;Tabela1[[#This Row],[MATRICULA]]&amp;"Ponto de Apoio 4"&amp;Tabela1[[#This Row],[SETOR]],BD!A:AF,26,0),"")</f>
        <v/>
      </c>
      <c r="AT201" s="21" t="str">
        <f>IFERROR(VLOOKUP(Tabela1[[#This Row],[MÊS]]&amp;Tabela1[[#This Row],[MATRICULA]]&amp;"Cliente"&amp;Tabela1[[#This Row],[SETOR]],BD!A:AF,31,0),"")</f>
        <v/>
      </c>
      <c r="AU201" s="21" t="str">
        <f>IFERROR(VLOOKUP(Tabela1[[#This Row],[MÊS]]&amp;Tabela1[[#This Row],[ID]]&amp;Tabela1[[#This Row],[MATRICULA]]&amp;"Cliente 2"&amp;Tabela1[[#This Row],[SETOR]],BD!A:AF,26,0),"")</f>
        <v/>
      </c>
      <c r="AX201" s="21" t="str">
        <f>IFERROR(VLOOKUP(Tabela1[[#This Row],[MÊS]]&amp;Tabela1[[#This Row],[MATRICULA]]&amp;"Policia"&amp;Tabela1[[#This Row],[SETOR]],BD!A:AF,31,0),"")</f>
        <v/>
      </c>
      <c r="AY201" s="21" t="str">
        <f>IFERROR(VLOOKUP(Tabela1[[#This Row],[MÊS]]&amp;Tabela1[[#This Row],[ID]]&amp;Tabela1[[#This Row],[MATRICULA]]&amp;"Policia 2"&amp;Tabela1[[#This Row],[SETOR]],BD!A:AF,26,0),"")</f>
        <v/>
      </c>
      <c r="AZ201" s="36" t="str">
        <f>IFERROR(VLOOKUP(Tabela1[[#This Row],[MÊS]]&amp;Tabela1[[#This Row],[ID]]&amp;Tabela1[[#This Row],[MATRICULA]]&amp;"Policia 3"&amp;Tabela1[[#This Row],[SETOR]],BD!A:AF,26,0),"")</f>
        <v/>
      </c>
      <c r="BA201" s="36" t="str">
        <f>IFERROR(VLOOKUP(Tabela1[[#This Row],[MÊS]]&amp;Tabela1[[#This Row],[ID]]&amp;Tabela1[[#This Row],[MATRICULA]]&amp;"Policia 4"&amp;Tabela1[[#This Row],[SETOR]],BD!A:AF,26,0),"")</f>
        <v/>
      </c>
      <c r="BB20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1" s="21">
        <f>IFERROR(AVERAGE(Tabela1[[#This Row],[M]:[M4]]),"")</f>
        <v>0</v>
      </c>
      <c r="BD201" s="21" t="str">
        <f>IFERROR(AVERAGE(Tabela1[[#This Row],[C]:[C4]]),"")</f>
        <v/>
      </c>
      <c r="BE201" s="21" t="str">
        <f>IFERROR(AVERAGE(Tabela1[[#This Row],[PA2]:[PA 4]]),"")</f>
        <v/>
      </c>
      <c r="BF201" s="21" t="str">
        <f>IFERROR(AVERAGE(Tabela1[[#This Row],[PL]:[PL4]]),"")</f>
        <v/>
      </c>
      <c r="BG201" s="35" t="str">
        <f>IFERROR(VLOOKUP(Tabela1[[#This Row],[MÊS]]&amp;Tabela1[[#This Row],[MATRICULA]],#REF!,2,0),"")</f>
        <v/>
      </c>
      <c r="BH201" s="35" t="str">
        <f>IFERROR(VLOOKUP(Tabela1[[#This Row],[MÊS]]&amp;Tabela1[[#This Row],[MATRICULA]],#REF!,2,0),"")</f>
        <v/>
      </c>
      <c r="BI201" s="35" t="str">
        <f>IFERROR(VLOOKUP(Tabela1[[#This Row],[MÊS]]&amp;Tabela1[[#This Row],[MATRICULA]],#REF!,2,0),"")</f>
        <v/>
      </c>
      <c r="BJ201" s="35" t="str">
        <f>IFERROR(VLOOKUP(Tabela1[[#This Row],[MÊS]]&amp;Tabela1[[#This Row],[MATRICULA]],#REF!,2,0),"")</f>
        <v/>
      </c>
      <c r="BK201" s="35" t="str">
        <f>IFERROR(VLOOKUP(Tabela1[[#This Row],[MÊS]]&amp;Tabela1[[#This Row],[MATRICULA]],#REF!,2,0),"")</f>
        <v/>
      </c>
      <c r="BL201" s="21">
        <f>COUNTIF(Tabela1[[#This Row],[MOT2]:[RECEPTIVA]],"NÃO ENCONTRADA")</f>
        <v>0</v>
      </c>
      <c r="BM201" s="135" t="str">
        <f>IFERROR(VLOOKUP(Tabela1[[#This Row],[MÊS]]&amp;Tabela1[[#This Row],[ID]]&amp;Tabela1[[#This Row],[MATRICULA]]&amp;"Motorista"&amp;Tabela1[[#This Row],[SETOR]],BD!A:AF,13,0),"")</f>
        <v/>
      </c>
      <c r="BN201" s="135" t="str">
        <f>IFERROR(VLOOKUP(Tabela1[[#This Row],[MÊS]]&amp;Tabela1[[#This Row],[ID]]&amp;Tabela1[[#This Row],[MATRICULA]]&amp;"Motorista 2"&amp;Tabela1[[#This Row],[SETOR]],BD!A:AF,13,0),"")</f>
        <v/>
      </c>
      <c r="BO201" s="135" t="str">
        <f>IFERROR(VLOOKUP(Tabela1[[#This Row],[MÊS]]&amp;Tabela1[[#This Row],[ID]]&amp;Tabela1[[#This Row],[MATRICULA]]&amp;"Motorista 3"&amp;Tabela1[[#This Row],[SETOR]],BD!A:AF,13,0),"")</f>
        <v/>
      </c>
      <c r="BP201" s="135" t="str">
        <f>IFERROR(VLOOKUP(Tabela1[[#This Row],[MÊS]]&amp;Tabela1[[#This Row],[ID]]&amp;Tabela1[[#This Row],[MATRICULA]]&amp;"Motorista 4"&amp;Tabela1[[#This Row],[SETOR]],BD!A:AF,13,0),"")</f>
        <v/>
      </c>
      <c r="BQ201" s="135" t="str">
        <f>IFERROR(AVERAGE(Tabela1[[#This Row],[DMOT]:[DMOT4]]),"")</f>
        <v/>
      </c>
      <c r="BR201" s="135" t="str">
        <f>IFERROR(VLOOKUP(Tabela1[[#This Row],[MÊS]]&amp;Tabela1[[#This Row],[ID]]&amp;Tabela1[[#This Row],[MATRICULA]]&amp;"Ponto de Apoio"&amp;Tabela1[[#This Row],[SETOR]],BD!A:AF,13,0),"")</f>
        <v/>
      </c>
      <c r="BS201" s="135" t="str">
        <f>IFERROR(VLOOKUP(Tabela1[[#This Row],[MÊS]]&amp;Tabela1[[#This Row],[ID]]&amp;Tabela1[[#This Row],[MATRICULA]]&amp;"Ponto de Apoio 2"&amp;Tabela1[[#This Row],[SETOR]],BD!A:AF,13,0),"")</f>
        <v/>
      </c>
      <c r="BT201" s="135" t="str">
        <f>IFERROR(VLOOKUP(Tabela1[[#This Row],[MÊS]]&amp;Tabela1[[#This Row],[ID]]&amp;Tabela1[[#This Row],[MATRICULA]]&amp;"Ponto de Apoio 3"&amp;Tabela1[[#This Row],[SETOR]],BD!A:AF,13,0),"")</f>
        <v/>
      </c>
      <c r="BU201" s="135" t="str">
        <f>IFERROR(VLOOKUP(Tabela1[[#This Row],[MÊS]]&amp;Tabela1[[#This Row],[ID]]&amp;Tabela1[[#This Row],[MATRICULA]]&amp;"Ponto de Apoio 4"&amp;Tabela1[[#This Row],[SETOR]],BD!A:AF,13,0),"")</f>
        <v/>
      </c>
      <c r="BV201" s="135" t="str">
        <f>IFERROR(AVERAGE(Tabela1[[#This Row],[DPA]:[DPA 4]]),"")</f>
        <v/>
      </c>
      <c r="BW201" s="135" t="str">
        <f>IFERROR(VLOOKUP(Tabela1[[#This Row],[MÊS]]&amp;Tabela1[[#This Row],[ID]]&amp;Tabela1[[#This Row],[MATRICULA]]&amp;"Cliente"&amp;Tabela1[[#This Row],[SETOR]],BD!A:AF,13,0),"")</f>
        <v/>
      </c>
      <c r="BX201" s="135" t="str">
        <f>IFERROR(VLOOKUP(Tabela1[[#This Row],[MÊS]]&amp;Tabela1[[#This Row],[ID]]&amp;Tabela1[[#This Row],[MATRICULA]]&amp;"cliente 2"&amp;Tabela1[[#This Row],[SETOR]],BD!A:AF,13,0),"")</f>
        <v/>
      </c>
      <c r="BY201" s="135" t="str">
        <f>IFERROR(VLOOKUP(Tabela1[[#This Row],[MÊS]]&amp;Tabela1[[#This Row],[ID]]&amp;Tabela1[[#This Row],[MATRICULA]]&amp;"cliente 3"&amp;Tabela1[[#This Row],[SETOR]],BD!A:AF,13,0),"")</f>
        <v/>
      </c>
      <c r="BZ201" s="135" t="str">
        <f>IFERROR(VLOOKUP(Tabela1[[#This Row],[MÊS]]&amp;Tabela1[[#This Row],[ID]]&amp;Tabela1[[#This Row],[MATRICULA]]&amp;"cliente 4"&amp;Tabela1[[#This Row],[SETOR]],BD!A:AF,13,0),"")</f>
        <v/>
      </c>
      <c r="CA201" s="135" t="str">
        <f>IFERROR(AVERAGE(Tabela1[[#This Row],[DCLI]:[DCLI 4]]),"")</f>
        <v/>
      </c>
      <c r="CB201" s="135" t="str">
        <f>IFERROR(VLOOKUP(Tabela1[[#This Row],[MÊS]]&amp;Tabela1[[#This Row],[ID]]&amp;Tabela1[[#This Row],[MATRICULA]]&amp;"Policia"&amp;Tabela1[[#This Row],[SETOR]],BD!A:AF,13,0),"")</f>
        <v/>
      </c>
      <c r="CC201" s="135" t="str">
        <f>IFERROR(VLOOKUP(Tabela1[[#This Row],[MÊS]]&amp;Tabela1[[#This Row],[ID]]&amp;Tabela1[[#This Row],[MATRICULA]]&amp;"Policia 2"&amp;Tabela1[[#This Row],[SETOR]],BD!A:AF,13,0),"")</f>
        <v/>
      </c>
      <c r="CD201" s="135"/>
      <c r="CE201" s="135"/>
      <c r="CF201" s="135" t="str">
        <f>IFERROR((AVERAGE(Tabela1[[#This Row],[DPOL1]:[DPOL4]])),"")</f>
        <v/>
      </c>
      <c r="CG201" s="21" t="str">
        <f>IFERROR(VLOOKUP(Tabela1[[#This Row],[ID]]&amp;Tabela1[[#This Row],[MÊS]]&amp;Tabela1[[#This Row],[MATRICULA]],#REF!,2,0),"")</f>
        <v/>
      </c>
      <c r="CH201" s="21" t="str">
        <f>IFERROR(VLOOKUP(Tabela1[[#This Row],[ID]]&amp;Tabela1[[#This Row],[MÊS]]&amp;Tabela1[[#This Row],[MATRICULA]],#REF!,2,0),"")</f>
        <v/>
      </c>
      <c r="CI201" s="21" t="str">
        <f>IFERROR(VLOOKUP(Tabela1[[#This Row],[MÊS]]&amp;Tabela1[[#This Row],[MATRICULA]],#REF!,2,0),"")</f>
        <v/>
      </c>
    </row>
    <row r="202" spans="1:87">
      <c r="A202" s="12" t="str">
        <f>Tabela1[[#This Row],[MÊS]]&amp;Tabela1[[#This Row],[MATRICULA]]&amp;Tabela1[[#This Row],[ID]]</f>
        <v>JAN114327</v>
      </c>
      <c r="B202" s="12" t="str">
        <f>Tabela1[[#This Row],[MÊS]]&amp;Tabela1[[#This Row],[ID]]&amp;Tabela1[[#This Row],[MATRICULA]]&amp;Tabela1[[#This Row],[SETOR]]</f>
        <v>JAN711432TRANSFERÊNCIA</v>
      </c>
      <c r="C202" s="130" t="e">
        <f>VLOOKUP(Tabela1[[#This Row],[MATRICULA]],'BD Campos'!A:D,5,0)</f>
        <v>#REF!</v>
      </c>
      <c r="D202" s="133" t="str">
        <f ca="1">IFERROR(SUM(TODAY()-Tabela1[[#This Row],[ADMISSÃO]]),"")</f>
        <v/>
      </c>
      <c r="E202" s="11" t="str">
        <f ca="1">IFERROR(TRUNC(Tabela1[[#This Row],[TEMPO DE CASA (DIAS)]]/30),"")</f>
        <v/>
      </c>
      <c r="F202" s="32" t="str">
        <f ca="1">IFERROR(SUM(Tabela1[[#This Row],[TEMPO DE CASA (MESES)]]/12),"")</f>
        <v/>
      </c>
      <c r="G202" s="133" t="str">
        <f ca="1">IF(Tabela1[[#This Row],[TEMPO DE CASA (DIAS)]]="","SEM DADOS",IF(Tabela1[[#This Row],[TEMPO DE CASA (DIAS)]]&gt;180,"&gt; 6 MESES","&lt; 6 MESES"))</f>
        <v>SEM DADOS</v>
      </c>
      <c r="H202" s="12" t="str">
        <f t="shared" si="18"/>
        <v>JANRodrigo Barros7</v>
      </c>
      <c r="I202" s="12" t="str">
        <f>IFERROR(VLOOKUP(Tabela1[[#This Row],[MATRICULA]],'BD Campos'!A:F,7,0),"")</f>
        <v/>
      </c>
      <c r="J202" s="11">
        <v>7</v>
      </c>
      <c r="K202" s="11" t="s">
        <v>669</v>
      </c>
      <c r="L202" s="136">
        <v>11432</v>
      </c>
      <c r="M202" s="12" t="str">
        <f>IFERROR(VLOOKUP(Tabela1[[#This Row],[MATRICULA]],'BD Campos'!A:B,2,0),"")</f>
        <v>NICKSON BARRETO LIMA</v>
      </c>
      <c r="N202" s="20">
        <f>IFERROR(AVERAGE(Tabela1[[#This Row],[A1]:[A4]]),"")</f>
        <v>9.1074000000000002</v>
      </c>
      <c r="O202" s="20" t="str">
        <f>IFERROR(IF(Tabela1[[#This Row],[SETOR]]="RECEPTIVO","",AVERAGE(Tabela1[[#This Row],[A5]:[A6]])),"")</f>
        <v/>
      </c>
      <c r="P202" s="20" t="str">
        <f>IFERROR(IF(Tabela1[[#This Row],[STATUS]]="INATIVO","INATIVO",IF(Tabela1[[#This Row],[STATUS]]="QRT","INATIVO",IF(Tabela1[[#This Row],[OPERACIONAL]]&gt;7.99999,"BOM","RUIM"))),"")</f>
        <v>BOM</v>
      </c>
      <c r="Q202" s="21" t="s">
        <v>667</v>
      </c>
      <c r="R202" s="12" t="s">
        <v>714</v>
      </c>
      <c r="S202" s="12" t="s">
        <v>715</v>
      </c>
      <c r="T202" s="12" t="s">
        <v>192</v>
      </c>
      <c r="U20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2" s="12">
        <f>IF(AND(Tabela1[[#This Row],[SETOR]]="UTI",Tabela1[[#This Row],[M]]&lt;&gt;""),1,IF(AND(Tabela1[[#This Row],[SETOR]]="UTI (RJ)",Tabela1[[#This Row],[M]]&lt;&gt;""),1.5,0))</f>
        <v>0</v>
      </c>
      <c r="X202" s="12">
        <f>IF(AND(Tabela1[[#This Row],[SETOR]]="UTI",Tabela1[[#This Row],[PA2]]&lt;&gt;""),1,IF(AND(Tabela1[[#This Row],[SETOR]]="UTI (RJ)",Tabela1[[#This Row],[PA2]]&lt;&gt;""),0,0))</f>
        <v>0</v>
      </c>
      <c r="Y202" s="12">
        <f>IF(AND(Tabela1[[#This Row],[SETOR]]="UTI",Tabela1[[#This Row],[C]]&lt;&gt;""),1,IF(AND(Tabela1[[#This Row],[SETOR]]="UTI (RJ)",Tabela1[[#This Row],[C]]&lt;&gt;""),1.5,0))</f>
        <v>0</v>
      </c>
      <c r="Z202" s="12">
        <f>IF(AND(Tabela1[[#This Row],[SETOR]]="UTI",Tabela1[[#This Row],[PL]]&lt;&gt;""),1,IF(AND(Tabela1[[#This Row],[SETOR]]="UTI (RJ)",Tabela1[[#This Row],[PL]]&lt;&gt;""),1,0))</f>
        <v>0</v>
      </c>
      <c r="AA202" s="21">
        <f>IFERROR(VLOOKUP(Tabela1[[#This Row],[MÊS]]&amp;Tabela1[[#This Row],[MATRICULA]]&amp;"1"&amp;Tabela1[[#This Row],[SETOR]]&amp;"PADRÃO",BD!B:AF,31,0),"")</f>
        <v>9.6850000000000005</v>
      </c>
      <c r="AB202" s="21">
        <f>IFERROR(VLOOKUP(Tabela1[[#This Row],[MÊS]]&amp;Tabela1[[#This Row],[MATRICULA]]&amp;"2"&amp;Tabela1[[#This Row],[SETOR]]&amp;"PADRÃO",BD!B:AF,31,0),"")</f>
        <v>8.5297999999999998</v>
      </c>
      <c r="AC202" s="21" t="str">
        <f>IFERROR(VLOOKUP(Tabela1[[#This Row],[MÊS]]&amp;Tabela1[[#This Row],[MATRICULA]]&amp;"3"&amp;Tabela1[[#This Row],[SETOR]]&amp;"PADRÃO",BD!B:AF,31,0),"")</f>
        <v/>
      </c>
      <c r="AD202" s="21" t="str">
        <f>IFERROR(VLOOKUP(Tabela1[[#This Row],[MÊS]]&amp;Tabela1[[#This Row],[MATRICULA]]&amp;"4"&amp;Tabela1[[#This Row],[SETOR]]&amp;"PADRÃO",BD!B:AF,25,0),"")</f>
        <v/>
      </c>
      <c r="AE202" s="21" t="str">
        <f>IFERROR(VLOOKUP(Tabela1[[#This Row],[MÊS]]&amp;Tabela1[[#This Row],[MATRICULA]]&amp;"5"&amp;Tabela1[[#This Row],[SETOR]]&amp;"PADRÃO",BD!B:AF,31,0),"")</f>
        <v/>
      </c>
      <c r="AF202" s="21" t="str">
        <f>IFERROR(VLOOKUP(Tabela1[[#This Row],[MÊS]]&amp;Tabela1[[#This Row],[MATRICULA]]&amp;"6"&amp;Tabela1[[#This Row],[SETOR]]&amp;"PADRÃO",BD!B:AF,31,0),"")</f>
        <v/>
      </c>
      <c r="AG202" s="21" t="str">
        <f>IFERROR(VLOOKUP(Tabela1[[#This Row],[MÊS]]&amp;Tabela1[[#This Row],[MATRICULA]]&amp;"7"&amp;Tabela1[[#This Row],[SETOR]]&amp;"PADRÃO",BD!B:AF,31,0),"")</f>
        <v/>
      </c>
      <c r="AH202" s="21" t="str">
        <f>IFERROR(VLOOKUP(Tabela1[[#This Row],[MÊS]]&amp;Tabela1[[#This Row],[ID]]&amp;Tabela1[[#This Row],[MATRICULA]]&amp;"Receptiva"&amp;Tabela1[[#This Row],[SETOR]],BD!A:AF,31,0),"")</f>
        <v/>
      </c>
      <c r="AI202" s="21" t="str">
        <f>IFERROR(VLOOKUP(Tabela1[[#This Row],[MÊS]]&amp;Tabela1[[#This Row],[ID]]&amp;Tabela1[[#This Row],[MATRICULA]]&amp;"Receptiva 2"&amp;Tabela1[[#This Row],[SETOR]],BD!A:AF,31,0),"")</f>
        <v/>
      </c>
      <c r="AJ202" s="21" t="str">
        <f>IFERROR(VLOOKUP(Tabela1[[#This Row],[MÊS]]&amp;Tabela1[[#This Row],[ID]]&amp;Tabela1[[#This Row],[MATRICULA]]&amp;"Receptiva 3"&amp;Tabela1[[#This Row],[SETOR]],BD!A:AF,31,0),"")</f>
        <v/>
      </c>
      <c r="AK202" s="21" t="str">
        <f>IFERROR(VLOOKUP(Tabela1[[#This Row],[MÊS]]&amp;Tabela1[[#This Row],[ID]]&amp;Tabela1[[#This Row],[MATRICULA]]&amp;"Receptiva 4"&amp;Tabela1[[#This Row],[SETOR]],BD!A:AF,31,0),"")</f>
        <v/>
      </c>
      <c r="AL202" s="21">
        <f>IFERROR(VLOOKUP(Tabela1[[#This Row],[MÊS]]&amp;Tabela1[[#This Row],[MATRICULA]]&amp;"Motorista"&amp;Tabela1[[#This Row],[SETOR]],BD!A:AF,31,0),"")</f>
        <v>0</v>
      </c>
      <c r="AM202" s="21" t="str">
        <f>IFERROR(VLOOKUP(Tabela1[[#This Row],[MÊS]]&amp;Tabela1[[#This Row],[ID]]&amp;Tabela1[[#This Row],[MATRICULA]]&amp;"Motorista 2"&amp;Tabela1[[#This Row],[SETOR]],BD!A:AF,26,0),"")</f>
        <v/>
      </c>
      <c r="AN202" s="21" t="str">
        <f>IFERROR(VLOOKUP(Tabela1[[#This Row],[MÊS]]&amp;Tabela1[[#This Row],[ID]]&amp;Tabela1[[#This Row],[MATRICULA]]&amp;"Motorista 3"&amp;Tabela1[[#This Row],[SETOR]],BD!A:AF,26,0),"")</f>
        <v/>
      </c>
      <c r="AO202" s="21" t="str">
        <f>IFERROR(VLOOKUP(Tabela1[[#This Row],[MÊS]]&amp;Tabela1[[#This Row],[ID]]&amp;Tabela1[[#This Row],[MATRICULA]]&amp;"Motorista 4"&amp;Tabela1[[#This Row],[SETOR]],BD!A:AF,26,0),"")</f>
        <v/>
      </c>
      <c r="AP202" s="21" t="str">
        <f>IFERROR(VLOOKUP(Tabela1[[#This Row],[MÊS]]&amp;Tabela1[[#This Row],[MATRICULA]]&amp;"Ponto de Apoio"&amp;Tabela1[[#This Row],[SETOR]],BD!A:AF,31,0),"")</f>
        <v/>
      </c>
      <c r="AQ202" s="21" t="str">
        <f>IFERROR(VLOOKUP(Tabela1[[#This Row],[MÊS]]&amp;Tabela1[[#This Row],[ID]]&amp;Tabela1[[#This Row],[MATRICULA]]&amp;"Ponto de Apoio 2"&amp;Tabela1[[#This Row],[SETOR]],BD!A:AF,26,0),"")</f>
        <v/>
      </c>
      <c r="AR202" s="36" t="str">
        <f>IFERROR(VLOOKUP(Tabela1[[#This Row],[MÊS]]&amp;Tabela1[[#This Row],[ID]]&amp;Tabela1[[#This Row],[MATRICULA]]&amp;"Ponto de Apoio 3"&amp;Tabela1[[#This Row],[SETOR]],BD!A:AF,26,0),"")</f>
        <v/>
      </c>
      <c r="AS202" s="36" t="str">
        <f>IFERROR(VLOOKUP(Tabela1[[#This Row],[MÊS]]&amp;Tabela1[[#This Row],[ID]]&amp;Tabela1[[#This Row],[MATRICULA]]&amp;"Ponto de Apoio 4"&amp;Tabela1[[#This Row],[SETOR]],BD!A:AF,26,0),"")</f>
        <v/>
      </c>
      <c r="AT202" s="21" t="str">
        <f>IFERROR(VLOOKUP(Tabela1[[#This Row],[MÊS]]&amp;Tabela1[[#This Row],[MATRICULA]]&amp;"Cliente"&amp;Tabela1[[#This Row],[SETOR]],BD!A:AF,31,0),"")</f>
        <v/>
      </c>
      <c r="AU202" s="21" t="str">
        <f>IFERROR(VLOOKUP(Tabela1[[#This Row],[MÊS]]&amp;Tabela1[[#This Row],[ID]]&amp;Tabela1[[#This Row],[MATRICULA]]&amp;"Cliente 2"&amp;Tabela1[[#This Row],[SETOR]],BD!A:AF,26,0),"")</f>
        <v/>
      </c>
      <c r="AX202" s="21" t="str">
        <f>IFERROR(VLOOKUP(Tabela1[[#This Row],[MÊS]]&amp;Tabela1[[#This Row],[MATRICULA]]&amp;"Policia"&amp;Tabela1[[#This Row],[SETOR]],BD!A:AF,31,0),"")</f>
        <v/>
      </c>
      <c r="AY202" s="21" t="str">
        <f>IFERROR(VLOOKUP(Tabela1[[#This Row],[MÊS]]&amp;Tabela1[[#This Row],[ID]]&amp;Tabela1[[#This Row],[MATRICULA]]&amp;"Policia 2"&amp;Tabela1[[#This Row],[SETOR]],BD!A:AF,26,0),"")</f>
        <v/>
      </c>
      <c r="AZ202" s="36" t="str">
        <f>IFERROR(VLOOKUP(Tabela1[[#This Row],[MÊS]]&amp;Tabela1[[#This Row],[ID]]&amp;Tabela1[[#This Row],[MATRICULA]]&amp;"Policia 3"&amp;Tabela1[[#This Row],[SETOR]],BD!A:AF,26,0),"")</f>
        <v/>
      </c>
      <c r="BA202" s="36" t="str">
        <f>IFERROR(VLOOKUP(Tabela1[[#This Row],[MÊS]]&amp;Tabela1[[#This Row],[ID]]&amp;Tabela1[[#This Row],[MATRICULA]]&amp;"Policia 4"&amp;Tabela1[[#This Row],[SETOR]],BD!A:AF,26,0),"")</f>
        <v/>
      </c>
      <c r="BB20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2" s="21">
        <f>IFERROR(AVERAGE(Tabela1[[#This Row],[M]:[M4]]),"")</f>
        <v>0</v>
      </c>
      <c r="BD202" s="21" t="str">
        <f>IFERROR(AVERAGE(Tabela1[[#This Row],[C]:[C4]]),"")</f>
        <v/>
      </c>
      <c r="BE202" s="21" t="str">
        <f>IFERROR(AVERAGE(Tabela1[[#This Row],[PA2]:[PA 4]]),"")</f>
        <v/>
      </c>
      <c r="BF202" s="21" t="str">
        <f>IFERROR(AVERAGE(Tabela1[[#This Row],[PL]:[PL4]]),"")</f>
        <v/>
      </c>
      <c r="BG202" s="35" t="str">
        <f>IFERROR(VLOOKUP(Tabela1[[#This Row],[MÊS]]&amp;Tabela1[[#This Row],[MATRICULA]],#REF!,2,0),"")</f>
        <v/>
      </c>
      <c r="BH202" s="35" t="str">
        <f>IFERROR(VLOOKUP(Tabela1[[#This Row],[MÊS]]&amp;Tabela1[[#This Row],[MATRICULA]],#REF!,2,0),"")</f>
        <v/>
      </c>
      <c r="BI202" s="35" t="str">
        <f>IFERROR(VLOOKUP(Tabela1[[#This Row],[MÊS]]&amp;Tabela1[[#This Row],[MATRICULA]],#REF!,2,0),"")</f>
        <v/>
      </c>
      <c r="BJ202" s="35" t="str">
        <f>IFERROR(VLOOKUP(Tabela1[[#This Row],[MÊS]]&amp;Tabela1[[#This Row],[MATRICULA]],#REF!,2,0),"")</f>
        <v/>
      </c>
      <c r="BK202" s="35" t="str">
        <f>IFERROR(VLOOKUP(Tabela1[[#This Row],[MÊS]]&amp;Tabela1[[#This Row],[MATRICULA]],#REF!,2,0),"")</f>
        <v/>
      </c>
      <c r="BL202" s="21">
        <f>COUNTIF(Tabela1[[#This Row],[MOT2]:[RECEPTIVA]],"NÃO ENCONTRADA")</f>
        <v>0</v>
      </c>
      <c r="BM202" s="135" t="str">
        <f>IFERROR(VLOOKUP(Tabela1[[#This Row],[MÊS]]&amp;Tabela1[[#This Row],[ID]]&amp;Tabela1[[#This Row],[MATRICULA]]&amp;"Motorista"&amp;Tabela1[[#This Row],[SETOR]],BD!A:AF,13,0),"")</f>
        <v/>
      </c>
      <c r="BN202" s="135" t="str">
        <f>IFERROR(VLOOKUP(Tabela1[[#This Row],[MÊS]]&amp;Tabela1[[#This Row],[ID]]&amp;Tabela1[[#This Row],[MATRICULA]]&amp;"Motorista 2"&amp;Tabela1[[#This Row],[SETOR]],BD!A:AF,13,0),"")</f>
        <v/>
      </c>
      <c r="BO202" s="135" t="str">
        <f>IFERROR(VLOOKUP(Tabela1[[#This Row],[MÊS]]&amp;Tabela1[[#This Row],[ID]]&amp;Tabela1[[#This Row],[MATRICULA]]&amp;"Motorista 3"&amp;Tabela1[[#This Row],[SETOR]],BD!A:AF,13,0),"")</f>
        <v/>
      </c>
      <c r="BP202" s="135" t="str">
        <f>IFERROR(VLOOKUP(Tabela1[[#This Row],[MÊS]]&amp;Tabela1[[#This Row],[ID]]&amp;Tabela1[[#This Row],[MATRICULA]]&amp;"Motorista 4"&amp;Tabela1[[#This Row],[SETOR]],BD!A:AF,13,0),"")</f>
        <v/>
      </c>
      <c r="BQ202" s="135" t="str">
        <f>IFERROR(AVERAGE(Tabela1[[#This Row],[DMOT]:[DMOT4]]),"")</f>
        <v/>
      </c>
      <c r="BR202" s="135" t="str">
        <f>IFERROR(VLOOKUP(Tabela1[[#This Row],[MÊS]]&amp;Tabela1[[#This Row],[ID]]&amp;Tabela1[[#This Row],[MATRICULA]]&amp;"Ponto de Apoio"&amp;Tabela1[[#This Row],[SETOR]],BD!A:AF,13,0),"")</f>
        <v/>
      </c>
      <c r="BS202" s="135" t="str">
        <f>IFERROR(VLOOKUP(Tabela1[[#This Row],[MÊS]]&amp;Tabela1[[#This Row],[ID]]&amp;Tabela1[[#This Row],[MATRICULA]]&amp;"Ponto de Apoio 2"&amp;Tabela1[[#This Row],[SETOR]],BD!A:AF,13,0),"")</f>
        <v/>
      </c>
      <c r="BT202" s="135" t="str">
        <f>IFERROR(VLOOKUP(Tabela1[[#This Row],[MÊS]]&amp;Tabela1[[#This Row],[ID]]&amp;Tabela1[[#This Row],[MATRICULA]]&amp;"Ponto de Apoio 3"&amp;Tabela1[[#This Row],[SETOR]],BD!A:AF,13,0),"")</f>
        <v/>
      </c>
      <c r="BU202" s="135" t="str">
        <f>IFERROR(VLOOKUP(Tabela1[[#This Row],[MÊS]]&amp;Tabela1[[#This Row],[ID]]&amp;Tabela1[[#This Row],[MATRICULA]]&amp;"Ponto de Apoio 4"&amp;Tabela1[[#This Row],[SETOR]],BD!A:AF,13,0),"")</f>
        <v/>
      </c>
      <c r="BV202" s="135" t="str">
        <f>IFERROR(AVERAGE(Tabela1[[#This Row],[DPA]:[DPA 4]]),"")</f>
        <v/>
      </c>
      <c r="BW202" s="135" t="str">
        <f>IFERROR(VLOOKUP(Tabela1[[#This Row],[MÊS]]&amp;Tabela1[[#This Row],[ID]]&amp;Tabela1[[#This Row],[MATRICULA]]&amp;"Cliente"&amp;Tabela1[[#This Row],[SETOR]],BD!A:AF,13,0),"")</f>
        <v/>
      </c>
      <c r="BX202" s="135" t="str">
        <f>IFERROR(VLOOKUP(Tabela1[[#This Row],[MÊS]]&amp;Tabela1[[#This Row],[ID]]&amp;Tabela1[[#This Row],[MATRICULA]]&amp;"cliente 2"&amp;Tabela1[[#This Row],[SETOR]],BD!A:AF,13,0),"")</f>
        <v/>
      </c>
      <c r="BY202" s="135" t="str">
        <f>IFERROR(VLOOKUP(Tabela1[[#This Row],[MÊS]]&amp;Tabela1[[#This Row],[ID]]&amp;Tabela1[[#This Row],[MATRICULA]]&amp;"cliente 3"&amp;Tabela1[[#This Row],[SETOR]],BD!A:AF,13,0),"")</f>
        <v/>
      </c>
      <c r="BZ202" s="135" t="str">
        <f>IFERROR(VLOOKUP(Tabela1[[#This Row],[MÊS]]&amp;Tabela1[[#This Row],[ID]]&amp;Tabela1[[#This Row],[MATRICULA]]&amp;"cliente 4"&amp;Tabela1[[#This Row],[SETOR]],BD!A:AF,13,0),"")</f>
        <v/>
      </c>
      <c r="CA202" s="135" t="str">
        <f>IFERROR(AVERAGE(Tabela1[[#This Row],[DCLI]:[DCLI 4]]),"")</f>
        <v/>
      </c>
      <c r="CB202" s="135" t="str">
        <f>IFERROR(VLOOKUP(Tabela1[[#This Row],[MÊS]]&amp;Tabela1[[#This Row],[ID]]&amp;Tabela1[[#This Row],[MATRICULA]]&amp;"Policia"&amp;Tabela1[[#This Row],[SETOR]],BD!A:AF,13,0),"")</f>
        <v/>
      </c>
      <c r="CC202" s="135" t="str">
        <f>IFERROR(VLOOKUP(Tabela1[[#This Row],[MÊS]]&amp;Tabela1[[#This Row],[ID]]&amp;Tabela1[[#This Row],[MATRICULA]]&amp;"Policia 2"&amp;Tabela1[[#This Row],[SETOR]],BD!A:AF,13,0),"")</f>
        <v/>
      </c>
      <c r="CD202" s="135"/>
      <c r="CE202" s="135"/>
      <c r="CF202" s="135" t="str">
        <f>IFERROR((AVERAGE(Tabela1[[#This Row],[DPOL1]:[DPOL4]])),"")</f>
        <v/>
      </c>
      <c r="CG202" s="21" t="str">
        <f>IFERROR(VLOOKUP(Tabela1[[#This Row],[ID]]&amp;Tabela1[[#This Row],[MÊS]]&amp;Tabela1[[#This Row],[MATRICULA]],#REF!,2,0),"")</f>
        <v/>
      </c>
      <c r="CH202" s="21" t="str">
        <f>IFERROR(VLOOKUP(Tabela1[[#This Row],[ID]]&amp;Tabela1[[#This Row],[MÊS]]&amp;Tabela1[[#This Row],[MATRICULA]],#REF!,2,0),"")</f>
        <v/>
      </c>
      <c r="CI202" s="21" t="str">
        <f>IFERROR(VLOOKUP(Tabela1[[#This Row],[MÊS]]&amp;Tabela1[[#This Row],[MATRICULA]],#REF!,2,0),"")</f>
        <v/>
      </c>
    </row>
    <row r="203" spans="1:87">
      <c r="A203" s="12" t="str">
        <f>Tabela1[[#This Row],[MÊS]]&amp;Tabela1[[#This Row],[MATRICULA]]&amp;Tabela1[[#This Row],[ID]]</f>
        <v>JAN113798</v>
      </c>
      <c r="B203" s="12" t="str">
        <f>Tabela1[[#This Row],[MÊS]]&amp;Tabela1[[#This Row],[ID]]&amp;Tabela1[[#This Row],[MATRICULA]]&amp;Tabela1[[#This Row],[SETOR]]</f>
        <v>JAN811379TRANSFERÊNCIA</v>
      </c>
      <c r="C203" s="130" t="e">
        <f>VLOOKUP(Tabela1[[#This Row],[MATRICULA]],'BD Campos'!A:D,5,0)</f>
        <v>#REF!</v>
      </c>
      <c r="D203" s="133" t="str">
        <f ca="1">IFERROR(SUM(TODAY()-Tabela1[[#This Row],[ADMISSÃO]]),"")</f>
        <v/>
      </c>
      <c r="E203" s="11" t="str">
        <f ca="1">IFERROR(TRUNC(Tabela1[[#This Row],[TEMPO DE CASA (DIAS)]]/30),"")</f>
        <v/>
      </c>
      <c r="F203" s="32" t="str">
        <f ca="1">IFERROR(SUM(Tabela1[[#This Row],[TEMPO DE CASA (MESES)]]/12),"")</f>
        <v/>
      </c>
      <c r="G203" s="133" t="str">
        <f ca="1">IF(Tabela1[[#This Row],[TEMPO DE CASA (DIAS)]]="","SEM DADOS",IF(Tabela1[[#This Row],[TEMPO DE CASA (DIAS)]]&gt;180,"&gt; 6 MESES","&lt; 6 MESES"))</f>
        <v>SEM DADOS</v>
      </c>
      <c r="H203" s="12" t="str">
        <f t="shared" si="18"/>
        <v>JANRodrigo Barros8</v>
      </c>
      <c r="I203" s="12" t="str">
        <f>IFERROR(VLOOKUP(Tabela1[[#This Row],[MATRICULA]],'BD Campos'!A:F,7,0),"")</f>
        <v/>
      </c>
      <c r="J203" s="11">
        <v>8</v>
      </c>
      <c r="K203" s="11" t="s">
        <v>669</v>
      </c>
      <c r="L203" s="136">
        <v>11379</v>
      </c>
      <c r="M203" s="12" t="str">
        <f>IFERROR(VLOOKUP(Tabela1[[#This Row],[MATRICULA]],'BD Campos'!A:B,2,0),"")</f>
        <v>PRISCILA CRISTINE GUESSER</v>
      </c>
      <c r="N203" s="20">
        <f>IFERROR(AVERAGE(Tabela1[[#This Row],[A1]:[A4]]),"")</f>
        <v>8.1382499999999993</v>
      </c>
      <c r="O203" s="20" t="str">
        <f>IFERROR(IF(Tabela1[[#This Row],[SETOR]]="RECEPTIVO","",AVERAGE(Tabela1[[#This Row],[A5]:[A6]])),"")</f>
        <v/>
      </c>
      <c r="P203" s="20" t="str">
        <f>IFERROR(IF(Tabela1[[#This Row],[STATUS]]="INATIVO","INATIVO",IF(Tabela1[[#This Row],[STATUS]]="QRT","INATIVO",IF(Tabela1[[#This Row],[OPERACIONAL]]&gt;7.99999,"BOM","RUIM"))),"")</f>
        <v>BOM</v>
      </c>
      <c r="Q203" s="21" t="s">
        <v>667</v>
      </c>
      <c r="R203" s="12" t="s">
        <v>714</v>
      </c>
      <c r="S203" s="12" t="s">
        <v>715</v>
      </c>
      <c r="T203" s="12" t="s">
        <v>192</v>
      </c>
      <c r="U20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3" s="12">
        <f>IF(AND(Tabela1[[#This Row],[SETOR]]="UTI",Tabela1[[#This Row],[M]]&lt;&gt;""),1,IF(AND(Tabela1[[#This Row],[SETOR]]="UTI (RJ)",Tabela1[[#This Row],[M]]&lt;&gt;""),1.5,0))</f>
        <v>0</v>
      </c>
      <c r="X203" s="12">
        <f>IF(AND(Tabela1[[#This Row],[SETOR]]="UTI",Tabela1[[#This Row],[PA2]]&lt;&gt;""),1,IF(AND(Tabela1[[#This Row],[SETOR]]="UTI (RJ)",Tabela1[[#This Row],[PA2]]&lt;&gt;""),0,0))</f>
        <v>0</v>
      </c>
      <c r="Y203" s="12">
        <f>IF(AND(Tabela1[[#This Row],[SETOR]]="UTI",Tabela1[[#This Row],[C]]&lt;&gt;""),1,IF(AND(Tabela1[[#This Row],[SETOR]]="UTI (RJ)",Tabela1[[#This Row],[C]]&lt;&gt;""),1.5,0))</f>
        <v>0</v>
      </c>
      <c r="Z203" s="12">
        <f>IF(AND(Tabela1[[#This Row],[SETOR]]="UTI",Tabela1[[#This Row],[PL]]&lt;&gt;""),1,IF(AND(Tabela1[[#This Row],[SETOR]]="UTI (RJ)",Tabela1[[#This Row],[PL]]&lt;&gt;""),1,0))</f>
        <v>0</v>
      </c>
      <c r="AA203" s="21">
        <f>IFERROR(VLOOKUP(Tabela1[[#This Row],[MÊS]]&amp;Tabela1[[#This Row],[MATRICULA]]&amp;"1"&amp;Tabela1[[#This Row],[SETOR]]&amp;"PADRÃO",BD!B:AF,31,0),"")</f>
        <v>8.6389999999999993</v>
      </c>
      <c r="AB203" s="21">
        <f>IFERROR(VLOOKUP(Tabela1[[#This Row],[MÊS]]&amp;Tabela1[[#This Row],[MATRICULA]]&amp;"2"&amp;Tabela1[[#This Row],[SETOR]]&amp;"PADRÃO",BD!B:AF,31,0),"")</f>
        <v>7.6374999999999984</v>
      </c>
      <c r="AC203" s="21" t="str">
        <f>IFERROR(VLOOKUP(Tabela1[[#This Row],[MÊS]]&amp;Tabela1[[#This Row],[MATRICULA]]&amp;"3"&amp;Tabela1[[#This Row],[SETOR]]&amp;"PADRÃO",BD!B:AF,31,0),"")</f>
        <v/>
      </c>
      <c r="AD203" s="21" t="str">
        <f>IFERROR(VLOOKUP(Tabela1[[#This Row],[MÊS]]&amp;Tabela1[[#This Row],[MATRICULA]]&amp;"4"&amp;Tabela1[[#This Row],[SETOR]]&amp;"PADRÃO",BD!B:AF,25,0),"")</f>
        <v/>
      </c>
      <c r="AE203" s="21" t="str">
        <f>IFERROR(VLOOKUP(Tabela1[[#This Row],[MÊS]]&amp;Tabela1[[#This Row],[MATRICULA]]&amp;"5"&amp;Tabela1[[#This Row],[SETOR]]&amp;"PADRÃO",BD!B:AF,31,0),"")</f>
        <v/>
      </c>
      <c r="AF203" s="21" t="str">
        <f>IFERROR(VLOOKUP(Tabela1[[#This Row],[MÊS]]&amp;Tabela1[[#This Row],[MATRICULA]]&amp;"6"&amp;Tabela1[[#This Row],[SETOR]]&amp;"PADRÃO",BD!B:AF,31,0),"")</f>
        <v/>
      </c>
      <c r="AG203" s="21" t="str">
        <f>IFERROR(VLOOKUP(Tabela1[[#This Row],[MÊS]]&amp;Tabela1[[#This Row],[MATRICULA]]&amp;"7"&amp;Tabela1[[#This Row],[SETOR]]&amp;"PADRÃO",BD!B:AF,31,0),"")</f>
        <v/>
      </c>
      <c r="AH203" s="21" t="str">
        <f>IFERROR(VLOOKUP(Tabela1[[#This Row],[MÊS]]&amp;Tabela1[[#This Row],[ID]]&amp;Tabela1[[#This Row],[MATRICULA]]&amp;"Receptiva"&amp;Tabela1[[#This Row],[SETOR]],BD!A:AF,31,0),"")</f>
        <v/>
      </c>
      <c r="AI203" s="21" t="str">
        <f>IFERROR(VLOOKUP(Tabela1[[#This Row],[MÊS]]&amp;Tabela1[[#This Row],[ID]]&amp;Tabela1[[#This Row],[MATRICULA]]&amp;"Receptiva 2"&amp;Tabela1[[#This Row],[SETOR]],BD!A:AF,31,0),"")</f>
        <v/>
      </c>
      <c r="AJ203" s="21" t="str">
        <f>IFERROR(VLOOKUP(Tabela1[[#This Row],[MÊS]]&amp;Tabela1[[#This Row],[ID]]&amp;Tabela1[[#This Row],[MATRICULA]]&amp;"Receptiva 3"&amp;Tabela1[[#This Row],[SETOR]],BD!A:AF,31,0),"")</f>
        <v/>
      </c>
      <c r="AK203" s="21" t="str">
        <f>IFERROR(VLOOKUP(Tabela1[[#This Row],[MÊS]]&amp;Tabela1[[#This Row],[ID]]&amp;Tabela1[[#This Row],[MATRICULA]]&amp;"Receptiva 4"&amp;Tabela1[[#This Row],[SETOR]],BD!A:AF,31,0),"")</f>
        <v/>
      </c>
      <c r="AL203" s="21">
        <f>IFERROR(VLOOKUP(Tabela1[[#This Row],[MÊS]]&amp;Tabela1[[#This Row],[MATRICULA]]&amp;"Motorista"&amp;Tabela1[[#This Row],[SETOR]],BD!A:AF,31,0),"")</f>
        <v>0</v>
      </c>
      <c r="AM203" s="21" t="str">
        <f>IFERROR(VLOOKUP(Tabela1[[#This Row],[MÊS]]&amp;Tabela1[[#This Row],[ID]]&amp;Tabela1[[#This Row],[MATRICULA]]&amp;"Motorista 2"&amp;Tabela1[[#This Row],[SETOR]],BD!A:AF,26,0),"")</f>
        <v/>
      </c>
      <c r="AN203" s="21" t="str">
        <f>IFERROR(VLOOKUP(Tabela1[[#This Row],[MÊS]]&amp;Tabela1[[#This Row],[ID]]&amp;Tabela1[[#This Row],[MATRICULA]]&amp;"Motorista 3"&amp;Tabela1[[#This Row],[SETOR]],BD!A:AF,26,0),"")</f>
        <v/>
      </c>
      <c r="AO203" s="21" t="str">
        <f>IFERROR(VLOOKUP(Tabela1[[#This Row],[MÊS]]&amp;Tabela1[[#This Row],[ID]]&amp;Tabela1[[#This Row],[MATRICULA]]&amp;"Motorista 4"&amp;Tabela1[[#This Row],[SETOR]],BD!A:AF,26,0),"")</f>
        <v/>
      </c>
      <c r="AP203" s="21" t="str">
        <f>IFERROR(VLOOKUP(Tabela1[[#This Row],[MÊS]]&amp;Tabela1[[#This Row],[MATRICULA]]&amp;"Ponto de Apoio"&amp;Tabela1[[#This Row],[SETOR]],BD!A:AF,31,0),"")</f>
        <v/>
      </c>
      <c r="AQ203" s="21" t="str">
        <f>IFERROR(VLOOKUP(Tabela1[[#This Row],[MÊS]]&amp;Tabela1[[#This Row],[ID]]&amp;Tabela1[[#This Row],[MATRICULA]]&amp;"Ponto de Apoio 2"&amp;Tabela1[[#This Row],[SETOR]],BD!A:AF,26,0),"")</f>
        <v/>
      </c>
      <c r="AR203" s="36" t="str">
        <f>IFERROR(VLOOKUP(Tabela1[[#This Row],[MÊS]]&amp;Tabela1[[#This Row],[ID]]&amp;Tabela1[[#This Row],[MATRICULA]]&amp;"Ponto de Apoio 3"&amp;Tabela1[[#This Row],[SETOR]],BD!A:AF,26,0),"")</f>
        <v/>
      </c>
      <c r="AS203" s="36" t="str">
        <f>IFERROR(VLOOKUP(Tabela1[[#This Row],[MÊS]]&amp;Tabela1[[#This Row],[ID]]&amp;Tabela1[[#This Row],[MATRICULA]]&amp;"Ponto de Apoio 4"&amp;Tabela1[[#This Row],[SETOR]],BD!A:AF,26,0),"")</f>
        <v/>
      </c>
      <c r="AT203" s="21" t="str">
        <f>IFERROR(VLOOKUP(Tabela1[[#This Row],[MÊS]]&amp;Tabela1[[#This Row],[MATRICULA]]&amp;"Cliente"&amp;Tabela1[[#This Row],[SETOR]],BD!A:AF,31,0),"")</f>
        <v/>
      </c>
      <c r="AU203" s="21" t="str">
        <f>IFERROR(VLOOKUP(Tabela1[[#This Row],[MÊS]]&amp;Tabela1[[#This Row],[ID]]&amp;Tabela1[[#This Row],[MATRICULA]]&amp;"Cliente 2"&amp;Tabela1[[#This Row],[SETOR]],BD!A:AF,26,0),"")</f>
        <v/>
      </c>
      <c r="AX203" s="21" t="str">
        <f>IFERROR(VLOOKUP(Tabela1[[#This Row],[MÊS]]&amp;Tabela1[[#This Row],[MATRICULA]]&amp;"Policia"&amp;Tabela1[[#This Row],[SETOR]],BD!A:AF,31,0),"")</f>
        <v/>
      </c>
      <c r="AY203" s="21" t="str">
        <f>IFERROR(VLOOKUP(Tabela1[[#This Row],[MÊS]]&amp;Tabela1[[#This Row],[ID]]&amp;Tabela1[[#This Row],[MATRICULA]]&amp;"Policia 2"&amp;Tabela1[[#This Row],[SETOR]],BD!A:AF,26,0),"")</f>
        <v/>
      </c>
      <c r="AZ203" s="36" t="str">
        <f>IFERROR(VLOOKUP(Tabela1[[#This Row],[MÊS]]&amp;Tabela1[[#This Row],[ID]]&amp;Tabela1[[#This Row],[MATRICULA]]&amp;"Policia 3"&amp;Tabela1[[#This Row],[SETOR]],BD!A:AF,26,0),"")</f>
        <v/>
      </c>
      <c r="BA203" s="36" t="str">
        <f>IFERROR(VLOOKUP(Tabela1[[#This Row],[MÊS]]&amp;Tabela1[[#This Row],[ID]]&amp;Tabela1[[#This Row],[MATRICULA]]&amp;"Policia 4"&amp;Tabela1[[#This Row],[SETOR]],BD!A:AF,26,0),"")</f>
        <v/>
      </c>
      <c r="BB20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3" s="21">
        <f>IFERROR(AVERAGE(Tabela1[[#This Row],[M]:[M4]]),"")</f>
        <v>0</v>
      </c>
      <c r="BD203" s="21" t="str">
        <f>IFERROR(AVERAGE(Tabela1[[#This Row],[C]:[C4]]),"")</f>
        <v/>
      </c>
      <c r="BE203" s="21" t="str">
        <f>IFERROR(AVERAGE(Tabela1[[#This Row],[PA2]:[PA 4]]),"")</f>
        <v/>
      </c>
      <c r="BF203" s="21" t="str">
        <f>IFERROR(AVERAGE(Tabela1[[#This Row],[PL]:[PL4]]),"")</f>
        <v/>
      </c>
      <c r="BG203" s="35" t="str">
        <f>IFERROR(VLOOKUP(Tabela1[[#This Row],[MÊS]]&amp;Tabela1[[#This Row],[MATRICULA]],#REF!,2,0),"")</f>
        <v/>
      </c>
      <c r="BH203" s="35" t="str">
        <f>IFERROR(VLOOKUP(Tabela1[[#This Row],[MÊS]]&amp;Tabela1[[#This Row],[MATRICULA]],#REF!,2,0),"")</f>
        <v/>
      </c>
      <c r="BI203" s="35" t="str">
        <f>IFERROR(VLOOKUP(Tabela1[[#This Row],[MÊS]]&amp;Tabela1[[#This Row],[MATRICULA]],#REF!,2,0),"")</f>
        <v/>
      </c>
      <c r="BJ203" s="35" t="str">
        <f>IFERROR(VLOOKUP(Tabela1[[#This Row],[MÊS]]&amp;Tabela1[[#This Row],[MATRICULA]],#REF!,2,0),"")</f>
        <v/>
      </c>
      <c r="BK203" s="35" t="str">
        <f>IFERROR(VLOOKUP(Tabela1[[#This Row],[MÊS]]&amp;Tabela1[[#This Row],[MATRICULA]],#REF!,2,0),"")</f>
        <v/>
      </c>
      <c r="BL203" s="21">
        <f>COUNTIF(Tabela1[[#This Row],[MOT2]:[RECEPTIVA]],"NÃO ENCONTRADA")</f>
        <v>0</v>
      </c>
      <c r="BM203" s="135" t="str">
        <f>IFERROR(VLOOKUP(Tabela1[[#This Row],[MÊS]]&amp;Tabela1[[#This Row],[ID]]&amp;Tabela1[[#This Row],[MATRICULA]]&amp;"Motorista"&amp;Tabela1[[#This Row],[SETOR]],BD!A:AF,13,0),"")</f>
        <v/>
      </c>
      <c r="BN203" s="135" t="str">
        <f>IFERROR(VLOOKUP(Tabela1[[#This Row],[MÊS]]&amp;Tabela1[[#This Row],[ID]]&amp;Tabela1[[#This Row],[MATRICULA]]&amp;"Motorista 2"&amp;Tabela1[[#This Row],[SETOR]],BD!A:AF,13,0),"")</f>
        <v/>
      </c>
      <c r="BO203" s="135" t="str">
        <f>IFERROR(VLOOKUP(Tabela1[[#This Row],[MÊS]]&amp;Tabela1[[#This Row],[ID]]&amp;Tabela1[[#This Row],[MATRICULA]]&amp;"Motorista 3"&amp;Tabela1[[#This Row],[SETOR]],BD!A:AF,13,0),"")</f>
        <v/>
      </c>
      <c r="BP203" s="135" t="str">
        <f>IFERROR(VLOOKUP(Tabela1[[#This Row],[MÊS]]&amp;Tabela1[[#This Row],[ID]]&amp;Tabela1[[#This Row],[MATRICULA]]&amp;"Motorista 4"&amp;Tabela1[[#This Row],[SETOR]],BD!A:AF,13,0),"")</f>
        <v/>
      </c>
      <c r="BQ203" s="135" t="str">
        <f>IFERROR(AVERAGE(Tabela1[[#This Row],[DMOT]:[DMOT4]]),"")</f>
        <v/>
      </c>
      <c r="BR203" s="135" t="str">
        <f>IFERROR(VLOOKUP(Tabela1[[#This Row],[MÊS]]&amp;Tabela1[[#This Row],[ID]]&amp;Tabela1[[#This Row],[MATRICULA]]&amp;"Ponto de Apoio"&amp;Tabela1[[#This Row],[SETOR]],BD!A:AF,13,0),"")</f>
        <v/>
      </c>
      <c r="BS203" s="135" t="str">
        <f>IFERROR(VLOOKUP(Tabela1[[#This Row],[MÊS]]&amp;Tabela1[[#This Row],[ID]]&amp;Tabela1[[#This Row],[MATRICULA]]&amp;"Ponto de Apoio 2"&amp;Tabela1[[#This Row],[SETOR]],BD!A:AF,13,0),"")</f>
        <v/>
      </c>
      <c r="BT203" s="135" t="str">
        <f>IFERROR(VLOOKUP(Tabela1[[#This Row],[MÊS]]&amp;Tabela1[[#This Row],[ID]]&amp;Tabela1[[#This Row],[MATRICULA]]&amp;"Ponto de Apoio 3"&amp;Tabela1[[#This Row],[SETOR]],BD!A:AF,13,0),"")</f>
        <v/>
      </c>
      <c r="BU203" s="135" t="str">
        <f>IFERROR(VLOOKUP(Tabela1[[#This Row],[MÊS]]&amp;Tabela1[[#This Row],[ID]]&amp;Tabela1[[#This Row],[MATRICULA]]&amp;"Ponto de Apoio 4"&amp;Tabela1[[#This Row],[SETOR]],BD!A:AF,13,0),"")</f>
        <v/>
      </c>
      <c r="BV203" s="135" t="str">
        <f>IFERROR(AVERAGE(Tabela1[[#This Row],[DPA]:[DPA 4]]),"")</f>
        <v/>
      </c>
      <c r="BW203" s="135" t="str">
        <f>IFERROR(VLOOKUP(Tabela1[[#This Row],[MÊS]]&amp;Tabela1[[#This Row],[ID]]&amp;Tabela1[[#This Row],[MATRICULA]]&amp;"Cliente"&amp;Tabela1[[#This Row],[SETOR]],BD!A:AF,13,0),"")</f>
        <v/>
      </c>
      <c r="BX203" s="135" t="str">
        <f>IFERROR(VLOOKUP(Tabela1[[#This Row],[MÊS]]&amp;Tabela1[[#This Row],[ID]]&amp;Tabela1[[#This Row],[MATRICULA]]&amp;"cliente 2"&amp;Tabela1[[#This Row],[SETOR]],BD!A:AF,13,0),"")</f>
        <v/>
      </c>
      <c r="BY203" s="135" t="str">
        <f>IFERROR(VLOOKUP(Tabela1[[#This Row],[MÊS]]&amp;Tabela1[[#This Row],[ID]]&amp;Tabela1[[#This Row],[MATRICULA]]&amp;"cliente 3"&amp;Tabela1[[#This Row],[SETOR]],BD!A:AF,13,0),"")</f>
        <v/>
      </c>
      <c r="BZ203" s="135" t="str">
        <f>IFERROR(VLOOKUP(Tabela1[[#This Row],[MÊS]]&amp;Tabela1[[#This Row],[ID]]&amp;Tabela1[[#This Row],[MATRICULA]]&amp;"cliente 4"&amp;Tabela1[[#This Row],[SETOR]],BD!A:AF,13,0),"")</f>
        <v/>
      </c>
      <c r="CA203" s="135" t="str">
        <f>IFERROR(AVERAGE(Tabela1[[#This Row],[DCLI]:[DCLI 4]]),"")</f>
        <v/>
      </c>
      <c r="CB203" s="135" t="str">
        <f>IFERROR(VLOOKUP(Tabela1[[#This Row],[MÊS]]&amp;Tabela1[[#This Row],[ID]]&amp;Tabela1[[#This Row],[MATRICULA]]&amp;"Policia"&amp;Tabela1[[#This Row],[SETOR]],BD!A:AF,13,0),"")</f>
        <v/>
      </c>
      <c r="CC203" s="135" t="str">
        <f>IFERROR(VLOOKUP(Tabela1[[#This Row],[MÊS]]&amp;Tabela1[[#This Row],[ID]]&amp;Tabela1[[#This Row],[MATRICULA]]&amp;"Policia 2"&amp;Tabela1[[#This Row],[SETOR]],BD!A:AF,13,0),"")</f>
        <v/>
      </c>
      <c r="CD203" s="135"/>
      <c r="CE203" s="135"/>
      <c r="CF203" s="135" t="str">
        <f>IFERROR((AVERAGE(Tabela1[[#This Row],[DPOL1]:[DPOL4]])),"")</f>
        <v/>
      </c>
      <c r="CG203" s="21" t="str">
        <f>IFERROR(VLOOKUP(Tabela1[[#This Row],[ID]]&amp;Tabela1[[#This Row],[MÊS]]&amp;Tabela1[[#This Row],[MATRICULA]],#REF!,2,0),"")</f>
        <v/>
      </c>
      <c r="CH203" s="21" t="str">
        <f>IFERROR(VLOOKUP(Tabela1[[#This Row],[ID]]&amp;Tabela1[[#This Row],[MÊS]]&amp;Tabela1[[#This Row],[MATRICULA]],#REF!,2,0),"")</f>
        <v/>
      </c>
      <c r="CI203" s="21" t="str">
        <f>IFERROR(VLOOKUP(Tabela1[[#This Row],[MÊS]]&amp;Tabela1[[#This Row],[MATRICULA]],#REF!,2,0),"")</f>
        <v/>
      </c>
    </row>
    <row r="204" spans="1:87">
      <c r="A204" s="12" t="str">
        <f>Tabela1[[#This Row],[MÊS]]&amp;Tabela1[[#This Row],[MATRICULA]]&amp;Tabela1[[#This Row],[ID]]</f>
        <v>JAN113749</v>
      </c>
      <c r="B204" s="12" t="str">
        <f>Tabela1[[#This Row],[MÊS]]&amp;Tabela1[[#This Row],[ID]]&amp;Tabela1[[#This Row],[MATRICULA]]&amp;Tabela1[[#This Row],[SETOR]]</f>
        <v>JAN911374TRANSFERÊNCIA</v>
      </c>
      <c r="C204" s="130" t="e">
        <f>VLOOKUP(Tabela1[[#This Row],[MATRICULA]],'BD Campos'!A:D,5,0)</f>
        <v>#REF!</v>
      </c>
      <c r="D204" s="133" t="str">
        <f ca="1">IFERROR(SUM(TODAY()-Tabela1[[#This Row],[ADMISSÃO]]),"")</f>
        <v/>
      </c>
      <c r="E204" s="11" t="str">
        <f ca="1">IFERROR(TRUNC(Tabela1[[#This Row],[TEMPO DE CASA (DIAS)]]/30),"")</f>
        <v/>
      </c>
      <c r="F204" s="32" t="str">
        <f ca="1">IFERROR(SUM(Tabela1[[#This Row],[TEMPO DE CASA (MESES)]]/12),"")</f>
        <v/>
      </c>
      <c r="G204" s="133" t="str">
        <f ca="1">IF(Tabela1[[#This Row],[TEMPO DE CASA (DIAS)]]="","SEM DADOS",IF(Tabela1[[#This Row],[TEMPO DE CASA (DIAS)]]&gt;180,"&gt; 6 MESES","&lt; 6 MESES"))</f>
        <v>SEM DADOS</v>
      </c>
      <c r="H204" s="12" t="str">
        <f t="shared" si="18"/>
        <v>JANRodrigo Barros9</v>
      </c>
      <c r="I204" s="12" t="str">
        <f>IFERROR(VLOOKUP(Tabela1[[#This Row],[MATRICULA]],'BD Campos'!A:F,7,0),"")</f>
        <v/>
      </c>
      <c r="J204" s="11">
        <v>9</v>
      </c>
      <c r="K204" s="11" t="s">
        <v>669</v>
      </c>
      <c r="L204" s="136">
        <v>11374</v>
      </c>
      <c r="M204" s="12" t="str">
        <f>IFERROR(VLOOKUP(Tabela1[[#This Row],[MATRICULA]],'BD Campos'!A:B,2,0),"")</f>
        <v xml:space="preserve">RAFAELA DOS SANTOS CORREA </v>
      </c>
      <c r="N204" s="20">
        <f>IFERROR(AVERAGE(Tabela1[[#This Row],[A1]:[A4]]),"")</f>
        <v>4.1074999999999999</v>
      </c>
      <c r="O204" s="20" t="str">
        <f>IFERROR(IF(Tabela1[[#This Row],[SETOR]]="RECEPTIVO","",AVERAGE(Tabela1[[#This Row],[A5]:[A6]])),"")</f>
        <v/>
      </c>
      <c r="P204" s="20" t="str">
        <f>IFERROR(IF(Tabela1[[#This Row],[STATUS]]="INATIVO","INATIVO",IF(Tabela1[[#This Row],[STATUS]]="QRT","INATIVO",IF(Tabela1[[#This Row],[OPERACIONAL]]&gt;7.99999,"BOM","RUIM"))),"")</f>
        <v>RUIM</v>
      </c>
      <c r="Q204" s="21" t="s">
        <v>667</v>
      </c>
      <c r="R204" s="12" t="s">
        <v>714</v>
      </c>
      <c r="S204" s="12" t="s">
        <v>715</v>
      </c>
      <c r="T204" s="12" t="s">
        <v>192</v>
      </c>
      <c r="U20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4" s="12">
        <f>IF(AND(Tabela1[[#This Row],[SETOR]]="UTI",Tabela1[[#This Row],[M]]&lt;&gt;""),1,IF(AND(Tabela1[[#This Row],[SETOR]]="UTI (RJ)",Tabela1[[#This Row],[M]]&lt;&gt;""),1.5,0))</f>
        <v>0</v>
      </c>
      <c r="X204" s="12">
        <f>IF(AND(Tabela1[[#This Row],[SETOR]]="UTI",Tabela1[[#This Row],[PA2]]&lt;&gt;""),1,IF(AND(Tabela1[[#This Row],[SETOR]]="UTI (RJ)",Tabela1[[#This Row],[PA2]]&lt;&gt;""),0,0))</f>
        <v>0</v>
      </c>
      <c r="Y204" s="12">
        <f>IF(AND(Tabela1[[#This Row],[SETOR]]="UTI",Tabela1[[#This Row],[C]]&lt;&gt;""),1,IF(AND(Tabela1[[#This Row],[SETOR]]="UTI (RJ)",Tabela1[[#This Row],[C]]&lt;&gt;""),1.5,0))</f>
        <v>0</v>
      </c>
      <c r="Z204" s="12">
        <f>IF(AND(Tabela1[[#This Row],[SETOR]]="UTI",Tabela1[[#This Row],[PL]]&lt;&gt;""),1,IF(AND(Tabela1[[#This Row],[SETOR]]="UTI (RJ)",Tabela1[[#This Row],[PL]]&lt;&gt;""),1,0))</f>
        <v>0</v>
      </c>
      <c r="AA204" s="21">
        <f>IFERROR(VLOOKUP(Tabela1[[#This Row],[MÊS]]&amp;Tabela1[[#This Row],[MATRICULA]]&amp;"1"&amp;Tabela1[[#This Row],[SETOR]]&amp;"PADRÃO",BD!B:AF,31,0),"")</f>
        <v>8.2149999999999999</v>
      </c>
      <c r="AB204" s="21">
        <f>IFERROR(VLOOKUP(Tabela1[[#This Row],[MÊS]]&amp;Tabela1[[#This Row],[MATRICULA]]&amp;"2"&amp;Tabela1[[#This Row],[SETOR]]&amp;"PADRÃO",BD!B:AF,31,0),"")</f>
        <v>0</v>
      </c>
      <c r="AC204" s="21" t="str">
        <f>IFERROR(VLOOKUP(Tabela1[[#This Row],[MÊS]]&amp;Tabela1[[#This Row],[MATRICULA]]&amp;"3"&amp;Tabela1[[#This Row],[SETOR]]&amp;"PADRÃO",BD!B:AF,31,0),"")</f>
        <v/>
      </c>
      <c r="AD204" s="21" t="str">
        <f>IFERROR(VLOOKUP(Tabela1[[#This Row],[MÊS]]&amp;Tabela1[[#This Row],[MATRICULA]]&amp;"4"&amp;Tabela1[[#This Row],[SETOR]]&amp;"PADRÃO",BD!B:AF,25,0),"")</f>
        <v/>
      </c>
      <c r="AE204" s="21" t="str">
        <f>IFERROR(VLOOKUP(Tabela1[[#This Row],[MÊS]]&amp;Tabela1[[#This Row],[MATRICULA]]&amp;"5"&amp;Tabela1[[#This Row],[SETOR]]&amp;"PADRÃO",BD!B:AF,31,0),"")</f>
        <v/>
      </c>
      <c r="AF204" s="21" t="str">
        <f>IFERROR(VLOOKUP(Tabela1[[#This Row],[MÊS]]&amp;Tabela1[[#This Row],[MATRICULA]]&amp;"6"&amp;Tabela1[[#This Row],[SETOR]]&amp;"PADRÃO",BD!B:AF,31,0),"")</f>
        <v/>
      </c>
      <c r="AG204" s="21" t="str">
        <f>IFERROR(VLOOKUP(Tabela1[[#This Row],[MÊS]]&amp;Tabela1[[#This Row],[MATRICULA]]&amp;"7"&amp;Tabela1[[#This Row],[SETOR]]&amp;"PADRÃO",BD!B:AF,31,0),"")</f>
        <v/>
      </c>
      <c r="AH204" s="21" t="str">
        <f>IFERROR(VLOOKUP(Tabela1[[#This Row],[MÊS]]&amp;Tabela1[[#This Row],[ID]]&amp;Tabela1[[#This Row],[MATRICULA]]&amp;"Receptiva"&amp;Tabela1[[#This Row],[SETOR]],BD!A:AF,31,0),"")</f>
        <v/>
      </c>
      <c r="AI204" s="21" t="str">
        <f>IFERROR(VLOOKUP(Tabela1[[#This Row],[MÊS]]&amp;Tabela1[[#This Row],[ID]]&amp;Tabela1[[#This Row],[MATRICULA]]&amp;"Receptiva 2"&amp;Tabela1[[#This Row],[SETOR]],BD!A:AF,31,0),"")</f>
        <v/>
      </c>
      <c r="AJ204" s="21" t="str">
        <f>IFERROR(VLOOKUP(Tabela1[[#This Row],[MÊS]]&amp;Tabela1[[#This Row],[ID]]&amp;Tabela1[[#This Row],[MATRICULA]]&amp;"Receptiva 3"&amp;Tabela1[[#This Row],[SETOR]],BD!A:AF,31,0),"")</f>
        <v/>
      </c>
      <c r="AK204" s="21" t="str">
        <f>IFERROR(VLOOKUP(Tabela1[[#This Row],[MÊS]]&amp;Tabela1[[#This Row],[ID]]&amp;Tabela1[[#This Row],[MATRICULA]]&amp;"Receptiva 4"&amp;Tabela1[[#This Row],[SETOR]],BD!A:AF,31,0),"")</f>
        <v/>
      </c>
      <c r="AL204" s="21">
        <f>IFERROR(VLOOKUP(Tabela1[[#This Row],[MÊS]]&amp;Tabela1[[#This Row],[MATRICULA]]&amp;"Motorista"&amp;Tabela1[[#This Row],[SETOR]],BD!A:AF,31,0),"")</f>
        <v>0</v>
      </c>
      <c r="AM204" s="21" t="str">
        <f>IFERROR(VLOOKUP(Tabela1[[#This Row],[MÊS]]&amp;Tabela1[[#This Row],[ID]]&amp;Tabela1[[#This Row],[MATRICULA]]&amp;"Motorista 2"&amp;Tabela1[[#This Row],[SETOR]],BD!A:AF,26,0),"")</f>
        <v/>
      </c>
      <c r="AN204" s="21" t="str">
        <f>IFERROR(VLOOKUP(Tabela1[[#This Row],[MÊS]]&amp;Tabela1[[#This Row],[ID]]&amp;Tabela1[[#This Row],[MATRICULA]]&amp;"Motorista 3"&amp;Tabela1[[#This Row],[SETOR]],BD!A:AF,26,0),"")</f>
        <v/>
      </c>
      <c r="AO204" s="21" t="str">
        <f>IFERROR(VLOOKUP(Tabela1[[#This Row],[MÊS]]&amp;Tabela1[[#This Row],[ID]]&amp;Tabela1[[#This Row],[MATRICULA]]&amp;"Motorista 4"&amp;Tabela1[[#This Row],[SETOR]],BD!A:AF,26,0),"")</f>
        <v/>
      </c>
      <c r="AP204" s="21" t="str">
        <f>IFERROR(VLOOKUP(Tabela1[[#This Row],[MÊS]]&amp;Tabela1[[#This Row],[MATRICULA]]&amp;"Ponto de Apoio"&amp;Tabela1[[#This Row],[SETOR]],BD!A:AF,31,0),"")</f>
        <v/>
      </c>
      <c r="AQ204" s="21" t="str">
        <f>IFERROR(VLOOKUP(Tabela1[[#This Row],[MÊS]]&amp;Tabela1[[#This Row],[ID]]&amp;Tabela1[[#This Row],[MATRICULA]]&amp;"Ponto de Apoio 2"&amp;Tabela1[[#This Row],[SETOR]],BD!A:AF,26,0),"")</f>
        <v/>
      </c>
      <c r="AR204" s="36" t="str">
        <f>IFERROR(VLOOKUP(Tabela1[[#This Row],[MÊS]]&amp;Tabela1[[#This Row],[ID]]&amp;Tabela1[[#This Row],[MATRICULA]]&amp;"Ponto de Apoio 3"&amp;Tabela1[[#This Row],[SETOR]],BD!A:AF,26,0),"")</f>
        <v/>
      </c>
      <c r="AS204" s="36" t="str">
        <f>IFERROR(VLOOKUP(Tabela1[[#This Row],[MÊS]]&amp;Tabela1[[#This Row],[ID]]&amp;Tabela1[[#This Row],[MATRICULA]]&amp;"Ponto de Apoio 4"&amp;Tabela1[[#This Row],[SETOR]],BD!A:AF,26,0),"")</f>
        <v/>
      </c>
      <c r="AT204" s="21" t="str">
        <f>IFERROR(VLOOKUP(Tabela1[[#This Row],[MÊS]]&amp;Tabela1[[#This Row],[MATRICULA]]&amp;"Cliente"&amp;Tabela1[[#This Row],[SETOR]],BD!A:AF,31,0),"")</f>
        <v/>
      </c>
      <c r="AU204" s="21" t="str">
        <f>IFERROR(VLOOKUP(Tabela1[[#This Row],[MÊS]]&amp;Tabela1[[#This Row],[ID]]&amp;Tabela1[[#This Row],[MATRICULA]]&amp;"Cliente 2"&amp;Tabela1[[#This Row],[SETOR]],BD!A:AF,26,0),"")</f>
        <v/>
      </c>
      <c r="AX204" s="21" t="str">
        <f>IFERROR(VLOOKUP(Tabela1[[#This Row],[MÊS]]&amp;Tabela1[[#This Row],[MATRICULA]]&amp;"Policia"&amp;Tabela1[[#This Row],[SETOR]],BD!A:AF,31,0),"")</f>
        <v/>
      </c>
      <c r="AY204" s="21" t="str">
        <f>IFERROR(VLOOKUP(Tabela1[[#This Row],[MÊS]]&amp;Tabela1[[#This Row],[ID]]&amp;Tabela1[[#This Row],[MATRICULA]]&amp;"Policia 2"&amp;Tabela1[[#This Row],[SETOR]],BD!A:AF,26,0),"")</f>
        <v/>
      </c>
      <c r="AZ204" s="36" t="str">
        <f>IFERROR(VLOOKUP(Tabela1[[#This Row],[MÊS]]&amp;Tabela1[[#This Row],[ID]]&amp;Tabela1[[#This Row],[MATRICULA]]&amp;"Policia 3"&amp;Tabela1[[#This Row],[SETOR]],BD!A:AF,26,0),"")</f>
        <v/>
      </c>
      <c r="BA204" s="36" t="str">
        <f>IFERROR(VLOOKUP(Tabela1[[#This Row],[MÊS]]&amp;Tabela1[[#This Row],[ID]]&amp;Tabela1[[#This Row],[MATRICULA]]&amp;"Policia 4"&amp;Tabela1[[#This Row],[SETOR]],BD!A:AF,26,0),"")</f>
        <v/>
      </c>
      <c r="BB20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4" s="21">
        <f>IFERROR(AVERAGE(Tabela1[[#This Row],[M]:[M4]]),"")</f>
        <v>0</v>
      </c>
      <c r="BD204" s="21" t="str">
        <f>IFERROR(AVERAGE(Tabela1[[#This Row],[C]:[C4]]),"")</f>
        <v/>
      </c>
      <c r="BE204" s="21" t="str">
        <f>IFERROR(AVERAGE(Tabela1[[#This Row],[PA2]:[PA 4]]),"")</f>
        <v/>
      </c>
      <c r="BF204" s="21" t="str">
        <f>IFERROR(AVERAGE(Tabela1[[#This Row],[PL]:[PL4]]),"")</f>
        <v/>
      </c>
      <c r="BG204" s="35" t="str">
        <f>IFERROR(VLOOKUP(Tabela1[[#This Row],[MÊS]]&amp;Tabela1[[#This Row],[MATRICULA]],#REF!,2,0),"")</f>
        <v/>
      </c>
      <c r="BH204" s="35" t="str">
        <f>IFERROR(VLOOKUP(Tabela1[[#This Row],[MÊS]]&amp;Tabela1[[#This Row],[MATRICULA]],#REF!,2,0),"")</f>
        <v/>
      </c>
      <c r="BI204" s="35" t="str">
        <f>IFERROR(VLOOKUP(Tabela1[[#This Row],[MÊS]]&amp;Tabela1[[#This Row],[MATRICULA]],#REF!,2,0),"")</f>
        <v/>
      </c>
      <c r="BJ204" s="35" t="str">
        <f>IFERROR(VLOOKUP(Tabela1[[#This Row],[MÊS]]&amp;Tabela1[[#This Row],[MATRICULA]],#REF!,2,0),"")</f>
        <v/>
      </c>
      <c r="BK204" s="35" t="str">
        <f>IFERROR(VLOOKUP(Tabela1[[#This Row],[MÊS]]&amp;Tabela1[[#This Row],[MATRICULA]],#REF!,2,0),"")</f>
        <v/>
      </c>
      <c r="BL204" s="21">
        <f>COUNTIF(Tabela1[[#This Row],[MOT2]:[RECEPTIVA]],"NÃO ENCONTRADA")</f>
        <v>0</v>
      </c>
      <c r="BM204" s="135" t="str">
        <f>IFERROR(VLOOKUP(Tabela1[[#This Row],[MÊS]]&amp;Tabela1[[#This Row],[ID]]&amp;Tabela1[[#This Row],[MATRICULA]]&amp;"Motorista"&amp;Tabela1[[#This Row],[SETOR]],BD!A:AF,13,0),"")</f>
        <v/>
      </c>
      <c r="BN204" s="135" t="str">
        <f>IFERROR(VLOOKUP(Tabela1[[#This Row],[MÊS]]&amp;Tabela1[[#This Row],[ID]]&amp;Tabela1[[#This Row],[MATRICULA]]&amp;"Motorista 2"&amp;Tabela1[[#This Row],[SETOR]],BD!A:AF,13,0),"")</f>
        <v/>
      </c>
      <c r="BO204" s="135" t="str">
        <f>IFERROR(VLOOKUP(Tabela1[[#This Row],[MÊS]]&amp;Tabela1[[#This Row],[ID]]&amp;Tabela1[[#This Row],[MATRICULA]]&amp;"Motorista 3"&amp;Tabela1[[#This Row],[SETOR]],BD!A:AF,13,0),"")</f>
        <v/>
      </c>
      <c r="BP204" s="135" t="str">
        <f>IFERROR(VLOOKUP(Tabela1[[#This Row],[MÊS]]&amp;Tabela1[[#This Row],[ID]]&amp;Tabela1[[#This Row],[MATRICULA]]&amp;"Motorista 4"&amp;Tabela1[[#This Row],[SETOR]],BD!A:AF,13,0),"")</f>
        <v/>
      </c>
      <c r="BQ204" s="135" t="str">
        <f>IFERROR(AVERAGE(Tabela1[[#This Row],[DMOT]:[DMOT4]]),"")</f>
        <v/>
      </c>
      <c r="BR204" s="135" t="str">
        <f>IFERROR(VLOOKUP(Tabela1[[#This Row],[MÊS]]&amp;Tabela1[[#This Row],[ID]]&amp;Tabela1[[#This Row],[MATRICULA]]&amp;"Ponto de Apoio"&amp;Tabela1[[#This Row],[SETOR]],BD!A:AF,13,0),"")</f>
        <v/>
      </c>
      <c r="BS204" s="135" t="str">
        <f>IFERROR(VLOOKUP(Tabela1[[#This Row],[MÊS]]&amp;Tabela1[[#This Row],[ID]]&amp;Tabela1[[#This Row],[MATRICULA]]&amp;"Ponto de Apoio 2"&amp;Tabela1[[#This Row],[SETOR]],BD!A:AF,13,0),"")</f>
        <v/>
      </c>
      <c r="BT204" s="135" t="str">
        <f>IFERROR(VLOOKUP(Tabela1[[#This Row],[MÊS]]&amp;Tabela1[[#This Row],[ID]]&amp;Tabela1[[#This Row],[MATRICULA]]&amp;"Ponto de Apoio 3"&amp;Tabela1[[#This Row],[SETOR]],BD!A:AF,13,0),"")</f>
        <v/>
      </c>
      <c r="BU204" s="135" t="str">
        <f>IFERROR(VLOOKUP(Tabela1[[#This Row],[MÊS]]&amp;Tabela1[[#This Row],[ID]]&amp;Tabela1[[#This Row],[MATRICULA]]&amp;"Ponto de Apoio 4"&amp;Tabela1[[#This Row],[SETOR]],BD!A:AF,13,0),"")</f>
        <v/>
      </c>
      <c r="BV204" s="135" t="str">
        <f>IFERROR(AVERAGE(Tabela1[[#This Row],[DPA]:[DPA 4]]),"")</f>
        <v/>
      </c>
      <c r="BW204" s="135" t="str">
        <f>IFERROR(VLOOKUP(Tabela1[[#This Row],[MÊS]]&amp;Tabela1[[#This Row],[ID]]&amp;Tabela1[[#This Row],[MATRICULA]]&amp;"Cliente"&amp;Tabela1[[#This Row],[SETOR]],BD!A:AF,13,0),"")</f>
        <v/>
      </c>
      <c r="BX204" s="135" t="str">
        <f>IFERROR(VLOOKUP(Tabela1[[#This Row],[MÊS]]&amp;Tabela1[[#This Row],[ID]]&amp;Tabela1[[#This Row],[MATRICULA]]&amp;"cliente 2"&amp;Tabela1[[#This Row],[SETOR]],BD!A:AF,13,0),"")</f>
        <v/>
      </c>
      <c r="BY204" s="135" t="str">
        <f>IFERROR(VLOOKUP(Tabela1[[#This Row],[MÊS]]&amp;Tabela1[[#This Row],[ID]]&amp;Tabela1[[#This Row],[MATRICULA]]&amp;"cliente 3"&amp;Tabela1[[#This Row],[SETOR]],BD!A:AF,13,0),"")</f>
        <v/>
      </c>
      <c r="BZ204" s="135" t="str">
        <f>IFERROR(VLOOKUP(Tabela1[[#This Row],[MÊS]]&amp;Tabela1[[#This Row],[ID]]&amp;Tabela1[[#This Row],[MATRICULA]]&amp;"cliente 4"&amp;Tabela1[[#This Row],[SETOR]],BD!A:AF,13,0),"")</f>
        <v/>
      </c>
      <c r="CA204" s="135" t="str">
        <f>IFERROR(AVERAGE(Tabela1[[#This Row],[DCLI]:[DCLI 4]]),"")</f>
        <v/>
      </c>
      <c r="CB204" s="135" t="str">
        <f>IFERROR(VLOOKUP(Tabela1[[#This Row],[MÊS]]&amp;Tabela1[[#This Row],[ID]]&amp;Tabela1[[#This Row],[MATRICULA]]&amp;"Policia"&amp;Tabela1[[#This Row],[SETOR]],BD!A:AF,13,0),"")</f>
        <v/>
      </c>
      <c r="CC204" s="135" t="str">
        <f>IFERROR(VLOOKUP(Tabela1[[#This Row],[MÊS]]&amp;Tabela1[[#This Row],[ID]]&amp;Tabela1[[#This Row],[MATRICULA]]&amp;"Policia 2"&amp;Tabela1[[#This Row],[SETOR]],BD!A:AF,13,0),"")</f>
        <v/>
      </c>
      <c r="CD204" s="135"/>
      <c r="CE204" s="135"/>
      <c r="CF204" s="135" t="str">
        <f>IFERROR((AVERAGE(Tabela1[[#This Row],[DPOL1]:[DPOL4]])),"")</f>
        <v/>
      </c>
      <c r="CG204" s="21" t="str">
        <f>IFERROR(VLOOKUP(Tabela1[[#This Row],[ID]]&amp;Tabela1[[#This Row],[MÊS]]&amp;Tabela1[[#This Row],[MATRICULA]],#REF!,2,0),"")</f>
        <v/>
      </c>
      <c r="CH204" s="21" t="str">
        <f>IFERROR(VLOOKUP(Tabela1[[#This Row],[ID]]&amp;Tabela1[[#This Row],[MÊS]]&amp;Tabela1[[#This Row],[MATRICULA]],#REF!,2,0),"")</f>
        <v/>
      </c>
      <c r="CI204" s="21" t="str">
        <f>IFERROR(VLOOKUP(Tabela1[[#This Row],[MÊS]]&amp;Tabela1[[#This Row],[MATRICULA]],#REF!,2,0),"")</f>
        <v/>
      </c>
    </row>
    <row r="205" spans="1:87">
      <c r="A205" s="12" t="str">
        <f>Tabela1[[#This Row],[MÊS]]&amp;Tabela1[[#This Row],[MATRICULA]]&amp;Tabela1[[#This Row],[ID]]</f>
        <v>JAN1138810</v>
      </c>
      <c r="B205" s="12" t="str">
        <f>Tabela1[[#This Row],[MÊS]]&amp;Tabela1[[#This Row],[ID]]&amp;Tabela1[[#This Row],[MATRICULA]]&amp;Tabela1[[#This Row],[SETOR]]</f>
        <v>JAN1011388TRANSFERÊNCIA</v>
      </c>
      <c r="C205" s="130" t="e">
        <f>VLOOKUP(Tabela1[[#This Row],[MATRICULA]],'BD Campos'!A:D,5,0)</f>
        <v>#REF!</v>
      </c>
      <c r="D205" s="133" t="str">
        <f ca="1">IFERROR(SUM(TODAY()-Tabela1[[#This Row],[ADMISSÃO]]),"")</f>
        <v/>
      </c>
      <c r="E205" s="11" t="str">
        <f ca="1">IFERROR(TRUNC(Tabela1[[#This Row],[TEMPO DE CASA (DIAS)]]/30),"")</f>
        <v/>
      </c>
      <c r="F205" s="32" t="str">
        <f ca="1">IFERROR(SUM(Tabela1[[#This Row],[TEMPO DE CASA (MESES)]]/12),"")</f>
        <v/>
      </c>
      <c r="G205" s="133" t="str">
        <f ca="1">IF(Tabela1[[#This Row],[TEMPO DE CASA (DIAS)]]="","SEM DADOS",IF(Tabela1[[#This Row],[TEMPO DE CASA (DIAS)]]&gt;180,"&gt; 6 MESES","&lt; 6 MESES"))</f>
        <v>SEM DADOS</v>
      </c>
      <c r="H205" s="12" t="str">
        <f t="shared" si="18"/>
        <v>JANRodrigo Barros10</v>
      </c>
      <c r="I205" s="12" t="str">
        <f>IFERROR(VLOOKUP(Tabela1[[#This Row],[MATRICULA]],'BD Campos'!A:F,7,0),"")</f>
        <v/>
      </c>
      <c r="J205" s="11">
        <v>10</v>
      </c>
      <c r="K205" s="11" t="s">
        <v>669</v>
      </c>
      <c r="L205" s="136">
        <v>11388</v>
      </c>
      <c r="M205" s="12" t="str">
        <f>IFERROR(VLOOKUP(Tabela1[[#This Row],[MATRICULA]],'BD Campos'!A:B,2,0),"")</f>
        <v>RITA DE CASSIA XAVIER DE OLIVEIRA</v>
      </c>
      <c r="N205" s="20">
        <f>IFERROR(AVERAGE(Tabela1[[#This Row],[A1]:[A4]]),"")</f>
        <v>2.6532499999999999</v>
      </c>
      <c r="O205" s="20" t="str">
        <f>IFERROR(IF(Tabela1[[#This Row],[SETOR]]="RECEPTIVO","",AVERAGE(Tabela1[[#This Row],[A5]:[A6]])),"")</f>
        <v/>
      </c>
      <c r="P205" s="20" t="str">
        <f>IFERROR(IF(Tabela1[[#This Row],[STATUS]]="INATIVO","INATIVO",IF(Tabela1[[#This Row],[STATUS]]="QRT","INATIVO",IF(Tabela1[[#This Row],[OPERACIONAL]]&gt;7.99999,"BOM","RUIM"))),"")</f>
        <v>RUIM</v>
      </c>
      <c r="Q205" s="21" t="s">
        <v>667</v>
      </c>
      <c r="R205" s="12" t="s">
        <v>714</v>
      </c>
      <c r="S205" s="12" t="s">
        <v>715</v>
      </c>
      <c r="T205" s="12" t="s">
        <v>192</v>
      </c>
      <c r="U20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5" s="12">
        <f>IF(AND(Tabela1[[#This Row],[SETOR]]="UTI",Tabela1[[#This Row],[M]]&lt;&gt;""),1,IF(AND(Tabela1[[#This Row],[SETOR]]="UTI (RJ)",Tabela1[[#This Row],[M]]&lt;&gt;""),1.5,0))</f>
        <v>0</v>
      </c>
      <c r="X205" s="12">
        <f>IF(AND(Tabela1[[#This Row],[SETOR]]="UTI",Tabela1[[#This Row],[PA2]]&lt;&gt;""),1,IF(AND(Tabela1[[#This Row],[SETOR]]="UTI (RJ)",Tabela1[[#This Row],[PA2]]&lt;&gt;""),0,0))</f>
        <v>0</v>
      </c>
      <c r="Y205" s="12">
        <f>IF(AND(Tabela1[[#This Row],[SETOR]]="UTI",Tabela1[[#This Row],[C]]&lt;&gt;""),1,IF(AND(Tabela1[[#This Row],[SETOR]]="UTI (RJ)",Tabela1[[#This Row],[C]]&lt;&gt;""),1.5,0))</f>
        <v>0</v>
      </c>
      <c r="Z205" s="12">
        <f>IF(AND(Tabela1[[#This Row],[SETOR]]="UTI",Tabela1[[#This Row],[PL]]&lt;&gt;""),1,IF(AND(Tabela1[[#This Row],[SETOR]]="UTI (RJ)",Tabela1[[#This Row],[PL]]&lt;&gt;""),1,0))</f>
        <v>0</v>
      </c>
      <c r="AA205" s="21">
        <f>IFERROR(VLOOKUP(Tabela1[[#This Row],[MÊS]]&amp;Tabela1[[#This Row],[MATRICULA]]&amp;"1"&amp;Tabela1[[#This Row],[SETOR]]&amp;"PADRÃO",BD!B:AF,31,0),"")</f>
        <v>5.3064999999999998</v>
      </c>
      <c r="AB205" s="21">
        <f>IFERROR(VLOOKUP(Tabela1[[#This Row],[MÊS]]&amp;Tabela1[[#This Row],[MATRICULA]]&amp;"2"&amp;Tabela1[[#This Row],[SETOR]]&amp;"PADRÃO",BD!B:AF,31,0),"")</f>
        <v>0</v>
      </c>
      <c r="AC205" s="21" t="str">
        <f>IFERROR(VLOOKUP(Tabela1[[#This Row],[MÊS]]&amp;Tabela1[[#This Row],[MATRICULA]]&amp;"3"&amp;Tabela1[[#This Row],[SETOR]]&amp;"PADRÃO",BD!B:AF,31,0),"")</f>
        <v/>
      </c>
      <c r="AD205" s="21" t="str">
        <f>IFERROR(VLOOKUP(Tabela1[[#This Row],[MÊS]]&amp;Tabela1[[#This Row],[MATRICULA]]&amp;"4"&amp;Tabela1[[#This Row],[SETOR]]&amp;"PADRÃO",BD!B:AF,25,0),"")</f>
        <v/>
      </c>
      <c r="AE205" s="21" t="str">
        <f>IFERROR(VLOOKUP(Tabela1[[#This Row],[MÊS]]&amp;Tabela1[[#This Row],[MATRICULA]]&amp;"5"&amp;Tabela1[[#This Row],[SETOR]]&amp;"PADRÃO",BD!B:AF,31,0),"")</f>
        <v/>
      </c>
      <c r="AF205" s="21" t="str">
        <f>IFERROR(VLOOKUP(Tabela1[[#This Row],[MÊS]]&amp;Tabela1[[#This Row],[MATRICULA]]&amp;"6"&amp;Tabela1[[#This Row],[SETOR]]&amp;"PADRÃO",BD!B:AF,31,0),"")</f>
        <v/>
      </c>
      <c r="AG205" s="21" t="str">
        <f>IFERROR(VLOOKUP(Tabela1[[#This Row],[MÊS]]&amp;Tabela1[[#This Row],[MATRICULA]]&amp;"7"&amp;Tabela1[[#This Row],[SETOR]]&amp;"PADRÃO",BD!B:AF,31,0),"")</f>
        <v/>
      </c>
      <c r="AH205" s="21" t="str">
        <f>IFERROR(VLOOKUP(Tabela1[[#This Row],[MÊS]]&amp;Tabela1[[#This Row],[ID]]&amp;Tabela1[[#This Row],[MATRICULA]]&amp;"Receptiva"&amp;Tabela1[[#This Row],[SETOR]],BD!A:AF,31,0),"")</f>
        <v/>
      </c>
      <c r="AI205" s="21" t="str">
        <f>IFERROR(VLOOKUP(Tabela1[[#This Row],[MÊS]]&amp;Tabela1[[#This Row],[ID]]&amp;Tabela1[[#This Row],[MATRICULA]]&amp;"Receptiva 2"&amp;Tabela1[[#This Row],[SETOR]],BD!A:AF,31,0),"")</f>
        <v/>
      </c>
      <c r="AJ205" s="21" t="str">
        <f>IFERROR(VLOOKUP(Tabela1[[#This Row],[MÊS]]&amp;Tabela1[[#This Row],[ID]]&amp;Tabela1[[#This Row],[MATRICULA]]&amp;"Receptiva 3"&amp;Tabela1[[#This Row],[SETOR]],BD!A:AF,31,0),"")</f>
        <v/>
      </c>
      <c r="AK205" s="21" t="str">
        <f>IFERROR(VLOOKUP(Tabela1[[#This Row],[MÊS]]&amp;Tabela1[[#This Row],[ID]]&amp;Tabela1[[#This Row],[MATRICULA]]&amp;"Receptiva 4"&amp;Tabela1[[#This Row],[SETOR]],BD!A:AF,31,0),"")</f>
        <v/>
      </c>
      <c r="AL205" s="21">
        <f>IFERROR(VLOOKUP(Tabela1[[#This Row],[MÊS]]&amp;Tabela1[[#This Row],[MATRICULA]]&amp;"Motorista"&amp;Tabela1[[#This Row],[SETOR]],BD!A:AF,31,0),"")</f>
        <v>0</v>
      </c>
      <c r="AM205" s="21" t="str">
        <f>IFERROR(VLOOKUP(Tabela1[[#This Row],[MÊS]]&amp;Tabela1[[#This Row],[ID]]&amp;Tabela1[[#This Row],[MATRICULA]]&amp;"Motorista 2"&amp;Tabela1[[#This Row],[SETOR]],BD!A:AF,26,0),"")</f>
        <v/>
      </c>
      <c r="AN205" s="21" t="str">
        <f>IFERROR(VLOOKUP(Tabela1[[#This Row],[MÊS]]&amp;Tabela1[[#This Row],[ID]]&amp;Tabela1[[#This Row],[MATRICULA]]&amp;"Motorista 3"&amp;Tabela1[[#This Row],[SETOR]],BD!A:AF,26,0),"")</f>
        <v/>
      </c>
      <c r="AO205" s="21" t="str">
        <f>IFERROR(VLOOKUP(Tabela1[[#This Row],[MÊS]]&amp;Tabela1[[#This Row],[ID]]&amp;Tabela1[[#This Row],[MATRICULA]]&amp;"Motorista 4"&amp;Tabela1[[#This Row],[SETOR]],BD!A:AF,26,0),"")</f>
        <v/>
      </c>
      <c r="AP205" s="21" t="str">
        <f>IFERROR(VLOOKUP(Tabela1[[#This Row],[MÊS]]&amp;Tabela1[[#This Row],[MATRICULA]]&amp;"Ponto de Apoio"&amp;Tabela1[[#This Row],[SETOR]],BD!A:AF,31,0),"")</f>
        <v/>
      </c>
      <c r="AQ205" s="21" t="str">
        <f>IFERROR(VLOOKUP(Tabela1[[#This Row],[MÊS]]&amp;Tabela1[[#This Row],[ID]]&amp;Tabela1[[#This Row],[MATRICULA]]&amp;"Ponto de Apoio 2"&amp;Tabela1[[#This Row],[SETOR]],BD!A:AF,26,0),"")</f>
        <v/>
      </c>
      <c r="AR205" s="36" t="str">
        <f>IFERROR(VLOOKUP(Tabela1[[#This Row],[MÊS]]&amp;Tabela1[[#This Row],[ID]]&amp;Tabela1[[#This Row],[MATRICULA]]&amp;"Ponto de Apoio 3"&amp;Tabela1[[#This Row],[SETOR]],BD!A:AF,26,0),"")</f>
        <v/>
      </c>
      <c r="AS205" s="36" t="str">
        <f>IFERROR(VLOOKUP(Tabela1[[#This Row],[MÊS]]&amp;Tabela1[[#This Row],[ID]]&amp;Tabela1[[#This Row],[MATRICULA]]&amp;"Ponto de Apoio 4"&amp;Tabela1[[#This Row],[SETOR]],BD!A:AF,26,0),"")</f>
        <v/>
      </c>
      <c r="AT205" s="21" t="str">
        <f>IFERROR(VLOOKUP(Tabela1[[#This Row],[MÊS]]&amp;Tabela1[[#This Row],[MATRICULA]]&amp;"Cliente"&amp;Tabela1[[#This Row],[SETOR]],BD!A:AF,31,0),"")</f>
        <v/>
      </c>
      <c r="AU205" s="21" t="str">
        <f>IFERROR(VLOOKUP(Tabela1[[#This Row],[MÊS]]&amp;Tabela1[[#This Row],[ID]]&amp;Tabela1[[#This Row],[MATRICULA]]&amp;"Cliente 2"&amp;Tabela1[[#This Row],[SETOR]],BD!A:AF,26,0),"")</f>
        <v/>
      </c>
      <c r="AX205" s="21" t="str">
        <f>IFERROR(VLOOKUP(Tabela1[[#This Row],[MÊS]]&amp;Tabela1[[#This Row],[MATRICULA]]&amp;"Policia"&amp;Tabela1[[#This Row],[SETOR]],BD!A:AF,31,0),"")</f>
        <v/>
      </c>
      <c r="AY205" s="21" t="str">
        <f>IFERROR(VLOOKUP(Tabela1[[#This Row],[MÊS]]&amp;Tabela1[[#This Row],[ID]]&amp;Tabela1[[#This Row],[MATRICULA]]&amp;"Policia 2"&amp;Tabela1[[#This Row],[SETOR]],BD!A:AF,26,0),"")</f>
        <v/>
      </c>
      <c r="AZ205" s="36" t="str">
        <f>IFERROR(VLOOKUP(Tabela1[[#This Row],[MÊS]]&amp;Tabela1[[#This Row],[ID]]&amp;Tabela1[[#This Row],[MATRICULA]]&amp;"Policia 3"&amp;Tabela1[[#This Row],[SETOR]],BD!A:AF,26,0),"")</f>
        <v/>
      </c>
      <c r="BA205" s="36" t="str">
        <f>IFERROR(VLOOKUP(Tabela1[[#This Row],[MÊS]]&amp;Tabela1[[#This Row],[ID]]&amp;Tabela1[[#This Row],[MATRICULA]]&amp;"Policia 4"&amp;Tabela1[[#This Row],[SETOR]],BD!A:AF,26,0),"")</f>
        <v/>
      </c>
      <c r="BB20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5" s="21">
        <f>IFERROR(AVERAGE(Tabela1[[#This Row],[M]:[M4]]),"")</f>
        <v>0</v>
      </c>
      <c r="BD205" s="21" t="str">
        <f>IFERROR(AVERAGE(Tabela1[[#This Row],[C]:[C4]]),"")</f>
        <v/>
      </c>
      <c r="BE205" s="21" t="str">
        <f>IFERROR(AVERAGE(Tabela1[[#This Row],[PA2]:[PA 4]]),"")</f>
        <v/>
      </c>
      <c r="BF205" s="21" t="str">
        <f>IFERROR(AVERAGE(Tabela1[[#This Row],[PL]:[PL4]]),"")</f>
        <v/>
      </c>
      <c r="BG205" s="35" t="str">
        <f>IFERROR(VLOOKUP(Tabela1[[#This Row],[MÊS]]&amp;Tabela1[[#This Row],[MATRICULA]],#REF!,2,0),"")</f>
        <v/>
      </c>
      <c r="BH205" s="35" t="str">
        <f>IFERROR(VLOOKUP(Tabela1[[#This Row],[MÊS]]&amp;Tabela1[[#This Row],[MATRICULA]],#REF!,2,0),"")</f>
        <v/>
      </c>
      <c r="BI205" s="35" t="str">
        <f>IFERROR(VLOOKUP(Tabela1[[#This Row],[MÊS]]&amp;Tabela1[[#This Row],[MATRICULA]],#REF!,2,0),"")</f>
        <v/>
      </c>
      <c r="BJ205" s="35" t="str">
        <f>IFERROR(VLOOKUP(Tabela1[[#This Row],[MÊS]]&amp;Tabela1[[#This Row],[MATRICULA]],#REF!,2,0),"")</f>
        <v/>
      </c>
      <c r="BK205" s="35" t="str">
        <f>IFERROR(VLOOKUP(Tabela1[[#This Row],[MÊS]]&amp;Tabela1[[#This Row],[MATRICULA]],#REF!,2,0),"")</f>
        <v/>
      </c>
      <c r="BL205" s="21">
        <f>COUNTIF(Tabela1[[#This Row],[MOT2]:[RECEPTIVA]],"NÃO ENCONTRADA")</f>
        <v>0</v>
      </c>
      <c r="BM205" s="135" t="str">
        <f>IFERROR(VLOOKUP(Tabela1[[#This Row],[MÊS]]&amp;Tabela1[[#This Row],[ID]]&amp;Tabela1[[#This Row],[MATRICULA]]&amp;"Motorista"&amp;Tabela1[[#This Row],[SETOR]],BD!A:AF,13,0),"")</f>
        <v/>
      </c>
      <c r="BN205" s="135" t="str">
        <f>IFERROR(VLOOKUP(Tabela1[[#This Row],[MÊS]]&amp;Tabela1[[#This Row],[ID]]&amp;Tabela1[[#This Row],[MATRICULA]]&amp;"Motorista 2"&amp;Tabela1[[#This Row],[SETOR]],BD!A:AF,13,0),"")</f>
        <v/>
      </c>
      <c r="BO205" s="135" t="str">
        <f>IFERROR(VLOOKUP(Tabela1[[#This Row],[MÊS]]&amp;Tabela1[[#This Row],[ID]]&amp;Tabela1[[#This Row],[MATRICULA]]&amp;"Motorista 3"&amp;Tabela1[[#This Row],[SETOR]],BD!A:AF,13,0),"")</f>
        <v/>
      </c>
      <c r="BP205" s="135" t="str">
        <f>IFERROR(VLOOKUP(Tabela1[[#This Row],[MÊS]]&amp;Tabela1[[#This Row],[ID]]&amp;Tabela1[[#This Row],[MATRICULA]]&amp;"Motorista 4"&amp;Tabela1[[#This Row],[SETOR]],BD!A:AF,13,0),"")</f>
        <v/>
      </c>
      <c r="BQ205" s="135" t="str">
        <f>IFERROR(AVERAGE(Tabela1[[#This Row],[DMOT]:[DMOT4]]),"")</f>
        <v/>
      </c>
      <c r="BR205" s="135" t="str">
        <f>IFERROR(VLOOKUP(Tabela1[[#This Row],[MÊS]]&amp;Tabela1[[#This Row],[ID]]&amp;Tabela1[[#This Row],[MATRICULA]]&amp;"Ponto de Apoio"&amp;Tabela1[[#This Row],[SETOR]],BD!A:AF,13,0),"")</f>
        <v/>
      </c>
      <c r="BS205" s="135" t="str">
        <f>IFERROR(VLOOKUP(Tabela1[[#This Row],[MÊS]]&amp;Tabela1[[#This Row],[ID]]&amp;Tabela1[[#This Row],[MATRICULA]]&amp;"Ponto de Apoio 2"&amp;Tabela1[[#This Row],[SETOR]],BD!A:AF,13,0),"")</f>
        <v/>
      </c>
      <c r="BT205" s="135" t="str">
        <f>IFERROR(VLOOKUP(Tabela1[[#This Row],[MÊS]]&amp;Tabela1[[#This Row],[ID]]&amp;Tabela1[[#This Row],[MATRICULA]]&amp;"Ponto de Apoio 3"&amp;Tabela1[[#This Row],[SETOR]],BD!A:AF,13,0),"")</f>
        <v/>
      </c>
      <c r="BU205" s="135" t="str">
        <f>IFERROR(VLOOKUP(Tabela1[[#This Row],[MÊS]]&amp;Tabela1[[#This Row],[ID]]&amp;Tabela1[[#This Row],[MATRICULA]]&amp;"Ponto de Apoio 4"&amp;Tabela1[[#This Row],[SETOR]],BD!A:AF,13,0),"")</f>
        <v/>
      </c>
      <c r="BV205" s="135" t="str">
        <f>IFERROR(AVERAGE(Tabela1[[#This Row],[DPA]:[DPA 4]]),"")</f>
        <v/>
      </c>
      <c r="BW205" s="135" t="str">
        <f>IFERROR(VLOOKUP(Tabela1[[#This Row],[MÊS]]&amp;Tabela1[[#This Row],[ID]]&amp;Tabela1[[#This Row],[MATRICULA]]&amp;"Cliente"&amp;Tabela1[[#This Row],[SETOR]],BD!A:AF,13,0),"")</f>
        <v/>
      </c>
      <c r="BX205" s="135" t="str">
        <f>IFERROR(VLOOKUP(Tabela1[[#This Row],[MÊS]]&amp;Tabela1[[#This Row],[ID]]&amp;Tabela1[[#This Row],[MATRICULA]]&amp;"cliente 2"&amp;Tabela1[[#This Row],[SETOR]],BD!A:AF,13,0),"")</f>
        <v/>
      </c>
      <c r="BY205" s="135" t="str">
        <f>IFERROR(VLOOKUP(Tabela1[[#This Row],[MÊS]]&amp;Tabela1[[#This Row],[ID]]&amp;Tabela1[[#This Row],[MATRICULA]]&amp;"cliente 3"&amp;Tabela1[[#This Row],[SETOR]],BD!A:AF,13,0),"")</f>
        <v/>
      </c>
      <c r="BZ205" s="135" t="str">
        <f>IFERROR(VLOOKUP(Tabela1[[#This Row],[MÊS]]&amp;Tabela1[[#This Row],[ID]]&amp;Tabela1[[#This Row],[MATRICULA]]&amp;"cliente 4"&amp;Tabela1[[#This Row],[SETOR]],BD!A:AF,13,0),"")</f>
        <v/>
      </c>
      <c r="CA205" s="135" t="str">
        <f>IFERROR(AVERAGE(Tabela1[[#This Row],[DCLI]:[DCLI 4]]),"")</f>
        <v/>
      </c>
      <c r="CB205" s="135" t="str">
        <f>IFERROR(VLOOKUP(Tabela1[[#This Row],[MÊS]]&amp;Tabela1[[#This Row],[ID]]&amp;Tabela1[[#This Row],[MATRICULA]]&amp;"Policia"&amp;Tabela1[[#This Row],[SETOR]],BD!A:AF,13,0),"")</f>
        <v/>
      </c>
      <c r="CC205" s="135" t="str">
        <f>IFERROR(VLOOKUP(Tabela1[[#This Row],[MÊS]]&amp;Tabela1[[#This Row],[ID]]&amp;Tabela1[[#This Row],[MATRICULA]]&amp;"Policia 2"&amp;Tabela1[[#This Row],[SETOR]],BD!A:AF,13,0),"")</f>
        <v/>
      </c>
      <c r="CD205" s="135"/>
      <c r="CE205" s="135"/>
      <c r="CF205" s="135" t="str">
        <f>IFERROR((AVERAGE(Tabela1[[#This Row],[DPOL1]:[DPOL4]])),"")</f>
        <v/>
      </c>
      <c r="CG205" s="21" t="str">
        <f>IFERROR(VLOOKUP(Tabela1[[#This Row],[ID]]&amp;Tabela1[[#This Row],[MÊS]]&amp;Tabela1[[#This Row],[MATRICULA]],#REF!,2,0),"")</f>
        <v/>
      </c>
      <c r="CH205" s="21" t="str">
        <f>IFERROR(VLOOKUP(Tabela1[[#This Row],[ID]]&amp;Tabela1[[#This Row],[MÊS]]&amp;Tabela1[[#This Row],[MATRICULA]],#REF!,2,0),"")</f>
        <v/>
      </c>
      <c r="CI205" s="21" t="str">
        <f>IFERROR(VLOOKUP(Tabela1[[#This Row],[MÊS]]&amp;Tabela1[[#This Row],[MATRICULA]],#REF!,2,0),"")</f>
        <v/>
      </c>
    </row>
    <row r="206" spans="1:87">
      <c r="A206" s="12" t="str">
        <f>Tabela1[[#This Row],[MÊS]]&amp;Tabela1[[#This Row],[MATRICULA]]&amp;Tabela1[[#This Row],[ID]]</f>
        <v>JAN1139711</v>
      </c>
      <c r="B206" s="12" t="str">
        <f>Tabela1[[#This Row],[MÊS]]&amp;Tabela1[[#This Row],[ID]]&amp;Tabela1[[#This Row],[MATRICULA]]&amp;Tabela1[[#This Row],[SETOR]]</f>
        <v>JAN1111397TRANSFERÊNCIA</v>
      </c>
      <c r="C206" s="130" t="e">
        <f>VLOOKUP(Tabela1[[#This Row],[MATRICULA]],'BD Campos'!A:D,5,0)</f>
        <v>#REF!</v>
      </c>
      <c r="D206" s="133" t="str">
        <f ca="1">IFERROR(SUM(TODAY()-Tabela1[[#This Row],[ADMISSÃO]]),"")</f>
        <v/>
      </c>
      <c r="E206" s="11" t="str">
        <f ca="1">IFERROR(TRUNC(Tabela1[[#This Row],[TEMPO DE CASA (DIAS)]]/30),"")</f>
        <v/>
      </c>
      <c r="F206" s="32" t="str">
        <f ca="1">IFERROR(SUM(Tabela1[[#This Row],[TEMPO DE CASA (MESES)]]/12),"")</f>
        <v/>
      </c>
      <c r="G206" s="133" t="str">
        <f ca="1">IF(Tabela1[[#This Row],[TEMPO DE CASA (DIAS)]]="","SEM DADOS",IF(Tabela1[[#This Row],[TEMPO DE CASA (DIAS)]]&gt;180,"&gt; 6 MESES","&lt; 6 MESES"))</f>
        <v>SEM DADOS</v>
      </c>
      <c r="H206" s="12" t="str">
        <f t="shared" si="18"/>
        <v>JANRodrigo Barros11</v>
      </c>
      <c r="I206" s="12" t="str">
        <f>IFERROR(VLOOKUP(Tabela1[[#This Row],[MATRICULA]],'BD Campos'!A:F,7,0),"")</f>
        <v/>
      </c>
      <c r="J206" s="11">
        <v>11</v>
      </c>
      <c r="K206" s="11" t="s">
        <v>669</v>
      </c>
      <c r="L206" s="136">
        <v>11397</v>
      </c>
      <c r="M206" s="12" t="str">
        <f>IFERROR(VLOOKUP(Tabela1[[#This Row],[MATRICULA]],'BD Campos'!A:B,2,0),"")</f>
        <v>WELINGTON RODRIGO ROSARIO DE QUADROS</v>
      </c>
      <c r="N206" s="20">
        <f>IFERROR(AVERAGE(Tabela1[[#This Row],[A1]:[A4]]),"")</f>
        <v>3.5824000000000003</v>
      </c>
      <c r="O206" s="20" t="str">
        <f>IFERROR(IF(Tabela1[[#This Row],[SETOR]]="RECEPTIVO","",AVERAGE(Tabela1[[#This Row],[A5]:[A6]])),"")</f>
        <v/>
      </c>
      <c r="P206" s="20" t="str">
        <f>IFERROR(IF(Tabela1[[#This Row],[STATUS]]="INATIVO","INATIVO",IF(Tabela1[[#This Row],[STATUS]]="QRT","INATIVO",IF(Tabela1[[#This Row],[OPERACIONAL]]&gt;7.99999,"BOM","RUIM"))),"")</f>
        <v>RUIM</v>
      </c>
      <c r="Q206" s="21" t="s">
        <v>667</v>
      </c>
      <c r="R206" s="12" t="s">
        <v>714</v>
      </c>
      <c r="S206" s="12" t="s">
        <v>715</v>
      </c>
      <c r="T206" s="12" t="s">
        <v>192</v>
      </c>
      <c r="U20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6" s="12">
        <f>IF(AND(Tabela1[[#This Row],[SETOR]]="UTI",Tabela1[[#This Row],[M]]&lt;&gt;""),1,IF(AND(Tabela1[[#This Row],[SETOR]]="UTI (RJ)",Tabela1[[#This Row],[M]]&lt;&gt;""),1.5,0))</f>
        <v>0</v>
      </c>
      <c r="X206" s="12">
        <f>IF(AND(Tabela1[[#This Row],[SETOR]]="UTI",Tabela1[[#This Row],[PA2]]&lt;&gt;""),1,IF(AND(Tabela1[[#This Row],[SETOR]]="UTI (RJ)",Tabela1[[#This Row],[PA2]]&lt;&gt;""),0,0))</f>
        <v>0</v>
      </c>
      <c r="Y206" s="12">
        <f>IF(AND(Tabela1[[#This Row],[SETOR]]="UTI",Tabela1[[#This Row],[C]]&lt;&gt;""),1,IF(AND(Tabela1[[#This Row],[SETOR]]="UTI (RJ)",Tabela1[[#This Row],[C]]&lt;&gt;""),1.5,0))</f>
        <v>0</v>
      </c>
      <c r="Z206" s="12">
        <f>IF(AND(Tabela1[[#This Row],[SETOR]]="UTI",Tabela1[[#This Row],[PL]]&lt;&gt;""),1,IF(AND(Tabela1[[#This Row],[SETOR]]="UTI (RJ)",Tabela1[[#This Row],[PL]]&lt;&gt;""),1,0))</f>
        <v>0</v>
      </c>
      <c r="AA206" s="21">
        <f>IFERROR(VLOOKUP(Tabela1[[#This Row],[MÊS]]&amp;Tabela1[[#This Row],[MATRICULA]]&amp;"1"&amp;Tabela1[[#This Row],[SETOR]]&amp;"PADRÃO",BD!B:AF,31,0),"")</f>
        <v>0</v>
      </c>
      <c r="AB206" s="21">
        <f>IFERROR(VLOOKUP(Tabela1[[#This Row],[MÊS]]&amp;Tabela1[[#This Row],[MATRICULA]]&amp;"2"&amp;Tabela1[[#This Row],[SETOR]]&amp;"PADRÃO",BD!B:AF,31,0),"")</f>
        <v>7.1648000000000005</v>
      </c>
      <c r="AC206" s="21" t="str">
        <f>IFERROR(VLOOKUP(Tabela1[[#This Row],[MÊS]]&amp;Tabela1[[#This Row],[MATRICULA]]&amp;"3"&amp;Tabela1[[#This Row],[SETOR]]&amp;"PADRÃO",BD!B:AF,31,0),"")</f>
        <v/>
      </c>
      <c r="AD206" s="21" t="str">
        <f>IFERROR(VLOOKUP(Tabela1[[#This Row],[MÊS]]&amp;Tabela1[[#This Row],[MATRICULA]]&amp;"4"&amp;Tabela1[[#This Row],[SETOR]]&amp;"PADRÃO",BD!B:AF,25,0),"")</f>
        <v/>
      </c>
      <c r="AE206" s="21" t="str">
        <f>IFERROR(VLOOKUP(Tabela1[[#This Row],[MÊS]]&amp;Tabela1[[#This Row],[MATRICULA]]&amp;"5"&amp;Tabela1[[#This Row],[SETOR]]&amp;"PADRÃO",BD!B:AF,31,0),"")</f>
        <v/>
      </c>
      <c r="AF206" s="21" t="str">
        <f>IFERROR(VLOOKUP(Tabela1[[#This Row],[MÊS]]&amp;Tabela1[[#This Row],[MATRICULA]]&amp;"6"&amp;Tabela1[[#This Row],[SETOR]]&amp;"PADRÃO",BD!B:AF,31,0),"")</f>
        <v/>
      </c>
      <c r="AG206" s="21" t="str">
        <f>IFERROR(VLOOKUP(Tabela1[[#This Row],[MÊS]]&amp;Tabela1[[#This Row],[MATRICULA]]&amp;"7"&amp;Tabela1[[#This Row],[SETOR]]&amp;"PADRÃO",BD!B:AF,31,0),"")</f>
        <v/>
      </c>
      <c r="AH206" s="21" t="str">
        <f>IFERROR(VLOOKUP(Tabela1[[#This Row],[MÊS]]&amp;Tabela1[[#This Row],[ID]]&amp;Tabela1[[#This Row],[MATRICULA]]&amp;"Receptiva"&amp;Tabela1[[#This Row],[SETOR]],BD!A:AF,31,0),"")</f>
        <v/>
      </c>
      <c r="AI206" s="21" t="str">
        <f>IFERROR(VLOOKUP(Tabela1[[#This Row],[MÊS]]&amp;Tabela1[[#This Row],[ID]]&amp;Tabela1[[#This Row],[MATRICULA]]&amp;"Receptiva 2"&amp;Tabela1[[#This Row],[SETOR]],BD!A:AF,31,0),"")</f>
        <v/>
      </c>
      <c r="AJ206" s="21" t="str">
        <f>IFERROR(VLOOKUP(Tabela1[[#This Row],[MÊS]]&amp;Tabela1[[#This Row],[ID]]&amp;Tabela1[[#This Row],[MATRICULA]]&amp;"Receptiva 3"&amp;Tabela1[[#This Row],[SETOR]],BD!A:AF,31,0),"")</f>
        <v/>
      </c>
      <c r="AK206" s="21" t="str">
        <f>IFERROR(VLOOKUP(Tabela1[[#This Row],[MÊS]]&amp;Tabela1[[#This Row],[ID]]&amp;Tabela1[[#This Row],[MATRICULA]]&amp;"Receptiva 4"&amp;Tabela1[[#This Row],[SETOR]],BD!A:AF,31,0),"")</f>
        <v/>
      </c>
      <c r="AL206" s="21">
        <f>IFERROR(VLOOKUP(Tabela1[[#This Row],[MÊS]]&amp;Tabela1[[#This Row],[MATRICULA]]&amp;"Motorista"&amp;Tabela1[[#This Row],[SETOR]],BD!A:AF,31,0),"")</f>
        <v>0</v>
      </c>
      <c r="AM206" s="21" t="str">
        <f>IFERROR(VLOOKUP(Tabela1[[#This Row],[MÊS]]&amp;Tabela1[[#This Row],[ID]]&amp;Tabela1[[#This Row],[MATRICULA]]&amp;"Motorista 2"&amp;Tabela1[[#This Row],[SETOR]],BD!A:AF,26,0),"")</f>
        <v/>
      </c>
      <c r="AN206" s="21" t="str">
        <f>IFERROR(VLOOKUP(Tabela1[[#This Row],[MÊS]]&amp;Tabela1[[#This Row],[ID]]&amp;Tabela1[[#This Row],[MATRICULA]]&amp;"Motorista 3"&amp;Tabela1[[#This Row],[SETOR]],BD!A:AF,26,0),"")</f>
        <v/>
      </c>
      <c r="AO206" s="21" t="str">
        <f>IFERROR(VLOOKUP(Tabela1[[#This Row],[MÊS]]&amp;Tabela1[[#This Row],[ID]]&amp;Tabela1[[#This Row],[MATRICULA]]&amp;"Motorista 4"&amp;Tabela1[[#This Row],[SETOR]],BD!A:AF,26,0),"")</f>
        <v/>
      </c>
      <c r="AP206" s="21" t="str">
        <f>IFERROR(VLOOKUP(Tabela1[[#This Row],[MÊS]]&amp;Tabela1[[#This Row],[MATRICULA]]&amp;"Ponto de Apoio"&amp;Tabela1[[#This Row],[SETOR]],BD!A:AF,31,0),"")</f>
        <v/>
      </c>
      <c r="AQ206" s="21" t="str">
        <f>IFERROR(VLOOKUP(Tabela1[[#This Row],[MÊS]]&amp;Tabela1[[#This Row],[ID]]&amp;Tabela1[[#This Row],[MATRICULA]]&amp;"Ponto de Apoio 2"&amp;Tabela1[[#This Row],[SETOR]],BD!A:AF,26,0),"")</f>
        <v/>
      </c>
      <c r="AR206" s="36" t="str">
        <f>IFERROR(VLOOKUP(Tabela1[[#This Row],[MÊS]]&amp;Tabela1[[#This Row],[ID]]&amp;Tabela1[[#This Row],[MATRICULA]]&amp;"Ponto de Apoio 3"&amp;Tabela1[[#This Row],[SETOR]],BD!A:AF,26,0),"")</f>
        <v/>
      </c>
      <c r="AS206" s="36" t="str">
        <f>IFERROR(VLOOKUP(Tabela1[[#This Row],[MÊS]]&amp;Tabela1[[#This Row],[ID]]&amp;Tabela1[[#This Row],[MATRICULA]]&amp;"Ponto de Apoio 4"&amp;Tabela1[[#This Row],[SETOR]],BD!A:AF,26,0),"")</f>
        <v/>
      </c>
      <c r="AT206" s="21" t="str">
        <f>IFERROR(VLOOKUP(Tabela1[[#This Row],[MÊS]]&amp;Tabela1[[#This Row],[MATRICULA]]&amp;"Cliente"&amp;Tabela1[[#This Row],[SETOR]],BD!A:AF,31,0),"")</f>
        <v/>
      </c>
      <c r="AU206" s="21" t="str">
        <f>IFERROR(VLOOKUP(Tabela1[[#This Row],[MÊS]]&amp;Tabela1[[#This Row],[ID]]&amp;Tabela1[[#This Row],[MATRICULA]]&amp;"Cliente 2"&amp;Tabela1[[#This Row],[SETOR]],BD!A:AF,26,0),"")</f>
        <v/>
      </c>
      <c r="AX206" s="21" t="str">
        <f>IFERROR(VLOOKUP(Tabela1[[#This Row],[MÊS]]&amp;Tabela1[[#This Row],[MATRICULA]]&amp;"Policia"&amp;Tabela1[[#This Row],[SETOR]],BD!A:AF,31,0),"")</f>
        <v/>
      </c>
      <c r="AY206" s="21" t="str">
        <f>IFERROR(VLOOKUP(Tabela1[[#This Row],[MÊS]]&amp;Tabela1[[#This Row],[ID]]&amp;Tabela1[[#This Row],[MATRICULA]]&amp;"Policia 2"&amp;Tabela1[[#This Row],[SETOR]],BD!A:AF,26,0),"")</f>
        <v/>
      </c>
      <c r="AZ206" s="36" t="str">
        <f>IFERROR(VLOOKUP(Tabela1[[#This Row],[MÊS]]&amp;Tabela1[[#This Row],[ID]]&amp;Tabela1[[#This Row],[MATRICULA]]&amp;"Policia 3"&amp;Tabela1[[#This Row],[SETOR]],BD!A:AF,26,0),"")</f>
        <v/>
      </c>
      <c r="BA206" s="36" t="str">
        <f>IFERROR(VLOOKUP(Tabela1[[#This Row],[MÊS]]&amp;Tabela1[[#This Row],[ID]]&amp;Tabela1[[#This Row],[MATRICULA]]&amp;"Policia 4"&amp;Tabela1[[#This Row],[SETOR]],BD!A:AF,26,0),"")</f>
        <v/>
      </c>
      <c r="BB20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6" s="21">
        <f>IFERROR(AVERAGE(Tabela1[[#This Row],[M]:[M4]]),"")</f>
        <v>0</v>
      </c>
      <c r="BD206" s="21" t="str">
        <f>IFERROR(AVERAGE(Tabela1[[#This Row],[C]:[C4]]),"")</f>
        <v/>
      </c>
      <c r="BE206" s="21" t="str">
        <f>IFERROR(AVERAGE(Tabela1[[#This Row],[PA2]:[PA 4]]),"")</f>
        <v/>
      </c>
      <c r="BF206" s="21" t="str">
        <f>IFERROR(AVERAGE(Tabela1[[#This Row],[PL]:[PL4]]),"")</f>
        <v/>
      </c>
      <c r="BG206" s="35" t="str">
        <f>IFERROR(VLOOKUP(Tabela1[[#This Row],[MÊS]]&amp;Tabela1[[#This Row],[MATRICULA]],#REF!,2,0),"")</f>
        <v/>
      </c>
      <c r="BH206" s="35" t="str">
        <f>IFERROR(VLOOKUP(Tabela1[[#This Row],[MÊS]]&amp;Tabela1[[#This Row],[MATRICULA]],#REF!,2,0),"")</f>
        <v/>
      </c>
      <c r="BI206" s="35" t="str">
        <f>IFERROR(VLOOKUP(Tabela1[[#This Row],[MÊS]]&amp;Tabela1[[#This Row],[MATRICULA]],#REF!,2,0),"")</f>
        <v/>
      </c>
      <c r="BJ206" s="35" t="str">
        <f>IFERROR(VLOOKUP(Tabela1[[#This Row],[MÊS]]&amp;Tabela1[[#This Row],[MATRICULA]],#REF!,2,0),"")</f>
        <v/>
      </c>
      <c r="BK206" s="35" t="str">
        <f>IFERROR(VLOOKUP(Tabela1[[#This Row],[MÊS]]&amp;Tabela1[[#This Row],[MATRICULA]],#REF!,2,0),"")</f>
        <v/>
      </c>
      <c r="BL206" s="21">
        <f>COUNTIF(Tabela1[[#This Row],[MOT2]:[RECEPTIVA]],"NÃO ENCONTRADA")</f>
        <v>0</v>
      </c>
      <c r="BM206" s="135" t="str">
        <f>IFERROR(VLOOKUP(Tabela1[[#This Row],[MÊS]]&amp;Tabela1[[#This Row],[ID]]&amp;Tabela1[[#This Row],[MATRICULA]]&amp;"Motorista"&amp;Tabela1[[#This Row],[SETOR]],BD!A:AF,13,0),"")</f>
        <v/>
      </c>
      <c r="BN206" s="135" t="str">
        <f>IFERROR(VLOOKUP(Tabela1[[#This Row],[MÊS]]&amp;Tabela1[[#This Row],[ID]]&amp;Tabela1[[#This Row],[MATRICULA]]&amp;"Motorista 2"&amp;Tabela1[[#This Row],[SETOR]],BD!A:AF,13,0),"")</f>
        <v/>
      </c>
      <c r="BO206" s="135" t="str">
        <f>IFERROR(VLOOKUP(Tabela1[[#This Row],[MÊS]]&amp;Tabela1[[#This Row],[ID]]&amp;Tabela1[[#This Row],[MATRICULA]]&amp;"Motorista 3"&amp;Tabela1[[#This Row],[SETOR]],BD!A:AF,13,0),"")</f>
        <v/>
      </c>
      <c r="BP206" s="135" t="str">
        <f>IFERROR(VLOOKUP(Tabela1[[#This Row],[MÊS]]&amp;Tabela1[[#This Row],[ID]]&amp;Tabela1[[#This Row],[MATRICULA]]&amp;"Motorista 4"&amp;Tabela1[[#This Row],[SETOR]],BD!A:AF,13,0),"")</f>
        <v/>
      </c>
      <c r="BQ206" s="135" t="str">
        <f>IFERROR(AVERAGE(Tabela1[[#This Row],[DMOT]:[DMOT4]]),"")</f>
        <v/>
      </c>
      <c r="BR206" s="135" t="str">
        <f>IFERROR(VLOOKUP(Tabela1[[#This Row],[MÊS]]&amp;Tabela1[[#This Row],[ID]]&amp;Tabela1[[#This Row],[MATRICULA]]&amp;"Ponto de Apoio"&amp;Tabela1[[#This Row],[SETOR]],BD!A:AF,13,0),"")</f>
        <v/>
      </c>
      <c r="BS206" s="135" t="str">
        <f>IFERROR(VLOOKUP(Tabela1[[#This Row],[MÊS]]&amp;Tabela1[[#This Row],[ID]]&amp;Tabela1[[#This Row],[MATRICULA]]&amp;"Ponto de Apoio 2"&amp;Tabela1[[#This Row],[SETOR]],BD!A:AF,13,0),"")</f>
        <v/>
      </c>
      <c r="BT206" s="135" t="str">
        <f>IFERROR(VLOOKUP(Tabela1[[#This Row],[MÊS]]&amp;Tabela1[[#This Row],[ID]]&amp;Tabela1[[#This Row],[MATRICULA]]&amp;"Ponto de Apoio 3"&amp;Tabela1[[#This Row],[SETOR]],BD!A:AF,13,0),"")</f>
        <v/>
      </c>
      <c r="BU206" s="135" t="str">
        <f>IFERROR(VLOOKUP(Tabela1[[#This Row],[MÊS]]&amp;Tabela1[[#This Row],[ID]]&amp;Tabela1[[#This Row],[MATRICULA]]&amp;"Ponto de Apoio 4"&amp;Tabela1[[#This Row],[SETOR]],BD!A:AF,13,0),"")</f>
        <v/>
      </c>
      <c r="BV206" s="135" t="str">
        <f>IFERROR(AVERAGE(Tabela1[[#This Row],[DPA]:[DPA 4]]),"")</f>
        <v/>
      </c>
      <c r="BW206" s="135" t="str">
        <f>IFERROR(VLOOKUP(Tabela1[[#This Row],[MÊS]]&amp;Tabela1[[#This Row],[ID]]&amp;Tabela1[[#This Row],[MATRICULA]]&amp;"Cliente"&amp;Tabela1[[#This Row],[SETOR]],BD!A:AF,13,0),"")</f>
        <v/>
      </c>
      <c r="BX206" s="135" t="str">
        <f>IFERROR(VLOOKUP(Tabela1[[#This Row],[MÊS]]&amp;Tabela1[[#This Row],[ID]]&amp;Tabela1[[#This Row],[MATRICULA]]&amp;"cliente 2"&amp;Tabela1[[#This Row],[SETOR]],BD!A:AF,13,0),"")</f>
        <v/>
      </c>
      <c r="BY206" s="135" t="str">
        <f>IFERROR(VLOOKUP(Tabela1[[#This Row],[MÊS]]&amp;Tabela1[[#This Row],[ID]]&amp;Tabela1[[#This Row],[MATRICULA]]&amp;"cliente 3"&amp;Tabela1[[#This Row],[SETOR]],BD!A:AF,13,0),"")</f>
        <v/>
      </c>
      <c r="BZ206" s="135" t="str">
        <f>IFERROR(VLOOKUP(Tabela1[[#This Row],[MÊS]]&amp;Tabela1[[#This Row],[ID]]&amp;Tabela1[[#This Row],[MATRICULA]]&amp;"cliente 4"&amp;Tabela1[[#This Row],[SETOR]],BD!A:AF,13,0),"")</f>
        <v/>
      </c>
      <c r="CA206" s="135" t="str">
        <f>IFERROR(AVERAGE(Tabela1[[#This Row],[DCLI]:[DCLI 4]]),"")</f>
        <v/>
      </c>
      <c r="CB206" s="135" t="str">
        <f>IFERROR(VLOOKUP(Tabela1[[#This Row],[MÊS]]&amp;Tabela1[[#This Row],[ID]]&amp;Tabela1[[#This Row],[MATRICULA]]&amp;"Policia"&amp;Tabela1[[#This Row],[SETOR]],BD!A:AF,13,0),"")</f>
        <v/>
      </c>
      <c r="CC206" s="135" t="str">
        <f>IFERROR(VLOOKUP(Tabela1[[#This Row],[MÊS]]&amp;Tabela1[[#This Row],[ID]]&amp;Tabela1[[#This Row],[MATRICULA]]&amp;"Policia 2"&amp;Tabela1[[#This Row],[SETOR]],BD!A:AF,13,0),"")</f>
        <v/>
      </c>
      <c r="CD206" s="135"/>
      <c r="CE206" s="135"/>
      <c r="CF206" s="135" t="str">
        <f>IFERROR((AVERAGE(Tabela1[[#This Row],[DPOL1]:[DPOL4]])),"")</f>
        <v/>
      </c>
      <c r="CG206" s="21" t="str">
        <f>IFERROR(VLOOKUP(Tabela1[[#This Row],[ID]]&amp;Tabela1[[#This Row],[MÊS]]&amp;Tabela1[[#This Row],[MATRICULA]],#REF!,2,0),"")</f>
        <v/>
      </c>
      <c r="CH206" s="21" t="str">
        <f>IFERROR(VLOOKUP(Tabela1[[#This Row],[ID]]&amp;Tabela1[[#This Row],[MÊS]]&amp;Tabela1[[#This Row],[MATRICULA]],#REF!,2,0),"")</f>
        <v/>
      </c>
      <c r="CI206" s="21" t="str">
        <f>IFERROR(VLOOKUP(Tabela1[[#This Row],[MÊS]]&amp;Tabela1[[#This Row],[MATRICULA]],#REF!,2,0),"")</f>
        <v/>
      </c>
    </row>
    <row r="207" spans="1:87">
      <c r="A207" s="12" t="str">
        <f>Tabela1[[#This Row],[MÊS]]&amp;Tabela1[[#This Row],[MATRICULA]]&amp;Tabela1[[#This Row],[ID]]</f>
        <v>JAN1151012</v>
      </c>
      <c r="B207" s="12" t="str">
        <f>Tabela1[[#This Row],[MÊS]]&amp;Tabela1[[#This Row],[ID]]&amp;Tabela1[[#This Row],[MATRICULA]]&amp;Tabela1[[#This Row],[SETOR]]</f>
        <v>JAN1211510TRANSFERÊNCIA</v>
      </c>
      <c r="C207" s="130" t="e">
        <f>VLOOKUP(Tabela1[[#This Row],[MATRICULA]],'BD Campos'!A:D,5,0)</f>
        <v>#REF!</v>
      </c>
      <c r="D207" s="133" t="str">
        <f ca="1">IFERROR(SUM(TODAY()-Tabela1[[#This Row],[ADMISSÃO]]),"")</f>
        <v/>
      </c>
      <c r="E207" s="11" t="str">
        <f ca="1">IFERROR(TRUNC(Tabela1[[#This Row],[TEMPO DE CASA (DIAS)]]/30),"")</f>
        <v/>
      </c>
      <c r="F207" s="32" t="str">
        <f ca="1">IFERROR(SUM(Tabela1[[#This Row],[TEMPO DE CASA (MESES)]]/12),"")</f>
        <v/>
      </c>
      <c r="G207" s="133" t="str">
        <f ca="1">IF(Tabela1[[#This Row],[TEMPO DE CASA (DIAS)]]="","SEM DADOS",IF(Tabela1[[#This Row],[TEMPO DE CASA (DIAS)]]&gt;180,"&gt; 6 MESES","&lt; 6 MESES"))</f>
        <v>SEM DADOS</v>
      </c>
      <c r="H207" s="12" t="str">
        <f t="shared" si="18"/>
        <v>JANRodrigo Barros12</v>
      </c>
      <c r="I207" s="12" t="str">
        <f>IFERROR(VLOOKUP(Tabela1[[#This Row],[MATRICULA]],'BD Campos'!A:F,7,0),"")</f>
        <v/>
      </c>
      <c r="J207" s="11">
        <v>12</v>
      </c>
      <c r="K207" s="11" t="s">
        <v>669</v>
      </c>
      <c r="L207" s="136">
        <v>11510</v>
      </c>
      <c r="M207" s="12" t="str">
        <f>IFERROR(VLOOKUP(Tabela1[[#This Row],[MATRICULA]],'BD Campos'!A:B,2,0),"")</f>
        <v>EDUARDA KAUANE DA SILVA</v>
      </c>
      <c r="N207" s="20">
        <f>IFERROR(AVERAGE(Tabela1[[#This Row],[A1]:[A4]]),"")</f>
        <v>1.6925000000000001</v>
      </c>
      <c r="O207" s="20" t="str">
        <f>IFERROR(IF(Tabela1[[#This Row],[SETOR]]="RECEPTIVO","",AVERAGE(Tabela1[[#This Row],[A5]:[A6]])),"")</f>
        <v/>
      </c>
      <c r="P207" s="20" t="str">
        <f>IFERROR(IF(Tabela1[[#This Row],[STATUS]]="INATIVO","INATIVO",IF(Tabela1[[#This Row],[STATUS]]="QRT","INATIVO",IF(Tabela1[[#This Row],[OPERACIONAL]]&gt;7.99999,"BOM","RUIM"))),"")</f>
        <v>RUIM</v>
      </c>
      <c r="Q207" s="21" t="s">
        <v>667</v>
      </c>
      <c r="R207" s="12" t="s">
        <v>714</v>
      </c>
      <c r="S207" s="12" t="s">
        <v>715</v>
      </c>
      <c r="T207" s="12" t="s">
        <v>192</v>
      </c>
      <c r="U20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7" s="12">
        <f>IF(AND(Tabela1[[#This Row],[SETOR]]="UTI",Tabela1[[#This Row],[M]]&lt;&gt;""),1,IF(AND(Tabela1[[#This Row],[SETOR]]="UTI (RJ)",Tabela1[[#This Row],[M]]&lt;&gt;""),1.5,0))</f>
        <v>0</v>
      </c>
      <c r="X207" s="12">
        <f>IF(AND(Tabela1[[#This Row],[SETOR]]="UTI",Tabela1[[#This Row],[PA2]]&lt;&gt;""),1,IF(AND(Tabela1[[#This Row],[SETOR]]="UTI (RJ)",Tabela1[[#This Row],[PA2]]&lt;&gt;""),0,0))</f>
        <v>0</v>
      </c>
      <c r="Y207" s="12">
        <f>IF(AND(Tabela1[[#This Row],[SETOR]]="UTI",Tabela1[[#This Row],[C]]&lt;&gt;""),1,IF(AND(Tabela1[[#This Row],[SETOR]]="UTI (RJ)",Tabela1[[#This Row],[C]]&lt;&gt;""),1.5,0))</f>
        <v>0</v>
      </c>
      <c r="Z207" s="12">
        <f>IF(AND(Tabela1[[#This Row],[SETOR]]="UTI",Tabela1[[#This Row],[PL]]&lt;&gt;""),1,IF(AND(Tabela1[[#This Row],[SETOR]]="UTI (RJ)",Tabela1[[#This Row],[PL]]&lt;&gt;""),1,0))</f>
        <v>0</v>
      </c>
      <c r="AA207" s="21">
        <f>IFERROR(VLOOKUP(Tabela1[[#This Row],[MÊS]]&amp;Tabela1[[#This Row],[MATRICULA]]&amp;"1"&amp;Tabela1[[#This Row],[SETOR]]&amp;"PADRÃO",BD!B:AF,31,0),"")</f>
        <v>3.3850000000000002</v>
      </c>
      <c r="AB207" s="21">
        <f>IFERROR(VLOOKUP(Tabela1[[#This Row],[MÊS]]&amp;Tabela1[[#This Row],[MATRICULA]]&amp;"2"&amp;Tabela1[[#This Row],[SETOR]]&amp;"PADRÃO",BD!B:AF,31,0),"")</f>
        <v>0</v>
      </c>
      <c r="AC207" s="21" t="str">
        <f>IFERROR(VLOOKUP(Tabela1[[#This Row],[MÊS]]&amp;Tabela1[[#This Row],[MATRICULA]]&amp;"3"&amp;Tabela1[[#This Row],[SETOR]]&amp;"PADRÃO",BD!B:AF,31,0),"")</f>
        <v/>
      </c>
      <c r="AD207" s="21" t="str">
        <f>IFERROR(VLOOKUP(Tabela1[[#This Row],[MÊS]]&amp;Tabela1[[#This Row],[MATRICULA]]&amp;"4"&amp;Tabela1[[#This Row],[SETOR]]&amp;"PADRÃO",BD!B:AF,25,0),"")</f>
        <v/>
      </c>
      <c r="AE207" s="21" t="str">
        <f>IFERROR(VLOOKUP(Tabela1[[#This Row],[MÊS]]&amp;Tabela1[[#This Row],[MATRICULA]]&amp;"5"&amp;Tabela1[[#This Row],[SETOR]]&amp;"PADRÃO",BD!B:AF,31,0),"")</f>
        <v/>
      </c>
      <c r="AF207" s="21" t="str">
        <f>IFERROR(VLOOKUP(Tabela1[[#This Row],[MÊS]]&amp;Tabela1[[#This Row],[MATRICULA]]&amp;"6"&amp;Tabela1[[#This Row],[SETOR]]&amp;"PADRÃO",BD!B:AF,31,0),"")</f>
        <v/>
      </c>
      <c r="AG207" s="21" t="str">
        <f>IFERROR(VLOOKUP(Tabela1[[#This Row],[MÊS]]&amp;Tabela1[[#This Row],[MATRICULA]]&amp;"7"&amp;Tabela1[[#This Row],[SETOR]]&amp;"PADRÃO",BD!B:AF,31,0),"")</f>
        <v/>
      </c>
      <c r="AH207" s="21" t="str">
        <f>IFERROR(VLOOKUP(Tabela1[[#This Row],[MÊS]]&amp;Tabela1[[#This Row],[ID]]&amp;Tabela1[[#This Row],[MATRICULA]]&amp;"Receptiva"&amp;Tabela1[[#This Row],[SETOR]],BD!A:AF,31,0),"")</f>
        <v/>
      </c>
      <c r="AI207" s="21" t="str">
        <f>IFERROR(VLOOKUP(Tabela1[[#This Row],[MÊS]]&amp;Tabela1[[#This Row],[ID]]&amp;Tabela1[[#This Row],[MATRICULA]]&amp;"Receptiva 2"&amp;Tabela1[[#This Row],[SETOR]],BD!A:AF,31,0),"")</f>
        <v/>
      </c>
      <c r="AJ207" s="21" t="str">
        <f>IFERROR(VLOOKUP(Tabela1[[#This Row],[MÊS]]&amp;Tabela1[[#This Row],[ID]]&amp;Tabela1[[#This Row],[MATRICULA]]&amp;"Receptiva 3"&amp;Tabela1[[#This Row],[SETOR]],BD!A:AF,31,0),"")</f>
        <v/>
      </c>
      <c r="AK207" s="21" t="str">
        <f>IFERROR(VLOOKUP(Tabela1[[#This Row],[MÊS]]&amp;Tabela1[[#This Row],[ID]]&amp;Tabela1[[#This Row],[MATRICULA]]&amp;"Receptiva 4"&amp;Tabela1[[#This Row],[SETOR]],BD!A:AF,31,0),"")</f>
        <v/>
      </c>
      <c r="AL207" s="21">
        <f>IFERROR(VLOOKUP(Tabela1[[#This Row],[MÊS]]&amp;Tabela1[[#This Row],[MATRICULA]]&amp;"Motorista"&amp;Tabela1[[#This Row],[SETOR]],BD!A:AF,31,0),"")</f>
        <v>0</v>
      </c>
      <c r="AM207" s="21" t="str">
        <f>IFERROR(VLOOKUP(Tabela1[[#This Row],[MÊS]]&amp;Tabela1[[#This Row],[ID]]&amp;Tabela1[[#This Row],[MATRICULA]]&amp;"Motorista 2"&amp;Tabela1[[#This Row],[SETOR]],BD!A:AF,26,0),"")</f>
        <v/>
      </c>
      <c r="AN207" s="21" t="str">
        <f>IFERROR(VLOOKUP(Tabela1[[#This Row],[MÊS]]&amp;Tabela1[[#This Row],[ID]]&amp;Tabela1[[#This Row],[MATRICULA]]&amp;"Motorista 3"&amp;Tabela1[[#This Row],[SETOR]],BD!A:AF,26,0),"")</f>
        <v/>
      </c>
      <c r="AO207" s="21" t="str">
        <f>IFERROR(VLOOKUP(Tabela1[[#This Row],[MÊS]]&amp;Tabela1[[#This Row],[ID]]&amp;Tabela1[[#This Row],[MATRICULA]]&amp;"Motorista 4"&amp;Tabela1[[#This Row],[SETOR]],BD!A:AF,26,0),"")</f>
        <v/>
      </c>
      <c r="AP207" s="21" t="str">
        <f>IFERROR(VLOOKUP(Tabela1[[#This Row],[MÊS]]&amp;Tabela1[[#This Row],[MATRICULA]]&amp;"Ponto de Apoio"&amp;Tabela1[[#This Row],[SETOR]],BD!A:AF,31,0),"")</f>
        <v/>
      </c>
      <c r="AQ207" s="21" t="str">
        <f>IFERROR(VLOOKUP(Tabela1[[#This Row],[MÊS]]&amp;Tabela1[[#This Row],[ID]]&amp;Tabela1[[#This Row],[MATRICULA]]&amp;"Ponto de Apoio 2"&amp;Tabela1[[#This Row],[SETOR]],BD!A:AF,26,0),"")</f>
        <v/>
      </c>
      <c r="AR207" s="36" t="str">
        <f>IFERROR(VLOOKUP(Tabela1[[#This Row],[MÊS]]&amp;Tabela1[[#This Row],[ID]]&amp;Tabela1[[#This Row],[MATRICULA]]&amp;"Ponto de Apoio 3"&amp;Tabela1[[#This Row],[SETOR]],BD!A:AF,26,0),"")</f>
        <v/>
      </c>
      <c r="AS207" s="36" t="str">
        <f>IFERROR(VLOOKUP(Tabela1[[#This Row],[MÊS]]&amp;Tabela1[[#This Row],[ID]]&amp;Tabela1[[#This Row],[MATRICULA]]&amp;"Ponto de Apoio 4"&amp;Tabela1[[#This Row],[SETOR]],BD!A:AF,26,0),"")</f>
        <v/>
      </c>
      <c r="AT207" s="21">
        <f>IFERROR(VLOOKUP(Tabela1[[#This Row],[MÊS]]&amp;Tabela1[[#This Row],[MATRICULA]]&amp;"Cliente"&amp;Tabela1[[#This Row],[SETOR]],BD!A:AF,31,0),"")</f>
        <v>0</v>
      </c>
      <c r="AU207" s="21" t="str">
        <f>IFERROR(VLOOKUP(Tabela1[[#This Row],[MÊS]]&amp;Tabela1[[#This Row],[ID]]&amp;Tabela1[[#This Row],[MATRICULA]]&amp;"Cliente 2"&amp;Tabela1[[#This Row],[SETOR]],BD!A:AF,26,0),"")</f>
        <v/>
      </c>
      <c r="AX207" s="21" t="str">
        <f>IFERROR(VLOOKUP(Tabela1[[#This Row],[MÊS]]&amp;Tabela1[[#This Row],[MATRICULA]]&amp;"Policia"&amp;Tabela1[[#This Row],[SETOR]],BD!A:AF,31,0),"")</f>
        <v/>
      </c>
      <c r="AY207" s="21" t="str">
        <f>IFERROR(VLOOKUP(Tabela1[[#This Row],[MÊS]]&amp;Tabela1[[#This Row],[ID]]&amp;Tabela1[[#This Row],[MATRICULA]]&amp;"Policia 2"&amp;Tabela1[[#This Row],[SETOR]],BD!A:AF,26,0),"")</f>
        <v/>
      </c>
      <c r="AZ207" s="36" t="str">
        <f>IFERROR(VLOOKUP(Tabela1[[#This Row],[MÊS]]&amp;Tabela1[[#This Row],[ID]]&amp;Tabela1[[#This Row],[MATRICULA]]&amp;"Policia 3"&amp;Tabela1[[#This Row],[SETOR]],BD!A:AF,26,0),"")</f>
        <v/>
      </c>
      <c r="BA207" s="36" t="str">
        <f>IFERROR(VLOOKUP(Tabela1[[#This Row],[MÊS]]&amp;Tabela1[[#This Row],[ID]]&amp;Tabela1[[#This Row],[MATRICULA]]&amp;"Policia 4"&amp;Tabela1[[#This Row],[SETOR]],BD!A:AF,26,0),"")</f>
        <v/>
      </c>
      <c r="BB20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7" s="21">
        <f>IFERROR(AVERAGE(Tabela1[[#This Row],[M]:[M4]]),"")</f>
        <v>0</v>
      </c>
      <c r="BD207" s="21">
        <f>IFERROR(AVERAGE(Tabela1[[#This Row],[C]:[C4]]),"")</f>
        <v>0</v>
      </c>
      <c r="BE207" s="21" t="str">
        <f>IFERROR(AVERAGE(Tabela1[[#This Row],[PA2]:[PA 4]]),"")</f>
        <v/>
      </c>
      <c r="BF207" s="21" t="str">
        <f>IFERROR(AVERAGE(Tabela1[[#This Row],[PL]:[PL4]]),"")</f>
        <v/>
      </c>
      <c r="BG207" s="35" t="str">
        <f>IFERROR(VLOOKUP(Tabela1[[#This Row],[MÊS]]&amp;Tabela1[[#This Row],[MATRICULA]],#REF!,2,0),"")</f>
        <v/>
      </c>
      <c r="BH207" s="35" t="str">
        <f>IFERROR(VLOOKUP(Tabela1[[#This Row],[MÊS]]&amp;Tabela1[[#This Row],[MATRICULA]],#REF!,2,0),"")</f>
        <v/>
      </c>
      <c r="BI207" s="35" t="str">
        <f>IFERROR(VLOOKUP(Tabela1[[#This Row],[MÊS]]&amp;Tabela1[[#This Row],[MATRICULA]],#REF!,2,0),"")</f>
        <v/>
      </c>
      <c r="BJ207" s="35" t="str">
        <f>IFERROR(VLOOKUP(Tabela1[[#This Row],[MÊS]]&amp;Tabela1[[#This Row],[MATRICULA]],#REF!,2,0),"")</f>
        <v/>
      </c>
      <c r="BK207" s="35" t="str">
        <f>IFERROR(VLOOKUP(Tabela1[[#This Row],[MÊS]]&amp;Tabela1[[#This Row],[MATRICULA]],#REF!,2,0),"")</f>
        <v/>
      </c>
      <c r="BL207" s="21">
        <f>COUNTIF(Tabela1[[#This Row],[MOT2]:[RECEPTIVA]],"NÃO ENCONTRADA")</f>
        <v>0</v>
      </c>
      <c r="BM207" s="135" t="str">
        <f>IFERROR(VLOOKUP(Tabela1[[#This Row],[MÊS]]&amp;Tabela1[[#This Row],[ID]]&amp;Tabela1[[#This Row],[MATRICULA]]&amp;"Motorista"&amp;Tabela1[[#This Row],[SETOR]],BD!A:AF,13,0),"")</f>
        <v/>
      </c>
      <c r="BN207" s="135" t="str">
        <f>IFERROR(VLOOKUP(Tabela1[[#This Row],[MÊS]]&amp;Tabela1[[#This Row],[ID]]&amp;Tabela1[[#This Row],[MATRICULA]]&amp;"Motorista 2"&amp;Tabela1[[#This Row],[SETOR]],BD!A:AF,13,0),"")</f>
        <v/>
      </c>
      <c r="BO207" s="135" t="str">
        <f>IFERROR(VLOOKUP(Tabela1[[#This Row],[MÊS]]&amp;Tabela1[[#This Row],[ID]]&amp;Tabela1[[#This Row],[MATRICULA]]&amp;"Motorista 3"&amp;Tabela1[[#This Row],[SETOR]],BD!A:AF,13,0),"")</f>
        <v/>
      </c>
      <c r="BP207" s="135" t="str">
        <f>IFERROR(VLOOKUP(Tabela1[[#This Row],[MÊS]]&amp;Tabela1[[#This Row],[ID]]&amp;Tabela1[[#This Row],[MATRICULA]]&amp;"Motorista 4"&amp;Tabela1[[#This Row],[SETOR]],BD!A:AF,13,0),"")</f>
        <v/>
      </c>
      <c r="BQ207" s="135" t="str">
        <f>IFERROR(AVERAGE(Tabela1[[#This Row],[DMOT]:[DMOT4]]),"")</f>
        <v/>
      </c>
      <c r="BR207" s="135" t="str">
        <f>IFERROR(VLOOKUP(Tabela1[[#This Row],[MÊS]]&amp;Tabela1[[#This Row],[ID]]&amp;Tabela1[[#This Row],[MATRICULA]]&amp;"Ponto de Apoio"&amp;Tabela1[[#This Row],[SETOR]],BD!A:AF,13,0),"")</f>
        <v/>
      </c>
      <c r="BS207" s="135" t="str">
        <f>IFERROR(VLOOKUP(Tabela1[[#This Row],[MÊS]]&amp;Tabela1[[#This Row],[ID]]&amp;Tabela1[[#This Row],[MATRICULA]]&amp;"Ponto de Apoio 2"&amp;Tabela1[[#This Row],[SETOR]],BD!A:AF,13,0),"")</f>
        <v/>
      </c>
      <c r="BT207" s="135" t="str">
        <f>IFERROR(VLOOKUP(Tabela1[[#This Row],[MÊS]]&amp;Tabela1[[#This Row],[ID]]&amp;Tabela1[[#This Row],[MATRICULA]]&amp;"Ponto de Apoio 3"&amp;Tabela1[[#This Row],[SETOR]],BD!A:AF,13,0),"")</f>
        <v/>
      </c>
      <c r="BU207" s="135" t="str">
        <f>IFERROR(VLOOKUP(Tabela1[[#This Row],[MÊS]]&amp;Tabela1[[#This Row],[ID]]&amp;Tabela1[[#This Row],[MATRICULA]]&amp;"Ponto de Apoio 4"&amp;Tabela1[[#This Row],[SETOR]],BD!A:AF,13,0),"")</f>
        <v/>
      </c>
      <c r="BV207" s="135" t="str">
        <f>IFERROR(AVERAGE(Tabela1[[#This Row],[DPA]:[DPA 4]]),"")</f>
        <v/>
      </c>
      <c r="BW207" s="135" t="str">
        <f>IFERROR(VLOOKUP(Tabela1[[#This Row],[MÊS]]&amp;Tabela1[[#This Row],[ID]]&amp;Tabela1[[#This Row],[MATRICULA]]&amp;"Cliente"&amp;Tabela1[[#This Row],[SETOR]],BD!A:AF,13,0),"")</f>
        <v/>
      </c>
      <c r="BX207" s="135" t="str">
        <f>IFERROR(VLOOKUP(Tabela1[[#This Row],[MÊS]]&amp;Tabela1[[#This Row],[ID]]&amp;Tabela1[[#This Row],[MATRICULA]]&amp;"cliente 2"&amp;Tabela1[[#This Row],[SETOR]],BD!A:AF,13,0),"")</f>
        <v/>
      </c>
      <c r="BY207" s="135" t="str">
        <f>IFERROR(VLOOKUP(Tabela1[[#This Row],[MÊS]]&amp;Tabela1[[#This Row],[ID]]&amp;Tabela1[[#This Row],[MATRICULA]]&amp;"cliente 3"&amp;Tabela1[[#This Row],[SETOR]],BD!A:AF,13,0),"")</f>
        <v/>
      </c>
      <c r="BZ207" s="135" t="str">
        <f>IFERROR(VLOOKUP(Tabela1[[#This Row],[MÊS]]&amp;Tabela1[[#This Row],[ID]]&amp;Tabela1[[#This Row],[MATRICULA]]&amp;"cliente 4"&amp;Tabela1[[#This Row],[SETOR]],BD!A:AF,13,0),"")</f>
        <v/>
      </c>
      <c r="CA207" s="135" t="str">
        <f>IFERROR(AVERAGE(Tabela1[[#This Row],[DCLI]:[DCLI 4]]),"")</f>
        <v/>
      </c>
      <c r="CB207" s="135" t="str">
        <f>IFERROR(VLOOKUP(Tabela1[[#This Row],[MÊS]]&amp;Tabela1[[#This Row],[ID]]&amp;Tabela1[[#This Row],[MATRICULA]]&amp;"Policia"&amp;Tabela1[[#This Row],[SETOR]],BD!A:AF,13,0),"")</f>
        <v/>
      </c>
      <c r="CC207" s="135" t="str">
        <f>IFERROR(VLOOKUP(Tabela1[[#This Row],[MÊS]]&amp;Tabela1[[#This Row],[ID]]&amp;Tabela1[[#This Row],[MATRICULA]]&amp;"Policia 2"&amp;Tabela1[[#This Row],[SETOR]],BD!A:AF,13,0),"")</f>
        <v/>
      </c>
      <c r="CD207" s="135"/>
      <c r="CE207" s="135"/>
      <c r="CF207" s="135" t="str">
        <f>IFERROR((AVERAGE(Tabela1[[#This Row],[DPOL1]:[DPOL4]])),"")</f>
        <v/>
      </c>
      <c r="CG207" s="21" t="str">
        <f>IFERROR(VLOOKUP(Tabela1[[#This Row],[ID]]&amp;Tabela1[[#This Row],[MÊS]]&amp;Tabela1[[#This Row],[MATRICULA]],#REF!,2,0),"")</f>
        <v/>
      </c>
      <c r="CH207" s="21" t="str">
        <f>IFERROR(VLOOKUP(Tabela1[[#This Row],[ID]]&amp;Tabela1[[#This Row],[MÊS]]&amp;Tabela1[[#This Row],[MATRICULA]],#REF!,2,0),"")</f>
        <v/>
      </c>
      <c r="CI207" s="21" t="str">
        <f>IFERROR(VLOOKUP(Tabela1[[#This Row],[MÊS]]&amp;Tabela1[[#This Row],[MATRICULA]],#REF!,2,0),"")</f>
        <v/>
      </c>
    </row>
    <row r="208" spans="1:87">
      <c r="A208" s="12" t="str">
        <f>Tabela1[[#This Row],[MÊS]]&amp;Tabela1[[#This Row],[MATRICULA]]&amp;Tabela1[[#This Row],[ID]]</f>
        <v>JAN1150813</v>
      </c>
      <c r="B208" s="12" t="str">
        <f>Tabela1[[#This Row],[MÊS]]&amp;Tabela1[[#This Row],[ID]]&amp;Tabela1[[#This Row],[MATRICULA]]&amp;Tabela1[[#This Row],[SETOR]]</f>
        <v>JAN1311508TRANSFERÊNCIA</v>
      </c>
      <c r="C208" s="130" t="e">
        <f>VLOOKUP(Tabela1[[#This Row],[MATRICULA]],'BD Campos'!A:D,5,0)</f>
        <v>#REF!</v>
      </c>
      <c r="D208" s="133" t="str">
        <f ca="1">IFERROR(SUM(TODAY()-Tabela1[[#This Row],[ADMISSÃO]]),"")</f>
        <v/>
      </c>
      <c r="E208" s="11" t="str">
        <f ca="1">IFERROR(TRUNC(Tabela1[[#This Row],[TEMPO DE CASA (DIAS)]]/30),"")</f>
        <v/>
      </c>
      <c r="F208" s="32" t="str">
        <f ca="1">IFERROR(SUM(Tabela1[[#This Row],[TEMPO DE CASA (MESES)]]/12),"")</f>
        <v/>
      </c>
      <c r="G208" s="133" t="str">
        <f ca="1">IF(Tabela1[[#This Row],[TEMPO DE CASA (DIAS)]]="","SEM DADOS",IF(Tabela1[[#This Row],[TEMPO DE CASA (DIAS)]]&gt;180,"&gt; 6 MESES","&lt; 6 MESES"))</f>
        <v>SEM DADOS</v>
      </c>
      <c r="H208" s="12" t="str">
        <f t="shared" si="18"/>
        <v>JANRodrigo Barros13</v>
      </c>
      <c r="I208" s="12" t="str">
        <f>IFERROR(VLOOKUP(Tabela1[[#This Row],[MATRICULA]],'BD Campos'!A:F,7,0),"")</f>
        <v/>
      </c>
      <c r="J208" s="11">
        <v>13</v>
      </c>
      <c r="K208" s="11" t="s">
        <v>669</v>
      </c>
      <c r="L208" s="136">
        <v>11508</v>
      </c>
      <c r="M208" s="12" t="str">
        <f>IFERROR(VLOOKUP(Tabela1[[#This Row],[MATRICULA]],'BD Campos'!A:B,2,0),"")</f>
        <v>ROSANA ALMEIDA</v>
      </c>
      <c r="N208" s="20">
        <f>IFERROR(AVERAGE(Tabela1[[#This Row],[A1]:[A4]]),"")</f>
        <v>9.1932500000000008</v>
      </c>
      <c r="O208" s="20" t="str">
        <f>IFERROR(IF(Tabela1[[#This Row],[SETOR]]="RECEPTIVO","",AVERAGE(Tabela1[[#This Row],[A5]:[A6]])),"")</f>
        <v/>
      </c>
      <c r="P208" s="20" t="str">
        <f>IFERROR(IF(Tabela1[[#This Row],[STATUS]]="INATIVO","INATIVO",IF(Tabela1[[#This Row],[STATUS]]="QRT","INATIVO",IF(Tabela1[[#This Row],[OPERACIONAL]]&gt;7.99999,"BOM","RUIM"))),"")</f>
        <v>BOM</v>
      </c>
      <c r="Q208" s="21" t="s">
        <v>667</v>
      </c>
      <c r="R208" s="12" t="s">
        <v>714</v>
      </c>
      <c r="S208" s="12" t="s">
        <v>715</v>
      </c>
      <c r="T208" s="12" t="s">
        <v>192</v>
      </c>
      <c r="U20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8" s="12">
        <f>IF(AND(Tabela1[[#This Row],[SETOR]]="UTI",Tabela1[[#This Row],[M]]&lt;&gt;""),1,IF(AND(Tabela1[[#This Row],[SETOR]]="UTI (RJ)",Tabela1[[#This Row],[M]]&lt;&gt;""),1.5,0))</f>
        <v>0</v>
      </c>
      <c r="X208" s="12">
        <f>IF(AND(Tabela1[[#This Row],[SETOR]]="UTI",Tabela1[[#This Row],[PA2]]&lt;&gt;""),1,IF(AND(Tabela1[[#This Row],[SETOR]]="UTI (RJ)",Tabela1[[#This Row],[PA2]]&lt;&gt;""),0,0))</f>
        <v>0</v>
      </c>
      <c r="Y208" s="12">
        <f>IF(AND(Tabela1[[#This Row],[SETOR]]="UTI",Tabela1[[#This Row],[C]]&lt;&gt;""),1,IF(AND(Tabela1[[#This Row],[SETOR]]="UTI (RJ)",Tabela1[[#This Row],[C]]&lt;&gt;""),1.5,0))</f>
        <v>0</v>
      </c>
      <c r="Z208" s="12">
        <f>IF(AND(Tabela1[[#This Row],[SETOR]]="UTI",Tabela1[[#This Row],[PL]]&lt;&gt;""),1,IF(AND(Tabela1[[#This Row],[SETOR]]="UTI (RJ)",Tabela1[[#This Row],[PL]]&lt;&gt;""),1,0))</f>
        <v>0</v>
      </c>
      <c r="AA208" s="21">
        <f>IFERROR(VLOOKUP(Tabela1[[#This Row],[MÊS]]&amp;Tabela1[[#This Row],[MATRICULA]]&amp;"1"&amp;Tabela1[[#This Row],[SETOR]]&amp;"PADRÃO",BD!B:AF,31,0),"")</f>
        <v>9.804000000000002</v>
      </c>
      <c r="AB208" s="21">
        <f>IFERROR(VLOOKUP(Tabela1[[#This Row],[MÊS]]&amp;Tabela1[[#This Row],[MATRICULA]]&amp;"2"&amp;Tabela1[[#This Row],[SETOR]]&amp;"PADRÃO",BD!B:AF,31,0),"")</f>
        <v>8.5824999999999996</v>
      </c>
      <c r="AC208" s="21" t="str">
        <f>IFERROR(VLOOKUP(Tabela1[[#This Row],[MÊS]]&amp;Tabela1[[#This Row],[MATRICULA]]&amp;"3"&amp;Tabela1[[#This Row],[SETOR]]&amp;"PADRÃO",BD!B:AF,31,0),"")</f>
        <v/>
      </c>
      <c r="AD208" s="21" t="str">
        <f>IFERROR(VLOOKUP(Tabela1[[#This Row],[MÊS]]&amp;Tabela1[[#This Row],[MATRICULA]]&amp;"4"&amp;Tabela1[[#This Row],[SETOR]]&amp;"PADRÃO",BD!B:AF,25,0),"")</f>
        <v/>
      </c>
      <c r="AE208" s="21" t="str">
        <f>IFERROR(VLOOKUP(Tabela1[[#This Row],[MÊS]]&amp;Tabela1[[#This Row],[MATRICULA]]&amp;"5"&amp;Tabela1[[#This Row],[SETOR]]&amp;"PADRÃO",BD!B:AF,31,0),"")</f>
        <v/>
      </c>
      <c r="AF208" s="21" t="str">
        <f>IFERROR(VLOOKUP(Tabela1[[#This Row],[MÊS]]&amp;Tabela1[[#This Row],[MATRICULA]]&amp;"6"&amp;Tabela1[[#This Row],[SETOR]]&amp;"PADRÃO",BD!B:AF,31,0),"")</f>
        <v/>
      </c>
      <c r="AG208" s="21" t="str">
        <f>IFERROR(VLOOKUP(Tabela1[[#This Row],[MÊS]]&amp;Tabela1[[#This Row],[MATRICULA]]&amp;"7"&amp;Tabela1[[#This Row],[SETOR]]&amp;"PADRÃO",BD!B:AF,31,0),"")</f>
        <v/>
      </c>
      <c r="AH208" s="21" t="str">
        <f>IFERROR(VLOOKUP(Tabela1[[#This Row],[MÊS]]&amp;Tabela1[[#This Row],[ID]]&amp;Tabela1[[#This Row],[MATRICULA]]&amp;"Receptiva"&amp;Tabela1[[#This Row],[SETOR]],BD!A:AF,31,0),"")</f>
        <v/>
      </c>
      <c r="AI208" s="21" t="str">
        <f>IFERROR(VLOOKUP(Tabela1[[#This Row],[MÊS]]&amp;Tabela1[[#This Row],[ID]]&amp;Tabela1[[#This Row],[MATRICULA]]&amp;"Receptiva 2"&amp;Tabela1[[#This Row],[SETOR]],BD!A:AF,31,0),"")</f>
        <v/>
      </c>
      <c r="AJ208" s="21" t="str">
        <f>IFERROR(VLOOKUP(Tabela1[[#This Row],[MÊS]]&amp;Tabela1[[#This Row],[ID]]&amp;Tabela1[[#This Row],[MATRICULA]]&amp;"Receptiva 3"&amp;Tabela1[[#This Row],[SETOR]],BD!A:AF,31,0),"")</f>
        <v/>
      </c>
      <c r="AK208" s="21" t="str">
        <f>IFERROR(VLOOKUP(Tabela1[[#This Row],[MÊS]]&amp;Tabela1[[#This Row],[ID]]&amp;Tabela1[[#This Row],[MATRICULA]]&amp;"Receptiva 4"&amp;Tabela1[[#This Row],[SETOR]],BD!A:AF,31,0),"")</f>
        <v/>
      </c>
      <c r="AL208" s="21">
        <f>IFERROR(VLOOKUP(Tabela1[[#This Row],[MÊS]]&amp;Tabela1[[#This Row],[MATRICULA]]&amp;"Motorista"&amp;Tabela1[[#This Row],[SETOR]],BD!A:AF,31,0),"")</f>
        <v>0</v>
      </c>
      <c r="AM208" s="21" t="str">
        <f>IFERROR(VLOOKUP(Tabela1[[#This Row],[MÊS]]&amp;Tabela1[[#This Row],[ID]]&amp;Tabela1[[#This Row],[MATRICULA]]&amp;"Motorista 2"&amp;Tabela1[[#This Row],[SETOR]],BD!A:AF,26,0),"")</f>
        <v/>
      </c>
      <c r="AN208" s="21" t="str">
        <f>IFERROR(VLOOKUP(Tabela1[[#This Row],[MÊS]]&amp;Tabela1[[#This Row],[ID]]&amp;Tabela1[[#This Row],[MATRICULA]]&amp;"Motorista 3"&amp;Tabela1[[#This Row],[SETOR]],BD!A:AF,26,0),"")</f>
        <v/>
      </c>
      <c r="AO208" s="21" t="str">
        <f>IFERROR(VLOOKUP(Tabela1[[#This Row],[MÊS]]&amp;Tabela1[[#This Row],[ID]]&amp;Tabela1[[#This Row],[MATRICULA]]&amp;"Motorista 4"&amp;Tabela1[[#This Row],[SETOR]],BD!A:AF,26,0),"")</f>
        <v/>
      </c>
      <c r="AP208" s="21" t="str">
        <f>IFERROR(VLOOKUP(Tabela1[[#This Row],[MÊS]]&amp;Tabela1[[#This Row],[MATRICULA]]&amp;"Ponto de Apoio"&amp;Tabela1[[#This Row],[SETOR]],BD!A:AF,31,0),"")</f>
        <v/>
      </c>
      <c r="AQ208" s="21" t="str">
        <f>IFERROR(VLOOKUP(Tabela1[[#This Row],[MÊS]]&amp;Tabela1[[#This Row],[ID]]&amp;Tabela1[[#This Row],[MATRICULA]]&amp;"Ponto de Apoio 2"&amp;Tabela1[[#This Row],[SETOR]],BD!A:AF,26,0),"")</f>
        <v/>
      </c>
      <c r="AR208" s="36" t="str">
        <f>IFERROR(VLOOKUP(Tabela1[[#This Row],[MÊS]]&amp;Tabela1[[#This Row],[ID]]&amp;Tabela1[[#This Row],[MATRICULA]]&amp;"Ponto de Apoio 3"&amp;Tabela1[[#This Row],[SETOR]],BD!A:AF,26,0),"")</f>
        <v/>
      </c>
      <c r="AS208" s="36" t="str">
        <f>IFERROR(VLOOKUP(Tabela1[[#This Row],[MÊS]]&amp;Tabela1[[#This Row],[ID]]&amp;Tabela1[[#This Row],[MATRICULA]]&amp;"Ponto de Apoio 4"&amp;Tabela1[[#This Row],[SETOR]],BD!A:AF,26,0),"")</f>
        <v/>
      </c>
      <c r="AT208" s="21" t="str">
        <f>IFERROR(VLOOKUP(Tabela1[[#This Row],[MÊS]]&amp;Tabela1[[#This Row],[MATRICULA]]&amp;"Cliente"&amp;Tabela1[[#This Row],[SETOR]],BD!A:AF,31,0),"")</f>
        <v/>
      </c>
      <c r="AU208" s="21" t="str">
        <f>IFERROR(VLOOKUP(Tabela1[[#This Row],[MÊS]]&amp;Tabela1[[#This Row],[ID]]&amp;Tabela1[[#This Row],[MATRICULA]]&amp;"Cliente 2"&amp;Tabela1[[#This Row],[SETOR]],BD!A:AF,26,0),"")</f>
        <v/>
      </c>
      <c r="AX208" s="21" t="str">
        <f>IFERROR(VLOOKUP(Tabela1[[#This Row],[MÊS]]&amp;Tabela1[[#This Row],[MATRICULA]]&amp;"Policia"&amp;Tabela1[[#This Row],[SETOR]],BD!A:AF,31,0),"")</f>
        <v/>
      </c>
      <c r="AY208" s="21" t="str">
        <f>IFERROR(VLOOKUP(Tabela1[[#This Row],[MÊS]]&amp;Tabela1[[#This Row],[ID]]&amp;Tabela1[[#This Row],[MATRICULA]]&amp;"Policia 2"&amp;Tabela1[[#This Row],[SETOR]],BD!A:AF,26,0),"")</f>
        <v/>
      </c>
      <c r="AZ208" s="36" t="str">
        <f>IFERROR(VLOOKUP(Tabela1[[#This Row],[MÊS]]&amp;Tabela1[[#This Row],[ID]]&amp;Tabela1[[#This Row],[MATRICULA]]&amp;"Policia 3"&amp;Tabela1[[#This Row],[SETOR]],BD!A:AF,26,0),"")</f>
        <v/>
      </c>
      <c r="BA208" s="36" t="str">
        <f>IFERROR(VLOOKUP(Tabela1[[#This Row],[MÊS]]&amp;Tabela1[[#This Row],[ID]]&amp;Tabela1[[#This Row],[MATRICULA]]&amp;"Policia 4"&amp;Tabela1[[#This Row],[SETOR]],BD!A:AF,26,0),"")</f>
        <v/>
      </c>
      <c r="BB20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8" s="21">
        <f>IFERROR(AVERAGE(Tabela1[[#This Row],[M]:[M4]]),"")</f>
        <v>0</v>
      </c>
      <c r="BD208" s="21" t="str">
        <f>IFERROR(AVERAGE(Tabela1[[#This Row],[C]:[C4]]),"")</f>
        <v/>
      </c>
      <c r="BE208" s="21" t="str">
        <f>IFERROR(AVERAGE(Tabela1[[#This Row],[PA2]:[PA 4]]),"")</f>
        <v/>
      </c>
      <c r="BF208" s="21" t="str">
        <f>IFERROR(AVERAGE(Tabela1[[#This Row],[PL]:[PL4]]),"")</f>
        <v/>
      </c>
      <c r="BG208" s="35" t="str">
        <f>IFERROR(VLOOKUP(Tabela1[[#This Row],[MÊS]]&amp;Tabela1[[#This Row],[MATRICULA]],#REF!,2,0),"")</f>
        <v/>
      </c>
      <c r="BH208" s="35" t="str">
        <f>IFERROR(VLOOKUP(Tabela1[[#This Row],[MÊS]]&amp;Tabela1[[#This Row],[MATRICULA]],#REF!,2,0),"")</f>
        <v/>
      </c>
      <c r="BI208" s="35" t="str">
        <f>IFERROR(VLOOKUP(Tabela1[[#This Row],[MÊS]]&amp;Tabela1[[#This Row],[MATRICULA]],#REF!,2,0),"")</f>
        <v/>
      </c>
      <c r="BJ208" s="35" t="str">
        <f>IFERROR(VLOOKUP(Tabela1[[#This Row],[MÊS]]&amp;Tabela1[[#This Row],[MATRICULA]],#REF!,2,0),"")</f>
        <v/>
      </c>
      <c r="BK208" s="35" t="str">
        <f>IFERROR(VLOOKUP(Tabela1[[#This Row],[MÊS]]&amp;Tabela1[[#This Row],[MATRICULA]],#REF!,2,0),"")</f>
        <v/>
      </c>
      <c r="BL208" s="21">
        <f>COUNTIF(Tabela1[[#This Row],[MOT2]:[RECEPTIVA]],"NÃO ENCONTRADA")</f>
        <v>0</v>
      </c>
      <c r="BM208" s="135" t="str">
        <f>IFERROR(VLOOKUP(Tabela1[[#This Row],[MÊS]]&amp;Tabela1[[#This Row],[ID]]&amp;Tabela1[[#This Row],[MATRICULA]]&amp;"Motorista"&amp;Tabela1[[#This Row],[SETOR]],BD!A:AF,13,0),"")</f>
        <v/>
      </c>
      <c r="BN208" s="135" t="str">
        <f>IFERROR(VLOOKUP(Tabela1[[#This Row],[MÊS]]&amp;Tabela1[[#This Row],[ID]]&amp;Tabela1[[#This Row],[MATRICULA]]&amp;"Motorista 2"&amp;Tabela1[[#This Row],[SETOR]],BD!A:AF,13,0),"")</f>
        <v/>
      </c>
      <c r="BO208" s="135" t="str">
        <f>IFERROR(VLOOKUP(Tabela1[[#This Row],[MÊS]]&amp;Tabela1[[#This Row],[ID]]&amp;Tabela1[[#This Row],[MATRICULA]]&amp;"Motorista 3"&amp;Tabela1[[#This Row],[SETOR]],BD!A:AF,13,0),"")</f>
        <v/>
      </c>
      <c r="BP208" s="135" t="str">
        <f>IFERROR(VLOOKUP(Tabela1[[#This Row],[MÊS]]&amp;Tabela1[[#This Row],[ID]]&amp;Tabela1[[#This Row],[MATRICULA]]&amp;"Motorista 4"&amp;Tabela1[[#This Row],[SETOR]],BD!A:AF,13,0),"")</f>
        <v/>
      </c>
      <c r="BQ208" s="135" t="str">
        <f>IFERROR(AVERAGE(Tabela1[[#This Row],[DMOT]:[DMOT4]]),"")</f>
        <v/>
      </c>
      <c r="BR208" s="135" t="str">
        <f>IFERROR(VLOOKUP(Tabela1[[#This Row],[MÊS]]&amp;Tabela1[[#This Row],[ID]]&amp;Tabela1[[#This Row],[MATRICULA]]&amp;"Ponto de Apoio"&amp;Tabela1[[#This Row],[SETOR]],BD!A:AF,13,0),"")</f>
        <v/>
      </c>
      <c r="BS208" s="135" t="str">
        <f>IFERROR(VLOOKUP(Tabela1[[#This Row],[MÊS]]&amp;Tabela1[[#This Row],[ID]]&amp;Tabela1[[#This Row],[MATRICULA]]&amp;"Ponto de Apoio 2"&amp;Tabela1[[#This Row],[SETOR]],BD!A:AF,13,0),"")</f>
        <v/>
      </c>
      <c r="BT208" s="135" t="str">
        <f>IFERROR(VLOOKUP(Tabela1[[#This Row],[MÊS]]&amp;Tabela1[[#This Row],[ID]]&amp;Tabela1[[#This Row],[MATRICULA]]&amp;"Ponto de Apoio 3"&amp;Tabela1[[#This Row],[SETOR]],BD!A:AF,13,0),"")</f>
        <v/>
      </c>
      <c r="BU208" s="135" t="str">
        <f>IFERROR(VLOOKUP(Tabela1[[#This Row],[MÊS]]&amp;Tabela1[[#This Row],[ID]]&amp;Tabela1[[#This Row],[MATRICULA]]&amp;"Ponto de Apoio 4"&amp;Tabela1[[#This Row],[SETOR]],BD!A:AF,13,0),"")</f>
        <v/>
      </c>
      <c r="BV208" s="135" t="str">
        <f>IFERROR(AVERAGE(Tabela1[[#This Row],[DPA]:[DPA 4]]),"")</f>
        <v/>
      </c>
      <c r="BW208" s="135" t="str">
        <f>IFERROR(VLOOKUP(Tabela1[[#This Row],[MÊS]]&amp;Tabela1[[#This Row],[ID]]&amp;Tabela1[[#This Row],[MATRICULA]]&amp;"Cliente"&amp;Tabela1[[#This Row],[SETOR]],BD!A:AF,13,0),"")</f>
        <v/>
      </c>
      <c r="BX208" s="135" t="str">
        <f>IFERROR(VLOOKUP(Tabela1[[#This Row],[MÊS]]&amp;Tabela1[[#This Row],[ID]]&amp;Tabela1[[#This Row],[MATRICULA]]&amp;"cliente 2"&amp;Tabela1[[#This Row],[SETOR]],BD!A:AF,13,0),"")</f>
        <v/>
      </c>
      <c r="BY208" s="135" t="str">
        <f>IFERROR(VLOOKUP(Tabela1[[#This Row],[MÊS]]&amp;Tabela1[[#This Row],[ID]]&amp;Tabela1[[#This Row],[MATRICULA]]&amp;"cliente 3"&amp;Tabela1[[#This Row],[SETOR]],BD!A:AF,13,0),"")</f>
        <v/>
      </c>
      <c r="BZ208" s="135" t="str">
        <f>IFERROR(VLOOKUP(Tabela1[[#This Row],[MÊS]]&amp;Tabela1[[#This Row],[ID]]&amp;Tabela1[[#This Row],[MATRICULA]]&amp;"cliente 4"&amp;Tabela1[[#This Row],[SETOR]],BD!A:AF,13,0),"")</f>
        <v/>
      </c>
      <c r="CA208" s="135" t="str">
        <f>IFERROR(AVERAGE(Tabela1[[#This Row],[DCLI]:[DCLI 4]]),"")</f>
        <v/>
      </c>
      <c r="CB208" s="135" t="str">
        <f>IFERROR(VLOOKUP(Tabela1[[#This Row],[MÊS]]&amp;Tabela1[[#This Row],[ID]]&amp;Tabela1[[#This Row],[MATRICULA]]&amp;"Policia"&amp;Tabela1[[#This Row],[SETOR]],BD!A:AF,13,0),"")</f>
        <v/>
      </c>
      <c r="CC208" s="135" t="str">
        <f>IFERROR(VLOOKUP(Tabela1[[#This Row],[MÊS]]&amp;Tabela1[[#This Row],[ID]]&amp;Tabela1[[#This Row],[MATRICULA]]&amp;"Policia 2"&amp;Tabela1[[#This Row],[SETOR]],BD!A:AF,13,0),"")</f>
        <v/>
      </c>
      <c r="CD208" s="135"/>
      <c r="CE208" s="135"/>
      <c r="CF208" s="135" t="str">
        <f>IFERROR((AVERAGE(Tabela1[[#This Row],[DPOL1]:[DPOL4]])),"")</f>
        <v/>
      </c>
      <c r="CG208" s="21" t="str">
        <f>IFERROR(VLOOKUP(Tabela1[[#This Row],[ID]]&amp;Tabela1[[#This Row],[MÊS]]&amp;Tabela1[[#This Row],[MATRICULA]],#REF!,2,0),"")</f>
        <v/>
      </c>
      <c r="CH208" s="21" t="str">
        <f>IFERROR(VLOOKUP(Tabela1[[#This Row],[ID]]&amp;Tabela1[[#This Row],[MÊS]]&amp;Tabela1[[#This Row],[MATRICULA]],#REF!,2,0),"")</f>
        <v/>
      </c>
      <c r="CI208" s="21" t="str">
        <f>IFERROR(VLOOKUP(Tabela1[[#This Row],[MÊS]]&amp;Tabela1[[#This Row],[MATRICULA]],#REF!,2,0),"")</f>
        <v/>
      </c>
    </row>
    <row r="209" spans="1:87">
      <c r="A209" s="12" t="str">
        <f>Tabela1[[#This Row],[MÊS]]&amp;Tabela1[[#This Row],[MATRICULA]]&amp;Tabela1[[#This Row],[ID]]</f>
        <v>JAN1151114</v>
      </c>
      <c r="B209" s="12" t="str">
        <f>Tabela1[[#This Row],[MÊS]]&amp;Tabela1[[#This Row],[ID]]&amp;Tabela1[[#This Row],[MATRICULA]]&amp;Tabela1[[#This Row],[SETOR]]</f>
        <v>JAN1411511TRANSFERÊNCIA</v>
      </c>
      <c r="C209" s="130" t="e">
        <f>VLOOKUP(Tabela1[[#This Row],[MATRICULA]],'BD Campos'!A:D,5,0)</f>
        <v>#REF!</v>
      </c>
      <c r="D209" s="133" t="str">
        <f ca="1">IFERROR(SUM(TODAY()-Tabela1[[#This Row],[ADMISSÃO]]),"")</f>
        <v/>
      </c>
      <c r="E209" s="11" t="str">
        <f ca="1">IFERROR(TRUNC(Tabela1[[#This Row],[TEMPO DE CASA (DIAS)]]/30),"")</f>
        <v/>
      </c>
      <c r="F209" s="32" t="str">
        <f ca="1">IFERROR(SUM(Tabela1[[#This Row],[TEMPO DE CASA (MESES)]]/12),"")</f>
        <v/>
      </c>
      <c r="G209" s="133" t="str">
        <f ca="1">IF(Tabela1[[#This Row],[TEMPO DE CASA (DIAS)]]="","SEM DADOS",IF(Tabela1[[#This Row],[TEMPO DE CASA (DIAS)]]&gt;180,"&gt; 6 MESES","&lt; 6 MESES"))</f>
        <v>SEM DADOS</v>
      </c>
      <c r="H209" s="12" t="str">
        <f t="shared" si="18"/>
        <v>JANRodrigo Barros14</v>
      </c>
      <c r="I209" s="12" t="str">
        <f>IFERROR(VLOOKUP(Tabela1[[#This Row],[MATRICULA]],'BD Campos'!A:F,7,0),"")</f>
        <v/>
      </c>
      <c r="J209" s="11">
        <v>14</v>
      </c>
      <c r="K209" s="11" t="s">
        <v>669</v>
      </c>
      <c r="L209" s="136">
        <v>11511</v>
      </c>
      <c r="M209" s="12" t="str">
        <f>IFERROR(VLOOKUP(Tabela1[[#This Row],[MATRICULA]],'BD Campos'!A:B,2,0),"")</f>
        <v>HERICLES BAGATOLI DOS PASSOS</v>
      </c>
      <c r="N209" s="20">
        <f>IFERROR(AVERAGE(Tabela1[[#This Row],[A1]:[A4]]),"")</f>
        <v>6.8393999999999995</v>
      </c>
      <c r="O209" s="20" t="str">
        <f>IFERROR(IF(Tabela1[[#This Row],[SETOR]]="RECEPTIVO","",AVERAGE(Tabela1[[#This Row],[A5]:[A6]])),"")</f>
        <v/>
      </c>
      <c r="P209" s="20" t="str">
        <f>IFERROR(IF(Tabela1[[#This Row],[STATUS]]="INATIVO","INATIVO",IF(Tabela1[[#This Row],[STATUS]]="QRT","INATIVO",IF(Tabela1[[#This Row],[OPERACIONAL]]&gt;7.99999,"BOM","RUIM"))),"")</f>
        <v>RUIM</v>
      </c>
      <c r="Q209" s="21" t="s">
        <v>667</v>
      </c>
      <c r="R209" s="12" t="s">
        <v>714</v>
      </c>
      <c r="S209" s="12" t="s">
        <v>715</v>
      </c>
      <c r="T209" s="12" t="s">
        <v>192</v>
      </c>
      <c r="U20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0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09" s="12">
        <f>IF(AND(Tabela1[[#This Row],[SETOR]]="UTI",Tabela1[[#This Row],[M]]&lt;&gt;""),1,IF(AND(Tabela1[[#This Row],[SETOR]]="UTI (RJ)",Tabela1[[#This Row],[M]]&lt;&gt;""),1.5,0))</f>
        <v>0</v>
      </c>
      <c r="X209" s="12">
        <f>IF(AND(Tabela1[[#This Row],[SETOR]]="UTI",Tabela1[[#This Row],[PA2]]&lt;&gt;""),1,IF(AND(Tabela1[[#This Row],[SETOR]]="UTI (RJ)",Tabela1[[#This Row],[PA2]]&lt;&gt;""),0,0))</f>
        <v>0</v>
      </c>
      <c r="Y209" s="12">
        <f>IF(AND(Tabela1[[#This Row],[SETOR]]="UTI",Tabela1[[#This Row],[C]]&lt;&gt;""),1,IF(AND(Tabela1[[#This Row],[SETOR]]="UTI (RJ)",Tabela1[[#This Row],[C]]&lt;&gt;""),1.5,0))</f>
        <v>0</v>
      </c>
      <c r="Z209" s="12">
        <f>IF(AND(Tabela1[[#This Row],[SETOR]]="UTI",Tabela1[[#This Row],[PL]]&lt;&gt;""),1,IF(AND(Tabela1[[#This Row],[SETOR]]="UTI (RJ)",Tabela1[[#This Row],[PL]]&lt;&gt;""),1,0))</f>
        <v>0</v>
      </c>
      <c r="AA209" s="21">
        <f>IFERROR(VLOOKUP(Tabela1[[#This Row],[MÊS]]&amp;Tabela1[[#This Row],[MATRICULA]]&amp;"1"&amp;Tabela1[[#This Row],[SETOR]]&amp;"PADRÃO",BD!B:AF,31,0),"")</f>
        <v>7.1647999999999996</v>
      </c>
      <c r="AB209" s="21">
        <f>IFERROR(VLOOKUP(Tabela1[[#This Row],[MÊS]]&amp;Tabela1[[#This Row],[MATRICULA]]&amp;"2"&amp;Tabela1[[#This Row],[SETOR]]&amp;"PADRÃO",BD!B:AF,31,0),"")</f>
        <v>6.5139999999999993</v>
      </c>
      <c r="AC209" s="21" t="str">
        <f>IFERROR(VLOOKUP(Tabela1[[#This Row],[MÊS]]&amp;Tabela1[[#This Row],[MATRICULA]]&amp;"3"&amp;Tabela1[[#This Row],[SETOR]]&amp;"PADRÃO",BD!B:AF,31,0),"")</f>
        <v/>
      </c>
      <c r="AD209" s="21" t="str">
        <f>IFERROR(VLOOKUP(Tabela1[[#This Row],[MÊS]]&amp;Tabela1[[#This Row],[MATRICULA]]&amp;"4"&amp;Tabela1[[#This Row],[SETOR]]&amp;"PADRÃO",BD!B:AF,25,0),"")</f>
        <v/>
      </c>
      <c r="AE209" s="21" t="str">
        <f>IFERROR(VLOOKUP(Tabela1[[#This Row],[MÊS]]&amp;Tabela1[[#This Row],[MATRICULA]]&amp;"5"&amp;Tabela1[[#This Row],[SETOR]]&amp;"PADRÃO",BD!B:AF,31,0),"")</f>
        <v/>
      </c>
      <c r="AF209" s="21" t="str">
        <f>IFERROR(VLOOKUP(Tabela1[[#This Row],[MÊS]]&amp;Tabela1[[#This Row],[MATRICULA]]&amp;"6"&amp;Tabela1[[#This Row],[SETOR]]&amp;"PADRÃO",BD!B:AF,31,0),"")</f>
        <v/>
      </c>
      <c r="AG209" s="21" t="str">
        <f>IFERROR(VLOOKUP(Tabela1[[#This Row],[MÊS]]&amp;Tabela1[[#This Row],[MATRICULA]]&amp;"7"&amp;Tabela1[[#This Row],[SETOR]]&amp;"PADRÃO",BD!B:AF,31,0),"")</f>
        <v/>
      </c>
      <c r="AH209" s="21" t="str">
        <f>IFERROR(VLOOKUP(Tabela1[[#This Row],[MÊS]]&amp;Tabela1[[#This Row],[ID]]&amp;Tabela1[[#This Row],[MATRICULA]]&amp;"Receptiva"&amp;Tabela1[[#This Row],[SETOR]],BD!A:AF,31,0),"")</f>
        <v/>
      </c>
      <c r="AI209" s="21" t="str">
        <f>IFERROR(VLOOKUP(Tabela1[[#This Row],[MÊS]]&amp;Tabela1[[#This Row],[ID]]&amp;Tabela1[[#This Row],[MATRICULA]]&amp;"Receptiva 2"&amp;Tabela1[[#This Row],[SETOR]],BD!A:AF,31,0),"")</f>
        <v/>
      </c>
      <c r="AJ209" s="21" t="str">
        <f>IFERROR(VLOOKUP(Tabela1[[#This Row],[MÊS]]&amp;Tabela1[[#This Row],[ID]]&amp;Tabela1[[#This Row],[MATRICULA]]&amp;"Receptiva 3"&amp;Tabela1[[#This Row],[SETOR]],BD!A:AF,31,0),"")</f>
        <v/>
      </c>
      <c r="AK209" s="21" t="str">
        <f>IFERROR(VLOOKUP(Tabela1[[#This Row],[MÊS]]&amp;Tabela1[[#This Row],[ID]]&amp;Tabela1[[#This Row],[MATRICULA]]&amp;"Receptiva 4"&amp;Tabela1[[#This Row],[SETOR]],BD!A:AF,31,0),"")</f>
        <v/>
      </c>
      <c r="AL209" s="21">
        <f>IFERROR(VLOOKUP(Tabela1[[#This Row],[MÊS]]&amp;Tabela1[[#This Row],[MATRICULA]]&amp;"Motorista"&amp;Tabela1[[#This Row],[SETOR]],BD!A:AF,31,0),"")</f>
        <v>0</v>
      </c>
      <c r="AM209" s="21" t="str">
        <f>IFERROR(VLOOKUP(Tabela1[[#This Row],[MÊS]]&amp;Tabela1[[#This Row],[ID]]&amp;Tabela1[[#This Row],[MATRICULA]]&amp;"Motorista 2"&amp;Tabela1[[#This Row],[SETOR]],BD!A:AF,26,0),"")</f>
        <v/>
      </c>
      <c r="AN209" s="21" t="str">
        <f>IFERROR(VLOOKUP(Tabela1[[#This Row],[MÊS]]&amp;Tabela1[[#This Row],[ID]]&amp;Tabela1[[#This Row],[MATRICULA]]&amp;"Motorista 3"&amp;Tabela1[[#This Row],[SETOR]],BD!A:AF,26,0),"")</f>
        <v/>
      </c>
      <c r="AO209" s="21" t="str">
        <f>IFERROR(VLOOKUP(Tabela1[[#This Row],[MÊS]]&amp;Tabela1[[#This Row],[ID]]&amp;Tabela1[[#This Row],[MATRICULA]]&amp;"Motorista 4"&amp;Tabela1[[#This Row],[SETOR]],BD!A:AF,26,0),"")</f>
        <v/>
      </c>
      <c r="AP209" s="21" t="str">
        <f>IFERROR(VLOOKUP(Tabela1[[#This Row],[MÊS]]&amp;Tabela1[[#This Row],[MATRICULA]]&amp;"Ponto de Apoio"&amp;Tabela1[[#This Row],[SETOR]],BD!A:AF,31,0),"")</f>
        <v/>
      </c>
      <c r="AQ209" s="21" t="str">
        <f>IFERROR(VLOOKUP(Tabela1[[#This Row],[MÊS]]&amp;Tabela1[[#This Row],[ID]]&amp;Tabela1[[#This Row],[MATRICULA]]&amp;"Ponto de Apoio 2"&amp;Tabela1[[#This Row],[SETOR]],BD!A:AF,26,0),"")</f>
        <v/>
      </c>
      <c r="AR209" s="36" t="str">
        <f>IFERROR(VLOOKUP(Tabela1[[#This Row],[MÊS]]&amp;Tabela1[[#This Row],[ID]]&amp;Tabela1[[#This Row],[MATRICULA]]&amp;"Ponto de Apoio 3"&amp;Tabela1[[#This Row],[SETOR]],BD!A:AF,26,0),"")</f>
        <v/>
      </c>
      <c r="AS209" s="36" t="str">
        <f>IFERROR(VLOOKUP(Tabela1[[#This Row],[MÊS]]&amp;Tabela1[[#This Row],[ID]]&amp;Tabela1[[#This Row],[MATRICULA]]&amp;"Ponto de Apoio 4"&amp;Tabela1[[#This Row],[SETOR]],BD!A:AF,26,0),"")</f>
        <v/>
      </c>
      <c r="AT209" s="21" t="str">
        <f>IFERROR(VLOOKUP(Tabela1[[#This Row],[MÊS]]&amp;Tabela1[[#This Row],[MATRICULA]]&amp;"Cliente"&amp;Tabela1[[#This Row],[SETOR]],BD!A:AF,31,0),"")</f>
        <v/>
      </c>
      <c r="AU209" s="21" t="str">
        <f>IFERROR(VLOOKUP(Tabela1[[#This Row],[MÊS]]&amp;Tabela1[[#This Row],[ID]]&amp;Tabela1[[#This Row],[MATRICULA]]&amp;"Cliente 2"&amp;Tabela1[[#This Row],[SETOR]],BD!A:AF,26,0),"")</f>
        <v/>
      </c>
      <c r="AX209" s="21" t="str">
        <f>IFERROR(VLOOKUP(Tabela1[[#This Row],[MÊS]]&amp;Tabela1[[#This Row],[MATRICULA]]&amp;"Policia"&amp;Tabela1[[#This Row],[SETOR]],BD!A:AF,31,0),"")</f>
        <v/>
      </c>
      <c r="AY209" s="21" t="str">
        <f>IFERROR(VLOOKUP(Tabela1[[#This Row],[MÊS]]&amp;Tabela1[[#This Row],[ID]]&amp;Tabela1[[#This Row],[MATRICULA]]&amp;"Policia 2"&amp;Tabela1[[#This Row],[SETOR]],BD!A:AF,26,0),"")</f>
        <v/>
      </c>
      <c r="AZ209" s="36" t="str">
        <f>IFERROR(VLOOKUP(Tabela1[[#This Row],[MÊS]]&amp;Tabela1[[#This Row],[ID]]&amp;Tabela1[[#This Row],[MATRICULA]]&amp;"Policia 3"&amp;Tabela1[[#This Row],[SETOR]],BD!A:AF,26,0),"")</f>
        <v/>
      </c>
      <c r="BA209" s="36" t="str">
        <f>IFERROR(VLOOKUP(Tabela1[[#This Row],[MÊS]]&amp;Tabela1[[#This Row],[ID]]&amp;Tabela1[[#This Row],[MATRICULA]]&amp;"Policia 4"&amp;Tabela1[[#This Row],[SETOR]],BD!A:AF,26,0),"")</f>
        <v/>
      </c>
      <c r="BB20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09" s="21">
        <f>IFERROR(AVERAGE(Tabela1[[#This Row],[M]:[M4]]),"")</f>
        <v>0</v>
      </c>
      <c r="BD209" s="21" t="str">
        <f>IFERROR(AVERAGE(Tabela1[[#This Row],[C]:[C4]]),"")</f>
        <v/>
      </c>
      <c r="BE209" s="21" t="str">
        <f>IFERROR(AVERAGE(Tabela1[[#This Row],[PA2]:[PA 4]]),"")</f>
        <v/>
      </c>
      <c r="BF209" s="21" t="str">
        <f>IFERROR(AVERAGE(Tabela1[[#This Row],[PL]:[PL4]]),"")</f>
        <v/>
      </c>
      <c r="BG209" s="35" t="str">
        <f>IFERROR(VLOOKUP(Tabela1[[#This Row],[MÊS]]&amp;Tabela1[[#This Row],[MATRICULA]],#REF!,2,0),"")</f>
        <v/>
      </c>
      <c r="BH209" s="35" t="str">
        <f>IFERROR(VLOOKUP(Tabela1[[#This Row],[MÊS]]&amp;Tabela1[[#This Row],[MATRICULA]],#REF!,2,0),"")</f>
        <v/>
      </c>
      <c r="BI209" s="35" t="str">
        <f>IFERROR(VLOOKUP(Tabela1[[#This Row],[MÊS]]&amp;Tabela1[[#This Row],[MATRICULA]],#REF!,2,0),"")</f>
        <v/>
      </c>
      <c r="BJ209" s="35" t="str">
        <f>IFERROR(VLOOKUP(Tabela1[[#This Row],[MÊS]]&amp;Tabela1[[#This Row],[MATRICULA]],#REF!,2,0),"")</f>
        <v/>
      </c>
      <c r="BK209" s="35" t="str">
        <f>IFERROR(VLOOKUP(Tabela1[[#This Row],[MÊS]]&amp;Tabela1[[#This Row],[MATRICULA]],#REF!,2,0),"")</f>
        <v/>
      </c>
      <c r="BL209" s="21">
        <f>COUNTIF(Tabela1[[#This Row],[MOT2]:[RECEPTIVA]],"NÃO ENCONTRADA")</f>
        <v>0</v>
      </c>
      <c r="BM209" s="135" t="str">
        <f>IFERROR(VLOOKUP(Tabela1[[#This Row],[MÊS]]&amp;Tabela1[[#This Row],[ID]]&amp;Tabela1[[#This Row],[MATRICULA]]&amp;"Motorista"&amp;Tabela1[[#This Row],[SETOR]],BD!A:AF,13,0),"")</f>
        <v/>
      </c>
      <c r="BN209" s="135" t="str">
        <f>IFERROR(VLOOKUP(Tabela1[[#This Row],[MÊS]]&amp;Tabela1[[#This Row],[ID]]&amp;Tabela1[[#This Row],[MATRICULA]]&amp;"Motorista 2"&amp;Tabela1[[#This Row],[SETOR]],BD!A:AF,13,0),"")</f>
        <v/>
      </c>
      <c r="BO209" s="135" t="str">
        <f>IFERROR(VLOOKUP(Tabela1[[#This Row],[MÊS]]&amp;Tabela1[[#This Row],[ID]]&amp;Tabela1[[#This Row],[MATRICULA]]&amp;"Motorista 3"&amp;Tabela1[[#This Row],[SETOR]],BD!A:AF,13,0),"")</f>
        <v/>
      </c>
      <c r="BP209" s="135" t="str">
        <f>IFERROR(VLOOKUP(Tabela1[[#This Row],[MÊS]]&amp;Tabela1[[#This Row],[ID]]&amp;Tabela1[[#This Row],[MATRICULA]]&amp;"Motorista 4"&amp;Tabela1[[#This Row],[SETOR]],BD!A:AF,13,0),"")</f>
        <v/>
      </c>
      <c r="BQ209" s="135" t="str">
        <f>IFERROR(AVERAGE(Tabela1[[#This Row],[DMOT]:[DMOT4]]),"")</f>
        <v/>
      </c>
      <c r="BR209" s="135" t="str">
        <f>IFERROR(VLOOKUP(Tabela1[[#This Row],[MÊS]]&amp;Tabela1[[#This Row],[ID]]&amp;Tabela1[[#This Row],[MATRICULA]]&amp;"Ponto de Apoio"&amp;Tabela1[[#This Row],[SETOR]],BD!A:AF,13,0),"")</f>
        <v/>
      </c>
      <c r="BS209" s="135" t="str">
        <f>IFERROR(VLOOKUP(Tabela1[[#This Row],[MÊS]]&amp;Tabela1[[#This Row],[ID]]&amp;Tabela1[[#This Row],[MATRICULA]]&amp;"Ponto de Apoio 2"&amp;Tabela1[[#This Row],[SETOR]],BD!A:AF,13,0),"")</f>
        <v/>
      </c>
      <c r="BT209" s="135" t="str">
        <f>IFERROR(VLOOKUP(Tabela1[[#This Row],[MÊS]]&amp;Tabela1[[#This Row],[ID]]&amp;Tabela1[[#This Row],[MATRICULA]]&amp;"Ponto de Apoio 3"&amp;Tabela1[[#This Row],[SETOR]],BD!A:AF,13,0),"")</f>
        <v/>
      </c>
      <c r="BU209" s="135" t="str">
        <f>IFERROR(VLOOKUP(Tabela1[[#This Row],[MÊS]]&amp;Tabela1[[#This Row],[ID]]&amp;Tabela1[[#This Row],[MATRICULA]]&amp;"Ponto de Apoio 4"&amp;Tabela1[[#This Row],[SETOR]],BD!A:AF,13,0),"")</f>
        <v/>
      </c>
      <c r="BV209" s="135" t="str">
        <f>IFERROR(AVERAGE(Tabela1[[#This Row],[DPA]:[DPA 4]]),"")</f>
        <v/>
      </c>
      <c r="BW209" s="135" t="str">
        <f>IFERROR(VLOOKUP(Tabela1[[#This Row],[MÊS]]&amp;Tabela1[[#This Row],[ID]]&amp;Tabela1[[#This Row],[MATRICULA]]&amp;"Cliente"&amp;Tabela1[[#This Row],[SETOR]],BD!A:AF,13,0),"")</f>
        <v/>
      </c>
      <c r="BX209" s="135" t="str">
        <f>IFERROR(VLOOKUP(Tabela1[[#This Row],[MÊS]]&amp;Tabela1[[#This Row],[ID]]&amp;Tabela1[[#This Row],[MATRICULA]]&amp;"cliente 2"&amp;Tabela1[[#This Row],[SETOR]],BD!A:AF,13,0),"")</f>
        <v/>
      </c>
      <c r="BY209" s="135" t="str">
        <f>IFERROR(VLOOKUP(Tabela1[[#This Row],[MÊS]]&amp;Tabela1[[#This Row],[ID]]&amp;Tabela1[[#This Row],[MATRICULA]]&amp;"cliente 3"&amp;Tabela1[[#This Row],[SETOR]],BD!A:AF,13,0),"")</f>
        <v/>
      </c>
      <c r="BZ209" s="135" t="str">
        <f>IFERROR(VLOOKUP(Tabela1[[#This Row],[MÊS]]&amp;Tabela1[[#This Row],[ID]]&amp;Tabela1[[#This Row],[MATRICULA]]&amp;"cliente 4"&amp;Tabela1[[#This Row],[SETOR]],BD!A:AF,13,0),"")</f>
        <v/>
      </c>
      <c r="CA209" s="135" t="str">
        <f>IFERROR(AVERAGE(Tabela1[[#This Row],[DCLI]:[DCLI 4]]),"")</f>
        <v/>
      </c>
      <c r="CB209" s="135" t="str">
        <f>IFERROR(VLOOKUP(Tabela1[[#This Row],[MÊS]]&amp;Tabela1[[#This Row],[ID]]&amp;Tabela1[[#This Row],[MATRICULA]]&amp;"Policia"&amp;Tabela1[[#This Row],[SETOR]],BD!A:AF,13,0),"")</f>
        <v/>
      </c>
      <c r="CC209" s="135" t="str">
        <f>IFERROR(VLOOKUP(Tabela1[[#This Row],[MÊS]]&amp;Tabela1[[#This Row],[ID]]&amp;Tabela1[[#This Row],[MATRICULA]]&amp;"Policia 2"&amp;Tabela1[[#This Row],[SETOR]],BD!A:AF,13,0),"")</f>
        <v/>
      </c>
      <c r="CD209" s="135"/>
      <c r="CE209" s="135"/>
      <c r="CF209" s="135" t="str">
        <f>IFERROR((AVERAGE(Tabela1[[#This Row],[DPOL1]:[DPOL4]])),"")</f>
        <v/>
      </c>
      <c r="CG209" s="21" t="str">
        <f>IFERROR(VLOOKUP(Tabela1[[#This Row],[ID]]&amp;Tabela1[[#This Row],[MÊS]]&amp;Tabela1[[#This Row],[MATRICULA]],#REF!,2,0),"")</f>
        <v/>
      </c>
      <c r="CH209" s="21" t="str">
        <f>IFERROR(VLOOKUP(Tabela1[[#This Row],[ID]]&amp;Tabela1[[#This Row],[MÊS]]&amp;Tabela1[[#This Row],[MATRICULA]],#REF!,2,0),"")</f>
        <v/>
      </c>
      <c r="CI209" s="21" t="str">
        <f>IFERROR(VLOOKUP(Tabela1[[#This Row],[MÊS]]&amp;Tabela1[[#This Row],[MATRICULA]],#REF!,2,0),"")</f>
        <v/>
      </c>
    </row>
    <row r="210" spans="1:87">
      <c r="A210" s="12" t="str">
        <f>Tabela1[[#This Row],[MÊS]]&amp;Tabela1[[#This Row],[MATRICULA]]&amp;Tabela1[[#This Row],[ID]]</f>
        <v>JAN112951</v>
      </c>
      <c r="B210" s="12" t="str">
        <f>Tabela1[[#This Row],[MÊS]]&amp;Tabela1[[#This Row],[ID]]&amp;Tabela1[[#This Row],[MATRICULA]]&amp;Tabela1[[#This Row],[SETOR]]</f>
        <v>JAN111295TRANSFERÊNCIA</v>
      </c>
      <c r="C210" s="130" t="e">
        <f>VLOOKUP(Tabela1[[#This Row],[MATRICULA]],'BD Campos'!A:D,5,0)</f>
        <v>#REF!</v>
      </c>
      <c r="D210" s="133" t="str">
        <f ca="1">IFERROR(SUM(TODAY()-Tabela1[[#This Row],[ADMISSÃO]]),"")</f>
        <v/>
      </c>
      <c r="E210" s="11" t="str">
        <f ca="1">IFERROR(TRUNC(Tabela1[[#This Row],[TEMPO DE CASA (DIAS)]]/30),"")</f>
        <v/>
      </c>
      <c r="F210" s="32" t="str">
        <f ca="1">IFERROR(SUM(Tabela1[[#This Row],[TEMPO DE CASA (MESES)]]/12),"")</f>
        <v/>
      </c>
      <c r="G210" s="133" t="str">
        <f ca="1">IF(Tabela1[[#This Row],[TEMPO DE CASA (DIAS)]]="","SEM DADOS",IF(Tabela1[[#This Row],[TEMPO DE CASA (DIAS)]]&gt;180,"&gt; 6 MESES","&lt; 6 MESES"))</f>
        <v>SEM DADOS</v>
      </c>
      <c r="H210" s="12" t="str">
        <f t="shared" ref="H210:H224" si="19">K210&amp;S210&amp;J210</f>
        <v>JANGabryelle Marcilio1</v>
      </c>
      <c r="I210" s="12" t="str">
        <f>IFERROR(VLOOKUP(Tabela1[[#This Row],[MATRICULA]],'BD Campos'!A:F,7,0),"")</f>
        <v/>
      </c>
      <c r="J210" s="11">
        <v>1</v>
      </c>
      <c r="K210" s="11" t="s">
        <v>669</v>
      </c>
      <c r="L210" s="136">
        <v>11295</v>
      </c>
      <c r="M210" s="12" t="str">
        <f>IFERROR(VLOOKUP(Tabela1[[#This Row],[MATRICULA]],'BD Campos'!A:B,2,0),"")</f>
        <v>ANAMELHA NAISSINGER GONÇALVES</v>
      </c>
      <c r="N210" s="20">
        <f>IFERROR(AVERAGE(Tabela1[[#This Row],[A1]:[A4]]),"")</f>
        <v>5.0020000000000007</v>
      </c>
      <c r="O210" s="20" t="str">
        <f>IFERROR(IF(Tabela1[[#This Row],[SETOR]]="RECEPTIVO","",AVERAGE(Tabela1[[#This Row],[A5]:[A6]])),"")</f>
        <v/>
      </c>
      <c r="P210" s="20" t="str">
        <f>IFERROR(IF(Tabela1[[#This Row],[STATUS]]="INATIVO","INATIVO",IF(Tabela1[[#This Row],[STATUS]]="QRT","INATIVO",IF(Tabela1[[#This Row],[OPERACIONAL]]&gt;7.99999,"BOM","RUIM"))),"")</f>
        <v>RUIM</v>
      </c>
      <c r="Q210" s="21" t="s">
        <v>667</v>
      </c>
      <c r="R210" s="12" t="s">
        <v>716</v>
      </c>
      <c r="S210" s="12" t="s">
        <v>717</v>
      </c>
      <c r="T210" s="12" t="s">
        <v>192</v>
      </c>
      <c r="U21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10" s="12">
        <f>IF(AND(Tabela1[[#This Row],[SETOR]]="UTI",Tabela1[[#This Row],[M]]&lt;&gt;""),1,IF(AND(Tabela1[[#This Row],[SETOR]]="UTI (RJ)",Tabela1[[#This Row],[M]]&lt;&gt;""),1.5,0))</f>
        <v>0</v>
      </c>
      <c r="X210" s="12">
        <f>IF(AND(Tabela1[[#This Row],[SETOR]]="UTI",Tabela1[[#This Row],[PA2]]&lt;&gt;""),1,IF(AND(Tabela1[[#This Row],[SETOR]]="UTI (RJ)",Tabela1[[#This Row],[PA2]]&lt;&gt;""),0,0))</f>
        <v>0</v>
      </c>
      <c r="Y210" s="12">
        <f>IF(AND(Tabela1[[#This Row],[SETOR]]="UTI",Tabela1[[#This Row],[C]]&lt;&gt;""),1,IF(AND(Tabela1[[#This Row],[SETOR]]="UTI (RJ)",Tabela1[[#This Row],[C]]&lt;&gt;""),1.5,0))</f>
        <v>0</v>
      </c>
      <c r="Z210" s="12">
        <f>IF(AND(Tabela1[[#This Row],[SETOR]]="UTI",Tabela1[[#This Row],[PL]]&lt;&gt;""),1,IF(AND(Tabela1[[#This Row],[SETOR]]="UTI (RJ)",Tabela1[[#This Row],[PL]]&lt;&gt;""),1,0))</f>
        <v>0</v>
      </c>
      <c r="AA210" s="21">
        <f>IFERROR(VLOOKUP(Tabela1[[#This Row],[MÊS]]&amp;Tabela1[[#This Row],[MATRICULA]]&amp;"1"&amp;Tabela1[[#This Row],[SETOR]]&amp;"PADRÃO",BD!B:AF,31,0),"")</f>
        <v>0</v>
      </c>
      <c r="AB210" s="21">
        <f>IFERROR(VLOOKUP(Tabela1[[#This Row],[MÊS]]&amp;Tabela1[[#This Row],[MATRICULA]]&amp;"2"&amp;Tabela1[[#This Row],[SETOR]]&amp;"PADRÃO",BD!B:AF,31,0),"")</f>
        <v>10.004000000000001</v>
      </c>
      <c r="AC210" s="21" t="str">
        <f>IFERROR(VLOOKUP(Tabela1[[#This Row],[MÊS]]&amp;Tabela1[[#This Row],[MATRICULA]]&amp;"3"&amp;Tabela1[[#This Row],[SETOR]]&amp;"PADRÃO",BD!B:AF,31,0),"")</f>
        <v/>
      </c>
      <c r="AD210" s="21" t="str">
        <f>IFERROR(VLOOKUP(Tabela1[[#This Row],[MÊS]]&amp;Tabela1[[#This Row],[MATRICULA]]&amp;"4"&amp;Tabela1[[#This Row],[SETOR]]&amp;"PADRÃO",BD!B:AF,25,0),"")</f>
        <v/>
      </c>
      <c r="AE210" s="21" t="str">
        <f>IFERROR(VLOOKUP(Tabela1[[#This Row],[MÊS]]&amp;Tabela1[[#This Row],[MATRICULA]]&amp;"5"&amp;Tabela1[[#This Row],[SETOR]]&amp;"PADRÃO",BD!B:AF,31,0),"")</f>
        <v/>
      </c>
      <c r="AF210" s="21" t="str">
        <f>IFERROR(VLOOKUP(Tabela1[[#This Row],[MÊS]]&amp;Tabela1[[#This Row],[MATRICULA]]&amp;"6"&amp;Tabela1[[#This Row],[SETOR]]&amp;"PADRÃO",BD!B:AF,31,0),"")</f>
        <v/>
      </c>
      <c r="AG210" s="21" t="str">
        <f>IFERROR(VLOOKUP(Tabela1[[#This Row],[MÊS]]&amp;Tabela1[[#This Row],[MATRICULA]]&amp;"7"&amp;Tabela1[[#This Row],[SETOR]]&amp;"PADRÃO",BD!B:AF,31,0),"")</f>
        <v/>
      </c>
      <c r="AH210" s="21" t="str">
        <f>IFERROR(VLOOKUP(Tabela1[[#This Row],[MÊS]]&amp;Tabela1[[#This Row],[ID]]&amp;Tabela1[[#This Row],[MATRICULA]]&amp;"Receptiva"&amp;Tabela1[[#This Row],[SETOR]],BD!A:AF,31,0),"")</f>
        <v/>
      </c>
      <c r="AI210" s="21" t="str">
        <f>IFERROR(VLOOKUP(Tabela1[[#This Row],[MÊS]]&amp;Tabela1[[#This Row],[ID]]&amp;Tabela1[[#This Row],[MATRICULA]]&amp;"Receptiva 2"&amp;Tabela1[[#This Row],[SETOR]],BD!A:AF,31,0),"")</f>
        <v/>
      </c>
      <c r="AJ210" s="21" t="str">
        <f>IFERROR(VLOOKUP(Tabela1[[#This Row],[MÊS]]&amp;Tabela1[[#This Row],[ID]]&amp;Tabela1[[#This Row],[MATRICULA]]&amp;"Receptiva 3"&amp;Tabela1[[#This Row],[SETOR]],BD!A:AF,31,0),"")</f>
        <v/>
      </c>
      <c r="AK210" s="21" t="str">
        <f>IFERROR(VLOOKUP(Tabela1[[#This Row],[MÊS]]&amp;Tabela1[[#This Row],[ID]]&amp;Tabela1[[#This Row],[MATRICULA]]&amp;"Receptiva 4"&amp;Tabela1[[#This Row],[SETOR]],BD!A:AF,31,0),"")</f>
        <v/>
      </c>
      <c r="AL210" s="21">
        <f>IFERROR(VLOOKUP(Tabela1[[#This Row],[MÊS]]&amp;Tabela1[[#This Row],[MATRICULA]]&amp;"Motorista"&amp;Tabela1[[#This Row],[SETOR]],BD!A:AF,31,0),"")</f>
        <v>0</v>
      </c>
      <c r="AM210" s="21" t="str">
        <f>IFERROR(VLOOKUP(Tabela1[[#This Row],[MÊS]]&amp;Tabela1[[#This Row],[ID]]&amp;Tabela1[[#This Row],[MATRICULA]]&amp;"Motorista 2"&amp;Tabela1[[#This Row],[SETOR]],BD!A:AF,26,0),"")</f>
        <v/>
      </c>
      <c r="AN210" s="21" t="str">
        <f>IFERROR(VLOOKUP(Tabela1[[#This Row],[MÊS]]&amp;Tabela1[[#This Row],[ID]]&amp;Tabela1[[#This Row],[MATRICULA]]&amp;"Motorista 3"&amp;Tabela1[[#This Row],[SETOR]],BD!A:AF,26,0),"")</f>
        <v/>
      </c>
      <c r="AO210" s="21" t="str">
        <f>IFERROR(VLOOKUP(Tabela1[[#This Row],[MÊS]]&amp;Tabela1[[#This Row],[ID]]&amp;Tabela1[[#This Row],[MATRICULA]]&amp;"Motorista 4"&amp;Tabela1[[#This Row],[SETOR]],BD!A:AF,26,0),"")</f>
        <v/>
      </c>
      <c r="AP210" s="21" t="str">
        <f>IFERROR(VLOOKUP(Tabela1[[#This Row],[MÊS]]&amp;Tabela1[[#This Row],[MATRICULA]]&amp;"Ponto de Apoio"&amp;Tabela1[[#This Row],[SETOR]],BD!A:AF,31,0),"")</f>
        <v/>
      </c>
      <c r="AQ210" s="21" t="str">
        <f>IFERROR(VLOOKUP(Tabela1[[#This Row],[MÊS]]&amp;Tabela1[[#This Row],[ID]]&amp;Tabela1[[#This Row],[MATRICULA]]&amp;"Ponto de Apoio 2"&amp;Tabela1[[#This Row],[SETOR]],BD!A:AF,26,0),"")</f>
        <v/>
      </c>
      <c r="AR210" s="36" t="str">
        <f>IFERROR(VLOOKUP(Tabela1[[#This Row],[MÊS]]&amp;Tabela1[[#This Row],[ID]]&amp;Tabela1[[#This Row],[MATRICULA]]&amp;"Ponto de Apoio 3"&amp;Tabela1[[#This Row],[SETOR]],BD!A:AF,26,0),"")</f>
        <v/>
      </c>
      <c r="AS210" s="36" t="str">
        <f>IFERROR(VLOOKUP(Tabela1[[#This Row],[MÊS]]&amp;Tabela1[[#This Row],[ID]]&amp;Tabela1[[#This Row],[MATRICULA]]&amp;"Ponto de Apoio 4"&amp;Tabela1[[#This Row],[SETOR]],BD!A:AF,26,0),"")</f>
        <v/>
      </c>
      <c r="AT210" s="21" t="str">
        <f>IFERROR(VLOOKUP(Tabela1[[#This Row],[MÊS]]&amp;Tabela1[[#This Row],[MATRICULA]]&amp;"Cliente"&amp;Tabela1[[#This Row],[SETOR]],BD!A:AF,31,0),"")</f>
        <v/>
      </c>
      <c r="AU210" s="21" t="str">
        <f>IFERROR(VLOOKUP(Tabela1[[#This Row],[MÊS]]&amp;Tabela1[[#This Row],[ID]]&amp;Tabela1[[#This Row],[MATRICULA]]&amp;"Cliente 2"&amp;Tabela1[[#This Row],[SETOR]],BD!A:AF,26,0),"")</f>
        <v/>
      </c>
      <c r="AX210" s="21" t="str">
        <f>IFERROR(VLOOKUP(Tabela1[[#This Row],[MÊS]]&amp;Tabela1[[#This Row],[MATRICULA]]&amp;"Policia"&amp;Tabela1[[#This Row],[SETOR]],BD!A:AF,31,0),"")</f>
        <v/>
      </c>
      <c r="AY210" s="21" t="str">
        <f>IFERROR(VLOOKUP(Tabela1[[#This Row],[MÊS]]&amp;Tabela1[[#This Row],[ID]]&amp;Tabela1[[#This Row],[MATRICULA]]&amp;"Policia 2"&amp;Tabela1[[#This Row],[SETOR]],BD!A:AF,26,0),"")</f>
        <v/>
      </c>
      <c r="AZ210" s="36" t="str">
        <f>IFERROR(VLOOKUP(Tabela1[[#This Row],[MÊS]]&amp;Tabela1[[#This Row],[ID]]&amp;Tabela1[[#This Row],[MATRICULA]]&amp;"Policia 3"&amp;Tabela1[[#This Row],[SETOR]],BD!A:AF,26,0),"")</f>
        <v/>
      </c>
      <c r="BA210" s="36" t="str">
        <f>IFERROR(VLOOKUP(Tabela1[[#This Row],[MÊS]]&amp;Tabela1[[#This Row],[ID]]&amp;Tabela1[[#This Row],[MATRICULA]]&amp;"Policia 4"&amp;Tabela1[[#This Row],[SETOR]],BD!A:AF,26,0),"")</f>
        <v/>
      </c>
      <c r="BB21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0" s="21">
        <f>IFERROR(AVERAGE(Tabela1[[#This Row],[M]:[M4]]),"")</f>
        <v>0</v>
      </c>
      <c r="BD210" s="21" t="str">
        <f>IFERROR(AVERAGE(Tabela1[[#This Row],[C]:[C4]]),"")</f>
        <v/>
      </c>
      <c r="BE210" s="21" t="str">
        <f>IFERROR(AVERAGE(Tabela1[[#This Row],[PA2]:[PA 4]]),"")</f>
        <v/>
      </c>
      <c r="BF210" s="21" t="str">
        <f>IFERROR(AVERAGE(Tabela1[[#This Row],[PL]:[PL4]]),"")</f>
        <v/>
      </c>
      <c r="BG210" s="35" t="str">
        <f>IFERROR(VLOOKUP(Tabela1[[#This Row],[MÊS]]&amp;Tabela1[[#This Row],[MATRICULA]],#REF!,2,0),"")</f>
        <v/>
      </c>
      <c r="BH210" s="35" t="str">
        <f>IFERROR(VLOOKUP(Tabela1[[#This Row],[MÊS]]&amp;Tabela1[[#This Row],[MATRICULA]],#REF!,2,0),"")</f>
        <v/>
      </c>
      <c r="BI210" s="35" t="str">
        <f>IFERROR(VLOOKUP(Tabela1[[#This Row],[MÊS]]&amp;Tabela1[[#This Row],[MATRICULA]],#REF!,2,0),"")</f>
        <v/>
      </c>
      <c r="BJ210" s="35" t="str">
        <f>IFERROR(VLOOKUP(Tabela1[[#This Row],[MÊS]]&amp;Tabela1[[#This Row],[MATRICULA]],#REF!,2,0),"")</f>
        <v/>
      </c>
      <c r="BK210" s="35" t="str">
        <f>IFERROR(VLOOKUP(Tabela1[[#This Row],[MÊS]]&amp;Tabela1[[#This Row],[MATRICULA]],#REF!,2,0),"")</f>
        <v/>
      </c>
      <c r="BL210" s="21">
        <f>COUNTIF(Tabela1[[#This Row],[MOT2]:[RECEPTIVA]],"NÃO ENCONTRADA")</f>
        <v>0</v>
      </c>
      <c r="BM210" s="135" t="str">
        <f>IFERROR(VLOOKUP(Tabela1[[#This Row],[MÊS]]&amp;Tabela1[[#This Row],[ID]]&amp;Tabela1[[#This Row],[MATRICULA]]&amp;"Motorista"&amp;Tabela1[[#This Row],[SETOR]],BD!A:AF,13,0),"")</f>
        <v/>
      </c>
      <c r="BN210" s="135" t="str">
        <f>IFERROR(VLOOKUP(Tabela1[[#This Row],[MÊS]]&amp;Tabela1[[#This Row],[ID]]&amp;Tabela1[[#This Row],[MATRICULA]]&amp;"Motorista 2"&amp;Tabela1[[#This Row],[SETOR]],BD!A:AF,13,0),"")</f>
        <v/>
      </c>
      <c r="BO210" s="135" t="str">
        <f>IFERROR(VLOOKUP(Tabela1[[#This Row],[MÊS]]&amp;Tabela1[[#This Row],[ID]]&amp;Tabela1[[#This Row],[MATRICULA]]&amp;"Motorista 3"&amp;Tabela1[[#This Row],[SETOR]],BD!A:AF,13,0),"")</f>
        <v/>
      </c>
      <c r="BP210" s="135" t="str">
        <f>IFERROR(VLOOKUP(Tabela1[[#This Row],[MÊS]]&amp;Tabela1[[#This Row],[ID]]&amp;Tabela1[[#This Row],[MATRICULA]]&amp;"Motorista 4"&amp;Tabela1[[#This Row],[SETOR]],BD!A:AF,13,0),"")</f>
        <v/>
      </c>
      <c r="BQ210" s="135" t="str">
        <f>IFERROR(AVERAGE(Tabela1[[#This Row],[DMOT]:[DMOT4]]),"")</f>
        <v/>
      </c>
      <c r="BR210" s="135" t="str">
        <f>IFERROR(VLOOKUP(Tabela1[[#This Row],[MÊS]]&amp;Tabela1[[#This Row],[ID]]&amp;Tabela1[[#This Row],[MATRICULA]]&amp;"Ponto de Apoio"&amp;Tabela1[[#This Row],[SETOR]],BD!A:AF,13,0),"")</f>
        <v/>
      </c>
      <c r="BS210" s="135" t="str">
        <f>IFERROR(VLOOKUP(Tabela1[[#This Row],[MÊS]]&amp;Tabela1[[#This Row],[ID]]&amp;Tabela1[[#This Row],[MATRICULA]]&amp;"Ponto de Apoio 2"&amp;Tabela1[[#This Row],[SETOR]],BD!A:AF,13,0),"")</f>
        <v/>
      </c>
      <c r="BT210" s="135" t="str">
        <f>IFERROR(VLOOKUP(Tabela1[[#This Row],[MÊS]]&amp;Tabela1[[#This Row],[ID]]&amp;Tabela1[[#This Row],[MATRICULA]]&amp;"Ponto de Apoio 3"&amp;Tabela1[[#This Row],[SETOR]],BD!A:AF,13,0),"")</f>
        <v/>
      </c>
      <c r="BU210" s="135" t="str">
        <f>IFERROR(VLOOKUP(Tabela1[[#This Row],[MÊS]]&amp;Tabela1[[#This Row],[ID]]&amp;Tabela1[[#This Row],[MATRICULA]]&amp;"Ponto de Apoio 4"&amp;Tabela1[[#This Row],[SETOR]],BD!A:AF,13,0),"")</f>
        <v/>
      </c>
      <c r="BV210" s="135" t="str">
        <f>IFERROR(AVERAGE(Tabela1[[#This Row],[DPA]:[DPA 4]]),"")</f>
        <v/>
      </c>
      <c r="BW210" s="135" t="str">
        <f>IFERROR(VLOOKUP(Tabela1[[#This Row],[MÊS]]&amp;Tabela1[[#This Row],[ID]]&amp;Tabela1[[#This Row],[MATRICULA]]&amp;"Cliente"&amp;Tabela1[[#This Row],[SETOR]],BD!A:AF,13,0),"")</f>
        <v/>
      </c>
      <c r="BX210" s="135" t="str">
        <f>IFERROR(VLOOKUP(Tabela1[[#This Row],[MÊS]]&amp;Tabela1[[#This Row],[ID]]&amp;Tabela1[[#This Row],[MATRICULA]]&amp;"cliente 2"&amp;Tabela1[[#This Row],[SETOR]],BD!A:AF,13,0),"")</f>
        <v/>
      </c>
      <c r="BY210" s="135" t="str">
        <f>IFERROR(VLOOKUP(Tabela1[[#This Row],[MÊS]]&amp;Tabela1[[#This Row],[ID]]&amp;Tabela1[[#This Row],[MATRICULA]]&amp;"cliente 3"&amp;Tabela1[[#This Row],[SETOR]],BD!A:AF,13,0),"")</f>
        <v/>
      </c>
      <c r="BZ210" s="135" t="str">
        <f>IFERROR(VLOOKUP(Tabela1[[#This Row],[MÊS]]&amp;Tabela1[[#This Row],[ID]]&amp;Tabela1[[#This Row],[MATRICULA]]&amp;"cliente 4"&amp;Tabela1[[#This Row],[SETOR]],BD!A:AF,13,0),"")</f>
        <v/>
      </c>
      <c r="CA210" s="135" t="str">
        <f>IFERROR(AVERAGE(Tabela1[[#This Row],[DCLI]:[DCLI 4]]),"")</f>
        <v/>
      </c>
      <c r="CB210" s="135" t="str">
        <f>IFERROR(VLOOKUP(Tabela1[[#This Row],[MÊS]]&amp;Tabela1[[#This Row],[ID]]&amp;Tabela1[[#This Row],[MATRICULA]]&amp;"Policia"&amp;Tabela1[[#This Row],[SETOR]],BD!A:AF,13,0),"")</f>
        <v/>
      </c>
      <c r="CC210" s="135" t="str">
        <f>IFERROR(VLOOKUP(Tabela1[[#This Row],[MÊS]]&amp;Tabela1[[#This Row],[ID]]&amp;Tabela1[[#This Row],[MATRICULA]]&amp;"Policia 2"&amp;Tabela1[[#This Row],[SETOR]],BD!A:AF,13,0),"")</f>
        <v/>
      </c>
      <c r="CD210" s="135"/>
      <c r="CE210" s="135"/>
      <c r="CF210" s="135" t="str">
        <f>IFERROR((AVERAGE(Tabela1[[#This Row],[DPOL1]:[DPOL4]])),"")</f>
        <v/>
      </c>
      <c r="CG210" s="21" t="str">
        <f>IFERROR(VLOOKUP(Tabela1[[#This Row],[ID]]&amp;Tabela1[[#This Row],[MÊS]]&amp;Tabela1[[#This Row],[MATRICULA]],#REF!,2,0),"")</f>
        <v/>
      </c>
      <c r="CH210" s="21" t="str">
        <f>IFERROR(VLOOKUP(Tabela1[[#This Row],[ID]]&amp;Tabela1[[#This Row],[MÊS]]&amp;Tabela1[[#This Row],[MATRICULA]],#REF!,2,0),"")</f>
        <v/>
      </c>
      <c r="CI210" s="21" t="str">
        <f>IFERROR(VLOOKUP(Tabela1[[#This Row],[MÊS]]&amp;Tabela1[[#This Row],[MATRICULA]],#REF!,2,0),"")</f>
        <v/>
      </c>
    </row>
    <row r="211" spans="1:87">
      <c r="A211" s="12" t="str">
        <f>Tabela1[[#This Row],[MÊS]]&amp;Tabela1[[#This Row],[MATRICULA]]&amp;Tabela1[[#This Row],[ID]]</f>
        <v>JAN113422</v>
      </c>
      <c r="B211" s="12" t="str">
        <f>Tabela1[[#This Row],[MÊS]]&amp;Tabela1[[#This Row],[ID]]&amp;Tabela1[[#This Row],[MATRICULA]]&amp;Tabela1[[#This Row],[SETOR]]</f>
        <v>JAN211342TRANSFERÊNCIA</v>
      </c>
      <c r="C211" s="130" t="e">
        <f>VLOOKUP(Tabela1[[#This Row],[MATRICULA]],'BD Campos'!A:D,5,0)</f>
        <v>#REF!</v>
      </c>
      <c r="D211" s="133" t="str">
        <f ca="1">IFERROR(SUM(TODAY()-Tabela1[[#This Row],[ADMISSÃO]]),"")</f>
        <v/>
      </c>
      <c r="E211" s="11" t="str">
        <f ca="1">IFERROR(TRUNC(Tabela1[[#This Row],[TEMPO DE CASA (DIAS)]]/30),"")</f>
        <v/>
      </c>
      <c r="F211" s="32" t="str">
        <f ca="1">IFERROR(SUM(Tabela1[[#This Row],[TEMPO DE CASA (MESES)]]/12),"")</f>
        <v/>
      </c>
      <c r="G211" s="133" t="str">
        <f ca="1">IF(Tabela1[[#This Row],[TEMPO DE CASA (DIAS)]]="","SEM DADOS",IF(Tabela1[[#This Row],[TEMPO DE CASA (DIAS)]]&gt;180,"&gt; 6 MESES","&lt; 6 MESES"))</f>
        <v>SEM DADOS</v>
      </c>
      <c r="H211" s="12" t="str">
        <f t="shared" si="19"/>
        <v>JANGabryelle Marcilio2</v>
      </c>
      <c r="I211" s="12" t="str">
        <f>IFERROR(VLOOKUP(Tabela1[[#This Row],[MATRICULA]],'BD Campos'!A:F,7,0),"")</f>
        <v/>
      </c>
      <c r="J211" s="11">
        <v>2</v>
      </c>
      <c r="K211" s="11" t="s">
        <v>669</v>
      </c>
      <c r="L211" s="136">
        <v>11342</v>
      </c>
      <c r="M211" s="12" t="str">
        <f>IFERROR(VLOOKUP(Tabela1[[#This Row],[MATRICULA]],'BD Campos'!A:B,2,0),"")</f>
        <v>ANFRANNY DAYANA JIMENEZ CAÑA</v>
      </c>
      <c r="N211" s="20">
        <f>IFERROR(AVERAGE(Tabela1[[#This Row],[A1]:[A4]]),"")</f>
        <v>8.269499999999999</v>
      </c>
      <c r="O211" s="20" t="str">
        <f>IFERROR(IF(Tabela1[[#This Row],[SETOR]]="RECEPTIVO","",AVERAGE(Tabela1[[#This Row],[A5]:[A6]])),"")</f>
        <v/>
      </c>
      <c r="P211" s="20" t="str">
        <f>IFERROR(IF(Tabela1[[#This Row],[STATUS]]="INATIVO","INATIVO",IF(Tabela1[[#This Row],[STATUS]]="QRT","INATIVO",IF(Tabela1[[#This Row],[OPERACIONAL]]&gt;7.99999,"BOM","RUIM"))),"")</f>
        <v>BOM</v>
      </c>
      <c r="Q211" s="21" t="s">
        <v>667</v>
      </c>
      <c r="R211" s="12" t="s">
        <v>716</v>
      </c>
      <c r="S211" s="12" t="s">
        <v>717</v>
      </c>
      <c r="T211" s="12" t="s">
        <v>192</v>
      </c>
      <c r="U21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11" s="12">
        <f>IF(AND(Tabela1[[#This Row],[SETOR]]="UTI",Tabela1[[#This Row],[M]]&lt;&gt;""),1,IF(AND(Tabela1[[#This Row],[SETOR]]="UTI (RJ)",Tabela1[[#This Row],[M]]&lt;&gt;""),1.5,0))</f>
        <v>0</v>
      </c>
      <c r="X211" s="12">
        <f>IF(AND(Tabela1[[#This Row],[SETOR]]="UTI",Tabela1[[#This Row],[PA2]]&lt;&gt;""),1,IF(AND(Tabela1[[#This Row],[SETOR]]="UTI (RJ)",Tabela1[[#This Row],[PA2]]&lt;&gt;""),0,0))</f>
        <v>0</v>
      </c>
      <c r="Y211" s="12">
        <f>IF(AND(Tabela1[[#This Row],[SETOR]]="UTI",Tabela1[[#This Row],[C]]&lt;&gt;""),1,IF(AND(Tabela1[[#This Row],[SETOR]]="UTI (RJ)",Tabela1[[#This Row],[C]]&lt;&gt;""),1.5,0))</f>
        <v>0</v>
      </c>
      <c r="Z211" s="12">
        <f>IF(AND(Tabela1[[#This Row],[SETOR]]="UTI",Tabela1[[#This Row],[PL]]&lt;&gt;""),1,IF(AND(Tabela1[[#This Row],[SETOR]]="UTI (RJ)",Tabela1[[#This Row],[PL]]&lt;&gt;""),1,0))</f>
        <v>0</v>
      </c>
      <c r="AA211" s="21">
        <f>IFERROR(VLOOKUP(Tabela1[[#This Row],[MÊS]]&amp;Tabela1[[#This Row],[MATRICULA]]&amp;"1"&amp;Tabela1[[#This Row],[SETOR]]&amp;"PADRÃO",BD!B:AF,31,0),"")</f>
        <v>7.8999999999999995</v>
      </c>
      <c r="AB211" s="21">
        <f>IFERROR(VLOOKUP(Tabela1[[#This Row],[MÊS]]&amp;Tabela1[[#This Row],[MATRICULA]]&amp;"2"&amp;Tabela1[[#This Row],[SETOR]]&amp;"PADRÃO",BD!B:AF,31,0),"")</f>
        <v>8.6389999999999993</v>
      </c>
      <c r="AC211" s="21" t="str">
        <f>IFERROR(VLOOKUP(Tabela1[[#This Row],[MÊS]]&amp;Tabela1[[#This Row],[MATRICULA]]&amp;"3"&amp;Tabela1[[#This Row],[SETOR]]&amp;"PADRÃO",BD!B:AF,31,0),"")</f>
        <v/>
      </c>
      <c r="AD211" s="21" t="str">
        <f>IFERROR(VLOOKUP(Tabela1[[#This Row],[MÊS]]&amp;Tabela1[[#This Row],[MATRICULA]]&amp;"4"&amp;Tabela1[[#This Row],[SETOR]]&amp;"PADRÃO",BD!B:AF,25,0),"")</f>
        <v/>
      </c>
      <c r="AE211" s="21" t="str">
        <f>IFERROR(VLOOKUP(Tabela1[[#This Row],[MÊS]]&amp;Tabela1[[#This Row],[MATRICULA]]&amp;"5"&amp;Tabela1[[#This Row],[SETOR]]&amp;"PADRÃO",BD!B:AF,31,0),"")</f>
        <v/>
      </c>
      <c r="AF211" s="21" t="str">
        <f>IFERROR(VLOOKUP(Tabela1[[#This Row],[MÊS]]&amp;Tabela1[[#This Row],[MATRICULA]]&amp;"6"&amp;Tabela1[[#This Row],[SETOR]]&amp;"PADRÃO",BD!B:AF,31,0),"")</f>
        <v/>
      </c>
      <c r="AG211" s="21" t="str">
        <f>IFERROR(VLOOKUP(Tabela1[[#This Row],[MÊS]]&amp;Tabela1[[#This Row],[MATRICULA]]&amp;"7"&amp;Tabela1[[#This Row],[SETOR]]&amp;"PADRÃO",BD!B:AF,31,0),"")</f>
        <v/>
      </c>
      <c r="AH211" s="21" t="str">
        <f>IFERROR(VLOOKUP(Tabela1[[#This Row],[MÊS]]&amp;Tabela1[[#This Row],[ID]]&amp;Tabela1[[#This Row],[MATRICULA]]&amp;"Receptiva"&amp;Tabela1[[#This Row],[SETOR]],BD!A:AF,31,0),"")</f>
        <v/>
      </c>
      <c r="AI211" s="21" t="str">
        <f>IFERROR(VLOOKUP(Tabela1[[#This Row],[MÊS]]&amp;Tabela1[[#This Row],[ID]]&amp;Tabela1[[#This Row],[MATRICULA]]&amp;"Receptiva 2"&amp;Tabela1[[#This Row],[SETOR]],BD!A:AF,31,0),"")</f>
        <v/>
      </c>
      <c r="AJ211" s="21" t="str">
        <f>IFERROR(VLOOKUP(Tabela1[[#This Row],[MÊS]]&amp;Tabela1[[#This Row],[ID]]&amp;Tabela1[[#This Row],[MATRICULA]]&amp;"Receptiva 3"&amp;Tabela1[[#This Row],[SETOR]],BD!A:AF,31,0),"")</f>
        <v/>
      </c>
      <c r="AK211" s="21" t="str">
        <f>IFERROR(VLOOKUP(Tabela1[[#This Row],[MÊS]]&amp;Tabela1[[#This Row],[ID]]&amp;Tabela1[[#This Row],[MATRICULA]]&amp;"Receptiva 4"&amp;Tabela1[[#This Row],[SETOR]],BD!A:AF,31,0),"")</f>
        <v/>
      </c>
      <c r="AL211" s="21">
        <f>IFERROR(VLOOKUP(Tabela1[[#This Row],[MÊS]]&amp;Tabela1[[#This Row],[MATRICULA]]&amp;"Motorista"&amp;Tabela1[[#This Row],[SETOR]],BD!A:AF,31,0),"")</f>
        <v>0</v>
      </c>
      <c r="AM211" s="21" t="str">
        <f>IFERROR(VLOOKUP(Tabela1[[#This Row],[MÊS]]&amp;Tabela1[[#This Row],[ID]]&amp;Tabela1[[#This Row],[MATRICULA]]&amp;"Motorista 2"&amp;Tabela1[[#This Row],[SETOR]],BD!A:AF,26,0),"")</f>
        <v/>
      </c>
      <c r="AN211" s="21" t="str">
        <f>IFERROR(VLOOKUP(Tabela1[[#This Row],[MÊS]]&amp;Tabela1[[#This Row],[ID]]&amp;Tabela1[[#This Row],[MATRICULA]]&amp;"Motorista 3"&amp;Tabela1[[#This Row],[SETOR]],BD!A:AF,26,0),"")</f>
        <v/>
      </c>
      <c r="AO211" s="21" t="str">
        <f>IFERROR(VLOOKUP(Tabela1[[#This Row],[MÊS]]&amp;Tabela1[[#This Row],[ID]]&amp;Tabela1[[#This Row],[MATRICULA]]&amp;"Motorista 4"&amp;Tabela1[[#This Row],[SETOR]],BD!A:AF,26,0),"")</f>
        <v/>
      </c>
      <c r="AP211" s="21" t="str">
        <f>IFERROR(VLOOKUP(Tabela1[[#This Row],[MÊS]]&amp;Tabela1[[#This Row],[MATRICULA]]&amp;"Ponto de Apoio"&amp;Tabela1[[#This Row],[SETOR]],BD!A:AF,31,0),"")</f>
        <v/>
      </c>
      <c r="AQ211" s="21" t="str">
        <f>IFERROR(VLOOKUP(Tabela1[[#This Row],[MÊS]]&amp;Tabela1[[#This Row],[ID]]&amp;Tabela1[[#This Row],[MATRICULA]]&amp;"Ponto de Apoio 2"&amp;Tabela1[[#This Row],[SETOR]],BD!A:AF,26,0),"")</f>
        <v/>
      </c>
      <c r="AR211" s="36" t="str">
        <f>IFERROR(VLOOKUP(Tabela1[[#This Row],[MÊS]]&amp;Tabela1[[#This Row],[ID]]&amp;Tabela1[[#This Row],[MATRICULA]]&amp;"Ponto de Apoio 3"&amp;Tabela1[[#This Row],[SETOR]],BD!A:AF,26,0),"")</f>
        <v/>
      </c>
      <c r="AS211" s="36" t="str">
        <f>IFERROR(VLOOKUP(Tabela1[[#This Row],[MÊS]]&amp;Tabela1[[#This Row],[ID]]&amp;Tabela1[[#This Row],[MATRICULA]]&amp;"Ponto de Apoio 4"&amp;Tabela1[[#This Row],[SETOR]],BD!A:AF,26,0),"")</f>
        <v/>
      </c>
      <c r="AT211" s="21">
        <f>IFERROR(VLOOKUP(Tabela1[[#This Row],[MÊS]]&amp;Tabela1[[#This Row],[MATRICULA]]&amp;"Cliente"&amp;Tabela1[[#This Row],[SETOR]],BD!A:AF,31,0),"")</f>
        <v>0</v>
      </c>
      <c r="AU211" s="21" t="str">
        <f>IFERROR(VLOOKUP(Tabela1[[#This Row],[MÊS]]&amp;Tabela1[[#This Row],[ID]]&amp;Tabela1[[#This Row],[MATRICULA]]&amp;"Cliente 2"&amp;Tabela1[[#This Row],[SETOR]],BD!A:AF,26,0),"")</f>
        <v/>
      </c>
      <c r="AX211" s="21" t="str">
        <f>IFERROR(VLOOKUP(Tabela1[[#This Row],[MÊS]]&amp;Tabela1[[#This Row],[MATRICULA]]&amp;"Policia"&amp;Tabela1[[#This Row],[SETOR]],BD!A:AF,31,0),"")</f>
        <v/>
      </c>
      <c r="AY211" s="21" t="str">
        <f>IFERROR(VLOOKUP(Tabela1[[#This Row],[MÊS]]&amp;Tabela1[[#This Row],[ID]]&amp;Tabela1[[#This Row],[MATRICULA]]&amp;"Policia 2"&amp;Tabela1[[#This Row],[SETOR]],BD!A:AF,26,0),"")</f>
        <v/>
      </c>
      <c r="AZ211" s="36" t="str">
        <f>IFERROR(VLOOKUP(Tabela1[[#This Row],[MÊS]]&amp;Tabela1[[#This Row],[ID]]&amp;Tabela1[[#This Row],[MATRICULA]]&amp;"Policia 3"&amp;Tabela1[[#This Row],[SETOR]],BD!A:AF,26,0),"")</f>
        <v/>
      </c>
      <c r="BA211" s="36" t="str">
        <f>IFERROR(VLOOKUP(Tabela1[[#This Row],[MÊS]]&amp;Tabela1[[#This Row],[ID]]&amp;Tabela1[[#This Row],[MATRICULA]]&amp;"Policia 4"&amp;Tabela1[[#This Row],[SETOR]],BD!A:AF,26,0),"")</f>
        <v/>
      </c>
      <c r="BB21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1" s="21">
        <f>IFERROR(AVERAGE(Tabela1[[#This Row],[M]:[M4]]),"")</f>
        <v>0</v>
      </c>
      <c r="BD211" s="21">
        <f>IFERROR(AVERAGE(Tabela1[[#This Row],[C]:[C4]]),"")</f>
        <v>0</v>
      </c>
      <c r="BE211" s="21" t="str">
        <f>IFERROR(AVERAGE(Tabela1[[#This Row],[PA2]:[PA 4]]),"")</f>
        <v/>
      </c>
      <c r="BF211" s="21" t="str">
        <f>IFERROR(AVERAGE(Tabela1[[#This Row],[PL]:[PL4]]),"")</f>
        <v/>
      </c>
      <c r="BG211" s="35" t="str">
        <f>IFERROR(VLOOKUP(Tabela1[[#This Row],[MÊS]]&amp;Tabela1[[#This Row],[MATRICULA]],#REF!,2,0),"")</f>
        <v/>
      </c>
      <c r="BH211" s="35" t="str">
        <f>IFERROR(VLOOKUP(Tabela1[[#This Row],[MÊS]]&amp;Tabela1[[#This Row],[MATRICULA]],#REF!,2,0),"")</f>
        <v/>
      </c>
      <c r="BI211" s="35" t="str">
        <f>IFERROR(VLOOKUP(Tabela1[[#This Row],[MÊS]]&amp;Tabela1[[#This Row],[MATRICULA]],#REF!,2,0),"")</f>
        <v/>
      </c>
      <c r="BJ211" s="35" t="str">
        <f>IFERROR(VLOOKUP(Tabela1[[#This Row],[MÊS]]&amp;Tabela1[[#This Row],[MATRICULA]],#REF!,2,0),"")</f>
        <v/>
      </c>
      <c r="BK211" s="35" t="str">
        <f>IFERROR(VLOOKUP(Tabela1[[#This Row],[MÊS]]&amp;Tabela1[[#This Row],[MATRICULA]],#REF!,2,0),"")</f>
        <v/>
      </c>
      <c r="BL211" s="21">
        <f>COUNTIF(Tabela1[[#This Row],[MOT2]:[RECEPTIVA]],"NÃO ENCONTRADA")</f>
        <v>0</v>
      </c>
      <c r="BM211" s="135" t="str">
        <f>IFERROR(VLOOKUP(Tabela1[[#This Row],[MÊS]]&amp;Tabela1[[#This Row],[ID]]&amp;Tabela1[[#This Row],[MATRICULA]]&amp;"Motorista"&amp;Tabela1[[#This Row],[SETOR]],BD!A:AF,13,0),"")</f>
        <v/>
      </c>
      <c r="BN211" s="135" t="str">
        <f>IFERROR(VLOOKUP(Tabela1[[#This Row],[MÊS]]&amp;Tabela1[[#This Row],[ID]]&amp;Tabela1[[#This Row],[MATRICULA]]&amp;"Motorista 2"&amp;Tabela1[[#This Row],[SETOR]],BD!A:AF,13,0),"")</f>
        <v/>
      </c>
      <c r="BO211" s="135" t="str">
        <f>IFERROR(VLOOKUP(Tabela1[[#This Row],[MÊS]]&amp;Tabela1[[#This Row],[ID]]&amp;Tabela1[[#This Row],[MATRICULA]]&amp;"Motorista 3"&amp;Tabela1[[#This Row],[SETOR]],BD!A:AF,13,0),"")</f>
        <v/>
      </c>
      <c r="BP211" s="135" t="str">
        <f>IFERROR(VLOOKUP(Tabela1[[#This Row],[MÊS]]&amp;Tabela1[[#This Row],[ID]]&amp;Tabela1[[#This Row],[MATRICULA]]&amp;"Motorista 4"&amp;Tabela1[[#This Row],[SETOR]],BD!A:AF,13,0),"")</f>
        <v/>
      </c>
      <c r="BQ211" s="135" t="str">
        <f>IFERROR(AVERAGE(Tabela1[[#This Row],[DMOT]:[DMOT4]]),"")</f>
        <v/>
      </c>
      <c r="BR211" s="135" t="str">
        <f>IFERROR(VLOOKUP(Tabela1[[#This Row],[MÊS]]&amp;Tabela1[[#This Row],[ID]]&amp;Tabela1[[#This Row],[MATRICULA]]&amp;"Ponto de Apoio"&amp;Tabela1[[#This Row],[SETOR]],BD!A:AF,13,0),"")</f>
        <v/>
      </c>
      <c r="BS211" s="135" t="str">
        <f>IFERROR(VLOOKUP(Tabela1[[#This Row],[MÊS]]&amp;Tabela1[[#This Row],[ID]]&amp;Tabela1[[#This Row],[MATRICULA]]&amp;"Ponto de Apoio 2"&amp;Tabela1[[#This Row],[SETOR]],BD!A:AF,13,0),"")</f>
        <v/>
      </c>
      <c r="BT211" s="135" t="str">
        <f>IFERROR(VLOOKUP(Tabela1[[#This Row],[MÊS]]&amp;Tabela1[[#This Row],[ID]]&amp;Tabela1[[#This Row],[MATRICULA]]&amp;"Ponto de Apoio 3"&amp;Tabela1[[#This Row],[SETOR]],BD!A:AF,13,0),"")</f>
        <v/>
      </c>
      <c r="BU211" s="135" t="str">
        <f>IFERROR(VLOOKUP(Tabela1[[#This Row],[MÊS]]&amp;Tabela1[[#This Row],[ID]]&amp;Tabela1[[#This Row],[MATRICULA]]&amp;"Ponto de Apoio 4"&amp;Tabela1[[#This Row],[SETOR]],BD!A:AF,13,0),"")</f>
        <v/>
      </c>
      <c r="BV211" s="135" t="str">
        <f>IFERROR(AVERAGE(Tabela1[[#This Row],[DPA]:[DPA 4]]),"")</f>
        <v/>
      </c>
      <c r="BW211" s="135" t="str">
        <f>IFERROR(VLOOKUP(Tabela1[[#This Row],[MÊS]]&amp;Tabela1[[#This Row],[ID]]&amp;Tabela1[[#This Row],[MATRICULA]]&amp;"Cliente"&amp;Tabela1[[#This Row],[SETOR]],BD!A:AF,13,0),"")</f>
        <v/>
      </c>
      <c r="BX211" s="135" t="str">
        <f>IFERROR(VLOOKUP(Tabela1[[#This Row],[MÊS]]&amp;Tabela1[[#This Row],[ID]]&amp;Tabela1[[#This Row],[MATRICULA]]&amp;"cliente 2"&amp;Tabela1[[#This Row],[SETOR]],BD!A:AF,13,0),"")</f>
        <v/>
      </c>
      <c r="BY211" s="135" t="str">
        <f>IFERROR(VLOOKUP(Tabela1[[#This Row],[MÊS]]&amp;Tabela1[[#This Row],[ID]]&amp;Tabela1[[#This Row],[MATRICULA]]&amp;"cliente 3"&amp;Tabela1[[#This Row],[SETOR]],BD!A:AF,13,0),"")</f>
        <v/>
      </c>
      <c r="BZ211" s="135" t="str">
        <f>IFERROR(VLOOKUP(Tabela1[[#This Row],[MÊS]]&amp;Tabela1[[#This Row],[ID]]&amp;Tabela1[[#This Row],[MATRICULA]]&amp;"cliente 4"&amp;Tabela1[[#This Row],[SETOR]],BD!A:AF,13,0),"")</f>
        <v/>
      </c>
      <c r="CA211" s="135" t="str">
        <f>IFERROR(AVERAGE(Tabela1[[#This Row],[DCLI]:[DCLI 4]]),"")</f>
        <v/>
      </c>
      <c r="CB211" s="135" t="str">
        <f>IFERROR(VLOOKUP(Tabela1[[#This Row],[MÊS]]&amp;Tabela1[[#This Row],[ID]]&amp;Tabela1[[#This Row],[MATRICULA]]&amp;"Policia"&amp;Tabela1[[#This Row],[SETOR]],BD!A:AF,13,0),"")</f>
        <v/>
      </c>
      <c r="CC211" s="135" t="str">
        <f>IFERROR(VLOOKUP(Tabela1[[#This Row],[MÊS]]&amp;Tabela1[[#This Row],[ID]]&amp;Tabela1[[#This Row],[MATRICULA]]&amp;"Policia 2"&amp;Tabela1[[#This Row],[SETOR]],BD!A:AF,13,0),"")</f>
        <v/>
      </c>
      <c r="CD211" s="135"/>
      <c r="CE211" s="135"/>
      <c r="CF211" s="135" t="str">
        <f>IFERROR((AVERAGE(Tabela1[[#This Row],[DPOL1]:[DPOL4]])),"")</f>
        <v/>
      </c>
      <c r="CG211" s="21" t="str">
        <f>IFERROR(VLOOKUP(Tabela1[[#This Row],[ID]]&amp;Tabela1[[#This Row],[MÊS]]&amp;Tabela1[[#This Row],[MATRICULA]],#REF!,2,0),"")</f>
        <v/>
      </c>
      <c r="CH211" s="21" t="str">
        <f>IFERROR(VLOOKUP(Tabela1[[#This Row],[ID]]&amp;Tabela1[[#This Row],[MÊS]]&amp;Tabela1[[#This Row],[MATRICULA]],#REF!,2,0),"")</f>
        <v/>
      </c>
      <c r="CI211" s="21" t="str">
        <f>IFERROR(VLOOKUP(Tabela1[[#This Row],[MÊS]]&amp;Tabela1[[#This Row],[MATRICULA]],#REF!,2,0),"")</f>
        <v/>
      </c>
    </row>
    <row r="212" spans="1:87">
      <c r="A212" s="12" t="str">
        <f>Tabela1[[#This Row],[MÊS]]&amp;Tabela1[[#This Row],[MATRICULA]]&amp;Tabela1[[#This Row],[ID]]</f>
        <v>JAN112773</v>
      </c>
      <c r="B212" s="12" t="str">
        <f>Tabela1[[#This Row],[MÊS]]&amp;Tabela1[[#This Row],[ID]]&amp;Tabela1[[#This Row],[MATRICULA]]&amp;Tabela1[[#This Row],[SETOR]]</f>
        <v>JAN311277TRANSFERÊNCIA</v>
      </c>
      <c r="C212" s="130" t="e">
        <f>VLOOKUP(Tabela1[[#This Row],[MATRICULA]],'BD Campos'!A:D,5,0)</f>
        <v>#REF!</v>
      </c>
      <c r="D212" s="133" t="str">
        <f ca="1">IFERROR(SUM(TODAY()-Tabela1[[#This Row],[ADMISSÃO]]),"")</f>
        <v/>
      </c>
      <c r="E212" s="11" t="str">
        <f ca="1">IFERROR(TRUNC(Tabela1[[#This Row],[TEMPO DE CASA (DIAS)]]/30),"")</f>
        <v/>
      </c>
      <c r="F212" s="32" t="str">
        <f ca="1">IFERROR(SUM(Tabela1[[#This Row],[TEMPO DE CASA (MESES)]]/12),"")</f>
        <v/>
      </c>
      <c r="G212" s="133" t="str">
        <f ca="1">IF(Tabela1[[#This Row],[TEMPO DE CASA (DIAS)]]="","SEM DADOS",IF(Tabela1[[#This Row],[TEMPO DE CASA (DIAS)]]&gt;180,"&gt; 6 MESES","&lt; 6 MESES"))</f>
        <v>SEM DADOS</v>
      </c>
      <c r="H212" s="12" t="str">
        <f t="shared" si="19"/>
        <v>JANGabryelle Marcilio3</v>
      </c>
      <c r="I212" s="12" t="str">
        <f>IFERROR(VLOOKUP(Tabela1[[#This Row],[MATRICULA]],'BD Campos'!A:F,7,0),"")</f>
        <v/>
      </c>
      <c r="J212" s="11">
        <v>3</v>
      </c>
      <c r="K212" s="11" t="s">
        <v>669</v>
      </c>
      <c r="L212" s="136">
        <v>11277</v>
      </c>
      <c r="M212" s="12" t="str">
        <f>IFERROR(VLOOKUP(Tabela1[[#This Row],[MATRICULA]],'BD Campos'!A:B,2,0),"")</f>
        <v>DAMARIS JULIANA PEREIRA</v>
      </c>
      <c r="N212" s="20">
        <f>IFERROR(AVERAGE(Tabela1[[#This Row],[A1]:[A4]]),"")</f>
        <v>3.2937499999999997</v>
      </c>
      <c r="O212" s="20" t="str">
        <f>IFERROR(IF(Tabela1[[#This Row],[SETOR]]="RECEPTIVO","",AVERAGE(Tabela1[[#This Row],[A5]:[A6]])),"")</f>
        <v/>
      </c>
      <c r="P212" s="20" t="str">
        <f>IFERROR(IF(Tabela1[[#This Row],[STATUS]]="INATIVO","INATIVO",IF(Tabela1[[#This Row],[STATUS]]="QRT","INATIVO",IF(Tabela1[[#This Row],[OPERACIONAL]]&gt;7.99999,"BOM","RUIM"))),"")</f>
        <v>RUIM</v>
      </c>
      <c r="Q212" s="21" t="s">
        <v>667</v>
      </c>
      <c r="R212" s="12" t="s">
        <v>716</v>
      </c>
      <c r="S212" s="12" t="s">
        <v>717</v>
      </c>
      <c r="T212" s="12" t="s">
        <v>192</v>
      </c>
      <c r="U21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12" s="12">
        <f>IF(AND(Tabela1[[#This Row],[SETOR]]="UTI",Tabela1[[#This Row],[M]]&lt;&gt;""),1,IF(AND(Tabela1[[#This Row],[SETOR]]="UTI (RJ)",Tabela1[[#This Row],[M]]&lt;&gt;""),1.5,0))</f>
        <v>0</v>
      </c>
      <c r="X212" s="12">
        <f>IF(AND(Tabela1[[#This Row],[SETOR]]="UTI",Tabela1[[#This Row],[PA2]]&lt;&gt;""),1,IF(AND(Tabela1[[#This Row],[SETOR]]="UTI (RJ)",Tabela1[[#This Row],[PA2]]&lt;&gt;""),0,0))</f>
        <v>0</v>
      </c>
      <c r="Y212" s="12">
        <f>IF(AND(Tabela1[[#This Row],[SETOR]]="UTI",Tabela1[[#This Row],[C]]&lt;&gt;""),1,IF(AND(Tabela1[[#This Row],[SETOR]]="UTI (RJ)",Tabela1[[#This Row],[C]]&lt;&gt;""),1.5,0))</f>
        <v>0</v>
      </c>
      <c r="Z212" s="12">
        <f>IF(AND(Tabela1[[#This Row],[SETOR]]="UTI",Tabela1[[#This Row],[PL]]&lt;&gt;""),1,IF(AND(Tabela1[[#This Row],[SETOR]]="UTI (RJ)",Tabela1[[#This Row],[PL]]&lt;&gt;""),1,0))</f>
        <v>0</v>
      </c>
      <c r="AA212" s="21">
        <f>IFERROR(VLOOKUP(Tabela1[[#This Row],[MÊS]]&amp;Tabela1[[#This Row],[MATRICULA]]&amp;"1"&amp;Tabela1[[#This Row],[SETOR]]&amp;"PADRÃO",BD!B:AF,31,0),"")</f>
        <v>6.5874999999999995</v>
      </c>
      <c r="AB212" s="21">
        <f>IFERROR(VLOOKUP(Tabela1[[#This Row],[MÊS]]&amp;Tabela1[[#This Row],[MATRICULA]]&amp;"2"&amp;Tabela1[[#This Row],[SETOR]]&amp;"PADRÃO",BD!B:AF,31,0),"")</f>
        <v>0</v>
      </c>
      <c r="AC212" s="21" t="str">
        <f>IFERROR(VLOOKUP(Tabela1[[#This Row],[MÊS]]&amp;Tabela1[[#This Row],[MATRICULA]]&amp;"3"&amp;Tabela1[[#This Row],[SETOR]]&amp;"PADRÃO",BD!B:AF,31,0),"")</f>
        <v/>
      </c>
      <c r="AD212" s="21" t="str">
        <f>IFERROR(VLOOKUP(Tabela1[[#This Row],[MÊS]]&amp;Tabela1[[#This Row],[MATRICULA]]&amp;"4"&amp;Tabela1[[#This Row],[SETOR]]&amp;"PADRÃO",BD!B:AF,25,0),"")</f>
        <v/>
      </c>
      <c r="AE212" s="21" t="str">
        <f>IFERROR(VLOOKUP(Tabela1[[#This Row],[MÊS]]&amp;Tabela1[[#This Row],[MATRICULA]]&amp;"5"&amp;Tabela1[[#This Row],[SETOR]]&amp;"PADRÃO",BD!B:AF,31,0),"")</f>
        <v/>
      </c>
      <c r="AF212" s="21" t="str">
        <f>IFERROR(VLOOKUP(Tabela1[[#This Row],[MÊS]]&amp;Tabela1[[#This Row],[MATRICULA]]&amp;"6"&amp;Tabela1[[#This Row],[SETOR]]&amp;"PADRÃO",BD!B:AF,31,0),"")</f>
        <v/>
      </c>
      <c r="AG212" s="21" t="str">
        <f>IFERROR(VLOOKUP(Tabela1[[#This Row],[MÊS]]&amp;Tabela1[[#This Row],[MATRICULA]]&amp;"7"&amp;Tabela1[[#This Row],[SETOR]]&amp;"PADRÃO",BD!B:AF,31,0),"")</f>
        <v/>
      </c>
      <c r="AH212" s="21" t="str">
        <f>IFERROR(VLOOKUP(Tabela1[[#This Row],[MÊS]]&amp;Tabela1[[#This Row],[ID]]&amp;Tabela1[[#This Row],[MATRICULA]]&amp;"Receptiva"&amp;Tabela1[[#This Row],[SETOR]],BD!A:AF,31,0),"")</f>
        <v/>
      </c>
      <c r="AI212" s="21" t="str">
        <f>IFERROR(VLOOKUP(Tabela1[[#This Row],[MÊS]]&amp;Tabela1[[#This Row],[ID]]&amp;Tabela1[[#This Row],[MATRICULA]]&amp;"Receptiva 2"&amp;Tabela1[[#This Row],[SETOR]],BD!A:AF,31,0),"")</f>
        <v/>
      </c>
      <c r="AJ212" s="21" t="str">
        <f>IFERROR(VLOOKUP(Tabela1[[#This Row],[MÊS]]&amp;Tabela1[[#This Row],[ID]]&amp;Tabela1[[#This Row],[MATRICULA]]&amp;"Receptiva 3"&amp;Tabela1[[#This Row],[SETOR]],BD!A:AF,31,0),"")</f>
        <v/>
      </c>
      <c r="AK212" s="21" t="str">
        <f>IFERROR(VLOOKUP(Tabela1[[#This Row],[MÊS]]&amp;Tabela1[[#This Row],[ID]]&amp;Tabela1[[#This Row],[MATRICULA]]&amp;"Receptiva 4"&amp;Tabela1[[#This Row],[SETOR]],BD!A:AF,31,0),"")</f>
        <v/>
      </c>
      <c r="AL212" s="21">
        <f>IFERROR(VLOOKUP(Tabela1[[#This Row],[MÊS]]&amp;Tabela1[[#This Row],[MATRICULA]]&amp;"Motorista"&amp;Tabela1[[#This Row],[SETOR]],BD!A:AF,31,0),"")</f>
        <v>0</v>
      </c>
      <c r="AM212" s="21" t="str">
        <f>IFERROR(VLOOKUP(Tabela1[[#This Row],[MÊS]]&amp;Tabela1[[#This Row],[ID]]&amp;Tabela1[[#This Row],[MATRICULA]]&amp;"Motorista 2"&amp;Tabela1[[#This Row],[SETOR]],BD!A:AF,26,0),"")</f>
        <v/>
      </c>
      <c r="AN212" s="21" t="str">
        <f>IFERROR(VLOOKUP(Tabela1[[#This Row],[MÊS]]&amp;Tabela1[[#This Row],[ID]]&amp;Tabela1[[#This Row],[MATRICULA]]&amp;"Motorista 3"&amp;Tabela1[[#This Row],[SETOR]],BD!A:AF,26,0),"")</f>
        <v/>
      </c>
      <c r="AO212" s="21" t="str">
        <f>IFERROR(VLOOKUP(Tabela1[[#This Row],[MÊS]]&amp;Tabela1[[#This Row],[ID]]&amp;Tabela1[[#This Row],[MATRICULA]]&amp;"Motorista 4"&amp;Tabela1[[#This Row],[SETOR]],BD!A:AF,26,0),"")</f>
        <v/>
      </c>
      <c r="AP212" s="21" t="str">
        <f>IFERROR(VLOOKUP(Tabela1[[#This Row],[MÊS]]&amp;Tabela1[[#This Row],[MATRICULA]]&amp;"Ponto de Apoio"&amp;Tabela1[[#This Row],[SETOR]],BD!A:AF,31,0),"")</f>
        <v/>
      </c>
      <c r="AQ212" s="21" t="str">
        <f>IFERROR(VLOOKUP(Tabela1[[#This Row],[MÊS]]&amp;Tabela1[[#This Row],[ID]]&amp;Tabela1[[#This Row],[MATRICULA]]&amp;"Ponto de Apoio 2"&amp;Tabela1[[#This Row],[SETOR]],BD!A:AF,26,0),"")</f>
        <v/>
      </c>
      <c r="AR212" s="36" t="str">
        <f>IFERROR(VLOOKUP(Tabela1[[#This Row],[MÊS]]&amp;Tabela1[[#This Row],[ID]]&amp;Tabela1[[#This Row],[MATRICULA]]&amp;"Ponto de Apoio 3"&amp;Tabela1[[#This Row],[SETOR]],BD!A:AF,26,0),"")</f>
        <v/>
      </c>
      <c r="AS212" s="36" t="str">
        <f>IFERROR(VLOOKUP(Tabela1[[#This Row],[MÊS]]&amp;Tabela1[[#This Row],[ID]]&amp;Tabela1[[#This Row],[MATRICULA]]&amp;"Ponto de Apoio 4"&amp;Tabela1[[#This Row],[SETOR]],BD!A:AF,26,0),"")</f>
        <v/>
      </c>
      <c r="AT212" s="21" t="str">
        <f>IFERROR(VLOOKUP(Tabela1[[#This Row],[MÊS]]&amp;Tabela1[[#This Row],[MATRICULA]]&amp;"Cliente"&amp;Tabela1[[#This Row],[SETOR]],BD!A:AF,31,0),"")</f>
        <v/>
      </c>
      <c r="AU212" s="21" t="str">
        <f>IFERROR(VLOOKUP(Tabela1[[#This Row],[MÊS]]&amp;Tabela1[[#This Row],[ID]]&amp;Tabela1[[#This Row],[MATRICULA]]&amp;"Cliente 2"&amp;Tabela1[[#This Row],[SETOR]],BD!A:AF,26,0),"")</f>
        <v/>
      </c>
      <c r="AX212" s="21" t="str">
        <f>IFERROR(VLOOKUP(Tabela1[[#This Row],[MÊS]]&amp;Tabela1[[#This Row],[MATRICULA]]&amp;"Policia"&amp;Tabela1[[#This Row],[SETOR]],BD!A:AF,31,0),"")</f>
        <v/>
      </c>
      <c r="AY212" s="21" t="str">
        <f>IFERROR(VLOOKUP(Tabela1[[#This Row],[MÊS]]&amp;Tabela1[[#This Row],[ID]]&amp;Tabela1[[#This Row],[MATRICULA]]&amp;"Policia 2"&amp;Tabela1[[#This Row],[SETOR]],BD!A:AF,26,0),"")</f>
        <v/>
      </c>
      <c r="AZ212" s="36" t="str">
        <f>IFERROR(VLOOKUP(Tabela1[[#This Row],[MÊS]]&amp;Tabela1[[#This Row],[ID]]&amp;Tabela1[[#This Row],[MATRICULA]]&amp;"Policia 3"&amp;Tabela1[[#This Row],[SETOR]],BD!A:AF,26,0),"")</f>
        <v/>
      </c>
      <c r="BA212" s="36" t="str">
        <f>IFERROR(VLOOKUP(Tabela1[[#This Row],[MÊS]]&amp;Tabela1[[#This Row],[ID]]&amp;Tabela1[[#This Row],[MATRICULA]]&amp;"Policia 4"&amp;Tabela1[[#This Row],[SETOR]],BD!A:AF,26,0),"")</f>
        <v/>
      </c>
      <c r="BB21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2" s="21">
        <f>IFERROR(AVERAGE(Tabela1[[#This Row],[M]:[M4]]),"")</f>
        <v>0</v>
      </c>
      <c r="BD212" s="21" t="str">
        <f>IFERROR(AVERAGE(Tabela1[[#This Row],[C]:[C4]]),"")</f>
        <v/>
      </c>
      <c r="BE212" s="21" t="str">
        <f>IFERROR(AVERAGE(Tabela1[[#This Row],[PA2]:[PA 4]]),"")</f>
        <v/>
      </c>
      <c r="BF212" s="21" t="str">
        <f>IFERROR(AVERAGE(Tabela1[[#This Row],[PL]:[PL4]]),"")</f>
        <v/>
      </c>
      <c r="BG212" s="35" t="str">
        <f>IFERROR(VLOOKUP(Tabela1[[#This Row],[MÊS]]&amp;Tabela1[[#This Row],[MATRICULA]],#REF!,2,0),"")</f>
        <v/>
      </c>
      <c r="BH212" s="35" t="str">
        <f>IFERROR(VLOOKUP(Tabela1[[#This Row],[MÊS]]&amp;Tabela1[[#This Row],[MATRICULA]],#REF!,2,0),"")</f>
        <v/>
      </c>
      <c r="BI212" s="35" t="str">
        <f>IFERROR(VLOOKUP(Tabela1[[#This Row],[MÊS]]&amp;Tabela1[[#This Row],[MATRICULA]],#REF!,2,0),"")</f>
        <v/>
      </c>
      <c r="BJ212" s="35" t="str">
        <f>IFERROR(VLOOKUP(Tabela1[[#This Row],[MÊS]]&amp;Tabela1[[#This Row],[MATRICULA]],#REF!,2,0),"")</f>
        <v/>
      </c>
      <c r="BK212" s="35" t="str">
        <f>IFERROR(VLOOKUP(Tabela1[[#This Row],[MÊS]]&amp;Tabela1[[#This Row],[MATRICULA]],#REF!,2,0),"")</f>
        <v/>
      </c>
      <c r="BL212" s="21">
        <f>COUNTIF(Tabela1[[#This Row],[MOT2]:[RECEPTIVA]],"NÃO ENCONTRADA")</f>
        <v>0</v>
      </c>
      <c r="BM212" s="135" t="str">
        <f>IFERROR(VLOOKUP(Tabela1[[#This Row],[MÊS]]&amp;Tabela1[[#This Row],[ID]]&amp;Tabela1[[#This Row],[MATRICULA]]&amp;"Motorista"&amp;Tabela1[[#This Row],[SETOR]],BD!A:AF,13,0),"")</f>
        <v/>
      </c>
      <c r="BN212" s="135" t="str">
        <f>IFERROR(VLOOKUP(Tabela1[[#This Row],[MÊS]]&amp;Tabela1[[#This Row],[ID]]&amp;Tabela1[[#This Row],[MATRICULA]]&amp;"Motorista 2"&amp;Tabela1[[#This Row],[SETOR]],BD!A:AF,13,0),"")</f>
        <v/>
      </c>
      <c r="BO212" s="135" t="str">
        <f>IFERROR(VLOOKUP(Tabela1[[#This Row],[MÊS]]&amp;Tabela1[[#This Row],[ID]]&amp;Tabela1[[#This Row],[MATRICULA]]&amp;"Motorista 3"&amp;Tabela1[[#This Row],[SETOR]],BD!A:AF,13,0),"")</f>
        <v/>
      </c>
      <c r="BP212" s="135" t="str">
        <f>IFERROR(VLOOKUP(Tabela1[[#This Row],[MÊS]]&amp;Tabela1[[#This Row],[ID]]&amp;Tabela1[[#This Row],[MATRICULA]]&amp;"Motorista 4"&amp;Tabela1[[#This Row],[SETOR]],BD!A:AF,13,0),"")</f>
        <v/>
      </c>
      <c r="BQ212" s="135" t="str">
        <f>IFERROR(AVERAGE(Tabela1[[#This Row],[DMOT]:[DMOT4]]),"")</f>
        <v/>
      </c>
      <c r="BR212" s="135" t="str">
        <f>IFERROR(VLOOKUP(Tabela1[[#This Row],[MÊS]]&amp;Tabela1[[#This Row],[ID]]&amp;Tabela1[[#This Row],[MATRICULA]]&amp;"Ponto de Apoio"&amp;Tabela1[[#This Row],[SETOR]],BD!A:AF,13,0),"")</f>
        <v/>
      </c>
      <c r="BS212" s="135" t="str">
        <f>IFERROR(VLOOKUP(Tabela1[[#This Row],[MÊS]]&amp;Tabela1[[#This Row],[ID]]&amp;Tabela1[[#This Row],[MATRICULA]]&amp;"Ponto de Apoio 2"&amp;Tabela1[[#This Row],[SETOR]],BD!A:AF,13,0),"")</f>
        <v/>
      </c>
      <c r="BT212" s="135" t="str">
        <f>IFERROR(VLOOKUP(Tabela1[[#This Row],[MÊS]]&amp;Tabela1[[#This Row],[ID]]&amp;Tabela1[[#This Row],[MATRICULA]]&amp;"Ponto de Apoio 3"&amp;Tabela1[[#This Row],[SETOR]],BD!A:AF,13,0),"")</f>
        <v/>
      </c>
      <c r="BU212" s="135" t="str">
        <f>IFERROR(VLOOKUP(Tabela1[[#This Row],[MÊS]]&amp;Tabela1[[#This Row],[ID]]&amp;Tabela1[[#This Row],[MATRICULA]]&amp;"Ponto de Apoio 4"&amp;Tabela1[[#This Row],[SETOR]],BD!A:AF,13,0),"")</f>
        <v/>
      </c>
      <c r="BV212" s="135" t="str">
        <f>IFERROR(AVERAGE(Tabela1[[#This Row],[DPA]:[DPA 4]]),"")</f>
        <v/>
      </c>
      <c r="BW212" s="135" t="str">
        <f>IFERROR(VLOOKUP(Tabela1[[#This Row],[MÊS]]&amp;Tabela1[[#This Row],[ID]]&amp;Tabela1[[#This Row],[MATRICULA]]&amp;"Cliente"&amp;Tabela1[[#This Row],[SETOR]],BD!A:AF,13,0),"")</f>
        <v/>
      </c>
      <c r="BX212" s="135" t="str">
        <f>IFERROR(VLOOKUP(Tabela1[[#This Row],[MÊS]]&amp;Tabela1[[#This Row],[ID]]&amp;Tabela1[[#This Row],[MATRICULA]]&amp;"cliente 2"&amp;Tabela1[[#This Row],[SETOR]],BD!A:AF,13,0),"")</f>
        <v/>
      </c>
      <c r="BY212" s="135" t="str">
        <f>IFERROR(VLOOKUP(Tabela1[[#This Row],[MÊS]]&amp;Tabela1[[#This Row],[ID]]&amp;Tabela1[[#This Row],[MATRICULA]]&amp;"cliente 3"&amp;Tabela1[[#This Row],[SETOR]],BD!A:AF,13,0),"")</f>
        <v/>
      </c>
      <c r="BZ212" s="135" t="str">
        <f>IFERROR(VLOOKUP(Tabela1[[#This Row],[MÊS]]&amp;Tabela1[[#This Row],[ID]]&amp;Tabela1[[#This Row],[MATRICULA]]&amp;"cliente 4"&amp;Tabela1[[#This Row],[SETOR]],BD!A:AF,13,0),"")</f>
        <v/>
      </c>
      <c r="CA212" s="135" t="str">
        <f>IFERROR(AVERAGE(Tabela1[[#This Row],[DCLI]:[DCLI 4]]),"")</f>
        <v/>
      </c>
      <c r="CB212" s="135" t="str">
        <f>IFERROR(VLOOKUP(Tabela1[[#This Row],[MÊS]]&amp;Tabela1[[#This Row],[ID]]&amp;Tabela1[[#This Row],[MATRICULA]]&amp;"Policia"&amp;Tabela1[[#This Row],[SETOR]],BD!A:AF,13,0),"")</f>
        <v/>
      </c>
      <c r="CC212" s="135" t="str">
        <f>IFERROR(VLOOKUP(Tabela1[[#This Row],[MÊS]]&amp;Tabela1[[#This Row],[ID]]&amp;Tabela1[[#This Row],[MATRICULA]]&amp;"Policia 2"&amp;Tabela1[[#This Row],[SETOR]],BD!A:AF,13,0),"")</f>
        <v/>
      </c>
      <c r="CD212" s="135"/>
      <c r="CE212" s="135"/>
      <c r="CF212" s="135" t="str">
        <f>IFERROR((AVERAGE(Tabela1[[#This Row],[DPOL1]:[DPOL4]])),"")</f>
        <v/>
      </c>
      <c r="CG212" s="21" t="str">
        <f>IFERROR(VLOOKUP(Tabela1[[#This Row],[ID]]&amp;Tabela1[[#This Row],[MÊS]]&amp;Tabela1[[#This Row],[MATRICULA]],#REF!,2,0),"")</f>
        <v/>
      </c>
      <c r="CH212" s="21" t="str">
        <f>IFERROR(VLOOKUP(Tabela1[[#This Row],[ID]]&amp;Tabela1[[#This Row],[MÊS]]&amp;Tabela1[[#This Row],[MATRICULA]],#REF!,2,0),"")</f>
        <v/>
      </c>
      <c r="CI212" s="21" t="str">
        <f>IFERROR(VLOOKUP(Tabela1[[#This Row],[MÊS]]&amp;Tabela1[[#This Row],[MATRICULA]],#REF!,2,0),"")</f>
        <v/>
      </c>
    </row>
    <row r="213" spans="1:87">
      <c r="A213" s="12" t="str">
        <f>Tabela1[[#This Row],[MÊS]]&amp;Tabela1[[#This Row],[MATRICULA]]&amp;Tabela1[[#This Row],[ID]]</f>
        <v>JAN112434</v>
      </c>
      <c r="B213" s="12" t="str">
        <f>Tabela1[[#This Row],[MÊS]]&amp;Tabela1[[#This Row],[ID]]&amp;Tabela1[[#This Row],[MATRICULA]]&amp;Tabela1[[#This Row],[SETOR]]</f>
        <v>JAN411243TRANSFERÊNCIA</v>
      </c>
      <c r="C213" s="130" t="e">
        <f>VLOOKUP(Tabela1[[#This Row],[MATRICULA]],'BD Campos'!A:D,5,0)</f>
        <v>#REF!</v>
      </c>
      <c r="D213" s="133" t="str">
        <f ca="1">IFERROR(SUM(TODAY()-Tabela1[[#This Row],[ADMISSÃO]]),"")</f>
        <v/>
      </c>
      <c r="E213" s="11" t="str">
        <f ca="1">IFERROR(TRUNC(Tabela1[[#This Row],[TEMPO DE CASA (DIAS)]]/30),"")</f>
        <v/>
      </c>
      <c r="F213" s="32" t="str">
        <f ca="1">IFERROR(SUM(Tabela1[[#This Row],[TEMPO DE CASA (MESES)]]/12),"")</f>
        <v/>
      </c>
      <c r="G213" s="133" t="str">
        <f ca="1">IF(Tabela1[[#This Row],[TEMPO DE CASA (DIAS)]]="","SEM DADOS",IF(Tabela1[[#This Row],[TEMPO DE CASA (DIAS)]]&gt;180,"&gt; 6 MESES","&lt; 6 MESES"))</f>
        <v>SEM DADOS</v>
      </c>
      <c r="H213" s="12" t="str">
        <f t="shared" si="19"/>
        <v>JANGabryelle Marcilio4</v>
      </c>
      <c r="I213" s="12" t="str">
        <f>IFERROR(VLOOKUP(Tabela1[[#This Row],[MATRICULA]],'BD Campos'!A:F,7,0),"")</f>
        <v/>
      </c>
      <c r="J213" s="11">
        <v>4</v>
      </c>
      <c r="K213" s="11" t="s">
        <v>669</v>
      </c>
      <c r="L213" s="136">
        <v>11243</v>
      </c>
      <c r="M213" s="12" t="str">
        <f>IFERROR(VLOOKUP(Tabela1[[#This Row],[MATRICULA]],'BD Campos'!A:B,2,0),"")</f>
        <v>DEIRILENE DEANE LISBOA PEREIRA</v>
      </c>
      <c r="N213" s="20" t="str">
        <f>IFERROR(AVERAGE(Tabela1[[#This Row],[A1]:[A4]]),"")</f>
        <v/>
      </c>
      <c r="O213" s="20" t="str">
        <f>IFERROR(IF(Tabela1[[#This Row],[SETOR]]="RECEPTIVO","",AVERAGE(Tabela1[[#This Row],[A5]:[A6]])),"")</f>
        <v/>
      </c>
      <c r="P213" s="20" t="str">
        <f>IFERROR(IF(Tabela1[[#This Row],[STATUS]]="INATIVO","INATIVO",IF(Tabela1[[#This Row],[STATUS]]="QRT","INATIVO",IF(Tabela1[[#This Row],[OPERACIONAL]]&gt;7.99999,"BOM","RUIM"))),"")</f>
        <v>INATIVO</v>
      </c>
      <c r="Q213" s="21" t="s">
        <v>670</v>
      </c>
      <c r="R213" s="12" t="s">
        <v>716</v>
      </c>
      <c r="S213" s="12" t="s">
        <v>717</v>
      </c>
      <c r="T213" s="12" t="s">
        <v>192</v>
      </c>
      <c r="U21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3" s="134" t="str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Adeus</v>
      </c>
      <c r="W213" s="12">
        <f>IF(AND(Tabela1[[#This Row],[SETOR]]="UTI",Tabela1[[#This Row],[M]]&lt;&gt;""),1,IF(AND(Tabela1[[#This Row],[SETOR]]="UTI (RJ)",Tabela1[[#This Row],[M]]&lt;&gt;""),1.5,0))</f>
        <v>0</v>
      </c>
      <c r="X213" s="12">
        <f>IF(AND(Tabela1[[#This Row],[SETOR]]="UTI",Tabela1[[#This Row],[PA2]]&lt;&gt;""),1,IF(AND(Tabela1[[#This Row],[SETOR]]="UTI (RJ)",Tabela1[[#This Row],[PA2]]&lt;&gt;""),0,0))</f>
        <v>0</v>
      </c>
      <c r="Y213" s="12">
        <f>IF(AND(Tabela1[[#This Row],[SETOR]]="UTI",Tabela1[[#This Row],[C]]&lt;&gt;""),1,IF(AND(Tabela1[[#This Row],[SETOR]]="UTI (RJ)",Tabela1[[#This Row],[C]]&lt;&gt;""),1.5,0))</f>
        <v>0</v>
      </c>
      <c r="Z213" s="12">
        <f>IF(AND(Tabela1[[#This Row],[SETOR]]="UTI",Tabela1[[#This Row],[PL]]&lt;&gt;""),1,IF(AND(Tabela1[[#This Row],[SETOR]]="UTI (RJ)",Tabela1[[#This Row],[PL]]&lt;&gt;""),1,0))</f>
        <v>0</v>
      </c>
      <c r="AA213" s="21" t="str">
        <f>IFERROR(VLOOKUP(Tabela1[[#This Row],[MÊS]]&amp;Tabela1[[#This Row],[MATRICULA]]&amp;"1"&amp;Tabela1[[#This Row],[SETOR]]&amp;"PADRÃO",BD!B:AF,31,0),"")</f>
        <v/>
      </c>
      <c r="AB213" s="21" t="str">
        <f>IFERROR(VLOOKUP(Tabela1[[#This Row],[MÊS]]&amp;Tabela1[[#This Row],[MATRICULA]]&amp;"2"&amp;Tabela1[[#This Row],[SETOR]]&amp;"PADRÃO",BD!B:AF,31,0),"")</f>
        <v/>
      </c>
      <c r="AC213" s="21" t="str">
        <f>IFERROR(VLOOKUP(Tabela1[[#This Row],[MÊS]]&amp;Tabela1[[#This Row],[MATRICULA]]&amp;"3"&amp;Tabela1[[#This Row],[SETOR]]&amp;"PADRÃO",BD!B:AF,31,0),"")</f>
        <v/>
      </c>
      <c r="AD213" s="21" t="str">
        <f>IFERROR(VLOOKUP(Tabela1[[#This Row],[MÊS]]&amp;Tabela1[[#This Row],[MATRICULA]]&amp;"4"&amp;Tabela1[[#This Row],[SETOR]]&amp;"PADRÃO",BD!B:AF,25,0),"")</f>
        <v/>
      </c>
      <c r="AE213" s="21" t="str">
        <f>IFERROR(VLOOKUP(Tabela1[[#This Row],[MÊS]]&amp;Tabela1[[#This Row],[MATRICULA]]&amp;"5"&amp;Tabela1[[#This Row],[SETOR]]&amp;"PADRÃO",BD!B:AF,31,0),"")</f>
        <v/>
      </c>
      <c r="AF213" s="21" t="str">
        <f>IFERROR(VLOOKUP(Tabela1[[#This Row],[MÊS]]&amp;Tabela1[[#This Row],[MATRICULA]]&amp;"6"&amp;Tabela1[[#This Row],[SETOR]]&amp;"PADRÃO",BD!B:AF,31,0),"")</f>
        <v/>
      </c>
      <c r="AG213" s="21" t="str">
        <f>IFERROR(VLOOKUP(Tabela1[[#This Row],[MÊS]]&amp;Tabela1[[#This Row],[MATRICULA]]&amp;"7"&amp;Tabela1[[#This Row],[SETOR]]&amp;"PADRÃO",BD!B:AF,31,0),"")</f>
        <v/>
      </c>
      <c r="AH213" s="21" t="str">
        <f>IFERROR(VLOOKUP(Tabela1[[#This Row],[MÊS]]&amp;Tabela1[[#This Row],[ID]]&amp;Tabela1[[#This Row],[MATRICULA]]&amp;"Receptiva"&amp;Tabela1[[#This Row],[SETOR]],BD!A:AF,31,0),"")</f>
        <v/>
      </c>
      <c r="AI213" s="21" t="str">
        <f>IFERROR(VLOOKUP(Tabela1[[#This Row],[MÊS]]&amp;Tabela1[[#This Row],[ID]]&amp;Tabela1[[#This Row],[MATRICULA]]&amp;"Receptiva 2"&amp;Tabela1[[#This Row],[SETOR]],BD!A:AF,31,0),"")</f>
        <v/>
      </c>
      <c r="AJ213" s="21" t="str">
        <f>IFERROR(VLOOKUP(Tabela1[[#This Row],[MÊS]]&amp;Tabela1[[#This Row],[ID]]&amp;Tabela1[[#This Row],[MATRICULA]]&amp;"Receptiva 3"&amp;Tabela1[[#This Row],[SETOR]],BD!A:AF,31,0),"")</f>
        <v/>
      </c>
      <c r="AK213" s="21" t="str">
        <f>IFERROR(VLOOKUP(Tabela1[[#This Row],[MÊS]]&amp;Tabela1[[#This Row],[ID]]&amp;Tabela1[[#This Row],[MATRICULA]]&amp;"Receptiva 4"&amp;Tabela1[[#This Row],[SETOR]],BD!A:AF,31,0),"")</f>
        <v/>
      </c>
      <c r="AL213" s="21" t="str">
        <f>IFERROR(VLOOKUP(Tabela1[[#This Row],[MÊS]]&amp;Tabela1[[#This Row],[MATRICULA]]&amp;"Motorista"&amp;Tabela1[[#This Row],[SETOR]],BD!A:AF,31,0),"")</f>
        <v/>
      </c>
      <c r="AM213" s="21" t="str">
        <f>IFERROR(VLOOKUP(Tabela1[[#This Row],[MÊS]]&amp;Tabela1[[#This Row],[ID]]&amp;Tabela1[[#This Row],[MATRICULA]]&amp;"Motorista 2"&amp;Tabela1[[#This Row],[SETOR]],BD!A:AF,26,0),"")</f>
        <v/>
      </c>
      <c r="AN213" s="21" t="str">
        <f>IFERROR(VLOOKUP(Tabela1[[#This Row],[MÊS]]&amp;Tabela1[[#This Row],[ID]]&amp;Tabela1[[#This Row],[MATRICULA]]&amp;"Motorista 3"&amp;Tabela1[[#This Row],[SETOR]],BD!A:AF,26,0),"")</f>
        <v/>
      </c>
      <c r="AO213" s="21" t="str">
        <f>IFERROR(VLOOKUP(Tabela1[[#This Row],[MÊS]]&amp;Tabela1[[#This Row],[ID]]&amp;Tabela1[[#This Row],[MATRICULA]]&amp;"Motorista 4"&amp;Tabela1[[#This Row],[SETOR]],BD!A:AF,26,0),"")</f>
        <v/>
      </c>
      <c r="AP213" s="21" t="str">
        <f>IFERROR(VLOOKUP(Tabela1[[#This Row],[MÊS]]&amp;Tabela1[[#This Row],[MATRICULA]]&amp;"Ponto de Apoio"&amp;Tabela1[[#This Row],[SETOR]],BD!A:AF,31,0),"")</f>
        <v/>
      </c>
      <c r="AQ213" s="21" t="str">
        <f>IFERROR(VLOOKUP(Tabela1[[#This Row],[MÊS]]&amp;Tabela1[[#This Row],[ID]]&amp;Tabela1[[#This Row],[MATRICULA]]&amp;"Ponto de Apoio 2"&amp;Tabela1[[#This Row],[SETOR]],BD!A:AF,26,0),"")</f>
        <v/>
      </c>
      <c r="AR213" s="36" t="str">
        <f>IFERROR(VLOOKUP(Tabela1[[#This Row],[MÊS]]&amp;Tabela1[[#This Row],[ID]]&amp;Tabela1[[#This Row],[MATRICULA]]&amp;"Ponto de Apoio 3"&amp;Tabela1[[#This Row],[SETOR]],BD!A:AF,26,0),"")</f>
        <v/>
      </c>
      <c r="AS213" s="36" t="str">
        <f>IFERROR(VLOOKUP(Tabela1[[#This Row],[MÊS]]&amp;Tabela1[[#This Row],[ID]]&amp;Tabela1[[#This Row],[MATRICULA]]&amp;"Ponto de Apoio 4"&amp;Tabela1[[#This Row],[SETOR]],BD!A:AF,26,0),"")</f>
        <v/>
      </c>
      <c r="AT213" s="21" t="str">
        <f>IFERROR(VLOOKUP(Tabela1[[#This Row],[MÊS]]&amp;Tabela1[[#This Row],[MATRICULA]]&amp;"Cliente"&amp;Tabela1[[#This Row],[SETOR]],BD!A:AF,31,0),"")</f>
        <v/>
      </c>
      <c r="AU213" s="21" t="str">
        <f>IFERROR(VLOOKUP(Tabela1[[#This Row],[MÊS]]&amp;Tabela1[[#This Row],[ID]]&amp;Tabela1[[#This Row],[MATRICULA]]&amp;"Cliente 2"&amp;Tabela1[[#This Row],[SETOR]],BD!A:AF,26,0),"")</f>
        <v/>
      </c>
      <c r="AX213" s="21" t="str">
        <f>IFERROR(VLOOKUP(Tabela1[[#This Row],[MÊS]]&amp;Tabela1[[#This Row],[MATRICULA]]&amp;"Policia"&amp;Tabela1[[#This Row],[SETOR]],BD!A:AF,31,0),"")</f>
        <v/>
      </c>
      <c r="AY213" s="21" t="str">
        <f>IFERROR(VLOOKUP(Tabela1[[#This Row],[MÊS]]&amp;Tabela1[[#This Row],[ID]]&amp;Tabela1[[#This Row],[MATRICULA]]&amp;"Policia 2"&amp;Tabela1[[#This Row],[SETOR]],BD!A:AF,26,0),"")</f>
        <v/>
      </c>
      <c r="AZ213" s="36" t="str">
        <f>IFERROR(VLOOKUP(Tabela1[[#This Row],[MÊS]]&amp;Tabela1[[#This Row],[ID]]&amp;Tabela1[[#This Row],[MATRICULA]]&amp;"Policia 3"&amp;Tabela1[[#This Row],[SETOR]],BD!A:AF,26,0),"")</f>
        <v/>
      </c>
      <c r="BA213" s="36" t="str">
        <f>IFERROR(VLOOKUP(Tabela1[[#This Row],[MÊS]]&amp;Tabela1[[#This Row],[ID]]&amp;Tabela1[[#This Row],[MATRICULA]]&amp;"Policia 4"&amp;Tabela1[[#This Row],[SETOR]],BD!A:AF,26,0),"")</f>
        <v/>
      </c>
      <c r="BB21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3" s="21" t="str">
        <f>IFERROR(AVERAGE(Tabela1[[#This Row],[M]:[M4]]),"")</f>
        <v/>
      </c>
      <c r="BD213" s="21" t="str">
        <f>IFERROR(AVERAGE(Tabela1[[#This Row],[C]:[C4]]),"")</f>
        <v/>
      </c>
      <c r="BE213" s="21" t="str">
        <f>IFERROR(AVERAGE(Tabela1[[#This Row],[PA2]:[PA 4]]),"")</f>
        <v/>
      </c>
      <c r="BF213" s="21" t="str">
        <f>IFERROR(AVERAGE(Tabela1[[#This Row],[PL]:[PL4]]),"")</f>
        <v/>
      </c>
      <c r="BG213" s="35" t="str">
        <f>IFERROR(VLOOKUP(Tabela1[[#This Row],[MÊS]]&amp;Tabela1[[#This Row],[MATRICULA]],#REF!,2,0),"")</f>
        <v/>
      </c>
      <c r="BH213" s="35" t="str">
        <f>IFERROR(VLOOKUP(Tabela1[[#This Row],[MÊS]]&amp;Tabela1[[#This Row],[MATRICULA]],#REF!,2,0),"")</f>
        <v/>
      </c>
      <c r="BI213" s="35" t="str">
        <f>IFERROR(VLOOKUP(Tabela1[[#This Row],[MÊS]]&amp;Tabela1[[#This Row],[MATRICULA]],#REF!,2,0),"")</f>
        <v/>
      </c>
      <c r="BJ213" s="35" t="str">
        <f>IFERROR(VLOOKUP(Tabela1[[#This Row],[MÊS]]&amp;Tabela1[[#This Row],[MATRICULA]],#REF!,2,0),"")</f>
        <v/>
      </c>
      <c r="BK213" s="35" t="str">
        <f>IFERROR(VLOOKUP(Tabela1[[#This Row],[MÊS]]&amp;Tabela1[[#This Row],[MATRICULA]],#REF!,2,0),"")</f>
        <v/>
      </c>
      <c r="BL213" s="21">
        <f>COUNTIF(Tabela1[[#This Row],[MOT2]:[RECEPTIVA]],"NÃO ENCONTRADA")</f>
        <v>0</v>
      </c>
      <c r="BM213" s="135" t="str">
        <f>IFERROR(VLOOKUP(Tabela1[[#This Row],[MÊS]]&amp;Tabela1[[#This Row],[ID]]&amp;Tabela1[[#This Row],[MATRICULA]]&amp;"Motorista"&amp;Tabela1[[#This Row],[SETOR]],BD!A:AF,13,0),"")</f>
        <v/>
      </c>
      <c r="BN213" s="135" t="str">
        <f>IFERROR(VLOOKUP(Tabela1[[#This Row],[MÊS]]&amp;Tabela1[[#This Row],[ID]]&amp;Tabela1[[#This Row],[MATRICULA]]&amp;"Motorista 2"&amp;Tabela1[[#This Row],[SETOR]],BD!A:AF,13,0),"")</f>
        <v/>
      </c>
      <c r="BO213" s="135" t="str">
        <f>IFERROR(VLOOKUP(Tabela1[[#This Row],[MÊS]]&amp;Tabela1[[#This Row],[ID]]&amp;Tabela1[[#This Row],[MATRICULA]]&amp;"Motorista 3"&amp;Tabela1[[#This Row],[SETOR]],BD!A:AF,13,0),"")</f>
        <v/>
      </c>
      <c r="BP213" s="135" t="str">
        <f>IFERROR(VLOOKUP(Tabela1[[#This Row],[MÊS]]&amp;Tabela1[[#This Row],[ID]]&amp;Tabela1[[#This Row],[MATRICULA]]&amp;"Motorista 4"&amp;Tabela1[[#This Row],[SETOR]],BD!A:AF,13,0),"")</f>
        <v/>
      </c>
      <c r="BQ213" s="135" t="str">
        <f>IFERROR(AVERAGE(Tabela1[[#This Row],[DMOT]:[DMOT4]]),"")</f>
        <v/>
      </c>
      <c r="BR213" s="135" t="str">
        <f>IFERROR(VLOOKUP(Tabela1[[#This Row],[MÊS]]&amp;Tabela1[[#This Row],[ID]]&amp;Tabela1[[#This Row],[MATRICULA]]&amp;"Ponto de Apoio"&amp;Tabela1[[#This Row],[SETOR]],BD!A:AF,13,0),"")</f>
        <v/>
      </c>
      <c r="BS213" s="135" t="str">
        <f>IFERROR(VLOOKUP(Tabela1[[#This Row],[MÊS]]&amp;Tabela1[[#This Row],[ID]]&amp;Tabela1[[#This Row],[MATRICULA]]&amp;"Ponto de Apoio 2"&amp;Tabela1[[#This Row],[SETOR]],BD!A:AF,13,0),"")</f>
        <v/>
      </c>
      <c r="BT213" s="135" t="str">
        <f>IFERROR(VLOOKUP(Tabela1[[#This Row],[MÊS]]&amp;Tabela1[[#This Row],[ID]]&amp;Tabela1[[#This Row],[MATRICULA]]&amp;"Ponto de Apoio 3"&amp;Tabela1[[#This Row],[SETOR]],BD!A:AF,13,0),"")</f>
        <v/>
      </c>
      <c r="BU213" s="135" t="str">
        <f>IFERROR(VLOOKUP(Tabela1[[#This Row],[MÊS]]&amp;Tabela1[[#This Row],[ID]]&amp;Tabela1[[#This Row],[MATRICULA]]&amp;"Ponto de Apoio 4"&amp;Tabela1[[#This Row],[SETOR]],BD!A:AF,13,0),"")</f>
        <v/>
      </c>
      <c r="BV213" s="135" t="str">
        <f>IFERROR(AVERAGE(Tabela1[[#This Row],[DPA]:[DPA 4]]),"")</f>
        <v/>
      </c>
      <c r="BW213" s="135" t="str">
        <f>IFERROR(VLOOKUP(Tabela1[[#This Row],[MÊS]]&amp;Tabela1[[#This Row],[ID]]&amp;Tabela1[[#This Row],[MATRICULA]]&amp;"Cliente"&amp;Tabela1[[#This Row],[SETOR]],BD!A:AF,13,0),"")</f>
        <v/>
      </c>
      <c r="BX213" s="135" t="str">
        <f>IFERROR(VLOOKUP(Tabela1[[#This Row],[MÊS]]&amp;Tabela1[[#This Row],[ID]]&amp;Tabela1[[#This Row],[MATRICULA]]&amp;"cliente 2"&amp;Tabela1[[#This Row],[SETOR]],BD!A:AF,13,0),"")</f>
        <v/>
      </c>
      <c r="BY213" s="135" t="str">
        <f>IFERROR(VLOOKUP(Tabela1[[#This Row],[MÊS]]&amp;Tabela1[[#This Row],[ID]]&amp;Tabela1[[#This Row],[MATRICULA]]&amp;"cliente 3"&amp;Tabela1[[#This Row],[SETOR]],BD!A:AF,13,0),"")</f>
        <v/>
      </c>
      <c r="BZ213" s="135" t="str">
        <f>IFERROR(VLOOKUP(Tabela1[[#This Row],[MÊS]]&amp;Tabela1[[#This Row],[ID]]&amp;Tabela1[[#This Row],[MATRICULA]]&amp;"cliente 4"&amp;Tabela1[[#This Row],[SETOR]],BD!A:AF,13,0),"")</f>
        <v/>
      </c>
      <c r="CA213" s="135" t="str">
        <f>IFERROR(AVERAGE(Tabela1[[#This Row],[DCLI]:[DCLI 4]]),"")</f>
        <v/>
      </c>
      <c r="CB213" s="135" t="str">
        <f>IFERROR(VLOOKUP(Tabela1[[#This Row],[MÊS]]&amp;Tabela1[[#This Row],[ID]]&amp;Tabela1[[#This Row],[MATRICULA]]&amp;"Policia"&amp;Tabela1[[#This Row],[SETOR]],BD!A:AF,13,0),"")</f>
        <v/>
      </c>
      <c r="CC213" s="135" t="str">
        <f>IFERROR(VLOOKUP(Tabela1[[#This Row],[MÊS]]&amp;Tabela1[[#This Row],[ID]]&amp;Tabela1[[#This Row],[MATRICULA]]&amp;"Policia 2"&amp;Tabela1[[#This Row],[SETOR]],BD!A:AF,13,0),"")</f>
        <v/>
      </c>
      <c r="CD213" s="135"/>
      <c r="CE213" s="135"/>
      <c r="CF213" s="135" t="str">
        <f>IFERROR((AVERAGE(Tabela1[[#This Row],[DPOL1]:[DPOL4]])),"")</f>
        <v/>
      </c>
      <c r="CG213" s="21" t="str">
        <f>IFERROR(VLOOKUP(Tabela1[[#This Row],[ID]]&amp;Tabela1[[#This Row],[MÊS]]&amp;Tabela1[[#This Row],[MATRICULA]],#REF!,2,0),"")</f>
        <v/>
      </c>
      <c r="CH213" s="21" t="str">
        <f>IFERROR(VLOOKUP(Tabela1[[#This Row],[ID]]&amp;Tabela1[[#This Row],[MÊS]]&amp;Tabela1[[#This Row],[MATRICULA]],#REF!,2,0),"")</f>
        <v/>
      </c>
      <c r="CI213" s="21" t="str">
        <f>IFERROR(VLOOKUP(Tabela1[[#This Row],[MÊS]]&amp;Tabela1[[#This Row],[MATRICULA]],#REF!,2,0),"")</f>
        <v/>
      </c>
    </row>
    <row r="214" spans="1:87">
      <c r="A214" s="12" t="str">
        <f>Tabela1[[#This Row],[MÊS]]&amp;Tabela1[[#This Row],[MATRICULA]]&amp;Tabela1[[#This Row],[ID]]</f>
        <v>JAN111235</v>
      </c>
      <c r="B214" s="12" t="str">
        <f>Tabela1[[#This Row],[MÊS]]&amp;Tabela1[[#This Row],[ID]]&amp;Tabela1[[#This Row],[MATRICULA]]&amp;Tabela1[[#This Row],[SETOR]]</f>
        <v>JAN511123TRANSFERÊNCIA</v>
      </c>
      <c r="C214" s="130" t="e">
        <f>VLOOKUP(Tabela1[[#This Row],[MATRICULA]],'BD Campos'!A:D,5,0)</f>
        <v>#REF!</v>
      </c>
      <c r="D214" s="133" t="str">
        <f ca="1">IFERROR(SUM(TODAY()-Tabela1[[#This Row],[ADMISSÃO]]),"")</f>
        <v/>
      </c>
      <c r="E214" s="11" t="str">
        <f ca="1">IFERROR(TRUNC(Tabela1[[#This Row],[TEMPO DE CASA (DIAS)]]/30),"")</f>
        <v/>
      </c>
      <c r="F214" s="32" t="str">
        <f ca="1">IFERROR(SUM(Tabela1[[#This Row],[TEMPO DE CASA (MESES)]]/12),"")</f>
        <v/>
      </c>
      <c r="G214" s="133" t="str">
        <f ca="1">IF(Tabela1[[#This Row],[TEMPO DE CASA (DIAS)]]="","SEM DADOS",IF(Tabela1[[#This Row],[TEMPO DE CASA (DIAS)]]&gt;180,"&gt; 6 MESES","&lt; 6 MESES"))</f>
        <v>SEM DADOS</v>
      </c>
      <c r="H214" s="12" t="str">
        <f t="shared" si="19"/>
        <v>JANGabryelle Marcilio5</v>
      </c>
      <c r="I214" s="12" t="str">
        <f>IFERROR(VLOOKUP(Tabela1[[#This Row],[MATRICULA]],'BD Campos'!A:F,7,0),"")</f>
        <v/>
      </c>
      <c r="J214" s="11">
        <v>5</v>
      </c>
      <c r="K214" s="11" t="s">
        <v>669</v>
      </c>
      <c r="L214" s="136">
        <v>11123</v>
      </c>
      <c r="M214" s="12" t="str">
        <f>IFERROR(VLOOKUP(Tabela1[[#This Row],[MATRICULA]],'BD Campos'!A:B,2,0),"")</f>
        <v>ELEANOR SASSE</v>
      </c>
      <c r="N214" s="20">
        <f>IFERROR(AVERAGE(Tabela1[[#This Row],[A1]:[A4]]),"")</f>
        <v>9.9495000000000005</v>
      </c>
      <c r="O214" s="20" t="str">
        <f>IFERROR(IF(Tabela1[[#This Row],[SETOR]]="RECEPTIVO","",AVERAGE(Tabela1[[#This Row],[A5]:[A6]])),"")</f>
        <v/>
      </c>
      <c r="P214" s="20" t="str">
        <f>IFERROR(IF(Tabela1[[#This Row],[STATUS]]="INATIVO","INATIVO",IF(Tabela1[[#This Row],[STATUS]]="QRT","INATIVO",IF(Tabela1[[#This Row],[OPERACIONAL]]&gt;7.99999,"BOM","RUIM"))),"")</f>
        <v>BOM</v>
      </c>
      <c r="Q214" s="21" t="s">
        <v>667</v>
      </c>
      <c r="R214" s="12" t="s">
        <v>716</v>
      </c>
      <c r="S214" s="12" t="s">
        <v>717</v>
      </c>
      <c r="T214" s="12" t="s">
        <v>192</v>
      </c>
      <c r="U21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14" s="12">
        <f>IF(AND(Tabela1[[#This Row],[SETOR]]="UTI",Tabela1[[#This Row],[M]]&lt;&gt;""),1,IF(AND(Tabela1[[#This Row],[SETOR]]="UTI (RJ)",Tabela1[[#This Row],[M]]&lt;&gt;""),1.5,0))</f>
        <v>0</v>
      </c>
      <c r="X214" s="12">
        <f>IF(AND(Tabela1[[#This Row],[SETOR]]="UTI",Tabela1[[#This Row],[PA2]]&lt;&gt;""),1,IF(AND(Tabela1[[#This Row],[SETOR]]="UTI (RJ)",Tabela1[[#This Row],[PA2]]&lt;&gt;""),0,0))</f>
        <v>0</v>
      </c>
      <c r="Y214" s="12">
        <f>IF(AND(Tabela1[[#This Row],[SETOR]]="UTI",Tabela1[[#This Row],[C]]&lt;&gt;""),1,IF(AND(Tabela1[[#This Row],[SETOR]]="UTI (RJ)",Tabela1[[#This Row],[C]]&lt;&gt;""),1.5,0))</f>
        <v>0</v>
      </c>
      <c r="Z214" s="12">
        <f>IF(AND(Tabela1[[#This Row],[SETOR]]="UTI",Tabela1[[#This Row],[PL]]&lt;&gt;""),1,IF(AND(Tabela1[[#This Row],[SETOR]]="UTI (RJ)",Tabela1[[#This Row],[PL]]&lt;&gt;""),1,0))</f>
        <v>0</v>
      </c>
      <c r="AA214" s="21">
        <f>IFERROR(VLOOKUP(Tabela1[[#This Row],[MÊS]]&amp;Tabela1[[#This Row],[MATRICULA]]&amp;"1"&amp;Tabela1[[#This Row],[SETOR]]&amp;"PADRÃO",BD!B:AF,31,0),"")</f>
        <v>9.8990000000000009</v>
      </c>
      <c r="AB214" s="21">
        <f>IFERROR(VLOOKUP(Tabela1[[#This Row],[MÊS]]&amp;Tabela1[[#This Row],[MATRICULA]]&amp;"2"&amp;Tabela1[[#This Row],[SETOR]]&amp;"PADRÃO",BD!B:AF,31,0),"")</f>
        <v>10.000000000000002</v>
      </c>
      <c r="AC214" s="21" t="str">
        <f>IFERROR(VLOOKUP(Tabela1[[#This Row],[MÊS]]&amp;Tabela1[[#This Row],[MATRICULA]]&amp;"3"&amp;Tabela1[[#This Row],[SETOR]]&amp;"PADRÃO",BD!B:AF,31,0),"")</f>
        <v/>
      </c>
      <c r="AD214" s="21" t="str">
        <f>IFERROR(VLOOKUP(Tabela1[[#This Row],[MÊS]]&amp;Tabela1[[#This Row],[MATRICULA]]&amp;"4"&amp;Tabela1[[#This Row],[SETOR]]&amp;"PADRÃO",BD!B:AF,25,0),"")</f>
        <v/>
      </c>
      <c r="AE214" s="21" t="str">
        <f>IFERROR(VLOOKUP(Tabela1[[#This Row],[MÊS]]&amp;Tabela1[[#This Row],[MATRICULA]]&amp;"5"&amp;Tabela1[[#This Row],[SETOR]]&amp;"PADRÃO",BD!B:AF,31,0),"")</f>
        <v/>
      </c>
      <c r="AF214" s="21" t="str">
        <f>IFERROR(VLOOKUP(Tabela1[[#This Row],[MÊS]]&amp;Tabela1[[#This Row],[MATRICULA]]&amp;"6"&amp;Tabela1[[#This Row],[SETOR]]&amp;"PADRÃO",BD!B:AF,31,0),"")</f>
        <v/>
      </c>
      <c r="AG214" s="21" t="str">
        <f>IFERROR(VLOOKUP(Tabela1[[#This Row],[MÊS]]&amp;Tabela1[[#This Row],[MATRICULA]]&amp;"7"&amp;Tabela1[[#This Row],[SETOR]]&amp;"PADRÃO",BD!B:AF,31,0),"")</f>
        <v/>
      </c>
      <c r="AH214" s="21" t="str">
        <f>IFERROR(VLOOKUP(Tabela1[[#This Row],[MÊS]]&amp;Tabela1[[#This Row],[ID]]&amp;Tabela1[[#This Row],[MATRICULA]]&amp;"Receptiva"&amp;Tabela1[[#This Row],[SETOR]],BD!A:AF,31,0),"")</f>
        <v/>
      </c>
      <c r="AI214" s="21" t="str">
        <f>IFERROR(VLOOKUP(Tabela1[[#This Row],[MÊS]]&amp;Tabela1[[#This Row],[ID]]&amp;Tabela1[[#This Row],[MATRICULA]]&amp;"Receptiva 2"&amp;Tabela1[[#This Row],[SETOR]],BD!A:AF,31,0),"")</f>
        <v/>
      </c>
      <c r="AJ214" s="21" t="str">
        <f>IFERROR(VLOOKUP(Tabela1[[#This Row],[MÊS]]&amp;Tabela1[[#This Row],[ID]]&amp;Tabela1[[#This Row],[MATRICULA]]&amp;"Receptiva 3"&amp;Tabela1[[#This Row],[SETOR]],BD!A:AF,31,0),"")</f>
        <v/>
      </c>
      <c r="AK214" s="21" t="str">
        <f>IFERROR(VLOOKUP(Tabela1[[#This Row],[MÊS]]&amp;Tabela1[[#This Row],[ID]]&amp;Tabela1[[#This Row],[MATRICULA]]&amp;"Receptiva 4"&amp;Tabela1[[#This Row],[SETOR]],BD!A:AF,31,0),"")</f>
        <v/>
      </c>
      <c r="AL214" s="21">
        <f>IFERROR(VLOOKUP(Tabela1[[#This Row],[MÊS]]&amp;Tabela1[[#This Row],[MATRICULA]]&amp;"Motorista"&amp;Tabela1[[#This Row],[SETOR]],BD!A:AF,31,0),"")</f>
        <v>0</v>
      </c>
      <c r="AM214" s="21" t="str">
        <f>IFERROR(VLOOKUP(Tabela1[[#This Row],[MÊS]]&amp;Tabela1[[#This Row],[ID]]&amp;Tabela1[[#This Row],[MATRICULA]]&amp;"Motorista 2"&amp;Tabela1[[#This Row],[SETOR]],BD!A:AF,26,0),"")</f>
        <v/>
      </c>
      <c r="AN214" s="21" t="str">
        <f>IFERROR(VLOOKUP(Tabela1[[#This Row],[MÊS]]&amp;Tabela1[[#This Row],[ID]]&amp;Tabela1[[#This Row],[MATRICULA]]&amp;"Motorista 3"&amp;Tabela1[[#This Row],[SETOR]],BD!A:AF,26,0),"")</f>
        <v/>
      </c>
      <c r="AO214" s="21" t="str">
        <f>IFERROR(VLOOKUP(Tabela1[[#This Row],[MÊS]]&amp;Tabela1[[#This Row],[ID]]&amp;Tabela1[[#This Row],[MATRICULA]]&amp;"Motorista 4"&amp;Tabela1[[#This Row],[SETOR]],BD!A:AF,26,0),"")</f>
        <v/>
      </c>
      <c r="AP214" s="21" t="str">
        <f>IFERROR(VLOOKUP(Tabela1[[#This Row],[MÊS]]&amp;Tabela1[[#This Row],[MATRICULA]]&amp;"Ponto de Apoio"&amp;Tabela1[[#This Row],[SETOR]],BD!A:AF,31,0),"")</f>
        <v/>
      </c>
      <c r="AQ214" s="21" t="str">
        <f>IFERROR(VLOOKUP(Tabela1[[#This Row],[MÊS]]&amp;Tabela1[[#This Row],[ID]]&amp;Tabela1[[#This Row],[MATRICULA]]&amp;"Ponto de Apoio 2"&amp;Tabela1[[#This Row],[SETOR]],BD!A:AF,26,0),"")</f>
        <v/>
      </c>
      <c r="AR214" s="36" t="str">
        <f>IFERROR(VLOOKUP(Tabela1[[#This Row],[MÊS]]&amp;Tabela1[[#This Row],[ID]]&amp;Tabela1[[#This Row],[MATRICULA]]&amp;"Ponto de Apoio 3"&amp;Tabela1[[#This Row],[SETOR]],BD!A:AF,26,0),"")</f>
        <v/>
      </c>
      <c r="AS214" s="36" t="str">
        <f>IFERROR(VLOOKUP(Tabela1[[#This Row],[MÊS]]&amp;Tabela1[[#This Row],[ID]]&amp;Tabela1[[#This Row],[MATRICULA]]&amp;"Ponto de Apoio 4"&amp;Tabela1[[#This Row],[SETOR]],BD!A:AF,26,0),"")</f>
        <v/>
      </c>
      <c r="AT214" s="21" t="str">
        <f>IFERROR(VLOOKUP(Tabela1[[#This Row],[MÊS]]&amp;Tabela1[[#This Row],[MATRICULA]]&amp;"Cliente"&amp;Tabela1[[#This Row],[SETOR]],BD!A:AF,31,0),"")</f>
        <v/>
      </c>
      <c r="AU214" s="21" t="str">
        <f>IFERROR(VLOOKUP(Tabela1[[#This Row],[MÊS]]&amp;Tabela1[[#This Row],[ID]]&amp;Tabela1[[#This Row],[MATRICULA]]&amp;"Cliente 2"&amp;Tabela1[[#This Row],[SETOR]],BD!A:AF,26,0),"")</f>
        <v/>
      </c>
      <c r="AX214" s="21" t="str">
        <f>IFERROR(VLOOKUP(Tabela1[[#This Row],[MÊS]]&amp;Tabela1[[#This Row],[MATRICULA]]&amp;"Policia"&amp;Tabela1[[#This Row],[SETOR]],BD!A:AF,31,0),"")</f>
        <v/>
      </c>
      <c r="AY214" s="21" t="str">
        <f>IFERROR(VLOOKUP(Tabela1[[#This Row],[MÊS]]&amp;Tabela1[[#This Row],[ID]]&amp;Tabela1[[#This Row],[MATRICULA]]&amp;"Policia 2"&amp;Tabela1[[#This Row],[SETOR]],BD!A:AF,26,0),"")</f>
        <v/>
      </c>
      <c r="AZ214" s="36" t="str">
        <f>IFERROR(VLOOKUP(Tabela1[[#This Row],[MÊS]]&amp;Tabela1[[#This Row],[ID]]&amp;Tabela1[[#This Row],[MATRICULA]]&amp;"Policia 3"&amp;Tabela1[[#This Row],[SETOR]],BD!A:AF,26,0),"")</f>
        <v/>
      </c>
      <c r="BA214" s="36" t="str">
        <f>IFERROR(VLOOKUP(Tabela1[[#This Row],[MÊS]]&amp;Tabela1[[#This Row],[ID]]&amp;Tabela1[[#This Row],[MATRICULA]]&amp;"Policia 4"&amp;Tabela1[[#This Row],[SETOR]],BD!A:AF,26,0),"")</f>
        <v/>
      </c>
      <c r="BB21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4" s="21">
        <f>IFERROR(AVERAGE(Tabela1[[#This Row],[M]:[M4]]),"")</f>
        <v>0</v>
      </c>
      <c r="BD214" s="21" t="str">
        <f>IFERROR(AVERAGE(Tabela1[[#This Row],[C]:[C4]]),"")</f>
        <v/>
      </c>
      <c r="BE214" s="21" t="str">
        <f>IFERROR(AVERAGE(Tabela1[[#This Row],[PA2]:[PA 4]]),"")</f>
        <v/>
      </c>
      <c r="BF214" s="21" t="str">
        <f>IFERROR(AVERAGE(Tabela1[[#This Row],[PL]:[PL4]]),"")</f>
        <v/>
      </c>
      <c r="BG214" s="35" t="str">
        <f>IFERROR(VLOOKUP(Tabela1[[#This Row],[MÊS]]&amp;Tabela1[[#This Row],[MATRICULA]],#REF!,2,0),"")</f>
        <v/>
      </c>
      <c r="BH214" s="35" t="str">
        <f>IFERROR(VLOOKUP(Tabela1[[#This Row],[MÊS]]&amp;Tabela1[[#This Row],[MATRICULA]],#REF!,2,0),"")</f>
        <v/>
      </c>
      <c r="BI214" s="35" t="str">
        <f>IFERROR(VLOOKUP(Tabela1[[#This Row],[MÊS]]&amp;Tabela1[[#This Row],[MATRICULA]],#REF!,2,0),"")</f>
        <v/>
      </c>
      <c r="BJ214" s="35" t="str">
        <f>IFERROR(VLOOKUP(Tabela1[[#This Row],[MÊS]]&amp;Tabela1[[#This Row],[MATRICULA]],#REF!,2,0),"")</f>
        <v/>
      </c>
      <c r="BK214" s="35" t="str">
        <f>IFERROR(VLOOKUP(Tabela1[[#This Row],[MÊS]]&amp;Tabela1[[#This Row],[MATRICULA]],#REF!,2,0),"")</f>
        <v/>
      </c>
      <c r="BL214" s="21">
        <f>COUNTIF(Tabela1[[#This Row],[MOT2]:[RECEPTIVA]],"NÃO ENCONTRADA")</f>
        <v>0</v>
      </c>
      <c r="BM214" s="135" t="str">
        <f>IFERROR(VLOOKUP(Tabela1[[#This Row],[MÊS]]&amp;Tabela1[[#This Row],[ID]]&amp;Tabela1[[#This Row],[MATRICULA]]&amp;"Motorista"&amp;Tabela1[[#This Row],[SETOR]],BD!A:AF,13,0),"")</f>
        <v/>
      </c>
      <c r="BN214" s="135" t="str">
        <f>IFERROR(VLOOKUP(Tabela1[[#This Row],[MÊS]]&amp;Tabela1[[#This Row],[ID]]&amp;Tabela1[[#This Row],[MATRICULA]]&amp;"Motorista 2"&amp;Tabela1[[#This Row],[SETOR]],BD!A:AF,13,0),"")</f>
        <v/>
      </c>
      <c r="BO214" s="135" t="str">
        <f>IFERROR(VLOOKUP(Tabela1[[#This Row],[MÊS]]&amp;Tabela1[[#This Row],[ID]]&amp;Tabela1[[#This Row],[MATRICULA]]&amp;"Motorista 3"&amp;Tabela1[[#This Row],[SETOR]],BD!A:AF,13,0),"")</f>
        <v/>
      </c>
      <c r="BP214" s="135" t="str">
        <f>IFERROR(VLOOKUP(Tabela1[[#This Row],[MÊS]]&amp;Tabela1[[#This Row],[ID]]&amp;Tabela1[[#This Row],[MATRICULA]]&amp;"Motorista 4"&amp;Tabela1[[#This Row],[SETOR]],BD!A:AF,13,0),"")</f>
        <v/>
      </c>
      <c r="BQ214" s="135" t="str">
        <f>IFERROR(AVERAGE(Tabela1[[#This Row],[DMOT]:[DMOT4]]),"")</f>
        <v/>
      </c>
      <c r="BR214" s="135" t="str">
        <f>IFERROR(VLOOKUP(Tabela1[[#This Row],[MÊS]]&amp;Tabela1[[#This Row],[ID]]&amp;Tabela1[[#This Row],[MATRICULA]]&amp;"Ponto de Apoio"&amp;Tabela1[[#This Row],[SETOR]],BD!A:AF,13,0),"")</f>
        <v/>
      </c>
      <c r="BS214" s="135" t="str">
        <f>IFERROR(VLOOKUP(Tabela1[[#This Row],[MÊS]]&amp;Tabela1[[#This Row],[ID]]&amp;Tabela1[[#This Row],[MATRICULA]]&amp;"Ponto de Apoio 2"&amp;Tabela1[[#This Row],[SETOR]],BD!A:AF,13,0),"")</f>
        <v/>
      </c>
      <c r="BT214" s="135" t="str">
        <f>IFERROR(VLOOKUP(Tabela1[[#This Row],[MÊS]]&amp;Tabela1[[#This Row],[ID]]&amp;Tabela1[[#This Row],[MATRICULA]]&amp;"Ponto de Apoio 3"&amp;Tabela1[[#This Row],[SETOR]],BD!A:AF,13,0),"")</f>
        <v/>
      </c>
      <c r="BU214" s="135" t="str">
        <f>IFERROR(VLOOKUP(Tabela1[[#This Row],[MÊS]]&amp;Tabela1[[#This Row],[ID]]&amp;Tabela1[[#This Row],[MATRICULA]]&amp;"Ponto de Apoio 4"&amp;Tabela1[[#This Row],[SETOR]],BD!A:AF,13,0),"")</f>
        <v/>
      </c>
      <c r="BV214" s="135" t="str">
        <f>IFERROR(AVERAGE(Tabela1[[#This Row],[DPA]:[DPA 4]]),"")</f>
        <v/>
      </c>
      <c r="BW214" s="135" t="str">
        <f>IFERROR(VLOOKUP(Tabela1[[#This Row],[MÊS]]&amp;Tabela1[[#This Row],[ID]]&amp;Tabela1[[#This Row],[MATRICULA]]&amp;"Cliente"&amp;Tabela1[[#This Row],[SETOR]],BD!A:AF,13,0),"")</f>
        <v/>
      </c>
      <c r="BX214" s="135" t="str">
        <f>IFERROR(VLOOKUP(Tabela1[[#This Row],[MÊS]]&amp;Tabela1[[#This Row],[ID]]&amp;Tabela1[[#This Row],[MATRICULA]]&amp;"cliente 2"&amp;Tabela1[[#This Row],[SETOR]],BD!A:AF,13,0),"")</f>
        <v/>
      </c>
      <c r="BY214" s="135" t="str">
        <f>IFERROR(VLOOKUP(Tabela1[[#This Row],[MÊS]]&amp;Tabela1[[#This Row],[ID]]&amp;Tabela1[[#This Row],[MATRICULA]]&amp;"cliente 3"&amp;Tabela1[[#This Row],[SETOR]],BD!A:AF,13,0),"")</f>
        <v/>
      </c>
      <c r="BZ214" s="135" t="str">
        <f>IFERROR(VLOOKUP(Tabela1[[#This Row],[MÊS]]&amp;Tabela1[[#This Row],[ID]]&amp;Tabela1[[#This Row],[MATRICULA]]&amp;"cliente 4"&amp;Tabela1[[#This Row],[SETOR]],BD!A:AF,13,0),"")</f>
        <v/>
      </c>
      <c r="CA214" s="135" t="str">
        <f>IFERROR(AVERAGE(Tabela1[[#This Row],[DCLI]:[DCLI 4]]),"")</f>
        <v/>
      </c>
      <c r="CB214" s="135" t="str">
        <f>IFERROR(VLOOKUP(Tabela1[[#This Row],[MÊS]]&amp;Tabela1[[#This Row],[ID]]&amp;Tabela1[[#This Row],[MATRICULA]]&amp;"Policia"&amp;Tabela1[[#This Row],[SETOR]],BD!A:AF,13,0),"")</f>
        <v/>
      </c>
      <c r="CC214" s="135" t="str">
        <f>IFERROR(VLOOKUP(Tabela1[[#This Row],[MÊS]]&amp;Tabela1[[#This Row],[ID]]&amp;Tabela1[[#This Row],[MATRICULA]]&amp;"Policia 2"&amp;Tabela1[[#This Row],[SETOR]],BD!A:AF,13,0),"")</f>
        <v/>
      </c>
      <c r="CD214" s="135"/>
      <c r="CE214" s="135"/>
      <c r="CF214" s="135" t="str">
        <f>IFERROR((AVERAGE(Tabela1[[#This Row],[DPOL1]:[DPOL4]])),"")</f>
        <v/>
      </c>
      <c r="CG214" s="21" t="str">
        <f>IFERROR(VLOOKUP(Tabela1[[#This Row],[ID]]&amp;Tabela1[[#This Row],[MÊS]]&amp;Tabela1[[#This Row],[MATRICULA]],#REF!,2,0),"")</f>
        <v/>
      </c>
      <c r="CH214" s="21" t="str">
        <f>IFERROR(VLOOKUP(Tabela1[[#This Row],[ID]]&amp;Tabela1[[#This Row],[MÊS]]&amp;Tabela1[[#This Row],[MATRICULA]],#REF!,2,0),"")</f>
        <v/>
      </c>
      <c r="CI214" s="21" t="str">
        <f>IFERROR(VLOOKUP(Tabela1[[#This Row],[MÊS]]&amp;Tabela1[[#This Row],[MATRICULA]],#REF!,2,0),"")</f>
        <v/>
      </c>
    </row>
    <row r="215" spans="1:87">
      <c r="A215" s="12" t="str">
        <f>Tabela1[[#This Row],[MÊS]]&amp;Tabela1[[#This Row],[MATRICULA]]&amp;Tabela1[[#This Row],[ID]]</f>
        <v>JAN111816</v>
      </c>
      <c r="B215" s="12" t="str">
        <f>Tabela1[[#This Row],[MÊS]]&amp;Tabela1[[#This Row],[ID]]&amp;Tabela1[[#This Row],[MATRICULA]]&amp;Tabela1[[#This Row],[SETOR]]</f>
        <v>JAN611181TRANSFERÊNCIA</v>
      </c>
      <c r="C215" s="130" t="e">
        <f>VLOOKUP(Tabela1[[#This Row],[MATRICULA]],'BD Campos'!A:D,5,0)</f>
        <v>#REF!</v>
      </c>
      <c r="D215" s="133" t="str">
        <f ca="1">IFERROR(SUM(TODAY()-Tabela1[[#This Row],[ADMISSÃO]]),"")</f>
        <v/>
      </c>
      <c r="E215" s="11" t="str">
        <f ca="1">IFERROR(TRUNC(Tabela1[[#This Row],[TEMPO DE CASA (DIAS)]]/30),"")</f>
        <v/>
      </c>
      <c r="F215" s="32" t="str">
        <f ca="1">IFERROR(SUM(Tabela1[[#This Row],[TEMPO DE CASA (MESES)]]/12),"")</f>
        <v/>
      </c>
      <c r="G215" s="133" t="str">
        <f ca="1">IF(Tabela1[[#This Row],[TEMPO DE CASA (DIAS)]]="","SEM DADOS",IF(Tabela1[[#This Row],[TEMPO DE CASA (DIAS)]]&gt;180,"&gt; 6 MESES","&lt; 6 MESES"))</f>
        <v>SEM DADOS</v>
      </c>
      <c r="H215" s="12" t="str">
        <f t="shared" si="19"/>
        <v>JANGabryelle Marcilio6</v>
      </c>
      <c r="I215" s="12" t="str">
        <f>IFERROR(VLOOKUP(Tabela1[[#This Row],[MATRICULA]],'BD Campos'!A:F,7,0),"")</f>
        <v/>
      </c>
      <c r="J215" s="11">
        <v>6</v>
      </c>
      <c r="K215" s="11" t="s">
        <v>669</v>
      </c>
      <c r="L215" s="136">
        <v>11181</v>
      </c>
      <c r="M215" s="12" t="str">
        <f>IFERROR(VLOOKUP(Tabela1[[#This Row],[MATRICULA]],'BD Campos'!A:B,2,0),"")</f>
        <v>ERICK MICHEL MENEZES DOS SANTOS</v>
      </c>
      <c r="N215" s="20">
        <f>IFERROR(AVERAGE(Tabela1[[#This Row],[A1]:[A4]]),"")</f>
        <v>8.7682500000000001</v>
      </c>
      <c r="O215" s="20" t="str">
        <f>IFERROR(IF(Tabela1[[#This Row],[SETOR]]="RECEPTIVO","",AVERAGE(Tabela1[[#This Row],[A5]:[A6]])),"")</f>
        <v/>
      </c>
      <c r="P215" s="20" t="str">
        <f>IFERROR(IF(Tabela1[[#This Row],[STATUS]]="INATIVO","INATIVO",IF(Tabela1[[#This Row],[STATUS]]="QRT","INATIVO",IF(Tabela1[[#This Row],[OPERACIONAL]]&gt;7.99999,"BOM","RUIM"))),"")</f>
        <v>BOM</v>
      </c>
      <c r="Q215" s="21" t="s">
        <v>667</v>
      </c>
      <c r="R215" s="12" t="s">
        <v>716</v>
      </c>
      <c r="S215" s="12" t="s">
        <v>717</v>
      </c>
      <c r="T215" s="12" t="s">
        <v>192</v>
      </c>
      <c r="U215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5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15" s="12">
        <f>IF(AND(Tabela1[[#This Row],[SETOR]]="UTI",Tabela1[[#This Row],[M]]&lt;&gt;""),1,IF(AND(Tabela1[[#This Row],[SETOR]]="UTI (RJ)",Tabela1[[#This Row],[M]]&lt;&gt;""),1.5,0))</f>
        <v>0</v>
      </c>
      <c r="X215" s="12">
        <f>IF(AND(Tabela1[[#This Row],[SETOR]]="UTI",Tabela1[[#This Row],[PA2]]&lt;&gt;""),1,IF(AND(Tabela1[[#This Row],[SETOR]]="UTI (RJ)",Tabela1[[#This Row],[PA2]]&lt;&gt;""),0,0))</f>
        <v>0</v>
      </c>
      <c r="Y215" s="12">
        <f>IF(AND(Tabela1[[#This Row],[SETOR]]="UTI",Tabela1[[#This Row],[C]]&lt;&gt;""),1,IF(AND(Tabela1[[#This Row],[SETOR]]="UTI (RJ)",Tabela1[[#This Row],[C]]&lt;&gt;""),1.5,0))</f>
        <v>0</v>
      </c>
      <c r="Z215" s="12">
        <f>IF(AND(Tabela1[[#This Row],[SETOR]]="UTI",Tabela1[[#This Row],[PL]]&lt;&gt;""),1,IF(AND(Tabela1[[#This Row],[SETOR]]="UTI (RJ)",Tabela1[[#This Row],[PL]]&lt;&gt;""),1,0))</f>
        <v>0</v>
      </c>
      <c r="AA215" s="21">
        <f>IFERROR(VLOOKUP(Tabela1[[#This Row],[MÊS]]&amp;Tabela1[[#This Row],[MATRICULA]]&amp;"1"&amp;Tabela1[[#This Row],[SETOR]]&amp;"PADRÃO",BD!B:AF,31,0),"")</f>
        <v>10.004000000000001</v>
      </c>
      <c r="AB215" s="21">
        <f>IFERROR(VLOOKUP(Tabela1[[#This Row],[MÊS]]&amp;Tabela1[[#This Row],[MATRICULA]]&amp;"2"&amp;Tabela1[[#This Row],[SETOR]]&amp;"PADRÃO",BD!B:AF,31,0),"")</f>
        <v>7.5324999999999998</v>
      </c>
      <c r="AC215" s="21" t="str">
        <f>IFERROR(VLOOKUP(Tabela1[[#This Row],[MÊS]]&amp;Tabela1[[#This Row],[MATRICULA]]&amp;"3"&amp;Tabela1[[#This Row],[SETOR]]&amp;"PADRÃO",BD!B:AF,31,0),"")</f>
        <v/>
      </c>
      <c r="AD215" s="21" t="str">
        <f>IFERROR(VLOOKUP(Tabela1[[#This Row],[MÊS]]&amp;Tabela1[[#This Row],[MATRICULA]]&amp;"4"&amp;Tabela1[[#This Row],[SETOR]]&amp;"PADRÃO",BD!B:AF,25,0),"")</f>
        <v/>
      </c>
      <c r="AE215" s="21" t="str">
        <f>IFERROR(VLOOKUP(Tabela1[[#This Row],[MÊS]]&amp;Tabela1[[#This Row],[MATRICULA]]&amp;"5"&amp;Tabela1[[#This Row],[SETOR]]&amp;"PADRÃO",BD!B:AF,31,0),"")</f>
        <v/>
      </c>
      <c r="AF215" s="21" t="str">
        <f>IFERROR(VLOOKUP(Tabela1[[#This Row],[MÊS]]&amp;Tabela1[[#This Row],[MATRICULA]]&amp;"6"&amp;Tabela1[[#This Row],[SETOR]]&amp;"PADRÃO",BD!B:AF,31,0),"")</f>
        <v/>
      </c>
      <c r="AG215" s="21" t="str">
        <f>IFERROR(VLOOKUP(Tabela1[[#This Row],[MÊS]]&amp;Tabela1[[#This Row],[MATRICULA]]&amp;"7"&amp;Tabela1[[#This Row],[SETOR]]&amp;"PADRÃO",BD!B:AF,31,0),"")</f>
        <v/>
      </c>
      <c r="AH215" s="21" t="str">
        <f>IFERROR(VLOOKUP(Tabela1[[#This Row],[MÊS]]&amp;Tabela1[[#This Row],[ID]]&amp;Tabela1[[#This Row],[MATRICULA]]&amp;"Receptiva"&amp;Tabela1[[#This Row],[SETOR]],BD!A:AF,31,0),"")</f>
        <v/>
      </c>
      <c r="AI215" s="21" t="str">
        <f>IFERROR(VLOOKUP(Tabela1[[#This Row],[MÊS]]&amp;Tabela1[[#This Row],[ID]]&amp;Tabela1[[#This Row],[MATRICULA]]&amp;"Receptiva 2"&amp;Tabela1[[#This Row],[SETOR]],BD!A:AF,31,0),"")</f>
        <v/>
      </c>
      <c r="AJ215" s="21" t="str">
        <f>IFERROR(VLOOKUP(Tabela1[[#This Row],[MÊS]]&amp;Tabela1[[#This Row],[ID]]&amp;Tabela1[[#This Row],[MATRICULA]]&amp;"Receptiva 3"&amp;Tabela1[[#This Row],[SETOR]],BD!A:AF,31,0),"")</f>
        <v/>
      </c>
      <c r="AK215" s="21" t="str">
        <f>IFERROR(VLOOKUP(Tabela1[[#This Row],[MÊS]]&amp;Tabela1[[#This Row],[ID]]&amp;Tabela1[[#This Row],[MATRICULA]]&amp;"Receptiva 4"&amp;Tabela1[[#This Row],[SETOR]],BD!A:AF,31,0),"")</f>
        <v/>
      </c>
      <c r="AL215" s="21">
        <f>IFERROR(VLOOKUP(Tabela1[[#This Row],[MÊS]]&amp;Tabela1[[#This Row],[MATRICULA]]&amp;"Motorista"&amp;Tabela1[[#This Row],[SETOR]],BD!A:AF,31,0),"")</f>
        <v>0</v>
      </c>
      <c r="AM215" s="21" t="str">
        <f>IFERROR(VLOOKUP(Tabela1[[#This Row],[MÊS]]&amp;Tabela1[[#This Row],[ID]]&amp;Tabela1[[#This Row],[MATRICULA]]&amp;"Motorista 2"&amp;Tabela1[[#This Row],[SETOR]],BD!A:AF,26,0),"")</f>
        <v/>
      </c>
      <c r="AN215" s="21" t="str">
        <f>IFERROR(VLOOKUP(Tabela1[[#This Row],[MÊS]]&amp;Tabela1[[#This Row],[ID]]&amp;Tabela1[[#This Row],[MATRICULA]]&amp;"Motorista 3"&amp;Tabela1[[#This Row],[SETOR]],BD!A:AF,26,0),"")</f>
        <v/>
      </c>
      <c r="AO215" s="21" t="str">
        <f>IFERROR(VLOOKUP(Tabela1[[#This Row],[MÊS]]&amp;Tabela1[[#This Row],[ID]]&amp;Tabela1[[#This Row],[MATRICULA]]&amp;"Motorista 4"&amp;Tabela1[[#This Row],[SETOR]],BD!A:AF,26,0),"")</f>
        <v/>
      </c>
      <c r="AP215" s="21" t="str">
        <f>IFERROR(VLOOKUP(Tabela1[[#This Row],[MÊS]]&amp;Tabela1[[#This Row],[MATRICULA]]&amp;"Ponto de Apoio"&amp;Tabela1[[#This Row],[SETOR]],BD!A:AF,31,0),"")</f>
        <v/>
      </c>
      <c r="AQ215" s="21" t="str">
        <f>IFERROR(VLOOKUP(Tabela1[[#This Row],[MÊS]]&amp;Tabela1[[#This Row],[ID]]&amp;Tabela1[[#This Row],[MATRICULA]]&amp;"Ponto de Apoio 2"&amp;Tabela1[[#This Row],[SETOR]],BD!A:AF,26,0),"")</f>
        <v/>
      </c>
      <c r="AR215" s="36" t="str">
        <f>IFERROR(VLOOKUP(Tabela1[[#This Row],[MÊS]]&amp;Tabela1[[#This Row],[ID]]&amp;Tabela1[[#This Row],[MATRICULA]]&amp;"Ponto de Apoio 3"&amp;Tabela1[[#This Row],[SETOR]],BD!A:AF,26,0),"")</f>
        <v/>
      </c>
      <c r="AS215" s="36" t="str">
        <f>IFERROR(VLOOKUP(Tabela1[[#This Row],[MÊS]]&amp;Tabela1[[#This Row],[ID]]&amp;Tabela1[[#This Row],[MATRICULA]]&amp;"Ponto de Apoio 4"&amp;Tabela1[[#This Row],[SETOR]],BD!A:AF,26,0),"")</f>
        <v/>
      </c>
      <c r="AT215" s="21">
        <f>IFERROR(VLOOKUP(Tabela1[[#This Row],[MÊS]]&amp;Tabela1[[#This Row],[MATRICULA]]&amp;"Cliente"&amp;Tabela1[[#This Row],[SETOR]],BD!A:AF,31,0),"")</f>
        <v>0</v>
      </c>
      <c r="AU215" s="21" t="str">
        <f>IFERROR(VLOOKUP(Tabela1[[#This Row],[MÊS]]&amp;Tabela1[[#This Row],[ID]]&amp;Tabela1[[#This Row],[MATRICULA]]&amp;"Cliente 2"&amp;Tabela1[[#This Row],[SETOR]],BD!A:AF,26,0),"")</f>
        <v/>
      </c>
      <c r="AX215" s="21" t="str">
        <f>IFERROR(VLOOKUP(Tabela1[[#This Row],[MÊS]]&amp;Tabela1[[#This Row],[MATRICULA]]&amp;"Policia"&amp;Tabela1[[#This Row],[SETOR]],BD!A:AF,31,0),"")</f>
        <v/>
      </c>
      <c r="AY215" s="21" t="str">
        <f>IFERROR(VLOOKUP(Tabela1[[#This Row],[MÊS]]&amp;Tabela1[[#This Row],[ID]]&amp;Tabela1[[#This Row],[MATRICULA]]&amp;"Policia 2"&amp;Tabela1[[#This Row],[SETOR]],BD!A:AF,26,0),"")</f>
        <v/>
      </c>
      <c r="AZ215" s="36" t="str">
        <f>IFERROR(VLOOKUP(Tabela1[[#This Row],[MÊS]]&amp;Tabela1[[#This Row],[ID]]&amp;Tabela1[[#This Row],[MATRICULA]]&amp;"Policia 3"&amp;Tabela1[[#This Row],[SETOR]],BD!A:AF,26,0),"")</f>
        <v/>
      </c>
      <c r="BA215" s="36" t="str">
        <f>IFERROR(VLOOKUP(Tabela1[[#This Row],[MÊS]]&amp;Tabela1[[#This Row],[ID]]&amp;Tabela1[[#This Row],[MATRICULA]]&amp;"Policia 4"&amp;Tabela1[[#This Row],[SETOR]],BD!A:AF,26,0),"")</f>
        <v/>
      </c>
      <c r="BB215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5" s="21">
        <f>IFERROR(AVERAGE(Tabela1[[#This Row],[M]:[M4]]),"")</f>
        <v>0</v>
      </c>
      <c r="BD215" s="21">
        <f>IFERROR(AVERAGE(Tabela1[[#This Row],[C]:[C4]]),"")</f>
        <v>0</v>
      </c>
      <c r="BE215" s="21" t="str">
        <f>IFERROR(AVERAGE(Tabela1[[#This Row],[PA2]:[PA 4]]),"")</f>
        <v/>
      </c>
      <c r="BF215" s="21" t="str">
        <f>IFERROR(AVERAGE(Tabela1[[#This Row],[PL]:[PL4]]),"")</f>
        <v/>
      </c>
      <c r="BG215" s="35" t="str">
        <f>IFERROR(VLOOKUP(Tabela1[[#This Row],[MÊS]]&amp;Tabela1[[#This Row],[MATRICULA]],#REF!,2,0),"")</f>
        <v/>
      </c>
      <c r="BH215" s="35" t="str">
        <f>IFERROR(VLOOKUP(Tabela1[[#This Row],[MÊS]]&amp;Tabela1[[#This Row],[MATRICULA]],#REF!,2,0),"")</f>
        <v/>
      </c>
      <c r="BI215" s="35" t="str">
        <f>IFERROR(VLOOKUP(Tabela1[[#This Row],[MÊS]]&amp;Tabela1[[#This Row],[MATRICULA]],#REF!,2,0),"")</f>
        <v/>
      </c>
      <c r="BJ215" s="35" t="str">
        <f>IFERROR(VLOOKUP(Tabela1[[#This Row],[MÊS]]&amp;Tabela1[[#This Row],[MATRICULA]],#REF!,2,0),"")</f>
        <v/>
      </c>
      <c r="BK215" s="35" t="str">
        <f>IFERROR(VLOOKUP(Tabela1[[#This Row],[MÊS]]&amp;Tabela1[[#This Row],[MATRICULA]],#REF!,2,0),"")</f>
        <v/>
      </c>
      <c r="BL215" s="21">
        <f>COUNTIF(Tabela1[[#This Row],[MOT2]:[RECEPTIVA]],"NÃO ENCONTRADA")</f>
        <v>0</v>
      </c>
      <c r="BM215" s="135" t="str">
        <f>IFERROR(VLOOKUP(Tabela1[[#This Row],[MÊS]]&amp;Tabela1[[#This Row],[ID]]&amp;Tabela1[[#This Row],[MATRICULA]]&amp;"Motorista"&amp;Tabela1[[#This Row],[SETOR]],BD!A:AF,13,0),"")</f>
        <v/>
      </c>
      <c r="BN215" s="135" t="str">
        <f>IFERROR(VLOOKUP(Tabela1[[#This Row],[MÊS]]&amp;Tabela1[[#This Row],[ID]]&amp;Tabela1[[#This Row],[MATRICULA]]&amp;"Motorista 2"&amp;Tabela1[[#This Row],[SETOR]],BD!A:AF,13,0),"")</f>
        <v/>
      </c>
      <c r="BO215" s="135" t="str">
        <f>IFERROR(VLOOKUP(Tabela1[[#This Row],[MÊS]]&amp;Tabela1[[#This Row],[ID]]&amp;Tabela1[[#This Row],[MATRICULA]]&amp;"Motorista 3"&amp;Tabela1[[#This Row],[SETOR]],BD!A:AF,13,0),"")</f>
        <v/>
      </c>
      <c r="BP215" s="135" t="str">
        <f>IFERROR(VLOOKUP(Tabela1[[#This Row],[MÊS]]&amp;Tabela1[[#This Row],[ID]]&amp;Tabela1[[#This Row],[MATRICULA]]&amp;"Motorista 4"&amp;Tabela1[[#This Row],[SETOR]],BD!A:AF,13,0),"")</f>
        <v/>
      </c>
      <c r="BQ215" s="135" t="str">
        <f>IFERROR(AVERAGE(Tabela1[[#This Row],[DMOT]:[DMOT4]]),"")</f>
        <v/>
      </c>
      <c r="BR215" s="135" t="str">
        <f>IFERROR(VLOOKUP(Tabela1[[#This Row],[MÊS]]&amp;Tabela1[[#This Row],[ID]]&amp;Tabela1[[#This Row],[MATRICULA]]&amp;"Ponto de Apoio"&amp;Tabela1[[#This Row],[SETOR]],BD!A:AF,13,0),"")</f>
        <v/>
      </c>
      <c r="BS215" s="135" t="str">
        <f>IFERROR(VLOOKUP(Tabela1[[#This Row],[MÊS]]&amp;Tabela1[[#This Row],[ID]]&amp;Tabela1[[#This Row],[MATRICULA]]&amp;"Ponto de Apoio 2"&amp;Tabela1[[#This Row],[SETOR]],BD!A:AF,13,0),"")</f>
        <v/>
      </c>
      <c r="BT215" s="135" t="str">
        <f>IFERROR(VLOOKUP(Tabela1[[#This Row],[MÊS]]&amp;Tabela1[[#This Row],[ID]]&amp;Tabela1[[#This Row],[MATRICULA]]&amp;"Ponto de Apoio 3"&amp;Tabela1[[#This Row],[SETOR]],BD!A:AF,13,0),"")</f>
        <v/>
      </c>
      <c r="BU215" s="135" t="str">
        <f>IFERROR(VLOOKUP(Tabela1[[#This Row],[MÊS]]&amp;Tabela1[[#This Row],[ID]]&amp;Tabela1[[#This Row],[MATRICULA]]&amp;"Ponto de Apoio 4"&amp;Tabela1[[#This Row],[SETOR]],BD!A:AF,13,0),"")</f>
        <v/>
      </c>
      <c r="BV215" s="135" t="str">
        <f>IFERROR(AVERAGE(Tabela1[[#This Row],[DPA]:[DPA 4]]),"")</f>
        <v/>
      </c>
      <c r="BW215" s="135" t="str">
        <f>IFERROR(VLOOKUP(Tabela1[[#This Row],[MÊS]]&amp;Tabela1[[#This Row],[ID]]&amp;Tabela1[[#This Row],[MATRICULA]]&amp;"Cliente"&amp;Tabela1[[#This Row],[SETOR]],BD!A:AF,13,0),"")</f>
        <v/>
      </c>
      <c r="BX215" s="135" t="str">
        <f>IFERROR(VLOOKUP(Tabela1[[#This Row],[MÊS]]&amp;Tabela1[[#This Row],[ID]]&amp;Tabela1[[#This Row],[MATRICULA]]&amp;"cliente 2"&amp;Tabela1[[#This Row],[SETOR]],BD!A:AF,13,0),"")</f>
        <v/>
      </c>
      <c r="BY215" s="135" t="str">
        <f>IFERROR(VLOOKUP(Tabela1[[#This Row],[MÊS]]&amp;Tabela1[[#This Row],[ID]]&amp;Tabela1[[#This Row],[MATRICULA]]&amp;"cliente 3"&amp;Tabela1[[#This Row],[SETOR]],BD!A:AF,13,0),"")</f>
        <v/>
      </c>
      <c r="BZ215" s="135" t="str">
        <f>IFERROR(VLOOKUP(Tabela1[[#This Row],[MÊS]]&amp;Tabela1[[#This Row],[ID]]&amp;Tabela1[[#This Row],[MATRICULA]]&amp;"cliente 4"&amp;Tabela1[[#This Row],[SETOR]],BD!A:AF,13,0),"")</f>
        <v/>
      </c>
      <c r="CA215" s="135" t="str">
        <f>IFERROR(AVERAGE(Tabela1[[#This Row],[DCLI]:[DCLI 4]]),"")</f>
        <v/>
      </c>
      <c r="CB215" s="135" t="str">
        <f>IFERROR(VLOOKUP(Tabela1[[#This Row],[MÊS]]&amp;Tabela1[[#This Row],[ID]]&amp;Tabela1[[#This Row],[MATRICULA]]&amp;"Policia"&amp;Tabela1[[#This Row],[SETOR]],BD!A:AF,13,0),"")</f>
        <v/>
      </c>
      <c r="CC215" s="135" t="str">
        <f>IFERROR(VLOOKUP(Tabela1[[#This Row],[MÊS]]&amp;Tabela1[[#This Row],[ID]]&amp;Tabela1[[#This Row],[MATRICULA]]&amp;"Policia 2"&amp;Tabela1[[#This Row],[SETOR]],BD!A:AF,13,0),"")</f>
        <v/>
      </c>
      <c r="CD215" s="135"/>
      <c r="CE215" s="135"/>
      <c r="CF215" s="135" t="str">
        <f>IFERROR((AVERAGE(Tabela1[[#This Row],[DPOL1]:[DPOL4]])),"")</f>
        <v/>
      </c>
      <c r="CG215" s="21" t="str">
        <f>IFERROR(VLOOKUP(Tabela1[[#This Row],[ID]]&amp;Tabela1[[#This Row],[MÊS]]&amp;Tabela1[[#This Row],[MATRICULA]],#REF!,2,0),"")</f>
        <v/>
      </c>
      <c r="CH215" s="21" t="str">
        <f>IFERROR(VLOOKUP(Tabela1[[#This Row],[ID]]&amp;Tabela1[[#This Row],[MÊS]]&amp;Tabela1[[#This Row],[MATRICULA]],#REF!,2,0),"")</f>
        <v/>
      </c>
      <c r="CI215" s="21" t="str">
        <f>IFERROR(VLOOKUP(Tabela1[[#This Row],[MÊS]]&amp;Tabela1[[#This Row],[MATRICULA]],#REF!,2,0),"")</f>
        <v/>
      </c>
    </row>
    <row r="216" spans="1:87">
      <c r="A216" s="12" t="str">
        <f>Tabela1[[#This Row],[MÊS]]&amp;Tabela1[[#This Row],[MATRICULA]]&amp;Tabela1[[#This Row],[ID]]</f>
        <v>JAN114137</v>
      </c>
      <c r="B216" s="12" t="str">
        <f>Tabela1[[#This Row],[MÊS]]&amp;Tabela1[[#This Row],[ID]]&amp;Tabela1[[#This Row],[MATRICULA]]&amp;Tabela1[[#This Row],[SETOR]]</f>
        <v>JAN711413TRANSFERÊNCIA</v>
      </c>
      <c r="C216" s="130" t="e">
        <f>VLOOKUP(Tabela1[[#This Row],[MATRICULA]],'BD Campos'!A:D,5,0)</f>
        <v>#REF!</v>
      </c>
      <c r="D216" s="133" t="str">
        <f ca="1">IFERROR(SUM(TODAY()-Tabela1[[#This Row],[ADMISSÃO]]),"")</f>
        <v/>
      </c>
      <c r="E216" s="11" t="str">
        <f ca="1">IFERROR(TRUNC(Tabela1[[#This Row],[TEMPO DE CASA (DIAS)]]/30),"")</f>
        <v/>
      </c>
      <c r="F216" s="32" t="str">
        <f ca="1">IFERROR(SUM(Tabela1[[#This Row],[TEMPO DE CASA (MESES)]]/12),"")</f>
        <v/>
      </c>
      <c r="G216" s="133" t="str">
        <f ca="1">IF(Tabela1[[#This Row],[TEMPO DE CASA (DIAS)]]="","SEM DADOS",IF(Tabela1[[#This Row],[TEMPO DE CASA (DIAS)]]&gt;180,"&gt; 6 MESES","&lt; 6 MESES"))</f>
        <v>SEM DADOS</v>
      </c>
      <c r="H216" s="12" t="str">
        <f t="shared" si="19"/>
        <v>JANGabryelle Marcilio7</v>
      </c>
      <c r="I216" s="12" t="str">
        <f>IFERROR(VLOOKUP(Tabela1[[#This Row],[MATRICULA]],'BD Campos'!A:F,7,0),"")</f>
        <v/>
      </c>
      <c r="J216" s="11">
        <v>7</v>
      </c>
      <c r="K216" s="11" t="s">
        <v>669</v>
      </c>
      <c r="L216" s="136">
        <v>11413</v>
      </c>
      <c r="M216" s="12" t="str">
        <f>IFERROR(VLOOKUP(Tabela1[[#This Row],[MATRICULA]],'BD Campos'!A:B,2,0),"")</f>
        <v>GEAN FIGUEIREDO LEAL</v>
      </c>
      <c r="N216" s="20">
        <f>IFERROR(AVERAGE(Tabela1[[#This Row],[A1]:[A4]]),"")</f>
        <v>9.3595000000000006</v>
      </c>
      <c r="O216" s="20" t="str">
        <f>IFERROR(IF(Tabela1[[#This Row],[SETOR]]="RECEPTIVO","",AVERAGE(Tabela1[[#This Row],[A5]:[A6]])),"")</f>
        <v/>
      </c>
      <c r="P216" s="20" t="str">
        <f>IFERROR(IF(Tabela1[[#This Row],[STATUS]]="INATIVO","INATIVO",IF(Tabela1[[#This Row],[STATUS]]="QRT","INATIVO",IF(Tabela1[[#This Row],[OPERACIONAL]]&gt;7.99999,"BOM","RUIM"))),"")</f>
        <v>BOM</v>
      </c>
      <c r="Q216" s="21" t="s">
        <v>667</v>
      </c>
      <c r="R216" s="12" t="s">
        <v>716</v>
      </c>
      <c r="S216" s="12" t="s">
        <v>717</v>
      </c>
      <c r="T216" s="12" t="s">
        <v>192</v>
      </c>
      <c r="U216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6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16" s="12">
        <f>IF(AND(Tabela1[[#This Row],[SETOR]]="UTI",Tabela1[[#This Row],[M]]&lt;&gt;""),1,IF(AND(Tabela1[[#This Row],[SETOR]]="UTI (RJ)",Tabela1[[#This Row],[M]]&lt;&gt;""),1.5,0))</f>
        <v>0</v>
      </c>
      <c r="X216" s="12">
        <f>IF(AND(Tabela1[[#This Row],[SETOR]]="UTI",Tabela1[[#This Row],[PA2]]&lt;&gt;""),1,IF(AND(Tabela1[[#This Row],[SETOR]]="UTI (RJ)",Tabela1[[#This Row],[PA2]]&lt;&gt;""),0,0))</f>
        <v>0</v>
      </c>
      <c r="Y216" s="12">
        <f>IF(AND(Tabela1[[#This Row],[SETOR]]="UTI",Tabela1[[#This Row],[C]]&lt;&gt;""),1,IF(AND(Tabela1[[#This Row],[SETOR]]="UTI (RJ)",Tabela1[[#This Row],[C]]&lt;&gt;""),1.5,0))</f>
        <v>0</v>
      </c>
      <c r="Z216" s="12">
        <f>IF(AND(Tabela1[[#This Row],[SETOR]]="UTI",Tabela1[[#This Row],[PL]]&lt;&gt;""),1,IF(AND(Tabela1[[#This Row],[SETOR]]="UTI (RJ)",Tabela1[[#This Row],[PL]]&lt;&gt;""),1,0))</f>
        <v>0</v>
      </c>
      <c r="AA216" s="21">
        <f>IFERROR(VLOOKUP(Tabela1[[#This Row],[MÊS]]&amp;Tabela1[[#This Row],[MATRICULA]]&amp;"1"&amp;Tabela1[[#This Row],[SETOR]]&amp;"PADRÃO",BD!B:AF,31,0),"")</f>
        <v>10.000000000000002</v>
      </c>
      <c r="AB216" s="21">
        <f>IFERROR(VLOOKUP(Tabela1[[#This Row],[MÊS]]&amp;Tabela1[[#This Row],[MATRICULA]]&amp;"2"&amp;Tabela1[[#This Row],[SETOR]]&amp;"PADRÃO",BD!B:AF,31,0),"")</f>
        <v>8.7189999999999994</v>
      </c>
      <c r="AC216" s="21" t="str">
        <f>IFERROR(VLOOKUP(Tabela1[[#This Row],[MÊS]]&amp;Tabela1[[#This Row],[MATRICULA]]&amp;"3"&amp;Tabela1[[#This Row],[SETOR]]&amp;"PADRÃO",BD!B:AF,31,0),"")</f>
        <v/>
      </c>
      <c r="AD216" s="21" t="str">
        <f>IFERROR(VLOOKUP(Tabela1[[#This Row],[MÊS]]&amp;Tabela1[[#This Row],[MATRICULA]]&amp;"4"&amp;Tabela1[[#This Row],[SETOR]]&amp;"PADRÃO",BD!B:AF,25,0),"")</f>
        <v/>
      </c>
      <c r="AE216" s="21" t="str">
        <f>IFERROR(VLOOKUP(Tabela1[[#This Row],[MÊS]]&amp;Tabela1[[#This Row],[MATRICULA]]&amp;"5"&amp;Tabela1[[#This Row],[SETOR]]&amp;"PADRÃO",BD!B:AF,31,0),"")</f>
        <v/>
      </c>
      <c r="AF216" s="21" t="str">
        <f>IFERROR(VLOOKUP(Tabela1[[#This Row],[MÊS]]&amp;Tabela1[[#This Row],[MATRICULA]]&amp;"6"&amp;Tabela1[[#This Row],[SETOR]]&amp;"PADRÃO",BD!B:AF,31,0),"")</f>
        <v/>
      </c>
      <c r="AG216" s="21" t="str">
        <f>IFERROR(VLOOKUP(Tabela1[[#This Row],[MÊS]]&amp;Tabela1[[#This Row],[MATRICULA]]&amp;"7"&amp;Tabela1[[#This Row],[SETOR]]&amp;"PADRÃO",BD!B:AF,31,0),"")</f>
        <v/>
      </c>
      <c r="AH216" s="21" t="str">
        <f>IFERROR(VLOOKUP(Tabela1[[#This Row],[MÊS]]&amp;Tabela1[[#This Row],[ID]]&amp;Tabela1[[#This Row],[MATRICULA]]&amp;"Receptiva"&amp;Tabela1[[#This Row],[SETOR]],BD!A:AF,31,0),"")</f>
        <v/>
      </c>
      <c r="AI216" s="21" t="str">
        <f>IFERROR(VLOOKUP(Tabela1[[#This Row],[MÊS]]&amp;Tabela1[[#This Row],[ID]]&amp;Tabela1[[#This Row],[MATRICULA]]&amp;"Receptiva 2"&amp;Tabela1[[#This Row],[SETOR]],BD!A:AF,31,0),"")</f>
        <v/>
      </c>
      <c r="AJ216" s="21" t="str">
        <f>IFERROR(VLOOKUP(Tabela1[[#This Row],[MÊS]]&amp;Tabela1[[#This Row],[ID]]&amp;Tabela1[[#This Row],[MATRICULA]]&amp;"Receptiva 3"&amp;Tabela1[[#This Row],[SETOR]],BD!A:AF,31,0),"")</f>
        <v/>
      </c>
      <c r="AK216" s="21" t="str">
        <f>IFERROR(VLOOKUP(Tabela1[[#This Row],[MÊS]]&amp;Tabela1[[#This Row],[ID]]&amp;Tabela1[[#This Row],[MATRICULA]]&amp;"Receptiva 4"&amp;Tabela1[[#This Row],[SETOR]],BD!A:AF,31,0),"")</f>
        <v/>
      </c>
      <c r="AL216" s="21">
        <f>IFERROR(VLOOKUP(Tabela1[[#This Row],[MÊS]]&amp;Tabela1[[#This Row],[MATRICULA]]&amp;"Motorista"&amp;Tabela1[[#This Row],[SETOR]],BD!A:AF,31,0),"")</f>
        <v>0</v>
      </c>
      <c r="AM216" s="21" t="str">
        <f>IFERROR(VLOOKUP(Tabela1[[#This Row],[MÊS]]&amp;Tabela1[[#This Row],[ID]]&amp;Tabela1[[#This Row],[MATRICULA]]&amp;"Motorista 2"&amp;Tabela1[[#This Row],[SETOR]],BD!A:AF,26,0),"")</f>
        <v/>
      </c>
      <c r="AN216" s="21" t="str">
        <f>IFERROR(VLOOKUP(Tabela1[[#This Row],[MÊS]]&amp;Tabela1[[#This Row],[ID]]&amp;Tabela1[[#This Row],[MATRICULA]]&amp;"Motorista 3"&amp;Tabela1[[#This Row],[SETOR]],BD!A:AF,26,0),"")</f>
        <v/>
      </c>
      <c r="AO216" s="21" t="str">
        <f>IFERROR(VLOOKUP(Tabela1[[#This Row],[MÊS]]&amp;Tabela1[[#This Row],[ID]]&amp;Tabela1[[#This Row],[MATRICULA]]&amp;"Motorista 4"&amp;Tabela1[[#This Row],[SETOR]],BD!A:AF,26,0),"")</f>
        <v/>
      </c>
      <c r="AP216" s="21" t="str">
        <f>IFERROR(VLOOKUP(Tabela1[[#This Row],[MÊS]]&amp;Tabela1[[#This Row],[MATRICULA]]&amp;"Ponto de Apoio"&amp;Tabela1[[#This Row],[SETOR]],BD!A:AF,31,0),"")</f>
        <v/>
      </c>
      <c r="AQ216" s="21" t="str">
        <f>IFERROR(VLOOKUP(Tabela1[[#This Row],[MÊS]]&amp;Tabela1[[#This Row],[ID]]&amp;Tabela1[[#This Row],[MATRICULA]]&amp;"Ponto de Apoio 2"&amp;Tabela1[[#This Row],[SETOR]],BD!A:AF,26,0),"")</f>
        <v/>
      </c>
      <c r="AR216" s="36" t="str">
        <f>IFERROR(VLOOKUP(Tabela1[[#This Row],[MÊS]]&amp;Tabela1[[#This Row],[ID]]&amp;Tabela1[[#This Row],[MATRICULA]]&amp;"Ponto de Apoio 3"&amp;Tabela1[[#This Row],[SETOR]],BD!A:AF,26,0),"")</f>
        <v/>
      </c>
      <c r="AS216" s="36" t="str">
        <f>IFERROR(VLOOKUP(Tabela1[[#This Row],[MÊS]]&amp;Tabela1[[#This Row],[ID]]&amp;Tabela1[[#This Row],[MATRICULA]]&amp;"Ponto de Apoio 4"&amp;Tabela1[[#This Row],[SETOR]],BD!A:AF,26,0),"")</f>
        <v/>
      </c>
      <c r="AT216" s="21" t="str">
        <f>IFERROR(VLOOKUP(Tabela1[[#This Row],[MÊS]]&amp;Tabela1[[#This Row],[MATRICULA]]&amp;"Cliente"&amp;Tabela1[[#This Row],[SETOR]],BD!A:AF,31,0),"")</f>
        <v/>
      </c>
      <c r="AU216" s="21" t="str">
        <f>IFERROR(VLOOKUP(Tabela1[[#This Row],[MÊS]]&amp;Tabela1[[#This Row],[ID]]&amp;Tabela1[[#This Row],[MATRICULA]]&amp;"Cliente 2"&amp;Tabela1[[#This Row],[SETOR]],BD!A:AF,26,0),"")</f>
        <v/>
      </c>
      <c r="AX216" s="21" t="str">
        <f>IFERROR(VLOOKUP(Tabela1[[#This Row],[MÊS]]&amp;Tabela1[[#This Row],[MATRICULA]]&amp;"Policia"&amp;Tabela1[[#This Row],[SETOR]],BD!A:AF,31,0),"")</f>
        <v/>
      </c>
      <c r="AY216" s="21" t="str">
        <f>IFERROR(VLOOKUP(Tabela1[[#This Row],[MÊS]]&amp;Tabela1[[#This Row],[ID]]&amp;Tabela1[[#This Row],[MATRICULA]]&amp;"Policia 2"&amp;Tabela1[[#This Row],[SETOR]],BD!A:AF,26,0),"")</f>
        <v/>
      </c>
      <c r="AZ216" s="36" t="str">
        <f>IFERROR(VLOOKUP(Tabela1[[#This Row],[MÊS]]&amp;Tabela1[[#This Row],[ID]]&amp;Tabela1[[#This Row],[MATRICULA]]&amp;"Policia 3"&amp;Tabela1[[#This Row],[SETOR]],BD!A:AF,26,0),"")</f>
        <v/>
      </c>
      <c r="BA216" s="36" t="str">
        <f>IFERROR(VLOOKUP(Tabela1[[#This Row],[MÊS]]&amp;Tabela1[[#This Row],[ID]]&amp;Tabela1[[#This Row],[MATRICULA]]&amp;"Policia 4"&amp;Tabela1[[#This Row],[SETOR]],BD!A:AF,26,0),"")</f>
        <v/>
      </c>
      <c r="BB216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6" s="21">
        <f>IFERROR(AVERAGE(Tabela1[[#This Row],[M]:[M4]]),"")</f>
        <v>0</v>
      </c>
      <c r="BD216" s="21" t="str">
        <f>IFERROR(AVERAGE(Tabela1[[#This Row],[C]:[C4]]),"")</f>
        <v/>
      </c>
      <c r="BE216" s="21" t="str">
        <f>IFERROR(AVERAGE(Tabela1[[#This Row],[PA2]:[PA 4]]),"")</f>
        <v/>
      </c>
      <c r="BF216" s="21" t="str">
        <f>IFERROR(AVERAGE(Tabela1[[#This Row],[PL]:[PL4]]),"")</f>
        <v/>
      </c>
      <c r="BG216" s="35" t="str">
        <f>IFERROR(VLOOKUP(Tabela1[[#This Row],[MÊS]]&amp;Tabela1[[#This Row],[MATRICULA]],#REF!,2,0),"")</f>
        <v/>
      </c>
      <c r="BH216" s="35" t="str">
        <f>IFERROR(VLOOKUP(Tabela1[[#This Row],[MÊS]]&amp;Tabela1[[#This Row],[MATRICULA]],#REF!,2,0),"")</f>
        <v/>
      </c>
      <c r="BI216" s="35" t="str">
        <f>IFERROR(VLOOKUP(Tabela1[[#This Row],[MÊS]]&amp;Tabela1[[#This Row],[MATRICULA]],#REF!,2,0),"")</f>
        <v/>
      </c>
      <c r="BJ216" s="35" t="str">
        <f>IFERROR(VLOOKUP(Tabela1[[#This Row],[MÊS]]&amp;Tabela1[[#This Row],[MATRICULA]],#REF!,2,0),"")</f>
        <v/>
      </c>
      <c r="BK216" s="35" t="str">
        <f>IFERROR(VLOOKUP(Tabela1[[#This Row],[MÊS]]&amp;Tabela1[[#This Row],[MATRICULA]],#REF!,2,0),"")</f>
        <v/>
      </c>
      <c r="BL216" s="21">
        <f>COUNTIF(Tabela1[[#This Row],[MOT2]:[RECEPTIVA]],"NÃO ENCONTRADA")</f>
        <v>0</v>
      </c>
      <c r="BM216" s="135" t="str">
        <f>IFERROR(VLOOKUP(Tabela1[[#This Row],[MÊS]]&amp;Tabela1[[#This Row],[ID]]&amp;Tabela1[[#This Row],[MATRICULA]]&amp;"Motorista"&amp;Tabela1[[#This Row],[SETOR]],BD!A:AF,13,0),"")</f>
        <v/>
      </c>
      <c r="BN216" s="135" t="str">
        <f>IFERROR(VLOOKUP(Tabela1[[#This Row],[MÊS]]&amp;Tabela1[[#This Row],[ID]]&amp;Tabela1[[#This Row],[MATRICULA]]&amp;"Motorista 2"&amp;Tabela1[[#This Row],[SETOR]],BD!A:AF,13,0),"")</f>
        <v/>
      </c>
      <c r="BO216" s="135" t="str">
        <f>IFERROR(VLOOKUP(Tabela1[[#This Row],[MÊS]]&amp;Tabela1[[#This Row],[ID]]&amp;Tabela1[[#This Row],[MATRICULA]]&amp;"Motorista 3"&amp;Tabela1[[#This Row],[SETOR]],BD!A:AF,13,0),"")</f>
        <v/>
      </c>
      <c r="BP216" s="135" t="str">
        <f>IFERROR(VLOOKUP(Tabela1[[#This Row],[MÊS]]&amp;Tabela1[[#This Row],[ID]]&amp;Tabela1[[#This Row],[MATRICULA]]&amp;"Motorista 4"&amp;Tabela1[[#This Row],[SETOR]],BD!A:AF,13,0),"")</f>
        <v/>
      </c>
      <c r="BQ216" s="135" t="str">
        <f>IFERROR(AVERAGE(Tabela1[[#This Row],[DMOT]:[DMOT4]]),"")</f>
        <v/>
      </c>
      <c r="BR216" s="135" t="str">
        <f>IFERROR(VLOOKUP(Tabela1[[#This Row],[MÊS]]&amp;Tabela1[[#This Row],[ID]]&amp;Tabela1[[#This Row],[MATRICULA]]&amp;"Ponto de Apoio"&amp;Tabela1[[#This Row],[SETOR]],BD!A:AF,13,0),"")</f>
        <v/>
      </c>
      <c r="BS216" s="135" t="str">
        <f>IFERROR(VLOOKUP(Tabela1[[#This Row],[MÊS]]&amp;Tabela1[[#This Row],[ID]]&amp;Tabela1[[#This Row],[MATRICULA]]&amp;"Ponto de Apoio 2"&amp;Tabela1[[#This Row],[SETOR]],BD!A:AF,13,0),"")</f>
        <v/>
      </c>
      <c r="BT216" s="135" t="str">
        <f>IFERROR(VLOOKUP(Tabela1[[#This Row],[MÊS]]&amp;Tabela1[[#This Row],[ID]]&amp;Tabela1[[#This Row],[MATRICULA]]&amp;"Ponto de Apoio 3"&amp;Tabela1[[#This Row],[SETOR]],BD!A:AF,13,0),"")</f>
        <v/>
      </c>
      <c r="BU216" s="135" t="str">
        <f>IFERROR(VLOOKUP(Tabela1[[#This Row],[MÊS]]&amp;Tabela1[[#This Row],[ID]]&amp;Tabela1[[#This Row],[MATRICULA]]&amp;"Ponto de Apoio 4"&amp;Tabela1[[#This Row],[SETOR]],BD!A:AF,13,0),"")</f>
        <v/>
      </c>
      <c r="BV216" s="135" t="str">
        <f>IFERROR(AVERAGE(Tabela1[[#This Row],[DPA]:[DPA 4]]),"")</f>
        <v/>
      </c>
      <c r="BW216" s="135" t="str">
        <f>IFERROR(VLOOKUP(Tabela1[[#This Row],[MÊS]]&amp;Tabela1[[#This Row],[ID]]&amp;Tabela1[[#This Row],[MATRICULA]]&amp;"Cliente"&amp;Tabela1[[#This Row],[SETOR]],BD!A:AF,13,0),"")</f>
        <v/>
      </c>
      <c r="BX216" s="135" t="str">
        <f>IFERROR(VLOOKUP(Tabela1[[#This Row],[MÊS]]&amp;Tabela1[[#This Row],[ID]]&amp;Tabela1[[#This Row],[MATRICULA]]&amp;"cliente 2"&amp;Tabela1[[#This Row],[SETOR]],BD!A:AF,13,0),"")</f>
        <v/>
      </c>
      <c r="BY216" s="135" t="str">
        <f>IFERROR(VLOOKUP(Tabela1[[#This Row],[MÊS]]&amp;Tabela1[[#This Row],[ID]]&amp;Tabela1[[#This Row],[MATRICULA]]&amp;"cliente 3"&amp;Tabela1[[#This Row],[SETOR]],BD!A:AF,13,0),"")</f>
        <v/>
      </c>
      <c r="BZ216" s="135" t="str">
        <f>IFERROR(VLOOKUP(Tabela1[[#This Row],[MÊS]]&amp;Tabela1[[#This Row],[ID]]&amp;Tabela1[[#This Row],[MATRICULA]]&amp;"cliente 4"&amp;Tabela1[[#This Row],[SETOR]],BD!A:AF,13,0),"")</f>
        <v/>
      </c>
      <c r="CA216" s="135" t="str">
        <f>IFERROR(AVERAGE(Tabela1[[#This Row],[DCLI]:[DCLI 4]]),"")</f>
        <v/>
      </c>
      <c r="CB216" s="135" t="str">
        <f>IFERROR(VLOOKUP(Tabela1[[#This Row],[MÊS]]&amp;Tabela1[[#This Row],[ID]]&amp;Tabela1[[#This Row],[MATRICULA]]&amp;"Policia"&amp;Tabela1[[#This Row],[SETOR]],BD!A:AF,13,0),"")</f>
        <v/>
      </c>
      <c r="CC216" s="135" t="str">
        <f>IFERROR(VLOOKUP(Tabela1[[#This Row],[MÊS]]&amp;Tabela1[[#This Row],[ID]]&amp;Tabela1[[#This Row],[MATRICULA]]&amp;"Policia 2"&amp;Tabela1[[#This Row],[SETOR]],BD!A:AF,13,0),"")</f>
        <v/>
      </c>
      <c r="CD216" s="135"/>
      <c r="CE216" s="135"/>
      <c r="CF216" s="135" t="str">
        <f>IFERROR((AVERAGE(Tabela1[[#This Row],[DPOL1]:[DPOL4]])),"")</f>
        <v/>
      </c>
      <c r="CG216" s="21" t="str">
        <f>IFERROR(VLOOKUP(Tabela1[[#This Row],[ID]]&amp;Tabela1[[#This Row],[MÊS]]&amp;Tabela1[[#This Row],[MATRICULA]],#REF!,2,0),"")</f>
        <v/>
      </c>
      <c r="CH216" s="21" t="str">
        <f>IFERROR(VLOOKUP(Tabela1[[#This Row],[ID]]&amp;Tabela1[[#This Row],[MÊS]]&amp;Tabela1[[#This Row],[MATRICULA]],#REF!,2,0),"")</f>
        <v/>
      </c>
      <c r="CI216" s="21" t="str">
        <f>IFERROR(VLOOKUP(Tabela1[[#This Row],[MÊS]]&amp;Tabela1[[#This Row],[MATRICULA]],#REF!,2,0),"")</f>
        <v/>
      </c>
    </row>
    <row r="217" spans="1:87">
      <c r="A217" s="12" t="str">
        <f>Tabela1[[#This Row],[MÊS]]&amp;Tabela1[[#This Row],[MATRICULA]]&amp;Tabela1[[#This Row],[ID]]</f>
        <v>JAN109398</v>
      </c>
      <c r="B217" s="12" t="str">
        <f>Tabela1[[#This Row],[MÊS]]&amp;Tabela1[[#This Row],[ID]]&amp;Tabela1[[#This Row],[MATRICULA]]&amp;Tabela1[[#This Row],[SETOR]]</f>
        <v>JAN810939TRANSFERÊNCIA</v>
      </c>
      <c r="C217" s="130" t="e">
        <f>VLOOKUP(Tabela1[[#This Row],[MATRICULA]],'BD Campos'!A:D,5,0)</f>
        <v>#REF!</v>
      </c>
      <c r="D217" s="133" t="str">
        <f ca="1">IFERROR(SUM(TODAY()-Tabela1[[#This Row],[ADMISSÃO]]),"")</f>
        <v/>
      </c>
      <c r="E217" s="11" t="str">
        <f ca="1">IFERROR(TRUNC(Tabela1[[#This Row],[TEMPO DE CASA (DIAS)]]/30),"")</f>
        <v/>
      </c>
      <c r="F217" s="32" t="str">
        <f ca="1">IFERROR(SUM(Tabela1[[#This Row],[TEMPO DE CASA (MESES)]]/12),"")</f>
        <v/>
      </c>
      <c r="G217" s="133" t="str">
        <f ca="1">IF(Tabela1[[#This Row],[TEMPO DE CASA (DIAS)]]="","SEM DADOS",IF(Tabela1[[#This Row],[TEMPO DE CASA (DIAS)]]&gt;180,"&gt; 6 MESES","&lt; 6 MESES"))</f>
        <v>SEM DADOS</v>
      </c>
      <c r="H217" s="12" t="str">
        <f t="shared" si="19"/>
        <v>JANGabryelle Marcilio8</v>
      </c>
      <c r="I217" s="12" t="str">
        <f>IFERROR(VLOOKUP(Tabela1[[#This Row],[MATRICULA]],'BD Campos'!A:F,7,0),"")</f>
        <v/>
      </c>
      <c r="J217" s="11">
        <v>8</v>
      </c>
      <c r="K217" s="11" t="s">
        <v>669</v>
      </c>
      <c r="L217" s="136">
        <v>10939</v>
      </c>
      <c r="M217" s="12" t="str">
        <f>IFERROR(VLOOKUP(Tabela1[[#This Row],[MATRICULA]],'BD Campos'!A:B,2,0),"")</f>
        <v>JACIARA SIMAO LEITE</v>
      </c>
      <c r="N217" s="20">
        <f>IFERROR(AVERAGE(Tabela1[[#This Row],[A1]:[A4]]),"")</f>
        <v>5.0000000000000009</v>
      </c>
      <c r="O217" s="20" t="str">
        <f>IFERROR(IF(Tabela1[[#This Row],[SETOR]]="RECEPTIVO","",AVERAGE(Tabela1[[#This Row],[A5]:[A6]])),"")</f>
        <v/>
      </c>
      <c r="P217" s="20" t="str">
        <f>IFERROR(IF(Tabela1[[#This Row],[STATUS]]="INATIVO","INATIVO",IF(Tabela1[[#This Row],[STATUS]]="QRT","INATIVO",IF(Tabela1[[#This Row],[OPERACIONAL]]&gt;7.99999,"BOM","RUIM"))),"")</f>
        <v>RUIM</v>
      </c>
      <c r="Q217" s="21" t="s">
        <v>667</v>
      </c>
      <c r="R217" s="12" t="s">
        <v>716</v>
      </c>
      <c r="S217" s="12" t="s">
        <v>717</v>
      </c>
      <c r="T217" s="12" t="s">
        <v>192</v>
      </c>
      <c r="U217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7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17" s="12">
        <f>IF(AND(Tabela1[[#This Row],[SETOR]]="UTI",Tabela1[[#This Row],[M]]&lt;&gt;""),1,IF(AND(Tabela1[[#This Row],[SETOR]]="UTI (RJ)",Tabela1[[#This Row],[M]]&lt;&gt;""),1.5,0))</f>
        <v>0</v>
      </c>
      <c r="X217" s="12">
        <f>IF(AND(Tabela1[[#This Row],[SETOR]]="UTI",Tabela1[[#This Row],[PA2]]&lt;&gt;""),1,IF(AND(Tabela1[[#This Row],[SETOR]]="UTI (RJ)",Tabela1[[#This Row],[PA2]]&lt;&gt;""),0,0))</f>
        <v>0</v>
      </c>
      <c r="Y217" s="12">
        <f>IF(AND(Tabela1[[#This Row],[SETOR]]="UTI",Tabela1[[#This Row],[C]]&lt;&gt;""),1,IF(AND(Tabela1[[#This Row],[SETOR]]="UTI (RJ)",Tabela1[[#This Row],[C]]&lt;&gt;""),1.5,0))</f>
        <v>0</v>
      </c>
      <c r="Z217" s="12">
        <f>IF(AND(Tabela1[[#This Row],[SETOR]]="UTI",Tabela1[[#This Row],[PL]]&lt;&gt;""),1,IF(AND(Tabela1[[#This Row],[SETOR]]="UTI (RJ)",Tabela1[[#This Row],[PL]]&lt;&gt;""),1,0))</f>
        <v>0</v>
      </c>
      <c r="AA217" s="21">
        <f>IFERROR(VLOOKUP(Tabela1[[#This Row],[MÊS]]&amp;Tabela1[[#This Row],[MATRICULA]]&amp;"1"&amp;Tabela1[[#This Row],[SETOR]]&amp;"PADRÃO",BD!B:AF,31,0),"")</f>
        <v>0</v>
      </c>
      <c r="AB217" s="21">
        <f>IFERROR(VLOOKUP(Tabela1[[#This Row],[MÊS]]&amp;Tabela1[[#This Row],[MATRICULA]]&amp;"2"&amp;Tabela1[[#This Row],[SETOR]]&amp;"PADRÃO",BD!B:AF,31,0),"")</f>
        <v>10.000000000000002</v>
      </c>
      <c r="AC217" s="21" t="str">
        <f>IFERROR(VLOOKUP(Tabela1[[#This Row],[MÊS]]&amp;Tabela1[[#This Row],[MATRICULA]]&amp;"3"&amp;Tabela1[[#This Row],[SETOR]]&amp;"PADRÃO",BD!B:AF,31,0),"")</f>
        <v/>
      </c>
      <c r="AD217" s="21" t="str">
        <f>IFERROR(VLOOKUP(Tabela1[[#This Row],[MÊS]]&amp;Tabela1[[#This Row],[MATRICULA]]&amp;"4"&amp;Tabela1[[#This Row],[SETOR]]&amp;"PADRÃO",BD!B:AF,25,0),"")</f>
        <v/>
      </c>
      <c r="AE217" s="21" t="str">
        <f>IFERROR(VLOOKUP(Tabela1[[#This Row],[MÊS]]&amp;Tabela1[[#This Row],[MATRICULA]]&amp;"5"&amp;Tabela1[[#This Row],[SETOR]]&amp;"PADRÃO",BD!B:AF,31,0),"")</f>
        <v/>
      </c>
      <c r="AF217" s="21" t="str">
        <f>IFERROR(VLOOKUP(Tabela1[[#This Row],[MÊS]]&amp;Tabela1[[#This Row],[MATRICULA]]&amp;"6"&amp;Tabela1[[#This Row],[SETOR]]&amp;"PADRÃO",BD!B:AF,31,0),"")</f>
        <v/>
      </c>
      <c r="AG217" s="21" t="str">
        <f>IFERROR(VLOOKUP(Tabela1[[#This Row],[MÊS]]&amp;Tabela1[[#This Row],[MATRICULA]]&amp;"7"&amp;Tabela1[[#This Row],[SETOR]]&amp;"PADRÃO",BD!B:AF,31,0),"")</f>
        <v/>
      </c>
      <c r="AH217" s="21" t="str">
        <f>IFERROR(VLOOKUP(Tabela1[[#This Row],[MÊS]]&amp;Tabela1[[#This Row],[ID]]&amp;Tabela1[[#This Row],[MATRICULA]]&amp;"Receptiva"&amp;Tabela1[[#This Row],[SETOR]],BD!A:AF,31,0),"")</f>
        <v/>
      </c>
      <c r="AI217" s="21" t="str">
        <f>IFERROR(VLOOKUP(Tabela1[[#This Row],[MÊS]]&amp;Tabela1[[#This Row],[ID]]&amp;Tabela1[[#This Row],[MATRICULA]]&amp;"Receptiva 2"&amp;Tabela1[[#This Row],[SETOR]],BD!A:AF,31,0),"")</f>
        <v/>
      </c>
      <c r="AJ217" s="21" t="str">
        <f>IFERROR(VLOOKUP(Tabela1[[#This Row],[MÊS]]&amp;Tabela1[[#This Row],[ID]]&amp;Tabela1[[#This Row],[MATRICULA]]&amp;"Receptiva 3"&amp;Tabela1[[#This Row],[SETOR]],BD!A:AF,31,0),"")</f>
        <v/>
      </c>
      <c r="AK217" s="21" t="str">
        <f>IFERROR(VLOOKUP(Tabela1[[#This Row],[MÊS]]&amp;Tabela1[[#This Row],[ID]]&amp;Tabela1[[#This Row],[MATRICULA]]&amp;"Receptiva 4"&amp;Tabela1[[#This Row],[SETOR]],BD!A:AF,31,0),"")</f>
        <v/>
      </c>
      <c r="AL217" s="21">
        <f>IFERROR(VLOOKUP(Tabela1[[#This Row],[MÊS]]&amp;Tabela1[[#This Row],[MATRICULA]]&amp;"Motorista"&amp;Tabela1[[#This Row],[SETOR]],BD!A:AF,31,0),"")</f>
        <v>0</v>
      </c>
      <c r="AM217" s="21" t="str">
        <f>IFERROR(VLOOKUP(Tabela1[[#This Row],[MÊS]]&amp;Tabela1[[#This Row],[ID]]&amp;Tabela1[[#This Row],[MATRICULA]]&amp;"Motorista 2"&amp;Tabela1[[#This Row],[SETOR]],BD!A:AF,26,0),"")</f>
        <v/>
      </c>
      <c r="AN217" s="21" t="str">
        <f>IFERROR(VLOOKUP(Tabela1[[#This Row],[MÊS]]&amp;Tabela1[[#This Row],[ID]]&amp;Tabela1[[#This Row],[MATRICULA]]&amp;"Motorista 3"&amp;Tabela1[[#This Row],[SETOR]],BD!A:AF,26,0),"")</f>
        <v/>
      </c>
      <c r="AO217" s="21" t="str">
        <f>IFERROR(VLOOKUP(Tabela1[[#This Row],[MÊS]]&amp;Tabela1[[#This Row],[ID]]&amp;Tabela1[[#This Row],[MATRICULA]]&amp;"Motorista 4"&amp;Tabela1[[#This Row],[SETOR]],BD!A:AF,26,0),"")</f>
        <v/>
      </c>
      <c r="AP217" s="21" t="str">
        <f>IFERROR(VLOOKUP(Tabela1[[#This Row],[MÊS]]&amp;Tabela1[[#This Row],[MATRICULA]]&amp;"Ponto de Apoio"&amp;Tabela1[[#This Row],[SETOR]],BD!A:AF,31,0),"")</f>
        <v/>
      </c>
      <c r="AQ217" s="21" t="str">
        <f>IFERROR(VLOOKUP(Tabela1[[#This Row],[MÊS]]&amp;Tabela1[[#This Row],[ID]]&amp;Tabela1[[#This Row],[MATRICULA]]&amp;"Ponto de Apoio 2"&amp;Tabela1[[#This Row],[SETOR]],BD!A:AF,26,0),"")</f>
        <v/>
      </c>
      <c r="AR217" s="36" t="str">
        <f>IFERROR(VLOOKUP(Tabela1[[#This Row],[MÊS]]&amp;Tabela1[[#This Row],[ID]]&amp;Tabela1[[#This Row],[MATRICULA]]&amp;"Ponto de Apoio 3"&amp;Tabela1[[#This Row],[SETOR]],BD!A:AF,26,0),"")</f>
        <v/>
      </c>
      <c r="AS217" s="36" t="str">
        <f>IFERROR(VLOOKUP(Tabela1[[#This Row],[MÊS]]&amp;Tabela1[[#This Row],[ID]]&amp;Tabela1[[#This Row],[MATRICULA]]&amp;"Ponto de Apoio 4"&amp;Tabela1[[#This Row],[SETOR]],BD!A:AF,26,0),"")</f>
        <v/>
      </c>
      <c r="AT217" s="21" t="str">
        <f>IFERROR(VLOOKUP(Tabela1[[#This Row],[MÊS]]&amp;Tabela1[[#This Row],[MATRICULA]]&amp;"Cliente"&amp;Tabela1[[#This Row],[SETOR]],BD!A:AF,31,0),"")</f>
        <v/>
      </c>
      <c r="AU217" s="21" t="str">
        <f>IFERROR(VLOOKUP(Tabela1[[#This Row],[MÊS]]&amp;Tabela1[[#This Row],[ID]]&amp;Tabela1[[#This Row],[MATRICULA]]&amp;"Cliente 2"&amp;Tabela1[[#This Row],[SETOR]],BD!A:AF,26,0),"")</f>
        <v/>
      </c>
      <c r="AX217" s="21" t="str">
        <f>IFERROR(VLOOKUP(Tabela1[[#This Row],[MÊS]]&amp;Tabela1[[#This Row],[MATRICULA]]&amp;"Policia"&amp;Tabela1[[#This Row],[SETOR]],BD!A:AF,31,0),"")</f>
        <v/>
      </c>
      <c r="AY217" s="21" t="str">
        <f>IFERROR(VLOOKUP(Tabela1[[#This Row],[MÊS]]&amp;Tabela1[[#This Row],[ID]]&amp;Tabela1[[#This Row],[MATRICULA]]&amp;"Policia 2"&amp;Tabela1[[#This Row],[SETOR]],BD!A:AF,26,0),"")</f>
        <v/>
      </c>
      <c r="AZ217" s="36" t="str">
        <f>IFERROR(VLOOKUP(Tabela1[[#This Row],[MÊS]]&amp;Tabela1[[#This Row],[ID]]&amp;Tabela1[[#This Row],[MATRICULA]]&amp;"Policia 3"&amp;Tabela1[[#This Row],[SETOR]],BD!A:AF,26,0),"")</f>
        <v/>
      </c>
      <c r="BA217" s="36" t="str">
        <f>IFERROR(VLOOKUP(Tabela1[[#This Row],[MÊS]]&amp;Tabela1[[#This Row],[ID]]&amp;Tabela1[[#This Row],[MATRICULA]]&amp;"Policia 4"&amp;Tabela1[[#This Row],[SETOR]],BD!A:AF,26,0),"")</f>
        <v/>
      </c>
      <c r="BB217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7" s="21">
        <f>IFERROR(AVERAGE(Tabela1[[#This Row],[M]:[M4]]),"")</f>
        <v>0</v>
      </c>
      <c r="BD217" s="21" t="str">
        <f>IFERROR(AVERAGE(Tabela1[[#This Row],[C]:[C4]]),"")</f>
        <v/>
      </c>
      <c r="BE217" s="21" t="str">
        <f>IFERROR(AVERAGE(Tabela1[[#This Row],[PA2]:[PA 4]]),"")</f>
        <v/>
      </c>
      <c r="BF217" s="21" t="str">
        <f>IFERROR(AVERAGE(Tabela1[[#This Row],[PL]:[PL4]]),"")</f>
        <v/>
      </c>
      <c r="BG217" s="35" t="str">
        <f>IFERROR(VLOOKUP(Tabela1[[#This Row],[MÊS]]&amp;Tabela1[[#This Row],[MATRICULA]],#REF!,2,0),"")</f>
        <v/>
      </c>
      <c r="BH217" s="35" t="str">
        <f>IFERROR(VLOOKUP(Tabela1[[#This Row],[MÊS]]&amp;Tabela1[[#This Row],[MATRICULA]],#REF!,2,0),"")</f>
        <v/>
      </c>
      <c r="BI217" s="35" t="str">
        <f>IFERROR(VLOOKUP(Tabela1[[#This Row],[MÊS]]&amp;Tabela1[[#This Row],[MATRICULA]],#REF!,2,0),"")</f>
        <v/>
      </c>
      <c r="BJ217" s="35" t="str">
        <f>IFERROR(VLOOKUP(Tabela1[[#This Row],[MÊS]]&amp;Tabela1[[#This Row],[MATRICULA]],#REF!,2,0),"")</f>
        <v/>
      </c>
      <c r="BK217" s="35" t="str">
        <f>IFERROR(VLOOKUP(Tabela1[[#This Row],[MÊS]]&amp;Tabela1[[#This Row],[MATRICULA]],#REF!,2,0),"")</f>
        <v/>
      </c>
      <c r="BL217" s="21">
        <f>COUNTIF(Tabela1[[#This Row],[MOT2]:[RECEPTIVA]],"NÃO ENCONTRADA")</f>
        <v>0</v>
      </c>
      <c r="BM217" s="135" t="str">
        <f>IFERROR(VLOOKUP(Tabela1[[#This Row],[MÊS]]&amp;Tabela1[[#This Row],[ID]]&amp;Tabela1[[#This Row],[MATRICULA]]&amp;"Motorista"&amp;Tabela1[[#This Row],[SETOR]],BD!A:AF,13,0),"")</f>
        <v/>
      </c>
      <c r="BN217" s="135" t="str">
        <f>IFERROR(VLOOKUP(Tabela1[[#This Row],[MÊS]]&amp;Tabela1[[#This Row],[ID]]&amp;Tabela1[[#This Row],[MATRICULA]]&amp;"Motorista 2"&amp;Tabela1[[#This Row],[SETOR]],BD!A:AF,13,0),"")</f>
        <v/>
      </c>
      <c r="BO217" s="135" t="str">
        <f>IFERROR(VLOOKUP(Tabela1[[#This Row],[MÊS]]&amp;Tabela1[[#This Row],[ID]]&amp;Tabela1[[#This Row],[MATRICULA]]&amp;"Motorista 3"&amp;Tabela1[[#This Row],[SETOR]],BD!A:AF,13,0),"")</f>
        <v/>
      </c>
      <c r="BP217" s="135" t="str">
        <f>IFERROR(VLOOKUP(Tabela1[[#This Row],[MÊS]]&amp;Tabela1[[#This Row],[ID]]&amp;Tabela1[[#This Row],[MATRICULA]]&amp;"Motorista 4"&amp;Tabela1[[#This Row],[SETOR]],BD!A:AF,13,0),"")</f>
        <v/>
      </c>
      <c r="BQ217" s="135" t="str">
        <f>IFERROR(AVERAGE(Tabela1[[#This Row],[DMOT]:[DMOT4]]),"")</f>
        <v/>
      </c>
      <c r="BR217" s="135" t="str">
        <f>IFERROR(VLOOKUP(Tabela1[[#This Row],[MÊS]]&amp;Tabela1[[#This Row],[ID]]&amp;Tabela1[[#This Row],[MATRICULA]]&amp;"Ponto de Apoio"&amp;Tabela1[[#This Row],[SETOR]],BD!A:AF,13,0),"")</f>
        <v/>
      </c>
      <c r="BS217" s="135" t="str">
        <f>IFERROR(VLOOKUP(Tabela1[[#This Row],[MÊS]]&amp;Tabela1[[#This Row],[ID]]&amp;Tabela1[[#This Row],[MATRICULA]]&amp;"Ponto de Apoio 2"&amp;Tabela1[[#This Row],[SETOR]],BD!A:AF,13,0),"")</f>
        <v/>
      </c>
      <c r="BT217" s="135" t="str">
        <f>IFERROR(VLOOKUP(Tabela1[[#This Row],[MÊS]]&amp;Tabela1[[#This Row],[ID]]&amp;Tabela1[[#This Row],[MATRICULA]]&amp;"Ponto de Apoio 3"&amp;Tabela1[[#This Row],[SETOR]],BD!A:AF,13,0),"")</f>
        <v/>
      </c>
      <c r="BU217" s="135" t="str">
        <f>IFERROR(VLOOKUP(Tabela1[[#This Row],[MÊS]]&amp;Tabela1[[#This Row],[ID]]&amp;Tabela1[[#This Row],[MATRICULA]]&amp;"Ponto de Apoio 4"&amp;Tabela1[[#This Row],[SETOR]],BD!A:AF,13,0),"")</f>
        <v/>
      </c>
      <c r="BV217" s="135" t="str">
        <f>IFERROR(AVERAGE(Tabela1[[#This Row],[DPA]:[DPA 4]]),"")</f>
        <v/>
      </c>
      <c r="BW217" s="135" t="str">
        <f>IFERROR(VLOOKUP(Tabela1[[#This Row],[MÊS]]&amp;Tabela1[[#This Row],[ID]]&amp;Tabela1[[#This Row],[MATRICULA]]&amp;"Cliente"&amp;Tabela1[[#This Row],[SETOR]],BD!A:AF,13,0),"")</f>
        <v/>
      </c>
      <c r="BX217" s="135" t="str">
        <f>IFERROR(VLOOKUP(Tabela1[[#This Row],[MÊS]]&amp;Tabela1[[#This Row],[ID]]&amp;Tabela1[[#This Row],[MATRICULA]]&amp;"cliente 2"&amp;Tabela1[[#This Row],[SETOR]],BD!A:AF,13,0),"")</f>
        <v/>
      </c>
      <c r="BY217" s="135" t="str">
        <f>IFERROR(VLOOKUP(Tabela1[[#This Row],[MÊS]]&amp;Tabela1[[#This Row],[ID]]&amp;Tabela1[[#This Row],[MATRICULA]]&amp;"cliente 3"&amp;Tabela1[[#This Row],[SETOR]],BD!A:AF,13,0),"")</f>
        <v/>
      </c>
      <c r="BZ217" s="135" t="str">
        <f>IFERROR(VLOOKUP(Tabela1[[#This Row],[MÊS]]&amp;Tabela1[[#This Row],[ID]]&amp;Tabela1[[#This Row],[MATRICULA]]&amp;"cliente 4"&amp;Tabela1[[#This Row],[SETOR]],BD!A:AF,13,0),"")</f>
        <v/>
      </c>
      <c r="CA217" s="135" t="str">
        <f>IFERROR(AVERAGE(Tabela1[[#This Row],[DCLI]:[DCLI 4]]),"")</f>
        <v/>
      </c>
      <c r="CB217" s="135" t="str">
        <f>IFERROR(VLOOKUP(Tabela1[[#This Row],[MÊS]]&amp;Tabela1[[#This Row],[ID]]&amp;Tabela1[[#This Row],[MATRICULA]]&amp;"Policia"&amp;Tabela1[[#This Row],[SETOR]],BD!A:AF,13,0),"")</f>
        <v/>
      </c>
      <c r="CC217" s="135" t="str">
        <f>IFERROR(VLOOKUP(Tabela1[[#This Row],[MÊS]]&amp;Tabela1[[#This Row],[ID]]&amp;Tabela1[[#This Row],[MATRICULA]]&amp;"Policia 2"&amp;Tabela1[[#This Row],[SETOR]],BD!A:AF,13,0),"")</f>
        <v/>
      </c>
      <c r="CD217" s="135"/>
      <c r="CE217" s="135"/>
      <c r="CF217" s="135" t="str">
        <f>IFERROR((AVERAGE(Tabela1[[#This Row],[DPOL1]:[DPOL4]])),"")</f>
        <v/>
      </c>
      <c r="CG217" s="21" t="str">
        <f>IFERROR(VLOOKUP(Tabela1[[#This Row],[ID]]&amp;Tabela1[[#This Row],[MÊS]]&amp;Tabela1[[#This Row],[MATRICULA]],#REF!,2,0),"")</f>
        <v/>
      </c>
      <c r="CH217" s="21" t="str">
        <f>IFERROR(VLOOKUP(Tabela1[[#This Row],[ID]]&amp;Tabela1[[#This Row],[MÊS]]&amp;Tabela1[[#This Row],[MATRICULA]],#REF!,2,0),"")</f>
        <v/>
      </c>
      <c r="CI217" s="21" t="str">
        <f>IFERROR(VLOOKUP(Tabela1[[#This Row],[MÊS]]&amp;Tabela1[[#This Row],[MATRICULA]],#REF!,2,0),"")</f>
        <v/>
      </c>
    </row>
    <row r="218" spans="1:87">
      <c r="A218" s="12" t="str">
        <f>Tabela1[[#This Row],[MÊS]]&amp;Tabela1[[#This Row],[MATRICULA]]&amp;Tabela1[[#This Row],[ID]]</f>
        <v>JAN114339</v>
      </c>
      <c r="B218" s="12" t="str">
        <f>Tabela1[[#This Row],[MÊS]]&amp;Tabela1[[#This Row],[ID]]&amp;Tabela1[[#This Row],[MATRICULA]]&amp;Tabela1[[#This Row],[SETOR]]</f>
        <v>JAN911433TRANSFERÊNCIA</v>
      </c>
      <c r="C218" s="130" t="e">
        <f>VLOOKUP(Tabela1[[#This Row],[MATRICULA]],'BD Campos'!A:D,5,0)</f>
        <v>#REF!</v>
      </c>
      <c r="D218" s="133" t="str">
        <f ca="1">IFERROR(SUM(TODAY()-Tabela1[[#This Row],[ADMISSÃO]]),"")</f>
        <v/>
      </c>
      <c r="E218" s="11" t="str">
        <f ca="1">IFERROR(TRUNC(Tabela1[[#This Row],[TEMPO DE CASA (DIAS)]]/30),"")</f>
        <v/>
      </c>
      <c r="F218" s="32" t="str">
        <f ca="1">IFERROR(SUM(Tabela1[[#This Row],[TEMPO DE CASA (MESES)]]/12),"")</f>
        <v/>
      </c>
      <c r="G218" s="133" t="str">
        <f ca="1">IF(Tabela1[[#This Row],[TEMPO DE CASA (DIAS)]]="","SEM DADOS",IF(Tabela1[[#This Row],[TEMPO DE CASA (DIAS)]]&gt;180,"&gt; 6 MESES","&lt; 6 MESES"))</f>
        <v>SEM DADOS</v>
      </c>
      <c r="H218" s="12" t="str">
        <f t="shared" si="19"/>
        <v>JANGabryelle Marcilio9</v>
      </c>
      <c r="I218" s="12" t="str">
        <f>IFERROR(VLOOKUP(Tabela1[[#This Row],[MATRICULA]],'BD Campos'!A:F,7,0),"")</f>
        <v/>
      </c>
      <c r="J218" s="11">
        <v>9</v>
      </c>
      <c r="K218" s="11" t="s">
        <v>669</v>
      </c>
      <c r="L218" s="136">
        <v>11433</v>
      </c>
      <c r="M218" s="12" t="str">
        <f>IFERROR(VLOOKUP(Tabela1[[#This Row],[MATRICULA]],'BD Campos'!A:B,2,0),"")</f>
        <v>JADSON MARCOS DA SILVA SANTOS</v>
      </c>
      <c r="N218" s="20">
        <f>IFERROR(AVERAGE(Tabela1[[#This Row],[A1]:[A4]]),"")</f>
        <v>6.4633999999999991</v>
      </c>
      <c r="O218" s="20" t="str">
        <f>IFERROR(IF(Tabela1[[#This Row],[SETOR]]="RECEPTIVO","",AVERAGE(Tabela1[[#This Row],[A5]:[A6]])),"")</f>
        <v/>
      </c>
      <c r="P218" s="20" t="str">
        <f>IFERROR(IF(Tabela1[[#This Row],[STATUS]]="INATIVO","INATIVO",IF(Tabela1[[#This Row],[STATUS]]="QRT","INATIVO",IF(Tabela1[[#This Row],[OPERACIONAL]]&gt;7.99999,"BOM","RUIM"))),"")</f>
        <v>RUIM</v>
      </c>
      <c r="Q218" s="21" t="s">
        <v>667</v>
      </c>
      <c r="R218" s="12" t="s">
        <v>716</v>
      </c>
      <c r="S218" s="12" t="s">
        <v>717</v>
      </c>
      <c r="T218" s="12" t="s">
        <v>192</v>
      </c>
      <c r="U218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8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18" s="12">
        <f>IF(AND(Tabela1[[#This Row],[SETOR]]="UTI",Tabela1[[#This Row],[M]]&lt;&gt;""),1,IF(AND(Tabela1[[#This Row],[SETOR]]="UTI (RJ)",Tabela1[[#This Row],[M]]&lt;&gt;""),1.5,0))</f>
        <v>0</v>
      </c>
      <c r="X218" s="12">
        <f>IF(AND(Tabela1[[#This Row],[SETOR]]="UTI",Tabela1[[#This Row],[PA2]]&lt;&gt;""),1,IF(AND(Tabela1[[#This Row],[SETOR]]="UTI (RJ)",Tabela1[[#This Row],[PA2]]&lt;&gt;""),0,0))</f>
        <v>0</v>
      </c>
      <c r="Y218" s="12">
        <f>IF(AND(Tabela1[[#This Row],[SETOR]]="UTI",Tabela1[[#This Row],[C]]&lt;&gt;""),1,IF(AND(Tabela1[[#This Row],[SETOR]]="UTI (RJ)",Tabela1[[#This Row],[C]]&lt;&gt;""),1.5,0))</f>
        <v>0</v>
      </c>
      <c r="Z218" s="12">
        <f>IF(AND(Tabela1[[#This Row],[SETOR]]="UTI",Tabela1[[#This Row],[PL]]&lt;&gt;""),1,IF(AND(Tabela1[[#This Row],[SETOR]]="UTI (RJ)",Tabela1[[#This Row],[PL]]&lt;&gt;""),1,0))</f>
        <v>0</v>
      </c>
      <c r="AA218" s="21">
        <f>IFERROR(VLOOKUP(Tabela1[[#This Row],[MÊS]]&amp;Tabela1[[#This Row],[MATRICULA]]&amp;"1"&amp;Tabela1[[#This Row],[SETOR]]&amp;"PADRÃO",BD!B:AF,31,0),"")</f>
        <v>7.1479999999999988</v>
      </c>
      <c r="AB218" s="21">
        <f>IFERROR(VLOOKUP(Tabela1[[#This Row],[MÊS]]&amp;Tabela1[[#This Row],[MATRICULA]]&amp;"2"&amp;Tabela1[[#This Row],[SETOR]]&amp;"PADRÃO",BD!B:AF,31,0),"")</f>
        <v>5.7787999999999995</v>
      </c>
      <c r="AC218" s="21" t="str">
        <f>IFERROR(VLOOKUP(Tabela1[[#This Row],[MÊS]]&amp;Tabela1[[#This Row],[MATRICULA]]&amp;"3"&amp;Tabela1[[#This Row],[SETOR]]&amp;"PADRÃO",BD!B:AF,31,0),"")</f>
        <v/>
      </c>
      <c r="AD218" s="21" t="str">
        <f>IFERROR(VLOOKUP(Tabela1[[#This Row],[MÊS]]&amp;Tabela1[[#This Row],[MATRICULA]]&amp;"4"&amp;Tabela1[[#This Row],[SETOR]]&amp;"PADRÃO",BD!B:AF,25,0),"")</f>
        <v/>
      </c>
      <c r="AE218" s="21" t="str">
        <f>IFERROR(VLOOKUP(Tabela1[[#This Row],[MÊS]]&amp;Tabela1[[#This Row],[MATRICULA]]&amp;"5"&amp;Tabela1[[#This Row],[SETOR]]&amp;"PADRÃO",BD!B:AF,31,0),"")</f>
        <v/>
      </c>
      <c r="AF218" s="21" t="str">
        <f>IFERROR(VLOOKUP(Tabela1[[#This Row],[MÊS]]&amp;Tabela1[[#This Row],[MATRICULA]]&amp;"6"&amp;Tabela1[[#This Row],[SETOR]]&amp;"PADRÃO",BD!B:AF,31,0),"")</f>
        <v/>
      </c>
      <c r="AG218" s="21" t="str">
        <f>IFERROR(VLOOKUP(Tabela1[[#This Row],[MÊS]]&amp;Tabela1[[#This Row],[MATRICULA]]&amp;"7"&amp;Tabela1[[#This Row],[SETOR]]&amp;"PADRÃO",BD!B:AF,31,0),"")</f>
        <v/>
      </c>
      <c r="AH218" s="21" t="str">
        <f>IFERROR(VLOOKUP(Tabela1[[#This Row],[MÊS]]&amp;Tabela1[[#This Row],[ID]]&amp;Tabela1[[#This Row],[MATRICULA]]&amp;"Receptiva"&amp;Tabela1[[#This Row],[SETOR]],BD!A:AF,31,0),"")</f>
        <v/>
      </c>
      <c r="AI218" s="21" t="str">
        <f>IFERROR(VLOOKUP(Tabela1[[#This Row],[MÊS]]&amp;Tabela1[[#This Row],[ID]]&amp;Tabela1[[#This Row],[MATRICULA]]&amp;"Receptiva 2"&amp;Tabela1[[#This Row],[SETOR]],BD!A:AF,31,0),"")</f>
        <v/>
      </c>
      <c r="AJ218" s="21" t="str">
        <f>IFERROR(VLOOKUP(Tabela1[[#This Row],[MÊS]]&amp;Tabela1[[#This Row],[ID]]&amp;Tabela1[[#This Row],[MATRICULA]]&amp;"Receptiva 3"&amp;Tabela1[[#This Row],[SETOR]],BD!A:AF,31,0),"")</f>
        <v/>
      </c>
      <c r="AK218" s="21" t="str">
        <f>IFERROR(VLOOKUP(Tabela1[[#This Row],[MÊS]]&amp;Tabela1[[#This Row],[ID]]&amp;Tabela1[[#This Row],[MATRICULA]]&amp;"Receptiva 4"&amp;Tabela1[[#This Row],[SETOR]],BD!A:AF,31,0),"")</f>
        <v/>
      </c>
      <c r="AL218" s="21">
        <f>IFERROR(VLOOKUP(Tabela1[[#This Row],[MÊS]]&amp;Tabela1[[#This Row],[MATRICULA]]&amp;"Motorista"&amp;Tabela1[[#This Row],[SETOR]],BD!A:AF,31,0),"")</f>
        <v>0</v>
      </c>
      <c r="AM218" s="21" t="str">
        <f>IFERROR(VLOOKUP(Tabela1[[#This Row],[MÊS]]&amp;Tabela1[[#This Row],[ID]]&amp;Tabela1[[#This Row],[MATRICULA]]&amp;"Motorista 2"&amp;Tabela1[[#This Row],[SETOR]],BD!A:AF,26,0),"")</f>
        <v/>
      </c>
      <c r="AN218" s="21" t="str">
        <f>IFERROR(VLOOKUP(Tabela1[[#This Row],[MÊS]]&amp;Tabela1[[#This Row],[ID]]&amp;Tabela1[[#This Row],[MATRICULA]]&amp;"Motorista 3"&amp;Tabela1[[#This Row],[SETOR]],BD!A:AF,26,0),"")</f>
        <v/>
      </c>
      <c r="AO218" s="21" t="str">
        <f>IFERROR(VLOOKUP(Tabela1[[#This Row],[MÊS]]&amp;Tabela1[[#This Row],[ID]]&amp;Tabela1[[#This Row],[MATRICULA]]&amp;"Motorista 4"&amp;Tabela1[[#This Row],[SETOR]],BD!A:AF,26,0),"")</f>
        <v/>
      </c>
      <c r="AP218" s="21" t="str">
        <f>IFERROR(VLOOKUP(Tabela1[[#This Row],[MÊS]]&amp;Tabela1[[#This Row],[MATRICULA]]&amp;"Ponto de Apoio"&amp;Tabela1[[#This Row],[SETOR]],BD!A:AF,31,0),"")</f>
        <v/>
      </c>
      <c r="AQ218" s="21" t="str">
        <f>IFERROR(VLOOKUP(Tabela1[[#This Row],[MÊS]]&amp;Tabela1[[#This Row],[ID]]&amp;Tabela1[[#This Row],[MATRICULA]]&amp;"Ponto de Apoio 2"&amp;Tabela1[[#This Row],[SETOR]],BD!A:AF,26,0),"")</f>
        <v/>
      </c>
      <c r="AR218" s="36" t="str">
        <f>IFERROR(VLOOKUP(Tabela1[[#This Row],[MÊS]]&amp;Tabela1[[#This Row],[ID]]&amp;Tabela1[[#This Row],[MATRICULA]]&amp;"Ponto de Apoio 3"&amp;Tabela1[[#This Row],[SETOR]],BD!A:AF,26,0),"")</f>
        <v/>
      </c>
      <c r="AS218" s="36" t="str">
        <f>IFERROR(VLOOKUP(Tabela1[[#This Row],[MÊS]]&amp;Tabela1[[#This Row],[ID]]&amp;Tabela1[[#This Row],[MATRICULA]]&amp;"Ponto de Apoio 4"&amp;Tabela1[[#This Row],[SETOR]],BD!A:AF,26,0),"")</f>
        <v/>
      </c>
      <c r="AT218" s="21" t="str">
        <f>IFERROR(VLOOKUP(Tabela1[[#This Row],[MÊS]]&amp;Tabela1[[#This Row],[MATRICULA]]&amp;"Cliente"&amp;Tabela1[[#This Row],[SETOR]],BD!A:AF,31,0),"")</f>
        <v/>
      </c>
      <c r="AU218" s="21" t="str">
        <f>IFERROR(VLOOKUP(Tabela1[[#This Row],[MÊS]]&amp;Tabela1[[#This Row],[ID]]&amp;Tabela1[[#This Row],[MATRICULA]]&amp;"Cliente 2"&amp;Tabela1[[#This Row],[SETOR]],BD!A:AF,26,0),"")</f>
        <v/>
      </c>
      <c r="AX218" s="21" t="str">
        <f>IFERROR(VLOOKUP(Tabela1[[#This Row],[MÊS]]&amp;Tabela1[[#This Row],[MATRICULA]]&amp;"Policia"&amp;Tabela1[[#This Row],[SETOR]],BD!A:AF,31,0),"")</f>
        <v/>
      </c>
      <c r="AY218" s="21" t="str">
        <f>IFERROR(VLOOKUP(Tabela1[[#This Row],[MÊS]]&amp;Tabela1[[#This Row],[ID]]&amp;Tabela1[[#This Row],[MATRICULA]]&amp;"Policia 2"&amp;Tabela1[[#This Row],[SETOR]],BD!A:AF,26,0),"")</f>
        <v/>
      </c>
      <c r="AZ218" s="36" t="str">
        <f>IFERROR(VLOOKUP(Tabela1[[#This Row],[MÊS]]&amp;Tabela1[[#This Row],[ID]]&amp;Tabela1[[#This Row],[MATRICULA]]&amp;"Policia 3"&amp;Tabela1[[#This Row],[SETOR]],BD!A:AF,26,0),"")</f>
        <v/>
      </c>
      <c r="BA218" s="36" t="str">
        <f>IFERROR(VLOOKUP(Tabela1[[#This Row],[MÊS]]&amp;Tabela1[[#This Row],[ID]]&amp;Tabela1[[#This Row],[MATRICULA]]&amp;"Policia 4"&amp;Tabela1[[#This Row],[SETOR]],BD!A:AF,26,0),"")</f>
        <v/>
      </c>
      <c r="BB218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8" s="21">
        <f>IFERROR(AVERAGE(Tabela1[[#This Row],[M]:[M4]]),"")</f>
        <v>0</v>
      </c>
      <c r="BD218" s="21" t="str">
        <f>IFERROR(AVERAGE(Tabela1[[#This Row],[C]:[C4]]),"")</f>
        <v/>
      </c>
      <c r="BE218" s="21" t="str">
        <f>IFERROR(AVERAGE(Tabela1[[#This Row],[PA2]:[PA 4]]),"")</f>
        <v/>
      </c>
      <c r="BF218" s="21" t="str">
        <f>IFERROR(AVERAGE(Tabela1[[#This Row],[PL]:[PL4]]),"")</f>
        <v/>
      </c>
      <c r="BG218" s="35" t="str">
        <f>IFERROR(VLOOKUP(Tabela1[[#This Row],[MÊS]]&amp;Tabela1[[#This Row],[MATRICULA]],#REF!,2,0),"")</f>
        <v/>
      </c>
      <c r="BH218" s="35" t="str">
        <f>IFERROR(VLOOKUP(Tabela1[[#This Row],[MÊS]]&amp;Tabela1[[#This Row],[MATRICULA]],#REF!,2,0),"")</f>
        <v/>
      </c>
      <c r="BI218" s="35" t="str">
        <f>IFERROR(VLOOKUP(Tabela1[[#This Row],[MÊS]]&amp;Tabela1[[#This Row],[MATRICULA]],#REF!,2,0),"")</f>
        <v/>
      </c>
      <c r="BJ218" s="35" t="str">
        <f>IFERROR(VLOOKUP(Tabela1[[#This Row],[MÊS]]&amp;Tabela1[[#This Row],[MATRICULA]],#REF!,2,0),"")</f>
        <v/>
      </c>
      <c r="BK218" s="35" t="str">
        <f>IFERROR(VLOOKUP(Tabela1[[#This Row],[MÊS]]&amp;Tabela1[[#This Row],[MATRICULA]],#REF!,2,0),"")</f>
        <v/>
      </c>
      <c r="BL218" s="21">
        <f>COUNTIF(Tabela1[[#This Row],[MOT2]:[RECEPTIVA]],"NÃO ENCONTRADA")</f>
        <v>0</v>
      </c>
      <c r="BM218" s="135" t="str">
        <f>IFERROR(VLOOKUP(Tabela1[[#This Row],[MÊS]]&amp;Tabela1[[#This Row],[ID]]&amp;Tabela1[[#This Row],[MATRICULA]]&amp;"Motorista"&amp;Tabela1[[#This Row],[SETOR]],BD!A:AF,13,0),"")</f>
        <v/>
      </c>
      <c r="BN218" s="135" t="str">
        <f>IFERROR(VLOOKUP(Tabela1[[#This Row],[MÊS]]&amp;Tabela1[[#This Row],[ID]]&amp;Tabela1[[#This Row],[MATRICULA]]&amp;"Motorista 2"&amp;Tabela1[[#This Row],[SETOR]],BD!A:AF,13,0),"")</f>
        <v/>
      </c>
      <c r="BO218" s="135" t="str">
        <f>IFERROR(VLOOKUP(Tabela1[[#This Row],[MÊS]]&amp;Tabela1[[#This Row],[ID]]&amp;Tabela1[[#This Row],[MATRICULA]]&amp;"Motorista 3"&amp;Tabela1[[#This Row],[SETOR]],BD!A:AF,13,0),"")</f>
        <v/>
      </c>
      <c r="BP218" s="135" t="str">
        <f>IFERROR(VLOOKUP(Tabela1[[#This Row],[MÊS]]&amp;Tabela1[[#This Row],[ID]]&amp;Tabela1[[#This Row],[MATRICULA]]&amp;"Motorista 4"&amp;Tabela1[[#This Row],[SETOR]],BD!A:AF,13,0),"")</f>
        <v/>
      </c>
      <c r="BQ218" s="135" t="str">
        <f>IFERROR(AVERAGE(Tabela1[[#This Row],[DMOT]:[DMOT4]]),"")</f>
        <v/>
      </c>
      <c r="BR218" s="135" t="str">
        <f>IFERROR(VLOOKUP(Tabela1[[#This Row],[MÊS]]&amp;Tabela1[[#This Row],[ID]]&amp;Tabela1[[#This Row],[MATRICULA]]&amp;"Ponto de Apoio"&amp;Tabela1[[#This Row],[SETOR]],BD!A:AF,13,0),"")</f>
        <v/>
      </c>
      <c r="BS218" s="135" t="str">
        <f>IFERROR(VLOOKUP(Tabela1[[#This Row],[MÊS]]&amp;Tabela1[[#This Row],[ID]]&amp;Tabela1[[#This Row],[MATRICULA]]&amp;"Ponto de Apoio 2"&amp;Tabela1[[#This Row],[SETOR]],BD!A:AF,13,0),"")</f>
        <v/>
      </c>
      <c r="BT218" s="135" t="str">
        <f>IFERROR(VLOOKUP(Tabela1[[#This Row],[MÊS]]&amp;Tabela1[[#This Row],[ID]]&amp;Tabela1[[#This Row],[MATRICULA]]&amp;"Ponto de Apoio 3"&amp;Tabela1[[#This Row],[SETOR]],BD!A:AF,13,0),"")</f>
        <v/>
      </c>
      <c r="BU218" s="135" t="str">
        <f>IFERROR(VLOOKUP(Tabela1[[#This Row],[MÊS]]&amp;Tabela1[[#This Row],[ID]]&amp;Tabela1[[#This Row],[MATRICULA]]&amp;"Ponto de Apoio 4"&amp;Tabela1[[#This Row],[SETOR]],BD!A:AF,13,0),"")</f>
        <v/>
      </c>
      <c r="BV218" s="135" t="str">
        <f>IFERROR(AVERAGE(Tabela1[[#This Row],[DPA]:[DPA 4]]),"")</f>
        <v/>
      </c>
      <c r="BW218" s="135" t="str">
        <f>IFERROR(VLOOKUP(Tabela1[[#This Row],[MÊS]]&amp;Tabela1[[#This Row],[ID]]&amp;Tabela1[[#This Row],[MATRICULA]]&amp;"Cliente"&amp;Tabela1[[#This Row],[SETOR]],BD!A:AF,13,0),"")</f>
        <v/>
      </c>
      <c r="BX218" s="135" t="str">
        <f>IFERROR(VLOOKUP(Tabela1[[#This Row],[MÊS]]&amp;Tabela1[[#This Row],[ID]]&amp;Tabela1[[#This Row],[MATRICULA]]&amp;"cliente 2"&amp;Tabela1[[#This Row],[SETOR]],BD!A:AF,13,0),"")</f>
        <v/>
      </c>
      <c r="BY218" s="135" t="str">
        <f>IFERROR(VLOOKUP(Tabela1[[#This Row],[MÊS]]&amp;Tabela1[[#This Row],[ID]]&amp;Tabela1[[#This Row],[MATRICULA]]&amp;"cliente 3"&amp;Tabela1[[#This Row],[SETOR]],BD!A:AF,13,0),"")</f>
        <v/>
      </c>
      <c r="BZ218" s="135" t="str">
        <f>IFERROR(VLOOKUP(Tabela1[[#This Row],[MÊS]]&amp;Tabela1[[#This Row],[ID]]&amp;Tabela1[[#This Row],[MATRICULA]]&amp;"cliente 4"&amp;Tabela1[[#This Row],[SETOR]],BD!A:AF,13,0),"")</f>
        <v/>
      </c>
      <c r="CA218" s="135" t="str">
        <f>IFERROR(AVERAGE(Tabela1[[#This Row],[DCLI]:[DCLI 4]]),"")</f>
        <v/>
      </c>
      <c r="CB218" s="135" t="str">
        <f>IFERROR(VLOOKUP(Tabela1[[#This Row],[MÊS]]&amp;Tabela1[[#This Row],[ID]]&amp;Tabela1[[#This Row],[MATRICULA]]&amp;"Policia"&amp;Tabela1[[#This Row],[SETOR]],BD!A:AF,13,0),"")</f>
        <v/>
      </c>
      <c r="CC218" s="135" t="str">
        <f>IFERROR(VLOOKUP(Tabela1[[#This Row],[MÊS]]&amp;Tabela1[[#This Row],[ID]]&amp;Tabela1[[#This Row],[MATRICULA]]&amp;"Policia 2"&amp;Tabela1[[#This Row],[SETOR]],BD!A:AF,13,0),"")</f>
        <v/>
      </c>
      <c r="CD218" s="135"/>
      <c r="CE218" s="135"/>
      <c r="CF218" s="135" t="str">
        <f>IFERROR((AVERAGE(Tabela1[[#This Row],[DPOL1]:[DPOL4]])),"")</f>
        <v/>
      </c>
      <c r="CG218" s="21" t="str">
        <f>IFERROR(VLOOKUP(Tabela1[[#This Row],[ID]]&amp;Tabela1[[#This Row],[MÊS]]&amp;Tabela1[[#This Row],[MATRICULA]],#REF!,2,0),"")</f>
        <v/>
      </c>
      <c r="CH218" s="21" t="str">
        <f>IFERROR(VLOOKUP(Tabela1[[#This Row],[ID]]&amp;Tabela1[[#This Row],[MÊS]]&amp;Tabela1[[#This Row],[MATRICULA]],#REF!,2,0),"")</f>
        <v/>
      </c>
      <c r="CI218" s="21" t="str">
        <f>IFERROR(VLOOKUP(Tabela1[[#This Row],[MÊS]]&amp;Tabela1[[#This Row],[MATRICULA]],#REF!,2,0),"")</f>
        <v/>
      </c>
    </row>
    <row r="219" spans="1:87">
      <c r="A219" s="12" t="str">
        <f>Tabela1[[#This Row],[MÊS]]&amp;Tabela1[[#This Row],[MATRICULA]]&amp;Tabela1[[#This Row],[ID]]</f>
        <v>JAN1146010</v>
      </c>
      <c r="B219" s="12" t="str">
        <f>Tabela1[[#This Row],[MÊS]]&amp;Tabela1[[#This Row],[ID]]&amp;Tabela1[[#This Row],[MATRICULA]]&amp;Tabela1[[#This Row],[SETOR]]</f>
        <v>JAN1011460TRANSFERÊNCIA</v>
      </c>
      <c r="C219" s="130" t="e">
        <f>VLOOKUP(Tabela1[[#This Row],[MATRICULA]],'BD Campos'!A:D,5,0)</f>
        <v>#REF!</v>
      </c>
      <c r="D219" s="133" t="str">
        <f ca="1">IFERROR(SUM(TODAY()-Tabela1[[#This Row],[ADMISSÃO]]),"")</f>
        <v/>
      </c>
      <c r="E219" s="11" t="str">
        <f ca="1">IFERROR(TRUNC(Tabela1[[#This Row],[TEMPO DE CASA (DIAS)]]/30),"")</f>
        <v/>
      </c>
      <c r="F219" s="32" t="str">
        <f ca="1">IFERROR(SUM(Tabela1[[#This Row],[TEMPO DE CASA (MESES)]]/12),"")</f>
        <v/>
      </c>
      <c r="G219" s="133" t="str">
        <f ca="1">IF(Tabela1[[#This Row],[TEMPO DE CASA (DIAS)]]="","SEM DADOS",IF(Tabela1[[#This Row],[TEMPO DE CASA (DIAS)]]&gt;180,"&gt; 6 MESES","&lt; 6 MESES"))</f>
        <v>SEM DADOS</v>
      </c>
      <c r="H219" s="12" t="str">
        <f t="shared" si="19"/>
        <v>JANGabryelle Marcilio10</v>
      </c>
      <c r="I219" s="12" t="str">
        <f>IFERROR(VLOOKUP(Tabela1[[#This Row],[MATRICULA]],'BD Campos'!A:F,7,0),"")</f>
        <v/>
      </c>
      <c r="J219" s="11">
        <v>10</v>
      </c>
      <c r="K219" s="11" t="s">
        <v>669</v>
      </c>
      <c r="L219" s="136">
        <v>11460</v>
      </c>
      <c r="M219" s="12" t="str">
        <f>IFERROR(VLOOKUP(Tabela1[[#This Row],[MATRICULA]],'BD Campos'!A:B,2,0),"")</f>
        <v>JENNYFER FERNANDA INACIO KRUEGER</v>
      </c>
      <c r="N219" s="20">
        <f>IFERROR(AVERAGE(Tabela1[[#This Row],[A1]:[A4]]),"")</f>
        <v>9.2912500000000016</v>
      </c>
      <c r="O219" s="20" t="str">
        <f>IFERROR(IF(Tabela1[[#This Row],[SETOR]]="RECEPTIVO","",AVERAGE(Tabela1[[#This Row],[A5]:[A6]])),"")</f>
        <v/>
      </c>
      <c r="P219" s="20" t="str">
        <f>IFERROR(IF(Tabela1[[#This Row],[STATUS]]="INATIVO","INATIVO",IF(Tabela1[[#This Row],[STATUS]]="QRT","INATIVO",IF(Tabela1[[#This Row],[OPERACIONAL]]&gt;7.99999,"BOM","RUIM"))),"")</f>
        <v>BOM</v>
      </c>
      <c r="Q219" s="21" t="s">
        <v>667</v>
      </c>
      <c r="R219" s="12" t="s">
        <v>716</v>
      </c>
      <c r="S219" s="12" t="s">
        <v>717</v>
      </c>
      <c r="T219" s="12" t="s">
        <v>192</v>
      </c>
      <c r="U219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19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19" s="12">
        <f>IF(AND(Tabela1[[#This Row],[SETOR]]="UTI",Tabela1[[#This Row],[M]]&lt;&gt;""),1,IF(AND(Tabela1[[#This Row],[SETOR]]="UTI (RJ)",Tabela1[[#This Row],[M]]&lt;&gt;""),1.5,0))</f>
        <v>0</v>
      </c>
      <c r="X219" s="12">
        <f>IF(AND(Tabela1[[#This Row],[SETOR]]="UTI",Tabela1[[#This Row],[PA2]]&lt;&gt;""),1,IF(AND(Tabela1[[#This Row],[SETOR]]="UTI (RJ)",Tabela1[[#This Row],[PA2]]&lt;&gt;""),0,0))</f>
        <v>0</v>
      </c>
      <c r="Y219" s="12">
        <f>IF(AND(Tabela1[[#This Row],[SETOR]]="UTI",Tabela1[[#This Row],[C]]&lt;&gt;""),1,IF(AND(Tabela1[[#This Row],[SETOR]]="UTI (RJ)",Tabela1[[#This Row],[C]]&lt;&gt;""),1.5,0))</f>
        <v>0</v>
      </c>
      <c r="Z219" s="12">
        <f>IF(AND(Tabela1[[#This Row],[SETOR]]="UTI",Tabela1[[#This Row],[PL]]&lt;&gt;""),1,IF(AND(Tabela1[[#This Row],[SETOR]]="UTI (RJ)",Tabela1[[#This Row],[PL]]&lt;&gt;""),1,0))</f>
        <v>0</v>
      </c>
      <c r="AA219" s="21">
        <f>IFERROR(VLOOKUP(Tabela1[[#This Row],[MÊS]]&amp;Tabela1[[#This Row],[MATRICULA]]&amp;"1"&amp;Tabela1[[#This Row],[SETOR]]&amp;"PADRÃO",BD!B:AF,31,0),"")</f>
        <v>8.5824999999999996</v>
      </c>
      <c r="AB219" s="21">
        <f>IFERROR(VLOOKUP(Tabela1[[#This Row],[MÊS]]&amp;Tabela1[[#This Row],[MATRICULA]]&amp;"2"&amp;Tabela1[[#This Row],[SETOR]]&amp;"PADRÃO",BD!B:AF,31,0),"")</f>
        <v>10.000000000000002</v>
      </c>
      <c r="AC219" s="21" t="str">
        <f>IFERROR(VLOOKUP(Tabela1[[#This Row],[MÊS]]&amp;Tabela1[[#This Row],[MATRICULA]]&amp;"3"&amp;Tabela1[[#This Row],[SETOR]]&amp;"PADRÃO",BD!B:AF,31,0),"")</f>
        <v/>
      </c>
      <c r="AD219" s="21" t="str">
        <f>IFERROR(VLOOKUP(Tabela1[[#This Row],[MÊS]]&amp;Tabela1[[#This Row],[MATRICULA]]&amp;"4"&amp;Tabela1[[#This Row],[SETOR]]&amp;"PADRÃO",BD!B:AF,25,0),"")</f>
        <v/>
      </c>
      <c r="AE219" s="21" t="str">
        <f>IFERROR(VLOOKUP(Tabela1[[#This Row],[MÊS]]&amp;Tabela1[[#This Row],[MATRICULA]]&amp;"5"&amp;Tabela1[[#This Row],[SETOR]]&amp;"PADRÃO",BD!B:AF,31,0),"")</f>
        <v/>
      </c>
      <c r="AF219" s="21" t="str">
        <f>IFERROR(VLOOKUP(Tabela1[[#This Row],[MÊS]]&amp;Tabela1[[#This Row],[MATRICULA]]&amp;"6"&amp;Tabela1[[#This Row],[SETOR]]&amp;"PADRÃO",BD!B:AF,31,0),"")</f>
        <v/>
      </c>
      <c r="AG219" s="21" t="str">
        <f>IFERROR(VLOOKUP(Tabela1[[#This Row],[MÊS]]&amp;Tabela1[[#This Row],[MATRICULA]]&amp;"7"&amp;Tabela1[[#This Row],[SETOR]]&amp;"PADRÃO",BD!B:AF,31,0),"")</f>
        <v/>
      </c>
      <c r="AH219" s="21" t="str">
        <f>IFERROR(VLOOKUP(Tabela1[[#This Row],[MÊS]]&amp;Tabela1[[#This Row],[ID]]&amp;Tabela1[[#This Row],[MATRICULA]]&amp;"Receptiva"&amp;Tabela1[[#This Row],[SETOR]],BD!A:AF,31,0),"")</f>
        <v/>
      </c>
      <c r="AI219" s="21" t="str">
        <f>IFERROR(VLOOKUP(Tabela1[[#This Row],[MÊS]]&amp;Tabela1[[#This Row],[ID]]&amp;Tabela1[[#This Row],[MATRICULA]]&amp;"Receptiva 2"&amp;Tabela1[[#This Row],[SETOR]],BD!A:AF,31,0),"")</f>
        <v/>
      </c>
      <c r="AJ219" s="21" t="str">
        <f>IFERROR(VLOOKUP(Tabela1[[#This Row],[MÊS]]&amp;Tabela1[[#This Row],[ID]]&amp;Tabela1[[#This Row],[MATRICULA]]&amp;"Receptiva 3"&amp;Tabela1[[#This Row],[SETOR]],BD!A:AF,31,0),"")</f>
        <v/>
      </c>
      <c r="AK219" s="21" t="str">
        <f>IFERROR(VLOOKUP(Tabela1[[#This Row],[MÊS]]&amp;Tabela1[[#This Row],[ID]]&amp;Tabela1[[#This Row],[MATRICULA]]&amp;"Receptiva 4"&amp;Tabela1[[#This Row],[SETOR]],BD!A:AF,31,0),"")</f>
        <v/>
      </c>
      <c r="AL219" s="21">
        <f>IFERROR(VLOOKUP(Tabela1[[#This Row],[MÊS]]&amp;Tabela1[[#This Row],[MATRICULA]]&amp;"Motorista"&amp;Tabela1[[#This Row],[SETOR]],BD!A:AF,31,0),"")</f>
        <v>0</v>
      </c>
      <c r="AM219" s="21" t="str">
        <f>IFERROR(VLOOKUP(Tabela1[[#This Row],[MÊS]]&amp;Tabela1[[#This Row],[ID]]&amp;Tabela1[[#This Row],[MATRICULA]]&amp;"Motorista 2"&amp;Tabela1[[#This Row],[SETOR]],BD!A:AF,26,0),"")</f>
        <v/>
      </c>
      <c r="AN219" s="21" t="str">
        <f>IFERROR(VLOOKUP(Tabela1[[#This Row],[MÊS]]&amp;Tabela1[[#This Row],[ID]]&amp;Tabela1[[#This Row],[MATRICULA]]&amp;"Motorista 3"&amp;Tabela1[[#This Row],[SETOR]],BD!A:AF,26,0),"")</f>
        <v/>
      </c>
      <c r="AO219" s="21" t="str">
        <f>IFERROR(VLOOKUP(Tabela1[[#This Row],[MÊS]]&amp;Tabela1[[#This Row],[ID]]&amp;Tabela1[[#This Row],[MATRICULA]]&amp;"Motorista 4"&amp;Tabela1[[#This Row],[SETOR]],BD!A:AF,26,0),"")</f>
        <v/>
      </c>
      <c r="AP219" s="21" t="str">
        <f>IFERROR(VLOOKUP(Tabela1[[#This Row],[MÊS]]&amp;Tabela1[[#This Row],[MATRICULA]]&amp;"Ponto de Apoio"&amp;Tabela1[[#This Row],[SETOR]],BD!A:AF,31,0),"")</f>
        <v/>
      </c>
      <c r="AQ219" s="21" t="str">
        <f>IFERROR(VLOOKUP(Tabela1[[#This Row],[MÊS]]&amp;Tabela1[[#This Row],[ID]]&amp;Tabela1[[#This Row],[MATRICULA]]&amp;"Ponto de Apoio 2"&amp;Tabela1[[#This Row],[SETOR]],BD!A:AF,26,0),"")</f>
        <v/>
      </c>
      <c r="AR219" s="36" t="str">
        <f>IFERROR(VLOOKUP(Tabela1[[#This Row],[MÊS]]&amp;Tabela1[[#This Row],[ID]]&amp;Tabela1[[#This Row],[MATRICULA]]&amp;"Ponto de Apoio 3"&amp;Tabela1[[#This Row],[SETOR]],BD!A:AF,26,0),"")</f>
        <v/>
      </c>
      <c r="AS219" s="36" t="str">
        <f>IFERROR(VLOOKUP(Tabela1[[#This Row],[MÊS]]&amp;Tabela1[[#This Row],[ID]]&amp;Tabela1[[#This Row],[MATRICULA]]&amp;"Ponto de Apoio 4"&amp;Tabela1[[#This Row],[SETOR]],BD!A:AF,26,0),"")</f>
        <v/>
      </c>
      <c r="AT219" s="21" t="str">
        <f>IFERROR(VLOOKUP(Tabela1[[#This Row],[MÊS]]&amp;Tabela1[[#This Row],[MATRICULA]]&amp;"Cliente"&amp;Tabela1[[#This Row],[SETOR]],BD!A:AF,31,0),"")</f>
        <v/>
      </c>
      <c r="AU219" s="21" t="str">
        <f>IFERROR(VLOOKUP(Tabela1[[#This Row],[MÊS]]&amp;Tabela1[[#This Row],[ID]]&amp;Tabela1[[#This Row],[MATRICULA]]&amp;"Cliente 2"&amp;Tabela1[[#This Row],[SETOR]],BD!A:AF,26,0),"")</f>
        <v/>
      </c>
      <c r="AX219" s="21" t="str">
        <f>IFERROR(VLOOKUP(Tabela1[[#This Row],[MÊS]]&amp;Tabela1[[#This Row],[MATRICULA]]&amp;"Policia"&amp;Tabela1[[#This Row],[SETOR]],BD!A:AF,31,0),"")</f>
        <v/>
      </c>
      <c r="AY219" s="21" t="str">
        <f>IFERROR(VLOOKUP(Tabela1[[#This Row],[MÊS]]&amp;Tabela1[[#This Row],[ID]]&amp;Tabela1[[#This Row],[MATRICULA]]&amp;"Policia 2"&amp;Tabela1[[#This Row],[SETOR]],BD!A:AF,26,0),"")</f>
        <v/>
      </c>
      <c r="AZ219" s="36" t="str">
        <f>IFERROR(VLOOKUP(Tabela1[[#This Row],[MÊS]]&amp;Tabela1[[#This Row],[ID]]&amp;Tabela1[[#This Row],[MATRICULA]]&amp;"Policia 3"&amp;Tabela1[[#This Row],[SETOR]],BD!A:AF,26,0),"")</f>
        <v/>
      </c>
      <c r="BA219" s="36" t="str">
        <f>IFERROR(VLOOKUP(Tabela1[[#This Row],[MÊS]]&amp;Tabela1[[#This Row],[ID]]&amp;Tabela1[[#This Row],[MATRICULA]]&amp;"Policia 4"&amp;Tabela1[[#This Row],[SETOR]],BD!A:AF,26,0),"")</f>
        <v/>
      </c>
      <c r="BB219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19" s="21">
        <f>IFERROR(AVERAGE(Tabela1[[#This Row],[M]:[M4]]),"")</f>
        <v>0</v>
      </c>
      <c r="BD219" s="21" t="str">
        <f>IFERROR(AVERAGE(Tabela1[[#This Row],[C]:[C4]]),"")</f>
        <v/>
      </c>
      <c r="BE219" s="21" t="str">
        <f>IFERROR(AVERAGE(Tabela1[[#This Row],[PA2]:[PA 4]]),"")</f>
        <v/>
      </c>
      <c r="BF219" s="21" t="str">
        <f>IFERROR(AVERAGE(Tabela1[[#This Row],[PL]:[PL4]]),"")</f>
        <v/>
      </c>
      <c r="BG219" s="35" t="str">
        <f>IFERROR(VLOOKUP(Tabela1[[#This Row],[MÊS]]&amp;Tabela1[[#This Row],[MATRICULA]],#REF!,2,0),"")</f>
        <v/>
      </c>
      <c r="BH219" s="35" t="str">
        <f>IFERROR(VLOOKUP(Tabela1[[#This Row],[MÊS]]&amp;Tabela1[[#This Row],[MATRICULA]],#REF!,2,0),"")</f>
        <v/>
      </c>
      <c r="BI219" s="35" t="str">
        <f>IFERROR(VLOOKUP(Tabela1[[#This Row],[MÊS]]&amp;Tabela1[[#This Row],[MATRICULA]],#REF!,2,0),"")</f>
        <v/>
      </c>
      <c r="BJ219" s="35" t="str">
        <f>IFERROR(VLOOKUP(Tabela1[[#This Row],[MÊS]]&amp;Tabela1[[#This Row],[MATRICULA]],#REF!,2,0),"")</f>
        <v/>
      </c>
      <c r="BK219" s="35" t="str">
        <f>IFERROR(VLOOKUP(Tabela1[[#This Row],[MÊS]]&amp;Tabela1[[#This Row],[MATRICULA]],#REF!,2,0),"")</f>
        <v/>
      </c>
      <c r="BL219" s="21">
        <f>COUNTIF(Tabela1[[#This Row],[MOT2]:[RECEPTIVA]],"NÃO ENCONTRADA")</f>
        <v>0</v>
      </c>
      <c r="BM219" s="135" t="str">
        <f>IFERROR(VLOOKUP(Tabela1[[#This Row],[MÊS]]&amp;Tabela1[[#This Row],[ID]]&amp;Tabela1[[#This Row],[MATRICULA]]&amp;"Motorista"&amp;Tabela1[[#This Row],[SETOR]],BD!A:AF,13,0),"")</f>
        <v/>
      </c>
      <c r="BN219" s="135" t="str">
        <f>IFERROR(VLOOKUP(Tabela1[[#This Row],[MÊS]]&amp;Tabela1[[#This Row],[ID]]&amp;Tabela1[[#This Row],[MATRICULA]]&amp;"Motorista 2"&amp;Tabela1[[#This Row],[SETOR]],BD!A:AF,13,0),"")</f>
        <v/>
      </c>
      <c r="BO219" s="135" t="str">
        <f>IFERROR(VLOOKUP(Tabela1[[#This Row],[MÊS]]&amp;Tabela1[[#This Row],[ID]]&amp;Tabela1[[#This Row],[MATRICULA]]&amp;"Motorista 3"&amp;Tabela1[[#This Row],[SETOR]],BD!A:AF,13,0),"")</f>
        <v/>
      </c>
      <c r="BP219" s="135" t="str">
        <f>IFERROR(VLOOKUP(Tabela1[[#This Row],[MÊS]]&amp;Tabela1[[#This Row],[ID]]&amp;Tabela1[[#This Row],[MATRICULA]]&amp;"Motorista 4"&amp;Tabela1[[#This Row],[SETOR]],BD!A:AF,13,0),"")</f>
        <v/>
      </c>
      <c r="BQ219" s="135" t="str">
        <f>IFERROR(AVERAGE(Tabela1[[#This Row],[DMOT]:[DMOT4]]),"")</f>
        <v/>
      </c>
      <c r="BR219" s="135" t="str">
        <f>IFERROR(VLOOKUP(Tabela1[[#This Row],[MÊS]]&amp;Tabela1[[#This Row],[ID]]&amp;Tabela1[[#This Row],[MATRICULA]]&amp;"Ponto de Apoio"&amp;Tabela1[[#This Row],[SETOR]],BD!A:AF,13,0),"")</f>
        <v/>
      </c>
      <c r="BS219" s="135" t="str">
        <f>IFERROR(VLOOKUP(Tabela1[[#This Row],[MÊS]]&amp;Tabela1[[#This Row],[ID]]&amp;Tabela1[[#This Row],[MATRICULA]]&amp;"Ponto de Apoio 2"&amp;Tabela1[[#This Row],[SETOR]],BD!A:AF,13,0),"")</f>
        <v/>
      </c>
      <c r="BT219" s="135" t="str">
        <f>IFERROR(VLOOKUP(Tabela1[[#This Row],[MÊS]]&amp;Tabela1[[#This Row],[ID]]&amp;Tabela1[[#This Row],[MATRICULA]]&amp;"Ponto de Apoio 3"&amp;Tabela1[[#This Row],[SETOR]],BD!A:AF,13,0),"")</f>
        <v/>
      </c>
      <c r="BU219" s="135" t="str">
        <f>IFERROR(VLOOKUP(Tabela1[[#This Row],[MÊS]]&amp;Tabela1[[#This Row],[ID]]&amp;Tabela1[[#This Row],[MATRICULA]]&amp;"Ponto de Apoio 4"&amp;Tabela1[[#This Row],[SETOR]],BD!A:AF,13,0),"")</f>
        <v/>
      </c>
      <c r="BV219" s="135" t="str">
        <f>IFERROR(AVERAGE(Tabela1[[#This Row],[DPA]:[DPA 4]]),"")</f>
        <v/>
      </c>
      <c r="BW219" s="135" t="str">
        <f>IFERROR(VLOOKUP(Tabela1[[#This Row],[MÊS]]&amp;Tabela1[[#This Row],[ID]]&amp;Tabela1[[#This Row],[MATRICULA]]&amp;"Cliente"&amp;Tabela1[[#This Row],[SETOR]],BD!A:AF,13,0),"")</f>
        <v/>
      </c>
      <c r="BX219" s="135" t="str">
        <f>IFERROR(VLOOKUP(Tabela1[[#This Row],[MÊS]]&amp;Tabela1[[#This Row],[ID]]&amp;Tabela1[[#This Row],[MATRICULA]]&amp;"cliente 2"&amp;Tabela1[[#This Row],[SETOR]],BD!A:AF,13,0),"")</f>
        <v/>
      </c>
      <c r="BY219" s="135" t="str">
        <f>IFERROR(VLOOKUP(Tabela1[[#This Row],[MÊS]]&amp;Tabela1[[#This Row],[ID]]&amp;Tabela1[[#This Row],[MATRICULA]]&amp;"cliente 3"&amp;Tabela1[[#This Row],[SETOR]],BD!A:AF,13,0),"")</f>
        <v/>
      </c>
      <c r="BZ219" s="135" t="str">
        <f>IFERROR(VLOOKUP(Tabela1[[#This Row],[MÊS]]&amp;Tabela1[[#This Row],[ID]]&amp;Tabela1[[#This Row],[MATRICULA]]&amp;"cliente 4"&amp;Tabela1[[#This Row],[SETOR]],BD!A:AF,13,0),"")</f>
        <v/>
      </c>
      <c r="CA219" s="135" t="str">
        <f>IFERROR(AVERAGE(Tabela1[[#This Row],[DCLI]:[DCLI 4]]),"")</f>
        <v/>
      </c>
      <c r="CB219" s="135" t="str">
        <f>IFERROR(VLOOKUP(Tabela1[[#This Row],[MÊS]]&amp;Tabela1[[#This Row],[ID]]&amp;Tabela1[[#This Row],[MATRICULA]]&amp;"Policia"&amp;Tabela1[[#This Row],[SETOR]],BD!A:AF,13,0),"")</f>
        <v/>
      </c>
      <c r="CC219" s="135" t="str">
        <f>IFERROR(VLOOKUP(Tabela1[[#This Row],[MÊS]]&amp;Tabela1[[#This Row],[ID]]&amp;Tabela1[[#This Row],[MATRICULA]]&amp;"Policia 2"&amp;Tabela1[[#This Row],[SETOR]],BD!A:AF,13,0),"")</f>
        <v/>
      </c>
      <c r="CD219" s="135"/>
      <c r="CE219" s="135"/>
      <c r="CF219" s="135" t="str">
        <f>IFERROR((AVERAGE(Tabela1[[#This Row],[DPOL1]:[DPOL4]])),"")</f>
        <v/>
      </c>
      <c r="CG219" s="21" t="str">
        <f>IFERROR(VLOOKUP(Tabela1[[#This Row],[ID]]&amp;Tabela1[[#This Row],[MÊS]]&amp;Tabela1[[#This Row],[MATRICULA]],#REF!,2,0),"")</f>
        <v/>
      </c>
      <c r="CH219" s="21" t="str">
        <f>IFERROR(VLOOKUP(Tabela1[[#This Row],[ID]]&amp;Tabela1[[#This Row],[MÊS]]&amp;Tabela1[[#This Row],[MATRICULA]],#REF!,2,0),"")</f>
        <v/>
      </c>
      <c r="CI219" s="21" t="str">
        <f>IFERROR(VLOOKUP(Tabela1[[#This Row],[MÊS]]&amp;Tabela1[[#This Row],[MATRICULA]],#REF!,2,0),"")</f>
        <v/>
      </c>
    </row>
    <row r="220" spans="1:87">
      <c r="A220" s="12" t="str">
        <f>Tabela1[[#This Row],[MÊS]]&amp;Tabela1[[#This Row],[MATRICULA]]&amp;Tabela1[[#This Row],[ID]]</f>
        <v>JAN1146611</v>
      </c>
      <c r="B220" s="12" t="str">
        <f>Tabela1[[#This Row],[MÊS]]&amp;Tabela1[[#This Row],[ID]]&amp;Tabela1[[#This Row],[MATRICULA]]&amp;Tabela1[[#This Row],[SETOR]]</f>
        <v>JAN1111466TRANSFERÊNCIA</v>
      </c>
      <c r="C220" s="130" t="e">
        <f>VLOOKUP(Tabela1[[#This Row],[MATRICULA]],'BD Campos'!A:D,5,0)</f>
        <v>#REF!</v>
      </c>
      <c r="D220" s="133" t="str">
        <f ca="1">IFERROR(SUM(TODAY()-Tabela1[[#This Row],[ADMISSÃO]]),"")</f>
        <v/>
      </c>
      <c r="E220" s="11" t="str">
        <f ca="1">IFERROR(TRUNC(Tabela1[[#This Row],[TEMPO DE CASA (DIAS)]]/30),"")</f>
        <v/>
      </c>
      <c r="F220" s="32" t="str">
        <f ca="1">IFERROR(SUM(Tabela1[[#This Row],[TEMPO DE CASA (MESES)]]/12),"")</f>
        <v/>
      </c>
      <c r="G220" s="133" t="str">
        <f ca="1">IF(Tabela1[[#This Row],[TEMPO DE CASA (DIAS)]]="","SEM DADOS",IF(Tabela1[[#This Row],[TEMPO DE CASA (DIAS)]]&gt;180,"&gt; 6 MESES","&lt; 6 MESES"))</f>
        <v>SEM DADOS</v>
      </c>
      <c r="H220" s="12" t="str">
        <f t="shared" si="19"/>
        <v>JANGabryelle Marcilio11</v>
      </c>
      <c r="I220" s="12" t="str">
        <f>IFERROR(VLOOKUP(Tabela1[[#This Row],[MATRICULA]],'BD Campos'!A:F,7,0),"")</f>
        <v/>
      </c>
      <c r="J220" s="11">
        <v>11</v>
      </c>
      <c r="K220" s="11" t="s">
        <v>669</v>
      </c>
      <c r="L220" s="136">
        <v>11466</v>
      </c>
      <c r="M220" s="12" t="str">
        <f>IFERROR(VLOOKUP(Tabela1[[#This Row],[MATRICULA]],'BD Campos'!A:B,2,0),"")</f>
        <v>HUGO DOS SANTOS LANZETTI AYRES</v>
      </c>
      <c r="N220" s="20">
        <f>IFERROR(AVERAGE(Tabela1[[#This Row],[A1]:[A4]]),"")</f>
        <v>4.0549999999999997</v>
      </c>
      <c r="O220" s="20" t="str">
        <f>IFERROR(IF(Tabela1[[#This Row],[SETOR]]="RECEPTIVO","",AVERAGE(Tabela1[[#This Row],[A5]:[A6]])),"")</f>
        <v/>
      </c>
      <c r="P220" s="20" t="str">
        <f>IFERROR(IF(Tabela1[[#This Row],[STATUS]]="INATIVO","INATIVO",IF(Tabela1[[#This Row],[STATUS]]="QRT","INATIVO",IF(Tabela1[[#This Row],[OPERACIONAL]]&gt;7.99999,"BOM","RUIM"))),"")</f>
        <v>RUIM</v>
      </c>
      <c r="Q220" s="21" t="s">
        <v>667</v>
      </c>
      <c r="R220" s="12" t="s">
        <v>716</v>
      </c>
      <c r="S220" s="12" t="s">
        <v>717</v>
      </c>
      <c r="T220" s="12" t="s">
        <v>192</v>
      </c>
      <c r="U220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20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20" s="12">
        <f>IF(AND(Tabela1[[#This Row],[SETOR]]="UTI",Tabela1[[#This Row],[M]]&lt;&gt;""),1,IF(AND(Tabela1[[#This Row],[SETOR]]="UTI (RJ)",Tabela1[[#This Row],[M]]&lt;&gt;""),1.5,0))</f>
        <v>0</v>
      </c>
      <c r="X220" s="12">
        <f>IF(AND(Tabela1[[#This Row],[SETOR]]="UTI",Tabela1[[#This Row],[PA2]]&lt;&gt;""),1,IF(AND(Tabela1[[#This Row],[SETOR]]="UTI (RJ)",Tabela1[[#This Row],[PA2]]&lt;&gt;""),0,0))</f>
        <v>0</v>
      </c>
      <c r="Y220" s="12">
        <f>IF(AND(Tabela1[[#This Row],[SETOR]]="UTI",Tabela1[[#This Row],[C]]&lt;&gt;""),1,IF(AND(Tabela1[[#This Row],[SETOR]]="UTI (RJ)",Tabela1[[#This Row],[C]]&lt;&gt;""),1.5,0))</f>
        <v>0</v>
      </c>
      <c r="Z220" s="12">
        <f>IF(AND(Tabela1[[#This Row],[SETOR]]="UTI",Tabela1[[#This Row],[PL]]&lt;&gt;""),1,IF(AND(Tabela1[[#This Row],[SETOR]]="UTI (RJ)",Tabela1[[#This Row],[PL]]&lt;&gt;""),1,0))</f>
        <v>0</v>
      </c>
      <c r="AA220" s="21">
        <f>IFERROR(VLOOKUP(Tabela1[[#This Row],[MÊS]]&amp;Tabela1[[#This Row],[MATRICULA]]&amp;"1"&amp;Tabela1[[#This Row],[SETOR]]&amp;"PADRÃO",BD!B:AF,31,0),"")</f>
        <v>0</v>
      </c>
      <c r="AB220" s="21">
        <f>IFERROR(VLOOKUP(Tabela1[[#This Row],[MÊS]]&amp;Tabela1[[#This Row],[MATRICULA]]&amp;"2"&amp;Tabela1[[#This Row],[SETOR]]&amp;"PADRÃO",BD!B:AF,31,0),"")</f>
        <v>8.11</v>
      </c>
      <c r="AC220" s="21" t="str">
        <f>IFERROR(VLOOKUP(Tabela1[[#This Row],[MÊS]]&amp;Tabela1[[#This Row],[MATRICULA]]&amp;"3"&amp;Tabela1[[#This Row],[SETOR]]&amp;"PADRÃO",BD!B:AF,31,0),"")</f>
        <v/>
      </c>
      <c r="AD220" s="21" t="str">
        <f>IFERROR(VLOOKUP(Tabela1[[#This Row],[MÊS]]&amp;Tabela1[[#This Row],[MATRICULA]]&amp;"4"&amp;Tabela1[[#This Row],[SETOR]]&amp;"PADRÃO",BD!B:AF,25,0),"")</f>
        <v/>
      </c>
      <c r="AE220" s="21" t="str">
        <f>IFERROR(VLOOKUP(Tabela1[[#This Row],[MÊS]]&amp;Tabela1[[#This Row],[MATRICULA]]&amp;"5"&amp;Tabela1[[#This Row],[SETOR]]&amp;"PADRÃO",BD!B:AF,31,0),"")</f>
        <v/>
      </c>
      <c r="AF220" s="21" t="str">
        <f>IFERROR(VLOOKUP(Tabela1[[#This Row],[MÊS]]&amp;Tabela1[[#This Row],[MATRICULA]]&amp;"6"&amp;Tabela1[[#This Row],[SETOR]]&amp;"PADRÃO",BD!B:AF,31,0),"")</f>
        <v/>
      </c>
      <c r="AG220" s="21" t="str">
        <f>IFERROR(VLOOKUP(Tabela1[[#This Row],[MÊS]]&amp;Tabela1[[#This Row],[MATRICULA]]&amp;"7"&amp;Tabela1[[#This Row],[SETOR]]&amp;"PADRÃO",BD!B:AF,31,0),"")</f>
        <v/>
      </c>
      <c r="AH220" s="21" t="str">
        <f>IFERROR(VLOOKUP(Tabela1[[#This Row],[MÊS]]&amp;Tabela1[[#This Row],[ID]]&amp;Tabela1[[#This Row],[MATRICULA]]&amp;"Receptiva"&amp;Tabela1[[#This Row],[SETOR]],BD!A:AF,31,0),"")</f>
        <v/>
      </c>
      <c r="AI220" s="21" t="str">
        <f>IFERROR(VLOOKUP(Tabela1[[#This Row],[MÊS]]&amp;Tabela1[[#This Row],[ID]]&amp;Tabela1[[#This Row],[MATRICULA]]&amp;"Receptiva 2"&amp;Tabela1[[#This Row],[SETOR]],BD!A:AF,31,0),"")</f>
        <v/>
      </c>
      <c r="AJ220" s="21" t="str">
        <f>IFERROR(VLOOKUP(Tabela1[[#This Row],[MÊS]]&amp;Tabela1[[#This Row],[ID]]&amp;Tabela1[[#This Row],[MATRICULA]]&amp;"Receptiva 3"&amp;Tabela1[[#This Row],[SETOR]],BD!A:AF,31,0),"")</f>
        <v/>
      </c>
      <c r="AK220" s="21" t="str">
        <f>IFERROR(VLOOKUP(Tabela1[[#This Row],[MÊS]]&amp;Tabela1[[#This Row],[ID]]&amp;Tabela1[[#This Row],[MATRICULA]]&amp;"Receptiva 4"&amp;Tabela1[[#This Row],[SETOR]],BD!A:AF,31,0),"")</f>
        <v/>
      </c>
      <c r="AL220" s="21">
        <f>IFERROR(VLOOKUP(Tabela1[[#This Row],[MÊS]]&amp;Tabela1[[#This Row],[MATRICULA]]&amp;"Motorista"&amp;Tabela1[[#This Row],[SETOR]],BD!A:AF,31,0),"")</f>
        <v>0</v>
      </c>
      <c r="AM220" s="21" t="str">
        <f>IFERROR(VLOOKUP(Tabela1[[#This Row],[MÊS]]&amp;Tabela1[[#This Row],[ID]]&amp;Tabela1[[#This Row],[MATRICULA]]&amp;"Motorista 2"&amp;Tabela1[[#This Row],[SETOR]],BD!A:AF,26,0),"")</f>
        <v/>
      </c>
      <c r="AN220" s="21" t="str">
        <f>IFERROR(VLOOKUP(Tabela1[[#This Row],[MÊS]]&amp;Tabela1[[#This Row],[ID]]&amp;Tabela1[[#This Row],[MATRICULA]]&amp;"Motorista 3"&amp;Tabela1[[#This Row],[SETOR]],BD!A:AF,26,0),"")</f>
        <v/>
      </c>
      <c r="AO220" s="21" t="str">
        <f>IFERROR(VLOOKUP(Tabela1[[#This Row],[MÊS]]&amp;Tabela1[[#This Row],[ID]]&amp;Tabela1[[#This Row],[MATRICULA]]&amp;"Motorista 4"&amp;Tabela1[[#This Row],[SETOR]],BD!A:AF,26,0),"")</f>
        <v/>
      </c>
      <c r="AP220" s="21" t="str">
        <f>IFERROR(VLOOKUP(Tabela1[[#This Row],[MÊS]]&amp;Tabela1[[#This Row],[MATRICULA]]&amp;"Ponto de Apoio"&amp;Tabela1[[#This Row],[SETOR]],BD!A:AF,31,0),"")</f>
        <v/>
      </c>
      <c r="AQ220" s="21" t="str">
        <f>IFERROR(VLOOKUP(Tabela1[[#This Row],[MÊS]]&amp;Tabela1[[#This Row],[ID]]&amp;Tabela1[[#This Row],[MATRICULA]]&amp;"Ponto de Apoio 2"&amp;Tabela1[[#This Row],[SETOR]],BD!A:AF,26,0),"")</f>
        <v/>
      </c>
      <c r="AR220" s="36" t="str">
        <f>IFERROR(VLOOKUP(Tabela1[[#This Row],[MÊS]]&amp;Tabela1[[#This Row],[ID]]&amp;Tabela1[[#This Row],[MATRICULA]]&amp;"Ponto de Apoio 3"&amp;Tabela1[[#This Row],[SETOR]],BD!A:AF,26,0),"")</f>
        <v/>
      </c>
      <c r="AS220" s="36" t="str">
        <f>IFERROR(VLOOKUP(Tabela1[[#This Row],[MÊS]]&amp;Tabela1[[#This Row],[ID]]&amp;Tabela1[[#This Row],[MATRICULA]]&amp;"Ponto de Apoio 4"&amp;Tabela1[[#This Row],[SETOR]],BD!A:AF,26,0),"")</f>
        <v/>
      </c>
      <c r="AT220" s="21" t="str">
        <f>IFERROR(VLOOKUP(Tabela1[[#This Row],[MÊS]]&amp;Tabela1[[#This Row],[MATRICULA]]&amp;"Cliente"&amp;Tabela1[[#This Row],[SETOR]],BD!A:AF,31,0),"")</f>
        <v/>
      </c>
      <c r="AU220" s="21" t="str">
        <f>IFERROR(VLOOKUP(Tabela1[[#This Row],[MÊS]]&amp;Tabela1[[#This Row],[ID]]&amp;Tabela1[[#This Row],[MATRICULA]]&amp;"Cliente 2"&amp;Tabela1[[#This Row],[SETOR]],BD!A:AF,26,0),"")</f>
        <v/>
      </c>
      <c r="AX220" s="21" t="str">
        <f>IFERROR(VLOOKUP(Tabela1[[#This Row],[MÊS]]&amp;Tabela1[[#This Row],[MATRICULA]]&amp;"Policia"&amp;Tabela1[[#This Row],[SETOR]],BD!A:AF,31,0),"")</f>
        <v/>
      </c>
      <c r="AY220" s="21" t="str">
        <f>IFERROR(VLOOKUP(Tabela1[[#This Row],[MÊS]]&amp;Tabela1[[#This Row],[ID]]&amp;Tabela1[[#This Row],[MATRICULA]]&amp;"Policia 2"&amp;Tabela1[[#This Row],[SETOR]],BD!A:AF,26,0),"")</f>
        <v/>
      </c>
      <c r="AZ220" s="36" t="str">
        <f>IFERROR(VLOOKUP(Tabela1[[#This Row],[MÊS]]&amp;Tabela1[[#This Row],[ID]]&amp;Tabela1[[#This Row],[MATRICULA]]&amp;"Policia 3"&amp;Tabela1[[#This Row],[SETOR]],BD!A:AF,26,0),"")</f>
        <v/>
      </c>
      <c r="BA220" s="36" t="str">
        <f>IFERROR(VLOOKUP(Tabela1[[#This Row],[MÊS]]&amp;Tabela1[[#This Row],[ID]]&amp;Tabela1[[#This Row],[MATRICULA]]&amp;"Policia 4"&amp;Tabela1[[#This Row],[SETOR]],BD!A:AF,26,0),"")</f>
        <v/>
      </c>
      <c r="BB220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20" s="21">
        <f>IFERROR(AVERAGE(Tabela1[[#This Row],[M]:[M4]]),"")</f>
        <v>0</v>
      </c>
      <c r="BD220" s="21" t="str">
        <f>IFERROR(AVERAGE(Tabela1[[#This Row],[C]:[C4]]),"")</f>
        <v/>
      </c>
      <c r="BE220" s="21" t="str">
        <f>IFERROR(AVERAGE(Tabela1[[#This Row],[PA2]:[PA 4]]),"")</f>
        <v/>
      </c>
      <c r="BF220" s="21" t="str">
        <f>IFERROR(AVERAGE(Tabela1[[#This Row],[PL]:[PL4]]),"")</f>
        <v/>
      </c>
      <c r="BG220" s="35" t="str">
        <f>IFERROR(VLOOKUP(Tabela1[[#This Row],[MÊS]]&amp;Tabela1[[#This Row],[MATRICULA]],#REF!,2,0),"")</f>
        <v/>
      </c>
      <c r="BH220" s="35" t="str">
        <f>IFERROR(VLOOKUP(Tabela1[[#This Row],[MÊS]]&amp;Tabela1[[#This Row],[MATRICULA]],#REF!,2,0),"")</f>
        <v/>
      </c>
      <c r="BI220" s="35" t="str">
        <f>IFERROR(VLOOKUP(Tabela1[[#This Row],[MÊS]]&amp;Tabela1[[#This Row],[MATRICULA]],#REF!,2,0),"")</f>
        <v/>
      </c>
      <c r="BJ220" s="35" t="str">
        <f>IFERROR(VLOOKUP(Tabela1[[#This Row],[MÊS]]&amp;Tabela1[[#This Row],[MATRICULA]],#REF!,2,0),"")</f>
        <v/>
      </c>
      <c r="BK220" s="35" t="str">
        <f>IFERROR(VLOOKUP(Tabela1[[#This Row],[MÊS]]&amp;Tabela1[[#This Row],[MATRICULA]],#REF!,2,0),"")</f>
        <v/>
      </c>
      <c r="BL220" s="21">
        <f>COUNTIF(Tabela1[[#This Row],[MOT2]:[RECEPTIVA]],"NÃO ENCONTRADA")</f>
        <v>0</v>
      </c>
      <c r="BM220" s="135" t="str">
        <f>IFERROR(VLOOKUP(Tabela1[[#This Row],[MÊS]]&amp;Tabela1[[#This Row],[ID]]&amp;Tabela1[[#This Row],[MATRICULA]]&amp;"Motorista"&amp;Tabela1[[#This Row],[SETOR]],BD!A:AF,13,0),"")</f>
        <v/>
      </c>
      <c r="BN220" s="135" t="str">
        <f>IFERROR(VLOOKUP(Tabela1[[#This Row],[MÊS]]&amp;Tabela1[[#This Row],[ID]]&amp;Tabela1[[#This Row],[MATRICULA]]&amp;"Motorista 2"&amp;Tabela1[[#This Row],[SETOR]],BD!A:AF,13,0),"")</f>
        <v/>
      </c>
      <c r="BO220" s="135" t="str">
        <f>IFERROR(VLOOKUP(Tabela1[[#This Row],[MÊS]]&amp;Tabela1[[#This Row],[ID]]&amp;Tabela1[[#This Row],[MATRICULA]]&amp;"Motorista 3"&amp;Tabela1[[#This Row],[SETOR]],BD!A:AF,13,0),"")</f>
        <v/>
      </c>
      <c r="BP220" s="135" t="str">
        <f>IFERROR(VLOOKUP(Tabela1[[#This Row],[MÊS]]&amp;Tabela1[[#This Row],[ID]]&amp;Tabela1[[#This Row],[MATRICULA]]&amp;"Motorista 4"&amp;Tabela1[[#This Row],[SETOR]],BD!A:AF,13,0),"")</f>
        <v/>
      </c>
      <c r="BQ220" s="135" t="str">
        <f>IFERROR(AVERAGE(Tabela1[[#This Row],[DMOT]:[DMOT4]]),"")</f>
        <v/>
      </c>
      <c r="BR220" s="135" t="str">
        <f>IFERROR(VLOOKUP(Tabela1[[#This Row],[MÊS]]&amp;Tabela1[[#This Row],[ID]]&amp;Tabela1[[#This Row],[MATRICULA]]&amp;"Ponto de Apoio"&amp;Tabela1[[#This Row],[SETOR]],BD!A:AF,13,0),"")</f>
        <v/>
      </c>
      <c r="BS220" s="135" t="str">
        <f>IFERROR(VLOOKUP(Tabela1[[#This Row],[MÊS]]&amp;Tabela1[[#This Row],[ID]]&amp;Tabela1[[#This Row],[MATRICULA]]&amp;"Ponto de Apoio 2"&amp;Tabela1[[#This Row],[SETOR]],BD!A:AF,13,0),"")</f>
        <v/>
      </c>
      <c r="BT220" s="135" t="str">
        <f>IFERROR(VLOOKUP(Tabela1[[#This Row],[MÊS]]&amp;Tabela1[[#This Row],[ID]]&amp;Tabela1[[#This Row],[MATRICULA]]&amp;"Ponto de Apoio 3"&amp;Tabela1[[#This Row],[SETOR]],BD!A:AF,13,0),"")</f>
        <v/>
      </c>
      <c r="BU220" s="135" t="str">
        <f>IFERROR(VLOOKUP(Tabela1[[#This Row],[MÊS]]&amp;Tabela1[[#This Row],[ID]]&amp;Tabela1[[#This Row],[MATRICULA]]&amp;"Ponto de Apoio 4"&amp;Tabela1[[#This Row],[SETOR]],BD!A:AF,13,0),"")</f>
        <v/>
      </c>
      <c r="BV220" s="135" t="str">
        <f>IFERROR(AVERAGE(Tabela1[[#This Row],[DPA]:[DPA 4]]),"")</f>
        <v/>
      </c>
      <c r="BW220" s="135" t="str">
        <f>IFERROR(VLOOKUP(Tabela1[[#This Row],[MÊS]]&amp;Tabela1[[#This Row],[ID]]&amp;Tabela1[[#This Row],[MATRICULA]]&amp;"Cliente"&amp;Tabela1[[#This Row],[SETOR]],BD!A:AF,13,0),"")</f>
        <v/>
      </c>
      <c r="BX220" s="135" t="str">
        <f>IFERROR(VLOOKUP(Tabela1[[#This Row],[MÊS]]&amp;Tabela1[[#This Row],[ID]]&amp;Tabela1[[#This Row],[MATRICULA]]&amp;"cliente 2"&amp;Tabela1[[#This Row],[SETOR]],BD!A:AF,13,0),"")</f>
        <v/>
      </c>
      <c r="BY220" s="135" t="str">
        <f>IFERROR(VLOOKUP(Tabela1[[#This Row],[MÊS]]&amp;Tabela1[[#This Row],[ID]]&amp;Tabela1[[#This Row],[MATRICULA]]&amp;"cliente 3"&amp;Tabela1[[#This Row],[SETOR]],BD!A:AF,13,0),"")</f>
        <v/>
      </c>
      <c r="BZ220" s="135" t="str">
        <f>IFERROR(VLOOKUP(Tabela1[[#This Row],[MÊS]]&amp;Tabela1[[#This Row],[ID]]&amp;Tabela1[[#This Row],[MATRICULA]]&amp;"cliente 4"&amp;Tabela1[[#This Row],[SETOR]],BD!A:AF,13,0),"")</f>
        <v/>
      </c>
      <c r="CA220" s="135" t="str">
        <f>IFERROR(AVERAGE(Tabela1[[#This Row],[DCLI]:[DCLI 4]]),"")</f>
        <v/>
      </c>
      <c r="CB220" s="135" t="str">
        <f>IFERROR(VLOOKUP(Tabela1[[#This Row],[MÊS]]&amp;Tabela1[[#This Row],[ID]]&amp;Tabela1[[#This Row],[MATRICULA]]&amp;"Policia"&amp;Tabela1[[#This Row],[SETOR]],BD!A:AF,13,0),"")</f>
        <v/>
      </c>
      <c r="CC220" s="135" t="str">
        <f>IFERROR(VLOOKUP(Tabela1[[#This Row],[MÊS]]&amp;Tabela1[[#This Row],[ID]]&amp;Tabela1[[#This Row],[MATRICULA]]&amp;"Policia 2"&amp;Tabela1[[#This Row],[SETOR]],BD!A:AF,13,0),"")</f>
        <v/>
      </c>
      <c r="CD220" s="135"/>
      <c r="CE220" s="135"/>
      <c r="CF220" s="135" t="str">
        <f>IFERROR((AVERAGE(Tabela1[[#This Row],[DPOL1]:[DPOL4]])),"")</f>
        <v/>
      </c>
      <c r="CG220" s="21" t="str">
        <f>IFERROR(VLOOKUP(Tabela1[[#This Row],[ID]]&amp;Tabela1[[#This Row],[MÊS]]&amp;Tabela1[[#This Row],[MATRICULA]],#REF!,2,0),"")</f>
        <v/>
      </c>
      <c r="CH220" s="21" t="str">
        <f>IFERROR(VLOOKUP(Tabela1[[#This Row],[ID]]&amp;Tabela1[[#This Row],[MÊS]]&amp;Tabela1[[#This Row],[MATRICULA]],#REF!,2,0),"")</f>
        <v/>
      </c>
      <c r="CI220" s="21" t="str">
        <f>IFERROR(VLOOKUP(Tabela1[[#This Row],[MÊS]]&amp;Tabela1[[#This Row],[MATRICULA]],#REF!,2,0),"")</f>
        <v/>
      </c>
    </row>
    <row r="221" spans="1:87">
      <c r="A221" s="12" t="str">
        <f>Tabela1[[#This Row],[MÊS]]&amp;Tabela1[[#This Row],[MATRICULA]]&amp;Tabela1[[#This Row],[ID]]</f>
        <v>JAN1109312</v>
      </c>
      <c r="B221" s="12" t="str">
        <f>Tabela1[[#This Row],[MÊS]]&amp;Tabela1[[#This Row],[ID]]&amp;Tabela1[[#This Row],[MATRICULA]]&amp;Tabela1[[#This Row],[SETOR]]</f>
        <v>JAN1211093TRANSFERÊNCIA</v>
      </c>
      <c r="C221" s="130" t="e">
        <f>VLOOKUP(Tabela1[[#This Row],[MATRICULA]],'BD Campos'!A:D,5,0)</f>
        <v>#REF!</v>
      </c>
      <c r="D221" s="133" t="str">
        <f ca="1">IFERROR(SUM(TODAY()-Tabela1[[#This Row],[ADMISSÃO]]),"")</f>
        <v/>
      </c>
      <c r="E221" s="11" t="str">
        <f ca="1">IFERROR(TRUNC(Tabela1[[#This Row],[TEMPO DE CASA (DIAS)]]/30),"")</f>
        <v/>
      </c>
      <c r="F221" s="32" t="str">
        <f ca="1">IFERROR(SUM(Tabela1[[#This Row],[TEMPO DE CASA (MESES)]]/12),"")</f>
        <v/>
      </c>
      <c r="G221" s="133" t="str">
        <f ca="1">IF(Tabela1[[#This Row],[TEMPO DE CASA (DIAS)]]="","SEM DADOS",IF(Tabela1[[#This Row],[TEMPO DE CASA (DIAS)]]&gt;180,"&gt; 6 MESES","&lt; 6 MESES"))</f>
        <v>SEM DADOS</v>
      </c>
      <c r="H221" s="12" t="str">
        <f t="shared" si="19"/>
        <v>JANGabryelle Marcilio12</v>
      </c>
      <c r="I221" s="12" t="str">
        <f>IFERROR(VLOOKUP(Tabela1[[#This Row],[MATRICULA]],'BD Campos'!A:F,7,0),"")</f>
        <v/>
      </c>
      <c r="J221" s="11">
        <v>12</v>
      </c>
      <c r="K221" s="11" t="s">
        <v>669</v>
      </c>
      <c r="L221" s="136">
        <v>11093</v>
      </c>
      <c r="M221" s="12" t="str">
        <f>IFERROR(VLOOKUP(Tabela1[[#This Row],[MATRICULA]],'BD Campos'!A:B,2,0),"")</f>
        <v>THIAGO WALLACE LUBKE</v>
      </c>
      <c r="N221" s="20">
        <f>IFERROR(AVERAGE(Tabela1[[#This Row],[A1]:[A4]]),"")</f>
        <v>8.004999999999999</v>
      </c>
      <c r="O221" s="20" t="str">
        <f>IFERROR(IF(Tabela1[[#This Row],[SETOR]]="RECEPTIVO","",AVERAGE(Tabela1[[#This Row],[A5]:[A6]])),"")</f>
        <v/>
      </c>
      <c r="P221" s="20" t="str">
        <f>IFERROR(IF(Tabela1[[#This Row],[STATUS]]="INATIVO","INATIVO",IF(Tabela1[[#This Row],[STATUS]]="QRT","INATIVO",IF(Tabela1[[#This Row],[OPERACIONAL]]&gt;7.99999,"BOM","RUIM"))),"")</f>
        <v>BOM</v>
      </c>
      <c r="Q221" s="21" t="s">
        <v>667</v>
      </c>
      <c r="R221" s="12" t="s">
        <v>716</v>
      </c>
      <c r="S221" s="12" t="s">
        <v>717</v>
      </c>
      <c r="T221" s="12" t="s">
        <v>192</v>
      </c>
      <c r="U221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21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21" s="12">
        <f>IF(AND(Tabela1[[#This Row],[SETOR]]="UTI",Tabela1[[#This Row],[M]]&lt;&gt;""),1,IF(AND(Tabela1[[#This Row],[SETOR]]="UTI (RJ)",Tabela1[[#This Row],[M]]&lt;&gt;""),1.5,0))</f>
        <v>0</v>
      </c>
      <c r="X221" s="12">
        <f>IF(AND(Tabela1[[#This Row],[SETOR]]="UTI",Tabela1[[#This Row],[PA2]]&lt;&gt;""),1,IF(AND(Tabela1[[#This Row],[SETOR]]="UTI (RJ)",Tabela1[[#This Row],[PA2]]&lt;&gt;""),0,0))</f>
        <v>0</v>
      </c>
      <c r="Y221" s="12">
        <f>IF(AND(Tabela1[[#This Row],[SETOR]]="UTI",Tabela1[[#This Row],[C]]&lt;&gt;""),1,IF(AND(Tabela1[[#This Row],[SETOR]]="UTI (RJ)",Tabela1[[#This Row],[C]]&lt;&gt;""),1.5,0))</f>
        <v>0</v>
      </c>
      <c r="Z221" s="12">
        <f>IF(AND(Tabela1[[#This Row],[SETOR]]="UTI",Tabela1[[#This Row],[PL]]&lt;&gt;""),1,IF(AND(Tabela1[[#This Row],[SETOR]]="UTI (RJ)",Tabela1[[#This Row],[PL]]&lt;&gt;""),1,0))</f>
        <v>0</v>
      </c>
      <c r="AA221" s="21">
        <f>IFERROR(VLOOKUP(Tabela1[[#This Row],[MÊS]]&amp;Tabela1[[#This Row],[MATRICULA]]&amp;"1"&amp;Tabela1[[#This Row],[SETOR]]&amp;"PADRÃO",BD!B:AF,31,0),"")</f>
        <v>8.2149999999999999</v>
      </c>
      <c r="AB221" s="21">
        <f>IFERROR(VLOOKUP(Tabela1[[#This Row],[MÊS]]&amp;Tabela1[[#This Row],[MATRICULA]]&amp;"2"&amp;Tabela1[[#This Row],[SETOR]]&amp;"PADRÃO",BD!B:AF,31,0),"")</f>
        <v>7.794999999999999</v>
      </c>
      <c r="AC221" s="21" t="str">
        <f>IFERROR(VLOOKUP(Tabela1[[#This Row],[MÊS]]&amp;Tabela1[[#This Row],[MATRICULA]]&amp;"3"&amp;Tabela1[[#This Row],[SETOR]]&amp;"PADRÃO",BD!B:AF,31,0),"")</f>
        <v/>
      </c>
      <c r="AD221" s="21" t="str">
        <f>IFERROR(VLOOKUP(Tabela1[[#This Row],[MÊS]]&amp;Tabela1[[#This Row],[MATRICULA]]&amp;"4"&amp;Tabela1[[#This Row],[SETOR]]&amp;"PADRÃO",BD!B:AF,25,0),"")</f>
        <v/>
      </c>
      <c r="AE221" s="21" t="str">
        <f>IFERROR(VLOOKUP(Tabela1[[#This Row],[MÊS]]&amp;Tabela1[[#This Row],[MATRICULA]]&amp;"5"&amp;Tabela1[[#This Row],[SETOR]]&amp;"PADRÃO",BD!B:AF,31,0),"")</f>
        <v/>
      </c>
      <c r="AF221" s="21" t="str">
        <f>IFERROR(VLOOKUP(Tabela1[[#This Row],[MÊS]]&amp;Tabela1[[#This Row],[MATRICULA]]&amp;"6"&amp;Tabela1[[#This Row],[SETOR]]&amp;"PADRÃO",BD!B:AF,31,0),"")</f>
        <v/>
      </c>
      <c r="AG221" s="21" t="str">
        <f>IFERROR(VLOOKUP(Tabela1[[#This Row],[MÊS]]&amp;Tabela1[[#This Row],[MATRICULA]]&amp;"7"&amp;Tabela1[[#This Row],[SETOR]]&amp;"PADRÃO",BD!B:AF,31,0),"")</f>
        <v/>
      </c>
      <c r="AH221" s="21" t="str">
        <f>IFERROR(VLOOKUP(Tabela1[[#This Row],[MÊS]]&amp;Tabela1[[#This Row],[ID]]&amp;Tabela1[[#This Row],[MATRICULA]]&amp;"Receptiva"&amp;Tabela1[[#This Row],[SETOR]],BD!A:AF,31,0),"")</f>
        <v/>
      </c>
      <c r="AI221" s="21" t="str">
        <f>IFERROR(VLOOKUP(Tabela1[[#This Row],[MÊS]]&amp;Tabela1[[#This Row],[ID]]&amp;Tabela1[[#This Row],[MATRICULA]]&amp;"Receptiva 2"&amp;Tabela1[[#This Row],[SETOR]],BD!A:AF,31,0),"")</f>
        <v/>
      </c>
      <c r="AJ221" s="21" t="str">
        <f>IFERROR(VLOOKUP(Tabela1[[#This Row],[MÊS]]&amp;Tabela1[[#This Row],[ID]]&amp;Tabela1[[#This Row],[MATRICULA]]&amp;"Receptiva 3"&amp;Tabela1[[#This Row],[SETOR]],BD!A:AF,31,0),"")</f>
        <v/>
      </c>
      <c r="AK221" s="21" t="str">
        <f>IFERROR(VLOOKUP(Tabela1[[#This Row],[MÊS]]&amp;Tabela1[[#This Row],[ID]]&amp;Tabela1[[#This Row],[MATRICULA]]&amp;"Receptiva 4"&amp;Tabela1[[#This Row],[SETOR]],BD!A:AF,31,0),"")</f>
        <v/>
      </c>
      <c r="AL221" s="21">
        <f>IFERROR(VLOOKUP(Tabela1[[#This Row],[MÊS]]&amp;Tabela1[[#This Row],[MATRICULA]]&amp;"Motorista"&amp;Tabela1[[#This Row],[SETOR]],BD!A:AF,31,0),"")</f>
        <v>0</v>
      </c>
      <c r="AM221" s="21" t="str">
        <f>IFERROR(VLOOKUP(Tabela1[[#This Row],[MÊS]]&amp;Tabela1[[#This Row],[ID]]&amp;Tabela1[[#This Row],[MATRICULA]]&amp;"Motorista 2"&amp;Tabela1[[#This Row],[SETOR]],BD!A:AF,26,0),"")</f>
        <v/>
      </c>
      <c r="AN221" s="21" t="str">
        <f>IFERROR(VLOOKUP(Tabela1[[#This Row],[MÊS]]&amp;Tabela1[[#This Row],[ID]]&amp;Tabela1[[#This Row],[MATRICULA]]&amp;"Motorista 3"&amp;Tabela1[[#This Row],[SETOR]],BD!A:AF,26,0),"")</f>
        <v/>
      </c>
      <c r="AO221" s="21" t="str">
        <f>IFERROR(VLOOKUP(Tabela1[[#This Row],[MÊS]]&amp;Tabela1[[#This Row],[ID]]&amp;Tabela1[[#This Row],[MATRICULA]]&amp;"Motorista 4"&amp;Tabela1[[#This Row],[SETOR]],BD!A:AF,26,0),"")</f>
        <v/>
      </c>
      <c r="AP221" s="21" t="str">
        <f>IFERROR(VLOOKUP(Tabela1[[#This Row],[MÊS]]&amp;Tabela1[[#This Row],[MATRICULA]]&amp;"Ponto de Apoio"&amp;Tabela1[[#This Row],[SETOR]],BD!A:AF,31,0),"")</f>
        <v/>
      </c>
      <c r="AQ221" s="21" t="str">
        <f>IFERROR(VLOOKUP(Tabela1[[#This Row],[MÊS]]&amp;Tabela1[[#This Row],[ID]]&amp;Tabela1[[#This Row],[MATRICULA]]&amp;"Ponto de Apoio 2"&amp;Tabela1[[#This Row],[SETOR]],BD!A:AF,26,0),"")</f>
        <v/>
      </c>
      <c r="AR221" s="36" t="str">
        <f>IFERROR(VLOOKUP(Tabela1[[#This Row],[MÊS]]&amp;Tabela1[[#This Row],[ID]]&amp;Tabela1[[#This Row],[MATRICULA]]&amp;"Ponto de Apoio 3"&amp;Tabela1[[#This Row],[SETOR]],BD!A:AF,26,0),"")</f>
        <v/>
      </c>
      <c r="AS221" s="36" t="str">
        <f>IFERROR(VLOOKUP(Tabela1[[#This Row],[MÊS]]&amp;Tabela1[[#This Row],[ID]]&amp;Tabela1[[#This Row],[MATRICULA]]&amp;"Ponto de Apoio 4"&amp;Tabela1[[#This Row],[SETOR]],BD!A:AF,26,0),"")</f>
        <v/>
      </c>
      <c r="AT221" s="21" t="str">
        <f>IFERROR(VLOOKUP(Tabela1[[#This Row],[MÊS]]&amp;Tabela1[[#This Row],[MATRICULA]]&amp;"Cliente"&amp;Tabela1[[#This Row],[SETOR]],BD!A:AF,31,0),"")</f>
        <v/>
      </c>
      <c r="AU221" s="21" t="str">
        <f>IFERROR(VLOOKUP(Tabela1[[#This Row],[MÊS]]&amp;Tabela1[[#This Row],[ID]]&amp;Tabela1[[#This Row],[MATRICULA]]&amp;"Cliente 2"&amp;Tabela1[[#This Row],[SETOR]],BD!A:AF,26,0),"")</f>
        <v/>
      </c>
      <c r="AX221" s="21" t="str">
        <f>IFERROR(VLOOKUP(Tabela1[[#This Row],[MÊS]]&amp;Tabela1[[#This Row],[MATRICULA]]&amp;"Policia"&amp;Tabela1[[#This Row],[SETOR]],BD!A:AF,31,0),"")</f>
        <v/>
      </c>
      <c r="AY221" s="21" t="str">
        <f>IFERROR(VLOOKUP(Tabela1[[#This Row],[MÊS]]&amp;Tabela1[[#This Row],[ID]]&amp;Tabela1[[#This Row],[MATRICULA]]&amp;"Policia 2"&amp;Tabela1[[#This Row],[SETOR]],BD!A:AF,26,0),"")</f>
        <v/>
      </c>
      <c r="AZ221" s="36" t="str">
        <f>IFERROR(VLOOKUP(Tabela1[[#This Row],[MÊS]]&amp;Tabela1[[#This Row],[ID]]&amp;Tabela1[[#This Row],[MATRICULA]]&amp;"Policia 3"&amp;Tabela1[[#This Row],[SETOR]],BD!A:AF,26,0),"")</f>
        <v/>
      </c>
      <c r="BA221" s="36" t="str">
        <f>IFERROR(VLOOKUP(Tabela1[[#This Row],[MÊS]]&amp;Tabela1[[#This Row],[ID]]&amp;Tabela1[[#This Row],[MATRICULA]]&amp;"Policia 4"&amp;Tabela1[[#This Row],[SETOR]],BD!A:AF,26,0),"")</f>
        <v/>
      </c>
      <c r="BB221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21" s="21">
        <f>IFERROR(AVERAGE(Tabela1[[#This Row],[M]:[M4]]),"")</f>
        <v>0</v>
      </c>
      <c r="BD221" s="21" t="str">
        <f>IFERROR(AVERAGE(Tabela1[[#This Row],[C]:[C4]]),"")</f>
        <v/>
      </c>
      <c r="BE221" s="21" t="str">
        <f>IFERROR(AVERAGE(Tabela1[[#This Row],[PA2]:[PA 4]]),"")</f>
        <v/>
      </c>
      <c r="BF221" s="21" t="str">
        <f>IFERROR(AVERAGE(Tabela1[[#This Row],[PL]:[PL4]]),"")</f>
        <v/>
      </c>
      <c r="BG221" s="35" t="str">
        <f>IFERROR(VLOOKUP(Tabela1[[#This Row],[MÊS]]&amp;Tabela1[[#This Row],[MATRICULA]],#REF!,2,0),"")</f>
        <v/>
      </c>
      <c r="BH221" s="35" t="str">
        <f>IFERROR(VLOOKUP(Tabela1[[#This Row],[MÊS]]&amp;Tabela1[[#This Row],[MATRICULA]],#REF!,2,0),"")</f>
        <v/>
      </c>
      <c r="BI221" s="35" t="str">
        <f>IFERROR(VLOOKUP(Tabela1[[#This Row],[MÊS]]&amp;Tabela1[[#This Row],[MATRICULA]],#REF!,2,0),"")</f>
        <v/>
      </c>
      <c r="BJ221" s="35" t="str">
        <f>IFERROR(VLOOKUP(Tabela1[[#This Row],[MÊS]]&amp;Tabela1[[#This Row],[MATRICULA]],#REF!,2,0),"")</f>
        <v/>
      </c>
      <c r="BK221" s="35" t="str">
        <f>IFERROR(VLOOKUP(Tabela1[[#This Row],[MÊS]]&amp;Tabela1[[#This Row],[MATRICULA]],#REF!,2,0),"")</f>
        <v/>
      </c>
      <c r="BL221" s="21">
        <f>COUNTIF(Tabela1[[#This Row],[MOT2]:[RECEPTIVA]],"NÃO ENCONTRADA")</f>
        <v>0</v>
      </c>
      <c r="BM221" s="135" t="str">
        <f>IFERROR(VLOOKUP(Tabela1[[#This Row],[MÊS]]&amp;Tabela1[[#This Row],[ID]]&amp;Tabela1[[#This Row],[MATRICULA]]&amp;"Motorista"&amp;Tabela1[[#This Row],[SETOR]],BD!A:AF,13,0),"")</f>
        <v/>
      </c>
      <c r="BN221" s="135" t="str">
        <f>IFERROR(VLOOKUP(Tabela1[[#This Row],[MÊS]]&amp;Tabela1[[#This Row],[ID]]&amp;Tabela1[[#This Row],[MATRICULA]]&amp;"Motorista 2"&amp;Tabela1[[#This Row],[SETOR]],BD!A:AF,13,0),"")</f>
        <v/>
      </c>
      <c r="BO221" s="135" t="str">
        <f>IFERROR(VLOOKUP(Tabela1[[#This Row],[MÊS]]&amp;Tabela1[[#This Row],[ID]]&amp;Tabela1[[#This Row],[MATRICULA]]&amp;"Motorista 3"&amp;Tabela1[[#This Row],[SETOR]],BD!A:AF,13,0),"")</f>
        <v/>
      </c>
      <c r="BP221" s="135" t="str">
        <f>IFERROR(VLOOKUP(Tabela1[[#This Row],[MÊS]]&amp;Tabela1[[#This Row],[ID]]&amp;Tabela1[[#This Row],[MATRICULA]]&amp;"Motorista 4"&amp;Tabela1[[#This Row],[SETOR]],BD!A:AF,13,0),"")</f>
        <v/>
      </c>
      <c r="BQ221" s="135" t="str">
        <f>IFERROR(AVERAGE(Tabela1[[#This Row],[DMOT]:[DMOT4]]),"")</f>
        <v/>
      </c>
      <c r="BR221" s="135" t="str">
        <f>IFERROR(VLOOKUP(Tabela1[[#This Row],[MÊS]]&amp;Tabela1[[#This Row],[ID]]&amp;Tabela1[[#This Row],[MATRICULA]]&amp;"Ponto de Apoio"&amp;Tabela1[[#This Row],[SETOR]],BD!A:AF,13,0),"")</f>
        <v/>
      </c>
      <c r="BS221" s="135" t="str">
        <f>IFERROR(VLOOKUP(Tabela1[[#This Row],[MÊS]]&amp;Tabela1[[#This Row],[ID]]&amp;Tabela1[[#This Row],[MATRICULA]]&amp;"Ponto de Apoio 2"&amp;Tabela1[[#This Row],[SETOR]],BD!A:AF,13,0),"")</f>
        <v/>
      </c>
      <c r="BT221" s="135" t="str">
        <f>IFERROR(VLOOKUP(Tabela1[[#This Row],[MÊS]]&amp;Tabela1[[#This Row],[ID]]&amp;Tabela1[[#This Row],[MATRICULA]]&amp;"Ponto de Apoio 3"&amp;Tabela1[[#This Row],[SETOR]],BD!A:AF,13,0),"")</f>
        <v/>
      </c>
      <c r="BU221" s="135" t="str">
        <f>IFERROR(VLOOKUP(Tabela1[[#This Row],[MÊS]]&amp;Tabela1[[#This Row],[ID]]&amp;Tabela1[[#This Row],[MATRICULA]]&amp;"Ponto de Apoio 4"&amp;Tabela1[[#This Row],[SETOR]],BD!A:AF,13,0),"")</f>
        <v/>
      </c>
      <c r="BV221" s="135" t="str">
        <f>IFERROR(AVERAGE(Tabela1[[#This Row],[DPA]:[DPA 4]]),"")</f>
        <v/>
      </c>
      <c r="BW221" s="135" t="str">
        <f>IFERROR(VLOOKUP(Tabela1[[#This Row],[MÊS]]&amp;Tabela1[[#This Row],[ID]]&amp;Tabela1[[#This Row],[MATRICULA]]&amp;"Cliente"&amp;Tabela1[[#This Row],[SETOR]],BD!A:AF,13,0),"")</f>
        <v/>
      </c>
      <c r="BX221" s="135" t="str">
        <f>IFERROR(VLOOKUP(Tabela1[[#This Row],[MÊS]]&amp;Tabela1[[#This Row],[ID]]&amp;Tabela1[[#This Row],[MATRICULA]]&amp;"cliente 2"&amp;Tabela1[[#This Row],[SETOR]],BD!A:AF,13,0),"")</f>
        <v/>
      </c>
      <c r="BY221" s="135" t="str">
        <f>IFERROR(VLOOKUP(Tabela1[[#This Row],[MÊS]]&amp;Tabela1[[#This Row],[ID]]&amp;Tabela1[[#This Row],[MATRICULA]]&amp;"cliente 3"&amp;Tabela1[[#This Row],[SETOR]],BD!A:AF,13,0),"")</f>
        <v/>
      </c>
      <c r="BZ221" s="135" t="str">
        <f>IFERROR(VLOOKUP(Tabela1[[#This Row],[MÊS]]&amp;Tabela1[[#This Row],[ID]]&amp;Tabela1[[#This Row],[MATRICULA]]&amp;"cliente 4"&amp;Tabela1[[#This Row],[SETOR]],BD!A:AF,13,0),"")</f>
        <v/>
      </c>
      <c r="CA221" s="135" t="str">
        <f>IFERROR(AVERAGE(Tabela1[[#This Row],[DCLI]:[DCLI 4]]),"")</f>
        <v/>
      </c>
      <c r="CB221" s="135" t="str">
        <f>IFERROR(VLOOKUP(Tabela1[[#This Row],[MÊS]]&amp;Tabela1[[#This Row],[ID]]&amp;Tabela1[[#This Row],[MATRICULA]]&amp;"Policia"&amp;Tabela1[[#This Row],[SETOR]],BD!A:AF,13,0),"")</f>
        <v/>
      </c>
      <c r="CC221" s="135" t="str">
        <f>IFERROR(VLOOKUP(Tabela1[[#This Row],[MÊS]]&amp;Tabela1[[#This Row],[ID]]&amp;Tabela1[[#This Row],[MATRICULA]]&amp;"Policia 2"&amp;Tabela1[[#This Row],[SETOR]],BD!A:AF,13,0),"")</f>
        <v/>
      </c>
      <c r="CD221" s="135"/>
      <c r="CE221" s="135"/>
      <c r="CF221" s="135" t="str">
        <f>IFERROR((AVERAGE(Tabela1[[#This Row],[DPOL1]:[DPOL4]])),"")</f>
        <v/>
      </c>
      <c r="CG221" s="21" t="str">
        <f>IFERROR(VLOOKUP(Tabela1[[#This Row],[ID]]&amp;Tabela1[[#This Row],[MÊS]]&amp;Tabela1[[#This Row],[MATRICULA]],#REF!,2,0),"")</f>
        <v/>
      </c>
      <c r="CH221" s="21" t="str">
        <f>IFERROR(VLOOKUP(Tabela1[[#This Row],[ID]]&amp;Tabela1[[#This Row],[MÊS]]&amp;Tabela1[[#This Row],[MATRICULA]],#REF!,2,0),"")</f>
        <v/>
      </c>
      <c r="CI221" s="21" t="str">
        <f>IFERROR(VLOOKUP(Tabela1[[#This Row],[MÊS]]&amp;Tabela1[[#This Row],[MATRICULA]],#REF!,2,0),"")</f>
        <v/>
      </c>
    </row>
    <row r="222" spans="1:87">
      <c r="A222" s="12" t="str">
        <f>Tabela1[[#This Row],[MÊS]]&amp;Tabela1[[#This Row],[MATRICULA]]&amp;Tabela1[[#This Row],[ID]]</f>
        <v>JAN1142913</v>
      </c>
      <c r="B222" s="12" t="str">
        <f>Tabela1[[#This Row],[MÊS]]&amp;Tabela1[[#This Row],[ID]]&amp;Tabela1[[#This Row],[MATRICULA]]&amp;Tabela1[[#This Row],[SETOR]]</f>
        <v>JAN1311429TRANSFERÊNCIA</v>
      </c>
      <c r="C222" s="130" t="e">
        <f>VLOOKUP(Tabela1[[#This Row],[MATRICULA]],'BD Campos'!A:D,5,0)</f>
        <v>#REF!</v>
      </c>
      <c r="D222" s="133" t="str">
        <f ca="1">IFERROR(SUM(TODAY()-Tabela1[[#This Row],[ADMISSÃO]]),"")</f>
        <v/>
      </c>
      <c r="E222" s="11" t="str">
        <f ca="1">IFERROR(TRUNC(Tabela1[[#This Row],[TEMPO DE CASA (DIAS)]]/30),"")</f>
        <v/>
      </c>
      <c r="F222" s="32" t="str">
        <f ca="1">IFERROR(SUM(Tabela1[[#This Row],[TEMPO DE CASA (MESES)]]/12),"")</f>
        <v/>
      </c>
      <c r="G222" s="133" t="str">
        <f ca="1">IF(Tabela1[[#This Row],[TEMPO DE CASA (DIAS)]]="","SEM DADOS",IF(Tabela1[[#This Row],[TEMPO DE CASA (DIAS)]]&gt;180,"&gt; 6 MESES","&lt; 6 MESES"))</f>
        <v>SEM DADOS</v>
      </c>
      <c r="H222" s="12" t="str">
        <f t="shared" si="19"/>
        <v>JANGabryelle Marcilio13</v>
      </c>
      <c r="I222" s="12" t="str">
        <f>IFERROR(VLOOKUP(Tabela1[[#This Row],[MATRICULA]],'BD Campos'!A:F,7,0),"")</f>
        <v/>
      </c>
      <c r="J222" s="11">
        <v>13</v>
      </c>
      <c r="K222" s="11" t="s">
        <v>669</v>
      </c>
      <c r="L222" s="136">
        <v>11429</v>
      </c>
      <c r="M222" s="12" t="str">
        <f>IFERROR(VLOOKUP(Tabela1[[#This Row],[MATRICULA]],'BD Campos'!A:B,2,0),"")</f>
        <v>VICTOR JESUS ROSAS NAVARRO</v>
      </c>
      <c r="N222" s="20">
        <f>IFERROR(AVERAGE(Tabela1[[#This Row],[A1]:[A4]]),"")</f>
        <v>0</v>
      </c>
      <c r="O222" s="20" t="str">
        <f>IFERROR(IF(Tabela1[[#This Row],[SETOR]]="RECEPTIVO","",AVERAGE(Tabela1[[#This Row],[A5]:[A6]])),"")</f>
        <v/>
      </c>
      <c r="P222" s="20" t="str">
        <f>IFERROR(IF(Tabela1[[#This Row],[STATUS]]="INATIVO","INATIVO",IF(Tabela1[[#This Row],[STATUS]]="QRT","INATIVO",IF(Tabela1[[#This Row],[OPERACIONAL]]&gt;7.99999,"BOM","RUIM"))),"")</f>
        <v>RUIM</v>
      </c>
      <c r="Q222" s="21" t="s">
        <v>667</v>
      </c>
      <c r="R222" s="12" t="s">
        <v>716</v>
      </c>
      <c r="S222" s="12" t="s">
        <v>717</v>
      </c>
      <c r="T222" s="12" t="s">
        <v>192</v>
      </c>
      <c r="U222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22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22" s="12">
        <f>IF(AND(Tabela1[[#This Row],[SETOR]]="UTI",Tabela1[[#This Row],[M]]&lt;&gt;""),1,IF(AND(Tabela1[[#This Row],[SETOR]]="UTI (RJ)",Tabela1[[#This Row],[M]]&lt;&gt;""),1.5,0))</f>
        <v>0</v>
      </c>
      <c r="X222" s="12">
        <f>IF(AND(Tabela1[[#This Row],[SETOR]]="UTI",Tabela1[[#This Row],[PA2]]&lt;&gt;""),1,IF(AND(Tabela1[[#This Row],[SETOR]]="UTI (RJ)",Tabela1[[#This Row],[PA2]]&lt;&gt;""),0,0))</f>
        <v>0</v>
      </c>
      <c r="Y222" s="12">
        <f>IF(AND(Tabela1[[#This Row],[SETOR]]="UTI",Tabela1[[#This Row],[C]]&lt;&gt;""),1,IF(AND(Tabela1[[#This Row],[SETOR]]="UTI (RJ)",Tabela1[[#This Row],[C]]&lt;&gt;""),1.5,0))</f>
        <v>0</v>
      </c>
      <c r="Z222" s="12">
        <f>IF(AND(Tabela1[[#This Row],[SETOR]]="UTI",Tabela1[[#This Row],[PL]]&lt;&gt;""),1,IF(AND(Tabela1[[#This Row],[SETOR]]="UTI (RJ)",Tabela1[[#This Row],[PL]]&lt;&gt;""),1,0))</f>
        <v>0</v>
      </c>
      <c r="AA222" s="21">
        <f>IFERROR(VLOOKUP(Tabela1[[#This Row],[MÊS]]&amp;Tabela1[[#This Row],[MATRICULA]]&amp;"1"&amp;Tabela1[[#This Row],[SETOR]]&amp;"PADRÃO",BD!B:AF,31,0),"")</f>
        <v>0</v>
      </c>
      <c r="AB222" s="21">
        <f>IFERROR(VLOOKUP(Tabela1[[#This Row],[MÊS]]&amp;Tabela1[[#This Row],[MATRICULA]]&amp;"2"&amp;Tabela1[[#This Row],[SETOR]]&amp;"PADRÃO",BD!B:AF,31,0),"")</f>
        <v>0</v>
      </c>
      <c r="AC222" s="21" t="str">
        <f>IFERROR(VLOOKUP(Tabela1[[#This Row],[MÊS]]&amp;Tabela1[[#This Row],[MATRICULA]]&amp;"3"&amp;Tabela1[[#This Row],[SETOR]]&amp;"PADRÃO",BD!B:AF,31,0),"")</f>
        <v/>
      </c>
      <c r="AD222" s="21" t="str">
        <f>IFERROR(VLOOKUP(Tabela1[[#This Row],[MÊS]]&amp;Tabela1[[#This Row],[MATRICULA]]&amp;"4"&amp;Tabela1[[#This Row],[SETOR]]&amp;"PADRÃO",BD!B:AF,25,0),"")</f>
        <v/>
      </c>
      <c r="AE222" s="21" t="str">
        <f>IFERROR(VLOOKUP(Tabela1[[#This Row],[MÊS]]&amp;Tabela1[[#This Row],[MATRICULA]]&amp;"5"&amp;Tabela1[[#This Row],[SETOR]]&amp;"PADRÃO",BD!B:AF,31,0),"")</f>
        <v/>
      </c>
      <c r="AF222" s="21" t="str">
        <f>IFERROR(VLOOKUP(Tabela1[[#This Row],[MÊS]]&amp;Tabela1[[#This Row],[MATRICULA]]&amp;"6"&amp;Tabela1[[#This Row],[SETOR]]&amp;"PADRÃO",BD!B:AF,31,0),"")</f>
        <v/>
      </c>
      <c r="AG222" s="21" t="str">
        <f>IFERROR(VLOOKUP(Tabela1[[#This Row],[MÊS]]&amp;Tabela1[[#This Row],[MATRICULA]]&amp;"7"&amp;Tabela1[[#This Row],[SETOR]]&amp;"PADRÃO",BD!B:AF,31,0),"")</f>
        <v/>
      </c>
      <c r="AH222" s="21" t="str">
        <f>IFERROR(VLOOKUP(Tabela1[[#This Row],[MÊS]]&amp;Tabela1[[#This Row],[ID]]&amp;Tabela1[[#This Row],[MATRICULA]]&amp;"Receptiva"&amp;Tabela1[[#This Row],[SETOR]],BD!A:AF,31,0),"")</f>
        <v/>
      </c>
      <c r="AI222" s="21" t="str">
        <f>IFERROR(VLOOKUP(Tabela1[[#This Row],[MÊS]]&amp;Tabela1[[#This Row],[ID]]&amp;Tabela1[[#This Row],[MATRICULA]]&amp;"Receptiva 2"&amp;Tabela1[[#This Row],[SETOR]],BD!A:AF,31,0),"")</f>
        <v/>
      </c>
      <c r="AJ222" s="21" t="str">
        <f>IFERROR(VLOOKUP(Tabela1[[#This Row],[MÊS]]&amp;Tabela1[[#This Row],[ID]]&amp;Tabela1[[#This Row],[MATRICULA]]&amp;"Receptiva 3"&amp;Tabela1[[#This Row],[SETOR]],BD!A:AF,31,0),"")</f>
        <v/>
      </c>
      <c r="AK222" s="21" t="str">
        <f>IFERROR(VLOOKUP(Tabela1[[#This Row],[MÊS]]&amp;Tabela1[[#This Row],[ID]]&amp;Tabela1[[#This Row],[MATRICULA]]&amp;"Receptiva 4"&amp;Tabela1[[#This Row],[SETOR]],BD!A:AF,31,0),"")</f>
        <v/>
      </c>
      <c r="AL222" s="21" t="str">
        <f>IFERROR(VLOOKUP(Tabela1[[#This Row],[MÊS]]&amp;Tabela1[[#This Row],[MATRICULA]]&amp;"Motorista"&amp;Tabela1[[#This Row],[SETOR]],BD!A:AF,31,0),"")</f>
        <v/>
      </c>
      <c r="AM222" s="21" t="str">
        <f>IFERROR(VLOOKUP(Tabela1[[#This Row],[MÊS]]&amp;Tabela1[[#This Row],[ID]]&amp;Tabela1[[#This Row],[MATRICULA]]&amp;"Motorista 2"&amp;Tabela1[[#This Row],[SETOR]],BD!A:AF,26,0),"")</f>
        <v/>
      </c>
      <c r="AN222" s="21" t="str">
        <f>IFERROR(VLOOKUP(Tabela1[[#This Row],[MÊS]]&amp;Tabela1[[#This Row],[ID]]&amp;Tabela1[[#This Row],[MATRICULA]]&amp;"Motorista 3"&amp;Tabela1[[#This Row],[SETOR]],BD!A:AF,26,0),"")</f>
        <v/>
      </c>
      <c r="AO222" s="21" t="str">
        <f>IFERROR(VLOOKUP(Tabela1[[#This Row],[MÊS]]&amp;Tabela1[[#This Row],[ID]]&amp;Tabela1[[#This Row],[MATRICULA]]&amp;"Motorista 4"&amp;Tabela1[[#This Row],[SETOR]],BD!A:AF,26,0),"")</f>
        <v/>
      </c>
      <c r="AP222" s="21" t="str">
        <f>IFERROR(VLOOKUP(Tabela1[[#This Row],[MÊS]]&amp;Tabela1[[#This Row],[MATRICULA]]&amp;"Ponto de Apoio"&amp;Tabela1[[#This Row],[SETOR]],BD!A:AF,31,0),"")</f>
        <v/>
      </c>
      <c r="AQ222" s="21" t="str">
        <f>IFERROR(VLOOKUP(Tabela1[[#This Row],[MÊS]]&amp;Tabela1[[#This Row],[ID]]&amp;Tabela1[[#This Row],[MATRICULA]]&amp;"Ponto de Apoio 2"&amp;Tabela1[[#This Row],[SETOR]],BD!A:AF,26,0),"")</f>
        <v/>
      </c>
      <c r="AR222" s="36" t="str">
        <f>IFERROR(VLOOKUP(Tabela1[[#This Row],[MÊS]]&amp;Tabela1[[#This Row],[ID]]&amp;Tabela1[[#This Row],[MATRICULA]]&amp;"Ponto de Apoio 3"&amp;Tabela1[[#This Row],[SETOR]],BD!A:AF,26,0),"")</f>
        <v/>
      </c>
      <c r="AS222" s="36" t="str">
        <f>IFERROR(VLOOKUP(Tabela1[[#This Row],[MÊS]]&amp;Tabela1[[#This Row],[ID]]&amp;Tabela1[[#This Row],[MATRICULA]]&amp;"Ponto de Apoio 4"&amp;Tabela1[[#This Row],[SETOR]],BD!A:AF,26,0),"")</f>
        <v/>
      </c>
      <c r="AT222" s="21" t="str">
        <f>IFERROR(VLOOKUP(Tabela1[[#This Row],[MÊS]]&amp;Tabela1[[#This Row],[MATRICULA]]&amp;"Cliente"&amp;Tabela1[[#This Row],[SETOR]],BD!A:AF,31,0),"")</f>
        <v/>
      </c>
      <c r="AU222" s="21" t="str">
        <f>IFERROR(VLOOKUP(Tabela1[[#This Row],[MÊS]]&amp;Tabela1[[#This Row],[ID]]&amp;Tabela1[[#This Row],[MATRICULA]]&amp;"Cliente 2"&amp;Tabela1[[#This Row],[SETOR]],BD!A:AF,26,0),"")</f>
        <v/>
      </c>
      <c r="AX222" s="21" t="str">
        <f>IFERROR(VLOOKUP(Tabela1[[#This Row],[MÊS]]&amp;Tabela1[[#This Row],[MATRICULA]]&amp;"Policia"&amp;Tabela1[[#This Row],[SETOR]],BD!A:AF,31,0),"")</f>
        <v/>
      </c>
      <c r="AY222" s="21" t="str">
        <f>IFERROR(VLOOKUP(Tabela1[[#This Row],[MÊS]]&amp;Tabela1[[#This Row],[ID]]&amp;Tabela1[[#This Row],[MATRICULA]]&amp;"Policia 2"&amp;Tabela1[[#This Row],[SETOR]],BD!A:AF,26,0),"")</f>
        <v/>
      </c>
      <c r="AZ222" s="36" t="str">
        <f>IFERROR(VLOOKUP(Tabela1[[#This Row],[MÊS]]&amp;Tabela1[[#This Row],[ID]]&amp;Tabela1[[#This Row],[MATRICULA]]&amp;"Policia 3"&amp;Tabela1[[#This Row],[SETOR]],BD!A:AF,26,0),"")</f>
        <v/>
      </c>
      <c r="BA222" s="36" t="str">
        <f>IFERROR(VLOOKUP(Tabela1[[#This Row],[MÊS]]&amp;Tabela1[[#This Row],[ID]]&amp;Tabela1[[#This Row],[MATRICULA]]&amp;"Policia 4"&amp;Tabela1[[#This Row],[SETOR]],BD!A:AF,26,0),"")</f>
        <v/>
      </c>
      <c r="BB222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22" s="21" t="str">
        <f>IFERROR(AVERAGE(Tabela1[[#This Row],[M]:[M4]]),"")</f>
        <v/>
      </c>
      <c r="BD222" s="21" t="str">
        <f>IFERROR(AVERAGE(Tabela1[[#This Row],[C]:[C4]]),"")</f>
        <v/>
      </c>
      <c r="BE222" s="21" t="str">
        <f>IFERROR(AVERAGE(Tabela1[[#This Row],[PA2]:[PA 4]]),"")</f>
        <v/>
      </c>
      <c r="BF222" s="21" t="str">
        <f>IFERROR(AVERAGE(Tabela1[[#This Row],[PL]:[PL4]]),"")</f>
        <v/>
      </c>
      <c r="BG222" s="35" t="str">
        <f>IFERROR(VLOOKUP(Tabela1[[#This Row],[MÊS]]&amp;Tabela1[[#This Row],[MATRICULA]],#REF!,2,0),"")</f>
        <v/>
      </c>
      <c r="BH222" s="35" t="str">
        <f>IFERROR(VLOOKUP(Tabela1[[#This Row],[MÊS]]&amp;Tabela1[[#This Row],[MATRICULA]],#REF!,2,0),"")</f>
        <v/>
      </c>
      <c r="BI222" s="35" t="str">
        <f>IFERROR(VLOOKUP(Tabela1[[#This Row],[MÊS]]&amp;Tabela1[[#This Row],[MATRICULA]],#REF!,2,0),"")</f>
        <v/>
      </c>
      <c r="BJ222" s="35" t="str">
        <f>IFERROR(VLOOKUP(Tabela1[[#This Row],[MÊS]]&amp;Tabela1[[#This Row],[MATRICULA]],#REF!,2,0),"")</f>
        <v/>
      </c>
      <c r="BK222" s="35" t="str">
        <f>IFERROR(VLOOKUP(Tabela1[[#This Row],[MÊS]]&amp;Tabela1[[#This Row],[MATRICULA]],#REF!,2,0),"")</f>
        <v/>
      </c>
      <c r="BL222" s="21">
        <f>COUNTIF(Tabela1[[#This Row],[MOT2]:[RECEPTIVA]],"NÃO ENCONTRADA")</f>
        <v>0</v>
      </c>
      <c r="BM222" s="135" t="str">
        <f>IFERROR(VLOOKUP(Tabela1[[#This Row],[MÊS]]&amp;Tabela1[[#This Row],[ID]]&amp;Tabela1[[#This Row],[MATRICULA]]&amp;"Motorista"&amp;Tabela1[[#This Row],[SETOR]],BD!A:AF,13,0),"")</f>
        <v/>
      </c>
      <c r="BN222" s="135" t="str">
        <f>IFERROR(VLOOKUP(Tabela1[[#This Row],[MÊS]]&amp;Tabela1[[#This Row],[ID]]&amp;Tabela1[[#This Row],[MATRICULA]]&amp;"Motorista 2"&amp;Tabela1[[#This Row],[SETOR]],BD!A:AF,13,0),"")</f>
        <v/>
      </c>
      <c r="BO222" s="135" t="str">
        <f>IFERROR(VLOOKUP(Tabela1[[#This Row],[MÊS]]&amp;Tabela1[[#This Row],[ID]]&amp;Tabela1[[#This Row],[MATRICULA]]&amp;"Motorista 3"&amp;Tabela1[[#This Row],[SETOR]],BD!A:AF,13,0),"")</f>
        <v/>
      </c>
      <c r="BP222" s="135" t="str">
        <f>IFERROR(VLOOKUP(Tabela1[[#This Row],[MÊS]]&amp;Tabela1[[#This Row],[ID]]&amp;Tabela1[[#This Row],[MATRICULA]]&amp;"Motorista 4"&amp;Tabela1[[#This Row],[SETOR]],BD!A:AF,13,0),"")</f>
        <v/>
      </c>
      <c r="BQ222" s="135" t="str">
        <f>IFERROR(AVERAGE(Tabela1[[#This Row],[DMOT]:[DMOT4]]),"")</f>
        <v/>
      </c>
      <c r="BR222" s="135" t="str">
        <f>IFERROR(VLOOKUP(Tabela1[[#This Row],[MÊS]]&amp;Tabela1[[#This Row],[ID]]&amp;Tabela1[[#This Row],[MATRICULA]]&amp;"Ponto de Apoio"&amp;Tabela1[[#This Row],[SETOR]],BD!A:AF,13,0),"")</f>
        <v/>
      </c>
      <c r="BS222" s="135" t="str">
        <f>IFERROR(VLOOKUP(Tabela1[[#This Row],[MÊS]]&amp;Tabela1[[#This Row],[ID]]&amp;Tabela1[[#This Row],[MATRICULA]]&amp;"Ponto de Apoio 2"&amp;Tabela1[[#This Row],[SETOR]],BD!A:AF,13,0),"")</f>
        <v/>
      </c>
      <c r="BT222" s="135" t="str">
        <f>IFERROR(VLOOKUP(Tabela1[[#This Row],[MÊS]]&amp;Tabela1[[#This Row],[ID]]&amp;Tabela1[[#This Row],[MATRICULA]]&amp;"Ponto de Apoio 3"&amp;Tabela1[[#This Row],[SETOR]],BD!A:AF,13,0),"")</f>
        <v/>
      </c>
      <c r="BU222" s="135" t="str">
        <f>IFERROR(VLOOKUP(Tabela1[[#This Row],[MÊS]]&amp;Tabela1[[#This Row],[ID]]&amp;Tabela1[[#This Row],[MATRICULA]]&amp;"Ponto de Apoio 4"&amp;Tabela1[[#This Row],[SETOR]],BD!A:AF,13,0),"")</f>
        <v/>
      </c>
      <c r="BV222" s="135" t="str">
        <f>IFERROR(AVERAGE(Tabela1[[#This Row],[DPA]:[DPA 4]]),"")</f>
        <v/>
      </c>
      <c r="BW222" s="135" t="str">
        <f>IFERROR(VLOOKUP(Tabela1[[#This Row],[MÊS]]&amp;Tabela1[[#This Row],[ID]]&amp;Tabela1[[#This Row],[MATRICULA]]&amp;"Cliente"&amp;Tabela1[[#This Row],[SETOR]],BD!A:AF,13,0),"")</f>
        <v/>
      </c>
      <c r="BX222" s="135" t="str">
        <f>IFERROR(VLOOKUP(Tabela1[[#This Row],[MÊS]]&amp;Tabela1[[#This Row],[ID]]&amp;Tabela1[[#This Row],[MATRICULA]]&amp;"cliente 2"&amp;Tabela1[[#This Row],[SETOR]],BD!A:AF,13,0),"")</f>
        <v/>
      </c>
      <c r="BY222" s="135" t="str">
        <f>IFERROR(VLOOKUP(Tabela1[[#This Row],[MÊS]]&amp;Tabela1[[#This Row],[ID]]&amp;Tabela1[[#This Row],[MATRICULA]]&amp;"cliente 3"&amp;Tabela1[[#This Row],[SETOR]],BD!A:AF,13,0),"")</f>
        <v/>
      </c>
      <c r="BZ222" s="135" t="str">
        <f>IFERROR(VLOOKUP(Tabela1[[#This Row],[MÊS]]&amp;Tabela1[[#This Row],[ID]]&amp;Tabela1[[#This Row],[MATRICULA]]&amp;"cliente 4"&amp;Tabela1[[#This Row],[SETOR]],BD!A:AF,13,0),"")</f>
        <v/>
      </c>
      <c r="CA222" s="135" t="str">
        <f>IFERROR(AVERAGE(Tabela1[[#This Row],[DCLI]:[DCLI 4]]),"")</f>
        <v/>
      </c>
      <c r="CB222" s="135" t="str">
        <f>IFERROR(VLOOKUP(Tabela1[[#This Row],[MÊS]]&amp;Tabela1[[#This Row],[ID]]&amp;Tabela1[[#This Row],[MATRICULA]]&amp;"Policia"&amp;Tabela1[[#This Row],[SETOR]],BD!A:AF,13,0),"")</f>
        <v/>
      </c>
      <c r="CC222" s="135" t="str">
        <f>IFERROR(VLOOKUP(Tabela1[[#This Row],[MÊS]]&amp;Tabela1[[#This Row],[ID]]&amp;Tabela1[[#This Row],[MATRICULA]]&amp;"Policia 2"&amp;Tabela1[[#This Row],[SETOR]],BD!A:AF,13,0),"")</f>
        <v/>
      </c>
      <c r="CD222" s="135"/>
      <c r="CE222" s="135"/>
      <c r="CF222" s="135" t="str">
        <f>IFERROR((AVERAGE(Tabela1[[#This Row],[DPOL1]:[DPOL4]])),"")</f>
        <v/>
      </c>
      <c r="CG222" s="21" t="str">
        <f>IFERROR(VLOOKUP(Tabela1[[#This Row],[ID]]&amp;Tabela1[[#This Row],[MÊS]]&amp;Tabela1[[#This Row],[MATRICULA]],#REF!,2,0),"")</f>
        <v/>
      </c>
      <c r="CH222" s="21" t="str">
        <f>IFERROR(VLOOKUP(Tabela1[[#This Row],[ID]]&amp;Tabela1[[#This Row],[MÊS]]&amp;Tabela1[[#This Row],[MATRICULA]],#REF!,2,0),"")</f>
        <v/>
      </c>
      <c r="CI222" s="21" t="str">
        <f>IFERROR(VLOOKUP(Tabela1[[#This Row],[MÊS]]&amp;Tabela1[[#This Row],[MATRICULA]],#REF!,2,0),"")</f>
        <v/>
      </c>
    </row>
    <row r="223" spans="1:87">
      <c r="A223" s="12" t="str">
        <f>Tabela1[[#This Row],[MÊS]]&amp;Tabela1[[#This Row],[MATRICULA]]&amp;Tabela1[[#This Row],[ID]]</f>
        <v>JAN1139614</v>
      </c>
      <c r="B223" s="12" t="str">
        <f>Tabela1[[#This Row],[MÊS]]&amp;Tabela1[[#This Row],[ID]]&amp;Tabela1[[#This Row],[MATRICULA]]&amp;Tabela1[[#This Row],[SETOR]]</f>
        <v>JAN1411396TRANSFERÊNCIA</v>
      </c>
      <c r="C223" s="130" t="e">
        <f>VLOOKUP(Tabela1[[#This Row],[MATRICULA]],'BD Campos'!A:D,5,0)</f>
        <v>#REF!</v>
      </c>
      <c r="D223" s="133" t="str">
        <f ca="1">IFERROR(SUM(TODAY()-Tabela1[[#This Row],[ADMISSÃO]]),"")</f>
        <v/>
      </c>
      <c r="E223" s="11" t="str">
        <f ca="1">IFERROR(TRUNC(Tabela1[[#This Row],[TEMPO DE CASA (DIAS)]]/30),"")</f>
        <v/>
      </c>
      <c r="F223" s="32" t="str">
        <f ca="1">IFERROR(SUM(Tabela1[[#This Row],[TEMPO DE CASA (MESES)]]/12),"")</f>
        <v/>
      </c>
      <c r="G223" s="133" t="str">
        <f ca="1">IF(Tabela1[[#This Row],[TEMPO DE CASA (DIAS)]]="","SEM DADOS",IF(Tabela1[[#This Row],[TEMPO DE CASA (DIAS)]]&gt;180,"&gt; 6 MESES","&lt; 6 MESES"))</f>
        <v>SEM DADOS</v>
      </c>
      <c r="H223" s="12" t="str">
        <f t="shared" si="19"/>
        <v>JANGabryelle Marcilio14</v>
      </c>
      <c r="I223" s="12" t="str">
        <f>IFERROR(VLOOKUP(Tabela1[[#This Row],[MATRICULA]],'BD Campos'!A:F,7,0),"")</f>
        <v/>
      </c>
      <c r="J223" s="11">
        <v>14</v>
      </c>
      <c r="K223" s="11" t="s">
        <v>669</v>
      </c>
      <c r="L223" s="136">
        <v>11396</v>
      </c>
      <c r="M223" s="12" t="str">
        <f>IFERROR(VLOOKUP(Tabela1[[#This Row],[MATRICULA]],'BD Campos'!A:B,2,0),"")</f>
        <v>VIVIA JOANA DA SILVA</v>
      </c>
      <c r="N223" s="20">
        <f>IFERROR(AVERAGE(Tabela1[[#This Row],[A1]:[A4]]),"")</f>
        <v>10.004000000000001</v>
      </c>
      <c r="O223" s="20" t="str">
        <f>IFERROR(IF(Tabela1[[#This Row],[SETOR]]="RECEPTIVO","",AVERAGE(Tabela1[[#This Row],[A5]:[A6]])),"")</f>
        <v/>
      </c>
      <c r="P223" s="20" t="str">
        <f>IFERROR(IF(Tabela1[[#This Row],[STATUS]]="INATIVO","INATIVO",IF(Tabela1[[#This Row],[STATUS]]="QRT","INATIVO",IF(Tabela1[[#This Row],[OPERACIONAL]]&gt;7.99999,"BOM","RUIM"))),"")</f>
        <v>BOM</v>
      </c>
      <c r="Q223" s="21" t="s">
        <v>667</v>
      </c>
      <c r="R223" s="12" t="s">
        <v>716</v>
      </c>
      <c r="S223" s="12" t="s">
        <v>717</v>
      </c>
      <c r="T223" s="12" t="s">
        <v>192</v>
      </c>
      <c r="U223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23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23" s="12">
        <f>IF(AND(Tabela1[[#This Row],[SETOR]]="UTI",Tabela1[[#This Row],[M]]&lt;&gt;""),1,IF(AND(Tabela1[[#This Row],[SETOR]]="UTI (RJ)",Tabela1[[#This Row],[M]]&lt;&gt;""),1.5,0))</f>
        <v>0</v>
      </c>
      <c r="X223" s="12">
        <f>IF(AND(Tabela1[[#This Row],[SETOR]]="UTI",Tabela1[[#This Row],[PA2]]&lt;&gt;""),1,IF(AND(Tabela1[[#This Row],[SETOR]]="UTI (RJ)",Tabela1[[#This Row],[PA2]]&lt;&gt;""),0,0))</f>
        <v>0</v>
      </c>
      <c r="Y223" s="12">
        <f>IF(AND(Tabela1[[#This Row],[SETOR]]="UTI",Tabela1[[#This Row],[C]]&lt;&gt;""),1,IF(AND(Tabela1[[#This Row],[SETOR]]="UTI (RJ)",Tabela1[[#This Row],[C]]&lt;&gt;""),1.5,0))</f>
        <v>0</v>
      </c>
      <c r="Z223" s="12">
        <f>IF(AND(Tabela1[[#This Row],[SETOR]]="UTI",Tabela1[[#This Row],[PL]]&lt;&gt;""),1,IF(AND(Tabela1[[#This Row],[SETOR]]="UTI (RJ)",Tabela1[[#This Row],[PL]]&lt;&gt;""),1,0))</f>
        <v>0</v>
      </c>
      <c r="AA223" s="21">
        <f>IFERROR(VLOOKUP(Tabela1[[#This Row],[MÊS]]&amp;Tabela1[[#This Row],[MATRICULA]]&amp;"1"&amp;Tabela1[[#This Row],[SETOR]]&amp;"PADRÃO",BD!B:AF,31,0),"")</f>
        <v>10.004000000000001</v>
      </c>
      <c r="AB223" s="21">
        <f>IFERROR(VLOOKUP(Tabela1[[#This Row],[MÊS]]&amp;Tabela1[[#This Row],[MATRICULA]]&amp;"2"&amp;Tabela1[[#This Row],[SETOR]]&amp;"PADRÃO",BD!B:AF,31,0),"")</f>
        <v>10.004000000000001</v>
      </c>
      <c r="AC223" s="21" t="str">
        <f>IFERROR(VLOOKUP(Tabela1[[#This Row],[MÊS]]&amp;Tabela1[[#This Row],[MATRICULA]]&amp;"3"&amp;Tabela1[[#This Row],[SETOR]]&amp;"PADRÃO",BD!B:AF,31,0),"")</f>
        <v/>
      </c>
      <c r="AD223" s="21" t="str">
        <f>IFERROR(VLOOKUP(Tabela1[[#This Row],[MÊS]]&amp;Tabela1[[#This Row],[MATRICULA]]&amp;"4"&amp;Tabela1[[#This Row],[SETOR]]&amp;"PADRÃO",BD!B:AF,25,0),"")</f>
        <v/>
      </c>
      <c r="AE223" s="21" t="str">
        <f>IFERROR(VLOOKUP(Tabela1[[#This Row],[MÊS]]&amp;Tabela1[[#This Row],[MATRICULA]]&amp;"5"&amp;Tabela1[[#This Row],[SETOR]]&amp;"PADRÃO",BD!B:AF,31,0),"")</f>
        <v/>
      </c>
      <c r="AF223" s="21" t="str">
        <f>IFERROR(VLOOKUP(Tabela1[[#This Row],[MÊS]]&amp;Tabela1[[#This Row],[MATRICULA]]&amp;"6"&amp;Tabela1[[#This Row],[SETOR]]&amp;"PADRÃO",BD!B:AF,31,0),"")</f>
        <v/>
      </c>
      <c r="AG223" s="21" t="str">
        <f>IFERROR(VLOOKUP(Tabela1[[#This Row],[MÊS]]&amp;Tabela1[[#This Row],[MATRICULA]]&amp;"7"&amp;Tabela1[[#This Row],[SETOR]]&amp;"PADRÃO",BD!B:AF,31,0),"")</f>
        <v/>
      </c>
      <c r="AH223" s="21" t="str">
        <f>IFERROR(VLOOKUP(Tabela1[[#This Row],[MÊS]]&amp;Tabela1[[#This Row],[ID]]&amp;Tabela1[[#This Row],[MATRICULA]]&amp;"Receptiva"&amp;Tabela1[[#This Row],[SETOR]],BD!A:AF,31,0),"")</f>
        <v/>
      </c>
      <c r="AI223" s="21" t="str">
        <f>IFERROR(VLOOKUP(Tabela1[[#This Row],[MÊS]]&amp;Tabela1[[#This Row],[ID]]&amp;Tabela1[[#This Row],[MATRICULA]]&amp;"Receptiva 2"&amp;Tabela1[[#This Row],[SETOR]],BD!A:AF,31,0),"")</f>
        <v/>
      </c>
      <c r="AJ223" s="21" t="str">
        <f>IFERROR(VLOOKUP(Tabela1[[#This Row],[MÊS]]&amp;Tabela1[[#This Row],[ID]]&amp;Tabela1[[#This Row],[MATRICULA]]&amp;"Receptiva 3"&amp;Tabela1[[#This Row],[SETOR]],BD!A:AF,31,0),"")</f>
        <v/>
      </c>
      <c r="AK223" s="21" t="str">
        <f>IFERROR(VLOOKUP(Tabela1[[#This Row],[MÊS]]&amp;Tabela1[[#This Row],[ID]]&amp;Tabela1[[#This Row],[MATRICULA]]&amp;"Receptiva 4"&amp;Tabela1[[#This Row],[SETOR]],BD!A:AF,31,0),"")</f>
        <v/>
      </c>
      <c r="AL223" s="21">
        <f>IFERROR(VLOOKUP(Tabela1[[#This Row],[MÊS]]&amp;Tabela1[[#This Row],[MATRICULA]]&amp;"Motorista"&amp;Tabela1[[#This Row],[SETOR]],BD!A:AF,31,0),"")</f>
        <v>0</v>
      </c>
      <c r="AM223" s="21" t="str">
        <f>IFERROR(VLOOKUP(Tabela1[[#This Row],[MÊS]]&amp;Tabela1[[#This Row],[ID]]&amp;Tabela1[[#This Row],[MATRICULA]]&amp;"Motorista 2"&amp;Tabela1[[#This Row],[SETOR]],BD!A:AF,26,0),"")</f>
        <v/>
      </c>
      <c r="AN223" s="21" t="str">
        <f>IFERROR(VLOOKUP(Tabela1[[#This Row],[MÊS]]&amp;Tabela1[[#This Row],[ID]]&amp;Tabela1[[#This Row],[MATRICULA]]&amp;"Motorista 3"&amp;Tabela1[[#This Row],[SETOR]],BD!A:AF,26,0),"")</f>
        <v/>
      </c>
      <c r="AO223" s="21" t="str">
        <f>IFERROR(VLOOKUP(Tabela1[[#This Row],[MÊS]]&amp;Tabela1[[#This Row],[ID]]&amp;Tabela1[[#This Row],[MATRICULA]]&amp;"Motorista 4"&amp;Tabela1[[#This Row],[SETOR]],BD!A:AF,26,0),"")</f>
        <v/>
      </c>
      <c r="AP223" s="21" t="str">
        <f>IFERROR(VLOOKUP(Tabela1[[#This Row],[MÊS]]&amp;Tabela1[[#This Row],[MATRICULA]]&amp;"Ponto de Apoio"&amp;Tabela1[[#This Row],[SETOR]],BD!A:AF,31,0),"")</f>
        <v/>
      </c>
      <c r="AQ223" s="21" t="str">
        <f>IFERROR(VLOOKUP(Tabela1[[#This Row],[MÊS]]&amp;Tabela1[[#This Row],[ID]]&amp;Tabela1[[#This Row],[MATRICULA]]&amp;"Ponto de Apoio 2"&amp;Tabela1[[#This Row],[SETOR]],BD!A:AF,26,0),"")</f>
        <v/>
      </c>
      <c r="AR223" s="36" t="str">
        <f>IFERROR(VLOOKUP(Tabela1[[#This Row],[MÊS]]&amp;Tabela1[[#This Row],[ID]]&amp;Tabela1[[#This Row],[MATRICULA]]&amp;"Ponto de Apoio 3"&amp;Tabela1[[#This Row],[SETOR]],BD!A:AF,26,0),"")</f>
        <v/>
      </c>
      <c r="AS223" s="36" t="str">
        <f>IFERROR(VLOOKUP(Tabela1[[#This Row],[MÊS]]&amp;Tabela1[[#This Row],[ID]]&amp;Tabela1[[#This Row],[MATRICULA]]&amp;"Ponto de Apoio 4"&amp;Tabela1[[#This Row],[SETOR]],BD!A:AF,26,0),"")</f>
        <v/>
      </c>
      <c r="AT223" s="21" t="str">
        <f>IFERROR(VLOOKUP(Tabela1[[#This Row],[MÊS]]&amp;Tabela1[[#This Row],[MATRICULA]]&amp;"Cliente"&amp;Tabela1[[#This Row],[SETOR]],BD!A:AF,31,0),"")</f>
        <v/>
      </c>
      <c r="AU223" s="21" t="str">
        <f>IFERROR(VLOOKUP(Tabela1[[#This Row],[MÊS]]&amp;Tabela1[[#This Row],[ID]]&amp;Tabela1[[#This Row],[MATRICULA]]&amp;"Cliente 2"&amp;Tabela1[[#This Row],[SETOR]],BD!A:AF,26,0),"")</f>
        <v/>
      </c>
      <c r="AX223" s="21" t="str">
        <f>IFERROR(VLOOKUP(Tabela1[[#This Row],[MÊS]]&amp;Tabela1[[#This Row],[MATRICULA]]&amp;"Policia"&amp;Tabela1[[#This Row],[SETOR]],BD!A:AF,31,0),"")</f>
        <v/>
      </c>
      <c r="AY223" s="21" t="str">
        <f>IFERROR(VLOOKUP(Tabela1[[#This Row],[MÊS]]&amp;Tabela1[[#This Row],[ID]]&amp;Tabela1[[#This Row],[MATRICULA]]&amp;"Policia 2"&amp;Tabela1[[#This Row],[SETOR]],BD!A:AF,26,0),"")</f>
        <v/>
      </c>
      <c r="AZ223" s="36" t="str">
        <f>IFERROR(VLOOKUP(Tabela1[[#This Row],[MÊS]]&amp;Tabela1[[#This Row],[ID]]&amp;Tabela1[[#This Row],[MATRICULA]]&amp;"Policia 3"&amp;Tabela1[[#This Row],[SETOR]],BD!A:AF,26,0),"")</f>
        <v/>
      </c>
      <c r="BA223" s="36" t="str">
        <f>IFERROR(VLOOKUP(Tabela1[[#This Row],[MÊS]]&amp;Tabela1[[#This Row],[ID]]&amp;Tabela1[[#This Row],[MATRICULA]]&amp;"Policia 4"&amp;Tabela1[[#This Row],[SETOR]],BD!A:AF,26,0),"")</f>
        <v/>
      </c>
      <c r="BB223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23" s="21">
        <f>IFERROR(AVERAGE(Tabela1[[#This Row],[M]:[M4]]),"")</f>
        <v>0</v>
      </c>
      <c r="BD223" s="21" t="str">
        <f>IFERROR(AVERAGE(Tabela1[[#This Row],[C]:[C4]]),"")</f>
        <v/>
      </c>
      <c r="BE223" s="21" t="str">
        <f>IFERROR(AVERAGE(Tabela1[[#This Row],[PA2]:[PA 4]]),"")</f>
        <v/>
      </c>
      <c r="BF223" s="21" t="str">
        <f>IFERROR(AVERAGE(Tabela1[[#This Row],[PL]:[PL4]]),"")</f>
        <v/>
      </c>
      <c r="BG223" s="35" t="str">
        <f>IFERROR(VLOOKUP(Tabela1[[#This Row],[MÊS]]&amp;Tabela1[[#This Row],[MATRICULA]],#REF!,2,0),"")</f>
        <v/>
      </c>
      <c r="BH223" s="35" t="str">
        <f>IFERROR(VLOOKUP(Tabela1[[#This Row],[MÊS]]&amp;Tabela1[[#This Row],[MATRICULA]],#REF!,2,0),"")</f>
        <v/>
      </c>
      <c r="BI223" s="35" t="str">
        <f>IFERROR(VLOOKUP(Tabela1[[#This Row],[MÊS]]&amp;Tabela1[[#This Row],[MATRICULA]],#REF!,2,0),"")</f>
        <v/>
      </c>
      <c r="BJ223" s="35" t="str">
        <f>IFERROR(VLOOKUP(Tabela1[[#This Row],[MÊS]]&amp;Tabela1[[#This Row],[MATRICULA]],#REF!,2,0),"")</f>
        <v/>
      </c>
      <c r="BK223" s="35" t="str">
        <f>IFERROR(VLOOKUP(Tabela1[[#This Row],[MÊS]]&amp;Tabela1[[#This Row],[MATRICULA]],#REF!,2,0),"")</f>
        <v/>
      </c>
      <c r="BL223" s="21">
        <f>COUNTIF(Tabela1[[#This Row],[MOT2]:[RECEPTIVA]],"NÃO ENCONTRADA")</f>
        <v>0</v>
      </c>
      <c r="BM223" s="135" t="str">
        <f>IFERROR(VLOOKUP(Tabela1[[#This Row],[MÊS]]&amp;Tabela1[[#This Row],[ID]]&amp;Tabela1[[#This Row],[MATRICULA]]&amp;"Motorista"&amp;Tabela1[[#This Row],[SETOR]],BD!A:AF,13,0),"")</f>
        <v/>
      </c>
      <c r="BN223" s="135" t="str">
        <f>IFERROR(VLOOKUP(Tabela1[[#This Row],[MÊS]]&amp;Tabela1[[#This Row],[ID]]&amp;Tabela1[[#This Row],[MATRICULA]]&amp;"Motorista 2"&amp;Tabela1[[#This Row],[SETOR]],BD!A:AF,13,0),"")</f>
        <v/>
      </c>
      <c r="BO223" s="135" t="str">
        <f>IFERROR(VLOOKUP(Tabela1[[#This Row],[MÊS]]&amp;Tabela1[[#This Row],[ID]]&amp;Tabela1[[#This Row],[MATRICULA]]&amp;"Motorista 3"&amp;Tabela1[[#This Row],[SETOR]],BD!A:AF,13,0),"")</f>
        <v/>
      </c>
      <c r="BP223" s="135" t="str">
        <f>IFERROR(VLOOKUP(Tabela1[[#This Row],[MÊS]]&amp;Tabela1[[#This Row],[ID]]&amp;Tabela1[[#This Row],[MATRICULA]]&amp;"Motorista 4"&amp;Tabela1[[#This Row],[SETOR]],BD!A:AF,13,0),"")</f>
        <v/>
      </c>
      <c r="BQ223" s="135" t="str">
        <f>IFERROR(AVERAGE(Tabela1[[#This Row],[DMOT]:[DMOT4]]),"")</f>
        <v/>
      </c>
      <c r="BR223" s="135" t="str">
        <f>IFERROR(VLOOKUP(Tabela1[[#This Row],[MÊS]]&amp;Tabela1[[#This Row],[ID]]&amp;Tabela1[[#This Row],[MATRICULA]]&amp;"Ponto de Apoio"&amp;Tabela1[[#This Row],[SETOR]],BD!A:AF,13,0),"")</f>
        <v/>
      </c>
      <c r="BS223" s="135" t="str">
        <f>IFERROR(VLOOKUP(Tabela1[[#This Row],[MÊS]]&amp;Tabela1[[#This Row],[ID]]&amp;Tabela1[[#This Row],[MATRICULA]]&amp;"Ponto de Apoio 2"&amp;Tabela1[[#This Row],[SETOR]],BD!A:AF,13,0),"")</f>
        <v/>
      </c>
      <c r="BT223" s="135" t="str">
        <f>IFERROR(VLOOKUP(Tabela1[[#This Row],[MÊS]]&amp;Tabela1[[#This Row],[ID]]&amp;Tabela1[[#This Row],[MATRICULA]]&amp;"Ponto de Apoio 3"&amp;Tabela1[[#This Row],[SETOR]],BD!A:AF,13,0),"")</f>
        <v/>
      </c>
      <c r="BU223" s="135" t="str">
        <f>IFERROR(VLOOKUP(Tabela1[[#This Row],[MÊS]]&amp;Tabela1[[#This Row],[ID]]&amp;Tabela1[[#This Row],[MATRICULA]]&amp;"Ponto de Apoio 4"&amp;Tabela1[[#This Row],[SETOR]],BD!A:AF,13,0),"")</f>
        <v/>
      </c>
      <c r="BV223" s="135" t="str">
        <f>IFERROR(AVERAGE(Tabela1[[#This Row],[DPA]:[DPA 4]]),"")</f>
        <v/>
      </c>
      <c r="BW223" s="135" t="str">
        <f>IFERROR(VLOOKUP(Tabela1[[#This Row],[MÊS]]&amp;Tabela1[[#This Row],[ID]]&amp;Tabela1[[#This Row],[MATRICULA]]&amp;"Cliente"&amp;Tabela1[[#This Row],[SETOR]],BD!A:AF,13,0),"")</f>
        <v/>
      </c>
      <c r="BX223" s="135" t="str">
        <f>IFERROR(VLOOKUP(Tabela1[[#This Row],[MÊS]]&amp;Tabela1[[#This Row],[ID]]&amp;Tabela1[[#This Row],[MATRICULA]]&amp;"cliente 2"&amp;Tabela1[[#This Row],[SETOR]],BD!A:AF,13,0),"")</f>
        <v/>
      </c>
      <c r="BY223" s="135" t="str">
        <f>IFERROR(VLOOKUP(Tabela1[[#This Row],[MÊS]]&amp;Tabela1[[#This Row],[ID]]&amp;Tabela1[[#This Row],[MATRICULA]]&amp;"cliente 3"&amp;Tabela1[[#This Row],[SETOR]],BD!A:AF,13,0),"")</f>
        <v/>
      </c>
      <c r="BZ223" s="135" t="str">
        <f>IFERROR(VLOOKUP(Tabela1[[#This Row],[MÊS]]&amp;Tabela1[[#This Row],[ID]]&amp;Tabela1[[#This Row],[MATRICULA]]&amp;"cliente 4"&amp;Tabela1[[#This Row],[SETOR]],BD!A:AF,13,0),"")</f>
        <v/>
      </c>
      <c r="CA223" s="135" t="str">
        <f>IFERROR(AVERAGE(Tabela1[[#This Row],[DCLI]:[DCLI 4]]),"")</f>
        <v/>
      </c>
      <c r="CB223" s="135" t="str">
        <f>IFERROR(VLOOKUP(Tabela1[[#This Row],[MÊS]]&amp;Tabela1[[#This Row],[ID]]&amp;Tabela1[[#This Row],[MATRICULA]]&amp;"Policia"&amp;Tabela1[[#This Row],[SETOR]],BD!A:AF,13,0),"")</f>
        <v/>
      </c>
      <c r="CC223" s="135" t="str">
        <f>IFERROR(VLOOKUP(Tabela1[[#This Row],[MÊS]]&amp;Tabela1[[#This Row],[ID]]&amp;Tabela1[[#This Row],[MATRICULA]]&amp;"Policia 2"&amp;Tabela1[[#This Row],[SETOR]],BD!A:AF,13,0),"")</f>
        <v/>
      </c>
      <c r="CD223" s="135"/>
      <c r="CE223" s="135"/>
      <c r="CF223" s="135" t="str">
        <f>IFERROR((AVERAGE(Tabela1[[#This Row],[DPOL1]:[DPOL4]])),"")</f>
        <v/>
      </c>
      <c r="CG223" s="21" t="str">
        <f>IFERROR(VLOOKUP(Tabela1[[#This Row],[ID]]&amp;Tabela1[[#This Row],[MÊS]]&amp;Tabela1[[#This Row],[MATRICULA]],#REF!,2,0),"")</f>
        <v/>
      </c>
      <c r="CH223" s="21" t="str">
        <f>IFERROR(VLOOKUP(Tabela1[[#This Row],[ID]]&amp;Tabela1[[#This Row],[MÊS]]&amp;Tabela1[[#This Row],[MATRICULA]],#REF!,2,0),"")</f>
        <v/>
      </c>
      <c r="CI223" s="21" t="str">
        <f>IFERROR(VLOOKUP(Tabela1[[#This Row],[MÊS]]&amp;Tabela1[[#This Row],[MATRICULA]],#REF!,2,0),"")</f>
        <v/>
      </c>
    </row>
    <row r="224" spans="1:87">
      <c r="A224" s="12" t="str">
        <f>Tabela1[[#This Row],[MÊS]]&amp;Tabela1[[#This Row],[MATRICULA]]&amp;Tabela1[[#This Row],[ID]]</f>
        <v>JAN1148015</v>
      </c>
      <c r="B224" s="12" t="str">
        <f>Tabela1[[#This Row],[MÊS]]&amp;Tabela1[[#This Row],[ID]]&amp;Tabela1[[#This Row],[MATRICULA]]&amp;Tabela1[[#This Row],[SETOR]]</f>
        <v>JAN1511480TRANSFERÊNCIA</v>
      </c>
      <c r="C224" s="130" t="e">
        <f>VLOOKUP(Tabela1[[#This Row],[MATRICULA]],'BD Campos'!A:D,5,0)</f>
        <v>#REF!</v>
      </c>
      <c r="D224" s="133" t="str">
        <f ca="1">IFERROR(SUM(TODAY()-Tabela1[[#This Row],[ADMISSÃO]]),"")</f>
        <v/>
      </c>
      <c r="E224" s="11" t="str">
        <f ca="1">IFERROR(TRUNC(Tabela1[[#This Row],[TEMPO DE CASA (DIAS)]]/30),"")</f>
        <v/>
      </c>
      <c r="F224" s="32" t="str">
        <f ca="1">IFERROR(SUM(Tabela1[[#This Row],[TEMPO DE CASA (MESES)]]/12),"")</f>
        <v/>
      </c>
      <c r="G224" s="133" t="str">
        <f ca="1">IF(Tabela1[[#This Row],[TEMPO DE CASA (DIAS)]]="","SEM DADOS",IF(Tabela1[[#This Row],[TEMPO DE CASA (DIAS)]]&gt;180,"&gt; 6 MESES","&lt; 6 MESES"))</f>
        <v>SEM DADOS</v>
      </c>
      <c r="H224" s="12" t="str">
        <f t="shared" si="19"/>
        <v>JANGabryelle Marcilio15</v>
      </c>
      <c r="I224" s="12" t="str">
        <f>IFERROR(VLOOKUP(Tabela1[[#This Row],[MATRICULA]],'BD Campos'!A:F,7,0),"")</f>
        <v/>
      </c>
      <c r="J224" s="11">
        <v>15</v>
      </c>
      <c r="K224" s="11" t="s">
        <v>669</v>
      </c>
      <c r="L224" s="136">
        <v>11480</v>
      </c>
      <c r="M224" s="12" t="str">
        <f>IFERROR(VLOOKUP(Tabela1[[#This Row],[MATRICULA]],'BD Campos'!A:B,2,0),"")</f>
        <v>EDEILSON PEREIRA</v>
      </c>
      <c r="N224" s="20">
        <f>IFERROR(AVERAGE(Tabela1[[#This Row],[A1]:[A4]]),"")</f>
        <v>7.4957499999999992</v>
      </c>
      <c r="O224" s="20" t="str">
        <f>IFERROR(IF(Tabela1[[#This Row],[SETOR]]="RECEPTIVO","",AVERAGE(Tabela1[[#This Row],[A5]:[A6]])),"")</f>
        <v/>
      </c>
      <c r="P224" s="20" t="str">
        <f>IFERROR(IF(Tabela1[[#This Row],[STATUS]]="INATIVO","INATIVO",IF(Tabela1[[#This Row],[STATUS]]="QRT","INATIVO",IF(Tabela1[[#This Row],[OPERACIONAL]]&gt;7.99999,"BOM","RUIM"))),"")</f>
        <v>RUIM</v>
      </c>
      <c r="Q224" s="21" t="s">
        <v>667</v>
      </c>
      <c r="R224" s="12" t="s">
        <v>716</v>
      </c>
      <c r="S224" s="12" t="s">
        <v>717</v>
      </c>
      <c r="T224" s="12" t="s">
        <v>192</v>
      </c>
      <c r="U224" s="134">
        <f>IF(SUM(Tabela1[[#This Row],[MOT]:[POLICIA]])=4,110%,IF(SUM(Tabela1[[#This Row],[MOT]:[POLICIA]])=3,100%,IF(OR(SUM(Tabela1[[#This Row],[MOT]:[POLICIA]])=2,SUM(Tabela1[[#This Row],[MOT]:[POLICIA]])=2.5),90%,IF(SUM(Tabela1[[#This Row],[MOT]:[POLICIA]])=2,80%,IF(SUM(Tabela1[[#This Row],[MOT]:[POLICIA]])&gt;4,110%,70%)))))</f>
        <v>0.7</v>
      </c>
      <c r="V224" s="134">
        <f>IF(Tabela1[[#This Row],[STATUS]]="INATIVO","Adeus",IF(Tabela1[[#This Row],[PROCESSO - CADEIA DE CONTATOS]]=70%,-4%,IF(AND(Tabela1[[#This Row],[PROCESSO - CADEIA DE CONTATOS]]&gt;80%,Tabela1[[#This Row],[PROCESSO - CADEIA DE CONTATOS]]&lt;100%),-2%,IF(Tabela1[[#This Row],[PROCESSO - CADEIA DE CONTATOS]]=100%,2%,IF(Tabela1[[#This Row],[PROCESSO - CADEIA DE CONTATOS]]&gt;100%,4%,"x")))))</f>
        <v>-0.04</v>
      </c>
      <c r="W224" s="12">
        <f>IF(AND(Tabela1[[#This Row],[SETOR]]="UTI",Tabela1[[#This Row],[M]]&lt;&gt;""),1,IF(AND(Tabela1[[#This Row],[SETOR]]="UTI (RJ)",Tabela1[[#This Row],[M]]&lt;&gt;""),1.5,0))</f>
        <v>0</v>
      </c>
      <c r="X224" s="12">
        <f>IF(AND(Tabela1[[#This Row],[SETOR]]="UTI",Tabela1[[#This Row],[PA2]]&lt;&gt;""),1,IF(AND(Tabela1[[#This Row],[SETOR]]="UTI (RJ)",Tabela1[[#This Row],[PA2]]&lt;&gt;""),0,0))</f>
        <v>0</v>
      </c>
      <c r="Y224" s="12">
        <f>IF(AND(Tabela1[[#This Row],[SETOR]]="UTI",Tabela1[[#This Row],[C]]&lt;&gt;""),1,IF(AND(Tabela1[[#This Row],[SETOR]]="UTI (RJ)",Tabela1[[#This Row],[C]]&lt;&gt;""),1.5,0))</f>
        <v>0</v>
      </c>
      <c r="Z224" s="12">
        <f>IF(AND(Tabela1[[#This Row],[SETOR]]="UTI",Tabela1[[#This Row],[PL]]&lt;&gt;""),1,IF(AND(Tabela1[[#This Row],[SETOR]]="UTI (RJ)",Tabela1[[#This Row],[PL]]&lt;&gt;""),1,0))</f>
        <v>0</v>
      </c>
      <c r="AA224" s="21">
        <f>IFERROR(VLOOKUP(Tabela1[[#This Row],[MÊS]]&amp;Tabela1[[#This Row],[MATRICULA]]&amp;"1"&amp;Tabela1[[#This Row],[SETOR]]&amp;"PADRÃO",BD!B:AF,31,0),"")</f>
        <v>7.4064999999999994</v>
      </c>
      <c r="AB224" s="21">
        <f>IFERROR(VLOOKUP(Tabela1[[#This Row],[MÊS]]&amp;Tabela1[[#This Row],[MATRICULA]]&amp;"2"&amp;Tabela1[[#This Row],[SETOR]]&amp;"PADRÃO",BD!B:AF,31,0),"")</f>
        <v>7.5849999999999991</v>
      </c>
      <c r="AC224" s="21" t="str">
        <f>IFERROR(VLOOKUP(Tabela1[[#This Row],[MÊS]]&amp;Tabela1[[#This Row],[MATRICULA]]&amp;"3"&amp;Tabela1[[#This Row],[SETOR]]&amp;"PADRÃO",BD!B:AF,31,0),"")</f>
        <v/>
      </c>
      <c r="AD224" s="21" t="str">
        <f>IFERROR(VLOOKUP(Tabela1[[#This Row],[MÊS]]&amp;Tabela1[[#This Row],[MATRICULA]]&amp;"4"&amp;Tabela1[[#This Row],[SETOR]]&amp;"PADRÃO",BD!B:AF,25,0),"")</f>
        <v/>
      </c>
      <c r="AE224" s="21" t="str">
        <f>IFERROR(VLOOKUP(Tabela1[[#This Row],[MÊS]]&amp;Tabela1[[#This Row],[MATRICULA]]&amp;"5"&amp;Tabela1[[#This Row],[SETOR]]&amp;"PADRÃO",BD!B:AF,31,0),"")</f>
        <v/>
      </c>
      <c r="AF224" s="21" t="str">
        <f>IFERROR(VLOOKUP(Tabela1[[#This Row],[MÊS]]&amp;Tabela1[[#This Row],[MATRICULA]]&amp;"6"&amp;Tabela1[[#This Row],[SETOR]]&amp;"PADRÃO",BD!B:AF,31,0),"")</f>
        <v/>
      </c>
      <c r="AG224" s="21" t="str">
        <f>IFERROR(VLOOKUP(Tabela1[[#This Row],[MÊS]]&amp;Tabela1[[#This Row],[MATRICULA]]&amp;"7"&amp;Tabela1[[#This Row],[SETOR]]&amp;"PADRÃO",BD!B:AF,31,0),"")</f>
        <v/>
      </c>
      <c r="AH224" s="21" t="str">
        <f>IFERROR(VLOOKUP(Tabela1[[#This Row],[MÊS]]&amp;Tabela1[[#This Row],[ID]]&amp;Tabela1[[#This Row],[MATRICULA]]&amp;"Receptiva"&amp;Tabela1[[#This Row],[SETOR]],BD!A:AF,31,0),"")</f>
        <v/>
      </c>
      <c r="AI224" s="21" t="str">
        <f>IFERROR(VLOOKUP(Tabela1[[#This Row],[MÊS]]&amp;Tabela1[[#This Row],[ID]]&amp;Tabela1[[#This Row],[MATRICULA]]&amp;"Receptiva 2"&amp;Tabela1[[#This Row],[SETOR]],BD!A:AF,31,0),"")</f>
        <v/>
      </c>
      <c r="AJ224" s="21" t="str">
        <f>IFERROR(VLOOKUP(Tabela1[[#This Row],[MÊS]]&amp;Tabela1[[#This Row],[ID]]&amp;Tabela1[[#This Row],[MATRICULA]]&amp;"Receptiva 3"&amp;Tabela1[[#This Row],[SETOR]],BD!A:AF,31,0),"")</f>
        <v/>
      </c>
      <c r="AK224" s="21" t="str">
        <f>IFERROR(VLOOKUP(Tabela1[[#This Row],[MÊS]]&amp;Tabela1[[#This Row],[ID]]&amp;Tabela1[[#This Row],[MATRICULA]]&amp;"Receptiva 4"&amp;Tabela1[[#This Row],[SETOR]],BD!A:AF,31,0),"")</f>
        <v/>
      </c>
      <c r="AL224" s="21">
        <f>IFERROR(VLOOKUP(Tabela1[[#This Row],[MÊS]]&amp;Tabela1[[#This Row],[MATRICULA]]&amp;"Motorista"&amp;Tabela1[[#This Row],[SETOR]],BD!A:AF,31,0),"")</f>
        <v>0</v>
      </c>
      <c r="AM224" s="21" t="str">
        <f>IFERROR(VLOOKUP(Tabela1[[#This Row],[MÊS]]&amp;Tabela1[[#This Row],[ID]]&amp;Tabela1[[#This Row],[MATRICULA]]&amp;"Motorista 2"&amp;Tabela1[[#This Row],[SETOR]],BD!A:AF,26,0),"")</f>
        <v/>
      </c>
      <c r="AN224" s="21" t="str">
        <f>IFERROR(VLOOKUP(Tabela1[[#This Row],[MÊS]]&amp;Tabela1[[#This Row],[ID]]&amp;Tabela1[[#This Row],[MATRICULA]]&amp;"Motorista 3"&amp;Tabela1[[#This Row],[SETOR]],BD!A:AF,26,0),"")</f>
        <v/>
      </c>
      <c r="AO224" s="21" t="str">
        <f>IFERROR(VLOOKUP(Tabela1[[#This Row],[MÊS]]&amp;Tabela1[[#This Row],[ID]]&amp;Tabela1[[#This Row],[MATRICULA]]&amp;"Motorista 4"&amp;Tabela1[[#This Row],[SETOR]],BD!A:AF,26,0),"")</f>
        <v/>
      </c>
      <c r="AP224" s="21" t="str">
        <f>IFERROR(VLOOKUP(Tabela1[[#This Row],[MÊS]]&amp;Tabela1[[#This Row],[MATRICULA]]&amp;"Ponto de Apoio"&amp;Tabela1[[#This Row],[SETOR]],BD!A:AF,31,0),"")</f>
        <v/>
      </c>
      <c r="AQ224" s="21" t="str">
        <f>IFERROR(VLOOKUP(Tabela1[[#This Row],[MÊS]]&amp;Tabela1[[#This Row],[ID]]&amp;Tabela1[[#This Row],[MATRICULA]]&amp;"Ponto de Apoio 2"&amp;Tabela1[[#This Row],[SETOR]],BD!A:AF,26,0),"")</f>
        <v/>
      </c>
      <c r="AR224" s="36" t="str">
        <f>IFERROR(VLOOKUP(Tabela1[[#This Row],[MÊS]]&amp;Tabela1[[#This Row],[ID]]&amp;Tabela1[[#This Row],[MATRICULA]]&amp;"Ponto de Apoio 3"&amp;Tabela1[[#This Row],[SETOR]],BD!A:AF,26,0),"")</f>
        <v/>
      </c>
      <c r="AS224" s="36" t="str">
        <f>IFERROR(VLOOKUP(Tabela1[[#This Row],[MÊS]]&amp;Tabela1[[#This Row],[ID]]&amp;Tabela1[[#This Row],[MATRICULA]]&amp;"Ponto de Apoio 4"&amp;Tabela1[[#This Row],[SETOR]],BD!A:AF,26,0),"")</f>
        <v/>
      </c>
      <c r="AT224" s="21" t="str">
        <f>IFERROR(VLOOKUP(Tabela1[[#This Row],[MÊS]]&amp;Tabela1[[#This Row],[MATRICULA]]&amp;"Cliente"&amp;Tabela1[[#This Row],[SETOR]],BD!A:AF,31,0),"")</f>
        <v/>
      </c>
      <c r="AU224" s="21" t="str">
        <f>IFERROR(VLOOKUP(Tabela1[[#This Row],[MÊS]]&amp;Tabela1[[#This Row],[ID]]&amp;Tabela1[[#This Row],[MATRICULA]]&amp;"Cliente 2"&amp;Tabela1[[#This Row],[SETOR]],BD!A:AF,26,0),"")</f>
        <v/>
      </c>
      <c r="AX224" s="21" t="str">
        <f>IFERROR(VLOOKUP(Tabela1[[#This Row],[MÊS]]&amp;Tabela1[[#This Row],[MATRICULA]]&amp;"Policia"&amp;Tabela1[[#This Row],[SETOR]],BD!A:AF,31,0),"")</f>
        <v/>
      </c>
      <c r="AY224" s="21" t="str">
        <f>IFERROR(VLOOKUP(Tabela1[[#This Row],[MÊS]]&amp;Tabela1[[#This Row],[ID]]&amp;Tabela1[[#This Row],[MATRICULA]]&amp;"Policia 2"&amp;Tabela1[[#This Row],[SETOR]],BD!A:AF,26,0),"")</f>
        <v/>
      </c>
      <c r="AZ224" s="36" t="str">
        <f>IFERROR(VLOOKUP(Tabela1[[#This Row],[MÊS]]&amp;Tabela1[[#This Row],[ID]]&amp;Tabela1[[#This Row],[MATRICULA]]&amp;"Policia 3"&amp;Tabela1[[#This Row],[SETOR]],BD!A:AF,26,0),"")</f>
        <v/>
      </c>
      <c r="BA224" s="36" t="str">
        <f>IFERROR(VLOOKUP(Tabela1[[#This Row],[MÊS]]&amp;Tabela1[[#This Row],[ID]]&amp;Tabela1[[#This Row],[MATRICULA]]&amp;"Policia 4"&amp;Tabela1[[#This Row],[SETOR]],BD!A:AF,26,0),"")</f>
        <v/>
      </c>
      <c r="BB224" s="21" t="str">
        <f>IF(Tabela1[[#This Row],[SETOR]]="BAS","GUERRA",IF(Tabela1[[#This Row],[SETOR]]="UTI","GUERRA",IF(Tabela1[[#This Row],[SETOR]]="UTI (RJ)","GUERRA",IF(Tabela1[[#This Row],[SETOR]]="LOGÍSTICA","JULIANO",IF(Tabela1[[#This Row],[SETOR]]="RASTREAMENTO","ALINE","DANIELLE")))))</f>
        <v>DANIELLE</v>
      </c>
      <c r="BC224" s="21">
        <f>IFERROR(AVERAGE(Tabela1[[#This Row],[M]:[M4]]),"")</f>
        <v>0</v>
      </c>
      <c r="BD224" s="21" t="str">
        <f>IFERROR(AVERAGE(Tabela1[[#This Row],[C]:[C4]]),"")</f>
        <v/>
      </c>
      <c r="BE224" s="21" t="str">
        <f>IFERROR(AVERAGE(Tabela1[[#This Row],[PA2]:[PA 4]]),"")</f>
        <v/>
      </c>
      <c r="BF224" s="21" t="str">
        <f>IFERROR(AVERAGE(Tabela1[[#This Row],[PL]:[PL4]]),"")</f>
        <v/>
      </c>
      <c r="BG224" s="35" t="str">
        <f>IFERROR(VLOOKUP(Tabela1[[#This Row],[MÊS]]&amp;Tabela1[[#This Row],[MATRICULA]],#REF!,2,0),"")</f>
        <v/>
      </c>
      <c r="BH224" s="35" t="str">
        <f>IFERROR(VLOOKUP(Tabela1[[#This Row],[MÊS]]&amp;Tabela1[[#This Row],[MATRICULA]],#REF!,2,0),"")</f>
        <v/>
      </c>
      <c r="BI224" s="35" t="str">
        <f>IFERROR(VLOOKUP(Tabela1[[#This Row],[MÊS]]&amp;Tabela1[[#This Row],[MATRICULA]],#REF!,2,0),"")</f>
        <v/>
      </c>
      <c r="BJ224" s="35" t="str">
        <f>IFERROR(VLOOKUP(Tabela1[[#This Row],[MÊS]]&amp;Tabela1[[#This Row],[MATRICULA]],#REF!,2,0),"")</f>
        <v/>
      </c>
      <c r="BK224" s="35" t="str">
        <f>IFERROR(VLOOKUP(Tabela1[[#This Row],[MÊS]]&amp;Tabela1[[#This Row],[MATRICULA]],#REF!,2,0),"")</f>
        <v/>
      </c>
      <c r="BL224" s="21">
        <f>COUNTIF(Tabela1[[#This Row],[MOT2]:[RECEPTIVA]],"NÃO ENCONTRADA")</f>
        <v>0</v>
      </c>
      <c r="BM224" s="135" t="str">
        <f>IFERROR(VLOOKUP(Tabela1[[#This Row],[MÊS]]&amp;Tabela1[[#This Row],[ID]]&amp;Tabela1[[#This Row],[MATRICULA]]&amp;"Motorista"&amp;Tabela1[[#This Row],[SETOR]],BD!A:AF,13,0),"")</f>
        <v/>
      </c>
      <c r="BN224" s="135" t="str">
        <f>IFERROR(VLOOKUP(Tabela1[[#This Row],[MÊS]]&amp;Tabela1[[#This Row],[ID]]&amp;Tabela1[[#This Row],[MATRICULA]]&amp;"Motorista 2"&amp;Tabela1[[#This Row],[SETOR]],BD!A:AF,13,0),"")</f>
        <v/>
      </c>
      <c r="BO224" s="135" t="str">
        <f>IFERROR(VLOOKUP(Tabela1[[#This Row],[MÊS]]&amp;Tabela1[[#This Row],[ID]]&amp;Tabela1[[#This Row],[MATRICULA]]&amp;"Motorista 3"&amp;Tabela1[[#This Row],[SETOR]],BD!A:AF,13,0),"")</f>
        <v/>
      </c>
      <c r="BP224" s="135" t="str">
        <f>IFERROR(VLOOKUP(Tabela1[[#This Row],[MÊS]]&amp;Tabela1[[#This Row],[ID]]&amp;Tabela1[[#This Row],[MATRICULA]]&amp;"Motorista 4"&amp;Tabela1[[#This Row],[SETOR]],BD!A:AF,13,0),"")</f>
        <v/>
      </c>
      <c r="BQ224" s="135" t="str">
        <f>IFERROR(AVERAGE(Tabela1[[#This Row],[DMOT]:[DMOT4]]),"")</f>
        <v/>
      </c>
      <c r="BR224" s="135" t="str">
        <f>IFERROR(VLOOKUP(Tabela1[[#This Row],[MÊS]]&amp;Tabela1[[#This Row],[ID]]&amp;Tabela1[[#This Row],[MATRICULA]]&amp;"Ponto de Apoio"&amp;Tabela1[[#This Row],[SETOR]],BD!A:AF,13,0),"")</f>
        <v/>
      </c>
      <c r="BS224" s="135" t="str">
        <f>IFERROR(VLOOKUP(Tabela1[[#This Row],[MÊS]]&amp;Tabela1[[#This Row],[ID]]&amp;Tabela1[[#This Row],[MATRICULA]]&amp;"Ponto de Apoio 2"&amp;Tabela1[[#This Row],[SETOR]],BD!A:AF,13,0),"")</f>
        <v/>
      </c>
      <c r="BT224" s="135" t="str">
        <f>IFERROR(VLOOKUP(Tabela1[[#This Row],[MÊS]]&amp;Tabela1[[#This Row],[ID]]&amp;Tabela1[[#This Row],[MATRICULA]]&amp;"Ponto de Apoio 3"&amp;Tabela1[[#This Row],[SETOR]],BD!A:AF,13,0),"")</f>
        <v/>
      </c>
      <c r="BU224" s="135" t="str">
        <f>IFERROR(VLOOKUP(Tabela1[[#This Row],[MÊS]]&amp;Tabela1[[#This Row],[ID]]&amp;Tabela1[[#This Row],[MATRICULA]]&amp;"Ponto de Apoio 4"&amp;Tabela1[[#This Row],[SETOR]],BD!A:AF,13,0),"")</f>
        <v/>
      </c>
      <c r="BV224" s="135" t="str">
        <f>IFERROR(AVERAGE(Tabela1[[#This Row],[DPA]:[DPA 4]]),"")</f>
        <v/>
      </c>
      <c r="BW224" s="135" t="str">
        <f>IFERROR(VLOOKUP(Tabela1[[#This Row],[MÊS]]&amp;Tabela1[[#This Row],[ID]]&amp;Tabela1[[#This Row],[MATRICULA]]&amp;"Cliente"&amp;Tabela1[[#This Row],[SETOR]],BD!A:AF,13,0),"")</f>
        <v/>
      </c>
      <c r="BX224" s="135" t="str">
        <f>IFERROR(VLOOKUP(Tabela1[[#This Row],[MÊS]]&amp;Tabela1[[#This Row],[ID]]&amp;Tabela1[[#This Row],[MATRICULA]]&amp;"cliente 2"&amp;Tabela1[[#This Row],[SETOR]],BD!A:AF,13,0),"")</f>
        <v/>
      </c>
      <c r="BY224" s="135" t="str">
        <f>IFERROR(VLOOKUP(Tabela1[[#This Row],[MÊS]]&amp;Tabela1[[#This Row],[ID]]&amp;Tabela1[[#This Row],[MATRICULA]]&amp;"cliente 3"&amp;Tabela1[[#This Row],[SETOR]],BD!A:AF,13,0),"")</f>
        <v/>
      </c>
      <c r="BZ224" s="135" t="str">
        <f>IFERROR(VLOOKUP(Tabela1[[#This Row],[MÊS]]&amp;Tabela1[[#This Row],[ID]]&amp;Tabela1[[#This Row],[MATRICULA]]&amp;"cliente 4"&amp;Tabela1[[#This Row],[SETOR]],BD!A:AF,13,0),"")</f>
        <v/>
      </c>
      <c r="CA224" s="135" t="str">
        <f>IFERROR(AVERAGE(Tabela1[[#This Row],[DCLI]:[DCLI 4]]),"")</f>
        <v/>
      </c>
      <c r="CB224" s="135" t="str">
        <f>IFERROR(VLOOKUP(Tabela1[[#This Row],[MÊS]]&amp;Tabela1[[#This Row],[ID]]&amp;Tabela1[[#This Row],[MATRICULA]]&amp;"Policia"&amp;Tabela1[[#This Row],[SETOR]],BD!A:AF,13,0),"")</f>
        <v/>
      </c>
      <c r="CC224" s="135" t="str">
        <f>IFERROR(VLOOKUP(Tabela1[[#This Row],[MÊS]]&amp;Tabela1[[#This Row],[ID]]&amp;Tabela1[[#This Row],[MATRICULA]]&amp;"Policia 2"&amp;Tabela1[[#This Row],[SETOR]],BD!A:AF,13,0),"")</f>
        <v/>
      </c>
      <c r="CD224" s="135"/>
      <c r="CE224" s="135"/>
      <c r="CF224" s="135" t="str">
        <f>IFERROR((AVERAGE(Tabela1[[#This Row],[DPOL1]:[DPOL4]])),"")</f>
        <v/>
      </c>
      <c r="CG224" s="21" t="str">
        <f>IFERROR(VLOOKUP(Tabela1[[#This Row],[ID]]&amp;Tabela1[[#This Row],[MÊS]]&amp;Tabela1[[#This Row],[MATRICULA]],#REF!,2,0),"")</f>
        <v/>
      </c>
      <c r="CH224" s="21" t="str">
        <f>IFERROR(VLOOKUP(Tabela1[[#This Row],[ID]]&amp;Tabela1[[#This Row],[MÊS]]&amp;Tabela1[[#This Row],[MATRICULA]],#REF!,2,0),"")</f>
        <v/>
      </c>
      <c r="CI224" s="21" t="str">
        <f>IFERROR(VLOOKUP(Tabela1[[#This Row],[MÊS]]&amp;Tabela1[[#This Row],[MATRICULA]],#REF!,2,0),"")</f>
        <v/>
      </c>
    </row>
  </sheetData>
  <sheetProtection algorithmName="SHA-512" hashValue="7SRwFY+P0LQIDOtkirY10+Y8sLibeRj6UcagEOdlnVTsfky27I7SZqVQ7D6krXjACo8NEu0berNGoYfuSRYzFg==" saltValue="syb2rJ3t6czoyL5z92rQHw==" spinCount="100000" sheet="1" objects="1" scenarios="1"/>
  <phoneticPr fontId="20" type="noConversion"/>
  <conditionalFormatting sqref="AL1:BA1 AA1:AC1 AE1 AA2:BA1048576">
    <cfRule type="cellIs" dxfId="270" priority="184" operator="between">
      <formula>8</formula>
      <formula>11</formula>
    </cfRule>
  </conditionalFormatting>
  <conditionalFormatting sqref="AL1:BA1 AA1:AC1 AE1 AA2:BA1048576">
    <cfRule type="cellIs" dxfId="269" priority="180" operator="between">
      <formula>1</formula>
      <formula>7.99</formula>
    </cfRule>
  </conditionalFormatting>
  <conditionalFormatting sqref="AB1:AK1">
    <cfRule type="cellIs" dxfId="268" priority="179" operator="between">
      <formula>8</formula>
      <formula>11</formula>
    </cfRule>
  </conditionalFormatting>
  <conditionalFormatting sqref="R1:R19 R23:R1048576">
    <cfRule type="containsText" dxfId="267" priority="147" operator="containsText" text="UNILE">
      <formula>NOT(ISERROR(SEARCH("UNILE",R1)))</formula>
    </cfRule>
    <cfRule type="containsText" dxfId="266" priority="148" operator="containsText" text="LULA">
      <formula>NOT(ISERROR(SEARCH("LULA",R1)))</formula>
    </cfRule>
    <cfRule type="containsText" dxfId="265" priority="149" operator="containsText" text="NIX">
      <formula>NOT(ISERROR(SEARCH("NIX",R1)))</formula>
    </cfRule>
    <cfRule type="containsText" dxfId="264" priority="150" operator="containsText" text="UNILE">
      <formula>NOT(ISERROR(SEARCH("UNILE",R1)))</formula>
    </cfRule>
    <cfRule type="containsText" dxfId="263" priority="151" operator="containsText" text="LULA">
      <formula>NOT(ISERROR(SEARCH("LULA",R1)))</formula>
    </cfRule>
    <cfRule type="containsText" dxfId="262" priority="152" operator="containsText" text="NIX">
      <formula>NOT(ISERROR(SEARCH("NIX",R1)))</formula>
    </cfRule>
    <cfRule type="containsText" dxfId="261" priority="153" operator="containsText" text="DISTRIBUIÇÃO">
      <formula>NOT(ISERROR(SEARCH("DISTRIBUIÇÃO",R1)))</formula>
    </cfRule>
    <cfRule type="containsText" dxfId="260" priority="154" operator="containsText" text="AMAREL">
      <formula>NOT(ISERROR(SEARCH("AMAREL",R1)))</formula>
    </cfRule>
    <cfRule type="containsText" dxfId="259" priority="155" operator="containsText" text="CINZA">
      <formula>NOT(ISERROR(SEARCH("CINZA",R1)))</formula>
    </cfRule>
    <cfRule type="containsText" dxfId="258" priority="156" operator="containsText" text="VERDE">
      <formula>NOT(ISERROR(SEARCH("VERDE",R1)))</formula>
    </cfRule>
    <cfRule type="containsText" dxfId="257" priority="157" operator="containsText" text="AZUL">
      <formula>NOT(ISERROR(SEARCH("AZUL",R1)))</formula>
    </cfRule>
    <cfRule type="containsText" dxfId="256" priority="158" operator="containsText" text="UNILE">
      <formula>NOT(ISERROR(SEARCH("UNILE",R1)))</formula>
    </cfRule>
    <cfRule type="containsText" dxfId="255" priority="159" operator="containsText" text="LULA">
      <formula>NOT(ISERROR(SEARCH("LULA",R1)))</formula>
    </cfRule>
    <cfRule type="containsText" dxfId="254" priority="160" operator="containsText" text="NIX">
      <formula>NOT(ISERROR(SEARCH("NIX",R1)))</formula>
    </cfRule>
    <cfRule type="containsText" dxfId="253" priority="161" operator="containsText" text="DISTRIBUIÇÃO">
      <formula>NOT(ISERROR(SEARCH("DISTRIBUIÇÃO",R1)))</formula>
    </cfRule>
    <cfRule type="containsText" dxfId="252" priority="162" operator="containsText" text="AMAREL">
      <formula>NOT(ISERROR(SEARCH("AMAREL",R1)))</formula>
    </cfRule>
    <cfRule type="containsText" dxfId="251" priority="163" operator="containsText" text="CINZA">
      <formula>NOT(ISERROR(SEARCH("CINZA",R1)))</formula>
    </cfRule>
    <cfRule type="containsText" dxfId="250" priority="164" operator="containsText" text="VERDE">
      <formula>NOT(ISERROR(SEARCH("VERDE",R1)))</formula>
    </cfRule>
    <cfRule type="containsText" dxfId="249" priority="165" operator="containsText" text="AZUL">
      <formula>NOT(ISERROR(SEARCH("AZUL",R1)))</formula>
    </cfRule>
    <cfRule type="containsText" dxfId="248" priority="166" operator="containsText" text="UNILE">
      <formula>NOT(ISERROR(SEARCH("UNILE",R1)))</formula>
    </cfRule>
    <cfRule type="containsText" dxfId="247" priority="167" operator="containsText" text="LULA">
      <formula>NOT(ISERROR(SEARCH("LULA",R1)))</formula>
    </cfRule>
    <cfRule type="containsText" dxfId="246" priority="168" operator="containsText" text="NIX">
      <formula>NOT(ISERROR(SEARCH("NIX",R1)))</formula>
    </cfRule>
    <cfRule type="containsText" dxfId="245" priority="169" operator="containsText" text="DISTRIBUIÇÃO">
      <formula>NOT(ISERROR(SEARCH("DISTRIBUIÇÃO",R1)))</formula>
    </cfRule>
    <cfRule type="containsText" dxfId="244" priority="170" operator="containsText" text="AMAREL">
      <formula>NOT(ISERROR(SEARCH("AMAREL",R1)))</formula>
    </cfRule>
    <cfRule type="containsText" dxfId="243" priority="171" operator="containsText" text="CINZA">
      <formula>NOT(ISERROR(SEARCH("CINZA",R1)))</formula>
    </cfRule>
    <cfRule type="containsText" dxfId="242" priority="172" operator="containsText" text="VERDE">
      <formula>NOT(ISERROR(SEARCH("VERDE",R1)))</formula>
    </cfRule>
    <cfRule type="containsText" dxfId="241" priority="173" operator="containsText" text="AZUL">
      <formula>NOT(ISERROR(SEARCH("AZUL",R1)))</formula>
    </cfRule>
    <cfRule type="cellIs" dxfId="240" priority="177" operator="between">
      <formula>1</formula>
      <formula>7.99</formula>
    </cfRule>
  </conditionalFormatting>
  <conditionalFormatting sqref="T1:T19 T23:T1048576">
    <cfRule type="containsText" dxfId="239" priority="146" operator="containsText" text="TRILHA">
      <formula>NOT(ISERROR(SEARCH("TRILHA",T1)))</formula>
    </cfRule>
  </conditionalFormatting>
  <conditionalFormatting sqref="R20">
    <cfRule type="containsText" dxfId="238" priority="31" operator="containsText" text="UNILE">
      <formula>NOT(ISERROR(SEARCH("UNILE",R20)))</formula>
    </cfRule>
    <cfRule type="containsText" dxfId="237" priority="32" operator="containsText" text="LULA">
      <formula>NOT(ISERROR(SEARCH("LULA",R20)))</formula>
    </cfRule>
    <cfRule type="containsText" dxfId="236" priority="33" operator="containsText" text="NIX">
      <formula>NOT(ISERROR(SEARCH("NIX",R20)))</formula>
    </cfRule>
    <cfRule type="containsText" dxfId="235" priority="34" operator="containsText" text="UNILE">
      <formula>NOT(ISERROR(SEARCH("UNILE",R20)))</formula>
    </cfRule>
    <cfRule type="containsText" dxfId="234" priority="35" operator="containsText" text="LULA">
      <formula>NOT(ISERROR(SEARCH("LULA",R20)))</formula>
    </cfRule>
    <cfRule type="containsText" dxfId="233" priority="36" operator="containsText" text="NIX">
      <formula>NOT(ISERROR(SEARCH("NIX",R20)))</formula>
    </cfRule>
    <cfRule type="containsText" dxfId="232" priority="37" operator="containsText" text="DISTRIBUIÇÃO">
      <formula>NOT(ISERROR(SEARCH("DISTRIBUIÇÃO",R20)))</formula>
    </cfRule>
    <cfRule type="containsText" dxfId="231" priority="38" operator="containsText" text="AMAREL">
      <formula>NOT(ISERROR(SEARCH("AMAREL",R20)))</formula>
    </cfRule>
    <cfRule type="containsText" dxfId="230" priority="39" operator="containsText" text="CINZA">
      <formula>NOT(ISERROR(SEARCH("CINZA",R20)))</formula>
    </cfRule>
    <cfRule type="containsText" dxfId="229" priority="40" operator="containsText" text="VERDE">
      <formula>NOT(ISERROR(SEARCH("VERDE",R20)))</formula>
    </cfRule>
    <cfRule type="containsText" dxfId="228" priority="41" operator="containsText" text="AZUL">
      <formula>NOT(ISERROR(SEARCH("AZUL",R20)))</formula>
    </cfRule>
    <cfRule type="containsText" dxfId="227" priority="42" operator="containsText" text="UNILE">
      <formula>NOT(ISERROR(SEARCH("UNILE",R20)))</formula>
    </cfRule>
    <cfRule type="containsText" dxfId="226" priority="43" operator="containsText" text="LULA">
      <formula>NOT(ISERROR(SEARCH("LULA",R20)))</formula>
    </cfRule>
    <cfRule type="containsText" dxfId="225" priority="44" operator="containsText" text="NIX">
      <formula>NOT(ISERROR(SEARCH("NIX",R20)))</formula>
    </cfRule>
    <cfRule type="containsText" dxfId="224" priority="45" operator="containsText" text="DISTRIBUIÇÃO">
      <formula>NOT(ISERROR(SEARCH("DISTRIBUIÇÃO",R20)))</formula>
    </cfRule>
    <cfRule type="containsText" dxfId="223" priority="46" operator="containsText" text="AMAREL">
      <formula>NOT(ISERROR(SEARCH("AMAREL",R20)))</formula>
    </cfRule>
    <cfRule type="containsText" dxfId="222" priority="47" operator="containsText" text="CINZA">
      <formula>NOT(ISERROR(SEARCH("CINZA",R20)))</formula>
    </cfRule>
    <cfRule type="containsText" dxfId="221" priority="48" operator="containsText" text="VERDE">
      <formula>NOT(ISERROR(SEARCH("VERDE",R20)))</formula>
    </cfRule>
    <cfRule type="containsText" dxfId="220" priority="49" operator="containsText" text="AZUL">
      <formula>NOT(ISERROR(SEARCH("AZUL",R20)))</formula>
    </cfRule>
    <cfRule type="containsText" dxfId="219" priority="50" operator="containsText" text="UNILE">
      <formula>NOT(ISERROR(SEARCH("UNILE",R20)))</formula>
    </cfRule>
    <cfRule type="containsText" dxfId="218" priority="51" operator="containsText" text="LULA">
      <formula>NOT(ISERROR(SEARCH("LULA",R20)))</formula>
    </cfRule>
    <cfRule type="containsText" dxfId="217" priority="52" operator="containsText" text="NIX">
      <formula>NOT(ISERROR(SEARCH("NIX",R20)))</formula>
    </cfRule>
    <cfRule type="containsText" dxfId="216" priority="53" operator="containsText" text="DISTRIBUIÇÃO">
      <formula>NOT(ISERROR(SEARCH("DISTRIBUIÇÃO",R20)))</formula>
    </cfRule>
    <cfRule type="containsText" dxfId="215" priority="54" operator="containsText" text="AMAREL">
      <formula>NOT(ISERROR(SEARCH("AMAREL",R20)))</formula>
    </cfRule>
    <cfRule type="containsText" dxfId="214" priority="55" operator="containsText" text="CINZA">
      <formula>NOT(ISERROR(SEARCH("CINZA",R20)))</formula>
    </cfRule>
    <cfRule type="containsText" dxfId="213" priority="56" operator="containsText" text="VERDE">
      <formula>NOT(ISERROR(SEARCH("VERDE",R20)))</formula>
    </cfRule>
    <cfRule type="containsText" dxfId="212" priority="57" operator="containsText" text="AZUL">
      <formula>NOT(ISERROR(SEARCH("AZUL",R20)))</formula>
    </cfRule>
    <cfRule type="cellIs" dxfId="211" priority="58" operator="between">
      <formula>1</formula>
      <formula>7.99</formula>
    </cfRule>
  </conditionalFormatting>
  <conditionalFormatting sqref="T20">
    <cfRule type="containsText" dxfId="210" priority="30" operator="containsText" text="TRILHA">
      <formula>NOT(ISERROR(SEARCH("TRILHA",T20)))</formula>
    </cfRule>
  </conditionalFormatting>
  <conditionalFormatting sqref="R21:R22">
    <cfRule type="containsText" dxfId="209" priority="2" operator="containsText" text="UNILE">
      <formula>NOT(ISERROR(SEARCH("UNILE",R21)))</formula>
    </cfRule>
    <cfRule type="containsText" dxfId="208" priority="3" operator="containsText" text="LULA">
      <formula>NOT(ISERROR(SEARCH("LULA",R21)))</formula>
    </cfRule>
    <cfRule type="containsText" dxfId="207" priority="4" operator="containsText" text="NIX">
      <formula>NOT(ISERROR(SEARCH("NIX",R21)))</formula>
    </cfRule>
    <cfRule type="containsText" dxfId="206" priority="5" operator="containsText" text="UNILE">
      <formula>NOT(ISERROR(SEARCH("UNILE",R21)))</formula>
    </cfRule>
    <cfRule type="containsText" dxfId="205" priority="6" operator="containsText" text="LULA">
      <formula>NOT(ISERROR(SEARCH("LULA",R21)))</formula>
    </cfRule>
    <cfRule type="containsText" dxfId="204" priority="7" operator="containsText" text="NIX">
      <formula>NOT(ISERROR(SEARCH("NIX",R21)))</formula>
    </cfRule>
    <cfRule type="containsText" dxfId="203" priority="8" operator="containsText" text="DISTRIBUIÇÃO">
      <formula>NOT(ISERROR(SEARCH("DISTRIBUIÇÃO",R21)))</formula>
    </cfRule>
    <cfRule type="containsText" dxfId="202" priority="9" operator="containsText" text="AMAREL">
      <formula>NOT(ISERROR(SEARCH("AMAREL",R21)))</formula>
    </cfRule>
    <cfRule type="containsText" dxfId="201" priority="10" operator="containsText" text="CINZA">
      <formula>NOT(ISERROR(SEARCH("CINZA",R21)))</formula>
    </cfRule>
    <cfRule type="containsText" dxfId="200" priority="11" operator="containsText" text="VERDE">
      <formula>NOT(ISERROR(SEARCH("VERDE",R21)))</formula>
    </cfRule>
    <cfRule type="containsText" dxfId="199" priority="12" operator="containsText" text="AZUL">
      <formula>NOT(ISERROR(SEARCH("AZUL",R21)))</formula>
    </cfRule>
    <cfRule type="containsText" dxfId="198" priority="13" operator="containsText" text="UNILE">
      <formula>NOT(ISERROR(SEARCH("UNILE",R21)))</formula>
    </cfRule>
    <cfRule type="containsText" dxfId="197" priority="14" operator="containsText" text="LULA">
      <formula>NOT(ISERROR(SEARCH("LULA",R21)))</formula>
    </cfRule>
    <cfRule type="containsText" dxfId="196" priority="15" operator="containsText" text="NIX">
      <formula>NOT(ISERROR(SEARCH("NIX",R21)))</formula>
    </cfRule>
    <cfRule type="containsText" dxfId="195" priority="16" operator="containsText" text="DISTRIBUIÇÃO">
      <formula>NOT(ISERROR(SEARCH("DISTRIBUIÇÃO",R21)))</formula>
    </cfRule>
    <cfRule type="containsText" dxfId="194" priority="17" operator="containsText" text="AMAREL">
      <formula>NOT(ISERROR(SEARCH("AMAREL",R21)))</formula>
    </cfRule>
    <cfRule type="containsText" dxfId="193" priority="18" operator="containsText" text="CINZA">
      <formula>NOT(ISERROR(SEARCH("CINZA",R21)))</formula>
    </cfRule>
    <cfRule type="containsText" dxfId="192" priority="19" operator="containsText" text="VERDE">
      <formula>NOT(ISERROR(SEARCH("VERDE",R21)))</formula>
    </cfRule>
    <cfRule type="containsText" dxfId="191" priority="20" operator="containsText" text="AZUL">
      <formula>NOT(ISERROR(SEARCH("AZUL",R21)))</formula>
    </cfRule>
    <cfRule type="containsText" dxfId="190" priority="21" operator="containsText" text="UNILE">
      <formula>NOT(ISERROR(SEARCH("UNILE",R21)))</formula>
    </cfRule>
    <cfRule type="containsText" dxfId="189" priority="22" operator="containsText" text="LULA">
      <formula>NOT(ISERROR(SEARCH("LULA",R21)))</formula>
    </cfRule>
    <cfRule type="containsText" dxfId="188" priority="23" operator="containsText" text="NIX">
      <formula>NOT(ISERROR(SEARCH("NIX",R21)))</formula>
    </cfRule>
    <cfRule type="containsText" dxfId="187" priority="24" operator="containsText" text="DISTRIBUIÇÃO">
      <formula>NOT(ISERROR(SEARCH("DISTRIBUIÇÃO",R21)))</formula>
    </cfRule>
    <cfRule type="containsText" dxfId="186" priority="25" operator="containsText" text="AMAREL">
      <formula>NOT(ISERROR(SEARCH("AMAREL",R21)))</formula>
    </cfRule>
    <cfRule type="containsText" dxfId="185" priority="26" operator="containsText" text="CINZA">
      <formula>NOT(ISERROR(SEARCH("CINZA",R21)))</formula>
    </cfRule>
    <cfRule type="containsText" dxfId="184" priority="27" operator="containsText" text="VERDE">
      <formula>NOT(ISERROR(SEARCH("VERDE",R21)))</formula>
    </cfRule>
    <cfRule type="containsText" dxfId="183" priority="28" operator="containsText" text="AZUL">
      <formula>NOT(ISERROR(SEARCH("AZUL",R21)))</formula>
    </cfRule>
    <cfRule type="cellIs" dxfId="182" priority="29" operator="between">
      <formula>1</formula>
      <formula>7.99</formula>
    </cfRule>
  </conditionalFormatting>
  <conditionalFormatting sqref="T21:T22">
    <cfRule type="containsText" dxfId="181" priority="1" operator="containsText" text="TRILHA">
      <formula>NOT(ISERROR(SEARCH("TRILHA",T21)))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81" operator="beginsWith" id="{4F6625BF-C344-46CE-AD1D-C9945BA1A94D}">
            <xm:f>LEFT(AA1,LEN("0"))="0"</xm:f>
            <xm:f>"0"</xm:f>
            <x14:dxf>
              <font>
                <b/>
                <i val="0"/>
                <color rgb="FFFF0000"/>
              </font>
              <fill>
                <patternFill>
                  <bgColor theme="1"/>
                </patternFill>
              </fill>
            </x14:dxf>
          </x14:cfRule>
          <xm:sqref>AL1:BA1 AA1:AC1 AE1 AA2:BA1048576</xm:sqref>
        </x14:conditionalFormatting>
        <x14:conditionalFormatting xmlns:xm="http://schemas.microsoft.com/office/excel/2006/main">
          <x14:cfRule type="beginsWith" priority="178" operator="beginsWith" id="{C0A80B5B-40D8-4C18-B837-410F76760557}">
            <xm:f>LEFT(AB1,LEN("0"))="0"</xm:f>
            <xm:f>"0"</xm:f>
            <x14:dxf>
              <font>
                <b/>
                <i val="0"/>
                <color rgb="FFFF0000"/>
              </font>
              <fill>
                <patternFill>
                  <bgColor theme="1"/>
                </patternFill>
              </fill>
            </x14:dxf>
          </x14:cfRule>
          <xm:sqref>AB1:AK1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3">
    <tabColor theme="1"/>
  </sheetPr>
  <dimension ref="A1:AG1155"/>
  <sheetViews>
    <sheetView showGridLines="0" showZeros="0" workbookViewId="0">
      <pane ySplit="1" topLeftCell="A374" activePane="bottomLeft" state="frozen"/>
      <selection pane="bottomLeft" activeCell="B403" sqref="B403"/>
    </sheetView>
  </sheetViews>
  <sheetFormatPr defaultRowHeight="14.45"/>
  <cols>
    <col min="1" max="1" width="8" style="15" bestFit="1" customWidth="1"/>
    <col min="2" max="2" width="41" bestFit="1" customWidth="1"/>
    <col min="3" max="3" width="10.42578125" customWidth="1"/>
    <col min="4" max="4" width="24.42578125" style="2" customWidth="1"/>
    <col min="5" max="5" width="18.5703125" style="2" customWidth="1"/>
    <col min="6" max="6" width="13.42578125" style="2" customWidth="1"/>
    <col min="7" max="7" width="30.42578125" bestFit="1" customWidth="1"/>
    <col min="8" max="8" width="3" bestFit="1" customWidth="1"/>
    <col min="9" max="9" width="1.5703125" customWidth="1"/>
    <col min="10" max="10" width="21.5703125" bestFit="1" customWidth="1"/>
    <col min="11" max="11" width="1.5703125" customWidth="1"/>
    <col min="12" max="12" width="8.5703125" bestFit="1" customWidth="1"/>
    <col min="13" max="13" width="5" style="2" bestFit="1" customWidth="1"/>
    <col min="14" max="14" width="1.5703125" customWidth="1"/>
    <col min="15" max="15" width="16.5703125" bestFit="1" customWidth="1"/>
    <col min="16" max="16" width="1.5703125" customWidth="1"/>
    <col min="17" max="17" width="18.5703125" style="2" bestFit="1" customWidth="1"/>
    <col min="18" max="18" width="1.5703125" customWidth="1"/>
    <col min="19" max="19" width="22.42578125" bestFit="1" customWidth="1"/>
    <col min="20" max="20" width="1.5703125" customWidth="1"/>
    <col min="21" max="21" width="7.5703125" style="2" bestFit="1" customWidth="1"/>
    <col min="22" max="22" width="5.5703125" style="2" bestFit="1" customWidth="1"/>
    <col min="23" max="23" width="1.5703125" customWidth="1"/>
    <col min="24" max="24" width="21.5703125" bestFit="1" customWidth="1"/>
    <col min="25" max="25" width="6.5703125" bestFit="1" customWidth="1"/>
    <col min="26" max="26" width="1.5703125" customWidth="1"/>
    <col min="27" max="27" width="20" bestFit="1" customWidth="1"/>
    <col min="28" max="28" width="19.42578125" bestFit="1" customWidth="1"/>
    <col min="29" max="29" width="3" bestFit="1" customWidth="1"/>
    <col min="30" max="30" width="2.5703125" bestFit="1" customWidth="1"/>
    <col min="32" max="32" width="15.5703125" bestFit="1" customWidth="1"/>
    <col min="33" max="33" width="15" bestFit="1" customWidth="1"/>
  </cols>
  <sheetData>
    <row r="1" spans="1:33" s="19" customFormat="1" ht="26.25" customHeight="1">
      <c r="A1" s="42" t="s">
        <v>718</v>
      </c>
      <c r="B1" s="42" t="s">
        <v>719</v>
      </c>
      <c r="C1" s="42" t="s">
        <v>720</v>
      </c>
      <c r="D1" s="43" t="s">
        <v>585</v>
      </c>
      <c r="E1" s="25" t="s">
        <v>721</v>
      </c>
      <c r="F1" s="27" t="s">
        <v>591</v>
      </c>
      <c r="G1" s="26" t="s">
        <v>722</v>
      </c>
      <c r="H1" s="17" t="s">
        <v>723</v>
      </c>
      <c r="I1" s="17"/>
      <c r="J1" s="17" t="s">
        <v>724</v>
      </c>
      <c r="K1" s="17"/>
      <c r="L1" s="17" t="s">
        <v>26</v>
      </c>
      <c r="M1" s="17" t="s">
        <v>725</v>
      </c>
      <c r="N1" s="17"/>
      <c r="O1" s="17" t="s">
        <v>726</v>
      </c>
      <c r="P1" s="17"/>
      <c r="Q1" s="17" t="s">
        <v>727</v>
      </c>
      <c r="R1" s="17"/>
      <c r="S1" s="17" t="s">
        <v>728</v>
      </c>
      <c r="T1" s="17"/>
      <c r="U1" s="17" t="s">
        <v>729</v>
      </c>
      <c r="V1" s="17" t="s">
        <v>730</v>
      </c>
      <c r="W1" s="17"/>
      <c r="X1" s="17" t="s">
        <v>731</v>
      </c>
      <c r="Y1" s="17" t="s">
        <v>730</v>
      </c>
      <c r="Z1" s="17"/>
      <c r="AA1" s="17" t="s">
        <v>732</v>
      </c>
      <c r="AB1" s="17" t="s">
        <v>733</v>
      </c>
      <c r="AC1" s="17">
        <v>1</v>
      </c>
      <c r="AD1" s="17" t="s">
        <v>616</v>
      </c>
      <c r="AE1" s="18"/>
      <c r="AF1" s="17" t="s">
        <v>8</v>
      </c>
    </row>
    <row r="2" spans="1:33" ht="15" customHeight="1">
      <c r="A2" s="14">
        <v>11253</v>
      </c>
      <c r="B2" s="1" t="s">
        <v>79</v>
      </c>
      <c r="C2" s="16"/>
      <c r="D2" s="29"/>
      <c r="E2" s="8"/>
      <c r="F2" s="8"/>
      <c r="G2" t="s">
        <v>485</v>
      </c>
      <c r="H2">
        <v>0</v>
      </c>
      <c r="J2" t="s">
        <v>149</v>
      </c>
      <c r="L2" t="s">
        <v>12</v>
      </c>
      <c r="M2" s="2">
        <v>2020</v>
      </c>
      <c r="O2" t="s">
        <v>734</v>
      </c>
      <c r="Q2" s="2" t="s">
        <v>735</v>
      </c>
      <c r="S2" s="2" t="s">
        <v>735</v>
      </c>
      <c r="U2" s="2" t="s">
        <v>736</v>
      </c>
      <c r="V2" s="7">
        <v>0.25</v>
      </c>
      <c r="X2" s="3" t="s">
        <v>93</v>
      </c>
      <c r="Y2" s="5">
        <v>1</v>
      </c>
      <c r="AA2" t="s">
        <v>678</v>
      </c>
      <c r="AB2" t="s">
        <v>315</v>
      </c>
      <c r="AC2">
        <v>2</v>
      </c>
      <c r="AD2" t="s">
        <v>737</v>
      </c>
      <c r="AF2" t="s">
        <v>223</v>
      </c>
      <c r="AG2" t="s">
        <v>83</v>
      </c>
    </row>
    <row r="3" spans="1:33">
      <c r="A3" s="14">
        <v>10984</v>
      </c>
      <c r="B3" s="1" t="s">
        <v>489</v>
      </c>
      <c r="C3" s="16"/>
      <c r="D3" s="29"/>
      <c r="E3" s="8"/>
      <c r="F3" s="8"/>
      <c r="G3" t="s">
        <v>92</v>
      </c>
      <c r="H3">
        <v>0</v>
      </c>
      <c r="J3" t="s">
        <v>322</v>
      </c>
      <c r="L3" t="s">
        <v>738</v>
      </c>
      <c r="M3" s="2">
        <v>2021</v>
      </c>
      <c r="Q3" s="2" t="s">
        <v>17</v>
      </c>
      <c r="U3" s="2" t="s">
        <v>739</v>
      </c>
      <c r="V3" s="7">
        <v>1</v>
      </c>
      <c r="X3" s="3" t="s">
        <v>97</v>
      </c>
      <c r="Y3" s="5">
        <v>1</v>
      </c>
      <c r="AA3" t="s">
        <v>674</v>
      </c>
      <c r="AB3" t="s">
        <v>740</v>
      </c>
      <c r="AC3">
        <v>3</v>
      </c>
      <c r="AD3" t="s">
        <v>741</v>
      </c>
      <c r="AF3" t="s">
        <v>94</v>
      </c>
    </row>
    <row r="4" spans="1:33" ht="15" customHeight="1">
      <c r="A4" s="14">
        <v>11185</v>
      </c>
      <c r="B4" s="1" t="s">
        <v>742</v>
      </c>
      <c r="C4" s="16"/>
      <c r="D4" s="29"/>
      <c r="E4" s="8"/>
      <c r="F4" s="8"/>
      <c r="G4" t="s">
        <v>130</v>
      </c>
      <c r="H4">
        <v>0</v>
      </c>
      <c r="J4" t="s">
        <v>93</v>
      </c>
      <c r="L4" t="s">
        <v>743</v>
      </c>
      <c r="M4" s="2">
        <v>2022</v>
      </c>
      <c r="Q4" s="2" t="s">
        <v>18</v>
      </c>
      <c r="X4" s="3" t="s">
        <v>149</v>
      </c>
      <c r="Y4" s="5">
        <v>1</v>
      </c>
      <c r="AA4" t="s">
        <v>713</v>
      </c>
      <c r="AB4" t="s">
        <v>744</v>
      </c>
      <c r="AC4">
        <v>4</v>
      </c>
      <c r="AD4" t="s">
        <v>745</v>
      </c>
      <c r="AF4" t="s">
        <v>315</v>
      </c>
    </row>
    <row r="5" spans="1:33">
      <c r="A5" s="28">
        <v>11184</v>
      </c>
      <c r="B5" s="1" t="s">
        <v>746</v>
      </c>
      <c r="C5" s="16"/>
      <c r="D5" s="29"/>
      <c r="E5" s="8"/>
      <c r="F5" s="8"/>
      <c r="G5" t="s">
        <v>96</v>
      </c>
      <c r="H5">
        <v>1</v>
      </c>
      <c r="J5" t="s">
        <v>97</v>
      </c>
      <c r="L5" t="s">
        <v>747</v>
      </c>
      <c r="M5" s="2">
        <v>2023</v>
      </c>
      <c r="S5" t="s">
        <v>748</v>
      </c>
      <c r="X5" s="3" t="s">
        <v>322</v>
      </c>
      <c r="Y5" s="5">
        <v>1</v>
      </c>
      <c r="AA5" t="s">
        <v>676</v>
      </c>
      <c r="AB5" t="s">
        <v>708</v>
      </c>
      <c r="AC5">
        <v>5</v>
      </c>
      <c r="AD5" t="s">
        <v>749</v>
      </c>
      <c r="AF5" t="s">
        <v>192</v>
      </c>
    </row>
    <row r="6" spans="1:33" ht="15" customHeight="1">
      <c r="A6" s="14">
        <v>11200</v>
      </c>
      <c r="B6" s="1" t="s">
        <v>750</v>
      </c>
      <c r="D6" s="29"/>
      <c r="E6" s="8"/>
      <c r="F6" s="8"/>
      <c r="G6" t="s">
        <v>133</v>
      </c>
      <c r="H6">
        <v>2</v>
      </c>
      <c r="J6" t="s">
        <v>751</v>
      </c>
      <c r="L6" t="s">
        <v>752</v>
      </c>
      <c r="M6" s="2">
        <v>2024</v>
      </c>
      <c r="X6" s="3" t="s">
        <v>751</v>
      </c>
      <c r="Y6" s="5">
        <v>1</v>
      </c>
      <c r="AA6" t="s">
        <v>671</v>
      </c>
      <c r="AC6">
        <v>6</v>
      </c>
      <c r="AD6" t="s">
        <v>753</v>
      </c>
      <c r="AF6" t="s">
        <v>128</v>
      </c>
    </row>
    <row r="7" spans="1:33" ht="15" customHeight="1">
      <c r="A7" s="14">
        <v>11284</v>
      </c>
      <c r="B7" s="1" t="s">
        <v>511</v>
      </c>
      <c r="C7" s="16"/>
      <c r="D7" s="29"/>
      <c r="E7" s="8"/>
      <c r="F7" s="8"/>
      <c r="G7" t="s">
        <v>595</v>
      </c>
      <c r="H7">
        <v>3</v>
      </c>
      <c r="J7" s="3" t="s">
        <v>754</v>
      </c>
      <c r="L7" t="s">
        <v>755</v>
      </c>
      <c r="M7" s="2">
        <v>2025</v>
      </c>
      <c r="X7" s="3" t="s">
        <v>756</v>
      </c>
      <c r="Y7" s="5">
        <v>1</v>
      </c>
      <c r="AA7" t="s">
        <v>675</v>
      </c>
      <c r="AB7" t="s">
        <v>115</v>
      </c>
      <c r="AC7">
        <v>8</v>
      </c>
      <c r="AD7" t="s">
        <v>757</v>
      </c>
      <c r="AF7" t="s">
        <v>215</v>
      </c>
    </row>
    <row r="8" spans="1:33" ht="15" customHeight="1">
      <c r="A8" s="14">
        <v>11050</v>
      </c>
      <c r="B8" s="1" t="s">
        <v>167</v>
      </c>
      <c r="D8" s="29"/>
      <c r="E8" s="8"/>
      <c r="F8" s="8"/>
      <c r="G8" t="s">
        <v>155</v>
      </c>
      <c r="H8">
        <v>4</v>
      </c>
      <c r="J8" t="s">
        <v>756</v>
      </c>
      <c r="L8" t="s">
        <v>78</v>
      </c>
      <c r="X8" s="3" t="s">
        <v>758</v>
      </c>
      <c r="Y8" s="5">
        <v>1</v>
      </c>
      <c r="AA8" t="s">
        <v>717</v>
      </c>
      <c r="AB8" t="s">
        <v>759</v>
      </c>
      <c r="AC8">
        <v>9</v>
      </c>
      <c r="AD8" t="s">
        <v>760</v>
      </c>
      <c r="AF8" t="s">
        <v>156</v>
      </c>
    </row>
    <row r="9" spans="1:33">
      <c r="A9" s="14">
        <v>11236</v>
      </c>
      <c r="B9" s="1" t="s">
        <v>274</v>
      </c>
      <c r="C9" s="16"/>
      <c r="D9" s="29"/>
      <c r="E9" s="8"/>
      <c r="F9" s="8"/>
      <c r="G9" t="s">
        <v>80</v>
      </c>
      <c r="H9">
        <v>5</v>
      </c>
      <c r="J9" t="s">
        <v>761</v>
      </c>
      <c r="L9" t="s">
        <v>762</v>
      </c>
      <c r="X9" s="3" t="s">
        <v>81</v>
      </c>
      <c r="Y9" s="5">
        <v>1</v>
      </c>
      <c r="AA9" t="s">
        <v>680</v>
      </c>
      <c r="AB9" t="s">
        <v>82</v>
      </c>
      <c r="AC9">
        <v>11</v>
      </c>
      <c r="AD9" t="s">
        <v>763</v>
      </c>
      <c r="AF9" t="s">
        <v>82</v>
      </c>
    </row>
    <row r="10" spans="1:33">
      <c r="A10" s="14">
        <v>11082</v>
      </c>
      <c r="B10" s="1" t="s">
        <v>295</v>
      </c>
      <c r="D10" s="29"/>
      <c r="E10" s="8"/>
      <c r="F10" s="8"/>
      <c r="G10" t="s">
        <v>764</v>
      </c>
      <c r="H10">
        <v>6</v>
      </c>
      <c r="J10" t="s">
        <v>81</v>
      </c>
      <c r="L10" t="s">
        <v>765</v>
      </c>
      <c r="X10" s="3" t="s">
        <v>86</v>
      </c>
      <c r="Y10" s="5">
        <v>1</v>
      </c>
      <c r="AA10" t="s">
        <v>11</v>
      </c>
      <c r="AB10" t="s">
        <v>766</v>
      </c>
      <c r="AC10">
        <v>12</v>
      </c>
      <c r="AD10" t="s">
        <v>735</v>
      </c>
      <c r="AF10" t="s">
        <v>115</v>
      </c>
    </row>
    <row r="11" spans="1:33">
      <c r="A11" s="14">
        <v>11266</v>
      </c>
      <c r="B11" s="1" t="s">
        <v>767</v>
      </c>
      <c r="C11" s="16"/>
      <c r="D11" s="29"/>
      <c r="E11" s="8"/>
      <c r="F11" s="8"/>
      <c r="G11" t="s">
        <v>480</v>
      </c>
      <c r="H11">
        <v>7</v>
      </c>
      <c r="J11" t="s">
        <v>86</v>
      </c>
      <c r="L11" t="s">
        <v>768</v>
      </c>
      <c r="X11" s="3"/>
      <c r="Y11" s="5"/>
      <c r="AA11" t="s">
        <v>709</v>
      </c>
      <c r="AB11" t="s">
        <v>769</v>
      </c>
    </row>
    <row r="12" spans="1:33">
      <c r="A12" s="14">
        <v>11177</v>
      </c>
      <c r="B12" s="1" t="s">
        <v>770</v>
      </c>
      <c r="C12" s="16"/>
      <c r="D12" s="29"/>
      <c r="E12" s="8"/>
      <c r="F12" s="8"/>
      <c r="G12" t="s">
        <v>771</v>
      </c>
      <c r="H12">
        <v>8</v>
      </c>
      <c r="J12" s="3"/>
      <c r="L12" t="s">
        <v>772</v>
      </c>
      <c r="X12" s="3"/>
      <c r="Y12" s="5"/>
      <c r="AA12" t="s">
        <v>711</v>
      </c>
      <c r="AB12" t="s">
        <v>773</v>
      </c>
    </row>
    <row r="13" spans="1:33">
      <c r="A13" s="14">
        <v>10751</v>
      </c>
      <c r="B13" s="1" t="s">
        <v>774</v>
      </c>
      <c r="C13" s="16"/>
      <c r="D13" s="29"/>
      <c r="E13" s="8"/>
      <c r="F13" s="8"/>
      <c r="G13" t="s">
        <v>575</v>
      </c>
      <c r="H13">
        <v>9</v>
      </c>
      <c r="J13" s="3"/>
      <c r="L13" t="s">
        <v>775</v>
      </c>
      <c r="X13" s="3"/>
      <c r="Y13" s="5"/>
      <c r="AA13" t="s">
        <v>699</v>
      </c>
      <c r="AB13" t="s">
        <v>776</v>
      </c>
    </row>
    <row r="14" spans="1:33">
      <c r="A14" s="14">
        <v>10089</v>
      </c>
      <c r="B14" s="1" t="s">
        <v>777</v>
      </c>
      <c r="C14" s="16"/>
      <c r="D14" s="29"/>
      <c r="E14" s="8"/>
      <c r="F14" s="8"/>
      <c r="G14" t="s">
        <v>549</v>
      </c>
      <c r="H14">
        <v>10</v>
      </c>
      <c r="J14" s="3"/>
      <c r="X14" s="3"/>
      <c r="Y14" s="5"/>
      <c r="AA14" t="s">
        <v>707</v>
      </c>
      <c r="AB14" t="s">
        <v>778</v>
      </c>
    </row>
    <row r="15" spans="1:33">
      <c r="A15" s="14">
        <v>10891</v>
      </c>
      <c r="B15" s="1" t="s">
        <v>779</v>
      </c>
      <c r="D15" s="29"/>
      <c r="E15" s="8"/>
      <c r="F15" s="8"/>
      <c r="G15" t="s">
        <v>547</v>
      </c>
      <c r="H15">
        <v>11</v>
      </c>
      <c r="AA15" t="s">
        <v>668</v>
      </c>
    </row>
    <row r="16" spans="1:33">
      <c r="A16" s="14">
        <v>10674</v>
      </c>
      <c r="B16" s="1" t="s">
        <v>780</v>
      </c>
      <c r="C16" s="16"/>
      <c r="D16" s="29"/>
      <c r="E16" s="8"/>
      <c r="F16" s="8"/>
      <c r="G16" t="s">
        <v>543</v>
      </c>
      <c r="H16">
        <v>12</v>
      </c>
      <c r="AA16" t="s">
        <v>688</v>
      </c>
      <c r="AB16" t="s">
        <v>781</v>
      </c>
    </row>
    <row r="17" spans="1:28">
      <c r="A17" s="14">
        <v>1600</v>
      </c>
      <c r="B17" s="1" t="s">
        <v>782</v>
      </c>
      <c r="C17" s="16"/>
      <c r="D17" s="29"/>
      <c r="E17" s="8"/>
      <c r="F17" s="8"/>
      <c r="G17" t="s">
        <v>534</v>
      </c>
      <c r="H17">
        <v>13</v>
      </c>
      <c r="AA17" t="s">
        <v>704</v>
      </c>
    </row>
    <row r="18" spans="1:28">
      <c r="A18" s="14">
        <v>10362</v>
      </c>
      <c r="B18" s="1" t="s">
        <v>783</v>
      </c>
      <c r="C18" s="16"/>
      <c r="D18" s="29"/>
      <c r="E18" s="8"/>
      <c r="F18" s="8"/>
      <c r="G18" s="16" t="s">
        <v>320</v>
      </c>
      <c r="H18">
        <v>14</v>
      </c>
      <c r="AA18" t="s">
        <v>715</v>
      </c>
      <c r="AB18" t="s">
        <v>784</v>
      </c>
    </row>
    <row r="19" spans="1:28">
      <c r="A19" s="14">
        <v>10876</v>
      </c>
      <c r="B19" s="1" t="s">
        <v>785</v>
      </c>
      <c r="C19" s="16"/>
      <c r="D19" s="29"/>
      <c r="E19" s="8"/>
      <c r="F19" s="8"/>
      <c r="G19" t="s">
        <v>329</v>
      </c>
      <c r="H19">
        <v>15</v>
      </c>
      <c r="AA19" t="s">
        <v>693</v>
      </c>
      <c r="AB19" t="s">
        <v>786</v>
      </c>
    </row>
    <row r="20" spans="1:28">
      <c r="A20" s="14">
        <v>11214</v>
      </c>
      <c r="B20" s="1" t="s">
        <v>578</v>
      </c>
      <c r="C20" s="16"/>
      <c r="D20" s="29"/>
      <c r="E20" s="8"/>
      <c r="F20" s="8"/>
      <c r="G20" t="s">
        <v>321</v>
      </c>
      <c r="H20">
        <v>16</v>
      </c>
      <c r="AA20" t="s">
        <v>673</v>
      </c>
      <c r="AB20" t="s">
        <v>677</v>
      </c>
    </row>
    <row r="21" spans="1:28">
      <c r="A21" s="14">
        <v>11248</v>
      </c>
      <c r="B21" s="1" t="s">
        <v>787</v>
      </c>
      <c r="C21" s="16"/>
      <c r="D21" s="29"/>
      <c r="E21" s="8"/>
      <c r="F21" s="8"/>
      <c r="G21" t="s">
        <v>788</v>
      </c>
      <c r="H21">
        <v>17</v>
      </c>
    </row>
    <row r="22" spans="1:28">
      <c r="A22" s="14">
        <v>11254</v>
      </c>
      <c r="B22" s="1" t="s">
        <v>84</v>
      </c>
      <c r="C22" s="16"/>
      <c r="D22" s="29"/>
      <c r="E22" s="8"/>
      <c r="F22" s="8"/>
      <c r="G22" t="s">
        <v>789</v>
      </c>
      <c r="H22">
        <v>18</v>
      </c>
    </row>
    <row r="23" spans="1:28">
      <c r="A23" s="14">
        <v>10709</v>
      </c>
      <c r="B23" s="1" t="s">
        <v>85</v>
      </c>
      <c r="C23" s="16"/>
      <c r="D23" s="29"/>
      <c r="E23" s="8"/>
      <c r="F23" s="8"/>
      <c r="G23" t="s">
        <v>114</v>
      </c>
      <c r="H23">
        <v>19</v>
      </c>
    </row>
    <row r="24" spans="1:28">
      <c r="A24" s="14">
        <v>11269</v>
      </c>
      <c r="B24" s="1" t="s">
        <v>579</v>
      </c>
      <c r="C24" s="16"/>
      <c r="D24" s="29"/>
      <c r="E24" s="8"/>
      <c r="F24" s="8"/>
      <c r="G24" t="s">
        <v>790</v>
      </c>
      <c r="H24">
        <v>20</v>
      </c>
    </row>
    <row r="25" spans="1:28">
      <c r="A25" s="14">
        <v>11270</v>
      </c>
      <c r="B25" s="1" t="s">
        <v>791</v>
      </c>
      <c r="C25" s="16"/>
      <c r="D25" s="29"/>
      <c r="E25" s="8"/>
      <c r="F25" s="8"/>
      <c r="G25" t="s">
        <v>314</v>
      </c>
      <c r="H25">
        <v>21</v>
      </c>
    </row>
    <row r="26" spans="1:28">
      <c r="A26" s="14">
        <v>11010</v>
      </c>
      <c r="B26" s="1" t="s">
        <v>87</v>
      </c>
      <c r="C26" s="16"/>
      <c r="D26" s="29"/>
      <c r="E26" s="8"/>
      <c r="F26" s="8"/>
      <c r="G26" t="s">
        <v>316</v>
      </c>
      <c r="H26">
        <v>22</v>
      </c>
    </row>
    <row r="27" spans="1:28">
      <c r="A27" s="14">
        <v>10353</v>
      </c>
      <c r="B27" s="1" t="s">
        <v>113</v>
      </c>
      <c r="C27" s="16"/>
      <c r="D27" s="29"/>
      <c r="E27" s="8"/>
      <c r="F27" s="8"/>
      <c r="H27">
        <v>23</v>
      </c>
    </row>
    <row r="28" spans="1:28">
      <c r="A28" s="14">
        <v>10696</v>
      </c>
      <c r="B28" s="1" t="s">
        <v>792</v>
      </c>
      <c r="C28" s="16"/>
      <c r="D28" s="29"/>
      <c r="E28" s="8"/>
      <c r="F28" s="8"/>
      <c r="H28">
        <v>24</v>
      </c>
    </row>
    <row r="29" spans="1:28">
      <c r="A29" s="14">
        <v>4198</v>
      </c>
      <c r="B29" s="1" t="s">
        <v>793</v>
      </c>
      <c r="C29" s="16"/>
      <c r="D29" s="29"/>
      <c r="E29" s="8"/>
      <c r="F29" s="8"/>
      <c r="H29">
        <v>25</v>
      </c>
    </row>
    <row r="30" spans="1:28">
      <c r="A30" s="14">
        <v>11160</v>
      </c>
      <c r="B30" s="1" t="s">
        <v>118</v>
      </c>
      <c r="C30" s="16"/>
      <c r="D30" s="29"/>
      <c r="E30" s="8"/>
      <c r="F30" s="8"/>
      <c r="H30">
        <v>26</v>
      </c>
    </row>
    <row r="31" spans="1:28">
      <c r="A31" s="14">
        <v>11233</v>
      </c>
      <c r="B31" s="1" t="s">
        <v>144</v>
      </c>
      <c r="C31" s="16"/>
      <c r="D31" s="29"/>
      <c r="E31" s="8"/>
      <c r="F31" s="8"/>
      <c r="H31">
        <v>27</v>
      </c>
    </row>
    <row r="32" spans="1:28">
      <c r="A32" s="14">
        <v>11182</v>
      </c>
      <c r="B32" s="6" t="s">
        <v>794</v>
      </c>
      <c r="C32" s="16"/>
      <c r="D32" s="29"/>
      <c r="E32" s="8"/>
      <c r="F32" s="8"/>
      <c r="H32">
        <v>28</v>
      </c>
    </row>
    <row r="33" spans="1:8">
      <c r="A33" s="14">
        <v>11064</v>
      </c>
      <c r="B33" s="6" t="s">
        <v>795</v>
      </c>
      <c r="C33" s="16"/>
      <c r="D33" s="29"/>
      <c r="E33" s="8"/>
      <c r="F33" s="8"/>
      <c r="H33">
        <v>29</v>
      </c>
    </row>
    <row r="34" spans="1:8">
      <c r="A34" s="14">
        <v>10932</v>
      </c>
      <c r="B34" s="1" t="s">
        <v>494</v>
      </c>
      <c r="D34" s="29"/>
      <c r="E34" s="8"/>
      <c r="F34" s="8"/>
      <c r="H34">
        <v>30</v>
      </c>
    </row>
    <row r="35" spans="1:8">
      <c r="A35" s="14">
        <v>10625</v>
      </c>
      <c r="B35" s="1" t="s">
        <v>796</v>
      </c>
      <c r="D35" s="29"/>
      <c r="E35" s="8"/>
      <c r="F35" s="8"/>
    </row>
    <row r="36" spans="1:8">
      <c r="A36" s="14">
        <v>10914</v>
      </c>
      <c r="B36" s="1" t="s">
        <v>91</v>
      </c>
      <c r="C36" s="16"/>
      <c r="D36" s="29"/>
      <c r="E36" s="8"/>
      <c r="F36" s="8"/>
    </row>
    <row r="37" spans="1:8">
      <c r="A37" s="14">
        <v>11030</v>
      </c>
      <c r="B37" s="1" t="s">
        <v>797</v>
      </c>
      <c r="C37" s="16"/>
      <c r="D37" s="29"/>
      <c r="E37" s="8"/>
      <c r="F37" s="8"/>
    </row>
    <row r="38" spans="1:8">
      <c r="A38" s="14">
        <v>10969</v>
      </c>
      <c r="B38" s="6" t="s">
        <v>798</v>
      </c>
      <c r="C38" s="16"/>
      <c r="D38" s="29"/>
      <c r="E38" s="8"/>
      <c r="F38" s="8"/>
    </row>
    <row r="39" spans="1:8">
      <c r="A39" s="14">
        <v>10977</v>
      </c>
      <c r="B39" s="1" t="s">
        <v>799</v>
      </c>
      <c r="C39" s="16"/>
      <c r="D39" s="29"/>
      <c r="E39" s="8"/>
      <c r="F39" s="8"/>
    </row>
    <row r="40" spans="1:8">
      <c r="A40" s="14">
        <v>11005</v>
      </c>
      <c r="B40" s="1" t="s">
        <v>800</v>
      </c>
      <c r="D40" s="29"/>
      <c r="E40" s="8"/>
      <c r="F40" s="8"/>
    </row>
    <row r="41" spans="1:8">
      <c r="A41" s="14">
        <v>11038</v>
      </c>
      <c r="B41" s="1" t="s">
        <v>151</v>
      </c>
      <c r="C41" s="16"/>
      <c r="D41" s="29"/>
      <c r="E41" s="8"/>
      <c r="F41" s="8"/>
    </row>
    <row r="42" spans="1:8">
      <c r="A42" s="14">
        <v>11039</v>
      </c>
      <c r="B42" s="1" t="s">
        <v>801</v>
      </c>
      <c r="C42" s="16"/>
      <c r="D42" s="29"/>
      <c r="E42" s="8"/>
      <c r="F42" s="8"/>
    </row>
    <row r="43" spans="1:8">
      <c r="A43" s="14">
        <v>10941</v>
      </c>
      <c r="B43" s="1" t="s">
        <v>504</v>
      </c>
      <c r="C43" s="16"/>
      <c r="D43" s="29"/>
      <c r="E43" s="8"/>
      <c r="F43" s="8"/>
    </row>
    <row r="44" spans="1:8">
      <c r="A44" s="14">
        <v>11112</v>
      </c>
      <c r="B44" s="1" t="s">
        <v>137</v>
      </c>
      <c r="C44" s="16"/>
      <c r="D44" s="29"/>
      <c r="E44" s="8"/>
      <c r="F44" s="8"/>
    </row>
    <row r="45" spans="1:8">
      <c r="A45" s="14">
        <v>11188</v>
      </c>
      <c r="B45" s="1" t="s">
        <v>802</v>
      </c>
      <c r="C45" s="16"/>
      <c r="D45" s="29"/>
      <c r="E45" s="8"/>
      <c r="F45" s="8"/>
    </row>
    <row r="46" spans="1:8">
      <c r="A46" s="14">
        <v>11169</v>
      </c>
      <c r="B46" s="1" t="s">
        <v>803</v>
      </c>
      <c r="C46" s="16"/>
      <c r="D46" s="29"/>
      <c r="E46" s="8"/>
      <c r="F46" s="8"/>
    </row>
    <row r="47" spans="1:8">
      <c r="A47" s="14">
        <v>11203</v>
      </c>
      <c r="B47" s="1" t="s">
        <v>505</v>
      </c>
      <c r="D47" s="29"/>
      <c r="E47" s="8"/>
      <c r="F47" s="8"/>
    </row>
    <row r="48" spans="1:8">
      <c r="A48" s="14">
        <v>11165</v>
      </c>
      <c r="B48" s="1" t="s">
        <v>804</v>
      </c>
      <c r="C48" s="16"/>
      <c r="D48" s="29"/>
      <c r="E48" s="8"/>
      <c r="F48" s="8"/>
    </row>
    <row r="49" spans="1:6">
      <c r="A49" s="14">
        <v>11159</v>
      </c>
      <c r="B49" s="1" t="s">
        <v>484</v>
      </c>
      <c r="C49" s="16"/>
      <c r="D49" s="29"/>
      <c r="E49" s="8"/>
      <c r="F49" s="8"/>
    </row>
    <row r="50" spans="1:6">
      <c r="A50" s="14">
        <v>11228</v>
      </c>
      <c r="B50" s="6" t="s">
        <v>100</v>
      </c>
      <c r="C50" s="16"/>
      <c r="D50" s="29"/>
      <c r="E50" s="8"/>
      <c r="F50" s="8"/>
    </row>
    <row r="51" spans="1:6">
      <c r="A51" s="14">
        <v>10639</v>
      </c>
      <c r="B51" s="1" t="s">
        <v>805</v>
      </c>
      <c r="D51" s="29"/>
      <c r="E51" s="8"/>
      <c r="F51" s="8"/>
    </row>
    <row r="52" spans="1:6">
      <c r="A52" s="14">
        <v>11300</v>
      </c>
      <c r="B52" s="1" t="s">
        <v>127</v>
      </c>
      <c r="C52" s="16"/>
      <c r="D52" s="29"/>
      <c r="E52" s="8"/>
      <c r="F52" s="8"/>
    </row>
    <row r="53" spans="1:6">
      <c r="A53" s="14">
        <v>11306</v>
      </c>
      <c r="B53" s="1" t="s">
        <v>806</v>
      </c>
      <c r="C53" s="16"/>
      <c r="D53" s="29"/>
      <c r="E53" s="8"/>
      <c r="F53" s="8"/>
    </row>
    <row r="54" spans="1:6">
      <c r="A54" s="14">
        <v>11309</v>
      </c>
      <c r="B54" s="1" t="s">
        <v>807</v>
      </c>
      <c r="C54" s="16"/>
      <c r="D54" s="29"/>
      <c r="E54" s="8"/>
      <c r="F54" s="8"/>
    </row>
    <row r="55" spans="1:6">
      <c r="A55" s="14">
        <v>11155</v>
      </c>
      <c r="B55" s="1" t="s">
        <v>808</v>
      </c>
      <c r="D55" s="29"/>
      <c r="E55" s="8"/>
      <c r="F55" s="8"/>
    </row>
    <row r="56" spans="1:6">
      <c r="A56" s="14">
        <v>11209</v>
      </c>
      <c r="B56" s="1" t="s">
        <v>239</v>
      </c>
      <c r="D56" s="29"/>
      <c r="E56" s="8"/>
      <c r="F56" s="8"/>
    </row>
    <row r="57" spans="1:6">
      <c r="A57" s="14">
        <v>11077</v>
      </c>
      <c r="B57" s="1" t="s">
        <v>506</v>
      </c>
      <c r="C57" s="16"/>
      <c r="D57" s="29"/>
      <c r="E57" s="8"/>
      <c r="F57" s="8"/>
    </row>
    <row r="58" spans="1:6">
      <c r="A58" s="14">
        <v>11314</v>
      </c>
      <c r="B58" s="1" t="s">
        <v>809</v>
      </c>
      <c r="C58" s="16"/>
      <c r="D58" s="29"/>
      <c r="E58" s="8"/>
      <c r="F58" s="8"/>
    </row>
    <row r="59" spans="1:6">
      <c r="A59" s="14">
        <v>11202</v>
      </c>
      <c r="B59" s="1" t="s">
        <v>810</v>
      </c>
      <c r="C59" s="16"/>
      <c r="D59" s="29"/>
      <c r="E59" s="8"/>
      <c r="F59" s="8"/>
    </row>
    <row r="60" spans="1:6">
      <c r="A60" s="14">
        <v>10910</v>
      </c>
      <c r="B60" s="1" t="s">
        <v>811</v>
      </c>
      <c r="C60" s="16"/>
      <c r="D60" s="29"/>
      <c r="E60" s="8"/>
      <c r="F60" s="8"/>
    </row>
    <row r="61" spans="1:6">
      <c r="A61" s="14">
        <v>11318</v>
      </c>
      <c r="B61" s="1" t="s">
        <v>265</v>
      </c>
      <c r="C61" s="16"/>
      <c r="D61" s="29"/>
      <c r="E61" s="8"/>
      <c r="F61" s="8"/>
    </row>
    <row r="62" spans="1:6">
      <c r="A62" s="14">
        <v>10845</v>
      </c>
      <c r="B62" s="1" t="s">
        <v>812</v>
      </c>
      <c r="C62" s="16"/>
      <c r="D62" s="29"/>
      <c r="E62" s="8"/>
      <c r="F62" s="8"/>
    </row>
    <row r="63" spans="1:6">
      <c r="A63" s="14">
        <v>11070</v>
      </c>
      <c r="B63" s="1" t="s">
        <v>140</v>
      </c>
      <c r="C63" s="16"/>
      <c r="D63" s="29"/>
      <c r="E63" s="8"/>
      <c r="F63" s="8"/>
    </row>
    <row r="64" spans="1:6">
      <c r="A64" s="14">
        <v>11042</v>
      </c>
      <c r="B64" s="1" t="s">
        <v>813</v>
      </c>
      <c r="D64" s="29"/>
      <c r="E64" s="8"/>
      <c r="F64" s="8"/>
    </row>
    <row r="65" spans="1:6">
      <c r="A65" s="14">
        <v>11262</v>
      </c>
      <c r="B65" s="1" t="s">
        <v>814</v>
      </c>
      <c r="C65" s="16"/>
      <c r="D65" s="29"/>
      <c r="E65" s="8"/>
      <c r="F65" s="8"/>
    </row>
    <row r="66" spans="1:6">
      <c r="A66" s="14">
        <v>11170</v>
      </c>
      <c r="B66" s="1" t="s">
        <v>815</v>
      </c>
      <c r="C66" s="16"/>
      <c r="D66" s="29"/>
      <c r="E66" s="8"/>
      <c r="F66" s="8"/>
    </row>
    <row r="67" spans="1:6">
      <c r="A67" s="14">
        <v>11079</v>
      </c>
      <c r="B67" s="1" t="s">
        <v>510</v>
      </c>
      <c r="C67" s="16"/>
      <c r="D67" s="29"/>
      <c r="E67" s="8"/>
      <c r="F67" s="8"/>
    </row>
    <row r="68" spans="1:6">
      <c r="A68" s="14">
        <v>10786</v>
      </c>
      <c r="B68" s="1" t="s">
        <v>816</v>
      </c>
      <c r="C68" s="16"/>
      <c r="D68" s="29"/>
      <c r="E68" s="8"/>
      <c r="F68" s="8"/>
    </row>
    <row r="69" spans="1:6">
      <c r="A69" s="14">
        <v>11296</v>
      </c>
      <c r="B69" s="1" t="s">
        <v>177</v>
      </c>
      <c r="C69" s="16"/>
      <c r="D69" s="29"/>
      <c r="E69" s="8"/>
      <c r="F69" s="8"/>
    </row>
    <row r="70" spans="1:6">
      <c r="A70" s="14">
        <v>10875</v>
      </c>
      <c r="B70" s="6" t="s">
        <v>817</v>
      </c>
      <c r="C70" s="16"/>
      <c r="D70" s="29"/>
      <c r="E70" s="8"/>
      <c r="F70" s="8"/>
    </row>
    <row r="71" spans="1:6">
      <c r="A71" s="14">
        <v>11181</v>
      </c>
      <c r="B71" s="6" t="s">
        <v>451</v>
      </c>
      <c r="C71" s="16"/>
      <c r="D71" s="29"/>
      <c r="E71" s="8"/>
      <c r="F71" s="8"/>
    </row>
    <row r="72" spans="1:6">
      <c r="A72" s="14">
        <v>11308</v>
      </c>
      <c r="B72" s="1" t="s">
        <v>818</v>
      </c>
      <c r="C72" s="16"/>
      <c r="D72" s="29"/>
      <c r="E72" s="8"/>
      <c r="F72" s="8"/>
    </row>
    <row r="73" spans="1:6">
      <c r="A73" s="14">
        <v>10862</v>
      </c>
      <c r="B73" s="1" t="s">
        <v>180</v>
      </c>
      <c r="C73" s="16"/>
      <c r="D73" s="29"/>
      <c r="E73" s="8"/>
      <c r="F73" s="8"/>
    </row>
    <row r="74" spans="1:6">
      <c r="A74" s="14">
        <v>11016</v>
      </c>
      <c r="B74" s="1" t="s">
        <v>819</v>
      </c>
      <c r="C74" s="16"/>
      <c r="D74" s="29"/>
      <c r="E74" s="8"/>
      <c r="F74" s="8"/>
    </row>
    <row r="75" spans="1:6">
      <c r="A75" s="14">
        <v>1308</v>
      </c>
      <c r="B75" s="1" t="s">
        <v>820</v>
      </c>
      <c r="C75" s="16"/>
      <c r="D75" s="29"/>
      <c r="E75" s="8"/>
      <c r="F75" s="8"/>
    </row>
    <row r="76" spans="1:6">
      <c r="A76" s="14">
        <v>11220</v>
      </c>
      <c r="B76" s="1" t="s">
        <v>821</v>
      </c>
      <c r="C76" s="16"/>
      <c r="D76" s="29"/>
      <c r="E76" s="8"/>
      <c r="F76" s="8"/>
    </row>
    <row r="77" spans="1:6">
      <c r="A77" s="14">
        <v>11226</v>
      </c>
      <c r="B77" s="1" t="s">
        <v>509</v>
      </c>
      <c r="C77" s="16"/>
      <c r="D77" s="29"/>
      <c r="E77" s="8"/>
      <c r="F77" s="8"/>
    </row>
    <row r="78" spans="1:6">
      <c r="A78" s="14">
        <v>10921</v>
      </c>
      <c r="B78" s="1" t="s">
        <v>286</v>
      </c>
      <c r="C78" s="16"/>
      <c r="D78" s="29"/>
      <c r="E78" s="8"/>
      <c r="F78" s="8"/>
    </row>
    <row r="79" spans="1:6">
      <c r="A79" s="14">
        <v>11307</v>
      </c>
      <c r="B79" s="1" t="s">
        <v>822</v>
      </c>
      <c r="C79" s="16"/>
      <c r="D79" s="29"/>
      <c r="E79" s="8"/>
      <c r="F79" s="8"/>
    </row>
    <row r="80" spans="1:6">
      <c r="A80" s="14">
        <v>10957</v>
      </c>
      <c r="B80" s="1" t="s">
        <v>823</v>
      </c>
      <c r="C80" s="16"/>
      <c r="D80" s="29"/>
      <c r="E80" s="8"/>
      <c r="F80" s="8"/>
    </row>
    <row r="81" spans="1:6">
      <c r="A81" s="14">
        <v>4215</v>
      </c>
      <c r="B81" s="1" t="s">
        <v>514</v>
      </c>
      <c r="D81" s="33"/>
    </row>
    <row r="82" spans="1:6">
      <c r="A82" s="14">
        <v>4207</v>
      </c>
      <c r="B82" s="1" t="s">
        <v>824</v>
      </c>
      <c r="C82" s="16"/>
      <c r="D82" s="29"/>
      <c r="E82" s="8"/>
      <c r="F82" s="8"/>
    </row>
    <row r="83" spans="1:6">
      <c r="A83" s="14">
        <v>4210</v>
      </c>
      <c r="B83" s="1" t="s">
        <v>191</v>
      </c>
      <c r="C83" s="16"/>
      <c r="D83" s="29"/>
      <c r="E83" s="8"/>
      <c r="F83" s="8"/>
    </row>
    <row r="84" spans="1:6">
      <c r="A84" s="14">
        <v>4199</v>
      </c>
      <c r="B84" s="6" t="s">
        <v>195</v>
      </c>
      <c r="C84" s="16"/>
      <c r="D84" s="29"/>
      <c r="E84" s="8"/>
      <c r="F84" s="8"/>
    </row>
    <row r="85" spans="1:6">
      <c r="A85" s="14">
        <v>4208</v>
      </c>
      <c r="B85" s="1" t="s">
        <v>515</v>
      </c>
      <c r="C85" s="16"/>
      <c r="D85" s="29"/>
      <c r="E85" s="8"/>
      <c r="F85" s="8"/>
    </row>
    <row r="86" spans="1:6">
      <c r="A86" s="14">
        <v>4204</v>
      </c>
      <c r="B86" s="1" t="s">
        <v>825</v>
      </c>
      <c r="C86" s="16"/>
      <c r="D86" s="29"/>
      <c r="E86" s="8"/>
      <c r="F86" s="8"/>
    </row>
    <row r="87" spans="1:6">
      <c r="A87" s="14">
        <v>4155</v>
      </c>
      <c r="B87" s="1" t="s">
        <v>201</v>
      </c>
      <c r="C87" s="16"/>
      <c r="D87" s="29"/>
      <c r="E87" s="8"/>
      <c r="F87" s="8"/>
    </row>
    <row r="88" spans="1:6">
      <c r="A88" s="14">
        <v>4214</v>
      </c>
      <c r="B88" s="1" t="s">
        <v>518</v>
      </c>
      <c r="C88" s="16"/>
      <c r="D88" s="29"/>
      <c r="E88" s="8"/>
      <c r="F88" s="8"/>
    </row>
    <row r="89" spans="1:6">
      <c r="A89" s="14">
        <v>4206</v>
      </c>
      <c r="B89" s="1" t="s">
        <v>198</v>
      </c>
      <c r="C89" s="16"/>
      <c r="D89" s="29"/>
      <c r="E89" s="8"/>
      <c r="F89" s="8"/>
    </row>
    <row r="90" spans="1:6">
      <c r="A90" s="14">
        <v>4216</v>
      </c>
      <c r="B90" s="1" t="s">
        <v>826</v>
      </c>
      <c r="C90" s="16"/>
      <c r="D90" s="29"/>
      <c r="E90" s="8"/>
      <c r="F90" s="8"/>
    </row>
    <row r="91" spans="1:6">
      <c r="A91" s="14">
        <v>4159</v>
      </c>
      <c r="B91" s="1" t="s">
        <v>827</v>
      </c>
      <c r="C91" s="16"/>
      <c r="D91" s="29"/>
      <c r="E91" s="8"/>
      <c r="F91" s="8"/>
    </row>
    <row r="92" spans="1:6">
      <c r="A92" s="14">
        <v>4203</v>
      </c>
      <c r="B92" s="6" t="s">
        <v>207</v>
      </c>
      <c r="D92" s="29"/>
      <c r="E92" s="8"/>
      <c r="F92" s="8"/>
    </row>
    <row r="93" spans="1:6">
      <c r="A93" s="14">
        <v>10849</v>
      </c>
      <c r="B93" s="1" t="s">
        <v>210</v>
      </c>
      <c r="C93" s="16"/>
      <c r="D93" s="29"/>
      <c r="E93" s="8"/>
      <c r="F93" s="8"/>
    </row>
    <row r="94" spans="1:6">
      <c r="A94" s="14">
        <v>1697</v>
      </c>
      <c r="B94" s="1" t="s">
        <v>214</v>
      </c>
      <c r="C94" s="16"/>
      <c r="D94" s="29"/>
      <c r="E94" s="8"/>
      <c r="F94" s="8"/>
    </row>
    <row r="95" spans="1:6">
      <c r="A95" s="14">
        <v>10958</v>
      </c>
      <c r="B95" s="1" t="s">
        <v>828</v>
      </c>
      <c r="C95" s="16"/>
      <c r="D95" s="29"/>
      <c r="E95" s="8"/>
      <c r="F95" s="8"/>
    </row>
    <row r="96" spans="1:6">
      <c r="A96" s="14">
        <v>10894</v>
      </c>
      <c r="B96" s="1" t="s">
        <v>221</v>
      </c>
      <c r="C96" s="16"/>
      <c r="D96" s="29"/>
      <c r="E96" s="8"/>
      <c r="F96" s="8"/>
    </row>
    <row r="97" spans="1:6">
      <c r="A97" s="14">
        <v>10734</v>
      </c>
      <c r="B97" s="1" t="s">
        <v>829</v>
      </c>
      <c r="C97" s="16"/>
      <c r="D97" s="29"/>
      <c r="E97" s="8"/>
      <c r="F97" s="8"/>
    </row>
    <row r="98" spans="1:6">
      <c r="A98" s="14">
        <v>10343</v>
      </c>
      <c r="B98" s="1" t="s">
        <v>830</v>
      </c>
      <c r="C98" s="16"/>
      <c r="D98" s="29"/>
      <c r="E98" s="8"/>
      <c r="F98" s="8"/>
    </row>
    <row r="99" spans="1:6">
      <c r="A99" s="14">
        <v>10500</v>
      </c>
      <c r="B99" s="1" t="s">
        <v>227</v>
      </c>
      <c r="C99" s="16"/>
      <c r="D99" s="29"/>
      <c r="E99" s="8"/>
      <c r="F99" s="8"/>
    </row>
    <row r="100" spans="1:6">
      <c r="A100" s="14">
        <v>10920</v>
      </c>
      <c r="B100" s="1" t="s">
        <v>230</v>
      </c>
      <c r="C100" s="16"/>
      <c r="D100" s="29"/>
      <c r="E100" s="8"/>
      <c r="F100" s="8"/>
    </row>
    <row r="101" spans="1:6">
      <c r="A101" s="14">
        <v>10919</v>
      </c>
      <c r="B101" s="1" t="s">
        <v>233</v>
      </c>
      <c r="C101" s="16"/>
      <c r="D101" s="29"/>
      <c r="E101" s="8"/>
      <c r="F101" s="8"/>
    </row>
    <row r="102" spans="1:6">
      <c r="A102" s="14">
        <v>10924</v>
      </c>
      <c r="B102" s="1" t="s">
        <v>831</v>
      </c>
      <c r="C102" s="16"/>
      <c r="D102" s="29"/>
      <c r="E102" s="8"/>
      <c r="F102" s="8"/>
    </row>
    <row r="103" spans="1:6">
      <c r="A103" s="14">
        <v>11171</v>
      </c>
      <c r="B103" s="1" t="s">
        <v>236</v>
      </c>
      <c r="C103" s="16"/>
      <c r="D103" s="29"/>
      <c r="E103" s="8"/>
      <c r="F103" s="8"/>
    </row>
    <row r="104" spans="1:6">
      <c r="A104" s="14">
        <v>10758</v>
      </c>
      <c r="B104" s="1" t="s">
        <v>242</v>
      </c>
      <c r="C104" s="16"/>
      <c r="D104" s="29"/>
      <c r="E104" s="8"/>
      <c r="F104" s="8"/>
    </row>
    <row r="105" spans="1:6">
      <c r="A105" s="14">
        <v>10525</v>
      </c>
      <c r="B105" s="1" t="s">
        <v>832</v>
      </c>
      <c r="C105" s="16"/>
      <c r="D105" s="29"/>
      <c r="E105" s="8"/>
      <c r="F105" s="8"/>
    </row>
    <row r="106" spans="1:6">
      <c r="A106" s="14">
        <v>10191</v>
      </c>
      <c r="B106" s="1" t="s">
        <v>833</v>
      </c>
      <c r="C106" s="16"/>
      <c r="D106" s="29"/>
      <c r="E106" s="8"/>
      <c r="F106" s="8"/>
    </row>
    <row r="107" spans="1:6">
      <c r="A107" s="14">
        <v>1622</v>
      </c>
      <c r="B107" s="1" t="s">
        <v>245</v>
      </c>
      <c r="C107" s="16"/>
      <c r="D107" s="29"/>
      <c r="E107" s="8"/>
      <c r="F107" s="8"/>
    </row>
    <row r="108" spans="1:6">
      <c r="A108" s="14">
        <v>1903</v>
      </c>
      <c r="B108" s="1" t="s">
        <v>834</v>
      </c>
      <c r="D108" s="29"/>
      <c r="E108" s="8"/>
      <c r="F108" s="8"/>
    </row>
    <row r="109" spans="1:6">
      <c r="A109" s="14">
        <v>635</v>
      </c>
      <c r="B109" s="1" t="s">
        <v>249</v>
      </c>
      <c r="C109" s="16"/>
      <c r="D109" s="29"/>
      <c r="E109" s="8"/>
      <c r="F109" s="8"/>
    </row>
    <row r="110" spans="1:6">
      <c r="A110" s="14">
        <v>10858</v>
      </c>
      <c r="B110" s="1" t="s">
        <v>252</v>
      </c>
      <c r="C110" s="16"/>
      <c r="D110" s="29"/>
      <c r="E110" s="8"/>
      <c r="F110" s="8"/>
    </row>
    <row r="111" spans="1:6">
      <c r="A111" s="14">
        <v>10979</v>
      </c>
      <c r="B111" s="6" t="s">
        <v>520</v>
      </c>
      <c r="C111" s="16"/>
      <c r="D111" s="29"/>
      <c r="E111" s="8"/>
      <c r="F111" s="8"/>
    </row>
    <row r="112" spans="1:6">
      <c r="A112" s="14">
        <v>10788</v>
      </c>
      <c r="B112" s="1" t="s">
        <v>521</v>
      </c>
      <c r="C112" s="16"/>
      <c r="D112" s="29"/>
      <c r="E112" s="8"/>
      <c r="F112" s="8"/>
    </row>
    <row r="113" spans="1:6">
      <c r="A113" s="14">
        <v>10907</v>
      </c>
      <c r="B113" s="1" t="s">
        <v>522</v>
      </c>
      <c r="C113" s="16"/>
      <c r="D113" s="29"/>
      <c r="E113" s="8"/>
      <c r="F113" s="8"/>
    </row>
    <row r="114" spans="1:6">
      <c r="A114" s="14">
        <v>11104</v>
      </c>
      <c r="B114" s="1" t="s">
        <v>835</v>
      </c>
      <c r="C114" s="16"/>
      <c r="D114" s="29"/>
      <c r="E114" s="8"/>
      <c r="F114" s="8"/>
    </row>
    <row r="115" spans="1:6">
      <c r="A115" s="14">
        <v>10947</v>
      </c>
      <c r="B115" s="1" t="s">
        <v>255</v>
      </c>
      <c r="C115" s="16"/>
      <c r="D115" s="29"/>
      <c r="E115" s="8"/>
      <c r="F115" s="8"/>
    </row>
    <row r="116" spans="1:6">
      <c r="A116" s="14">
        <v>10187</v>
      </c>
      <c r="B116" s="1" t="s">
        <v>268</v>
      </c>
      <c r="C116" s="16"/>
      <c r="D116" s="29"/>
      <c r="E116" s="8"/>
      <c r="F116" s="8"/>
    </row>
    <row r="117" spans="1:6">
      <c r="A117" s="14">
        <v>10490</v>
      </c>
      <c r="B117" s="1" t="s">
        <v>523</v>
      </c>
      <c r="C117" s="16"/>
      <c r="D117" s="29"/>
      <c r="E117" s="8"/>
      <c r="F117" s="8"/>
    </row>
    <row r="118" spans="1:6">
      <c r="A118" s="14">
        <v>10529</v>
      </c>
      <c r="B118" s="1" t="s">
        <v>836</v>
      </c>
      <c r="C118" s="16"/>
      <c r="D118" s="29"/>
      <c r="E118" s="8"/>
      <c r="F118" s="8"/>
    </row>
    <row r="119" spans="1:6">
      <c r="A119" s="14">
        <v>10765</v>
      </c>
      <c r="B119" s="1" t="s">
        <v>271</v>
      </c>
      <c r="C119" s="16"/>
      <c r="D119" s="29"/>
      <c r="E119" s="8"/>
      <c r="F119" s="8"/>
    </row>
    <row r="120" spans="1:6">
      <c r="A120" s="14">
        <v>1945</v>
      </c>
      <c r="B120" s="1" t="s">
        <v>524</v>
      </c>
      <c r="C120" s="16"/>
      <c r="D120" s="29"/>
      <c r="E120" s="8"/>
      <c r="F120" s="8"/>
    </row>
    <row r="121" spans="1:6">
      <c r="A121" s="14">
        <v>11151</v>
      </c>
      <c r="B121" s="1" t="s">
        <v>277</v>
      </c>
      <c r="C121" s="16"/>
      <c r="D121" s="29"/>
      <c r="E121" s="8"/>
      <c r="F121" s="8"/>
    </row>
    <row r="122" spans="1:6">
      <c r="A122" s="14">
        <v>11046</v>
      </c>
      <c r="B122" s="1" t="s">
        <v>837</v>
      </c>
      <c r="C122" s="16"/>
      <c r="D122" s="29"/>
      <c r="E122" s="8"/>
      <c r="F122" s="8"/>
    </row>
    <row r="123" spans="1:6">
      <c r="A123" s="14">
        <v>10946</v>
      </c>
      <c r="B123" s="1" t="s">
        <v>838</v>
      </c>
      <c r="C123" s="16"/>
      <c r="D123" s="29"/>
      <c r="E123" s="8"/>
      <c r="F123" s="8"/>
    </row>
    <row r="124" spans="1:6">
      <c r="A124" s="14">
        <v>1700</v>
      </c>
      <c r="B124" s="1" t="s">
        <v>526</v>
      </c>
      <c r="C124" s="16"/>
      <c r="D124" s="29"/>
      <c r="E124" s="8"/>
      <c r="F124" s="8"/>
    </row>
    <row r="125" spans="1:6">
      <c r="A125" s="14">
        <v>1512</v>
      </c>
      <c r="B125" s="1" t="s">
        <v>525</v>
      </c>
      <c r="C125" s="16"/>
      <c r="D125" s="29"/>
      <c r="E125" s="8"/>
      <c r="F125" s="8"/>
    </row>
    <row r="126" spans="1:6">
      <c r="A126" s="14">
        <v>10713</v>
      </c>
      <c r="B126" s="1" t="s">
        <v>298</v>
      </c>
      <c r="C126" s="16"/>
      <c r="D126" s="29"/>
      <c r="E126" s="8"/>
      <c r="F126" s="8"/>
    </row>
    <row r="127" spans="1:6">
      <c r="A127" s="14">
        <v>10526</v>
      </c>
      <c r="B127" s="1" t="s">
        <v>839</v>
      </c>
      <c r="C127" s="16"/>
      <c r="D127" s="29"/>
      <c r="E127" s="8"/>
      <c r="F127" s="8"/>
    </row>
    <row r="128" spans="1:6">
      <c r="A128" s="14">
        <v>10586</v>
      </c>
      <c r="B128" s="1" t="s">
        <v>292</v>
      </c>
      <c r="C128" s="16"/>
      <c r="D128" s="29"/>
      <c r="E128" s="8"/>
      <c r="F128" s="8"/>
    </row>
    <row r="129" spans="1:6">
      <c r="A129" s="14">
        <v>10976</v>
      </c>
      <c r="B129" s="1" t="s">
        <v>310</v>
      </c>
      <c r="C129" s="16"/>
      <c r="D129" s="29"/>
      <c r="E129" s="8"/>
      <c r="F129" s="8"/>
    </row>
    <row r="130" spans="1:6">
      <c r="A130" s="14">
        <v>10610</v>
      </c>
      <c r="B130" s="1" t="s">
        <v>304</v>
      </c>
      <c r="C130" s="16"/>
      <c r="D130" s="29"/>
      <c r="E130" s="8"/>
      <c r="F130" s="8"/>
    </row>
    <row r="131" spans="1:6">
      <c r="A131" s="14">
        <v>10628</v>
      </c>
      <c r="B131" s="1" t="s">
        <v>301</v>
      </c>
      <c r="C131" s="16"/>
      <c r="D131" s="29"/>
      <c r="E131" s="8"/>
      <c r="F131" s="8"/>
    </row>
    <row r="132" spans="1:6">
      <c r="A132" s="14">
        <v>11148</v>
      </c>
      <c r="B132" s="1" t="s">
        <v>840</v>
      </c>
      <c r="C132" s="16"/>
      <c r="D132" s="29"/>
      <c r="E132" s="8"/>
      <c r="F132" s="8"/>
    </row>
    <row r="133" spans="1:6">
      <c r="A133" s="14">
        <v>10892</v>
      </c>
      <c r="B133" s="1" t="s">
        <v>289</v>
      </c>
      <c r="C133" s="16"/>
      <c r="D133" s="29"/>
      <c r="E133" s="8"/>
      <c r="F133" s="8"/>
    </row>
    <row r="134" spans="1:6">
      <c r="A134" s="14">
        <v>1962</v>
      </c>
      <c r="B134" s="1" t="s">
        <v>841</v>
      </c>
      <c r="C134" s="16"/>
      <c r="D134" s="29"/>
      <c r="E134" s="8"/>
      <c r="F134" s="8"/>
    </row>
    <row r="135" spans="1:6">
      <c r="A135" s="14">
        <v>1804</v>
      </c>
      <c r="B135" s="1" t="s">
        <v>842</v>
      </c>
      <c r="C135" s="16"/>
      <c r="D135" s="29"/>
      <c r="E135" s="8"/>
      <c r="F135" s="8"/>
    </row>
    <row r="136" spans="1:6">
      <c r="A136" s="14">
        <v>10489</v>
      </c>
      <c r="B136" s="1" t="s">
        <v>843</v>
      </c>
      <c r="C136" s="16"/>
      <c r="D136" s="29"/>
      <c r="E136" s="8"/>
      <c r="F136" s="8"/>
    </row>
    <row r="137" spans="1:6">
      <c r="A137" s="14">
        <v>10699</v>
      </c>
      <c r="B137" s="1" t="s">
        <v>844</v>
      </c>
      <c r="C137" s="16"/>
      <c r="D137" s="29"/>
      <c r="E137" s="8"/>
      <c r="F137" s="8"/>
    </row>
    <row r="138" spans="1:6">
      <c r="A138" s="14">
        <v>10844</v>
      </c>
      <c r="B138" s="1" t="s">
        <v>556</v>
      </c>
      <c r="C138" s="16"/>
      <c r="D138" s="29"/>
      <c r="E138" s="8"/>
      <c r="F138" s="8"/>
    </row>
    <row r="139" spans="1:6">
      <c r="A139" s="14">
        <v>10940</v>
      </c>
      <c r="B139" s="1" t="s">
        <v>845</v>
      </c>
      <c r="C139" s="16"/>
      <c r="D139" s="29"/>
      <c r="E139" s="8"/>
      <c r="F139" s="8"/>
    </row>
    <row r="140" spans="1:6">
      <c r="A140" s="14">
        <v>4184</v>
      </c>
      <c r="B140" s="1" t="s">
        <v>846</v>
      </c>
      <c r="C140" s="16"/>
      <c r="D140" s="29"/>
      <c r="E140" s="8"/>
      <c r="F140" s="8"/>
    </row>
    <row r="141" spans="1:6">
      <c r="A141" s="14">
        <v>11081</v>
      </c>
      <c r="B141" s="1" t="s">
        <v>576</v>
      </c>
      <c r="C141" s="16"/>
      <c r="D141" s="29"/>
      <c r="E141" s="8"/>
      <c r="F141" s="8"/>
    </row>
    <row r="142" spans="1:6">
      <c r="A142" s="14">
        <v>11144</v>
      </c>
      <c r="B142" s="1" t="s">
        <v>546</v>
      </c>
      <c r="C142" s="16"/>
      <c r="D142" s="29"/>
      <c r="E142" s="8"/>
      <c r="F142" s="8"/>
    </row>
    <row r="143" spans="1:6">
      <c r="A143" s="14">
        <v>10904</v>
      </c>
      <c r="B143" s="1" t="s">
        <v>572</v>
      </c>
      <c r="C143" s="16"/>
      <c r="D143" s="29"/>
      <c r="E143" s="8"/>
      <c r="F143" s="8"/>
    </row>
    <row r="144" spans="1:6">
      <c r="A144" s="14">
        <v>11208</v>
      </c>
      <c r="B144" s="1" t="s">
        <v>847</v>
      </c>
      <c r="C144" s="16"/>
      <c r="D144" s="29"/>
      <c r="E144" s="8"/>
      <c r="F144" s="8"/>
    </row>
    <row r="145" spans="1:6">
      <c r="A145" s="14">
        <v>11205</v>
      </c>
      <c r="B145" s="1" t="s">
        <v>565</v>
      </c>
      <c r="C145" s="16"/>
      <c r="D145" s="29"/>
      <c r="E145" s="8"/>
      <c r="F145" s="8"/>
    </row>
    <row r="146" spans="1:6">
      <c r="A146" s="14">
        <v>11218</v>
      </c>
      <c r="B146" s="1" t="s">
        <v>574</v>
      </c>
      <c r="C146" s="16"/>
      <c r="D146" s="29"/>
      <c r="E146" s="8"/>
      <c r="F146" s="8"/>
    </row>
    <row r="147" spans="1:6">
      <c r="A147" s="14">
        <v>11238</v>
      </c>
      <c r="B147" s="1" t="s">
        <v>848</v>
      </c>
      <c r="C147" s="16"/>
      <c r="D147" s="29"/>
      <c r="E147" s="8"/>
      <c r="F147" s="8"/>
    </row>
    <row r="148" spans="1:6">
      <c r="A148" s="14">
        <v>11234</v>
      </c>
      <c r="B148" s="6" t="s">
        <v>849</v>
      </c>
      <c r="C148" s="16"/>
      <c r="D148" s="29"/>
      <c r="E148" s="8"/>
      <c r="F148" s="8"/>
    </row>
    <row r="149" spans="1:6">
      <c r="A149" s="14">
        <v>11250</v>
      </c>
      <c r="B149" s="1" t="s">
        <v>560</v>
      </c>
      <c r="C149" s="16"/>
      <c r="D149" s="29"/>
      <c r="E149" s="8"/>
      <c r="F149" s="8"/>
    </row>
    <row r="150" spans="1:6">
      <c r="A150" s="14">
        <v>11249</v>
      </c>
      <c r="B150" s="1" t="s">
        <v>850</v>
      </c>
      <c r="C150" s="16"/>
      <c r="D150" s="29"/>
      <c r="E150" s="8"/>
      <c r="F150" s="8"/>
    </row>
    <row r="151" spans="1:6">
      <c r="A151" s="14">
        <v>11210</v>
      </c>
      <c r="B151" s="1" t="s">
        <v>851</v>
      </c>
      <c r="C151" s="16"/>
      <c r="D151" s="29"/>
      <c r="E151" s="8"/>
      <c r="F151" s="8"/>
    </row>
    <row r="152" spans="1:6">
      <c r="A152" s="14">
        <v>11279</v>
      </c>
      <c r="B152" s="1" t="s">
        <v>559</v>
      </c>
      <c r="C152" s="16"/>
      <c r="D152" s="29"/>
      <c r="E152" s="8"/>
      <c r="F152" s="8"/>
    </row>
    <row r="153" spans="1:6">
      <c r="A153" s="14">
        <v>11287</v>
      </c>
      <c r="B153" s="1" t="s">
        <v>852</v>
      </c>
      <c r="C153" s="16"/>
      <c r="D153" s="29"/>
      <c r="E153" s="8"/>
      <c r="F153" s="8"/>
    </row>
    <row r="154" spans="1:6">
      <c r="A154" s="14">
        <v>11292</v>
      </c>
      <c r="B154" s="1" t="s">
        <v>853</v>
      </c>
      <c r="D154" s="29"/>
      <c r="E154" s="8"/>
      <c r="F154" s="8"/>
    </row>
    <row r="155" spans="1:6">
      <c r="A155" s="14">
        <v>11290</v>
      </c>
      <c r="B155" s="1" t="s">
        <v>533</v>
      </c>
      <c r="C155" s="16"/>
      <c r="D155" s="29"/>
      <c r="E155" s="8"/>
      <c r="F155" s="8"/>
    </row>
    <row r="156" spans="1:6">
      <c r="A156" s="14">
        <v>11288</v>
      </c>
      <c r="B156" s="1" t="s">
        <v>854</v>
      </c>
      <c r="D156" s="29"/>
      <c r="E156" s="8"/>
      <c r="F156" s="8"/>
    </row>
    <row r="157" spans="1:6">
      <c r="A157" s="14">
        <v>11297</v>
      </c>
      <c r="B157" s="1" t="s">
        <v>538</v>
      </c>
      <c r="C157" s="16"/>
      <c r="D157" s="29"/>
      <c r="E157" s="8"/>
      <c r="F157" s="8"/>
    </row>
    <row r="158" spans="1:6">
      <c r="A158" s="14">
        <v>11237</v>
      </c>
      <c r="B158" s="1" t="s">
        <v>318</v>
      </c>
      <c r="C158" s="16"/>
      <c r="D158" s="29"/>
      <c r="E158" s="8"/>
      <c r="F158" s="8"/>
    </row>
    <row r="159" spans="1:6">
      <c r="A159" s="14">
        <v>11301</v>
      </c>
      <c r="B159" s="1" t="s">
        <v>313</v>
      </c>
      <c r="D159" s="29"/>
      <c r="E159" s="8"/>
      <c r="F159" s="8"/>
    </row>
    <row r="160" spans="1:6">
      <c r="A160" s="14">
        <v>11302</v>
      </c>
      <c r="B160" s="1" t="s">
        <v>317</v>
      </c>
      <c r="D160" s="33"/>
      <c r="E160" s="8"/>
      <c r="F160" s="8"/>
    </row>
    <row r="161" spans="1:6">
      <c r="A161" s="14">
        <v>10895</v>
      </c>
      <c r="B161" s="1" t="s">
        <v>855</v>
      </c>
      <c r="C161" s="16"/>
      <c r="D161" s="33"/>
      <c r="E161" s="8"/>
    </row>
    <row r="162" spans="1:6">
      <c r="A162" s="14">
        <v>11049</v>
      </c>
      <c r="B162" s="1" t="s">
        <v>856</v>
      </c>
      <c r="D162" s="33"/>
    </row>
    <row r="163" spans="1:6">
      <c r="A163" s="14">
        <v>11231</v>
      </c>
      <c r="B163" s="1" t="s">
        <v>323</v>
      </c>
      <c r="D163" s="33"/>
    </row>
    <row r="164" spans="1:6">
      <c r="A164" s="14">
        <v>11018</v>
      </c>
      <c r="B164" s="1" t="s">
        <v>857</v>
      </c>
      <c r="D164" s="33"/>
    </row>
    <row r="165" spans="1:6">
      <c r="A165" s="14">
        <v>11230</v>
      </c>
      <c r="B165" s="1" t="s">
        <v>858</v>
      </c>
      <c r="D165" s="33"/>
    </row>
    <row r="166" spans="1:6">
      <c r="A166" s="14">
        <v>10990</v>
      </c>
      <c r="B166" s="1" t="s">
        <v>859</v>
      </c>
      <c r="D166" s="33"/>
      <c r="F166" s="8"/>
    </row>
    <row r="167" spans="1:6">
      <c r="A167" s="14">
        <v>11244</v>
      </c>
      <c r="B167" s="1" t="s">
        <v>860</v>
      </c>
      <c r="D167" s="33"/>
      <c r="F167" s="8"/>
    </row>
    <row r="168" spans="1:6">
      <c r="A168" s="14">
        <v>11017</v>
      </c>
      <c r="B168" s="1" t="s">
        <v>861</v>
      </c>
      <c r="D168" s="33"/>
      <c r="F168" s="8"/>
    </row>
    <row r="169" spans="1:6">
      <c r="A169" s="14">
        <v>11021</v>
      </c>
      <c r="B169" s="1" t="s">
        <v>862</v>
      </c>
      <c r="D169" s="33"/>
    </row>
    <row r="170" spans="1:6">
      <c r="A170" s="14">
        <v>10825</v>
      </c>
      <c r="B170" s="1" t="s">
        <v>863</v>
      </c>
      <c r="D170" s="33"/>
    </row>
    <row r="171" spans="1:6">
      <c r="A171" s="14">
        <v>10826</v>
      </c>
      <c r="B171" s="1" t="s">
        <v>218</v>
      </c>
      <c r="D171" s="33"/>
    </row>
    <row r="172" spans="1:6">
      <c r="A172" s="14">
        <v>10676</v>
      </c>
      <c r="B172" s="1" t="s">
        <v>864</v>
      </c>
      <c r="D172" s="33"/>
    </row>
    <row r="173" spans="1:6">
      <c r="A173" s="14">
        <v>11149</v>
      </c>
      <c r="B173" s="1" t="s">
        <v>865</v>
      </c>
      <c r="D173" s="33"/>
    </row>
    <row r="174" spans="1:6">
      <c r="A174" s="14">
        <v>11154</v>
      </c>
      <c r="B174" s="1" t="s">
        <v>261</v>
      </c>
      <c r="D174" s="33"/>
    </row>
    <row r="175" spans="1:6">
      <c r="A175" s="14">
        <v>11183</v>
      </c>
      <c r="B175" s="1" t="s">
        <v>519</v>
      </c>
      <c r="D175" s="33"/>
    </row>
    <row r="176" spans="1:6">
      <c r="A176" s="14">
        <v>11201</v>
      </c>
      <c r="B176" s="1" t="s">
        <v>866</v>
      </c>
      <c r="D176" s="33"/>
    </row>
    <row r="177" spans="1:6">
      <c r="A177" s="14">
        <v>11216</v>
      </c>
      <c r="B177" s="1" t="s">
        <v>867</v>
      </c>
      <c r="D177" s="33"/>
    </row>
    <row r="178" spans="1:6">
      <c r="A178" s="14">
        <v>10857</v>
      </c>
      <c r="B178" s="1" t="s">
        <v>868</v>
      </c>
      <c r="D178" s="33"/>
    </row>
    <row r="179" spans="1:6">
      <c r="A179" s="14">
        <v>11275</v>
      </c>
      <c r="B179" s="1" t="s">
        <v>331</v>
      </c>
      <c r="D179" s="33"/>
    </row>
    <row r="180" spans="1:6">
      <c r="A180" s="14">
        <v>11274</v>
      </c>
      <c r="B180" s="1" t="s">
        <v>869</v>
      </c>
      <c r="D180" s="54"/>
    </row>
    <row r="181" spans="1:6">
      <c r="A181" s="14">
        <v>11285</v>
      </c>
      <c r="B181" s="1" t="s">
        <v>334</v>
      </c>
      <c r="D181" s="54"/>
    </row>
    <row r="182" spans="1:6">
      <c r="A182" s="14">
        <v>11305</v>
      </c>
      <c r="B182" s="1" t="s">
        <v>337</v>
      </c>
      <c r="D182" s="54"/>
    </row>
    <row r="183" spans="1:6">
      <c r="A183" s="14">
        <v>10901</v>
      </c>
      <c r="B183" s="1" t="s">
        <v>870</v>
      </c>
      <c r="D183" s="54"/>
    </row>
    <row r="184" spans="1:6">
      <c r="A184" s="14">
        <v>10915</v>
      </c>
      <c r="B184" s="1" t="s">
        <v>871</v>
      </c>
      <c r="D184" s="54"/>
    </row>
    <row r="185" spans="1:6">
      <c r="A185" s="14">
        <v>10962</v>
      </c>
      <c r="B185" s="1" t="s">
        <v>872</v>
      </c>
      <c r="D185" s="54"/>
    </row>
    <row r="186" spans="1:6">
      <c r="A186" s="14">
        <v>11109</v>
      </c>
      <c r="B186" s="1" t="s">
        <v>873</v>
      </c>
      <c r="D186" s="54"/>
    </row>
    <row r="187" spans="1:6">
      <c r="A187" s="14">
        <v>11241</v>
      </c>
      <c r="B187" s="1" t="s">
        <v>527</v>
      </c>
      <c r="D187" s="29"/>
      <c r="E187" s="8"/>
      <c r="F187" s="8"/>
    </row>
    <row r="188" spans="1:6">
      <c r="A188" s="14">
        <v>11240</v>
      </c>
      <c r="B188" s="1" t="s">
        <v>371</v>
      </c>
      <c r="D188" s="29"/>
      <c r="E188" s="8"/>
      <c r="F188" s="8"/>
    </row>
    <row r="189" spans="1:6">
      <c r="A189" s="14">
        <v>11255</v>
      </c>
      <c r="B189" s="1" t="s">
        <v>374</v>
      </c>
      <c r="D189" s="54"/>
    </row>
    <row r="190" spans="1:6">
      <c r="A190" s="14">
        <v>11259</v>
      </c>
      <c r="B190" s="1" t="s">
        <v>258</v>
      </c>
      <c r="D190" s="54"/>
    </row>
    <row r="191" spans="1:6">
      <c r="A191" s="14">
        <v>11271</v>
      </c>
      <c r="B191" s="1" t="s">
        <v>874</v>
      </c>
      <c r="D191" s="54"/>
    </row>
    <row r="192" spans="1:6">
      <c r="A192" s="14">
        <v>11280</v>
      </c>
      <c r="B192" s="1" t="s">
        <v>377</v>
      </c>
      <c r="D192" s="54"/>
    </row>
    <row r="193" spans="1:6">
      <c r="A193" s="14">
        <v>11278</v>
      </c>
      <c r="B193" s="1" t="s">
        <v>380</v>
      </c>
      <c r="D193" s="54"/>
    </row>
    <row r="194" spans="1:6">
      <c r="A194" s="14">
        <v>11289</v>
      </c>
      <c r="B194" s="1" t="s">
        <v>875</v>
      </c>
      <c r="D194" s="54"/>
    </row>
    <row r="195" spans="1:6">
      <c r="A195" s="14">
        <v>11313</v>
      </c>
      <c r="B195" s="1" t="s">
        <v>528</v>
      </c>
      <c r="D195" s="54"/>
    </row>
    <row r="196" spans="1:6">
      <c r="A196" s="14">
        <v>11286</v>
      </c>
      <c r="B196" s="1" t="s">
        <v>404</v>
      </c>
      <c r="D196" s="54"/>
    </row>
    <row r="197" spans="1:6">
      <c r="A197" s="14">
        <v>10939</v>
      </c>
      <c r="B197" s="1" t="s">
        <v>457</v>
      </c>
      <c r="D197" s="54"/>
    </row>
    <row r="198" spans="1:6">
      <c r="A198" s="14">
        <v>10954</v>
      </c>
      <c r="B198" s="1" t="s">
        <v>876</v>
      </c>
      <c r="D198" s="54"/>
    </row>
    <row r="199" spans="1:6">
      <c r="A199" s="14">
        <v>11298</v>
      </c>
      <c r="B199" s="1" t="s">
        <v>877</v>
      </c>
      <c r="D199" s="54"/>
    </row>
    <row r="200" spans="1:6">
      <c r="A200" s="14">
        <v>11299</v>
      </c>
      <c r="B200" s="6" t="s">
        <v>878</v>
      </c>
      <c r="D200" s="54"/>
    </row>
    <row r="201" spans="1:6">
      <c r="A201" s="14">
        <v>11187</v>
      </c>
      <c r="B201" s="1" t="s">
        <v>879</v>
      </c>
      <c r="D201" s="54"/>
    </row>
    <row r="202" spans="1:6">
      <c r="A202" s="14">
        <v>11196</v>
      </c>
      <c r="B202" s="1" t="s">
        <v>880</v>
      </c>
      <c r="D202" s="54"/>
    </row>
    <row r="203" spans="1:6">
      <c r="A203" s="14">
        <v>11094</v>
      </c>
      <c r="B203" s="1" t="s">
        <v>280</v>
      </c>
      <c r="D203" s="54"/>
    </row>
    <row r="204" spans="1:6">
      <c r="A204" s="14">
        <v>11051</v>
      </c>
      <c r="B204" s="1" t="s">
        <v>283</v>
      </c>
      <c r="D204" s="54"/>
    </row>
    <row r="205" spans="1:6">
      <c r="A205" s="14">
        <v>11124</v>
      </c>
      <c r="B205" s="1" t="s">
        <v>881</v>
      </c>
      <c r="D205" s="54"/>
    </row>
    <row r="206" spans="1:6">
      <c r="A206" s="14">
        <v>11311</v>
      </c>
      <c r="B206" s="1" t="s">
        <v>882</v>
      </c>
      <c r="D206" s="54"/>
    </row>
    <row r="207" spans="1:6">
      <c r="A207" s="14">
        <v>11315</v>
      </c>
      <c r="B207" s="1" t="s">
        <v>883</v>
      </c>
      <c r="C207" s="16"/>
      <c r="D207" s="29"/>
      <c r="E207" s="8"/>
      <c r="F207" s="8"/>
    </row>
    <row r="208" spans="1:6">
      <c r="A208" s="14">
        <v>11295</v>
      </c>
      <c r="B208" s="1" t="s">
        <v>439</v>
      </c>
      <c r="C208" s="16"/>
      <c r="D208" s="29"/>
      <c r="E208" s="8"/>
      <c r="F208" s="8"/>
    </row>
    <row r="209" spans="1:6">
      <c r="A209" s="14">
        <v>11310</v>
      </c>
      <c r="B209" s="1" t="s">
        <v>884</v>
      </c>
      <c r="C209" s="16"/>
      <c r="D209" s="29"/>
      <c r="E209" s="8"/>
      <c r="F209" s="8"/>
    </row>
    <row r="210" spans="1:6">
      <c r="A210" s="14">
        <v>11277</v>
      </c>
      <c r="B210" s="1" t="s">
        <v>445</v>
      </c>
      <c r="C210" s="16"/>
      <c r="D210" s="29"/>
      <c r="E210" s="8"/>
      <c r="F210" s="8"/>
    </row>
    <row r="211" spans="1:6">
      <c r="A211" s="14">
        <v>11243</v>
      </c>
      <c r="B211" s="1" t="s">
        <v>885</v>
      </c>
      <c r="C211" s="16"/>
      <c r="D211" s="29"/>
      <c r="E211" s="8"/>
      <c r="F211" s="8"/>
    </row>
    <row r="212" spans="1:6">
      <c r="A212" s="14">
        <v>11123</v>
      </c>
      <c r="B212" s="1" t="s">
        <v>448</v>
      </c>
      <c r="C212" s="16"/>
      <c r="D212" s="29"/>
      <c r="E212" s="8"/>
      <c r="F212" s="8"/>
    </row>
    <row r="213" spans="1:6">
      <c r="A213" s="14">
        <v>11225</v>
      </c>
      <c r="B213" s="1" t="s">
        <v>886</v>
      </c>
      <c r="C213" s="16"/>
      <c r="D213" s="29"/>
      <c r="E213" s="8"/>
      <c r="F213" s="8"/>
    </row>
    <row r="214" spans="1:6">
      <c r="A214" s="14">
        <v>11235</v>
      </c>
      <c r="B214" s="1" t="s">
        <v>887</v>
      </c>
      <c r="C214" s="16"/>
      <c r="D214" s="29"/>
      <c r="E214" s="8"/>
      <c r="F214" s="8"/>
    </row>
    <row r="215" spans="1:6">
      <c r="A215" s="14">
        <v>11090</v>
      </c>
      <c r="B215" s="1" t="s">
        <v>307</v>
      </c>
      <c r="C215" s="16"/>
      <c r="D215" s="29"/>
      <c r="E215" s="8"/>
      <c r="F215" s="8"/>
    </row>
    <row r="216" spans="1:6">
      <c r="A216" s="14">
        <v>11093</v>
      </c>
      <c r="B216" s="1" t="s">
        <v>470</v>
      </c>
      <c r="C216" s="16"/>
      <c r="D216" s="29"/>
      <c r="E216" s="8"/>
      <c r="F216" s="8"/>
    </row>
    <row r="217" spans="1:6">
      <c r="A217" s="14">
        <v>11346</v>
      </c>
      <c r="B217" s="1" t="s">
        <v>888</v>
      </c>
      <c r="C217" s="16"/>
      <c r="D217" s="29"/>
      <c r="E217" s="8"/>
      <c r="F217" s="8"/>
    </row>
    <row r="218" spans="1:6">
      <c r="A218" s="14">
        <v>11344</v>
      </c>
      <c r="B218" s="1" t="s">
        <v>889</v>
      </c>
      <c r="C218" s="16"/>
      <c r="D218" s="29"/>
      <c r="E218" s="8"/>
      <c r="F218" s="8"/>
    </row>
    <row r="219" spans="1:6">
      <c r="A219" s="14">
        <v>11323</v>
      </c>
      <c r="B219" s="1" t="s">
        <v>890</v>
      </c>
      <c r="C219" s="16"/>
      <c r="D219" s="29"/>
      <c r="E219" s="8"/>
      <c r="F219" s="8"/>
    </row>
    <row r="220" spans="1:6">
      <c r="A220" s="14">
        <v>11325</v>
      </c>
      <c r="B220" s="1" t="s">
        <v>491</v>
      </c>
      <c r="C220" s="16"/>
      <c r="D220" s="29"/>
      <c r="E220" s="8"/>
      <c r="F220" s="8"/>
    </row>
    <row r="221" spans="1:6">
      <c r="A221" s="14">
        <v>11362</v>
      </c>
      <c r="B221" s="1" t="s">
        <v>891</v>
      </c>
      <c r="C221" s="16"/>
      <c r="D221" s="29"/>
      <c r="E221" s="8"/>
      <c r="F221" s="8"/>
    </row>
    <row r="222" spans="1:6">
      <c r="A222" s="14">
        <v>11355</v>
      </c>
      <c r="B222" s="1" t="s">
        <v>892</v>
      </c>
      <c r="C222" s="16"/>
      <c r="D222" s="29"/>
      <c r="E222" s="8"/>
      <c r="F222" s="8"/>
    </row>
    <row r="223" spans="1:6">
      <c r="A223" s="14">
        <v>11361</v>
      </c>
      <c r="B223" s="1" t="s">
        <v>893</v>
      </c>
      <c r="C223" s="16"/>
      <c r="D223" s="29"/>
      <c r="E223" s="8"/>
      <c r="F223" s="8"/>
    </row>
    <row r="224" spans="1:6">
      <c r="A224" s="14">
        <v>4218</v>
      </c>
      <c r="B224" s="1" t="s">
        <v>204</v>
      </c>
      <c r="C224" s="16"/>
      <c r="D224" s="29"/>
      <c r="E224" s="8"/>
      <c r="F224" s="8"/>
    </row>
    <row r="225" spans="1:6">
      <c r="A225" s="14">
        <v>11364</v>
      </c>
      <c r="B225" s="1" t="s">
        <v>894</v>
      </c>
      <c r="C225" s="16"/>
      <c r="D225" s="29"/>
      <c r="E225" s="8"/>
      <c r="F225" s="8"/>
    </row>
    <row r="226" spans="1:6">
      <c r="A226" s="14">
        <v>11367</v>
      </c>
      <c r="B226" s="1" t="s">
        <v>895</v>
      </c>
      <c r="C226" s="16"/>
      <c r="D226" s="29"/>
      <c r="E226" s="8"/>
      <c r="F226" s="8"/>
    </row>
    <row r="227" spans="1:6">
      <c r="A227" s="14">
        <v>11371</v>
      </c>
      <c r="B227" s="1" t="s">
        <v>343</v>
      </c>
      <c r="C227" s="16"/>
      <c r="D227" s="29"/>
      <c r="E227" s="8"/>
      <c r="F227" s="8"/>
    </row>
    <row r="228" spans="1:6">
      <c r="A228" s="14">
        <v>4220</v>
      </c>
      <c r="B228" s="1" t="s">
        <v>896</v>
      </c>
      <c r="D228" s="29"/>
      <c r="E228" s="8"/>
      <c r="F228" s="8"/>
    </row>
    <row r="229" spans="1:6">
      <c r="A229" s="14">
        <v>11373</v>
      </c>
      <c r="B229" s="1" t="s">
        <v>132</v>
      </c>
      <c r="C229" s="16"/>
      <c r="D229" s="29"/>
      <c r="E229" s="8"/>
      <c r="F229" s="8"/>
    </row>
    <row r="230" spans="1:6">
      <c r="A230" s="14">
        <v>11374</v>
      </c>
      <c r="B230" s="1" t="s">
        <v>419</v>
      </c>
      <c r="C230" s="16"/>
      <c r="D230" s="29"/>
      <c r="E230" s="8"/>
      <c r="F230" s="8"/>
    </row>
    <row r="231" spans="1:6">
      <c r="A231" s="14">
        <v>11366</v>
      </c>
      <c r="B231" s="1" t="s">
        <v>897</v>
      </c>
      <c r="C231" s="16"/>
      <c r="D231" s="29"/>
      <c r="E231" s="8"/>
      <c r="F231" s="8"/>
    </row>
    <row r="232" spans="1:6">
      <c r="A232" s="14">
        <v>11368</v>
      </c>
      <c r="B232" s="1" t="s">
        <v>898</v>
      </c>
      <c r="C232" s="16"/>
      <c r="D232" s="29"/>
      <c r="E232" s="8"/>
      <c r="F232" s="8"/>
    </row>
    <row r="233" spans="1:6">
      <c r="A233" s="14">
        <v>11369</v>
      </c>
      <c r="B233" s="1" t="s">
        <v>173</v>
      </c>
      <c r="C233" s="16"/>
      <c r="D233" s="29"/>
      <c r="E233" s="8"/>
      <c r="F233" s="8"/>
    </row>
    <row r="234" spans="1:6">
      <c r="A234" s="14">
        <v>11372</v>
      </c>
      <c r="B234" s="1" t="s">
        <v>899</v>
      </c>
      <c r="C234" s="16"/>
      <c r="D234" s="29"/>
      <c r="E234" s="8"/>
      <c r="F234" s="8"/>
    </row>
    <row r="235" spans="1:6">
      <c r="A235" s="14">
        <v>11328</v>
      </c>
      <c r="B235" s="1" t="s">
        <v>541</v>
      </c>
      <c r="C235" s="16"/>
      <c r="D235" s="29"/>
      <c r="E235" s="8"/>
      <c r="F235" s="8"/>
    </row>
    <row r="236" spans="1:6">
      <c r="A236" s="14">
        <v>11348</v>
      </c>
      <c r="B236" s="1" t="s">
        <v>900</v>
      </c>
      <c r="C236" s="16"/>
      <c r="D236" s="29"/>
      <c r="E236" s="8"/>
      <c r="F236" s="8"/>
    </row>
    <row r="237" spans="1:6">
      <c r="A237" s="14">
        <v>11354</v>
      </c>
      <c r="B237" s="1" t="s">
        <v>553</v>
      </c>
      <c r="C237" s="16"/>
      <c r="D237" s="29"/>
      <c r="E237" s="8"/>
      <c r="F237" s="8"/>
    </row>
    <row r="238" spans="1:6">
      <c r="A238" s="14">
        <v>11357</v>
      </c>
      <c r="B238" s="1" t="s">
        <v>901</v>
      </c>
      <c r="C238" s="16"/>
      <c r="D238" s="29"/>
      <c r="E238" s="8"/>
      <c r="F238" s="8"/>
    </row>
    <row r="239" spans="1:6">
      <c r="A239" s="14">
        <v>11303</v>
      </c>
      <c r="B239" s="1" t="s">
        <v>569</v>
      </c>
      <c r="C239" s="16"/>
      <c r="D239" s="29"/>
      <c r="E239" s="8"/>
      <c r="F239" s="8"/>
    </row>
    <row r="240" spans="1:6">
      <c r="A240" s="14">
        <v>11317</v>
      </c>
      <c r="B240" s="1" t="s">
        <v>550</v>
      </c>
      <c r="D240" s="29"/>
      <c r="E240" s="8"/>
      <c r="F240" s="8"/>
    </row>
    <row r="241" spans="1:6">
      <c r="A241" s="14">
        <v>11343</v>
      </c>
      <c r="B241" s="1" t="s">
        <v>902</v>
      </c>
      <c r="C241" s="16"/>
      <c r="D241" s="29"/>
      <c r="E241" s="8"/>
      <c r="F241" s="8"/>
    </row>
    <row r="242" spans="1:6">
      <c r="A242" s="14">
        <v>11349</v>
      </c>
      <c r="B242" s="1" t="s">
        <v>340</v>
      </c>
      <c r="C242" s="16"/>
      <c r="D242" s="29"/>
      <c r="E242" s="8"/>
      <c r="F242" s="8"/>
    </row>
    <row r="243" spans="1:6">
      <c r="A243" s="14">
        <v>11321</v>
      </c>
      <c r="B243" s="1" t="s">
        <v>529</v>
      </c>
      <c r="C243" s="16"/>
      <c r="D243" s="29"/>
      <c r="E243" s="8"/>
      <c r="F243" s="8"/>
    </row>
    <row r="244" spans="1:6">
      <c r="A244" s="14">
        <v>11319</v>
      </c>
      <c r="B244" s="1" t="s">
        <v>903</v>
      </c>
      <c r="C244" s="16"/>
      <c r="D244" s="29"/>
      <c r="E244" s="8"/>
      <c r="F244" s="8"/>
    </row>
    <row r="245" spans="1:6">
      <c r="A245" s="14">
        <v>11329</v>
      </c>
      <c r="B245" s="1" t="s">
        <v>383</v>
      </c>
      <c r="D245" s="29"/>
      <c r="F245" s="8"/>
    </row>
    <row r="246" spans="1:6">
      <c r="A246" s="14">
        <v>11340</v>
      </c>
      <c r="B246" s="1" t="s">
        <v>386</v>
      </c>
      <c r="C246" s="16"/>
      <c r="D246" s="29"/>
      <c r="E246" s="8"/>
      <c r="F246" s="8"/>
    </row>
    <row r="247" spans="1:6">
      <c r="A247" s="14">
        <v>11351</v>
      </c>
      <c r="B247" s="1" t="s">
        <v>904</v>
      </c>
      <c r="C247" s="16"/>
      <c r="D247" s="29"/>
      <c r="E247" s="8"/>
      <c r="F247" s="8"/>
    </row>
    <row r="248" spans="1:6">
      <c r="A248" s="14">
        <v>11352</v>
      </c>
      <c r="B248" s="1" t="s">
        <v>389</v>
      </c>
      <c r="C248" s="16"/>
      <c r="D248" s="29"/>
      <c r="E248" s="8"/>
      <c r="F248" s="8"/>
    </row>
    <row r="249" spans="1:6">
      <c r="A249" s="14">
        <v>11326</v>
      </c>
      <c r="B249" s="1" t="s">
        <v>531</v>
      </c>
      <c r="C249" s="16"/>
      <c r="D249" s="29"/>
      <c r="E249" s="8"/>
      <c r="F249" s="8"/>
    </row>
    <row r="250" spans="1:6">
      <c r="A250" s="14">
        <v>11341</v>
      </c>
      <c r="B250" s="1" t="s">
        <v>407</v>
      </c>
      <c r="C250" s="16"/>
      <c r="D250" s="29"/>
      <c r="E250" s="8"/>
      <c r="F250" s="8"/>
    </row>
    <row r="251" spans="1:6">
      <c r="A251" s="14">
        <v>11350</v>
      </c>
      <c r="B251" s="1" t="s">
        <v>905</v>
      </c>
      <c r="C251" s="16"/>
      <c r="D251" s="29"/>
      <c r="E251" s="8"/>
      <c r="F251" s="8"/>
    </row>
    <row r="252" spans="1:6">
      <c r="A252" s="14">
        <v>11324</v>
      </c>
      <c r="B252" s="1" t="s">
        <v>906</v>
      </c>
      <c r="C252" s="16"/>
      <c r="D252" s="29"/>
      <c r="E252" s="8"/>
      <c r="F252" s="8"/>
    </row>
    <row r="253" spans="1:6">
      <c r="A253" s="14">
        <v>11347</v>
      </c>
      <c r="B253" s="1" t="s">
        <v>481</v>
      </c>
      <c r="C253" s="16"/>
      <c r="D253" s="29"/>
      <c r="E253" s="8"/>
      <c r="F253" s="8"/>
    </row>
    <row r="254" spans="1:6">
      <c r="A254" s="14">
        <v>4189</v>
      </c>
      <c r="B254" s="1" t="s">
        <v>907</v>
      </c>
      <c r="C254" s="16"/>
      <c r="D254" s="29"/>
      <c r="E254" s="8"/>
      <c r="F254" s="8"/>
    </row>
    <row r="255" spans="1:6">
      <c r="A255" s="14">
        <v>11353</v>
      </c>
      <c r="B255" s="1" t="s">
        <v>328</v>
      </c>
      <c r="C255" s="16"/>
      <c r="D255" s="29"/>
      <c r="E255" s="8"/>
      <c r="F255" s="8"/>
    </row>
    <row r="256" spans="1:6">
      <c r="A256" s="14">
        <v>11342</v>
      </c>
      <c r="B256" s="1" t="s">
        <v>442</v>
      </c>
      <c r="C256" s="16"/>
      <c r="D256" s="29"/>
      <c r="E256" s="8"/>
      <c r="F256" s="8"/>
    </row>
    <row r="257" spans="1:6">
      <c r="A257" s="14">
        <v>1910</v>
      </c>
      <c r="B257" s="1" t="s">
        <v>908</v>
      </c>
      <c r="C257" s="16"/>
      <c r="D257" s="29"/>
      <c r="E257" s="8"/>
      <c r="F257" s="8"/>
    </row>
    <row r="258" spans="1:6">
      <c r="A258" s="14">
        <v>11382</v>
      </c>
      <c r="B258" s="1" t="s">
        <v>909</v>
      </c>
      <c r="C258" s="16"/>
      <c r="D258" s="29"/>
      <c r="E258" s="8"/>
      <c r="F258" s="8"/>
    </row>
    <row r="259" spans="1:6">
      <c r="A259" s="14">
        <v>11379</v>
      </c>
      <c r="B259" s="1" t="s">
        <v>910</v>
      </c>
      <c r="C259" s="16"/>
      <c r="D259" s="29"/>
      <c r="E259" s="8"/>
      <c r="F259" s="8"/>
    </row>
    <row r="260" spans="1:6">
      <c r="A260" s="14">
        <v>11388</v>
      </c>
      <c r="B260" s="1" t="s">
        <v>911</v>
      </c>
      <c r="C260" s="16"/>
      <c r="D260" s="29"/>
      <c r="E260" s="8"/>
      <c r="F260" s="8"/>
    </row>
    <row r="261" spans="1:6">
      <c r="A261" s="14">
        <v>11380</v>
      </c>
      <c r="B261" s="1" t="s">
        <v>912</v>
      </c>
      <c r="C261" s="16"/>
      <c r="D261" s="29"/>
      <c r="E261" s="8"/>
      <c r="F261" s="8"/>
    </row>
    <row r="262" spans="1:6">
      <c r="A262" s="14">
        <v>11385</v>
      </c>
      <c r="B262" s="1" t="s">
        <v>913</v>
      </c>
      <c r="C262" s="16"/>
      <c r="D262" s="29"/>
      <c r="E262" s="8"/>
      <c r="F262" s="8"/>
    </row>
    <row r="263" spans="1:6">
      <c r="A263" s="14">
        <v>11386</v>
      </c>
      <c r="B263" s="1" t="s">
        <v>410</v>
      </c>
      <c r="C263" s="16"/>
      <c r="D263" s="29"/>
      <c r="E263" s="8"/>
      <c r="F263" s="8"/>
    </row>
    <row r="264" spans="1:6">
      <c r="A264" s="14">
        <v>11387</v>
      </c>
      <c r="B264" s="1" t="s">
        <v>914</v>
      </c>
      <c r="D264" s="29"/>
      <c r="E264" s="8"/>
      <c r="F264" s="8"/>
    </row>
    <row r="265" spans="1:6">
      <c r="A265" s="14">
        <v>11390</v>
      </c>
      <c r="B265" s="1" t="s">
        <v>915</v>
      </c>
      <c r="C265" s="16"/>
      <c r="D265" s="29"/>
      <c r="E265" s="8"/>
      <c r="F265" s="8"/>
    </row>
    <row r="266" spans="1:6">
      <c r="A266" s="14">
        <v>11381</v>
      </c>
      <c r="B266" s="1" t="s">
        <v>183</v>
      </c>
      <c r="C266" s="16"/>
      <c r="D266" s="29"/>
      <c r="E266" s="8"/>
      <c r="F266" s="8"/>
    </row>
    <row r="267" spans="1:6">
      <c r="A267" s="15">
        <v>11365</v>
      </c>
      <c r="B267" s="3" t="s">
        <v>121</v>
      </c>
      <c r="D267" s="33"/>
    </row>
    <row r="268" spans="1:6">
      <c r="A268" s="14">
        <v>11376</v>
      </c>
      <c r="B268" s="1" t="s">
        <v>580</v>
      </c>
      <c r="C268" s="16"/>
      <c r="D268" s="29"/>
      <c r="E268" s="8"/>
      <c r="F268" s="8"/>
    </row>
    <row r="269" spans="1:6">
      <c r="A269" s="14">
        <v>11415</v>
      </c>
      <c r="B269" s="1" t="s">
        <v>88</v>
      </c>
      <c r="D269" s="33"/>
    </row>
    <row r="270" spans="1:6">
      <c r="A270" s="14">
        <v>4222</v>
      </c>
      <c r="B270" s="1" t="s">
        <v>916</v>
      </c>
      <c r="C270" s="16"/>
      <c r="D270" s="29"/>
      <c r="E270" s="8"/>
      <c r="F270" s="8"/>
    </row>
    <row r="271" spans="1:6">
      <c r="A271" s="14">
        <v>11425</v>
      </c>
      <c r="B271" s="1" t="s">
        <v>917</v>
      </c>
      <c r="C271" s="16"/>
      <c r="D271" s="29"/>
      <c r="E271" s="8"/>
      <c r="F271" s="8"/>
    </row>
    <row r="272" spans="1:6">
      <c r="A272" s="14">
        <v>11429</v>
      </c>
      <c r="B272" s="1" t="s">
        <v>532</v>
      </c>
      <c r="C272" s="16"/>
      <c r="D272" s="29"/>
      <c r="E272" s="8"/>
      <c r="F272" s="8"/>
    </row>
    <row r="273" spans="1:6">
      <c r="A273" s="14">
        <v>11432</v>
      </c>
      <c r="B273" s="1" t="s">
        <v>413</v>
      </c>
      <c r="C273" s="16"/>
      <c r="D273" s="29"/>
      <c r="E273" s="8"/>
      <c r="F273" s="8"/>
    </row>
    <row r="274" spans="1:6">
      <c r="A274" s="14">
        <v>11433</v>
      </c>
      <c r="B274" s="1" t="s">
        <v>460</v>
      </c>
      <c r="C274" s="16"/>
      <c r="D274" s="29"/>
      <c r="E274" s="8"/>
      <c r="F274" s="8"/>
    </row>
    <row r="275" spans="1:6">
      <c r="A275" s="14">
        <v>11406</v>
      </c>
      <c r="B275" s="1" t="s">
        <v>918</v>
      </c>
      <c r="C275" s="16"/>
      <c r="D275" s="29"/>
      <c r="E275" s="8"/>
      <c r="F275" s="8"/>
    </row>
    <row r="276" spans="1:6">
      <c r="A276" s="14">
        <v>11426</v>
      </c>
      <c r="B276" s="6" t="s">
        <v>554</v>
      </c>
      <c r="C276" s="16"/>
      <c r="D276" s="29"/>
      <c r="E276" s="8"/>
      <c r="F276" s="8"/>
    </row>
    <row r="277" spans="1:6">
      <c r="A277" s="14">
        <v>11427</v>
      </c>
      <c r="B277" s="1" t="s">
        <v>568</v>
      </c>
      <c r="C277" s="16"/>
      <c r="D277" s="29"/>
      <c r="E277" s="8"/>
      <c r="F277" s="8"/>
    </row>
    <row r="278" spans="1:6">
      <c r="A278" s="15">
        <v>4223</v>
      </c>
      <c r="B278" s="3" t="s">
        <v>544</v>
      </c>
      <c r="C278" s="16"/>
      <c r="D278" s="29"/>
      <c r="E278" s="8"/>
      <c r="F278" s="8"/>
    </row>
    <row r="279" spans="1:6">
      <c r="A279" s="14">
        <v>11407</v>
      </c>
      <c r="B279" s="1" t="s">
        <v>919</v>
      </c>
      <c r="C279" s="16"/>
      <c r="D279" s="29"/>
      <c r="E279" s="8"/>
      <c r="F279" s="8"/>
    </row>
    <row r="280" spans="1:6">
      <c r="A280" s="14">
        <v>11409</v>
      </c>
      <c r="B280" s="1" t="s">
        <v>327</v>
      </c>
      <c r="C280" s="16"/>
      <c r="D280" s="29"/>
      <c r="E280" s="8"/>
      <c r="F280" s="8"/>
    </row>
    <row r="281" spans="1:6">
      <c r="A281" s="14">
        <v>11434</v>
      </c>
      <c r="B281" s="1" t="s">
        <v>154</v>
      </c>
      <c r="C281" s="16"/>
      <c r="D281" s="29"/>
      <c r="E281" s="8"/>
      <c r="F281" s="8"/>
    </row>
    <row r="282" spans="1:6">
      <c r="A282" s="14">
        <v>11435</v>
      </c>
      <c r="B282" s="1" t="s">
        <v>501</v>
      </c>
      <c r="C282" s="16"/>
      <c r="D282" s="29"/>
      <c r="E282" s="8"/>
      <c r="F282" s="8"/>
    </row>
    <row r="283" spans="1:6">
      <c r="A283" s="14">
        <v>11436</v>
      </c>
      <c r="B283" s="1" t="s">
        <v>107</v>
      </c>
      <c r="C283" s="16"/>
      <c r="D283" s="29"/>
      <c r="E283" s="8"/>
      <c r="F283" s="8"/>
    </row>
    <row r="284" spans="1:6">
      <c r="A284" s="15">
        <v>11440</v>
      </c>
      <c r="B284" s="3" t="s">
        <v>147</v>
      </c>
      <c r="C284" s="16"/>
      <c r="D284" s="29"/>
      <c r="E284" s="8"/>
      <c r="F284" s="8"/>
    </row>
    <row r="285" spans="1:6">
      <c r="A285" s="15">
        <v>11438</v>
      </c>
      <c r="B285" s="3" t="s">
        <v>109</v>
      </c>
      <c r="C285" s="16"/>
      <c r="D285" s="29"/>
      <c r="E285" s="8"/>
      <c r="F285" s="8"/>
    </row>
    <row r="286" spans="1:6">
      <c r="A286" s="14">
        <v>10959</v>
      </c>
      <c r="B286" s="1" t="s">
        <v>920</v>
      </c>
      <c r="C286" s="16"/>
      <c r="D286" s="29"/>
      <c r="E286" s="8"/>
      <c r="F286" s="8"/>
    </row>
    <row r="287" spans="1:6">
      <c r="A287" s="15">
        <v>11414</v>
      </c>
      <c r="B287" s="3" t="s">
        <v>104</v>
      </c>
      <c r="C287" s="16"/>
      <c r="D287" s="29"/>
      <c r="E287" s="8"/>
      <c r="F287" s="8"/>
    </row>
    <row r="288" spans="1:6">
      <c r="A288" s="15">
        <v>11410</v>
      </c>
      <c r="B288" s="3" t="s">
        <v>921</v>
      </c>
      <c r="C288" s="16"/>
      <c r="D288" s="29"/>
      <c r="E288" s="8"/>
      <c r="F288" s="8"/>
    </row>
    <row r="289" spans="1:6">
      <c r="A289" s="15">
        <v>11403</v>
      </c>
      <c r="B289" s="3" t="s">
        <v>159</v>
      </c>
      <c r="C289" s="16"/>
      <c r="D289" s="29"/>
      <c r="E289" s="8"/>
      <c r="F289" s="8"/>
    </row>
    <row r="290" spans="1:6">
      <c r="A290" s="15">
        <v>11395</v>
      </c>
      <c r="B290" s="3" t="s">
        <v>922</v>
      </c>
      <c r="C290" s="16"/>
      <c r="D290" s="29"/>
      <c r="E290" s="8"/>
      <c r="F290" s="8"/>
    </row>
    <row r="291" spans="1:6">
      <c r="A291" s="15">
        <v>11394</v>
      </c>
      <c r="B291" s="3" t="s">
        <v>923</v>
      </c>
      <c r="C291" s="16"/>
      <c r="D291" s="29"/>
      <c r="E291" s="8"/>
      <c r="F291" s="8"/>
    </row>
    <row r="292" spans="1:6">
      <c r="A292" s="15">
        <v>11391</v>
      </c>
      <c r="B292" s="3" t="s">
        <v>924</v>
      </c>
      <c r="C292" s="16"/>
      <c r="D292" s="29"/>
      <c r="E292" s="8"/>
      <c r="F292" s="8"/>
    </row>
    <row r="293" spans="1:6">
      <c r="A293" s="15">
        <v>11393</v>
      </c>
      <c r="B293" s="3" t="s">
        <v>925</v>
      </c>
      <c r="D293" s="33"/>
      <c r="E293" s="8"/>
    </row>
    <row r="294" spans="1:6">
      <c r="A294" s="15">
        <v>11400</v>
      </c>
      <c r="B294" s="3" t="s">
        <v>926</v>
      </c>
      <c r="C294" s="16"/>
      <c r="D294" s="29"/>
      <c r="E294" s="8"/>
      <c r="F294" s="8"/>
    </row>
    <row r="295" spans="1:6">
      <c r="A295" s="15">
        <v>11423</v>
      </c>
      <c r="B295" s="3" t="s">
        <v>555</v>
      </c>
      <c r="C295" s="16"/>
      <c r="D295" s="29"/>
      <c r="E295" s="8"/>
      <c r="F295" s="8"/>
    </row>
    <row r="296" spans="1:6">
      <c r="A296" s="15">
        <v>11419</v>
      </c>
      <c r="B296" s="3" t="s">
        <v>577</v>
      </c>
      <c r="C296" s="16"/>
      <c r="D296" s="29"/>
      <c r="E296" s="8"/>
      <c r="F296" s="8"/>
    </row>
    <row r="297" spans="1:6">
      <c r="A297" s="15">
        <v>11417</v>
      </c>
      <c r="B297" s="3" t="s">
        <v>927</v>
      </c>
      <c r="C297" s="16"/>
      <c r="D297" s="29"/>
      <c r="E297" s="8"/>
      <c r="F297" s="8"/>
    </row>
    <row r="298" spans="1:6">
      <c r="A298" s="15">
        <v>11418</v>
      </c>
      <c r="B298" s="3" t="s">
        <v>928</v>
      </c>
      <c r="C298" s="16"/>
      <c r="D298" s="29"/>
      <c r="E298" s="8"/>
      <c r="F298" s="8"/>
    </row>
    <row r="299" spans="1:6">
      <c r="A299" s="15">
        <v>11420</v>
      </c>
      <c r="B299" s="3" t="s">
        <v>564</v>
      </c>
      <c r="C299" s="16"/>
      <c r="D299" s="29"/>
      <c r="E299" s="8"/>
      <c r="F299" s="8"/>
    </row>
    <row r="300" spans="1:6">
      <c r="A300" s="15">
        <v>11422</v>
      </c>
      <c r="B300" s="3" t="s">
        <v>542</v>
      </c>
      <c r="C300" s="16"/>
      <c r="D300" s="29"/>
      <c r="E300" s="8"/>
      <c r="F300" s="8"/>
    </row>
    <row r="301" spans="1:6">
      <c r="A301" s="15">
        <v>3964</v>
      </c>
      <c r="B301" s="3" t="s">
        <v>929</v>
      </c>
      <c r="C301" s="16"/>
      <c r="D301" s="29"/>
      <c r="E301" s="8"/>
      <c r="F301" s="8"/>
    </row>
    <row r="302" spans="1:6">
      <c r="A302" s="15">
        <v>11397</v>
      </c>
      <c r="B302" s="3" t="s">
        <v>426</v>
      </c>
      <c r="C302" s="16"/>
      <c r="D302" s="29"/>
      <c r="E302" s="8"/>
      <c r="F302" s="8"/>
    </row>
    <row r="303" spans="1:6">
      <c r="A303" s="15">
        <v>11396</v>
      </c>
      <c r="B303" s="3" t="s">
        <v>473</v>
      </c>
      <c r="C303" s="16"/>
      <c r="D303" s="29"/>
      <c r="E303" s="8"/>
      <c r="F303" s="8"/>
    </row>
    <row r="304" spans="1:6">
      <c r="A304" s="15">
        <v>11413</v>
      </c>
      <c r="B304" s="3" t="s">
        <v>454</v>
      </c>
      <c r="C304" s="16"/>
      <c r="D304" s="29"/>
      <c r="E304" s="8"/>
      <c r="F304" s="8"/>
    </row>
    <row r="305" spans="1:6">
      <c r="A305" s="15">
        <v>11430</v>
      </c>
      <c r="B305" s="3" t="s">
        <v>89</v>
      </c>
      <c r="C305" s="16"/>
      <c r="D305" s="29"/>
      <c r="E305" s="8"/>
      <c r="F305" s="8"/>
    </row>
    <row r="306" spans="1:6">
      <c r="A306" s="15">
        <v>4225</v>
      </c>
      <c r="B306" s="3" t="s">
        <v>124</v>
      </c>
      <c r="D306" s="29"/>
      <c r="E306" s="8"/>
      <c r="F306" s="8"/>
    </row>
    <row r="307" spans="1:6">
      <c r="A307" s="15">
        <v>11443</v>
      </c>
      <c r="B307" s="3" t="s">
        <v>545</v>
      </c>
      <c r="C307" s="16"/>
      <c r="D307" s="29"/>
      <c r="E307" s="8"/>
      <c r="F307" s="8"/>
    </row>
    <row r="308" spans="1:6">
      <c r="A308" s="15">
        <v>11446</v>
      </c>
      <c r="B308" s="3" t="s">
        <v>930</v>
      </c>
      <c r="C308" s="16"/>
      <c r="D308" s="29"/>
      <c r="E308" s="8"/>
      <c r="F308" s="8"/>
    </row>
    <row r="309" spans="1:6">
      <c r="A309" s="15">
        <v>11444</v>
      </c>
      <c r="B309" s="3" t="s">
        <v>324</v>
      </c>
      <c r="C309" s="16"/>
      <c r="D309" s="29"/>
      <c r="E309" s="8"/>
      <c r="F309" s="8"/>
    </row>
    <row r="310" spans="1:6">
      <c r="A310" s="15">
        <v>11456</v>
      </c>
      <c r="B310" s="3" t="s">
        <v>931</v>
      </c>
      <c r="C310" s="16"/>
      <c r="D310" s="29"/>
      <c r="E310" s="8"/>
      <c r="F310" s="8"/>
    </row>
    <row r="311" spans="1:6">
      <c r="A311" s="15">
        <v>11447</v>
      </c>
      <c r="B311" s="3" t="s">
        <v>932</v>
      </c>
      <c r="C311" s="16"/>
      <c r="D311" s="29"/>
      <c r="E311" s="8"/>
      <c r="F311" s="8"/>
    </row>
    <row r="312" spans="1:6">
      <c r="A312" s="15">
        <v>11457</v>
      </c>
      <c r="B312" s="3" t="s">
        <v>90</v>
      </c>
      <c r="D312" s="33"/>
    </row>
    <row r="313" spans="1:6">
      <c r="A313" s="15">
        <v>11459</v>
      </c>
      <c r="B313" s="3" t="s">
        <v>161</v>
      </c>
      <c r="C313" s="16"/>
      <c r="D313" s="29"/>
      <c r="E313" s="8"/>
      <c r="F313" s="8"/>
    </row>
    <row r="314" spans="1:6">
      <c r="A314" s="15">
        <v>11460</v>
      </c>
      <c r="B314" s="3" t="s">
        <v>464</v>
      </c>
      <c r="C314" s="16"/>
      <c r="D314" s="29"/>
      <c r="E314" s="8"/>
      <c r="F314" s="8"/>
    </row>
    <row r="315" spans="1:6">
      <c r="A315" s="15">
        <v>11465</v>
      </c>
      <c r="B315" s="3" t="s">
        <v>349</v>
      </c>
      <c r="C315" s="16"/>
      <c r="D315" s="29"/>
      <c r="E315" s="8"/>
      <c r="F315" s="8"/>
    </row>
    <row r="316" spans="1:6">
      <c r="A316" s="15">
        <v>11462</v>
      </c>
      <c r="B316" s="3" t="s">
        <v>933</v>
      </c>
      <c r="C316" s="16"/>
      <c r="D316" s="29"/>
      <c r="E316" s="8"/>
      <c r="F316" s="8"/>
    </row>
    <row r="317" spans="1:6">
      <c r="A317" s="15">
        <v>11466</v>
      </c>
      <c r="B317" s="3" t="s">
        <v>467</v>
      </c>
      <c r="D317" s="29"/>
      <c r="E317" s="8"/>
      <c r="F317" s="8"/>
    </row>
    <row r="318" spans="1:6">
      <c r="A318" s="15">
        <v>11483</v>
      </c>
      <c r="B318" s="3" t="s">
        <v>934</v>
      </c>
      <c r="C318" s="16"/>
      <c r="D318" s="29"/>
      <c r="E318" s="8"/>
      <c r="F318" s="8"/>
    </row>
    <row r="319" spans="1:6">
      <c r="A319" s="15">
        <v>11487</v>
      </c>
      <c r="B319" s="3" t="s">
        <v>352</v>
      </c>
      <c r="C319" s="16"/>
      <c r="D319" s="29"/>
      <c r="E319" s="8"/>
      <c r="F319" s="8"/>
    </row>
    <row r="320" spans="1:6">
      <c r="A320" s="15">
        <v>11491</v>
      </c>
      <c r="B320" s="3" t="s">
        <v>186</v>
      </c>
      <c r="C320" s="16"/>
      <c r="D320" s="29"/>
      <c r="E320" s="8"/>
      <c r="F320" s="8"/>
    </row>
    <row r="321" spans="1:6">
      <c r="A321" s="15">
        <v>11480</v>
      </c>
      <c r="B321" s="3" t="s">
        <v>476</v>
      </c>
      <c r="D321" s="29"/>
      <c r="E321" s="8"/>
      <c r="F321" s="8"/>
    </row>
    <row r="322" spans="1:6">
      <c r="A322" s="15">
        <v>11468</v>
      </c>
      <c r="B322" s="3" t="s">
        <v>567</v>
      </c>
      <c r="D322" s="29"/>
      <c r="E322" s="8"/>
      <c r="F322" s="8"/>
    </row>
    <row r="323" spans="1:6">
      <c r="A323" s="79">
        <v>11500</v>
      </c>
      <c r="B323" s="3" t="s">
        <v>935</v>
      </c>
      <c r="D323" s="29"/>
      <c r="E323" s="8"/>
      <c r="F323" s="8"/>
    </row>
    <row r="324" spans="1:6">
      <c r="A324" s="15">
        <v>11501</v>
      </c>
      <c r="B324" s="3" t="s">
        <v>392</v>
      </c>
      <c r="C324" s="16"/>
      <c r="D324" s="29"/>
      <c r="E324" s="8"/>
      <c r="F324" s="8"/>
    </row>
    <row r="325" spans="1:6">
      <c r="A325" s="15">
        <v>11513</v>
      </c>
      <c r="B325" s="3" t="s">
        <v>361</v>
      </c>
      <c r="D325" s="29"/>
      <c r="E325" s="8"/>
      <c r="F325" s="8"/>
    </row>
    <row r="326" spans="1:6">
      <c r="A326" s="15">
        <v>11505</v>
      </c>
      <c r="B326" s="3" t="s">
        <v>358</v>
      </c>
      <c r="C326" s="16"/>
      <c r="D326" s="29"/>
      <c r="E326" s="8"/>
      <c r="F326" s="8"/>
    </row>
    <row r="327" spans="1:6">
      <c r="A327" s="15">
        <v>11508</v>
      </c>
      <c r="B327" s="3" t="s">
        <v>433</v>
      </c>
      <c r="D327" s="33"/>
      <c r="E327" s="8"/>
    </row>
    <row r="328" spans="1:6">
      <c r="A328" s="15">
        <v>11509</v>
      </c>
      <c r="B328" s="3" t="s">
        <v>355</v>
      </c>
      <c r="C328" s="16"/>
      <c r="D328" s="29"/>
      <c r="E328" s="8"/>
      <c r="F328" s="8"/>
    </row>
    <row r="329" spans="1:6">
      <c r="A329" s="15">
        <v>11510</v>
      </c>
      <c r="B329" s="3" t="s">
        <v>430</v>
      </c>
      <c r="D329" s="29"/>
      <c r="E329" s="8"/>
      <c r="F329" s="8"/>
    </row>
    <row r="330" spans="1:6">
      <c r="A330" s="15">
        <v>11511</v>
      </c>
      <c r="B330" s="3" t="s">
        <v>436</v>
      </c>
      <c r="D330" s="29"/>
      <c r="E330" s="8"/>
      <c r="F330" s="8"/>
    </row>
    <row r="331" spans="1:6">
      <c r="A331" s="15">
        <v>11515</v>
      </c>
      <c r="B331" s="3" t="s">
        <v>936</v>
      </c>
      <c r="D331" s="29"/>
      <c r="E331" s="8"/>
      <c r="F331" s="8"/>
    </row>
    <row r="332" spans="1:6">
      <c r="A332" s="15">
        <v>11512</v>
      </c>
      <c r="B332" s="3" t="s">
        <v>395</v>
      </c>
      <c r="D332" s="29"/>
      <c r="E332" s="8"/>
      <c r="F332" s="8"/>
    </row>
    <row r="333" spans="1:6">
      <c r="A333" s="15">
        <v>4236</v>
      </c>
      <c r="B333" s="3" t="s">
        <v>937</v>
      </c>
      <c r="D333" s="29"/>
      <c r="E333" s="8"/>
      <c r="F333" s="8"/>
    </row>
    <row r="334" spans="1:6">
      <c r="A334" s="15">
        <v>4235</v>
      </c>
      <c r="B334" s="3" t="s">
        <v>938</v>
      </c>
      <c r="D334" s="33"/>
    </row>
    <row r="335" spans="1:6">
      <c r="A335" s="15">
        <v>11516</v>
      </c>
      <c r="B335" s="3" t="s">
        <v>398</v>
      </c>
      <c r="D335" s="33"/>
    </row>
    <row r="336" spans="1:6">
      <c r="A336" s="15">
        <v>11517</v>
      </c>
      <c r="B336" s="3" t="s">
        <v>939</v>
      </c>
      <c r="D336" s="33"/>
      <c r="E336" s="8"/>
    </row>
    <row r="337" spans="1:6">
      <c r="A337" s="15">
        <v>11518</v>
      </c>
      <c r="B337" s="3" t="s">
        <v>940</v>
      </c>
      <c r="D337" s="29"/>
      <c r="E337" s="8"/>
      <c r="F337" s="8"/>
    </row>
    <row r="338" spans="1:6">
      <c r="A338" s="15">
        <v>11521</v>
      </c>
      <c r="B338" s="3" t="s">
        <v>941</v>
      </c>
      <c r="D338" s="29"/>
      <c r="E338" s="8"/>
      <c r="F338" s="8"/>
    </row>
    <row r="339" spans="1:6">
      <c r="A339" s="15">
        <v>11519</v>
      </c>
      <c r="B339" s="3" t="s">
        <v>368</v>
      </c>
      <c r="D339" s="29"/>
      <c r="E339" s="8"/>
      <c r="F339" s="8"/>
    </row>
    <row r="340" spans="1:6">
      <c r="A340" s="15">
        <v>11520</v>
      </c>
      <c r="B340" s="3" t="s">
        <v>498</v>
      </c>
      <c r="D340" s="29"/>
      <c r="E340" s="8"/>
      <c r="F340" s="8"/>
    </row>
    <row r="341" spans="1:6">
      <c r="A341" s="15">
        <v>11504</v>
      </c>
      <c r="B341" s="3" t="s">
        <v>364</v>
      </c>
      <c r="C341" s="16"/>
      <c r="D341" s="29"/>
      <c r="E341" s="8"/>
      <c r="F341" s="8"/>
    </row>
    <row r="342" spans="1:6">
      <c r="A342" s="15">
        <v>11467</v>
      </c>
      <c r="B342" s="3" t="s">
        <v>537</v>
      </c>
      <c r="D342" s="29"/>
      <c r="E342" s="8"/>
      <c r="F342" s="8"/>
    </row>
    <row r="343" spans="1:6">
      <c r="A343" s="15">
        <v>11448</v>
      </c>
      <c r="B343" s="3" t="s">
        <v>497</v>
      </c>
      <c r="C343" s="16"/>
      <c r="D343" s="29"/>
      <c r="E343" s="8"/>
      <c r="F343" s="8"/>
    </row>
    <row r="344" spans="1:6">
      <c r="A344" s="15">
        <v>11449</v>
      </c>
      <c r="B344" s="3" t="s">
        <v>164</v>
      </c>
      <c r="D344" s="54"/>
    </row>
    <row r="345" spans="1:6">
      <c r="A345" s="15">
        <v>11455</v>
      </c>
      <c r="B345" s="3" t="s">
        <v>170</v>
      </c>
      <c r="D345" s="54"/>
    </row>
    <row r="346" spans="1:6">
      <c r="A346" s="15">
        <v>11454</v>
      </c>
      <c r="B346" s="3" t="s">
        <v>189</v>
      </c>
      <c r="D346" s="54"/>
    </row>
    <row r="347" spans="1:6">
      <c r="A347" s="15">
        <v>11469</v>
      </c>
      <c r="B347" s="3" t="s">
        <v>479</v>
      </c>
      <c r="D347" s="54"/>
    </row>
    <row r="348" spans="1:6">
      <c r="A348" s="15">
        <v>11450</v>
      </c>
      <c r="B348" s="3" t="s">
        <v>346</v>
      </c>
      <c r="D348" s="54"/>
    </row>
    <row r="349" spans="1:6">
      <c r="A349" s="15">
        <v>11453</v>
      </c>
      <c r="B349" s="3" t="s">
        <v>942</v>
      </c>
      <c r="D349" s="54"/>
    </row>
    <row r="350" spans="1:6">
      <c r="A350" s="15">
        <v>11455</v>
      </c>
      <c r="B350" s="3" t="s">
        <v>170</v>
      </c>
      <c r="D350" s="54"/>
    </row>
    <row r="351" spans="1:6">
      <c r="A351" s="15">
        <v>11449</v>
      </c>
      <c r="B351" s="3" t="s">
        <v>164</v>
      </c>
      <c r="D351" s="54"/>
    </row>
    <row r="352" spans="1:6">
      <c r="A352" s="15">
        <v>11450</v>
      </c>
      <c r="B352" s="3" t="s">
        <v>346</v>
      </c>
      <c r="D352" s="54"/>
    </row>
    <row r="353" spans="1:4">
      <c r="A353" s="15">
        <v>4225</v>
      </c>
      <c r="B353" s="3" t="s">
        <v>124</v>
      </c>
      <c r="D353" s="54"/>
    </row>
    <row r="354" spans="1:4">
      <c r="A354" s="15">
        <v>11423</v>
      </c>
      <c r="B354" s="3" t="s">
        <v>555</v>
      </c>
      <c r="D354" s="54"/>
    </row>
    <row r="355" spans="1:4">
      <c r="A355" s="15">
        <v>11419</v>
      </c>
      <c r="B355" s="3" t="s">
        <v>577</v>
      </c>
      <c r="D355" s="54"/>
    </row>
    <row r="356" spans="1:4">
      <c r="A356" s="15">
        <v>11417</v>
      </c>
      <c r="B356" s="3" t="s">
        <v>927</v>
      </c>
      <c r="D356" s="54"/>
    </row>
    <row r="357" spans="1:4">
      <c r="A357" s="15">
        <v>11420</v>
      </c>
      <c r="B357" s="3" t="s">
        <v>564</v>
      </c>
      <c r="D357" s="54"/>
    </row>
    <row r="358" spans="1:4">
      <c r="A358" s="15">
        <v>11422</v>
      </c>
      <c r="B358" s="3" t="s">
        <v>542</v>
      </c>
      <c r="D358" s="54"/>
    </row>
    <row r="359" spans="1:4">
      <c r="A359" s="15">
        <v>11443</v>
      </c>
      <c r="B359" s="3" t="s">
        <v>545</v>
      </c>
      <c r="D359" s="54"/>
    </row>
    <row r="360" spans="1:4">
      <c r="A360" s="15">
        <v>11446</v>
      </c>
      <c r="B360" s="3" t="s">
        <v>930</v>
      </c>
      <c r="D360" s="54"/>
    </row>
    <row r="361" spans="1:4">
      <c r="A361" s="15">
        <v>11444</v>
      </c>
      <c r="B361" s="3" t="s">
        <v>324</v>
      </c>
      <c r="D361" s="54"/>
    </row>
    <row r="362" spans="1:4">
      <c r="A362" s="15">
        <v>11457</v>
      </c>
      <c r="B362" s="3" t="s">
        <v>90</v>
      </c>
      <c r="D362" s="54"/>
    </row>
    <row r="363" spans="1:4">
      <c r="A363" s="15">
        <v>11459</v>
      </c>
      <c r="B363" s="3" t="s">
        <v>161</v>
      </c>
      <c r="D363" s="54"/>
    </row>
    <row r="364" spans="1:4">
      <c r="A364" s="15">
        <v>11460</v>
      </c>
      <c r="B364" s="3" t="s">
        <v>464</v>
      </c>
      <c r="D364" s="54"/>
    </row>
    <row r="365" spans="1:4">
      <c r="A365" s="15">
        <v>11465</v>
      </c>
      <c r="B365" s="3" t="s">
        <v>349</v>
      </c>
      <c r="D365" s="54"/>
    </row>
    <row r="366" spans="1:4">
      <c r="A366" s="15">
        <v>11462</v>
      </c>
      <c r="B366" s="3" t="s">
        <v>933</v>
      </c>
      <c r="D366" s="54"/>
    </row>
    <row r="367" spans="1:4">
      <c r="A367" s="15">
        <v>11466</v>
      </c>
      <c r="B367" s="3" t="s">
        <v>467</v>
      </c>
      <c r="D367" s="54"/>
    </row>
    <row r="368" spans="1:4">
      <c r="A368" s="15">
        <v>11483</v>
      </c>
      <c r="B368" s="3" t="s">
        <v>934</v>
      </c>
      <c r="D368" s="54"/>
    </row>
    <row r="369" spans="1:4">
      <c r="A369" s="15">
        <v>11487</v>
      </c>
      <c r="B369" s="3" t="s">
        <v>352</v>
      </c>
      <c r="D369" s="54"/>
    </row>
    <row r="370" spans="1:4">
      <c r="A370" s="15">
        <v>11491</v>
      </c>
      <c r="B370" s="3" t="s">
        <v>186</v>
      </c>
      <c r="D370" s="54"/>
    </row>
    <row r="371" spans="1:4">
      <c r="A371" s="15">
        <v>11480</v>
      </c>
      <c r="B371" s="3" t="s">
        <v>476</v>
      </c>
      <c r="D371" s="54"/>
    </row>
    <row r="372" spans="1:4">
      <c r="A372" s="15">
        <v>11468</v>
      </c>
      <c r="B372" s="3" t="s">
        <v>567</v>
      </c>
      <c r="D372" s="54"/>
    </row>
    <row r="373" spans="1:4">
      <c r="A373" s="15">
        <v>11500</v>
      </c>
      <c r="B373" s="3" t="s">
        <v>935</v>
      </c>
      <c r="D373" s="54"/>
    </row>
    <row r="374" spans="1:4">
      <c r="A374" s="15">
        <v>11501</v>
      </c>
      <c r="B374" s="3" t="s">
        <v>392</v>
      </c>
      <c r="D374" s="54"/>
    </row>
    <row r="375" spans="1:4">
      <c r="A375" s="15">
        <v>11513</v>
      </c>
      <c r="B375" s="3" t="s">
        <v>361</v>
      </c>
      <c r="D375" s="54"/>
    </row>
    <row r="376" spans="1:4">
      <c r="A376" s="15">
        <v>11505</v>
      </c>
      <c r="B376" s="3" t="s">
        <v>358</v>
      </c>
      <c r="D376" s="54"/>
    </row>
    <row r="377" spans="1:4">
      <c r="A377" s="15">
        <v>11508</v>
      </c>
      <c r="B377" s="3" t="s">
        <v>433</v>
      </c>
      <c r="D377" s="54"/>
    </row>
    <row r="378" spans="1:4">
      <c r="A378" s="15">
        <v>11509</v>
      </c>
      <c r="B378" s="3" t="s">
        <v>355</v>
      </c>
      <c r="D378" s="54"/>
    </row>
    <row r="379" spans="1:4">
      <c r="A379" s="15">
        <v>11510</v>
      </c>
      <c r="B379" s="3" t="s">
        <v>430</v>
      </c>
      <c r="D379" s="54"/>
    </row>
    <row r="380" spans="1:4">
      <c r="A380" s="15">
        <v>11511</v>
      </c>
      <c r="B380" s="3" t="s">
        <v>436</v>
      </c>
      <c r="D380" s="54"/>
    </row>
    <row r="381" spans="1:4">
      <c r="A381" s="15">
        <v>11515</v>
      </c>
      <c r="B381" s="3" t="s">
        <v>936</v>
      </c>
      <c r="D381" s="54"/>
    </row>
    <row r="382" spans="1:4">
      <c r="A382" s="15">
        <v>11512</v>
      </c>
      <c r="B382" s="3" t="s">
        <v>395</v>
      </c>
      <c r="D382" s="54"/>
    </row>
    <row r="383" spans="1:4">
      <c r="A383" s="15">
        <v>4236</v>
      </c>
      <c r="B383" s="3" t="s">
        <v>937</v>
      </c>
      <c r="D383" s="54"/>
    </row>
    <row r="384" spans="1:4">
      <c r="A384" s="15">
        <v>4235</v>
      </c>
      <c r="B384" s="3" t="s">
        <v>938</v>
      </c>
      <c r="D384" s="54"/>
    </row>
    <row r="385" spans="1:4">
      <c r="A385" s="15">
        <v>11516</v>
      </c>
      <c r="B385" s="3" t="s">
        <v>398</v>
      </c>
      <c r="D385" s="54"/>
    </row>
    <row r="386" spans="1:4">
      <c r="A386" s="15">
        <v>11517</v>
      </c>
      <c r="B386" s="3" t="s">
        <v>939</v>
      </c>
      <c r="D386" s="54"/>
    </row>
    <row r="387" spans="1:4">
      <c r="A387" s="15">
        <v>11518</v>
      </c>
      <c r="B387" s="3" t="s">
        <v>940</v>
      </c>
      <c r="D387" s="54"/>
    </row>
    <row r="388" spans="1:4">
      <c r="A388" s="15">
        <v>11521</v>
      </c>
      <c r="B388" s="3" t="s">
        <v>941</v>
      </c>
      <c r="D388" s="54"/>
    </row>
    <row r="389" spans="1:4">
      <c r="A389" s="15">
        <v>11519</v>
      </c>
      <c r="B389" s="3" t="s">
        <v>368</v>
      </c>
      <c r="D389" s="54"/>
    </row>
    <row r="390" spans="1:4">
      <c r="A390" s="15">
        <v>11520</v>
      </c>
      <c r="B390" s="3" t="s">
        <v>498</v>
      </c>
      <c r="D390" s="54"/>
    </row>
    <row r="391" spans="1:4">
      <c r="A391" s="15">
        <v>11504</v>
      </c>
      <c r="B391" s="3" t="s">
        <v>364</v>
      </c>
      <c r="D391" s="54"/>
    </row>
    <row r="392" spans="1:4">
      <c r="A392" s="15">
        <v>11467</v>
      </c>
      <c r="B392" s="3" t="s">
        <v>537</v>
      </c>
      <c r="D392" s="54"/>
    </row>
    <row r="393" spans="1:4">
      <c r="A393" s="15">
        <v>11486</v>
      </c>
      <c r="B393" s="3" t="s">
        <v>319</v>
      </c>
      <c r="D393" s="54"/>
    </row>
    <row r="394" spans="1:4">
      <c r="A394" s="15">
        <v>11488</v>
      </c>
      <c r="B394" s="3" t="s">
        <v>325</v>
      </c>
      <c r="D394" s="54"/>
    </row>
    <row r="395" spans="1:4">
      <c r="A395" s="15">
        <v>11495</v>
      </c>
      <c r="B395" s="3" t="s">
        <v>326</v>
      </c>
      <c r="D395" s="54"/>
    </row>
    <row r="396" spans="1:4">
      <c r="A396" s="15">
        <v>11485</v>
      </c>
      <c r="B396" s="3" t="s">
        <v>330</v>
      </c>
      <c r="D396" s="54"/>
    </row>
    <row r="397" spans="1:4">
      <c r="A397" s="15">
        <v>11469</v>
      </c>
      <c r="B397" s="3" t="s">
        <v>479</v>
      </c>
      <c r="D397" s="54"/>
    </row>
    <row r="398" spans="1:4">
      <c r="A398" s="15">
        <v>11503</v>
      </c>
      <c r="B398" s="3" t="s">
        <v>563</v>
      </c>
      <c r="D398" s="54"/>
    </row>
    <row r="399" spans="1:4">
      <c r="A399" s="15">
        <v>11499</v>
      </c>
      <c r="B399" s="3" t="s">
        <v>566</v>
      </c>
      <c r="D399" s="54"/>
    </row>
    <row r="400" spans="1:4">
      <c r="A400" s="15">
        <v>11502</v>
      </c>
      <c r="B400" s="3" t="s">
        <v>573</v>
      </c>
      <c r="D400" s="54"/>
    </row>
    <row r="401" spans="1:6">
      <c r="A401" s="15">
        <v>11479</v>
      </c>
      <c r="B401" s="3" t="s">
        <v>943</v>
      </c>
      <c r="D401" s="54"/>
    </row>
    <row r="402" spans="1:6">
      <c r="A402" s="15">
        <v>11506</v>
      </c>
      <c r="B402" s="3" t="s">
        <v>944</v>
      </c>
      <c r="D402" s="54"/>
    </row>
    <row r="403" spans="1:6">
      <c r="A403" s="15">
        <v>11493</v>
      </c>
      <c r="B403" s="3" t="s">
        <v>945</v>
      </c>
      <c r="D403" s="54"/>
    </row>
    <row r="404" spans="1:6">
      <c r="A404"/>
      <c r="D404"/>
      <c r="E404"/>
      <c r="F404"/>
    </row>
    <row r="405" spans="1:6">
      <c r="A405"/>
      <c r="D405"/>
      <c r="E405"/>
      <c r="F405"/>
    </row>
    <row r="406" spans="1:6">
      <c r="A406"/>
      <c r="D406"/>
      <c r="E406"/>
      <c r="F406"/>
    </row>
    <row r="407" spans="1:6">
      <c r="A407"/>
      <c r="D407"/>
      <c r="E407"/>
      <c r="F407"/>
    </row>
    <row r="408" spans="1:6">
      <c r="A408"/>
      <c r="D408"/>
      <c r="E408"/>
      <c r="F408"/>
    </row>
    <row r="409" spans="1:6">
      <c r="A409"/>
      <c r="D409"/>
      <c r="E409"/>
      <c r="F409"/>
    </row>
    <row r="410" spans="1:6">
      <c r="A410"/>
      <c r="D410"/>
      <c r="E410"/>
      <c r="F410"/>
    </row>
    <row r="411" spans="1:6">
      <c r="A411"/>
      <c r="D411"/>
      <c r="E411"/>
      <c r="F411"/>
    </row>
    <row r="412" spans="1:6">
      <c r="A412"/>
      <c r="D412"/>
      <c r="E412"/>
      <c r="F412"/>
    </row>
    <row r="413" spans="1:6">
      <c r="A413"/>
      <c r="D413"/>
      <c r="E413"/>
      <c r="F413"/>
    </row>
    <row r="414" spans="1:6">
      <c r="A414"/>
      <c r="D414"/>
      <c r="E414"/>
      <c r="F414"/>
    </row>
    <row r="415" spans="1:6">
      <c r="A415"/>
      <c r="D415"/>
      <c r="E415"/>
      <c r="F415"/>
    </row>
    <row r="416" spans="1:6">
      <c r="A416"/>
      <c r="D416"/>
      <c r="E416"/>
      <c r="F416"/>
    </row>
    <row r="417" spans="1:6">
      <c r="A417"/>
      <c r="D417"/>
      <c r="E417"/>
      <c r="F417"/>
    </row>
    <row r="418" spans="1:6">
      <c r="A418"/>
      <c r="D418"/>
      <c r="E418"/>
      <c r="F418"/>
    </row>
    <row r="419" spans="1:6">
      <c r="A419"/>
      <c r="D419"/>
      <c r="E419"/>
      <c r="F419"/>
    </row>
    <row r="420" spans="1:6">
      <c r="A420"/>
      <c r="D420"/>
      <c r="E420"/>
      <c r="F420"/>
    </row>
    <row r="421" spans="1:6">
      <c r="A421"/>
      <c r="D421"/>
      <c r="E421"/>
      <c r="F421"/>
    </row>
    <row r="422" spans="1:6">
      <c r="A422"/>
      <c r="D422"/>
      <c r="E422"/>
      <c r="F422"/>
    </row>
    <row r="423" spans="1:6">
      <c r="A423"/>
      <c r="D423"/>
      <c r="E423"/>
      <c r="F423"/>
    </row>
    <row r="424" spans="1:6">
      <c r="A424"/>
      <c r="D424"/>
      <c r="E424"/>
      <c r="F424"/>
    </row>
    <row r="425" spans="1:6">
      <c r="A425"/>
      <c r="D425"/>
      <c r="E425"/>
      <c r="F425"/>
    </row>
    <row r="426" spans="1:6">
      <c r="A426"/>
      <c r="D426"/>
      <c r="E426"/>
      <c r="F426"/>
    </row>
    <row r="427" spans="1:6">
      <c r="A427"/>
      <c r="D427"/>
      <c r="E427"/>
      <c r="F427"/>
    </row>
    <row r="428" spans="1:6">
      <c r="A428"/>
      <c r="D428"/>
      <c r="E428"/>
      <c r="F428"/>
    </row>
    <row r="429" spans="1:6">
      <c r="A429"/>
      <c r="D429"/>
      <c r="E429"/>
      <c r="F429"/>
    </row>
    <row r="430" spans="1:6">
      <c r="A430"/>
      <c r="D430"/>
      <c r="E430"/>
      <c r="F430"/>
    </row>
    <row r="431" spans="1:6">
      <c r="A431"/>
      <c r="D431"/>
      <c r="E431"/>
      <c r="F431"/>
    </row>
    <row r="432" spans="1:6">
      <c r="A432"/>
      <c r="D432"/>
      <c r="E432"/>
      <c r="F432"/>
    </row>
    <row r="433" spans="1:6">
      <c r="A433"/>
      <c r="D433"/>
      <c r="E433"/>
      <c r="F433"/>
    </row>
    <row r="434" spans="1:6">
      <c r="A434"/>
      <c r="D434"/>
      <c r="E434"/>
      <c r="F434"/>
    </row>
    <row r="435" spans="1:6">
      <c r="A435"/>
      <c r="D435"/>
      <c r="E435"/>
      <c r="F435"/>
    </row>
    <row r="436" spans="1:6">
      <c r="A436"/>
      <c r="D436"/>
      <c r="E436"/>
      <c r="F436"/>
    </row>
    <row r="437" spans="1:6">
      <c r="A437"/>
      <c r="D437"/>
      <c r="E437"/>
      <c r="F437"/>
    </row>
    <row r="438" spans="1:6">
      <c r="A438"/>
      <c r="D438"/>
      <c r="E438"/>
      <c r="F438"/>
    </row>
    <row r="439" spans="1:6">
      <c r="A439"/>
      <c r="D439"/>
      <c r="E439"/>
      <c r="F439"/>
    </row>
    <row r="440" spans="1:6">
      <c r="A440"/>
      <c r="D440"/>
      <c r="E440"/>
      <c r="F440"/>
    </row>
    <row r="441" spans="1:6">
      <c r="A441"/>
      <c r="D441"/>
      <c r="E441"/>
      <c r="F441"/>
    </row>
    <row r="442" spans="1:6">
      <c r="A442"/>
      <c r="D442"/>
      <c r="E442"/>
      <c r="F442"/>
    </row>
    <row r="443" spans="1:6">
      <c r="A443"/>
      <c r="D443"/>
      <c r="E443"/>
      <c r="F443"/>
    </row>
    <row r="444" spans="1:6">
      <c r="A444"/>
      <c r="D444"/>
      <c r="E444"/>
      <c r="F444"/>
    </row>
    <row r="445" spans="1:6">
      <c r="A445"/>
      <c r="D445"/>
      <c r="E445"/>
      <c r="F445"/>
    </row>
    <row r="446" spans="1:6">
      <c r="A446"/>
      <c r="D446"/>
      <c r="E446"/>
      <c r="F446"/>
    </row>
    <row r="447" spans="1:6">
      <c r="A447"/>
      <c r="D447"/>
      <c r="E447"/>
      <c r="F447"/>
    </row>
    <row r="448" spans="1:6">
      <c r="A448"/>
      <c r="D448"/>
      <c r="E448"/>
      <c r="F448"/>
    </row>
    <row r="449" spans="1:6">
      <c r="A449"/>
      <c r="D449"/>
      <c r="E449"/>
      <c r="F449"/>
    </row>
    <row r="450" spans="1:6">
      <c r="A450"/>
      <c r="D450"/>
      <c r="E450"/>
      <c r="F450"/>
    </row>
    <row r="451" spans="1:6">
      <c r="A451"/>
      <c r="D451"/>
      <c r="E451"/>
      <c r="F451"/>
    </row>
    <row r="452" spans="1:6">
      <c r="A452"/>
      <c r="D452"/>
      <c r="E452"/>
      <c r="F452"/>
    </row>
    <row r="453" spans="1:6">
      <c r="A453"/>
      <c r="D453"/>
      <c r="E453"/>
      <c r="F453"/>
    </row>
    <row r="454" spans="1:6">
      <c r="A454"/>
      <c r="D454"/>
      <c r="E454"/>
      <c r="F454"/>
    </row>
    <row r="455" spans="1:6">
      <c r="A455"/>
      <c r="D455"/>
      <c r="E455"/>
      <c r="F455"/>
    </row>
    <row r="456" spans="1:6">
      <c r="A456"/>
      <c r="D456"/>
      <c r="E456"/>
      <c r="F456"/>
    </row>
    <row r="457" spans="1:6">
      <c r="A457"/>
      <c r="D457"/>
      <c r="E457"/>
      <c r="F457"/>
    </row>
    <row r="458" spans="1:6">
      <c r="A458"/>
      <c r="D458"/>
      <c r="E458"/>
      <c r="F458"/>
    </row>
    <row r="459" spans="1:6">
      <c r="A459"/>
      <c r="D459"/>
      <c r="E459"/>
      <c r="F459"/>
    </row>
    <row r="460" spans="1:6">
      <c r="A460"/>
      <c r="D460"/>
      <c r="E460"/>
      <c r="F460"/>
    </row>
    <row r="461" spans="1:6">
      <c r="A461"/>
      <c r="D461"/>
      <c r="E461"/>
      <c r="F461"/>
    </row>
    <row r="462" spans="1:6">
      <c r="A462"/>
      <c r="D462"/>
      <c r="E462"/>
      <c r="F462"/>
    </row>
    <row r="463" spans="1:6">
      <c r="A463"/>
      <c r="D463"/>
      <c r="E463"/>
      <c r="F463"/>
    </row>
    <row r="464" spans="1:6">
      <c r="A464"/>
      <c r="D464"/>
      <c r="E464"/>
      <c r="F464"/>
    </row>
    <row r="465" spans="1:6">
      <c r="A465"/>
      <c r="D465"/>
      <c r="E465"/>
      <c r="F465"/>
    </row>
    <row r="466" spans="1:6">
      <c r="A466"/>
      <c r="D466"/>
      <c r="E466"/>
      <c r="F466"/>
    </row>
    <row r="467" spans="1:6">
      <c r="A467"/>
      <c r="D467"/>
      <c r="E467"/>
      <c r="F467"/>
    </row>
    <row r="468" spans="1:6">
      <c r="A468"/>
      <c r="D468"/>
      <c r="E468"/>
      <c r="F468"/>
    </row>
    <row r="469" spans="1:6">
      <c r="A469"/>
      <c r="D469"/>
      <c r="E469"/>
      <c r="F469"/>
    </row>
    <row r="470" spans="1:6">
      <c r="A470"/>
      <c r="D470"/>
      <c r="E470"/>
      <c r="F470"/>
    </row>
    <row r="471" spans="1:6">
      <c r="A471"/>
      <c r="D471"/>
      <c r="E471"/>
      <c r="F471"/>
    </row>
    <row r="472" spans="1:6">
      <c r="A472"/>
      <c r="D472"/>
      <c r="E472"/>
      <c r="F472"/>
    </row>
    <row r="473" spans="1:6">
      <c r="A473"/>
      <c r="D473"/>
      <c r="E473"/>
      <c r="F473"/>
    </row>
    <row r="474" spans="1:6">
      <c r="A474"/>
      <c r="D474"/>
      <c r="E474"/>
      <c r="F474"/>
    </row>
    <row r="475" spans="1:6">
      <c r="A475"/>
      <c r="D475"/>
      <c r="E475"/>
      <c r="F475"/>
    </row>
    <row r="476" spans="1:6">
      <c r="A476"/>
      <c r="D476"/>
      <c r="E476"/>
      <c r="F476"/>
    </row>
    <row r="477" spans="1:6">
      <c r="A477"/>
      <c r="D477"/>
      <c r="E477"/>
      <c r="F477"/>
    </row>
    <row r="478" spans="1:6">
      <c r="A478"/>
      <c r="D478"/>
      <c r="E478"/>
      <c r="F478"/>
    </row>
    <row r="479" spans="1:6">
      <c r="A479"/>
      <c r="D479"/>
      <c r="E479"/>
      <c r="F479"/>
    </row>
    <row r="480" spans="1:6">
      <c r="A480"/>
      <c r="D480"/>
      <c r="E480"/>
      <c r="F480"/>
    </row>
    <row r="481" spans="1:6">
      <c r="A481"/>
      <c r="D481"/>
      <c r="E481"/>
      <c r="F481"/>
    </row>
    <row r="482" spans="1:6">
      <c r="A482"/>
      <c r="D482"/>
      <c r="E482"/>
      <c r="F482"/>
    </row>
    <row r="483" spans="1:6">
      <c r="A483"/>
      <c r="D483"/>
      <c r="E483"/>
      <c r="F483"/>
    </row>
    <row r="484" spans="1:6">
      <c r="A484"/>
      <c r="D484"/>
      <c r="E484"/>
      <c r="F484"/>
    </row>
    <row r="485" spans="1:6">
      <c r="A485"/>
      <c r="D485"/>
      <c r="E485"/>
      <c r="F485"/>
    </row>
    <row r="486" spans="1:6">
      <c r="A486"/>
      <c r="D486"/>
      <c r="E486"/>
      <c r="F486"/>
    </row>
    <row r="487" spans="1:6">
      <c r="A487"/>
      <c r="D487"/>
      <c r="E487"/>
      <c r="F487"/>
    </row>
    <row r="488" spans="1:6">
      <c r="A488"/>
      <c r="D488"/>
      <c r="E488"/>
      <c r="F488"/>
    </row>
    <row r="489" spans="1:6">
      <c r="A489"/>
      <c r="D489"/>
      <c r="E489"/>
      <c r="F489"/>
    </row>
    <row r="490" spans="1:6">
      <c r="A490"/>
      <c r="D490"/>
      <c r="E490"/>
      <c r="F490"/>
    </row>
    <row r="491" spans="1:6">
      <c r="A491"/>
      <c r="D491"/>
      <c r="E491"/>
      <c r="F491"/>
    </row>
    <row r="492" spans="1:6">
      <c r="A492"/>
      <c r="D492"/>
      <c r="E492"/>
      <c r="F492"/>
    </row>
    <row r="493" spans="1:6">
      <c r="A493"/>
      <c r="D493"/>
      <c r="E493"/>
      <c r="F493"/>
    </row>
    <row r="494" spans="1:6">
      <c r="A494"/>
      <c r="D494"/>
      <c r="E494"/>
      <c r="F494"/>
    </row>
    <row r="495" spans="1:6">
      <c r="A495"/>
      <c r="D495"/>
      <c r="E495"/>
      <c r="F495"/>
    </row>
    <row r="496" spans="1:6">
      <c r="A496"/>
      <c r="D496"/>
      <c r="E496"/>
      <c r="F496"/>
    </row>
    <row r="497" spans="1:6">
      <c r="A497"/>
      <c r="D497"/>
      <c r="E497"/>
      <c r="F497"/>
    </row>
    <row r="498" spans="1:6">
      <c r="A498"/>
      <c r="D498"/>
      <c r="E498"/>
      <c r="F498"/>
    </row>
    <row r="499" spans="1:6">
      <c r="A499"/>
      <c r="D499"/>
      <c r="E499"/>
      <c r="F499"/>
    </row>
    <row r="500" spans="1:6">
      <c r="A500"/>
      <c r="D500"/>
      <c r="E500"/>
      <c r="F500"/>
    </row>
    <row r="501" spans="1:6">
      <c r="A501"/>
      <c r="D501"/>
      <c r="E501"/>
      <c r="F501"/>
    </row>
    <row r="502" spans="1:6">
      <c r="A502"/>
      <c r="D502"/>
      <c r="E502"/>
      <c r="F502"/>
    </row>
    <row r="503" spans="1:6">
      <c r="A503"/>
      <c r="D503"/>
      <c r="E503"/>
      <c r="F503"/>
    </row>
    <row r="504" spans="1:6">
      <c r="A504"/>
      <c r="D504"/>
      <c r="E504"/>
      <c r="F504"/>
    </row>
    <row r="505" spans="1:6">
      <c r="A505"/>
      <c r="D505"/>
      <c r="E505"/>
      <c r="F505"/>
    </row>
    <row r="506" spans="1:6">
      <c r="A506"/>
      <c r="D506"/>
      <c r="E506"/>
      <c r="F506"/>
    </row>
    <row r="507" spans="1:6">
      <c r="A507"/>
      <c r="D507"/>
      <c r="E507"/>
      <c r="F507"/>
    </row>
    <row r="508" spans="1:6">
      <c r="A508"/>
      <c r="D508"/>
      <c r="E508"/>
      <c r="F508"/>
    </row>
    <row r="509" spans="1:6">
      <c r="A509"/>
      <c r="D509"/>
      <c r="E509"/>
      <c r="F509"/>
    </row>
    <row r="510" spans="1:6">
      <c r="A510"/>
      <c r="D510"/>
      <c r="E510"/>
      <c r="F510"/>
    </row>
    <row r="511" spans="1:6">
      <c r="A511"/>
      <c r="D511"/>
      <c r="E511"/>
      <c r="F511"/>
    </row>
    <row r="512" spans="1:6">
      <c r="A512"/>
      <c r="D512"/>
      <c r="E512"/>
      <c r="F512"/>
    </row>
    <row r="513" spans="1:6">
      <c r="A513"/>
      <c r="D513"/>
      <c r="E513"/>
      <c r="F513"/>
    </row>
    <row r="514" spans="1:6">
      <c r="A514"/>
      <c r="D514"/>
      <c r="E514"/>
      <c r="F514"/>
    </row>
    <row r="515" spans="1:6">
      <c r="A515"/>
      <c r="D515"/>
      <c r="E515"/>
      <c r="F515"/>
    </row>
    <row r="516" spans="1:6">
      <c r="A516"/>
      <c r="D516"/>
      <c r="E516"/>
      <c r="F516"/>
    </row>
    <row r="517" spans="1:6">
      <c r="A517"/>
      <c r="D517"/>
      <c r="E517"/>
      <c r="F517"/>
    </row>
    <row r="518" spans="1:6">
      <c r="A518"/>
      <c r="D518"/>
      <c r="E518"/>
      <c r="F518"/>
    </row>
    <row r="519" spans="1:6">
      <c r="A519"/>
      <c r="D519"/>
      <c r="E519"/>
      <c r="F519"/>
    </row>
    <row r="520" spans="1:6">
      <c r="A520"/>
      <c r="D520"/>
      <c r="E520"/>
      <c r="F520"/>
    </row>
    <row r="521" spans="1:6">
      <c r="A521"/>
      <c r="D521"/>
      <c r="E521"/>
      <c r="F521"/>
    </row>
    <row r="522" spans="1:6">
      <c r="A522"/>
      <c r="D522"/>
      <c r="E522"/>
      <c r="F522"/>
    </row>
    <row r="523" spans="1:6">
      <c r="A523"/>
      <c r="D523"/>
      <c r="E523"/>
      <c r="F523"/>
    </row>
    <row r="524" spans="1:6">
      <c r="A524"/>
      <c r="D524"/>
      <c r="E524"/>
      <c r="F524"/>
    </row>
    <row r="525" spans="1:6">
      <c r="A525"/>
      <c r="D525"/>
      <c r="E525"/>
      <c r="F525"/>
    </row>
    <row r="526" spans="1:6">
      <c r="A526"/>
      <c r="D526"/>
      <c r="E526"/>
      <c r="F526"/>
    </row>
    <row r="527" spans="1:6">
      <c r="A527"/>
      <c r="D527"/>
      <c r="E527"/>
      <c r="F527"/>
    </row>
    <row r="528" spans="1:6">
      <c r="A528"/>
      <c r="D528"/>
      <c r="E528"/>
      <c r="F528"/>
    </row>
    <row r="529" spans="1:6">
      <c r="A529"/>
      <c r="D529"/>
      <c r="E529"/>
      <c r="F529"/>
    </row>
    <row r="530" spans="1:6">
      <c r="A530"/>
      <c r="D530"/>
      <c r="E530"/>
      <c r="F530"/>
    </row>
    <row r="531" spans="1:6">
      <c r="A531"/>
      <c r="D531"/>
      <c r="E531"/>
      <c r="F531"/>
    </row>
    <row r="532" spans="1:6">
      <c r="A532"/>
      <c r="D532"/>
      <c r="E532"/>
      <c r="F532"/>
    </row>
    <row r="533" spans="1:6">
      <c r="A533"/>
      <c r="D533"/>
      <c r="E533"/>
      <c r="F533"/>
    </row>
    <row r="534" spans="1:6">
      <c r="A534"/>
      <c r="D534"/>
      <c r="E534"/>
      <c r="F534"/>
    </row>
    <row r="535" spans="1:6">
      <c r="A535"/>
      <c r="D535"/>
      <c r="E535"/>
      <c r="F535"/>
    </row>
    <row r="536" spans="1:6">
      <c r="A536"/>
      <c r="D536"/>
      <c r="E536"/>
      <c r="F536"/>
    </row>
    <row r="537" spans="1:6">
      <c r="A537"/>
      <c r="D537"/>
      <c r="E537"/>
      <c r="F537"/>
    </row>
    <row r="538" spans="1:6">
      <c r="A538"/>
      <c r="D538"/>
      <c r="E538"/>
      <c r="F538"/>
    </row>
    <row r="539" spans="1:6">
      <c r="A539"/>
      <c r="D539"/>
      <c r="E539"/>
      <c r="F539"/>
    </row>
    <row r="540" spans="1:6">
      <c r="A540"/>
      <c r="D540"/>
      <c r="E540"/>
      <c r="F540"/>
    </row>
    <row r="541" spans="1:6">
      <c r="A541"/>
      <c r="D541"/>
      <c r="E541"/>
      <c r="F541"/>
    </row>
    <row r="542" spans="1:6">
      <c r="A542"/>
      <c r="D542"/>
      <c r="E542"/>
      <c r="F542"/>
    </row>
    <row r="543" spans="1:6">
      <c r="A543"/>
      <c r="D543"/>
      <c r="E543"/>
      <c r="F543"/>
    </row>
    <row r="544" spans="1:6">
      <c r="A544"/>
      <c r="D544"/>
      <c r="E544"/>
      <c r="F544"/>
    </row>
    <row r="545" spans="1:6">
      <c r="A545"/>
      <c r="D545"/>
      <c r="E545"/>
      <c r="F545"/>
    </row>
    <row r="546" spans="1:6">
      <c r="A546"/>
      <c r="D546"/>
      <c r="E546"/>
      <c r="F546"/>
    </row>
    <row r="547" spans="1:6">
      <c r="A547"/>
      <c r="D547"/>
      <c r="E547"/>
      <c r="F547"/>
    </row>
    <row r="548" spans="1:6">
      <c r="A548"/>
      <c r="D548"/>
      <c r="E548"/>
      <c r="F548"/>
    </row>
    <row r="549" spans="1:6">
      <c r="A549"/>
      <c r="D549"/>
      <c r="E549"/>
      <c r="F549"/>
    </row>
    <row r="550" spans="1:6">
      <c r="A550"/>
      <c r="D550"/>
      <c r="E550"/>
      <c r="F550"/>
    </row>
    <row r="551" spans="1:6">
      <c r="A551"/>
      <c r="D551"/>
      <c r="E551"/>
      <c r="F551"/>
    </row>
    <row r="552" spans="1:6">
      <c r="A552"/>
      <c r="D552"/>
      <c r="E552"/>
      <c r="F552"/>
    </row>
    <row r="553" spans="1:6">
      <c r="A553"/>
      <c r="D553"/>
      <c r="E553"/>
      <c r="F553"/>
    </row>
    <row r="554" spans="1:6">
      <c r="A554"/>
      <c r="D554"/>
      <c r="E554"/>
      <c r="F554"/>
    </row>
    <row r="555" spans="1:6">
      <c r="A555"/>
      <c r="D555"/>
      <c r="E555"/>
      <c r="F555"/>
    </row>
    <row r="556" spans="1:6">
      <c r="A556"/>
      <c r="D556"/>
      <c r="E556"/>
      <c r="F556"/>
    </row>
    <row r="557" spans="1:6">
      <c r="A557"/>
      <c r="D557"/>
      <c r="E557"/>
      <c r="F557"/>
    </row>
    <row r="558" spans="1:6">
      <c r="A558"/>
      <c r="D558"/>
      <c r="E558"/>
      <c r="F558"/>
    </row>
    <row r="559" spans="1:6">
      <c r="A559"/>
      <c r="D559"/>
      <c r="E559"/>
      <c r="F559"/>
    </row>
    <row r="560" spans="1:6">
      <c r="A560"/>
      <c r="D560"/>
      <c r="E560"/>
      <c r="F560"/>
    </row>
    <row r="561" spans="1:6">
      <c r="A561"/>
      <c r="D561"/>
      <c r="E561"/>
      <c r="F561"/>
    </row>
    <row r="562" spans="1:6">
      <c r="A562"/>
      <c r="D562"/>
      <c r="E562"/>
      <c r="F562"/>
    </row>
    <row r="563" spans="1:6">
      <c r="A563"/>
      <c r="D563"/>
      <c r="E563"/>
      <c r="F563"/>
    </row>
    <row r="564" spans="1:6">
      <c r="A564"/>
      <c r="D564"/>
      <c r="E564"/>
      <c r="F564"/>
    </row>
    <row r="565" spans="1:6">
      <c r="A565"/>
      <c r="D565"/>
      <c r="E565"/>
      <c r="F565"/>
    </row>
    <row r="566" spans="1:6">
      <c r="A566"/>
      <c r="D566"/>
      <c r="E566"/>
      <c r="F566"/>
    </row>
    <row r="567" spans="1:6">
      <c r="A567"/>
      <c r="D567"/>
      <c r="E567"/>
      <c r="F567"/>
    </row>
    <row r="568" spans="1:6">
      <c r="A568"/>
      <c r="D568"/>
      <c r="E568"/>
      <c r="F568"/>
    </row>
    <row r="569" spans="1:6">
      <c r="A569"/>
      <c r="D569"/>
      <c r="E569"/>
      <c r="F569"/>
    </row>
    <row r="570" spans="1:6">
      <c r="A570"/>
      <c r="D570"/>
      <c r="E570"/>
      <c r="F570"/>
    </row>
    <row r="571" spans="1:6">
      <c r="A571"/>
      <c r="D571"/>
      <c r="E571"/>
      <c r="F571"/>
    </row>
    <row r="572" spans="1:6">
      <c r="A572"/>
      <c r="D572"/>
      <c r="E572"/>
      <c r="F572"/>
    </row>
    <row r="573" spans="1:6">
      <c r="A573"/>
      <c r="D573"/>
      <c r="E573"/>
      <c r="F573"/>
    </row>
    <row r="574" spans="1:6">
      <c r="A574"/>
      <c r="D574"/>
      <c r="E574"/>
      <c r="F574"/>
    </row>
    <row r="575" spans="1:6">
      <c r="A575"/>
      <c r="D575"/>
      <c r="E575"/>
      <c r="F575"/>
    </row>
    <row r="576" spans="1:6">
      <c r="A576"/>
      <c r="D576"/>
      <c r="E576"/>
      <c r="F576"/>
    </row>
    <row r="577" spans="1:6">
      <c r="A577"/>
      <c r="D577"/>
      <c r="E577"/>
      <c r="F577"/>
    </row>
    <row r="578" spans="1:6">
      <c r="A578"/>
      <c r="D578"/>
      <c r="E578"/>
      <c r="F578"/>
    </row>
    <row r="579" spans="1:6">
      <c r="A579"/>
      <c r="D579"/>
      <c r="E579"/>
      <c r="F579"/>
    </row>
    <row r="580" spans="1:6">
      <c r="A580"/>
      <c r="D580"/>
      <c r="E580"/>
      <c r="F580"/>
    </row>
    <row r="581" spans="1:6">
      <c r="A581"/>
      <c r="D581"/>
      <c r="E581"/>
      <c r="F581"/>
    </row>
    <row r="582" spans="1:6">
      <c r="A582"/>
      <c r="D582"/>
      <c r="E582"/>
      <c r="F582"/>
    </row>
    <row r="583" spans="1:6">
      <c r="A583"/>
      <c r="D583"/>
      <c r="E583"/>
      <c r="F583"/>
    </row>
    <row r="584" spans="1:6">
      <c r="A584"/>
      <c r="D584"/>
      <c r="E584"/>
      <c r="F584"/>
    </row>
    <row r="585" spans="1:6">
      <c r="A585"/>
      <c r="D585"/>
      <c r="E585"/>
      <c r="F585"/>
    </row>
    <row r="586" spans="1:6">
      <c r="A586"/>
      <c r="D586"/>
      <c r="E586"/>
      <c r="F586"/>
    </row>
    <row r="587" spans="1:6">
      <c r="A587"/>
      <c r="D587"/>
      <c r="E587"/>
      <c r="F587"/>
    </row>
    <row r="588" spans="1:6">
      <c r="A588"/>
      <c r="D588"/>
      <c r="E588"/>
      <c r="F588"/>
    </row>
    <row r="589" spans="1:6">
      <c r="A589"/>
      <c r="D589"/>
      <c r="E589"/>
      <c r="F589"/>
    </row>
    <row r="590" spans="1:6">
      <c r="A590"/>
      <c r="D590"/>
      <c r="E590"/>
      <c r="F590"/>
    </row>
    <row r="591" spans="1:6">
      <c r="A591"/>
      <c r="D591"/>
      <c r="E591"/>
      <c r="F591"/>
    </row>
    <row r="592" spans="1:6">
      <c r="A592"/>
      <c r="D592"/>
      <c r="E592"/>
      <c r="F592"/>
    </row>
    <row r="593" spans="1:6">
      <c r="A593"/>
      <c r="D593"/>
      <c r="E593"/>
      <c r="F593"/>
    </row>
    <row r="594" spans="1:6">
      <c r="A594"/>
      <c r="D594"/>
      <c r="E594"/>
      <c r="F594"/>
    </row>
    <row r="595" spans="1:6">
      <c r="A595"/>
      <c r="D595"/>
      <c r="E595"/>
      <c r="F595"/>
    </row>
    <row r="596" spans="1:6">
      <c r="A596"/>
      <c r="D596"/>
      <c r="E596"/>
      <c r="F596"/>
    </row>
    <row r="597" spans="1:6">
      <c r="A597"/>
      <c r="D597"/>
      <c r="E597"/>
      <c r="F597"/>
    </row>
    <row r="598" spans="1:6">
      <c r="A598"/>
      <c r="D598"/>
      <c r="E598"/>
      <c r="F598"/>
    </row>
    <row r="599" spans="1:6">
      <c r="A599"/>
      <c r="D599"/>
      <c r="E599"/>
      <c r="F599"/>
    </row>
    <row r="600" spans="1:6">
      <c r="A600"/>
      <c r="D600"/>
      <c r="E600"/>
      <c r="F600"/>
    </row>
    <row r="601" spans="1:6">
      <c r="A601"/>
      <c r="D601"/>
      <c r="E601"/>
      <c r="F601"/>
    </row>
    <row r="602" spans="1:6">
      <c r="A602"/>
      <c r="D602"/>
      <c r="E602"/>
      <c r="F602"/>
    </row>
    <row r="603" spans="1:6">
      <c r="A603"/>
      <c r="D603"/>
      <c r="E603"/>
      <c r="F603"/>
    </row>
    <row r="604" spans="1:6">
      <c r="A604"/>
      <c r="D604"/>
      <c r="E604"/>
      <c r="F604"/>
    </row>
    <row r="605" spans="1:6">
      <c r="A605"/>
      <c r="D605"/>
      <c r="E605"/>
      <c r="F605"/>
    </row>
    <row r="606" spans="1:6">
      <c r="A606"/>
      <c r="D606"/>
      <c r="E606"/>
      <c r="F606"/>
    </row>
    <row r="607" spans="1:6">
      <c r="A607"/>
      <c r="D607"/>
      <c r="E607"/>
      <c r="F607"/>
    </row>
    <row r="608" spans="1:6">
      <c r="A608"/>
      <c r="D608"/>
      <c r="E608"/>
      <c r="F608"/>
    </row>
    <row r="609" spans="1:6">
      <c r="A609"/>
      <c r="D609"/>
      <c r="E609"/>
      <c r="F609"/>
    </row>
    <row r="610" spans="1:6">
      <c r="A610"/>
      <c r="D610"/>
      <c r="E610"/>
      <c r="F610"/>
    </row>
    <row r="611" spans="1:6">
      <c r="A611"/>
      <c r="D611"/>
      <c r="E611"/>
      <c r="F611"/>
    </row>
    <row r="612" spans="1:6">
      <c r="A612"/>
      <c r="D612"/>
      <c r="E612"/>
      <c r="F612"/>
    </row>
    <row r="613" spans="1:6">
      <c r="A613"/>
      <c r="D613"/>
      <c r="E613"/>
      <c r="F613"/>
    </row>
    <row r="614" spans="1:6">
      <c r="A614"/>
      <c r="D614"/>
      <c r="E614"/>
      <c r="F614"/>
    </row>
    <row r="615" spans="1:6">
      <c r="A615"/>
      <c r="D615"/>
      <c r="E615"/>
      <c r="F615"/>
    </row>
    <row r="616" spans="1:6">
      <c r="A616"/>
      <c r="D616"/>
      <c r="E616"/>
      <c r="F616"/>
    </row>
    <row r="617" spans="1:6">
      <c r="A617"/>
      <c r="D617"/>
      <c r="E617"/>
      <c r="F617"/>
    </row>
    <row r="618" spans="1:6">
      <c r="A618"/>
      <c r="D618"/>
      <c r="E618"/>
      <c r="F618"/>
    </row>
    <row r="619" spans="1:6">
      <c r="A619"/>
      <c r="D619"/>
      <c r="E619"/>
      <c r="F619"/>
    </row>
    <row r="620" spans="1:6">
      <c r="A620"/>
      <c r="D620"/>
      <c r="E620"/>
      <c r="F620"/>
    </row>
    <row r="621" spans="1:6">
      <c r="A621"/>
      <c r="D621"/>
      <c r="E621"/>
      <c r="F621"/>
    </row>
    <row r="622" spans="1:6">
      <c r="A622"/>
      <c r="D622"/>
      <c r="E622"/>
      <c r="F622"/>
    </row>
    <row r="623" spans="1:6">
      <c r="A623"/>
      <c r="D623"/>
      <c r="E623"/>
      <c r="F623"/>
    </row>
    <row r="624" spans="1:6">
      <c r="A624"/>
      <c r="D624"/>
      <c r="E624"/>
      <c r="F624"/>
    </row>
    <row r="625" spans="1:6">
      <c r="A625"/>
      <c r="D625"/>
      <c r="E625"/>
      <c r="F625"/>
    </row>
    <row r="626" spans="1:6">
      <c r="A626"/>
      <c r="D626"/>
      <c r="E626"/>
      <c r="F626"/>
    </row>
    <row r="627" spans="1:6">
      <c r="A627"/>
      <c r="D627"/>
      <c r="E627"/>
      <c r="F627"/>
    </row>
    <row r="628" spans="1:6">
      <c r="A628"/>
      <c r="D628"/>
      <c r="E628"/>
      <c r="F628"/>
    </row>
    <row r="629" spans="1:6">
      <c r="A629"/>
      <c r="D629"/>
      <c r="E629"/>
      <c r="F629"/>
    </row>
    <row r="630" spans="1:6">
      <c r="A630"/>
      <c r="D630"/>
      <c r="E630"/>
      <c r="F630"/>
    </row>
    <row r="631" spans="1:6">
      <c r="A631"/>
      <c r="D631"/>
      <c r="E631"/>
      <c r="F631"/>
    </row>
    <row r="632" spans="1:6">
      <c r="A632"/>
      <c r="D632"/>
      <c r="E632"/>
      <c r="F632"/>
    </row>
    <row r="633" spans="1:6">
      <c r="A633"/>
      <c r="D633"/>
      <c r="E633"/>
      <c r="F633"/>
    </row>
    <row r="634" spans="1:6">
      <c r="A634"/>
      <c r="D634"/>
      <c r="E634"/>
      <c r="F634"/>
    </row>
    <row r="635" spans="1:6">
      <c r="A635"/>
      <c r="D635"/>
      <c r="E635"/>
      <c r="F635"/>
    </row>
    <row r="636" spans="1:6">
      <c r="A636"/>
      <c r="D636"/>
      <c r="E636"/>
      <c r="F636"/>
    </row>
    <row r="637" spans="1:6">
      <c r="A637"/>
      <c r="D637"/>
      <c r="E637"/>
      <c r="F637"/>
    </row>
    <row r="638" spans="1:6">
      <c r="A638"/>
      <c r="D638"/>
      <c r="E638"/>
      <c r="F638"/>
    </row>
    <row r="639" spans="1:6">
      <c r="A639"/>
      <c r="D639"/>
      <c r="E639"/>
      <c r="F639"/>
    </row>
    <row r="640" spans="1:6">
      <c r="A640"/>
      <c r="D640"/>
      <c r="E640"/>
      <c r="F640"/>
    </row>
    <row r="641" spans="1:6">
      <c r="A641"/>
      <c r="D641"/>
      <c r="E641"/>
      <c r="F641"/>
    </row>
    <row r="642" spans="1:6">
      <c r="A642"/>
      <c r="D642"/>
      <c r="E642"/>
      <c r="F642"/>
    </row>
    <row r="643" spans="1:6">
      <c r="A643"/>
      <c r="D643"/>
      <c r="E643"/>
      <c r="F643"/>
    </row>
    <row r="644" spans="1:6">
      <c r="A644"/>
      <c r="D644"/>
      <c r="E644"/>
      <c r="F644"/>
    </row>
    <row r="645" spans="1:6">
      <c r="A645"/>
      <c r="D645"/>
      <c r="E645"/>
      <c r="F645"/>
    </row>
    <row r="646" spans="1:6">
      <c r="A646"/>
      <c r="D646"/>
      <c r="E646"/>
      <c r="F646"/>
    </row>
    <row r="647" spans="1:6">
      <c r="A647"/>
      <c r="D647"/>
      <c r="E647"/>
      <c r="F647"/>
    </row>
    <row r="648" spans="1:6">
      <c r="A648"/>
      <c r="D648"/>
      <c r="E648"/>
      <c r="F648"/>
    </row>
    <row r="649" spans="1:6">
      <c r="A649"/>
      <c r="D649"/>
      <c r="E649"/>
      <c r="F649"/>
    </row>
    <row r="650" spans="1:6">
      <c r="A650"/>
      <c r="D650"/>
      <c r="E650"/>
      <c r="F650"/>
    </row>
    <row r="651" spans="1:6">
      <c r="A651"/>
      <c r="D651"/>
      <c r="E651"/>
      <c r="F651"/>
    </row>
    <row r="652" spans="1:6">
      <c r="A652"/>
      <c r="D652"/>
      <c r="E652"/>
      <c r="F652"/>
    </row>
    <row r="653" spans="1:6">
      <c r="A653"/>
      <c r="D653"/>
      <c r="E653"/>
      <c r="F653"/>
    </row>
    <row r="654" spans="1:6">
      <c r="A654"/>
      <c r="D654"/>
      <c r="E654"/>
      <c r="F654"/>
    </row>
    <row r="655" spans="1:6">
      <c r="A655"/>
      <c r="D655"/>
      <c r="E655"/>
      <c r="F655"/>
    </row>
    <row r="656" spans="1:6">
      <c r="A656"/>
      <c r="D656"/>
      <c r="E656"/>
      <c r="F656"/>
    </row>
    <row r="657" spans="1:6">
      <c r="A657"/>
      <c r="D657"/>
      <c r="E657"/>
      <c r="F657"/>
    </row>
    <row r="658" spans="1:6">
      <c r="A658"/>
      <c r="D658"/>
      <c r="E658"/>
      <c r="F658"/>
    </row>
    <row r="659" spans="1:6">
      <c r="A659"/>
      <c r="D659"/>
      <c r="E659"/>
      <c r="F659"/>
    </row>
    <row r="660" spans="1:6">
      <c r="A660"/>
      <c r="D660"/>
      <c r="E660"/>
      <c r="F660"/>
    </row>
    <row r="661" spans="1:6">
      <c r="A661"/>
      <c r="D661"/>
      <c r="E661"/>
      <c r="F661"/>
    </row>
    <row r="662" spans="1:6">
      <c r="A662"/>
      <c r="D662"/>
      <c r="E662"/>
      <c r="F662"/>
    </row>
    <row r="663" spans="1:6">
      <c r="A663"/>
      <c r="D663"/>
      <c r="E663"/>
      <c r="F663"/>
    </row>
    <row r="664" spans="1:6">
      <c r="A664"/>
      <c r="D664"/>
      <c r="E664"/>
      <c r="F664"/>
    </row>
    <row r="665" spans="1:6">
      <c r="A665"/>
      <c r="D665"/>
      <c r="E665"/>
      <c r="F665"/>
    </row>
    <row r="666" spans="1:6">
      <c r="A666"/>
      <c r="D666"/>
      <c r="E666"/>
      <c r="F666"/>
    </row>
    <row r="667" spans="1:6">
      <c r="A667"/>
      <c r="D667"/>
      <c r="E667"/>
      <c r="F667"/>
    </row>
    <row r="668" spans="1:6">
      <c r="A668"/>
      <c r="D668"/>
      <c r="E668"/>
      <c r="F668"/>
    </row>
    <row r="669" spans="1:6">
      <c r="A669"/>
      <c r="D669"/>
      <c r="E669"/>
      <c r="F669"/>
    </row>
    <row r="670" spans="1:6">
      <c r="A670"/>
      <c r="D670"/>
      <c r="E670"/>
      <c r="F670"/>
    </row>
    <row r="671" spans="1:6">
      <c r="A671"/>
      <c r="D671"/>
      <c r="E671"/>
      <c r="F671"/>
    </row>
    <row r="672" spans="1:6">
      <c r="A672"/>
      <c r="D672"/>
      <c r="E672"/>
      <c r="F672"/>
    </row>
    <row r="673" spans="1:6">
      <c r="A673"/>
      <c r="D673"/>
      <c r="E673"/>
      <c r="F673"/>
    </row>
    <row r="674" spans="1:6">
      <c r="A674"/>
      <c r="D674"/>
      <c r="E674"/>
      <c r="F674"/>
    </row>
    <row r="675" spans="1:6">
      <c r="A675"/>
      <c r="D675"/>
      <c r="E675"/>
      <c r="F675"/>
    </row>
    <row r="676" spans="1:6">
      <c r="A676"/>
      <c r="D676"/>
      <c r="E676"/>
      <c r="F676"/>
    </row>
    <row r="677" spans="1:6">
      <c r="A677"/>
      <c r="D677"/>
      <c r="E677"/>
      <c r="F677"/>
    </row>
    <row r="678" spans="1:6">
      <c r="A678"/>
      <c r="D678"/>
      <c r="E678"/>
      <c r="F678"/>
    </row>
    <row r="679" spans="1:6">
      <c r="A679"/>
      <c r="D679"/>
      <c r="E679"/>
      <c r="F679"/>
    </row>
    <row r="680" spans="1:6">
      <c r="A680"/>
      <c r="D680"/>
      <c r="E680"/>
      <c r="F680"/>
    </row>
    <row r="681" spans="1:6">
      <c r="A681"/>
      <c r="D681"/>
      <c r="E681"/>
      <c r="F681"/>
    </row>
    <row r="682" spans="1:6">
      <c r="A682"/>
      <c r="D682"/>
      <c r="E682"/>
      <c r="F682"/>
    </row>
    <row r="683" spans="1:6">
      <c r="A683"/>
      <c r="D683"/>
      <c r="E683"/>
      <c r="F683"/>
    </row>
    <row r="684" spans="1:6">
      <c r="A684"/>
      <c r="D684"/>
      <c r="E684"/>
      <c r="F684"/>
    </row>
    <row r="685" spans="1:6">
      <c r="A685"/>
      <c r="D685"/>
      <c r="E685"/>
      <c r="F685"/>
    </row>
    <row r="686" spans="1:6">
      <c r="A686"/>
      <c r="D686"/>
      <c r="E686"/>
      <c r="F686"/>
    </row>
    <row r="687" spans="1:6">
      <c r="A687"/>
      <c r="D687"/>
      <c r="E687"/>
      <c r="F687"/>
    </row>
    <row r="688" spans="1:6">
      <c r="A688"/>
      <c r="D688"/>
      <c r="E688"/>
      <c r="F688"/>
    </row>
    <row r="689" spans="1:6">
      <c r="A689"/>
      <c r="D689"/>
      <c r="E689"/>
      <c r="F689"/>
    </row>
    <row r="690" spans="1:6">
      <c r="A690"/>
      <c r="D690"/>
      <c r="E690"/>
      <c r="F690"/>
    </row>
    <row r="691" spans="1:6">
      <c r="A691"/>
      <c r="D691"/>
      <c r="E691"/>
      <c r="F691"/>
    </row>
    <row r="692" spans="1:6">
      <c r="A692"/>
      <c r="D692"/>
      <c r="E692"/>
      <c r="F692"/>
    </row>
    <row r="693" spans="1:6">
      <c r="A693"/>
      <c r="D693"/>
      <c r="E693"/>
      <c r="F693"/>
    </row>
    <row r="694" spans="1:6">
      <c r="A694"/>
      <c r="D694"/>
      <c r="E694"/>
      <c r="F694"/>
    </row>
    <row r="695" spans="1:6">
      <c r="A695"/>
      <c r="D695"/>
      <c r="E695"/>
      <c r="F695"/>
    </row>
    <row r="696" spans="1:6">
      <c r="A696"/>
      <c r="D696"/>
      <c r="E696"/>
      <c r="F696"/>
    </row>
    <row r="697" spans="1:6">
      <c r="A697"/>
      <c r="D697"/>
      <c r="E697"/>
      <c r="F697"/>
    </row>
    <row r="698" spans="1:6">
      <c r="A698"/>
      <c r="D698"/>
      <c r="E698"/>
      <c r="F698"/>
    </row>
    <row r="699" spans="1:6">
      <c r="A699"/>
      <c r="D699"/>
      <c r="E699"/>
      <c r="F699"/>
    </row>
    <row r="700" spans="1:6">
      <c r="A700"/>
      <c r="D700"/>
      <c r="E700"/>
      <c r="F700"/>
    </row>
    <row r="701" spans="1:6">
      <c r="A701"/>
      <c r="D701"/>
      <c r="E701"/>
      <c r="F701"/>
    </row>
    <row r="702" spans="1:6">
      <c r="A702"/>
      <c r="D702"/>
      <c r="E702"/>
      <c r="F702"/>
    </row>
    <row r="703" spans="1:6">
      <c r="A703"/>
      <c r="D703"/>
      <c r="E703"/>
      <c r="F703"/>
    </row>
    <row r="704" spans="1:6">
      <c r="A704"/>
      <c r="D704"/>
      <c r="E704"/>
      <c r="F704"/>
    </row>
    <row r="705" spans="1:6">
      <c r="A705"/>
      <c r="D705"/>
      <c r="E705"/>
      <c r="F705"/>
    </row>
    <row r="706" spans="1:6">
      <c r="A706"/>
      <c r="D706"/>
      <c r="E706"/>
      <c r="F706"/>
    </row>
    <row r="707" spans="1:6">
      <c r="A707"/>
      <c r="D707"/>
      <c r="E707"/>
      <c r="F707"/>
    </row>
    <row r="708" spans="1:6">
      <c r="A708"/>
      <c r="D708"/>
      <c r="E708"/>
      <c r="F708"/>
    </row>
    <row r="709" spans="1:6">
      <c r="A709"/>
      <c r="D709"/>
      <c r="E709"/>
      <c r="F709"/>
    </row>
    <row r="710" spans="1:6">
      <c r="A710"/>
      <c r="D710"/>
      <c r="E710"/>
      <c r="F710"/>
    </row>
    <row r="711" spans="1:6">
      <c r="A711"/>
      <c r="D711"/>
      <c r="E711"/>
      <c r="F711"/>
    </row>
    <row r="712" spans="1:6">
      <c r="A712"/>
      <c r="D712"/>
      <c r="E712"/>
      <c r="F712"/>
    </row>
    <row r="713" spans="1:6">
      <c r="A713"/>
      <c r="D713"/>
      <c r="E713"/>
      <c r="F713"/>
    </row>
    <row r="714" spans="1:6">
      <c r="A714"/>
      <c r="D714"/>
      <c r="E714"/>
      <c r="F714"/>
    </row>
    <row r="715" spans="1:6">
      <c r="A715"/>
      <c r="D715"/>
      <c r="E715"/>
      <c r="F715"/>
    </row>
    <row r="716" spans="1:6">
      <c r="A716"/>
      <c r="D716"/>
      <c r="E716"/>
      <c r="F716"/>
    </row>
    <row r="717" spans="1:6">
      <c r="A717"/>
      <c r="D717"/>
      <c r="E717"/>
      <c r="F717"/>
    </row>
    <row r="718" spans="1:6">
      <c r="A718"/>
      <c r="D718"/>
      <c r="E718"/>
      <c r="F718"/>
    </row>
    <row r="719" spans="1:6">
      <c r="A719"/>
      <c r="D719"/>
      <c r="E719"/>
      <c r="F719"/>
    </row>
    <row r="720" spans="1:6">
      <c r="A720"/>
      <c r="D720"/>
      <c r="E720"/>
      <c r="F720"/>
    </row>
    <row r="721" spans="1:6">
      <c r="A721"/>
      <c r="D721"/>
      <c r="E721"/>
      <c r="F721"/>
    </row>
    <row r="722" spans="1:6">
      <c r="A722"/>
      <c r="D722"/>
      <c r="E722"/>
      <c r="F722"/>
    </row>
    <row r="723" spans="1:6">
      <c r="A723"/>
      <c r="D723"/>
      <c r="E723"/>
      <c r="F723"/>
    </row>
    <row r="724" spans="1:6">
      <c r="A724"/>
      <c r="D724"/>
      <c r="E724"/>
      <c r="F724"/>
    </row>
    <row r="725" spans="1:6">
      <c r="A725"/>
      <c r="D725"/>
      <c r="E725"/>
      <c r="F725"/>
    </row>
    <row r="726" spans="1:6">
      <c r="A726"/>
      <c r="D726"/>
      <c r="E726"/>
      <c r="F726"/>
    </row>
    <row r="727" spans="1:6">
      <c r="A727"/>
      <c r="D727"/>
      <c r="E727"/>
      <c r="F727"/>
    </row>
    <row r="728" spans="1:6">
      <c r="A728"/>
      <c r="D728"/>
      <c r="E728"/>
      <c r="F728"/>
    </row>
    <row r="729" spans="1:6">
      <c r="A729"/>
      <c r="D729"/>
      <c r="E729"/>
      <c r="F729"/>
    </row>
    <row r="730" spans="1:6">
      <c r="A730"/>
      <c r="D730"/>
      <c r="E730"/>
      <c r="F730"/>
    </row>
    <row r="731" spans="1:6">
      <c r="A731"/>
      <c r="D731"/>
      <c r="E731"/>
      <c r="F731"/>
    </row>
    <row r="732" spans="1:6">
      <c r="A732"/>
      <c r="D732"/>
      <c r="E732"/>
      <c r="F732"/>
    </row>
    <row r="733" spans="1:6">
      <c r="A733"/>
      <c r="D733"/>
      <c r="E733"/>
      <c r="F733"/>
    </row>
    <row r="734" spans="1:6">
      <c r="A734"/>
      <c r="D734"/>
      <c r="E734"/>
      <c r="F734"/>
    </row>
    <row r="735" spans="1:6">
      <c r="A735"/>
      <c r="D735"/>
      <c r="E735"/>
      <c r="F735"/>
    </row>
    <row r="736" spans="1:6">
      <c r="A736"/>
      <c r="D736"/>
      <c r="E736"/>
      <c r="F736"/>
    </row>
    <row r="737" spans="1:6">
      <c r="A737"/>
      <c r="D737"/>
      <c r="E737"/>
      <c r="F737"/>
    </row>
    <row r="738" spans="1:6">
      <c r="A738"/>
      <c r="D738"/>
      <c r="E738"/>
      <c r="F738"/>
    </row>
    <row r="739" spans="1:6">
      <c r="A739"/>
      <c r="D739"/>
      <c r="E739"/>
      <c r="F739"/>
    </row>
    <row r="740" spans="1:6">
      <c r="A740"/>
      <c r="D740"/>
      <c r="E740"/>
      <c r="F740"/>
    </row>
    <row r="741" spans="1:6">
      <c r="A741"/>
      <c r="D741"/>
      <c r="E741"/>
      <c r="F741"/>
    </row>
    <row r="742" spans="1:6">
      <c r="A742"/>
      <c r="D742"/>
      <c r="E742"/>
      <c r="F742"/>
    </row>
    <row r="743" spans="1:6">
      <c r="A743"/>
      <c r="D743"/>
      <c r="E743"/>
      <c r="F743"/>
    </row>
    <row r="744" spans="1:6">
      <c r="A744"/>
      <c r="D744"/>
      <c r="E744"/>
      <c r="F744"/>
    </row>
    <row r="745" spans="1:6">
      <c r="A745"/>
      <c r="D745"/>
      <c r="E745"/>
      <c r="F745"/>
    </row>
    <row r="746" spans="1:6">
      <c r="A746"/>
      <c r="D746"/>
      <c r="E746"/>
      <c r="F746"/>
    </row>
    <row r="747" spans="1:6">
      <c r="A747"/>
      <c r="D747"/>
      <c r="E747"/>
      <c r="F747"/>
    </row>
    <row r="748" spans="1:6">
      <c r="A748"/>
      <c r="D748"/>
      <c r="E748"/>
      <c r="F748"/>
    </row>
    <row r="749" spans="1:6">
      <c r="A749"/>
      <c r="D749"/>
      <c r="E749"/>
      <c r="F749"/>
    </row>
    <row r="750" spans="1:6">
      <c r="A750"/>
      <c r="D750"/>
      <c r="E750"/>
      <c r="F750"/>
    </row>
    <row r="751" spans="1:6">
      <c r="A751"/>
      <c r="D751"/>
      <c r="E751"/>
      <c r="F751"/>
    </row>
    <row r="752" spans="1:6">
      <c r="A752"/>
      <c r="D752"/>
      <c r="E752"/>
      <c r="F752"/>
    </row>
    <row r="753" spans="1:6">
      <c r="A753"/>
      <c r="D753"/>
      <c r="E753"/>
      <c r="F753"/>
    </row>
    <row r="754" spans="1:6">
      <c r="A754"/>
      <c r="D754"/>
      <c r="E754"/>
      <c r="F754"/>
    </row>
    <row r="755" spans="1:6">
      <c r="A755"/>
      <c r="D755"/>
      <c r="E755"/>
      <c r="F755"/>
    </row>
    <row r="756" spans="1:6">
      <c r="A756"/>
      <c r="D756"/>
      <c r="E756"/>
      <c r="F756"/>
    </row>
    <row r="757" spans="1:6">
      <c r="A757"/>
      <c r="D757"/>
      <c r="E757"/>
      <c r="F757"/>
    </row>
    <row r="758" spans="1:6">
      <c r="A758"/>
      <c r="D758"/>
      <c r="E758"/>
      <c r="F758"/>
    </row>
    <row r="759" spans="1:6">
      <c r="A759"/>
      <c r="D759"/>
      <c r="E759"/>
      <c r="F759"/>
    </row>
    <row r="760" spans="1:6">
      <c r="A760"/>
      <c r="D760"/>
      <c r="E760"/>
      <c r="F760"/>
    </row>
    <row r="761" spans="1:6">
      <c r="A761"/>
      <c r="D761"/>
      <c r="E761"/>
      <c r="F761"/>
    </row>
    <row r="762" spans="1:6">
      <c r="A762"/>
      <c r="D762"/>
      <c r="E762"/>
      <c r="F762"/>
    </row>
    <row r="763" spans="1:6">
      <c r="A763"/>
      <c r="D763"/>
      <c r="E763"/>
      <c r="F763"/>
    </row>
    <row r="764" spans="1:6">
      <c r="A764"/>
      <c r="D764"/>
      <c r="E764"/>
      <c r="F764"/>
    </row>
    <row r="765" spans="1:6">
      <c r="A765"/>
      <c r="D765"/>
      <c r="E765"/>
      <c r="F765"/>
    </row>
    <row r="766" spans="1:6">
      <c r="A766"/>
      <c r="D766"/>
      <c r="E766"/>
      <c r="F766"/>
    </row>
    <row r="767" spans="1:6">
      <c r="A767"/>
      <c r="D767"/>
      <c r="E767"/>
      <c r="F767"/>
    </row>
    <row r="768" spans="1:6">
      <c r="A768"/>
      <c r="D768"/>
      <c r="E768"/>
      <c r="F768"/>
    </row>
    <row r="769" spans="1:6">
      <c r="A769"/>
      <c r="D769"/>
      <c r="E769"/>
      <c r="F769"/>
    </row>
    <row r="770" spans="1:6">
      <c r="A770"/>
      <c r="D770"/>
      <c r="E770"/>
      <c r="F770"/>
    </row>
    <row r="771" spans="1:6">
      <c r="A771"/>
      <c r="D771"/>
      <c r="E771"/>
      <c r="F771"/>
    </row>
    <row r="772" spans="1:6">
      <c r="A772"/>
      <c r="D772"/>
      <c r="E772"/>
      <c r="F772"/>
    </row>
    <row r="773" spans="1:6">
      <c r="A773"/>
      <c r="D773"/>
      <c r="E773"/>
      <c r="F773"/>
    </row>
    <row r="774" spans="1:6">
      <c r="A774"/>
      <c r="D774"/>
      <c r="E774"/>
      <c r="F774"/>
    </row>
    <row r="775" spans="1:6">
      <c r="A775"/>
      <c r="D775"/>
      <c r="E775"/>
      <c r="F775"/>
    </row>
    <row r="776" spans="1:6">
      <c r="A776"/>
      <c r="D776"/>
      <c r="E776"/>
      <c r="F776"/>
    </row>
    <row r="777" spans="1:6">
      <c r="A777"/>
      <c r="D777"/>
      <c r="E777"/>
      <c r="F777"/>
    </row>
    <row r="778" spans="1:6">
      <c r="A778"/>
      <c r="D778"/>
      <c r="E778"/>
      <c r="F778"/>
    </row>
    <row r="779" spans="1:6">
      <c r="A779"/>
      <c r="D779"/>
      <c r="E779"/>
      <c r="F779"/>
    </row>
    <row r="780" spans="1:6">
      <c r="A780"/>
      <c r="D780"/>
      <c r="E780"/>
      <c r="F780"/>
    </row>
    <row r="781" spans="1:6">
      <c r="A781"/>
      <c r="D781"/>
      <c r="E781"/>
      <c r="F781"/>
    </row>
    <row r="782" spans="1:6">
      <c r="A782"/>
      <c r="D782"/>
      <c r="E782"/>
      <c r="F782"/>
    </row>
    <row r="783" spans="1:6">
      <c r="A783"/>
      <c r="D783"/>
      <c r="E783"/>
      <c r="F783"/>
    </row>
    <row r="784" spans="1:6">
      <c r="A784"/>
      <c r="D784"/>
      <c r="E784"/>
      <c r="F784"/>
    </row>
    <row r="785" spans="1:6">
      <c r="A785"/>
      <c r="D785"/>
      <c r="E785"/>
      <c r="F785"/>
    </row>
    <row r="786" spans="1:6">
      <c r="A786"/>
      <c r="D786"/>
      <c r="E786"/>
      <c r="F786"/>
    </row>
    <row r="787" spans="1:6">
      <c r="A787"/>
      <c r="D787"/>
      <c r="E787"/>
      <c r="F787"/>
    </row>
    <row r="788" spans="1:6">
      <c r="A788"/>
      <c r="D788"/>
      <c r="E788"/>
      <c r="F788"/>
    </row>
    <row r="789" spans="1:6">
      <c r="A789"/>
      <c r="D789"/>
      <c r="E789"/>
      <c r="F789"/>
    </row>
    <row r="790" spans="1:6">
      <c r="A790"/>
      <c r="D790"/>
      <c r="E790"/>
      <c r="F790"/>
    </row>
    <row r="791" spans="1:6">
      <c r="A791"/>
      <c r="D791"/>
      <c r="E791"/>
      <c r="F791"/>
    </row>
    <row r="792" spans="1:6">
      <c r="A792"/>
      <c r="D792"/>
      <c r="E792"/>
      <c r="F792"/>
    </row>
    <row r="793" spans="1:6">
      <c r="A793"/>
      <c r="D793"/>
      <c r="E793"/>
      <c r="F793"/>
    </row>
    <row r="794" spans="1:6">
      <c r="A794"/>
      <c r="D794"/>
      <c r="E794"/>
      <c r="F794"/>
    </row>
    <row r="795" spans="1:6">
      <c r="A795"/>
      <c r="D795"/>
      <c r="E795"/>
      <c r="F795"/>
    </row>
    <row r="796" spans="1:6">
      <c r="A796"/>
      <c r="D796"/>
      <c r="E796"/>
      <c r="F796"/>
    </row>
    <row r="797" spans="1:6">
      <c r="A797"/>
      <c r="D797"/>
      <c r="E797"/>
      <c r="F797"/>
    </row>
    <row r="798" spans="1:6">
      <c r="A798"/>
      <c r="D798"/>
      <c r="E798"/>
      <c r="F798"/>
    </row>
    <row r="799" spans="1:6">
      <c r="A799"/>
      <c r="D799"/>
      <c r="E799"/>
      <c r="F799"/>
    </row>
    <row r="800" spans="1:6">
      <c r="A800"/>
      <c r="D800"/>
      <c r="E800"/>
      <c r="F800"/>
    </row>
    <row r="801" spans="1:6">
      <c r="A801"/>
      <c r="D801"/>
      <c r="E801"/>
      <c r="F801"/>
    </row>
    <row r="802" spans="1:6">
      <c r="A802"/>
      <c r="D802"/>
      <c r="E802"/>
      <c r="F802"/>
    </row>
    <row r="803" spans="1:6">
      <c r="A803"/>
      <c r="D803"/>
      <c r="E803"/>
      <c r="F803"/>
    </row>
    <row r="804" spans="1:6">
      <c r="A804"/>
      <c r="D804"/>
      <c r="E804"/>
      <c r="F804"/>
    </row>
    <row r="805" spans="1:6">
      <c r="A805"/>
      <c r="D805"/>
      <c r="E805"/>
      <c r="F805"/>
    </row>
    <row r="806" spans="1:6">
      <c r="A806"/>
      <c r="D806"/>
      <c r="E806"/>
      <c r="F806"/>
    </row>
    <row r="807" spans="1:6">
      <c r="A807"/>
      <c r="D807"/>
      <c r="E807"/>
      <c r="F807"/>
    </row>
    <row r="808" spans="1:6">
      <c r="A808"/>
      <c r="D808"/>
      <c r="E808"/>
      <c r="F808"/>
    </row>
    <row r="809" spans="1:6">
      <c r="A809"/>
      <c r="D809"/>
      <c r="E809"/>
      <c r="F809"/>
    </row>
    <row r="810" spans="1:6">
      <c r="A810"/>
      <c r="D810"/>
      <c r="E810"/>
      <c r="F810"/>
    </row>
    <row r="811" spans="1:6">
      <c r="A811"/>
      <c r="D811"/>
      <c r="E811"/>
      <c r="F811"/>
    </row>
    <row r="812" spans="1:6">
      <c r="A812"/>
      <c r="D812"/>
      <c r="E812"/>
      <c r="F812"/>
    </row>
    <row r="813" spans="1:6">
      <c r="A813"/>
      <c r="D813"/>
      <c r="E813"/>
      <c r="F813"/>
    </row>
    <row r="814" spans="1:6">
      <c r="A814"/>
      <c r="D814"/>
      <c r="E814"/>
      <c r="F814"/>
    </row>
    <row r="815" spans="1:6">
      <c r="A815"/>
      <c r="D815"/>
      <c r="E815"/>
      <c r="F815"/>
    </row>
    <row r="816" spans="1:6">
      <c r="A816"/>
      <c r="D816"/>
      <c r="E816"/>
      <c r="F816"/>
    </row>
    <row r="817" spans="1:6">
      <c r="A817"/>
      <c r="D817"/>
      <c r="E817"/>
      <c r="F817"/>
    </row>
    <row r="818" spans="1:6">
      <c r="A818"/>
      <c r="D818"/>
      <c r="E818"/>
      <c r="F818"/>
    </row>
    <row r="819" spans="1:6">
      <c r="A819"/>
      <c r="D819"/>
      <c r="E819"/>
      <c r="F819"/>
    </row>
    <row r="820" spans="1:6">
      <c r="A820"/>
      <c r="D820"/>
      <c r="E820"/>
      <c r="F820"/>
    </row>
    <row r="821" spans="1:6">
      <c r="A821"/>
      <c r="D821"/>
      <c r="E821"/>
      <c r="F821"/>
    </row>
    <row r="822" spans="1:6">
      <c r="A822"/>
      <c r="D822"/>
      <c r="E822"/>
      <c r="F822"/>
    </row>
    <row r="823" spans="1:6">
      <c r="A823"/>
      <c r="D823"/>
      <c r="E823"/>
      <c r="F823"/>
    </row>
    <row r="824" spans="1:6">
      <c r="A824"/>
      <c r="D824"/>
      <c r="E824"/>
      <c r="F824"/>
    </row>
    <row r="825" spans="1:6">
      <c r="A825"/>
      <c r="D825"/>
      <c r="E825"/>
      <c r="F825"/>
    </row>
    <row r="826" spans="1:6">
      <c r="A826"/>
      <c r="D826"/>
      <c r="E826"/>
      <c r="F826"/>
    </row>
    <row r="827" spans="1:6">
      <c r="A827"/>
      <c r="D827"/>
      <c r="E827"/>
      <c r="F827"/>
    </row>
    <row r="828" spans="1:6">
      <c r="A828"/>
      <c r="D828"/>
      <c r="E828"/>
      <c r="F828"/>
    </row>
    <row r="829" spans="1:6">
      <c r="A829"/>
      <c r="D829"/>
      <c r="E829"/>
      <c r="F829"/>
    </row>
    <row r="830" spans="1:6">
      <c r="A830"/>
      <c r="D830"/>
      <c r="E830"/>
      <c r="F830"/>
    </row>
    <row r="831" spans="1:6">
      <c r="A831"/>
      <c r="D831"/>
      <c r="E831"/>
      <c r="F831"/>
    </row>
    <row r="832" spans="1:6">
      <c r="A832"/>
      <c r="D832"/>
      <c r="E832"/>
      <c r="F832"/>
    </row>
    <row r="833" spans="1:6">
      <c r="A833"/>
      <c r="D833"/>
      <c r="E833"/>
      <c r="F833"/>
    </row>
    <row r="834" spans="1:6">
      <c r="A834"/>
      <c r="D834"/>
      <c r="E834"/>
      <c r="F834"/>
    </row>
    <row r="835" spans="1:6">
      <c r="A835"/>
      <c r="D835"/>
      <c r="E835"/>
      <c r="F835"/>
    </row>
    <row r="836" spans="1:6">
      <c r="A836"/>
      <c r="D836"/>
      <c r="E836"/>
      <c r="F836"/>
    </row>
    <row r="837" spans="1:6">
      <c r="A837"/>
      <c r="D837"/>
      <c r="E837"/>
      <c r="F837"/>
    </row>
    <row r="838" spans="1:6">
      <c r="A838"/>
      <c r="D838"/>
      <c r="E838"/>
      <c r="F838"/>
    </row>
    <row r="839" spans="1:6">
      <c r="A839"/>
      <c r="D839"/>
      <c r="E839"/>
      <c r="F839"/>
    </row>
    <row r="840" spans="1:6">
      <c r="A840"/>
      <c r="D840"/>
      <c r="E840"/>
      <c r="F840"/>
    </row>
    <row r="841" spans="1:6">
      <c r="A841"/>
      <c r="D841"/>
      <c r="E841"/>
      <c r="F841"/>
    </row>
    <row r="842" spans="1:6">
      <c r="A842"/>
      <c r="D842"/>
      <c r="E842"/>
      <c r="F842"/>
    </row>
    <row r="843" spans="1:6">
      <c r="A843"/>
      <c r="D843"/>
      <c r="E843"/>
      <c r="F843"/>
    </row>
    <row r="844" spans="1:6">
      <c r="A844"/>
      <c r="D844"/>
      <c r="E844"/>
      <c r="F844"/>
    </row>
    <row r="845" spans="1:6">
      <c r="A845"/>
      <c r="D845"/>
      <c r="E845"/>
      <c r="F845"/>
    </row>
    <row r="846" spans="1:6">
      <c r="A846"/>
      <c r="D846"/>
      <c r="E846"/>
      <c r="F846"/>
    </row>
    <row r="847" spans="1:6">
      <c r="A847"/>
      <c r="D847"/>
      <c r="E847"/>
      <c r="F847"/>
    </row>
    <row r="848" spans="1:6">
      <c r="A848"/>
      <c r="D848"/>
      <c r="E848"/>
      <c r="F848"/>
    </row>
    <row r="849" spans="1:6">
      <c r="A849"/>
      <c r="D849"/>
      <c r="E849"/>
      <c r="F849"/>
    </row>
    <row r="850" spans="1:6">
      <c r="A850"/>
      <c r="D850"/>
      <c r="E850"/>
      <c r="F850"/>
    </row>
    <row r="851" spans="1:6">
      <c r="A851"/>
      <c r="D851"/>
      <c r="E851"/>
      <c r="F851"/>
    </row>
    <row r="852" spans="1:6">
      <c r="A852"/>
      <c r="D852"/>
      <c r="E852"/>
      <c r="F852"/>
    </row>
    <row r="853" spans="1:6">
      <c r="A853"/>
      <c r="D853"/>
      <c r="E853"/>
      <c r="F853"/>
    </row>
    <row r="854" spans="1:6">
      <c r="A854"/>
      <c r="D854"/>
      <c r="E854"/>
      <c r="F854"/>
    </row>
    <row r="855" spans="1:6">
      <c r="A855"/>
      <c r="D855"/>
      <c r="E855"/>
      <c r="F855"/>
    </row>
    <row r="856" spans="1:6">
      <c r="A856"/>
      <c r="D856"/>
      <c r="E856"/>
      <c r="F856"/>
    </row>
    <row r="857" spans="1:6">
      <c r="A857"/>
      <c r="D857"/>
      <c r="E857"/>
      <c r="F857"/>
    </row>
    <row r="858" spans="1:6">
      <c r="A858"/>
      <c r="D858"/>
      <c r="E858"/>
      <c r="F858"/>
    </row>
    <row r="859" spans="1:6">
      <c r="A859"/>
      <c r="D859"/>
      <c r="E859"/>
      <c r="F859"/>
    </row>
    <row r="860" spans="1:6">
      <c r="A860"/>
      <c r="D860"/>
      <c r="E860"/>
      <c r="F860"/>
    </row>
    <row r="861" spans="1:6">
      <c r="A861"/>
      <c r="D861"/>
      <c r="E861"/>
      <c r="F861"/>
    </row>
    <row r="862" spans="1:6">
      <c r="A862"/>
      <c r="D862"/>
      <c r="E862"/>
      <c r="F862"/>
    </row>
    <row r="863" spans="1:6">
      <c r="A863"/>
      <c r="D863"/>
      <c r="E863"/>
      <c r="F863"/>
    </row>
    <row r="864" spans="1:6">
      <c r="A864"/>
      <c r="D864"/>
      <c r="E864"/>
      <c r="F864"/>
    </row>
    <row r="865" spans="1:6">
      <c r="A865"/>
      <c r="D865"/>
      <c r="E865"/>
      <c r="F865"/>
    </row>
    <row r="866" spans="1:6">
      <c r="A866"/>
      <c r="D866"/>
      <c r="E866"/>
      <c r="F866"/>
    </row>
    <row r="867" spans="1:6">
      <c r="A867"/>
      <c r="D867"/>
      <c r="E867"/>
      <c r="F867"/>
    </row>
    <row r="868" spans="1:6">
      <c r="A868"/>
      <c r="D868"/>
      <c r="E868"/>
      <c r="F868"/>
    </row>
    <row r="869" spans="1:6">
      <c r="A869"/>
      <c r="D869"/>
      <c r="E869"/>
      <c r="F869"/>
    </row>
    <row r="870" spans="1:6">
      <c r="A870"/>
      <c r="D870"/>
      <c r="E870"/>
      <c r="F870"/>
    </row>
    <row r="871" spans="1:6">
      <c r="A871"/>
      <c r="D871"/>
      <c r="E871"/>
      <c r="F871"/>
    </row>
    <row r="872" spans="1:6">
      <c r="A872"/>
      <c r="D872"/>
      <c r="E872"/>
      <c r="F872"/>
    </row>
    <row r="873" spans="1:6">
      <c r="A873"/>
      <c r="D873"/>
      <c r="E873"/>
      <c r="F873"/>
    </row>
    <row r="874" spans="1:6">
      <c r="A874"/>
      <c r="D874"/>
      <c r="E874"/>
      <c r="F874"/>
    </row>
    <row r="875" spans="1:6">
      <c r="A875"/>
      <c r="D875"/>
      <c r="E875"/>
      <c r="F875"/>
    </row>
    <row r="876" spans="1:6">
      <c r="A876"/>
      <c r="D876"/>
      <c r="E876"/>
      <c r="F876"/>
    </row>
    <row r="877" spans="1:6">
      <c r="A877"/>
      <c r="D877"/>
      <c r="E877"/>
      <c r="F877"/>
    </row>
    <row r="878" spans="1:6">
      <c r="A878"/>
      <c r="D878"/>
      <c r="E878"/>
      <c r="F878"/>
    </row>
    <row r="879" spans="1:6">
      <c r="A879"/>
      <c r="D879"/>
      <c r="E879"/>
      <c r="F879"/>
    </row>
    <row r="880" spans="1:6">
      <c r="A880"/>
      <c r="D880"/>
      <c r="E880"/>
      <c r="F880"/>
    </row>
    <row r="881" spans="1:6">
      <c r="A881"/>
      <c r="D881"/>
      <c r="E881"/>
      <c r="F881"/>
    </row>
    <row r="882" spans="1:6">
      <c r="A882"/>
      <c r="D882"/>
      <c r="E882"/>
      <c r="F882"/>
    </row>
    <row r="883" spans="1:6">
      <c r="A883"/>
      <c r="D883"/>
      <c r="E883"/>
      <c r="F883"/>
    </row>
    <row r="884" spans="1:6">
      <c r="A884"/>
      <c r="D884"/>
      <c r="E884"/>
      <c r="F884"/>
    </row>
    <row r="885" spans="1:6">
      <c r="A885"/>
      <c r="D885"/>
      <c r="E885"/>
      <c r="F885"/>
    </row>
    <row r="886" spans="1:6">
      <c r="A886"/>
      <c r="D886"/>
      <c r="E886"/>
      <c r="F886"/>
    </row>
    <row r="887" spans="1:6">
      <c r="A887"/>
      <c r="D887"/>
      <c r="E887"/>
      <c r="F887"/>
    </row>
    <row r="888" spans="1:6">
      <c r="A888"/>
      <c r="D888"/>
      <c r="E888"/>
      <c r="F888"/>
    </row>
    <row r="889" spans="1:6">
      <c r="A889"/>
      <c r="D889"/>
      <c r="E889"/>
      <c r="F889"/>
    </row>
    <row r="890" spans="1:6">
      <c r="A890"/>
      <c r="D890"/>
      <c r="E890"/>
      <c r="F890"/>
    </row>
    <row r="891" spans="1:6">
      <c r="A891"/>
      <c r="D891"/>
      <c r="E891"/>
      <c r="F891"/>
    </row>
    <row r="892" spans="1:6">
      <c r="A892"/>
      <c r="D892"/>
      <c r="E892"/>
      <c r="F892"/>
    </row>
    <row r="893" spans="1:6">
      <c r="A893"/>
      <c r="D893"/>
      <c r="E893"/>
      <c r="F893"/>
    </row>
    <row r="894" spans="1:6">
      <c r="A894"/>
      <c r="D894"/>
      <c r="E894"/>
      <c r="F894"/>
    </row>
    <row r="895" spans="1:6">
      <c r="A895"/>
      <c r="D895"/>
      <c r="E895"/>
      <c r="F895"/>
    </row>
    <row r="896" spans="1:6">
      <c r="A896"/>
      <c r="D896"/>
      <c r="E896"/>
      <c r="F896"/>
    </row>
    <row r="897" spans="1:6">
      <c r="A897"/>
      <c r="D897"/>
      <c r="E897"/>
      <c r="F897"/>
    </row>
    <row r="898" spans="1:6">
      <c r="A898"/>
      <c r="D898"/>
      <c r="E898"/>
      <c r="F898"/>
    </row>
    <row r="899" spans="1:6">
      <c r="A899"/>
      <c r="D899"/>
      <c r="E899"/>
      <c r="F899"/>
    </row>
    <row r="900" spans="1:6">
      <c r="A900"/>
      <c r="D900"/>
      <c r="E900"/>
      <c r="F900"/>
    </row>
    <row r="901" spans="1:6">
      <c r="A901"/>
      <c r="D901"/>
      <c r="E901"/>
      <c r="F901"/>
    </row>
    <row r="902" spans="1:6">
      <c r="A902"/>
      <c r="D902"/>
      <c r="E902"/>
      <c r="F902"/>
    </row>
    <row r="903" spans="1:6">
      <c r="A903"/>
      <c r="D903"/>
      <c r="E903"/>
      <c r="F903"/>
    </row>
    <row r="904" spans="1:6">
      <c r="A904"/>
      <c r="D904"/>
      <c r="E904"/>
      <c r="F904"/>
    </row>
    <row r="905" spans="1:6">
      <c r="A905"/>
      <c r="D905"/>
      <c r="E905"/>
      <c r="F905"/>
    </row>
    <row r="906" spans="1:6">
      <c r="A906"/>
      <c r="D906"/>
      <c r="E906"/>
      <c r="F906"/>
    </row>
    <row r="907" spans="1:6">
      <c r="A907"/>
      <c r="D907"/>
      <c r="E907"/>
      <c r="F907"/>
    </row>
    <row r="908" spans="1:6">
      <c r="A908"/>
      <c r="D908"/>
      <c r="E908"/>
      <c r="F908"/>
    </row>
    <row r="909" spans="1:6">
      <c r="A909"/>
      <c r="D909"/>
      <c r="E909"/>
      <c r="F909"/>
    </row>
    <row r="910" spans="1:6">
      <c r="A910"/>
      <c r="D910"/>
      <c r="E910"/>
      <c r="F910"/>
    </row>
    <row r="911" spans="1:6">
      <c r="A911"/>
      <c r="D911"/>
      <c r="E911"/>
      <c r="F911"/>
    </row>
    <row r="912" spans="1:6">
      <c r="A912"/>
      <c r="D912"/>
      <c r="E912"/>
      <c r="F912"/>
    </row>
    <row r="913" spans="1:6">
      <c r="A913"/>
      <c r="D913"/>
      <c r="E913"/>
      <c r="F913"/>
    </row>
    <row r="914" spans="1:6">
      <c r="A914"/>
      <c r="D914"/>
      <c r="E914"/>
      <c r="F914"/>
    </row>
    <row r="915" spans="1:6">
      <c r="A915"/>
      <c r="D915"/>
      <c r="E915"/>
      <c r="F915"/>
    </row>
    <row r="916" spans="1:6">
      <c r="A916"/>
      <c r="D916"/>
      <c r="E916"/>
      <c r="F916"/>
    </row>
    <row r="917" spans="1:6">
      <c r="A917"/>
      <c r="D917"/>
      <c r="E917"/>
      <c r="F917"/>
    </row>
    <row r="918" spans="1:6">
      <c r="A918"/>
      <c r="D918"/>
      <c r="E918"/>
      <c r="F918"/>
    </row>
    <row r="919" spans="1:6">
      <c r="A919"/>
      <c r="D919"/>
      <c r="E919"/>
      <c r="F919"/>
    </row>
    <row r="920" spans="1:6">
      <c r="A920"/>
      <c r="D920"/>
      <c r="E920"/>
      <c r="F920"/>
    </row>
    <row r="921" spans="1:6">
      <c r="A921"/>
      <c r="D921"/>
      <c r="E921"/>
      <c r="F921"/>
    </row>
    <row r="922" spans="1:6">
      <c r="A922"/>
      <c r="D922"/>
      <c r="E922"/>
      <c r="F922"/>
    </row>
    <row r="923" spans="1:6">
      <c r="A923"/>
      <c r="D923"/>
      <c r="E923"/>
      <c r="F923"/>
    </row>
    <row r="924" spans="1:6">
      <c r="A924"/>
      <c r="D924"/>
      <c r="E924"/>
      <c r="F924"/>
    </row>
    <row r="925" spans="1:6">
      <c r="A925"/>
      <c r="D925"/>
      <c r="E925"/>
      <c r="F925"/>
    </row>
    <row r="926" spans="1:6">
      <c r="A926"/>
      <c r="D926"/>
      <c r="E926"/>
      <c r="F926"/>
    </row>
    <row r="927" spans="1:6">
      <c r="A927"/>
      <c r="D927"/>
      <c r="E927"/>
      <c r="F927"/>
    </row>
    <row r="928" spans="1:6">
      <c r="A928"/>
      <c r="D928"/>
      <c r="E928"/>
      <c r="F928"/>
    </row>
    <row r="929" spans="1:6">
      <c r="A929"/>
      <c r="D929"/>
      <c r="E929"/>
      <c r="F929"/>
    </row>
    <row r="930" spans="1:6">
      <c r="A930"/>
      <c r="D930"/>
      <c r="E930"/>
      <c r="F930"/>
    </row>
    <row r="931" spans="1:6">
      <c r="A931"/>
      <c r="D931"/>
      <c r="E931"/>
      <c r="F931"/>
    </row>
    <row r="932" spans="1:6">
      <c r="A932"/>
      <c r="D932"/>
      <c r="E932"/>
      <c r="F932"/>
    </row>
    <row r="933" spans="1:6">
      <c r="A933"/>
      <c r="D933"/>
      <c r="E933"/>
      <c r="F933"/>
    </row>
    <row r="934" spans="1:6">
      <c r="A934"/>
      <c r="D934"/>
      <c r="E934"/>
      <c r="F934"/>
    </row>
    <row r="935" spans="1:6">
      <c r="A935"/>
      <c r="D935"/>
      <c r="E935"/>
      <c r="F935"/>
    </row>
    <row r="936" spans="1:6">
      <c r="A936"/>
      <c r="D936"/>
      <c r="E936"/>
      <c r="F936"/>
    </row>
    <row r="937" spans="1:6">
      <c r="A937"/>
      <c r="D937"/>
      <c r="E937"/>
      <c r="F937"/>
    </row>
    <row r="938" spans="1:6">
      <c r="A938"/>
      <c r="D938"/>
      <c r="E938"/>
      <c r="F938"/>
    </row>
    <row r="939" spans="1:6">
      <c r="A939"/>
      <c r="D939"/>
      <c r="E939"/>
      <c r="F939"/>
    </row>
    <row r="940" spans="1:6">
      <c r="A940"/>
      <c r="D940"/>
      <c r="E940"/>
      <c r="F940"/>
    </row>
    <row r="941" spans="1:6">
      <c r="A941"/>
      <c r="D941"/>
      <c r="E941"/>
      <c r="F941"/>
    </row>
    <row r="942" spans="1:6">
      <c r="A942"/>
      <c r="D942"/>
      <c r="E942"/>
      <c r="F942"/>
    </row>
    <row r="943" spans="1:6">
      <c r="A943"/>
      <c r="D943"/>
      <c r="E943"/>
      <c r="F943"/>
    </row>
    <row r="944" spans="1:6">
      <c r="A944"/>
      <c r="D944"/>
      <c r="E944"/>
      <c r="F944"/>
    </row>
    <row r="945" spans="1:6">
      <c r="A945"/>
      <c r="D945"/>
      <c r="E945"/>
      <c r="F945"/>
    </row>
    <row r="946" spans="1:6">
      <c r="A946"/>
      <c r="D946"/>
      <c r="E946"/>
      <c r="F946"/>
    </row>
    <row r="947" spans="1:6">
      <c r="A947"/>
      <c r="D947"/>
      <c r="E947"/>
      <c r="F947"/>
    </row>
    <row r="948" spans="1:6">
      <c r="A948"/>
      <c r="D948"/>
      <c r="E948"/>
      <c r="F948"/>
    </row>
    <row r="949" spans="1:6">
      <c r="A949"/>
      <c r="D949"/>
      <c r="E949"/>
      <c r="F949"/>
    </row>
    <row r="950" spans="1:6">
      <c r="A950"/>
      <c r="D950"/>
      <c r="E950"/>
      <c r="F950"/>
    </row>
    <row r="951" spans="1:6">
      <c r="A951"/>
      <c r="D951"/>
      <c r="E951"/>
      <c r="F951"/>
    </row>
    <row r="952" spans="1:6">
      <c r="A952"/>
      <c r="D952"/>
      <c r="E952"/>
      <c r="F952"/>
    </row>
    <row r="953" spans="1:6">
      <c r="A953"/>
      <c r="D953"/>
      <c r="E953"/>
      <c r="F953"/>
    </row>
    <row r="954" spans="1:6">
      <c r="A954"/>
      <c r="D954"/>
      <c r="E954"/>
      <c r="F954"/>
    </row>
    <row r="955" spans="1:6">
      <c r="A955"/>
      <c r="D955"/>
      <c r="E955"/>
      <c r="F955"/>
    </row>
    <row r="956" spans="1:6">
      <c r="A956"/>
      <c r="D956"/>
      <c r="E956"/>
      <c r="F956"/>
    </row>
    <row r="957" spans="1:6">
      <c r="A957"/>
      <c r="D957"/>
      <c r="E957"/>
      <c r="F957"/>
    </row>
    <row r="958" spans="1:6">
      <c r="A958"/>
      <c r="D958"/>
      <c r="E958"/>
      <c r="F958"/>
    </row>
    <row r="959" spans="1:6">
      <c r="A959"/>
      <c r="D959"/>
      <c r="E959"/>
      <c r="F959"/>
    </row>
    <row r="960" spans="1:6">
      <c r="A960"/>
      <c r="D960"/>
      <c r="E960"/>
      <c r="F960"/>
    </row>
    <row r="961" spans="1:6">
      <c r="A961"/>
      <c r="D961"/>
      <c r="E961"/>
      <c r="F961"/>
    </row>
    <row r="962" spans="1:6">
      <c r="A962"/>
      <c r="D962"/>
      <c r="E962"/>
      <c r="F962"/>
    </row>
    <row r="963" spans="1:6">
      <c r="A963"/>
      <c r="D963"/>
      <c r="E963"/>
      <c r="F963"/>
    </row>
    <row r="964" spans="1:6">
      <c r="A964"/>
      <c r="D964"/>
      <c r="E964"/>
      <c r="F964"/>
    </row>
    <row r="965" spans="1:6">
      <c r="A965"/>
      <c r="D965"/>
      <c r="E965"/>
      <c r="F965"/>
    </row>
    <row r="966" spans="1:6">
      <c r="A966"/>
      <c r="D966"/>
      <c r="E966"/>
      <c r="F966"/>
    </row>
    <row r="967" spans="1:6">
      <c r="A967"/>
      <c r="D967"/>
      <c r="E967"/>
      <c r="F967"/>
    </row>
    <row r="968" spans="1:6">
      <c r="A968"/>
      <c r="D968"/>
      <c r="E968"/>
      <c r="F968"/>
    </row>
    <row r="969" spans="1:6">
      <c r="A969"/>
      <c r="D969"/>
      <c r="E969"/>
      <c r="F969"/>
    </row>
    <row r="970" spans="1:6">
      <c r="A970"/>
      <c r="D970"/>
      <c r="E970"/>
      <c r="F970"/>
    </row>
    <row r="971" spans="1:6">
      <c r="A971"/>
      <c r="D971"/>
      <c r="E971"/>
      <c r="F971"/>
    </row>
    <row r="972" spans="1:6">
      <c r="A972"/>
      <c r="D972"/>
      <c r="E972"/>
      <c r="F972"/>
    </row>
    <row r="973" spans="1:6">
      <c r="A973"/>
      <c r="D973"/>
      <c r="E973"/>
      <c r="F973"/>
    </row>
    <row r="974" spans="1:6">
      <c r="A974"/>
      <c r="D974"/>
      <c r="E974"/>
      <c r="F974"/>
    </row>
    <row r="975" spans="1:6">
      <c r="A975"/>
      <c r="D975"/>
      <c r="E975"/>
      <c r="F975"/>
    </row>
    <row r="976" spans="1:6">
      <c r="A976"/>
      <c r="D976"/>
      <c r="E976"/>
      <c r="F976"/>
    </row>
    <row r="977" spans="1:6">
      <c r="A977"/>
      <c r="D977"/>
      <c r="E977"/>
      <c r="F977"/>
    </row>
    <row r="978" spans="1:6">
      <c r="A978"/>
      <c r="D978"/>
      <c r="E978"/>
      <c r="F978"/>
    </row>
    <row r="979" spans="1:6">
      <c r="A979"/>
      <c r="D979"/>
      <c r="E979"/>
      <c r="F979"/>
    </row>
    <row r="980" spans="1:6">
      <c r="A980"/>
      <c r="D980"/>
      <c r="E980"/>
      <c r="F980"/>
    </row>
    <row r="981" spans="1:6">
      <c r="A981"/>
      <c r="D981"/>
      <c r="E981"/>
      <c r="F981"/>
    </row>
    <row r="982" spans="1:6">
      <c r="A982"/>
      <c r="D982"/>
      <c r="E982"/>
      <c r="F982"/>
    </row>
    <row r="983" spans="1:6">
      <c r="A983"/>
      <c r="D983"/>
      <c r="E983"/>
      <c r="F983"/>
    </row>
    <row r="984" spans="1:6">
      <c r="A984"/>
      <c r="D984"/>
      <c r="E984"/>
      <c r="F984"/>
    </row>
    <row r="985" spans="1:6">
      <c r="A985"/>
      <c r="D985"/>
      <c r="E985"/>
      <c r="F985"/>
    </row>
    <row r="986" spans="1:6">
      <c r="A986"/>
      <c r="D986"/>
      <c r="E986"/>
      <c r="F986"/>
    </row>
    <row r="987" spans="1:6">
      <c r="A987"/>
      <c r="D987"/>
      <c r="E987"/>
      <c r="F987"/>
    </row>
    <row r="988" spans="1:6">
      <c r="A988"/>
      <c r="D988"/>
      <c r="E988"/>
      <c r="F988"/>
    </row>
    <row r="989" spans="1:6">
      <c r="A989"/>
      <c r="D989"/>
      <c r="E989"/>
      <c r="F989"/>
    </row>
    <row r="990" spans="1:6">
      <c r="A990"/>
      <c r="D990"/>
      <c r="E990"/>
      <c r="F990"/>
    </row>
    <row r="991" spans="1:6">
      <c r="A991"/>
      <c r="D991"/>
      <c r="E991"/>
      <c r="F991"/>
    </row>
    <row r="992" spans="1:6">
      <c r="A992"/>
      <c r="D992"/>
      <c r="E992"/>
      <c r="F992"/>
    </row>
    <row r="993" spans="1:6">
      <c r="A993"/>
      <c r="D993"/>
      <c r="E993"/>
      <c r="F993"/>
    </row>
    <row r="994" spans="1:6">
      <c r="A994"/>
      <c r="D994"/>
      <c r="E994"/>
      <c r="F994"/>
    </row>
    <row r="995" spans="1:6">
      <c r="A995"/>
      <c r="D995"/>
      <c r="E995"/>
      <c r="F995"/>
    </row>
    <row r="996" spans="1:6">
      <c r="A996"/>
      <c r="D996"/>
      <c r="E996"/>
      <c r="F996"/>
    </row>
    <row r="997" spans="1:6">
      <c r="A997"/>
      <c r="D997"/>
      <c r="E997"/>
      <c r="F997"/>
    </row>
    <row r="998" spans="1:6">
      <c r="A998"/>
      <c r="D998"/>
      <c r="E998"/>
      <c r="F998"/>
    </row>
    <row r="999" spans="1:6">
      <c r="A999"/>
      <c r="D999"/>
      <c r="E999"/>
      <c r="F999"/>
    </row>
    <row r="1000" spans="1:6">
      <c r="A1000"/>
      <c r="D1000"/>
      <c r="E1000"/>
      <c r="F1000"/>
    </row>
    <row r="1001" spans="1:6">
      <c r="A1001"/>
      <c r="D1001"/>
      <c r="E1001"/>
      <c r="F1001"/>
    </row>
    <row r="1002" spans="1:6">
      <c r="A1002"/>
      <c r="D1002"/>
      <c r="E1002"/>
      <c r="F1002"/>
    </row>
    <row r="1003" spans="1:6">
      <c r="A1003"/>
      <c r="D1003"/>
      <c r="E1003"/>
      <c r="F1003"/>
    </row>
    <row r="1004" spans="1:6">
      <c r="A1004"/>
      <c r="D1004"/>
      <c r="E1004"/>
      <c r="F1004"/>
    </row>
    <row r="1005" spans="1:6">
      <c r="A1005"/>
      <c r="D1005"/>
      <c r="E1005"/>
      <c r="F1005"/>
    </row>
    <row r="1006" spans="1:6">
      <c r="A1006"/>
      <c r="D1006"/>
      <c r="E1006"/>
      <c r="F1006"/>
    </row>
    <row r="1007" spans="1:6">
      <c r="A1007"/>
      <c r="D1007"/>
      <c r="E1007"/>
      <c r="F1007"/>
    </row>
    <row r="1008" spans="1:6">
      <c r="A1008"/>
      <c r="D1008"/>
      <c r="E1008"/>
      <c r="F1008"/>
    </row>
    <row r="1009" spans="1:6">
      <c r="A1009"/>
      <c r="D1009"/>
      <c r="E1009"/>
      <c r="F1009"/>
    </row>
    <row r="1010" spans="1:6">
      <c r="A1010"/>
      <c r="D1010"/>
      <c r="E1010"/>
      <c r="F1010"/>
    </row>
    <row r="1011" spans="1:6">
      <c r="A1011"/>
      <c r="D1011"/>
      <c r="E1011"/>
      <c r="F1011"/>
    </row>
    <row r="1012" spans="1:6">
      <c r="A1012"/>
      <c r="D1012"/>
      <c r="E1012"/>
      <c r="F1012"/>
    </row>
    <row r="1013" spans="1:6">
      <c r="A1013"/>
      <c r="D1013"/>
      <c r="E1013"/>
      <c r="F1013"/>
    </row>
    <row r="1014" spans="1:6">
      <c r="A1014"/>
      <c r="D1014"/>
      <c r="E1014"/>
      <c r="F1014"/>
    </row>
    <row r="1015" spans="1:6">
      <c r="A1015"/>
      <c r="D1015"/>
      <c r="E1015"/>
      <c r="F1015"/>
    </row>
    <row r="1016" spans="1:6">
      <c r="A1016"/>
      <c r="D1016"/>
      <c r="E1016"/>
      <c r="F1016"/>
    </row>
    <row r="1017" spans="1:6">
      <c r="A1017"/>
      <c r="D1017"/>
      <c r="E1017"/>
      <c r="F1017"/>
    </row>
    <row r="1018" spans="1:6">
      <c r="A1018"/>
      <c r="D1018"/>
      <c r="E1018"/>
      <c r="F1018"/>
    </row>
    <row r="1019" spans="1:6">
      <c r="A1019"/>
      <c r="D1019"/>
      <c r="E1019"/>
      <c r="F1019"/>
    </row>
    <row r="1020" spans="1:6">
      <c r="A1020"/>
      <c r="D1020"/>
      <c r="E1020"/>
      <c r="F1020"/>
    </row>
    <row r="1021" spans="1:6">
      <c r="A1021"/>
      <c r="D1021"/>
      <c r="E1021"/>
      <c r="F1021"/>
    </row>
    <row r="1022" spans="1:6">
      <c r="A1022"/>
      <c r="D1022"/>
      <c r="E1022"/>
      <c r="F1022"/>
    </row>
    <row r="1023" spans="1:6">
      <c r="A1023"/>
      <c r="D1023"/>
      <c r="E1023"/>
      <c r="F1023"/>
    </row>
    <row r="1024" spans="1:6">
      <c r="A1024"/>
      <c r="D1024"/>
      <c r="E1024"/>
      <c r="F1024"/>
    </row>
    <row r="1025" spans="1:6">
      <c r="A1025"/>
      <c r="D1025"/>
      <c r="E1025"/>
      <c r="F1025"/>
    </row>
    <row r="1026" spans="1:6">
      <c r="A1026"/>
      <c r="D1026"/>
      <c r="E1026"/>
      <c r="F1026"/>
    </row>
    <row r="1027" spans="1:6">
      <c r="A1027"/>
      <c r="D1027"/>
      <c r="E1027"/>
      <c r="F1027"/>
    </row>
    <row r="1028" spans="1:6">
      <c r="A1028"/>
      <c r="D1028"/>
      <c r="E1028"/>
      <c r="F1028"/>
    </row>
    <row r="1029" spans="1:6">
      <c r="A1029"/>
      <c r="D1029"/>
      <c r="E1029"/>
      <c r="F1029"/>
    </row>
    <row r="1030" spans="1:6">
      <c r="A1030"/>
      <c r="D1030"/>
      <c r="E1030"/>
      <c r="F1030"/>
    </row>
    <row r="1031" spans="1:6">
      <c r="A1031"/>
      <c r="D1031"/>
      <c r="E1031"/>
      <c r="F1031"/>
    </row>
    <row r="1032" spans="1:6">
      <c r="A1032"/>
      <c r="D1032"/>
      <c r="E1032"/>
      <c r="F1032"/>
    </row>
    <row r="1033" spans="1:6">
      <c r="A1033"/>
      <c r="D1033"/>
      <c r="E1033"/>
      <c r="F1033"/>
    </row>
    <row r="1034" spans="1:6">
      <c r="A1034"/>
      <c r="D1034"/>
      <c r="E1034"/>
      <c r="F1034"/>
    </row>
    <row r="1035" spans="1:6">
      <c r="A1035"/>
      <c r="D1035"/>
      <c r="E1035"/>
      <c r="F1035"/>
    </row>
    <row r="1036" spans="1:6">
      <c r="A1036"/>
      <c r="D1036"/>
      <c r="E1036"/>
      <c r="F1036"/>
    </row>
    <row r="1037" spans="1:6">
      <c r="A1037"/>
      <c r="D1037"/>
      <c r="E1037"/>
      <c r="F1037"/>
    </row>
    <row r="1038" spans="1:6">
      <c r="A1038"/>
      <c r="D1038"/>
      <c r="E1038"/>
      <c r="F1038"/>
    </row>
    <row r="1039" spans="1:6">
      <c r="A1039"/>
      <c r="D1039"/>
      <c r="E1039"/>
      <c r="F1039"/>
    </row>
    <row r="1040" spans="1:6">
      <c r="A1040"/>
      <c r="D1040"/>
      <c r="E1040"/>
      <c r="F1040"/>
    </row>
    <row r="1041" spans="1:6">
      <c r="A1041"/>
      <c r="D1041"/>
      <c r="E1041"/>
      <c r="F1041"/>
    </row>
    <row r="1042" spans="1:6">
      <c r="A1042"/>
      <c r="D1042"/>
      <c r="E1042"/>
      <c r="F1042"/>
    </row>
    <row r="1043" spans="1:6">
      <c r="A1043"/>
      <c r="D1043"/>
      <c r="E1043"/>
      <c r="F1043"/>
    </row>
    <row r="1044" spans="1:6">
      <c r="A1044"/>
      <c r="D1044"/>
      <c r="E1044"/>
      <c r="F1044"/>
    </row>
    <row r="1045" spans="1:6">
      <c r="A1045"/>
      <c r="D1045"/>
      <c r="E1045"/>
      <c r="F1045"/>
    </row>
    <row r="1046" spans="1:6">
      <c r="A1046"/>
      <c r="D1046"/>
      <c r="E1046"/>
      <c r="F1046"/>
    </row>
    <row r="1047" spans="1:6">
      <c r="A1047"/>
      <c r="D1047"/>
      <c r="E1047"/>
      <c r="F1047"/>
    </row>
    <row r="1048" spans="1:6">
      <c r="A1048"/>
      <c r="D1048"/>
      <c r="E1048"/>
      <c r="F1048"/>
    </row>
    <row r="1049" spans="1:6">
      <c r="A1049"/>
      <c r="D1049"/>
      <c r="E1049"/>
      <c r="F1049"/>
    </row>
    <row r="1050" spans="1:6">
      <c r="A1050"/>
      <c r="D1050"/>
      <c r="E1050"/>
      <c r="F1050"/>
    </row>
    <row r="1051" spans="1:6">
      <c r="A1051"/>
      <c r="D1051"/>
      <c r="E1051"/>
      <c r="F1051"/>
    </row>
    <row r="1052" spans="1:6">
      <c r="A1052"/>
      <c r="D1052"/>
      <c r="E1052"/>
      <c r="F1052"/>
    </row>
    <row r="1053" spans="1:6">
      <c r="A1053"/>
      <c r="D1053"/>
      <c r="E1053"/>
      <c r="F1053"/>
    </row>
    <row r="1054" spans="1:6">
      <c r="A1054"/>
      <c r="D1054"/>
      <c r="E1054"/>
      <c r="F1054"/>
    </row>
    <row r="1055" spans="1:6">
      <c r="A1055"/>
      <c r="D1055"/>
      <c r="E1055"/>
      <c r="F1055"/>
    </row>
    <row r="1056" spans="1:6">
      <c r="A1056"/>
      <c r="D1056"/>
      <c r="E1056"/>
      <c r="F1056"/>
    </row>
    <row r="1057" spans="1:6">
      <c r="A1057"/>
      <c r="D1057"/>
      <c r="E1057"/>
      <c r="F1057"/>
    </row>
    <row r="1058" spans="1:6">
      <c r="A1058"/>
      <c r="D1058"/>
      <c r="E1058"/>
      <c r="F1058"/>
    </row>
    <row r="1059" spans="1:6">
      <c r="A1059"/>
      <c r="D1059"/>
      <c r="E1059"/>
      <c r="F1059"/>
    </row>
    <row r="1060" spans="1:6">
      <c r="A1060"/>
      <c r="D1060"/>
      <c r="E1060"/>
      <c r="F1060"/>
    </row>
    <row r="1061" spans="1:6">
      <c r="A1061"/>
      <c r="D1061"/>
      <c r="E1061"/>
      <c r="F1061"/>
    </row>
    <row r="1062" spans="1:6">
      <c r="A1062"/>
      <c r="D1062"/>
      <c r="E1062"/>
      <c r="F1062"/>
    </row>
    <row r="1063" spans="1:6">
      <c r="A1063"/>
      <c r="D1063"/>
      <c r="E1063"/>
      <c r="F1063"/>
    </row>
    <row r="1064" spans="1:6">
      <c r="A1064"/>
      <c r="D1064"/>
      <c r="E1064"/>
      <c r="F1064"/>
    </row>
    <row r="1065" spans="1:6">
      <c r="A1065"/>
      <c r="D1065"/>
      <c r="E1065"/>
      <c r="F1065"/>
    </row>
    <row r="1066" spans="1:6">
      <c r="A1066"/>
      <c r="D1066"/>
      <c r="E1066"/>
      <c r="F1066"/>
    </row>
    <row r="1067" spans="1:6">
      <c r="A1067"/>
      <c r="D1067"/>
      <c r="E1067"/>
      <c r="F1067"/>
    </row>
    <row r="1068" spans="1:6">
      <c r="A1068"/>
      <c r="D1068"/>
      <c r="E1068"/>
      <c r="F1068"/>
    </row>
    <row r="1069" spans="1:6">
      <c r="A1069"/>
      <c r="D1069"/>
      <c r="E1069"/>
      <c r="F1069"/>
    </row>
    <row r="1070" spans="1:6">
      <c r="A1070"/>
      <c r="D1070"/>
      <c r="E1070"/>
      <c r="F1070"/>
    </row>
    <row r="1071" spans="1:6">
      <c r="A1071"/>
      <c r="D1071"/>
      <c r="E1071"/>
      <c r="F1071"/>
    </row>
    <row r="1072" spans="1:6">
      <c r="A1072"/>
      <c r="D1072"/>
      <c r="E1072"/>
      <c r="F1072"/>
    </row>
    <row r="1073" spans="1:6">
      <c r="A1073"/>
      <c r="D1073"/>
      <c r="E1073"/>
      <c r="F1073"/>
    </row>
    <row r="1074" spans="1:6">
      <c r="A1074"/>
      <c r="D1074"/>
      <c r="E1074"/>
      <c r="F1074"/>
    </row>
    <row r="1075" spans="1:6">
      <c r="A1075"/>
      <c r="D1075"/>
      <c r="E1075"/>
      <c r="F1075"/>
    </row>
    <row r="1076" spans="1:6">
      <c r="A1076"/>
      <c r="D1076"/>
      <c r="E1076"/>
      <c r="F1076"/>
    </row>
    <row r="1077" spans="1:6">
      <c r="A1077"/>
      <c r="D1077"/>
      <c r="E1077"/>
      <c r="F1077"/>
    </row>
    <row r="1078" spans="1:6">
      <c r="A1078"/>
      <c r="D1078"/>
      <c r="E1078"/>
      <c r="F1078"/>
    </row>
    <row r="1079" spans="1:6">
      <c r="A1079"/>
      <c r="D1079"/>
      <c r="E1079"/>
      <c r="F1079"/>
    </row>
    <row r="1080" spans="1:6">
      <c r="A1080"/>
      <c r="D1080"/>
      <c r="E1080"/>
      <c r="F1080"/>
    </row>
    <row r="1081" spans="1:6">
      <c r="A1081"/>
      <c r="D1081"/>
      <c r="E1081"/>
      <c r="F1081"/>
    </row>
    <row r="1082" spans="1:6">
      <c r="A1082"/>
      <c r="D1082"/>
      <c r="E1082"/>
      <c r="F1082"/>
    </row>
    <row r="1083" spans="1:6">
      <c r="A1083"/>
      <c r="D1083"/>
      <c r="E1083"/>
      <c r="F1083"/>
    </row>
    <row r="1084" spans="1:6">
      <c r="A1084"/>
      <c r="D1084"/>
      <c r="E1084"/>
      <c r="F1084"/>
    </row>
    <row r="1085" spans="1:6">
      <c r="A1085"/>
      <c r="D1085"/>
      <c r="E1085"/>
      <c r="F1085"/>
    </row>
    <row r="1086" spans="1:6">
      <c r="A1086"/>
      <c r="D1086"/>
      <c r="E1086"/>
      <c r="F1086"/>
    </row>
    <row r="1087" spans="1:6">
      <c r="A1087"/>
      <c r="D1087"/>
      <c r="E1087"/>
      <c r="F1087"/>
    </row>
    <row r="1088" spans="1:6">
      <c r="A1088"/>
      <c r="D1088"/>
      <c r="E1088"/>
      <c r="F1088"/>
    </row>
    <row r="1089" spans="1:6">
      <c r="A1089"/>
      <c r="D1089"/>
      <c r="E1089"/>
      <c r="F1089"/>
    </row>
    <row r="1090" spans="1:6">
      <c r="A1090"/>
      <c r="D1090"/>
      <c r="E1090"/>
      <c r="F1090"/>
    </row>
    <row r="1091" spans="1:6">
      <c r="A1091"/>
      <c r="D1091"/>
      <c r="E1091"/>
      <c r="F1091"/>
    </row>
    <row r="1092" spans="1:6">
      <c r="A1092"/>
      <c r="D1092"/>
      <c r="E1092"/>
      <c r="F1092"/>
    </row>
    <row r="1093" spans="1:6">
      <c r="A1093"/>
      <c r="D1093"/>
      <c r="E1093"/>
      <c r="F1093"/>
    </row>
    <row r="1094" spans="1:6">
      <c r="A1094"/>
      <c r="D1094"/>
      <c r="E1094"/>
      <c r="F1094"/>
    </row>
    <row r="1095" spans="1:6">
      <c r="A1095"/>
      <c r="D1095"/>
      <c r="E1095"/>
      <c r="F1095"/>
    </row>
    <row r="1096" spans="1:6">
      <c r="A1096"/>
      <c r="D1096"/>
      <c r="E1096"/>
      <c r="F1096"/>
    </row>
    <row r="1097" spans="1:6">
      <c r="A1097"/>
      <c r="D1097"/>
      <c r="E1097"/>
      <c r="F1097"/>
    </row>
    <row r="1098" spans="1:6">
      <c r="A1098"/>
      <c r="D1098"/>
      <c r="E1098"/>
      <c r="F1098"/>
    </row>
    <row r="1099" spans="1:6">
      <c r="A1099"/>
      <c r="D1099"/>
      <c r="E1099"/>
      <c r="F1099"/>
    </row>
    <row r="1100" spans="1:6">
      <c r="A1100"/>
      <c r="D1100"/>
      <c r="E1100"/>
      <c r="F1100"/>
    </row>
    <row r="1101" spans="1:6">
      <c r="A1101"/>
      <c r="D1101"/>
      <c r="E1101"/>
      <c r="F1101"/>
    </row>
    <row r="1102" spans="1:6">
      <c r="A1102"/>
      <c r="D1102"/>
      <c r="E1102"/>
      <c r="F1102"/>
    </row>
    <row r="1103" spans="1:6">
      <c r="A1103"/>
      <c r="D1103"/>
      <c r="E1103"/>
      <c r="F1103"/>
    </row>
    <row r="1104" spans="1:6">
      <c r="A1104"/>
      <c r="D1104"/>
      <c r="E1104"/>
      <c r="F1104"/>
    </row>
    <row r="1105" spans="1:6">
      <c r="A1105"/>
      <c r="D1105"/>
      <c r="E1105"/>
      <c r="F1105"/>
    </row>
    <row r="1106" spans="1:6">
      <c r="A1106"/>
      <c r="D1106"/>
      <c r="E1106"/>
      <c r="F1106"/>
    </row>
    <row r="1107" spans="1:6">
      <c r="A1107"/>
      <c r="D1107"/>
      <c r="E1107"/>
      <c r="F1107"/>
    </row>
    <row r="1108" spans="1:6">
      <c r="A1108"/>
      <c r="D1108"/>
      <c r="E1108"/>
      <c r="F1108"/>
    </row>
    <row r="1109" spans="1:6">
      <c r="A1109"/>
      <c r="D1109"/>
      <c r="E1109"/>
      <c r="F1109"/>
    </row>
    <row r="1110" spans="1:6">
      <c r="A1110"/>
      <c r="D1110"/>
      <c r="E1110"/>
      <c r="F1110"/>
    </row>
    <row r="1111" spans="1:6">
      <c r="A1111"/>
      <c r="D1111"/>
      <c r="E1111"/>
      <c r="F1111"/>
    </row>
    <row r="1112" spans="1:6">
      <c r="A1112"/>
      <c r="D1112"/>
      <c r="E1112"/>
      <c r="F1112"/>
    </row>
    <row r="1113" spans="1:6">
      <c r="A1113"/>
      <c r="D1113"/>
      <c r="E1113"/>
      <c r="F1113"/>
    </row>
    <row r="1114" spans="1:6">
      <c r="A1114"/>
      <c r="D1114"/>
      <c r="E1114"/>
      <c r="F1114"/>
    </row>
    <row r="1115" spans="1:6">
      <c r="A1115"/>
      <c r="D1115"/>
      <c r="E1115"/>
      <c r="F1115"/>
    </row>
    <row r="1116" spans="1:6">
      <c r="A1116"/>
      <c r="D1116"/>
      <c r="E1116"/>
      <c r="F1116"/>
    </row>
    <row r="1117" spans="1:6">
      <c r="A1117"/>
      <c r="D1117"/>
      <c r="E1117"/>
      <c r="F1117"/>
    </row>
    <row r="1118" spans="1:6">
      <c r="A1118"/>
      <c r="D1118"/>
      <c r="E1118"/>
      <c r="F1118"/>
    </row>
    <row r="1119" spans="1:6">
      <c r="A1119"/>
      <c r="D1119"/>
      <c r="E1119"/>
      <c r="F1119"/>
    </row>
    <row r="1120" spans="1:6">
      <c r="A1120"/>
      <c r="D1120"/>
      <c r="E1120"/>
      <c r="F1120"/>
    </row>
    <row r="1121" spans="1:6">
      <c r="A1121"/>
      <c r="D1121"/>
      <c r="E1121"/>
      <c r="F1121"/>
    </row>
    <row r="1122" spans="1:6">
      <c r="A1122"/>
      <c r="D1122"/>
      <c r="E1122"/>
      <c r="F1122"/>
    </row>
    <row r="1123" spans="1:6">
      <c r="A1123"/>
      <c r="D1123"/>
      <c r="E1123"/>
      <c r="F1123"/>
    </row>
    <row r="1124" spans="1:6">
      <c r="A1124"/>
      <c r="D1124"/>
      <c r="E1124"/>
      <c r="F1124"/>
    </row>
    <row r="1125" spans="1:6">
      <c r="A1125"/>
      <c r="D1125"/>
      <c r="E1125"/>
      <c r="F1125"/>
    </row>
    <row r="1126" spans="1:6">
      <c r="A1126"/>
      <c r="D1126"/>
      <c r="E1126"/>
      <c r="F1126"/>
    </row>
    <row r="1127" spans="1:6">
      <c r="A1127"/>
      <c r="D1127"/>
      <c r="E1127"/>
      <c r="F1127"/>
    </row>
    <row r="1128" spans="1:6">
      <c r="A1128"/>
      <c r="D1128"/>
      <c r="E1128"/>
      <c r="F1128"/>
    </row>
    <row r="1129" spans="1:6">
      <c r="A1129"/>
      <c r="D1129"/>
      <c r="E1129"/>
      <c r="F1129"/>
    </row>
    <row r="1130" spans="1:6">
      <c r="A1130"/>
      <c r="D1130"/>
      <c r="E1130"/>
      <c r="F1130"/>
    </row>
    <row r="1131" spans="1:6">
      <c r="A1131"/>
      <c r="D1131"/>
      <c r="E1131"/>
      <c r="F1131"/>
    </row>
    <row r="1132" spans="1:6">
      <c r="A1132"/>
      <c r="D1132"/>
      <c r="E1132"/>
      <c r="F1132"/>
    </row>
    <row r="1133" spans="1:6">
      <c r="A1133"/>
      <c r="D1133"/>
      <c r="E1133"/>
      <c r="F1133"/>
    </row>
    <row r="1134" spans="1:6">
      <c r="A1134"/>
      <c r="D1134"/>
      <c r="E1134"/>
      <c r="F1134"/>
    </row>
    <row r="1135" spans="1:6">
      <c r="A1135"/>
      <c r="D1135"/>
      <c r="E1135"/>
      <c r="F1135"/>
    </row>
    <row r="1136" spans="1:6">
      <c r="A1136"/>
      <c r="D1136"/>
      <c r="E1136"/>
      <c r="F1136"/>
    </row>
    <row r="1137" spans="1:6">
      <c r="A1137"/>
      <c r="D1137"/>
      <c r="E1137"/>
      <c r="F1137"/>
    </row>
    <row r="1138" spans="1:6">
      <c r="A1138"/>
      <c r="D1138"/>
      <c r="E1138"/>
      <c r="F1138"/>
    </row>
    <row r="1139" spans="1:6">
      <c r="A1139"/>
      <c r="D1139"/>
      <c r="E1139"/>
      <c r="F1139"/>
    </row>
    <row r="1140" spans="1:6">
      <c r="A1140"/>
      <c r="D1140"/>
      <c r="E1140"/>
      <c r="F1140"/>
    </row>
    <row r="1141" spans="1:6">
      <c r="A1141"/>
      <c r="D1141"/>
      <c r="E1141"/>
      <c r="F1141"/>
    </row>
    <row r="1142" spans="1:6">
      <c r="A1142"/>
      <c r="D1142"/>
      <c r="E1142"/>
      <c r="F1142"/>
    </row>
    <row r="1143" spans="1:6">
      <c r="A1143"/>
      <c r="D1143"/>
      <c r="E1143"/>
      <c r="F1143"/>
    </row>
    <row r="1144" spans="1:6">
      <c r="A1144"/>
      <c r="D1144"/>
      <c r="E1144"/>
      <c r="F1144"/>
    </row>
    <row r="1145" spans="1:6">
      <c r="A1145"/>
      <c r="D1145"/>
      <c r="E1145"/>
      <c r="F1145"/>
    </row>
    <row r="1146" spans="1:6">
      <c r="A1146"/>
      <c r="D1146"/>
      <c r="E1146"/>
      <c r="F1146"/>
    </row>
    <row r="1147" spans="1:6">
      <c r="A1147"/>
      <c r="D1147"/>
      <c r="E1147"/>
      <c r="F1147"/>
    </row>
    <row r="1148" spans="1:6">
      <c r="A1148"/>
      <c r="D1148"/>
      <c r="E1148"/>
      <c r="F1148"/>
    </row>
    <row r="1149" spans="1:6">
      <c r="A1149"/>
      <c r="D1149"/>
      <c r="E1149"/>
      <c r="F1149"/>
    </row>
    <row r="1150" spans="1:6">
      <c r="A1150"/>
      <c r="D1150"/>
      <c r="E1150"/>
      <c r="F1150"/>
    </row>
    <row r="1151" spans="1:6">
      <c r="A1151"/>
      <c r="D1151"/>
      <c r="E1151"/>
      <c r="F1151"/>
    </row>
    <row r="1152" spans="1:6">
      <c r="A1152"/>
      <c r="D1152"/>
      <c r="E1152"/>
      <c r="F1152"/>
    </row>
    <row r="1153" spans="1:6">
      <c r="A1153"/>
      <c r="D1153"/>
      <c r="E1153"/>
      <c r="F1153"/>
    </row>
    <row r="1154" spans="1:6">
      <c r="A1154"/>
      <c r="D1154"/>
      <c r="E1154"/>
      <c r="F1154"/>
    </row>
    <row r="1155" spans="1:6">
      <c r="A1155"/>
      <c r="D1155"/>
      <c r="E1155"/>
      <c r="F1155"/>
    </row>
  </sheetData>
  <sheetProtection algorithmName="SHA-512" hashValue="NbelDHlnAmW0Ejfg7FkIBX8D8NyZnel7VuiYaZVCN+vtSeZWoPVA2u3PRrAc7JZlYHtXfYw69MhxaYv2dGnVSQ==" saltValue="m9HUOqh0SjiyzpKLVM+dWQ==" spinCount="100000" sheet="1" objects="1" scenarios="1"/>
  <autoFilter ref="AA1:AB18" xr:uid="{00000000-0009-0000-0000-000009000000}">
    <sortState xmlns:xlrd2="http://schemas.microsoft.com/office/spreadsheetml/2017/richdata2" ref="AA2:AB20">
      <sortCondition ref="AA1:AA18"/>
    </sortState>
  </autoFilter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2">
    <tabColor theme="1"/>
  </sheetPr>
  <dimension ref="A1:I1195"/>
  <sheetViews>
    <sheetView showZeros="0" workbookViewId="0">
      <selection activeCell="C1093" sqref="C1093"/>
    </sheetView>
  </sheetViews>
  <sheetFormatPr defaultRowHeight="14.45"/>
  <cols>
    <col min="1" max="1" width="30.5703125" bestFit="1" customWidth="1"/>
    <col min="2" max="2" width="21.42578125" bestFit="1" customWidth="1"/>
    <col min="3" max="3" width="13.42578125" bestFit="1" customWidth="1"/>
    <col min="4" max="4" width="9.5703125" style="8" bestFit="1" customWidth="1"/>
    <col min="5" max="5" width="98" bestFit="1" customWidth="1"/>
    <col min="6" max="6" width="9.42578125" style="9" bestFit="1" customWidth="1"/>
    <col min="7" max="7" width="5" bestFit="1" customWidth="1"/>
    <col min="8" max="8" width="9.5703125" bestFit="1" customWidth="1"/>
    <col min="9" max="9" width="7.5703125" bestFit="1" customWidth="1"/>
  </cols>
  <sheetData>
    <row r="1" spans="1:9">
      <c r="A1" s="97" t="s">
        <v>946</v>
      </c>
      <c r="B1" s="97" t="s">
        <v>947</v>
      </c>
      <c r="C1" s="97" t="s">
        <v>948</v>
      </c>
      <c r="D1" s="114" t="s">
        <v>949</v>
      </c>
      <c r="E1" s="97" t="s">
        <v>950</v>
      </c>
      <c r="F1" s="98" t="s">
        <v>951</v>
      </c>
      <c r="G1" s="97" t="s">
        <v>730</v>
      </c>
      <c r="H1" s="97" t="s">
        <v>952</v>
      </c>
      <c r="I1" s="97" t="s">
        <v>953</v>
      </c>
    </row>
    <row r="2" spans="1:9">
      <c r="A2" s="99" t="str">
        <f t="shared" ref="A2:A4" si="0">B2&amp;C2&amp;D2</f>
        <v>DESVIO DE ROTAMotorista1</v>
      </c>
      <c r="B2" s="99" t="s">
        <v>133</v>
      </c>
      <c r="C2" s="99" t="s">
        <v>93</v>
      </c>
      <c r="D2" s="115">
        <v>1</v>
      </c>
      <c r="E2" s="99" t="s">
        <v>954</v>
      </c>
      <c r="F2" s="100">
        <v>0.01</v>
      </c>
      <c r="G2" s="101">
        <f>IF(OR(B2="FIXO",B2="XFIXO"),IF(F2="","ERRO",10*F2)*'[1]BD Campos'!$S$2,IF(F2="","ERRO",10*F2)*'[1]BD Campos'!$S$3)</f>
        <v>0.1</v>
      </c>
      <c r="H2" s="102">
        <v>0.05</v>
      </c>
      <c r="I2" s="103">
        <f t="shared" ref="I2:I4" si="1">H2*G2*-1</f>
        <v>-5.000000000000001E-3</v>
      </c>
    </row>
    <row r="3" spans="1:9">
      <c r="A3" s="99" t="str">
        <f t="shared" si="0"/>
        <v>DESVIO DE ROTAMotorista2</v>
      </c>
      <c r="B3" s="99" t="s">
        <v>133</v>
      </c>
      <c r="C3" s="99" t="s">
        <v>93</v>
      </c>
      <c r="D3" s="115">
        <v>2</v>
      </c>
      <c r="E3" s="99" t="s">
        <v>955</v>
      </c>
      <c r="F3" s="100">
        <v>0.01</v>
      </c>
      <c r="G3" s="101">
        <f>IF(OR(B3="FIXO",B3="XFIXO"),IF(F3="","ERRO",10*F3)*'[1]BD Campos'!$S$2,IF(F3="","ERRO",10*F3)*'[1]BD Campos'!$S$3)</f>
        <v>0.1</v>
      </c>
      <c r="H3" s="102">
        <v>0.05</v>
      </c>
      <c r="I3" s="103">
        <f t="shared" si="1"/>
        <v>-5.000000000000001E-3</v>
      </c>
    </row>
    <row r="4" spans="1:9">
      <c r="A4" s="99" t="str">
        <f t="shared" si="0"/>
        <v>DESVIO DE ROTAMotorista3</v>
      </c>
      <c r="B4" s="99" t="s">
        <v>133</v>
      </c>
      <c r="C4" s="99" t="s">
        <v>93</v>
      </c>
      <c r="D4" s="115">
        <v>3</v>
      </c>
      <c r="E4" s="99" t="s">
        <v>956</v>
      </c>
      <c r="F4" s="100">
        <v>0.01</v>
      </c>
      <c r="G4" s="101">
        <f>IF(OR(B4="FIXO",B4="XFIXO"),IF(F4="","ERRO",10*F4)*'[1]BD Campos'!$S$2,IF(F4="","ERRO",10*F4)*'[1]BD Campos'!$S$3)</f>
        <v>0.1</v>
      </c>
      <c r="H4" s="102">
        <v>0.05</v>
      </c>
      <c r="I4" s="103">
        <f t="shared" si="1"/>
        <v>-5.000000000000001E-3</v>
      </c>
    </row>
    <row r="5" spans="1:9">
      <c r="A5" s="99" t="str">
        <f>B5&amp;C5&amp;D5</f>
        <v>DESVIO DE ROTAMotorista4</v>
      </c>
      <c r="B5" s="99" t="s">
        <v>133</v>
      </c>
      <c r="C5" s="99" t="s">
        <v>93</v>
      </c>
      <c r="D5" s="115">
        <v>4</v>
      </c>
      <c r="E5" s="99" t="s">
        <v>957</v>
      </c>
      <c r="F5" s="100">
        <v>0.2</v>
      </c>
      <c r="G5" s="101">
        <f>IF(OR(B5="FIXO",B5="XFIXO"),IF(F5="","ERRO",10*F5)*'[1]BD Campos'!$S$2,IF(F5="","ERRO",10*F5)*'[1]BD Campos'!$S$3)</f>
        <v>2</v>
      </c>
      <c r="H5" s="102">
        <v>0.05</v>
      </c>
      <c r="I5" s="103">
        <f>H5*G5*-1</f>
        <v>-0.1</v>
      </c>
    </row>
    <row r="6" spans="1:9">
      <c r="A6" s="99" t="str">
        <f>B6&amp;C6&amp;D6</f>
        <v>DESVIO DE ROTAMotorista5</v>
      </c>
      <c r="B6" s="99" t="s">
        <v>133</v>
      </c>
      <c r="C6" s="99" t="s">
        <v>93</v>
      </c>
      <c r="D6" s="115">
        <v>5</v>
      </c>
      <c r="E6" s="99" t="s">
        <v>958</v>
      </c>
      <c r="F6" s="100">
        <v>0.10299999999999999</v>
      </c>
      <c r="G6" s="101">
        <f>IF(OR(B6="FIXO",B6="XFIXO"),IF(F6="","ERRO",10*F6)*'[1]BD Campos'!$S$2,IF(F6="","ERRO",10*F6)*'[1]BD Campos'!$S$3)</f>
        <v>1.03</v>
      </c>
      <c r="H6" s="102">
        <v>0.05</v>
      </c>
      <c r="I6" s="103">
        <f>H6*G6*-1</f>
        <v>-5.1500000000000004E-2</v>
      </c>
    </row>
    <row r="7" spans="1:9">
      <c r="A7" s="99" t="str">
        <f t="shared" ref="A7:A33" si="2">B7&amp;C7&amp;D7</f>
        <v>DESVIO DE ROTAMotorista6</v>
      </c>
      <c r="B7" s="99" t="s">
        <v>133</v>
      </c>
      <c r="C7" s="99" t="s">
        <v>93</v>
      </c>
      <c r="D7" s="115">
        <v>6</v>
      </c>
      <c r="E7" s="99" t="s">
        <v>959</v>
      </c>
      <c r="F7" s="100">
        <v>0.105</v>
      </c>
      <c r="G7" s="101">
        <f>IF(OR(B7="FIXO",B7="XFIXO"),IF(F7="","ERRO",10*F7)*'[1]BD Campos'!$S$2,IF(F7="","ERRO",10*F7)*'[1]BD Campos'!$S$3)</f>
        <v>1.05</v>
      </c>
      <c r="H7" s="102">
        <v>0.05</v>
      </c>
      <c r="I7" s="103">
        <f t="shared" ref="I7:I33" si="3">H7*G7*-1</f>
        <v>-5.2500000000000005E-2</v>
      </c>
    </row>
    <row r="8" spans="1:9">
      <c r="A8" s="99" t="str">
        <f t="shared" si="2"/>
        <v>DESVIO DE ROTAMotorista7</v>
      </c>
      <c r="B8" s="99" t="s">
        <v>133</v>
      </c>
      <c r="C8" s="99" t="s">
        <v>93</v>
      </c>
      <c r="D8" s="115">
        <v>7</v>
      </c>
      <c r="E8" s="99" t="s">
        <v>960</v>
      </c>
      <c r="F8" s="100">
        <v>0.105</v>
      </c>
      <c r="G8" s="101">
        <f>IF(OR(B8="FIXO",B8="XFIXO"),IF(F8="","ERRO",10*F8)*'[1]BD Campos'!$S$2,IF(F8="","ERRO",10*F8)*'[1]BD Campos'!$S$3)</f>
        <v>1.05</v>
      </c>
      <c r="H8" s="102">
        <v>0.05</v>
      </c>
      <c r="I8" s="103">
        <f t="shared" si="3"/>
        <v>-5.2500000000000005E-2</v>
      </c>
    </row>
    <row r="9" spans="1:9">
      <c r="A9" s="99" t="str">
        <f t="shared" si="2"/>
        <v>DESVIO DE ROTAMotorista8</v>
      </c>
      <c r="B9" s="99" t="s">
        <v>133</v>
      </c>
      <c r="C9" s="99" t="s">
        <v>93</v>
      </c>
      <c r="D9" s="115">
        <v>8</v>
      </c>
      <c r="E9" s="99" t="s">
        <v>961</v>
      </c>
      <c r="F9" s="100">
        <v>0.105</v>
      </c>
      <c r="G9" s="101">
        <f>IF(OR(B9="FIXO",B9="XFIXO"),IF(F9="","ERRO",10*F9)*'[1]BD Campos'!$S$2,IF(F9="","ERRO",10*F9)*'[1]BD Campos'!$S$3)</f>
        <v>1.05</v>
      </c>
      <c r="H9" s="102">
        <v>0.05</v>
      </c>
      <c r="I9" s="103">
        <f t="shared" si="3"/>
        <v>-5.2500000000000005E-2</v>
      </c>
    </row>
    <row r="10" spans="1:9">
      <c r="A10" s="99" t="str">
        <f t="shared" si="2"/>
        <v>DESVIO DE ROTAMotorista9</v>
      </c>
      <c r="B10" s="99" t="s">
        <v>133</v>
      </c>
      <c r="C10" s="99" t="s">
        <v>93</v>
      </c>
      <c r="D10" s="115">
        <v>9</v>
      </c>
      <c r="E10" s="99" t="s">
        <v>962</v>
      </c>
      <c r="F10" s="100">
        <v>0.105</v>
      </c>
      <c r="G10" s="101">
        <f>IF(OR(B10="FIXO",B10="XFIXO"),IF(F10="","ERRO",10*F10)*'[1]BD Campos'!$S$2,IF(F10="","ERRO",10*F10)*'[1]BD Campos'!$S$3)</f>
        <v>1.05</v>
      </c>
      <c r="H10" s="102">
        <v>0.05</v>
      </c>
      <c r="I10" s="103">
        <f t="shared" si="3"/>
        <v>-5.2500000000000005E-2</v>
      </c>
    </row>
    <row r="11" spans="1:9">
      <c r="A11" s="99" t="str">
        <f t="shared" si="2"/>
        <v>DESVIO DE ROTAMotorista10</v>
      </c>
      <c r="B11" s="99" t="s">
        <v>133</v>
      </c>
      <c r="C11" s="99" t="s">
        <v>93</v>
      </c>
      <c r="D11" s="115">
        <v>10</v>
      </c>
      <c r="E11" s="99" t="s">
        <v>963</v>
      </c>
      <c r="F11" s="100">
        <v>0.112</v>
      </c>
      <c r="G11" s="101">
        <f>IF(OR(B11="FIXO",B11="XFIXO"),IF(F11="","ERRO",10*F11)*'[1]BD Campos'!$S$2,IF(F11="","ERRO",10*F11)*'[1]BD Campos'!$S$3)</f>
        <v>1.1200000000000001</v>
      </c>
      <c r="H11" s="102">
        <v>0.05</v>
      </c>
      <c r="I11" s="103">
        <f t="shared" si="3"/>
        <v>-5.6000000000000008E-2</v>
      </c>
    </row>
    <row r="12" spans="1:9">
      <c r="A12" s="99" t="str">
        <f t="shared" si="2"/>
        <v>DESVIO DE ROTAMotorista11</v>
      </c>
      <c r="B12" s="99" t="s">
        <v>133</v>
      </c>
      <c r="C12" s="99" t="s">
        <v>93</v>
      </c>
      <c r="D12" s="115">
        <v>11</v>
      </c>
      <c r="E12" s="99" t="s">
        <v>964</v>
      </c>
      <c r="F12" s="100">
        <v>0.03</v>
      </c>
      <c r="G12" s="101">
        <f>IF(OR(B12="FIXO",B12="XFIXO"),IF(F12="","ERRO",10*F12)*'[1]BD Campos'!$S$2,IF(F12="","ERRO",10*F12)*'[1]BD Campos'!$S$3)</f>
        <v>0.3</v>
      </c>
      <c r="H12" s="102">
        <v>0.05</v>
      </c>
      <c r="I12" s="103">
        <f t="shared" si="3"/>
        <v>-1.4999999999999999E-2</v>
      </c>
    </row>
    <row r="13" spans="1:9">
      <c r="A13" s="99" t="str">
        <f t="shared" si="2"/>
        <v>DESVIO DE ROTAMotorista12</v>
      </c>
      <c r="B13" s="99" t="s">
        <v>133</v>
      </c>
      <c r="C13" s="99" t="s">
        <v>93</v>
      </c>
      <c r="D13" s="115">
        <v>12</v>
      </c>
      <c r="E13" s="99" t="s">
        <v>965</v>
      </c>
      <c r="F13" s="100">
        <v>0.03</v>
      </c>
      <c r="G13" s="101">
        <f>IF(OR(B13="FIXO",B13="XFIXO"),IF(F13="","ERRO",10*F13)*'[1]BD Campos'!$S$2,IF(F13="","ERRO",10*F13)*'[1]BD Campos'!$S$3)</f>
        <v>0.3</v>
      </c>
      <c r="H13" s="102">
        <v>0.05</v>
      </c>
      <c r="I13" s="103">
        <f t="shared" si="3"/>
        <v>-1.4999999999999999E-2</v>
      </c>
    </row>
    <row r="14" spans="1:9">
      <c r="A14" s="99" t="str">
        <f t="shared" si="2"/>
        <v>DESVIO DE ROTAMotorista13</v>
      </c>
      <c r="B14" s="99" t="s">
        <v>133</v>
      </c>
      <c r="C14" s="99" t="s">
        <v>93</v>
      </c>
      <c r="D14" s="115">
        <v>13</v>
      </c>
      <c r="E14" s="99" t="s">
        <v>966</v>
      </c>
      <c r="F14" s="100">
        <v>1.4999999999999999E-2</v>
      </c>
      <c r="G14" s="101">
        <f>IF(OR(B14="FIXO",B14="XFIXO"),IF(F14="","ERRO",10*F14)*'[1]BD Campos'!$S$2,IF(F14="","ERRO",10*F14)*'[1]BD Campos'!$S$3)</f>
        <v>0.15</v>
      </c>
      <c r="H14" s="102">
        <v>0.05</v>
      </c>
      <c r="I14" s="103">
        <f t="shared" si="3"/>
        <v>-7.4999999999999997E-3</v>
      </c>
    </row>
    <row r="15" spans="1:9">
      <c r="A15" s="99" t="str">
        <f t="shared" si="2"/>
        <v>DESVIO DE ROTAMotorista14</v>
      </c>
      <c r="B15" s="99" t="s">
        <v>133</v>
      </c>
      <c r="C15" s="99" t="s">
        <v>93</v>
      </c>
      <c r="D15" s="115">
        <v>14</v>
      </c>
      <c r="E15" s="99" t="s">
        <v>967</v>
      </c>
      <c r="F15" s="100">
        <v>0.02</v>
      </c>
      <c r="G15" s="101">
        <f>IF(OR(B15="FIXO",B15="XFIXO"),IF(F15="","ERRO",10*F15)*'[1]BD Campos'!$S$2,IF(F15="","ERRO",10*F15)*'[1]BD Campos'!$S$3)</f>
        <v>0.2</v>
      </c>
      <c r="H15" s="102">
        <v>0.05</v>
      </c>
      <c r="I15" s="103">
        <f t="shared" si="3"/>
        <v>-1.0000000000000002E-2</v>
      </c>
    </row>
    <row r="16" spans="1:9">
      <c r="A16" s="99" t="str">
        <f t="shared" si="2"/>
        <v>DESVIO DE ROTAMotorista15</v>
      </c>
      <c r="B16" s="99" t="s">
        <v>133</v>
      </c>
      <c r="C16" s="99" t="s">
        <v>93</v>
      </c>
      <c r="D16" s="115">
        <v>15</v>
      </c>
      <c r="E16" s="99" t="s">
        <v>968</v>
      </c>
      <c r="F16" s="100">
        <v>0.03</v>
      </c>
      <c r="G16" s="101">
        <f>IF(OR(B16="FIXO",B16="XFIXO"),IF(F16="","ERRO",10*F16)*'[1]BD Campos'!$S$2,IF(F16="","ERRO",10*F16)*'[1]BD Campos'!$S$3)</f>
        <v>0.3</v>
      </c>
      <c r="H16" s="102">
        <v>0.05</v>
      </c>
      <c r="I16" s="103">
        <f t="shared" si="3"/>
        <v>-1.4999999999999999E-2</v>
      </c>
    </row>
    <row r="17" spans="1:9">
      <c r="A17" s="104" t="str">
        <f t="shared" si="2"/>
        <v>DESVIO DE ROTAMotorista16</v>
      </c>
      <c r="B17" s="104" t="s">
        <v>133</v>
      </c>
      <c r="C17" s="104" t="s">
        <v>93</v>
      </c>
      <c r="D17" s="116">
        <v>16</v>
      </c>
      <c r="E17" s="104" t="s">
        <v>969</v>
      </c>
      <c r="F17" s="105">
        <v>0.01</v>
      </c>
      <c r="G17" s="106">
        <f>IF(OR(B17="FIXO",B17="XFIXO"),IF(F17="","ERRO",10*F17)*'[1]BD Campos'!$S$2,IF(F17="","ERRO",10*F17)*'[1]BD Campos'!$S$3)</f>
        <v>0.1</v>
      </c>
      <c r="H17" s="107">
        <v>0.05</v>
      </c>
      <c r="I17" s="108">
        <f t="shared" si="3"/>
        <v>-5.000000000000001E-3</v>
      </c>
    </row>
    <row r="18" spans="1:9">
      <c r="A18" s="99" t="str">
        <f t="shared" si="2"/>
        <v>DESVIO DE ROTAMotorista 21</v>
      </c>
      <c r="B18" s="99" t="s">
        <v>133</v>
      </c>
      <c r="C18" s="99" t="s">
        <v>97</v>
      </c>
      <c r="D18" s="115">
        <v>1</v>
      </c>
      <c r="E18" s="99" t="s">
        <v>954</v>
      </c>
      <c r="F18" s="100">
        <v>0.01</v>
      </c>
      <c r="G18" s="101">
        <f>IF(OR(B18="FIXO",B18="XFIXO"),IF(F18="","ERRO",10*F18)*'[1]BD Campos'!$S$2,IF(F18="","ERRO",10*F18)*'[1]BD Campos'!$S$3)</f>
        <v>0.1</v>
      </c>
      <c r="H18" s="102">
        <v>0.05</v>
      </c>
      <c r="I18" s="103">
        <f t="shared" si="3"/>
        <v>-5.000000000000001E-3</v>
      </c>
    </row>
    <row r="19" spans="1:9">
      <c r="A19" s="99" t="str">
        <f t="shared" si="2"/>
        <v>DESVIO DE ROTAMotorista 22</v>
      </c>
      <c r="B19" s="99" t="s">
        <v>133</v>
      </c>
      <c r="C19" s="99" t="s">
        <v>97</v>
      </c>
      <c r="D19" s="115">
        <v>2</v>
      </c>
      <c r="E19" s="99" t="s">
        <v>955</v>
      </c>
      <c r="F19" s="100">
        <v>0.01</v>
      </c>
      <c r="G19" s="101">
        <f>IF(OR(B19="FIXO",B19="XFIXO"),IF(F19="","ERRO",10*F19)*'[1]BD Campos'!$S$2,IF(F19="","ERRO",10*F19)*'[1]BD Campos'!$S$3)</f>
        <v>0.1</v>
      </c>
      <c r="H19" s="102">
        <v>0.05</v>
      </c>
      <c r="I19" s="103">
        <f t="shared" si="3"/>
        <v>-5.000000000000001E-3</v>
      </c>
    </row>
    <row r="20" spans="1:9">
      <c r="A20" s="99" t="str">
        <f t="shared" si="2"/>
        <v>DESVIO DE ROTAMotorista 23</v>
      </c>
      <c r="B20" s="99" t="s">
        <v>133</v>
      </c>
      <c r="C20" s="99" t="s">
        <v>97</v>
      </c>
      <c r="D20" s="115">
        <v>3</v>
      </c>
      <c r="E20" s="99" t="s">
        <v>956</v>
      </c>
      <c r="F20" s="100">
        <v>0.01</v>
      </c>
      <c r="G20" s="101">
        <f>IF(OR(B20="FIXO",B20="XFIXO"),IF(F20="","ERRO",10*F20)*'[1]BD Campos'!$S$2,IF(F20="","ERRO",10*F20)*'[1]BD Campos'!$S$3)</f>
        <v>0.1</v>
      </c>
      <c r="H20" s="102">
        <v>0.05</v>
      </c>
      <c r="I20" s="103">
        <f t="shared" si="3"/>
        <v>-5.000000000000001E-3</v>
      </c>
    </row>
    <row r="21" spans="1:9">
      <c r="A21" s="99" t="str">
        <f t="shared" si="2"/>
        <v>DESVIO DE ROTAMotorista 24</v>
      </c>
      <c r="B21" s="99" t="s">
        <v>133</v>
      </c>
      <c r="C21" s="99" t="s">
        <v>97</v>
      </c>
      <c r="D21" s="115">
        <v>4</v>
      </c>
      <c r="E21" s="99" t="s">
        <v>957</v>
      </c>
      <c r="F21" s="100">
        <v>0.2</v>
      </c>
      <c r="G21" s="101">
        <f>IF(OR(B21="FIXO",B21="XFIXO"),IF(F21="","ERRO",10*F21)*'[1]BD Campos'!$S$2,IF(F21="","ERRO",10*F21)*'[1]BD Campos'!$S$3)</f>
        <v>2</v>
      </c>
      <c r="H21" s="102">
        <v>0.05</v>
      </c>
      <c r="I21" s="103">
        <f t="shared" si="3"/>
        <v>-0.1</v>
      </c>
    </row>
    <row r="22" spans="1:9">
      <c r="A22" s="99" t="str">
        <f t="shared" si="2"/>
        <v>DESVIO DE ROTAMotorista 25</v>
      </c>
      <c r="B22" s="99" t="s">
        <v>133</v>
      </c>
      <c r="C22" s="99" t="s">
        <v>97</v>
      </c>
      <c r="D22" s="115">
        <v>5</v>
      </c>
      <c r="E22" s="99" t="s">
        <v>958</v>
      </c>
      <c r="F22" s="100">
        <v>0.10299999999999999</v>
      </c>
      <c r="G22" s="101">
        <f>IF(OR(B22="FIXO",B22="XFIXO"),IF(F22="","ERRO",10*F22)*'[1]BD Campos'!$S$2,IF(F22="","ERRO",10*F22)*'[1]BD Campos'!$S$3)</f>
        <v>1.03</v>
      </c>
      <c r="H22" s="102">
        <v>0.05</v>
      </c>
      <c r="I22" s="103">
        <f t="shared" si="3"/>
        <v>-5.1500000000000004E-2</v>
      </c>
    </row>
    <row r="23" spans="1:9">
      <c r="A23" s="99" t="str">
        <f t="shared" si="2"/>
        <v>DESVIO DE ROTAMotorista 26</v>
      </c>
      <c r="B23" s="99" t="s">
        <v>133</v>
      </c>
      <c r="C23" s="99" t="s">
        <v>97</v>
      </c>
      <c r="D23" s="115">
        <v>6</v>
      </c>
      <c r="E23" s="99" t="s">
        <v>959</v>
      </c>
      <c r="F23" s="100">
        <v>0.105</v>
      </c>
      <c r="G23" s="101">
        <f>IF(OR(B23="FIXO",B23="XFIXO"),IF(F23="","ERRO",10*F23)*'[1]BD Campos'!$S$2,IF(F23="","ERRO",10*F23)*'[1]BD Campos'!$S$3)</f>
        <v>1.05</v>
      </c>
      <c r="H23" s="102">
        <v>0.05</v>
      </c>
      <c r="I23" s="103">
        <f t="shared" si="3"/>
        <v>-5.2500000000000005E-2</v>
      </c>
    </row>
    <row r="24" spans="1:9">
      <c r="A24" s="99" t="str">
        <f t="shared" si="2"/>
        <v>DESVIO DE ROTAMotorista 27</v>
      </c>
      <c r="B24" s="99" t="s">
        <v>133</v>
      </c>
      <c r="C24" s="99" t="s">
        <v>97</v>
      </c>
      <c r="D24" s="115">
        <v>7</v>
      </c>
      <c r="E24" s="99" t="s">
        <v>960</v>
      </c>
      <c r="F24" s="100">
        <v>0.105</v>
      </c>
      <c r="G24" s="101">
        <f>IF(OR(B24="FIXO",B24="XFIXO"),IF(F24="","ERRO",10*F24)*'[1]BD Campos'!$S$2,IF(F24="","ERRO",10*F24)*'[1]BD Campos'!$S$3)</f>
        <v>1.05</v>
      </c>
      <c r="H24" s="102">
        <v>0.05</v>
      </c>
      <c r="I24" s="103">
        <f t="shared" si="3"/>
        <v>-5.2500000000000005E-2</v>
      </c>
    </row>
    <row r="25" spans="1:9">
      <c r="A25" s="99" t="str">
        <f t="shared" si="2"/>
        <v>DESVIO DE ROTAMotorista 28</v>
      </c>
      <c r="B25" s="99" t="s">
        <v>133</v>
      </c>
      <c r="C25" s="99" t="s">
        <v>97</v>
      </c>
      <c r="D25" s="115">
        <v>8</v>
      </c>
      <c r="E25" s="99" t="s">
        <v>961</v>
      </c>
      <c r="F25" s="100">
        <v>0.105</v>
      </c>
      <c r="G25" s="101">
        <f>IF(OR(B25="FIXO",B25="XFIXO"),IF(F25="","ERRO",10*F25)*'[1]BD Campos'!$S$2,IF(F25="","ERRO",10*F25)*'[1]BD Campos'!$S$3)</f>
        <v>1.05</v>
      </c>
      <c r="H25" s="102">
        <v>0.05</v>
      </c>
      <c r="I25" s="103">
        <f t="shared" si="3"/>
        <v>-5.2500000000000005E-2</v>
      </c>
    </row>
    <row r="26" spans="1:9">
      <c r="A26" s="99" t="str">
        <f t="shared" si="2"/>
        <v>DESVIO DE ROTAMotorista 29</v>
      </c>
      <c r="B26" s="99" t="s">
        <v>133</v>
      </c>
      <c r="C26" s="99" t="s">
        <v>97</v>
      </c>
      <c r="D26" s="115">
        <v>9</v>
      </c>
      <c r="E26" s="99" t="s">
        <v>962</v>
      </c>
      <c r="F26" s="100">
        <v>0.105</v>
      </c>
      <c r="G26" s="101">
        <f>IF(OR(B26="FIXO",B26="XFIXO"),IF(F26="","ERRO",10*F26)*'[1]BD Campos'!$S$2,IF(F26="","ERRO",10*F26)*'[1]BD Campos'!$S$3)</f>
        <v>1.05</v>
      </c>
      <c r="H26" s="102">
        <v>0.05</v>
      </c>
      <c r="I26" s="103">
        <f t="shared" si="3"/>
        <v>-5.2500000000000005E-2</v>
      </c>
    </row>
    <row r="27" spans="1:9">
      <c r="A27" s="99" t="str">
        <f t="shared" si="2"/>
        <v>DESVIO DE ROTAMotorista 210</v>
      </c>
      <c r="B27" s="99" t="s">
        <v>133</v>
      </c>
      <c r="C27" s="99" t="s">
        <v>97</v>
      </c>
      <c r="D27" s="115">
        <v>10</v>
      </c>
      <c r="E27" s="99" t="s">
        <v>963</v>
      </c>
      <c r="F27" s="100">
        <v>0.112</v>
      </c>
      <c r="G27" s="101">
        <f>IF(OR(B27="FIXO",B27="XFIXO"),IF(F27="","ERRO",10*F27)*'[1]BD Campos'!$S$2,IF(F27="","ERRO",10*F27)*'[1]BD Campos'!$S$3)</f>
        <v>1.1200000000000001</v>
      </c>
      <c r="H27" s="102">
        <v>0.05</v>
      </c>
      <c r="I27" s="103">
        <f t="shared" si="3"/>
        <v>-5.6000000000000008E-2</v>
      </c>
    </row>
    <row r="28" spans="1:9">
      <c r="A28" s="99" t="str">
        <f t="shared" si="2"/>
        <v>DESVIO DE ROTAMotorista 211</v>
      </c>
      <c r="B28" s="99" t="s">
        <v>133</v>
      </c>
      <c r="C28" s="99" t="s">
        <v>97</v>
      </c>
      <c r="D28" s="115">
        <v>11</v>
      </c>
      <c r="E28" s="99" t="s">
        <v>964</v>
      </c>
      <c r="F28" s="100">
        <v>0.03</v>
      </c>
      <c r="G28" s="101">
        <f>IF(OR(B28="FIXO",B28="XFIXO"),IF(F28="","ERRO",10*F28)*'[1]BD Campos'!$S$2,IF(F28="","ERRO",10*F28)*'[1]BD Campos'!$S$3)</f>
        <v>0.3</v>
      </c>
      <c r="H28" s="102">
        <v>0.05</v>
      </c>
      <c r="I28" s="103">
        <f t="shared" si="3"/>
        <v>-1.4999999999999999E-2</v>
      </c>
    </row>
    <row r="29" spans="1:9">
      <c r="A29" s="99" t="str">
        <f t="shared" si="2"/>
        <v>DESVIO DE ROTAMotorista 212</v>
      </c>
      <c r="B29" s="99" t="s">
        <v>133</v>
      </c>
      <c r="C29" s="99" t="s">
        <v>97</v>
      </c>
      <c r="D29" s="115">
        <v>12</v>
      </c>
      <c r="E29" s="99" t="s">
        <v>965</v>
      </c>
      <c r="F29" s="100">
        <v>0.03</v>
      </c>
      <c r="G29" s="101">
        <f>IF(OR(B29="FIXO",B29="XFIXO"),IF(F29="","ERRO",10*F29)*'[1]BD Campos'!$S$2,IF(F29="","ERRO",10*F29)*'[1]BD Campos'!$S$3)</f>
        <v>0.3</v>
      </c>
      <c r="H29" s="102">
        <v>0.05</v>
      </c>
      <c r="I29" s="103">
        <f t="shared" si="3"/>
        <v>-1.4999999999999999E-2</v>
      </c>
    </row>
    <row r="30" spans="1:9">
      <c r="A30" s="99" t="str">
        <f t="shared" si="2"/>
        <v>DESVIO DE ROTAMotorista 213</v>
      </c>
      <c r="B30" s="99" t="s">
        <v>133</v>
      </c>
      <c r="C30" s="99" t="s">
        <v>97</v>
      </c>
      <c r="D30" s="115">
        <v>13</v>
      </c>
      <c r="E30" s="99" t="s">
        <v>966</v>
      </c>
      <c r="F30" s="100">
        <v>1.4999999999999999E-2</v>
      </c>
      <c r="G30" s="101">
        <f>IF(OR(B30="FIXO",B30="XFIXO"),IF(F30="","ERRO",10*F30)*'[1]BD Campos'!$S$2,IF(F30="","ERRO",10*F30)*'[1]BD Campos'!$S$3)</f>
        <v>0.15</v>
      </c>
      <c r="H30" s="102">
        <v>0.05</v>
      </c>
      <c r="I30" s="103">
        <f t="shared" si="3"/>
        <v>-7.4999999999999997E-3</v>
      </c>
    </row>
    <row r="31" spans="1:9">
      <c r="A31" s="99" t="str">
        <f t="shared" si="2"/>
        <v>DESVIO DE ROTAMotorista 214</v>
      </c>
      <c r="B31" s="99" t="s">
        <v>133</v>
      </c>
      <c r="C31" s="99" t="s">
        <v>97</v>
      </c>
      <c r="D31" s="115">
        <v>14</v>
      </c>
      <c r="E31" s="99" t="s">
        <v>967</v>
      </c>
      <c r="F31" s="100">
        <v>0.02</v>
      </c>
      <c r="G31" s="101">
        <f>IF(OR(B31="FIXO",B31="XFIXO"),IF(F31="","ERRO",10*F31)*'[1]BD Campos'!$S$2,IF(F31="","ERRO",10*F31)*'[1]BD Campos'!$S$3)</f>
        <v>0.2</v>
      </c>
      <c r="H31" s="102">
        <v>0.05</v>
      </c>
      <c r="I31" s="103">
        <f t="shared" si="3"/>
        <v>-1.0000000000000002E-2</v>
      </c>
    </row>
    <row r="32" spans="1:9">
      <c r="A32" s="99" t="str">
        <f t="shared" si="2"/>
        <v>DESVIO DE ROTAMotorista 215</v>
      </c>
      <c r="B32" s="99" t="s">
        <v>133</v>
      </c>
      <c r="C32" s="99" t="s">
        <v>97</v>
      </c>
      <c r="D32" s="115">
        <v>15</v>
      </c>
      <c r="E32" s="99" t="s">
        <v>968</v>
      </c>
      <c r="F32" s="100">
        <v>0.03</v>
      </c>
      <c r="G32" s="101">
        <f>IF(OR(B32="FIXO",B32="XFIXO"),IF(F32="","ERRO",10*F32)*'[1]BD Campos'!$S$2,IF(F32="","ERRO",10*F32)*'[1]BD Campos'!$S$3)</f>
        <v>0.3</v>
      </c>
      <c r="H32" s="102">
        <v>0.05</v>
      </c>
      <c r="I32" s="103">
        <f t="shared" si="3"/>
        <v>-1.4999999999999999E-2</v>
      </c>
    </row>
    <row r="33" spans="1:9">
      <c r="A33" s="104" t="str">
        <f t="shared" si="2"/>
        <v>DESVIO DE ROTAMotorista 216</v>
      </c>
      <c r="B33" s="104" t="s">
        <v>133</v>
      </c>
      <c r="C33" s="104" t="s">
        <v>97</v>
      </c>
      <c r="D33" s="116">
        <v>16</v>
      </c>
      <c r="E33" s="104" t="s">
        <v>969</v>
      </c>
      <c r="F33" s="105">
        <v>0.01</v>
      </c>
      <c r="G33" s="106">
        <f>IF(OR(B33="FIXO",B33="XFIXO"),IF(F33="","ERRO",10*F33)*'[1]BD Campos'!$S$2,IF(F33="","ERRO",10*F33)*'[1]BD Campos'!$S$3)</f>
        <v>0.1</v>
      </c>
      <c r="H33" s="107">
        <v>0.05</v>
      </c>
      <c r="I33" s="108">
        <f t="shared" si="3"/>
        <v>-5.000000000000001E-3</v>
      </c>
    </row>
    <row r="34" spans="1:9">
      <c r="A34" s="99" t="str">
        <f>B34&amp;C34&amp;D34</f>
        <v>PARADA INDEVIDAMotorista1</v>
      </c>
      <c r="B34" s="99" t="s">
        <v>130</v>
      </c>
      <c r="C34" s="99" t="s">
        <v>93</v>
      </c>
      <c r="D34" s="115">
        <v>1</v>
      </c>
      <c r="E34" s="99" t="s">
        <v>954</v>
      </c>
      <c r="F34" s="100">
        <v>0.01</v>
      </c>
      <c r="G34" s="101">
        <f>IF(OR(B34="FIXO",B34="XFIXO"),IF(F34="","ERRO",10*F34)*'[1]BD Campos'!$S$2,IF(F34="","ERRO",10*F34)*'[1]BD Campos'!$S$3)</f>
        <v>0.1</v>
      </c>
      <c r="H34" s="102">
        <v>0.05</v>
      </c>
      <c r="I34" s="103">
        <f>H34*G34*-1</f>
        <v>-5.000000000000001E-3</v>
      </c>
    </row>
    <row r="35" spans="1:9">
      <c r="A35" s="99" t="str">
        <f t="shared" ref="A35:A63" si="4">B35&amp;C35&amp;D35</f>
        <v>PARADA INDEVIDAMotorista2</v>
      </c>
      <c r="B35" s="99" t="s">
        <v>130</v>
      </c>
      <c r="C35" s="99" t="s">
        <v>93</v>
      </c>
      <c r="D35" s="115">
        <v>2</v>
      </c>
      <c r="E35" s="99" t="s">
        <v>955</v>
      </c>
      <c r="F35" s="100">
        <v>0.01</v>
      </c>
      <c r="G35" s="101">
        <f>IF(OR(B35="FIXO",B35="XFIXO"),IF(F35="","ERRO",10*F35)*'[1]BD Campos'!$S$2,IF(F35="","ERRO",10*F35)*'[1]BD Campos'!$S$3)</f>
        <v>0.1</v>
      </c>
      <c r="H35" s="102">
        <v>0.05</v>
      </c>
      <c r="I35" s="103">
        <f t="shared" ref="I35:I63" si="5">H35*G35*-1</f>
        <v>-5.000000000000001E-3</v>
      </c>
    </row>
    <row r="36" spans="1:9">
      <c r="A36" s="99" t="str">
        <f t="shared" si="4"/>
        <v>PARADA INDEVIDAMotorista3</v>
      </c>
      <c r="B36" s="99" t="s">
        <v>130</v>
      </c>
      <c r="C36" s="99" t="s">
        <v>93</v>
      </c>
      <c r="D36" s="115">
        <v>3</v>
      </c>
      <c r="E36" s="99" t="s">
        <v>956</v>
      </c>
      <c r="F36" s="100">
        <v>0.01</v>
      </c>
      <c r="G36" s="101">
        <f>IF(OR(B36="FIXO",B36="XFIXO"),IF(F36="","ERRO",10*F36)*'[1]BD Campos'!$S$2,IF(F36="","ERRO",10*F36)*'[1]BD Campos'!$S$3)</f>
        <v>0.1</v>
      </c>
      <c r="H36" s="102">
        <v>0.05</v>
      </c>
      <c r="I36" s="103">
        <f t="shared" si="5"/>
        <v>-5.000000000000001E-3</v>
      </c>
    </row>
    <row r="37" spans="1:9">
      <c r="A37" s="99" t="str">
        <f t="shared" si="4"/>
        <v>PARADA INDEVIDAMotorista4</v>
      </c>
      <c r="B37" s="99" t="s">
        <v>130</v>
      </c>
      <c r="C37" s="99" t="s">
        <v>93</v>
      </c>
      <c r="D37" s="115">
        <v>4</v>
      </c>
      <c r="E37" s="99" t="s">
        <v>957</v>
      </c>
      <c r="F37" s="100">
        <v>0.2</v>
      </c>
      <c r="G37" s="101">
        <f>IF(OR(B37="FIXO",B37="XFIXO"),IF(F37="","ERRO",10*F37)*'[1]BD Campos'!$S$2,IF(F37="","ERRO",10*F37)*'[1]BD Campos'!$S$3)</f>
        <v>2</v>
      </c>
      <c r="H37" s="102">
        <v>0.05</v>
      </c>
      <c r="I37" s="103">
        <f t="shared" si="5"/>
        <v>-0.1</v>
      </c>
    </row>
    <row r="38" spans="1:9">
      <c r="A38" s="99" t="str">
        <f t="shared" si="4"/>
        <v>PARADA INDEVIDAMotorista5</v>
      </c>
      <c r="B38" s="99" t="s">
        <v>130</v>
      </c>
      <c r="C38" s="99" t="s">
        <v>93</v>
      </c>
      <c r="D38" s="115">
        <v>5</v>
      </c>
      <c r="E38" s="99" t="s">
        <v>958</v>
      </c>
      <c r="F38" s="100">
        <v>0.10299999999999999</v>
      </c>
      <c r="G38" s="101">
        <f>IF(OR(B38="FIXO",B38="XFIXO"),IF(F38="","ERRO",10*F38)*'[1]BD Campos'!$S$2,IF(F38="","ERRO",10*F38)*'[1]BD Campos'!$S$3)</f>
        <v>1.03</v>
      </c>
      <c r="H38" s="102">
        <v>0.05</v>
      </c>
      <c r="I38" s="103">
        <f t="shared" si="5"/>
        <v>-5.1500000000000004E-2</v>
      </c>
    </row>
    <row r="39" spans="1:9">
      <c r="A39" s="99" t="str">
        <f t="shared" si="4"/>
        <v>PARADA INDEVIDAMotorista6</v>
      </c>
      <c r="B39" s="99" t="s">
        <v>130</v>
      </c>
      <c r="C39" s="99" t="s">
        <v>93</v>
      </c>
      <c r="D39" s="115">
        <v>6</v>
      </c>
      <c r="E39" s="99" t="s">
        <v>970</v>
      </c>
      <c r="F39" s="100">
        <v>0.13</v>
      </c>
      <c r="G39" s="101">
        <f>IF(OR(B39="FIXO",B39="XFIXO"),IF(F39="","ERRO",10*F39)*'[1]BD Campos'!$S$2,IF(F39="","ERRO",10*F39)*'[1]BD Campos'!$S$3)</f>
        <v>1.3</v>
      </c>
      <c r="H39" s="102">
        <v>0.05</v>
      </c>
      <c r="I39" s="103">
        <f t="shared" si="5"/>
        <v>-6.5000000000000002E-2</v>
      </c>
    </row>
    <row r="40" spans="1:9">
      <c r="A40" s="99" t="str">
        <f t="shared" si="4"/>
        <v>PARADA INDEVIDAMotorista7</v>
      </c>
      <c r="B40" s="99" t="s">
        <v>130</v>
      </c>
      <c r="C40" s="99" t="s">
        <v>93</v>
      </c>
      <c r="D40" s="115">
        <v>7</v>
      </c>
      <c r="E40" s="99" t="s">
        <v>971</v>
      </c>
      <c r="F40" s="100">
        <v>0.13</v>
      </c>
      <c r="G40" s="101">
        <f>IF(OR(B40="FIXO",B40="XFIXO"),IF(F40="","ERRO",10*F40)*'[1]BD Campos'!$S$2,IF(F40="","ERRO",10*F40)*'[1]BD Campos'!$S$3)</f>
        <v>1.3</v>
      </c>
      <c r="H40" s="102">
        <v>0.05</v>
      </c>
      <c r="I40" s="103">
        <f t="shared" si="5"/>
        <v>-6.5000000000000002E-2</v>
      </c>
    </row>
    <row r="41" spans="1:9">
      <c r="A41" s="99" t="str">
        <f t="shared" si="4"/>
        <v>PARADA INDEVIDAMotorista8</v>
      </c>
      <c r="B41" s="99" t="s">
        <v>130</v>
      </c>
      <c r="C41" s="99" t="s">
        <v>93</v>
      </c>
      <c r="D41" s="115">
        <v>8</v>
      </c>
      <c r="E41" s="99" t="s">
        <v>972</v>
      </c>
      <c r="F41" s="100">
        <v>0.13200000000000001</v>
      </c>
      <c r="G41" s="101">
        <f>IF(OR(B41="FIXO",B41="XFIXO"),IF(F41="","ERRO",10*F41)*'[1]BD Campos'!$S$2,IF(F41="","ERRO",10*F41)*'[1]BD Campos'!$S$3)</f>
        <v>1.32</v>
      </c>
      <c r="H41" s="102">
        <v>0.05</v>
      </c>
      <c r="I41" s="103">
        <f t="shared" si="5"/>
        <v>-6.6000000000000003E-2</v>
      </c>
    </row>
    <row r="42" spans="1:9">
      <c r="A42" s="99" t="str">
        <f t="shared" si="4"/>
        <v>PARADA INDEVIDAMotorista9</v>
      </c>
      <c r="B42" s="99" t="s">
        <v>130</v>
      </c>
      <c r="C42" s="99" t="s">
        <v>93</v>
      </c>
      <c r="D42" s="115">
        <v>9</v>
      </c>
      <c r="E42" s="99" t="s">
        <v>973</v>
      </c>
      <c r="F42" s="100">
        <v>0.1404</v>
      </c>
      <c r="G42" s="101">
        <f>IF(OR(B42="FIXO",B42="XFIXO"),IF(F42="","ERRO",10*F42)*'[1]BD Campos'!$S$2,IF(F42="","ERRO",10*F42)*'[1]BD Campos'!$S$3)</f>
        <v>1.4039999999999999</v>
      </c>
      <c r="H42" s="102">
        <v>0.05</v>
      </c>
      <c r="I42" s="103">
        <f t="shared" si="5"/>
        <v>-7.0199999999999999E-2</v>
      </c>
    </row>
    <row r="43" spans="1:9">
      <c r="A43" s="99" t="str">
        <f t="shared" si="4"/>
        <v>PARADA INDEVIDAMotorista10</v>
      </c>
      <c r="B43" s="99" t="s">
        <v>130</v>
      </c>
      <c r="C43" s="99" t="s">
        <v>93</v>
      </c>
      <c r="D43" s="115">
        <v>10</v>
      </c>
      <c r="E43" s="99" t="s">
        <v>964</v>
      </c>
      <c r="F43" s="100">
        <v>0.03</v>
      </c>
      <c r="G43" s="101">
        <f>IF(OR(B43="FIXO",B43="XFIXO"),IF(F43="","ERRO",10*F43)*'[1]BD Campos'!$S$2,IF(F43="","ERRO",10*F43)*'[1]BD Campos'!$S$3)</f>
        <v>0.3</v>
      </c>
      <c r="H43" s="102">
        <v>0.05</v>
      </c>
      <c r="I43" s="103">
        <f t="shared" si="5"/>
        <v>-1.4999999999999999E-2</v>
      </c>
    </row>
    <row r="44" spans="1:9">
      <c r="A44" s="99" t="str">
        <f t="shared" si="4"/>
        <v>PARADA INDEVIDAMotorista11</v>
      </c>
      <c r="B44" s="99" t="s">
        <v>130</v>
      </c>
      <c r="C44" s="99" t="s">
        <v>93</v>
      </c>
      <c r="D44" s="115">
        <v>11</v>
      </c>
      <c r="E44" s="99" t="s">
        <v>965</v>
      </c>
      <c r="F44" s="100">
        <v>0.03</v>
      </c>
      <c r="G44" s="101">
        <f>IF(OR(B44="FIXO",B44="XFIXO"),IF(F44="","ERRO",10*F44)*'[1]BD Campos'!$S$2,IF(F44="","ERRO",10*F44)*'[1]BD Campos'!$S$3)</f>
        <v>0.3</v>
      </c>
      <c r="H44" s="102">
        <v>0.05</v>
      </c>
      <c r="I44" s="103">
        <f t="shared" si="5"/>
        <v>-1.4999999999999999E-2</v>
      </c>
    </row>
    <row r="45" spans="1:9">
      <c r="A45" s="99" t="str">
        <f t="shared" si="4"/>
        <v>PARADA INDEVIDAMotorista12</v>
      </c>
      <c r="B45" s="99" t="s">
        <v>130</v>
      </c>
      <c r="C45" s="99" t="s">
        <v>93</v>
      </c>
      <c r="D45" s="115">
        <v>12</v>
      </c>
      <c r="E45" s="99" t="s">
        <v>966</v>
      </c>
      <c r="F45" s="100">
        <v>1.4999999999999999E-2</v>
      </c>
      <c r="G45" s="101">
        <f>IF(OR(B45="FIXO",B45="XFIXO"),IF(F45="","ERRO",10*F45)*'[1]BD Campos'!$S$2,IF(F45="","ERRO",10*F45)*'[1]BD Campos'!$S$3)</f>
        <v>0.15</v>
      </c>
      <c r="H45" s="102">
        <v>0.05</v>
      </c>
      <c r="I45" s="103">
        <f t="shared" si="5"/>
        <v>-7.4999999999999997E-3</v>
      </c>
    </row>
    <row r="46" spans="1:9">
      <c r="A46" s="99" t="str">
        <f t="shared" si="4"/>
        <v>PARADA INDEVIDAMotorista13</v>
      </c>
      <c r="B46" s="99" t="s">
        <v>130</v>
      </c>
      <c r="C46" s="99" t="s">
        <v>93</v>
      </c>
      <c r="D46" s="115">
        <v>13</v>
      </c>
      <c r="E46" s="99" t="s">
        <v>967</v>
      </c>
      <c r="F46" s="100">
        <v>0.02</v>
      </c>
      <c r="G46" s="101">
        <f>IF(OR(B46="FIXO",B46="XFIXO"),IF(F46="","ERRO",10*F46)*'[1]BD Campos'!$S$2,IF(F46="","ERRO",10*F46)*'[1]BD Campos'!$S$3)</f>
        <v>0.2</v>
      </c>
      <c r="H46" s="102">
        <v>0.05</v>
      </c>
      <c r="I46" s="103">
        <f t="shared" si="5"/>
        <v>-1.0000000000000002E-2</v>
      </c>
    </row>
    <row r="47" spans="1:9">
      <c r="A47" s="99" t="str">
        <f t="shared" si="4"/>
        <v>PARADA INDEVIDAMotorista14</v>
      </c>
      <c r="B47" s="99" t="s">
        <v>130</v>
      </c>
      <c r="C47" s="99" t="s">
        <v>93</v>
      </c>
      <c r="D47" s="115">
        <v>14</v>
      </c>
      <c r="E47" s="99" t="s">
        <v>968</v>
      </c>
      <c r="F47" s="100">
        <v>0.03</v>
      </c>
      <c r="G47" s="101">
        <f>IF(OR(B47="FIXO",B47="XFIXO"),IF(F47="","ERRO",10*F47)*'[1]BD Campos'!$S$2,IF(F47="","ERRO",10*F47)*'[1]BD Campos'!$S$3)</f>
        <v>0.3</v>
      </c>
      <c r="H47" s="102">
        <v>0.05</v>
      </c>
      <c r="I47" s="103">
        <f t="shared" si="5"/>
        <v>-1.4999999999999999E-2</v>
      </c>
    </row>
    <row r="48" spans="1:9">
      <c r="A48" s="104" t="str">
        <f t="shared" si="4"/>
        <v>PARADA INDEVIDAMotorista15</v>
      </c>
      <c r="B48" s="104" t="s">
        <v>130</v>
      </c>
      <c r="C48" s="104" t="s">
        <v>93</v>
      </c>
      <c r="D48" s="116">
        <v>15</v>
      </c>
      <c r="E48" s="104" t="s">
        <v>969</v>
      </c>
      <c r="F48" s="105">
        <v>0.01</v>
      </c>
      <c r="G48" s="106">
        <f>IF(OR(B48="FIXO",B48="XFIXO"),IF(F48="","ERRO",10*F48)*'[1]BD Campos'!$S$2,IF(F48="","ERRO",10*F48)*'[1]BD Campos'!$S$3)</f>
        <v>0.1</v>
      </c>
      <c r="H48" s="107">
        <v>0.05</v>
      </c>
      <c r="I48" s="108">
        <f t="shared" si="5"/>
        <v>-5.000000000000001E-3</v>
      </c>
    </row>
    <row r="49" spans="1:9">
      <c r="A49" s="99" t="str">
        <f t="shared" si="4"/>
        <v>PARADA INDEVIDAMotorista 21</v>
      </c>
      <c r="B49" s="99" t="s">
        <v>130</v>
      </c>
      <c r="C49" s="99" t="s">
        <v>97</v>
      </c>
      <c r="D49" s="115">
        <v>1</v>
      </c>
      <c r="E49" s="99" t="s">
        <v>954</v>
      </c>
      <c r="F49" s="100">
        <v>0.01</v>
      </c>
      <c r="G49" s="101">
        <f>IF(OR(B49="FIXO",B49="XFIXO"),IF(F49="","ERRO",10*F49)*'[1]BD Campos'!$S$2,IF(F49="","ERRO",10*F49)*'[1]BD Campos'!$S$3)</f>
        <v>0.1</v>
      </c>
      <c r="H49" s="102">
        <v>0.05</v>
      </c>
      <c r="I49" s="103">
        <f t="shared" si="5"/>
        <v>-5.000000000000001E-3</v>
      </c>
    </row>
    <row r="50" spans="1:9">
      <c r="A50" s="99" t="str">
        <f t="shared" si="4"/>
        <v>PARADA INDEVIDAMotorista 22</v>
      </c>
      <c r="B50" s="99" t="s">
        <v>130</v>
      </c>
      <c r="C50" s="99" t="s">
        <v>97</v>
      </c>
      <c r="D50" s="115">
        <v>2</v>
      </c>
      <c r="E50" s="99" t="s">
        <v>955</v>
      </c>
      <c r="F50" s="100">
        <v>0.01</v>
      </c>
      <c r="G50" s="101">
        <f>IF(OR(B50="FIXO",B50="XFIXO"),IF(F50="","ERRO",10*F50)*'[1]BD Campos'!$S$2,IF(F50="","ERRO",10*F50)*'[1]BD Campos'!$S$3)</f>
        <v>0.1</v>
      </c>
      <c r="H50" s="102">
        <v>0.05</v>
      </c>
      <c r="I50" s="103">
        <f t="shared" si="5"/>
        <v>-5.000000000000001E-3</v>
      </c>
    </row>
    <row r="51" spans="1:9">
      <c r="A51" s="99" t="str">
        <f t="shared" si="4"/>
        <v>PARADA INDEVIDAMotorista 23</v>
      </c>
      <c r="B51" s="99" t="s">
        <v>130</v>
      </c>
      <c r="C51" s="99" t="s">
        <v>97</v>
      </c>
      <c r="D51" s="115">
        <v>3</v>
      </c>
      <c r="E51" s="99" t="s">
        <v>956</v>
      </c>
      <c r="F51" s="100">
        <v>0.01</v>
      </c>
      <c r="G51" s="101">
        <f>IF(OR(B51="FIXO",B51="XFIXO"),IF(F51="","ERRO",10*F51)*'[1]BD Campos'!$S$2,IF(F51="","ERRO",10*F51)*'[1]BD Campos'!$S$3)</f>
        <v>0.1</v>
      </c>
      <c r="H51" s="102">
        <v>0.05</v>
      </c>
      <c r="I51" s="103">
        <f t="shared" si="5"/>
        <v>-5.000000000000001E-3</v>
      </c>
    </row>
    <row r="52" spans="1:9">
      <c r="A52" s="99" t="str">
        <f t="shared" si="4"/>
        <v>PARADA INDEVIDAMotorista 24</v>
      </c>
      <c r="B52" s="99" t="s">
        <v>130</v>
      </c>
      <c r="C52" s="99" t="s">
        <v>97</v>
      </c>
      <c r="D52" s="115">
        <v>4</v>
      </c>
      <c r="E52" s="99" t="s">
        <v>957</v>
      </c>
      <c r="F52" s="100">
        <v>0.2</v>
      </c>
      <c r="G52" s="101">
        <f>IF(OR(B52="FIXO",B52="XFIXO"),IF(F52="","ERRO",10*F52)*'[1]BD Campos'!$S$2,IF(F52="","ERRO",10*F52)*'[1]BD Campos'!$S$3)</f>
        <v>2</v>
      </c>
      <c r="H52" s="102">
        <v>0.05</v>
      </c>
      <c r="I52" s="103">
        <f t="shared" si="5"/>
        <v>-0.1</v>
      </c>
    </row>
    <row r="53" spans="1:9">
      <c r="A53" s="99" t="str">
        <f t="shared" si="4"/>
        <v>PARADA INDEVIDAMotorista 25</v>
      </c>
      <c r="B53" s="99" t="s">
        <v>130</v>
      </c>
      <c r="C53" s="99" t="s">
        <v>97</v>
      </c>
      <c r="D53" s="115">
        <v>5</v>
      </c>
      <c r="E53" s="99" t="s">
        <v>958</v>
      </c>
      <c r="F53" s="100">
        <v>0.10299999999999999</v>
      </c>
      <c r="G53" s="101">
        <f>IF(OR(B53="FIXO",B53="XFIXO"),IF(F53="","ERRO",10*F53)*'[1]BD Campos'!$S$2,IF(F53="","ERRO",10*F53)*'[1]BD Campos'!$S$3)</f>
        <v>1.03</v>
      </c>
      <c r="H53" s="102">
        <v>0.05</v>
      </c>
      <c r="I53" s="103">
        <f t="shared" si="5"/>
        <v>-5.1500000000000004E-2</v>
      </c>
    </row>
    <row r="54" spans="1:9">
      <c r="A54" s="99" t="str">
        <f t="shared" si="4"/>
        <v>PARADA INDEVIDAMotorista 26</v>
      </c>
      <c r="B54" s="99" t="s">
        <v>130</v>
      </c>
      <c r="C54" s="99" t="s">
        <v>97</v>
      </c>
      <c r="D54" s="115">
        <v>6</v>
      </c>
      <c r="E54" s="99" t="s">
        <v>970</v>
      </c>
      <c r="F54" s="100">
        <v>0.13</v>
      </c>
      <c r="G54" s="101">
        <f>IF(OR(B54="FIXO",B54="XFIXO"),IF(F54="","ERRO",10*F54)*'[1]BD Campos'!$S$2,IF(F54="","ERRO",10*F54)*'[1]BD Campos'!$S$3)</f>
        <v>1.3</v>
      </c>
      <c r="H54" s="102">
        <v>0.05</v>
      </c>
      <c r="I54" s="103">
        <f t="shared" si="5"/>
        <v>-6.5000000000000002E-2</v>
      </c>
    </row>
    <row r="55" spans="1:9">
      <c r="A55" s="99" t="str">
        <f t="shared" si="4"/>
        <v>PARADA INDEVIDAMotorista 27</v>
      </c>
      <c r="B55" s="99" t="s">
        <v>130</v>
      </c>
      <c r="C55" s="99" t="s">
        <v>97</v>
      </c>
      <c r="D55" s="115">
        <v>7</v>
      </c>
      <c r="E55" s="99" t="s">
        <v>971</v>
      </c>
      <c r="F55" s="100">
        <v>0.13</v>
      </c>
      <c r="G55" s="101">
        <f>IF(OR(B55="FIXO",B55="XFIXO"),IF(F55="","ERRO",10*F55)*'[1]BD Campos'!$S$2,IF(F55="","ERRO",10*F55)*'[1]BD Campos'!$S$3)</f>
        <v>1.3</v>
      </c>
      <c r="H55" s="102">
        <v>0.05</v>
      </c>
      <c r="I55" s="103">
        <f t="shared" si="5"/>
        <v>-6.5000000000000002E-2</v>
      </c>
    </row>
    <row r="56" spans="1:9">
      <c r="A56" s="99" t="str">
        <f t="shared" si="4"/>
        <v>PARADA INDEVIDAMotorista 28</v>
      </c>
      <c r="B56" s="99" t="s">
        <v>130</v>
      </c>
      <c r="C56" s="99" t="s">
        <v>97</v>
      </c>
      <c r="D56" s="115">
        <v>8</v>
      </c>
      <c r="E56" s="99" t="s">
        <v>972</v>
      </c>
      <c r="F56" s="100">
        <v>0.13200000000000001</v>
      </c>
      <c r="G56" s="101">
        <f>IF(OR(B56="FIXO",B56="XFIXO"),IF(F56="","ERRO",10*F56)*'[1]BD Campos'!$S$2,IF(F56="","ERRO",10*F56)*'[1]BD Campos'!$S$3)</f>
        <v>1.32</v>
      </c>
      <c r="H56" s="102">
        <v>0.05</v>
      </c>
      <c r="I56" s="103">
        <f t="shared" si="5"/>
        <v>-6.6000000000000003E-2</v>
      </c>
    </row>
    <row r="57" spans="1:9">
      <c r="A57" s="99" t="str">
        <f t="shared" si="4"/>
        <v>PARADA INDEVIDAMotorista 29</v>
      </c>
      <c r="B57" s="99" t="s">
        <v>130</v>
      </c>
      <c r="C57" s="99" t="s">
        <v>97</v>
      </c>
      <c r="D57" s="115">
        <v>9</v>
      </c>
      <c r="E57" s="99" t="s">
        <v>973</v>
      </c>
      <c r="F57" s="100">
        <v>0.1404</v>
      </c>
      <c r="G57" s="101">
        <f>IF(OR(B57="FIXO",B57="XFIXO"),IF(F57="","ERRO",10*F57)*'[1]BD Campos'!$S$2,IF(F57="","ERRO",10*F57)*'[1]BD Campos'!$S$3)</f>
        <v>1.4039999999999999</v>
      </c>
      <c r="H57" s="102">
        <v>0.05</v>
      </c>
      <c r="I57" s="103">
        <f t="shared" si="5"/>
        <v>-7.0199999999999999E-2</v>
      </c>
    </row>
    <row r="58" spans="1:9">
      <c r="A58" s="99" t="str">
        <f t="shared" si="4"/>
        <v>PARADA INDEVIDAMotorista 210</v>
      </c>
      <c r="B58" s="99" t="s">
        <v>130</v>
      </c>
      <c r="C58" s="99" t="s">
        <v>97</v>
      </c>
      <c r="D58" s="115">
        <v>10</v>
      </c>
      <c r="E58" s="99" t="s">
        <v>964</v>
      </c>
      <c r="F58" s="100">
        <v>0.03</v>
      </c>
      <c r="G58" s="101">
        <f>IF(OR(B58="FIXO",B58="XFIXO"),IF(F58="","ERRO",10*F58)*'[1]BD Campos'!$S$2,IF(F58="","ERRO",10*F58)*'[1]BD Campos'!$S$3)</f>
        <v>0.3</v>
      </c>
      <c r="H58" s="102">
        <v>0.05</v>
      </c>
      <c r="I58" s="103">
        <f t="shared" si="5"/>
        <v>-1.4999999999999999E-2</v>
      </c>
    </row>
    <row r="59" spans="1:9">
      <c r="A59" s="99" t="str">
        <f t="shared" si="4"/>
        <v>PARADA INDEVIDAMotorista 211</v>
      </c>
      <c r="B59" s="99" t="s">
        <v>130</v>
      </c>
      <c r="C59" s="99" t="s">
        <v>97</v>
      </c>
      <c r="D59" s="115">
        <v>11</v>
      </c>
      <c r="E59" s="99" t="s">
        <v>965</v>
      </c>
      <c r="F59" s="100">
        <v>0.03</v>
      </c>
      <c r="G59" s="101">
        <f>IF(OR(B59="FIXO",B59="XFIXO"),IF(F59="","ERRO",10*F59)*'[1]BD Campos'!$S$2,IF(F59="","ERRO",10*F59)*'[1]BD Campos'!$S$3)</f>
        <v>0.3</v>
      </c>
      <c r="H59" s="102">
        <v>0.05</v>
      </c>
      <c r="I59" s="103">
        <f t="shared" si="5"/>
        <v>-1.4999999999999999E-2</v>
      </c>
    </row>
    <row r="60" spans="1:9">
      <c r="A60" s="99" t="str">
        <f t="shared" si="4"/>
        <v>PARADA INDEVIDAMotorista 212</v>
      </c>
      <c r="B60" s="99" t="s">
        <v>130</v>
      </c>
      <c r="C60" s="99" t="s">
        <v>97</v>
      </c>
      <c r="D60" s="115">
        <v>12</v>
      </c>
      <c r="E60" s="99" t="s">
        <v>966</v>
      </c>
      <c r="F60" s="100">
        <v>1.4999999999999999E-2</v>
      </c>
      <c r="G60" s="101">
        <f>IF(OR(B60="FIXO",B60="XFIXO"),IF(F60="","ERRO",10*F60)*'[1]BD Campos'!$S$2,IF(F60="","ERRO",10*F60)*'[1]BD Campos'!$S$3)</f>
        <v>0.15</v>
      </c>
      <c r="H60" s="102">
        <v>0.05</v>
      </c>
      <c r="I60" s="103">
        <f t="shared" si="5"/>
        <v>-7.4999999999999997E-3</v>
      </c>
    </row>
    <row r="61" spans="1:9">
      <c r="A61" s="99" t="str">
        <f t="shared" si="4"/>
        <v>PARADA INDEVIDAMotorista 213</v>
      </c>
      <c r="B61" s="99" t="s">
        <v>130</v>
      </c>
      <c r="C61" s="99" t="s">
        <v>97</v>
      </c>
      <c r="D61" s="115">
        <v>13</v>
      </c>
      <c r="E61" s="99" t="s">
        <v>967</v>
      </c>
      <c r="F61" s="100">
        <v>0.02</v>
      </c>
      <c r="G61" s="101">
        <f>IF(OR(B61="FIXO",B61="XFIXO"),IF(F61="","ERRO",10*F61)*'[1]BD Campos'!$S$2,IF(F61="","ERRO",10*F61)*'[1]BD Campos'!$S$3)</f>
        <v>0.2</v>
      </c>
      <c r="H61" s="102">
        <v>0.05</v>
      </c>
      <c r="I61" s="103">
        <f t="shared" si="5"/>
        <v>-1.0000000000000002E-2</v>
      </c>
    </row>
    <row r="62" spans="1:9">
      <c r="A62" s="99" t="str">
        <f t="shared" si="4"/>
        <v>PARADA INDEVIDAMotorista 214</v>
      </c>
      <c r="B62" s="99" t="s">
        <v>130</v>
      </c>
      <c r="C62" s="99" t="s">
        <v>97</v>
      </c>
      <c r="D62" s="115">
        <v>14</v>
      </c>
      <c r="E62" s="99" t="s">
        <v>968</v>
      </c>
      <c r="F62" s="100">
        <v>0.03</v>
      </c>
      <c r="G62" s="101">
        <f>IF(OR(B62="FIXO",B62="XFIXO"),IF(F62="","ERRO",10*F62)*'[1]BD Campos'!$S$2,IF(F62="","ERRO",10*F62)*'[1]BD Campos'!$S$3)</f>
        <v>0.3</v>
      </c>
      <c r="H62" s="102">
        <v>0.05</v>
      </c>
      <c r="I62" s="103">
        <f t="shared" si="5"/>
        <v>-1.4999999999999999E-2</v>
      </c>
    </row>
    <row r="63" spans="1:9">
      <c r="A63" s="104" t="str">
        <f t="shared" si="4"/>
        <v>PARADA INDEVIDAMotorista 215</v>
      </c>
      <c r="B63" s="104" t="s">
        <v>130</v>
      </c>
      <c r="C63" s="104" t="s">
        <v>97</v>
      </c>
      <c r="D63" s="116">
        <v>15</v>
      </c>
      <c r="E63" s="104" t="s">
        <v>969</v>
      </c>
      <c r="F63" s="105">
        <v>0.01</v>
      </c>
      <c r="G63" s="106">
        <f>IF(OR(B63="FIXO",B63="XFIXO"),IF(F63="","ERRO",10*F63)*'[1]BD Campos'!$S$2,IF(F63="","ERRO",10*F63)*'[1]BD Campos'!$S$3)</f>
        <v>0.1</v>
      </c>
      <c r="H63" s="107">
        <v>0.05</v>
      </c>
      <c r="I63" s="108">
        <f t="shared" si="5"/>
        <v>-5.000000000000001E-3</v>
      </c>
    </row>
    <row r="64" spans="1:9">
      <c r="A64" s="99" t="str">
        <f>B64&amp;C64&amp;D64</f>
        <v>POSIÇÃO EM ATRASOMotorista1</v>
      </c>
      <c r="B64" s="99" t="s">
        <v>96</v>
      </c>
      <c r="C64" s="99" t="s">
        <v>93</v>
      </c>
      <c r="D64" s="115">
        <v>1</v>
      </c>
      <c r="E64" s="99" t="s">
        <v>954</v>
      </c>
      <c r="F64" s="100">
        <v>0.01</v>
      </c>
      <c r="G64" s="101">
        <f>IF(OR(B64="FIXO",B64="XFIXO"),IF(F64="","ERRO",10*F64)*'[1]BD Campos'!$S$2,IF(F64="","ERRO",10*F64)*'[1]BD Campos'!$S$3)</f>
        <v>0.1</v>
      </c>
      <c r="H64" s="102">
        <v>0.05</v>
      </c>
      <c r="I64" s="103">
        <f>H64*G64*-1</f>
        <v>-5.000000000000001E-3</v>
      </c>
    </row>
    <row r="65" spans="1:9">
      <c r="A65" s="99" t="str">
        <f t="shared" ref="A65:A93" si="6">B65&amp;C65&amp;D65</f>
        <v>POSIÇÃO EM ATRASOMotorista2</v>
      </c>
      <c r="B65" s="99" t="s">
        <v>96</v>
      </c>
      <c r="C65" s="99" t="s">
        <v>93</v>
      </c>
      <c r="D65" s="115">
        <v>2</v>
      </c>
      <c r="E65" s="99" t="s">
        <v>955</v>
      </c>
      <c r="F65" s="100">
        <v>0.01</v>
      </c>
      <c r="G65" s="101">
        <f>IF(OR(B65="FIXO",B65="XFIXO"),IF(F65="","ERRO",10*F65)*'[1]BD Campos'!$S$2,IF(F65="","ERRO",10*F65)*'[1]BD Campos'!$S$3)</f>
        <v>0.1</v>
      </c>
      <c r="H65" s="102">
        <v>0.05</v>
      </c>
      <c r="I65" s="103">
        <f t="shared" ref="I65:I93" si="7">H65*G65*-1</f>
        <v>-5.000000000000001E-3</v>
      </c>
    </row>
    <row r="66" spans="1:9">
      <c r="A66" s="99" t="str">
        <f t="shared" si="6"/>
        <v>POSIÇÃO EM ATRASOMotorista3</v>
      </c>
      <c r="B66" s="99" t="s">
        <v>96</v>
      </c>
      <c r="C66" s="99" t="s">
        <v>93</v>
      </c>
      <c r="D66" s="115">
        <v>3</v>
      </c>
      <c r="E66" s="99" t="s">
        <v>956</v>
      </c>
      <c r="F66" s="100">
        <v>0.01</v>
      </c>
      <c r="G66" s="101">
        <f>IF(OR(B66="FIXO",B66="XFIXO"),IF(F66="","ERRO",10*F66)*'[1]BD Campos'!$S$2,IF(F66="","ERRO",10*F66)*'[1]BD Campos'!$S$3)</f>
        <v>0.1</v>
      </c>
      <c r="H66" s="102">
        <v>0.05</v>
      </c>
      <c r="I66" s="103">
        <f t="shared" si="7"/>
        <v>-5.000000000000001E-3</v>
      </c>
    </row>
    <row r="67" spans="1:9">
      <c r="A67" s="99" t="str">
        <f t="shared" si="6"/>
        <v>POSIÇÃO EM ATRASOMotorista4</v>
      </c>
      <c r="B67" s="99" t="s">
        <v>96</v>
      </c>
      <c r="C67" s="99" t="s">
        <v>93</v>
      </c>
      <c r="D67" s="115">
        <v>4</v>
      </c>
      <c r="E67" s="99" t="s">
        <v>957</v>
      </c>
      <c r="F67" s="100">
        <v>0.2</v>
      </c>
      <c r="G67" s="101">
        <f>IF(OR(B67="FIXO",B67="XFIXO"),IF(F67="","ERRO",10*F67)*'[1]BD Campos'!$S$2,IF(F67="","ERRO",10*F67)*'[1]BD Campos'!$S$3)</f>
        <v>2</v>
      </c>
      <c r="H67" s="102">
        <v>0.05</v>
      </c>
      <c r="I67" s="103">
        <f t="shared" si="7"/>
        <v>-0.1</v>
      </c>
    </row>
    <row r="68" spans="1:9">
      <c r="A68" s="99" t="str">
        <f t="shared" si="6"/>
        <v>POSIÇÃO EM ATRASOMotorista5</v>
      </c>
      <c r="B68" s="99" t="s">
        <v>96</v>
      </c>
      <c r="C68" s="99" t="s">
        <v>93</v>
      </c>
      <c r="D68" s="115">
        <v>5</v>
      </c>
      <c r="E68" s="99" t="s">
        <v>958</v>
      </c>
      <c r="F68" s="100">
        <v>0.10299999999999999</v>
      </c>
      <c r="G68" s="101">
        <f>IF(OR(B68="FIXO",B68="XFIXO"),IF(F68="","ERRO",10*F68)*'[1]BD Campos'!$S$2,IF(F68="","ERRO",10*F68)*'[1]BD Campos'!$S$3)</f>
        <v>1.03</v>
      </c>
      <c r="H68" s="102">
        <v>0.05</v>
      </c>
      <c r="I68" s="103">
        <f t="shared" si="7"/>
        <v>-5.1500000000000004E-2</v>
      </c>
    </row>
    <row r="69" spans="1:9">
      <c r="A69" s="99" t="str">
        <f t="shared" si="6"/>
        <v>POSIÇÃO EM ATRASOMotorista6</v>
      </c>
      <c r="B69" s="99" t="s">
        <v>96</v>
      </c>
      <c r="C69" s="99" t="s">
        <v>93</v>
      </c>
      <c r="D69" s="115">
        <v>6</v>
      </c>
      <c r="E69" s="99" t="s">
        <v>974</v>
      </c>
      <c r="F69" s="100">
        <v>0.122</v>
      </c>
      <c r="G69" s="101">
        <f>IF(OR(B69="FIXO",B69="XFIXO"),IF(F69="","ERRO",10*F69)*'[1]BD Campos'!$S$2,IF(F69="","ERRO",10*F69)*'[1]BD Campos'!$S$3)</f>
        <v>1.22</v>
      </c>
      <c r="H69" s="102">
        <v>0.05</v>
      </c>
      <c r="I69" s="103">
        <f t="shared" si="7"/>
        <v>-6.0999999999999999E-2</v>
      </c>
    </row>
    <row r="70" spans="1:9">
      <c r="A70" s="99" t="str">
        <f t="shared" si="6"/>
        <v>POSIÇÃO EM ATRASOMotorista7</v>
      </c>
      <c r="B70" s="99" t="s">
        <v>96</v>
      </c>
      <c r="C70" s="99" t="s">
        <v>93</v>
      </c>
      <c r="D70" s="115">
        <v>7</v>
      </c>
      <c r="E70" s="99" t="s">
        <v>975</v>
      </c>
      <c r="F70" s="100">
        <v>0.2</v>
      </c>
      <c r="G70" s="101">
        <f>IF(OR(B70="FIXO",B70="XFIXO"),IF(F70="","ERRO",10*F70)*'[1]BD Campos'!$S$2,IF(F70="","ERRO",10*F70)*'[1]BD Campos'!$S$3)</f>
        <v>2</v>
      </c>
      <c r="H70" s="102">
        <v>0.05</v>
      </c>
      <c r="I70" s="103">
        <f t="shared" si="7"/>
        <v>-0.1</v>
      </c>
    </row>
    <row r="71" spans="1:9">
      <c r="A71" s="99" t="str">
        <f t="shared" si="6"/>
        <v>POSIÇÃO EM ATRASOMotorista8</v>
      </c>
      <c r="B71" s="99" t="s">
        <v>96</v>
      </c>
      <c r="C71" s="99" t="s">
        <v>93</v>
      </c>
      <c r="D71" s="115">
        <v>8</v>
      </c>
      <c r="E71" s="99" t="s">
        <v>976</v>
      </c>
      <c r="F71" s="100">
        <v>0.105</v>
      </c>
      <c r="G71" s="101">
        <f>IF(OR(B71="FIXO",B71="XFIXO"),IF(F71="","ERRO",10*F71)*'[1]BD Campos'!$S$2,IF(F71="","ERRO",10*F71)*'[1]BD Campos'!$S$3)</f>
        <v>1.05</v>
      </c>
      <c r="H71" s="102">
        <v>0.05</v>
      </c>
      <c r="I71" s="103">
        <f t="shared" si="7"/>
        <v>-5.2500000000000005E-2</v>
      </c>
    </row>
    <row r="72" spans="1:9">
      <c r="A72" s="99" t="str">
        <f t="shared" si="6"/>
        <v>POSIÇÃO EM ATRASOMotorista9</v>
      </c>
      <c r="B72" s="99" t="s">
        <v>96</v>
      </c>
      <c r="C72" s="99" t="s">
        <v>93</v>
      </c>
      <c r="D72" s="115">
        <v>9</v>
      </c>
      <c r="E72" s="99" t="s">
        <v>977</v>
      </c>
      <c r="F72" s="100">
        <v>0.105</v>
      </c>
      <c r="G72" s="101">
        <f>IF(OR(B72="FIXO",B72="XFIXO"),IF(F72="","ERRO",10*F72)*'[1]BD Campos'!$S$2,IF(F72="","ERRO",10*F72)*'[1]BD Campos'!$S$3)</f>
        <v>1.05</v>
      </c>
      <c r="H72" s="102">
        <v>0.05</v>
      </c>
      <c r="I72" s="103">
        <f t="shared" si="7"/>
        <v>-5.2500000000000005E-2</v>
      </c>
    </row>
    <row r="73" spans="1:9">
      <c r="A73" s="99" t="str">
        <f t="shared" si="6"/>
        <v>POSIÇÃO EM ATRASOMotorista10</v>
      </c>
      <c r="B73" s="99" t="s">
        <v>96</v>
      </c>
      <c r="C73" s="99" t="s">
        <v>93</v>
      </c>
      <c r="D73" s="115">
        <v>10</v>
      </c>
      <c r="E73" s="99" t="s">
        <v>964</v>
      </c>
      <c r="F73" s="100">
        <v>0.03</v>
      </c>
      <c r="G73" s="101">
        <f>IF(OR(B73="FIXO",B73="XFIXO"),IF(F73="","ERRO",10*F73)*'[1]BD Campos'!$S$2,IF(F73="","ERRO",10*F73)*'[1]BD Campos'!$S$3)</f>
        <v>0.3</v>
      </c>
      <c r="H73" s="102">
        <v>0.05</v>
      </c>
      <c r="I73" s="103">
        <f t="shared" si="7"/>
        <v>-1.4999999999999999E-2</v>
      </c>
    </row>
    <row r="74" spans="1:9">
      <c r="A74" s="99" t="str">
        <f t="shared" si="6"/>
        <v>POSIÇÃO EM ATRASOMotorista11</v>
      </c>
      <c r="B74" s="99" t="s">
        <v>96</v>
      </c>
      <c r="C74" s="99" t="s">
        <v>93</v>
      </c>
      <c r="D74" s="115">
        <v>11</v>
      </c>
      <c r="E74" s="99" t="s">
        <v>965</v>
      </c>
      <c r="F74" s="100">
        <v>0.03</v>
      </c>
      <c r="G74" s="101">
        <f>IF(OR(B74="FIXO",B74="XFIXO"),IF(F74="","ERRO",10*F74)*'[1]BD Campos'!$S$2,IF(F74="","ERRO",10*F74)*'[1]BD Campos'!$S$3)</f>
        <v>0.3</v>
      </c>
      <c r="H74" s="102">
        <v>0.05</v>
      </c>
      <c r="I74" s="103">
        <f t="shared" si="7"/>
        <v>-1.4999999999999999E-2</v>
      </c>
    </row>
    <row r="75" spans="1:9">
      <c r="A75" s="99" t="str">
        <f t="shared" si="6"/>
        <v>POSIÇÃO EM ATRASOMotorista12</v>
      </c>
      <c r="B75" s="99" t="s">
        <v>96</v>
      </c>
      <c r="C75" s="99" t="s">
        <v>93</v>
      </c>
      <c r="D75" s="115">
        <v>12</v>
      </c>
      <c r="E75" s="99" t="s">
        <v>966</v>
      </c>
      <c r="F75" s="100">
        <v>1.4999999999999999E-2</v>
      </c>
      <c r="G75" s="101">
        <f>IF(OR(B75="FIXO",B75="XFIXO"),IF(F75="","ERRO",10*F75)*'[1]BD Campos'!$S$2,IF(F75="","ERRO",10*F75)*'[1]BD Campos'!$S$3)</f>
        <v>0.15</v>
      </c>
      <c r="H75" s="102">
        <v>0.05</v>
      </c>
      <c r="I75" s="103">
        <f t="shared" si="7"/>
        <v>-7.4999999999999997E-3</v>
      </c>
    </row>
    <row r="76" spans="1:9">
      <c r="A76" s="99" t="str">
        <f t="shared" si="6"/>
        <v>POSIÇÃO EM ATRASOMotorista13</v>
      </c>
      <c r="B76" s="99" t="s">
        <v>96</v>
      </c>
      <c r="C76" s="99" t="s">
        <v>93</v>
      </c>
      <c r="D76" s="115">
        <v>13</v>
      </c>
      <c r="E76" s="99" t="s">
        <v>967</v>
      </c>
      <c r="F76" s="100">
        <v>0.02</v>
      </c>
      <c r="G76" s="101">
        <f>IF(OR(B76="FIXO",B76="XFIXO"),IF(F76="","ERRO",10*F76)*'[1]BD Campos'!$S$2,IF(F76="","ERRO",10*F76)*'[1]BD Campos'!$S$3)</f>
        <v>0.2</v>
      </c>
      <c r="H76" s="102">
        <v>0.05</v>
      </c>
      <c r="I76" s="103">
        <f t="shared" si="7"/>
        <v>-1.0000000000000002E-2</v>
      </c>
    </row>
    <row r="77" spans="1:9">
      <c r="A77" s="99" t="str">
        <f t="shared" si="6"/>
        <v>POSIÇÃO EM ATRASOMotorista14</v>
      </c>
      <c r="B77" s="99" t="s">
        <v>96</v>
      </c>
      <c r="C77" s="99" t="s">
        <v>93</v>
      </c>
      <c r="D77" s="115">
        <v>14</v>
      </c>
      <c r="E77" s="99" t="s">
        <v>968</v>
      </c>
      <c r="F77" s="100">
        <v>0.03</v>
      </c>
      <c r="G77" s="101">
        <f>IF(OR(B77="FIXO",B77="XFIXO"),IF(F77="","ERRO",10*F77)*'[1]BD Campos'!$S$2,IF(F77="","ERRO",10*F77)*'[1]BD Campos'!$S$3)</f>
        <v>0.3</v>
      </c>
      <c r="H77" s="102">
        <v>0.05</v>
      </c>
      <c r="I77" s="103">
        <f t="shared" si="7"/>
        <v>-1.4999999999999999E-2</v>
      </c>
    </row>
    <row r="78" spans="1:9">
      <c r="A78" s="104" t="str">
        <f t="shared" si="6"/>
        <v>POSIÇÃO EM ATRASOMotorista15</v>
      </c>
      <c r="B78" s="104" t="s">
        <v>96</v>
      </c>
      <c r="C78" s="104" t="s">
        <v>93</v>
      </c>
      <c r="D78" s="116">
        <v>15</v>
      </c>
      <c r="E78" s="104" t="s">
        <v>969</v>
      </c>
      <c r="F78" s="105">
        <v>0.01</v>
      </c>
      <c r="G78" s="106">
        <f>IF(OR(B78="FIXO",B78="XFIXO"),IF(F78="","ERRO",10*F78)*'[1]BD Campos'!$S$2,IF(F78="","ERRO",10*F78)*'[1]BD Campos'!$S$3)</f>
        <v>0.1</v>
      </c>
      <c r="H78" s="107">
        <v>0.05</v>
      </c>
      <c r="I78" s="108">
        <f t="shared" si="7"/>
        <v>-5.000000000000001E-3</v>
      </c>
    </row>
    <row r="79" spans="1:9">
      <c r="A79" s="99" t="str">
        <f t="shared" si="6"/>
        <v>POSIÇÃO EM ATRASOMotorista 21</v>
      </c>
      <c r="B79" s="99" t="s">
        <v>96</v>
      </c>
      <c r="C79" s="99" t="s">
        <v>97</v>
      </c>
      <c r="D79" s="115">
        <v>1</v>
      </c>
      <c r="E79" s="99" t="s">
        <v>954</v>
      </c>
      <c r="F79" s="100">
        <v>0.01</v>
      </c>
      <c r="G79" s="101">
        <f>IF(OR(B79="FIXO",B79="XFIXO"),IF(F79="","ERRO",10*F79)*'[1]BD Campos'!$S$2,IF(F79="","ERRO",10*F79)*'[1]BD Campos'!$S$3)</f>
        <v>0.1</v>
      </c>
      <c r="H79" s="102">
        <v>0.05</v>
      </c>
      <c r="I79" s="103">
        <f t="shared" si="7"/>
        <v>-5.000000000000001E-3</v>
      </c>
    </row>
    <row r="80" spans="1:9">
      <c r="A80" s="99" t="str">
        <f t="shared" si="6"/>
        <v>POSIÇÃO EM ATRASOMotorista 22</v>
      </c>
      <c r="B80" s="99" t="s">
        <v>96</v>
      </c>
      <c r="C80" s="99" t="s">
        <v>97</v>
      </c>
      <c r="D80" s="115">
        <v>2</v>
      </c>
      <c r="E80" s="99" t="s">
        <v>955</v>
      </c>
      <c r="F80" s="100">
        <v>0.01</v>
      </c>
      <c r="G80" s="101">
        <f>IF(OR(B80="FIXO",B80="XFIXO"),IF(F80="","ERRO",10*F80)*'[1]BD Campos'!$S$2,IF(F80="","ERRO",10*F80)*'[1]BD Campos'!$S$3)</f>
        <v>0.1</v>
      </c>
      <c r="H80" s="102">
        <v>0.05</v>
      </c>
      <c r="I80" s="103">
        <f t="shared" si="7"/>
        <v>-5.000000000000001E-3</v>
      </c>
    </row>
    <row r="81" spans="1:9">
      <c r="A81" s="99" t="str">
        <f t="shared" si="6"/>
        <v>POSIÇÃO EM ATRASOMotorista 23</v>
      </c>
      <c r="B81" s="99" t="s">
        <v>96</v>
      </c>
      <c r="C81" s="99" t="s">
        <v>97</v>
      </c>
      <c r="D81" s="115">
        <v>3</v>
      </c>
      <c r="E81" s="99" t="s">
        <v>956</v>
      </c>
      <c r="F81" s="100">
        <v>0.01</v>
      </c>
      <c r="G81" s="101">
        <f>IF(OR(B81="FIXO",B81="XFIXO"),IF(F81="","ERRO",10*F81)*'[1]BD Campos'!$S$2,IF(F81="","ERRO",10*F81)*'[1]BD Campos'!$S$3)</f>
        <v>0.1</v>
      </c>
      <c r="H81" s="102">
        <v>0.05</v>
      </c>
      <c r="I81" s="103">
        <f t="shared" si="7"/>
        <v>-5.000000000000001E-3</v>
      </c>
    </row>
    <row r="82" spans="1:9">
      <c r="A82" s="99" t="str">
        <f t="shared" si="6"/>
        <v>POSIÇÃO EM ATRASOMotorista 24</v>
      </c>
      <c r="B82" s="99" t="s">
        <v>96</v>
      </c>
      <c r="C82" s="99" t="s">
        <v>97</v>
      </c>
      <c r="D82" s="115">
        <v>4</v>
      </c>
      <c r="E82" s="99" t="s">
        <v>957</v>
      </c>
      <c r="F82" s="100">
        <v>0.2</v>
      </c>
      <c r="G82" s="101">
        <f>IF(OR(B82="FIXO",B82="XFIXO"),IF(F82="","ERRO",10*F82)*'[1]BD Campos'!$S$2,IF(F82="","ERRO",10*F82)*'[1]BD Campos'!$S$3)</f>
        <v>2</v>
      </c>
      <c r="H82" s="102">
        <v>0.05</v>
      </c>
      <c r="I82" s="103">
        <f t="shared" si="7"/>
        <v>-0.1</v>
      </c>
    </row>
    <row r="83" spans="1:9">
      <c r="A83" s="99" t="str">
        <f t="shared" si="6"/>
        <v>POSIÇÃO EM ATRASOMotorista 25</v>
      </c>
      <c r="B83" s="99" t="s">
        <v>96</v>
      </c>
      <c r="C83" s="99" t="s">
        <v>97</v>
      </c>
      <c r="D83" s="115">
        <v>5</v>
      </c>
      <c r="E83" s="99" t="s">
        <v>958</v>
      </c>
      <c r="F83" s="100">
        <v>0.10299999999999999</v>
      </c>
      <c r="G83" s="101">
        <f>IF(OR(B83="FIXO",B83="XFIXO"),IF(F83="","ERRO",10*F83)*'[1]BD Campos'!$S$2,IF(F83="","ERRO",10*F83)*'[1]BD Campos'!$S$3)</f>
        <v>1.03</v>
      </c>
      <c r="H83" s="102">
        <v>0.05</v>
      </c>
      <c r="I83" s="103">
        <f t="shared" si="7"/>
        <v>-5.1500000000000004E-2</v>
      </c>
    </row>
    <row r="84" spans="1:9">
      <c r="A84" s="99" t="str">
        <f t="shared" si="6"/>
        <v>POSIÇÃO EM ATRASOMotorista 26</v>
      </c>
      <c r="B84" s="99" t="s">
        <v>96</v>
      </c>
      <c r="C84" s="99" t="s">
        <v>97</v>
      </c>
      <c r="D84" s="115">
        <v>6</v>
      </c>
      <c r="E84" s="99" t="s">
        <v>974</v>
      </c>
      <c r="F84" s="100">
        <v>0.122</v>
      </c>
      <c r="G84" s="101">
        <f>IF(OR(B84="FIXO",B84="XFIXO"),IF(F84="","ERRO",10*F84)*'[1]BD Campos'!$S$2,IF(F84="","ERRO",10*F84)*'[1]BD Campos'!$S$3)</f>
        <v>1.22</v>
      </c>
      <c r="H84" s="102">
        <v>0.05</v>
      </c>
      <c r="I84" s="103">
        <f t="shared" si="7"/>
        <v>-6.0999999999999999E-2</v>
      </c>
    </row>
    <row r="85" spans="1:9" s="23" customFormat="1">
      <c r="A85" s="99" t="str">
        <f t="shared" si="6"/>
        <v>POSIÇÃO EM ATRASOMotorista 27</v>
      </c>
      <c r="B85" s="99" t="s">
        <v>96</v>
      </c>
      <c r="C85" s="99" t="s">
        <v>97</v>
      </c>
      <c r="D85" s="115">
        <v>7</v>
      </c>
      <c r="E85" s="99" t="s">
        <v>975</v>
      </c>
      <c r="F85" s="100">
        <v>0.2</v>
      </c>
      <c r="G85" s="101">
        <f>IF(OR(B85="FIXO",B85="XFIXO"),IF(F85="","ERRO",10*F85)*'[1]BD Campos'!$S$2,IF(F85="","ERRO",10*F85)*'[1]BD Campos'!$S$3)</f>
        <v>2</v>
      </c>
      <c r="H85" s="102">
        <v>0.05</v>
      </c>
      <c r="I85" s="103">
        <f t="shared" si="7"/>
        <v>-0.1</v>
      </c>
    </row>
    <row r="86" spans="1:9" s="23" customFormat="1">
      <c r="A86" s="99" t="str">
        <f t="shared" si="6"/>
        <v>POSIÇÃO EM ATRASOMotorista 28</v>
      </c>
      <c r="B86" s="99" t="s">
        <v>96</v>
      </c>
      <c r="C86" s="99" t="s">
        <v>97</v>
      </c>
      <c r="D86" s="115">
        <v>8</v>
      </c>
      <c r="E86" s="99" t="s">
        <v>976</v>
      </c>
      <c r="F86" s="100">
        <v>0.105</v>
      </c>
      <c r="G86" s="101">
        <f>IF(OR(B86="FIXO",B86="XFIXO"),IF(F86="","ERRO",10*F86)*'[1]BD Campos'!$S$2,IF(F86="","ERRO",10*F86)*'[1]BD Campos'!$S$3)</f>
        <v>1.05</v>
      </c>
      <c r="H86" s="102">
        <v>0.05</v>
      </c>
      <c r="I86" s="103">
        <f t="shared" si="7"/>
        <v>-5.2500000000000005E-2</v>
      </c>
    </row>
    <row r="87" spans="1:9" s="23" customFormat="1">
      <c r="A87" s="99" t="str">
        <f t="shared" si="6"/>
        <v>POSIÇÃO EM ATRASOMotorista 29</v>
      </c>
      <c r="B87" s="99" t="s">
        <v>96</v>
      </c>
      <c r="C87" s="99" t="s">
        <v>97</v>
      </c>
      <c r="D87" s="115">
        <v>9</v>
      </c>
      <c r="E87" s="99" t="s">
        <v>977</v>
      </c>
      <c r="F87" s="100">
        <v>0.105</v>
      </c>
      <c r="G87" s="101">
        <f>IF(OR(B87="FIXO",B87="XFIXO"),IF(F87="","ERRO",10*F87)*'[1]BD Campos'!$S$2,IF(F87="","ERRO",10*F87)*'[1]BD Campos'!$S$3)</f>
        <v>1.05</v>
      </c>
      <c r="H87" s="102">
        <v>0.05</v>
      </c>
      <c r="I87" s="103">
        <f t="shared" si="7"/>
        <v>-5.2500000000000005E-2</v>
      </c>
    </row>
    <row r="88" spans="1:9" s="23" customFormat="1">
      <c r="A88" s="99" t="str">
        <f t="shared" si="6"/>
        <v>POSIÇÃO EM ATRASOMotorista 210</v>
      </c>
      <c r="B88" s="99" t="s">
        <v>96</v>
      </c>
      <c r="C88" s="99" t="s">
        <v>97</v>
      </c>
      <c r="D88" s="115">
        <v>10</v>
      </c>
      <c r="E88" s="99" t="s">
        <v>964</v>
      </c>
      <c r="F88" s="100">
        <v>0.03</v>
      </c>
      <c r="G88" s="101">
        <f>IF(OR(B88="FIXO",B88="XFIXO"),IF(F88="","ERRO",10*F88)*'[1]BD Campos'!$S$2,IF(F88="","ERRO",10*F88)*'[1]BD Campos'!$S$3)</f>
        <v>0.3</v>
      </c>
      <c r="H88" s="102">
        <v>0.05</v>
      </c>
      <c r="I88" s="103">
        <f t="shared" si="7"/>
        <v>-1.4999999999999999E-2</v>
      </c>
    </row>
    <row r="89" spans="1:9" s="23" customFormat="1">
      <c r="A89" s="99" t="str">
        <f t="shared" si="6"/>
        <v>POSIÇÃO EM ATRASOMotorista 211</v>
      </c>
      <c r="B89" s="99" t="s">
        <v>96</v>
      </c>
      <c r="C89" s="99" t="s">
        <v>97</v>
      </c>
      <c r="D89" s="115">
        <v>11</v>
      </c>
      <c r="E89" s="99" t="s">
        <v>965</v>
      </c>
      <c r="F89" s="100">
        <v>0.03</v>
      </c>
      <c r="G89" s="101">
        <f>IF(OR(B89="FIXO",B89="XFIXO"),IF(F89="","ERRO",10*F89)*'[1]BD Campos'!$S$2,IF(F89="","ERRO",10*F89)*'[1]BD Campos'!$S$3)</f>
        <v>0.3</v>
      </c>
      <c r="H89" s="102">
        <v>0.05</v>
      </c>
      <c r="I89" s="103">
        <f t="shared" si="7"/>
        <v>-1.4999999999999999E-2</v>
      </c>
    </row>
    <row r="90" spans="1:9" s="23" customFormat="1">
      <c r="A90" s="99" t="str">
        <f t="shared" si="6"/>
        <v>POSIÇÃO EM ATRASOMotorista 212</v>
      </c>
      <c r="B90" s="99" t="s">
        <v>96</v>
      </c>
      <c r="C90" s="99" t="s">
        <v>97</v>
      </c>
      <c r="D90" s="115">
        <v>12</v>
      </c>
      <c r="E90" s="99" t="s">
        <v>966</v>
      </c>
      <c r="F90" s="100">
        <v>1.4999999999999999E-2</v>
      </c>
      <c r="G90" s="101">
        <f>IF(OR(B90="FIXO",B90="XFIXO"),IF(F90="","ERRO",10*F90)*'[1]BD Campos'!$S$2,IF(F90="","ERRO",10*F90)*'[1]BD Campos'!$S$3)</f>
        <v>0.15</v>
      </c>
      <c r="H90" s="102">
        <v>0.05</v>
      </c>
      <c r="I90" s="103">
        <f t="shared" si="7"/>
        <v>-7.4999999999999997E-3</v>
      </c>
    </row>
    <row r="91" spans="1:9" s="23" customFormat="1">
      <c r="A91" s="99" t="str">
        <f t="shared" si="6"/>
        <v>POSIÇÃO EM ATRASOMotorista 213</v>
      </c>
      <c r="B91" s="99" t="s">
        <v>96</v>
      </c>
      <c r="C91" s="99" t="s">
        <v>97</v>
      </c>
      <c r="D91" s="115">
        <v>13</v>
      </c>
      <c r="E91" s="99" t="s">
        <v>967</v>
      </c>
      <c r="F91" s="100">
        <v>0.02</v>
      </c>
      <c r="G91" s="101">
        <f>IF(OR(B91="FIXO",B91="XFIXO"),IF(F91="","ERRO",10*F91)*'[1]BD Campos'!$S$2,IF(F91="","ERRO",10*F91)*'[1]BD Campos'!$S$3)</f>
        <v>0.2</v>
      </c>
      <c r="H91" s="102">
        <v>0.05</v>
      </c>
      <c r="I91" s="103">
        <f t="shared" si="7"/>
        <v>-1.0000000000000002E-2</v>
      </c>
    </row>
    <row r="92" spans="1:9" s="23" customFormat="1">
      <c r="A92" s="99" t="str">
        <f t="shared" si="6"/>
        <v>POSIÇÃO EM ATRASOMotorista 214</v>
      </c>
      <c r="B92" s="99" t="s">
        <v>96</v>
      </c>
      <c r="C92" s="99" t="s">
        <v>97</v>
      </c>
      <c r="D92" s="115">
        <v>14</v>
      </c>
      <c r="E92" s="99" t="s">
        <v>968</v>
      </c>
      <c r="F92" s="100">
        <v>0.03</v>
      </c>
      <c r="G92" s="101">
        <f>IF(OR(B92="FIXO",B92="XFIXO"),IF(F92="","ERRO",10*F92)*'[1]BD Campos'!$S$2,IF(F92="","ERRO",10*F92)*'[1]BD Campos'!$S$3)</f>
        <v>0.3</v>
      </c>
      <c r="H92" s="102">
        <v>0.05</v>
      </c>
      <c r="I92" s="103">
        <f t="shared" si="7"/>
        <v>-1.4999999999999999E-2</v>
      </c>
    </row>
    <row r="93" spans="1:9" s="23" customFormat="1">
      <c r="A93" s="104" t="str">
        <f t="shared" si="6"/>
        <v>POSIÇÃO EM ATRASOMotorista 215</v>
      </c>
      <c r="B93" s="104" t="s">
        <v>96</v>
      </c>
      <c r="C93" s="104" t="s">
        <v>97</v>
      </c>
      <c r="D93" s="116">
        <v>15</v>
      </c>
      <c r="E93" s="104" t="s">
        <v>969</v>
      </c>
      <c r="F93" s="105">
        <v>0.01</v>
      </c>
      <c r="G93" s="106">
        <f>IF(OR(B93="FIXO",B93="XFIXO"),IF(F93="","ERRO",10*F93)*'[1]BD Campos'!$S$2,IF(F93="","ERRO",10*F93)*'[1]BD Campos'!$S$3)</f>
        <v>0.1</v>
      </c>
      <c r="H93" s="107">
        <v>0.05</v>
      </c>
      <c r="I93" s="108">
        <f t="shared" si="7"/>
        <v>-5.000000000000001E-3</v>
      </c>
    </row>
    <row r="94" spans="1:9" s="23" customFormat="1">
      <c r="A94" s="99" t="str">
        <f>B94&amp;C94&amp;D94</f>
        <v>ALERTAS PRIORITÁRIOSMotorista1</v>
      </c>
      <c r="B94" s="99" t="s">
        <v>92</v>
      </c>
      <c r="C94" s="99" t="s">
        <v>93</v>
      </c>
      <c r="D94" s="115">
        <v>1</v>
      </c>
      <c r="E94" s="99" t="s">
        <v>954</v>
      </c>
      <c r="F94" s="100">
        <v>0.01</v>
      </c>
      <c r="G94" s="101">
        <f>IF(OR(B94="FIXO",B94="XFIXO"),IF(F94="","ERRO",10*F94)*'[1]BD Campos'!$S$2,IF(F94="","ERRO",10*F94)*'[1]BD Campos'!$S$3)</f>
        <v>0.1</v>
      </c>
      <c r="H94" s="102">
        <v>0.05</v>
      </c>
      <c r="I94" s="103">
        <f>H94*G94*-1</f>
        <v>-5.000000000000001E-3</v>
      </c>
    </row>
    <row r="95" spans="1:9" s="23" customFormat="1">
      <c r="A95" s="99" t="str">
        <f t="shared" ref="A95:A158" si="8">B95&amp;C95&amp;D95</f>
        <v>ALERTAS PRIORITÁRIOSMotorista2</v>
      </c>
      <c r="B95" s="99" t="s">
        <v>92</v>
      </c>
      <c r="C95" s="99" t="s">
        <v>93</v>
      </c>
      <c r="D95" s="115">
        <v>2</v>
      </c>
      <c r="E95" s="99" t="s">
        <v>955</v>
      </c>
      <c r="F95" s="100">
        <v>0.01</v>
      </c>
      <c r="G95" s="101">
        <f>IF(OR(B95="FIXO",B95="XFIXO"),IF(F95="","ERRO",10*F95)*'[1]BD Campos'!$S$2,IF(F95="","ERRO",10*F95)*'[1]BD Campos'!$S$3)</f>
        <v>0.1</v>
      </c>
      <c r="H95" s="102">
        <v>0.05</v>
      </c>
      <c r="I95" s="103">
        <f t="shared" ref="I95:I158" si="9">H95*G95*-1</f>
        <v>-5.000000000000001E-3</v>
      </c>
    </row>
    <row r="96" spans="1:9" s="23" customFormat="1">
      <c r="A96" s="99" t="str">
        <f t="shared" si="8"/>
        <v>ALERTAS PRIORITÁRIOSMotorista3</v>
      </c>
      <c r="B96" s="99" t="s">
        <v>92</v>
      </c>
      <c r="C96" s="99" t="s">
        <v>93</v>
      </c>
      <c r="D96" s="115">
        <v>3</v>
      </c>
      <c r="E96" s="99" t="s">
        <v>956</v>
      </c>
      <c r="F96" s="100">
        <v>0.01</v>
      </c>
      <c r="G96" s="101">
        <f>IF(OR(B96="FIXO",B96="XFIXO"),IF(F96="","ERRO",10*F96)*'[1]BD Campos'!$S$2,IF(F96="","ERRO",10*F96)*'[1]BD Campos'!$S$3)</f>
        <v>0.1</v>
      </c>
      <c r="H96" s="102">
        <v>0.05</v>
      </c>
      <c r="I96" s="103">
        <f t="shared" si="9"/>
        <v>-5.000000000000001E-3</v>
      </c>
    </row>
    <row r="97" spans="1:9" s="23" customFormat="1">
      <c r="A97" s="99" t="str">
        <f t="shared" si="8"/>
        <v>ALERTAS PRIORITÁRIOSMotorista4</v>
      </c>
      <c r="B97" s="99" t="s">
        <v>92</v>
      </c>
      <c r="C97" s="99" t="s">
        <v>93</v>
      </c>
      <c r="D97" s="115">
        <v>4</v>
      </c>
      <c r="E97" s="99" t="s">
        <v>957</v>
      </c>
      <c r="F97" s="100">
        <v>0.2</v>
      </c>
      <c r="G97" s="101">
        <f>IF(OR(B97="FIXO",B97="XFIXO"),IF(F97="","ERRO",10*F97)*'[1]BD Campos'!$S$2,IF(F97="","ERRO",10*F97)*'[1]BD Campos'!$S$3)</f>
        <v>2</v>
      </c>
      <c r="H97" s="102">
        <v>0.05</v>
      </c>
      <c r="I97" s="103">
        <f t="shared" si="9"/>
        <v>-0.1</v>
      </c>
    </row>
    <row r="98" spans="1:9" s="23" customFormat="1">
      <c r="A98" s="99" t="str">
        <f t="shared" si="8"/>
        <v>ALERTAS PRIORITÁRIOSMotorista5</v>
      </c>
      <c r="B98" s="99" t="s">
        <v>92</v>
      </c>
      <c r="C98" s="99" t="s">
        <v>93</v>
      </c>
      <c r="D98" s="115">
        <v>5</v>
      </c>
      <c r="E98" s="99" t="s">
        <v>958</v>
      </c>
      <c r="F98" s="100">
        <v>0.10299999999999999</v>
      </c>
      <c r="G98" s="101">
        <f>IF(OR(B98="FIXO",B98="XFIXO"),IF(F98="","ERRO",10*F98)*'[1]BD Campos'!$S$2,IF(F98="","ERRO",10*F98)*'[1]BD Campos'!$S$3)</f>
        <v>1.03</v>
      </c>
      <c r="H98" s="102">
        <v>0.05</v>
      </c>
      <c r="I98" s="103">
        <f t="shared" si="9"/>
        <v>-5.1500000000000004E-2</v>
      </c>
    </row>
    <row r="99" spans="1:9" s="23" customFormat="1">
      <c r="A99" s="99" t="str">
        <f t="shared" si="8"/>
        <v>ALERTAS PRIORITÁRIOSMotorista6</v>
      </c>
      <c r="B99" s="99" t="s">
        <v>92</v>
      </c>
      <c r="C99" s="99" t="s">
        <v>93</v>
      </c>
      <c r="D99" s="115">
        <v>6</v>
      </c>
      <c r="E99" s="99" t="s">
        <v>978</v>
      </c>
      <c r="F99" s="100">
        <v>0.17</v>
      </c>
      <c r="G99" s="101">
        <f>IF(OR(B99="FIXO",B99="XFIXO"),IF(F99="","ERRO",10*F99)*'[1]BD Campos'!$S$2,IF(F99="","ERRO",10*F99)*'[1]BD Campos'!$S$3)</f>
        <v>1.7000000000000002</v>
      </c>
      <c r="H99" s="102">
        <v>0.05</v>
      </c>
      <c r="I99" s="103">
        <f t="shared" si="9"/>
        <v>-8.500000000000002E-2</v>
      </c>
    </row>
    <row r="100" spans="1:9" s="23" customFormat="1">
      <c r="A100" s="99" t="str">
        <f t="shared" si="8"/>
        <v>ALERTAS PRIORITÁRIOSMotorista7</v>
      </c>
      <c r="B100" s="99" t="s">
        <v>92</v>
      </c>
      <c r="C100" s="99" t="s">
        <v>93</v>
      </c>
      <c r="D100" s="115">
        <v>7</v>
      </c>
      <c r="E100" s="99" t="s">
        <v>979</v>
      </c>
      <c r="F100" s="100">
        <v>0.192</v>
      </c>
      <c r="G100" s="101">
        <f>IF(OR(B100="FIXO",B100="XFIXO"),IF(F100="","ERRO",10*F100)*'[1]BD Campos'!$S$2,IF(F100="","ERRO",10*F100)*'[1]BD Campos'!$S$3)</f>
        <v>1.92</v>
      </c>
      <c r="H100" s="102">
        <v>0.05</v>
      </c>
      <c r="I100" s="103">
        <f t="shared" si="9"/>
        <v>-9.6000000000000002E-2</v>
      </c>
    </row>
    <row r="101" spans="1:9" s="23" customFormat="1">
      <c r="A101" s="99" t="str">
        <f t="shared" si="8"/>
        <v>ALERTAS PRIORITÁRIOSMotorista8</v>
      </c>
      <c r="B101" s="99" t="s">
        <v>92</v>
      </c>
      <c r="C101" s="99" t="s">
        <v>93</v>
      </c>
      <c r="D101" s="115">
        <v>8</v>
      </c>
      <c r="E101" s="99" t="s">
        <v>980</v>
      </c>
      <c r="F101" s="100">
        <v>0.17</v>
      </c>
      <c r="G101" s="101">
        <f>IF(OR(B101="FIXO",B101="XFIXO"),IF(F101="","ERRO",10*F101)*'[1]BD Campos'!$S$2,IF(F101="","ERRO",10*F101)*'[1]BD Campos'!$S$3)</f>
        <v>1.7000000000000002</v>
      </c>
      <c r="H101" s="102">
        <v>0.05</v>
      </c>
      <c r="I101" s="103">
        <f t="shared" si="9"/>
        <v>-8.500000000000002E-2</v>
      </c>
    </row>
    <row r="102" spans="1:9" s="23" customFormat="1">
      <c r="A102" s="99" t="str">
        <f t="shared" si="8"/>
        <v>ALERTAS PRIORITÁRIOSMotorista9</v>
      </c>
      <c r="B102" s="99" t="s">
        <v>92</v>
      </c>
      <c r="C102" s="99" t="s">
        <v>93</v>
      </c>
      <c r="D102" s="115">
        <v>9</v>
      </c>
      <c r="E102" s="99" t="s">
        <v>964</v>
      </c>
      <c r="F102" s="100">
        <v>0.03</v>
      </c>
      <c r="G102" s="101">
        <f>IF(OR(B102="FIXO",B102="XFIXO"),IF(F102="","ERRO",10*F102)*'[1]BD Campos'!$S$2,IF(F102="","ERRO",10*F102)*'[1]BD Campos'!$S$3)</f>
        <v>0.3</v>
      </c>
      <c r="H102" s="102">
        <v>0.05</v>
      </c>
      <c r="I102" s="103">
        <f t="shared" si="9"/>
        <v>-1.4999999999999999E-2</v>
      </c>
    </row>
    <row r="103" spans="1:9" s="23" customFormat="1">
      <c r="A103" s="99" t="str">
        <f t="shared" si="8"/>
        <v>ALERTAS PRIORITÁRIOSMotorista10</v>
      </c>
      <c r="B103" s="99" t="s">
        <v>92</v>
      </c>
      <c r="C103" s="99" t="s">
        <v>93</v>
      </c>
      <c r="D103" s="115">
        <v>10</v>
      </c>
      <c r="E103" s="99" t="s">
        <v>965</v>
      </c>
      <c r="F103" s="100">
        <v>0.03</v>
      </c>
      <c r="G103" s="101">
        <f>IF(OR(B103="FIXO",B103="XFIXO"),IF(F103="","ERRO",10*F103)*'[1]BD Campos'!$S$2,IF(F103="","ERRO",10*F103)*'[1]BD Campos'!$S$3)</f>
        <v>0.3</v>
      </c>
      <c r="H103" s="102">
        <v>0.05</v>
      </c>
      <c r="I103" s="103">
        <f t="shared" si="9"/>
        <v>-1.4999999999999999E-2</v>
      </c>
    </row>
    <row r="104" spans="1:9" s="23" customFormat="1">
      <c r="A104" s="99" t="str">
        <f t="shared" si="8"/>
        <v>ALERTAS PRIORITÁRIOSMotorista11</v>
      </c>
      <c r="B104" s="99" t="s">
        <v>92</v>
      </c>
      <c r="C104" s="99" t="s">
        <v>93</v>
      </c>
      <c r="D104" s="115">
        <v>11</v>
      </c>
      <c r="E104" s="99" t="s">
        <v>966</v>
      </c>
      <c r="F104" s="100">
        <v>1.4999999999999999E-2</v>
      </c>
      <c r="G104" s="101">
        <f>IF(OR(B104="FIXO",B104="XFIXO"),IF(F104="","ERRO",10*F104)*'[1]BD Campos'!$S$2,IF(F104="","ERRO",10*F104)*'[1]BD Campos'!$S$3)</f>
        <v>0.15</v>
      </c>
      <c r="H104" s="102">
        <v>0.05</v>
      </c>
      <c r="I104" s="103">
        <f t="shared" si="9"/>
        <v>-7.4999999999999997E-3</v>
      </c>
    </row>
    <row r="105" spans="1:9" s="23" customFormat="1">
      <c r="A105" s="99" t="str">
        <f t="shared" si="8"/>
        <v>ALERTAS PRIORITÁRIOSMotorista12</v>
      </c>
      <c r="B105" s="99" t="s">
        <v>92</v>
      </c>
      <c r="C105" s="99" t="s">
        <v>93</v>
      </c>
      <c r="D105" s="115">
        <v>12</v>
      </c>
      <c r="E105" s="99" t="s">
        <v>967</v>
      </c>
      <c r="F105" s="100">
        <v>0.02</v>
      </c>
      <c r="G105" s="101">
        <f>IF(OR(B105="FIXO",B105="XFIXO"),IF(F105="","ERRO",10*F105)*'[1]BD Campos'!$S$2,IF(F105="","ERRO",10*F105)*'[1]BD Campos'!$S$3)</f>
        <v>0.2</v>
      </c>
      <c r="H105" s="102">
        <v>0.05</v>
      </c>
      <c r="I105" s="103">
        <f t="shared" si="9"/>
        <v>-1.0000000000000002E-2</v>
      </c>
    </row>
    <row r="106" spans="1:9" s="23" customFormat="1">
      <c r="A106" s="99" t="str">
        <f t="shared" si="8"/>
        <v>ALERTAS PRIORITÁRIOSMotorista13</v>
      </c>
      <c r="B106" s="99" t="s">
        <v>92</v>
      </c>
      <c r="C106" s="99" t="s">
        <v>93</v>
      </c>
      <c r="D106" s="115">
        <v>13</v>
      </c>
      <c r="E106" s="99" t="s">
        <v>968</v>
      </c>
      <c r="F106" s="100">
        <v>0.03</v>
      </c>
      <c r="G106" s="101">
        <f>IF(OR(B106="FIXO",B106="XFIXO"),IF(F106="","ERRO",10*F106)*'[1]BD Campos'!$S$2,IF(F106="","ERRO",10*F106)*'[1]BD Campos'!$S$3)</f>
        <v>0.3</v>
      </c>
      <c r="H106" s="102">
        <v>0.05</v>
      </c>
      <c r="I106" s="103">
        <f t="shared" si="9"/>
        <v>-1.4999999999999999E-2</v>
      </c>
    </row>
    <row r="107" spans="1:9" s="23" customFormat="1">
      <c r="A107" s="104" t="str">
        <f t="shared" si="8"/>
        <v>ALERTAS PRIORITÁRIOSMotorista14</v>
      </c>
      <c r="B107" s="104" t="s">
        <v>92</v>
      </c>
      <c r="C107" s="104" t="s">
        <v>93</v>
      </c>
      <c r="D107" s="116">
        <v>14</v>
      </c>
      <c r="E107" s="104" t="s">
        <v>981</v>
      </c>
      <c r="F107" s="105">
        <v>0.01</v>
      </c>
      <c r="G107" s="106">
        <f>IF(OR(B107="FIXO",B107="XFIXO"),IF(F107="","ERRO",10*F107)*'[1]BD Campos'!$S$2,IF(F107="","ERRO",10*F107)*'[1]BD Campos'!$S$3)</f>
        <v>0.1</v>
      </c>
      <c r="H107" s="107">
        <v>0.05</v>
      </c>
      <c r="I107" s="108">
        <f t="shared" si="9"/>
        <v>-5.000000000000001E-3</v>
      </c>
    </row>
    <row r="108" spans="1:9" s="23" customFormat="1">
      <c r="A108" s="99" t="str">
        <f t="shared" si="8"/>
        <v>ALERTAS PRIORITÁRIOSMotorista 21</v>
      </c>
      <c r="B108" s="99" t="s">
        <v>92</v>
      </c>
      <c r="C108" s="99" t="s">
        <v>97</v>
      </c>
      <c r="D108" s="115">
        <v>1</v>
      </c>
      <c r="E108" s="99" t="s">
        <v>954</v>
      </c>
      <c r="F108" s="100">
        <v>0.01</v>
      </c>
      <c r="G108" s="101">
        <f>IF(OR(B108="FIXO",B108="XFIXO"),IF(F108="","ERRO",10*F108)*'[1]BD Campos'!$S$2,IF(F108="","ERRO",10*F108)*'[1]BD Campos'!$S$3)</f>
        <v>0.1</v>
      </c>
      <c r="H108" s="102">
        <v>0.05</v>
      </c>
      <c r="I108" s="103">
        <f t="shared" si="9"/>
        <v>-5.000000000000001E-3</v>
      </c>
    </row>
    <row r="109" spans="1:9" s="23" customFormat="1">
      <c r="A109" s="99" t="str">
        <f t="shared" si="8"/>
        <v>ALERTAS PRIORITÁRIOSMotorista 22</v>
      </c>
      <c r="B109" s="99" t="s">
        <v>92</v>
      </c>
      <c r="C109" s="99" t="s">
        <v>97</v>
      </c>
      <c r="D109" s="115">
        <v>2</v>
      </c>
      <c r="E109" s="99" t="s">
        <v>955</v>
      </c>
      <c r="F109" s="100">
        <v>0.01</v>
      </c>
      <c r="G109" s="101">
        <f>IF(OR(B109="FIXO",B109="XFIXO"),IF(F109="","ERRO",10*F109)*'[1]BD Campos'!$S$2,IF(F109="","ERRO",10*F109)*'[1]BD Campos'!$S$3)</f>
        <v>0.1</v>
      </c>
      <c r="H109" s="102">
        <v>0.05</v>
      </c>
      <c r="I109" s="103">
        <f t="shared" si="9"/>
        <v>-5.000000000000001E-3</v>
      </c>
    </row>
    <row r="110" spans="1:9" s="23" customFormat="1">
      <c r="A110" s="99" t="str">
        <f t="shared" si="8"/>
        <v>ALERTAS PRIORITÁRIOSMotorista 23</v>
      </c>
      <c r="B110" s="99" t="s">
        <v>92</v>
      </c>
      <c r="C110" s="99" t="s">
        <v>97</v>
      </c>
      <c r="D110" s="115">
        <v>3</v>
      </c>
      <c r="E110" s="99" t="s">
        <v>956</v>
      </c>
      <c r="F110" s="100">
        <v>0.01</v>
      </c>
      <c r="G110" s="101">
        <f>IF(OR(B110="FIXO",B110="XFIXO"),IF(F110="","ERRO",10*F110)*'[1]BD Campos'!$S$2,IF(F110="","ERRO",10*F110)*'[1]BD Campos'!$S$3)</f>
        <v>0.1</v>
      </c>
      <c r="H110" s="102">
        <v>0.05</v>
      </c>
      <c r="I110" s="103">
        <f t="shared" si="9"/>
        <v>-5.000000000000001E-3</v>
      </c>
    </row>
    <row r="111" spans="1:9" s="23" customFormat="1">
      <c r="A111" s="99" t="str">
        <f t="shared" si="8"/>
        <v>ALERTAS PRIORITÁRIOSMotorista 24</v>
      </c>
      <c r="B111" s="99" t="s">
        <v>92</v>
      </c>
      <c r="C111" s="99" t="s">
        <v>97</v>
      </c>
      <c r="D111" s="115">
        <v>4</v>
      </c>
      <c r="E111" s="99" t="s">
        <v>957</v>
      </c>
      <c r="F111" s="100">
        <v>0.2</v>
      </c>
      <c r="G111" s="101">
        <f>IF(OR(B111="FIXO",B111="XFIXO"),IF(F111="","ERRO",10*F111)*'[1]BD Campos'!$S$2,IF(F111="","ERRO",10*F111)*'[1]BD Campos'!$S$3)</f>
        <v>2</v>
      </c>
      <c r="H111" s="102">
        <v>0.05</v>
      </c>
      <c r="I111" s="103">
        <f t="shared" si="9"/>
        <v>-0.1</v>
      </c>
    </row>
    <row r="112" spans="1:9" s="23" customFormat="1">
      <c r="A112" s="99" t="str">
        <f t="shared" si="8"/>
        <v>ALERTAS PRIORITÁRIOSMotorista 25</v>
      </c>
      <c r="B112" s="99" t="s">
        <v>92</v>
      </c>
      <c r="C112" s="99" t="s">
        <v>97</v>
      </c>
      <c r="D112" s="115">
        <v>5</v>
      </c>
      <c r="E112" s="99" t="s">
        <v>958</v>
      </c>
      <c r="F112" s="100">
        <v>0.10299999999999999</v>
      </c>
      <c r="G112" s="101">
        <f>IF(OR(B112="FIXO",B112="XFIXO"),IF(F112="","ERRO",10*F112)*'[1]BD Campos'!$S$2,IF(F112="","ERRO",10*F112)*'[1]BD Campos'!$S$3)</f>
        <v>1.03</v>
      </c>
      <c r="H112" s="102">
        <v>0.05</v>
      </c>
      <c r="I112" s="103">
        <f t="shared" si="9"/>
        <v>-5.1500000000000004E-2</v>
      </c>
    </row>
    <row r="113" spans="1:9" s="23" customFormat="1">
      <c r="A113" s="99" t="str">
        <f t="shared" si="8"/>
        <v>ALERTAS PRIORITÁRIOSMotorista 26</v>
      </c>
      <c r="B113" s="99" t="s">
        <v>92</v>
      </c>
      <c r="C113" s="99" t="s">
        <v>97</v>
      </c>
      <c r="D113" s="115">
        <v>6</v>
      </c>
      <c r="E113" s="99" t="s">
        <v>978</v>
      </c>
      <c r="F113" s="100">
        <v>0.17</v>
      </c>
      <c r="G113" s="101">
        <f>IF(OR(B113="FIXO",B113="XFIXO"),IF(F113="","ERRO",10*F113)*'[1]BD Campos'!$S$2,IF(F113="","ERRO",10*F113)*'[1]BD Campos'!$S$3)</f>
        <v>1.7000000000000002</v>
      </c>
      <c r="H113" s="102">
        <v>0.05</v>
      </c>
      <c r="I113" s="103">
        <f t="shared" si="9"/>
        <v>-8.500000000000002E-2</v>
      </c>
    </row>
    <row r="114" spans="1:9" s="23" customFormat="1">
      <c r="A114" s="99" t="str">
        <f t="shared" si="8"/>
        <v>ALERTAS PRIORITÁRIOSMotorista 27</v>
      </c>
      <c r="B114" s="99" t="s">
        <v>92</v>
      </c>
      <c r="C114" s="99" t="s">
        <v>97</v>
      </c>
      <c r="D114" s="115">
        <v>7</v>
      </c>
      <c r="E114" s="99" t="s">
        <v>979</v>
      </c>
      <c r="F114" s="100">
        <v>0.192</v>
      </c>
      <c r="G114" s="101">
        <f>IF(OR(B114="FIXO",B114="XFIXO"),IF(F114="","ERRO",10*F114)*'[1]BD Campos'!$S$2,IF(F114="","ERRO",10*F114)*'[1]BD Campos'!$S$3)</f>
        <v>1.92</v>
      </c>
      <c r="H114" s="102">
        <v>0.05</v>
      </c>
      <c r="I114" s="103">
        <f t="shared" si="9"/>
        <v>-9.6000000000000002E-2</v>
      </c>
    </row>
    <row r="115" spans="1:9" s="23" customFormat="1">
      <c r="A115" s="99" t="str">
        <f t="shared" si="8"/>
        <v>ALERTAS PRIORITÁRIOSMotorista 28</v>
      </c>
      <c r="B115" s="99" t="s">
        <v>92</v>
      </c>
      <c r="C115" s="99" t="s">
        <v>97</v>
      </c>
      <c r="D115" s="115">
        <v>8</v>
      </c>
      <c r="E115" s="99" t="s">
        <v>980</v>
      </c>
      <c r="F115" s="100">
        <v>0.17</v>
      </c>
      <c r="G115" s="101">
        <f>IF(OR(B115="FIXO",B115="XFIXO"),IF(F115="","ERRO",10*F115)*'[1]BD Campos'!$S$2,IF(F115="","ERRO",10*F115)*'[1]BD Campos'!$S$3)</f>
        <v>1.7000000000000002</v>
      </c>
      <c r="H115" s="102">
        <v>0.05</v>
      </c>
      <c r="I115" s="103">
        <f t="shared" si="9"/>
        <v>-8.500000000000002E-2</v>
      </c>
    </row>
    <row r="116" spans="1:9" s="23" customFormat="1">
      <c r="A116" s="99" t="str">
        <f t="shared" si="8"/>
        <v>ALERTAS PRIORITÁRIOSMotorista 29</v>
      </c>
      <c r="B116" s="99" t="s">
        <v>92</v>
      </c>
      <c r="C116" s="99" t="s">
        <v>97</v>
      </c>
      <c r="D116" s="115">
        <v>9</v>
      </c>
      <c r="E116" s="99" t="s">
        <v>964</v>
      </c>
      <c r="F116" s="100">
        <v>0.03</v>
      </c>
      <c r="G116" s="101">
        <f>IF(OR(B116="FIXO",B116="XFIXO"),IF(F116="","ERRO",10*F116)*'[1]BD Campos'!$S$2,IF(F116="","ERRO",10*F116)*'[1]BD Campos'!$S$3)</f>
        <v>0.3</v>
      </c>
      <c r="H116" s="102">
        <v>0.05</v>
      </c>
      <c r="I116" s="103">
        <f t="shared" si="9"/>
        <v>-1.4999999999999999E-2</v>
      </c>
    </row>
    <row r="117" spans="1:9" s="23" customFormat="1">
      <c r="A117" s="99" t="str">
        <f t="shared" si="8"/>
        <v>ALERTAS PRIORITÁRIOSMotorista 210</v>
      </c>
      <c r="B117" s="99" t="s">
        <v>92</v>
      </c>
      <c r="C117" s="99" t="s">
        <v>97</v>
      </c>
      <c r="D117" s="115">
        <v>10</v>
      </c>
      <c r="E117" s="99" t="s">
        <v>965</v>
      </c>
      <c r="F117" s="100">
        <v>0.03</v>
      </c>
      <c r="G117" s="101">
        <f>IF(OR(B117="FIXO",B117="XFIXO"),IF(F117="","ERRO",10*F117)*'[1]BD Campos'!$S$2,IF(F117="","ERRO",10*F117)*'[1]BD Campos'!$S$3)</f>
        <v>0.3</v>
      </c>
      <c r="H117" s="102">
        <v>0.05</v>
      </c>
      <c r="I117" s="103">
        <f t="shared" si="9"/>
        <v>-1.4999999999999999E-2</v>
      </c>
    </row>
    <row r="118" spans="1:9" s="23" customFormat="1">
      <c r="A118" s="99" t="str">
        <f t="shared" si="8"/>
        <v>ALERTAS PRIORITÁRIOSMotorista 211</v>
      </c>
      <c r="B118" s="99" t="s">
        <v>92</v>
      </c>
      <c r="C118" s="99" t="s">
        <v>97</v>
      </c>
      <c r="D118" s="115">
        <v>11</v>
      </c>
      <c r="E118" s="99" t="s">
        <v>966</v>
      </c>
      <c r="F118" s="100">
        <v>1.4999999999999999E-2</v>
      </c>
      <c r="G118" s="101">
        <f>IF(OR(B118="FIXO",B118="XFIXO"),IF(F118="","ERRO",10*F118)*'[1]BD Campos'!$S$2,IF(F118="","ERRO",10*F118)*'[1]BD Campos'!$S$3)</f>
        <v>0.15</v>
      </c>
      <c r="H118" s="102">
        <v>0.05</v>
      </c>
      <c r="I118" s="103">
        <f t="shared" si="9"/>
        <v>-7.4999999999999997E-3</v>
      </c>
    </row>
    <row r="119" spans="1:9" s="23" customFormat="1">
      <c r="A119" s="99" t="str">
        <f t="shared" si="8"/>
        <v>ALERTAS PRIORITÁRIOSMotorista 212</v>
      </c>
      <c r="B119" s="99" t="s">
        <v>92</v>
      </c>
      <c r="C119" s="99" t="s">
        <v>97</v>
      </c>
      <c r="D119" s="115">
        <v>12</v>
      </c>
      <c r="E119" s="99" t="s">
        <v>967</v>
      </c>
      <c r="F119" s="100">
        <v>0.02</v>
      </c>
      <c r="G119" s="101">
        <f>IF(OR(B119="FIXO",B119="XFIXO"),IF(F119="","ERRO",10*F119)*'[1]BD Campos'!$S$2,IF(F119="","ERRO",10*F119)*'[1]BD Campos'!$S$3)</f>
        <v>0.2</v>
      </c>
      <c r="H119" s="102">
        <v>0.05</v>
      </c>
      <c r="I119" s="103">
        <f t="shared" si="9"/>
        <v>-1.0000000000000002E-2</v>
      </c>
    </row>
    <row r="120" spans="1:9" s="23" customFormat="1">
      <c r="A120" s="99" t="str">
        <f t="shared" si="8"/>
        <v>ALERTAS PRIORITÁRIOSMotorista 213</v>
      </c>
      <c r="B120" s="99" t="s">
        <v>92</v>
      </c>
      <c r="C120" s="99" t="s">
        <v>97</v>
      </c>
      <c r="D120" s="115">
        <v>13</v>
      </c>
      <c r="E120" s="99" t="s">
        <v>968</v>
      </c>
      <c r="F120" s="100">
        <v>0.03</v>
      </c>
      <c r="G120" s="101">
        <f>IF(OR(B120="FIXO",B120="XFIXO"),IF(F120="","ERRO",10*F120)*'[1]BD Campos'!$S$2,IF(F120="","ERRO",10*F120)*'[1]BD Campos'!$S$3)</f>
        <v>0.3</v>
      </c>
      <c r="H120" s="102">
        <v>0.05</v>
      </c>
      <c r="I120" s="103">
        <f t="shared" si="9"/>
        <v>-1.4999999999999999E-2</v>
      </c>
    </row>
    <row r="121" spans="1:9" s="23" customFormat="1">
      <c r="A121" s="104" t="str">
        <f t="shared" si="8"/>
        <v>ALERTAS PRIORITÁRIOSMotorista 214</v>
      </c>
      <c r="B121" s="104" t="s">
        <v>92</v>
      </c>
      <c r="C121" s="104" t="s">
        <v>97</v>
      </c>
      <c r="D121" s="116">
        <v>14</v>
      </c>
      <c r="E121" s="104" t="s">
        <v>981</v>
      </c>
      <c r="F121" s="105">
        <v>0.01</v>
      </c>
      <c r="G121" s="106">
        <f>IF(OR(B121="FIXO",B121="XFIXO"),IF(F121="","ERRO",10*F121)*'[1]BD Campos'!$S$2,IF(F121="","ERRO",10*F121)*'[1]BD Campos'!$S$3)</f>
        <v>0.1</v>
      </c>
      <c r="H121" s="107">
        <v>0.05</v>
      </c>
      <c r="I121" s="108">
        <f t="shared" si="9"/>
        <v>-5.000000000000001E-3</v>
      </c>
    </row>
    <row r="122" spans="1:9" s="23" customFormat="1">
      <c r="A122" s="99" t="str">
        <f t="shared" si="8"/>
        <v>DESVIO DE ROTACliente1</v>
      </c>
      <c r="B122" s="99" t="s">
        <v>133</v>
      </c>
      <c r="C122" s="99" t="s">
        <v>149</v>
      </c>
      <c r="D122" s="115">
        <v>1</v>
      </c>
      <c r="E122" s="99" t="s">
        <v>954</v>
      </c>
      <c r="F122" s="100">
        <v>0.01</v>
      </c>
      <c r="G122" s="101">
        <f>IF(OR(B122="FIXO",B122="XFIXO"),IF(F122="","ERRO",10*F122)*'[1]BD Campos'!$S$2,IF(F122="","ERRO",10*F122)*'[1]BD Campos'!$S$3)</f>
        <v>0.1</v>
      </c>
      <c r="H122" s="102">
        <v>0.05</v>
      </c>
      <c r="I122" s="103">
        <f t="shared" si="9"/>
        <v>-5.000000000000001E-3</v>
      </c>
    </row>
    <row r="123" spans="1:9" s="23" customFormat="1">
      <c r="A123" s="99" t="str">
        <f t="shared" si="8"/>
        <v>DESVIO DE ROTACliente2</v>
      </c>
      <c r="B123" s="99" t="s">
        <v>133</v>
      </c>
      <c r="C123" s="99" t="s">
        <v>149</v>
      </c>
      <c r="D123" s="115">
        <v>2</v>
      </c>
      <c r="E123" s="99" t="s">
        <v>955</v>
      </c>
      <c r="F123" s="100">
        <v>0.01</v>
      </c>
      <c r="G123" s="101">
        <f>IF(OR(B123="FIXO",B123="XFIXO"),IF(F123="","ERRO",10*F123)*'[1]BD Campos'!$S$2,IF(F123="","ERRO",10*F123)*'[1]BD Campos'!$S$3)</f>
        <v>0.1</v>
      </c>
      <c r="H123" s="102">
        <v>0.05</v>
      </c>
      <c r="I123" s="103">
        <f t="shared" si="9"/>
        <v>-5.000000000000001E-3</v>
      </c>
    </row>
    <row r="124" spans="1:9" s="23" customFormat="1">
      <c r="A124" s="99" t="str">
        <f t="shared" si="8"/>
        <v>DESVIO DE ROTACliente3</v>
      </c>
      <c r="B124" s="99" t="s">
        <v>133</v>
      </c>
      <c r="C124" s="99" t="s">
        <v>149</v>
      </c>
      <c r="D124" s="115">
        <v>3</v>
      </c>
      <c r="E124" s="99" t="s">
        <v>956</v>
      </c>
      <c r="F124" s="100">
        <v>0.01</v>
      </c>
      <c r="G124" s="101">
        <f>IF(OR(B124="FIXO",B124="XFIXO"),IF(F124="","ERRO",10*F124)*'[1]BD Campos'!$S$2,IF(F124="","ERRO",10*F124)*'[1]BD Campos'!$S$3)</f>
        <v>0.1</v>
      </c>
      <c r="H124" s="102">
        <v>0.05</v>
      </c>
      <c r="I124" s="103">
        <f t="shared" si="9"/>
        <v>-5.000000000000001E-3</v>
      </c>
    </row>
    <row r="125" spans="1:9" s="23" customFormat="1">
      <c r="A125" s="99" t="str">
        <f t="shared" si="8"/>
        <v>DESVIO DE ROTACliente4</v>
      </c>
      <c r="B125" s="99" t="s">
        <v>133</v>
      </c>
      <c r="C125" s="99" t="s">
        <v>149</v>
      </c>
      <c r="D125" s="115">
        <v>4</v>
      </c>
      <c r="E125" s="99" t="s">
        <v>982</v>
      </c>
      <c r="F125" s="100">
        <v>0.04</v>
      </c>
      <c r="G125" s="101">
        <f>IF(OR(B125="FIXO",B125="XFIXO"),IF(F125="","ERRO",10*F125)*'[1]BD Campos'!$S$2,IF(F125="","ERRO",10*F125)*'[1]BD Campos'!$S$3)</f>
        <v>0.4</v>
      </c>
      <c r="H125" s="102">
        <v>0.05</v>
      </c>
      <c r="I125" s="103">
        <f t="shared" si="9"/>
        <v>-2.0000000000000004E-2</v>
      </c>
    </row>
    <row r="126" spans="1:9">
      <c r="A126" s="99" t="str">
        <f t="shared" si="8"/>
        <v>DESVIO DE ROTACliente5</v>
      </c>
      <c r="B126" s="99" t="s">
        <v>133</v>
      </c>
      <c r="C126" s="99" t="s">
        <v>149</v>
      </c>
      <c r="D126" s="115">
        <v>5</v>
      </c>
      <c r="E126" s="99" t="s">
        <v>958</v>
      </c>
      <c r="F126" s="100">
        <v>0.12</v>
      </c>
      <c r="G126" s="101">
        <f>IF(OR(B126="FIXO",B126="XFIXO"),IF(F126="","ERRO",10*F126)*'[1]BD Campos'!$S$2,IF(F126="","ERRO",10*F126)*'[1]BD Campos'!$S$3)</f>
        <v>1.2</v>
      </c>
      <c r="H126" s="102">
        <v>0.05</v>
      </c>
      <c r="I126" s="103">
        <f t="shared" si="9"/>
        <v>-0.06</v>
      </c>
    </row>
    <row r="127" spans="1:9" s="23" customFormat="1">
      <c r="A127" s="99" t="str">
        <f t="shared" si="8"/>
        <v>DESVIO DE ROTACliente6</v>
      </c>
      <c r="B127" s="99" t="s">
        <v>133</v>
      </c>
      <c r="C127" s="99" t="s">
        <v>149</v>
      </c>
      <c r="D127" s="115">
        <v>6</v>
      </c>
      <c r="E127" s="99" t="s">
        <v>983</v>
      </c>
      <c r="F127" s="100">
        <v>0.115</v>
      </c>
      <c r="G127" s="101">
        <f>IF(OR(B127="FIXO",B127="XFIXO"),IF(F127="","ERRO",10*F127)*'[1]BD Campos'!$S$2,IF(F127="","ERRO",10*F127)*'[1]BD Campos'!$S$3)</f>
        <v>1.1500000000000001</v>
      </c>
      <c r="H127" s="102">
        <v>0.05</v>
      </c>
      <c r="I127" s="103">
        <f t="shared" si="9"/>
        <v>-5.7500000000000009E-2</v>
      </c>
    </row>
    <row r="128" spans="1:9" s="23" customFormat="1">
      <c r="A128" s="99" t="str">
        <f t="shared" si="8"/>
        <v>DESVIO DE ROTACliente7</v>
      </c>
      <c r="B128" s="99" t="s">
        <v>133</v>
      </c>
      <c r="C128" s="99" t="s">
        <v>149</v>
      </c>
      <c r="D128" s="115">
        <v>7</v>
      </c>
      <c r="E128" s="99" t="s">
        <v>984</v>
      </c>
      <c r="F128" s="100">
        <v>0.1</v>
      </c>
      <c r="G128" s="101">
        <f>IF(OR(B128="FIXO",B128="XFIXO"),IF(F128="","ERRO",10*F128)*'[1]BD Campos'!$S$2,IF(F128="","ERRO",10*F128)*'[1]BD Campos'!$S$3)</f>
        <v>1</v>
      </c>
      <c r="H128" s="102">
        <v>0.05</v>
      </c>
      <c r="I128" s="103">
        <f t="shared" si="9"/>
        <v>-0.05</v>
      </c>
    </row>
    <row r="129" spans="1:9" s="23" customFormat="1">
      <c r="A129" s="99" t="str">
        <f t="shared" si="8"/>
        <v>DESVIO DE ROTACliente8</v>
      </c>
      <c r="B129" s="99" t="s">
        <v>133</v>
      </c>
      <c r="C129" s="99" t="s">
        <v>149</v>
      </c>
      <c r="D129" s="115">
        <v>8</v>
      </c>
      <c r="E129" s="99" t="s">
        <v>985</v>
      </c>
      <c r="F129" s="100">
        <v>0.1</v>
      </c>
      <c r="G129" s="101">
        <f>IF(OR(B129="FIXO",B129="XFIXO"),IF(F129="","ERRO",10*F129)*'[1]BD Campos'!$S$2,IF(F129="","ERRO",10*F129)*'[1]BD Campos'!$S$3)</f>
        <v>1</v>
      </c>
      <c r="H129" s="102">
        <v>0.05</v>
      </c>
      <c r="I129" s="103">
        <f t="shared" si="9"/>
        <v>-0.05</v>
      </c>
    </row>
    <row r="130" spans="1:9" s="23" customFormat="1">
      <c r="A130" s="99" t="str">
        <f t="shared" si="8"/>
        <v>DESVIO DE ROTACliente9</v>
      </c>
      <c r="B130" s="99" t="s">
        <v>133</v>
      </c>
      <c r="C130" s="99" t="s">
        <v>149</v>
      </c>
      <c r="D130" s="115">
        <v>9</v>
      </c>
      <c r="E130" s="99" t="s">
        <v>986</v>
      </c>
      <c r="F130" s="100">
        <v>0.1</v>
      </c>
      <c r="G130" s="101">
        <f>IF(OR(B130="FIXO",B130="XFIXO"),IF(F130="","ERRO",10*F130)*'[1]BD Campos'!$S$2,IF(F130="","ERRO",10*F130)*'[1]BD Campos'!$S$3)</f>
        <v>1</v>
      </c>
      <c r="H130" s="102">
        <v>0.05</v>
      </c>
      <c r="I130" s="103">
        <f t="shared" si="9"/>
        <v>-0.05</v>
      </c>
    </row>
    <row r="131" spans="1:9" s="23" customFormat="1">
      <c r="A131" s="99" t="str">
        <f t="shared" si="8"/>
        <v>DESVIO DE ROTACliente10</v>
      </c>
      <c r="B131" s="99" t="s">
        <v>133</v>
      </c>
      <c r="C131" s="99" t="s">
        <v>149</v>
      </c>
      <c r="D131" s="115">
        <v>10</v>
      </c>
      <c r="E131" s="99" t="s">
        <v>987</v>
      </c>
      <c r="F131" s="100">
        <v>0.13</v>
      </c>
      <c r="G131" s="101">
        <f>IF(OR(B131="FIXO",B131="XFIXO"),IF(F131="","ERRO",10*F131)*'[1]BD Campos'!$S$2,IF(F131="","ERRO",10*F131)*'[1]BD Campos'!$S$3)</f>
        <v>1.3</v>
      </c>
      <c r="H131" s="102">
        <v>0.05</v>
      </c>
      <c r="I131" s="103">
        <f t="shared" si="9"/>
        <v>-6.5000000000000002E-2</v>
      </c>
    </row>
    <row r="132" spans="1:9" s="23" customFormat="1">
      <c r="A132" s="99" t="str">
        <f t="shared" si="8"/>
        <v>DESVIO DE ROTACliente11</v>
      </c>
      <c r="B132" s="99" t="s">
        <v>133</v>
      </c>
      <c r="C132" s="99" t="s">
        <v>149</v>
      </c>
      <c r="D132" s="115">
        <v>11</v>
      </c>
      <c r="E132" s="99" t="s">
        <v>988</v>
      </c>
      <c r="F132" s="100">
        <v>0.13</v>
      </c>
      <c r="G132" s="101">
        <f>IF(OR(B132="FIXO",B132="XFIXO"),IF(F132="","ERRO",10*F132)*'[1]BD Campos'!$S$2,IF(F132="","ERRO",10*F132)*'[1]BD Campos'!$S$3)</f>
        <v>1.3</v>
      </c>
      <c r="H132" s="102">
        <v>0.05</v>
      </c>
      <c r="I132" s="103">
        <f t="shared" si="9"/>
        <v>-6.5000000000000002E-2</v>
      </c>
    </row>
    <row r="133" spans="1:9" s="23" customFormat="1">
      <c r="A133" s="99" t="str">
        <f t="shared" si="8"/>
        <v>DESVIO DE ROTACliente12</v>
      </c>
      <c r="B133" s="99" t="s">
        <v>133</v>
      </c>
      <c r="C133" s="99" t="s">
        <v>149</v>
      </c>
      <c r="D133" s="115">
        <v>12</v>
      </c>
      <c r="E133" s="99" t="s">
        <v>964</v>
      </c>
      <c r="F133" s="100">
        <v>0.03</v>
      </c>
      <c r="G133" s="101">
        <f>IF(OR(B133="FIXO",B133="XFIXO"),IF(F133="","ERRO",10*F133)*'[1]BD Campos'!$S$2,IF(F133="","ERRO",10*F133)*'[1]BD Campos'!$S$3)</f>
        <v>0.3</v>
      </c>
      <c r="H133" s="102">
        <v>0.05</v>
      </c>
      <c r="I133" s="103">
        <f t="shared" si="9"/>
        <v>-1.4999999999999999E-2</v>
      </c>
    </row>
    <row r="134" spans="1:9" s="23" customFormat="1">
      <c r="A134" s="99" t="str">
        <f t="shared" si="8"/>
        <v>DESVIO DE ROTACliente13</v>
      </c>
      <c r="B134" s="99" t="s">
        <v>133</v>
      </c>
      <c r="C134" s="99" t="s">
        <v>149</v>
      </c>
      <c r="D134" s="115">
        <v>13</v>
      </c>
      <c r="E134" s="99" t="s">
        <v>965</v>
      </c>
      <c r="F134" s="100">
        <v>0.03</v>
      </c>
      <c r="G134" s="101">
        <f>IF(OR(B134="FIXO",B134="XFIXO"),IF(F134="","ERRO",10*F134)*'[1]BD Campos'!$S$2,IF(F134="","ERRO",10*F134)*'[1]BD Campos'!$S$3)</f>
        <v>0.3</v>
      </c>
      <c r="H134" s="102">
        <v>0.05</v>
      </c>
      <c r="I134" s="103">
        <f t="shared" si="9"/>
        <v>-1.4999999999999999E-2</v>
      </c>
    </row>
    <row r="135" spans="1:9" s="23" customFormat="1">
      <c r="A135" s="99" t="str">
        <f t="shared" si="8"/>
        <v>DESVIO DE ROTACliente14</v>
      </c>
      <c r="B135" s="99" t="s">
        <v>133</v>
      </c>
      <c r="C135" s="99" t="s">
        <v>149</v>
      </c>
      <c r="D135" s="115">
        <v>14</v>
      </c>
      <c r="E135" s="99" t="s">
        <v>966</v>
      </c>
      <c r="F135" s="100">
        <v>1.4999999999999999E-2</v>
      </c>
      <c r="G135" s="101">
        <f>IF(OR(B135="FIXO",B135="XFIXO"),IF(F135="","ERRO",10*F135)*'[1]BD Campos'!$S$2,IF(F135="","ERRO",10*F135)*'[1]BD Campos'!$S$3)</f>
        <v>0.15</v>
      </c>
      <c r="H135" s="102">
        <v>0.05</v>
      </c>
      <c r="I135" s="103">
        <f t="shared" si="9"/>
        <v>-7.4999999999999997E-3</v>
      </c>
    </row>
    <row r="136" spans="1:9" s="23" customFormat="1">
      <c r="A136" s="99" t="str">
        <f t="shared" si="8"/>
        <v>DESVIO DE ROTACliente15</v>
      </c>
      <c r="B136" s="99" t="s">
        <v>133</v>
      </c>
      <c r="C136" s="99" t="s">
        <v>149</v>
      </c>
      <c r="D136" s="115">
        <v>15</v>
      </c>
      <c r="E136" s="99" t="s">
        <v>967</v>
      </c>
      <c r="F136" s="100">
        <v>0.02</v>
      </c>
      <c r="G136" s="101">
        <f>IF(OR(B136="FIXO",B136="XFIXO"),IF(F136="","ERRO",10*F136)*'[1]BD Campos'!$S$2,IF(F136="","ERRO",10*F136)*'[1]BD Campos'!$S$3)</f>
        <v>0.2</v>
      </c>
      <c r="H136" s="102">
        <v>0.05</v>
      </c>
      <c r="I136" s="103">
        <f t="shared" si="9"/>
        <v>-1.0000000000000002E-2</v>
      </c>
    </row>
    <row r="137" spans="1:9" s="23" customFormat="1">
      <c r="A137" s="99" t="str">
        <f>B137&amp;C137&amp;D137</f>
        <v>DESVIO DE ROTACliente16</v>
      </c>
      <c r="B137" s="99" t="s">
        <v>133</v>
      </c>
      <c r="C137" s="99" t="s">
        <v>149</v>
      </c>
      <c r="D137" s="115">
        <v>16</v>
      </c>
      <c r="E137" s="99" t="s">
        <v>968</v>
      </c>
      <c r="F137" s="100">
        <v>0.03</v>
      </c>
      <c r="G137" s="101">
        <f>IF(OR(B137="FIXO",B137="XFIXO"),IF(F137="","ERRO",10*F137)*'[1]BD Campos'!$S$2,IF(F137="","ERRO",10*F137)*'[1]BD Campos'!$S$3)</f>
        <v>0.3</v>
      </c>
      <c r="H137" s="102">
        <v>0.05</v>
      </c>
      <c r="I137" s="103">
        <f>H137*G137*-1</f>
        <v>-1.4999999999999999E-2</v>
      </c>
    </row>
    <row r="138" spans="1:9" s="23" customFormat="1">
      <c r="A138" s="104" t="str">
        <f t="shared" si="8"/>
        <v>DESVIO DE ROTACliente17</v>
      </c>
      <c r="B138" s="104" t="s">
        <v>133</v>
      </c>
      <c r="C138" s="104" t="s">
        <v>149</v>
      </c>
      <c r="D138" s="116">
        <v>17</v>
      </c>
      <c r="E138" s="104" t="s">
        <v>969</v>
      </c>
      <c r="F138" s="105">
        <v>0.01</v>
      </c>
      <c r="G138" s="106">
        <f>IF(OR(B138="FIXO",B138="XFIXO"),IF(F138="","ERRO",10*F138)*'[1]BD Campos'!$S$2,IF(F138="","ERRO",10*F138)*'[1]BD Campos'!$S$3)</f>
        <v>0.1</v>
      </c>
      <c r="H138" s="107">
        <v>0.05</v>
      </c>
      <c r="I138" s="108">
        <f t="shared" si="9"/>
        <v>-5.000000000000001E-3</v>
      </c>
    </row>
    <row r="139" spans="1:9" s="23" customFormat="1">
      <c r="A139" s="99" t="str">
        <f t="shared" si="8"/>
        <v>DESVIO DE ROTACliente 21</v>
      </c>
      <c r="B139" s="99" t="s">
        <v>133</v>
      </c>
      <c r="C139" s="99" t="s">
        <v>322</v>
      </c>
      <c r="D139" s="115">
        <v>1</v>
      </c>
      <c r="E139" s="99" t="s">
        <v>954</v>
      </c>
      <c r="F139" s="100">
        <v>0.01</v>
      </c>
      <c r="G139" s="101">
        <f>IF(OR(B139="FIXO",B139="XFIXO"),IF(F139="","ERRO",10*F139)*'[1]BD Campos'!$S$2,IF(F139="","ERRO",10*F139)*'[1]BD Campos'!$S$3)</f>
        <v>0.1</v>
      </c>
      <c r="H139" s="102">
        <v>0.05</v>
      </c>
      <c r="I139" s="103">
        <f t="shared" si="9"/>
        <v>-5.000000000000001E-3</v>
      </c>
    </row>
    <row r="140" spans="1:9" s="23" customFormat="1">
      <c r="A140" s="99" t="str">
        <f t="shared" si="8"/>
        <v>DESVIO DE ROTACliente 22</v>
      </c>
      <c r="B140" s="99" t="s">
        <v>133</v>
      </c>
      <c r="C140" s="99" t="s">
        <v>322</v>
      </c>
      <c r="D140" s="115">
        <v>2</v>
      </c>
      <c r="E140" s="99" t="s">
        <v>955</v>
      </c>
      <c r="F140" s="100">
        <v>0.01</v>
      </c>
      <c r="G140" s="101">
        <f>IF(OR(B140="FIXO",B140="XFIXO"),IF(F140="","ERRO",10*F140)*'[1]BD Campos'!$S$2,IF(F140="","ERRO",10*F140)*'[1]BD Campos'!$S$3)</f>
        <v>0.1</v>
      </c>
      <c r="H140" s="102">
        <v>0.05</v>
      </c>
      <c r="I140" s="103">
        <f t="shared" si="9"/>
        <v>-5.000000000000001E-3</v>
      </c>
    </row>
    <row r="141" spans="1:9" s="23" customFormat="1">
      <c r="A141" s="99" t="str">
        <f t="shared" si="8"/>
        <v>DESVIO DE ROTACliente 23</v>
      </c>
      <c r="B141" s="99" t="s">
        <v>133</v>
      </c>
      <c r="C141" s="99" t="s">
        <v>322</v>
      </c>
      <c r="D141" s="115">
        <v>3</v>
      </c>
      <c r="E141" s="99" t="s">
        <v>956</v>
      </c>
      <c r="F141" s="100">
        <v>0.01</v>
      </c>
      <c r="G141" s="101">
        <f>IF(OR(B141="FIXO",B141="XFIXO"),IF(F141="","ERRO",10*F141)*'[1]BD Campos'!$S$2,IF(F141="","ERRO",10*F141)*'[1]BD Campos'!$S$3)</f>
        <v>0.1</v>
      </c>
      <c r="H141" s="102">
        <v>0.05</v>
      </c>
      <c r="I141" s="103">
        <f t="shared" si="9"/>
        <v>-5.000000000000001E-3</v>
      </c>
    </row>
    <row r="142" spans="1:9" s="23" customFormat="1">
      <c r="A142" s="99" t="str">
        <f t="shared" si="8"/>
        <v>DESVIO DE ROTACliente 24</v>
      </c>
      <c r="B142" s="99" t="s">
        <v>133</v>
      </c>
      <c r="C142" s="99" t="s">
        <v>322</v>
      </c>
      <c r="D142" s="115">
        <v>4</v>
      </c>
      <c r="E142" s="99" t="s">
        <v>982</v>
      </c>
      <c r="F142" s="100">
        <v>0.04</v>
      </c>
      <c r="G142" s="101">
        <f>IF(OR(B142="FIXO",B142="XFIXO"),IF(F142="","ERRO",10*F142)*'[1]BD Campos'!$S$2,IF(F142="","ERRO",10*F142)*'[1]BD Campos'!$S$3)</f>
        <v>0.4</v>
      </c>
      <c r="H142" s="102">
        <v>0.05</v>
      </c>
      <c r="I142" s="103">
        <f t="shared" si="9"/>
        <v>-2.0000000000000004E-2</v>
      </c>
    </row>
    <row r="143" spans="1:9" s="23" customFormat="1">
      <c r="A143" s="99" t="str">
        <f t="shared" si="8"/>
        <v>DESVIO DE ROTACliente 25</v>
      </c>
      <c r="B143" s="99" t="s">
        <v>133</v>
      </c>
      <c r="C143" s="99" t="s">
        <v>322</v>
      </c>
      <c r="D143" s="115">
        <v>5</v>
      </c>
      <c r="E143" s="99" t="s">
        <v>958</v>
      </c>
      <c r="F143" s="100">
        <v>0.12</v>
      </c>
      <c r="G143" s="101">
        <f>IF(OR(B143="FIXO",B143="XFIXO"),IF(F143="","ERRO",10*F143)*'[1]BD Campos'!$S$2,IF(F143="","ERRO",10*F143)*'[1]BD Campos'!$S$3)</f>
        <v>1.2</v>
      </c>
      <c r="H143" s="102">
        <v>0.05</v>
      </c>
      <c r="I143" s="103">
        <f t="shared" si="9"/>
        <v>-0.06</v>
      </c>
    </row>
    <row r="144" spans="1:9" s="23" customFormat="1">
      <c r="A144" s="99" t="str">
        <f t="shared" si="8"/>
        <v>DESVIO DE ROTACliente 26</v>
      </c>
      <c r="B144" s="99" t="s">
        <v>133</v>
      </c>
      <c r="C144" s="99" t="s">
        <v>322</v>
      </c>
      <c r="D144" s="115">
        <v>6</v>
      </c>
      <c r="E144" s="99" t="s">
        <v>983</v>
      </c>
      <c r="F144" s="100">
        <v>0.115</v>
      </c>
      <c r="G144" s="101">
        <f>IF(OR(B144="FIXO",B144="XFIXO"),IF(F144="","ERRO",10*F144)*'[1]BD Campos'!$S$2,IF(F144="","ERRO",10*F144)*'[1]BD Campos'!$S$3)</f>
        <v>1.1500000000000001</v>
      </c>
      <c r="H144" s="102">
        <v>0.05</v>
      </c>
      <c r="I144" s="103">
        <f t="shared" si="9"/>
        <v>-5.7500000000000009E-2</v>
      </c>
    </row>
    <row r="145" spans="1:9" s="23" customFormat="1">
      <c r="A145" s="99" t="str">
        <f t="shared" si="8"/>
        <v>DESVIO DE ROTACliente 27</v>
      </c>
      <c r="B145" s="99" t="s">
        <v>133</v>
      </c>
      <c r="C145" s="99" t="s">
        <v>322</v>
      </c>
      <c r="D145" s="115">
        <v>7</v>
      </c>
      <c r="E145" s="99" t="s">
        <v>984</v>
      </c>
      <c r="F145" s="100">
        <v>0.1</v>
      </c>
      <c r="G145" s="101">
        <f>IF(OR(B145="FIXO",B145="XFIXO"),IF(F145="","ERRO",10*F145)*'[1]BD Campos'!$S$2,IF(F145="","ERRO",10*F145)*'[1]BD Campos'!$S$3)</f>
        <v>1</v>
      </c>
      <c r="H145" s="102">
        <v>0.05</v>
      </c>
      <c r="I145" s="103">
        <f t="shared" si="9"/>
        <v>-0.05</v>
      </c>
    </row>
    <row r="146" spans="1:9" s="23" customFormat="1">
      <c r="A146" s="99" t="str">
        <f t="shared" si="8"/>
        <v>DESVIO DE ROTACliente 28</v>
      </c>
      <c r="B146" s="99" t="s">
        <v>133</v>
      </c>
      <c r="C146" s="99" t="s">
        <v>322</v>
      </c>
      <c r="D146" s="115">
        <v>8</v>
      </c>
      <c r="E146" s="99" t="s">
        <v>985</v>
      </c>
      <c r="F146" s="100">
        <v>0.1</v>
      </c>
      <c r="G146" s="101">
        <f>IF(OR(B146="FIXO",B146="XFIXO"),IF(F146="","ERRO",10*F146)*'[1]BD Campos'!$S$2,IF(F146="","ERRO",10*F146)*'[1]BD Campos'!$S$3)</f>
        <v>1</v>
      </c>
      <c r="H146" s="102">
        <v>0.05</v>
      </c>
      <c r="I146" s="103">
        <f t="shared" si="9"/>
        <v>-0.05</v>
      </c>
    </row>
    <row r="147" spans="1:9" s="23" customFormat="1">
      <c r="A147" s="99" t="str">
        <f t="shared" si="8"/>
        <v>DESVIO DE ROTACliente 29</v>
      </c>
      <c r="B147" s="99" t="s">
        <v>133</v>
      </c>
      <c r="C147" s="99" t="s">
        <v>322</v>
      </c>
      <c r="D147" s="115">
        <v>9</v>
      </c>
      <c r="E147" s="99" t="s">
        <v>986</v>
      </c>
      <c r="F147" s="100">
        <v>0.1</v>
      </c>
      <c r="G147" s="101">
        <f>IF(OR(B147="FIXO",B147="XFIXO"),IF(F147="","ERRO",10*F147)*'[1]BD Campos'!$S$2,IF(F147="","ERRO",10*F147)*'[1]BD Campos'!$S$3)</f>
        <v>1</v>
      </c>
      <c r="H147" s="102">
        <v>0.05</v>
      </c>
      <c r="I147" s="103">
        <f t="shared" si="9"/>
        <v>-0.05</v>
      </c>
    </row>
    <row r="148" spans="1:9" s="23" customFormat="1">
      <c r="A148" s="99" t="str">
        <f t="shared" si="8"/>
        <v>DESVIO DE ROTACliente 210</v>
      </c>
      <c r="B148" s="99" t="s">
        <v>133</v>
      </c>
      <c r="C148" s="99" t="s">
        <v>322</v>
      </c>
      <c r="D148" s="115">
        <v>10</v>
      </c>
      <c r="E148" s="99" t="s">
        <v>987</v>
      </c>
      <c r="F148" s="100">
        <v>0.13</v>
      </c>
      <c r="G148" s="101">
        <f>IF(OR(B148="FIXO",B148="XFIXO"),IF(F148="","ERRO",10*F148)*'[1]BD Campos'!$S$2,IF(F148="","ERRO",10*F148)*'[1]BD Campos'!$S$3)</f>
        <v>1.3</v>
      </c>
      <c r="H148" s="102">
        <v>0.05</v>
      </c>
      <c r="I148" s="103">
        <f t="shared" si="9"/>
        <v>-6.5000000000000002E-2</v>
      </c>
    </row>
    <row r="149" spans="1:9" s="23" customFormat="1">
      <c r="A149" s="99" t="str">
        <f t="shared" si="8"/>
        <v>DESVIO DE ROTACliente 211</v>
      </c>
      <c r="B149" s="99" t="s">
        <v>133</v>
      </c>
      <c r="C149" s="99" t="s">
        <v>322</v>
      </c>
      <c r="D149" s="115">
        <v>11</v>
      </c>
      <c r="E149" s="99" t="s">
        <v>988</v>
      </c>
      <c r="F149" s="100">
        <v>0.13</v>
      </c>
      <c r="G149" s="101">
        <f>IF(OR(B149="FIXO",B149="XFIXO"),IF(F149="","ERRO",10*F149)*'[1]BD Campos'!$S$2,IF(F149="","ERRO",10*F149)*'[1]BD Campos'!$S$3)</f>
        <v>1.3</v>
      </c>
      <c r="H149" s="102">
        <v>0.05</v>
      </c>
      <c r="I149" s="103">
        <f t="shared" si="9"/>
        <v>-6.5000000000000002E-2</v>
      </c>
    </row>
    <row r="150" spans="1:9" s="23" customFormat="1">
      <c r="A150" s="99" t="str">
        <f t="shared" si="8"/>
        <v>DESVIO DE ROTACliente 212</v>
      </c>
      <c r="B150" s="99" t="s">
        <v>133</v>
      </c>
      <c r="C150" s="99" t="s">
        <v>322</v>
      </c>
      <c r="D150" s="115">
        <v>12</v>
      </c>
      <c r="E150" s="99" t="s">
        <v>964</v>
      </c>
      <c r="F150" s="100">
        <v>0.03</v>
      </c>
      <c r="G150" s="101">
        <f>IF(OR(B150="FIXO",B150="XFIXO"),IF(F150="","ERRO",10*F150)*'[1]BD Campos'!$S$2,IF(F150="","ERRO",10*F150)*'[1]BD Campos'!$S$3)</f>
        <v>0.3</v>
      </c>
      <c r="H150" s="102">
        <v>0.05</v>
      </c>
      <c r="I150" s="103">
        <f t="shared" si="9"/>
        <v>-1.4999999999999999E-2</v>
      </c>
    </row>
    <row r="151" spans="1:9" s="23" customFormat="1">
      <c r="A151" s="99" t="str">
        <f t="shared" si="8"/>
        <v>DESVIO DE ROTACliente 213</v>
      </c>
      <c r="B151" s="99" t="s">
        <v>133</v>
      </c>
      <c r="C151" s="99" t="s">
        <v>322</v>
      </c>
      <c r="D151" s="115">
        <v>13</v>
      </c>
      <c r="E151" s="99" t="s">
        <v>965</v>
      </c>
      <c r="F151" s="100">
        <v>0.03</v>
      </c>
      <c r="G151" s="101">
        <f>IF(OR(B151="FIXO",B151="XFIXO"),IF(F151="","ERRO",10*F151)*'[1]BD Campos'!$S$2,IF(F151="","ERRO",10*F151)*'[1]BD Campos'!$S$3)</f>
        <v>0.3</v>
      </c>
      <c r="H151" s="102">
        <v>0.05</v>
      </c>
      <c r="I151" s="103">
        <f t="shared" si="9"/>
        <v>-1.4999999999999999E-2</v>
      </c>
    </row>
    <row r="152" spans="1:9" s="23" customFormat="1">
      <c r="A152" s="99" t="str">
        <f t="shared" si="8"/>
        <v>DESVIO DE ROTACliente 214</v>
      </c>
      <c r="B152" s="99" t="s">
        <v>133</v>
      </c>
      <c r="C152" s="99" t="s">
        <v>322</v>
      </c>
      <c r="D152" s="115">
        <v>14</v>
      </c>
      <c r="E152" s="99" t="s">
        <v>966</v>
      </c>
      <c r="F152" s="100">
        <v>1.4999999999999999E-2</v>
      </c>
      <c r="G152" s="101">
        <f>IF(OR(B152="FIXO",B152="XFIXO"),IF(F152="","ERRO",10*F152)*'[1]BD Campos'!$S$2,IF(F152="","ERRO",10*F152)*'[1]BD Campos'!$S$3)</f>
        <v>0.15</v>
      </c>
      <c r="H152" s="102">
        <v>0.05</v>
      </c>
      <c r="I152" s="103">
        <f t="shared" si="9"/>
        <v>-7.4999999999999997E-3</v>
      </c>
    </row>
    <row r="153" spans="1:9" s="23" customFormat="1">
      <c r="A153" s="99" t="str">
        <f t="shared" si="8"/>
        <v>DESVIO DE ROTACliente 215</v>
      </c>
      <c r="B153" s="99" t="s">
        <v>133</v>
      </c>
      <c r="C153" s="99" t="s">
        <v>322</v>
      </c>
      <c r="D153" s="115">
        <v>15</v>
      </c>
      <c r="E153" s="99" t="s">
        <v>967</v>
      </c>
      <c r="F153" s="100">
        <v>0.02</v>
      </c>
      <c r="G153" s="101">
        <f>IF(OR(B153="FIXO",B153="XFIXO"),IF(F153="","ERRO",10*F153)*'[1]BD Campos'!$S$2,IF(F153="","ERRO",10*F153)*'[1]BD Campos'!$S$3)</f>
        <v>0.2</v>
      </c>
      <c r="H153" s="102">
        <v>0.05</v>
      </c>
      <c r="I153" s="103">
        <f t="shared" si="9"/>
        <v>-1.0000000000000002E-2</v>
      </c>
    </row>
    <row r="154" spans="1:9" s="23" customFormat="1">
      <c r="A154" s="99" t="str">
        <f>B154&amp;C154&amp;D154</f>
        <v>DESVIO DE ROTACliente 216</v>
      </c>
      <c r="B154" s="99" t="s">
        <v>133</v>
      </c>
      <c r="C154" s="99" t="s">
        <v>322</v>
      </c>
      <c r="D154" s="115">
        <v>16</v>
      </c>
      <c r="E154" s="99" t="s">
        <v>968</v>
      </c>
      <c r="F154" s="100">
        <v>0.03</v>
      </c>
      <c r="G154" s="101">
        <f>IF(OR(B154="FIXO",B154="XFIXO"),IF(F154="","ERRO",10*F154)*'[1]BD Campos'!$S$2,IF(F154="","ERRO",10*F154)*'[1]BD Campos'!$S$3)</f>
        <v>0.3</v>
      </c>
      <c r="H154" s="102">
        <v>0.05</v>
      </c>
      <c r="I154" s="103">
        <f>H154*G154*-1</f>
        <v>-1.4999999999999999E-2</v>
      </c>
    </row>
    <row r="155" spans="1:9" s="23" customFormat="1">
      <c r="A155" s="104" t="str">
        <f t="shared" si="8"/>
        <v>DESVIO DE ROTACliente 217</v>
      </c>
      <c r="B155" s="104" t="s">
        <v>133</v>
      </c>
      <c r="C155" s="104" t="s">
        <v>322</v>
      </c>
      <c r="D155" s="116">
        <v>17</v>
      </c>
      <c r="E155" s="104" t="s">
        <v>969</v>
      </c>
      <c r="F155" s="105">
        <v>0.01</v>
      </c>
      <c r="G155" s="106">
        <f>IF(OR(B155="FIXO",B155="XFIXO"),IF(F155="","ERRO",10*F155)*'[1]BD Campos'!$S$2,IF(F155="","ERRO",10*F155)*'[1]BD Campos'!$S$3)</f>
        <v>0.1</v>
      </c>
      <c r="H155" s="107">
        <v>0.05</v>
      </c>
      <c r="I155" s="108">
        <f t="shared" si="9"/>
        <v>-5.000000000000001E-3</v>
      </c>
    </row>
    <row r="156" spans="1:9" s="23" customFormat="1">
      <c r="A156" s="99" t="str">
        <f t="shared" si="8"/>
        <v>PARADA INDEVIDACliente1</v>
      </c>
      <c r="B156" s="99" t="s">
        <v>130</v>
      </c>
      <c r="C156" s="99" t="s">
        <v>149</v>
      </c>
      <c r="D156" s="115">
        <v>1</v>
      </c>
      <c r="E156" s="99" t="s">
        <v>954</v>
      </c>
      <c r="F156" s="100">
        <v>0.01</v>
      </c>
      <c r="G156" s="101">
        <f>IF(OR(B156="FIXO",B156="XFIXO"),IF(F156="","ERRO",10*F156)*'[1]BD Campos'!$S$2,IF(F156="","ERRO",10*F156)*'[1]BD Campos'!$S$3)</f>
        <v>0.1</v>
      </c>
      <c r="H156" s="102">
        <v>0.05</v>
      </c>
      <c r="I156" s="103">
        <f t="shared" si="9"/>
        <v>-5.000000000000001E-3</v>
      </c>
    </row>
    <row r="157" spans="1:9" s="23" customFormat="1">
      <c r="A157" s="99" t="str">
        <f t="shared" si="8"/>
        <v>PARADA INDEVIDACliente2</v>
      </c>
      <c r="B157" s="99" t="s">
        <v>130</v>
      </c>
      <c r="C157" s="99" t="s">
        <v>149</v>
      </c>
      <c r="D157" s="115">
        <v>2</v>
      </c>
      <c r="E157" s="99" t="s">
        <v>955</v>
      </c>
      <c r="F157" s="100">
        <v>0.01</v>
      </c>
      <c r="G157" s="101">
        <f>IF(OR(B157="FIXO",B157="XFIXO"),IF(F157="","ERRO",10*F157)*'[1]BD Campos'!$S$2,IF(F157="","ERRO",10*F157)*'[1]BD Campos'!$S$3)</f>
        <v>0.1</v>
      </c>
      <c r="H157" s="102">
        <v>0.05</v>
      </c>
      <c r="I157" s="103">
        <f t="shared" si="9"/>
        <v>-5.000000000000001E-3</v>
      </c>
    </row>
    <row r="158" spans="1:9" s="23" customFormat="1">
      <c r="A158" s="99" t="str">
        <f t="shared" si="8"/>
        <v>PARADA INDEVIDACliente3</v>
      </c>
      <c r="B158" s="99" t="s">
        <v>130</v>
      </c>
      <c r="C158" s="99" t="s">
        <v>149</v>
      </c>
      <c r="D158" s="115">
        <v>3</v>
      </c>
      <c r="E158" s="99" t="s">
        <v>956</v>
      </c>
      <c r="F158" s="100">
        <v>0.01</v>
      </c>
      <c r="G158" s="101">
        <f>IF(OR(B158="FIXO",B158="XFIXO"),IF(F158="","ERRO",10*F158)*'[1]BD Campos'!$S$2,IF(F158="","ERRO",10*F158)*'[1]BD Campos'!$S$3)</f>
        <v>0.1</v>
      </c>
      <c r="H158" s="102">
        <v>0.05</v>
      </c>
      <c r="I158" s="103">
        <f t="shared" si="9"/>
        <v>-5.000000000000001E-3</v>
      </c>
    </row>
    <row r="159" spans="1:9" s="23" customFormat="1">
      <c r="A159" s="99" t="str">
        <f t="shared" ref="A159:A222" si="10">B159&amp;C159&amp;D159</f>
        <v>PARADA INDEVIDACliente4</v>
      </c>
      <c r="B159" s="99" t="s">
        <v>130</v>
      </c>
      <c r="C159" s="99" t="s">
        <v>149</v>
      </c>
      <c r="D159" s="115">
        <v>4</v>
      </c>
      <c r="E159" s="99" t="s">
        <v>982</v>
      </c>
      <c r="F159" s="100">
        <v>0.04</v>
      </c>
      <c r="G159" s="101">
        <f>IF(OR(B159="FIXO",B159="XFIXO"),IF(F159="","ERRO",10*F159)*'[1]BD Campos'!$S$2,IF(F159="","ERRO",10*F159)*'[1]BD Campos'!$S$3)</f>
        <v>0.4</v>
      </c>
      <c r="H159" s="102">
        <v>0.05</v>
      </c>
      <c r="I159" s="103">
        <f t="shared" ref="I159:I222" si="11">H159*G159*-1</f>
        <v>-2.0000000000000004E-2</v>
      </c>
    </row>
    <row r="160" spans="1:9" s="23" customFormat="1">
      <c r="A160" s="99" t="str">
        <f t="shared" si="10"/>
        <v>PARADA INDEVIDACliente5</v>
      </c>
      <c r="B160" s="99" t="s">
        <v>130</v>
      </c>
      <c r="C160" s="99" t="s">
        <v>149</v>
      </c>
      <c r="D160" s="115">
        <v>5</v>
      </c>
      <c r="E160" s="99" t="s">
        <v>958</v>
      </c>
      <c r="F160" s="100">
        <v>0.12</v>
      </c>
      <c r="G160" s="101">
        <f>IF(OR(B160="FIXO",B160="XFIXO"),IF(F160="","ERRO",10*F160)*'[1]BD Campos'!$S$2,IF(F160="","ERRO",10*F160)*'[1]BD Campos'!$S$3)</f>
        <v>1.2</v>
      </c>
      <c r="H160" s="102">
        <v>0.05</v>
      </c>
      <c r="I160" s="103">
        <f t="shared" si="11"/>
        <v>-0.06</v>
      </c>
    </row>
    <row r="161" spans="1:9" s="23" customFormat="1">
      <c r="A161" s="99" t="str">
        <f t="shared" si="10"/>
        <v>PARADA INDEVIDACliente6</v>
      </c>
      <c r="B161" s="99" t="s">
        <v>130</v>
      </c>
      <c r="C161" s="99" t="s">
        <v>149</v>
      </c>
      <c r="D161" s="115">
        <v>6</v>
      </c>
      <c r="E161" s="99" t="s">
        <v>983</v>
      </c>
      <c r="F161" s="100">
        <v>0.115</v>
      </c>
      <c r="G161" s="101">
        <f>IF(OR(B161="FIXO",B161="XFIXO"),IF(F161="","ERRO",10*F161)*'[1]BD Campos'!$S$2,IF(F161="","ERRO",10*F161)*'[1]BD Campos'!$S$3)</f>
        <v>1.1500000000000001</v>
      </c>
      <c r="H161" s="102">
        <v>0.05</v>
      </c>
      <c r="I161" s="103">
        <f t="shared" si="11"/>
        <v>-5.7500000000000009E-2</v>
      </c>
    </row>
    <row r="162" spans="1:9" s="23" customFormat="1">
      <c r="A162" s="99" t="str">
        <f t="shared" si="10"/>
        <v>PARADA INDEVIDACliente7</v>
      </c>
      <c r="B162" s="99" t="s">
        <v>130</v>
      </c>
      <c r="C162" s="99" t="s">
        <v>149</v>
      </c>
      <c r="D162" s="115">
        <v>7</v>
      </c>
      <c r="E162" s="99" t="s">
        <v>989</v>
      </c>
      <c r="F162" s="100">
        <v>0.14000000000000001</v>
      </c>
      <c r="G162" s="101">
        <f>IF(OR(B162="FIXO",B162="XFIXO"),IF(F162="","ERRO",10*F162)*'[1]BD Campos'!$S$2,IF(F162="","ERRO",10*F162)*'[1]BD Campos'!$S$3)</f>
        <v>1.4000000000000001</v>
      </c>
      <c r="H162" s="102">
        <v>0.05</v>
      </c>
      <c r="I162" s="103">
        <f t="shared" si="11"/>
        <v>-7.0000000000000007E-2</v>
      </c>
    </row>
    <row r="163" spans="1:9" s="23" customFormat="1">
      <c r="A163" s="99" t="str">
        <f t="shared" si="10"/>
        <v>PARADA INDEVIDACliente8</v>
      </c>
      <c r="B163" s="99" t="s">
        <v>130</v>
      </c>
      <c r="C163" s="99" t="s">
        <v>149</v>
      </c>
      <c r="D163" s="115">
        <v>8</v>
      </c>
      <c r="E163" s="99" t="s">
        <v>990</v>
      </c>
      <c r="F163" s="100">
        <v>0.14000000000000001</v>
      </c>
      <c r="G163" s="101">
        <f>IF(OR(B163="FIXO",B163="XFIXO"),IF(F163="","ERRO",10*F163)*'[1]BD Campos'!$S$2,IF(F163="","ERRO",10*F163)*'[1]BD Campos'!$S$3)</f>
        <v>1.4000000000000001</v>
      </c>
      <c r="H163" s="102">
        <v>0.05</v>
      </c>
      <c r="I163" s="103">
        <f t="shared" si="11"/>
        <v>-7.0000000000000007E-2</v>
      </c>
    </row>
    <row r="164" spans="1:9" s="23" customFormat="1">
      <c r="A164" s="99" t="str">
        <f t="shared" si="10"/>
        <v>PARADA INDEVIDACliente9</v>
      </c>
      <c r="B164" s="99" t="s">
        <v>130</v>
      </c>
      <c r="C164" s="99" t="s">
        <v>149</v>
      </c>
      <c r="D164" s="115">
        <v>9</v>
      </c>
      <c r="E164" s="99" t="s">
        <v>991</v>
      </c>
      <c r="F164" s="100">
        <v>0.14000000000000001</v>
      </c>
      <c r="G164" s="101">
        <f>IF(OR(B164="FIXO",B164="XFIXO"),IF(F164="","ERRO",10*F164)*'[1]BD Campos'!$S$2,IF(F164="","ERRO",10*F164)*'[1]BD Campos'!$S$3)</f>
        <v>1.4000000000000001</v>
      </c>
      <c r="H164" s="102">
        <v>0.05</v>
      </c>
      <c r="I164" s="103">
        <f t="shared" si="11"/>
        <v>-7.0000000000000007E-2</v>
      </c>
    </row>
    <row r="165" spans="1:9" s="23" customFormat="1">
      <c r="A165" s="99" t="str">
        <f t="shared" si="10"/>
        <v>PARADA INDEVIDACliente10</v>
      </c>
      <c r="B165" s="99" t="s">
        <v>130</v>
      </c>
      <c r="C165" s="99" t="s">
        <v>149</v>
      </c>
      <c r="D165" s="115">
        <v>10</v>
      </c>
      <c r="E165" s="99" t="s">
        <v>992</v>
      </c>
      <c r="F165" s="100">
        <v>0.14000000000000001</v>
      </c>
      <c r="G165" s="101">
        <f>IF(OR(B165="FIXO",B165="XFIXO"),IF(F165="","ERRO",10*F165)*'[1]BD Campos'!$S$2,IF(F165="","ERRO",10*F165)*'[1]BD Campos'!$S$3)</f>
        <v>1.4000000000000001</v>
      </c>
      <c r="H165" s="102">
        <v>0.05</v>
      </c>
      <c r="I165" s="103">
        <f t="shared" si="11"/>
        <v>-7.0000000000000007E-2</v>
      </c>
    </row>
    <row r="166" spans="1:9" s="23" customFormat="1">
      <c r="A166" s="99" t="str">
        <f t="shared" si="10"/>
        <v>PARADA INDEVIDACliente11</v>
      </c>
      <c r="B166" s="99" t="s">
        <v>130</v>
      </c>
      <c r="C166" s="99" t="s">
        <v>149</v>
      </c>
      <c r="D166" s="115">
        <v>11</v>
      </c>
      <c r="E166" s="99" t="s">
        <v>964</v>
      </c>
      <c r="F166" s="100">
        <v>0.03</v>
      </c>
      <c r="G166" s="101">
        <f>IF(OR(B166="FIXO",B166="XFIXO"),IF(F166="","ERRO",10*F166)*'[1]BD Campos'!$S$2,IF(F166="","ERRO",10*F166)*'[1]BD Campos'!$S$3)</f>
        <v>0.3</v>
      </c>
      <c r="H166" s="102">
        <v>0.05</v>
      </c>
      <c r="I166" s="103">
        <f t="shared" si="11"/>
        <v>-1.4999999999999999E-2</v>
      </c>
    </row>
    <row r="167" spans="1:9" s="23" customFormat="1">
      <c r="A167" s="99" t="str">
        <f t="shared" si="10"/>
        <v>PARADA INDEVIDACliente12</v>
      </c>
      <c r="B167" s="99" t="s">
        <v>130</v>
      </c>
      <c r="C167" s="99" t="s">
        <v>149</v>
      </c>
      <c r="D167" s="115">
        <v>12</v>
      </c>
      <c r="E167" s="99" t="s">
        <v>965</v>
      </c>
      <c r="F167" s="100">
        <v>0.03</v>
      </c>
      <c r="G167" s="101">
        <f>IF(OR(B167="FIXO",B167="XFIXO"),IF(F167="","ERRO",10*F167)*'[1]BD Campos'!$S$2,IF(F167="","ERRO",10*F167)*'[1]BD Campos'!$S$3)</f>
        <v>0.3</v>
      </c>
      <c r="H167" s="102">
        <v>0.05</v>
      </c>
      <c r="I167" s="103">
        <f t="shared" si="11"/>
        <v>-1.4999999999999999E-2</v>
      </c>
    </row>
    <row r="168" spans="1:9" s="23" customFormat="1">
      <c r="A168" s="99" t="str">
        <f t="shared" si="10"/>
        <v>PARADA INDEVIDACliente13</v>
      </c>
      <c r="B168" s="99" t="s">
        <v>130</v>
      </c>
      <c r="C168" s="99" t="s">
        <v>149</v>
      </c>
      <c r="D168" s="115">
        <v>13</v>
      </c>
      <c r="E168" s="99" t="s">
        <v>966</v>
      </c>
      <c r="F168" s="100">
        <v>1.4999999999999999E-2</v>
      </c>
      <c r="G168" s="101">
        <f>IF(OR(B168="FIXO",B168="XFIXO"),IF(F168="","ERRO",10*F168)*'[1]BD Campos'!$S$2,IF(F168="","ERRO",10*F168)*'[1]BD Campos'!$S$3)</f>
        <v>0.15</v>
      </c>
      <c r="H168" s="102">
        <v>0.05</v>
      </c>
      <c r="I168" s="103">
        <f t="shared" si="11"/>
        <v>-7.4999999999999997E-3</v>
      </c>
    </row>
    <row r="169" spans="1:9" s="23" customFormat="1">
      <c r="A169" s="99" t="str">
        <f t="shared" si="10"/>
        <v>PARADA INDEVIDACliente14</v>
      </c>
      <c r="B169" s="99" t="s">
        <v>130</v>
      </c>
      <c r="C169" s="99" t="s">
        <v>149</v>
      </c>
      <c r="D169" s="115">
        <v>14</v>
      </c>
      <c r="E169" s="99" t="s">
        <v>967</v>
      </c>
      <c r="F169" s="100">
        <v>0.02</v>
      </c>
      <c r="G169" s="101">
        <f>IF(OR(B169="FIXO",B169="XFIXO"),IF(F169="","ERRO",10*F169)*'[1]BD Campos'!$S$2,IF(F169="","ERRO",10*F169)*'[1]BD Campos'!$S$3)</f>
        <v>0.2</v>
      </c>
      <c r="H169" s="102">
        <v>0.05</v>
      </c>
      <c r="I169" s="103">
        <f t="shared" si="11"/>
        <v>-1.0000000000000002E-2</v>
      </c>
    </row>
    <row r="170" spans="1:9" s="23" customFormat="1">
      <c r="A170" s="99" t="str">
        <f>B170&amp;C170&amp;D170</f>
        <v>PARADA INDEVIDACliente15</v>
      </c>
      <c r="B170" s="99" t="s">
        <v>130</v>
      </c>
      <c r="C170" s="99" t="s">
        <v>149</v>
      </c>
      <c r="D170" s="115">
        <v>15</v>
      </c>
      <c r="E170" s="99" t="s">
        <v>968</v>
      </c>
      <c r="F170" s="100">
        <v>0.03</v>
      </c>
      <c r="G170" s="101">
        <f>IF(OR(B170="FIXO",B170="XFIXO"),IF(F170="","ERRO",10*F170)*'[1]BD Campos'!$S$2,IF(F170="","ERRO",10*F170)*'[1]BD Campos'!$S$3)</f>
        <v>0.3</v>
      </c>
      <c r="H170" s="102">
        <v>0.05</v>
      </c>
      <c r="I170" s="103">
        <f>H170*G170*-1</f>
        <v>-1.4999999999999999E-2</v>
      </c>
    </row>
    <row r="171" spans="1:9" s="23" customFormat="1">
      <c r="A171" s="104" t="str">
        <f t="shared" si="10"/>
        <v>PARADA INDEVIDACliente16</v>
      </c>
      <c r="B171" s="104" t="s">
        <v>130</v>
      </c>
      <c r="C171" s="104" t="s">
        <v>149</v>
      </c>
      <c r="D171" s="116">
        <v>16</v>
      </c>
      <c r="E171" s="104" t="s">
        <v>969</v>
      </c>
      <c r="F171" s="105">
        <v>0.01</v>
      </c>
      <c r="G171" s="106">
        <f>IF(OR(B171="FIXO",B171="XFIXO"),IF(F171="","ERRO",10*F171)*'[1]BD Campos'!$S$2,IF(F171="","ERRO",10*F171)*'[1]BD Campos'!$S$3)</f>
        <v>0.1</v>
      </c>
      <c r="H171" s="107">
        <v>0.05</v>
      </c>
      <c r="I171" s="108">
        <f t="shared" si="11"/>
        <v>-5.000000000000001E-3</v>
      </c>
    </row>
    <row r="172" spans="1:9" s="23" customFormat="1">
      <c r="A172" s="99" t="str">
        <f t="shared" si="10"/>
        <v>PARADA INDEVIDACliente 21</v>
      </c>
      <c r="B172" s="99" t="s">
        <v>130</v>
      </c>
      <c r="C172" s="99" t="s">
        <v>322</v>
      </c>
      <c r="D172" s="115">
        <v>1</v>
      </c>
      <c r="E172" s="99" t="s">
        <v>954</v>
      </c>
      <c r="F172" s="100">
        <v>0.01</v>
      </c>
      <c r="G172" s="101">
        <f>IF(OR(B172="FIXO",B172="XFIXO"),IF(F172="","ERRO",10*F172)*'[1]BD Campos'!$S$2,IF(F172="","ERRO",10*F172)*'[1]BD Campos'!$S$3)</f>
        <v>0.1</v>
      </c>
      <c r="H172" s="102">
        <v>0.05</v>
      </c>
      <c r="I172" s="103">
        <f t="shared" si="11"/>
        <v>-5.000000000000001E-3</v>
      </c>
    </row>
    <row r="173" spans="1:9" s="23" customFormat="1">
      <c r="A173" s="99" t="str">
        <f t="shared" si="10"/>
        <v>PARADA INDEVIDACliente 22</v>
      </c>
      <c r="B173" s="99" t="s">
        <v>130</v>
      </c>
      <c r="C173" s="99" t="s">
        <v>322</v>
      </c>
      <c r="D173" s="115">
        <v>2</v>
      </c>
      <c r="E173" s="99" t="s">
        <v>955</v>
      </c>
      <c r="F173" s="100">
        <v>0.01</v>
      </c>
      <c r="G173" s="101">
        <f>IF(OR(B173="FIXO",B173="XFIXO"),IF(F173="","ERRO",10*F173)*'[1]BD Campos'!$S$2,IF(F173="","ERRO",10*F173)*'[1]BD Campos'!$S$3)</f>
        <v>0.1</v>
      </c>
      <c r="H173" s="102">
        <v>0.05</v>
      </c>
      <c r="I173" s="103">
        <f t="shared" si="11"/>
        <v>-5.000000000000001E-3</v>
      </c>
    </row>
    <row r="174" spans="1:9" s="23" customFormat="1">
      <c r="A174" s="99" t="str">
        <f t="shared" si="10"/>
        <v>PARADA INDEVIDACliente 23</v>
      </c>
      <c r="B174" s="99" t="s">
        <v>130</v>
      </c>
      <c r="C174" s="99" t="s">
        <v>322</v>
      </c>
      <c r="D174" s="115">
        <v>3</v>
      </c>
      <c r="E174" s="99" t="s">
        <v>956</v>
      </c>
      <c r="F174" s="100">
        <v>0.01</v>
      </c>
      <c r="G174" s="101">
        <f>IF(OR(B174="FIXO",B174="XFIXO"),IF(F174="","ERRO",10*F174)*'[1]BD Campos'!$S$2,IF(F174="","ERRO",10*F174)*'[1]BD Campos'!$S$3)</f>
        <v>0.1</v>
      </c>
      <c r="H174" s="102">
        <v>0.05</v>
      </c>
      <c r="I174" s="103">
        <f t="shared" si="11"/>
        <v>-5.000000000000001E-3</v>
      </c>
    </row>
    <row r="175" spans="1:9" s="23" customFormat="1">
      <c r="A175" s="99" t="str">
        <f t="shared" si="10"/>
        <v>PARADA INDEVIDACliente 24</v>
      </c>
      <c r="B175" s="99" t="s">
        <v>130</v>
      </c>
      <c r="C175" s="99" t="s">
        <v>322</v>
      </c>
      <c r="D175" s="115">
        <v>4</v>
      </c>
      <c r="E175" s="99" t="s">
        <v>982</v>
      </c>
      <c r="F175" s="100">
        <v>0.04</v>
      </c>
      <c r="G175" s="101">
        <f>IF(OR(B175="FIXO",B175="XFIXO"),IF(F175="","ERRO",10*F175)*'[1]BD Campos'!$S$2,IF(F175="","ERRO",10*F175)*'[1]BD Campos'!$S$3)</f>
        <v>0.4</v>
      </c>
      <c r="H175" s="102">
        <v>0.05</v>
      </c>
      <c r="I175" s="103">
        <f t="shared" si="11"/>
        <v>-2.0000000000000004E-2</v>
      </c>
    </row>
    <row r="176" spans="1:9" s="23" customFormat="1">
      <c r="A176" s="99" t="str">
        <f t="shared" si="10"/>
        <v>PARADA INDEVIDACliente 25</v>
      </c>
      <c r="B176" s="99" t="s">
        <v>130</v>
      </c>
      <c r="C176" s="99" t="s">
        <v>322</v>
      </c>
      <c r="D176" s="115">
        <v>5</v>
      </c>
      <c r="E176" s="99" t="s">
        <v>958</v>
      </c>
      <c r="F176" s="100">
        <v>0.12</v>
      </c>
      <c r="G176" s="101">
        <f>IF(OR(B176="FIXO",B176="XFIXO"),IF(F176="","ERRO",10*F176)*'[1]BD Campos'!$S$2,IF(F176="","ERRO",10*F176)*'[1]BD Campos'!$S$3)</f>
        <v>1.2</v>
      </c>
      <c r="H176" s="102">
        <v>0.05</v>
      </c>
      <c r="I176" s="103">
        <f t="shared" si="11"/>
        <v>-0.06</v>
      </c>
    </row>
    <row r="177" spans="1:9" s="23" customFormat="1">
      <c r="A177" s="99" t="str">
        <f t="shared" si="10"/>
        <v>PARADA INDEVIDACliente 26</v>
      </c>
      <c r="B177" s="99" t="s">
        <v>130</v>
      </c>
      <c r="C177" s="99" t="s">
        <v>322</v>
      </c>
      <c r="D177" s="115">
        <v>6</v>
      </c>
      <c r="E177" s="99" t="s">
        <v>983</v>
      </c>
      <c r="F177" s="100">
        <v>0.115</v>
      </c>
      <c r="G177" s="101">
        <f>IF(OR(B177="FIXO",B177="XFIXO"),IF(F177="","ERRO",10*F177)*'[1]BD Campos'!$S$2,IF(F177="","ERRO",10*F177)*'[1]BD Campos'!$S$3)</f>
        <v>1.1500000000000001</v>
      </c>
      <c r="H177" s="102">
        <v>0.05</v>
      </c>
      <c r="I177" s="103">
        <f t="shared" si="11"/>
        <v>-5.7500000000000009E-2</v>
      </c>
    </row>
    <row r="178" spans="1:9" s="23" customFormat="1">
      <c r="A178" s="99" t="str">
        <f t="shared" si="10"/>
        <v>PARADA INDEVIDACliente 27</v>
      </c>
      <c r="B178" s="99" t="s">
        <v>130</v>
      </c>
      <c r="C178" s="99" t="s">
        <v>322</v>
      </c>
      <c r="D178" s="115">
        <v>7</v>
      </c>
      <c r="E178" s="99" t="s">
        <v>989</v>
      </c>
      <c r="F178" s="100">
        <v>0.14000000000000001</v>
      </c>
      <c r="G178" s="101">
        <f>IF(OR(B178="FIXO",B178="XFIXO"),IF(F178="","ERRO",10*F178)*'[1]BD Campos'!$S$2,IF(F178="","ERRO",10*F178)*'[1]BD Campos'!$S$3)</f>
        <v>1.4000000000000001</v>
      </c>
      <c r="H178" s="102">
        <v>0.05</v>
      </c>
      <c r="I178" s="103">
        <f t="shared" si="11"/>
        <v>-7.0000000000000007E-2</v>
      </c>
    </row>
    <row r="179" spans="1:9" s="23" customFormat="1">
      <c r="A179" s="99" t="str">
        <f t="shared" si="10"/>
        <v>PARADA INDEVIDACliente 28</v>
      </c>
      <c r="B179" s="99" t="s">
        <v>130</v>
      </c>
      <c r="C179" s="99" t="s">
        <v>322</v>
      </c>
      <c r="D179" s="115">
        <v>8</v>
      </c>
      <c r="E179" s="99" t="s">
        <v>990</v>
      </c>
      <c r="F179" s="100">
        <v>0.14000000000000001</v>
      </c>
      <c r="G179" s="101">
        <f>IF(OR(B179="FIXO",B179="XFIXO"),IF(F179="","ERRO",10*F179)*'[1]BD Campos'!$S$2,IF(F179="","ERRO",10*F179)*'[1]BD Campos'!$S$3)</f>
        <v>1.4000000000000001</v>
      </c>
      <c r="H179" s="102">
        <v>0.05</v>
      </c>
      <c r="I179" s="103">
        <f t="shared" si="11"/>
        <v>-7.0000000000000007E-2</v>
      </c>
    </row>
    <row r="180" spans="1:9" s="23" customFormat="1">
      <c r="A180" s="99" t="str">
        <f t="shared" si="10"/>
        <v>PARADA INDEVIDACliente 29</v>
      </c>
      <c r="B180" s="99" t="s">
        <v>130</v>
      </c>
      <c r="C180" s="99" t="s">
        <v>322</v>
      </c>
      <c r="D180" s="115">
        <v>9</v>
      </c>
      <c r="E180" s="99" t="s">
        <v>991</v>
      </c>
      <c r="F180" s="100">
        <v>0.14000000000000001</v>
      </c>
      <c r="G180" s="101">
        <f>IF(OR(B180="FIXO",B180="XFIXO"),IF(F180="","ERRO",10*F180)*'[1]BD Campos'!$S$2,IF(F180="","ERRO",10*F180)*'[1]BD Campos'!$S$3)</f>
        <v>1.4000000000000001</v>
      </c>
      <c r="H180" s="102">
        <v>0.05</v>
      </c>
      <c r="I180" s="103">
        <f t="shared" si="11"/>
        <v>-7.0000000000000007E-2</v>
      </c>
    </row>
    <row r="181" spans="1:9" s="23" customFormat="1">
      <c r="A181" s="99" t="str">
        <f t="shared" si="10"/>
        <v>PARADA INDEVIDACliente 210</v>
      </c>
      <c r="B181" s="99" t="s">
        <v>130</v>
      </c>
      <c r="C181" s="99" t="s">
        <v>322</v>
      </c>
      <c r="D181" s="115">
        <v>10</v>
      </c>
      <c r="E181" s="99" t="s">
        <v>992</v>
      </c>
      <c r="F181" s="100">
        <v>0.14000000000000001</v>
      </c>
      <c r="G181" s="101">
        <f>IF(OR(B181="FIXO",B181="XFIXO"),IF(F181="","ERRO",10*F181)*'[1]BD Campos'!$S$2,IF(F181="","ERRO",10*F181)*'[1]BD Campos'!$S$3)</f>
        <v>1.4000000000000001</v>
      </c>
      <c r="H181" s="102">
        <v>0.05</v>
      </c>
      <c r="I181" s="103">
        <f t="shared" si="11"/>
        <v>-7.0000000000000007E-2</v>
      </c>
    </row>
    <row r="182" spans="1:9" s="23" customFormat="1">
      <c r="A182" s="99" t="str">
        <f t="shared" si="10"/>
        <v>PARADA INDEVIDACliente 211</v>
      </c>
      <c r="B182" s="99" t="s">
        <v>130</v>
      </c>
      <c r="C182" s="99" t="s">
        <v>322</v>
      </c>
      <c r="D182" s="115">
        <v>11</v>
      </c>
      <c r="E182" s="99" t="s">
        <v>964</v>
      </c>
      <c r="F182" s="100">
        <v>0.03</v>
      </c>
      <c r="G182" s="101">
        <f>IF(OR(B182="FIXO",B182="XFIXO"),IF(F182="","ERRO",10*F182)*'[1]BD Campos'!$S$2,IF(F182="","ERRO",10*F182)*'[1]BD Campos'!$S$3)</f>
        <v>0.3</v>
      </c>
      <c r="H182" s="102">
        <v>0.05</v>
      </c>
      <c r="I182" s="103">
        <f t="shared" si="11"/>
        <v>-1.4999999999999999E-2</v>
      </c>
    </row>
    <row r="183" spans="1:9" s="23" customFormat="1">
      <c r="A183" s="99" t="str">
        <f t="shared" si="10"/>
        <v>PARADA INDEVIDACliente 212</v>
      </c>
      <c r="B183" s="99" t="s">
        <v>130</v>
      </c>
      <c r="C183" s="99" t="s">
        <v>322</v>
      </c>
      <c r="D183" s="115">
        <v>12</v>
      </c>
      <c r="E183" s="99" t="s">
        <v>965</v>
      </c>
      <c r="F183" s="100">
        <v>0.03</v>
      </c>
      <c r="G183" s="101">
        <f>IF(OR(B183="FIXO",B183="XFIXO"),IF(F183="","ERRO",10*F183)*'[1]BD Campos'!$S$2,IF(F183="","ERRO",10*F183)*'[1]BD Campos'!$S$3)</f>
        <v>0.3</v>
      </c>
      <c r="H183" s="102">
        <v>0.05</v>
      </c>
      <c r="I183" s="103">
        <f t="shared" si="11"/>
        <v>-1.4999999999999999E-2</v>
      </c>
    </row>
    <row r="184" spans="1:9" s="23" customFormat="1">
      <c r="A184" s="99" t="str">
        <f t="shared" si="10"/>
        <v>PARADA INDEVIDACliente 213</v>
      </c>
      <c r="B184" s="99" t="s">
        <v>130</v>
      </c>
      <c r="C184" s="99" t="s">
        <v>322</v>
      </c>
      <c r="D184" s="115">
        <v>13</v>
      </c>
      <c r="E184" s="99" t="s">
        <v>966</v>
      </c>
      <c r="F184" s="100">
        <v>1.4999999999999999E-2</v>
      </c>
      <c r="G184" s="101">
        <f>IF(OR(B184="FIXO",B184="XFIXO"),IF(F184="","ERRO",10*F184)*'[1]BD Campos'!$S$2,IF(F184="","ERRO",10*F184)*'[1]BD Campos'!$S$3)</f>
        <v>0.15</v>
      </c>
      <c r="H184" s="102">
        <v>0.05</v>
      </c>
      <c r="I184" s="103">
        <f t="shared" si="11"/>
        <v>-7.4999999999999997E-3</v>
      </c>
    </row>
    <row r="185" spans="1:9" s="23" customFormat="1">
      <c r="A185" s="99" t="str">
        <f t="shared" si="10"/>
        <v>PARADA INDEVIDACliente 214</v>
      </c>
      <c r="B185" s="99" t="s">
        <v>130</v>
      </c>
      <c r="C185" s="99" t="s">
        <v>322</v>
      </c>
      <c r="D185" s="115">
        <v>14</v>
      </c>
      <c r="E185" s="99" t="s">
        <v>967</v>
      </c>
      <c r="F185" s="100">
        <v>0.02</v>
      </c>
      <c r="G185" s="101">
        <f>IF(OR(B185="FIXO",B185="XFIXO"),IF(F185="","ERRO",10*F185)*'[1]BD Campos'!$S$2,IF(F185="","ERRO",10*F185)*'[1]BD Campos'!$S$3)</f>
        <v>0.2</v>
      </c>
      <c r="H185" s="102">
        <v>0.05</v>
      </c>
      <c r="I185" s="103">
        <f t="shared" si="11"/>
        <v>-1.0000000000000002E-2</v>
      </c>
    </row>
    <row r="186" spans="1:9" s="23" customFormat="1">
      <c r="A186" s="99" t="str">
        <f>B186&amp;C186&amp;D186</f>
        <v>PARADA INDEVIDACliente 215</v>
      </c>
      <c r="B186" s="99" t="s">
        <v>130</v>
      </c>
      <c r="C186" s="99" t="s">
        <v>322</v>
      </c>
      <c r="D186" s="115">
        <v>15</v>
      </c>
      <c r="E186" s="99" t="s">
        <v>968</v>
      </c>
      <c r="F186" s="100">
        <v>0.03</v>
      </c>
      <c r="G186" s="101">
        <f>IF(OR(B186="FIXO",B186="XFIXO"),IF(F186="","ERRO",10*F186)*'[1]BD Campos'!$S$2,IF(F186="","ERRO",10*F186)*'[1]BD Campos'!$S$3)</f>
        <v>0.3</v>
      </c>
      <c r="H186" s="102">
        <v>0.05</v>
      </c>
      <c r="I186" s="103">
        <f>H186*G186*-1</f>
        <v>-1.4999999999999999E-2</v>
      </c>
    </row>
    <row r="187" spans="1:9" s="23" customFormat="1">
      <c r="A187" s="104" t="str">
        <f t="shared" si="10"/>
        <v>PARADA INDEVIDACliente 216</v>
      </c>
      <c r="B187" s="104" t="s">
        <v>130</v>
      </c>
      <c r="C187" s="104" t="s">
        <v>322</v>
      </c>
      <c r="D187" s="116">
        <v>16</v>
      </c>
      <c r="E187" s="104" t="s">
        <v>969</v>
      </c>
      <c r="F187" s="105">
        <v>0.01</v>
      </c>
      <c r="G187" s="106">
        <f>IF(OR(B187="FIXO",B187="XFIXO"),IF(F187="","ERRO",10*F187)*'[1]BD Campos'!$S$2,IF(F187="","ERRO",10*F187)*'[1]BD Campos'!$S$3)</f>
        <v>0.1</v>
      </c>
      <c r="H187" s="107">
        <v>0.05</v>
      </c>
      <c r="I187" s="108">
        <f t="shared" si="11"/>
        <v>-5.000000000000001E-3</v>
      </c>
    </row>
    <row r="188" spans="1:9" s="23" customFormat="1">
      <c r="A188" s="99" t="str">
        <f t="shared" si="10"/>
        <v>POSIÇÃO EM ATRASOCliente1</v>
      </c>
      <c r="B188" s="99" t="s">
        <v>96</v>
      </c>
      <c r="C188" s="99" t="s">
        <v>149</v>
      </c>
      <c r="D188" s="115">
        <v>1</v>
      </c>
      <c r="E188" s="99" t="s">
        <v>954</v>
      </c>
      <c r="F188" s="100">
        <v>0.01</v>
      </c>
      <c r="G188" s="101">
        <f>IF(OR(B188="FIXO",B188="XFIXO"),IF(F188="","ERRO",10*F188)*'[1]BD Campos'!$S$2,IF(F188="","ERRO",10*F188)*'[1]BD Campos'!$S$3)</f>
        <v>0.1</v>
      </c>
      <c r="H188" s="102">
        <v>0.05</v>
      </c>
      <c r="I188" s="103">
        <f t="shared" si="11"/>
        <v>-5.000000000000001E-3</v>
      </c>
    </row>
    <row r="189" spans="1:9" s="23" customFormat="1">
      <c r="A189" s="99" t="str">
        <f t="shared" si="10"/>
        <v>POSIÇÃO EM ATRASOCliente2</v>
      </c>
      <c r="B189" s="99" t="s">
        <v>96</v>
      </c>
      <c r="C189" s="99" t="s">
        <v>149</v>
      </c>
      <c r="D189" s="115">
        <v>2</v>
      </c>
      <c r="E189" s="99" t="s">
        <v>955</v>
      </c>
      <c r="F189" s="100">
        <v>0.01</v>
      </c>
      <c r="G189" s="101">
        <f>IF(OR(B189="FIXO",B189="XFIXO"),IF(F189="","ERRO",10*F189)*'[1]BD Campos'!$S$2,IF(F189="","ERRO",10*F189)*'[1]BD Campos'!$S$3)</f>
        <v>0.1</v>
      </c>
      <c r="H189" s="102">
        <v>0.05</v>
      </c>
      <c r="I189" s="103">
        <f t="shared" si="11"/>
        <v>-5.000000000000001E-3</v>
      </c>
    </row>
    <row r="190" spans="1:9" s="23" customFormat="1">
      <c r="A190" s="99" t="str">
        <f t="shared" si="10"/>
        <v>POSIÇÃO EM ATRASOCliente3</v>
      </c>
      <c r="B190" s="99" t="s">
        <v>96</v>
      </c>
      <c r="C190" s="99" t="s">
        <v>149</v>
      </c>
      <c r="D190" s="115">
        <v>3</v>
      </c>
      <c r="E190" s="99" t="s">
        <v>956</v>
      </c>
      <c r="F190" s="100">
        <v>0.01</v>
      </c>
      <c r="G190" s="101">
        <f>IF(OR(B190="FIXO",B190="XFIXO"),IF(F190="","ERRO",10*F190)*'[1]BD Campos'!$S$2,IF(F190="","ERRO",10*F190)*'[1]BD Campos'!$S$3)</f>
        <v>0.1</v>
      </c>
      <c r="H190" s="102">
        <v>0.05</v>
      </c>
      <c r="I190" s="103">
        <f t="shared" si="11"/>
        <v>-5.000000000000001E-3</v>
      </c>
    </row>
    <row r="191" spans="1:9" s="23" customFormat="1">
      <c r="A191" s="99" t="str">
        <f t="shared" si="10"/>
        <v>POSIÇÃO EM ATRASOCliente4</v>
      </c>
      <c r="B191" s="99" t="s">
        <v>96</v>
      </c>
      <c r="C191" s="99" t="s">
        <v>149</v>
      </c>
      <c r="D191" s="115">
        <v>4</v>
      </c>
      <c r="E191" s="99" t="s">
        <v>982</v>
      </c>
      <c r="F191" s="100">
        <v>0.04</v>
      </c>
      <c r="G191" s="101">
        <f>IF(OR(B191="FIXO",B191="XFIXO"),IF(F191="","ERRO",10*F191)*'[1]BD Campos'!$S$2,IF(F191="","ERRO",10*F191)*'[1]BD Campos'!$S$3)</f>
        <v>0.4</v>
      </c>
      <c r="H191" s="102">
        <v>0.05</v>
      </c>
      <c r="I191" s="103">
        <f t="shared" si="11"/>
        <v>-2.0000000000000004E-2</v>
      </c>
    </row>
    <row r="192" spans="1:9" s="23" customFormat="1">
      <c r="A192" s="99" t="str">
        <f t="shared" si="10"/>
        <v>POSIÇÃO EM ATRASOCliente5</v>
      </c>
      <c r="B192" s="99" t="s">
        <v>96</v>
      </c>
      <c r="C192" s="99" t="s">
        <v>149</v>
      </c>
      <c r="D192" s="115">
        <v>5</v>
      </c>
      <c r="E192" s="99" t="s">
        <v>958</v>
      </c>
      <c r="F192" s="100">
        <v>0.12</v>
      </c>
      <c r="G192" s="101">
        <f>IF(OR(B192="FIXO",B192="XFIXO"),IF(F192="","ERRO",10*F192)*'[1]BD Campos'!$S$2,IF(F192="","ERRO",10*F192)*'[1]BD Campos'!$S$3)</f>
        <v>1.2</v>
      </c>
      <c r="H192" s="102">
        <v>0.05</v>
      </c>
      <c r="I192" s="103">
        <f t="shared" si="11"/>
        <v>-0.06</v>
      </c>
    </row>
    <row r="193" spans="1:9" s="23" customFormat="1">
      <c r="A193" s="99" t="str">
        <f t="shared" si="10"/>
        <v>POSIÇÃO EM ATRASOCliente6</v>
      </c>
      <c r="B193" s="99" t="s">
        <v>96</v>
      </c>
      <c r="C193" s="99" t="s">
        <v>149</v>
      </c>
      <c r="D193" s="115">
        <v>6</v>
      </c>
      <c r="E193" s="99" t="s">
        <v>983</v>
      </c>
      <c r="F193" s="100">
        <v>0.115</v>
      </c>
      <c r="G193" s="101">
        <f>IF(OR(B193="FIXO",B193="XFIXO"),IF(F193="","ERRO",10*F193)*'[1]BD Campos'!$S$2,IF(F193="","ERRO",10*F193)*'[1]BD Campos'!$S$3)</f>
        <v>1.1500000000000001</v>
      </c>
      <c r="H193" s="102">
        <v>0.05</v>
      </c>
      <c r="I193" s="103">
        <f t="shared" si="11"/>
        <v>-5.7500000000000009E-2</v>
      </c>
    </row>
    <row r="194" spans="1:9" s="23" customFormat="1">
      <c r="A194" s="99" t="str">
        <f t="shared" si="10"/>
        <v>POSIÇÃO EM ATRASOCliente7</v>
      </c>
      <c r="B194" s="99" t="s">
        <v>96</v>
      </c>
      <c r="C194" s="99" t="s">
        <v>149</v>
      </c>
      <c r="D194" s="115">
        <v>7</v>
      </c>
      <c r="E194" s="99" t="s">
        <v>993</v>
      </c>
      <c r="F194" s="100">
        <v>0.11</v>
      </c>
      <c r="G194" s="101">
        <f>IF(OR(B194="FIXO",B194="XFIXO"),IF(F194="","ERRO",10*F194)*'[1]BD Campos'!$S$2,IF(F194="","ERRO",10*F194)*'[1]BD Campos'!$S$3)</f>
        <v>1.1000000000000001</v>
      </c>
      <c r="H194" s="102">
        <v>0.05</v>
      </c>
      <c r="I194" s="103">
        <f t="shared" si="11"/>
        <v>-5.5000000000000007E-2</v>
      </c>
    </row>
    <row r="195" spans="1:9" s="23" customFormat="1">
      <c r="A195" s="99" t="str">
        <f t="shared" si="10"/>
        <v>POSIÇÃO EM ATRASOCliente8</v>
      </c>
      <c r="B195" s="99" t="s">
        <v>96</v>
      </c>
      <c r="C195" s="99" t="s">
        <v>149</v>
      </c>
      <c r="D195" s="115">
        <v>8</v>
      </c>
      <c r="E195" s="99" t="s">
        <v>994</v>
      </c>
      <c r="F195" s="100">
        <v>0.11</v>
      </c>
      <c r="G195" s="101">
        <f>IF(OR(B195="FIXO",B195="XFIXO"),IF(F195="","ERRO",10*F195)*'[1]BD Campos'!$S$2,IF(F195="","ERRO",10*F195)*'[1]BD Campos'!$S$3)</f>
        <v>1.1000000000000001</v>
      </c>
      <c r="H195" s="102">
        <v>0.05</v>
      </c>
      <c r="I195" s="103">
        <f t="shared" si="11"/>
        <v>-5.5000000000000007E-2</v>
      </c>
    </row>
    <row r="196" spans="1:9" s="23" customFormat="1">
      <c r="A196" s="99" t="str">
        <f t="shared" si="10"/>
        <v>POSIÇÃO EM ATRASOCliente9</v>
      </c>
      <c r="B196" s="99" t="s">
        <v>96</v>
      </c>
      <c r="C196" s="99" t="s">
        <v>149</v>
      </c>
      <c r="D196" s="115">
        <v>9</v>
      </c>
      <c r="E196" s="99" t="s">
        <v>995</v>
      </c>
      <c r="F196" s="100">
        <v>0.11</v>
      </c>
      <c r="G196" s="101">
        <f>IF(OR(B196="FIXO",B196="XFIXO"),IF(F196="","ERRO",10*F196)*'[1]BD Campos'!$S$2,IF(F196="","ERRO",10*F196)*'[1]BD Campos'!$S$3)</f>
        <v>1.1000000000000001</v>
      </c>
      <c r="H196" s="102">
        <v>0.05</v>
      </c>
      <c r="I196" s="103">
        <f t="shared" si="11"/>
        <v>-5.5000000000000007E-2</v>
      </c>
    </row>
    <row r="197" spans="1:9" s="23" customFormat="1">
      <c r="A197" s="99" t="str">
        <f t="shared" si="10"/>
        <v>POSIÇÃO EM ATRASOCliente10</v>
      </c>
      <c r="B197" s="99" t="s">
        <v>96</v>
      </c>
      <c r="C197" s="99" t="s">
        <v>149</v>
      </c>
      <c r="D197" s="115">
        <v>10</v>
      </c>
      <c r="E197" s="99" t="s">
        <v>996</v>
      </c>
      <c r="F197" s="100">
        <v>0.11</v>
      </c>
      <c r="G197" s="101">
        <f>IF(OR(B197="FIXO",B197="XFIXO"),IF(F197="","ERRO",10*F197)*'[1]BD Campos'!$S$2,IF(F197="","ERRO",10*F197)*'[1]BD Campos'!$S$3)</f>
        <v>1.1000000000000001</v>
      </c>
      <c r="H197" s="102">
        <v>0.05</v>
      </c>
      <c r="I197" s="103">
        <f t="shared" si="11"/>
        <v>-5.5000000000000007E-2</v>
      </c>
    </row>
    <row r="198" spans="1:9" s="23" customFormat="1">
      <c r="A198" s="99" t="str">
        <f t="shared" si="10"/>
        <v>POSIÇÃO EM ATRASOCliente11</v>
      </c>
      <c r="B198" s="99" t="s">
        <v>96</v>
      </c>
      <c r="C198" s="99" t="s">
        <v>149</v>
      </c>
      <c r="D198" s="115">
        <v>11</v>
      </c>
      <c r="E198" s="99" t="s">
        <v>988</v>
      </c>
      <c r="F198" s="100">
        <v>0.12</v>
      </c>
      <c r="G198" s="101">
        <f>IF(OR(B198="FIXO",B198="XFIXO"),IF(F198="","ERRO",10*F198)*'[1]BD Campos'!$S$2,IF(F198="","ERRO",10*F198)*'[1]BD Campos'!$S$3)</f>
        <v>1.2</v>
      </c>
      <c r="H198" s="102">
        <v>0.05</v>
      </c>
      <c r="I198" s="103">
        <f t="shared" si="11"/>
        <v>-0.06</v>
      </c>
    </row>
    <row r="199" spans="1:9" s="23" customFormat="1">
      <c r="A199" s="99" t="str">
        <f t="shared" si="10"/>
        <v>POSIÇÃO EM ATRASOCliente12</v>
      </c>
      <c r="B199" s="99" t="s">
        <v>96</v>
      </c>
      <c r="C199" s="99" t="s">
        <v>149</v>
      </c>
      <c r="D199" s="115">
        <v>12</v>
      </c>
      <c r="E199" s="99" t="s">
        <v>964</v>
      </c>
      <c r="F199" s="100">
        <v>0.03</v>
      </c>
      <c r="G199" s="101">
        <f>IF(OR(B199="FIXO",B199="XFIXO"),IF(F199="","ERRO",10*F199)*'[1]BD Campos'!$S$2,IF(F199="","ERRO",10*F199)*'[1]BD Campos'!$S$3)</f>
        <v>0.3</v>
      </c>
      <c r="H199" s="102">
        <v>0.05</v>
      </c>
      <c r="I199" s="103">
        <f t="shared" si="11"/>
        <v>-1.4999999999999999E-2</v>
      </c>
    </row>
    <row r="200" spans="1:9" s="23" customFormat="1">
      <c r="A200" s="99" t="str">
        <f t="shared" si="10"/>
        <v>POSIÇÃO EM ATRASOCliente13</v>
      </c>
      <c r="B200" s="99" t="s">
        <v>96</v>
      </c>
      <c r="C200" s="99" t="s">
        <v>149</v>
      </c>
      <c r="D200" s="115">
        <v>13</v>
      </c>
      <c r="E200" s="99" t="s">
        <v>965</v>
      </c>
      <c r="F200" s="100">
        <v>0.03</v>
      </c>
      <c r="G200" s="101">
        <f>IF(OR(B200="FIXO",B200="XFIXO"),IF(F200="","ERRO",10*F200)*'[1]BD Campos'!$S$2,IF(F200="","ERRO",10*F200)*'[1]BD Campos'!$S$3)</f>
        <v>0.3</v>
      </c>
      <c r="H200" s="102">
        <v>0.05</v>
      </c>
      <c r="I200" s="103">
        <f t="shared" si="11"/>
        <v>-1.4999999999999999E-2</v>
      </c>
    </row>
    <row r="201" spans="1:9" s="23" customFormat="1">
      <c r="A201" s="99" t="str">
        <f t="shared" si="10"/>
        <v>POSIÇÃO EM ATRASOCliente14</v>
      </c>
      <c r="B201" s="99" t="s">
        <v>96</v>
      </c>
      <c r="C201" s="99" t="s">
        <v>149</v>
      </c>
      <c r="D201" s="115">
        <v>14</v>
      </c>
      <c r="E201" s="99" t="s">
        <v>966</v>
      </c>
      <c r="F201" s="100">
        <v>1.4999999999999999E-2</v>
      </c>
      <c r="G201" s="101">
        <f>IF(OR(B201="FIXO",B201="XFIXO"),IF(F201="","ERRO",10*F201)*'[1]BD Campos'!$S$2,IF(F201="","ERRO",10*F201)*'[1]BD Campos'!$S$3)</f>
        <v>0.15</v>
      </c>
      <c r="H201" s="102">
        <v>0.05</v>
      </c>
      <c r="I201" s="103">
        <f t="shared" si="11"/>
        <v>-7.4999999999999997E-3</v>
      </c>
    </row>
    <row r="202" spans="1:9" s="23" customFormat="1">
      <c r="A202" s="99" t="str">
        <f t="shared" si="10"/>
        <v>POSIÇÃO EM ATRASOCliente15</v>
      </c>
      <c r="B202" s="99" t="s">
        <v>96</v>
      </c>
      <c r="C202" s="99" t="s">
        <v>149</v>
      </c>
      <c r="D202" s="115">
        <v>15</v>
      </c>
      <c r="E202" s="99" t="s">
        <v>967</v>
      </c>
      <c r="F202" s="100">
        <v>0.02</v>
      </c>
      <c r="G202" s="101">
        <f>IF(OR(B202="FIXO",B202="XFIXO"),IF(F202="","ERRO",10*F202)*'[1]BD Campos'!$S$2,IF(F202="","ERRO",10*F202)*'[1]BD Campos'!$S$3)</f>
        <v>0.2</v>
      </c>
      <c r="H202" s="102">
        <v>0.05</v>
      </c>
      <c r="I202" s="103">
        <f t="shared" si="11"/>
        <v>-1.0000000000000002E-2</v>
      </c>
    </row>
    <row r="203" spans="1:9" s="23" customFormat="1">
      <c r="A203" s="99" t="str">
        <f t="shared" si="10"/>
        <v>POSIÇÃO EM ATRASOCliente16</v>
      </c>
      <c r="B203" s="99" t="s">
        <v>96</v>
      </c>
      <c r="C203" s="99" t="s">
        <v>149</v>
      </c>
      <c r="D203" s="115">
        <v>16</v>
      </c>
      <c r="E203" s="99" t="s">
        <v>968</v>
      </c>
      <c r="F203" s="100">
        <v>0.03</v>
      </c>
      <c r="G203" s="101">
        <f>IF(OR(B203="FIXO",B203="XFIXO"),IF(F203="","ERRO",10*F203)*'[1]BD Campos'!$S$2,IF(F203="","ERRO",10*F203)*'[1]BD Campos'!$S$3)</f>
        <v>0.3</v>
      </c>
      <c r="H203" s="102">
        <v>0.05</v>
      </c>
      <c r="I203" s="103">
        <f t="shared" si="11"/>
        <v>-1.4999999999999999E-2</v>
      </c>
    </row>
    <row r="204" spans="1:9" s="23" customFormat="1">
      <c r="A204" s="104" t="str">
        <f t="shared" si="10"/>
        <v>POSIÇÃO EM ATRASOCliente17</v>
      </c>
      <c r="B204" s="104" t="s">
        <v>96</v>
      </c>
      <c r="C204" s="104" t="s">
        <v>149</v>
      </c>
      <c r="D204" s="116">
        <v>17</v>
      </c>
      <c r="E204" s="104" t="s">
        <v>969</v>
      </c>
      <c r="F204" s="105">
        <v>0.01</v>
      </c>
      <c r="G204" s="106">
        <f>IF(OR(B204="FIXO",B204="XFIXO"),IF(F204="","ERRO",10*F204)*'[1]BD Campos'!$S$2,IF(F204="","ERRO",10*F204)*'[1]BD Campos'!$S$3)</f>
        <v>0.1</v>
      </c>
      <c r="H204" s="107">
        <v>0.05</v>
      </c>
      <c r="I204" s="108">
        <f t="shared" si="11"/>
        <v>-5.000000000000001E-3</v>
      </c>
    </row>
    <row r="205" spans="1:9" s="23" customFormat="1">
      <c r="A205" s="99" t="str">
        <f t="shared" si="10"/>
        <v>POSIÇÃO EM ATRASOCliente 21</v>
      </c>
      <c r="B205" s="99" t="s">
        <v>96</v>
      </c>
      <c r="C205" s="99" t="s">
        <v>322</v>
      </c>
      <c r="D205" s="115">
        <v>1</v>
      </c>
      <c r="E205" s="99" t="s">
        <v>954</v>
      </c>
      <c r="F205" s="100">
        <v>0.01</v>
      </c>
      <c r="G205" s="101">
        <f>IF(OR(B205="FIXO",B205="XFIXO"),IF(F205="","ERRO",10*F205)*'[1]BD Campos'!$S$2,IF(F205="","ERRO",10*F205)*'[1]BD Campos'!$S$3)</f>
        <v>0.1</v>
      </c>
      <c r="H205" s="102">
        <v>0.05</v>
      </c>
      <c r="I205" s="103">
        <f t="shared" si="11"/>
        <v>-5.000000000000001E-3</v>
      </c>
    </row>
    <row r="206" spans="1:9" s="23" customFormat="1">
      <c r="A206" s="99" t="str">
        <f t="shared" si="10"/>
        <v>POSIÇÃO EM ATRASOCliente 22</v>
      </c>
      <c r="B206" s="99" t="s">
        <v>96</v>
      </c>
      <c r="C206" s="99" t="s">
        <v>322</v>
      </c>
      <c r="D206" s="115">
        <v>2</v>
      </c>
      <c r="E206" s="99" t="s">
        <v>955</v>
      </c>
      <c r="F206" s="100">
        <v>0.01</v>
      </c>
      <c r="G206" s="101">
        <f>IF(OR(B206="FIXO",B206="XFIXO"),IF(F206="","ERRO",10*F206)*'[1]BD Campos'!$S$2,IF(F206="","ERRO",10*F206)*'[1]BD Campos'!$S$3)</f>
        <v>0.1</v>
      </c>
      <c r="H206" s="102">
        <v>0.05</v>
      </c>
      <c r="I206" s="103">
        <f t="shared" si="11"/>
        <v>-5.000000000000001E-3</v>
      </c>
    </row>
    <row r="207" spans="1:9" s="23" customFormat="1">
      <c r="A207" s="99" t="str">
        <f t="shared" si="10"/>
        <v>POSIÇÃO EM ATRASOCliente 23</v>
      </c>
      <c r="B207" s="99" t="s">
        <v>96</v>
      </c>
      <c r="C207" s="99" t="s">
        <v>322</v>
      </c>
      <c r="D207" s="115">
        <v>3</v>
      </c>
      <c r="E207" s="99" t="s">
        <v>956</v>
      </c>
      <c r="F207" s="100">
        <v>0.01</v>
      </c>
      <c r="G207" s="101">
        <f>IF(OR(B207="FIXO",B207="XFIXO"),IF(F207="","ERRO",10*F207)*'[1]BD Campos'!$S$2,IF(F207="","ERRO",10*F207)*'[1]BD Campos'!$S$3)</f>
        <v>0.1</v>
      </c>
      <c r="H207" s="102">
        <v>0.05</v>
      </c>
      <c r="I207" s="103">
        <f t="shared" si="11"/>
        <v>-5.000000000000001E-3</v>
      </c>
    </row>
    <row r="208" spans="1:9" s="23" customFormat="1">
      <c r="A208" s="99" t="str">
        <f t="shared" si="10"/>
        <v>POSIÇÃO EM ATRASOCliente 24</v>
      </c>
      <c r="B208" s="99" t="s">
        <v>96</v>
      </c>
      <c r="C208" s="99" t="s">
        <v>322</v>
      </c>
      <c r="D208" s="115">
        <v>4</v>
      </c>
      <c r="E208" s="99" t="s">
        <v>982</v>
      </c>
      <c r="F208" s="100">
        <v>0.04</v>
      </c>
      <c r="G208" s="101">
        <f>IF(OR(B208="FIXO",B208="XFIXO"),IF(F208="","ERRO",10*F208)*'[1]BD Campos'!$S$2,IF(F208="","ERRO",10*F208)*'[1]BD Campos'!$S$3)</f>
        <v>0.4</v>
      </c>
      <c r="H208" s="102">
        <v>0.05</v>
      </c>
      <c r="I208" s="103">
        <f t="shared" si="11"/>
        <v>-2.0000000000000004E-2</v>
      </c>
    </row>
    <row r="209" spans="1:9" s="23" customFormat="1">
      <c r="A209" s="99" t="str">
        <f t="shared" si="10"/>
        <v>POSIÇÃO EM ATRASOCliente 25</v>
      </c>
      <c r="B209" s="99" t="s">
        <v>96</v>
      </c>
      <c r="C209" s="99" t="s">
        <v>322</v>
      </c>
      <c r="D209" s="115">
        <v>5</v>
      </c>
      <c r="E209" s="99" t="s">
        <v>958</v>
      </c>
      <c r="F209" s="100">
        <v>0.12</v>
      </c>
      <c r="G209" s="101">
        <f>IF(OR(B209="FIXO",B209="XFIXO"),IF(F209="","ERRO",10*F209)*'[1]BD Campos'!$S$2,IF(F209="","ERRO",10*F209)*'[1]BD Campos'!$S$3)</f>
        <v>1.2</v>
      </c>
      <c r="H209" s="102">
        <v>0.05</v>
      </c>
      <c r="I209" s="103">
        <f t="shared" si="11"/>
        <v>-0.06</v>
      </c>
    </row>
    <row r="210" spans="1:9" s="23" customFormat="1">
      <c r="A210" s="99" t="str">
        <f t="shared" si="10"/>
        <v>POSIÇÃO EM ATRASOCliente 26</v>
      </c>
      <c r="B210" s="99" t="s">
        <v>96</v>
      </c>
      <c r="C210" s="99" t="s">
        <v>322</v>
      </c>
      <c r="D210" s="115">
        <v>6</v>
      </c>
      <c r="E210" s="99" t="s">
        <v>983</v>
      </c>
      <c r="F210" s="100">
        <v>0.115</v>
      </c>
      <c r="G210" s="101">
        <f>IF(OR(B210="FIXO",B210="XFIXO"),IF(F210="","ERRO",10*F210)*'[1]BD Campos'!$S$2,IF(F210="","ERRO",10*F210)*'[1]BD Campos'!$S$3)</f>
        <v>1.1500000000000001</v>
      </c>
      <c r="H210" s="102">
        <v>0.05</v>
      </c>
      <c r="I210" s="103">
        <f t="shared" si="11"/>
        <v>-5.7500000000000009E-2</v>
      </c>
    </row>
    <row r="211" spans="1:9" s="23" customFormat="1">
      <c r="A211" s="99" t="str">
        <f t="shared" si="10"/>
        <v>POSIÇÃO EM ATRASOCliente 27</v>
      </c>
      <c r="B211" s="99" t="s">
        <v>96</v>
      </c>
      <c r="C211" s="99" t="s">
        <v>322</v>
      </c>
      <c r="D211" s="115">
        <v>7</v>
      </c>
      <c r="E211" s="99" t="s">
        <v>993</v>
      </c>
      <c r="F211" s="100">
        <v>0.11</v>
      </c>
      <c r="G211" s="101">
        <f>IF(OR(B211="FIXO",B211="XFIXO"),IF(F211="","ERRO",10*F211)*'[1]BD Campos'!$S$2,IF(F211="","ERRO",10*F211)*'[1]BD Campos'!$S$3)</f>
        <v>1.1000000000000001</v>
      </c>
      <c r="H211" s="102">
        <v>0.05</v>
      </c>
      <c r="I211" s="103">
        <f t="shared" si="11"/>
        <v>-5.5000000000000007E-2</v>
      </c>
    </row>
    <row r="212" spans="1:9" s="23" customFormat="1">
      <c r="A212" s="99" t="str">
        <f t="shared" si="10"/>
        <v>POSIÇÃO EM ATRASOCliente 28</v>
      </c>
      <c r="B212" s="99" t="s">
        <v>96</v>
      </c>
      <c r="C212" s="99" t="s">
        <v>322</v>
      </c>
      <c r="D212" s="115">
        <v>8</v>
      </c>
      <c r="E212" s="99" t="s">
        <v>994</v>
      </c>
      <c r="F212" s="100">
        <v>0.11</v>
      </c>
      <c r="G212" s="101">
        <f>IF(OR(B212="FIXO",B212="XFIXO"),IF(F212="","ERRO",10*F212)*'[1]BD Campos'!$S$2,IF(F212="","ERRO",10*F212)*'[1]BD Campos'!$S$3)</f>
        <v>1.1000000000000001</v>
      </c>
      <c r="H212" s="102">
        <v>0.05</v>
      </c>
      <c r="I212" s="103">
        <f t="shared" si="11"/>
        <v>-5.5000000000000007E-2</v>
      </c>
    </row>
    <row r="213" spans="1:9" s="23" customFormat="1">
      <c r="A213" s="99" t="str">
        <f t="shared" si="10"/>
        <v>POSIÇÃO EM ATRASOCliente 29</v>
      </c>
      <c r="B213" s="99" t="s">
        <v>96</v>
      </c>
      <c r="C213" s="99" t="s">
        <v>322</v>
      </c>
      <c r="D213" s="115">
        <v>9</v>
      </c>
      <c r="E213" s="99" t="s">
        <v>995</v>
      </c>
      <c r="F213" s="100">
        <v>0.11</v>
      </c>
      <c r="G213" s="101">
        <f>IF(OR(B213="FIXO",B213="XFIXO"),IF(F213="","ERRO",10*F213)*'[1]BD Campos'!$S$2,IF(F213="","ERRO",10*F213)*'[1]BD Campos'!$S$3)</f>
        <v>1.1000000000000001</v>
      </c>
      <c r="H213" s="102">
        <v>0.05</v>
      </c>
      <c r="I213" s="103">
        <f t="shared" si="11"/>
        <v>-5.5000000000000007E-2</v>
      </c>
    </row>
    <row r="214" spans="1:9" s="23" customFormat="1">
      <c r="A214" s="99" t="str">
        <f t="shared" si="10"/>
        <v>POSIÇÃO EM ATRASOCliente 210</v>
      </c>
      <c r="B214" s="99" t="s">
        <v>96</v>
      </c>
      <c r="C214" s="99" t="s">
        <v>322</v>
      </c>
      <c r="D214" s="115">
        <v>10</v>
      </c>
      <c r="E214" s="99" t="s">
        <v>996</v>
      </c>
      <c r="F214" s="100">
        <v>0.11</v>
      </c>
      <c r="G214" s="101">
        <f>IF(OR(B214="FIXO",B214="XFIXO"),IF(F214="","ERRO",10*F214)*'[1]BD Campos'!$S$2,IF(F214="","ERRO",10*F214)*'[1]BD Campos'!$S$3)</f>
        <v>1.1000000000000001</v>
      </c>
      <c r="H214" s="102">
        <v>0.05</v>
      </c>
      <c r="I214" s="103">
        <f t="shared" si="11"/>
        <v>-5.5000000000000007E-2</v>
      </c>
    </row>
    <row r="215" spans="1:9" s="23" customFormat="1">
      <c r="A215" s="99" t="str">
        <f t="shared" si="10"/>
        <v>POSIÇÃO EM ATRASOCliente 211</v>
      </c>
      <c r="B215" s="99" t="s">
        <v>96</v>
      </c>
      <c r="C215" s="99" t="s">
        <v>322</v>
      </c>
      <c r="D215" s="115">
        <v>11</v>
      </c>
      <c r="E215" s="99" t="s">
        <v>988</v>
      </c>
      <c r="F215" s="100">
        <v>0.12</v>
      </c>
      <c r="G215" s="101">
        <f>IF(OR(B215="FIXO",B215="XFIXO"),IF(F215="","ERRO",10*F215)*'[1]BD Campos'!$S$2,IF(F215="","ERRO",10*F215)*'[1]BD Campos'!$S$3)</f>
        <v>1.2</v>
      </c>
      <c r="H215" s="102">
        <v>0.05</v>
      </c>
      <c r="I215" s="103">
        <f t="shared" si="11"/>
        <v>-0.06</v>
      </c>
    </row>
    <row r="216" spans="1:9" s="23" customFormat="1">
      <c r="A216" s="99" t="str">
        <f t="shared" si="10"/>
        <v>POSIÇÃO EM ATRASOCliente 212</v>
      </c>
      <c r="B216" s="99" t="s">
        <v>96</v>
      </c>
      <c r="C216" s="99" t="s">
        <v>322</v>
      </c>
      <c r="D216" s="115">
        <v>12</v>
      </c>
      <c r="E216" s="99" t="s">
        <v>964</v>
      </c>
      <c r="F216" s="100">
        <v>0.03</v>
      </c>
      <c r="G216" s="101">
        <f>IF(OR(B216="FIXO",B216="XFIXO"),IF(F216="","ERRO",10*F216)*'[1]BD Campos'!$S$2,IF(F216="","ERRO",10*F216)*'[1]BD Campos'!$S$3)</f>
        <v>0.3</v>
      </c>
      <c r="H216" s="102">
        <v>0.05</v>
      </c>
      <c r="I216" s="103">
        <f t="shared" si="11"/>
        <v>-1.4999999999999999E-2</v>
      </c>
    </row>
    <row r="217" spans="1:9" s="23" customFormat="1">
      <c r="A217" s="99" t="str">
        <f t="shared" si="10"/>
        <v>POSIÇÃO EM ATRASOCliente 213</v>
      </c>
      <c r="B217" s="99" t="s">
        <v>96</v>
      </c>
      <c r="C217" s="99" t="s">
        <v>322</v>
      </c>
      <c r="D217" s="115">
        <v>13</v>
      </c>
      <c r="E217" s="99" t="s">
        <v>965</v>
      </c>
      <c r="F217" s="100">
        <v>0.03</v>
      </c>
      <c r="G217" s="101">
        <f>IF(OR(B217="FIXO",B217="XFIXO"),IF(F217="","ERRO",10*F217)*'[1]BD Campos'!$S$2,IF(F217="","ERRO",10*F217)*'[1]BD Campos'!$S$3)</f>
        <v>0.3</v>
      </c>
      <c r="H217" s="102">
        <v>0.05</v>
      </c>
      <c r="I217" s="103">
        <f t="shared" si="11"/>
        <v>-1.4999999999999999E-2</v>
      </c>
    </row>
    <row r="218" spans="1:9" s="23" customFormat="1">
      <c r="A218" s="99" t="str">
        <f t="shared" si="10"/>
        <v>POSIÇÃO EM ATRASOCliente 214</v>
      </c>
      <c r="B218" s="99" t="s">
        <v>96</v>
      </c>
      <c r="C218" s="99" t="s">
        <v>322</v>
      </c>
      <c r="D218" s="115">
        <v>14</v>
      </c>
      <c r="E218" s="99" t="s">
        <v>966</v>
      </c>
      <c r="F218" s="100">
        <v>1.4999999999999999E-2</v>
      </c>
      <c r="G218" s="101">
        <f>IF(OR(B218="FIXO",B218="XFIXO"),IF(F218="","ERRO",10*F218)*'[1]BD Campos'!$S$2,IF(F218="","ERRO",10*F218)*'[1]BD Campos'!$S$3)</f>
        <v>0.15</v>
      </c>
      <c r="H218" s="102">
        <v>0.05</v>
      </c>
      <c r="I218" s="103">
        <f t="shared" si="11"/>
        <v>-7.4999999999999997E-3</v>
      </c>
    </row>
    <row r="219" spans="1:9" s="23" customFormat="1">
      <c r="A219" s="99" t="str">
        <f t="shared" si="10"/>
        <v>POSIÇÃO EM ATRASOCliente 215</v>
      </c>
      <c r="B219" s="99" t="s">
        <v>96</v>
      </c>
      <c r="C219" s="99" t="s">
        <v>322</v>
      </c>
      <c r="D219" s="115">
        <v>15</v>
      </c>
      <c r="E219" s="99" t="s">
        <v>967</v>
      </c>
      <c r="F219" s="100">
        <v>0.02</v>
      </c>
      <c r="G219" s="101">
        <f>IF(OR(B219="FIXO",B219="XFIXO"),IF(F219="","ERRO",10*F219)*'[1]BD Campos'!$S$2,IF(F219="","ERRO",10*F219)*'[1]BD Campos'!$S$3)</f>
        <v>0.2</v>
      </c>
      <c r="H219" s="102">
        <v>0.05</v>
      </c>
      <c r="I219" s="103">
        <f t="shared" si="11"/>
        <v>-1.0000000000000002E-2</v>
      </c>
    </row>
    <row r="220" spans="1:9" s="23" customFormat="1">
      <c r="A220" s="99" t="str">
        <f t="shared" si="10"/>
        <v>POSIÇÃO EM ATRASOCliente 216</v>
      </c>
      <c r="B220" s="99" t="s">
        <v>96</v>
      </c>
      <c r="C220" s="99" t="s">
        <v>322</v>
      </c>
      <c r="D220" s="115">
        <v>16</v>
      </c>
      <c r="E220" s="99" t="s">
        <v>968</v>
      </c>
      <c r="F220" s="100">
        <v>0.03</v>
      </c>
      <c r="G220" s="101">
        <f>IF(OR(B220="FIXO",B220="XFIXO"),IF(F220="","ERRO",10*F220)*'[1]BD Campos'!$S$2,IF(F220="","ERRO",10*F220)*'[1]BD Campos'!$S$3)</f>
        <v>0.3</v>
      </c>
      <c r="H220" s="102">
        <v>0.05</v>
      </c>
      <c r="I220" s="103">
        <f t="shared" si="11"/>
        <v>-1.4999999999999999E-2</v>
      </c>
    </row>
    <row r="221" spans="1:9" s="23" customFormat="1">
      <c r="A221" s="104" t="str">
        <f t="shared" si="10"/>
        <v>POSIÇÃO EM ATRASOCliente 217</v>
      </c>
      <c r="B221" s="104" t="s">
        <v>96</v>
      </c>
      <c r="C221" s="104" t="s">
        <v>322</v>
      </c>
      <c r="D221" s="116">
        <v>17</v>
      </c>
      <c r="E221" s="104" t="s">
        <v>969</v>
      </c>
      <c r="F221" s="105">
        <v>0.01</v>
      </c>
      <c r="G221" s="106">
        <f>IF(OR(B221="FIXO",B221="XFIXO"),IF(F221="","ERRO",10*F221)*'[1]BD Campos'!$S$2,IF(F221="","ERRO",10*F221)*'[1]BD Campos'!$S$3)</f>
        <v>0.1</v>
      </c>
      <c r="H221" s="107">
        <v>0.05</v>
      </c>
      <c r="I221" s="108">
        <f t="shared" si="11"/>
        <v>-5.000000000000001E-3</v>
      </c>
    </row>
    <row r="222" spans="1:9" s="23" customFormat="1">
      <c r="A222" s="99" t="str">
        <f t="shared" si="10"/>
        <v>ALERTAS PRIORITÁRIOSCliente1</v>
      </c>
      <c r="B222" s="99" t="s">
        <v>92</v>
      </c>
      <c r="C222" s="99" t="s">
        <v>149</v>
      </c>
      <c r="D222" s="115">
        <v>1</v>
      </c>
      <c r="E222" s="99" t="s">
        <v>954</v>
      </c>
      <c r="F222" s="100">
        <v>0.01</v>
      </c>
      <c r="G222" s="101">
        <f>IF(OR(B222="FIXO",B222="XFIXO"),IF(F222="","ERRO",10*F222)*'[1]BD Campos'!$S$2,IF(F222="","ERRO",10*F222)*'[1]BD Campos'!$S$3)</f>
        <v>0.1</v>
      </c>
      <c r="H222" s="102">
        <v>0.05</v>
      </c>
      <c r="I222" s="103">
        <f t="shared" si="11"/>
        <v>-5.000000000000001E-3</v>
      </c>
    </row>
    <row r="223" spans="1:9" s="23" customFormat="1">
      <c r="A223" s="99" t="str">
        <f t="shared" ref="A223:A250" si="12">B223&amp;C223&amp;D223</f>
        <v>ALERTAS PRIORITÁRIOSCliente2</v>
      </c>
      <c r="B223" s="99" t="s">
        <v>92</v>
      </c>
      <c r="C223" s="99" t="s">
        <v>149</v>
      </c>
      <c r="D223" s="115">
        <v>2</v>
      </c>
      <c r="E223" s="99" t="s">
        <v>955</v>
      </c>
      <c r="F223" s="100">
        <v>0.01</v>
      </c>
      <c r="G223" s="101">
        <f>IF(OR(B223="FIXO",B223="XFIXO"),IF(F223="","ERRO",10*F223)*'[1]BD Campos'!$S$2,IF(F223="","ERRO",10*F223)*'[1]BD Campos'!$S$3)</f>
        <v>0.1</v>
      </c>
      <c r="H223" s="102">
        <v>0.05</v>
      </c>
      <c r="I223" s="103">
        <f t="shared" ref="I223:I250" si="13">H223*G223*-1</f>
        <v>-5.000000000000001E-3</v>
      </c>
    </row>
    <row r="224" spans="1:9" s="23" customFormat="1">
      <c r="A224" s="99" t="str">
        <f t="shared" si="12"/>
        <v>ALERTAS PRIORITÁRIOSCliente3</v>
      </c>
      <c r="B224" s="99" t="s">
        <v>92</v>
      </c>
      <c r="C224" s="99" t="s">
        <v>149</v>
      </c>
      <c r="D224" s="115">
        <v>3</v>
      </c>
      <c r="E224" s="99" t="s">
        <v>956</v>
      </c>
      <c r="F224" s="100">
        <v>0.01</v>
      </c>
      <c r="G224" s="101">
        <f>IF(OR(B224="FIXO",B224="XFIXO"),IF(F224="","ERRO",10*F224)*'[1]BD Campos'!$S$2,IF(F224="","ERRO",10*F224)*'[1]BD Campos'!$S$3)</f>
        <v>0.1</v>
      </c>
      <c r="H224" s="102">
        <v>0.05</v>
      </c>
      <c r="I224" s="103">
        <f t="shared" si="13"/>
        <v>-5.000000000000001E-3</v>
      </c>
    </row>
    <row r="225" spans="1:9" s="23" customFormat="1">
      <c r="A225" s="99" t="str">
        <f t="shared" si="12"/>
        <v>ALERTAS PRIORITÁRIOSCliente4</v>
      </c>
      <c r="B225" s="99" t="s">
        <v>92</v>
      </c>
      <c r="C225" s="99" t="s">
        <v>149</v>
      </c>
      <c r="D225" s="115">
        <v>4</v>
      </c>
      <c r="E225" s="99" t="s">
        <v>982</v>
      </c>
      <c r="F225" s="100">
        <v>0.04</v>
      </c>
      <c r="G225" s="101">
        <f>IF(OR(B225="FIXO",B225="XFIXO"),IF(F225="","ERRO",10*F225)*'[1]BD Campos'!$S$2,IF(F225="","ERRO",10*F225)*'[1]BD Campos'!$S$3)</f>
        <v>0.4</v>
      </c>
      <c r="H225" s="102">
        <v>0.05</v>
      </c>
      <c r="I225" s="103">
        <f t="shared" si="13"/>
        <v>-2.0000000000000004E-2</v>
      </c>
    </row>
    <row r="226" spans="1:9" s="23" customFormat="1">
      <c r="A226" s="99" t="str">
        <f t="shared" si="12"/>
        <v>ALERTAS PRIORITÁRIOSCliente5</v>
      </c>
      <c r="B226" s="99" t="s">
        <v>92</v>
      </c>
      <c r="C226" s="99" t="s">
        <v>149</v>
      </c>
      <c r="D226" s="115">
        <v>5</v>
      </c>
      <c r="E226" s="99" t="s">
        <v>958</v>
      </c>
      <c r="F226" s="100">
        <v>0.12</v>
      </c>
      <c r="G226" s="101">
        <f>IF(OR(B226="FIXO",B226="XFIXO"),IF(F226="","ERRO",10*F226)*'[1]BD Campos'!$S$2,IF(F226="","ERRO",10*F226)*'[1]BD Campos'!$S$3)</f>
        <v>1.2</v>
      </c>
      <c r="H226" s="102">
        <v>0.05</v>
      </c>
      <c r="I226" s="103">
        <f t="shared" si="13"/>
        <v>-0.06</v>
      </c>
    </row>
    <row r="227" spans="1:9" s="23" customFormat="1">
      <c r="A227" s="99" t="str">
        <f t="shared" si="12"/>
        <v>ALERTAS PRIORITÁRIOSCliente6</v>
      </c>
      <c r="B227" s="99" t="s">
        <v>92</v>
      </c>
      <c r="C227" s="99" t="s">
        <v>149</v>
      </c>
      <c r="D227" s="115">
        <v>6</v>
      </c>
      <c r="E227" s="99" t="s">
        <v>983</v>
      </c>
      <c r="F227" s="100">
        <v>0.115</v>
      </c>
      <c r="G227" s="101">
        <f>IF(OR(B227="FIXO",B227="XFIXO"),IF(F227="","ERRO",10*F227)*'[1]BD Campos'!$S$2,IF(F227="","ERRO",10*F227)*'[1]BD Campos'!$S$3)</f>
        <v>1.1500000000000001</v>
      </c>
      <c r="H227" s="102">
        <v>0.05</v>
      </c>
      <c r="I227" s="103">
        <f t="shared" si="13"/>
        <v>-5.7500000000000009E-2</v>
      </c>
    </row>
    <row r="228" spans="1:9" s="23" customFormat="1">
      <c r="A228" s="99" t="str">
        <f t="shared" si="12"/>
        <v>ALERTAS PRIORITÁRIOSCliente7</v>
      </c>
      <c r="B228" s="99" t="s">
        <v>92</v>
      </c>
      <c r="C228" s="99" t="s">
        <v>149</v>
      </c>
      <c r="D228" s="115">
        <v>7</v>
      </c>
      <c r="E228" s="99" t="s">
        <v>997</v>
      </c>
      <c r="F228" s="100">
        <v>0.18</v>
      </c>
      <c r="G228" s="101">
        <f>IF(OR(B228="FIXO",B228="XFIXO"),IF(F228="","ERRO",10*F228)*'[1]BD Campos'!$S$2,IF(F228="","ERRO",10*F228)*'[1]BD Campos'!$S$3)</f>
        <v>1.7999999999999998</v>
      </c>
      <c r="H228" s="102">
        <v>0.05</v>
      </c>
      <c r="I228" s="103">
        <f t="shared" si="13"/>
        <v>-0.09</v>
      </c>
    </row>
    <row r="229" spans="1:9" s="23" customFormat="1">
      <c r="A229" s="99" t="str">
        <f t="shared" si="12"/>
        <v>ALERTAS PRIORITÁRIOSCliente8</v>
      </c>
      <c r="B229" s="99" t="s">
        <v>92</v>
      </c>
      <c r="C229" s="99" t="s">
        <v>149</v>
      </c>
      <c r="D229" s="115">
        <v>8</v>
      </c>
      <c r="E229" s="99" t="s">
        <v>996</v>
      </c>
      <c r="F229" s="100">
        <v>0.18</v>
      </c>
      <c r="G229" s="101">
        <f>IF(OR(B229="FIXO",B229="XFIXO"),IF(F229="","ERRO",10*F229)*'[1]BD Campos'!$S$2,IF(F229="","ERRO",10*F229)*'[1]BD Campos'!$S$3)</f>
        <v>1.7999999999999998</v>
      </c>
      <c r="H229" s="102">
        <v>0.05</v>
      </c>
      <c r="I229" s="103">
        <f t="shared" si="13"/>
        <v>-0.09</v>
      </c>
    </row>
    <row r="230" spans="1:9" s="23" customFormat="1">
      <c r="A230" s="99" t="str">
        <f t="shared" si="12"/>
        <v>ALERTAS PRIORITÁRIOSCliente9</v>
      </c>
      <c r="B230" s="99" t="s">
        <v>92</v>
      </c>
      <c r="C230" s="99" t="s">
        <v>149</v>
      </c>
      <c r="D230" s="115">
        <v>9</v>
      </c>
      <c r="E230" s="99" t="s">
        <v>988</v>
      </c>
      <c r="F230" s="100">
        <v>0.2</v>
      </c>
      <c r="G230" s="101">
        <f>IF(OR(B230="FIXO",B230="XFIXO"),IF(F230="","ERRO",10*F230)*'[1]BD Campos'!$S$2,IF(F230="","ERRO",10*F230)*'[1]BD Campos'!$S$3)</f>
        <v>2</v>
      </c>
      <c r="H230" s="102">
        <v>0.05</v>
      </c>
      <c r="I230" s="103">
        <f t="shared" si="13"/>
        <v>-0.1</v>
      </c>
    </row>
    <row r="231" spans="1:9" s="23" customFormat="1">
      <c r="A231" s="99" t="str">
        <f t="shared" si="12"/>
        <v>ALERTAS PRIORITÁRIOSCliente10</v>
      </c>
      <c r="B231" s="99" t="s">
        <v>92</v>
      </c>
      <c r="C231" s="99" t="s">
        <v>149</v>
      </c>
      <c r="D231" s="115">
        <v>10</v>
      </c>
      <c r="E231" s="99" t="s">
        <v>964</v>
      </c>
      <c r="F231" s="100">
        <v>0.03</v>
      </c>
      <c r="G231" s="101">
        <f>IF(OR(B231="FIXO",B231="XFIXO"),IF(F231="","ERRO",10*F231)*'[1]BD Campos'!$S$2,IF(F231="","ERRO",10*F231)*'[1]BD Campos'!$S$3)</f>
        <v>0.3</v>
      </c>
      <c r="H231" s="102">
        <v>0.05</v>
      </c>
      <c r="I231" s="103">
        <f t="shared" si="13"/>
        <v>-1.4999999999999999E-2</v>
      </c>
    </row>
    <row r="232" spans="1:9" s="23" customFormat="1">
      <c r="A232" s="99" t="str">
        <f t="shared" si="12"/>
        <v>ALERTAS PRIORITÁRIOSCliente11</v>
      </c>
      <c r="B232" s="99" t="s">
        <v>92</v>
      </c>
      <c r="C232" s="99" t="s">
        <v>149</v>
      </c>
      <c r="D232" s="115">
        <v>11</v>
      </c>
      <c r="E232" s="99" t="s">
        <v>965</v>
      </c>
      <c r="F232" s="100">
        <v>0.03</v>
      </c>
      <c r="G232" s="101">
        <f>IF(OR(B232="FIXO",B232="XFIXO"),IF(F232="","ERRO",10*F232)*'[1]BD Campos'!$S$2,IF(F232="","ERRO",10*F232)*'[1]BD Campos'!$S$3)</f>
        <v>0.3</v>
      </c>
      <c r="H232" s="102">
        <v>0.05</v>
      </c>
      <c r="I232" s="103">
        <f t="shared" si="13"/>
        <v>-1.4999999999999999E-2</v>
      </c>
    </row>
    <row r="233" spans="1:9" s="23" customFormat="1">
      <c r="A233" s="99" t="str">
        <f t="shared" si="12"/>
        <v>ALERTAS PRIORITÁRIOSCliente12</v>
      </c>
      <c r="B233" s="99" t="s">
        <v>92</v>
      </c>
      <c r="C233" s="99" t="s">
        <v>149</v>
      </c>
      <c r="D233" s="115">
        <v>12</v>
      </c>
      <c r="E233" s="99" t="s">
        <v>966</v>
      </c>
      <c r="F233" s="100">
        <v>1.4999999999999999E-2</v>
      </c>
      <c r="G233" s="101">
        <f>IF(OR(B233="FIXO",B233="XFIXO"),IF(F233="","ERRO",10*F233)*'[1]BD Campos'!$S$2,IF(F233="","ERRO",10*F233)*'[1]BD Campos'!$S$3)</f>
        <v>0.15</v>
      </c>
      <c r="H233" s="102">
        <v>0.05</v>
      </c>
      <c r="I233" s="103">
        <f t="shared" si="13"/>
        <v>-7.4999999999999997E-3</v>
      </c>
    </row>
    <row r="234" spans="1:9" s="23" customFormat="1">
      <c r="A234" s="99" t="str">
        <f t="shared" si="12"/>
        <v>ALERTAS PRIORITÁRIOSCliente13</v>
      </c>
      <c r="B234" s="99" t="s">
        <v>92</v>
      </c>
      <c r="C234" s="99" t="s">
        <v>149</v>
      </c>
      <c r="D234" s="115">
        <v>13</v>
      </c>
      <c r="E234" s="99" t="s">
        <v>967</v>
      </c>
      <c r="F234" s="100">
        <v>0.02</v>
      </c>
      <c r="G234" s="101">
        <f>IF(OR(B234="FIXO",B234="XFIXO"),IF(F234="","ERRO",10*F234)*'[1]BD Campos'!$S$2,IF(F234="","ERRO",10*F234)*'[1]BD Campos'!$S$3)</f>
        <v>0.2</v>
      </c>
      <c r="H234" s="102">
        <v>0.05</v>
      </c>
      <c r="I234" s="103">
        <f t="shared" si="13"/>
        <v>-1.0000000000000002E-2</v>
      </c>
    </row>
    <row r="235" spans="1:9" s="23" customFormat="1">
      <c r="A235" s="99" t="str">
        <f t="shared" si="12"/>
        <v>ALERTAS PRIORITÁRIOSCliente14</v>
      </c>
      <c r="B235" s="99" t="s">
        <v>92</v>
      </c>
      <c r="C235" s="99" t="s">
        <v>149</v>
      </c>
      <c r="D235" s="115">
        <v>14</v>
      </c>
      <c r="E235" s="99" t="s">
        <v>968</v>
      </c>
      <c r="F235" s="100">
        <v>0.03</v>
      </c>
      <c r="G235" s="101">
        <f>IF(OR(B235="FIXO",B235="XFIXO"),IF(F235="","ERRO",10*F235)*'[1]BD Campos'!$S$2,IF(F235="","ERRO",10*F235)*'[1]BD Campos'!$S$3)</f>
        <v>0.3</v>
      </c>
      <c r="H235" s="102">
        <v>0.05</v>
      </c>
      <c r="I235" s="103">
        <f t="shared" si="13"/>
        <v>-1.4999999999999999E-2</v>
      </c>
    </row>
    <row r="236" spans="1:9" s="23" customFormat="1">
      <c r="A236" s="104" t="str">
        <f t="shared" si="12"/>
        <v>ALERTAS PRIORITÁRIOSCliente15</v>
      </c>
      <c r="B236" s="104" t="s">
        <v>92</v>
      </c>
      <c r="C236" s="104" t="s">
        <v>149</v>
      </c>
      <c r="D236" s="116">
        <v>15</v>
      </c>
      <c r="E236" s="104" t="s">
        <v>981</v>
      </c>
      <c r="F236" s="105">
        <v>0.01</v>
      </c>
      <c r="G236" s="106">
        <f>IF(OR(B236="FIXO",B236="XFIXO"),IF(F236="","ERRO",10*F236)*'[1]BD Campos'!$S$2,IF(F236="","ERRO",10*F236)*'[1]BD Campos'!$S$3)</f>
        <v>0.1</v>
      </c>
      <c r="H236" s="107">
        <v>0.05</v>
      </c>
      <c r="I236" s="108">
        <f t="shared" si="13"/>
        <v>-5.000000000000001E-3</v>
      </c>
    </row>
    <row r="237" spans="1:9" s="23" customFormat="1">
      <c r="A237" s="99" t="str">
        <f t="shared" si="12"/>
        <v>ALERTAS PRIORITÁRIOSCliente 21</v>
      </c>
      <c r="B237" s="99" t="s">
        <v>92</v>
      </c>
      <c r="C237" s="99" t="s">
        <v>322</v>
      </c>
      <c r="D237" s="115">
        <v>1</v>
      </c>
      <c r="E237" s="99" t="s">
        <v>954</v>
      </c>
      <c r="F237" s="100">
        <v>0.01</v>
      </c>
      <c r="G237" s="101">
        <f>IF(OR(B237="FIXO",B237="XFIXO"),IF(F237="","ERRO",10*F237)*'[1]BD Campos'!$S$2,IF(F237="","ERRO",10*F237)*'[1]BD Campos'!$S$3)</f>
        <v>0.1</v>
      </c>
      <c r="H237" s="102">
        <v>0.05</v>
      </c>
      <c r="I237" s="103">
        <f t="shared" si="13"/>
        <v>-5.000000000000001E-3</v>
      </c>
    </row>
    <row r="238" spans="1:9" s="23" customFormat="1">
      <c r="A238" s="99" t="str">
        <f t="shared" si="12"/>
        <v>ALERTAS PRIORITÁRIOSCliente 22</v>
      </c>
      <c r="B238" s="99" t="s">
        <v>92</v>
      </c>
      <c r="C238" s="99" t="s">
        <v>322</v>
      </c>
      <c r="D238" s="115">
        <v>2</v>
      </c>
      <c r="E238" s="99" t="s">
        <v>955</v>
      </c>
      <c r="F238" s="100">
        <v>0.01</v>
      </c>
      <c r="G238" s="101">
        <f>IF(OR(B238="FIXO",B238="XFIXO"),IF(F238="","ERRO",10*F238)*'[1]BD Campos'!$S$2,IF(F238="","ERRO",10*F238)*'[1]BD Campos'!$S$3)</f>
        <v>0.1</v>
      </c>
      <c r="H238" s="102">
        <v>0.05</v>
      </c>
      <c r="I238" s="103">
        <f t="shared" si="13"/>
        <v>-5.000000000000001E-3</v>
      </c>
    </row>
    <row r="239" spans="1:9" s="23" customFormat="1">
      <c r="A239" s="99" t="str">
        <f t="shared" si="12"/>
        <v>ALERTAS PRIORITÁRIOSCliente 23</v>
      </c>
      <c r="B239" s="99" t="s">
        <v>92</v>
      </c>
      <c r="C239" s="99" t="s">
        <v>322</v>
      </c>
      <c r="D239" s="115">
        <v>3</v>
      </c>
      <c r="E239" s="99" t="s">
        <v>956</v>
      </c>
      <c r="F239" s="100">
        <v>0.01</v>
      </c>
      <c r="G239" s="101">
        <f>IF(OR(B239="FIXO",B239="XFIXO"),IF(F239="","ERRO",10*F239)*'[1]BD Campos'!$S$2,IF(F239="","ERRO",10*F239)*'[1]BD Campos'!$S$3)</f>
        <v>0.1</v>
      </c>
      <c r="H239" s="102">
        <v>0.05</v>
      </c>
      <c r="I239" s="103">
        <f t="shared" si="13"/>
        <v>-5.000000000000001E-3</v>
      </c>
    </row>
    <row r="240" spans="1:9" s="23" customFormat="1">
      <c r="A240" s="99" t="str">
        <f t="shared" si="12"/>
        <v>ALERTAS PRIORITÁRIOSCliente 24</v>
      </c>
      <c r="B240" s="99" t="s">
        <v>92</v>
      </c>
      <c r="C240" s="99" t="s">
        <v>322</v>
      </c>
      <c r="D240" s="115">
        <v>4</v>
      </c>
      <c r="E240" s="99" t="s">
        <v>982</v>
      </c>
      <c r="F240" s="100">
        <v>0.04</v>
      </c>
      <c r="G240" s="101">
        <f>IF(OR(B240="FIXO",B240="XFIXO"),IF(F240="","ERRO",10*F240)*'[1]BD Campos'!$S$2,IF(F240="","ERRO",10*F240)*'[1]BD Campos'!$S$3)</f>
        <v>0.4</v>
      </c>
      <c r="H240" s="102">
        <v>0.05</v>
      </c>
      <c r="I240" s="103">
        <f t="shared" si="13"/>
        <v>-2.0000000000000004E-2</v>
      </c>
    </row>
    <row r="241" spans="1:9" s="23" customFormat="1">
      <c r="A241" s="99" t="str">
        <f t="shared" si="12"/>
        <v>ALERTAS PRIORITÁRIOSCliente 25</v>
      </c>
      <c r="B241" s="99" t="s">
        <v>92</v>
      </c>
      <c r="C241" s="99" t="s">
        <v>322</v>
      </c>
      <c r="D241" s="115">
        <v>5</v>
      </c>
      <c r="E241" s="99" t="s">
        <v>958</v>
      </c>
      <c r="F241" s="100">
        <v>0.12</v>
      </c>
      <c r="G241" s="101">
        <f>IF(OR(B241="FIXO",B241="XFIXO"),IF(F241="","ERRO",10*F241)*'[1]BD Campos'!$S$2,IF(F241="","ERRO",10*F241)*'[1]BD Campos'!$S$3)</f>
        <v>1.2</v>
      </c>
      <c r="H241" s="102">
        <v>0.05</v>
      </c>
      <c r="I241" s="103">
        <f t="shared" si="13"/>
        <v>-0.06</v>
      </c>
    </row>
    <row r="242" spans="1:9" s="23" customFormat="1">
      <c r="A242" s="99" t="str">
        <f t="shared" si="12"/>
        <v>ALERTAS PRIORITÁRIOSCliente 26</v>
      </c>
      <c r="B242" s="99" t="s">
        <v>92</v>
      </c>
      <c r="C242" s="99" t="s">
        <v>322</v>
      </c>
      <c r="D242" s="115">
        <v>6</v>
      </c>
      <c r="E242" s="99" t="s">
        <v>983</v>
      </c>
      <c r="F242" s="100">
        <v>0.115</v>
      </c>
      <c r="G242" s="101">
        <f>IF(OR(B242="FIXO",B242="XFIXO"),IF(F242="","ERRO",10*F242)*'[1]BD Campos'!$S$2,IF(F242="","ERRO",10*F242)*'[1]BD Campos'!$S$3)</f>
        <v>1.1500000000000001</v>
      </c>
      <c r="H242" s="102">
        <v>0.05</v>
      </c>
      <c r="I242" s="103">
        <f t="shared" si="13"/>
        <v>-5.7500000000000009E-2</v>
      </c>
    </row>
    <row r="243" spans="1:9" s="23" customFormat="1">
      <c r="A243" s="99" t="str">
        <f t="shared" si="12"/>
        <v>ALERTAS PRIORITÁRIOSCliente 27</v>
      </c>
      <c r="B243" s="99" t="s">
        <v>92</v>
      </c>
      <c r="C243" s="99" t="s">
        <v>322</v>
      </c>
      <c r="D243" s="115">
        <v>7</v>
      </c>
      <c r="E243" s="99" t="s">
        <v>997</v>
      </c>
      <c r="F243" s="100">
        <v>0.18</v>
      </c>
      <c r="G243" s="101">
        <f>IF(OR(B243="FIXO",B243="XFIXO"),IF(F243="","ERRO",10*F243)*'[1]BD Campos'!$S$2,IF(F243="","ERRO",10*F243)*'[1]BD Campos'!$S$3)</f>
        <v>1.7999999999999998</v>
      </c>
      <c r="H243" s="102">
        <v>0.05</v>
      </c>
      <c r="I243" s="103">
        <f t="shared" si="13"/>
        <v>-0.09</v>
      </c>
    </row>
    <row r="244" spans="1:9" s="23" customFormat="1">
      <c r="A244" s="99" t="str">
        <f t="shared" si="12"/>
        <v>ALERTAS PRIORITÁRIOSCliente 28</v>
      </c>
      <c r="B244" s="99" t="s">
        <v>92</v>
      </c>
      <c r="C244" s="99" t="s">
        <v>322</v>
      </c>
      <c r="D244" s="115">
        <v>8</v>
      </c>
      <c r="E244" s="99" t="s">
        <v>996</v>
      </c>
      <c r="F244" s="100">
        <v>0.18</v>
      </c>
      <c r="G244" s="101">
        <f>IF(OR(B244="FIXO",B244="XFIXO"),IF(F244="","ERRO",10*F244)*'[1]BD Campos'!$S$2,IF(F244="","ERRO",10*F244)*'[1]BD Campos'!$S$3)</f>
        <v>1.7999999999999998</v>
      </c>
      <c r="H244" s="102">
        <v>0.05</v>
      </c>
      <c r="I244" s="103">
        <f t="shared" si="13"/>
        <v>-0.09</v>
      </c>
    </row>
    <row r="245" spans="1:9" s="23" customFormat="1">
      <c r="A245" s="99" t="str">
        <f t="shared" si="12"/>
        <v>ALERTAS PRIORITÁRIOSCliente 29</v>
      </c>
      <c r="B245" s="99" t="s">
        <v>92</v>
      </c>
      <c r="C245" s="99" t="s">
        <v>322</v>
      </c>
      <c r="D245" s="115">
        <v>9</v>
      </c>
      <c r="E245" s="99" t="s">
        <v>988</v>
      </c>
      <c r="F245" s="100">
        <v>0.2</v>
      </c>
      <c r="G245" s="101">
        <f>IF(OR(B245="FIXO",B245="XFIXO"),IF(F245="","ERRO",10*F245)*'[1]BD Campos'!$S$2,IF(F245="","ERRO",10*F245)*'[1]BD Campos'!$S$3)</f>
        <v>2</v>
      </c>
      <c r="H245" s="102">
        <v>0.05</v>
      </c>
      <c r="I245" s="103">
        <f t="shared" si="13"/>
        <v>-0.1</v>
      </c>
    </row>
    <row r="246" spans="1:9" s="23" customFormat="1">
      <c r="A246" s="99" t="str">
        <f t="shared" si="12"/>
        <v>ALERTAS PRIORITÁRIOSCliente 210</v>
      </c>
      <c r="B246" s="99" t="s">
        <v>92</v>
      </c>
      <c r="C246" s="99" t="s">
        <v>322</v>
      </c>
      <c r="D246" s="115">
        <v>10</v>
      </c>
      <c r="E246" s="99" t="s">
        <v>964</v>
      </c>
      <c r="F246" s="100">
        <v>0.03</v>
      </c>
      <c r="G246" s="101">
        <f>IF(OR(B246="FIXO",B246="XFIXO"),IF(F246="","ERRO",10*F246)*'[1]BD Campos'!$S$2,IF(F246="","ERRO",10*F246)*'[1]BD Campos'!$S$3)</f>
        <v>0.3</v>
      </c>
      <c r="H246" s="102">
        <v>0.05</v>
      </c>
      <c r="I246" s="103">
        <f t="shared" si="13"/>
        <v>-1.4999999999999999E-2</v>
      </c>
    </row>
    <row r="247" spans="1:9" s="23" customFormat="1">
      <c r="A247" s="99" t="str">
        <f t="shared" si="12"/>
        <v>ALERTAS PRIORITÁRIOSCliente 211</v>
      </c>
      <c r="B247" s="99" t="s">
        <v>92</v>
      </c>
      <c r="C247" s="99" t="s">
        <v>322</v>
      </c>
      <c r="D247" s="115">
        <v>11</v>
      </c>
      <c r="E247" s="99" t="s">
        <v>965</v>
      </c>
      <c r="F247" s="100">
        <v>0.03</v>
      </c>
      <c r="G247" s="101">
        <f>IF(OR(B247="FIXO",B247="XFIXO"),IF(F247="","ERRO",10*F247)*'[1]BD Campos'!$S$2,IF(F247="","ERRO",10*F247)*'[1]BD Campos'!$S$3)</f>
        <v>0.3</v>
      </c>
      <c r="H247" s="102">
        <v>0.05</v>
      </c>
      <c r="I247" s="103">
        <f t="shared" si="13"/>
        <v>-1.4999999999999999E-2</v>
      </c>
    </row>
    <row r="248" spans="1:9">
      <c r="A248" s="99" t="str">
        <f t="shared" si="12"/>
        <v>ALERTAS PRIORITÁRIOSCliente 212</v>
      </c>
      <c r="B248" s="99" t="s">
        <v>92</v>
      </c>
      <c r="C248" s="99" t="s">
        <v>322</v>
      </c>
      <c r="D248" s="115">
        <v>12</v>
      </c>
      <c r="E248" s="99" t="s">
        <v>966</v>
      </c>
      <c r="F248" s="100">
        <v>1.4999999999999999E-2</v>
      </c>
      <c r="G248" s="101">
        <f>IF(OR(B248="FIXO",B248="XFIXO"),IF(F248="","ERRO",10*F248)*'[1]BD Campos'!$S$2,IF(F248="","ERRO",10*F248)*'[1]BD Campos'!$S$3)</f>
        <v>0.15</v>
      </c>
      <c r="H248" s="102">
        <v>0.05</v>
      </c>
      <c r="I248" s="103">
        <f t="shared" si="13"/>
        <v>-7.4999999999999997E-3</v>
      </c>
    </row>
    <row r="249" spans="1:9">
      <c r="A249" s="99" t="str">
        <f t="shared" si="12"/>
        <v>ALERTAS PRIORITÁRIOSCliente 213</v>
      </c>
      <c r="B249" s="99" t="s">
        <v>92</v>
      </c>
      <c r="C249" s="99" t="s">
        <v>322</v>
      </c>
      <c r="D249" s="115">
        <v>13</v>
      </c>
      <c r="E249" s="99" t="s">
        <v>967</v>
      </c>
      <c r="F249" s="100">
        <v>0.02</v>
      </c>
      <c r="G249" s="101">
        <f>IF(OR(B249="FIXO",B249="XFIXO"),IF(F249="","ERRO",10*F249)*'[1]BD Campos'!$S$2,IF(F249="","ERRO",10*F249)*'[1]BD Campos'!$S$3)</f>
        <v>0.2</v>
      </c>
      <c r="H249" s="102">
        <v>0.05</v>
      </c>
      <c r="I249" s="103">
        <f t="shared" si="13"/>
        <v>-1.0000000000000002E-2</v>
      </c>
    </row>
    <row r="250" spans="1:9">
      <c r="A250" s="109" t="str">
        <f t="shared" si="12"/>
        <v>ALERTAS PRIORITÁRIOSCliente 214</v>
      </c>
      <c r="B250" s="109" t="s">
        <v>92</v>
      </c>
      <c r="C250" s="109" t="s">
        <v>322</v>
      </c>
      <c r="D250" s="117">
        <v>14</v>
      </c>
      <c r="E250" s="109" t="s">
        <v>968</v>
      </c>
      <c r="F250" s="110">
        <v>0.03</v>
      </c>
      <c r="G250" s="111">
        <f>IF(OR(B250="FIXO",B250="XFIXO"),IF(F250="","ERRO",10*F250)*'[1]BD Campos'!$S$2,IF(F250="","ERRO",10*F250)*'[1]BD Campos'!$S$3)</f>
        <v>0.3</v>
      </c>
      <c r="H250" s="112">
        <v>0.05</v>
      </c>
      <c r="I250" s="113">
        <f t="shared" si="13"/>
        <v>-1.4999999999999999E-2</v>
      </c>
    </row>
    <row r="251" spans="1:9">
      <c r="A251" s="104" t="str">
        <f>B251&amp;C251&amp;D251</f>
        <v>ALERTAS PRIORITÁRIOSCliente 215</v>
      </c>
      <c r="B251" s="104" t="s">
        <v>92</v>
      </c>
      <c r="C251" s="104" t="s">
        <v>322</v>
      </c>
      <c r="D251" s="116">
        <v>15</v>
      </c>
      <c r="E251" s="104" t="s">
        <v>981</v>
      </c>
      <c r="F251" s="105">
        <v>0.01</v>
      </c>
      <c r="G251" s="106">
        <f>IF(OR(B251="FIXO",B251="XFIXO"),IF(F251="","ERRO",10*F251)*'[1]BD Campos'!$S$2,IF(F251="","ERRO",10*F251)*'[1]BD Campos'!$S$3)</f>
        <v>0.1</v>
      </c>
      <c r="H251" s="107">
        <v>0.05</v>
      </c>
      <c r="I251" s="108">
        <f>H251*G251*-1</f>
        <v>-5.000000000000001E-3</v>
      </c>
    </row>
    <row r="252" spans="1:9">
      <c r="A252" s="99" t="str">
        <f t="shared" ref="A252:A255" si="14">B252&amp;C252&amp;D252</f>
        <v>DESVIO DE ROTAPonto de Apoio1</v>
      </c>
      <c r="B252" s="99" t="s">
        <v>133</v>
      </c>
      <c r="C252" s="99" t="s">
        <v>751</v>
      </c>
      <c r="D252" s="115">
        <v>1</v>
      </c>
      <c r="E252" s="99" t="s">
        <v>954</v>
      </c>
      <c r="F252" s="100">
        <v>0.01</v>
      </c>
      <c r="G252" s="101">
        <f>IF(OR(B252="FIXO",B252="XFIXO"),IF(F252="","ERRO",10*F252)*'[1]BD Campos'!$S$2,IF(F252="","ERRO",10*F252)*'[1]BD Campos'!$S$3)</f>
        <v>0.1</v>
      </c>
      <c r="H252" s="102">
        <v>0.05</v>
      </c>
      <c r="I252" s="103">
        <f t="shared" ref="I252:I255" si="15">H252*G252*-1</f>
        <v>-5.000000000000001E-3</v>
      </c>
    </row>
    <row r="253" spans="1:9">
      <c r="A253" s="99" t="str">
        <f t="shared" si="14"/>
        <v>DESVIO DE ROTAPonto de Apoio2</v>
      </c>
      <c r="B253" s="99" t="s">
        <v>133</v>
      </c>
      <c r="C253" s="99" t="s">
        <v>751</v>
      </c>
      <c r="D253" s="115">
        <v>2</v>
      </c>
      <c r="E253" s="99" t="s">
        <v>955</v>
      </c>
      <c r="F253" s="100">
        <v>0.01</v>
      </c>
      <c r="G253" s="101">
        <f>IF(OR(B253="FIXO",B253="XFIXO"),IF(F253="","ERRO",10*F253)*'[1]BD Campos'!$S$2,IF(F253="","ERRO",10*F253)*'[1]BD Campos'!$S$3)</f>
        <v>0.1</v>
      </c>
      <c r="H253" s="102">
        <v>0.05</v>
      </c>
      <c r="I253" s="103">
        <f t="shared" si="15"/>
        <v>-5.000000000000001E-3</v>
      </c>
    </row>
    <row r="254" spans="1:9">
      <c r="A254" s="99" t="str">
        <f t="shared" si="14"/>
        <v>DESVIO DE ROTAPonto de Apoio3</v>
      </c>
      <c r="B254" s="99" t="s">
        <v>133</v>
      </c>
      <c r="C254" s="99" t="s">
        <v>751</v>
      </c>
      <c r="D254" s="115">
        <v>3</v>
      </c>
      <c r="E254" s="99" t="s">
        <v>956</v>
      </c>
      <c r="F254" s="100">
        <v>0.01</v>
      </c>
      <c r="G254" s="101">
        <f>IF(OR(B254="FIXO",B254="XFIXO"),IF(F254="","ERRO",10*F254)*'[1]BD Campos'!$S$2,IF(F254="","ERRO",10*F254)*'[1]BD Campos'!$S$3)</f>
        <v>0.1</v>
      </c>
      <c r="H254" s="102">
        <v>0.05</v>
      </c>
      <c r="I254" s="103">
        <f t="shared" si="15"/>
        <v>-5.000000000000001E-3</v>
      </c>
    </row>
    <row r="255" spans="1:9">
      <c r="A255" s="99" t="str">
        <f t="shared" si="14"/>
        <v>DESVIO DE ROTAPonto de Apoio4</v>
      </c>
      <c r="B255" s="99" t="s">
        <v>133</v>
      </c>
      <c r="C255" s="99" t="s">
        <v>751</v>
      </c>
      <c r="D255" s="115">
        <v>4</v>
      </c>
      <c r="E255" s="99" t="s">
        <v>982</v>
      </c>
      <c r="F255" s="100">
        <v>0.04</v>
      </c>
      <c r="G255" s="101">
        <f>IF(OR(B255="FIXO",B255="XFIXO"),IF(F255="","ERRO",10*F255)*'[1]BD Campos'!$S$2,IF(F255="","ERRO",10*F255)*'[1]BD Campos'!$S$3)</f>
        <v>0.4</v>
      </c>
      <c r="H255" s="102">
        <v>0.05</v>
      </c>
      <c r="I255" s="103">
        <f t="shared" si="15"/>
        <v>-2.0000000000000004E-2</v>
      </c>
    </row>
    <row r="256" spans="1:9">
      <c r="A256" s="99" t="str">
        <f>B256&amp;C256&amp;D256</f>
        <v>DESVIO DE ROTAPonto de Apoio5</v>
      </c>
      <c r="B256" s="99" t="s">
        <v>133</v>
      </c>
      <c r="C256" s="99" t="s">
        <v>751</v>
      </c>
      <c r="D256" s="115">
        <v>5</v>
      </c>
      <c r="E256" s="99" t="s">
        <v>958</v>
      </c>
      <c r="F256" s="100">
        <v>0.12</v>
      </c>
      <c r="G256" s="101">
        <f>IF(OR(B256="FIXO",B256="XFIXO"),IF(F256="","ERRO",10*F256)*'[1]BD Campos'!$S$2,IF(F256="","ERRO",10*F256)*'[1]BD Campos'!$S$3)</f>
        <v>1.2</v>
      </c>
      <c r="H256" s="102">
        <v>0.05</v>
      </c>
      <c r="I256" s="103">
        <f>H256*G256*-1</f>
        <v>-0.06</v>
      </c>
    </row>
    <row r="257" spans="1:9">
      <c r="A257" s="99" t="str">
        <f t="shared" ref="A257:A320" si="16">B257&amp;C257&amp;D257</f>
        <v>DESVIO DE ROTAPonto de Apoio6</v>
      </c>
      <c r="B257" s="99" t="s">
        <v>133</v>
      </c>
      <c r="C257" s="99" t="s">
        <v>751</v>
      </c>
      <c r="D257" s="115">
        <v>6</v>
      </c>
      <c r="E257" s="99" t="s">
        <v>998</v>
      </c>
      <c r="F257" s="100">
        <v>0.19500000000000001</v>
      </c>
      <c r="G257" s="101">
        <f>IF(OR(B257="FIXO",B257="XFIXO"),IF(F257="","ERRO",10*F257)*'[1]BD Campos'!$S$2,IF(F257="","ERRO",10*F257)*'[1]BD Campos'!$S$3)</f>
        <v>1.9500000000000002</v>
      </c>
      <c r="H257" s="102">
        <v>0.05</v>
      </c>
      <c r="I257" s="103">
        <f t="shared" ref="I257:I320" si="17">H257*G257*-1</f>
        <v>-9.7500000000000017E-2</v>
      </c>
    </row>
    <row r="258" spans="1:9">
      <c r="A258" s="99" t="str">
        <f t="shared" si="16"/>
        <v>DESVIO DE ROTAPonto de Apoio7</v>
      </c>
      <c r="B258" s="99" t="s">
        <v>133</v>
      </c>
      <c r="C258" s="99" t="s">
        <v>751</v>
      </c>
      <c r="D258" s="115">
        <v>7</v>
      </c>
      <c r="E258" s="99" t="s">
        <v>999</v>
      </c>
      <c r="F258" s="100">
        <v>0.16</v>
      </c>
      <c r="G258" s="101">
        <f>IF(OR(B258="FIXO",B258="XFIXO"),IF(F258="","ERRO",10*F258)*'[1]BD Campos'!$S$2,IF(F258="","ERRO",10*F258)*'[1]BD Campos'!$S$3)</f>
        <v>1.6</v>
      </c>
      <c r="H258" s="102">
        <v>0.05</v>
      </c>
      <c r="I258" s="103">
        <f t="shared" si="17"/>
        <v>-8.0000000000000016E-2</v>
      </c>
    </row>
    <row r="259" spans="1:9">
      <c r="A259" s="99" t="str">
        <f t="shared" si="16"/>
        <v>DESVIO DE ROTAPonto de Apoio8</v>
      </c>
      <c r="B259" s="99" t="s">
        <v>133</v>
      </c>
      <c r="C259" s="99" t="s">
        <v>751</v>
      </c>
      <c r="D259" s="115">
        <v>8</v>
      </c>
      <c r="E259" s="99" t="s">
        <v>1000</v>
      </c>
      <c r="F259" s="100">
        <v>0.16</v>
      </c>
      <c r="G259" s="101">
        <f>IF(OR(B259="FIXO",B259="XFIXO"),IF(F259="","ERRO",10*F259)*'[1]BD Campos'!$S$2,IF(F259="","ERRO",10*F259)*'[1]BD Campos'!$S$3)</f>
        <v>1.6</v>
      </c>
      <c r="H259" s="102">
        <v>0.05</v>
      </c>
      <c r="I259" s="103">
        <f t="shared" si="17"/>
        <v>-8.0000000000000016E-2</v>
      </c>
    </row>
    <row r="260" spans="1:9">
      <c r="A260" s="99" t="str">
        <f t="shared" si="16"/>
        <v>DESVIO DE ROTAPonto de Apoio9</v>
      </c>
      <c r="B260" s="99" t="s">
        <v>133</v>
      </c>
      <c r="C260" s="99" t="s">
        <v>751</v>
      </c>
      <c r="D260" s="115">
        <v>9</v>
      </c>
      <c r="E260" s="99" t="s">
        <v>1001</v>
      </c>
      <c r="F260" s="100">
        <v>0.16</v>
      </c>
      <c r="G260" s="101">
        <f>IF(OR(B260="FIXO",B260="XFIXO"),IF(F260="","ERRO",10*F260)*'[1]BD Campos'!$S$2,IF(F260="","ERRO",10*F260)*'[1]BD Campos'!$S$3)</f>
        <v>1.6</v>
      </c>
      <c r="H260" s="102">
        <v>0.05</v>
      </c>
      <c r="I260" s="103">
        <f t="shared" si="17"/>
        <v>-8.0000000000000016E-2</v>
      </c>
    </row>
    <row r="261" spans="1:9">
      <c r="A261" s="99" t="str">
        <f t="shared" si="16"/>
        <v>DESVIO DE ROTAPonto de Apoio10</v>
      </c>
      <c r="B261" s="99" t="s">
        <v>133</v>
      </c>
      <c r="C261" s="99" t="s">
        <v>751</v>
      </c>
      <c r="D261" s="115">
        <v>10</v>
      </c>
      <c r="E261" s="99" t="s">
        <v>964</v>
      </c>
      <c r="F261" s="100">
        <v>0.03</v>
      </c>
      <c r="G261" s="101">
        <f>IF(OR(B261="FIXO",B261="XFIXO"),IF(F261="","ERRO",10*F261)*'[1]BD Campos'!$S$2,IF(F261="","ERRO",10*F261)*'[1]BD Campos'!$S$3)</f>
        <v>0.3</v>
      </c>
      <c r="H261" s="102">
        <v>0.05</v>
      </c>
      <c r="I261" s="103">
        <f t="shared" si="17"/>
        <v>-1.4999999999999999E-2</v>
      </c>
    </row>
    <row r="262" spans="1:9">
      <c r="A262" s="99" t="str">
        <f t="shared" si="16"/>
        <v>DESVIO DE ROTAPonto de Apoio11</v>
      </c>
      <c r="B262" s="99" t="s">
        <v>133</v>
      </c>
      <c r="C262" s="99" t="s">
        <v>751</v>
      </c>
      <c r="D262" s="115">
        <v>11</v>
      </c>
      <c r="E262" s="99" t="s">
        <v>965</v>
      </c>
      <c r="F262" s="100">
        <v>0.03</v>
      </c>
      <c r="G262" s="101">
        <f>IF(OR(B262="FIXO",B262="XFIXO"),IF(F262="","ERRO",10*F262)*'[1]BD Campos'!$S$2,IF(F262="","ERRO",10*F262)*'[1]BD Campos'!$S$3)</f>
        <v>0.3</v>
      </c>
      <c r="H262" s="102">
        <v>0.05</v>
      </c>
      <c r="I262" s="103">
        <f t="shared" si="17"/>
        <v>-1.4999999999999999E-2</v>
      </c>
    </row>
    <row r="263" spans="1:9">
      <c r="A263" s="99" t="str">
        <f t="shared" si="16"/>
        <v>DESVIO DE ROTAPonto de Apoio12</v>
      </c>
      <c r="B263" s="99" t="s">
        <v>133</v>
      </c>
      <c r="C263" s="99" t="s">
        <v>751</v>
      </c>
      <c r="D263" s="115">
        <v>12</v>
      </c>
      <c r="E263" s="99" t="s">
        <v>966</v>
      </c>
      <c r="F263" s="100">
        <v>1.4999999999999999E-2</v>
      </c>
      <c r="G263" s="101">
        <f>IF(OR(B263="FIXO",B263="XFIXO"),IF(F263="","ERRO",10*F263)*'[1]BD Campos'!$S$2,IF(F263="","ERRO",10*F263)*'[1]BD Campos'!$S$3)</f>
        <v>0.15</v>
      </c>
      <c r="H263" s="102">
        <v>0.05</v>
      </c>
      <c r="I263" s="103">
        <f t="shared" si="17"/>
        <v>-7.4999999999999997E-3</v>
      </c>
    </row>
    <row r="264" spans="1:9">
      <c r="A264" s="99" t="str">
        <f t="shared" si="16"/>
        <v>DESVIO DE ROTAPonto de Apoio13</v>
      </c>
      <c r="B264" s="99" t="s">
        <v>133</v>
      </c>
      <c r="C264" s="99" t="s">
        <v>751</v>
      </c>
      <c r="D264" s="115">
        <v>13</v>
      </c>
      <c r="E264" s="99" t="s">
        <v>967</v>
      </c>
      <c r="F264" s="100">
        <v>0.02</v>
      </c>
      <c r="G264" s="101">
        <f>IF(OR(B264="FIXO",B264="XFIXO"),IF(F264="","ERRO",10*F264)*'[1]BD Campos'!$S$2,IF(F264="","ERRO",10*F264)*'[1]BD Campos'!$S$3)</f>
        <v>0.2</v>
      </c>
      <c r="H264" s="102">
        <v>0.05</v>
      </c>
      <c r="I264" s="103">
        <f t="shared" si="17"/>
        <v>-1.0000000000000002E-2</v>
      </c>
    </row>
    <row r="265" spans="1:9">
      <c r="A265" s="99" t="str">
        <f t="shared" si="16"/>
        <v>DESVIO DE ROTAPonto de Apoio14</v>
      </c>
      <c r="B265" s="99" t="s">
        <v>133</v>
      </c>
      <c r="C265" s="99" t="s">
        <v>751</v>
      </c>
      <c r="D265" s="115">
        <v>14</v>
      </c>
      <c r="E265" s="99" t="s">
        <v>968</v>
      </c>
      <c r="F265" s="110">
        <v>0.03</v>
      </c>
      <c r="G265" s="101">
        <f>IF(OR(B265="FIXO",B265="XFIXO"),IF(F265="","ERRO",10*F265)*'[1]BD Campos'!$S$2,IF(F265="","ERRO",10*F265)*'[1]BD Campos'!$S$3)</f>
        <v>0.3</v>
      </c>
      <c r="H265" s="102">
        <v>0.05</v>
      </c>
      <c r="I265" s="103">
        <f t="shared" si="17"/>
        <v>-1.4999999999999999E-2</v>
      </c>
    </row>
    <row r="266" spans="1:9">
      <c r="A266" s="104" t="str">
        <f t="shared" si="16"/>
        <v>DESVIO DE ROTAPonto de Apoio15</v>
      </c>
      <c r="B266" s="104" t="s">
        <v>133</v>
      </c>
      <c r="C266" s="104" t="s">
        <v>751</v>
      </c>
      <c r="D266" s="116">
        <v>15</v>
      </c>
      <c r="E266" s="104" t="s">
        <v>969</v>
      </c>
      <c r="F266" s="105">
        <v>0.01</v>
      </c>
      <c r="G266" s="106">
        <f>IF(OR(B266="FIXO",B266="XFIXO"),IF(F266="","ERRO",10*F266)*'[1]BD Campos'!$S$2,IF(F266="","ERRO",10*F266)*'[1]BD Campos'!$S$3)</f>
        <v>0.1</v>
      </c>
      <c r="H266" s="107">
        <v>0.05</v>
      </c>
      <c r="I266" s="108">
        <f t="shared" si="17"/>
        <v>-5.000000000000001E-3</v>
      </c>
    </row>
    <row r="267" spans="1:9">
      <c r="A267" s="99" t="str">
        <f t="shared" si="16"/>
        <v>DESVIO DE ROTAPonto de Apoio 21</v>
      </c>
      <c r="B267" s="99" t="s">
        <v>133</v>
      </c>
      <c r="C267" s="99" t="s">
        <v>754</v>
      </c>
      <c r="D267" s="115">
        <v>1</v>
      </c>
      <c r="E267" s="99" t="s">
        <v>954</v>
      </c>
      <c r="F267" s="100">
        <v>0.01</v>
      </c>
      <c r="G267" s="101">
        <f>IF(OR(B267="FIXO",B267="XFIXO"),IF(F267="","ERRO",10*F267)*'[1]BD Campos'!$S$2,IF(F267="","ERRO",10*F267)*'[1]BD Campos'!$S$3)</f>
        <v>0.1</v>
      </c>
      <c r="H267" s="102">
        <v>0.05</v>
      </c>
      <c r="I267" s="103">
        <f t="shared" si="17"/>
        <v>-5.000000000000001E-3</v>
      </c>
    </row>
    <row r="268" spans="1:9">
      <c r="A268" s="99" t="str">
        <f t="shared" si="16"/>
        <v>DESVIO DE ROTAPonto de Apoio 22</v>
      </c>
      <c r="B268" s="99" t="s">
        <v>133</v>
      </c>
      <c r="C268" s="99" t="s">
        <v>754</v>
      </c>
      <c r="D268" s="115">
        <v>2</v>
      </c>
      <c r="E268" s="99" t="s">
        <v>955</v>
      </c>
      <c r="F268" s="100">
        <v>0.01</v>
      </c>
      <c r="G268" s="101">
        <f>IF(OR(B268="FIXO",B268="XFIXO"),IF(F268="","ERRO",10*F268)*'[1]BD Campos'!$S$2,IF(F268="","ERRO",10*F268)*'[1]BD Campos'!$S$3)</f>
        <v>0.1</v>
      </c>
      <c r="H268" s="102">
        <v>0.05</v>
      </c>
      <c r="I268" s="103">
        <f t="shared" si="17"/>
        <v>-5.000000000000001E-3</v>
      </c>
    </row>
    <row r="269" spans="1:9">
      <c r="A269" s="99" t="str">
        <f t="shared" si="16"/>
        <v>DESVIO DE ROTAPonto de Apoio 23</v>
      </c>
      <c r="B269" s="99" t="s">
        <v>133</v>
      </c>
      <c r="C269" s="99" t="s">
        <v>754</v>
      </c>
      <c r="D269" s="115">
        <v>3</v>
      </c>
      <c r="E269" s="99" t="s">
        <v>956</v>
      </c>
      <c r="F269" s="100">
        <v>0.01</v>
      </c>
      <c r="G269" s="101">
        <f>IF(OR(B269="FIXO",B269="XFIXO"),IF(F269="","ERRO",10*F269)*'[1]BD Campos'!$S$2,IF(F269="","ERRO",10*F269)*'[1]BD Campos'!$S$3)</f>
        <v>0.1</v>
      </c>
      <c r="H269" s="102">
        <v>0.05</v>
      </c>
      <c r="I269" s="103">
        <f t="shared" si="17"/>
        <v>-5.000000000000001E-3</v>
      </c>
    </row>
    <row r="270" spans="1:9">
      <c r="A270" s="99" t="str">
        <f t="shared" si="16"/>
        <v>DESVIO DE ROTAPonto de Apoio 24</v>
      </c>
      <c r="B270" s="99" t="s">
        <v>133</v>
      </c>
      <c r="C270" s="99" t="s">
        <v>754</v>
      </c>
      <c r="D270" s="115">
        <v>4</v>
      </c>
      <c r="E270" s="99" t="s">
        <v>982</v>
      </c>
      <c r="F270" s="100">
        <v>0.04</v>
      </c>
      <c r="G270" s="101">
        <f>IF(OR(B270="FIXO",B270="XFIXO"),IF(F270="","ERRO",10*F270)*'[1]BD Campos'!$S$2,IF(F270="","ERRO",10*F270)*'[1]BD Campos'!$S$3)</f>
        <v>0.4</v>
      </c>
      <c r="H270" s="102">
        <v>0.05</v>
      </c>
      <c r="I270" s="103">
        <f t="shared" si="17"/>
        <v>-2.0000000000000004E-2</v>
      </c>
    </row>
    <row r="271" spans="1:9">
      <c r="A271" s="99" t="str">
        <f t="shared" si="16"/>
        <v>DESVIO DE ROTAPonto de Apoio 25</v>
      </c>
      <c r="B271" s="99" t="s">
        <v>133</v>
      </c>
      <c r="C271" s="99" t="s">
        <v>754</v>
      </c>
      <c r="D271" s="115">
        <v>5</v>
      </c>
      <c r="E271" s="99" t="s">
        <v>958</v>
      </c>
      <c r="F271" s="100">
        <v>0.12</v>
      </c>
      <c r="G271" s="101">
        <f>IF(OR(B271="FIXO",B271="XFIXO"),IF(F271="","ERRO",10*F271)*'[1]BD Campos'!$S$2,IF(F271="","ERRO",10*F271)*'[1]BD Campos'!$S$3)</f>
        <v>1.2</v>
      </c>
      <c r="H271" s="102">
        <v>0.05</v>
      </c>
      <c r="I271" s="103">
        <f t="shared" si="17"/>
        <v>-0.06</v>
      </c>
    </row>
    <row r="272" spans="1:9">
      <c r="A272" s="99" t="str">
        <f t="shared" si="16"/>
        <v>DESVIO DE ROTAPonto de Apoio 26</v>
      </c>
      <c r="B272" s="99" t="s">
        <v>133</v>
      </c>
      <c r="C272" s="99" t="s">
        <v>754</v>
      </c>
      <c r="D272" s="115">
        <v>6</v>
      </c>
      <c r="E272" s="99" t="s">
        <v>998</v>
      </c>
      <c r="F272" s="100">
        <v>0.19500000000000001</v>
      </c>
      <c r="G272" s="101">
        <f>IF(OR(B272="FIXO",B272="XFIXO"),IF(F272="","ERRO",10*F272)*'[1]BD Campos'!$S$2,IF(F272="","ERRO",10*F272)*'[1]BD Campos'!$S$3)</f>
        <v>1.9500000000000002</v>
      </c>
      <c r="H272" s="102">
        <v>0.05</v>
      </c>
      <c r="I272" s="103">
        <f t="shared" si="17"/>
        <v>-9.7500000000000017E-2</v>
      </c>
    </row>
    <row r="273" spans="1:9">
      <c r="A273" s="99" t="str">
        <f t="shared" si="16"/>
        <v>DESVIO DE ROTAPonto de Apoio 27</v>
      </c>
      <c r="B273" s="99" t="s">
        <v>133</v>
      </c>
      <c r="C273" s="99" t="s">
        <v>754</v>
      </c>
      <c r="D273" s="115">
        <v>7</v>
      </c>
      <c r="E273" s="99" t="s">
        <v>999</v>
      </c>
      <c r="F273" s="100">
        <v>0.16</v>
      </c>
      <c r="G273" s="101">
        <f>IF(OR(B273="FIXO",B273="XFIXO"),IF(F273="","ERRO",10*F273)*'[1]BD Campos'!$S$2,IF(F273="","ERRO",10*F273)*'[1]BD Campos'!$S$3)</f>
        <v>1.6</v>
      </c>
      <c r="H273" s="102">
        <v>0.05</v>
      </c>
      <c r="I273" s="103">
        <f t="shared" si="17"/>
        <v>-8.0000000000000016E-2</v>
      </c>
    </row>
    <row r="274" spans="1:9">
      <c r="A274" s="99" t="str">
        <f t="shared" si="16"/>
        <v>DESVIO DE ROTAPonto de Apoio 28</v>
      </c>
      <c r="B274" s="99" t="s">
        <v>133</v>
      </c>
      <c r="C274" s="99" t="s">
        <v>754</v>
      </c>
      <c r="D274" s="115">
        <v>8</v>
      </c>
      <c r="E274" s="99" t="s">
        <v>1000</v>
      </c>
      <c r="F274" s="100">
        <v>0.16</v>
      </c>
      <c r="G274" s="101">
        <f>IF(OR(B274="FIXO",B274="XFIXO"),IF(F274="","ERRO",10*F274)*'[1]BD Campos'!$S$2,IF(F274="","ERRO",10*F274)*'[1]BD Campos'!$S$3)</f>
        <v>1.6</v>
      </c>
      <c r="H274" s="102">
        <v>0.05</v>
      </c>
      <c r="I274" s="103">
        <f t="shared" si="17"/>
        <v>-8.0000000000000016E-2</v>
      </c>
    </row>
    <row r="275" spans="1:9">
      <c r="A275" s="99" t="str">
        <f t="shared" si="16"/>
        <v>DESVIO DE ROTAPonto de Apoio 29</v>
      </c>
      <c r="B275" s="99" t="s">
        <v>133</v>
      </c>
      <c r="C275" s="99" t="s">
        <v>754</v>
      </c>
      <c r="D275" s="115">
        <v>9</v>
      </c>
      <c r="E275" s="99" t="s">
        <v>1001</v>
      </c>
      <c r="F275" s="100">
        <v>0.16</v>
      </c>
      <c r="G275" s="101">
        <f>IF(OR(B275="FIXO",B275="XFIXO"),IF(F275="","ERRO",10*F275)*'[1]BD Campos'!$S$2,IF(F275="","ERRO",10*F275)*'[1]BD Campos'!$S$3)</f>
        <v>1.6</v>
      </c>
      <c r="H275" s="102">
        <v>0.05</v>
      </c>
      <c r="I275" s="103">
        <f t="shared" si="17"/>
        <v>-8.0000000000000016E-2</v>
      </c>
    </row>
    <row r="276" spans="1:9">
      <c r="A276" s="99" t="str">
        <f t="shared" si="16"/>
        <v>DESVIO DE ROTAPonto de Apoio 210</v>
      </c>
      <c r="B276" s="99" t="s">
        <v>133</v>
      </c>
      <c r="C276" s="99" t="s">
        <v>754</v>
      </c>
      <c r="D276" s="115">
        <v>10</v>
      </c>
      <c r="E276" s="99" t="s">
        <v>964</v>
      </c>
      <c r="F276" s="100">
        <v>0.03</v>
      </c>
      <c r="G276" s="101">
        <f>IF(OR(B276="FIXO",B276="XFIXO"),IF(F276="","ERRO",10*F276)*'[1]BD Campos'!$S$2,IF(F276="","ERRO",10*F276)*'[1]BD Campos'!$S$3)</f>
        <v>0.3</v>
      </c>
      <c r="H276" s="102">
        <v>0.05</v>
      </c>
      <c r="I276" s="103">
        <f t="shared" si="17"/>
        <v>-1.4999999999999999E-2</v>
      </c>
    </row>
    <row r="277" spans="1:9">
      <c r="A277" s="99" t="str">
        <f t="shared" si="16"/>
        <v>DESVIO DE ROTAPonto de Apoio 211</v>
      </c>
      <c r="B277" s="99" t="s">
        <v>133</v>
      </c>
      <c r="C277" s="99" t="s">
        <v>754</v>
      </c>
      <c r="D277" s="115">
        <v>11</v>
      </c>
      <c r="E277" s="99" t="s">
        <v>965</v>
      </c>
      <c r="F277" s="100">
        <v>0.03</v>
      </c>
      <c r="G277" s="101">
        <f>IF(OR(B277="FIXO",B277="XFIXO"),IF(F277="","ERRO",10*F277)*'[1]BD Campos'!$S$2,IF(F277="","ERRO",10*F277)*'[1]BD Campos'!$S$3)</f>
        <v>0.3</v>
      </c>
      <c r="H277" s="102">
        <v>0.05</v>
      </c>
      <c r="I277" s="103">
        <f t="shared" si="17"/>
        <v>-1.4999999999999999E-2</v>
      </c>
    </row>
    <row r="278" spans="1:9">
      <c r="A278" s="99" t="str">
        <f t="shared" si="16"/>
        <v>DESVIO DE ROTAPonto de Apoio 212</v>
      </c>
      <c r="B278" s="99" t="s">
        <v>133</v>
      </c>
      <c r="C278" s="99" t="s">
        <v>754</v>
      </c>
      <c r="D278" s="115">
        <v>12</v>
      </c>
      <c r="E278" s="99" t="s">
        <v>966</v>
      </c>
      <c r="F278" s="100">
        <v>1.4999999999999999E-2</v>
      </c>
      <c r="G278" s="101">
        <f>IF(OR(B278="FIXO",B278="XFIXO"),IF(F278="","ERRO",10*F278)*'[1]BD Campos'!$S$2,IF(F278="","ERRO",10*F278)*'[1]BD Campos'!$S$3)</f>
        <v>0.15</v>
      </c>
      <c r="H278" s="102">
        <v>0.05</v>
      </c>
      <c r="I278" s="103">
        <f t="shared" si="17"/>
        <v>-7.4999999999999997E-3</v>
      </c>
    </row>
    <row r="279" spans="1:9">
      <c r="A279" s="99" t="str">
        <f t="shared" si="16"/>
        <v>DESVIO DE ROTAPonto de Apoio 213</v>
      </c>
      <c r="B279" s="99" t="s">
        <v>133</v>
      </c>
      <c r="C279" s="99" t="s">
        <v>754</v>
      </c>
      <c r="D279" s="115">
        <v>13</v>
      </c>
      <c r="E279" s="99" t="s">
        <v>967</v>
      </c>
      <c r="F279" s="100">
        <v>0.02</v>
      </c>
      <c r="G279" s="101">
        <f>IF(OR(B279="FIXO",B279="XFIXO"),IF(F279="","ERRO",10*F279)*'[1]BD Campos'!$S$2,IF(F279="","ERRO",10*F279)*'[1]BD Campos'!$S$3)</f>
        <v>0.2</v>
      </c>
      <c r="H279" s="102">
        <v>0.05</v>
      </c>
      <c r="I279" s="103">
        <f t="shared" si="17"/>
        <v>-1.0000000000000002E-2</v>
      </c>
    </row>
    <row r="280" spans="1:9">
      <c r="A280" s="99" t="str">
        <f t="shared" si="16"/>
        <v>DESVIO DE ROTAPonto de Apoio 214</v>
      </c>
      <c r="B280" s="99" t="s">
        <v>133</v>
      </c>
      <c r="C280" s="99" t="s">
        <v>754</v>
      </c>
      <c r="D280" s="115">
        <v>14</v>
      </c>
      <c r="E280" s="99" t="s">
        <v>968</v>
      </c>
      <c r="F280" s="110">
        <v>0.03</v>
      </c>
      <c r="G280" s="101">
        <f>IF(OR(B280="FIXO",B280="XFIXO"),IF(F280="","ERRO",10*F280)*'[1]BD Campos'!$S$2,IF(F280="","ERRO",10*F280)*'[1]BD Campos'!$S$3)</f>
        <v>0.3</v>
      </c>
      <c r="H280" s="102">
        <v>0.05</v>
      </c>
      <c r="I280" s="103">
        <f t="shared" si="17"/>
        <v>-1.4999999999999999E-2</v>
      </c>
    </row>
    <row r="281" spans="1:9">
      <c r="A281" s="104" t="str">
        <f t="shared" si="16"/>
        <v>DESVIO DE ROTAPonto de Apoio 215</v>
      </c>
      <c r="B281" s="104" t="s">
        <v>133</v>
      </c>
      <c r="C281" s="104" t="s">
        <v>754</v>
      </c>
      <c r="D281" s="116">
        <v>15</v>
      </c>
      <c r="E281" s="104" t="s">
        <v>969</v>
      </c>
      <c r="F281" s="105">
        <v>0.01</v>
      </c>
      <c r="G281" s="106">
        <f>IF(OR(B281="FIXO",B281="XFIXO"),IF(F281="","ERRO",10*F281)*'[1]BD Campos'!$S$2,IF(F281="","ERRO",10*F281)*'[1]BD Campos'!$S$3)</f>
        <v>0.1</v>
      </c>
      <c r="H281" s="107">
        <v>0.05</v>
      </c>
      <c r="I281" s="108">
        <f t="shared" si="17"/>
        <v>-5.000000000000001E-3</v>
      </c>
    </row>
    <row r="282" spans="1:9">
      <c r="A282" s="99" t="str">
        <f t="shared" si="16"/>
        <v>PARADA INDEVIDAPonto de Apoio1</v>
      </c>
      <c r="B282" s="99" t="s">
        <v>130</v>
      </c>
      <c r="C282" s="99" t="s">
        <v>751</v>
      </c>
      <c r="D282" s="115">
        <v>1</v>
      </c>
      <c r="E282" s="99" t="s">
        <v>954</v>
      </c>
      <c r="F282" s="100">
        <v>0.01</v>
      </c>
      <c r="G282" s="101">
        <f>IF(OR(B282="FIXO",B282="XFIXO"),IF(F282="","ERRO",10*F282)*'[1]BD Campos'!$S$2,IF(F282="","ERRO",10*F282)*'[1]BD Campos'!$S$3)</f>
        <v>0.1</v>
      </c>
      <c r="H282" s="102">
        <v>0.05</v>
      </c>
      <c r="I282" s="103">
        <f t="shared" si="17"/>
        <v>-5.000000000000001E-3</v>
      </c>
    </row>
    <row r="283" spans="1:9">
      <c r="A283" s="99" t="str">
        <f t="shared" si="16"/>
        <v>PARADA INDEVIDAPonto de Apoio2</v>
      </c>
      <c r="B283" s="99" t="s">
        <v>130</v>
      </c>
      <c r="C283" s="99" t="s">
        <v>751</v>
      </c>
      <c r="D283" s="115">
        <v>2</v>
      </c>
      <c r="E283" s="99" t="s">
        <v>955</v>
      </c>
      <c r="F283" s="100">
        <v>0.01</v>
      </c>
      <c r="G283" s="101">
        <f>IF(OR(B283="FIXO",B283="XFIXO"),IF(F283="","ERRO",10*F283)*'[1]BD Campos'!$S$2,IF(F283="","ERRO",10*F283)*'[1]BD Campos'!$S$3)</f>
        <v>0.1</v>
      </c>
      <c r="H283" s="102">
        <v>0.05</v>
      </c>
      <c r="I283" s="103">
        <f t="shared" si="17"/>
        <v>-5.000000000000001E-3</v>
      </c>
    </row>
    <row r="284" spans="1:9">
      <c r="A284" s="99" t="str">
        <f t="shared" si="16"/>
        <v>PARADA INDEVIDAPonto de Apoio3</v>
      </c>
      <c r="B284" s="99" t="s">
        <v>130</v>
      </c>
      <c r="C284" s="99" t="s">
        <v>751</v>
      </c>
      <c r="D284" s="115">
        <v>3</v>
      </c>
      <c r="E284" s="99" t="s">
        <v>956</v>
      </c>
      <c r="F284" s="100">
        <v>0.01</v>
      </c>
      <c r="G284" s="101">
        <f>IF(OR(B284="FIXO",B284="XFIXO"),IF(F284="","ERRO",10*F284)*'[1]BD Campos'!$S$2,IF(F284="","ERRO",10*F284)*'[1]BD Campos'!$S$3)</f>
        <v>0.1</v>
      </c>
      <c r="H284" s="102">
        <v>0.05</v>
      </c>
      <c r="I284" s="103">
        <f t="shared" si="17"/>
        <v>-5.000000000000001E-3</v>
      </c>
    </row>
    <row r="285" spans="1:9">
      <c r="A285" s="99" t="str">
        <f t="shared" si="16"/>
        <v>PARADA INDEVIDAPonto de Apoio4</v>
      </c>
      <c r="B285" s="99" t="s">
        <v>130</v>
      </c>
      <c r="C285" s="99" t="s">
        <v>751</v>
      </c>
      <c r="D285" s="115">
        <v>4</v>
      </c>
      <c r="E285" s="99" t="s">
        <v>982</v>
      </c>
      <c r="F285" s="100">
        <v>0.04</v>
      </c>
      <c r="G285" s="101">
        <f>IF(OR(B285="FIXO",B285="XFIXO"),IF(F285="","ERRO",10*F285)*'[1]BD Campos'!$S$2,IF(F285="","ERRO",10*F285)*'[1]BD Campos'!$S$3)</f>
        <v>0.4</v>
      </c>
      <c r="H285" s="102">
        <v>0.05</v>
      </c>
      <c r="I285" s="103">
        <f t="shared" si="17"/>
        <v>-2.0000000000000004E-2</v>
      </c>
    </row>
    <row r="286" spans="1:9">
      <c r="A286" s="99" t="str">
        <f t="shared" si="16"/>
        <v>PARADA INDEVIDAPonto de Apoio5</v>
      </c>
      <c r="B286" s="99" t="s">
        <v>130</v>
      </c>
      <c r="C286" s="99" t="s">
        <v>751</v>
      </c>
      <c r="D286" s="115">
        <v>5</v>
      </c>
      <c r="E286" s="99" t="s">
        <v>958</v>
      </c>
      <c r="F286" s="100">
        <v>0.12</v>
      </c>
      <c r="G286" s="101">
        <f>IF(OR(B286="FIXO",B286="XFIXO"),IF(F286="","ERRO",10*F286)*'[1]BD Campos'!$S$2,IF(F286="","ERRO",10*F286)*'[1]BD Campos'!$S$3)</f>
        <v>1.2</v>
      </c>
      <c r="H286" s="102">
        <v>0.05</v>
      </c>
      <c r="I286" s="103">
        <f t="shared" si="17"/>
        <v>-0.06</v>
      </c>
    </row>
    <row r="287" spans="1:9">
      <c r="A287" s="99" t="str">
        <f t="shared" si="16"/>
        <v>PARADA INDEVIDAPonto de Apoio6</v>
      </c>
      <c r="B287" s="99" t="s">
        <v>130</v>
      </c>
      <c r="C287" s="99" t="s">
        <v>751</v>
      </c>
      <c r="D287" s="115">
        <v>6</v>
      </c>
      <c r="E287" s="99" t="s">
        <v>998</v>
      </c>
      <c r="F287" s="100">
        <v>0.19500000000000001</v>
      </c>
      <c r="G287" s="101">
        <f>IF(OR(B287="FIXO",B287="XFIXO"),IF(F287="","ERRO",10*F287)*'[1]BD Campos'!$S$2,IF(F287="","ERRO",10*F287)*'[1]BD Campos'!$S$3)</f>
        <v>1.9500000000000002</v>
      </c>
      <c r="H287" s="102">
        <v>0.05</v>
      </c>
      <c r="I287" s="103">
        <f t="shared" si="17"/>
        <v>-9.7500000000000017E-2</v>
      </c>
    </row>
    <row r="288" spans="1:9">
      <c r="A288" s="99" t="str">
        <f t="shared" si="16"/>
        <v>PARADA INDEVIDAPonto de Apoio7</v>
      </c>
      <c r="B288" s="99" t="s">
        <v>130</v>
      </c>
      <c r="C288" s="99" t="s">
        <v>751</v>
      </c>
      <c r="D288" s="115">
        <v>7</v>
      </c>
      <c r="E288" s="99" t="s">
        <v>999</v>
      </c>
      <c r="F288" s="100">
        <v>0.16</v>
      </c>
      <c r="G288" s="101">
        <f>IF(OR(B288="FIXO",B288="XFIXO"),IF(F288="","ERRO",10*F288)*'[1]BD Campos'!$S$2,IF(F288="","ERRO",10*F288)*'[1]BD Campos'!$S$3)</f>
        <v>1.6</v>
      </c>
      <c r="H288" s="102">
        <v>0.05</v>
      </c>
      <c r="I288" s="103">
        <f t="shared" si="17"/>
        <v>-8.0000000000000016E-2</v>
      </c>
    </row>
    <row r="289" spans="1:9">
      <c r="A289" s="99" t="str">
        <f t="shared" si="16"/>
        <v>PARADA INDEVIDAPonto de Apoio8</v>
      </c>
      <c r="B289" s="99" t="s">
        <v>130</v>
      </c>
      <c r="C289" s="99" t="s">
        <v>751</v>
      </c>
      <c r="D289" s="115">
        <v>8</v>
      </c>
      <c r="E289" s="99" t="s">
        <v>1000</v>
      </c>
      <c r="F289" s="100">
        <v>0.16</v>
      </c>
      <c r="G289" s="101">
        <f>IF(OR(B289="FIXO",B289="XFIXO"),IF(F289="","ERRO",10*F289)*'[1]BD Campos'!$S$2,IF(F289="","ERRO",10*F289)*'[1]BD Campos'!$S$3)</f>
        <v>1.6</v>
      </c>
      <c r="H289" s="102">
        <v>0.05</v>
      </c>
      <c r="I289" s="103">
        <f t="shared" si="17"/>
        <v>-8.0000000000000016E-2</v>
      </c>
    </row>
    <row r="290" spans="1:9">
      <c r="A290" s="99" t="str">
        <f t="shared" si="16"/>
        <v>PARADA INDEVIDAPonto de Apoio9</v>
      </c>
      <c r="B290" s="99" t="s">
        <v>130</v>
      </c>
      <c r="C290" s="99" t="s">
        <v>751</v>
      </c>
      <c r="D290" s="115">
        <v>9</v>
      </c>
      <c r="E290" s="99" t="s">
        <v>1001</v>
      </c>
      <c r="F290" s="100">
        <v>0.16</v>
      </c>
      <c r="G290" s="101">
        <f>IF(OR(B290="FIXO",B290="XFIXO"),IF(F290="","ERRO",10*F290)*'[1]BD Campos'!$S$2,IF(F290="","ERRO",10*F290)*'[1]BD Campos'!$S$3)</f>
        <v>1.6</v>
      </c>
      <c r="H290" s="102">
        <v>0.05</v>
      </c>
      <c r="I290" s="103">
        <f t="shared" si="17"/>
        <v>-8.0000000000000016E-2</v>
      </c>
    </row>
    <row r="291" spans="1:9">
      <c r="A291" s="99" t="str">
        <f t="shared" si="16"/>
        <v>PARADA INDEVIDAPonto de Apoio10</v>
      </c>
      <c r="B291" s="99" t="s">
        <v>130</v>
      </c>
      <c r="C291" s="99" t="s">
        <v>751</v>
      </c>
      <c r="D291" s="115">
        <v>10</v>
      </c>
      <c r="E291" s="99" t="s">
        <v>964</v>
      </c>
      <c r="F291" s="100">
        <v>0.03</v>
      </c>
      <c r="G291" s="101">
        <f>IF(OR(B291="FIXO",B291="XFIXO"),IF(F291="","ERRO",10*F291)*'[1]BD Campos'!$S$2,IF(F291="","ERRO",10*F291)*'[1]BD Campos'!$S$3)</f>
        <v>0.3</v>
      </c>
      <c r="H291" s="102">
        <v>0.05</v>
      </c>
      <c r="I291" s="103">
        <f t="shared" si="17"/>
        <v>-1.4999999999999999E-2</v>
      </c>
    </row>
    <row r="292" spans="1:9">
      <c r="A292" s="99" t="str">
        <f t="shared" si="16"/>
        <v>PARADA INDEVIDAPonto de Apoio11</v>
      </c>
      <c r="B292" s="99" t="s">
        <v>130</v>
      </c>
      <c r="C292" s="99" t="s">
        <v>751</v>
      </c>
      <c r="D292" s="115">
        <v>11</v>
      </c>
      <c r="E292" s="99" t="s">
        <v>965</v>
      </c>
      <c r="F292" s="100">
        <v>0.03</v>
      </c>
      <c r="G292" s="101">
        <f>IF(OR(B292="FIXO",B292="XFIXO"),IF(F292="","ERRO",10*F292)*'[1]BD Campos'!$S$2,IF(F292="","ERRO",10*F292)*'[1]BD Campos'!$S$3)</f>
        <v>0.3</v>
      </c>
      <c r="H292" s="102">
        <v>0.05</v>
      </c>
      <c r="I292" s="103">
        <f t="shared" si="17"/>
        <v>-1.4999999999999999E-2</v>
      </c>
    </row>
    <row r="293" spans="1:9">
      <c r="A293" s="99" t="str">
        <f t="shared" si="16"/>
        <v>PARADA INDEVIDAPonto de Apoio12</v>
      </c>
      <c r="B293" s="99" t="s">
        <v>130</v>
      </c>
      <c r="C293" s="99" t="s">
        <v>751</v>
      </c>
      <c r="D293" s="115">
        <v>12</v>
      </c>
      <c r="E293" s="99" t="s">
        <v>966</v>
      </c>
      <c r="F293" s="100">
        <v>1.4999999999999999E-2</v>
      </c>
      <c r="G293" s="101">
        <f>IF(OR(B293="FIXO",B293="XFIXO"),IF(F293="","ERRO",10*F293)*'[1]BD Campos'!$S$2,IF(F293="","ERRO",10*F293)*'[1]BD Campos'!$S$3)</f>
        <v>0.15</v>
      </c>
      <c r="H293" s="102">
        <v>0.05</v>
      </c>
      <c r="I293" s="103">
        <f t="shared" si="17"/>
        <v>-7.4999999999999997E-3</v>
      </c>
    </row>
    <row r="294" spans="1:9">
      <c r="A294" s="99" t="str">
        <f t="shared" si="16"/>
        <v>PARADA INDEVIDAPonto de Apoio13</v>
      </c>
      <c r="B294" s="99" t="s">
        <v>130</v>
      </c>
      <c r="C294" s="99" t="s">
        <v>751</v>
      </c>
      <c r="D294" s="115">
        <v>13</v>
      </c>
      <c r="E294" s="99" t="s">
        <v>967</v>
      </c>
      <c r="F294" s="100">
        <v>0.02</v>
      </c>
      <c r="G294" s="101">
        <f>IF(OR(B294="FIXO",B294="XFIXO"),IF(F294="","ERRO",10*F294)*'[1]BD Campos'!$S$2,IF(F294="","ERRO",10*F294)*'[1]BD Campos'!$S$3)</f>
        <v>0.2</v>
      </c>
      <c r="H294" s="102">
        <v>0.05</v>
      </c>
      <c r="I294" s="103">
        <f t="shared" si="17"/>
        <v>-1.0000000000000002E-2</v>
      </c>
    </row>
    <row r="295" spans="1:9">
      <c r="A295" s="99" t="str">
        <f t="shared" si="16"/>
        <v>PARADA INDEVIDAPonto de Apoio14</v>
      </c>
      <c r="B295" s="99" t="s">
        <v>130</v>
      </c>
      <c r="C295" s="99" t="s">
        <v>751</v>
      </c>
      <c r="D295" s="115">
        <v>14</v>
      </c>
      <c r="E295" s="99" t="s">
        <v>968</v>
      </c>
      <c r="F295" s="110">
        <v>0.03</v>
      </c>
      <c r="G295" s="101">
        <f>IF(OR(B295="FIXO",B295="XFIXO"),IF(F295="","ERRO",10*F295)*'[1]BD Campos'!$S$2,IF(F295="","ERRO",10*F295)*'[1]BD Campos'!$S$3)</f>
        <v>0.3</v>
      </c>
      <c r="H295" s="102">
        <v>0.05</v>
      </c>
      <c r="I295" s="103">
        <f t="shared" si="17"/>
        <v>-1.4999999999999999E-2</v>
      </c>
    </row>
    <row r="296" spans="1:9">
      <c r="A296" s="104" t="str">
        <f t="shared" si="16"/>
        <v>PARADA INDEVIDAPonto de Apoio15</v>
      </c>
      <c r="B296" s="104" t="s">
        <v>130</v>
      </c>
      <c r="C296" s="104" t="s">
        <v>751</v>
      </c>
      <c r="D296" s="116">
        <v>15</v>
      </c>
      <c r="E296" s="104" t="s">
        <v>969</v>
      </c>
      <c r="F296" s="105">
        <v>0.01</v>
      </c>
      <c r="G296" s="106">
        <f>IF(OR(B296="FIXO",B296="XFIXO"),IF(F296="","ERRO",10*F296)*'[1]BD Campos'!$S$2,IF(F296="","ERRO",10*F296)*'[1]BD Campos'!$S$3)</f>
        <v>0.1</v>
      </c>
      <c r="H296" s="107">
        <v>0.05</v>
      </c>
      <c r="I296" s="108">
        <f t="shared" si="17"/>
        <v>-5.000000000000001E-3</v>
      </c>
    </row>
    <row r="297" spans="1:9">
      <c r="A297" s="99" t="str">
        <f t="shared" si="16"/>
        <v>PARADA INDEVIDAPonto de Apoio 21</v>
      </c>
      <c r="B297" s="99" t="s">
        <v>130</v>
      </c>
      <c r="C297" s="99" t="s">
        <v>754</v>
      </c>
      <c r="D297" s="115">
        <v>1</v>
      </c>
      <c r="E297" s="99" t="s">
        <v>954</v>
      </c>
      <c r="F297" s="100">
        <v>0.01</v>
      </c>
      <c r="G297" s="101">
        <f>IF(OR(B297="FIXO",B297="XFIXO"),IF(F297="","ERRO",10*F297)*'[1]BD Campos'!$S$2,IF(F297="","ERRO",10*F297)*'[1]BD Campos'!$S$3)</f>
        <v>0.1</v>
      </c>
      <c r="H297" s="102">
        <v>0.05</v>
      </c>
      <c r="I297" s="103">
        <f t="shared" si="17"/>
        <v>-5.000000000000001E-3</v>
      </c>
    </row>
    <row r="298" spans="1:9">
      <c r="A298" s="99" t="str">
        <f t="shared" si="16"/>
        <v>PARADA INDEVIDAPonto de Apoio 22</v>
      </c>
      <c r="B298" s="99" t="s">
        <v>130</v>
      </c>
      <c r="C298" s="99" t="s">
        <v>754</v>
      </c>
      <c r="D298" s="115">
        <v>2</v>
      </c>
      <c r="E298" s="99" t="s">
        <v>955</v>
      </c>
      <c r="F298" s="100">
        <v>0.01</v>
      </c>
      <c r="G298" s="101">
        <f>IF(OR(B298="FIXO",B298="XFIXO"),IF(F298="","ERRO",10*F298)*'[1]BD Campos'!$S$2,IF(F298="","ERRO",10*F298)*'[1]BD Campos'!$S$3)</f>
        <v>0.1</v>
      </c>
      <c r="H298" s="102">
        <v>0.05</v>
      </c>
      <c r="I298" s="103">
        <f t="shared" si="17"/>
        <v>-5.000000000000001E-3</v>
      </c>
    </row>
    <row r="299" spans="1:9">
      <c r="A299" s="99" t="str">
        <f t="shared" si="16"/>
        <v>PARADA INDEVIDAPonto de Apoio 23</v>
      </c>
      <c r="B299" s="99" t="s">
        <v>130</v>
      </c>
      <c r="C299" s="99" t="s">
        <v>754</v>
      </c>
      <c r="D299" s="115">
        <v>3</v>
      </c>
      <c r="E299" s="99" t="s">
        <v>956</v>
      </c>
      <c r="F299" s="100">
        <v>0.01</v>
      </c>
      <c r="G299" s="101">
        <f>IF(OR(B299="FIXO",B299="XFIXO"),IF(F299="","ERRO",10*F299)*'[1]BD Campos'!$S$2,IF(F299="","ERRO",10*F299)*'[1]BD Campos'!$S$3)</f>
        <v>0.1</v>
      </c>
      <c r="H299" s="102">
        <v>0.05</v>
      </c>
      <c r="I299" s="103">
        <f t="shared" si="17"/>
        <v>-5.000000000000001E-3</v>
      </c>
    </row>
    <row r="300" spans="1:9">
      <c r="A300" s="99" t="str">
        <f t="shared" si="16"/>
        <v>PARADA INDEVIDAPonto de Apoio 24</v>
      </c>
      <c r="B300" s="99" t="s">
        <v>130</v>
      </c>
      <c r="C300" s="99" t="s">
        <v>754</v>
      </c>
      <c r="D300" s="115">
        <v>4</v>
      </c>
      <c r="E300" s="99" t="s">
        <v>982</v>
      </c>
      <c r="F300" s="100">
        <v>0.04</v>
      </c>
      <c r="G300" s="101">
        <f>IF(OR(B300="FIXO",B300="XFIXO"),IF(F300="","ERRO",10*F300)*'[1]BD Campos'!$S$2,IF(F300="","ERRO",10*F300)*'[1]BD Campos'!$S$3)</f>
        <v>0.4</v>
      </c>
      <c r="H300" s="102">
        <v>0.05</v>
      </c>
      <c r="I300" s="103">
        <f t="shared" si="17"/>
        <v>-2.0000000000000004E-2</v>
      </c>
    </row>
    <row r="301" spans="1:9">
      <c r="A301" s="99" t="str">
        <f t="shared" si="16"/>
        <v>PARADA INDEVIDAPonto de Apoio 25</v>
      </c>
      <c r="B301" s="99" t="s">
        <v>130</v>
      </c>
      <c r="C301" s="99" t="s">
        <v>754</v>
      </c>
      <c r="D301" s="115">
        <v>5</v>
      </c>
      <c r="E301" s="99" t="s">
        <v>958</v>
      </c>
      <c r="F301" s="100">
        <v>0.12</v>
      </c>
      <c r="G301" s="101">
        <f>IF(OR(B301="FIXO",B301="XFIXO"),IF(F301="","ERRO",10*F301)*'[1]BD Campos'!$S$2,IF(F301="","ERRO",10*F301)*'[1]BD Campos'!$S$3)</f>
        <v>1.2</v>
      </c>
      <c r="H301" s="102">
        <v>0.05</v>
      </c>
      <c r="I301" s="103">
        <f t="shared" si="17"/>
        <v>-0.06</v>
      </c>
    </row>
    <row r="302" spans="1:9">
      <c r="A302" s="99" t="str">
        <f t="shared" si="16"/>
        <v>PARADA INDEVIDAPonto de Apoio 26</v>
      </c>
      <c r="B302" s="99" t="s">
        <v>130</v>
      </c>
      <c r="C302" s="99" t="s">
        <v>754</v>
      </c>
      <c r="D302" s="115">
        <v>6</v>
      </c>
      <c r="E302" s="99" t="s">
        <v>998</v>
      </c>
      <c r="F302" s="100">
        <v>0.19500000000000001</v>
      </c>
      <c r="G302" s="101">
        <f>IF(OR(B302="FIXO",B302="XFIXO"),IF(F302="","ERRO",10*F302)*'[1]BD Campos'!$S$2,IF(F302="","ERRO",10*F302)*'[1]BD Campos'!$S$3)</f>
        <v>1.9500000000000002</v>
      </c>
      <c r="H302" s="102">
        <v>0.05</v>
      </c>
      <c r="I302" s="103">
        <f t="shared" si="17"/>
        <v>-9.7500000000000017E-2</v>
      </c>
    </row>
    <row r="303" spans="1:9">
      <c r="A303" s="99" t="str">
        <f t="shared" si="16"/>
        <v>PARADA INDEVIDAPonto de Apoio 27</v>
      </c>
      <c r="B303" s="99" t="s">
        <v>130</v>
      </c>
      <c r="C303" s="99" t="s">
        <v>754</v>
      </c>
      <c r="D303" s="115">
        <v>7</v>
      </c>
      <c r="E303" s="99" t="s">
        <v>999</v>
      </c>
      <c r="F303" s="100">
        <v>0.16</v>
      </c>
      <c r="G303" s="101">
        <f>IF(OR(B303="FIXO",B303="XFIXO"),IF(F303="","ERRO",10*F303)*'[1]BD Campos'!$S$2,IF(F303="","ERRO",10*F303)*'[1]BD Campos'!$S$3)</f>
        <v>1.6</v>
      </c>
      <c r="H303" s="102">
        <v>0.05</v>
      </c>
      <c r="I303" s="103">
        <f t="shared" si="17"/>
        <v>-8.0000000000000016E-2</v>
      </c>
    </row>
    <row r="304" spans="1:9">
      <c r="A304" s="99" t="str">
        <f t="shared" si="16"/>
        <v>PARADA INDEVIDAPonto de Apoio 28</v>
      </c>
      <c r="B304" s="99" t="s">
        <v>130</v>
      </c>
      <c r="C304" s="99" t="s">
        <v>754</v>
      </c>
      <c r="D304" s="115">
        <v>8</v>
      </c>
      <c r="E304" s="99" t="s">
        <v>1000</v>
      </c>
      <c r="F304" s="100">
        <v>0.16</v>
      </c>
      <c r="G304" s="101">
        <f>IF(OR(B304="FIXO",B304="XFIXO"),IF(F304="","ERRO",10*F304)*'[1]BD Campos'!$S$2,IF(F304="","ERRO",10*F304)*'[1]BD Campos'!$S$3)</f>
        <v>1.6</v>
      </c>
      <c r="H304" s="102">
        <v>0.05</v>
      </c>
      <c r="I304" s="103">
        <f t="shared" si="17"/>
        <v>-8.0000000000000016E-2</v>
      </c>
    </row>
    <row r="305" spans="1:9">
      <c r="A305" s="99" t="str">
        <f t="shared" si="16"/>
        <v>PARADA INDEVIDAPonto de Apoio 29</v>
      </c>
      <c r="B305" s="99" t="s">
        <v>130</v>
      </c>
      <c r="C305" s="99" t="s">
        <v>754</v>
      </c>
      <c r="D305" s="115">
        <v>9</v>
      </c>
      <c r="E305" s="99" t="s">
        <v>1001</v>
      </c>
      <c r="F305" s="100">
        <v>0.16</v>
      </c>
      <c r="G305" s="101">
        <f>IF(OR(B305="FIXO",B305="XFIXO"),IF(F305="","ERRO",10*F305)*'[1]BD Campos'!$S$2,IF(F305="","ERRO",10*F305)*'[1]BD Campos'!$S$3)</f>
        <v>1.6</v>
      </c>
      <c r="H305" s="102">
        <v>0.05</v>
      </c>
      <c r="I305" s="103">
        <f t="shared" si="17"/>
        <v>-8.0000000000000016E-2</v>
      </c>
    </row>
    <row r="306" spans="1:9">
      <c r="A306" s="99" t="str">
        <f t="shared" si="16"/>
        <v>PARADA INDEVIDAPonto de Apoio 210</v>
      </c>
      <c r="B306" s="99" t="s">
        <v>130</v>
      </c>
      <c r="C306" s="99" t="s">
        <v>754</v>
      </c>
      <c r="D306" s="115">
        <v>10</v>
      </c>
      <c r="E306" s="99" t="s">
        <v>964</v>
      </c>
      <c r="F306" s="100">
        <v>0.03</v>
      </c>
      <c r="G306" s="101">
        <f>IF(OR(B306="FIXO",B306="XFIXO"),IF(F306="","ERRO",10*F306)*'[1]BD Campos'!$S$2,IF(F306="","ERRO",10*F306)*'[1]BD Campos'!$S$3)</f>
        <v>0.3</v>
      </c>
      <c r="H306" s="102">
        <v>0.05</v>
      </c>
      <c r="I306" s="103">
        <f t="shared" si="17"/>
        <v>-1.4999999999999999E-2</v>
      </c>
    </row>
    <row r="307" spans="1:9">
      <c r="A307" s="99" t="str">
        <f t="shared" si="16"/>
        <v>PARADA INDEVIDAPonto de Apoio 211</v>
      </c>
      <c r="B307" s="99" t="s">
        <v>130</v>
      </c>
      <c r="C307" s="99" t="s">
        <v>754</v>
      </c>
      <c r="D307" s="115">
        <v>11</v>
      </c>
      <c r="E307" s="99" t="s">
        <v>965</v>
      </c>
      <c r="F307" s="100">
        <v>0.03</v>
      </c>
      <c r="G307" s="101">
        <f>IF(OR(B307="FIXO",B307="XFIXO"),IF(F307="","ERRO",10*F307)*'[1]BD Campos'!$S$2,IF(F307="","ERRO",10*F307)*'[1]BD Campos'!$S$3)</f>
        <v>0.3</v>
      </c>
      <c r="H307" s="102">
        <v>0.05</v>
      </c>
      <c r="I307" s="103">
        <f t="shared" si="17"/>
        <v>-1.4999999999999999E-2</v>
      </c>
    </row>
    <row r="308" spans="1:9">
      <c r="A308" s="99" t="str">
        <f t="shared" si="16"/>
        <v>PARADA INDEVIDAPonto de Apoio 212</v>
      </c>
      <c r="B308" s="99" t="s">
        <v>130</v>
      </c>
      <c r="C308" s="99" t="s">
        <v>754</v>
      </c>
      <c r="D308" s="115">
        <v>12</v>
      </c>
      <c r="E308" s="99" t="s">
        <v>966</v>
      </c>
      <c r="F308" s="100">
        <v>1.4999999999999999E-2</v>
      </c>
      <c r="G308" s="101">
        <f>IF(OR(B308="FIXO",B308="XFIXO"),IF(F308="","ERRO",10*F308)*'[1]BD Campos'!$S$2,IF(F308="","ERRO",10*F308)*'[1]BD Campos'!$S$3)</f>
        <v>0.15</v>
      </c>
      <c r="H308" s="102">
        <v>0.05</v>
      </c>
      <c r="I308" s="103">
        <f t="shared" si="17"/>
        <v>-7.4999999999999997E-3</v>
      </c>
    </row>
    <row r="309" spans="1:9">
      <c r="A309" s="99" t="str">
        <f t="shared" si="16"/>
        <v>PARADA INDEVIDAPonto de Apoio 213</v>
      </c>
      <c r="B309" s="99" t="s">
        <v>130</v>
      </c>
      <c r="C309" s="99" t="s">
        <v>754</v>
      </c>
      <c r="D309" s="115">
        <v>13</v>
      </c>
      <c r="E309" s="99" t="s">
        <v>967</v>
      </c>
      <c r="F309" s="100">
        <v>0.02</v>
      </c>
      <c r="G309" s="101">
        <f>IF(OR(B309="FIXO",B309="XFIXO"),IF(F309="","ERRO",10*F309)*'[1]BD Campos'!$S$2,IF(F309="","ERRO",10*F309)*'[1]BD Campos'!$S$3)</f>
        <v>0.2</v>
      </c>
      <c r="H309" s="102">
        <v>0.05</v>
      </c>
      <c r="I309" s="103">
        <f t="shared" si="17"/>
        <v>-1.0000000000000002E-2</v>
      </c>
    </row>
    <row r="310" spans="1:9">
      <c r="A310" s="99" t="str">
        <f t="shared" si="16"/>
        <v>PARADA INDEVIDAPonto de Apoio 214</v>
      </c>
      <c r="B310" s="99" t="s">
        <v>130</v>
      </c>
      <c r="C310" s="99" t="s">
        <v>754</v>
      </c>
      <c r="D310" s="115">
        <v>14</v>
      </c>
      <c r="E310" s="99" t="s">
        <v>968</v>
      </c>
      <c r="F310" s="110">
        <v>0.03</v>
      </c>
      <c r="G310" s="101">
        <f>IF(OR(B310="FIXO",B310="XFIXO"),IF(F310="","ERRO",10*F310)*'[1]BD Campos'!$S$2,IF(F310="","ERRO",10*F310)*'[1]BD Campos'!$S$3)</f>
        <v>0.3</v>
      </c>
      <c r="H310" s="102">
        <v>0.05</v>
      </c>
      <c r="I310" s="103">
        <f t="shared" si="17"/>
        <v>-1.4999999999999999E-2</v>
      </c>
    </row>
    <row r="311" spans="1:9">
      <c r="A311" s="104" t="str">
        <f t="shared" si="16"/>
        <v>PARADA INDEVIDAPonto de Apoio 215</v>
      </c>
      <c r="B311" s="104" t="s">
        <v>130</v>
      </c>
      <c r="C311" s="104" t="s">
        <v>754</v>
      </c>
      <c r="D311" s="116">
        <v>15</v>
      </c>
      <c r="E311" s="104" t="s">
        <v>969</v>
      </c>
      <c r="F311" s="105">
        <v>0.01</v>
      </c>
      <c r="G311" s="106">
        <f>IF(OR(B311="FIXO",B311="XFIXO"),IF(F311="","ERRO",10*F311)*'[1]BD Campos'!$S$2,IF(F311="","ERRO",10*F311)*'[1]BD Campos'!$S$3)</f>
        <v>0.1</v>
      </c>
      <c r="H311" s="107">
        <v>0.05</v>
      </c>
      <c r="I311" s="108">
        <f t="shared" si="17"/>
        <v>-5.000000000000001E-3</v>
      </c>
    </row>
    <row r="312" spans="1:9">
      <c r="A312" s="99" t="str">
        <f t="shared" si="16"/>
        <v>POSIÇÃO EM ATRASOPonto de Apoio1</v>
      </c>
      <c r="B312" s="99" t="s">
        <v>96</v>
      </c>
      <c r="C312" s="99" t="s">
        <v>751</v>
      </c>
      <c r="D312" s="115">
        <v>1</v>
      </c>
      <c r="E312" s="99" t="s">
        <v>954</v>
      </c>
      <c r="F312" s="100">
        <v>0.01</v>
      </c>
      <c r="G312" s="101">
        <f>IF(OR(B312="FIXO",B312="XFIXO"),IF(F312="","ERRO",10*F312)*'[1]BD Campos'!$S$2,IF(F312="","ERRO",10*F312)*'[1]BD Campos'!$S$3)</f>
        <v>0.1</v>
      </c>
      <c r="H312" s="102">
        <v>0.05</v>
      </c>
      <c r="I312" s="103">
        <f t="shared" si="17"/>
        <v>-5.000000000000001E-3</v>
      </c>
    </row>
    <row r="313" spans="1:9">
      <c r="A313" s="99" t="str">
        <f t="shared" si="16"/>
        <v>POSIÇÃO EM ATRASOPonto de Apoio2</v>
      </c>
      <c r="B313" s="99" t="s">
        <v>96</v>
      </c>
      <c r="C313" s="99" t="s">
        <v>751</v>
      </c>
      <c r="D313" s="115">
        <v>2</v>
      </c>
      <c r="E313" s="99" t="s">
        <v>955</v>
      </c>
      <c r="F313" s="100">
        <v>0.01</v>
      </c>
      <c r="G313" s="101">
        <f>IF(OR(B313="FIXO",B313="XFIXO"),IF(F313="","ERRO",10*F313)*'[1]BD Campos'!$S$2,IF(F313="","ERRO",10*F313)*'[1]BD Campos'!$S$3)</f>
        <v>0.1</v>
      </c>
      <c r="H313" s="102">
        <v>0.05</v>
      </c>
      <c r="I313" s="103">
        <f t="shared" si="17"/>
        <v>-5.000000000000001E-3</v>
      </c>
    </row>
    <row r="314" spans="1:9">
      <c r="A314" s="99" t="str">
        <f t="shared" si="16"/>
        <v>POSIÇÃO EM ATRASOPonto de Apoio3</v>
      </c>
      <c r="B314" s="99" t="s">
        <v>96</v>
      </c>
      <c r="C314" s="99" t="s">
        <v>751</v>
      </c>
      <c r="D314" s="115">
        <v>3</v>
      </c>
      <c r="E314" s="99" t="s">
        <v>956</v>
      </c>
      <c r="F314" s="100">
        <v>0.01</v>
      </c>
      <c r="G314" s="101">
        <f>IF(OR(B314="FIXO",B314="XFIXO"),IF(F314="","ERRO",10*F314)*'[1]BD Campos'!$S$2,IF(F314="","ERRO",10*F314)*'[1]BD Campos'!$S$3)</f>
        <v>0.1</v>
      </c>
      <c r="H314" s="102">
        <v>0.05</v>
      </c>
      <c r="I314" s="103">
        <f t="shared" si="17"/>
        <v>-5.000000000000001E-3</v>
      </c>
    </row>
    <row r="315" spans="1:9">
      <c r="A315" s="99" t="str">
        <f t="shared" si="16"/>
        <v>POSIÇÃO EM ATRASOPonto de Apoio4</v>
      </c>
      <c r="B315" s="99" t="s">
        <v>96</v>
      </c>
      <c r="C315" s="99" t="s">
        <v>751</v>
      </c>
      <c r="D315" s="115">
        <v>4</v>
      </c>
      <c r="E315" s="99" t="s">
        <v>982</v>
      </c>
      <c r="F315" s="100">
        <v>0.04</v>
      </c>
      <c r="G315" s="101">
        <f>IF(OR(B315="FIXO",B315="XFIXO"),IF(F315="","ERRO",10*F315)*'[1]BD Campos'!$S$2,IF(F315="","ERRO",10*F315)*'[1]BD Campos'!$S$3)</f>
        <v>0.4</v>
      </c>
      <c r="H315" s="102">
        <v>0.05</v>
      </c>
      <c r="I315" s="103">
        <f t="shared" si="17"/>
        <v>-2.0000000000000004E-2</v>
      </c>
    </row>
    <row r="316" spans="1:9">
      <c r="A316" s="99" t="str">
        <f t="shared" si="16"/>
        <v>POSIÇÃO EM ATRASOPonto de Apoio5</v>
      </c>
      <c r="B316" s="99" t="s">
        <v>96</v>
      </c>
      <c r="C316" s="99" t="s">
        <v>751</v>
      </c>
      <c r="D316" s="115">
        <v>5</v>
      </c>
      <c r="E316" s="99" t="s">
        <v>958</v>
      </c>
      <c r="F316" s="100">
        <v>0.12</v>
      </c>
      <c r="G316" s="101">
        <f>IF(OR(B316="FIXO",B316="XFIXO"),IF(F316="","ERRO",10*F316)*'[1]BD Campos'!$S$2,IF(F316="","ERRO",10*F316)*'[1]BD Campos'!$S$3)</f>
        <v>1.2</v>
      </c>
      <c r="H316" s="102">
        <v>0.05</v>
      </c>
      <c r="I316" s="103">
        <f t="shared" si="17"/>
        <v>-0.06</v>
      </c>
    </row>
    <row r="317" spans="1:9">
      <c r="A317" s="99" t="str">
        <f t="shared" si="16"/>
        <v>POSIÇÃO EM ATRASOPonto de Apoio6</v>
      </c>
      <c r="B317" s="99" t="s">
        <v>96</v>
      </c>
      <c r="C317" s="99" t="s">
        <v>751</v>
      </c>
      <c r="D317" s="115">
        <v>6</v>
      </c>
      <c r="E317" s="99" t="s">
        <v>998</v>
      </c>
      <c r="F317" s="100">
        <v>0.19500000000000001</v>
      </c>
      <c r="G317" s="101">
        <f>IF(OR(B317="FIXO",B317="XFIXO"),IF(F317="","ERRO",10*F317)*'[1]BD Campos'!$S$2,IF(F317="","ERRO",10*F317)*'[1]BD Campos'!$S$3)</f>
        <v>1.9500000000000002</v>
      </c>
      <c r="H317" s="102">
        <v>0.05</v>
      </c>
      <c r="I317" s="103">
        <f t="shared" si="17"/>
        <v>-9.7500000000000017E-2</v>
      </c>
    </row>
    <row r="318" spans="1:9">
      <c r="A318" s="99" t="str">
        <f t="shared" si="16"/>
        <v>POSIÇÃO EM ATRASOPonto de Apoio7</v>
      </c>
      <c r="B318" s="99" t="s">
        <v>96</v>
      </c>
      <c r="C318" s="99" t="s">
        <v>751</v>
      </c>
      <c r="D318" s="115">
        <v>7</v>
      </c>
      <c r="E318" s="99" t="s">
        <v>999</v>
      </c>
      <c r="F318" s="100">
        <v>0.16</v>
      </c>
      <c r="G318" s="101">
        <f>IF(OR(B318="FIXO",B318="XFIXO"),IF(F318="","ERRO",10*F318)*'[1]BD Campos'!$S$2,IF(F318="","ERRO",10*F318)*'[1]BD Campos'!$S$3)</f>
        <v>1.6</v>
      </c>
      <c r="H318" s="102">
        <v>0.05</v>
      </c>
      <c r="I318" s="103">
        <f t="shared" si="17"/>
        <v>-8.0000000000000016E-2</v>
      </c>
    </row>
    <row r="319" spans="1:9">
      <c r="A319" s="99" t="str">
        <f t="shared" si="16"/>
        <v>POSIÇÃO EM ATRASOPonto de Apoio8</v>
      </c>
      <c r="B319" s="99" t="s">
        <v>96</v>
      </c>
      <c r="C319" s="99" t="s">
        <v>751</v>
      </c>
      <c r="D319" s="115">
        <v>8</v>
      </c>
      <c r="E319" s="99" t="s">
        <v>1000</v>
      </c>
      <c r="F319" s="100">
        <v>0.16</v>
      </c>
      <c r="G319" s="101">
        <f>IF(OR(B319="FIXO",B319="XFIXO"),IF(F319="","ERRO",10*F319)*'[1]BD Campos'!$S$2,IF(F319="","ERRO",10*F319)*'[1]BD Campos'!$S$3)</f>
        <v>1.6</v>
      </c>
      <c r="H319" s="102">
        <v>0.05</v>
      </c>
      <c r="I319" s="103">
        <f t="shared" si="17"/>
        <v>-8.0000000000000016E-2</v>
      </c>
    </row>
    <row r="320" spans="1:9">
      <c r="A320" s="99" t="str">
        <f t="shared" si="16"/>
        <v>POSIÇÃO EM ATRASOPonto de Apoio9</v>
      </c>
      <c r="B320" s="99" t="s">
        <v>96</v>
      </c>
      <c r="C320" s="99" t="s">
        <v>751</v>
      </c>
      <c r="D320" s="115">
        <v>9</v>
      </c>
      <c r="E320" s="99" t="s">
        <v>1001</v>
      </c>
      <c r="F320" s="100">
        <v>0.16</v>
      </c>
      <c r="G320" s="101">
        <f>IF(OR(B320="FIXO",B320="XFIXO"),IF(F320="","ERRO",10*F320)*'[1]BD Campos'!$S$2,IF(F320="","ERRO",10*F320)*'[1]BD Campos'!$S$3)</f>
        <v>1.6</v>
      </c>
      <c r="H320" s="102">
        <v>0.05</v>
      </c>
      <c r="I320" s="103">
        <f t="shared" si="17"/>
        <v>-8.0000000000000016E-2</v>
      </c>
    </row>
    <row r="321" spans="1:9">
      <c r="A321" s="99" t="str">
        <f t="shared" ref="A321:A384" si="18">B321&amp;C321&amp;D321</f>
        <v>POSIÇÃO EM ATRASOPonto de Apoio10</v>
      </c>
      <c r="B321" s="99" t="s">
        <v>96</v>
      </c>
      <c r="C321" s="99" t="s">
        <v>751</v>
      </c>
      <c r="D321" s="115">
        <v>10</v>
      </c>
      <c r="E321" s="99" t="s">
        <v>964</v>
      </c>
      <c r="F321" s="100">
        <v>0.03</v>
      </c>
      <c r="G321" s="101">
        <f>IF(OR(B321="FIXO",B321="XFIXO"),IF(F321="","ERRO",10*F321)*'[1]BD Campos'!$S$2,IF(F321="","ERRO",10*F321)*'[1]BD Campos'!$S$3)</f>
        <v>0.3</v>
      </c>
      <c r="H321" s="102">
        <v>0.05</v>
      </c>
      <c r="I321" s="103">
        <f t="shared" ref="I321:I384" si="19">H321*G321*-1</f>
        <v>-1.4999999999999999E-2</v>
      </c>
    </row>
    <row r="322" spans="1:9">
      <c r="A322" s="99" t="str">
        <f t="shared" si="18"/>
        <v>POSIÇÃO EM ATRASOPonto de Apoio11</v>
      </c>
      <c r="B322" s="99" t="s">
        <v>96</v>
      </c>
      <c r="C322" s="99" t="s">
        <v>751</v>
      </c>
      <c r="D322" s="115">
        <v>11</v>
      </c>
      <c r="E322" s="99" t="s">
        <v>965</v>
      </c>
      <c r="F322" s="100">
        <v>0.03</v>
      </c>
      <c r="G322" s="101">
        <f>IF(OR(B322="FIXO",B322="XFIXO"),IF(F322="","ERRO",10*F322)*'[1]BD Campos'!$S$2,IF(F322="","ERRO",10*F322)*'[1]BD Campos'!$S$3)</f>
        <v>0.3</v>
      </c>
      <c r="H322" s="102">
        <v>0.05</v>
      </c>
      <c r="I322" s="103">
        <f t="shared" si="19"/>
        <v>-1.4999999999999999E-2</v>
      </c>
    </row>
    <row r="323" spans="1:9">
      <c r="A323" s="99" t="str">
        <f t="shared" si="18"/>
        <v>POSIÇÃO EM ATRASOPonto de Apoio12</v>
      </c>
      <c r="B323" s="99" t="s">
        <v>96</v>
      </c>
      <c r="C323" s="99" t="s">
        <v>751</v>
      </c>
      <c r="D323" s="115">
        <v>12</v>
      </c>
      <c r="E323" s="99" t="s">
        <v>966</v>
      </c>
      <c r="F323" s="100">
        <v>1.4999999999999999E-2</v>
      </c>
      <c r="G323" s="101">
        <f>IF(OR(B323="FIXO",B323="XFIXO"),IF(F323="","ERRO",10*F323)*'[1]BD Campos'!$S$2,IF(F323="","ERRO",10*F323)*'[1]BD Campos'!$S$3)</f>
        <v>0.15</v>
      </c>
      <c r="H323" s="102">
        <v>0.05</v>
      </c>
      <c r="I323" s="103">
        <f t="shared" si="19"/>
        <v>-7.4999999999999997E-3</v>
      </c>
    </row>
    <row r="324" spans="1:9">
      <c r="A324" s="99" t="str">
        <f t="shared" si="18"/>
        <v>POSIÇÃO EM ATRASOPonto de Apoio13</v>
      </c>
      <c r="B324" s="99" t="s">
        <v>96</v>
      </c>
      <c r="C324" s="99" t="s">
        <v>751</v>
      </c>
      <c r="D324" s="115">
        <v>13</v>
      </c>
      <c r="E324" s="99" t="s">
        <v>967</v>
      </c>
      <c r="F324" s="100">
        <v>0.02</v>
      </c>
      <c r="G324" s="101">
        <f>IF(OR(B324="FIXO",B324="XFIXO"),IF(F324="","ERRO",10*F324)*'[1]BD Campos'!$S$2,IF(F324="","ERRO",10*F324)*'[1]BD Campos'!$S$3)</f>
        <v>0.2</v>
      </c>
      <c r="H324" s="102">
        <v>0.05</v>
      </c>
      <c r="I324" s="103">
        <f t="shared" si="19"/>
        <v>-1.0000000000000002E-2</v>
      </c>
    </row>
    <row r="325" spans="1:9">
      <c r="A325" s="99" t="str">
        <f t="shared" si="18"/>
        <v>POSIÇÃO EM ATRASOPonto de Apoio14</v>
      </c>
      <c r="B325" s="99" t="s">
        <v>96</v>
      </c>
      <c r="C325" s="99" t="s">
        <v>751</v>
      </c>
      <c r="D325" s="115">
        <v>14</v>
      </c>
      <c r="E325" s="99" t="s">
        <v>968</v>
      </c>
      <c r="F325" s="110">
        <v>0.03</v>
      </c>
      <c r="G325" s="101">
        <f>IF(OR(B325="FIXO",B325="XFIXO"),IF(F325="","ERRO",10*F325)*'[1]BD Campos'!$S$2,IF(F325="","ERRO",10*F325)*'[1]BD Campos'!$S$3)</f>
        <v>0.3</v>
      </c>
      <c r="H325" s="102">
        <v>0.05</v>
      </c>
      <c r="I325" s="103">
        <f t="shared" si="19"/>
        <v>-1.4999999999999999E-2</v>
      </c>
    </row>
    <row r="326" spans="1:9">
      <c r="A326" s="104" t="str">
        <f t="shared" si="18"/>
        <v>POSIÇÃO EM ATRASOPonto de Apoio15</v>
      </c>
      <c r="B326" s="104" t="s">
        <v>96</v>
      </c>
      <c r="C326" s="104" t="s">
        <v>751</v>
      </c>
      <c r="D326" s="116">
        <v>15</v>
      </c>
      <c r="E326" s="104" t="s">
        <v>969</v>
      </c>
      <c r="F326" s="105">
        <v>0.01</v>
      </c>
      <c r="G326" s="106">
        <f>IF(OR(B326="FIXO",B326="XFIXO"),IF(F326="","ERRO",10*F326)*'[1]BD Campos'!$S$2,IF(F326="","ERRO",10*F326)*'[1]BD Campos'!$S$3)</f>
        <v>0.1</v>
      </c>
      <c r="H326" s="107">
        <v>0.05</v>
      </c>
      <c r="I326" s="108">
        <f t="shared" si="19"/>
        <v>-5.000000000000001E-3</v>
      </c>
    </row>
    <row r="327" spans="1:9">
      <c r="A327" s="99" t="str">
        <f t="shared" si="18"/>
        <v>POSIÇÃO EM ATRASOPonto de Apoio 21</v>
      </c>
      <c r="B327" s="99" t="s">
        <v>96</v>
      </c>
      <c r="C327" s="99" t="s">
        <v>754</v>
      </c>
      <c r="D327" s="115">
        <v>1</v>
      </c>
      <c r="E327" s="99" t="s">
        <v>954</v>
      </c>
      <c r="F327" s="100">
        <v>0.01</v>
      </c>
      <c r="G327" s="101">
        <f>IF(OR(B327="FIXO",B327="XFIXO"),IF(F327="","ERRO",10*F327)*'[1]BD Campos'!$S$2,IF(F327="","ERRO",10*F327)*'[1]BD Campos'!$S$3)</f>
        <v>0.1</v>
      </c>
      <c r="H327" s="102">
        <v>0.05</v>
      </c>
      <c r="I327" s="103">
        <f t="shared" si="19"/>
        <v>-5.000000000000001E-3</v>
      </c>
    </row>
    <row r="328" spans="1:9">
      <c r="A328" s="99" t="str">
        <f t="shared" si="18"/>
        <v>POSIÇÃO EM ATRASOPonto de Apoio 22</v>
      </c>
      <c r="B328" s="99" t="s">
        <v>96</v>
      </c>
      <c r="C328" s="99" t="s">
        <v>754</v>
      </c>
      <c r="D328" s="115">
        <v>2</v>
      </c>
      <c r="E328" s="99" t="s">
        <v>955</v>
      </c>
      <c r="F328" s="100">
        <v>0.01</v>
      </c>
      <c r="G328" s="101">
        <f>IF(OR(B328="FIXO",B328="XFIXO"),IF(F328="","ERRO",10*F328)*'[1]BD Campos'!$S$2,IF(F328="","ERRO",10*F328)*'[1]BD Campos'!$S$3)</f>
        <v>0.1</v>
      </c>
      <c r="H328" s="102">
        <v>0.05</v>
      </c>
      <c r="I328" s="103">
        <f t="shared" si="19"/>
        <v>-5.000000000000001E-3</v>
      </c>
    </row>
    <row r="329" spans="1:9">
      <c r="A329" s="99" t="str">
        <f t="shared" si="18"/>
        <v>POSIÇÃO EM ATRASOPonto de Apoio 23</v>
      </c>
      <c r="B329" s="99" t="s">
        <v>96</v>
      </c>
      <c r="C329" s="99" t="s">
        <v>754</v>
      </c>
      <c r="D329" s="115">
        <v>3</v>
      </c>
      <c r="E329" s="99" t="s">
        <v>956</v>
      </c>
      <c r="F329" s="100">
        <v>0.01</v>
      </c>
      <c r="G329" s="101">
        <f>IF(OR(B329="FIXO",B329="XFIXO"),IF(F329="","ERRO",10*F329)*'[1]BD Campos'!$S$2,IF(F329="","ERRO",10*F329)*'[1]BD Campos'!$S$3)</f>
        <v>0.1</v>
      </c>
      <c r="H329" s="102">
        <v>0.05</v>
      </c>
      <c r="I329" s="103">
        <f t="shared" si="19"/>
        <v>-5.000000000000001E-3</v>
      </c>
    </row>
    <row r="330" spans="1:9">
      <c r="A330" s="99" t="str">
        <f t="shared" si="18"/>
        <v>POSIÇÃO EM ATRASOPonto de Apoio 24</v>
      </c>
      <c r="B330" s="99" t="s">
        <v>96</v>
      </c>
      <c r="C330" s="99" t="s">
        <v>754</v>
      </c>
      <c r="D330" s="115">
        <v>4</v>
      </c>
      <c r="E330" s="99" t="s">
        <v>982</v>
      </c>
      <c r="F330" s="100">
        <v>0.04</v>
      </c>
      <c r="G330" s="101">
        <f>IF(OR(B330="FIXO",B330="XFIXO"),IF(F330="","ERRO",10*F330)*'[1]BD Campos'!$S$2,IF(F330="","ERRO",10*F330)*'[1]BD Campos'!$S$3)</f>
        <v>0.4</v>
      </c>
      <c r="H330" s="102">
        <v>0.05</v>
      </c>
      <c r="I330" s="103">
        <f t="shared" si="19"/>
        <v>-2.0000000000000004E-2</v>
      </c>
    </row>
    <row r="331" spans="1:9">
      <c r="A331" s="99" t="str">
        <f t="shared" si="18"/>
        <v>POSIÇÃO EM ATRASOPonto de Apoio 25</v>
      </c>
      <c r="B331" s="99" t="s">
        <v>96</v>
      </c>
      <c r="C331" s="99" t="s">
        <v>754</v>
      </c>
      <c r="D331" s="115">
        <v>5</v>
      </c>
      <c r="E331" s="99" t="s">
        <v>958</v>
      </c>
      <c r="F331" s="100">
        <v>0.12</v>
      </c>
      <c r="G331" s="101">
        <f>IF(OR(B331="FIXO",B331="XFIXO"),IF(F331="","ERRO",10*F331)*'[1]BD Campos'!$S$2,IF(F331="","ERRO",10*F331)*'[1]BD Campos'!$S$3)</f>
        <v>1.2</v>
      </c>
      <c r="H331" s="102">
        <v>0.05</v>
      </c>
      <c r="I331" s="103">
        <f t="shared" si="19"/>
        <v>-0.06</v>
      </c>
    </row>
    <row r="332" spans="1:9">
      <c r="A332" s="99" t="str">
        <f t="shared" si="18"/>
        <v>POSIÇÃO EM ATRASOPonto de Apoio 26</v>
      </c>
      <c r="B332" s="99" t="s">
        <v>96</v>
      </c>
      <c r="C332" s="99" t="s">
        <v>754</v>
      </c>
      <c r="D332" s="115">
        <v>6</v>
      </c>
      <c r="E332" s="99" t="s">
        <v>998</v>
      </c>
      <c r="F332" s="100">
        <v>0.19500000000000001</v>
      </c>
      <c r="G332" s="101">
        <f>IF(OR(B332="FIXO",B332="XFIXO"),IF(F332="","ERRO",10*F332)*'[1]BD Campos'!$S$2,IF(F332="","ERRO",10*F332)*'[1]BD Campos'!$S$3)</f>
        <v>1.9500000000000002</v>
      </c>
      <c r="H332" s="102">
        <v>0.05</v>
      </c>
      <c r="I332" s="103">
        <f t="shared" si="19"/>
        <v>-9.7500000000000017E-2</v>
      </c>
    </row>
    <row r="333" spans="1:9">
      <c r="A333" s="99" t="str">
        <f t="shared" si="18"/>
        <v>POSIÇÃO EM ATRASOPonto de Apoio 27</v>
      </c>
      <c r="B333" s="99" t="s">
        <v>96</v>
      </c>
      <c r="C333" s="99" t="s">
        <v>754</v>
      </c>
      <c r="D333" s="115">
        <v>7</v>
      </c>
      <c r="E333" s="99" t="s">
        <v>999</v>
      </c>
      <c r="F333" s="100">
        <v>0.16</v>
      </c>
      <c r="G333" s="101">
        <f>IF(OR(B333="FIXO",B333="XFIXO"),IF(F333="","ERRO",10*F333)*'[1]BD Campos'!$S$2,IF(F333="","ERRO",10*F333)*'[1]BD Campos'!$S$3)</f>
        <v>1.6</v>
      </c>
      <c r="H333" s="102">
        <v>0.05</v>
      </c>
      <c r="I333" s="103">
        <f t="shared" si="19"/>
        <v>-8.0000000000000016E-2</v>
      </c>
    </row>
    <row r="334" spans="1:9">
      <c r="A334" s="99" t="str">
        <f t="shared" si="18"/>
        <v>POSIÇÃO EM ATRASOPonto de Apoio 28</v>
      </c>
      <c r="B334" s="99" t="s">
        <v>96</v>
      </c>
      <c r="C334" s="99" t="s">
        <v>754</v>
      </c>
      <c r="D334" s="115">
        <v>8</v>
      </c>
      <c r="E334" s="99" t="s">
        <v>1000</v>
      </c>
      <c r="F334" s="100">
        <v>0.16</v>
      </c>
      <c r="G334" s="101">
        <f>IF(OR(B334="FIXO",B334="XFIXO"),IF(F334="","ERRO",10*F334)*'[1]BD Campos'!$S$2,IF(F334="","ERRO",10*F334)*'[1]BD Campos'!$S$3)</f>
        <v>1.6</v>
      </c>
      <c r="H334" s="102">
        <v>0.05</v>
      </c>
      <c r="I334" s="103">
        <f t="shared" si="19"/>
        <v>-8.0000000000000016E-2</v>
      </c>
    </row>
    <row r="335" spans="1:9">
      <c r="A335" s="99" t="str">
        <f t="shared" si="18"/>
        <v>POSIÇÃO EM ATRASOPonto de Apoio 29</v>
      </c>
      <c r="B335" s="99" t="s">
        <v>96</v>
      </c>
      <c r="C335" s="99" t="s">
        <v>754</v>
      </c>
      <c r="D335" s="115">
        <v>9</v>
      </c>
      <c r="E335" s="99" t="s">
        <v>1001</v>
      </c>
      <c r="F335" s="100">
        <v>0.16</v>
      </c>
      <c r="G335" s="101">
        <f>IF(OR(B335="FIXO",B335="XFIXO"),IF(F335="","ERRO",10*F335)*'[1]BD Campos'!$S$2,IF(F335="","ERRO",10*F335)*'[1]BD Campos'!$S$3)</f>
        <v>1.6</v>
      </c>
      <c r="H335" s="102">
        <v>0.05</v>
      </c>
      <c r="I335" s="103">
        <f t="shared" si="19"/>
        <v>-8.0000000000000016E-2</v>
      </c>
    </row>
    <row r="336" spans="1:9">
      <c r="A336" s="99" t="str">
        <f t="shared" si="18"/>
        <v>POSIÇÃO EM ATRASOPonto de Apoio 210</v>
      </c>
      <c r="B336" s="99" t="s">
        <v>96</v>
      </c>
      <c r="C336" s="99" t="s">
        <v>754</v>
      </c>
      <c r="D336" s="115">
        <v>10</v>
      </c>
      <c r="E336" s="99" t="s">
        <v>964</v>
      </c>
      <c r="F336" s="100">
        <v>0.03</v>
      </c>
      <c r="G336" s="101">
        <f>IF(OR(B336="FIXO",B336="XFIXO"),IF(F336="","ERRO",10*F336)*'[1]BD Campos'!$S$2,IF(F336="","ERRO",10*F336)*'[1]BD Campos'!$S$3)</f>
        <v>0.3</v>
      </c>
      <c r="H336" s="102">
        <v>0.05</v>
      </c>
      <c r="I336" s="103">
        <f t="shared" si="19"/>
        <v>-1.4999999999999999E-2</v>
      </c>
    </row>
    <row r="337" spans="1:9">
      <c r="A337" s="99" t="str">
        <f t="shared" si="18"/>
        <v>POSIÇÃO EM ATRASOPonto de Apoio 211</v>
      </c>
      <c r="B337" s="99" t="s">
        <v>96</v>
      </c>
      <c r="C337" s="99" t="s">
        <v>754</v>
      </c>
      <c r="D337" s="115">
        <v>11</v>
      </c>
      <c r="E337" s="99" t="s">
        <v>965</v>
      </c>
      <c r="F337" s="100">
        <v>0.03</v>
      </c>
      <c r="G337" s="101">
        <f>IF(OR(B337="FIXO",B337="XFIXO"),IF(F337="","ERRO",10*F337)*'[1]BD Campos'!$S$2,IF(F337="","ERRO",10*F337)*'[1]BD Campos'!$S$3)</f>
        <v>0.3</v>
      </c>
      <c r="H337" s="102">
        <v>0.05</v>
      </c>
      <c r="I337" s="103">
        <f t="shared" si="19"/>
        <v>-1.4999999999999999E-2</v>
      </c>
    </row>
    <row r="338" spans="1:9">
      <c r="A338" s="99" t="str">
        <f t="shared" si="18"/>
        <v>POSIÇÃO EM ATRASOPonto de Apoio 212</v>
      </c>
      <c r="B338" s="99" t="s">
        <v>96</v>
      </c>
      <c r="C338" s="99" t="s">
        <v>754</v>
      </c>
      <c r="D338" s="115">
        <v>12</v>
      </c>
      <c r="E338" s="99" t="s">
        <v>966</v>
      </c>
      <c r="F338" s="100">
        <v>1.4999999999999999E-2</v>
      </c>
      <c r="G338" s="101">
        <f>IF(OR(B338="FIXO",B338="XFIXO"),IF(F338="","ERRO",10*F338)*'[1]BD Campos'!$S$2,IF(F338="","ERRO",10*F338)*'[1]BD Campos'!$S$3)</f>
        <v>0.15</v>
      </c>
      <c r="H338" s="102">
        <v>0.05</v>
      </c>
      <c r="I338" s="103">
        <f t="shared" si="19"/>
        <v>-7.4999999999999997E-3</v>
      </c>
    </row>
    <row r="339" spans="1:9">
      <c r="A339" s="99" t="str">
        <f t="shared" si="18"/>
        <v>POSIÇÃO EM ATRASOPonto de Apoio 213</v>
      </c>
      <c r="B339" s="99" t="s">
        <v>96</v>
      </c>
      <c r="C339" s="99" t="s">
        <v>754</v>
      </c>
      <c r="D339" s="115">
        <v>13</v>
      </c>
      <c r="E339" s="99" t="s">
        <v>967</v>
      </c>
      <c r="F339" s="100">
        <v>0.02</v>
      </c>
      <c r="G339" s="101">
        <f>IF(OR(B339="FIXO",B339="XFIXO"),IF(F339="","ERRO",10*F339)*'[1]BD Campos'!$S$2,IF(F339="","ERRO",10*F339)*'[1]BD Campos'!$S$3)</f>
        <v>0.2</v>
      </c>
      <c r="H339" s="102">
        <v>0.05</v>
      </c>
      <c r="I339" s="103">
        <f t="shared" si="19"/>
        <v>-1.0000000000000002E-2</v>
      </c>
    </row>
    <row r="340" spans="1:9">
      <c r="A340" s="99" t="str">
        <f t="shared" si="18"/>
        <v>POSIÇÃO EM ATRASOPonto de Apoio 214</v>
      </c>
      <c r="B340" s="99" t="s">
        <v>96</v>
      </c>
      <c r="C340" s="99" t="s">
        <v>754</v>
      </c>
      <c r="D340" s="115">
        <v>14</v>
      </c>
      <c r="E340" s="99" t="s">
        <v>968</v>
      </c>
      <c r="F340" s="110">
        <v>0.03</v>
      </c>
      <c r="G340" s="101">
        <f>IF(OR(B340="FIXO",B340="XFIXO"),IF(F340="","ERRO",10*F340)*'[1]BD Campos'!$S$2,IF(F340="","ERRO",10*F340)*'[1]BD Campos'!$S$3)</f>
        <v>0.3</v>
      </c>
      <c r="H340" s="102">
        <v>0.05</v>
      </c>
      <c r="I340" s="103">
        <f t="shared" si="19"/>
        <v>-1.4999999999999999E-2</v>
      </c>
    </row>
    <row r="341" spans="1:9">
      <c r="A341" s="104" t="str">
        <f t="shared" si="18"/>
        <v>POSIÇÃO EM ATRASOPonto de Apoio 215</v>
      </c>
      <c r="B341" s="104" t="s">
        <v>96</v>
      </c>
      <c r="C341" s="104" t="s">
        <v>754</v>
      </c>
      <c r="D341" s="116">
        <v>15</v>
      </c>
      <c r="E341" s="104" t="s">
        <v>969</v>
      </c>
      <c r="F341" s="105">
        <v>0.01</v>
      </c>
      <c r="G341" s="106">
        <f>IF(OR(B341="FIXO",B341="XFIXO"),IF(F341="","ERRO",10*F341)*'[1]BD Campos'!$S$2,IF(F341="","ERRO",10*F341)*'[1]BD Campos'!$S$3)</f>
        <v>0.1</v>
      </c>
      <c r="H341" s="107">
        <v>0.05</v>
      </c>
      <c r="I341" s="108">
        <f t="shared" si="19"/>
        <v>-5.000000000000001E-3</v>
      </c>
    </row>
    <row r="342" spans="1:9">
      <c r="A342" s="99" t="str">
        <f t="shared" si="18"/>
        <v>ALERTAS PRIORITÁRIOSPonto de Apoio1</v>
      </c>
      <c r="B342" s="99" t="s">
        <v>92</v>
      </c>
      <c r="C342" s="99" t="s">
        <v>751</v>
      </c>
      <c r="D342" s="115">
        <v>1</v>
      </c>
      <c r="E342" s="99" t="s">
        <v>954</v>
      </c>
      <c r="F342" s="100">
        <v>0.01</v>
      </c>
      <c r="G342" s="101">
        <f>IF(OR(B342="FIXO",B342="XFIXO"),IF(F342="","ERRO",10*F342)*'[1]BD Campos'!$S$2,IF(F342="","ERRO",10*F342)*'[1]BD Campos'!$S$3)</f>
        <v>0.1</v>
      </c>
      <c r="H342" s="102">
        <v>0.05</v>
      </c>
      <c r="I342" s="103">
        <f t="shared" si="19"/>
        <v>-5.000000000000001E-3</v>
      </c>
    </row>
    <row r="343" spans="1:9">
      <c r="A343" s="99" t="str">
        <f t="shared" si="18"/>
        <v>ALERTAS PRIORITÁRIOSPonto de Apoio2</v>
      </c>
      <c r="B343" s="99" t="s">
        <v>92</v>
      </c>
      <c r="C343" s="99" t="s">
        <v>751</v>
      </c>
      <c r="D343" s="115">
        <v>2</v>
      </c>
      <c r="E343" s="99" t="s">
        <v>955</v>
      </c>
      <c r="F343" s="100">
        <v>0.01</v>
      </c>
      <c r="G343" s="101">
        <f>IF(OR(B343="FIXO",B343="XFIXO"),IF(F343="","ERRO",10*F343)*'[1]BD Campos'!$S$2,IF(F343="","ERRO",10*F343)*'[1]BD Campos'!$S$3)</f>
        <v>0.1</v>
      </c>
      <c r="H343" s="102">
        <v>0.05</v>
      </c>
      <c r="I343" s="103">
        <f t="shared" si="19"/>
        <v>-5.000000000000001E-3</v>
      </c>
    </row>
    <row r="344" spans="1:9">
      <c r="A344" s="99" t="str">
        <f t="shared" si="18"/>
        <v>ALERTAS PRIORITÁRIOSPonto de Apoio3</v>
      </c>
      <c r="B344" s="99" t="s">
        <v>92</v>
      </c>
      <c r="C344" s="99" t="s">
        <v>751</v>
      </c>
      <c r="D344" s="115">
        <v>3</v>
      </c>
      <c r="E344" s="99" t="s">
        <v>956</v>
      </c>
      <c r="F344" s="100">
        <v>0.01</v>
      </c>
      <c r="G344" s="101">
        <f>IF(OR(B344="FIXO",B344="XFIXO"),IF(F344="","ERRO",10*F344)*'[1]BD Campos'!$S$2,IF(F344="","ERRO",10*F344)*'[1]BD Campos'!$S$3)</f>
        <v>0.1</v>
      </c>
      <c r="H344" s="102">
        <v>0.05</v>
      </c>
      <c r="I344" s="103">
        <f t="shared" si="19"/>
        <v>-5.000000000000001E-3</v>
      </c>
    </row>
    <row r="345" spans="1:9">
      <c r="A345" s="99" t="str">
        <f t="shared" si="18"/>
        <v>ALERTAS PRIORITÁRIOSPonto de Apoio4</v>
      </c>
      <c r="B345" s="99" t="s">
        <v>92</v>
      </c>
      <c r="C345" s="99" t="s">
        <v>751</v>
      </c>
      <c r="D345" s="115">
        <v>4</v>
      </c>
      <c r="E345" s="99" t="s">
        <v>982</v>
      </c>
      <c r="F345" s="100">
        <v>0.04</v>
      </c>
      <c r="G345" s="101">
        <f>IF(OR(B345="FIXO",B345="XFIXO"),IF(F345="","ERRO",10*F345)*'[1]BD Campos'!$S$2,IF(F345="","ERRO",10*F345)*'[1]BD Campos'!$S$3)</f>
        <v>0.4</v>
      </c>
      <c r="H345" s="102">
        <v>0.05</v>
      </c>
      <c r="I345" s="103">
        <f t="shared" si="19"/>
        <v>-2.0000000000000004E-2</v>
      </c>
    </row>
    <row r="346" spans="1:9">
      <c r="A346" s="99" t="str">
        <f t="shared" si="18"/>
        <v>ALERTAS PRIORITÁRIOSPonto de Apoio5</v>
      </c>
      <c r="B346" s="99" t="s">
        <v>92</v>
      </c>
      <c r="C346" s="99" t="s">
        <v>751</v>
      </c>
      <c r="D346" s="115">
        <v>5</v>
      </c>
      <c r="E346" s="99" t="s">
        <v>958</v>
      </c>
      <c r="F346" s="100">
        <v>0.12</v>
      </c>
      <c r="G346" s="101">
        <f>IF(OR(B346="FIXO",B346="XFIXO"),IF(F346="","ERRO",10*F346)*'[1]BD Campos'!$S$2,IF(F346="","ERRO",10*F346)*'[1]BD Campos'!$S$3)</f>
        <v>1.2</v>
      </c>
      <c r="H346" s="102">
        <v>0.05</v>
      </c>
      <c r="I346" s="103">
        <f t="shared" si="19"/>
        <v>-0.06</v>
      </c>
    </row>
    <row r="347" spans="1:9">
      <c r="A347" s="99" t="str">
        <f t="shared" si="18"/>
        <v>ALERTAS PRIORITÁRIOSPonto de Apoio6</v>
      </c>
      <c r="B347" s="99" t="s">
        <v>92</v>
      </c>
      <c r="C347" s="99" t="s">
        <v>751</v>
      </c>
      <c r="D347" s="115">
        <v>6</v>
      </c>
      <c r="E347" s="99" t="s">
        <v>998</v>
      </c>
      <c r="F347" s="100">
        <v>0.19500000000000001</v>
      </c>
      <c r="G347" s="101">
        <f>IF(OR(B347="FIXO",B347="XFIXO"),IF(F347="","ERRO",10*F347)*'[1]BD Campos'!$S$2,IF(F347="","ERRO",10*F347)*'[1]BD Campos'!$S$3)</f>
        <v>1.9500000000000002</v>
      </c>
      <c r="H347" s="102">
        <v>0.05</v>
      </c>
      <c r="I347" s="103">
        <f t="shared" si="19"/>
        <v>-9.7500000000000017E-2</v>
      </c>
    </row>
    <row r="348" spans="1:9">
      <c r="A348" s="99" t="str">
        <f t="shared" si="18"/>
        <v>ALERTAS PRIORITÁRIOSPonto de Apoio7</v>
      </c>
      <c r="B348" s="99" t="s">
        <v>92</v>
      </c>
      <c r="C348" s="99" t="s">
        <v>751</v>
      </c>
      <c r="D348" s="115">
        <v>7</v>
      </c>
      <c r="E348" s="99" t="s">
        <v>999</v>
      </c>
      <c r="F348" s="100">
        <v>0.16</v>
      </c>
      <c r="G348" s="101">
        <f>IF(OR(B348="FIXO",B348="XFIXO"),IF(F348="","ERRO",10*F348)*'[1]BD Campos'!$S$2,IF(F348="","ERRO",10*F348)*'[1]BD Campos'!$S$3)</f>
        <v>1.6</v>
      </c>
      <c r="H348" s="102">
        <v>0.05</v>
      </c>
      <c r="I348" s="103">
        <f t="shared" si="19"/>
        <v>-8.0000000000000016E-2</v>
      </c>
    </row>
    <row r="349" spans="1:9">
      <c r="A349" s="99" t="str">
        <f t="shared" si="18"/>
        <v>ALERTAS PRIORITÁRIOSPonto de Apoio8</v>
      </c>
      <c r="B349" s="99" t="s">
        <v>92</v>
      </c>
      <c r="C349" s="99" t="s">
        <v>751</v>
      </c>
      <c r="D349" s="115">
        <v>8</v>
      </c>
      <c r="E349" s="99" t="s">
        <v>1000</v>
      </c>
      <c r="F349" s="100">
        <v>0.16</v>
      </c>
      <c r="G349" s="101">
        <f>IF(OR(B349="FIXO",B349="XFIXO"),IF(F349="","ERRO",10*F349)*'[1]BD Campos'!$S$2,IF(F349="","ERRO",10*F349)*'[1]BD Campos'!$S$3)</f>
        <v>1.6</v>
      </c>
      <c r="H349" s="102">
        <v>0.05</v>
      </c>
      <c r="I349" s="103">
        <f t="shared" si="19"/>
        <v>-8.0000000000000016E-2</v>
      </c>
    </row>
    <row r="350" spans="1:9">
      <c r="A350" s="99" t="str">
        <f t="shared" si="18"/>
        <v>ALERTAS PRIORITÁRIOSPonto de Apoio9</v>
      </c>
      <c r="B350" s="99" t="s">
        <v>92</v>
      </c>
      <c r="C350" s="99" t="s">
        <v>751</v>
      </c>
      <c r="D350" s="115">
        <v>9</v>
      </c>
      <c r="E350" s="99" t="s">
        <v>1001</v>
      </c>
      <c r="F350" s="100">
        <v>0.16</v>
      </c>
      <c r="G350" s="101">
        <f>IF(OR(B350="FIXO",B350="XFIXO"),IF(F350="","ERRO",10*F350)*'[1]BD Campos'!$S$2,IF(F350="","ERRO",10*F350)*'[1]BD Campos'!$S$3)</f>
        <v>1.6</v>
      </c>
      <c r="H350" s="102">
        <v>0.05</v>
      </c>
      <c r="I350" s="103">
        <f t="shared" si="19"/>
        <v>-8.0000000000000016E-2</v>
      </c>
    </row>
    <row r="351" spans="1:9">
      <c r="A351" s="99" t="str">
        <f t="shared" si="18"/>
        <v>ALERTAS PRIORITÁRIOSPonto de Apoio10</v>
      </c>
      <c r="B351" s="99" t="s">
        <v>92</v>
      </c>
      <c r="C351" s="99" t="s">
        <v>751</v>
      </c>
      <c r="D351" s="115">
        <v>10</v>
      </c>
      <c r="E351" s="99" t="s">
        <v>964</v>
      </c>
      <c r="F351" s="100">
        <v>0.03</v>
      </c>
      <c r="G351" s="101">
        <f>IF(OR(B351="FIXO",B351="XFIXO"),IF(F351="","ERRO",10*F351)*'[1]BD Campos'!$S$2,IF(F351="","ERRO",10*F351)*'[1]BD Campos'!$S$3)</f>
        <v>0.3</v>
      </c>
      <c r="H351" s="102">
        <v>0.05</v>
      </c>
      <c r="I351" s="103">
        <f t="shared" si="19"/>
        <v>-1.4999999999999999E-2</v>
      </c>
    </row>
    <row r="352" spans="1:9">
      <c r="A352" s="99" t="str">
        <f t="shared" si="18"/>
        <v>ALERTAS PRIORITÁRIOSPonto de Apoio11</v>
      </c>
      <c r="B352" s="99" t="s">
        <v>92</v>
      </c>
      <c r="C352" s="99" t="s">
        <v>751</v>
      </c>
      <c r="D352" s="115">
        <v>11</v>
      </c>
      <c r="E352" s="99" t="s">
        <v>965</v>
      </c>
      <c r="F352" s="100">
        <v>0.03</v>
      </c>
      <c r="G352" s="101">
        <f>IF(OR(B352="FIXO",B352="XFIXO"),IF(F352="","ERRO",10*F352)*'[1]BD Campos'!$S$2,IF(F352="","ERRO",10*F352)*'[1]BD Campos'!$S$3)</f>
        <v>0.3</v>
      </c>
      <c r="H352" s="102">
        <v>0.05</v>
      </c>
      <c r="I352" s="103">
        <f t="shared" si="19"/>
        <v>-1.4999999999999999E-2</v>
      </c>
    </row>
    <row r="353" spans="1:9">
      <c r="A353" s="99" t="str">
        <f t="shared" si="18"/>
        <v>ALERTAS PRIORITÁRIOSPonto de Apoio12</v>
      </c>
      <c r="B353" s="99" t="s">
        <v>92</v>
      </c>
      <c r="C353" s="99" t="s">
        <v>751</v>
      </c>
      <c r="D353" s="115">
        <v>12</v>
      </c>
      <c r="E353" s="99" t="s">
        <v>966</v>
      </c>
      <c r="F353" s="100">
        <v>1.4999999999999999E-2</v>
      </c>
      <c r="G353" s="101">
        <f>IF(OR(B353="FIXO",B353="XFIXO"),IF(F353="","ERRO",10*F353)*'[1]BD Campos'!$S$2,IF(F353="","ERRO",10*F353)*'[1]BD Campos'!$S$3)</f>
        <v>0.15</v>
      </c>
      <c r="H353" s="102">
        <v>0.05</v>
      </c>
      <c r="I353" s="103">
        <f t="shared" si="19"/>
        <v>-7.4999999999999997E-3</v>
      </c>
    </row>
    <row r="354" spans="1:9">
      <c r="A354" s="99" t="str">
        <f t="shared" si="18"/>
        <v>ALERTAS PRIORITÁRIOSPonto de Apoio13</v>
      </c>
      <c r="B354" s="99" t="s">
        <v>92</v>
      </c>
      <c r="C354" s="99" t="s">
        <v>751</v>
      </c>
      <c r="D354" s="115">
        <v>13</v>
      </c>
      <c r="E354" s="99" t="s">
        <v>967</v>
      </c>
      <c r="F354" s="100">
        <v>0.02</v>
      </c>
      <c r="G354" s="101">
        <f>IF(OR(B354="FIXO",B354="XFIXO"),IF(F354="","ERRO",10*F354)*'[1]BD Campos'!$S$2,IF(F354="","ERRO",10*F354)*'[1]BD Campos'!$S$3)</f>
        <v>0.2</v>
      </c>
      <c r="H354" s="102">
        <v>0.05</v>
      </c>
      <c r="I354" s="103">
        <f t="shared" si="19"/>
        <v>-1.0000000000000002E-2</v>
      </c>
    </row>
    <row r="355" spans="1:9">
      <c r="A355" s="99" t="str">
        <f t="shared" si="18"/>
        <v>ALERTAS PRIORITÁRIOSPonto de Apoio14</v>
      </c>
      <c r="B355" s="99" t="s">
        <v>92</v>
      </c>
      <c r="C355" s="99" t="s">
        <v>751</v>
      </c>
      <c r="D355" s="115">
        <v>14</v>
      </c>
      <c r="E355" s="99" t="s">
        <v>968</v>
      </c>
      <c r="F355" s="110">
        <v>0.03</v>
      </c>
      <c r="G355" s="101">
        <f>IF(OR(B355="FIXO",B355="XFIXO"),IF(F355="","ERRO",10*F355)*'[1]BD Campos'!$S$2,IF(F355="","ERRO",10*F355)*'[1]BD Campos'!$S$3)</f>
        <v>0.3</v>
      </c>
      <c r="H355" s="102">
        <v>0.05</v>
      </c>
      <c r="I355" s="103">
        <f t="shared" si="19"/>
        <v>-1.4999999999999999E-2</v>
      </c>
    </row>
    <row r="356" spans="1:9">
      <c r="A356" s="104" t="str">
        <f t="shared" si="18"/>
        <v>ALERTAS PRIORITÁRIOSPonto de Apoio15</v>
      </c>
      <c r="B356" s="104" t="s">
        <v>92</v>
      </c>
      <c r="C356" s="104" t="s">
        <v>751</v>
      </c>
      <c r="D356" s="116">
        <v>15</v>
      </c>
      <c r="E356" s="104" t="s">
        <v>969</v>
      </c>
      <c r="F356" s="105">
        <v>0.01</v>
      </c>
      <c r="G356" s="106">
        <f>IF(OR(B356="FIXO",B356="XFIXO"),IF(F356="","ERRO",10*F356)*'[1]BD Campos'!$S$2,IF(F356="","ERRO",10*F356)*'[1]BD Campos'!$S$3)</f>
        <v>0.1</v>
      </c>
      <c r="H356" s="107">
        <v>0.05</v>
      </c>
      <c r="I356" s="108">
        <f t="shared" si="19"/>
        <v>-5.000000000000001E-3</v>
      </c>
    </row>
    <row r="357" spans="1:9">
      <c r="A357" s="99" t="str">
        <f t="shared" si="18"/>
        <v>ALERTAS PRIORITÁRIOSPonto de Apoio 21</v>
      </c>
      <c r="B357" s="99" t="s">
        <v>92</v>
      </c>
      <c r="C357" s="99" t="s">
        <v>754</v>
      </c>
      <c r="D357" s="115">
        <v>1</v>
      </c>
      <c r="E357" s="99" t="s">
        <v>954</v>
      </c>
      <c r="F357" s="100">
        <v>0.01</v>
      </c>
      <c r="G357" s="101">
        <f>IF(OR(B357="FIXO",B357="XFIXO"),IF(F357="","ERRO",10*F357)*'[1]BD Campos'!$S$2,IF(F357="","ERRO",10*F357)*'[1]BD Campos'!$S$3)</f>
        <v>0.1</v>
      </c>
      <c r="H357" s="102">
        <v>0.05</v>
      </c>
      <c r="I357" s="103">
        <f t="shared" si="19"/>
        <v>-5.000000000000001E-3</v>
      </c>
    </row>
    <row r="358" spans="1:9">
      <c r="A358" s="99" t="str">
        <f t="shared" si="18"/>
        <v>ALERTAS PRIORITÁRIOSPonto de Apoio 22</v>
      </c>
      <c r="B358" s="99" t="s">
        <v>92</v>
      </c>
      <c r="C358" s="99" t="s">
        <v>754</v>
      </c>
      <c r="D358" s="115">
        <v>2</v>
      </c>
      <c r="E358" s="99" t="s">
        <v>955</v>
      </c>
      <c r="F358" s="100">
        <v>0.01</v>
      </c>
      <c r="G358" s="101">
        <f>IF(OR(B358="FIXO",B358="XFIXO"),IF(F358="","ERRO",10*F358)*'[1]BD Campos'!$S$2,IF(F358="","ERRO",10*F358)*'[1]BD Campos'!$S$3)</f>
        <v>0.1</v>
      </c>
      <c r="H358" s="102">
        <v>0.05</v>
      </c>
      <c r="I358" s="103">
        <f t="shared" si="19"/>
        <v>-5.000000000000001E-3</v>
      </c>
    </row>
    <row r="359" spans="1:9">
      <c r="A359" s="99" t="str">
        <f t="shared" si="18"/>
        <v>ALERTAS PRIORITÁRIOSPonto de Apoio 23</v>
      </c>
      <c r="B359" s="99" t="s">
        <v>92</v>
      </c>
      <c r="C359" s="99" t="s">
        <v>754</v>
      </c>
      <c r="D359" s="115">
        <v>3</v>
      </c>
      <c r="E359" s="99" t="s">
        <v>956</v>
      </c>
      <c r="F359" s="100">
        <v>0.01</v>
      </c>
      <c r="G359" s="101">
        <f>IF(OR(B359="FIXO",B359="XFIXO"),IF(F359="","ERRO",10*F359)*'[1]BD Campos'!$S$2,IF(F359="","ERRO",10*F359)*'[1]BD Campos'!$S$3)</f>
        <v>0.1</v>
      </c>
      <c r="H359" s="102">
        <v>0.05</v>
      </c>
      <c r="I359" s="103">
        <f t="shared" si="19"/>
        <v>-5.000000000000001E-3</v>
      </c>
    </row>
    <row r="360" spans="1:9">
      <c r="A360" s="99" t="str">
        <f t="shared" si="18"/>
        <v>ALERTAS PRIORITÁRIOSPonto de Apoio 24</v>
      </c>
      <c r="B360" s="99" t="s">
        <v>92</v>
      </c>
      <c r="C360" s="99" t="s">
        <v>754</v>
      </c>
      <c r="D360" s="115">
        <v>4</v>
      </c>
      <c r="E360" s="99" t="s">
        <v>982</v>
      </c>
      <c r="F360" s="100">
        <v>0.04</v>
      </c>
      <c r="G360" s="101">
        <f>IF(OR(B360="FIXO",B360="XFIXO"),IF(F360="","ERRO",10*F360)*'[1]BD Campos'!$S$2,IF(F360="","ERRO",10*F360)*'[1]BD Campos'!$S$3)</f>
        <v>0.4</v>
      </c>
      <c r="H360" s="102">
        <v>0.05</v>
      </c>
      <c r="I360" s="103">
        <f t="shared" si="19"/>
        <v>-2.0000000000000004E-2</v>
      </c>
    </row>
    <row r="361" spans="1:9">
      <c r="A361" s="99" t="str">
        <f t="shared" si="18"/>
        <v>ALERTAS PRIORITÁRIOSPonto de Apoio 25</v>
      </c>
      <c r="B361" s="99" t="s">
        <v>92</v>
      </c>
      <c r="C361" s="99" t="s">
        <v>754</v>
      </c>
      <c r="D361" s="115">
        <v>5</v>
      </c>
      <c r="E361" s="99" t="s">
        <v>958</v>
      </c>
      <c r="F361" s="100">
        <v>0.12</v>
      </c>
      <c r="G361" s="101">
        <f>IF(OR(B361="FIXO",B361="XFIXO"),IF(F361="","ERRO",10*F361)*'[1]BD Campos'!$S$2,IF(F361="","ERRO",10*F361)*'[1]BD Campos'!$S$3)</f>
        <v>1.2</v>
      </c>
      <c r="H361" s="102">
        <v>0.05</v>
      </c>
      <c r="I361" s="103">
        <f t="shared" si="19"/>
        <v>-0.06</v>
      </c>
    </row>
    <row r="362" spans="1:9">
      <c r="A362" s="99" t="str">
        <f t="shared" si="18"/>
        <v>ALERTAS PRIORITÁRIOSPonto de Apoio 26</v>
      </c>
      <c r="B362" s="99" t="s">
        <v>92</v>
      </c>
      <c r="C362" s="99" t="s">
        <v>754</v>
      </c>
      <c r="D362" s="115">
        <v>6</v>
      </c>
      <c r="E362" s="99" t="s">
        <v>998</v>
      </c>
      <c r="F362" s="100">
        <v>0.19500000000000001</v>
      </c>
      <c r="G362" s="101">
        <f>IF(OR(B362="FIXO",B362="XFIXO"),IF(F362="","ERRO",10*F362)*'[1]BD Campos'!$S$2,IF(F362="","ERRO",10*F362)*'[1]BD Campos'!$S$3)</f>
        <v>1.9500000000000002</v>
      </c>
      <c r="H362" s="102">
        <v>0.05</v>
      </c>
      <c r="I362" s="103">
        <f t="shared" si="19"/>
        <v>-9.7500000000000017E-2</v>
      </c>
    </row>
    <row r="363" spans="1:9">
      <c r="A363" s="99" t="str">
        <f t="shared" si="18"/>
        <v>ALERTAS PRIORITÁRIOSPonto de Apoio 27</v>
      </c>
      <c r="B363" s="99" t="s">
        <v>92</v>
      </c>
      <c r="C363" s="99" t="s">
        <v>754</v>
      </c>
      <c r="D363" s="115">
        <v>7</v>
      </c>
      <c r="E363" s="99" t="s">
        <v>999</v>
      </c>
      <c r="F363" s="100">
        <v>0.16</v>
      </c>
      <c r="G363" s="101">
        <f>IF(OR(B363="FIXO",B363="XFIXO"),IF(F363="","ERRO",10*F363)*'[1]BD Campos'!$S$2,IF(F363="","ERRO",10*F363)*'[1]BD Campos'!$S$3)</f>
        <v>1.6</v>
      </c>
      <c r="H363" s="102">
        <v>0.05</v>
      </c>
      <c r="I363" s="103">
        <f t="shared" si="19"/>
        <v>-8.0000000000000016E-2</v>
      </c>
    </row>
    <row r="364" spans="1:9">
      <c r="A364" s="99" t="str">
        <f t="shared" si="18"/>
        <v>ALERTAS PRIORITÁRIOSPonto de Apoio 28</v>
      </c>
      <c r="B364" s="99" t="s">
        <v>92</v>
      </c>
      <c r="C364" s="99" t="s">
        <v>754</v>
      </c>
      <c r="D364" s="115">
        <v>8</v>
      </c>
      <c r="E364" s="99" t="s">
        <v>1000</v>
      </c>
      <c r="F364" s="100">
        <v>0.16</v>
      </c>
      <c r="G364" s="101">
        <f>IF(OR(B364="FIXO",B364="XFIXO"),IF(F364="","ERRO",10*F364)*'[1]BD Campos'!$S$2,IF(F364="","ERRO",10*F364)*'[1]BD Campos'!$S$3)</f>
        <v>1.6</v>
      </c>
      <c r="H364" s="102">
        <v>0.05</v>
      </c>
      <c r="I364" s="103">
        <f t="shared" si="19"/>
        <v>-8.0000000000000016E-2</v>
      </c>
    </row>
    <row r="365" spans="1:9">
      <c r="A365" s="99" t="str">
        <f t="shared" si="18"/>
        <v>ALERTAS PRIORITÁRIOSPonto de Apoio 29</v>
      </c>
      <c r="B365" s="99" t="s">
        <v>92</v>
      </c>
      <c r="C365" s="99" t="s">
        <v>754</v>
      </c>
      <c r="D365" s="115">
        <v>9</v>
      </c>
      <c r="E365" s="99" t="s">
        <v>1001</v>
      </c>
      <c r="F365" s="100">
        <v>0.16</v>
      </c>
      <c r="G365" s="101">
        <f>IF(OR(B365="FIXO",B365="XFIXO"),IF(F365="","ERRO",10*F365)*'[1]BD Campos'!$S$2,IF(F365="","ERRO",10*F365)*'[1]BD Campos'!$S$3)</f>
        <v>1.6</v>
      </c>
      <c r="H365" s="102">
        <v>0.05</v>
      </c>
      <c r="I365" s="103">
        <f t="shared" si="19"/>
        <v>-8.0000000000000016E-2</v>
      </c>
    </row>
    <row r="366" spans="1:9">
      <c r="A366" s="99" t="str">
        <f t="shared" si="18"/>
        <v>ALERTAS PRIORITÁRIOSPonto de Apoio 210</v>
      </c>
      <c r="B366" s="99" t="s">
        <v>92</v>
      </c>
      <c r="C366" s="99" t="s">
        <v>754</v>
      </c>
      <c r="D366" s="115">
        <v>10</v>
      </c>
      <c r="E366" s="99" t="s">
        <v>964</v>
      </c>
      <c r="F366" s="100">
        <v>0.03</v>
      </c>
      <c r="G366" s="101">
        <f>IF(OR(B366="FIXO",B366="XFIXO"),IF(F366="","ERRO",10*F366)*'[1]BD Campos'!$S$2,IF(F366="","ERRO",10*F366)*'[1]BD Campos'!$S$3)</f>
        <v>0.3</v>
      </c>
      <c r="H366" s="102">
        <v>0.05</v>
      </c>
      <c r="I366" s="103">
        <f t="shared" si="19"/>
        <v>-1.4999999999999999E-2</v>
      </c>
    </row>
    <row r="367" spans="1:9">
      <c r="A367" s="99" t="str">
        <f t="shared" si="18"/>
        <v>ALERTAS PRIORITÁRIOSPonto de Apoio 211</v>
      </c>
      <c r="B367" s="99" t="s">
        <v>92</v>
      </c>
      <c r="C367" s="99" t="s">
        <v>754</v>
      </c>
      <c r="D367" s="115">
        <v>11</v>
      </c>
      <c r="E367" s="99" t="s">
        <v>965</v>
      </c>
      <c r="F367" s="100">
        <v>0.03</v>
      </c>
      <c r="G367" s="101">
        <f>IF(OR(B367="FIXO",B367="XFIXO"),IF(F367="","ERRO",10*F367)*'[1]BD Campos'!$S$2,IF(F367="","ERRO",10*F367)*'[1]BD Campos'!$S$3)</f>
        <v>0.3</v>
      </c>
      <c r="H367" s="102">
        <v>0.05</v>
      </c>
      <c r="I367" s="103">
        <f t="shared" si="19"/>
        <v>-1.4999999999999999E-2</v>
      </c>
    </row>
    <row r="368" spans="1:9">
      <c r="A368" s="99" t="str">
        <f t="shared" si="18"/>
        <v>ALERTAS PRIORITÁRIOSPonto de Apoio 212</v>
      </c>
      <c r="B368" s="99" t="s">
        <v>92</v>
      </c>
      <c r="C368" s="99" t="s">
        <v>754</v>
      </c>
      <c r="D368" s="115">
        <v>12</v>
      </c>
      <c r="E368" s="99" t="s">
        <v>966</v>
      </c>
      <c r="F368" s="100">
        <v>1.4999999999999999E-2</v>
      </c>
      <c r="G368" s="101">
        <f>IF(OR(B368="FIXO",B368="XFIXO"),IF(F368="","ERRO",10*F368)*'[1]BD Campos'!$S$2,IF(F368="","ERRO",10*F368)*'[1]BD Campos'!$S$3)</f>
        <v>0.15</v>
      </c>
      <c r="H368" s="102">
        <v>0.05</v>
      </c>
      <c r="I368" s="103">
        <f t="shared" si="19"/>
        <v>-7.4999999999999997E-3</v>
      </c>
    </row>
    <row r="369" spans="1:9">
      <c r="A369" s="99" t="str">
        <f t="shared" si="18"/>
        <v>ALERTAS PRIORITÁRIOSPonto de Apoio 213</v>
      </c>
      <c r="B369" s="99" t="s">
        <v>92</v>
      </c>
      <c r="C369" s="99" t="s">
        <v>754</v>
      </c>
      <c r="D369" s="115">
        <v>13</v>
      </c>
      <c r="E369" s="99" t="s">
        <v>967</v>
      </c>
      <c r="F369" s="100">
        <v>0.02</v>
      </c>
      <c r="G369" s="101">
        <f>IF(OR(B369="FIXO",B369="XFIXO"),IF(F369="","ERRO",10*F369)*'[1]BD Campos'!$S$2,IF(F369="","ERRO",10*F369)*'[1]BD Campos'!$S$3)</f>
        <v>0.2</v>
      </c>
      <c r="H369" s="102">
        <v>0.05</v>
      </c>
      <c r="I369" s="103">
        <f t="shared" si="19"/>
        <v>-1.0000000000000002E-2</v>
      </c>
    </row>
    <row r="370" spans="1:9">
      <c r="A370" s="99" t="str">
        <f t="shared" si="18"/>
        <v>ALERTAS PRIORITÁRIOSPonto de Apoio 214</v>
      </c>
      <c r="B370" s="99" t="s">
        <v>92</v>
      </c>
      <c r="C370" s="99" t="s">
        <v>754</v>
      </c>
      <c r="D370" s="115">
        <v>14</v>
      </c>
      <c r="E370" s="99" t="s">
        <v>968</v>
      </c>
      <c r="F370" s="110">
        <v>0.03</v>
      </c>
      <c r="G370" s="101">
        <f>IF(OR(B370="FIXO",B370="XFIXO"),IF(F370="","ERRO",10*F370)*'[1]BD Campos'!$S$2,IF(F370="","ERRO",10*F370)*'[1]BD Campos'!$S$3)</f>
        <v>0.3</v>
      </c>
      <c r="H370" s="102">
        <v>0.05</v>
      </c>
      <c r="I370" s="103">
        <f t="shared" si="19"/>
        <v>-1.4999999999999999E-2</v>
      </c>
    </row>
    <row r="371" spans="1:9">
      <c r="A371" s="104" t="str">
        <f t="shared" si="18"/>
        <v>ALERTAS PRIORITÁRIOSPonto de Apoio 215</v>
      </c>
      <c r="B371" s="104" t="s">
        <v>92</v>
      </c>
      <c r="C371" s="104" t="s">
        <v>754</v>
      </c>
      <c r="D371" s="116">
        <v>15</v>
      </c>
      <c r="E371" s="104" t="s">
        <v>969</v>
      </c>
      <c r="F371" s="105">
        <v>0.01</v>
      </c>
      <c r="G371" s="106">
        <f>IF(OR(B371="FIXO",B371="XFIXO"),IF(F371="","ERRO",10*F371)*'[1]BD Campos'!$S$2,IF(F371="","ERRO",10*F371)*'[1]BD Campos'!$S$3)</f>
        <v>0.1</v>
      </c>
      <c r="H371" s="107">
        <v>0.05</v>
      </c>
      <c r="I371" s="108">
        <f t="shared" si="19"/>
        <v>-5.000000000000001E-3</v>
      </c>
    </row>
    <row r="372" spans="1:9">
      <c r="A372" s="99" t="str">
        <f t="shared" si="18"/>
        <v>DESVIO DE ROTAPolícia1</v>
      </c>
      <c r="B372" s="99" t="s">
        <v>133</v>
      </c>
      <c r="C372" s="99" t="s">
        <v>222</v>
      </c>
      <c r="D372" s="115">
        <v>1</v>
      </c>
      <c r="E372" s="99" t="s">
        <v>954</v>
      </c>
      <c r="F372" s="100">
        <v>0.01</v>
      </c>
      <c r="G372" s="101">
        <f>IF(OR(B372="FIXO",B372="XFIXO"),IF(F372="","ERRO",10*F372)*'[1]BD Campos'!$S$2,IF(F372="","ERRO",10*F372)*'[1]BD Campos'!$S$3)</f>
        <v>0.1</v>
      </c>
      <c r="H372" s="102">
        <v>0.05</v>
      </c>
      <c r="I372" s="103">
        <f t="shared" si="19"/>
        <v>-5.000000000000001E-3</v>
      </c>
    </row>
    <row r="373" spans="1:9">
      <c r="A373" s="99" t="str">
        <f t="shared" si="18"/>
        <v>DESVIO DE ROTAPolícia2</v>
      </c>
      <c r="B373" s="99" t="s">
        <v>133</v>
      </c>
      <c r="C373" s="99" t="s">
        <v>222</v>
      </c>
      <c r="D373" s="115">
        <v>2</v>
      </c>
      <c r="E373" s="99" t="s">
        <v>955</v>
      </c>
      <c r="F373" s="100">
        <v>0.01</v>
      </c>
      <c r="G373" s="101">
        <f>IF(OR(B373="FIXO",B373="XFIXO"),IF(F373="","ERRO",10*F373)*'[1]BD Campos'!$S$2,IF(F373="","ERRO",10*F373)*'[1]BD Campos'!$S$3)</f>
        <v>0.1</v>
      </c>
      <c r="H373" s="102">
        <v>0.05</v>
      </c>
      <c r="I373" s="103">
        <f t="shared" si="19"/>
        <v>-5.000000000000001E-3</v>
      </c>
    </row>
    <row r="374" spans="1:9">
      <c r="A374" s="99" t="str">
        <f t="shared" si="18"/>
        <v>DESVIO DE ROTAPolícia3</v>
      </c>
      <c r="B374" s="99" t="s">
        <v>133</v>
      </c>
      <c r="C374" s="99" t="s">
        <v>222</v>
      </c>
      <c r="D374" s="115">
        <v>3</v>
      </c>
      <c r="E374" s="99" t="s">
        <v>956</v>
      </c>
      <c r="F374" s="100">
        <v>0.01</v>
      </c>
      <c r="G374" s="101">
        <f>IF(OR(B374="FIXO",B374="XFIXO"),IF(F374="","ERRO",10*F374)*'[1]BD Campos'!$S$2,IF(F374="","ERRO",10*F374)*'[1]BD Campos'!$S$3)</f>
        <v>0.1</v>
      </c>
      <c r="H374" s="102">
        <v>0.05</v>
      </c>
      <c r="I374" s="103">
        <f t="shared" si="19"/>
        <v>-5.000000000000001E-3</v>
      </c>
    </row>
    <row r="375" spans="1:9">
      <c r="A375" s="99" t="str">
        <f t="shared" si="18"/>
        <v>DESVIO DE ROTAPolícia4</v>
      </c>
      <c r="B375" s="99" t="s">
        <v>133</v>
      </c>
      <c r="C375" s="99" t="s">
        <v>222</v>
      </c>
      <c r="D375" s="115">
        <v>4</v>
      </c>
      <c r="E375" s="99" t="s">
        <v>982</v>
      </c>
      <c r="F375" s="100">
        <v>0.04</v>
      </c>
      <c r="G375" s="101">
        <f>IF(OR(B375="FIXO",B375="XFIXO"),IF(F375="","ERRO",10*F375)*'[1]BD Campos'!$S$2,IF(F375="","ERRO",10*F375)*'[1]BD Campos'!$S$3)</f>
        <v>0.4</v>
      </c>
      <c r="H375" s="102">
        <v>0.05</v>
      </c>
      <c r="I375" s="103">
        <f t="shared" si="19"/>
        <v>-2.0000000000000004E-2</v>
      </c>
    </row>
    <row r="376" spans="1:9">
      <c r="A376" s="99" t="str">
        <f t="shared" si="18"/>
        <v>DESVIO DE ROTAPolícia5</v>
      </c>
      <c r="B376" s="99" t="s">
        <v>133</v>
      </c>
      <c r="C376" s="99" t="s">
        <v>222</v>
      </c>
      <c r="D376" s="115">
        <v>5</v>
      </c>
      <c r="E376" s="99" t="s">
        <v>1002</v>
      </c>
      <c r="F376" s="100">
        <v>0.13</v>
      </c>
      <c r="G376" s="101">
        <f>IF(OR(B376="FIXO",B376="XFIXO"),IF(F376="","ERRO",10*F376)*'[1]BD Campos'!$S$2,IF(F376="","ERRO",10*F376)*'[1]BD Campos'!$S$3)</f>
        <v>1.3</v>
      </c>
      <c r="H376" s="102">
        <v>0.05</v>
      </c>
      <c r="I376" s="103">
        <f t="shared" si="19"/>
        <v>-6.5000000000000002E-2</v>
      </c>
    </row>
    <row r="377" spans="1:9">
      <c r="A377" s="99" t="str">
        <f t="shared" si="18"/>
        <v>DESVIO DE ROTAPolícia6</v>
      </c>
      <c r="B377" s="99" t="s">
        <v>133</v>
      </c>
      <c r="C377" s="99" t="s">
        <v>222</v>
      </c>
      <c r="D377" s="115">
        <v>6</v>
      </c>
      <c r="E377" s="99" t="s">
        <v>1003</v>
      </c>
      <c r="F377" s="100">
        <v>0.13500000000000001</v>
      </c>
      <c r="G377" s="101">
        <f>IF(OR(B377="FIXO",B377="XFIXO"),IF(F377="","ERRO",10*F377)*'[1]BD Campos'!$S$2,IF(F377="","ERRO",10*F377)*'[1]BD Campos'!$S$3)</f>
        <v>1.35</v>
      </c>
      <c r="H377" s="102">
        <v>0.05</v>
      </c>
      <c r="I377" s="103">
        <f t="shared" si="19"/>
        <v>-6.7500000000000004E-2</v>
      </c>
    </row>
    <row r="378" spans="1:9">
      <c r="A378" s="99" t="str">
        <f t="shared" si="18"/>
        <v>DESVIO DE ROTAPolícia7</v>
      </c>
      <c r="B378" s="99" t="s">
        <v>133</v>
      </c>
      <c r="C378" s="99" t="s">
        <v>222</v>
      </c>
      <c r="D378" s="115">
        <v>7</v>
      </c>
      <c r="E378" s="99" t="s">
        <v>1004</v>
      </c>
      <c r="F378" s="100">
        <v>0.13</v>
      </c>
      <c r="G378" s="101">
        <f>IF(OR(B378="FIXO",B378="XFIXO"),IF(F378="","ERRO",10*F378)*'[1]BD Campos'!$S$2,IF(F378="","ERRO",10*F378)*'[1]BD Campos'!$S$3)</f>
        <v>1.3</v>
      </c>
      <c r="H378" s="102">
        <v>0.05</v>
      </c>
      <c r="I378" s="103">
        <f t="shared" si="19"/>
        <v>-6.5000000000000002E-2</v>
      </c>
    </row>
    <row r="379" spans="1:9">
      <c r="A379" s="99" t="str">
        <f t="shared" si="18"/>
        <v>DESVIO DE ROTAPolícia8</v>
      </c>
      <c r="B379" s="99" t="s">
        <v>133</v>
      </c>
      <c r="C379" s="99" t="s">
        <v>222</v>
      </c>
      <c r="D379" s="115">
        <v>8</v>
      </c>
      <c r="E379" s="99" t="s">
        <v>1005</v>
      </c>
      <c r="F379" s="100">
        <v>0.15</v>
      </c>
      <c r="G379" s="101">
        <f>IF(OR(B379="FIXO",B379="XFIXO"),IF(F379="","ERRO",10*F379)*'[1]BD Campos'!$S$2,IF(F379="","ERRO",10*F379)*'[1]BD Campos'!$S$3)</f>
        <v>1.5</v>
      </c>
      <c r="H379" s="102">
        <v>0.05</v>
      </c>
      <c r="I379" s="103">
        <f t="shared" si="19"/>
        <v>-7.5000000000000011E-2</v>
      </c>
    </row>
    <row r="380" spans="1:9">
      <c r="A380" s="99" t="str">
        <f t="shared" si="18"/>
        <v>DESVIO DE ROTAPolícia9</v>
      </c>
      <c r="B380" s="99" t="s">
        <v>133</v>
      </c>
      <c r="C380" s="99" t="s">
        <v>222</v>
      </c>
      <c r="D380" s="115">
        <v>9</v>
      </c>
      <c r="E380" s="99" t="s">
        <v>1006</v>
      </c>
      <c r="F380" s="100">
        <v>0.13</v>
      </c>
      <c r="G380" s="101">
        <f>IF(OR(B380="FIXO",B380="XFIXO"),IF(F380="","ERRO",10*F380)*'[1]BD Campos'!$S$2,IF(F380="","ERRO",10*F380)*'[1]BD Campos'!$S$3)</f>
        <v>1.3</v>
      </c>
      <c r="H380" s="102">
        <v>0.05</v>
      </c>
      <c r="I380" s="103">
        <f t="shared" si="19"/>
        <v>-6.5000000000000002E-2</v>
      </c>
    </row>
    <row r="381" spans="1:9">
      <c r="A381" s="99" t="str">
        <f t="shared" si="18"/>
        <v>DESVIO DE ROTAPolícia10</v>
      </c>
      <c r="B381" s="99" t="s">
        <v>133</v>
      </c>
      <c r="C381" s="99" t="s">
        <v>222</v>
      </c>
      <c r="D381" s="115">
        <v>10</v>
      </c>
      <c r="E381" s="99" t="s">
        <v>1007</v>
      </c>
      <c r="F381" s="100">
        <v>0.12</v>
      </c>
      <c r="G381" s="101">
        <f>IF(OR(B381="FIXO",B381="XFIXO"),IF(F381="","ERRO",10*F381)*'[1]BD Campos'!$S$2,IF(F381="","ERRO",10*F381)*'[1]BD Campos'!$S$3)</f>
        <v>1.2</v>
      </c>
      <c r="H381" s="102">
        <v>0.05</v>
      </c>
      <c r="I381" s="103">
        <f t="shared" si="19"/>
        <v>-0.06</v>
      </c>
    </row>
    <row r="382" spans="1:9">
      <c r="A382" s="99" t="str">
        <f t="shared" si="18"/>
        <v>DESVIO DE ROTAPolícia11</v>
      </c>
      <c r="B382" s="99" t="s">
        <v>133</v>
      </c>
      <c r="C382" s="99" t="s">
        <v>222</v>
      </c>
      <c r="D382" s="115">
        <v>11</v>
      </c>
      <c r="E382" s="99" t="s">
        <v>964</v>
      </c>
      <c r="F382" s="100">
        <v>0.03</v>
      </c>
      <c r="G382" s="101">
        <f>IF(OR(B382="FIXO",B382="XFIXO"),IF(F382="","ERRO",10*F382)*'[1]BD Campos'!$S$2,IF(F382="","ERRO",10*F382)*'[1]BD Campos'!$S$3)</f>
        <v>0.3</v>
      </c>
      <c r="H382" s="102">
        <v>0.05</v>
      </c>
      <c r="I382" s="103">
        <f t="shared" si="19"/>
        <v>-1.4999999999999999E-2</v>
      </c>
    </row>
    <row r="383" spans="1:9">
      <c r="A383" s="99" t="str">
        <f t="shared" si="18"/>
        <v>DESVIO DE ROTAPolícia12</v>
      </c>
      <c r="B383" s="99" t="s">
        <v>133</v>
      </c>
      <c r="C383" s="99" t="s">
        <v>222</v>
      </c>
      <c r="D383" s="115">
        <v>12</v>
      </c>
      <c r="E383" s="99" t="s">
        <v>965</v>
      </c>
      <c r="F383" s="100">
        <v>0.03</v>
      </c>
      <c r="G383" s="101">
        <f>IF(OR(B383="FIXO",B383="XFIXO"),IF(F383="","ERRO",10*F383)*'[1]BD Campos'!$S$2,IF(F383="","ERRO",10*F383)*'[1]BD Campos'!$S$3)</f>
        <v>0.3</v>
      </c>
      <c r="H383" s="102">
        <v>0.05</v>
      </c>
      <c r="I383" s="103">
        <f t="shared" si="19"/>
        <v>-1.4999999999999999E-2</v>
      </c>
    </row>
    <row r="384" spans="1:9">
      <c r="A384" s="99" t="str">
        <f t="shared" si="18"/>
        <v>DESVIO DE ROTAPolícia13</v>
      </c>
      <c r="B384" s="99" t="s">
        <v>133</v>
      </c>
      <c r="C384" s="99" t="s">
        <v>222</v>
      </c>
      <c r="D384" s="115">
        <v>13</v>
      </c>
      <c r="E384" s="99" t="s">
        <v>966</v>
      </c>
      <c r="F384" s="100">
        <v>1.4999999999999999E-2</v>
      </c>
      <c r="G384" s="101">
        <f>IF(OR(B384="FIXO",B384="XFIXO"),IF(F384="","ERRO",10*F384)*'[1]BD Campos'!$S$2,IF(F384="","ERRO",10*F384)*'[1]BD Campos'!$S$3)</f>
        <v>0.15</v>
      </c>
      <c r="H384" s="102">
        <v>0.05</v>
      </c>
      <c r="I384" s="103">
        <f t="shared" si="19"/>
        <v>-7.4999999999999997E-3</v>
      </c>
    </row>
    <row r="385" spans="1:9">
      <c r="A385" s="99" t="str">
        <f t="shared" ref="A385:A448" si="20">B385&amp;C385&amp;D385</f>
        <v>DESVIO DE ROTAPolícia14</v>
      </c>
      <c r="B385" s="99" t="s">
        <v>133</v>
      </c>
      <c r="C385" s="99" t="s">
        <v>222</v>
      </c>
      <c r="D385" s="115">
        <v>14</v>
      </c>
      <c r="E385" s="99" t="s">
        <v>967</v>
      </c>
      <c r="F385" s="100">
        <v>0.02</v>
      </c>
      <c r="G385" s="101">
        <f>IF(OR(B385="FIXO",B385="XFIXO"),IF(F385="","ERRO",10*F385)*'[1]BD Campos'!$S$2,IF(F385="","ERRO",10*F385)*'[1]BD Campos'!$S$3)</f>
        <v>0.2</v>
      </c>
      <c r="H385" s="102">
        <v>0.05</v>
      </c>
      <c r="I385" s="103">
        <f t="shared" ref="I385:I448" si="21">H385*G385*-1</f>
        <v>-1.0000000000000002E-2</v>
      </c>
    </row>
    <row r="386" spans="1:9">
      <c r="A386" s="99" t="str">
        <f t="shared" si="20"/>
        <v>DESVIO DE ROTAPolícia15</v>
      </c>
      <c r="B386" s="99" t="s">
        <v>133</v>
      </c>
      <c r="C386" s="99" t="s">
        <v>222</v>
      </c>
      <c r="D386" s="115">
        <v>15</v>
      </c>
      <c r="E386" s="99" t="s">
        <v>968</v>
      </c>
      <c r="F386" s="110">
        <v>0.03</v>
      </c>
      <c r="G386" s="101">
        <f>IF(OR(B386="FIXO",B386="XFIXO"),IF(F386="","ERRO",10*F386)*'[1]BD Campos'!$S$2,IF(F386="","ERRO",10*F386)*'[1]BD Campos'!$S$3)</f>
        <v>0.3</v>
      </c>
      <c r="H386" s="102">
        <v>0.05</v>
      </c>
      <c r="I386" s="103">
        <f t="shared" si="21"/>
        <v>-1.4999999999999999E-2</v>
      </c>
    </row>
    <row r="387" spans="1:9">
      <c r="A387" s="104" t="str">
        <f t="shared" si="20"/>
        <v>DESVIO DE ROTAPolícia16</v>
      </c>
      <c r="B387" s="104" t="s">
        <v>133</v>
      </c>
      <c r="C387" s="104" t="s">
        <v>222</v>
      </c>
      <c r="D387" s="116">
        <v>16</v>
      </c>
      <c r="E387" s="104" t="s">
        <v>969</v>
      </c>
      <c r="F387" s="105">
        <v>0.01</v>
      </c>
      <c r="G387" s="106">
        <f>IF(OR(B387="FIXO",B387="XFIXO"),IF(F387="","ERRO",10*F387)*'[1]BD Campos'!$S$2,IF(F387="","ERRO",10*F387)*'[1]BD Campos'!$S$3)</f>
        <v>0.1</v>
      </c>
      <c r="H387" s="107">
        <v>0.05</v>
      </c>
      <c r="I387" s="108">
        <f t="shared" si="21"/>
        <v>-5.000000000000001E-3</v>
      </c>
    </row>
    <row r="388" spans="1:9">
      <c r="A388" s="99" t="str">
        <f t="shared" si="20"/>
        <v>DESVIO DE ROTAPolícia 21</v>
      </c>
      <c r="B388" s="99" t="s">
        <v>133</v>
      </c>
      <c r="C388" s="99" t="s">
        <v>225</v>
      </c>
      <c r="D388" s="115">
        <v>1</v>
      </c>
      <c r="E388" s="99" t="s">
        <v>954</v>
      </c>
      <c r="F388" s="100">
        <v>0.01</v>
      </c>
      <c r="G388" s="101">
        <f>IF(OR(B388="FIXO",B388="XFIXO"),IF(F388="","ERRO",10*F388)*'[1]BD Campos'!$S$2,IF(F388="","ERRO",10*F388)*'[1]BD Campos'!$S$3)</f>
        <v>0.1</v>
      </c>
      <c r="H388" s="102">
        <v>0.05</v>
      </c>
      <c r="I388" s="103">
        <f t="shared" si="21"/>
        <v>-5.000000000000001E-3</v>
      </c>
    </row>
    <row r="389" spans="1:9">
      <c r="A389" s="99" t="str">
        <f t="shared" si="20"/>
        <v>DESVIO DE ROTAPolícia 22</v>
      </c>
      <c r="B389" s="99" t="s">
        <v>133</v>
      </c>
      <c r="C389" s="99" t="s">
        <v>225</v>
      </c>
      <c r="D389" s="115">
        <v>2</v>
      </c>
      <c r="E389" s="99" t="s">
        <v>955</v>
      </c>
      <c r="F389" s="100">
        <v>0.01</v>
      </c>
      <c r="G389" s="101">
        <f>IF(OR(B389="FIXO",B389="XFIXO"),IF(F389="","ERRO",10*F389)*'[1]BD Campos'!$S$2,IF(F389="","ERRO",10*F389)*'[1]BD Campos'!$S$3)</f>
        <v>0.1</v>
      </c>
      <c r="H389" s="102">
        <v>0.05</v>
      </c>
      <c r="I389" s="103">
        <f t="shared" si="21"/>
        <v>-5.000000000000001E-3</v>
      </c>
    </row>
    <row r="390" spans="1:9">
      <c r="A390" s="99" t="str">
        <f t="shared" si="20"/>
        <v>DESVIO DE ROTAPolícia 23</v>
      </c>
      <c r="B390" s="99" t="s">
        <v>133</v>
      </c>
      <c r="C390" s="99" t="s">
        <v>225</v>
      </c>
      <c r="D390" s="115">
        <v>3</v>
      </c>
      <c r="E390" s="99" t="s">
        <v>956</v>
      </c>
      <c r="F390" s="100">
        <v>0.01</v>
      </c>
      <c r="G390" s="101">
        <f>IF(OR(B390="FIXO",B390="XFIXO"),IF(F390="","ERRO",10*F390)*'[1]BD Campos'!$S$2,IF(F390="","ERRO",10*F390)*'[1]BD Campos'!$S$3)</f>
        <v>0.1</v>
      </c>
      <c r="H390" s="102">
        <v>0.05</v>
      </c>
      <c r="I390" s="103">
        <f t="shared" si="21"/>
        <v>-5.000000000000001E-3</v>
      </c>
    </row>
    <row r="391" spans="1:9">
      <c r="A391" s="99" t="str">
        <f t="shared" si="20"/>
        <v>DESVIO DE ROTAPolícia 24</v>
      </c>
      <c r="B391" s="99" t="s">
        <v>133</v>
      </c>
      <c r="C391" s="99" t="s">
        <v>225</v>
      </c>
      <c r="D391" s="115">
        <v>4</v>
      </c>
      <c r="E391" s="99" t="s">
        <v>982</v>
      </c>
      <c r="F391" s="100">
        <v>0.04</v>
      </c>
      <c r="G391" s="101">
        <f>IF(OR(B391="FIXO",B391="XFIXO"),IF(F391="","ERRO",10*F391)*'[1]BD Campos'!$S$2,IF(F391="","ERRO",10*F391)*'[1]BD Campos'!$S$3)</f>
        <v>0.4</v>
      </c>
      <c r="H391" s="102">
        <v>0.05</v>
      </c>
      <c r="I391" s="103">
        <f t="shared" si="21"/>
        <v>-2.0000000000000004E-2</v>
      </c>
    </row>
    <row r="392" spans="1:9">
      <c r="A392" s="99" t="str">
        <f t="shared" si="20"/>
        <v>DESVIO DE ROTAPolícia 25</v>
      </c>
      <c r="B392" s="99" t="s">
        <v>133</v>
      </c>
      <c r="C392" s="99" t="s">
        <v>225</v>
      </c>
      <c r="D392" s="115">
        <v>5</v>
      </c>
      <c r="E392" s="99" t="s">
        <v>1002</v>
      </c>
      <c r="F392" s="100">
        <v>0.13</v>
      </c>
      <c r="G392" s="101">
        <f>IF(OR(B392="FIXO",B392="XFIXO"),IF(F392="","ERRO",10*F392)*'[1]BD Campos'!$S$2,IF(F392="","ERRO",10*F392)*'[1]BD Campos'!$S$3)</f>
        <v>1.3</v>
      </c>
      <c r="H392" s="102">
        <v>0.05</v>
      </c>
      <c r="I392" s="103">
        <f t="shared" si="21"/>
        <v>-6.5000000000000002E-2</v>
      </c>
    </row>
    <row r="393" spans="1:9">
      <c r="A393" s="99" t="str">
        <f t="shared" si="20"/>
        <v>DESVIO DE ROTAPolícia 26</v>
      </c>
      <c r="B393" s="99" t="s">
        <v>133</v>
      </c>
      <c r="C393" s="99" t="s">
        <v>225</v>
      </c>
      <c r="D393" s="115">
        <v>6</v>
      </c>
      <c r="E393" s="99" t="s">
        <v>1003</v>
      </c>
      <c r="F393" s="100">
        <v>0.13500000000000001</v>
      </c>
      <c r="G393" s="101">
        <f>IF(OR(B393="FIXO",B393="XFIXO"),IF(F393="","ERRO",10*F393)*'[1]BD Campos'!$S$2,IF(F393="","ERRO",10*F393)*'[1]BD Campos'!$S$3)</f>
        <v>1.35</v>
      </c>
      <c r="H393" s="102">
        <v>0.05</v>
      </c>
      <c r="I393" s="103">
        <f t="shared" si="21"/>
        <v>-6.7500000000000004E-2</v>
      </c>
    </row>
    <row r="394" spans="1:9">
      <c r="A394" s="99" t="str">
        <f t="shared" si="20"/>
        <v>DESVIO DE ROTAPolícia 27</v>
      </c>
      <c r="B394" s="99" t="s">
        <v>133</v>
      </c>
      <c r="C394" s="99" t="s">
        <v>225</v>
      </c>
      <c r="D394" s="115">
        <v>7</v>
      </c>
      <c r="E394" s="99" t="s">
        <v>1004</v>
      </c>
      <c r="F394" s="100">
        <v>0.13</v>
      </c>
      <c r="G394" s="101">
        <f>IF(OR(B394="FIXO",B394="XFIXO"),IF(F394="","ERRO",10*F394)*'[1]BD Campos'!$S$2,IF(F394="","ERRO",10*F394)*'[1]BD Campos'!$S$3)</f>
        <v>1.3</v>
      </c>
      <c r="H394" s="102">
        <v>0.05</v>
      </c>
      <c r="I394" s="103">
        <f t="shared" si="21"/>
        <v>-6.5000000000000002E-2</v>
      </c>
    </row>
    <row r="395" spans="1:9">
      <c r="A395" s="99" t="str">
        <f t="shared" si="20"/>
        <v>DESVIO DE ROTAPolícia 28</v>
      </c>
      <c r="B395" s="99" t="s">
        <v>133</v>
      </c>
      <c r="C395" s="99" t="s">
        <v>225</v>
      </c>
      <c r="D395" s="115">
        <v>8</v>
      </c>
      <c r="E395" s="99" t="s">
        <v>1005</v>
      </c>
      <c r="F395" s="100">
        <v>0.15</v>
      </c>
      <c r="G395" s="101">
        <f>IF(OR(B395="FIXO",B395="XFIXO"),IF(F395="","ERRO",10*F395)*'[1]BD Campos'!$S$2,IF(F395="","ERRO",10*F395)*'[1]BD Campos'!$S$3)</f>
        <v>1.5</v>
      </c>
      <c r="H395" s="102">
        <v>0.05</v>
      </c>
      <c r="I395" s="103">
        <f t="shared" si="21"/>
        <v>-7.5000000000000011E-2</v>
      </c>
    </row>
    <row r="396" spans="1:9">
      <c r="A396" s="99" t="str">
        <f t="shared" si="20"/>
        <v>DESVIO DE ROTAPolícia 29</v>
      </c>
      <c r="B396" s="99" t="s">
        <v>133</v>
      </c>
      <c r="C396" s="99" t="s">
        <v>225</v>
      </c>
      <c r="D396" s="115">
        <v>9</v>
      </c>
      <c r="E396" s="99" t="s">
        <v>1006</v>
      </c>
      <c r="F396" s="100">
        <v>0.13</v>
      </c>
      <c r="G396" s="101">
        <f>IF(OR(B396="FIXO",B396="XFIXO"),IF(F396="","ERRO",10*F396)*'[1]BD Campos'!$S$2,IF(F396="","ERRO",10*F396)*'[1]BD Campos'!$S$3)</f>
        <v>1.3</v>
      </c>
      <c r="H396" s="102">
        <v>0.05</v>
      </c>
      <c r="I396" s="103">
        <f t="shared" si="21"/>
        <v>-6.5000000000000002E-2</v>
      </c>
    </row>
    <row r="397" spans="1:9">
      <c r="A397" s="99" t="str">
        <f t="shared" si="20"/>
        <v>DESVIO DE ROTAPolícia 210</v>
      </c>
      <c r="B397" s="99" t="s">
        <v>133</v>
      </c>
      <c r="C397" s="99" t="s">
        <v>225</v>
      </c>
      <c r="D397" s="115">
        <v>10</v>
      </c>
      <c r="E397" s="99" t="s">
        <v>1007</v>
      </c>
      <c r="F397" s="100">
        <v>0.12</v>
      </c>
      <c r="G397" s="101">
        <f>IF(OR(B397="FIXO",B397="XFIXO"),IF(F397="","ERRO",10*F397)*'[1]BD Campos'!$S$2,IF(F397="","ERRO",10*F397)*'[1]BD Campos'!$S$3)</f>
        <v>1.2</v>
      </c>
      <c r="H397" s="102">
        <v>0.05</v>
      </c>
      <c r="I397" s="103">
        <f t="shared" si="21"/>
        <v>-0.06</v>
      </c>
    </row>
    <row r="398" spans="1:9">
      <c r="A398" s="99" t="str">
        <f t="shared" si="20"/>
        <v>DESVIO DE ROTAPolícia 211</v>
      </c>
      <c r="B398" s="99" t="s">
        <v>133</v>
      </c>
      <c r="C398" s="99" t="s">
        <v>225</v>
      </c>
      <c r="D398" s="115">
        <v>11</v>
      </c>
      <c r="E398" s="99" t="s">
        <v>964</v>
      </c>
      <c r="F398" s="100">
        <v>0.03</v>
      </c>
      <c r="G398" s="101">
        <f>IF(OR(B398="FIXO",B398="XFIXO"),IF(F398="","ERRO",10*F398)*'[1]BD Campos'!$S$2,IF(F398="","ERRO",10*F398)*'[1]BD Campos'!$S$3)</f>
        <v>0.3</v>
      </c>
      <c r="H398" s="102">
        <v>0.05</v>
      </c>
      <c r="I398" s="103">
        <f t="shared" si="21"/>
        <v>-1.4999999999999999E-2</v>
      </c>
    </row>
    <row r="399" spans="1:9">
      <c r="A399" s="99" t="str">
        <f t="shared" si="20"/>
        <v>DESVIO DE ROTAPolícia 212</v>
      </c>
      <c r="B399" s="99" t="s">
        <v>133</v>
      </c>
      <c r="C399" s="99" t="s">
        <v>225</v>
      </c>
      <c r="D399" s="115">
        <v>12</v>
      </c>
      <c r="E399" s="99" t="s">
        <v>965</v>
      </c>
      <c r="F399" s="100">
        <v>0.03</v>
      </c>
      <c r="G399" s="101">
        <f>IF(OR(B399="FIXO",B399="XFIXO"),IF(F399="","ERRO",10*F399)*'[1]BD Campos'!$S$2,IF(F399="","ERRO",10*F399)*'[1]BD Campos'!$S$3)</f>
        <v>0.3</v>
      </c>
      <c r="H399" s="102">
        <v>0.05</v>
      </c>
      <c r="I399" s="103">
        <f t="shared" si="21"/>
        <v>-1.4999999999999999E-2</v>
      </c>
    </row>
    <row r="400" spans="1:9">
      <c r="A400" s="99" t="str">
        <f t="shared" si="20"/>
        <v>DESVIO DE ROTAPolícia 213</v>
      </c>
      <c r="B400" s="99" t="s">
        <v>133</v>
      </c>
      <c r="C400" s="99" t="s">
        <v>225</v>
      </c>
      <c r="D400" s="115">
        <v>13</v>
      </c>
      <c r="E400" s="99" t="s">
        <v>966</v>
      </c>
      <c r="F400" s="100">
        <v>1.4999999999999999E-2</v>
      </c>
      <c r="G400" s="101">
        <f>IF(OR(B400="FIXO",B400="XFIXO"),IF(F400="","ERRO",10*F400)*'[1]BD Campos'!$S$2,IF(F400="","ERRO",10*F400)*'[1]BD Campos'!$S$3)</f>
        <v>0.15</v>
      </c>
      <c r="H400" s="102">
        <v>0.05</v>
      </c>
      <c r="I400" s="103">
        <f t="shared" si="21"/>
        <v>-7.4999999999999997E-3</v>
      </c>
    </row>
    <row r="401" spans="1:9">
      <c r="A401" s="99" t="str">
        <f t="shared" si="20"/>
        <v>DESVIO DE ROTAPolícia 214</v>
      </c>
      <c r="B401" s="99" t="s">
        <v>133</v>
      </c>
      <c r="C401" s="99" t="s">
        <v>225</v>
      </c>
      <c r="D401" s="115">
        <v>14</v>
      </c>
      <c r="E401" s="99" t="s">
        <v>967</v>
      </c>
      <c r="F401" s="100">
        <v>0.02</v>
      </c>
      <c r="G401" s="101">
        <f>IF(OR(B401="FIXO",B401="XFIXO"),IF(F401="","ERRO",10*F401)*'[1]BD Campos'!$S$2,IF(F401="","ERRO",10*F401)*'[1]BD Campos'!$S$3)</f>
        <v>0.2</v>
      </c>
      <c r="H401" s="102">
        <v>0.05</v>
      </c>
      <c r="I401" s="103">
        <f t="shared" si="21"/>
        <v>-1.0000000000000002E-2</v>
      </c>
    </row>
    <row r="402" spans="1:9">
      <c r="A402" s="99" t="str">
        <f t="shared" si="20"/>
        <v>DESVIO DE ROTAPolícia 215</v>
      </c>
      <c r="B402" s="99" t="s">
        <v>133</v>
      </c>
      <c r="C402" s="99" t="s">
        <v>225</v>
      </c>
      <c r="D402" s="115">
        <v>15</v>
      </c>
      <c r="E402" s="99" t="s">
        <v>968</v>
      </c>
      <c r="F402" s="110">
        <v>0.03</v>
      </c>
      <c r="G402" s="101">
        <f>IF(OR(B402="FIXO",B402="XFIXO"),IF(F402="","ERRO",10*F402)*'[1]BD Campos'!$S$2,IF(F402="","ERRO",10*F402)*'[1]BD Campos'!$S$3)</f>
        <v>0.3</v>
      </c>
      <c r="H402" s="102">
        <v>0.05</v>
      </c>
      <c r="I402" s="103">
        <f t="shared" si="21"/>
        <v>-1.4999999999999999E-2</v>
      </c>
    </row>
    <row r="403" spans="1:9">
      <c r="A403" s="104" t="str">
        <f t="shared" si="20"/>
        <v>DESVIO DE ROTAPolícia 216</v>
      </c>
      <c r="B403" s="104" t="s">
        <v>133</v>
      </c>
      <c r="C403" s="104" t="s">
        <v>225</v>
      </c>
      <c r="D403" s="116">
        <v>16</v>
      </c>
      <c r="E403" s="104" t="s">
        <v>969</v>
      </c>
      <c r="F403" s="105">
        <v>0.01</v>
      </c>
      <c r="G403" s="106">
        <f>IF(OR(B403="FIXO",B403="XFIXO"),IF(F403="","ERRO",10*F403)*'[1]BD Campos'!$S$2,IF(F403="","ERRO",10*F403)*'[1]BD Campos'!$S$3)</f>
        <v>0.1</v>
      </c>
      <c r="H403" s="107">
        <v>0.05</v>
      </c>
      <c r="I403" s="108">
        <f t="shared" si="21"/>
        <v>-5.000000000000001E-3</v>
      </c>
    </row>
    <row r="404" spans="1:9">
      <c r="A404" s="99" t="str">
        <f t="shared" si="20"/>
        <v>PARADA INDEVIDAPolícia1</v>
      </c>
      <c r="B404" s="99" t="s">
        <v>130</v>
      </c>
      <c r="C404" s="99" t="s">
        <v>222</v>
      </c>
      <c r="D404" s="115">
        <v>1</v>
      </c>
      <c r="E404" s="99" t="s">
        <v>954</v>
      </c>
      <c r="F404" s="100">
        <v>0.01</v>
      </c>
      <c r="G404" s="101">
        <f>IF(OR(B404="FIXO",B404="XFIXO"),IF(F404="","ERRO",10*F404)*'[1]BD Campos'!$S$2,IF(F404="","ERRO",10*F404)*'[1]BD Campos'!$S$3)</f>
        <v>0.1</v>
      </c>
      <c r="H404" s="102">
        <v>0.05</v>
      </c>
      <c r="I404" s="103">
        <f t="shared" si="21"/>
        <v>-5.000000000000001E-3</v>
      </c>
    </row>
    <row r="405" spans="1:9">
      <c r="A405" s="99" t="str">
        <f t="shared" si="20"/>
        <v>PARADA INDEVIDAPolícia2</v>
      </c>
      <c r="B405" s="99" t="s">
        <v>130</v>
      </c>
      <c r="C405" s="99" t="s">
        <v>222</v>
      </c>
      <c r="D405" s="115">
        <v>2</v>
      </c>
      <c r="E405" s="99" t="s">
        <v>955</v>
      </c>
      <c r="F405" s="100">
        <v>0.01</v>
      </c>
      <c r="G405" s="101">
        <f>IF(OR(B405="FIXO",B405="XFIXO"),IF(F405="","ERRO",10*F405)*'[1]BD Campos'!$S$2,IF(F405="","ERRO",10*F405)*'[1]BD Campos'!$S$3)</f>
        <v>0.1</v>
      </c>
      <c r="H405" s="102">
        <v>0.05</v>
      </c>
      <c r="I405" s="103">
        <f t="shared" si="21"/>
        <v>-5.000000000000001E-3</v>
      </c>
    </row>
    <row r="406" spans="1:9">
      <c r="A406" s="99" t="str">
        <f t="shared" si="20"/>
        <v>PARADA INDEVIDAPolícia3</v>
      </c>
      <c r="B406" s="99" t="s">
        <v>130</v>
      </c>
      <c r="C406" s="99" t="s">
        <v>222</v>
      </c>
      <c r="D406" s="115">
        <v>3</v>
      </c>
      <c r="E406" s="99" t="s">
        <v>956</v>
      </c>
      <c r="F406" s="100">
        <v>0.01</v>
      </c>
      <c r="G406" s="101">
        <f>IF(OR(B406="FIXO",B406="XFIXO"),IF(F406="","ERRO",10*F406)*'[1]BD Campos'!$S$2,IF(F406="","ERRO",10*F406)*'[1]BD Campos'!$S$3)</f>
        <v>0.1</v>
      </c>
      <c r="H406" s="102">
        <v>0.05</v>
      </c>
      <c r="I406" s="103">
        <f t="shared" si="21"/>
        <v>-5.000000000000001E-3</v>
      </c>
    </row>
    <row r="407" spans="1:9">
      <c r="A407" s="99" t="str">
        <f t="shared" si="20"/>
        <v>PARADA INDEVIDAPolícia4</v>
      </c>
      <c r="B407" s="99" t="s">
        <v>130</v>
      </c>
      <c r="C407" s="99" t="s">
        <v>222</v>
      </c>
      <c r="D407" s="115">
        <v>4</v>
      </c>
      <c r="E407" s="99" t="s">
        <v>982</v>
      </c>
      <c r="F407" s="100">
        <v>0.04</v>
      </c>
      <c r="G407" s="101">
        <f>IF(OR(B407="FIXO",B407="XFIXO"),IF(F407="","ERRO",10*F407)*'[1]BD Campos'!$S$2,IF(F407="","ERRO",10*F407)*'[1]BD Campos'!$S$3)</f>
        <v>0.4</v>
      </c>
      <c r="H407" s="102">
        <v>0.05</v>
      </c>
      <c r="I407" s="103">
        <f t="shared" si="21"/>
        <v>-2.0000000000000004E-2</v>
      </c>
    </row>
    <row r="408" spans="1:9">
      <c r="A408" s="99" t="str">
        <f t="shared" si="20"/>
        <v>PARADA INDEVIDAPolícia5</v>
      </c>
      <c r="B408" s="99" t="s">
        <v>130</v>
      </c>
      <c r="C408" s="99" t="s">
        <v>222</v>
      </c>
      <c r="D408" s="115">
        <v>5</v>
      </c>
      <c r="E408" s="99" t="s">
        <v>1002</v>
      </c>
      <c r="F408" s="100">
        <v>0.13</v>
      </c>
      <c r="G408" s="101">
        <f>IF(OR(B408="FIXO",B408="XFIXO"),IF(F408="","ERRO",10*F408)*'[1]BD Campos'!$S$2,IF(F408="","ERRO",10*F408)*'[1]BD Campos'!$S$3)</f>
        <v>1.3</v>
      </c>
      <c r="H408" s="102">
        <v>0.05</v>
      </c>
      <c r="I408" s="103">
        <f t="shared" si="21"/>
        <v>-6.5000000000000002E-2</v>
      </c>
    </row>
    <row r="409" spans="1:9">
      <c r="A409" s="99" t="str">
        <f t="shared" si="20"/>
        <v>PARADA INDEVIDAPolícia6</v>
      </c>
      <c r="B409" s="99" t="s">
        <v>130</v>
      </c>
      <c r="C409" s="99" t="s">
        <v>222</v>
      </c>
      <c r="D409" s="115">
        <v>6</v>
      </c>
      <c r="E409" s="99" t="s">
        <v>1003</v>
      </c>
      <c r="F409" s="100">
        <v>0.13500000000000001</v>
      </c>
      <c r="G409" s="101">
        <f>IF(OR(B409="FIXO",B409="XFIXO"),IF(F409="","ERRO",10*F409)*'[1]BD Campos'!$S$2,IF(F409="","ERRO",10*F409)*'[1]BD Campos'!$S$3)</f>
        <v>1.35</v>
      </c>
      <c r="H409" s="102">
        <v>0.05</v>
      </c>
      <c r="I409" s="103">
        <f t="shared" si="21"/>
        <v>-6.7500000000000004E-2</v>
      </c>
    </row>
    <row r="410" spans="1:9">
      <c r="A410" s="99" t="str">
        <f t="shared" si="20"/>
        <v>PARADA INDEVIDAPolícia7</v>
      </c>
      <c r="B410" s="99" t="s">
        <v>130</v>
      </c>
      <c r="C410" s="99" t="s">
        <v>222</v>
      </c>
      <c r="D410" s="115">
        <v>7</v>
      </c>
      <c r="E410" s="99" t="s">
        <v>1004</v>
      </c>
      <c r="F410" s="100">
        <v>0.13</v>
      </c>
      <c r="G410" s="101">
        <f>IF(OR(B410="FIXO",B410="XFIXO"),IF(F410="","ERRO",10*F410)*'[1]BD Campos'!$S$2,IF(F410="","ERRO",10*F410)*'[1]BD Campos'!$S$3)</f>
        <v>1.3</v>
      </c>
      <c r="H410" s="102">
        <v>0.05</v>
      </c>
      <c r="I410" s="103">
        <f t="shared" si="21"/>
        <v>-6.5000000000000002E-2</v>
      </c>
    </row>
    <row r="411" spans="1:9">
      <c r="A411" s="99" t="str">
        <f t="shared" si="20"/>
        <v>PARADA INDEVIDAPolícia8</v>
      </c>
      <c r="B411" s="99" t="s">
        <v>130</v>
      </c>
      <c r="C411" s="99" t="s">
        <v>222</v>
      </c>
      <c r="D411" s="115">
        <v>8</v>
      </c>
      <c r="E411" s="99" t="s">
        <v>1005</v>
      </c>
      <c r="F411" s="100">
        <v>0.15</v>
      </c>
      <c r="G411" s="101">
        <f>IF(OR(B411="FIXO",B411="XFIXO"),IF(F411="","ERRO",10*F411)*'[1]BD Campos'!$S$2,IF(F411="","ERRO",10*F411)*'[1]BD Campos'!$S$3)</f>
        <v>1.5</v>
      </c>
      <c r="H411" s="102">
        <v>0.05</v>
      </c>
      <c r="I411" s="103">
        <f t="shared" si="21"/>
        <v>-7.5000000000000011E-2</v>
      </c>
    </row>
    <row r="412" spans="1:9">
      <c r="A412" s="99" t="str">
        <f t="shared" si="20"/>
        <v>PARADA INDEVIDAPolícia9</v>
      </c>
      <c r="B412" s="99" t="s">
        <v>130</v>
      </c>
      <c r="C412" s="99" t="s">
        <v>222</v>
      </c>
      <c r="D412" s="115">
        <v>9</v>
      </c>
      <c r="E412" s="99" t="s">
        <v>1006</v>
      </c>
      <c r="F412" s="100">
        <v>0.13</v>
      </c>
      <c r="G412" s="101">
        <f>IF(OR(B412="FIXO",B412="XFIXO"),IF(F412="","ERRO",10*F412)*'[1]BD Campos'!$S$2,IF(F412="","ERRO",10*F412)*'[1]BD Campos'!$S$3)</f>
        <v>1.3</v>
      </c>
      <c r="H412" s="102">
        <v>0.05</v>
      </c>
      <c r="I412" s="103">
        <f t="shared" si="21"/>
        <v>-6.5000000000000002E-2</v>
      </c>
    </row>
    <row r="413" spans="1:9">
      <c r="A413" s="99" t="str">
        <f t="shared" si="20"/>
        <v>PARADA INDEVIDAPolícia10</v>
      </c>
      <c r="B413" s="99" t="s">
        <v>130</v>
      </c>
      <c r="C413" s="99" t="s">
        <v>222</v>
      </c>
      <c r="D413" s="115">
        <v>10</v>
      </c>
      <c r="E413" s="99" t="s">
        <v>1007</v>
      </c>
      <c r="F413" s="100">
        <v>0.12</v>
      </c>
      <c r="G413" s="101">
        <f>IF(OR(B413="FIXO",B413="XFIXO"),IF(F413="","ERRO",10*F413)*'[1]BD Campos'!$S$2,IF(F413="","ERRO",10*F413)*'[1]BD Campos'!$S$3)</f>
        <v>1.2</v>
      </c>
      <c r="H413" s="102">
        <v>0.05</v>
      </c>
      <c r="I413" s="103">
        <f t="shared" si="21"/>
        <v>-0.06</v>
      </c>
    </row>
    <row r="414" spans="1:9">
      <c r="A414" s="99" t="str">
        <f t="shared" si="20"/>
        <v>PARADA INDEVIDAPolícia11</v>
      </c>
      <c r="B414" s="99" t="s">
        <v>130</v>
      </c>
      <c r="C414" s="99" t="s">
        <v>222</v>
      </c>
      <c r="D414" s="115">
        <v>11</v>
      </c>
      <c r="E414" s="99" t="s">
        <v>964</v>
      </c>
      <c r="F414" s="100">
        <v>0.03</v>
      </c>
      <c r="G414" s="101">
        <f>IF(OR(B414="FIXO",B414="XFIXO"),IF(F414="","ERRO",10*F414)*'[1]BD Campos'!$S$2,IF(F414="","ERRO",10*F414)*'[1]BD Campos'!$S$3)</f>
        <v>0.3</v>
      </c>
      <c r="H414" s="102">
        <v>0.05</v>
      </c>
      <c r="I414" s="103">
        <f t="shared" si="21"/>
        <v>-1.4999999999999999E-2</v>
      </c>
    </row>
    <row r="415" spans="1:9">
      <c r="A415" s="99" t="str">
        <f t="shared" si="20"/>
        <v>PARADA INDEVIDAPolícia12</v>
      </c>
      <c r="B415" s="99" t="s">
        <v>130</v>
      </c>
      <c r="C415" s="99" t="s">
        <v>222</v>
      </c>
      <c r="D415" s="115">
        <v>12</v>
      </c>
      <c r="E415" s="99" t="s">
        <v>965</v>
      </c>
      <c r="F415" s="100">
        <v>0.03</v>
      </c>
      <c r="G415" s="101">
        <f>IF(OR(B415="FIXO",B415="XFIXO"),IF(F415="","ERRO",10*F415)*'[1]BD Campos'!$S$2,IF(F415="","ERRO",10*F415)*'[1]BD Campos'!$S$3)</f>
        <v>0.3</v>
      </c>
      <c r="H415" s="102">
        <v>0.05</v>
      </c>
      <c r="I415" s="103">
        <f t="shared" si="21"/>
        <v>-1.4999999999999999E-2</v>
      </c>
    </row>
    <row r="416" spans="1:9">
      <c r="A416" s="99" t="str">
        <f t="shared" si="20"/>
        <v>PARADA INDEVIDAPolícia13</v>
      </c>
      <c r="B416" s="99" t="s">
        <v>130</v>
      </c>
      <c r="C416" s="99" t="s">
        <v>222</v>
      </c>
      <c r="D416" s="115">
        <v>13</v>
      </c>
      <c r="E416" s="99" t="s">
        <v>966</v>
      </c>
      <c r="F416" s="100">
        <v>1.4999999999999999E-2</v>
      </c>
      <c r="G416" s="101">
        <f>IF(OR(B416="FIXO",B416="XFIXO"),IF(F416="","ERRO",10*F416)*'[1]BD Campos'!$S$2,IF(F416="","ERRO",10*F416)*'[1]BD Campos'!$S$3)</f>
        <v>0.15</v>
      </c>
      <c r="H416" s="102">
        <v>0.05</v>
      </c>
      <c r="I416" s="103">
        <f t="shared" si="21"/>
        <v>-7.4999999999999997E-3</v>
      </c>
    </row>
    <row r="417" spans="1:9">
      <c r="A417" s="99" t="str">
        <f t="shared" si="20"/>
        <v>PARADA INDEVIDAPolícia14</v>
      </c>
      <c r="B417" s="99" t="s">
        <v>130</v>
      </c>
      <c r="C417" s="99" t="s">
        <v>222</v>
      </c>
      <c r="D417" s="115">
        <v>14</v>
      </c>
      <c r="E417" s="99" t="s">
        <v>967</v>
      </c>
      <c r="F417" s="100">
        <v>0.02</v>
      </c>
      <c r="G417" s="101">
        <f>IF(OR(B417="FIXO",B417="XFIXO"),IF(F417="","ERRO",10*F417)*'[1]BD Campos'!$S$2,IF(F417="","ERRO",10*F417)*'[1]BD Campos'!$S$3)</f>
        <v>0.2</v>
      </c>
      <c r="H417" s="102">
        <v>0.05</v>
      </c>
      <c r="I417" s="103">
        <f t="shared" si="21"/>
        <v>-1.0000000000000002E-2</v>
      </c>
    </row>
    <row r="418" spans="1:9">
      <c r="A418" s="99" t="str">
        <f t="shared" si="20"/>
        <v>PARADA INDEVIDAPolícia15</v>
      </c>
      <c r="B418" s="99" t="s">
        <v>130</v>
      </c>
      <c r="C418" s="99" t="s">
        <v>222</v>
      </c>
      <c r="D418" s="115">
        <v>15</v>
      </c>
      <c r="E418" s="99" t="s">
        <v>968</v>
      </c>
      <c r="F418" s="110">
        <v>0.03</v>
      </c>
      <c r="G418" s="101">
        <f>IF(OR(B418="FIXO",B418="XFIXO"),IF(F418="","ERRO",10*F418)*'[1]BD Campos'!$S$2,IF(F418="","ERRO",10*F418)*'[1]BD Campos'!$S$3)</f>
        <v>0.3</v>
      </c>
      <c r="H418" s="102">
        <v>0.05</v>
      </c>
      <c r="I418" s="103">
        <f t="shared" si="21"/>
        <v>-1.4999999999999999E-2</v>
      </c>
    </row>
    <row r="419" spans="1:9">
      <c r="A419" s="104" t="str">
        <f t="shared" si="20"/>
        <v>PARADA INDEVIDAPolícia16</v>
      </c>
      <c r="B419" s="104" t="s">
        <v>130</v>
      </c>
      <c r="C419" s="104" t="s">
        <v>222</v>
      </c>
      <c r="D419" s="116">
        <v>16</v>
      </c>
      <c r="E419" s="104" t="s">
        <v>969</v>
      </c>
      <c r="F419" s="105">
        <v>0.01</v>
      </c>
      <c r="G419" s="106">
        <f>IF(OR(B419="FIXO",B419="XFIXO"),IF(F419="","ERRO",10*F419)*'[1]BD Campos'!$S$2,IF(F419="","ERRO",10*F419)*'[1]BD Campos'!$S$3)</f>
        <v>0.1</v>
      </c>
      <c r="H419" s="107">
        <v>0.05</v>
      </c>
      <c r="I419" s="108">
        <f t="shared" si="21"/>
        <v>-5.000000000000001E-3</v>
      </c>
    </row>
    <row r="420" spans="1:9">
      <c r="A420" s="99" t="str">
        <f t="shared" si="20"/>
        <v>PARADA INDEVIDAPolícia 21</v>
      </c>
      <c r="B420" s="99" t="s">
        <v>130</v>
      </c>
      <c r="C420" s="99" t="s">
        <v>225</v>
      </c>
      <c r="D420" s="115">
        <v>1</v>
      </c>
      <c r="E420" s="99" t="s">
        <v>954</v>
      </c>
      <c r="F420" s="100">
        <v>0.01</v>
      </c>
      <c r="G420" s="101">
        <f>IF(OR(B420="FIXO",B420="XFIXO"),IF(F420="","ERRO",10*F420)*'[1]BD Campos'!$S$2,IF(F420="","ERRO",10*F420)*'[1]BD Campos'!$S$3)</f>
        <v>0.1</v>
      </c>
      <c r="H420" s="102">
        <v>0.05</v>
      </c>
      <c r="I420" s="103">
        <f t="shared" si="21"/>
        <v>-5.000000000000001E-3</v>
      </c>
    </row>
    <row r="421" spans="1:9">
      <c r="A421" s="99" t="str">
        <f t="shared" si="20"/>
        <v>PARADA INDEVIDAPolícia 22</v>
      </c>
      <c r="B421" s="99" t="s">
        <v>130</v>
      </c>
      <c r="C421" s="99" t="s">
        <v>225</v>
      </c>
      <c r="D421" s="115">
        <v>2</v>
      </c>
      <c r="E421" s="99" t="s">
        <v>955</v>
      </c>
      <c r="F421" s="100">
        <v>0.01</v>
      </c>
      <c r="G421" s="101">
        <f>IF(OR(B421="FIXO",B421="XFIXO"),IF(F421="","ERRO",10*F421)*'[1]BD Campos'!$S$2,IF(F421="","ERRO",10*F421)*'[1]BD Campos'!$S$3)</f>
        <v>0.1</v>
      </c>
      <c r="H421" s="102">
        <v>0.05</v>
      </c>
      <c r="I421" s="103">
        <f t="shared" si="21"/>
        <v>-5.000000000000001E-3</v>
      </c>
    </row>
    <row r="422" spans="1:9">
      <c r="A422" s="99" t="str">
        <f t="shared" si="20"/>
        <v>PARADA INDEVIDAPolícia 23</v>
      </c>
      <c r="B422" s="99" t="s">
        <v>130</v>
      </c>
      <c r="C422" s="99" t="s">
        <v>225</v>
      </c>
      <c r="D422" s="115">
        <v>3</v>
      </c>
      <c r="E422" s="99" t="s">
        <v>956</v>
      </c>
      <c r="F422" s="100">
        <v>0.01</v>
      </c>
      <c r="G422" s="101">
        <f>IF(OR(B422="FIXO",B422="XFIXO"),IF(F422="","ERRO",10*F422)*'[1]BD Campos'!$S$2,IF(F422="","ERRO",10*F422)*'[1]BD Campos'!$S$3)</f>
        <v>0.1</v>
      </c>
      <c r="H422" s="102">
        <v>0.05</v>
      </c>
      <c r="I422" s="103">
        <f t="shared" si="21"/>
        <v>-5.000000000000001E-3</v>
      </c>
    </row>
    <row r="423" spans="1:9">
      <c r="A423" s="99" t="str">
        <f t="shared" si="20"/>
        <v>PARADA INDEVIDAPolícia 24</v>
      </c>
      <c r="B423" s="99" t="s">
        <v>130</v>
      </c>
      <c r="C423" s="99" t="s">
        <v>225</v>
      </c>
      <c r="D423" s="115">
        <v>4</v>
      </c>
      <c r="E423" s="99" t="s">
        <v>982</v>
      </c>
      <c r="F423" s="100">
        <v>0.04</v>
      </c>
      <c r="G423" s="101">
        <f>IF(OR(B423="FIXO",B423="XFIXO"),IF(F423="","ERRO",10*F423)*'[1]BD Campos'!$S$2,IF(F423="","ERRO",10*F423)*'[1]BD Campos'!$S$3)</f>
        <v>0.4</v>
      </c>
      <c r="H423" s="102">
        <v>0.05</v>
      </c>
      <c r="I423" s="103">
        <f t="shared" si="21"/>
        <v>-2.0000000000000004E-2</v>
      </c>
    </row>
    <row r="424" spans="1:9">
      <c r="A424" s="99" t="str">
        <f t="shared" si="20"/>
        <v>PARADA INDEVIDAPolícia 25</v>
      </c>
      <c r="B424" s="99" t="s">
        <v>130</v>
      </c>
      <c r="C424" s="99" t="s">
        <v>225</v>
      </c>
      <c r="D424" s="115">
        <v>5</v>
      </c>
      <c r="E424" s="99" t="s">
        <v>1002</v>
      </c>
      <c r="F424" s="100">
        <v>0.13</v>
      </c>
      <c r="G424" s="101">
        <f>IF(OR(B424="FIXO",B424="XFIXO"),IF(F424="","ERRO",10*F424)*'[1]BD Campos'!$S$2,IF(F424="","ERRO",10*F424)*'[1]BD Campos'!$S$3)</f>
        <v>1.3</v>
      </c>
      <c r="H424" s="102">
        <v>0.05</v>
      </c>
      <c r="I424" s="103">
        <f t="shared" si="21"/>
        <v>-6.5000000000000002E-2</v>
      </c>
    </row>
    <row r="425" spans="1:9">
      <c r="A425" s="99" t="str">
        <f t="shared" si="20"/>
        <v>PARADA INDEVIDAPolícia 26</v>
      </c>
      <c r="B425" s="99" t="s">
        <v>130</v>
      </c>
      <c r="C425" s="99" t="s">
        <v>225</v>
      </c>
      <c r="D425" s="115">
        <v>6</v>
      </c>
      <c r="E425" s="99" t="s">
        <v>1003</v>
      </c>
      <c r="F425" s="100">
        <v>0.13500000000000001</v>
      </c>
      <c r="G425" s="101">
        <f>IF(OR(B425="FIXO",B425="XFIXO"),IF(F425="","ERRO",10*F425)*'[1]BD Campos'!$S$2,IF(F425="","ERRO",10*F425)*'[1]BD Campos'!$S$3)</f>
        <v>1.35</v>
      </c>
      <c r="H425" s="102">
        <v>0.05</v>
      </c>
      <c r="I425" s="103">
        <f t="shared" si="21"/>
        <v>-6.7500000000000004E-2</v>
      </c>
    </row>
    <row r="426" spans="1:9">
      <c r="A426" s="99" t="str">
        <f t="shared" si="20"/>
        <v>PARADA INDEVIDAPolícia 27</v>
      </c>
      <c r="B426" s="99" t="s">
        <v>130</v>
      </c>
      <c r="C426" s="99" t="s">
        <v>225</v>
      </c>
      <c r="D426" s="115">
        <v>7</v>
      </c>
      <c r="E426" s="99" t="s">
        <v>1004</v>
      </c>
      <c r="F426" s="100">
        <v>0.13</v>
      </c>
      <c r="G426" s="101">
        <f>IF(OR(B426="FIXO",B426="XFIXO"),IF(F426="","ERRO",10*F426)*'[1]BD Campos'!$S$2,IF(F426="","ERRO",10*F426)*'[1]BD Campos'!$S$3)</f>
        <v>1.3</v>
      </c>
      <c r="H426" s="102">
        <v>0.05</v>
      </c>
      <c r="I426" s="103">
        <f t="shared" si="21"/>
        <v>-6.5000000000000002E-2</v>
      </c>
    </row>
    <row r="427" spans="1:9">
      <c r="A427" s="99" t="str">
        <f t="shared" si="20"/>
        <v>PARADA INDEVIDAPolícia 28</v>
      </c>
      <c r="B427" s="99" t="s">
        <v>130</v>
      </c>
      <c r="C427" s="99" t="s">
        <v>225</v>
      </c>
      <c r="D427" s="115">
        <v>8</v>
      </c>
      <c r="E427" s="99" t="s">
        <v>1005</v>
      </c>
      <c r="F427" s="100">
        <v>0.15</v>
      </c>
      <c r="G427" s="101">
        <f>IF(OR(B427="FIXO",B427="XFIXO"),IF(F427="","ERRO",10*F427)*'[1]BD Campos'!$S$2,IF(F427="","ERRO",10*F427)*'[1]BD Campos'!$S$3)</f>
        <v>1.5</v>
      </c>
      <c r="H427" s="102">
        <v>0.05</v>
      </c>
      <c r="I427" s="103">
        <f t="shared" si="21"/>
        <v>-7.5000000000000011E-2</v>
      </c>
    </row>
    <row r="428" spans="1:9">
      <c r="A428" s="99" t="str">
        <f t="shared" si="20"/>
        <v>PARADA INDEVIDAPolícia 29</v>
      </c>
      <c r="B428" s="99" t="s">
        <v>130</v>
      </c>
      <c r="C428" s="99" t="s">
        <v>225</v>
      </c>
      <c r="D428" s="115">
        <v>9</v>
      </c>
      <c r="E428" s="99" t="s">
        <v>1006</v>
      </c>
      <c r="F428" s="100">
        <v>0.13</v>
      </c>
      <c r="G428" s="101">
        <f>IF(OR(B428="FIXO",B428="XFIXO"),IF(F428="","ERRO",10*F428)*'[1]BD Campos'!$S$2,IF(F428="","ERRO",10*F428)*'[1]BD Campos'!$S$3)</f>
        <v>1.3</v>
      </c>
      <c r="H428" s="102">
        <v>0.05</v>
      </c>
      <c r="I428" s="103">
        <f t="shared" si="21"/>
        <v>-6.5000000000000002E-2</v>
      </c>
    </row>
    <row r="429" spans="1:9">
      <c r="A429" s="99" t="str">
        <f t="shared" si="20"/>
        <v>PARADA INDEVIDAPolícia 210</v>
      </c>
      <c r="B429" s="99" t="s">
        <v>130</v>
      </c>
      <c r="C429" s="99" t="s">
        <v>225</v>
      </c>
      <c r="D429" s="115">
        <v>10</v>
      </c>
      <c r="E429" s="99" t="s">
        <v>1007</v>
      </c>
      <c r="F429" s="100">
        <v>0.12</v>
      </c>
      <c r="G429" s="101">
        <f>IF(OR(B429="FIXO",B429="XFIXO"),IF(F429="","ERRO",10*F429)*'[1]BD Campos'!$S$2,IF(F429="","ERRO",10*F429)*'[1]BD Campos'!$S$3)</f>
        <v>1.2</v>
      </c>
      <c r="H429" s="102">
        <v>0.05</v>
      </c>
      <c r="I429" s="103">
        <f t="shared" si="21"/>
        <v>-0.06</v>
      </c>
    </row>
    <row r="430" spans="1:9">
      <c r="A430" s="99" t="str">
        <f t="shared" si="20"/>
        <v>PARADA INDEVIDAPolícia 211</v>
      </c>
      <c r="B430" s="99" t="s">
        <v>130</v>
      </c>
      <c r="C430" s="99" t="s">
        <v>225</v>
      </c>
      <c r="D430" s="115">
        <v>11</v>
      </c>
      <c r="E430" s="99" t="s">
        <v>964</v>
      </c>
      <c r="F430" s="100">
        <v>0.03</v>
      </c>
      <c r="G430" s="101">
        <f>IF(OR(B430="FIXO",B430="XFIXO"),IF(F430="","ERRO",10*F430)*'[1]BD Campos'!$S$2,IF(F430="","ERRO",10*F430)*'[1]BD Campos'!$S$3)</f>
        <v>0.3</v>
      </c>
      <c r="H430" s="102">
        <v>0.05</v>
      </c>
      <c r="I430" s="103">
        <f t="shared" si="21"/>
        <v>-1.4999999999999999E-2</v>
      </c>
    </row>
    <row r="431" spans="1:9">
      <c r="A431" s="99" t="str">
        <f t="shared" si="20"/>
        <v>PARADA INDEVIDAPolícia 212</v>
      </c>
      <c r="B431" s="99" t="s">
        <v>130</v>
      </c>
      <c r="C431" s="99" t="s">
        <v>225</v>
      </c>
      <c r="D431" s="115">
        <v>12</v>
      </c>
      <c r="E431" s="99" t="s">
        <v>965</v>
      </c>
      <c r="F431" s="100">
        <v>0.03</v>
      </c>
      <c r="G431" s="101">
        <f>IF(OR(B431="FIXO",B431="XFIXO"),IF(F431="","ERRO",10*F431)*'[1]BD Campos'!$S$2,IF(F431="","ERRO",10*F431)*'[1]BD Campos'!$S$3)</f>
        <v>0.3</v>
      </c>
      <c r="H431" s="102">
        <v>0.05</v>
      </c>
      <c r="I431" s="103">
        <f t="shared" si="21"/>
        <v>-1.4999999999999999E-2</v>
      </c>
    </row>
    <row r="432" spans="1:9">
      <c r="A432" s="99" t="str">
        <f t="shared" si="20"/>
        <v>PARADA INDEVIDAPolícia 213</v>
      </c>
      <c r="B432" s="99" t="s">
        <v>130</v>
      </c>
      <c r="C432" s="99" t="s">
        <v>225</v>
      </c>
      <c r="D432" s="115">
        <v>13</v>
      </c>
      <c r="E432" s="99" t="s">
        <v>966</v>
      </c>
      <c r="F432" s="100">
        <v>1.4999999999999999E-2</v>
      </c>
      <c r="G432" s="101">
        <f>IF(OR(B432="FIXO",B432="XFIXO"),IF(F432="","ERRO",10*F432)*'[1]BD Campos'!$S$2,IF(F432="","ERRO",10*F432)*'[1]BD Campos'!$S$3)</f>
        <v>0.15</v>
      </c>
      <c r="H432" s="102">
        <v>0.05</v>
      </c>
      <c r="I432" s="103">
        <f t="shared" si="21"/>
        <v>-7.4999999999999997E-3</v>
      </c>
    </row>
    <row r="433" spans="1:9">
      <c r="A433" s="99" t="str">
        <f t="shared" si="20"/>
        <v>PARADA INDEVIDAPolícia 214</v>
      </c>
      <c r="B433" s="99" t="s">
        <v>130</v>
      </c>
      <c r="C433" s="99" t="s">
        <v>225</v>
      </c>
      <c r="D433" s="115">
        <v>14</v>
      </c>
      <c r="E433" s="99" t="s">
        <v>967</v>
      </c>
      <c r="F433" s="100">
        <v>0.02</v>
      </c>
      <c r="G433" s="101">
        <f>IF(OR(B433="FIXO",B433="XFIXO"),IF(F433="","ERRO",10*F433)*'[1]BD Campos'!$S$2,IF(F433="","ERRO",10*F433)*'[1]BD Campos'!$S$3)</f>
        <v>0.2</v>
      </c>
      <c r="H433" s="102">
        <v>0.05</v>
      </c>
      <c r="I433" s="103">
        <f t="shared" si="21"/>
        <v>-1.0000000000000002E-2</v>
      </c>
    </row>
    <row r="434" spans="1:9">
      <c r="A434" s="99" t="str">
        <f t="shared" si="20"/>
        <v>PARADA INDEVIDAPolícia 215</v>
      </c>
      <c r="B434" s="99" t="s">
        <v>130</v>
      </c>
      <c r="C434" s="99" t="s">
        <v>225</v>
      </c>
      <c r="D434" s="115">
        <v>15</v>
      </c>
      <c r="E434" s="99" t="s">
        <v>968</v>
      </c>
      <c r="F434" s="110">
        <v>0.03</v>
      </c>
      <c r="G434" s="101">
        <f>IF(OR(B434="FIXO",B434="XFIXO"),IF(F434="","ERRO",10*F434)*'[1]BD Campos'!$S$2,IF(F434="","ERRO",10*F434)*'[1]BD Campos'!$S$3)</f>
        <v>0.3</v>
      </c>
      <c r="H434" s="102">
        <v>0.05</v>
      </c>
      <c r="I434" s="103">
        <f t="shared" si="21"/>
        <v>-1.4999999999999999E-2</v>
      </c>
    </row>
    <row r="435" spans="1:9">
      <c r="A435" s="104" t="str">
        <f t="shared" si="20"/>
        <v>PARADA INDEVIDAPolícia 216</v>
      </c>
      <c r="B435" s="104" t="s">
        <v>130</v>
      </c>
      <c r="C435" s="104" t="s">
        <v>225</v>
      </c>
      <c r="D435" s="116">
        <v>16</v>
      </c>
      <c r="E435" s="104" t="s">
        <v>969</v>
      </c>
      <c r="F435" s="105">
        <v>0.01</v>
      </c>
      <c r="G435" s="106">
        <f>IF(OR(B435="FIXO",B435="XFIXO"),IF(F435="","ERRO",10*F435)*'[1]BD Campos'!$S$2,IF(F435="","ERRO",10*F435)*'[1]BD Campos'!$S$3)</f>
        <v>0.1</v>
      </c>
      <c r="H435" s="107">
        <v>0.05</v>
      </c>
      <c r="I435" s="108">
        <f t="shared" si="21"/>
        <v>-5.000000000000001E-3</v>
      </c>
    </row>
    <row r="436" spans="1:9">
      <c r="A436" s="99" t="str">
        <f t="shared" si="20"/>
        <v>POSIÇÃO EM ATRASOPolícia1</v>
      </c>
      <c r="B436" s="99" t="s">
        <v>96</v>
      </c>
      <c r="C436" s="99" t="s">
        <v>222</v>
      </c>
      <c r="D436" s="115">
        <v>1</v>
      </c>
      <c r="E436" s="99" t="s">
        <v>954</v>
      </c>
      <c r="F436" s="100">
        <v>0.01</v>
      </c>
      <c r="G436" s="101">
        <f>IF(OR(B436="FIXO",B436="XFIXO"),IF(F436="","ERRO",10*F436)*'[1]BD Campos'!$S$2,IF(F436="","ERRO",10*F436)*'[1]BD Campos'!$S$3)</f>
        <v>0.1</v>
      </c>
      <c r="H436" s="102">
        <v>0.05</v>
      </c>
      <c r="I436" s="103">
        <f t="shared" si="21"/>
        <v>-5.000000000000001E-3</v>
      </c>
    </row>
    <row r="437" spans="1:9">
      <c r="A437" s="99" t="str">
        <f t="shared" si="20"/>
        <v>POSIÇÃO EM ATRASOPolícia2</v>
      </c>
      <c r="B437" s="99" t="s">
        <v>96</v>
      </c>
      <c r="C437" s="99" t="s">
        <v>222</v>
      </c>
      <c r="D437" s="115">
        <v>2</v>
      </c>
      <c r="E437" s="99" t="s">
        <v>955</v>
      </c>
      <c r="F437" s="100">
        <v>0.01</v>
      </c>
      <c r="G437" s="101">
        <f>IF(OR(B437="FIXO",B437="XFIXO"),IF(F437="","ERRO",10*F437)*'[1]BD Campos'!$S$2,IF(F437="","ERRO",10*F437)*'[1]BD Campos'!$S$3)</f>
        <v>0.1</v>
      </c>
      <c r="H437" s="102">
        <v>0.05</v>
      </c>
      <c r="I437" s="103">
        <f t="shared" si="21"/>
        <v>-5.000000000000001E-3</v>
      </c>
    </row>
    <row r="438" spans="1:9">
      <c r="A438" s="99" t="str">
        <f t="shared" si="20"/>
        <v>POSIÇÃO EM ATRASOPolícia3</v>
      </c>
      <c r="B438" s="99" t="s">
        <v>96</v>
      </c>
      <c r="C438" s="99" t="s">
        <v>222</v>
      </c>
      <c r="D438" s="115">
        <v>3</v>
      </c>
      <c r="E438" s="99" t="s">
        <v>956</v>
      </c>
      <c r="F438" s="100">
        <v>0.01</v>
      </c>
      <c r="G438" s="101">
        <f>IF(OR(B438="FIXO",B438="XFIXO"),IF(F438="","ERRO",10*F438)*'[1]BD Campos'!$S$2,IF(F438="","ERRO",10*F438)*'[1]BD Campos'!$S$3)</f>
        <v>0.1</v>
      </c>
      <c r="H438" s="102">
        <v>0.05</v>
      </c>
      <c r="I438" s="103">
        <f t="shared" si="21"/>
        <v>-5.000000000000001E-3</v>
      </c>
    </row>
    <row r="439" spans="1:9">
      <c r="A439" s="99" t="str">
        <f t="shared" si="20"/>
        <v>POSIÇÃO EM ATRASOPolícia4</v>
      </c>
      <c r="B439" s="99" t="s">
        <v>96</v>
      </c>
      <c r="C439" s="99" t="s">
        <v>222</v>
      </c>
      <c r="D439" s="115">
        <v>4</v>
      </c>
      <c r="E439" s="99" t="s">
        <v>982</v>
      </c>
      <c r="F439" s="100">
        <v>0.04</v>
      </c>
      <c r="G439" s="101">
        <f>IF(OR(B439="FIXO",B439="XFIXO"),IF(F439="","ERRO",10*F439)*'[1]BD Campos'!$S$2,IF(F439="","ERRO",10*F439)*'[1]BD Campos'!$S$3)</f>
        <v>0.4</v>
      </c>
      <c r="H439" s="102">
        <v>0.05</v>
      </c>
      <c r="I439" s="103">
        <f t="shared" si="21"/>
        <v>-2.0000000000000004E-2</v>
      </c>
    </row>
    <row r="440" spans="1:9">
      <c r="A440" s="99" t="str">
        <f t="shared" si="20"/>
        <v>POSIÇÃO EM ATRASOPolícia5</v>
      </c>
      <c r="B440" s="99" t="s">
        <v>96</v>
      </c>
      <c r="C440" s="99" t="s">
        <v>222</v>
      </c>
      <c r="D440" s="115">
        <v>5</v>
      </c>
      <c r="E440" s="99" t="s">
        <v>1002</v>
      </c>
      <c r="F440" s="100">
        <v>0.13</v>
      </c>
      <c r="G440" s="101">
        <f>IF(OR(B440="FIXO",B440="XFIXO"),IF(F440="","ERRO",10*F440)*'[1]BD Campos'!$S$2,IF(F440="","ERRO",10*F440)*'[1]BD Campos'!$S$3)</f>
        <v>1.3</v>
      </c>
      <c r="H440" s="102">
        <v>0.05</v>
      </c>
      <c r="I440" s="103">
        <f t="shared" si="21"/>
        <v>-6.5000000000000002E-2</v>
      </c>
    </row>
    <row r="441" spans="1:9">
      <c r="A441" s="99" t="str">
        <f t="shared" si="20"/>
        <v>POSIÇÃO EM ATRASOPolícia6</v>
      </c>
      <c r="B441" s="99" t="s">
        <v>96</v>
      </c>
      <c r="C441" s="99" t="s">
        <v>222</v>
      </c>
      <c r="D441" s="115">
        <v>6</v>
      </c>
      <c r="E441" s="99" t="s">
        <v>1003</v>
      </c>
      <c r="F441" s="100">
        <v>0.13500000000000001</v>
      </c>
      <c r="G441" s="101">
        <f>IF(OR(B441="FIXO",B441="XFIXO"),IF(F441="","ERRO",10*F441)*'[1]BD Campos'!$S$2,IF(F441="","ERRO",10*F441)*'[1]BD Campos'!$S$3)</f>
        <v>1.35</v>
      </c>
      <c r="H441" s="102">
        <v>0.05</v>
      </c>
      <c r="I441" s="103">
        <f t="shared" si="21"/>
        <v>-6.7500000000000004E-2</v>
      </c>
    </row>
    <row r="442" spans="1:9">
      <c r="A442" s="99" t="str">
        <f t="shared" si="20"/>
        <v>POSIÇÃO EM ATRASOPolícia7</v>
      </c>
      <c r="B442" s="99" t="s">
        <v>96</v>
      </c>
      <c r="C442" s="99" t="s">
        <v>222</v>
      </c>
      <c r="D442" s="115">
        <v>7</v>
      </c>
      <c r="E442" s="99" t="s">
        <v>1004</v>
      </c>
      <c r="F442" s="100">
        <v>0.13</v>
      </c>
      <c r="G442" s="101">
        <f>IF(OR(B442="FIXO",B442="XFIXO"),IF(F442="","ERRO",10*F442)*'[1]BD Campos'!$S$2,IF(F442="","ERRO",10*F442)*'[1]BD Campos'!$S$3)</f>
        <v>1.3</v>
      </c>
      <c r="H442" s="102">
        <v>0.05</v>
      </c>
      <c r="I442" s="103">
        <f t="shared" si="21"/>
        <v>-6.5000000000000002E-2</v>
      </c>
    </row>
    <row r="443" spans="1:9">
      <c r="A443" s="99" t="str">
        <f t="shared" si="20"/>
        <v>POSIÇÃO EM ATRASOPolícia8</v>
      </c>
      <c r="B443" s="99" t="s">
        <v>96</v>
      </c>
      <c r="C443" s="99" t="s">
        <v>222</v>
      </c>
      <c r="D443" s="115">
        <v>8</v>
      </c>
      <c r="E443" s="99" t="s">
        <v>1005</v>
      </c>
      <c r="F443" s="100">
        <v>0.15</v>
      </c>
      <c r="G443" s="101">
        <f>IF(OR(B443="FIXO",B443="XFIXO"),IF(F443="","ERRO",10*F443)*'[1]BD Campos'!$S$2,IF(F443="","ERRO",10*F443)*'[1]BD Campos'!$S$3)</f>
        <v>1.5</v>
      </c>
      <c r="H443" s="102">
        <v>0.05</v>
      </c>
      <c r="I443" s="103">
        <f t="shared" si="21"/>
        <v>-7.5000000000000011E-2</v>
      </c>
    </row>
    <row r="444" spans="1:9">
      <c r="A444" s="99" t="str">
        <f t="shared" si="20"/>
        <v>POSIÇÃO EM ATRASOPolícia9</v>
      </c>
      <c r="B444" s="99" t="s">
        <v>96</v>
      </c>
      <c r="C444" s="99" t="s">
        <v>222</v>
      </c>
      <c r="D444" s="115">
        <v>9</v>
      </c>
      <c r="E444" s="99" t="s">
        <v>1006</v>
      </c>
      <c r="F444" s="100">
        <v>0.13</v>
      </c>
      <c r="G444" s="101">
        <f>IF(OR(B444="FIXO",B444="XFIXO"),IF(F444="","ERRO",10*F444)*'[1]BD Campos'!$S$2,IF(F444="","ERRO",10*F444)*'[1]BD Campos'!$S$3)</f>
        <v>1.3</v>
      </c>
      <c r="H444" s="102">
        <v>0.05</v>
      </c>
      <c r="I444" s="103">
        <f t="shared" si="21"/>
        <v>-6.5000000000000002E-2</v>
      </c>
    </row>
    <row r="445" spans="1:9">
      <c r="A445" s="99" t="str">
        <f t="shared" si="20"/>
        <v>POSIÇÃO EM ATRASOPolícia10</v>
      </c>
      <c r="B445" s="99" t="s">
        <v>96</v>
      </c>
      <c r="C445" s="99" t="s">
        <v>222</v>
      </c>
      <c r="D445" s="115">
        <v>10</v>
      </c>
      <c r="E445" s="99" t="s">
        <v>1007</v>
      </c>
      <c r="F445" s="100">
        <v>0.12</v>
      </c>
      <c r="G445" s="101">
        <f>IF(OR(B445="FIXO",B445="XFIXO"),IF(F445="","ERRO",10*F445)*'[1]BD Campos'!$S$2,IF(F445="","ERRO",10*F445)*'[1]BD Campos'!$S$3)</f>
        <v>1.2</v>
      </c>
      <c r="H445" s="102">
        <v>0.05</v>
      </c>
      <c r="I445" s="103">
        <f t="shared" si="21"/>
        <v>-0.06</v>
      </c>
    </row>
    <row r="446" spans="1:9">
      <c r="A446" s="99" t="str">
        <f t="shared" si="20"/>
        <v>POSIÇÃO EM ATRASOPolícia11</v>
      </c>
      <c r="B446" s="99" t="s">
        <v>96</v>
      </c>
      <c r="C446" s="99" t="s">
        <v>222</v>
      </c>
      <c r="D446" s="115">
        <v>11</v>
      </c>
      <c r="E446" s="99" t="s">
        <v>964</v>
      </c>
      <c r="F446" s="100">
        <v>0.03</v>
      </c>
      <c r="G446" s="101">
        <f>IF(OR(B446="FIXO",B446="XFIXO"),IF(F446="","ERRO",10*F446)*'[1]BD Campos'!$S$2,IF(F446="","ERRO",10*F446)*'[1]BD Campos'!$S$3)</f>
        <v>0.3</v>
      </c>
      <c r="H446" s="102">
        <v>0.05</v>
      </c>
      <c r="I446" s="103">
        <f t="shared" si="21"/>
        <v>-1.4999999999999999E-2</v>
      </c>
    </row>
    <row r="447" spans="1:9">
      <c r="A447" s="99" t="str">
        <f t="shared" si="20"/>
        <v>POSIÇÃO EM ATRASOPolícia12</v>
      </c>
      <c r="B447" s="99" t="s">
        <v>96</v>
      </c>
      <c r="C447" s="99" t="s">
        <v>222</v>
      </c>
      <c r="D447" s="115">
        <v>12</v>
      </c>
      <c r="E447" s="99" t="s">
        <v>965</v>
      </c>
      <c r="F447" s="100">
        <v>0.03</v>
      </c>
      <c r="G447" s="101">
        <f>IF(OR(B447="FIXO",B447="XFIXO"),IF(F447="","ERRO",10*F447)*'[1]BD Campos'!$S$2,IF(F447="","ERRO",10*F447)*'[1]BD Campos'!$S$3)</f>
        <v>0.3</v>
      </c>
      <c r="H447" s="102">
        <v>0.05</v>
      </c>
      <c r="I447" s="103">
        <f t="shared" si="21"/>
        <v>-1.4999999999999999E-2</v>
      </c>
    </row>
    <row r="448" spans="1:9">
      <c r="A448" s="99" t="str">
        <f t="shared" si="20"/>
        <v>POSIÇÃO EM ATRASOPolícia13</v>
      </c>
      <c r="B448" s="99" t="s">
        <v>96</v>
      </c>
      <c r="C448" s="99" t="s">
        <v>222</v>
      </c>
      <c r="D448" s="115">
        <v>13</v>
      </c>
      <c r="E448" s="99" t="s">
        <v>966</v>
      </c>
      <c r="F448" s="100">
        <v>1.4999999999999999E-2</v>
      </c>
      <c r="G448" s="101">
        <f>IF(OR(B448="FIXO",B448="XFIXO"),IF(F448="","ERRO",10*F448)*'[1]BD Campos'!$S$2,IF(F448="","ERRO",10*F448)*'[1]BD Campos'!$S$3)</f>
        <v>0.15</v>
      </c>
      <c r="H448" s="102">
        <v>0.05</v>
      </c>
      <c r="I448" s="103">
        <f t="shared" si="21"/>
        <v>-7.4999999999999997E-3</v>
      </c>
    </row>
    <row r="449" spans="1:9">
      <c r="A449" s="99" t="str">
        <f t="shared" ref="A449:A499" si="22">B449&amp;C449&amp;D449</f>
        <v>POSIÇÃO EM ATRASOPolícia14</v>
      </c>
      <c r="B449" s="99" t="s">
        <v>96</v>
      </c>
      <c r="C449" s="99" t="s">
        <v>222</v>
      </c>
      <c r="D449" s="115">
        <v>14</v>
      </c>
      <c r="E449" s="99" t="s">
        <v>967</v>
      </c>
      <c r="F449" s="100">
        <v>0.02</v>
      </c>
      <c r="G449" s="101">
        <f>IF(OR(B449="FIXO",B449="XFIXO"),IF(F449="","ERRO",10*F449)*'[1]BD Campos'!$S$2,IF(F449="","ERRO",10*F449)*'[1]BD Campos'!$S$3)</f>
        <v>0.2</v>
      </c>
      <c r="H449" s="102">
        <v>0.05</v>
      </c>
      <c r="I449" s="103">
        <f t="shared" ref="I449:I499" si="23">H449*G449*-1</f>
        <v>-1.0000000000000002E-2</v>
      </c>
    </row>
    <row r="450" spans="1:9">
      <c r="A450" s="99" t="str">
        <f t="shared" si="22"/>
        <v>POSIÇÃO EM ATRASOPolícia15</v>
      </c>
      <c r="B450" s="99" t="s">
        <v>96</v>
      </c>
      <c r="C450" s="99" t="s">
        <v>222</v>
      </c>
      <c r="D450" s="115">
        <v>15</v>
      </c>
      <c r="E450" s="99" t="s">
        <v>968</v>
      </c>
      <c r="F450" s="110">
        <v>0.03</v>
      </c>
      <c r="G450" s="101">
        <f>IF(OR(B450="FIXO",B450="XFIXO"),IF(F450="","ERRO",10*F450)*'[1]BD Campos'!$S$2,IF(F450="","ERRO",10*F450)*'[1]BD Campos'!$S$3)</f>
        <v>0.3</v>
      </c>
      <c r="H450" s="102">
        <v>0.05</v>
      </c>
      <c r="I450" s="103">
        <f t="shared" si="23"/>
        <v>-1.4999999999999999E-2</v>
      </c>
    </row>
    <row r="451" spans="1:9">
      <c r="A451" s="104" t="str">
        <f t="shared" si="22"/>
        <v>POSIÇÃO EM ATRASOPolícia16</v>
      </c>
      <c r="B451" s="104" t="s">
        <v>96</v>
      </c>
      <c r="C451" s="104" t="s">
        <v>222</v>
      </c>
      <c r="D451" s="116">
        <v>16</v>
      </c>
      <c r="E451" s="104" t="s">
        <v>969</v>
      </c>
      <c r="F451" s="105">
        <v>0.01</v>
      </c>
      <c r="G451" s="106">
        <f>IF(OR(B451="FIXO",B451="XFIXO"),IF(F451="","ERRO",10*F451)*'[1]BD Campos'!$S$2,IF(F451="","ERRO",10*F451)*'[1]BD Campos'!$S$3)</f>
        <v>0.1</v>
      </c>
      <c r="H451" s="107">
        <v>0.05</v>
      </c>
      <c r="I451" s="108">
        <f t="shared" si="23"/>
        <v>-5.000000000000001E-3</v>
      </c>
    </row>
    <row r="452" spans="1:9">
      <c r="A452" s="99" t="str">
        <f t="shared" si="22"/>
        <v>POSIÇÃO EM ATRASOPolícia 21</v>
      </c>
      <c r="B452" s="99" t="s">
        <v>96</v>
      </c>
      <c r="C452" s="99" t="s">
        <v>225</v>
      </c>
      <c r="D452" s="115">
        <v>1</v>
      </c>
      <c r="E452" s="99" t="s">
        <v>954</v>
      </c>
      <c r="F452" s="100">
        <v>0.01</v>
      </c>
      <c r="G452" s="101">
        <f>IF(OR(B452="FIXO",B452="XFIXO"),IF(F452="","ERRO",10*F452)*'[1]BD Campos'!$S$2,IF(F452="","ERRO",10*F452)*'[1]BD Campos'!$S$3)</f>
        <v>0.1</v>
      </c>
      <c r="H452" s="102">
        <v>0.05</v>
      </c>
      <c r="I452" s="103">
        <f t="shared" si="23"/>
        <v>-5.000000000000001E-3</v>
      </c>
    </row>
    <row r="453" spans="1:9">
      <c r="A453" s="99" t="str">
        <f t="shared" si="22"/>
        <v>POSIÇÃO EM ATRASOPolícia 22</v>
      </c>
      <c r="B453" s="99" t="s">
        <v>96</v>
      </c>
      <c r="C453" s="99" t="s">
        <v>225</v>
      </c>
      <c r="D453" s="115">
        <v>2</v>
      </c>
      <c r="E453" s="99" t="s">
        <v>955</v>
      </c>
      <c r="F453" s="100">
        <v>0.01</v>
      </c>
      <c r="G453" s="101">
        <f>IF(OR(B453="FIXO",B453="XFIXO"),IF(F453="","ERRO",10*F453)*'[1]BD Campos'!$S$2,IF(F453="","ERRO",10*F453)*'[1]BD Campos'!$S$3)</f>
        <v>0.1</v>
      </c>
      <c r="H453" s="102">
        <v>0.05</v>
      </c>
      <c r="I453" s="103">
        <f t="shared" si="23"/>
        <v>-5.000000000000001E-3</v>
      </c>
    </row>
    <row r="454" spans="1:9">
      <c r="A454" s="99" t="str">
        <f t="shared" si="22"/>
        <v>POSIÇÃO EM ATRASOPolícia 23</v>
      </c>
      <c r="B454" s="99" t="s">
        <v>96</v>
      </c>
      <c r="C454" s="99" t="s">
        <v>225</v>
      </c>
      <c r="D454" s="115">
        <v>3</v>
      </c>
      <c r="E454" s="99" t="s">
        <v>956</v>
      </c>
      <c r="F454" s="100">
        <v>0.01</v>
      </c>
      <c r="G454" s="101">
        <f>IF(OR(B454="FIXO",B454="XFIXO"),IF(F454="","ERRO",10*F454)*'[1]BD Campos'!$S$2,IF(F454="","ERRO",10*F454)*'[1]BD Campos'!$S$3)</f>
        <v>0.1</v>
      </c>
      <c r="H454" s="102">
        <v>0.05</v>
      </c>
      <c r="I454" s="103">
        <f t="shared" si="23"/>
        <v>-5.000000000000001E-3</v>
      </c>
    </row>
    <row r="455" spans="1:9">
      <c r="A455" s="99" t="str">
        <f t="shared" si="22"/>
        <v>POSIÇÃO EM ATRASOPolícia 24</v>
      </c>
      <c r="B455" s="99" t="s">
        <v>96</v>
      </c>
      <c r="C455" s="99" t="s">
        <v>225</v>
      </c>
      <c r="D455" s="115">
        <v>4</v>
      </c>
      <c r="E455" s="99" t="s">
        <v>982</v>
      </c>
      <c r="F455" s="100">
        <v>0.04</v>
      </c>
      <c r="G455" s="101">
        <f>IF(OR(B455="FIXO",B455="XFIXO"),IF(F455="","ERRO",10*F455)*'[1]BD Campos'!$S$2,IF(F455="","ERRO",10*F455)*'[1]BD Campos'!$S$3)</f>
        <v>0.4</v>
      </c>
      <c r="H455" s="102">
        <v>0.05</v>
      </c>
      <c r="I455" s="103">
        <f t="shared" si="23"/>
        <v>-2.0000000000000004E-2</v>
      </c>
    </row>
    <row r="456" spans="1:9">
      <c r="A456" s="99" t="str">
        <f t="shared" si="22"/>
        <v>POSIÇÃO EM ATRASOPolícia 25</v>
      </c>
      <c r="B456" s="99" t="s">
        <v>96</v>
      </c>
      <c r="C456" s="99" t="s">
        <v>225</v>
      </c>
      <c r="D456" s="115">
        <v>5</v>
      </c>
      <c r="E456" s="99" t="s">
        <v>1002</v>
      </c>
      <c r="F456" s="100">
        <v>0.13</v>
      </c>
      <c r="G456" s="101">
        <f>IF(OR(B456="FIXO",B456="XFIXO"),IF(F456="","ERRO",10*F456)*'[1]BD Campos'!$S$2,IF(F456="","ERRO",10*F456)*'[1]BD Campos'!$S$3)</f>
        <v>1.3</v>
      </c>
      <c r="H456" s="102">
        <v>0.05</v>
      </c>
      <c r="I456" s="103">
        <f t="shared" si="23"/>
        <v>-6.5000000000000002E-2</v>
      </c>
    </row>
    <row r="457" spans="1:9">
      <c r="A457" s="99" t="str">
        <f t="shared" si="22"/>
        <v>POSIÇÃO EM ATRASOPolícia 26</v>
      </c>
      <c r="B457" s="99" t="s">
        <v>96</v>
      </c>
      <c r="C457" s="99" t="s">
        <v>225</v>
      </c>
      <c r="D457" s="115">
        <v>6</v>
      </c>
      <c r="E457" s="99" t="s">
        <v>1003</v>
      </c>
      <c r="F457" s="100">
        <v>0.13500000000000001</v>
      </c>
      <c r="G457" s="101">
        <f>IF(OR(B457="FIXO",B457="XFIXO"),IF(F457="","ERRO",10*F457)*'[1]BD Campos'!$S$2,IF(F457="","ERRO",10*F457)*'[1]BD Campos'!$S$3)</f>
        <v>1.35</v>
      </c>
      <c r="H457" s="102">
        <v>0.05</v>
      </c>
      <c r="I457" s="103">
        <f t="shared" si="23"/>
        <v>-6.7500000000000004E-2</v>
      </c>
    </row>
    <row r="458" spans="1:9">
      <c r="A458" s="99" t="str">
        <f t="shared" si="22"/>
        <v>POSIÇÃO EM ATRASOPolícia 27</v>
      </c>
      <c r="B458" s="99" t="s">
        <v>96</v>
      </c>
      <c r="C458" s="99" t="s">
        <v>225</v>
      </c>
      <c r="D458" s="115">
        <v>7</v>
      </c>
      <c r="E458" s="99" t="s">
        <v>1004</v>
      </c>
      <c r="F458" s="100">
        <v>0.13</v>
      </c>
      <c r="G458" s="101">
        <f>IF(OR(B458="FIXO",B458="XFIXO"),IF(F458="","ERRO",10*F458)*'[1]BD Campos'!$S$2,IF(F458="","ERRO",10*F458)*'[1]BD Campos'!$S$3)</f>
        <v>1.3</v>
      </c>
      <c r="H458" s="102">
        <v>0.05</v>
      </c>
      <c r="I458" s="103">
        <f t="shared" si="23"/>
        <v>-6.5000000000000002E-2</v>
      </c>
    </row>
    <row r="459" spans="1:9">
      <c r="A459" s="99" t="str">
        <f t="shared" si="22"/>
        <v>POSIÇÃO EM ATRASOPolícia 28</v>
      </c>
      <c r="B459" s="99" t="s">
        <v>96</v>
      </c>
      <c r="C459" s="99" t="s">
        <v>225</v>
      </c>
      <c r="D459" s="115">
        <v>8</v>
      </c>
      <c r="E459" s="99" t="s">
        <v>1005</v>
      </c>
      <c r="F459" s="100">
        <v>0.15</v>
      </c>
      <c r="G459" s="101">
        <f>IF(OR(B459="FIXO",B459="XFIXO"),IF(F459="","ERRO",10*F459)*'[1]BD Campos'!$S$2,IF(F459="","ERRO",10*F459)*'[1]BD Campos'!$S$3)</f>
        <v>1.5</v>
      </c>
      <c r="H459" s="102">
        <v>0.05</v>
      </c>
      <c r="I459" s="103">
        <f t="shared" si="23"/>
        <v>-7.5000000000000011E-2</v>
      </c>
    </row>
    <row r="460" spans="1:9">
      <c r="A460" s="99" t="str">
        <f t="shared" si="22"/>
        <v>POSIÇÃO EM ATRASOPolícia 29</v>
      </c>
      <c r="B460" s="99" t="s">
        <v>96</v>
      </c>
      <c r="C460" s="99" t="s">
        <v>225</v>
      </c>
      <c r="D460" s="115">
        <v>9</v>
      </c>
      <c r="E460" s="99" t="s">
        <v>1006</v>
      </c>
      <c r="F460" s="100">
        <v>0.13</v>
      </c>
      <c r="G460" s="101">
        <f>IF(OR(B460="FIXO",B460="XFIXO"),IF(F460="","ERRO",10*F460)*'[1]BD Campos'!$S$2,IF(F460="","ERRO",10*F460)*'[1]BD Campos'!$S$3)</f>
        <v>1.3</v>
      </c>
      <c r="H460" s="102">
        <v>0.05</v>
      </c>
      <c r="I460" s="103">
        <f t="shared" si="23"/>
        <v>-6.5000000000000002E-2</v>
      </c>
    </row>
    <row r="461" spans="1:9">
      <c r="A461" s="99" t="str">
        <f t="shared" si="22"/>
        <v>POSIÇÃO EM ATRASOPolícia 210</v>
      </c>
      <c r="B461" s="99" t="s">
        <v>96</v>
      </c>
      <c r="C461" s="99" t="s">
        <v>225</v>
      </c>
      <c r="D461" s="115">
        <v>10</v>
      </c>
      <c r="E461" s="99" t="s">
        <v>1007</v>
      </c>
      <c r="F461" s="100">
        <v>0.12</v>
      </c>
      <c r="G461" s="101">
        <f>IF(OR(B461="FIXO",B461="XFIXO"),IF(F461="","ERRO",10*F461)*'[1]BD Campos'!$S$2,IF(F461="","ERRO",10*F461)*'[1]BD Campos'!$S$3)</f>
        <v>1.2</v>
      </c>
      <c r="H461" s="102">
        <v>0.05</v>
      </c>
      <c r="I461" s="103">
        <f t="shared" si="23"/>
        <v>-0.06</v>
      </c>
    </row>
    <row r="462" spans="1:9">
      <c r="A462" s="99" t="str">
        <f t="shared" si="22"/>
        <v>POSIÇÃO EM ATRASOPolícia 211</v>
      </c>
      <c r="B462" s="99" t="s">
        <v>96</v>
      </c>
      <c r="C462" s="99" t="s">
        <v>225</v>
      </c>
      <c r="D462" s="115">
        <v>11</v>
      </c>
      <c r="E462" s="99" t="s">
        <v>964</v>
      </c>
      <c r="F462" s="100">
        <v>0.03</v>
      </c>
      <c r="G462" s="101">
        <f>IF(OR(B462="FIXO",B462="XFIXO"),IF(F462="","ERRO",10*F462)*'[1]BD Campos'!$S$2,IF(F462="","ERRO",10*F462)*'[1]BD Campos'!$S$3)</f>
        <v>0.3</v>
      </c>
      <c r="H462" s="102">
        <v>0.05</v>
      </c>
      <c r="I462" s="103">
        <f t="shared" si="23"/>
        <v>-1.4999999999999999E-2</v>
      </c>
    </row>
    <row r="463" spans="1:9">
      <c r="A463" s="99" t="str">
        <f t="shared" si="22"/>
        <v>POSIÇÃO EM ATRASOPolícia 212</v>
      </c>
      <c r="B463" s="99" t="s">
        <v>96</v>
      </c>
      <c r="C463" s="99" t="s">
        <v>225</v>
      </c>
      <c r="D463" s="115">
        <v>12</v>
      </c>
      <c r="E463" s="99" t="s">
        <v>965</v>
      </c>
      <c r="F463" s="100">
        <v>0.03</v>
      </c>
      <c r="G463" s="101">
        <f>IF(OR(B463="FIXO",B463="XFIXO"),IF(F463="","ERRO",10*F463)*'[1]BD Campos'!$S$2,IF(F463="","ERRO",10*F463)*'[1]BD Campos'!$S$3)</f>
        <v>0.3</v>
      </c>
      <c r="H463" s="102">
        <v>0.05</v>
      </c>
      <c r="I463" s="103">
        <f t="shared" si="23"/>
        <v>-1.4999999999999999E-2</v>
      </c>
    </row>
    <row r="464" spans="1:9">
      <c r="A464" s="99" t="str">
        <f t="shared" si="22"/>
        <v>POSIÇÃO EM ATRASOPolícia 213</v>
      </c>
      <c r="B464" s="99" t="s">
        <v>96</v>
      </c>
      <c r="C464" s="99" t="s">
        <v>225</v>
      </c>
      <c r="D464" s="115">
        <v>13</v>
      </c>
      <c r="E464" s="99" t="s">
        <v>966</v>
      </c>
      <c r="F464" s="100">
        <v>1.4999999999999999E-2</v>
      </c>
      <c r="G464" s="101">
        <f>IF(OR(B464="FIXO",B464="XFIXO"),IF(F464="","ERRO",10*F464)*'[1]BD Campos'!$S$2,IF(F464="","ERRO",10*F464)*'[1]BD Campos'!$S$3)</f>
        <v>0.15</v>
      </c>
      <c r="H464" s="102">
        <v>0.05</v>
      </c>
      <c r="I464" s="103">
        <f t="shared" si="23"/>
        <v>-7.4999999999999997E-3</v>
      </c>
    </row>
    <row r="465" spans="1:9">
      <c r="A465" s="99" t="str">
        <f t="shared" si="22"/>
        <v>POSIÇÃO EM ATRASOPolícia 214</v>
      </c>
      <c r="B465" s="99" t="s">
        <v>96</v>
      </c>
      <c r="C465" s="99" t="s">
        <v>225</v>
      </c>
      <c r="D465" s="115">
        <v>14</v>
      </c>
      <c r="E465" s="99" t="s">
        <v>967</v>
      </c>
      <c r="F465" s="100">
        <v>0.02</v>
      </c>
      <c r="G465" s="101">
        <f>IF(OR(B465="FIXO",B465="XFIXO"),IF(F465="","ERRO",10*F465)*'[1]BD Campos'!$S$2,IF(F465="","ERRO",10*F465)*'[1]BD Campos'!$S$3)</f>
        <v>0.2</v>
      </c>
      <c r="H465" s="102">
        <v>0.05</v>
      </c>
      <c r="I465" s="103">
        <f t="shared" si="23"/>
        <v>-1.0000000000000002E-2</v>
      </c>
    </row>
    <row r="466" spans="1:9">
      <c r="A466" s="99" t="str">
        <f t="shared" si="22"/>
        <v>POSIÇÃO EM ATRASOPolícia 215</v>
      </c>
      <c r="B466" s="99" t="s">
        <v>96</v>
      </c>
      <c r="C466" s="99" t="s">
        <v>225</v>
      </c>
      <c r="D466" s="115">
        <v>15</v>
      </c>
      <c r="E466" s="99" t="s">
        <v>968</v>
      </c>
      <c r="F466" s="110">
        <v>0.03</v>
      </c>
      <c r="G466" s="101">
        <f>IF(OR(B466="FIXO",B466="XFIXO"),IF(F466="","ERRO",10*F466)*'[1]BD Campos'!$S$2,IF(F466="","ERRO",10*F466)*'[1]BD Campos'!$S$3)</f>
        <v>0.3</v>
      </c>
      <c r="H466" s="102">
        <v>0.05</v>
      </c>
      <c r="I466" s="103">
        <f t="shared" si="23"/>
        <v>-1.4999999999999999E-2</v>
      </c>
    </row>
    <row r="467" spans="1:9">
      <c r="A467" s="104" t="str">
        <f t="shared" si="22"/>
        <v>POSIÇÃO EM ATRASOPolícia 216</v>
      </c>
      <c r="B467" s="104" t="s">
        <v>96</v>
      </c>
      <c r="C467" s="104" t="s">
        <v>225</v>
      </c>
      <c r="D467" s="116">
        <v>16</v>
      </c>
      <c r="E467" s="104" t="s">
        <v>969</v>
      </c>
      <c r="F467" s="105">
        <v>0.01</v>
      </c>
      <c r="G467" s="106">
        <f>IF(OR(B467="FIXO",B467="XFIXO"),IF(F467="","ERRO",10*F467)*'[1]BD Campos'!$S$2,IF(F467="","ERRO",10*F467)*'[1]BD Campos'!$S$3)</f>
        <v>0.1</v>
      </c>
      <c r="H467" s="107">
        <v>0.05</v>
      </c>
      <c r="I467" s="108">
        <f t="shared" si="23"/>
        <v>-5.000000000000001E-3</v>
      </c>
    </row>
    <row r="468" spans="1:9">
      <c r="A468" s="99" t="str">
        <f t="shared" si="22"/>
        <v>ALERTAS PRIORITÁRIOSPolícia1</v>
      </c>
      <c r="B468" s="99" t="s">
        <v>92</v>
      </c>
      <c r="C468" s="99" t="s">
        <v>222</v>
      </c>
      <c r="D468" s="115">
        <v>1</v>
      </c>
      <c r="E468" s="99" t="s">
        <v>954</v>
      </c>
      <c r="F468" s="100">
        <v>0.01</v>
      </c>
      <c r="G468" s="101">
        <f>IF(OR(B468="FIXO",B468="XFIXO"),IF(F468="","ERRO",10*F468)*'[1]BD Campos'!$S$2,IF(F468="","ERRO",10*F468)*'[1]BD Campos'!$S$3)</f>
        <v>0.1</v>
      </c>
      <c r="H468" s="102">
        <v>0.05</v>
      </c>
      <c r="I468" s="103">
        <f t="shared" si="23"/>
        <v>-5.000000000000001E-3</v>
      </c>
    </row>
    <row r="469" spans="1:9">
      <c r="A469" s="99" t="str">
        <f t="shared" si="22"/>
        <v>ALERTAS PRIORITÁRIOSPolícia2</v>
      </c>
      <c r="B469" s="99" t="s">
        <v>92</v>
      </c>
      <c r="C469" s="99" t="s">
        <v>222</v>
      </c>
      <c r="D469" s="115">
        <v>2</v>
      </c>
      <c r="E469" s="99" t="s">
        <v>955</v>
      </c>
      <c r="F469" s="100">
        <v>0.01</v>
      </c>
      <c r="G469" s="101">
        <f>IF(OR(B469="FIXO",B469="XFIXO"),IF(F469="","ERRO",10*F469)*'[1]BD Campos'!$S$2,IF(F469="","ERRO",10*F469)*'[1]BD Campos'!$S$3)</f>
        <v>0.1</v>
      </c>
      <c r="H469" s="102">
        <v>0.05</v>
      </c>
      <c r="I469" s="103">
        <f t="shared" si="23"/>
        <v>-5.000000000000001E-3</v>
      </c>
    </row>
    <row r="470" spans="1:9">
      <c r="A470" s="99" t="str">
        <f t="shared" si="22"/>
        <v>ALERTAS PRIORITÁRIOSPolícia3</v>
      </c>
      <c r="B470" s="99" t="s">
        <v>92</v>
      </c>
      <c r="C470" s="99" t="s">
        <v>222</v>
      </c>
      <c r="D470" s="115">
        <v>3</v>
      </c>
      <c r="E470" s="99" t="s">
        <v>956</v>
      </c>
      <c r="F470" s="100">
        <v>0.01</v>
      </c>
      <c r="G470" s="101">
        <f>IF(OR(B470="FIXO",B470="XFIXO"),IF(F470="","ERRO",10*F470)*'[1]BD Campos'!$S$2,IF(F470="","ERRO",10*F470)*'[1]BD Campos'!$S$3)</f>
        <v>0.1</v>
      </c>
      <c r="H470" s="102">
        <v>0.05</v>
      </c>
      <c r="I470" s="103">
        <f t="shared" si="23"/>
        <v>-5.000000000000001E-3</v>
      </c>
    </row>
    <row r="471" spans="1:9">
      <c r="A471" s="99" t="str">
        <f t="shared" si="22"/>
        <v>ALERTAS PRIORITÁRIOSPolícia4</v>
      </c>
      <c r="B471" s="99" t="s">
        <v>92</v>
      </c>
      <c r="C471" s="99" t="s">
        <v>222</v>
      </c>
      <c r="D471" s="115">
        <v>4</v>
      </c>
      <c r="E471" s="99" t="s">
        <v>982</v>
      </c>
      <c r="F471" s="100">
        <v>0.04</v>
      </c>
      <c r="G471" s="101">
        <f>IF(OR(B471="FIXO",B471="XFIXO"),IF(F471="","ERRO",10*F471)*'[1]BD Campos'!$S$2,IF(F471="","ERRO",10*F471)*'[1]BD Campos'!$S$3)</f>
        <v>0.4</v>
      </c>
      <c r="H471" s="102">
        <v>0.05</v>
      </c>
      <c r="I471" s="103">
        <f t="shared" si="23"/>
        <v>-2.0000000000000004E-2</v>
      </c>
    </row>
    <row r="472" spans="1:9">
      <c r="A472" s="99" t="str">
        <f t="shared" si="22"/>
        <v>ALERTAS PRIORITÁRIOSPolícia5</v>
      </c>
      <c r="B472" s="99" t="s">
        <v>92</v>
      </c>
      <c r="C472" s="99" t="s">
        <v>222</v>
      </c>
      <c r="D472" s="115">
        <v>5</v>
      </c>
      <c r="E472" s="99" t="s">
        <v>1002</v>
      </c>
      <c r="F472" s="100">
        <v>0.13</v>
      </c>
      <c r="G472" s="101">
        <f>IF(OR(B472="FIXO",B472="XFIXO"),IF(F472="","ERRO",10*F472)*'[1]BD Campos'!$S$2,IF(F472="","ERRO",10*F472)*'[1]BD Campos'!$S$3)</f>
        <v>1.3</v>
      </c>
      <c r="H472" s="102">
        <v>0.05</v>
      </c>
      <c r="I472" s="103">
        <f t="shared" si="23"/>
        <v>-6.5000000000000002E-2</v>
      </c>
    </row>
    <row r="473" spans="1:9">
      <c r="A473" s="99" t="str">
        <f t="shared" si="22"/>
        <v>ALERTAS PRIORITÁRIOSPolícia6</v>
      </c>
      <c r="B473" s="99" t="s">
        <v>92</v>
      </c>
      <c r="C473" s="99" t="s">
        <v>222</v>
      </c>
      <c r="D473" s="115">
        <v>6</v>
      </c>
      <c r="E473" s="99" t="s">
        <v>1003</v>
      </c>
      <c r="F473" s="100">
        <v>0.13500000000000001</v>
      </c>
      <c r="G473" s="101">
        <f>IF(OR(B473="FIXO",B473="XFIXO"),IF(F473="","ERRO",10*F473)*'[1]BD Campos'!$S$2,IF(F473="","ERRO",10*F473)*'[1]BD Campos'!$S$3)</f>
        <v>1.35</v>
      </c>
      <c r="H473" s="102">
        <v>0.05</v>
      </c>
      <c r="I473" s="103">
        <f t="shared" si="23"/>
        <v>-6.7500000000000004E-2</v>
      </c>
    </row>
    <row r="474" spans="1:9">
      <c r="A474" s="99" t="str">
        <f t="shared" si="22"/>
        <v>ALERTAS PRIORITÁRIOSPolícia7</v>
      </c>
      <c r="B474" s="99" t="s">
        <v>92</v>
      </c>
      <c r="C474" s="99" t="s">
        <v>222</v>
      </c>
      <c r="D474" s="115">
        <v>7</v>
      </c>
      <c r="E474" s="99" t="s">
        <v>1004</v>
      </c>
      <c r="F474" s="100">
        <v>0.13</v>
      </c>
      <c r="G474" s="101">
        <f>IF(OR(B474="FIXO",B474="XFIXO"),IF(F474="","ERRO",10*F474)*'[1]BD Campos'!$S$2,IF(F474="","ERRO",10*F474)*'[1]BD Campos'!$S$3)</f>
        <v>1.3</v>
      </c>
      <c r="H474" s="102">
        <v>0.05</v>
      </c>
      <c r="I474" s="103">
        <f t="shared" si="23"/>
        <v>-6.5000000000000002E-2</v>
      </c>
    </row>
    <row r="475" spans="1:9">
      <c r="A475" s="99" t="str">
        <f t="shared" si="22"/>
        <v>ALERTAS PRIORITÁRIOSPolícia8</v>
      </c>
      <c r="B475" s="99" t="s">
        <v>92</v>
      </c>
      <c r="C475" s="99" t="s">
        <v>222</v>
      </c>
      <c r="D475" s="115">
        <v>8</v>
      </c>
      <c r="E475" s="99" t="s">
        <v>1005</v>
      </c>
      <c r="F475" s="100">
        <v>0.15</v>
      </c>
      <c r="G475" s="101">
        <f>IF(OR(B475="FIXO",B475="XFIXO"),IF(F475="","ERRO",10*F475)*'[1]BD Campos'!$S$2,IF(F475="","ERRO",10*F475)*'[1]BD Campos'!$S$3)</f>
        <v>1.5</v>
      </c>
      <c r="H475" s="102">
        <v>0.05</v>
      </c>
      <c r="I475" s="103">
        <f t="shared" si="23"/>
        <v>-7.5000000000000011E-2</v>
      </c>
    </row>
    <row r="476" spans="1:9">
      <c r="A476" s="99" t="str">
        <f t="shared" si="22"/>
        <v>ALERTAS PRIORITÁRIOSPolícia9</v>
      </c>
      <c r="B476" s="99" t="s">
        <v>92</v>
      </c>
      <c r="C476" s="99" t="s">
        <v>222</v>
      </c>
      <c r="D476" s="115">
        <v>9</v>
      </c>
      <c r="E476" s="99" t="s">
        <v>1006</v>
      </c>
      <c r="F476" s="100">
        <v>0.13</v>
      </c>
      <c r="G476" s="101">
        <f>IF(OR(B476="FIXO",B476="XFIXO"),IF(F476="","ERRO",10*F476)*'[1]BD Campos'!$S$2,IF(F476="","ERRO",10*F476)*'[1]BD Campos'!$S$3)</f>
        <v>1.3</v>
      </c>
      <c r="H476" s="102">
        <v>0.05</v>
      </c>
      <c r="I476" s="103">
        <f t="shared" si="23"/>
        <v>-6.5000000000000002E-2</v>
      </c>
    </row>
    <row r="477" spans="1:9">
      <c r="A477" s="99" t="str">
        <f t="shared" si="22"/>
        <v>ALERTAS PRIORITÁRIOSPolícia10</v>
      </c>
      <c r="B477" s="99" t="s">
        <v>92</v>
      </c>
      <c r="C477" s="99" t="s">
        <v>222</v>
      </c>
      <c r="D477" s="115">
        <v>10</v>
      </c>
      <c r="E477" s="99" t="s">
        <v>1007</v>
      </c>
      <c r="F477" s="100">
        <v>0.12</v>
      </c>
      <c r="G477" s="101">
        <f>IF(OR(B477="FIXO",B477="XFIXO"),IF(F477="","ERRO",10*F477)*'[1]BD Campos'!$S$2,IF(F477="","ERRO",10*F477)*'[1]BD Campos'!$S$3)</f>
        <v>1.2</v>
      </c>
      <c r="H477" s="102">
        <v>0.05</v>
      </c>
      <c r="I477" s="103">
        <f t="shared" si="23"/>
        <v>-0.06</v>
      </c>
    </row>
    <row r="478" spans="1:9">
      <c r="A478" s="99" t="str">
        <f t="shared" si="22"/>
        <v>ALERTAS PRIORITÁRIOSPolícia11</v>
      </c>
      <c r="B478" s="99" t="s">
        <v>92</v>
      </c>
      <c r="C478" s="99" t="s">
        <v>222</v>
      </c>
      <c r="D478" s="115">
        <v>11</v>
      </c>
      <c r="E478" s="99" t="s">
        <v>964</v>
      </c>
      <c r="F478" s="100">
        <v>0.03</v>
      </c>
      <c r="G478" s="101">
        <f>IF(OR(B478="FIXO",B478="XFIXO"),IF(F478="","ERRO",10*F478)*'[1]BD Campos'!$S$2,IF(F478="","ERRO",10*F478)*'[1]BD Campos'!$S$3)</f>
        <v>0.3</v>
      </c>
      <c r="H478" s="102">
        <v>0.05</v>
      </c>
      <c r="I478" s="103">
        <f t="shared" si="23"/>
        <v>-1.4999999999999999E-2</v>
      </c>
    </row>
    <row r="479" spans="1:9">
      <c r="A479" s="99" t="str">
        <f t="shared" si="22"/>
        <v>ALERTAS PRIORITÁRIOSPolícia12</v>
      </c>
      <c r="B479" s="99" t="s">
        <v>92</v>
      </c>
      <c r="C479" s="99" t="s">
        <v>222</v>
      </c>
      <c r="D479" s="115">
        <v>12</v>
      </c>
      <c r="E479" s="99" t="s">
        <v>965</v>
      </c>
      <c r="F479" s="100">
        <v>0.03</v>
      </c>
      <c r="G479" s="101">
        <f>IF(OR(B479="FIXO",B479="XFIXO"),IF(F479="","ERRO",10*F479)*'[1]BD Campos'!$S$2,IF(F479="","ERRO",10*F479)*'[1]BD Campos'!$S$3)</f>
        <v>0.3</v>
      </c>
      <c r="H479" s="102">
        <v>0.05</v>
      </c>
      <c r="I479" s="103">
        <f t="shared" si="23"/>
        <v>-1.4999999999999999E-2</v>
      </c>
    </row>
    <row r="480" spans="1:9">
      <c r="A480" s="99" t="str">
        <f t="shared" si="22"/>
        <v>ALERTAS PRIORITÁRIOSPolícia13</v>
      </c>
      <c r="B480" s="99" t="s">
        <v>92</v>
      </c>
      <c r="C480" s="99" t="s">
        <v>222</v>
      </c>
      <c r="D480" s="115">
        <v>13</v>
      </c>
      <c r="E480" s="99" t="s">
        <v>966</v>
      </c>
      <c r="F480" s="100">
        <v>1.4999999999999999E-2</v>
      </c>
      <c r="G480" s="101">
        <f>IF(OR(B480="FIXO",B480="XFIXO"),IF(F480="","ERRO",10*F480)*'[1]BD Campos'!$S$2,IF(F480="","ERRO",10*F480)*'[1]BD Campos'!$S$3)</f>
        <v>0.15</v>
      </c>
      <c r="H480" s="102">
        <v>0.05</v>
      </c>
      <c r="I480" s="103">
        <f t="shared" si="23"/>
        <v>-7.4999999999999997E-3</v>
      </c>
    </row>
    <row r="481" spans="1:9">
      <c r="A481" s="99" t="str">
        <f t="shared" si="22"/>
        <v>ALERTAS PRIORITÁRIOSPolícia14</v>
      </c>
      <c r="B481" s="99" t="s">
        <v>92</v>
      </c>
      <c r="C481" s="99" t="s">
        <v>222</v>
      </c>
      <c r="D481" s="115">
        <v>14</v>
      </c>
      <c r="E481" s="99" t="s">
        <v>967</v>
      </c>
      <c r="F481" s="100">
        <v>0.02</v>
      </c>
      <c r="G481" s="101">
        <f>IF(OR(B481="FIXO",B481="XFIXO"),IF(F481="","ERRO",10*F481)*'[1]BD Campos'!$S$2,IF(F481="","ERRO",10*F481)*'[1]BD Campos'!$S$3)</f>
        <v>0.2</v>
      </c>
      <c r="H481" s="102">
        <v>0.05</v>
      </c>
      <c r="I481" s="103">
        <f t="shared" si="23"/>
        <v>-1.0000000000000002E-2</v>
      </c>
    </row>
    <row r="482" spans="1:9">
      <c r="A482" s="99" t="str">
        <f t="shared" si="22"/>
        <v>ALERTAS PRIORITÁRIOSPolícia15</v>
      </c>
      <c r="B482" s="99" t="s">
        <v>92</v>
      </c>
      <c r="C482" s="99" t="s">
        <v>222</v>
      </c>
      <c r="D482" s="115">
        <v>15</v>
      </c>
      <c r="E482" s="99" t="s">
        <v>968</v>
      </c>
      <c r="F482" s="110">
        <v>0.03</v>
      </c>
      <c r="G482" s="101">
        <f>IF(OR(B482="FIXO",B482="XFIXO"),IF(F482="","ERRO",10*F482)*'[1]BD Campos'!$S$2,IF(F482="","ERRO",10*F482)*'[1]BD Campos'!$S$3)</f>
        <v>0.3</v>
      </c>
      <c r="H482" s="102">
        <v>0.05</v>
      </c>
      <c r="I482" s="103">
        <f t="shared" si="23"/>
        <v>-1.4999999999999999E-2</v>
      </c>
    </row>
    <row r="483" spans="1:9">
      <c r="A483" s="104" t="str">
        <f t="shared" si="22"/>
        <v>ALERTAS PRIORITÁRIOSPolícia16</v>
      </c>
      <c r="B483" s="104" t="s">
        <v>92</v>
      </c>
      <c r="C483" s="104" t="s">
        <v>222</v>
      </c>
      <c r="D483" s="116">
        <v>16</v>
      </c>
      <c r="E483" s="104" t="s">
        <v>969</v>
      </c>
      <c r="F483" s="105">
        <v>0.01</v>
      </c>
      <c r="G483" s="106">
        <f>IF(OR(B483="FIXO",B483="XFIXO"),IF(F483="","ERRO",10*F483)*'[1]BD Campos'!$S$2,IF(F483="","ERRO",10*F483)*'[1]BD Campos'!$S$3)</f>
        <v>0.1</v>
      </c>
      <c r="H483" s="107">
        <v>0.05</v>
      </c>
      <c r="I483" s="108">
        <f t="shared" si="23"/>
        <v>-5.000000000000001E-3</v>
      </c>
    </row>
    <row r="484" spans="1:9">
      <c r="A484" s="99" t="str">
        <f t="shared" si="22"/>
        <v>ALERTAS PRIORITÁRIOSPolícia 21</v>
      </c>
      <c r="B484" s="99" t="s">
        <v>92</v>
      </c>
      <c r="C484" s="99" t="s">
        <v>225</v>
      </c>
      <c r="D484" s="115">
        <v>1</v>
      </c>
      <c r="E484" s="99" t="s">
        <v>954</v>
      </c>
      <c r="F484" s="100">
        <v>0.01</v>
      </c>
      <c r="G484" s="101">
        <f>IF(OR(B484="FIXO",B484="XFIXO"),IF(F484="","ERRO",10*F484)*'[1]BD Campos'!$S$2,IF(F484="","ERRO",10*F484)*'[1]BD Campos'!$S$3)</f>
        <v>0.1</v>
      </c>
      <c r="H484" s="102">
        <v>0.05</v>
      </c>
      <c r="I484" s="103">
        <f t="shared" si="23"/>
        <v>-5.000000000000001E-3</v>
      </c>
    </row>
    <row r="485" spans="1:9">
      <c r="A485" s="99" t="str">
        <f t="shared" si="22"/>
        <v>ALERTAS PRIORITÁRIOSPolícia 22</v>
      </c>
      <c r="B485" s="99" t="s">
        <v>92</v>
      </c>
      <c r="C485" s="99" t="s">
        <v>225</v>
      </c>
      <c r="D485" s="115">
        <v>2</v>
      </c>
      <c r="E485" s="99" t="s">
        <v>955</v>
      </c>
      <c r="F485" s="100">
        <v>0.01</v>
      </c>
      <c r="G485" s="101">
        <f>IF(OR(B485="FIXO",B485="XFIXO"),IF(F485="","ERRO",10*F485)*'[1]BD Campos'!$S$2,IF(F485="","ERRO",10*F485)*'[1]BD Campos'!$S$3)</f>
        <v>0.1</v>
      </c>
      <c r="H485" s="102">
        <v>0.05</v>
      </c>
      <c r="I485" s="103">
        <f t="shared" si="23"/>
        <v>-5.000000000000001E-3</v>
      </c>
    </row>
    <row r="486" spans="1:9">
      <c r="A486" s="99" t="str">
        <f t="shared" si="22"/>
        <v>ALERTAS PRIORITÁRIOSPolícia 23</v>
      </c>
      <c r="B486" s="99" t="s">
        <v>92</v>
      </c>
      <c r="C486" s="99" t="s">
        <v>225</v>
      </c>
      <c r="D486" s="115">
        <v>3</v>
      </c>
      <c r="E486" s="99" t="s">
        <v>956</v>
      </c>
      <c r="F486" s="100">
        <v>0.01</v>
      </c>
      <c r="G486" s="101">
        <f>IF(OR(B486="FIXO",B486="XFIXO"),IF(F486="","ERRO",10*F486)*'[1]BD Campos'!$S$2,IF(F486="","ERRO",10*F486)*'[1]BD Campos'!$S$3)</f>
        <v>0.1</v>
      </c>
      <c r="H486" s="102">
        <v>0.05</v>
      </c>
      <c r="I486" s="103">
        <f t="shared" si="23"/>
        <v>-5.000000000000001E-3</v>
      </c>
    </row>
    <row r="487" spans="1:9">
      <c r="A487" s="99" t="str">
        <f t="shared" si="22"/>
        <v>ALERTAS PRIORITÁRIOSPolícia 24</v>
      </c>
      <c r="B487" s="99" t="s">
        <v>92</v>
      </c>
      <c r="C487" s="99" t="s">
        <v>225</v>
      </c>
      <c r="D487" s="115">
        <v>4</v>
      </c>
      <c r="E487" s="99" t="s">
        <v>982</v>
      </c>
      <c r="F487" s="100">
        <v>0.04</v>
      </c>
      <c r="G487" s="101">
        <f>IF(OR(B487="FIXO",B487="XFIXO"),IF(F487="","ERRO",10*F487)*'[1]BD Campos'!$S$2,IF(F487="","ERRO",10*F487)*'[1]BD Campos'!$S$3)</f>
        <v>0.4</v>
      </c>
      <c r="H487" s="102">
        <v>0.05</v>
      </c>
      <c r="I487" s="103">
        <f t="shared" si="23"/>
        <v>-2.0000000000000004E-2</v>
      </c>
    </row>
    <row r="488" spans="1:9">
      <c r="A488" s="99" t="str">
        <f t="shared" si="22"/>
        <v>ALERTAS PRIORITÁRIOSPolícia 25</v>
      </c>
      <c r="B488" s="99" t="s">
        <v>92</v>
      </c>
      <c r="C488" s="99" t="s">
        <v>225</v>
      </c>
      <c r="D488" s="115">
        <v>5</v>
      </c>
      <c r="E488" s="99" t="s">
        <v>1002</v>
      </c>
      <c r="F488" s="100">
        <v>0.13</v>
      </c>
      <c r="G488" s="101">
        <f>IF(OR(B488="FIXO",B488="XFIXO"),IF(F488="","ERRO",10*F488)*'[1]BD Campos'!$S$2,IF(F488="","ERRO",10*F488)*'[1]BD Campos'!$S$3)</f>
        <v>1.3</v>
      </c>
      <c r="H488" s="102">
        <v>0.05</v>
      </c>
      <c r="I488" s="103">
        <f t="shared" si="23"/>
        <v>-6.5000000000000002E-2</v>
      </c>
    </row>
    <row r="489" spans="1:9">
      <c r="A489" s="99" t="str">
        <f t="shared" si="22"/>
        <v>ALERTAS PRIORITÁRIOSPolícia 26</v>
      </c>
      <c r="B489" s="99" t="s">
        <v>92</v>
      </c>
      <c r="C489" s="99" t="s">
        <v>225</v>
      </c>
      <c r="D489" s="115">
        <v>6</v>
      </c>
      <c r="E489" s="99" t="s">
        <v>1003</v>
      </c>
      <c r="F489" s="100">
        <v>0.13500000000000001</v>
      </c>
      <c r="G489" s="101">
        <f>IF(OR(B489="FIXO",B489="XFIXO"),IF(F489="","ERRO",10*F489)*'[1]BD Campos'!$S$2,IF(F489="","ERRO",10*F489)*'[1]BD Campos'!$S$3)</f>
        <v>1.35</v>
      </c>
      <c r="H489" s="102">
        <v>0.05</v>
      </c>
      <c r="I489" s="103">
        <f t="shared" si="23"/>
        <v>-6.7500000000000004E-2</v>
      </c>
    </row>
    <row r="490" spans="1:9">
      <c r="A490" s="99" t="str">
        <f t="shared" si="22"/>
        <v>ALERTAS PRIORITÁRIOSPolícia 27</v>
      </c>
      <c r="B490" s="99" t="s">
        <v>92</v>
      </c>
      <c r="C490" s="99" t="s">
        <v>225</v>
      </c>
      <c r="D490" s="115">
        <v>7</v>
      </c>
      <c r="E490" s="99" t="s">
        <v>1004</v>
      </c>
      <c r="F490" s="100">
        <v>0.13</v>
      </c>
      <c r="G490" s="101">
        <f>IF(OR(B490="FIXO",B490="XFIXO"),IF(F490="","ERRO",10*F490)*'[1]BD Campos'!$S$2,IF(F490="","ERRO",10*F490)*'[1]BD Campos'!$S$3)</f>
        <v>1.3</v>
      </c>
      <c r="H490" s="102">
        <v>0.05</v>
      </c>
      <c r="I490" s="103">
        <f t="shared" si="23"/>
        <v>-6.5000000000000002E-2</v>
      </c>
    </row>
    <row r="491" spans="1:9">
      <c r="A491" s="99" t="str">
        <f t="shared" si="22"/>
        <v>ALERTAS PRIORITÁRIOSPolícia 28</v>
      </c>
      <c r="B491" s="99" t="s">
        <v>92</v>
      </c>
      <c r="C491" s="99" t="s">
        <v>225</v>
      </c>
      <c r="D491" s="115">
        <v>8</v>
      </c>
      <c r="E491" s="99" t="s">
        <v>1005</v>
      </c>
      <c r="F491" s="100">
        <v>0.15</v>
      </c>
      <c r="G491" s="101">
        <f>IF(OR(B491="FIXO",B491="XFIXO"),IF(F491="","ERRO",10*F491)*'[1]BD Campos'!$S$2,IF(F491="","ERRO",10*F491)*'[1]BD Campos'!$S$3)</f>
        <v>1.5</v>
      </c>
      <c r="H491" s="102">
        <v>0.05</v>
      </c>
      <c r="I491" s="103">
        <f t="shared" si="23"/>
        <v>-7.5000000000000011E-2</v>
      </c>
    </row>
    <row r="492" spans="1:9">
      <c r="A492" s="99" t="str">
        <f t="shared" si="22"/>
        <v>ALERTAS PRIORITÁRIOSPolícia 29</v>
      </c>
      <c r="B492" s="99" t="s">
        <v>92</v>
      </c>
      <c r="C492" s="99" t="s">
        <v>225</v>
      </c>
      <c r="D492" s="115">
        <v>9</v>
      </c>
      <c r="E492" s="99" t="s">
        <v>1006</v>
      </c>
      <c r="F492" s="100">
        <v>0.13</v>
      </c>
      <c r="G492" s="101">
        <f>IF(OR(B492="FIXO",B492="XFIXO"),IF(F492="","ERRO",10*F492)*'[1]BD Campos'!$S$2,IF(F492="","ERRO",10*F492)*'[1]BD Campos'!$S$3)</f>
        <v>1.3</v>
      </c>
      <c r="H492" s="102">
        <v>0.05</v>
      </c>
      <c r="I492" s="103">
        <f t="shared" si="23"/>
        <v>-6.5000000000000002E-2</v>
      </c>
    </row>
    <row r="493" spans="1:9">
      <c r="A493" s="99" t="str">
        <f t="shared" si="22"/>
        <v>ALERTAS PRIORITÁRIOSPolícia 210</v>
      </c>
      <c r="B493" s="99" t="s">
        <v>92</v>
      </c>
      <c r="C493" s="99" t="s">
        <v>225</v>
      </c>
      <c r="D493" s="115">
        <v>10</v>
      </c>
      <c r="E493" s="99" t="s">
        <v>1007</v>
      </c>
      <c r="F493" s="100">
        <v>0.12</v>
      </c>
      <c r="G493" s="101">
        <f>IF(OR(B493="FIXO",B493="XFIXO"),IF(F493="","ERRO",10*F493)*'[1]BD Campos'!$S$2,IF(F493="","ERRO",10*F493)*'[1]BD Campos'!$S$3)</f>
        <v>1.2</v>
      </c>
      <c r="H493" s="102">
        <v>0.05</v>
      </c>
      <c r="I493" s="103">
        <f t="shared" si="23"/>
        <v>-0.06</v>
      </c>
    </row>
    <row r="494" spans="1:9">
      <c r="A494" s="99" t="str">
        <f t="shared" si="22"/>
        <v>ALERTAS PRIORITÁRIOSPolícia 211</v>
      </c>
      <c r="B494" s="99" t="s">
        <v>92</v>
      </c>
      <c r="C494" s="99" t="s">
        <v>225</v>
      </c>
      <c r="D494" s="115">
        <v>11</v>
      </c>
      <c r="E494" s="99" t="s">
        <v>964</v>
      </c>
      <c r="F494" s="100">
        <v>0.03</v>
      </c>
      <c r="G494" s="101">
        <f>IF(OR(B494="FIXO",B494="XFIXO"),IF(F494="","ERRO",10*F494)*'[1]BD Campos'!$S$2,IF(F494="","ERRO",10*F494)*'[1]BD Campos'!$S$3)</f>
        <v>0.3</v>
      </c>
      <c r="H494" s="102">
        <v>0.05</v>
      </c>
      <c r="I494" s="103">
        <f t="shared" si="23"/>
        <v>-1.4999999999999999E-2</v>
      </c>
    </row>
    <row r="495" spans="1:9">
      <c r="A495" s="99" t="str">
        <f t="shared" si="22"/>
        <v>ALERTAS PRIORITÁRIOSPolícia 212</v>
      </c>
      <c r="B495" s="99" t="s">
        <v>92</v>
      </c>
      <c r="C495" s="99" t="s">
        <v>225</v>
      </c>
      <c r="D495" s="115">
        <v>12</v>
      </c>
      <c r="E495" s="99" t="s">
        <v>965</v>
      </c>
      <c r="F495" s="100">
        <v>0.03</v>
      </c>
      <c r="G495" s="101">
        <f>IF(OR(B495="FIXO",B495="XFIXO"),IF(F495="","ERRO",10*F495)*'[1]BD Campos'!$S$2,IF(F495="","ERRO",10*F495)*'[1]BD Campos'!$S$3)</f>
        <v>0.3</v>
      </c>
      <c r="H495" s="102">
        <v>0.05</v>
      </c>
      <c r="I495" s="103">
        <f t="shared" si="23"/>
        <v>-1.4999999999999999E-2</v>
      </c>
    </row>
    <row r="496" spans="1:9">
      <c r="A496" s="99" t="str">
        <f t="shared" si="22"/>
        <v>ALERTAS PRIORITÁRIOSPolícia 213</v>
      </c>
      <c r="B496" s="99" t="s">
        <v>92</v>
      </c>
      <c r="C496" s="99" t="s">
        <v>225</v>
      </c>
      <c r="D496" s="115">
        <v>13</v>
      </c>
      <c r="E496" s="99" t="s">
        <v>966</v>
      </c>
      <c r="F496" s="100">
        <v>1.4999999999999999E-2</v>
      </c>
      <c r="G496" s="101">
        <f>IF(OR(B496="FIXO",B496="XFIXO"),IF(F496="","ERRO",10*F496)*'[1]BD Campos'!$S$2,IF(F496="","ERRO",10*F496)*'[1]BD Campos'!$S$3)</f>
        <v>0.15</v>
      </c>
      <c r="H496" s="102">
        <v>0.05</v>
      </c>
      <c r="I496" s="103">
        <f t="shared" si="23"/>
        <v>-7.4999999999999997E-3</v>
      </c>
    </row>
    <row r="497" spans="1:9">
      <c r="A497" s="99" t="str">
        <f t="shared" si="22"/>
        <v>ALERTAS PRIORITÁRIOSPolícia 214</v>
      </c>
      <c r="B497" s="99" t="s">
        <v>92</v>
      </c>
      <c r="C497" s="99" t="s">
        <v>225</v>
      </c>
      <c r="D497" s="115">
        <v>14</v>
      </c>
      <c r="E497" s="99" t="s">
        <v>967</v>
      </c>
      <c r="F497" s="100">
        <v>0.02</v>
      </c>
      <c r="G497" s="101">
        <f>IF(OR(B497="FIXO",B497="XFIXO"),IF(F497="","ERRO",10*F497)*'[1]BD Campos'!$S$2,IF(F497="","ERRO",10*F497)*'[1]BD Campos'!$S$3)</f>
        <v>0.2</v>
      </c>
      <c r="H497" s="102">
        <v>0.05</v>
      </c>
      <c r="I497" s="103">
        <f t="shared" si="23"/>
        <v>-1.0000000000000002E-2</v>
      </c>
    </row>
    <row r="498" spans="1:9">
      <c r="A498" s="99" t="str">
        <f t="shared" si="22"/>
        <v>ALERTAS PRIORITÁRIOSPolícia 215</v>
      </c>
      <c r="B498" s="99" t="s">
        <v>92</v>
      </c>
      <c r="C498" s="99" t="s">
        <v>225</v>
      </c>
      <c r="D498" s="115">
        <v>15</v>
      </c>
      <c r="E498" s="99" t="s">
        <v>968</v>
      </c>
      <c r="F498" s="110">
        <v>0.03</v>
      </c>
      <c r="G498" s="101">
        <f>IF(OR(B498="FIXO",B498="XFIXO"),IF(F498="","ERRO",10*F498)*'[1]BD Campos'!$S$2,IF(F498="","ERRO",10*F498)*'[1]BD Campos'!$S$3)</f>
        <v>0.3</v>
      </c>
      <c r="H498" s="102">
        <v>0.05</v>
      </c>
      <c r="I498" s="103">
        <f t="shared" si="23"/>
        <v>-1.4999999999999999E-2</v>
      </c>
    </row>
    <row r="499" spans="1:9">
      <c r="A499" s="104" t="str">
        <f t="shared" si="22"/>
        <v>ALERTAS PRIORITÁRIOSPolícia 216</v>
      </c>
      <c r="B499" s="104" t="s">
        <v>92</v>
      </c>
      <c r="C499" s="104" t="s">
        <v>225</v>
      </c>
      <c r="D499" s="116">
        <v>16</v>
      </c>
      <c r="E499" s="104" t="s">
        <v>969</v>
      </c>
      <c r="F499" s="105">
        <v>0.01</v>
      </c>
      <c r="G499" s="106">
        <f>IF(OR(B499="FIXO",B499="XFIXO"),IF(F499="","ERRO",10*F499)*'[1]BD Campos'!$S$2,IF(F499="","ERRO",10*F499)*'[1]BD Campos'!$S$3)</f>
        <v>0.1</v>
      </c>
      <c r="H499" s="107">
        <v>0.05</v>
      </c>
      <c r="I499" s="108">
        <f t="shared" si="23"/>
        <v>-5.000000000000001E-3</v>
      </c>
    </row>
    <row r="500" spans="1:9">
      <c r="A500" s="99" t="str">
        <f>B500&amp;C500&amp;D500</f>
        <v>TELEFÔNICAReceptiva1</v>
      </c>
      <c r="B500" s="99" t="s">
        <v>595</v>
      </c>
      <c r="C500" s="99" t="s">
        <v>81</v>
      </c>
      <c r="D500" s="115">
        <v>1</v>
      </c>
      <c r="E500" s="99" t="s">
        <v>954</v>
      </c>
      <c r="F500" s="100">
        <v>0.01</v>
      </c>
      <c r="G500" s="101">
        <f>IF(OR(B500="FIXO",B500="XFIXO"),IF(F500="","ERRO",10*F500)*'[1]BD Campos'!$S$2,IF(F500="","ERRO",10*F500)*'[1]BD Campos'!$S$3)</f>
        <v>0.1</v>
      </c>
      <c r="H500" s="102">
        <v>0.05</v>
      </c>
      <c r="I500" s="103">
        <f>H500*G500*-1</f>
        <v>-5.000000000000001E-3</v>
      </c>
    </row>
    <row r="501" spans="1:9">
      <c r="A501" s="99" t="str">
        <f t="shared" ref="A501:A525" si="24">B501&amp;C501&amp;D501</f>
        <v>TELEFÔNICAReceptiva2</v>
      </c>
      <c r="B501" s="99" t="s">
        <v>595</v>
      </c>
      <c r="C501" s="99" t="s">
        <v>81</v>
      </c>
      <c r="D501" s="115">
        <v>2</v>
      </c>
      <c r="E501" s="99" t="s">
        <v>955</v>
      </c>
      <c r="F501" s="100">
        <v>0.01</v>
      </c>
      <c r="G501" s="101">
        <f>IF(OR(B501="FIXO",B501="XFIXO"),IF(F501="","ERRO",10*F501)*'[1]BD Campos'!$S$2,IF(F501="","ERRO",10*F501)*'[1]BD Campos'!$S$3)</f>
        <v>0.1</v>
      </c>
      <c r="H501" s="102">
        <v>0.05</v>
      </c>
      <c r="I501" s="103">
        <f t="shared" ref="I501:I525" si="25">H501*G501*-1</f>
        <v>-5.000000000000001E-3</v>
      </c>
    </row>
    <row r="502" spans="1:9">
      <c r="A502" s="99" t="str">
        <f t="shared" si="24"/>
        <v>TELEFÔNICAReceptiva3</v>
      </c>
      <c r="B502" s="99" t="s">
        <v>595</v>
      </c>
      <c r="C502" s="99" t="s">
        <v>81</v>
      </c>
      <c r="D502" s="115">
        <v>3</v>
      </c>
      <c r="E502" s="99" t="s">
        <v>956</v>
      </c>
      <c r="F502" s="100">
        <v>0.01</v>
      </c>
      <c r="G502" s="101">
        <f>IF(OR(B502="FIXO",B502="XFIXO"),IF(F502="","ERRO",10*F502)*'[1]BD Campos'!$S$2,IF(F502="","ERRO",10*F502)*'[1]BD Campos'!$S$3)</f>
        <v>0.1</v>
      </c>
      <c r="H502" s="102">
        <v>0.05</v>
      </c>
      <c r="I502" s="103">
        <f t="shared" si="25"/>
        <v>-5.000000000000001E-3</v>
      </c>
    </row>
    <row r="503" spans="1:9">
      <c r="A503" s="99" t="str">
        <f t="shared" si="24"/>
        <v>TELEFÔNICAReceptiva4</v>
      </c>
      <c r="B503" s="99" t="s">
        <v>595</v>
      </c>
      <c r="C503" s="99" t="s">
        <v>81</v>
      </c>
      <c r="D503" s="115">
        <v>4</v>
      </c>
      <c r="E503" s="99" t="s">
        <v>1008</v>
      </c>
      <c r="F503" s="100">
        <v>0.12</v>
      </c>
      <c r="G503" s="101">
        <f>IF(OR(B503="FIXO",B503="XFIXO"),IF(F503="","ERRO",10*F503)*'[1]BD Campos'!$S$2,IF(F503="","ERRO",10*F503)*'[1]BD Campos'!$S$3)</f>
        <v>1.2</v>
      </c>
      <c r="H503" s="102">
        <v>0.05</v>
      </c>
      <c r="I503" s="103">
        <f t="shared" si="25"/>
        <v>-0.06</v>
      </c>
    </row>
    <row r="504" spans="1:9">
      <c r="A504" s="99" t="str">
        <f t="shared" si="24"/>
        <v>TELEFÔNICAReceptiva5</v>
      </c>
      <c r="B504" s="99" t="s">
        <v>595</v>
      </c>
      <c r="C504" s="99" t="s">
        <v>81</v>
      </c>
      <c r="D504" s="115">
        <v>5</v>
      </c>
      <c r="E504" s="99" t="s">
        <v>957</v>
      </c>
      <c r="F504" s="100">
        <v>0.26</v>
      </c>
      <c r="G504" s="101">
        <f>IF(OR(B504="FIXO",B504="XFIXO"),IF(F504="","ERRO",10*F504)*'[1]BD Campos'!$S$2,IF(F504="","ERRO",10*F504)*'[1]BD Campos'!$S$3)</f>
        <v>2.6</v>
      </c>
      <c r="H504" s="102">
        <v>0.05</v>
      </c>
      <c r="I504" s="103">
        <f t="shared" si="25"/>
        <v>-0.13</v>
      </c>
    </row>
    <row r="505" spans="1:9">
      <c r="A505" s="99" t="str">
        <f t="shared" si="24"/>
        <v>TELEFÔNICAReceptiva6</v>
      </c>
      <c r="B505" s="99" t="s">
        <v>595</v>
      </c>
      <c r="C505" s="99" t="s">
        <v>81</v>
      </c>
      <c r="D505" s="115">
        <v>6</v>
      </c>
      <c r="E505" s="99" t="s">
        <v>965</v>
      </c>
      <c r="F505" s="100">
        <v>0.08</v>
      </c>
      <c r="G505" s="101">
        <f>IF(OR(B505="FIXO",B505="XFIXO"),IF(F505="","ERRO",10*F505)*'[1]BD Campos'!$S$2,IF(F505="","ERRO",10*F505)*'[1]BD Campos'!$S$3)</f>
        <v>0.8</v>
      </c>
      <c r="H505" s="102">
        <v>0.05</v>
      </c>
      <c r="I505" s="103">
        <f t="shared" si="25"/>
        <v>-4.0000000000000008E-2</v>
      </c>
    </row>
    <row r="506" spans="1:9">
      <c r="A506" s="99" t="str">
        <f>B506&amp;C506&amp;D506</f>
        <v>TELEFÔNICAReceptiva7</v>
      </c>
      <c r="B506" s="99" t="s">
        <v>595</v>
      </c>
      <c r="C506" s="99" t="s">
        <v>81</v>
      </c>
      <c r="D506" s="115">
        <v>7</v>
      </c>
      <c r="E506" s="99" t="s">
        <v>966</v>
      </c>
      <c r="F506" s="100">
        <v>0.08</v>
      </c>
      <c r="G506" s="101">
        <f>IF(OR(B506="FIXO",B506="XFIXO"),IF(F506="","ERRO",10*F506)*'[1]BD Campos'!$S$2,IF(F506="","ERRO",10*F506)*'[1]BD Campos'!$S$3)</f>
        <v>0.8</v>
      </c>
      <c r="H506" s="102">
        <v>0.05</v>
      </c>
      <c r="I506" s="103">
        <f>H506*G506*-1</f>
        <v>-4.0000000000000008E-2</v>
      </c>
    </row>
    <row r="507" spans="1:9">
      <c r="A507" s="99" t="str">
        <f t="shared" si="24"/>
        <v>TELEFÔNICAReceptiva8</v>
      </c>
      <c r="B507" s="99" t="s">
        <v>595</v>
      </c>
      <c r="C507" s="99" t="s">
        <v>81</v>
      </c>
      <c r="D507" s="115">
        <v>8</v>
      </c>
      <c r="E507" s="99" t="s">
        <v>1009</v>
      </c>
      <c r="F507" s="100">
        <v>0.08</v>
      </c>
      <c r="G507" s="101">
        <f>IF(OR(B507="FIXO",B507="XFIXO"),IF(F507="","ERRO",10*F507)*'[1]BD Campos'!$S$2,IF(F507="","ERRO",10*F507)*'[1]BD Campos'!$S$3)</f>
        <v>0.8</v>
      </c>
      <c r="H507" s="102">
        <v>0.05</v>
      </c>
      <c r="I507" s="103">
        <f t="shared" si="25"/>
        <v>-4.0000000000000008E-2</v>
      </c>
    </row>
    <row r="508" spans="1:9">
      <c r="A508" s="99" t="str">
        <f>B508&amp;C508&amp;D508</f>
        <v>TELEFÔNICAReceptiva9</v>
      </c>
      <c r="B508" s="99" t="s">
        <v>595</v>
      </c>
      <c r="C508" s="99" t="s">
        <v>81</v>
      </c>
      <c r="D508" s="115">
        <v>9</v>
      </c>
      <c r="E508" s="99" t="s">
        <v>1010</v>
      </c>
      <c r="F508" s="100">
        <v>0.08</v>
      </c>
      <c r="G508" s="101">
        <f>IF(OR(B508="FIXO",B508="XFIXO"),IF(F508="","ERRO",10*F508)*'[1]BD Campos'!$S$2,IF(F508="","ERRO",10*F508)*'[1]BD Campos'!$S$3)</f>
        <v>0.8</v>
      </c>
      <c r="H508" s="102">
        <v>0.05</v>
      </c>
      <c r="I508" s="103">
        <f>H508*G508*-1</f>
        <v>-4.0000000000000008E-2</v>
      </c>
    </row>
    <row r="509" spans="1:9">
      <c r="A509" s="99" t="str">
        <f>B509&amp;C509&amp;D509</f>
        <v>TELEFÔNICAReceptiva10</v>
      </c>
      <c r="B509" s="99" t="s">
        <v>595</v>
      </c>
      <c r="C509" s="99" t="s">
        <v>81</v>
      </c>
      <c r="D509" s="115">
        <v>10</v>
      </c>
      <c r="E509" s="99" t="s">
        <v>1011</v>
      </c>
      <c r="F509" s="100">
        <v>0.08</v>
      </c>
      <c r="G509" s="101">
        <f>IF(OR(B509="FIXO",B509="XFIXO"),IF(F509="","ERRO",10*F509)*'[1]BD Campos'!$S$2,IF(F509="","ERRO",10*F509)*'[1]BD Campos'!$S$3)</f>
        <v>0.8</v>
      </c>
      <c r="H509" s="102">
        <v>0.05</v>
      </c>
      <c r="I509" s="103">
        <f>H509*G509*-1</f>
        <v>-4.0000000000000008E-2</v>
      </c>
    </row>
    <row r="510" spans="1:9">
      <c r="A510" s="99" t="str">
        <f t="shared" si="24"/>
        <v>TELEFÔNICAReceptiva11</v>
      </c>
      <c r="B510" s="99" t="s">
        <v>595</v>
      </c>
      <c r="C510" s="99" t="s">
        <v>81</v>
      </c>
      <c r="D510" s="115">
        <v>11</v>
      </c>
      <c r="E510" s="99" t="s">
        <v>968</v>
      </c>
      <c r="F510" s="100">
        <v>0.08</v>
      </c>
      <c r="G510" s="101">
        <f>IF(OR(B510="FIXO",B510="XFIXO"),IF(F510="","ERRO",10*F510)*'[1]BD Campos'!$S$2,IF(F510="","ERRO",10*F510)*'[1]BD Campos'!$S$3)</f>
        <v>0.8</v>
      </c>
      <c r="H510" s="102">
        <v>0.05</v>
      </c>
      <c r="I510" s="103">
        <f t="shared" si="25"/>
        <v>-4.0000000000000008E-2</v>
      </c>
    </row>
    <row r="511" spans="1:9">
      <c r="A511" s="99" t="str">
        <f t="shared" si="24"/>
        <v>TELEFÔNICAReceptiva12</v>
      </c>
      <c r="B511" s="99" t="s">
        <v>595</v>
      </c>
      <c r="C511" s="99" t="s">
        <v>81</v>
      </c>
      <c r="D511" s="115">
        <v>12</v>
      </c>
      <c r="E511" s="99" t="s">
        <v>1012</v>
      </c>
      <c r="F511" s="100">
        <v>0.08</v>
      </c>
      <c r="G511" s="101">
        <f>IF(OR(B511="FIXO",B511="XFIXO"),IF(F511="","ERRO",10*F511)*'[1]BD Campos'!$S$2,IF(F511="","ERRO",10*F511)*'[1]BD Campos'!$S$3)</f>
        <v>0.8</v>
      </c>
      <c r="H511" s="102">
        <v>0.05</v>
      </c>
      <c r="I511" s="103">
        <f t="shared" si="25"/>
        <v>-4.0000000000000008E-2</v>
      </c>
    </row>
    <row r="512" spans="1:9">
      <c r="A512" s="104" t="str">
        <f t="shared" si="24"/>
        <v>TELEFÔNICAReceptiva13</v>
      </c>
      <c r="B512" s="104" t="s">
        <v>595</v>
      </c>
      <c r="C512" s="104" t="s">
        <v>81</v>
      </c>
      <c r="D512" s="116">
        <v>13</v>
      </c>
      <c r="E512" s="104" t="s">
        <v>964</v>
      </c>
      <c r="F512" s="105">
        <v>0.03</v>
      </c>
      <c r="G512" s="106">
        <f>IF(OR(B512="FIXO",B512="XFIXO"),IF(F512="","ERRO",10*F512)*'[1]BD Campos'!$S$2,IF(F512="","ERRO",10*F512)*'[1]BD Campos'!$S$3)</f>
        <v>0.3</v>
      </c>
      <c r="H512" s="107">
        <v>0.05</v>
      </c>
      <c r="I512" s="108">
        <f t="shared" si="25"/>
        <v>-1.4999999999999999E-2</v>
      </c>
    </row>
    <row r="513" spans="1:9">
      <c r="A513" s="99" t="str">
        <f t="shared" si="24"/>
        <v>TELEFÔNICAReceptiva 21</v>
      </c>
      <c r="B513" s="99" t="s">
        <v>595</v>
      </c>
      <c r="C513" s="99" t="s">
        <v>86</v>
      </c>
      <c r="D513" s="115">
        <v>1</v>
      </c>
      <c r="E513" s="99" t="s">
        <v>954</v>
      </c>
      <c r="F513" s="100">
        <v>0.01</v>
      </c>
      <c r="G513" s="101">
        <f>IF(OR(B513="FIXO",B513="XFIXO"),IF(F513="","ERRO",10*F513)*'[1]BD Campos'!$S$2,IF(F513="","ERRO",10*F513)*'[1]BD Campos'!$S$3)</f>
        <v>0.1</v>
      </c>
      <c r="H513" s="102">
        <v>0.05</v>
      </c>
      <c r="I513" s="103">
        <f t="shared" si="25"/>
        <v>-5.000000000000001E-3</v>
      </c>
    </row>
    <row r="514" spans="1:9">
      <c r="A514" s="99" t="str">
        <f t="shared" si="24"/>
        <v>TELEFÔNICAReceptiva 22</v>
      </c>
      <c r="B514" s="99" t="s">
        <v>595</v>
      </c>
      <c r="C514" s="99" t="s">
        <v>86</v>
      </c>
      <c r="D514" s="115">
        <v>2</v>
      </c>
      <c r="E514" s="99" t="s">
        <v>955</v>
      </c>
      <c r="F514" s="100">
        <v>0.01</v>
      </c>
      <c r="G514" s="101">
        <f>IF(OR(B514="FIXO",B514="XFIXO"),IF(F514="","ERRO",10*F514)*'[1]BD Campos'!$S$2,IF(F514="","ERRO",10*F514)*'[1]BD Campos'!$S$3)</f>
        <v>0.1</v>
      </c>
      <c r="H514" s="102">
        <v>0.05</v>
      </c>
      <c r="I514" s="103">
        <f t="shared" si="25"/>
        <v>-5.000000000000001E-3</v>
      </c>
    </row>
    <row r="515" spans="1:9">
      <c r="A515" s="99" t="str">
        <f t="shared" si="24"/>
        <v>TELEFÔNICAReceptiva 23</v>
      </c>
      <c r="B515" s="99" t="s">
        <v>595</v>
      </c>
      <c r="C515" s="99" t="s">
        <v>86</v>
      </c>
      <c r="D515" s="115">
        <v>3</v>
      </c>
      <c r="E515" s="99" t="s">
        <v>956</v>
      </c>
      <c r="F515" s="100">
        <v>0.01</v>
      </c>
      <c r="G515" s="101">
        <f>IF(OR(B515="FIXO",B515="XFIXO"),IF(F515="","ERRO",10*F515)*'[1]BD Campos'!$S$2,IF(F515="","ERRO",10*F515)*'[1]BD Campos'!$S$3)</f>
        <v>0.1</v>
      </c>
      <c r="H515" s="102">
        <v>0.05</v>
      </c>
      <c r="I515" s="103">
        <f t="shared" si="25"/>
        <v>-5.000000000000001E-3</v>
      </c>
    </row>
    <row r="516" spans="1:9">
      <c r="A516" s="99" t="str">
        <f t="shared" si="24"/>
        <v>TELEFÔNICAReceptiva 24</v>
      </c>
      <c r="B516" s="99" t="s">
        <v>595</v>
      </c>
      <c r="C516" s="99" t="s">
        <v>86</v>
      </c>
      <c r="D516" s="115">
        <v>4</v>
      </c>
      <c r="E516" s="99" t="s">
        <v>1008</v>
      </c>
      <c r="F516" s="100">
        <v>0.12</v>
      </c>
      <c r="G516" s="101">
        <f>IF(OR(B516="FIXO",B516="XFIXO"),IF(F516="","ERRO",10*F516)*'[1]BD Campos'!$S$2,IF(F516="","ERRO",10*F516)*'[1]BD Campos'!$S$3)</f>
        <v>1.2</v>
      </c>
      <c r="H516" s="102">
        <v>0.05</v>
      </c>
      <c r="I516" s="103">
        <f t="shared" si="25"/>
        <v>-0.06</v>
      </c>
    </row>
    <row r="517" spans="1:9">
      <c r="A517" s="99" t="str">
        <f t="shared" si="24"/>
        <v>TELEFÔNICAReceptiva 25</v>
      </c>
      <c r="B517" s="99" t="s">
        <v>595</v>
      </c>
      <c r="C517" s="99" t="s">
        <v>86</v>
      </c>
      <c r="D517" s="115">
        <v>5</v>
      </c>
      <c r="E517" s="99" t="s">
        <v>957</v>
      </c>
      <c r="F517" s="100">
        <v>0.26</v>
      </c>
      <c r="G517" s="101">
        <f>IF(OR(B517="FIXO",B517="XFIXO"),IF(F517="","ERRO",10*F517)*'[1]BD Campos'!$S$2,IF(F517="","ERRO",10*F517)*'[1]BD Campos'!$S$3)</f>
        <v>2.6</v>
      </c>
      <c r="H517" s="102">
        <v>0.05</v>
      </c>
      <c r="I517" s="103">
        <f t="shared" si="25"/>
        <v>-0.13</v>
      </c>
    </row>
    <row r="518" spans="1:9">
      <c r="A518" s="99" t="str">
        <f t="shared" si="24"/>
        <v>TELEFÔNICAReceptiva 26</v>
      </c>
      <c r="B518" s="99" t="s">
        <v>595</v>
      </c>
      <c r="C518" s="99" t="s">
        <v>86</v>
      </c>
      <c r="D518" s="115">
        <v>6</v>
      </c>
      <c r="E518" s="99" t="s">
        <v>965</v>
      </c>
      <c r="F518" s="100">
        <v>0.08</v>
      </c>
      <c r="G518" s="101">
        <f>IF(OR(B518="FIXO",B518="XFIXO"),IF(F518="","ERRO",10*F518)*'[1]BD Campos'!$S$2,IF(F518="","ERRO",10*F518)*'[1]BD Campos'!$S$3)</f>
        <v>0.8</v>
      </c>
      <c r="H518" s="102">
        <v>0.05</v>
      </c>
      <c r="I518" s="103">
        <f t="shared" si="25"/>
        <v>-4.0000000000000008E-2</v>
      </c>
    </row>
    <row r="519" spans="1:9">
      <c r="A519" s="99" t="str">
        <f t="shared" si="24"/>
        <v>TELEFÔNICAReceptiva 27</v>
      </c>
      <c r="B519" s="99" t="s">
        <v>595</v>
      </c>
      <c r="C519" s="99" t="s">
        <v>86</v>
      </c>
      <c r="D519" s="115">
        <v>7</v>
      </c>
      <c r="E519" s="99" t="s">
        <v>966</v>
      </c>
      <c r="F519" s="100">
        <v>0.08</v>
      </c>
      <c r="G519" s="101">
        <f>IF(OR(B519="FIXO",B519="XFIXO"),IF(F519="","ERRO",10*F519)*'[1]BD Campos'!$S$2,IF(F519="","ERRO",10*F519)*'[1]BD Campos'!$S$3)</f>
        <v>0.8</v>
      </c>
      <c r="H519" s="102">
        <v>0.05</v>
      </c>
      <c r="I519" s="103">
        <f t="shared" si="25"/>
        <v>-4.0000000000000008E-2</v>
      </c>
    </row>
    <row r="520" spans="1:9">
      <c r="A520" s="99" t="str">
        <f t="shared" si="24"/>
        <v>TELEFÔNICAReceptiva 28</v>
      </c>
      <c r="B520" s="99" t="s">
        <v>595</v>
      </c>
      <c r="C520" s="99" t="s">
        <v>86</v>
      </c>
      <c r="D520" s="115">
        <v>8</v>
      </c>
      <c r="E520" s="99" t="s">
        <v>1009</v>
      </c>
      <c r="F520" s="100">
        <v>0.08</v>
      </c>
      <c r="G520" s="101">
        <f>IF(OR(B520="FIXO",B520="XFIXO"),IF(F520="","ERRO",10*F520)*'[1]BD Campos'!$S$2,IF(F520="","ERRO",10*F520)*'[1]BD Campos'!$S$3)</f>
        <v>0.8</v>
      </c>
      <c r="H520" s="102">
        <v>0.05</v>
      </c>
      <c r="I520" s="103">
        <f t="shared" si="25"/>
        <v>-4.0000000000000008E-2</v>
      </c>
    </row>
    <row r="521" spans="1:9">
      <c r="A521" s="99" t="str">
        <f t="shared" si="24"/>
        <v>TELEFÔNICAReceptiva 29</v>
      </c>
      <c r="B521" s="99" t="s">
        <v>595</v>
      </c>
      <c r="C521" s="99" t="s">
        <v>86</v>
      </c>
      <c r="D521" s="115">
        <v>9</v>
      </c>
      <c r="E521" s="99" t="s">
        <v>1010</v>
      </c>
      <c r="F521" s="100">
        <v>0.08</v>
      </c>
      <c r="G521" s="101">
        <f>IF(OR(B521="FIXO",B521="XFIXO"),IF(F521="","ERRO",10*F521)*'[1]BD Campos'!$S$2,IF(F521="","ERRO",10*F521)*'[1]BD Campos'!$S$3)</f>
        <v>0.8</v>
      </c>
      <c r="H521" s="102">
        <v>0.05</v>
      </c>
      <c r="I521" s="103">
        <f t="shared" si="25"/>
        <v>-4.0000000000000008E-2</v>
      </c>
    </row>
    <row r="522" spans="1:9">
      <c r="A522" s="99" t="str">
        <f t="shared" si="24"/>
        <v>TELEFÔNICAReceptiva 210</v>
      </c>
      <c r="B522" s="99" t="s">
        <v>595</v>
      </c>
      <c r="C522" s="99" t="s">
        <v>86</v>
      </c>
      <c r="D522" s="115">
        <v>10</v>
      </c>
      <c r="E522" s="99" t="s">
        <v>1011</v>
      </c>
      <c r="F522" s="100">
        <v>0.08</v>
      </c>
      <c r="G522" s="101">
        <f>IF(OR(B522="FIXO",B522="XFIXO"),IF(F522="","ERRO",10*F522)*'[1]BD Campos'!$S$2,IF(F522="","ERRO",10*F522)*'[1]BD Campos'!$S$3)</f>
        <v>0.8</v>
      </c>
      <c r="H522" s="102">
        <v>0.05</v>
      </c>
      <c r="I522" s="103">
        <f t="shared" si="25"/>
        <v>-4.0000000000000008E-2</v>
      </c>
    </row>
    <row r="523" spans="1:9">
      <c r="A523" s="99" t="str">
        <f t="shared" si="24"/>
        <v>TELEFÔNICAReceptiva 211</v>
      </c>
      <c r="B523" s="99" t="s">
        <v>595</v>
      </c>
      <c r="C523" s="99" t="s">
        <v>86</v>
      </c>
      <c r="D523" s="115">
        <v>11</v>
      </c>
      <c r="E523" s="99" t="s">
        <v>968</v>
      </c>
      <c r="F523" s="100">
        <v>0.08</v>
      </c>
      <c r="G523" s="101">
        <f>IF(OR(B523="FIXO",B523="XFIXO"),IF(F523="","ERRO",10*F523)*'[1]BD Campos'!$S$2,IF(F523="","ERRO",10*F523)*'[1]BD Campos'!$S$3)</f>
        <v>0.8</v>
      </c>
      <c r="H523" s="102">
        <v>0.05</v>
      </c>
      <c r="I523" s="103">
        <f t="shared" si="25"/>
        <v>-4.0000000000000008E-2</v>
      </c>
    </row>
    <row r="524" spans="1:9">
      <c r="A524" s="99" t="str">
        <f t="shared" si="24"/>
        <v>TELEFÔNICAReceptiva 212</v>
      </c>
      <c r="B524" s="99" t="s">
        <v>595</v>
      </c>
      <c r="C524" s="99" t="s">
        <v>86</v>
      </c>
      <c r="D524" s="115">
        <v>12</v>
      </c>
      <c r="E524" s="99" t="s">
        <v>1012</v>
      </c>
      <c r="F524" s="100">
        <v>0.08</v>
      </c>
      <c r="G524" s="101">
        <f>IF(OR(B524="FIXO",B524="XFIXO"),IF(F524="","ERRO",10*F524)*'[1]BD Campos'!$S$2,IF(F524="","ERRO",10*F524)*'[1]BD Campos'!$S$3)</f>
        <v>0.8</v>
      </c>
      <c r="H524" s="102">
        <v>0.05</v>
      </c>
      <c r="I524" s="103">
        <f t="shared" si="25"/>
        <v>-4.0000000000000008E-2</v>
      </c>
    </row>
    <row r="525" spans="1:9">
      <c r="A525" s="104" t="str">
        <f t="shared" si="24"/>
        <v>TELEFÔNICAReceptiva 213</v>
      </c>
      <c r="B525" s="104" t="s">
        <v>595</v>
      </c>
      <c r="C525" s="104" t="s">
        <v>86</v>
      </c>
      <c r="D525" s="116">
        <v>13</v>
      </c>
      <c r="E525" s="104" t="s">
        <v>964</v>
      </c>
      <c r="F525" s="105">
        <v>0.03</v>
      </c>
      <c r="G525" s="106">
        <f>IF(OR(B525="FIXO",B525="XFIXO"),IF(F525="","ERRO",10*F525)*'[1]BD Campos'!$S$2,IF(F525="","ERRO",10*F525)*'[1]BD Campos'!$S$3)</f>
        <v>0.3</v>
      </c>
      <c r="H525" s="107">
        <v>0.05</v>
      </c>
      <c r="I525" s="108">
        <f t="shared" si="25"/>
        <v>-1.4999999999999999E-2</v>
      </c>
    </row>
    <row r="526" spans="1:9">
      <c r="A526" s="99" t="str">
        <f>B526&amp;C526&amp;D526</f>
        <v>ANTECEDENTESReceptiva1</v>
      </c>
      <c r="B526" s="99" t="s">
        <v>80</v>
      </c>
      <c r="C526" s="99" t="s">
        <v>81</v>
      </c>
      <c r="D526" s="115">
        <v>1</v>
      </c>
      <c r="E526" s="99" t="s">
        <v>954</v>
      </c>
      <c r="F526" s="100">
        <v>0.01</v>
      </c>
      <c r="G526" s="101">
        <f>IF(OR(B526="FIXO",B526="XFIXO"),IF(F526="","ERRO",10*F526)*'[1]BD Campos'!$S$2,IF(F526="","ERRO",10*F526)*'[1]BD Campos'!$S$3)</f>
        <v>0.1</v>
      </c>
      <c r="H526" s="102">
        <v>0.05</v>
      </c>
      <c r="I526" s="103">
        <f>H526*G526*-1</f>
        <v>-5.000000000000001E-3</v>
      </c>
    </row>
    <row r="527" spans="1:9">
      <c r="A527" s="99" t="str">
        <f t="shared" ref="A527:A553" si="26">B527&amp;C527&amp;D527</f>
        <v>ANTECEDENTESReceptiva2</v>
      </c>
      <c r="B527" s="99" t="s">
        <v>80</v>
      </c>
      <c r="C527" s="99" t="s">
        <v>81</v>
      </c>
      <c r="D527" s="115">
        <v>2</v>
      </c>
      <c r="E527" s="99" t="s">
        <v>955</v>
      </c>
      <c r="F527" s="100">
        <v>0.01</v>
      </c>
      <c r="G527" s="101">
        <f>IF(OR(B527="FIXO",B527="XFIXO"),IF(F527="","ERRO",10*F527)*'[1]BD Campos'!$S$2,IF(F527="","ERRO",10*F527)*'[1]BD Campos'!$S$3)</f>
        <v>0.1</v>
      </c>
      <c r="H527" s="102">
        <v>0.05</v>
      </c>
      <c r="I527" s="103">
        <f t="shared" ref="I527:I553" si="27">H527*G527*-1</f>
        <v>-5.000000000000001E-3</v>
      </c>
    </row>
    <row r="528" spans="1:9">
      <c r="A528" s="99" t="str">
        <f t="shared" si="26"/>
        <v>ANTECEDENTESReceptiva3</v>
      </c>
      <c r="B528" s="99" t="s">
        <v>80</v>
      </c>
      <c r="C528" s="99" t="s">
        <v>81</v>
      </c>
      <c r="D528" s="115">
        <v>3</v>
      </c>
      <c r="E528" s="99" t="s">
        <v>956</v>
      </c>
      <c r="F528" s="100">
        <v>0.01</v>
      </c>
      <c r="G528" s="101">
        <f>IF(OR(B528="FIXO",B528="XFIXO"),IF(F528="","ERRO",10*F528)*'[1]BD Campos'!$S$2,IF(F528="","ERRO",10*F528)*'[1]BD Campos'!$S$3)</f>
        <v>0.1</v>
      </c>
      <c r="H528" s="102">
        <v>0.05</v>
      </c>
      <c r="I528" s="103">
        <f t="shared" si="27"/>
        <v>-5.000000000000001E-3</v>
      </c>
    </row>
    <row r="529" spans="1:9">
      <c r="A529" s="99" t="str">
        <f t="shared" si="26"/>
        <v>ANTECEDENTESReceptiva4</v>
      </c>
      <c r="B529" s="99" t="s">
        <v>80</v>
      </c>
      <c r="C529" s="99" t="s">
        <v>81</v>
      </c>
      <c r="D529" s="115">
        <v>4</v>
      </c>
      <c r="E529" s="99" t="s">
        <v>1013</v>
      </c>
      <c r="F529" s="100">
        <v>0.16</v>
      </c>
      <c r="G529" s="101">
        <f>IF(OR(B529="FIXO",B529="XFIXO"),IF(F529="","ERRO",10*F529)*'[1]BD Campos'!$S$2,IF(F529="","ERRO",10*F529)*'[1]BD Campos'!$S$3)</f>
        <v>1.6</v>
      </c>
      <c r="H529" s="102">
        <v>0.05</v>
      </c>
      <c r="I529" s="103">
        <f t="shared" si="27"/>
        <v>-8.0000000000000016E-2</v>
      </c>
    </row>
    <row r="530" spans="1:9">
      <c r="A530" s="99" t="str">
        <f t="shared" si="26"/>
        <v>ANTECEDENTESReceptiva5</v>
      </c>
      <c r="B530" s="99" t="s">
        <v>80</v>
      </c>
      <c r="C530" s="99" t="s">
        <v>81</v>
      </c>
      <c r="D530" s="115">
        <v>5</v>
      </c>
      <c r="E530" s="99" t="s">
        <v>1014</v>
      </c>
      <c r="F530" s="100">
        <v>0.17</v>
      </c>
      <c r="G530" s="101">
        <f>IF(OR(B530="FIXO",B530="XFIXO"),IF(F530="","ERRO",10*F530)*'[1]BD Campos'!$S$2,IF(F530="","ERRO",10*F530)*'[1]BD Campos'!$S$3)</f>
        <v>1.7000000000000002</v>
      </c>
      <c r="H530" s="102">
        <v>0.05</v>
      </c>
      <c r="I530" s="103">
        <f t="shared" si="27"/>
        <v>-8.500000000000002E-2</v>
      </c>
    </row>
    <row r="531" spans="1:9">
      <c r="A531" s="99" t="str">
        <f t="shared" si="26"/>
        <v>ANTECEDENTESReceptiva6</v>
      </c>
      <c r="B531" s="99" t="s">
        <v>80</v>
      </c>
      <c r="C531" s="99" t="s">
        <v>81</v>
      </c>
      <c r="D531" s="115">
        <v>6</v>
      </c>
      <c r="E531" s="99" t="s">
        <v>1015</v>
      </c>
      <c r="F531" s="100">
        <v>0.17</v>
      </c>
      <c r="G531" s="101">
        <f>IF(OR(B531="FIXO",B531="XFIXO"),IF(F531="","ERRO",10*F531)*'[1]BD Campos'!$S$2,IF(F531="","ERRO",10*F531)*'[1]BD Campos'!$S$3)</f>
        <v>1.7000000000000002</v>
      </c>
      <c r="H531" s="102">
        <v>0.05</v>
      </c>
      <c r="I531" s="103">
        <f t="shared" si="27"/>
        <v>-8.500000000000002E-2</v>
      </c>
    </row>
    <row r="532" spans="1:9">
      <c r="A532" s="99" t="str">
        <f t="shared" si="26"/>
        <v>ANTECEDENTESReceptiva7</v>
      </c>
      <c r="B532" s="99" t="s">
        <v>80</v>
      </c>
      <c r="C532" s="99" t="s">
        <v>81</v>
      </c>
      <c r="D532" s="115">
        <v>7</v>
      </c>
      <c r="E532" s="99" t="s">
        <v>1016</v>
      </c>
      <c r="F532" s="100">
        <v>0.17</v>
      </c>
      <c r="G532" s="101">
        <f>IF(OR(B532="FIXO",B532="XFIXO"),IF(F532="","ERRO",10*F532)*'[1]BD Campos'!$S$2,IF(F532="","ERRO",10*F532)*'[1]BD Campos'!$S$3)</f>
        <v>1.7000000000000002</v>
      </c>
      <c r="H532" s="102">
        <v>0.05</v>
      </c>
      <c r="I532" s="103">
        <f t="shared" si="27"/>
        <v>-8.500000000000002E-2</v>
      </c>
    </row>
    <row r="533" spans="1:9">
      <c r="A533" s="99" t="str">
        <f t="shared" si="26"/>
        <v>ANTECEDENTESReceptiva8</v>
      </c>
      <c r="B533" s="99" t="s">
        <v>80</v>
      </c>
      <c r="C533" s="99" t="s">
        <v>81</v>
      </c>
      <c r="D533" s="115">
        <v>8</v>
      </c>
      <c r="E533" s="99" t="s">
        <v>1017</v>
      </c>
      <c r="F533" s="100">
        <v>0.16500000000000001</v>
      </c>
      <c r="G533" s="101">
        <f>IF(OR(B533="FIXO",B533="XFIXO"),IF(F533="","ERRO",10*F533)*'[1]BD Campos'!$S$2,IF(F533="","ERRO",10*F533)*'[1]BD Campos'!$S$3)</f>
        <v>1.6500000000000001</v>
      </c>
      <c r="H533" s="102">
        <v>0.05</v>
      </c>
      <c r="I533" s="103">
        <f t="shared" si="27"/>
        <v>-8.2500000000000018E-2</v>
      </c>
    </row>
    <row r="534" spans="1:9">
      <c r="A534" s="99" t="str">
        <f t="shared" si="26"/>
        <v>ANTECEDENTESReceptiva9</v>
      </c>
      <c r="B534" s="99" t="s">
        <v>80</v>
      </c>
      <c r="C534" s="99" t="s">
        <v>81</v>
      </c>
      <c r="D534" s="115">
        <v>9</v>
      </c>
      <c r="E534" s="99" t="s">
        <v>964</v>
      </c>
      <c r="F534" s="100">
        <v>0.03</v>
      </c>
      <c r="G534" s="101">
        <f>IF(OR(B534="FIXO",B534="XFIXO"),IF(F534="","ERRO",10*F534)*'[1]BD Campos'!$S$2,IF(F534="","ERRO",10*F534)*'[1]BD Campos'!$S$3)</f>
        <v>0.3</v>
      </c>
      <c r="H534" s="102">
        <v>0.05</v>
      </c>
      <c r="I534" s="103">
        <f t="shared" si="27"/>
        <v>-1.4999999999999999E-2</v>
      </c>
    </row>
    <row r="535" spans="1:9">
      <c r="A535" s="99" t="str">
        <f t="shared" si="26"/>
        <v>ANTECEDENTESReceptiva10</v>
      </c>
      <c r="B535" s="99" t="s">
        <v>80</v>
      </c>
      <c r="C535" s="99" t="s">
        <v>81</v>
      </c>
      <c r="D535" s="115">
        <v>10</v>
      </c>
      <c r="E535" s="99" t="s">
        <v>965</v>
      </c>
      <c r="F535" s="100">
        <v>0.03</v>
      </c>
      <c r="G535" s="101">
        <f>IF(OR(B535="FIXO",B535="XFIXO"),IF(F535="","ERRO",10*F535)*'[1]BD Campos'!$S$2,IF(F535="","ERRO",10*F535)*'[1]BD Campos'!$S$3)</f>
        <v>0.3</v>
      </c>
      <c r="H535" s="102">
        <v>0.05</v>
      </c>
      <c r="I535" s="103">
        <f t="shared" si="27"/>
        <v>-1.4999999999999999E-2</v>
      </c>
    </row>
    <row r="536" spans="1:9">
      <c r="A536" s="99" t="str">
        <f t="shared" si="26"/>
        <v>ANTECEDENTESReceptiva11</v>
      </c>
      <c r="B536" s="99" t="s">
        <v>80</v>
      </c>
      <c r="C536" s="99" t="s">
        <v>81</v>
      </c>
      <c r="D536" s="115">
        <v>11</v>
      </c>
      <c r="E536" s="99" t="s">
        <v>1018</v>
      </c>
      <c r="F536" s="100">
        <v>1.4999999999999999E-2</v>
      </c>
      <c r="G536" s="101">
        <f>IF(OR(B536="FIXO",B536="XFIXO"),IF(F536="","ERRO",10*F536)*'[1]BD Campos'!$S$2,IF(F536="","ERRO",10*F536)*'[1]BD Campos'!$S$3)</f>
        <v>0.15</v>
      </c>
      <c r="H536" s="102">
        <v>0.05</v>
      </c>
      <c r="I536" s="103">
        <f t="shared" si="27"/>
        <v>-7.4999999999999997E-3</v>
      </c>
    </row>
    <row r="537" spans="1:9">
      <c r="A537" s="99" t="str">
        <f t="shared" si="26"/>
        <v>ANTECEDENTESReceptiva12</v>
      </c>
      <c r="B537" s="99" t="s">
        <v>80</v>
      </c>
      <c r="C537" s="99" t="s">
        <v>81</v>
      </c>
      <c r="D537" s="115">
        <v>12</v>
      </c>
      <c r="E537" s="99" t="s">
        <v>968</v>
      </c>
      <c r="F537" s="100">
        <v>0.02</v>
      </c>
      <c r="G537" s="101">
        <f>IF(OR(B537="FIXO",B537="XFIXO"),IF(F537="","ERRO",10*F537)*'[1]BD Campos'!$S$2,IF(F537="","ERRO",10*F537)*'[1]BD Campos'!$S$3)</f>
        <v>0.2</v>
      </c>
      <c r="H537" s="102">
        <v>0.05</v>
      </c>
      <c r="I537" s="103">
        <f t="shared" si="27"/>
        <v>-1.0000000000000002E-2</v>
      </c>
    </row>
    <row r="538" spans="1:9">
      <c r="A538" s="99" t="str">
        <f t="shared" si="26"/>
        <v>ANTECEDENTESReceptiva13</v>
      </c>
      <c r="B538" s="99" t="s">
        <v>80</v>
      </c>
      <c r="C538" s="99" t="s">
        <v>81</v>
      </c>
      <c r="D538" s="115">
        <v>13</v>
      </c>
      <c r="E538" s="99" t="s">
        <v>1012</v>
      </c>
      <c r="F538" s="110">
        <v>0.03</v>
      </c>
      <c r="G538" s="101">
        <f>IF(OR(B538="FIXO",B538="XFIXO"),IF(F538="","ERRO",10*F538)*'[1]BD Campos'!$S$2,IF(F538="","ERRO",10*F538)*'[1]BD Campos'!$S$3)</f>
        <v>0.3</v>
      </c>
      <c r="H538" s="102">
        <v>0.05</v>
      </c>
      <c r="I538" s="103">
        <f t="shared" si="27"/>
        <v>-1.4999999999999999E-2</v>
      </c>
    </row>
    <row r="539" spans="1:9">
      <c r="A539" s="104" t="str">
        <f t="shared" si="26"/>
        <v>ANTECEDENTESReceptiva14</v>
      </c>
      <c r="B539" s="104" t="s">
        <v>80</v>
      </c>
      <c r="C539" s="104" t="s">
        <v>81</v>
      </c>
      <c r="D539" s="116">
        <v>14</v>
      </c>
      <c r="E539" s="104" t="s">
        <v>969</v>
      </c>
      <c r="F539" s="105">
        <v>0.01</v>
      </c>
      <c r="G539" s="106">
        <f>IF(OR(B539="FIXO",B539="XFIXO"),IF(F539="","ERRO",10*F539)*'[1]BD Campos'!$S$2,IF(F539="","ERRO",10*F539)*'[1]BD Campos'!$S$3)</f>
        <v>0.1</v>
      </c>
      <c r="H539" s="107">
        <v>0.05</v>
      </c>
      <c r="I539" s="108">
        <f t="shared" si="27"/>
        <v>-5.000000000000001E-3</v>
      </c>
    </row>
    <row r="540" spans="1:9">
      <c r="A540" s="99" t="str">
        <f t="shared" si="26"/>
        <v>ANTECEDENTESReceptiva 21</v>
      </c>
      <c r="B540" s="99" t="s">
        <v>80</v>
      </c>
      <c r="C540" s="99" t="s">
        <v>86</v>
      </c>
      <c r="D540" s="115">
        <v>1</v>
      </c>
      <c r="E540" s="99" t="s">
        <v>954</v>
      </c>
      <c r="F540" s="100">
        <v>0.01</v>
      </c>
      <c r="G540" s="101">
        <f>IF(OR(B540="FIXO",B540="XFIXO"),IF(F540="","ERRO",10*F540)*'[1]BD Campos'!$S$2,IF(F540="","ERRO",10*F540)*'[1]BD Campos'!$S$3)</f>
        <v>0.1</v>
      </c>
      <c r="H540" s="102">
        <v>0.05</v>
      </c>
      <c r="I540" s="103">
        <f t="shared" si="27"/>
        <v>-5.000000000000001E-3</v>
      </c>
    </row>
    <row r="541" spans="1:9">
      <c r="A541" s="99" t="str">
        <f t="shared" si="26"/>
        <v>ANTECEDENTESReceptiva 22</v>
      </c>
      <c r="B541" s="99" t="s">
        <v>80</v>
      </c>
      <c r="C541" s="99" t="s">
        <v>86</v>
      </c>
      <c r="D541" s="115">
        <v>2</v>
      </c>
      <c r="E541" s="99" t="s">
        <v>955</v>
      </c>
      <c r="F541" s="100">
        <v>0.01</v>
      </c>
      <c r="G541" s="101">
        <f>IF(OR(B541="FIXO",B541="XFIXO"),IF(F541="","ERRO",10*F541)*'[1]BD Campos'!$S$2,IF(F541="","ERRO",10*F541)*'[1]BD Campos'!$S$3)</f>
        <v>0.1</v>
      </c>
      <c r="H541" s="102">
        <v>0.05</v>
      </c>
      <c r="I541" s="103">
        <f t="shared" si="27"/>
        <v>-5.000000000000001E-3</v>
      </c>
    </row>
    <row r="542" spans="1:9">
      <c r="A542" s="99" t="str">
        <f t="shared" si="26"/>
        <v>ANTECEDENTESReceptiva 23</v>
      </c>
      <c r="B542" s="99" t="s">
        <v>80</v>
      </c>
      <c r="C542" s="99" t="s">
        <v>86</v>
      </c>
      <c r="D542" s="115">
        <v>3</v>
      </c>
      <c r="E542" s="99" t="s">
        <v>956</v>
      </c>
      <c r="F542" s="100">
        <v>0.01</v>
      </c>
      <c r="G542" s="101">
        <f>IF(OR(B542="FIXO",B542="XFIXO"),IF(F542="","ERRO",10*F542)*'[1]BD Campos'!$S$2,IF(F542="","ERRO",10*F542)*'[1]BD Campos'!$S$3)</f>
        <v>0.1</v>
      </c>
      <c r="H542" s="102">
        <v>0.05</v>
      </c>
      <c r="I542" s="103">
        <f t="shared" si="27"/>
        <v>-5.000000000000001E-3</v>
      </c>
    </row>
    <row r="543" spans="1:9">
      <c r="A543" s="99" t="str">
        <f t="shared" si="26"/>
        <v>ANTECEDENTESReceptiva 24</v>
      </c>
      <c r="B543" s="99" t="s">
        <v>80</v>
      </c>
      <c r="C543" s="99" t="s">
        <v>86</v>
      </c>
      <c r="D543" s="115">
        <v>4</v>
      </c>
      <c r="E543" s="99" t="s">
        <v>1013</v>
      </c>
      <c r="F543" s="100">
        <v>0.16</v>
      </c>
      <c r="G543" s="101">
        <f>IF(OR(B543="FIXO",B543="XFIXO"),IF(F543="","ERRO",10*F543)*'[1]BD Campos'!$S$2,IF(F543="","ERRO",10*F543)*'[1]BD Campos'!$S$3)</f>
        <v>1.6</v>
      </c>
      <c r="H543" s="102">
        <v>0.05</v>
      </c>
      <c r="I543" s="103">
        <f t="shared" si="27"/>
        <v>-8.0000000000000016E-2</v>
      </c>
    </row>
    <row r="544" spans="1:9">
      <c r="A544" s="99" t="str">
        <f t="shared" si="26"/>
        <v>ANTECEDENTESReceptiva 25</v>
      </c>
      <c r="B544" s="99" t="s">
        <v>80</v>
      </c>
      <c r="C544" s="99" t="s">
        <v>86</v>
      </c>
      <c r="D544" s="115">
        <v>5</v>
      </c>
      <c r="E544" s="99" t="s">
        <v>1014</v>
      </c>
      <c r="F544" s="100">
        <v>0.17</v>
      </c>
      <c r="G544" s="101">
        <f>IF(OR(B544="FIXO",B544="XFIXO"),IF(F544="","ERRO",10*F544)*'[1]BD Campos'!$S$2,IF(F544="","ERRO",10*F544)*'[1]BD Campos'!$S$3)</f>
        <v>1.7000000000000002</v>
      </c>
      <c r="H544" s="102">
        <v>0.05</v>
      </c>
      <c r="I544" s="103">
        <f t="shared" si="27"/>
        <v>-8.500000000000002E-2</v>
      </c>
    </row>
    <row r="545" spans="1:9">
      <c r="A545" s="99" t="str">
        <f t="shared" si="26"/>
        <v>ANTECEDENTESReceptiva 26</v>
      </c>
      <c r="B545" s="99" t="s">
        <v>80</v>
      </c>
      <c r="C545" s="99" t="s">
        <v>86</v>
      </c>
      <c r="D545" s="115">
        <v>6</v>
      </c>
      <c r="E545" s="99" t="s">
        <v>1015</v>
      </c>
      <c r="F545" s="100">
        <v>0.17</v>
      </c>
      <c r="G545" s="101">
        <f>IF(OR(B545="FIXO",B545="XFIXO"),IF(F545="","ERRO",10*F545)*'[1]BD Campos'!$S$2,IF(F545="","ERRO",10*F545)*'[1]BD Campos'!$S$3)</f>
        <v>1.7000000000000002</v>
      </c>
      <c r="H545" s="102">
        <v>0.05</v>
      </c>
      <c r="I545" s="103">
        <f t="shared" si="27"/>
        <v>-8.500000000000002E-2</v>
      </c>
    </row>
    <row r="546" spans="1:9">
      <c r="A546" s="99" t="str">
        <f t="shared" si="26"/>
        <v>ANTECEDENTESReceptiva 27</v>
      </c>
      <c r="B546" s="99" t="s">
        <v>80</v>
      </c>
      <c r="C546" s="99" t="s">
        <v>86</v>
      </c>
      <c r="D546" s="115">
        <v>7</v>
      </c>
      <c r="E546" s="99" t="s">
        <v>1016</v>
      </c>
      <c r="F546" s="100">
        <v>0.17</v>
      </c>
      <c r="G546" s="101">
        <f>IF(OR(B546="FIXO",B546="XFIXO"),IF(F546="","ERRO",10*F546)*'[1]BD Campos'!$S$2,IF(F546="","ERRO",10*F546)*'[1]BD Campos'!$S$3)</f>
        <v>1.7000000000000002</v>
      </c>
      <c r="H546" s="102">
        <v>0.05</v>
      </c>
      <c r="I546" s="103">
        <f t="shared" si="27"/>
        <v>-8.500000000000002E-2</v>
      </c>
    </row>
    <row r="547" spans="1:9">
      <c r="A547" s="99" t="str">
        <f t="shared" si="26"/>
        <v>ANTECEDENTESReceptiva 28</v>
      </c>
      <c r="B547" s="99" t="s">
        <v>80</v>
      </c>
      <c r="C547" s="99" t="s">
        <v>86</v>
      </c>
      <c r="D547" s="115">
        <v>8</v>
      </c>
      <c r="E547" s="99" t="s">
        <v>1017</v>
      </c>
      <c r="F547" s="100">
        <v>0.16500000000000001</v>
      </c>
      <c r="G547" s="101">
        <f>IF(OR(B547="FIXO",B547="XFIXO"),IF(F547="","ERRO",10*F547)*'[1]BD Campos'!$S$2,IF(F547="","ERRO",10*F547)*'[1]BD Campos'!$S$3)</f>
        <v>1.6500000000000001</v>
      </c>
      <c r="H547" s="102">
        <v>0.05</v>
      </c>
      <c r="I547" s="103">
        <f t="shared" si="27"/>
        <v>-8.2500000000000018E-2</v>
      </c>
    </row>
    <row r="548" spans="1:9">
      <c r="A548" s="99" t="str">
        <f t="shared" si="26"/>
        <v>ANTECEDENTESReceptiva 29</v>
      </c>
      <c r="B548" s="99" t="s">
        <v>80</v>
      </c>
      <c r="C548" s="99" t="s">
        <v>86</v>
      </c>
      <c r="D548" s="115">
        <v>9</v>
      </c>
      <c r="E548" s="99" t="s">
        <v>964</v>
      </c>
      <c r="F548" s="100">
        <v>0.03</v>
      </c>
      <c r="G548" s="101">
        <f>IF(OR(B548="FIXO",B548="XFIXO"),IF(F548="","ERRO",10*F548)*'[1]BD Campos'!$S$2,IF(F548="","ERRO",10*F548)*'[1]BD Campos'!$S$3)</f>
        <v>0.3</v>
      </c>
      <c r="H548" s="102">
        <v>0.05</v>
      </c>
      <c r="I548" s="103">
        <f t="shared" si="27"/>
        <v>-1.4999999999999999E-2</v>
      </c>
    </row>
    <row r="549" spans="1:9">
      <c r="A549" s="99" t="str">
        <f t="shared" si="26"/>
        <v>ANTECEDENTESReceptiva 210</v>
      </c>
      <c r="B549" s="99" t="s">
        <v>80</v>
      </c>
      <c r="C549" s="99" t="s">
        <v>86</v>
      </c>
      <c r="D549" s="115">
        <v>10</v>
      </c>
      <c r="E549" s="99" t="s">
        <v>965</v>
      </c>
      <c r="F549" s="100">
        <v>0.03</v>
      </c>
      <c r="G549" s="101">
        <f>IF(OR(B549="FIXO",B549="XFIXO"),IF(F549="","ERRO",10*F549)*'[1]BD Campos'!$S$2,IF(F549="","ERRO",10*F549)*'[1]BD Campos'!$S$3)</f>
        <v>0.3</v>
      </c>
      <c r="H549" s="102">
        <v>0.05</v>
      </c>
      <c r="I549" s="103">
        <f t="shared" si="27"/>
        <v>-1.4999999999999999E-2</v>
      </c>
    </row>
    <row r="550" spans="1:9">
      <c r="A550" s="99" t="str">
        <f t="shared" si="26"/>
        <v>ANTECEDENTESReceptiva 211</v>
      </c>
      <c r="B550" s="99" t="s">
        <v>80</v>
      </c>
      <c r="C550" s="99" t="s">
        <v>86</v>
      </c>
      <c r="D550" s="115">
        <v>11</v>
      </c>
      <c r="E550" s="99" t="s">
        <v>1018</v>
      </c>
      <c r="F550" s="100">
        <v>1.4999999999999999E-2</v>
      </c>
      <c r="G550" s="101">
        <f>IF(OR(B550="FIXO",B550="XFIXO"),IF(F550="","ERRO",10*F550)*'[1]BD Campos'!$S$2,IF(F550="","ERRO",10*F550)*'[1]BD Campos'!$S$3)</f>
        <v>0.15</v>
      </c>
      <c r="H550" s="102">
        <v>0.05</v>
      </c>
      <c r="I550" s="103">
        <f t="shared" si="27"/>
        <v>-7.4999999999999997E-3</v>
      </c>
    </row>
    <row r="551" spans="1:9">
      <c r="A551" s="99" t="str">
        <f t="shared" si="26"/>
        <v>ANTECEDENTESReceptiva 212</v>
      </c>
      <c r="B551" s="99" t="s">
        <v>80</v>
      </c>
      <c r="C551" s="99" t="s">
        <v>86</v>
      </c>
      <c r="D551" s="115">
        <v>12</v>
      </c>
      <c r="E551" s="99" t="s">
        <v>968</v>
      </c>
      <c r="F551" s="100">
        <v>0.02</v>
      </c>
      <c r="G551" s="101">
        <f>IF(OR(B551="FIXO",B551="XFIXO"),IF(F551="","ERRO",10*F551)*'[1]BD Campos'!$S$2,IF(F551="","ERRO",10*F551)*'[1]BD Campos'!$S$3)</f>
        <v>0.2</v>
      </c>
      <c r="H551" s="102">
        <v>0.05</v>
      </c>
      <c r="I551" s="103">
        <f t="shared" si="27"/>
        <v>-1.0000000000000002E-2</v>
      </c>
    </row>
    <row r="552" spans="1:9">
      <c r="A552" s="99" t="str">
        <f t="shared" si="26"/>
        <v>ANTECEDENTESReceptiva 213</v>
      </c>
      <c r="B552" s="99" t="s">
        <v>80</v>
      </c>
      <c r="C552" s="99" t="s">
        <v>86</v>
      </c>
      <c r="D552" s="115">
        <v>13</v>
      </c>
      <c r="E552" s="99" t="s">
        <v>1012</v>
      </c>
      <c r="F552" s="110">
        <v>0.03</v>
      </c>
      <c r="G552" s="101">
        <f>IF(OR(B552="FIXO",B552="XFIXO"),IF(F552="","ERRO",10*F552)*'[1]BD Campos'!$S$2,IF(F552="","ERRO",10*F552)*'[1]BD Campos'!$S$3)</f>
        <v>0.3</v>
      </c>
      <c r="H552" s="102">
        <v>0.05</v>
      </c>
      <c r="I552" s="103">
        <f t="shared" si="27"/>
        <v>-1.4999999999999999E-2</v>
      </c>
    </row>
    <row r="553" spans="1:9">
      <c r="A553" s="104" t="str">
        <f t="shared" si="26"/>
        <v>ANTECEDENTESReceptiva 214</v>
      </c>
      <c r="B553" s="104" t="s">
        <v>80</v>
      </c>
      <c r="C553" s="104" t="s">
        <v>86</v>
      </c>
      <c r="D553" s="116">
        <v>14</v>
      </c>
      <c r="E553" s="104" t="s">
        <v>969</v>
      </c>
      <c r="F553" s="105">
        <v>0.01</v>
      </c>
      <c r="G553" s="106">
        <f>IF(OR(B553="FIXO",B553="XFIXO"),IF(F553="","ERRO",10*F553)*'[1]BD Campos'!$S$2,IF(F553="","ERRO",10*F553)*'[1]BD Campos'!$S$3)</f>
        <v>0.1</v>
      </c>
      <c r="H553" s="107">
        <v>0.05</v>
      </c>
      <c r="I553" s="108">
        <f t="shared" si="27"/>
        <v>-5.000000000000001E-3</v>
      </c>
    </row>
    <row r="554" spans="1:9">
      <c r="A554" s="99" t="str">
        <f>B554&amp;C554&amp;D554</f>
        <v>CABINETSCliente1</v>
      </c>
      <c r="B554" s="99" t="s">
        <v>329</v>
      </c>
      <c r="C554" s="99" t="s">
        <v>149</v>
      </c>
      <c r="D554" s="115">
        <v>1</v>
      </c>
      <c r="E554" s="99" t="s">
        <v>954</v>
      </c>
      <c r="F554" s="100">
        <v>0.01</v>
      </c>
      <c r="G554" s="101">
        <f>IF(OR(B554="FIXO",B554="XFIXO"),IF(F554="","ERRO",10*F554)*'[1]BD Campos'!$S$2,IF(F554="","ERRO",10*F554)*'[1]BD Campos'!$S$3)</f>
        <v>0.1</v>
      </c>
      <c r="H554" s="102">
        <v>0.05</v>
      </c>
      <c r="I554" s="103">
        <f>H554*G554*-1</f>
        <v>-5.000000000000001E-3</v>
      </c>
    </row>
    <row r="555" spans="1:9">
      <c r="A555" s="99" t="str">
        <f t="shared" ref="A555:A583" si="28">B555&amp;C555&amp;D555</f>
        <v>CABINETSCliente2</v>
      </c>
      <c r="B555" s="99" t="s">
        <v>329</v>
      </c>
      <c r="C555" s="99" t="s">
        <v>149</v>
      </c>
      <c r="D555" s="115">
        <v>2</v>
      </c>
      <c r="E555" s="99" t="s">
        <v>955</v>
      </c>
      <c r="F555" s="100">
        <v>0.01</v>
      </c>
      <c r="G555" s="101">
        <f>IF(OR(B555="FIXO",B555="XFIXO"),IF(F555="","ERRO",10*F555)*'[1]BD Campos'!$S$2,IF(F555="","ERRO",10*F555)*'[1]BD Campos'!$S$3)</f>
        <v>0.1</v>
      </c>
      <c r="H555" s="102">
        <v>0.05</v>
      </c>
      <c r="I555" s="103">
        <f t="shared" ref="I555:I583" si="29">H555*G555*-1</f>
        <v>-5.000000000000001E-3</v>
      </c>
    </row>
    <row r="556" spans="1:9">
      <c r="A556" s="99" t="str">
        <f t="shared" si="28"/>
        <v>CABINETSCliente3</v>
      </c>
      <c r="B556" s="99" t="s">
        <v>329</v>
      </c>
      <c r="C556" s="99" t="s">
        <v>149</v>
      </c>
      <c r="D556" s="115">
        <v>3</v>
      </c>
      <c r="E556" s="99" t="s">
        <v>956</v>
      </c>
      <c r="F556" s="100">
        <v>0.01</v>
      </c>
      <c r="G556" s="101">
        <f>IF(OR(B556="FIXO",B556="XFIXO"),IF(F556="","ERRO",10*F556)*'[1]BD Campos'!$S$2,IF(F556="","ERRO",10*F556)*'[1]BD Campos'!$S$3)</f>
        <v>0.1</v>
      </c>
      <c r="H556" s="102">
        <v>0.05</v>
      </c>
      <c r="I556" s="103">
        <f t="shared" si="29"/>
        <v>-5.000000000000001E-3</v>
      </c>
    </row>
    <row r="557" spans="1:9">
      <c r="A557" s="99" t="str">
        <f t="shared" si="28"/>
        <v>CABINETSCliente4</v>
      </c>
      <c r="B557" s="99" t="s">
        <v>329</v>
      </c>
      <c r="C557" s="99" t="s">
        <v>149</v>
      </c>
      <c r="D557" s="115">
        <v>4</v>
      </c>
      <c r="E557" s="99" t="s">
        <v>982</v>
      </c>
      <c r="F557" s="100">
        <v>0.04</v>
      </c>
      <c r="G557" s="101">
        <f>IF(OR(B557="FIXO",B557="XFIXO"),IF(F557="","ERRO",10*F557)*'[1]BD Campos'!$S$2,IF(F557="","ERRO",10*F557)*'[1]BD Campos'!$S$3)</f>
        <v>0.4</v>
      </c>
      <c r="H557" s="102">
        <v>0.05</v>
      </c>
      <c r="I557" s="103">
        <f t="shared" si="29"/>
        <v>-2.0000000000000004E-2</v>
      </c>
    </row>
    <row r="558" spans="1:9">
      <c r="A558" s="99" t="str">
        <f t="shared" si="28"/>
        <v>CABINETSCliente5</v>
      </c>
      <c r="B558" s="99" t="s">
        <v>329</v>
      </c>
      <c r="C558" s="99" t="s">
        <v>149</v>
      </c>
      <c r="D558" s="115">
        <v>5</v>
      </c>
      <c r="E558" s="99" t="s">
        <v>1019</v>
      </c>
      <c r="F558" s="100">
        <v>0.157</v>
      </c>
      <c r="G558" s="101">
        <f>IF(OR(B558="FIXO",B558="XFIXO"),IF(F558="","ERRO",10*F558)*'[1]BD Campos'!$S$2,IF(F558="","ERRO",10*F558)*'[1]BD Campos'!$S$3)</f>
        <v>1.57</v>
      </c>
      <c r="H558" s="102">
        <v>0.05</v>
      </c>
      <c r="I558" s="103">
        <f t="shared" si="29"/>
        <v>-7.8500000000000014E-2</v>
      </c>
    </row>
    <row r="559" spans="1:9">
      <c r="A559" s="99" t="str">
        <f t="shared" si="28"/>
        <v>CABINETSCliente6</v>
      </c>
      <c r="B559" s="99" t="s">
        <v>329</v>
      </c>
      <c r="C559" s="99" t="s">
        <v>149</v>
      </c>
      <c r="D559" s="115">
        <v>6</v>
      </c>
      <c r="E559" s="99" t="s">
        <v>1020</v>
      </c>
      <c r="F559" s="100">
        <v>0.16</v>
      </c>
      <c r="G559" s="101">
        <f>IF(OR(B559="FIXO",B559="XFIXO"),IF(F559="","ERRO",10*F559)*'[1]BD Campos'!$S$2,IF(F559="","ERRO",10*F559)*'[1]BD Campos'!$S$3)</f>
        <v>1.6</v>
      </c>
      <c r="H559" s="102">
        <v>0.05</v>
      </c>
      <c r="I559" s="103">
        <f t="shared" si="29"/>
        <v>-8.0000000000000016E-2</v>
      </c>
    </row>
    <row r="560" spans="1:9">
      <c r="A560" s="99" t="str">
        <f t="shared" si="28"/>
        <v>CABINETSCliente7</v>
      </c>
      <c r="B560" s="99" t="s">
        <v>329</v>
      </c>
      <c r="C560" s="99" t="s">
        <v>149</v>
      </c>
      <c r="D560" s="115">
        <v>7</v>
      </c>
      <c r="E560" s="99" t="s">
        <v>1021</v>
      </c>
      <c r="F560" s="100">
        <v>0.16</v>
      </c>
      <c r="G560" s="101">
        <f>IF(OR(B560="FIXO",B560="XFIXO"),IF(F560="","ERRO",10*F560)*'[1]BD Campos'!$S$2,IF(F560="","ERRO",10*F560)*'[1]BD Campos'!$S$3)</f>
        <v>1.6</v>
      </c>
      <c r="H560" s="102">
        <v>0.05</v>
      </c>
      <c r="I560" s="103">
        <f t="shared" si="29"/>
        <v>-8.0000000000000016E-2</v>
      </c>
    </row>
    <row r="561" spans="1:9">
      <c r="A561" s="99" t="str">
        <f t="shared" si="28"/>
        <v>CABINETSCliente8</v>
      </c>
      <c r="B561" s="99" t="s">
        <v>329</v>
      </c>
      <c r="C561" s="99" t="s">
        <v>149</v>
      </c>
      <c r="D561" s="115">
        <v>8</v>
      </c>
      <c r="E561" s="99" t="s">
        <v>1022</v>
      </c>
      <c r="F561" s="100">
        <v>0.16</v>
      </c>
      <c r="G561" s="101">
        <f>IF(OR(B561="FIXO",B561="XFIXO"),IF(F561="","ERRO",10*F561)*'[1]BD Campos'!$S$2,IF(F561="","ERRO",10*F561)*'[1]BD Campos'!$S$3)</f>
        <v>1.6</v>
      </c>
      <c r="H561" s="102">
        <v>0.05</v>
      </c>
      <c r="I561" s="103">
        <f t="shared" si="29"/>
        <v>-8.0000000000000016E-2</v>
      </c>
    </row>
    <row r="562" spans="1:9">
      <c r="A562" s="99" t="str">
        <f t="shared" si="28"/>
        <v>CABINETSCliente9</v>
      </c>
      <c r="B562" s="99" t="s">
        <v>329</v>
      </c>
      <c r="C562" s="99" t="s">
        <v>149</v>
      </c>
      <c r="D562" s="115">
        <v>9</v>
      </c>
      <c r="E562" s="99" t="s">
        <v>1023</v>
      </c>
      <c r="F562" s="100">
        <v>0.158</v>
      </c>
      <c r="G562" s="101">
        <f>IF(OR(B562="FIXO",B562="XFIXO"),IF(F562="","ERRO",10*F562)*'[1]BD Campos'!$S$2,IF(F562="","ERRO",10*F562)*'[1]BD Campos'!$S$3)</f>
        <v>1.58</v>
      </c>
      <c r="H562" s="102">
        <v>0.05</v>
      </c>
      <c r="I562" s="103">
        <f t="shared" si="29"/>
        <v>-7.9000000000000015E-2</v>
      </c>
    </row>
    <row r="563" spans="1:9">
      <c r="A563" s="99" t="str">
        <f t="shared" si="28"/>
        <v>CABINETSCliente10</v>
      </c>
      <c r="B563" s="99" t="s">
        <v>329</v>
      </c>
      <c r="C563" s="99" t="s">
        <v>149</v>
      </c>
      <c r="D563" s="115">
        <v>10</v>
      </c>
      <c r="E563" s="99" t="s">
        <v>964</v>
      </c>
      <c r="F563" s="100">
        <v>0.03</v>
      </c>
      <c r="G563" s="101">
        <f>IF(OR(B563="FIXO",B563="XFIXO"),IF(F563="","ERRO",10*F563)*'[1]BD Campos'!$S$2,IF(F563="","ERRO",10*F563)*'[1]BD Campos'!$S$3)</f>
        <v>0.3</v>
      </c>
      <c r="H563" s="102">
        <v>0.05</v>
      </c>
      <c r="I563" s="103">
        <f t="shared" si="29"/>
        <v>-1.4999999999999999E-2</v>
      </c>
    </row>
    <row r="564" spans="1:9">
      <c r="A564" s="99" t="str">
        <f t="shared" si="28"/>
        <v>CABINETSCliente11</v>
      </c>
      <c r="B564" s="99" t="s">
        <v>329</v>
      </c>
      <c r="C564" s="99" t="s">
        <v>149</v>
      </c>
      <c r="D564" s="115">
        <v>11</v>
      </c>
      <c r="E564" s="99" t="s">
        <v>965</v>
      </c>
      <c r="F564" s="100">
        <v>0.03</v>
      </c>
      <c r="G564" s="101">
        <f>IF(OR(B564="FIXO",B564="XFIXO"),IF(F564="","ERRO",10*F564)*'[1]BD Campos'!$S$2,IF(F564="","ERRO",10*F564)*'[1]BD Campos'!$S$3)</f>
        <v>0.3</v>
      </c>
      <c r="H564" s="102">
        <v>0.05</v>
      </c>
      <c r="I564" s="103">
        <f t="shared" si="29"/>
        <v>-1.4999999999999999E-2</v>
      </c>
    </row>
    <row r="565" spans="1:9">
      <c r="A565" s="99" t="str">
        <f t="shared" si="28"/>
        <v>CABINETSCliente12</v>
      </c>
      <c r="B565" s="99" t="s">
        <v>329</v>
      </c>
      <c r="C565" s="99" t="s">
        <v>149</v>
      </c>
      <c r="D565" s="115">
        <v>12</v>
      </c>
      <c r="E565" s="99" t="s">
        <v>966</v>
      </c>
      <c r="F565" s="100">
        <v>1.4999999999999999E-2</v>
      </c>
      <c r="G565" s="101">
        <f>IF(OR(B565="FIXO",B565="XFIXO"),IF(F565="","ERRO",10*F565)*'[1]BD Campos'!$S$2,IF(F565="","ERRO",10*F565)*'[1]BD Campos'!$S$3)</f>
        <v>0.15</v>
      </c>
      <c r="H565" s="102">
        <v>0.05</v>
      </c>
      <c r="I565" s="103">
        <f t="shared" si="29"/>
        <v>-7.4999999999999997E-3</v>
      </c>
    </row>
    <row r="566" spans="1:9">
      <c r="A566" s="99" t="str">
        <f t="shared" si="28"/>
        <v>CABINETSCliente13</v>
      </c>
      <c r="B566" s="99" t="s">
        <v>329</v>
      </c>
      <c r="C566" s="99" t="s">
        <v>149</v>
      </c>
      <c r="D566" s="115">
        <v>13</v>
      </c>
      <c r="E566" s="99" t="s">
        <v>968</v>
      </c>
      <c r="F566" s="100">
        <v>0.02</v>
      </c>
      <c r="G566" s="101">
        <f>IF(OR(B566="FIXO",B566="XFIXO"),IF(F566="","ERRO",10*F566)*'[1]BD Campos'!$S$2,IF(F566="","ERRO",10*F566)*'[1]BD Campos'!$S$3)</f>
        <v>0.2</v>
      </c>
      <c r="H566" s="102">
        <v>0.05</v>
      </c>
      <c r="I566" s="103">
        <f t="shared" si="29"/>
        <v>-1.0000000000000002E-2</v>
      </c>
    </row>
    <row r="567" spans="1:9">
      <c r="A567" s="99" t="str">
        <f t="shared" si="28"/>
        <v>CABINETSCliente14</v>
      </c>
      <c r="B567" s="99" t="s">
        <v>329</v>
      </c>
      <c r="C567" s="99" t="s">
        <v>149</v>
      </c>
      <c r="D567" s="115">
        <v>14</v>
      </c>
      <c r="E567" s="99" t="s">
        <v>1012</v>
      </c>
      <c r="F567" s="110">
        <v>0.03</v>
      </c>
      <c r="G567" s="101">
        <f>IF(OR(B567="FIXO",B567="XFIXO"),IF(F567="","ERRO",10*F567)*'[1]BD Campos'!$S$2,IF(F567="","ERRO",10*F567)*'[1]BD Campos'!$S$3)</f>
        <v>0.3</v>
      </c>
      <c r="H567" s="102">
        <v>0.05</v>
      </c>
      <c r="I567" s="103">
        <f t="shared" si="29"/>
        <v>-1.4999999999999999E-2</v>
      </c>
    </row>
    <row r="568" spans="1:9">
      <c r="A568" s="104" t="str">
        <f t="shared" si="28"/>
        <v>CABINETSCliente15</v>
      </c>
      <c r="B568" s="104" t="s">
        <v>329</v>
      </c>
      <c r="C568" s="104" t="s">
        <v>149</v>
      </c>
      <c r="D568" s="116">
        <v>15</v>
      </c>
      <c r="E568" s="104" t="s">
        <v>969</v>
      </c>
      <c r="F568" s="105">
        <v>0.01</v>
      </c>
      <c r="G568" s="106">
        <f>IF(OR(B568="FIXO",B568="XFIXO"),IF(F568="","ERRO",10*F568)*'[1]BD Campos'!$S$2,IF(F568="","ERRO",10*F568)*'[1]BD Campos'!$S$3)</f>
        <v>0.1</v>
      </c>
      <c r="H568" s="107">
        <v>0.05</v>
      </c>
      <c r="I568" s="108">
        <f t="shared" si="29"/>
        <v>-5.000000000000001E-3</v>
      </c>
    </row>
    <row r="569" spans="1:9">
      <c r="A569" s="99" t="str">
        <f t="shared" si="28"/>
        <v>CABINETSCliente 21</v>
      </c>
      <c r="B569" s="99" t="s">
        <v>329</v>
      </c>
      <c r="C569" s="99" t="s">
        <v>322</v>
      </c>
      <c r="D569" s="115">
        <v>1</v>
      </c>
      <c r="E569" s="99" t="s">
        <v>954</v>
      </c>
      <c r="F569" s="100">
        <v>0.01</v>
      </c>
      <c r="G569" s="101">
        <f>IF(OR(B569="FIXO",B569="XFIXO"),IF(F569="","ERRO",10*F569)*'[1]BD Campos'!$S$2,IF(F569="","ERRO",10*F569)*'[1]BD Campos'!$S$3)</f>
        <v>0.1</v>
      </c>
      <c r="H569" s="102">
        <v>0.05</v>
      </c>
      <c r="I569" s="103">
        <f t="shared" si="29"/>
        <v>-5.000000000000001E-3</v>
      </c>
    </row>
    <row r="570" spans="1:9">
      <c r="A570" s="99" t="str">
        <f t="shared" si="28"/>
        <v>CABINETSCliente 22</v>
      </c>
      <c r="B570" s="99" t="s">
        <v>329</v>
      </c>
      <c r="C570" s="99" t="s">
        <v>322</v>
      </c>
      <c r="D570" s="115">
        <v>2</v>
      </c>
      <c r="E570" s="99" t="s">
        <v>955</v>
      </c>
      <c r="F570" s="100">
        <v>0.01</v>
      </c>
      <c r="G570" s="101">
        <f>IF(OR(B570="FIXO",B570="XFIXO"),IF(F570="","ERRO",10*F570)*'[1]BD Campos'!$S$2,IF(F570="","ERRO",10*F570)*'[1]BD Campos'!$S$3)</f>
        <v>0.1</v>
      </c>
      <c r="H570" s="102">
        <v>0.05</v>
      </c>
      <c r="I570" s="103">
        <f t="shared" si="29"/>
        <v>-5.000000000000001E-3</v>
      </c>
    </row>
    <row r="571" spans="1:9">
      <c r="A571" s="99" t="str">
        <f t="shared" si="28"/>
        <v>CABINETSCliente 23</v>
      </c>
      <c r="B571" s="99" t="s">
        <v>329</v>
      </c>
      <c r="C571" s="99" t="s">
        <v>322</v>
      </c>
      <c r="D571" s="115">
        <v>3</v>
      </c>
      <c r="E571" s="99" t="s">
        <v>956</v>
      </c>
      <c r="F571" s="100">
        <v>0.01</v>
      </c>
      <c r="G571" s="101">
        <f>IF(OR(B571="FIXO",B571="XFIXO"),IF(F571="","ERRO",10*F571)*'[1]BD Campos'!$S$2,IF(F571="","ERRO",10*F571)*'[1]BD Campos'!$S$3)</f>
        <v>0.1</v>
      </c>
      <c r="H571" s="102">
        <v>0.05</v>
      </c>
      <c r="I571" s="103">
        <f t="shared" si="29"/>
        <v>-5.000000000000001E-3</v>
      </c>
    </row>
    <row r="572" spans="1:9">
      <c r="A572" s="99" t="str">
        <f t="shared" si="28"/>
        <v>CABINETSCliente 24</v>
      </c>
      <c r="B572" s="99" t="s">
        <v>329</v>
      </c>
      <c r="C572" s="99" t="s">
        <v>322</v>
      </c>
      <c r="D572" s="115">
        <v>4</v>
      </c>
      <c r="E572" s="99" t="s">
        <v>982</v>
      </c>
      <c r="F572" s="100">
        <v>0.04</v>
      </c>
      <c r="G572" s="101">
        <f>IF(OR(B572="FIXO",B572="XFIXO"),IF(F572="","ERRO",10*F572)*'[1]BD Campos'!$S$2,IF(F572="","ERRO",10*F572)*'[1]BD Campos'!$S$3)</f>
        <v>0.4</v>
      </c>
      <c r="H572" s="102">
        <v>0.05</v>
      </c>
      <c r="I572" s="103">
        <f t="shared" si="29"/>
        <v>-2.0000000000000004E-2</v>
      </c>
    </row>
    <row r="573" spans="1:9">
      <c r="A573" s="99" t="str">
        <f t="shared" si="28"/>
        <v>CABINETSCliente 25</v>
      </c>
      <c r="B573" s="99" t="s">
        <v>329</v>
      </c>
      <c r="C573" s="99" t="s">
        <v>322</v>
      </c>
      <c r="D573" s="115">
        <v>5</v>
      </c>
      <c r="E573" s="99" t="s">
        <v>1019</v>
      </c>
      <c r="F573" s="100">
        <v>0.157</v>
      </c>
      <c r="G573" s="101">
        <f>IF(OR(B573="FIXO",B573="XFIXO"),IF(F573="","ERRO",10*F573)*'[1]BD Campos'!$S$2,IF(F573="","ERRO",10*F573)*'[1]BD Campos'!$S$3)</f>
        <v>1.57</v>
      </c>
      <c r="H573" s="102">
        <v>0.05</v>
      </c>
      <c r="I573" s="103">
        <f t="shared" si="29"/>
        <v>-7.8500000000000014E-2</v>
      </c>
    </row>
    <row r="574" spans="1:9">
      <c r="A574" s="99" t="str">
        <f t="shared" si="28"/>
        <v>CABINETSCliente 26</v>
      </c>
      <c r="B574" s="99" t="s">
        <v>329</v>
      </c>
      <c r="C574" s="99" t="s">
        <v>322</v>
      </c>
      <c r="D574" s="115">
        <v>6</v>
      </c>
      <c r="E574" s="99" t="s">
        <v>1020</v>
      </c>
      <c r="F574" s="100">
        <v>0.16</v>
      </c>
      <c r="G574" s="101">
        <f>IF(OR(B574="FIXO",B574="XFIXO"),IF(F574="","ERRO",10*F574)*'[1]BD Campos'!$S$2,IF(F574="","ERRO",10*F574)*'[1]BD Campos'!$S$3)</f>
        <v>1.6</v>
      </c>
      <c r="H574" s="102">
        <v>0.05</v>
      </c>
      <c r="I574" s="103">
        <f t="shared" si="29"/>
        <v>-8.0000000000000016E-2</v>
      </c>
    </row>
    <row r="575" spans="1:9">
      <c r="A575" s="99" t="str">
        <f t="shared" si="28"/>
        <v>CABINETSCliente 27</v>
      </c>
      <c r="B575" s="99" t="s">
        <v>329</v>
      </c>
      <c r="C575" s="99" t="s">
        <v>322</v>
      </c>
      <c r="D575" s="115">
        <v>7</v>
      </c>
      <c r="E575" s="99" t="s">
        <v>1021</v>
      </c>
      <c r="F575" s="100">
        <v>0.16</v>
      </c>
      <c r="G575" s="101">
        <f>IF(OR(B575="FIXO",B575="XFIXO"),IF(F575="","ERRO",10*F575)*'[1]BD Campos'!$S$2,IF(F575="","ERRO",10*F575)*'[1]BD Campos'!$S$3)</f>
        <v>1.6</v>
      </c>
      <c r="H575" s="102">
        <v>0.05</v>
      </c>
      <c r="I575" s="103">
        <f t="shared" si="29"/>
        <v>-8.0000000000000016E-2</v>
      </c>
    </row>
    <row r="576" spans="1:9">
      <c r="A576" s="99" t="str">
        <f t="shared" si="28"/>
        <v>CABINETSCliente 28</v>
      </c>
      <c r="B576" s="99" t="s">
        <v>329</v>
      </c>
      <c r="C576" s="99" t="s">
        <v>322</v>
      </c>
      <c r="D576" s="115">
        <v>8</v>
      </c>
      <c r="E576" s="99" t="s">
        <v>1022</v>
      </c>
      <c r="F576" s="100">
        <v>0.16</v>
      </c>
      <c r="G576" s="101">
        <f>IF(OR(B576="FIXO",B576="XFIXO"),IF(F576="","ERRO",10*F576)*'[1]BD Campos'!$S$2,IF(F576="","ERRO",10*F576)*'[1]BD Campos'!$S$3)</f>
        <v>1.6</v>
      </c>
      <c r="H576" s="102">
        <v>0.05</v>
      </c>
      <c r="I576" s="103">
        <f t="shared" si="29"/>
        <v>-8.0000000000000016E-2</v>
      </c>
    </row>
    <row r="577" spans="1:9">
      <c r="A577" s="99" t="str">
        <f t="shared" si="28"/>
        <v>CABINETSCliente 29</v>
      </c>
      <c r="B577" s="99" t="s">
        <v>329</v>
      </c>
      <c r="C577" s="99" t="s">
        <v>322</v>
      </c>
      <c r="D577" s="115">
        <v>9</v>
      </c>
      <c r="E577" s="99" t="s">
        <v>1023</v>
      </c>
      <c r="F577" s="100">
        <v>0.158</v>
      </c>
      <c r="G577" s="101">
        <f>IF(OR(B577="FIXO",B577="XFIXO"),IF(F577="","ERRO",10*F577)*'[1]BD Campos'!$S$2,IF(F577="","ERRO",10*F577)*'[1]BD Campos'!$S$3)</f>
        <v>1.58</v>
      </c>
      <c r="H577" s="102">
        <v>0.05</v>
      </c>
      <c r="I577" s="103">
        <f t="shared" si="29"/>
        <v>-7.9000000000000015E-2</v>
      </c>
    </row>
    <row r="578" spans="1:9">
      <c r="A578" s="99" t="str">
        <f t="shared" si="28"/>
        <v>CABINETSCliente 210</v>
      </c>
      <c r="B578" s="99" t="s">
        <v>329</v>
      </c>
      <c r="C578" s="99" t="s">
        <v>322</v>
      </c>
      <c r="D578" s="115">
        <v>10</v>
      </c>
      <c r="E578" s="99" t="s">
        <v>964</v>
      </c>
      <c r="F578" s="100">
        <v>0.03</v>
      </c>
      <c r="G578" s="101">
        <f>IF(OR(B578="FIXO",B578="XFIXO"),IF(F578="","ERRO",10*F578)*'[1]BD Campos'!$S$2,IF(F578="","ERRO",10*F578)*'[1]BD Campos'!$S$3)</f>
        <v>0.3</v>
      </c>
      <c r="H578" s="102">
        <v>0.05</v>
      </c>
      <c r="I578" s="103">
        <f t="shared" si="29"/>
        <v>-1.4999999999999999E-2</v>
      </c>
    </row>
    <row r="579" spans="1:9">
      <c r="A579" s="99" t="str">
        <f t="shared" si="28"/>
        <v>CABINETSCliente 211</v>
      </c>
      <c r="B579" s="99" t="s">
        <v>329</v>
      </c>
      <c r="C579" s="99" t="s">
        <v>322</v>
      </c>
      <c r="D579" s="115">
        <v>11</v>
      </c>
      <c r="E579" s="99" t="s">
        <v>965</v>
      </c>
      <c r="F579" s="100">
        <v>0.03</v>
      </c>
      <c r="G579" s="101">
        <f>IF(OR(B579="FIXO",B579="XFIXO"),IF(F579="","ERRO",10*F579)*'[1]BD Campos'!$S$2,IF(F579="","ERRO",10*F579)*'[1]BD Campos'!$S$3)</f>
        <v>0.3</v>
      </c>
      <c r="H579" s="102">
        <v>0.05</v>
      </c>
      <c r="I579" s="103">
        <f t="shared" si="29"/>
        <v>-1.4999999999999999E-2</v>
      </c>
    </row>
    <row r="580" spans="1:9">
      <c r="A580" s="99" t="str">
        <f t="shared" si="28"/>
        <v>CABINETSCliente 212</v>
      </c>
      <c r="B580" s="99" t="s">
        <v>329</v>
      </c>
      <c r="C580" s="99" t="s">
        <v>322</v>
      </c>
      <c r="D580" s="115">
        <v>12</v>
      </c>
      <c r="E580" s="99" t="s">
        <v>966</v>
      </c>
      <c r="F580" s="100">
        <v>1.4999999999999999E-2</v>
      </c>
      <c r="G580" s="101">
        <f>IF(OR(B580="FIXO",B580="XFIXO"),IF(F580="","ERRO",10*F580)*'[1]BD Campos'!$S$2,IF(F580="","ERRO",10*F580)*'[1]BD Campos'!$S$3)</f>
        <v>0.15</v>
      </c>
      <c r="H580" s="102">
        <v>0.05</v>
      </c>
      <c r="I580" s="103">
        <f t="shared" si="29"/>
        <v>-7.4999999999999997E-3</v>
      </c>
    </row>
    <row r="581" spans="1:9">
      <c r="A581" s="99" t="str">
        <f t="shared" si="28"/>
        <v>CABINETSCliente 213</v>
      </c>
      <c r="B581" s="99" t="s">
        <v>329</v>
      </c>
      <c r="C581" s="99" t="s">
        <v>322</v>
      </c>
      <c r="D581" s="115">
        <v>13</v>
      </c>
      <c r="E581" s="99" t="s">
        <v>968</v>
      </c>
      <c r="F581" s="100">
        <v>0.02</v>
      </c>
      <c r="G581" s="101">
        <f>IF(OR(B581="FIXO",B581="XFIXO"),IF(F581="","ERRO",10*F581)*'[1]BD Campos'!$S$2,IF(F581="","ERRO",10*F581)*'[1]BD Campos'!$S$3)</f>
        <v>0.2</v>
      </c>
      <c r="H581" s="102">
        <v>0.05</v>
      </c>
      <c r="I581" s="103">
        <f t="shared" si="29"/>
        <v>-1.0000000000000002E-2</v>
      </c>
    </row>
    <row r="582" spans="1:9">
      <c r="A582" s="99" t="str">
        <f t="shared" si="28"/>
        <v>CABINETSCliente 214</v>
      </c>
      <c r="B582" s="99" t="s">
        <v>329</v>
      </c>
      <c r="C582" s="99" t="s">
        <v>322</v>
      </c>
      <c r="D582" s="115">
        <v>14</v>
      </c>
      <c r="E582" s="99" t="s">
        <v>1012</v>
      </c>
      <c r="F582" s="110">
        <v>0.03</v>
      </c>
      <c r="G582" s="101">
        <f>IF(OR(B582="FIXO",B582="XFIXO"),IF(F582="","ERRO",10*F582)*'[1]BD Campos'!$S$2,IF(F582="","ERRO",10*F582)*'[1]BD Campos'!$S$3)</f>
        <v>0.3</v>
      </c>
      <c r="H582" s="102">
        <v>0.05</v>
      </c>
      <c r="I582" s="103">
        <f t="shared" si="29"/>
        <v>-1.4999999999999999E-2</v>
      </c>
    </row>
    <row r="583" spans="1:9">
      <c r="A583" s="104" t="str">
        <f t="shared" si="28"/>
        <v>CABINETSCliente 215</v>
      </c>
      <c r="B583" s="104" t="s">
        <v>329</v>
      </c>
      <c r="C583" s="104" t="s">
        <v>322</v>
      </c>
      <c r="D583" s="116">
        <v>15</v>
      </c>
      <c r="E583" s="104" t="s">
        <v>969</v>
      </c>
      <c r="F583" s="105">
        <v>0.01</v>
      </c>
      <c r="G583" s="106">
        <f>IF(OR(B583="FIXO",B583="XFIXO"),IF(F583="","ERRO",10*F583)*'[1]BD Campos'!$S$2,IF(F583="","ERRO",10*F583)*'[1]BD Campos'!$S$3)</f>
        <v>0.1</v>
      </c>
      <c r="H583" s="107">
        <v>0.05</v>
      </c>
      <c r="I583" s="108">
        <f t="shared" si="29"/>
        <v>-5.000000000000001E-3</v>
      </c>
    </row>
    <row r="584" spans="1:9">
      <c r="A584" s="99" t="str">
        <f>B584&amp;C584&amp;D584</f>
        <v>DEVOLUÇÃOCliente1</v>
      </c>
      <c r="B584" s="99" t="s">
        <v>320</v>
      </c>
      <c r="C584" s="99" t="s">
        <v>149</v>
      </c>
      <c r="D584" s="115">
        <v>1</v>
      </c>
      <c r="E584" s="99" t="s">
        <v>954</v>
      </c>
      <c r="F584" s="100">
        <v>0.01</v>
      </c>
      <c r="G584" s="101">
        <f>IF(OR(B584="FIXO",B584="XFIXO"),IF(F584="","ERRO",10*F584)*'[1]BD Campos'!$S$2,IF(F584="","ERRO",10*F584)*'[1]BD Campos'!$S$3)</f>
        <v>0.1</v>
      </c>
      <c r="H584" s="102">
        <v>0.05</v>
      </c>
      <c r="I584" s="103">
        <f>H584*G584*-1</f>
        <v>-5.000000000000001E-3</v>
      </c>
    </row>
    <row r="585" spans="1:9">
      <c r="A585" s="99" t="str">
        <f t="shared" ref="A585:A615" si="30">B585&amp;C585&amp;D585</f>
        <v>DEVOLUÇÃOCliente2</v>
      </c>
      <c r="B585" s="99" t="s">
        <v>320</v>
      </c>
      <c r="C585" s="99" t="s">
        <v>149</v>
      </c>
      <c r="D585" s="115">
        <v>2</v>
      </c>
      <c r="E585" s="99" t="s">
        <v>955</v>
      </c>
      <c r="F585" s="100">
        <v>0.01</v>
      </c>
      <c r="G585" s="101">
        <f>IF(OR(B585="FIXO",B585="XFIXO"),IF(F585="","ERRO",10*F585)*'[1]BD Campos'!$S$2,IF(F585="","ERRO",10*F585)*'[1]BD Campos'!$S$3)</f>
        <v>0.1</v>
      </c>
      <c r="H585" s="102">
        <v>0.05</v>
      </c>
      <c r="I585" s="103">
        <f t="shared" ref="I585:I615" si="31">H585*G585*-1</f>
        <v>-5.000000000000001E-3</v>
      </c>
    </row>
    <row r="586" spans="1:9">
      <c r="A586" s="99" t="str">
        <f t="shared" si="30"/>
        <v>DEVOLUÇÃOCliente3</v>
      </c>
      <c r="B586" s="99" t="s">
        <v>320</v>
      </c>
      <c r="C586" s="99" t="s">
        <v>149</v>
      </c>
      <c r="D586" s="115">
        <v>3</v>
      </c>
      <c r="E586" s="99" t="s">
        <v>956</v>
      </c>
      <c r="F586" s="100">
        <v>0.01</v>
      </c>
      <c r="G586" s="101">
        <f>IF(OR(B586="FIXO",B586="XFIXO"),IF(F586="","ERRO",10*F586)*'[1]BD Campos'!$S$2,IF(F586="","ERRO",10*F586)*'[1]BD Campos'!$S$3)</f>
        <v>0.1</v>
      </c>
      <c r="H586" s="102">
        <v>0.05</v>
      </c>
      <c r="I586" s="103">
        <f t="shared" si="31"/>
        <v>-5.000000000000001E-3</v>
      </c>
    </row>
    <row r="587" spans="1:9">
      <c r="A587" s="99" t="str">
        <f t="shared" si="30"/>
        <v>DEVOLUÇÃOCliente4</v>
      </c>
      <c r="B587" s="99" t="s">
        <v>320</v>
      </c>
      <c r="C587" s="99" t="s">
        <v>149</v>
      </c>
      <c r="D587" s="115">
        <v>4</v>
      </c>
      <c r="E587" s="99" t="s">
        <v>982</v>
      </c>
      <c r="F587" s="100">
        <v>0.04</v>
      </c>
      <c r="G587" s="101">
        <f>IF(OR(B587="FIXO",B587="XFIXO"),IF(F587="","ERRO",10*F587)*'[1]BD Campos'!$S$2,IF(F587="","ERRO",10*F587)*'[1]BD Campos'!$S$3)</f>
        <v>0.4</v>
      </c>
      <c r="H587" s="102">
        <v>0.05</v>
      </c>
      <c r="I587" s="103">
        <f t="shared" si="31"/>
        <v>-2.0000000000000004E-2</v>
      </c>
    </row>
    <row r="588" spans="1:9">
      <c r="A588" s="99" t="str">
        <f t="shared" si="30"/>
        <v>DEVOLUÇÃOCliente5</v>
      </c>
      <c r="B588" s="99" t="s">
        <v>320</v>
      </c>
      <c r="C588" s="99" t="s">
        <v>149</v>
      </c>
      <c r="D588" s="115">
        <v>5</v>
      </c>
      <c r="E588" s="99" t="s">
        <v>1024</v>
      </c>
      <c r="F588" s="100">
        <v>7.5999999999999998E-2</v>
      </c>
      <c r="G588" s="101">
        <f>IF(OR(B588="FIXO",B588="XFIXO"),IF(F588="","ERRO",10*F588)*'[1]BD Campos'!$S$2,IF(F588="","ERRO",10*F588)*'[1]BD Campos'!$S$3)</f>
        <v>0.76</v>
      </c>
      <c r="H588" s="102">
        <v>0.05</v>
      </c>
      <c r="I588" s="103">
        <f t="shared" si="31"/>
        <v>-3.8000000000000006E-2</v>
      </c>
    </row>
    <row r="589" spans="1:9">
      <c r="A589" s="99" t="str">
        <f t="shared" si="30"/>
        <v>DEVOLUÇÃOCliente6</v>
      </c>
      <c r="B589" s="99" t="s">
        <v>320</v>
      </c>
      <c r="C589" s="99" t="s">
        <v>149</v>
      </c>
      <c r="D589" s="115">
        <v>6</v>
      </c>
      <c r="E589" s="99" t="s">
        <v>1020</v>
      </c>
      <c r="F589" s="100">
        <v>0.16</v>
      </c>
      <c r="G589" s="101">
        <f>IF(OR(B589="FIXO",B589="XFIXO"),IF(F589="","ERRO",10*F589)*'[1]BD Campos'!$S$2,IF(F589="","ERRO",10*F589)*'[1]BD Campos'!$S$3)</f>
        <v>1.6</v>
      </c>
      <c r="H589" s="102">
        <v>0.05</v>
      </c>
      <c r="I589" s="103">
        <f t="shared" si="31"/>
        <v>-8.0000000000000016E-2</v>
      </c>
    </row>
    <row r="590" spans="1:9">
      <c r="A590" s="99" t="str">
        <f t="shared" si="30"/>
        <v>DEVOLUÇÃOCliente7</v>
      </c>
      <c r="B590" s="99" t="s">
        <v>320</v>
      </c>
      <c r="C590" s="99" t="s">
        <v>149</v>
      </c>
      <c r="D590" s="115">
        <v>7</v>
      </c>
      <c r="E590" s="99" t="s">
        <v>1021</v>
      </c>
      <c r="F590" s="100">
        <v>0.16</v>
      </c>
      <c r="G590" s="101">
        <f>IF(OR(B590="FIXO",B590="XFIXO"),IF(F590="","ERRO",10*F590)*'[1]BD Campos'!$S$2,IF(F590="","ERRO",10*F590)*'[1]BD Campos'!$S$3)</f>
        <v>1.6</v>
      </c>
      <c r="H590" s="102">
        <v>0.05</v>
      </c>
      <c r="I590" s="103">
        <f t="shared" si="31"/>
        <v>-8.0000000000000016E-2</v>
      </c>
    </row>
    <row r="591" spans="1:9">
      <c r="A591" s="99" t="str">
        <f t="shared" si="30"/>
        <v>DEVOLUÇÃOCliente8</v>
      </c>
      <c r="B591" s="99" t="s">
        <v>320</v>
      </c>
      <c r="C591" s="99" t="s">
        <v>149</v>
      </c>
      <c r="D591" s="115">
        <v>8</v>
      </c>
      <c r="E591" s="99" t="s">
        <v>1022</v>
      </c>
      <c r="F591" s="100">
        <v>0.16</v>
      </c>
      <c r="G591" s="101">
        <f>IF(OR(B591="FIXO",B591="XFIXO"),IF(F591="","ERRO",10*F591)*'[1]BD Campos'!$S$2,IF(F591="","ERRO",10*F591)*'[1]BD Campos'!$S$3)</f>
        <v>1.6</v>
      </c>
      <c r="H591" s="102">
        <v>0.05</v>
      </c>
      <c r="I591" s="103">
        <f t="shared" si="31"/>
        <v>-8.0000000000000016E-2</v>
      </c>
    </row>
    <row r="592" spans="1:9">
      <c r="A592" s="99" t="str">
        <f t="shared" si="30"/>
        <v>DEVOLUÇÃOCliente9</v>
      </c>
      <c r="B592" s="99" t="s">
        <v>320</v>
      </c>
      <c r="C592" s="99" t="s">
        <v>149</v>
      </c>
      <c r="D592" s="115">
        <v>9</v>
      </c>
      <c r="E592" s="99" t="s">
        <v>1025</v>
      </c>
      <c r="F592" s="100">
        <v>8.1000000000000003E-2</v>
      </c>
      <c r="G592" s="101">
        <f>IF(OR(B592="FIXO",B592="XFIXO"),IF(F592="","ERRO",10*F592)*'[1]BD Campos'!$S$2,IF(F592="","ERRO",10*F592)*'[1]BD Campos'!$S$3)</f>
        <v>0.81</v>
      </c>
      <c r="H592" s="102">
        <v>0.05</v>
      </c>
      <c r="I592" s="103">
        <f t="shared" si="31"/>
        <v>-4.0500000000000008E-2</v>
      </c>
    </row>
    <row r="593" spans="1:9">
      <c r="A593" s="99" t="str">
        <f t="shared" si="30"/>
        <v>DEVOLUÇÃOCliente10</v>
      </c>
      <c r="B593" s="99" t="s">
        <v>320</v>
      </c>
      <c r="C593" s="99" t="s">
        <v>149</v>
      </c>
      <c r="D593" s="115">
        <v>10</v>
      </c>
      <c r="E593" s="99" t="s">
        <v>1023</v>
      </c>
      <c r="F593" s="100">
        <v>0.158</v>
      </c>
      <c r="G593" s="101">
        <f>IF(OR(B593="FIXO",B593="XFIXO"),IF(F593="","ERRO",10*F593)*'[1]BD Campos'!$S$2,IF(F593="","ERRO",10*F593)*'[1]BD Campos'!$S$3)</f>
        <v>1.58</v>
      </c>
      <c r="H593" s="102">
        <v>0.05</v>
      </c>
      <c r="I593" s="103">
        <f t="shared" si="31"/>
        <v>-7.9000000000000015E-2</v>
      </c>
    </row>
    <row r="594" spans="1:9">
      <c r="A594" s="99" t="str">
        <f t="shared" si="30"/>
        <v>DEVOLUÇÃOCliente11</v>
      </c>
      <c r="B594" s="99" t="s">
        <v>320</v>
      </c>
      <c r="C594" s="99" t="s">
        <v>149</v>
      </c>
      <c r="D594" s="115">
        <v>11</v>
      </c>
      <c r="E594" s="99" t="s">
        <v>964</v>
      </c>
      <c r="F594" s="100">
        <v>0.03</v>
      </c>
      <c r="G594" s="101">
        <f>IF(OR(B594="FIXO",B594="XFIXO"),IF(F594="","ERRO",10*F594)*'[1]BD Campos'!$S$2,IF(F594="","ERRO",10*F594)*'[1]BD Campos'!$S$3)</f>
        <v>0.3</v>
      </c>
      <c r="H594" s="102">
        <v>0.05</v>
      </c>
      <c r="I594" s="103">
        <f t="shared" si="31"/>
        <v>-1.4999999999999999E-2</v>
      </c>
    </row>
    <row r="595" spans="1:9">
      <c r="A595" s="99" t="str">
        <f t="shared" si="30"/>
        <v>DEVOLUÇÃOCliente12</v>
      </c>
      <c r="B595" s="99" t="s">
        <v>320</v>
      </c>
      <c r="C595" s="99" t="s">
        <v>149</v>
      </c>
      <c r="D595" s="115">
        <v>12</v>
      </c>
      <c r="E595" s="99" t="s">
        <v>965</v>
      </c>
      <c r="F595" s="100">
        <v>0.03</v>
      </c>
      <c r="G595" s="101">
        <f>IF(OR(B595="FIXO",B595="XFIXO"),IF(F595="","ERRO",10*F595)*'[1]BD Campos'!$S$2,IF(F595="","ERRO",10*F595)*'[1]BD Campos'!$S$3)</f>
        <v>0.3</v>
      </c>
      <c r="H595" s="102">
        <v>0.05</v>
      </c>
      <c r="I595" s="103">
        <f t="shared" si="31"/>
        <v>-1.4999999999999999E-2</v>
      </c>
    </row>
    <row r="596" spans="1:9">
      <c r="A596" s="99" t="str">
        <f t="shared" si="30"/>
        <v>DEVOLUÇÃOCliente13</v>
      </c>
      <c r="B596" s="99" t="s">
        <v>320</v>
      </c>
      <c r="C596" s="99" t="s">
        <v>149</v>
      </c>
      <c r="D596" s="115">
        <v>13</v>
      </c>
      <c r="E596" s="99" t="s">
        <v>966</v>
      </c>
      <c r="F596" s="100">
        <v>1.4999999999999999E-2</v>
      </c>
      <c r="G596" s="101">
        <f>IF(OR(B596="FIXO",B596="XFIXO"),IF(F596="","ERRO",10*F596)*'[1]BD Campos'!$S$2,IF(F596="","ERRO",10*F596)*'[1]BD Campos'!$S$3)</f>
        <v>0.15</v>
      </c>
      <c r="H596" s="102">
        <v>0.05</v>
      </c>
      <c r="I596" s="103">
        <f t="shared" si="31"/>
        <v>-7.4999999999999997E-3</v>
      </c>
    </row>
    <row r="597" spans="1:9">
      <c r="A597" s="99" t="str">
        <f t="shared" si="30"/>
        <v>DEVOLUÇÃOCliente14</v>
      </c>
      <c r="B597" s="99" t="s">
        <v>320</v>
      </c>
      <c r="C597" s="99" t="s">
        <v>149</v>
      </c>
      <c r="D597" s="115">
        <v>14</v>
      </c>
      <c r="E597" s="99" t="s">
        <v>968</v>
      </c>
      <c r="F597" s="100">
        <v>0.02</v>
      </c>
      <c r="G597" s="101">
        <f>IF(OR(B597="FIXO",B597="XFIXO"),IF(F597="","ERRO",10*F597)*'[1]BD Campos'!$S$2,IF(F597="","ERRO",10*F597)*'[1]BD Campos'!$S$3)</f>
        <v>0.2</v>
      </c>
      <c r="H597" s="102">
        <v>0.05</v>
      </c>
      <c r="I597" s="103">
        <f t="shared" si="31"/>
        <v>-1.0000000000000002E-2</v>
      </c>
    </row>
    <row r="598" spans="1:9">
      <c r="A598" s="99" t="str">
        <f t="shared" si="30"/>
        <v>DEVOLUÇÃOCliente15</v>
      </c>
      <c r="B598" s="99" t="s">
        <v>320</v>
      </c>
      <c r="C598" s="99" t="s">
        <v>149</v>
      </c>
      <c r="D598" s="115">
        <v>15</v>
      </c>
      <c r="E598" s="99" t="s">
        <v>1012</v>
      </c>
      <c r="F598" s="100">
        <v>0.03</v>
      </c>
      <c r="G598" s="101">
        <f>IF(OR(B598="FIXO",B598="XFIXO"),IF(F598="","ERRO",10*F598)*'[1]BD Campos'!$S$2,IF(F598="","ERRO",10*F598)*'[1]BD Campos'!$S$3)</f>
        <v>0.3</v>
      </c>
      <c r="H598" s="102">
        <v>0.05</v>
      </c>
      <c r="I598" s="103">
        <f t="shared" si="31"/>
        <v>-1.4999999999999999E-2</v>
      </c>
    </row>
    <row r="599" spans="1:9">
      <c r="A599" s="104" t="str">
        <f t="shared" si="30"/>
        <v>DEVOLUÇÃOCliente16</v>
      </c>
      <c r="B599" s="104" t="s">
        <v>320</v>
      </c>
      <c r="C599" s="104" t="s">
        <v>149</v>
      </c>
      <c r="D599" s="116">
        <v>16</v>
      </c>
      <c r="E599" s="104" t="s">
        <v>969</v>
      </c>
      <c r="F599" s="105">
        <v>0.01</v>
      </c>
      <c r="G599" s="106">
        <f>IF(OR(B599="FIXO",B599="XFIXO"),IF(F599="","ERRO",10*F599)*'[1]BD Campos'!$S$2,IF(F599="","ERRO",10*F599)*'[1]BD Campos'!$S$3)</f>
        <v>0.1</v>
      </c>
      <c r="H599" s="107">
        <v>0.05</v>
      </c>
      <c r="I599" s="108">
        <f t="shared" si="31"/>
        <v>-5.000000000000001E-3</v>
      </c>
    </row>
    <row r="600" spans="1:9">
      <c r="A600" s="99" t="str">
        <f t="shared" si="30"/>
        <v>DEVOLUÇÃOCliente 21</v>
      </c>
      <c r="B600" s="99" t="s">
        <v>320</v>
      </c>
      <c r="C600" s="99" t="s">
        <v>322</v>
      </c>
      <c r="D600" s="115">
        <v>1</v>
      </c>
      <c r="E600" s="99" t="s">
        <v>954</v>
      </c>
      <c r="F600" s="100">
        <v>0.01</v>
      </c>
      <c r="G600" s="101">
        <f>IF(OR(B600="FIXO",B600="XFIXO"),IF(F600="","ERRO",10*F600)*'[1]BD Campos'!$S$2,IF(F600="","ERRO",10*F600)*'[1]BD Campos'!$S$3)</f>
        <v>0.1</v>
      </c>
      <c r="H600" s="102">
        <v>0.05</v>
      </c>
      <c r="I600" s="103">
        <f t="shared" si="31"/>
        <v>-5.000000000000001E-3</v>
      </c>
    </row>
    <row r="601" spans="1:9">
      <c r="A601" s="99" t="str">
        <f t="shared" si="30"/>
        <v>DEVOLUÇÃOCliente 22</v>
      </c>
      <c r="B601" s="99" t="s">
        <v>320</v>
      </c>
      <c r="C601" s="99" t="s">
        <v>322</v>
      </c>
      <c r="D601" s="115">
        <v>2</v>
      </c>
      <c r="E601" s="99" t="s">
        <v>955</v>
      </c>
      <c r="F601" s="100">
        <v>0.01</v>
      </c>
      <c r="G601" s="101">
        <f>IF(OR(B601="FIXO",B601="XFIXO"),IF(F601="","ERRO",10*F601)*'[1]BD Campos'!$S$2,IF(F601="","ERRO",10*F601)*'[1]BD Campos'!$S$3)</f>
        <v>0.1</v>
      </c>
      <c r="H601" s="102">
        <v>0.05</v>
      </c>
      <c r="I601" s="103">
        <f t="shared" si="31"/>
        <v>-5.000000000000001E-3</v>
      </c>
    </row>
    <row r="602" spans="1:9">
      <c r="A602" s="99" t="str">
        <f t="shared" si="30"/>
        <v>DEVOLUÇÃOCliente 23</v>
      </c>
      <c r="B602" s="99" t="s">
        <v>320</v>
      </c>
      <c r="C602" s="99" t="s">
        <v>322</v>
      </c>
      <c r="D602" s="115">
        <v>3</v>
      </c>
      <c r="E602" s="99" t="s">
        <v>956</v>
      </c>
      <c r="F602" s="100">
        <v>0.01</v>
      </c>
      <c r="G602" s="101">
        <f>IF(OR(B602="FIXO",B602="XFIXO"),IF(F602="","ERRO",10*F602)*'[1]BD Campos'!$S$2,IF(F602="","ERRO",10*F602)*'[1]BD Campos'!$S$3)</f>
        <v>0.1</v>
      </c>
      <c r="H602" s="102">
        <v>0.05</v>
      </c>
      <c r="I602" s="103">
        <f t="shared" si="31"/>
        <v>-5.000000000000001E-3</v>
      </c>
    </row>
    <row r="603" spans="1:9">
      <c r="A603" s="99" t="str">
        <f t="shared" si="30"/>
        <v>DEVOLUÇÃOCliente 24</v>
      </c>
      <c r="B603" s="99" t="s">
        <v>320</v>
      </c>
      <c r="C603" s="99" t="s">
        <v>322</v>
      </c>
      <c r="D603" s="115">
        <v>4</v>
      </c>
      <c r="E603" s="99" t="s">
        <v>982</v>
      </c>
      <c r="F603" s="100">
        <v>0.04</v>
      </c>
      <c r="G603" s="101">
        <f>IF(OR(B603="FIXO",B603="XFIXO"),IF(F603="","ERRO",10*F603)*'[1]BD Campos'!$S$2,IF(F603="","ERRO",10*F603)*'[1]BD Campos'!$S$3)</f>
        <v>0.4</v>
      </c>
      <c r="H603" s="102">
        <v>0.05</v>
      </c>
      <c r="I603" s="103">
        <f t="shared" si="31"/>
        <v>-2.0000000000000004E-2</v>
      </c>
    </row>
    <row r="604" spans="1:9">
      <c r="A604" s="99" t="str">
        <f t="shared" si="30"/>
        <v>DEVOLUÇÃOCliente 25</v>
      </c>
      <c r="B604" s="99" t="s">
        <v>320</v>
      </c>
      <c r="C604" s="99" t="s">
        <v>322</v>
      </c>
      <c r="D604" s="115">
        <v>5</v>
      </c>
      <c r="E604" s="99" t="s">
        <v>1024</v>
      </c>
      <c r="F604" s="100">
        <v>7.5999999999999998E-2</v>
      </c>
      <c r="G604" s="101">
        <f>IF(OR(B604="FIXO",B604="XFIXO"),IF(F604="","ERRO",10*F604)*'[1]BD Campos'!$S$2,IF(F604="","ERRO",10*F604)*'[1]BD Campos'!$S$3)</f>
        <v>0.76</v>
      </c>
      <c r="H604" s="102">
        <v>0.05</v>
      </c>
      <c r="I604" s="103">
        <f t="shared" si="31"/>
        <v>-3.8000000000000006E-2</v>
      </c>
    </row>
    <row r="605" spans="1:9">
      <c r="A605" s="99" t="str">
        <f t="shared" si="30"/>
        <v>DEVOLUÇÃOCliente 26</v>
      </c>
      <c r="B605" s="99" t="s">
        <v>320</v>
      </c>
      <c r="C605" s="99" t="s">
        <v>322</v>
      </c>
      <c r="D605" s="115">
        <v>6</v>
      </c>
      <c r="E605" s="99" t="s">
        <v>1020</v>
      </c>
      <c r="F605" s="100">
        <v>0.16</v>
      </c>
      <c r="G605" s="101">
        <f>IF(OR(B605="FIXO",B605="XFIXO"),IF(F605="","ERRO",10*F605)*'[1]BD Campos'!$S$2,IF(F605="","ERRO",10*F605)*'[1]BD Campos'!$S$3)</f>
        <v>1.6</v>
      </c>
      <c r="H605" s="102">
        <v>0.05</v>
      </c>
      <c r="I605" s="103">
        <f t="shared" si="31"/>
        <v>-8.0000000000000016E-2</v>
      </c>
    </row>
    <row r="606" spans="1:9">
      <c r="A606" s="99" t="str">
        <f t="shared" si="30"/>
        <v>DEVOLUÇÃOCliente 27</v>
      </c>
      <c r="B606" s="99" t="s">
        <v>320</v>
      </c>
      <c r="C606" s="99" t="s">
        <v>322</v>
      </c>
      <c r="D606" s="115">
        <v>7</v>
      </c>
      <c r="E606" s="99" t="s">
        <v>1021</v>
      </c>
      <c r="F606" s="100">
        <v>0.16</v>
      </c>
      <c r="G606" s="101">
        <f>IF(OR(B606="FIXO",B606="XFIXO"),IF(F606="","ERRO",10*F606)*'[1]BD Campos'!$S$2,IF(F606="","ERRO",10*F606)*'[1]BD Campos'!$S$3)</f>
        <v>1.6</v>
      </c>
      <c r="H606" s="102">
        <v>0.05</v>
      </c>
      <c r="I606" s="103">
        <f t="shared" si="31"/>
        <v>-8.0000000000000016E-2</v>
      </c>
    </row>
    <row r="607" spans="1:9">
      <c r="A607" s="99" t="str">
        <f t="shared" si="30"/>
        <v>DEVOLUÇÃOCliente 28</v>
      </c>
      <c r="B607" s="99" t="s">
        <v>320</v>
      </c>
      <c r="C607" s="99" t="s">
        <v>322</v>
      </c>
      <c r="D607" s="115">
        <v>8</v>
      </c>
      <c r="E607" s="99" t="s">
        <v>1022</v>
      </c>
      <c r="F607" s="100">
        <v>0.16</v>
      </c>
      <c r="G607" s="101">
        <f>IF(OR(B607="FIXO",B607="XFIXO"),IF(F607="","ERRO",10*F607)*'[1]BD Campos'!$S$2,IF(F607="","ERRO",10*F607)*'[1]BD Campos'!$S$3)</f>
        <v>1.6</v>
      </c>
      <c r="H607" s="102">
        <v>0.05</v>
      </c>
      <c r="I607" s="103">
        <f t="shared" si="31"/>
        <v>-8.0000000000000016E-2</v>
      </c>
    </row>
    <row r="608" spans="1:9">
      <c r="A608" s="99" t="str">
        <f t="shared" si="30"/>
        <v>DEVOLUÇÃOCliente 29</v>
      </c>
      <c r="B608" s="99" t="s">
        <v>320</v>
      </c>
      <c r="C608" s="99" t="s">
        <v>322</v>
      </c>
      <c r="D608" s="115">
        <v>9</v>
      </c>
      <c r="E608" s="99" t="s">
        <v>1025</v>
      </c>
      <c r="F608" s="100">
        <v>8.1000000000000003E-2</v>
      </c>
      <c r="G608" s="101">
        <f>IF(OR(B608="FIXO",B608="XFIXO"),IF(F608="","ERRO",10*F608)*'[1]BD Campos'!$S$2,IF(F608="","ERRO",10*F608)*'[1]BD Campos'!$S$3)</f>
        <v>0.81</v>
      </c>
      <c r="H608" s="102">
        <v>0.05</v>
      </c>
      <c r="I608" s="103">
        <f t="shared" si="31"/>
        <v>-4.0500000000000008E-2</v>
      </c>
    </row>
    <row r="609" spans="1:9">
      <c r="A609" s="99" t="str">
        <f t="shared" si="30"/>
        <v>DEVOLUÇÃOCliente 210</v>
      </c>
      <c r="B609" s="99" t="s">
        <v>320</v>
      </c>
      <c r="C609" s="99" t="s">
        <v>322</v>
      </c>
      <c r="D609" s="115">
        <v>10</v>
      </c>
      <c r="E609" s="99" t="s">
        <v>1023</v>
      </c>
      <c r="F609" s="100">
        <v>0.158</v>
      </c>
      <c r="G609" s="101">
        <f>IF(OR(B609="FIXO",B609="XFIXO"),IF(F609="","ERRO",10*F609)*'[1]BD Campos'!$S$2,IF(F609="","ERRO",10*F609)*'[1]BD Campos'!$S$3)</f>
        <v>1.58</v>
      </c>
      <c r="H609" s="102">
        <v>0.05</v>
      </c>
      <c r="I609" s="103">
        <f t="shared" si="31"/>
        <v>-7.9000000000000015E-2</v>
      </c>
    </row>
    <row r="610" spans="1:9">
      <c r="A610" s="99" t="str">
        <f t="shared" si="30"/>
        <v>DEVOLUÇÃOCliente 211</v>
      </c>
      <c r="B610" s="99" t="s">
        <v>320</v>
      </c>
      <c r="C610" s="99" t="s">
        <v>322</v>
      </c>
      <c r="D610" s="115">
        <v>11</v>
      </c>
      <c r="E610" s="99" t="s">
        <v>964</v>
      </c>
      <c r="F610" s="100">
        <v>0.03</v>
      </c>
      <c r="G610" s="101">
        <f>IF(OR(B610="FIXO",B610="XFIXO"),IF(F610="","ERRO",10*F610)*'[1]BD Campos'!$S$2,IF(F610="","ERRO",10*F610)*'[1]BD Campos'!$S$3)</f>
        <v>0.3</v>
      </c>
      <c r="H610" s="102">
        <v>0.05</v>
      </c>
      <c r="I610" s="103">
        <f t="shared" si="31"/>
        <v>-1.4999999999999999E-2</v>
      </c>
    </row>
    <row r="611" spans="1:9">
      <c r="A611" s="99" t="str">
        <f t="shared" si="30"/>
        <v>DEVOLUÇÃOCliente 212</v>
      </c>
      <c r="B611" s="99" t="s">
        <v>320</v>
      </c>
      <c r="C611" s="99" t="s">
        <v>322</v>
      </c>
      <c r="D611" s="115">
        <v>12</v>
      </c>
      <c r="E611" s="99" t="s">
        <v>965</v>
      </c>
      <c r="F611" s="100">
        <v>0.03</v>
      </c>
      <c r="G611" s="101">
        <f>IF(OR(B611="FIXO",B611="XFIXO"),IF(F611="","ERRO",10*F611)*'[1]BD Campos'!$S$2,IF(F611="","ERRO",10*F611)*'[1]BD Campos'!$S$3)</f>
        <v>0.3</v>
      </c>
      <c r="H611" s="102">
        <v>0.05</v>
      </c>
      <c r="I611" s="103">
        <f t="shared" si="31"/>
        <v>-1.4999999999999999E-2</v>
      </c>
    </row>
    <row r="612" spans="1:9">
      <c r="A612" s="99" t="str">
        <f t="shared" si="30"/>
        <v>DEVOLUÇÃOCliente 213</v>
      </c>
      <c r="B612" s="99" t="s">
        <v>320</v>
      </c>
      <c r="C612" s="99" t="s">
        <v>322</v>
      </c>
      <c r="D612" s="115">
        <v>13</v>
      </c>
      <c r="E612" s="99" t="s">
        <v>966</v>
      </c>
      <c r="F612" s="100">
        <v>1.4999999999999999E-2</v>
      </c>
      <c r="G612" s="101">
        <f>IF(OR(B612="FIXO",B612="XFIXO"),IF(F612="","ERRO",10*F612)*'[1]BD Campos'!$S$2,IF(F612="","ERRO",10*F612)*'[1]BD Campos'!$S$3)</f>
        <v>0.15</v>
      </c>
      <c r="H612" s="102">
        <v>0.05</v>
      </c>
      <c r="I612" s="103">
        <f t="shared" si="31"/>
        <v>-7.4999999999999997E-3</v>
      </c>
    </row>
    <row r="613" spans="1:9">
      <c r="A613" s="99" t="str">
        <f t="shared" si="30"/>
        <v>DEVOLUÇÃOCliente 214</v>
      </c>
      <c r="B613" s="99" t="s">
        <v>320</v>
      </c>
      <c r="C613" s="99" t="s">
        <v>322</v>
      </c>
      <c r="D613" s="115">
        <v>14</v>
      </c>
      <c r="E613" s="99" t="s">
        <v>968</v>
      </c>
      <c r="F613" s="100">
        <v>0.02</v>
      </c>
      <c r="G613" s="101">
        <f>IF(OR(B613="FIXO",B613="XFIXO"),IF(F613="","ERRO",10*F613)*'[1]BD Campos'!$S$2,IF(F613="","ERRO",10*F613)*'[1]BD Campos'!$S$3)</f>
        <v>0.2</v>
      </c>
      <c r="H613" s="102">
        <v>0.05</v>
      </c>
      <c r="I613" s="103">
        <f t="shared" si="31"/>
        <v>-1.0000000000000002E-2</v>
      </c>
    </row>
    <row r="614" spans="1:9">
      <c r="A614" s="99" t="str">
        <f t="shared" si="30"/>
        <v>DEVOLUÇÃOCliente 215</v>
      </c>
      <c r="B614" s="99" t="s">
        <v>320</v>
      </c>
      <c r="C614" s="99" t="s">
        <v>322</v>
      </c>
      <c r="D614" s="115">
        <v>15</v>
      </c>
      <c r="E614" s="99" t="s">
        <v>1012</v>
      </c>
      <c r="F614" s="100">
        <v>0.03</v>
      </c>
      <c r="G614" s="101">
        <f>IF(OR(B614="FIXO",B614="XFIXO"),IF(F614="","ERRO",10*F614)*'[1]BD Campos'!$S$2,IF(F614="","ERRO",10*F614)*'[1]BD Campos'!$S$3)</f>
        <v>0.3</v>
      </c>
      <c r="H614" s="102">
        <v>0.05</v>
      </c>
      <c r="I614" s="103">
        <f t="shared" si="31"/>
        <v>-1.4999999999999999E-2</v>
      </c>
    </row>
    <row r="615" spans="1:9">
      <c r="A615" s="104" t="str">
        <f t="shared" si="30"/>
        <v>DEVOLUÇÃOCliente 216</v>
      </c>
      <c r="B615" s="104" t="s">
        <v>320</v>
      </c>
      <c r="C615" s="104" t="s">
        <v>322</v>
      </c>
      <c r="D615" s="116">
        <v>16</v>
      </c>
      <c r="E615" s="104" t="s">
        <v>969</v>
      </c>
      <c r="F615" s="105">
        <v>0.01</v>
      </c>
      <c r="G615" s="106">
        <f>IF(OR(B615="FIXO",B615="XFIXO"),IF(F615="","ERRO",10*F615)*'[1]BD Campos'!$S$2,IF(F615="","ERRO",10*F615)*'[1]BD Campos'!$S$3)</f>
        <v>0.1</v>
      </c>
      <c r="H615" s="107">
        <v>0.05</v>
      </c>
      <c r="I615" s="108">
        <f t="shared" si="31"/>
        <v>-5.000000000000001E-3</v>
      </c>
    </row>
    <row r="616" spans="1:9">
      <c r="A616" s="99" t="str">
        <f>B616&amp;C616&amp;D616</f>
        <v>ATUAÇÃO TRATATIVACliente1</v>
      </c>
      <c r="B616" s="99" t="s">
        <v>321</v>
      </c>
      <c r="C616" s="99" t="s">
        <v>149</v>
      </c>
      <c r="D616" s="115">
        <v>1</v>
      </c>
      <c r="E616" s="99" t="s">
        <v>954</v>
      </c>
      <c r="F616" s="100">
        <v>0.01</v>
      </c>
      <c r="G616" s="101">
        <f>IF(OR(B616="FIXO",B616="XFIXO"),IF(F616="","ERRO",10*F616)*'[1]BD Campos'!$S$2,IF(F616="","ERRO",10*F616)*'[1]BD Campos'!$S$3)</f>
        <v>0.1</v>
      </c>
      <c r="H616" s="102">
        <v>0.05</v>
      </c>
      <c r="I616" s="103">
        <f>H616*G616*-1</f>
        <v>-5.000000000000001E-3</v>
      </c>
    </row>
    <row r="617" spans="1:9">
      <c r="A617" s="99" t="str">
        <f t="shared" ref="A617:A651" si="32">B617&amp;C617&amp;D617</f>
        <v>ATUAÇÃO TRATATIVACliente2</v>
      </c>
      <c r="B617" s="99" t="s">
        <v>321</v>
      </c>
      <c r="C617" s="99" t="s">
        <v>149</v>
      </c>
      <c r="D617" s="115">
        <v>2</v>
      </c>
      <c r="E617" s="99" t="s">
        <v>955</v>
      </c>
      <c r="F617" s="100">
        <v>0.01</v>
      </c>
      <c r="G617" s="101">
        <f>IF(OR(B617="FIXO",B617="XFIXO"),IF(F617="","ERRO",10*F617)*'[1]BD Campos'!$S$2,IF(F617="","ERRO",10*F617)*'[1]BD Campos'!$S$3)</f>
        <v>0.1</v>
      </c>
      <c r="H617" s="102">
        <v>0.05</v>
      </c>
      <c r="I617" s="103">
        <f t="shared" ref="I617:I651" si="33">H617*G617*-1</f>
        <v>-5.000000000000001E-3</v>
      </c>
    </row>
    <row r="618" spans="1:9">
      <c r="A618" s="99" t="str">
        <f t="shared" si="32"/>
        <v>ATUAÇÃO TRATATIVACliente3</v>
      </c>
      <c r="B618" s="99" t="s">
        <v>321</v>
      </c>
      <c r="C618" s="99" t="s">
        <v>149</v>
      </c>
      <c r="D618" s="115">
        <v>3</v>
      </c>
      <c r="E618" s="99" t="s">
        <v>956</v>
      </c>
      <c r="F618" s="100">
        <v>0.01</v>
      </c>
      <c r="G618" s="101">
        <f>IF(OR(B618="FIXO",B618="XFIXO"),IF(F618="","ERRO",10*F618)*'[1]BD Campos'!$S$2,IF(F618="","ERRO",10*F618)*'[1]BD Campos'!$S$3)</f>
        <v>0.1</v>
      </c>
      <c r="H618" s="102">
        <v>0.05</v>
      </c>
      <c r="I618" s="103">
        <f t="shared" si="33"/>
        <v>-5.000000000000001E-3</v>
      </c>
    </row>
    <row r="619" spans="1:9">
      <c r="A619" s="99" t="str">
        <f t="shared" si="32"/>
        <v>ATUAÇÃO TRATATIVACliente4</v>
      </c>
      <c r="B619" s="99" t="s">
        <v>321</v>
      </c>
      <c r="C619" s="99" t="s">
        <v>149</v>
      </c>
      <c r="D619" s="115">
        <v>4</v>
      </c>
      <c r="E619" s="99" t="s">
        <v>982</v>
      </c>
      <c r="F619" s="100">
        <v>0.04</v>
      </c>
      <c r="G619" s="101">
        <f>IF(OR(B619="FIXO",B619="XFIXO"),IF(F619="","ERRO",10*F619)*'[1]BD Campos'!$S$2,IF(F619="","ERRO",10*F619)*'[1]BD Campos'!$S$3)</f>
        <v>0.4</v>
      </c>
      <c r="H619" s="102">
        <v>0.05</v>
      </c>
      <c r="I619" s="103">
        <f t="shared" si="33"/>
        <v>-2.0000000000000004E-2</v>
      </c>
    </row>
    <row r="620" spans="1:9">
      <c r="A620" s="99" t="str">
        <f t="shared" si="32"/>
        <v>ATUAÇÃO TRATATIVACliente5</v>
      </c>
      <c r="B620" s="99" t="s">
        <v>321</v>
      </c>
      <c r="C620" s="99" t="s">
        <v>149</v>
      </c>
      <c r="D620" s="115">
        <v>5</v>
      </c>
      <c r="E620" s="99" t="s">
        <v>1026</v>
      </c>
      <c r="F620" s="100">
        <v>0.13200000000000001</v>
      </c>
      <c r="G620" s="101">
        <f>IF(OR(B620="FIXO",B620="XFIXO"),IF(F620="","ERRO",10*F620)*'[1]BD Campos'!$S$2,IF(F620="","ERRO",10*F620)*'[1]BD Campos'!$S$3)</f>
        <v>1.32</v>
      </c>
      <c r="H620" s="102">
        <v>0.05</v>
      </c>
      <c r="I620" s="103">
        <f t="shared" si="33"/>
        <v>-6.6000000000000003E-2</v>
      </c>
    </row>
    <row r="621" spans="1:9">
      <c r="A621" s="99" t="str">
        <f t="shared" si="32"/>
        <v>ATUAÇÃO TRATATIVACliente6</v>
      </c>
      <c r="B621" s="99" t="s">
        <v>321</v>
      </c>
      <c r="C621" s="99" t="s">
        <v>149</v>
      </c>
      <c r="D621" s="115">
        <v>6</v>
      </c>
      <c r="E621" s="99" t="s">
        <v>1020</v>
      </c>
      <c r="F621" s="100">
        <v>0.1</v>
      </c>
      <c r="G621" s="101">
        <f>IF(OR(B621="FIXO",B621="XFIXO"),IF(F621="","ERRO",10*F621)*'[1]BD Campos'!$S$2,IF(F621="","ERRO",10*F621)*'[1]BD Campos'!$S$3)</f>
        <v>1</v>
      </c>
      <c r="H621" s="102">
        <v>0.05</v>
      </c>
      <c r="I621" s="103">
        <f t="shared" si="33"/>
        <v>-0.05</v>
      </c>
    </row>
    <row r="622" spans="1:9">
      <c r="A622" s="99" t="str">
        <f t="shared" si="32"/>
        <v>ATUAÇÃO TRATATIVACliente7</v>
      </c>
      <c r="B622" s="99" t="s">
        <v>321</v>
      </c>
      <c r="C622" s="99" t="s">
        <v>149</v>
      </c>
      <c r="D622" s="115">
        <v>7</v>
      </c>
      <c r="E622" s="99" t="s">
        <v>1021</v>
      </c>
      <c r="F622" s="100">
        <v>0.1</v>
      </c>
      <c r="G622" s="101">
        <f>IF(OR(B622="FIXO",B622="XFIXO"),IF(F622="","ERRO",10*F622)*'[1]BD Campos'!$S$2,IF(F622="","ERRO",10*F622)*'[1]BD Campos'!$S$3)</f>
        <v>1</v>
      </c>
      <c r="H622" s="102">
        <v>0.05</v>
      </c>
      <c r="I622" s="103">
        <f t="shared" si="33"/>
        <v>-0.05</v>
      </c>
    </row>
    <row r="623" spans="1:9">
      <c r="A623" s="99" t="str">
        <f t="shared" si="32"/>
        <v>ATUAÇÃO TRATATIVACliente8</v>
      </c>
      <c r="B623" s="99" t="s">
        <v>321</v>
      </c>
      <c r="C623" s="99" t="s">
        <v>149</v>
      </c>
      <c r="D623" s="115">
        <v>8</v>
      </c>
      <c r="E623" s="99" t="s">
        <v>1022</v>
      </c>
      <c r="F623" s="100">
        <v>8.5000000000000006E-2</v>
      </c>
      <c r="G623" s="101">
        <f>IF(OR(B623="FIXO",B623="XFIXO"),IF(F623="","ERRO",10*F623)*'[1]BD Campos'!$S$2,IF(F623="","ERRO",10*F623)*'[1]BD Campos'!$S$3)</f>
        <v>0.85000000000000009</v>
      </c>
      <c r="H623" s="102">
        <v>0.05</v>
      </c>
      <c r="I623" s="103">
        <f t="shared" si="33"/>
        <v>-4.250000000000001E-2</v>
      </c>
    </row>
    <row r="624" spans="1:9">
      <c r="A624" s="99" t="str">
        <f t="shared" si="32"/>
        <v>ATUAÇÃO TRATATIVACliente9</v>
      </c>
      <c r="B624" s="99" t="s">
        <v>321</v>
      </c>
      <c r="C624" s="99" t="s">
        <v>149</v>
      </c>
      <c r="D624" s="115">
        <v>9</v>
      </c>
      <c r="E624" s="99" t="s">
        <v>1027</v>
      </c>
      <c r="F624" s="100">
        <v>0.1</v>
      </c>
      <c r="G624" s="101">
        <f>IF(OR(B624="FIXO",B624="XFIXO"),IF(F624="","ERRO",10*F624)*'[1]BD Campos'!$S$2,IF(F624="","ERRO",10*F624)*'[1]BD Campos'!$S$3)</f>
        <v>1</v>
      </c>
      <c r="H624" s="102">
        <v>0.05</v>
      </c>
      <c r="I624" s="103">
        <f t="shared" si="33"/>
        <v>-0.05</v>
      </c>
    </row>
    <row r="625" spans="1:9">
      <c r="A625" s="99" t="str">
        <f t="shared" si="32"/>
        <v>ATUAÇÃO TRATATIVACliente10</v>
      </c>
      <c r="B625" s="99" t="s">
        <v>321</v>
      </c>
      <c r="C625" s="99" t="s">
        <v>149</v>
      </c>
      <c r="D625" s="115">
        <v>10</v>
      </c>
      <c r="E625" s="99" t="s">
        <v>1028</v>
      </c>
      <c r="F625" s="100">
        <v>0.1</v>
      </c>
      <c r="G625" s="101">
        <f>IF(OR(B625="FIXO",B625="XFIXO"),IF(F625="","ERRO",10*F625)*'[1]BD Campos'!$S$2,IF(F625="","ERRO",10*F625)*'[1]BD Campos'!$S$3)</f>
        <v>1</v>
      </c>
      <c r="H625" s="102">
        <v>0.05</v>
      </c>
      <c r="I625" s="103">
        <f t="shared" si="33"/>
        <v>-0.05</v>
      </c>
    </row>
    <row r="626" spans="1:9">
      <c r="A626" s="99" t="str">
        <f t="shared" si="32"/>
        <v>ATUAÇÃO TRATATIVACliente11</v>
      </c>
      <c r="B626" s="99" t="s">
        <v>321</v>
      </c>
      <c r="C626" s="99" t="s">
        <v>149</v>
      </c>
      <c r="D626" s="115">
        <v>11</v>
      </c>
      <c r="E626" s="99" t="s">
        <v>1029</v>
      </c>
      <c r="F626" s="100">
        <v>0.1</v>
      </c>
      <c r="G626" s="101">
        <f>IF(OR(B626="FIXO",B626="XFIXO"),IF(F626="","ERRO",10*F626)*'[1]BD Campos'!$S$2,IF(F626="","ERRO",10*F626)*'[1]BD Campos'!$S$3)</f>
        <v>1</v>
      </c>
      <c r="H626" s="102">
        <v>0.05</v>
      </c>
      <c r="I626" s="103">
        <f t="shared" si="33"/>
        <v>-0.05</v>
      </c>
    </row>
    <row r="627" spans="1:9">
      <c r="A627" s="99" t="str">
        <f t="shared" si="32"/>
        <v>ATUAÇÃO TRATATIVACliente12</v>
      </c>
      <c r="B627" s="99" t="s">
        <v>321</v>
      </c>
      <c r="C627" s="99" t="s">
        <v>149</v>
      </c>
      <c r="D627" s="115">
        <v>12</v>
      </c>
      <c r="E627" s="99" t="s">
        <v>1030</v>
      </c>
      <c r="F627" s="100">
        <v>7.8E-2</v>
      </c>
      <c r="G627" s="101">
        <f>IF(OR(B627="FIXO",B627="XFIXO"),IF(F627="","ERRO",10*F627)*'[1]BD Campos'!$S$2,IF(F627="","ERRO",10*F627)*'[1]BD Campos'!$S$3)</f>
        <v>0.78</v>
      </c>
      <c r="H627" s="102">
        <v>0.05</v>
      </c>
      <c r="I627" s="103">
        <f t="shared" si="33"/>
        <v>-3.9000000000000007E-2</v>
      </c>
    </row>
    <row r="628" spans="1:9">
      <c r="A628" s="99" t="str">
        <f t="shared" si="32"/>
        <v>ATUAÇÃO TRATATIVACliente13</v>
      </c>
      <c r="B628" s="99" t="s">
        <v>321</v>
      </c>
      <c r="C628" s="99" t="s">
        <v>149</v>
      </c>
      <c r="D628" s="115">
        <v>13</v>
      </c>
      <c r="E628" s="99" t="s">
        <v>964</v>
      </c>
      <c r="F628" s="100">
        <v>0.03</v>
      </c>
      <c r="G628" s="101">
        <f>IF(OR(B628="FIXO",B628="XFIXO"),IF(F628="","ERRO",10*F628)*'[1]BD Campos'!$S$2,IF(F628="","ERRO",10*F628)*'[1]BD Campos'!$S$3)</f>
        <v>0.3</v>
      </c>
      <c r="H628" s="102">
        <v>0.05</v>
      </c>
      <c r="I628" s="103">
        <f t="shared" si="33"/>
        <v>-1.4999999999999999E-2</v>
      </c>
    </row>
    <row r="629" spans="1:9">
      <c r="A629" s="99" t="str">
        <f t="shared" si="32"/>
        <v>ATUAÇÃO TRATATIVACliente14</v>
      </c>
      <c r="B629" s="99" t="s">
        <v>321</v>
      </c>
      <c r="C629" s="99" t="s">
        <v>149</v>
      </c>
      <c r="D629" s="115">
        <v>14</v>
      </c>
      <c r="E629" s="99" t="s">
        <v>965</v>
      </c>
      <c r="F629" s="100">
        <v>0.03</v>
      </c>
      <c r="G629" s="101">
        <f>IF(OR(B629="FIXO",B629="XFIXO"),IF(F629="","ERRO",10*F629)*'[1]BD Campos'!$S$2,IF(F629="","ERRO",10*F629)*'[1]BD Campos'!$S$3)</f>
        <v>0.3</v>
      </c>
      <c r="H629" s="102">
        <v>0.05</v>
      </c>
      <c r="I629" s="103">
        <f t="shared" si="33"/>
        <v>-1.4999999999999999E-2</v>
      </c>
    </row>
    <row r="630" spans="1:9">
      <c r="A630" s="99" t="str">
        <f t="shared" si="32"/>
        <v>ATUAÇÃO TRATATIVACliente15</v>
      </c>
      <c r="B630" s="99" t="s">
        <v>321</v>
      </c>
      <c r="C630" s="99" t="s">
        <v>149</v>
      </c>
      <c r="D630" s="115">
        <v>15</v>
      </c>
      <c r="E630" s="99" t="s">
        <v>966</v>
      </c>
      <c r="F630" s="100">
        <v>1.4999999999999999E-2</v>
      </c>
      <c r="G630" s="101">
        <f>IF(OR(B630="FIXO",B630="XFIXO"),IF(F630="","ERRO",10*F630)*'[1]BD Campos'!$S$2,IF(F630="","ERRO",10*F630)*'[1]BD Campos'!$S$3)</f>
        <v>0.15</v>
      </c>
      <c r="H630" s="102">
        <v>0.05</v>
      </c>
      <c r="I630" s="103">
        <f t="shared" si="33"/>
        <v>-7.4999999999999997E-3</v>
      </c>
    </row>
    <row r="631" spans="1:9">
      <c r="A631" s="99" t="str">
        <f t="shared" si="32"/>
        <v>ATUAÇÃO TRATATIVACliente16</v>
      </c>
      <c r="B631" s="99" t="s">
        <v>321</v>
      </c>
      <c r="C631" s="99" t="s">
        <v>149</v>
      </c>
      <c r="D631" s="115">
        <v>16</v>
      </c>
      <c r="E631" s="99" t="s">
        <v>968</v>
      </c>
      <c r="F631" s="100">
        <v>0.02</v>
      </c>
      <c r="G631" s="101">
        <f>IF(OR(B631="FIXO",B631="XFIXO"),IF(F631="","ERRO",10*F631)*'[1]BD Campos'!$S$2,IF(F631="","ERRO",10*F631)*'[1]BD Campos'!$S$3)</f>
        <v>0.2</v>
      </c>
      <c r="H631" s="102">
        <v>0.05</v>
      </c>
      <c r="I631" s="103">
        <f t="shared" si="33"/>
        <v>-1.0000000000000002E-2</v>
      </c>
    </row>
    <row r="632" spans="1:9">
      <c r="A632" s="99" t="str">
        <f t="shared" si="32"/>
        <v>ATUAÇÃO TRATATIVACliente17</v>
      </c>
      <c r="B632" s="99" t="s">
        <v>321</v>
      </c>
      <c r="C632" s="99" t="s">
        <v>149</v>
      </c>
      <c r="D632" s="115">
        <v>17</v>
      </c>
      <c r="E632" s="99" t="s">
        <v>1012</v>
      </c>
      <c r="F632" s="100">
        <v>0.03</v>
      </c>
      <c r="G632" s="101">
        <f>IF(OR(B632="FIXO",B632="XFIXO"),IF(F632="","ERRO",10*F632)*'[1]BD Campos'!$S$2,IF(F632="","ERRO",10*F632)*'[1]BD Campos'!$S$3)</f>
        <v>0.3</v>
      </c>
      <c r="H632" s="102">
        <v>0.05</v>
      </c>
      <c r="I632" s="103">
        <f t="shared" si="33"/>
        <v>-1.4999999999999999E-2</v>
      </c>
    </row>
    <row r="633" spans="1:9">
      <c r="A633" s="104" t="str">
        <f t="shared" si="32"/>
        <v>ATUAÇÃO TRATATIVACliente18</v>
      </c>
      <c r="B633" s="104" t="s">
        <v>321</v>
      </c>
      <c r="C633" s="104" t="s">
        <v>149</v>
      </c>
      <c r="D633" s="116">
        <v>18</v>
      </c>
      <c r="E633" s="104" t="s">
        <v>969</v>
      </c>
      <c r="F633" s="105">
        <v>0.01</v>
      </c>
      <c r="G633" s="106">
        <f>IF(OR(B633="FIXO",B633="XFIXO"),IF(F633="","ERRO",10*F633)*'[1]BD Campos'!$S$2,IF(F633="","ERRO",10*F633)*'[1]BD Campos'!$S$3)</f>
        <v>0.1</v>
      </c>
      <c r="H633" s="107">
        <v>0.05</v>
      </c>
      <c r="I633" s="108">
        <f t="shared" si="33"/>
        <v>-5.000000000000001E-3</v>
      </c>
    </row>
    <row r="634" spans="1:9">
      <c r="A634" s="99" t="str">
        <f t="shared" si="32"/>
        <v>ATUAÇÃO TRATATIVACliente 21</v>
      </c>
      <c r="B634" s="99" t="s">
        <v>321</v>
      </c>
      <c r="C634" s="99" t="s">
        <v>322</v>
      </c>
      <c r="D634" s="115">
        <v>1</v>
      </c>
      <c r="E634" s="99" t="s">
        <v>954</v>
      </c>
      <c r="F634" s="100">
        <v>0.01</v>
      </c>
      <c r="G634" s="101">
        <f>IF(OR(B634="FIXO",B634="XFIXO"),IF(F634="","ERRO",10*F634)*'[1]BD Campos'!$S$2,IF(F634="","ERRO",10*F634)*'[1]BD Campos'!$S$3)</f>
        <v>0.1</v>
      </c>
      <c r="H634" s="102">
        <v>0.05</v>
      </c>
      <c r="I634" s="103">
        <f t="shared" si="33"/>
        <v>-5.000000000000001E-3</v>
      </c>
    </row>
    <row r="635" spans="1:9">
      <c r="A635" s="99" t="str">
        <f t="shared" si="32"/>
        <v>ATUAÇÃO TRATATIVACliente 22</v>
      </c>
      <c r="B635" s="99" t="s">
        <v>321</v>
      </c>
      <c r="C635" s="99" t="s">
        <v>322</v>
      </c>
      <c r="D635" s="115">
        <v>2</v>
      </c>
      <c r="E635" s="99" t="s">
        <v>955</v>
      </c>
      <c r="F635" s="100">
        <v>0.01</v>
      </c>
      <c r="G635" s="101">
        <f>IF(OR(B635="FIXO",B635="XFIXO"),IF(F635="","ERRO",10*F635)*'[1]BD Campos'!$S$2,IF(F635="","ERRO",10*F635)*'[1]BD Campos'!$S$3)</f>
        <v>0.1</v>
      </c>
      <c r="H635" s="102">
        <v>0.05</v>
      </c>
      <c r="I635" s="103">
        <f t="shared" si="33"/>
        <v>-5.000000000000001E-3</v>
      </c>
    </row>
    <row r="636" spans="1:9">
      <c r="A636" s="99" t="str">
        <f t="shared" si="32"/>
        <v>ATUAÇÃO TRATATIVACliente 23</v>
      </c>
      <c r="B636" s="99" t="s">
        <v>321</v>
      </c>
      <c r="C636" s="99" t="s">
        <v>322</v>
      </c>
      <c r="D636" s="115">
        <v>3</v>
      </c>
      <c r="E636" s="99" t="s">
        <v>956</v>
      </c>
      <c r="F636" s="100">
        <v>0.01</v>
      </c>
      <c r="G636" s="101">
        <f>IF(OR(B636="FIXO",B636="XFIXO"),IF(F636="","ERRO",10*F636)*'[1]BD Campos'!$S$2,IF(F636="","ERRO",10*F636)*'[1]BD Campos'!$S$3)</f>
        <v>0.1</v>
      </c>
      <c r="H636" s="102">
        <v>0.05</v>
      </c>
      <c r="I636" s="103">
        <f t="shared" si="33"/>
        <v>-5.000000000000001E-3</v>
      </c>
    </row>
    <row r="637" spans="1:9">
      <c r="A637" s="99" t="str">
        <f t="shared" si="32"/>
        <v>ATUAÇÃO TRATATIVACliente 24</v>
      </c>
      <c r="B637" s="99" t="s">
        <v>321</v>
      </c>
      <c r="C637" s="99" t="s">
        <v>322</v>
      </c>
      <c r="D637" s="115">
        <v>4</v>
      </c>
      <c r="E637" s="99" t="s">
        <v>982</v>
      </c>
      <c r="F637" s="100">
        <v>0.04</v>
      </c>
      <c r="G637" s="101">
        <f>IF(OR(B637="FIXO",B637="XFIXO"),IF(F637="","ERRO",10*F637)*'[1]BD Campos'!$S$2,IF(F637="","ERRO",10*F637)*'[1]BD Campos'!$S$3)</f>
        <v>0.4</v>
      </c>
      <c r="H637" s="102">
        <v>0.05</v>
      </c>
      <c r="I637" s="103">
        <f t="shared" si="33"/>
        <v>-2.0000000000000004E-2</v>
      </c>
    </row>
    <row r="638" spans="1:9">
      <c r="A638" s="99" t="str">
        <f t="shared" si="32"/>
        <v>ATUAÇÃO TRATATIVACliente 25</v>
      </c>
      <c r="B638" s="99" t="s">
        <v>321</v>
      </c>
      <c r="C638" s="99" t="s">
        <v>322</v>
      </c>
      <c r="D638" s="115">
        <v>5</v>
      </c>
      <c r="E638" s="99" t="s">
        <v>1026</v>
      </c>
      <c r="F638" s="100">
        <v>0.13200000000000001</v>
      </c>
      <c r="G638" s="101">
        <f>IF(OR(B638="FIXO",B638="XFIXO"),IF(F638="","ERRO",10*F638)*'[1]BD Campos'!$S$2,IF(F638="","ERRO",10*F638)*'[1]BD Campos'!$S$3)</f>
        <v>1.32</v>
      </c>
      <c r="H638" s="102">
        <v>0.05</v>
      </c>
      <c r="I638" s="103">
        <f t="shared" si="33"/>
        <v>-6.6000000000000003E-2</v>
      </c>
    </row>
    <row r="639" spans="1:9">
      <c r="A639" s="99" t="str">
        <f t="shared" si="32"/>
        <v>ATUAÇÃO TRATATIVACliente 26</v>
      </c>
      <c r="B639" s="99" t="s">
        <v>321</v>
      </c>
      <c r="C639" s="99" t="s">
        <v>322</v>
      </c>
      <c r="D639" s="115">
        <v>6</v>
      </c>
      <c r="E639" s="99" t="s">
        <v>1020</v>
      </c>
      <c r="F639" s="100">
        <v>0.1</v>
      </c>
      <c r="G639" s="101">
        <f>IF(OR(B639="FIXO",B639="XFIXO"),IF(F639="","ERRO",10*F639)*'[1]BD Campos'!$S$2,IF(F639="","ERRO",10*F639)*'[1]BD Campos'!$S$3)</f>
        <v>1</v>
      </c>
      <c r="H639" s="102">
        <v>0.05</v>
      </c>
      <c r="I639" s="103">
        <f t="shared" si="33"/>
        <v>-0.05</v>
      </c>
    </row>
    <row r="640" spans="1:9">
      <c r="A640" s="99" t="str">
        <f t="shared" si="32"/>
        <v>ATUAÇÃO TRATATIVACliente 27</v>
      </c>
      <c r="B640" s="99" t="s">
        <v>321</v>
      </c>
      <c r="C640" s="99" t="s">
        <v>322</v>
      </c>
      <c r="D640" s="115">
        <v>7</v>
      </c>
      <c r="E640" s="99" t="s">
        <v>1021</v>
      </c>
      <c r="F640" s="100">
        <v>0.1</v>
      </c>
      <c r="G640" s="101">
        <f>IF(OR(B640="FIXO",B640="XFIXO"),IF(F640="","ERRO",10*F640)*'[1]BD Campos'!$S$2,IF(F640="","ERRO",10*F640)*'[1]BD Campos'!$S$3)</f>
        <v>1</v>
      </c>
      <c r="H640" s="102">
        <v>0.05</v>
      </c>
      <c r="I640" s="103">
        <f t="shared" si="33"/>
        <v>-0.05</v>
      </c>
    </row>
    <row r="641" spans="1:9">
      <c r="A641" s="99" t="str">
        <f t="shared" si="32"/>
        <v>ATUAÇÃO TRATATIVACliente 28</v>
      </c>
      <c r="B641" s="99" t="s">
        <v>321</v>
      </c>
      <c r="C641" s="99" t="s">
        <v>322</v>
      </c>
      <c r="D641" s="115">
        <v>8</v>
      </c>
      <c r="E641" s="99" t="s">
        <v>1022</v>
      </c>
      <c r="F641" s="100">
        <v>8.5000000000000006E-2</v>
      </c>
      <c r="G641" s="101">
        <f>IF(OR(B641="FIXO",B641="XFIXO"),IF(F641="","ERRO",10*F641)*'[1]BD Campos'!$S$2,IF(F641="","ERRO",10*F641)*'[1]BD Campos'!$S$3)</f>
        <v>0.85000000000000009</v>
      </c>
      <c r="H641" s="102">
        <v>0.05</v>
      </c>
      <c r="I641" s="103">
        <f t="shared" si="33"/>
        <v>-4.250000000000001E-2</v>
      </c>
    </row>
    <row r="642" spans="1:9">
      <c r="A642" s="99" t="str">
        <f t="shared" si="32"/>
        <v>ATUAÇÃO TRATATIVACliente 29</v>
      </c>
      <c r="B642" s="99" t="s">
        <v>321</v>
      </c>
      <c r="C642" s="99" t="s">
        <v>322</v>
      </c>
      <c r="D642" s="115">
        <v>9</v>
      </c>
      <c r="E642" s="99" t="s">
        <v>1027</v>
      </c>
      <c r="F642" s="100">
        <v>0.1</v>
      </c>
      <c r="G642" s="101">
        <f>IF(OR(B642="FIXO",B642="XFIXO"),IF(F642="","ERRO",10*F642)*'[1]BD Campos'!$S$2,IF(F642="","ERRO",10*F642)*'[1]BD Campos'!$S$3)</f>
        <v>1</v>
      </c>
      <c r="H642" s="102">
        <v>0.05</v>
      </c>
      <c r="I642" s="103">
        <f t="shared" si="33"/>
        <v>-0.05</v>
      </c>
    </row>
    <row r="643" spans="1:9">
      <c r="A643" s="99" t="str">
        <f t="shared" si="32"/>
        <v>ATUAÇÃO TRATATIVACliente 210</v>
      </c>
      <c r="B643" s="99" t="s">
        <v>321</v>
      </c>
      <c r="C643" s="99" t="s">
        <v>322</v>
      </c>
      <c r="D643" s="115">
        <v>10</v>
      </c>
      <c r="E643" s="99" t="s">
        <v>1028</v>
      </c>
      <c r="F643" s="100">
        <v>0.1</v>
      </c>
      <c r="G643" s="101">
        <f>IF(OR(B643="FIXO",B643="XFIXO"),IF(F643="","ERRO",10*F643)*'[1]BD Campos'!$S$2,IF(F643="","ERRO",10*F643)*'[1]BD Campos'!$S$3)</f>
        <v>1</v>
      </c>
      <c r="H643" s="102">
        <v>0.05</v>
      </c>
      <c r="I643" s="103">
        <f t="shared" si="33"/>
        <v>-0.05</v>
      </c>
    </row>
    <row r="644" spans="1:9">
      <c r="A644" s="99" t="str">
        <f t="shared" si="32"/>
        <v>ATUAÇÃO TRATATIVACliente 211</v>
      </c>
      <c r="B644" s="99" t="s">
        <v>321</v>
      </c>
      <c r="C644" s="99" t="s">
        <v>322</v>
      </c>
      <c r="D644" s="115">
        <v>11</v>
      </c>
      <c r="E644" s="99" t="s">
        <v>1029</v>
      </c>
      <c r="F644" s="100">
        <v>0.1</v>
      </c>
      <c r="G644" s="101">
        <f>IF(OR(B644="FIXO",B644="XFIXO"),IF(F644="","ERRO",10*F644)*'[1]BD Campos'!$S$2,IF(F644="","ERRO",10*F644)*'[1]BD Campos'!$S$3)</f>
        <v>1</v>
      </c>
      <c r="H644" s="102">
        <v>0.05</v>
      </c>
      <c r="I644" s="103">
        <f t="shared" si="33"/>
        <v>-0.05</v>
      </c>
    </row>
    <row r="645" spans="1:9">
      <c r="A645" s="99" t="str">
        <f t="shared" si="32"/>
        <v>ATUAÇÃO TRATATIVACliente 212</v>
      </c>
      <c r="B645" s="99" t="s">
        <v>321</v>
      </c>
      <c r="C645" s="99" t="s">
        <v>322</v>
      </c>
      <c r="D645" s="115">
        <v>12</v>
      </c>
      <c r="E645" s="99" t="s">
        <v>1030</v>
      </c>
      <c r="F645" s="100">
        <v>7.8E-2</v>
      </c>
      <c r="G645" s="101">
        <f>IF(OR(B645="FIXO",B645="XFIXO"),IF(F645="","ERRO",10*F645)*'[1]BD Campos'!$S$2,IF(F645="","ERRO",10*F645)*'[1]BD Campos'!$S$3)</f>
        <v>0.78</v>
      </c>
      <c r="H645" s="102">
        <v>0.05</v>
      </c>
      <c r="I645" s="103">
        <f t="shared" si="33"/>
        <v>-3.9000000000000007E-2</v>
      </c>
    </row>
    <row r="646" spans="1:9">
      <c r="A646" s="99" t="str">
        <f t="shared" si="32"/>
        <v>ATUAÇÃO TRATATIVACliente 213</v>
      </c>
      <c r="B646" s="99" t="s">
        <v>321</v>
      </c>
      <c r="C646" s="99" t="s">
        <v>322</v>
      </c>
      <c r="D646" s="115">
        <v>13</v>
      </c>
      <c r="E646" s="99" t="s">
        <v>964</v>
      </c>
      <c r="F646" s="100">
        <v>0.03</v>
      </c>
      <c r="G646" s="101">
        <f>IF(OR(B646="FIXO",B646="XFIXO"),IF(F646="","ERRO",10*F646)*'[1]BD Campos'!$S$2,IF(F646="","ERRO",10*F646)*'[1]BD Campos'!$S$3)</f>
        <v>0.3</v>
      </c>
      <c r="H646" s="102">
        <v>0.05</v>
      </c>
      <c r="I646" s="103">
        <f t="shared" si="33"/>
        <v>-1.4999999999999999E-2</v>
      </c>
    </row>
    <row r="647" spans="1:9">
      <c r="A647" s="99" t="str">
        <f t="shared" si="32"/>
        <v>ATUAÇÃO TRATATIVACliente 214</v>
      </c>
      <c r="B647" s="99" t="s">
        <v>321</v>
      </c>
      <c r="C647" s="99" t="s">
        <v>322</v>
      </c>
      <c r="D647" s="115">
        <v>14</v>
      </c>
      <c r="E647" s="99" t="s">
        <v>965</v>
      </c>
      <c r="F647" s="100">
        <v>0.03</v>
      </c>
      <c r="G647" s="101">
        <f>IF(OR(B647="FIXO",B647="XFIXO"),IF(F647="","ERRO",10*F647)*'[1]BD Campos'!$S$2,IF(F647="","ERRO",10*F647)*'[1]BD Campos'!$S$3)</f>
        <v>0.3</v>
      </c>
      <c r="H647" s="102">
        <v>0.05</v>
      </c>
      <c r="I647" s="103">
        <f t="shared" si="33"/>
        <v>-1.4999999999999999E-2</v>
      </c>
    </row>
    <row r="648" spans="1:9">
      <c r="A648" s="99" t="str">
        <f t="shared" si="32"/>
        <v>ATUAÇÃO TRATATIVACliente 215</v>
      </c>
      <c r="B648" s="99" t="s">
        <v>321</v>
      </c>
      <c r="C648" s="99" t="s">
        <v>322</v>
      </c>
      <c r="D648" s="115">
        <v>15</v>
      </c>
      <c r="E648" s="99" t="s">
        <v>966</v>
      </c>
      <c r="F648" s="100">
        <v>1.4999999999999999E-2</v>
      </c>
      <c r="G648" s="101">
        <f>IF(OR(B648="FIXO",B648="XFIXO"),IF(F648="","ERRO",10*F648)*'[1]BD Campos'!$S$2,IF(F648="","ERRO",10*F648)*'[1]BD Campos'!$S$3)</f>
        <v>0.15</v>
      </c>
      <c r="H648" s="102">
        <v>0.05</v>
      </c>
      <c r="I648" s="103">
        <f t="shared" si="33"/>
        <v>-7.4999999999999997E-3</v>
      </c>
    </row>
    <row r="649" spans="1:9">
      <c r="A649" s="99" t="str">
        <f t="shared" si="32"/>
        <v>ATUAÇÃO TRATATIVACliente 216</v>
      </c>
      <c r="B649" s="99" t="s">
        <v>321</v>
      </c>
      <c r="C649" s="99" t="s">
        <v>322</v>
      </c>
      <c r="D649" s="115">
        <v>16</v>
      </c>
      <c r="E649" s="99" t="s">
        <v>968</v>
      </c>
      <c r="F649" s="100">
        <v>0.02</v>
      </c>
      <c r="G649" s="101">
        <f>IF(OR(B649="FIXO",B649="XFIXO"),IF(F649="","ERRO",10*F649)*'[1]BD Campos'!$S$2,IF(F649="","ERRO",10*F649)*'[1]BD Campos'!$S$3)</f>
        <v>0.2</v>
      </c>
      <c r="H649" s="102">
        <v>0.05</v>
      </c>
      <c r="I649" s="103">
        <f t="shared" si="33"/>
        <v>-1.0000000000000002E-2</v>
      </c>
    </row>
    <row r="650" spans="1:9">
      <c r="A650" s="99" t="str">
        <f t="shared" si="32"/>
        <v>ATUAÇÃO TRATATIVACliente 217</v>
      </c>
      <c r="B650" s="99" t="s">
        <v>321</v>
      </c>
      <c r="C650" s="99" t="s">
        <v>322</v>
      </c>
      <c r="D650" s="115">
        <v>17</v>
      </c>
      <c r="E650" s="99" t="s">
        <v>1012</v>
      </c>
      <c r="F650" s="100">
        <v>0.03</v>
      </c>
      <c r="G650" s="101">
        <f>IF(OR(B650="FIXO",B650="XFIXO"),IF(F650="","ERRO",10*F650)*'[1]BD Campos'!$S$2,IF(F650="","ERRO",10*F650)*'[1]BD Campos'!$S$3)</f>
        <v>0.3</v>
      </c>
      <c r="H650" s="102">
        <v>0.05</v>
      </c>
      <c r="I650" s="103">
        <f t="shared" si="33"/>
        <v>-1.4999999999999999E-2</v>
      </c>
    </row>
    <row r="651" spans="1:9">
      <c r="A651" s="104" t="str">
        <f t="shared" si="32"/>
        <v>ATUAÇÃO TRATATIVACliente 218</v>
      </c>
      <c r="B651" s="104" t="s">
        <v>321</v>
      </c>
      <c r="C651" s="104" t="s">
        <v>322</v>
      </c>
      <c r="D651" s="116">
        <v>18</v>
      </c>
      <c r="E651" s="104" t="s">
        <v>969</v>
      </c>
      <c r="F651" s="105">
        <v>0.01</v>
      </c>
      <c r="G651" s="106">
        <f>IF(OR(B651="FIXO",B651="XFIXO"),IF(F651="","ERRO",10*F651)*'[1]BD Campos'!$S$2,IF(F651="","ERRO",10*F651)*'[1]BD Campos'!$S$3)</f>
        <v>0.1</v>
      </c>
      <c r="H651" s="107">
        <v>0.05</v>
      </c>
      <c r="I651" s="108">
        <f t="shared" si="33"/>
        <v>-5.000000000000001E-3</v>
      </c>
    </row>
    <row r="652" spans="1:9">
      <c r="A652" s="99" t="str">
        <f>B652&amp;C652&amp;D652</f>
        <v>DISTRIBUIÇÃOCliente1</v>
      </c>
      <c r="B652" s="99" t="s">
        <v>94</v>
      </c>
      <c r="C652" s="99" t="s">
        <v>149</v>
      </c>
      <c r="D652" s="115">
        <v>1</v>
      </c>
      <c r="E652" s="99" t="s">
        <v>954</v>
      </c>
      <c r="F652" s="100">
        <v>0.01</v>
      </c>
      <c r="G652" s="101">
        <f>IF(OR(B652="FIXO",B652="XFIXO"),IF(F652="","ERRO",10*F652)*'[1]BD Campos'!$S$2,IF(F652="","ERRO",10*F652)*'[1]BD Campos'!$S$3)</f>
        <v>0.1</v>
      </c>
      <c r="H652" s="102">
        <v>0.05</v>
      </c>
      <c r="I652" s="103">
        <f>H652*G652*-1</f>
        <v>-5.000000000000001E-3</v>
      </c>
    </row>
    <row r="653" spans="1:9">
      <c r="A653" s="99" t="str">
        <f t="shared" ref="A653:A683" si="34">B653&amp;C653&amp;D653</f>
        <v>DISTRIBUIÇÃOCliente2</v>
      </c>
      <c r="B653" s="99" t="s">
        <v>94</v>
      </c>
      <c r="C653" s="99" t="s">
        <v>149</v>
      </c>
      <c r="D653" s="115">
        <v>2</v>
      </c>
      <c r="E653" s="99" t="s">
        <v>955</v>
      </c>
      <c r="F653" s="100">
        <v>0.01</v>
      </c>
      <c r="G653" s="101">
        <f>IF(OR(B653="FIXO",B653="XFIXO"),IF(F653="","ERRO",10*F653)*'[1]BD Campos'!$S$2,IF(F653="","ERRO",10*F653)*'[1]BD Campos'!$S$3)</f>
        <v>0.1</v>
      </c>
      <c r="H653" s="102">
        <v>0.05</v>
      </c>
      <c r="I653" s="103">
        <f t="shared" ref="I653:I683" si="35">H653*G653*-1</f>
        <v>-5.000000000000001E-3</v>
      </c>
    </row>
    <row r="654" spans="1:9">
      <c r="A654" s="99" t="str">
        <f t="shared" si="34"/>
        <v>DISTRIBUIÇÃOCliente3</v>
      </c>
      <c r="B654" s="99" t="s">
        <v>94</v>
      </c>
      <c r="C654" s="99" t="s">
        <v>149</v>
      </c>
      <c r="D654" s="115">
        <v>3</v>
      </c>
      <c r="E654" s="99" t="s">
        <v>956</v>
      </c>
      <c r="F654" s="100">
        <v>0.01</v>
      </c>
      <c r="G654" s="101">
        <f>IF(OR(B654="FIXO",B654="XFIXO"),IF(F654="","ERRO",10*F654)*'[1]BD Campos'!$S$2,IF(F654="","ERRO",10*F654)*'[1]BD Campos'!$S$3)</f>
        <v>0.1</v>
      </c>
      <c r="H654" s="102">
        <v>0.05</v>
      </c>
      <c r="I654" s="103">
        <f t="shared" si="35"/>
        <v>-5.000000000000001E-3</v>
      </c>
    </row>
    <row r="655" spans="1:9">
      <c r="A655" s="99" t="str">
        <f t="shared" si="34"/>
        <v>DISTRIBUIÇÃOCliente4</v>
      </c>
      <c r="B655" s="99" t="s">
        <v>94</v>
      </c>
      <c r="C655" s="99" t="s">
        <v>149</v>
      </c>
      <c r="D655" s="115">
        <v>4</v>
      </c>
      <c r="E655" s="99" t="s">
        <v>982</v>
      </c>
      <c r="F655" s="100">
        <v>0.04</v>
      </c>
      <c r="G655" s="101">
        <f>IF(OR(B655="FIXO",B655="XFIXO"),IF(F655="","ERRO",10*F655)*'[1]BD Campos'!$S$2,IF(F655="","ERRO",10*F655)*'[1]BD Campos'!$S$3)</f>
        <v>0.4</v>
      </c>
      <c r="H655" s="102">
        <v>0.05</v>
      </c>
      <c r="I655" s="103">
        <f t="shared" si="35"/>
        <v>-2.0000000000000004E-2</v>
      </c>
    </row>
    <row r="656" spans="1:9">
      <c r="A656" s="99" t="str">
        <f t="shared" si="34"/>
        <v>DISTRIBUIÇÃOCliente5</v>
      </c>
      <c r="B656" s="99" t="s">
        <v>94</v>
      </c>
      <c r="C656" s="99" t="s">
        <v>149</v>
      </c>
      <c r="D656" s="115">
        <v>5</v>
      </c>
      <c r="E656" s="99" t="s">
        <v>1026</v>
      </c>
      <c r="F656" s="100">
        <v>0.13500000000000001</v>
      </c>
      <c r="G656" s="101">
        <f>IF(OR(B656="FIXO",B656="XFIXO"),IF(F656="","ERRO",10*F656)*'[1]BD Campos'!$S$2,IF(F656="","ERRO",10*F656)*'[1]BD Campos'!$S$3)</f>
        <v>1.35</v>
      </c>
      <c r="H656" s="102">
        <v>0.05</v>
      </c>
      <c r="I656" s="103">
        <f t="shared" si="35"/>
        <v>-6.7500000000000004E-2</v>
      </c>
    </row>
    <row r="657" spans="1:9">
      <c r="A657" s="99" t="str">
        <f t="shared" si="34"/>
        <v>DISTRIBUIÇÃOCliente6</v>
      </c>
      <c r="B657" s="99" t="s">
        <v>94</v>
      </c>
      <c r="C657" s="99" t="s">
        <v>149</v>
      </c>
      <c r="D657" s="115">
        <v>6</v>
      </c>
      <c r="E657" s="99" t="s">
        <v>1031</v>
      </c>
      <c r="F657" s="100">
        <v>0.13200000000000001</v>
      </c>
      <c r="G657" s="101">
        <f>IF(OR(B657="FIXO",B657="XFIXO"),IF(F657="","ERRO",10*F657)*'[1]BD Campos'!$S$2,IF(F657="","ERRO",10*F657)*'[1]BD Campos'!$S$3)</f>
        <v>1.32</v>
      </c>
      <c r="H657" s="102">
        <v>0.05</v>
      </c>
      <c r="I657" s="103">
        <f t="shared" si="35"/>
        <v>-6.6000000000000003E-2</v>
      </c>
    </row>
    <row r="658" spans="1:9">
      <c r="A658" s="99" t="str">
        <f t="shared" si="34"/>
        <v>DISTRIBUIÇÃOCliente7</v>
      </c>
      <c r="B658" s="99" t="s">
        <v>94</v>
      </c>
      <c r="C658" s="99" t="s">
        <v>149</v>
      </c>
      <c r="D658" s="115">
        <v>7</v>
      </c>
      <c r="E658" s="99" t="s">
        <v>1032</v>
      </c>
      <c r="F658" s="100">
        <v>0.13200000000000001</v>
      </c>
      <c r="G658" s="101">
        <f>IF(OR(B658="FIXO",B658="XFIXO"),IF(F658="","ERRO",10*F658)*'[1]BD Campos'!$S$2,IF(F658="","ERRO",10*F658)*'[1]BD Campos'!$S$3)</f>
        <v>1.32</v>
      </c>
      <c r="H658" s="102">
        <v>0.05</v>
      </c>
      <c r="I658" s="103">
        <f t="shared" si="35"/>
        <v>-6.6000000000000003E-2</v>
      </c>
    </row>
    <row r="659" spans="1:9">
      <c r="A659" s="99" t="str">
        <f t="shared" si="34"/>
        <v>DISTRIBUIÇÃOCliente8</v>
      </c>
      <c r="B659" s="99" t="s">
        <v>94</v>
      </c>
      <c r="C659" s="99" t="s">
        <v>149</v>
      </c>
      <c r="D659" s="115">
        <v>8</v>
      </c>
      <c r="E659" s="99" t="s">
        <v>1033</v>
      </c>
      <c r="F659" s="100">
        <v>0.13200000000000001</v>
      </c>
      <c r="G659" s="101">
        <f>IF(OR(B659="FIXO",B659="XFIXO"),IF(F659="","ERRO",10*F659)*'[1]BD Campos'!$S$2,IF(F659="","ERRO",10*F659)*'[1]BD Campos'!$S$3)</f>
        <v>1.32</v>
      </c>
      <c r="H659" s="102">
        <v>0.05</v>
      </c>
      <c r="I659" s="103">
        <f t="shared" si="35"/>
        <v>-6.6000000000000003E-2</v>
      </c>
    </row>
    <row r="660" spans="1:9">
      <c r="A660" s="99" t="str">
        <f t="shared" si="34"/>
        <v>DISTRIBUIÇÃOCliente9</v>
      </c>
      <c r="B660" s="99" t="s">
        <v>94</v>
      </c>
      <c r="C660" s="99" t="s">
        <v>149</v>
      </c>
      <c r="D660" s="115">
        <v>9</v>
      </c>
      <c r="E660" s="99" t="s">
        <v>1028</v>
      </c>
      <c r="F660" s="100">
        <v>0.13200000000000001</v>
      </c>
      <c r="G660" s="101">
        <f>IF(OR(B660="FIXO",B660="XFIXO"),IF(F660="","ERRO",10*F660)*'[1]BD Campos'!$S$2,IF(F660="","ERRO",10*F660)*'[1]BD Campos'!$S$3)</f>
        <v>1.32</v>
      </c>
      <c r="H660" s="102">
        <v>0.05</v>
      </c>
      <c r="I660" s="103">
        <f t="shared" si="35"/>
        <v>-6.6000000000000003E-2</v>
      </c>
    </row>
    <row r="661" spans="1:9">
      <c r="A661" s="99" t="str">
        <f t="shared" si="34"/>
        <v>DISTRIBUIÇÃOCliente10</v>
      </c>
      <c r="B661" s="99" t="s">
        <v>94</v>
      </c>
      <c r="C661" s="99" t="s">
        <v>149</v>
      </c>
      <c r="D661" s="115">
        <v>10</v>
      </c>
      <c r="E661" s="99" t="s">
        <v>1023</v>
      </c>
      <c r="F661" s="100">
        <v>0.13200000000000001</v>
      </c>
      <c r="G661" s="101">
        <f>IF(OR(B661="FIXO",B661="XFIXO"),IF(F661="","ERRO",10*F661)*'[1]BD Campos'!$S$2,IF(F661="","ERRO",10*F661)*'[1]BD Campos'!$S$3)</f>
        <v>1.32</v>
      </c>
      <c r="H661" s="102">
        <v>0.05</v>
      </c>
      <c r="I661" s="103">
        <f t="shared" si="35"/>
        <v>-6.6000000000000003E-2</v>
      </c>
    </row>
    <row r="662" spans="1:9">
      <c r="A662" s="99" t="str">
        <f t="shared" si="34"/>
        <v>DISTRIBUIÇÃOCliente11</v>
      </c>
      <c r="B662" s="99" t="s">
        <v>94</v>
      </c>
      <c r="C662" s="99" t="s">
        <v>149</v>
      </c>
      <c r="D662" s="115">
        <v>11</v>
      </c>
      <c r="E662" s="99" t="s">
        <v>964</v>
      </c>
      <c r="F662" s="100">
        <v>0.03</v>
      </c>
      <c r="G662" s="101">
        <f>IF(OR(B662="FIXO",B662="XFIXO"),IF(F662="","ERRO",10*F662)*'[1]BD Campos'!$S$2,IF(F662="","ERRO",10*F662)*'[1]BD Campos'!$S$3)</f>
        <v>0.3</v>
      </c>
      <c r="H662" s="102">
        <v>0.05</v>
      </c>
      <c r="I662" s="103">
        <f t="shared" si="35"/>
        <v>-1.4999999999999999E-2</v>
      </c>
    </row>
    <row r="663" spans="1:9">
      <c r="A663" s="99" t="str">
        <f t="shared" si="34"/>
        <v>DISTRIBUIÇÃOCliente12</v>
      </c>
      <c r="B663" s="99" t="s">
        <v>94</v>
      </c>
      <c r="C663" s="99" t="s">
        <v>149</v>
      </c>
      <c r="D663" s="115">
        <v>12</v>
      </c>
      <c r="E663" s="99" t="s">
        <v>965</v>
      </c>
      <c r="F663" s="100">
        <v>0.03</v>
      </c>
      <c r="G663" s="101">
        <f>IF(OR(B663="FIXO",B663="XFIXO"),IF(F663="","ERRO",10*F663)*'[1]BD Campos'!$S$2,IF(F663="","ERRO",10*F663)*'[1]BD Campos'!$S$3)</f>
        <v>0.3</v>
      </c>
      <c r="H663" s="102">
        <v>0.05</v>
      </c>
      <c r="I663" s="103">
        <f t="shared" si="35"/>
        <v>-1.4999999999999999E-2</v>
      </c>
    </row>
    <row r="664" spans="1:9">
      <c r="A664" s="99" t="str">
        <f t="shared" si="34"/>
        <v>DISTRIBUIÇÃOCliente13</v>
      </c>
      <c r="B664" s="99" t="s">
        <v>94</v>
      </c>
      <c r="C664" s="99" t="s">
        <v>149</v>
      </c>
      <c r="D664" s="115">
        <v>13</v>
      </c>
      <c r="E664" s="99" t="s">
        <v>966</v>
      </c>
      <c r="F664" s="100">
        <v>1.4999999999999999E-2</v>
      </c>
      <c r="G664" s="101">
        <f>IF(OR(B664="FIXO",B664="XFIXO"),IF(F664="","ERRO",10*F664)*'[1]BD Campos'!$S$2,IF(F664="","ERRO",10*F664)*'[1]BD Campos'!$S$3)</f>
        <v>0.15</v>
      </c>
      <c r="H664" s="102">
        <v>0.05</v>
      </c>
      <c r="I664" s="103">
        <f t="shared" si="35"/>
        <v>-7.4999999999999997E-3</v>
      </c>
    </row>
    <row r="665" spans="1:9">
      <c r="A665" s="99" t="str">
        <f t="shared" si="34"/>
        <v>DISTRIBUIÇÃOCliente14</v>
      </c>
      <c r="B665" s="99" t="s">
        <v>94</v>
      </c>
      <c r="C665" s="99" t="s">
        <v>149</v>
      </c>
      <c r="D665" s="115">
        <v>14</v>
      </c>
      <c r="E665" s="99" t="s">
        <v>968</v>
      </c>
      <c r="F665" s="100">
        <v>0.02</v>
      </c>
      <c r="G665" s="101">
        <f>IF(OR(B665="FIXO",B665="XFIXO"),IF(F665="","ERRO",10*F665)*'[1]BD Campos'!$S$2,IF(F665="","ERRO",10*F665)*'[1]BD Campos'!$S$3)</f>
        <v>0.2</v>
      </c>
      <c r="H665" s="102">
        <v>0.05</v>
      </c>
      <c r="I665" s="103">
        <f t="shared" si="35"/>
        <v>-1.0000000000000002E-2</v>
      </c>
    </row>
    <row r="666" spans="1:9">
      <c r="A666" s="99" t="str">
        <f t="shared" si="34"/>
        <v>DISTRIBUIÇÃOCliente15</v>
      </c>
      <c r="B666" s="99" t="s">
        <v>94</v>
      </c>
      <c r="C666" s="99" t="s">
        <v>149</v>
      </c>
      <c r="D666" s="115">
        <v>15</v>
      </c>
      <c r="E666" s="99" t="s">
        <v>1012</v>
      </c>
      <c r="F666" s="100">
        <v>0.03</v>
      </c>
      <c r="G666" s="101">
        <f>IF(OR(B666="FIXO",B666="XFIXO"),IF(F666="","ERRO",10*F666)*'[1]BD Campos'!$S$2,IF(F666="","ERRO",10*F666)*'[1]BD Campos'!$S$3)</f>
        <v>0.3</v>
      </c>
      <c r="H666" s="102">
        <v>0.05</v>
      </c>
      <c r="I666" s="103">
        <f t="shared" si="35"/>
        <v>-1.4999999999999999E-2</v>
      </c>
    </row>
    <row r="667" spans="1:9">
      <c r="A667" s="104" t="str">
        <f t="shared" si="34"/>
        <v>DISTRIBUIÇÃOCliente16</v>
      </c>
      <c r="B667" s="104" t="s">
        <v>94</v>
      </c>
      <c r="C667" s="104" t="s">
        <v>149</v>
      </c>
      <c r="D667" s="116">
        <v>16</v>
      </c>
      <c r="E667" s="104" t="s">
        <v>969</v>
      </c>
      <c r="F667" s="105">
        <v>0.01</v>
      </c>
      <c r="G667" s="106">
        <f>IF(OR(B667="FIXO",B667="XFIXO"),IF(F667="","ERRO",10*F667)*'[1]BD Campos'!$S$2,IF(F667="","ERRO",10*F667)*'[1]BD Campos'!$S$3)</f>
        <v>0.1</v>
      </c>
      <c r="H667" s="107">
        <v>0.05</v>
      </c>
      <c r="I667" s="108">
        <f t="shared" si="35"/>
        <v>-5.000000000000001E-3</v>
      </c>
    </row>
    <row r="668" spans="1:9">
      <c r="A668" s="99" t="str">
        <f t="shared" si="34"/>
        <v>DISTRIBUIÇÃOCliente 21</v>
      </c>
      <c r="B668" s="99" t="s">
        <v>94</v>
      </c>
      <c r="C668" s="99" t="s">
        <v>322</v>
      </c>
      <c r="D668" s="115">
        <v>1</v>
      </c>
      <c r="E668" s="99" t="s">
        <v>954</v>
      </c>
      <c r="F668" s="100">
        <v>0.01</v>
      </c>
      <c r="G668" s="101">
        <f>IF(OR(B668="FIXO",B668="XFIXO"),IF(F668="","ERRO",10*F668)*'[1]BD Campos'!$S$2,IF(F668="","ERRO",10*F668)*'[1]BD Campos'!$S$3)</f>
        <v>0.1</v>
      </c>
      <c r="H668" s="102">
        <v>0.05</v>
      </c>
      <c r="I668" s="103">
        <f t="shared" si="35"/>
        <v>-5.000000000000001E-3</v>
      </c>
    </row>
    <row r="669" spans="1:9">
      <c r="A669" s="99" t="str">
        <f t="shared" si="34"/>
        <v>DISTRIBUIÇÃOCliente 22</v>
      </c>
      <c r="B669" s="99" t="s">
        <v>94</v>
      </c>
      <c r="C669" s="99" t="s">
        <v>322</v>
      </c>
      <c r="D669" s="115">
        <v>2</v>
      </c>
      <c r="E669" s="99" t="s">
        <v>955</v>
      </c>
      <c r="F669" s="100">
        <v>0.01</v>
      </c>
      <c r="G669" s="101">
        <f>IF(OR(B669="FIXO",B669="XFIXO"),IF(F669="","ERRO",10*F669)*'[1]BD Campos'!$S$2,IF(F669="","ERRO",10*F669)*'[1]BD Campos'!$S$3)</f>
        <v>0.1</v>
      </c>
      <c r="H669" s="102">
        <v>0.05</v>
      </c>
      <c r="I669" s="103">
        <f t="shared" si="35"/>
        <v>-5.000000000000001E-3</v>
      </c>
    </row>
    <row r="670" spans="1:9">
      <c r="A670" s="99" t="str">
        <f t="shared" si="34"/>
        <v>DISTRIBUIÇÃOCliente 23</v>
      </c>
      <c r="B670" s="99" t="s">
        <v>94</v>
      </c>
      <c r="C670" s="99" t="s">
        <v>322</v>
      </c>
      <c r="D670" s="115">
        <v>3</v>
      </c>
      <c r="E670" s="99" t="s">
        <v>956</v>
      </c>
      <c r="F670" s="100">
        <v>0.01</v>
      </c>
      <c r="G670" s="101">
        <f>IF(OR(B670="FIXO",B670="XFIXO"),IF(F670="","ERRO",10*F670)*'[1]BD Campos'!$S$2,IF(F670="","ERRO",10*F670)*'[1]BD Campos'!$S$3)</f>
        <v>0.1</v>
      </c>
      <c r="H670" s="102">
        <v>0.05</v>
      </c>
      <c r="I670" s="103">
        <f t="shared" si="35"/>
        <v>-5.000000000000001E-3</v>
      </c>
    </row>
    <row r="671" spans="1:9">
      <c r="A671" s="99" t="str">
        <f t="shared" si="34"/>
        <v>DISTRIBUIÇÃOCliente 24</v>
      </c>
      <c r="B671" s="99" t="s">
        <v>94</v>
      </c>
      <c r="C671" s="99" t="s">
        <v>322</v>
      </c>
      <c r="D671" s="115">
        <v>4</v>
      </c>
      <c r="E671" s="99" t="s">
        <v>982</v>
      </c>
      <c r="F671" s="100">
        <v>0.04</v>
      </c>
      <c r="G671" s="101">
        <f>IF(OR(B671="FIXO",B671="XFIXO"),IF(F671="","ERRO",10*F671)*'[1]BD Campos'!$S$2,IF(F671="","ERRO",10*F671)*'[1]BD Campos'!$S$3)</f>
        <v>0.4</v>
      </c>
      <c r="H671" s="102">
        <v>0.05</v>
      </c>
      <c r="I671" s="103">
        <f t="shared" si="35"/>
        <v>-2.0000000000000004E-2</v>
      </c>
    </row>
    <row r="672" spans="1:9">
      <c r="A672" s="99" t="str">
        <f t="shared" si="34"/>
        <v>DISTRIBUIÇÃOCliente 25</v>
      </c>
      <c r="B672" s="99" t="s">
        <v>94</v>
      </c>
      <c r="C672" s="99" t="s">
        <v>322</v>
      </c>
      <c r="D672" s="115">
        <v>5</v>
      </c>
      <c r="E672" s="99" t="s">
        <v>1026</v>
      </c>
      <c r="F672" s="100">
        <v>0.13500000000000001</v>
      </c>
      <c r="G672" s="101">
        <f>IF(OR(B672="FIXO",B672="XFIXO"),IF(F672="","ERRO",10*F672)*'[1]BD Campos'!$S$2,IF(F672="","ERRO",10*F672)*'[1]BD Campos'!$S$3)</f>
        <v>1.35</v>
      </c>
      <c r="H672" s="102">
        <v>0.05</v>
      </c>
      <c r="I672" s="103">
        <f t="shared" si="35"/>
        <v>-6.7500000000000004E-2</v>
      </c>
    </row>
    <row r="673" spans="1:9">
      <c r="A673" s="99" t="str">
        <f t="shared" si="34"/>
        <v>DISTRIBUIÇÃOCliente 26</v>
      </c>
      <c r="B673" s="99" t="s">
        <v>94</v>
      </c>
      <c r="C673" s="99" t="s">
        <v>322</v>
      </c>
      <c r="D673" s="115">
        <v>6</v>
      </c>
      <c r="E673" s="99" t="s">
        <v>1031</v>
      </c>
      <c r="F673" s="100">
        <v>0.13200000000000001</v>
      </c>
      <c r="G673" s="101">
        <f>IF(OR(B673="FIXO",B673="XFIXO"),IF(F673="","ERRO",10*F673)*'[1]BD Campos'!$S$2,IF(F673="","ERRO",10*F673)*'[1]BD Campos'!$S$3)</f>
        <v>1.32</v>
      </c>
      <c r="H673" s="102">
        <v>0.05</v>
      </c>
      <c r="I673" s="103">
        <f t="shared" si="35"/>
        <v>-6.6000000000000003E-2</v>
      </c>
    </row>
    <row r="674" spans="1:9">
      <c r="A674" s="99" t="str">
        <f t="shared" si="34"/>
        <v>DISTRIBUIÇÃOCliente 27</v>
      </c>
      <c r="B674" s="99" t="s">
        <v>94</v>
      </c>
      <c r="C674" s="99" t="s">
        <v>322</v>
      </c>
      <c r="D674" s="115">
        <v>7</v>
      </c>
      <c r="E674" s="99" t="s">
        <v>1032</v>
      </c>
      <c r="F674" s="100">
        <v>0.13200000000000001</v>
      </c>
      <c r="G674" s="101">
        <f>IF(OR(B674="FIXO",B674="XFIXO"),IF(F674="","ERRO",10*F674)*'[1]BD Campos'!$S$2,IF(F674="","ERRO",10*F674)*'[1]BD Campos'!$S$3)</f>
        <v>1.32</v>
      </c>
      <c r="H674" s="102">
        <v>0.05</v>
      </c>
      <c r="I674" s="103">
        <f t="shared" si="35"/>
        <v>-6.6000000000000003E-2</v>
      </c>
    </row>
    <row r="675" spans="1:9">
      <c r="A675" s="99" t="str">
        <f t="shared" si="34"/>
        <v>DISTRIBUIÇÃOCliente 28</v>
      </c>
      <c r="B675" s="99" t="s">
        <v>94</v>
      </c>
      <c r="C675" s="99" t="s">
        <v>322</v>
      </c>
      <c r="D675" s="115">
        <v>8</v>
      </c>
      <c r="E675" s="99" t="s">
        <v>1033</v>
      </c>
      <c r="F675" s="100">
        <v>0.13200000000000001</v>
      </c>
      <c r="G675" s="101">
        <f>IF(OR(B675="FIXO",B675="XFIXO"),IF(F675="","ERRO",10*F675)*'[1]BD Campos'!$S$2,IF(F675="","ERRO",10*F675)*'[1]BD Campos'!$S$3)</f>
        <v>1.32</v>
      </c>
      <c r="H675" s="102">
        <v>0.05</v>
      </c>
      <c r="I675" s="103">
        <f t="shared" si="35"/>
        <v>-6.6000000000000003E-2</v>
      </c>
    </row>
    <row r="676" spans="1:9">
      <c r="A676" s="99" t="str">
        <f t="shared" si="34"/>
        <v>DISTRIBUIÇÃOCliente 29</v>
      </c>
      <c r="B676" s="99" t="s">
        <v>94</v>
      </c>
      <c r="C676" s="99" t="s">
        <v>322</v>
      </c>
      <c r="D676" s="115">
        <v>9</v>
      </c>
      <c r="E676" s="99" t="s">
        <v>1028</v>
      </c>
      <c r="F676" s="100">
        <v>0.13200000000000001</v>
      </c>
      <c r="G676" s="101">
        <f>IF(OR(B676="FIXO",B676="XFIXO"),IF(F676="","ERRO",10*F676)*'[1]BD Campos'!$S$2,IF(F676="","ERRO",10*F676)*'[1]BD Campos'!$S$3)</f>
        <v>1.32</v>
      </c>
      <c r="H676" s="102">
        <v>0.05</v>
      </c>
      <c r="I676" s="103">
        <f t="shared" si="35"/>
        <v>-6.6000000000000003E-2</v>
      </c>
    </row>
    <row r="677" spans="1:9">
      <c r="A677" s="99" t="str">
        <f t="shared" si="34"/>
        <v>DISTRIBUIÇÃOCliente 210</v>
      </c>
      <c r="B677" s="99" t="s">
        <v>94</v>
      </c>
      <c r="C677" s="99" t="s">
        <v>322</v>
      </c>
      <c r="D677" s="115">
        <v>10</v>
      </c>
      <c r="E677" s="99" t="s">
        <v>1023</v>
      </c>
      <c r="F677" s="100">
        <v>0.13200000000000001</v>
      </c>
      <c r="G677" s="101">
        <f>IF(OR(B677="FIXO",B677="XFIXO"),IF(F677="","ERRO",10*F677)*'[1]BD Campos'!$S$2,IF(F677="","ERRO",10*F677)*'[1]BD Campos'!$S$3)</f>
        <v>1.32</v>
      </c>
      <c r="H677" s="102">
        <v>0.05</v>
      </c>
      <c r="I677" s="103">
        <f t="shared" si="35"/>
        <v>-6.6000000000000003E-2</v>
      </c>
    </row>
    <row r="678" spans="1:9">
      <c r="A678" s="99" t="str">
        <f t="shared" si="34"/>
        <v>DISTRIBUIÇÃOCliente 211</v>
      </c>
      <c r="B678" s="99" t="s">
        <v>94</v>
      </c>
      <c r="C678" s="99" t="s">
        <v>322</v>
      </c>
      <c r="D678" s="115">
        <v>11</v>
      </c>
      <c r="E678" s="99" t="s">
        <v>964</v>
      </c>
      <c r="F678" s="100">
        <v>0.03</v>
      </c>
      <c r="G678" s="101">
        <f>IF(OR(B678="FIXO",B678="XFIXO"),IF(F678="","ERRO",10*F678)*'[1]BD Campos'!$S$2,IF(F678="","ERRO",10*F678)*'[1]BD Campos'!$S$3)</f>
        <v>0.3</v>
      </c>
      <c r="H678" s="102">
        <v>0.05</v>
      </c>
      <c r="I678" s="103">
        <f t="shared" si="35"/>
        <v>-1.4999999999999999E-2</v>
      </c>
    </row>
    <row r="679" spans="1:9">
      <c r="A679" s="99" t="str">
        <f t="shared" si="34"/>
        <v>DISTRIBUIÇÃOCliente 212</v>
      </c>
      <c r="B679" s="99" t="s">
        <v>94</v>
      </c>
      <c r="C679" s="99" t="s">
        <v>322</v>
      </c>
      <c r="D679" s="115">
        <v>12</v>
      </c>
      <c r="E679" s="99" t="s">
        <v>965</v>
      </c>
      <c r="F679" s="100">
        <v>0.03</v>
      </c>
      <c r="G679" s="101">
        <f>IF(OR(B679="FIXO",B679="XFIXO"),IF(F679="","ERRO",10*F679)*'[1]BD Campos'!$S$2,IF(F679="","ERRO",10*F679)*'[1]BD Campos'!$S$3)</f>
        <v>0.3</v>
      </c>
      <c r="H679" s="102">
        <v>0.05</v>
      </c>
      <c r="I679" s="103">
        <f t="shared" si="35"/>
        <v>-1.4999999999999999E-2</v>
      </c>
    </row>
    <row r="680" spans="1:9">
      <c r="A680" s="99" t="str">
        <f t="shared" si="34"/>
        <v>DISTRIBUIÇÃOCliente 213</v>
      </c>
      <c r="B680" s="99" t="s">
        <v>94</v>
      </c>
      <c r="C680" s="99" t="s">
        <v>322</v>
      </c>
      <c r="D680" s="115">
        <v>13</v>
      </c>
      <c r="E680" s="99" t="s">
        <v>966</v>
      </c>
      <c r="F680" s="100">
        <v>1.4999999999999999E-2</v>
      </c>
      <c r="G680" s="101">
        <f>IF(OR(B680="FIXO",B680="XFIXO"),IF(F680="","ERRO",10*F680)*'[1]BD Campos'!$S$2,IF(F680="","ERRO",10*F680)*'[1]BD Campos'!$S$3)</f>
        <v>0.15</v>
      </c>
      <c r="H680" s="102">
        <v>0.05</v>
      </c>
      <c r="I680" s="103">
        <f t="shared" si="35"/>
        <v>-7.4999999999999997E-3</v>
      </c>
    </row>
    <row r="681" spans="1:9">
      <c r="A681" s="99" t="str">
        <f t="shared" si="34"/>
        <v>DISTRIBUIÇÃOCliente 214</v>
      </c>
      <c r="B681" s="99" t="s">
        <v>94</v>
      </c>
      <c r="C681" s="99" t="s">
        <v>322</v>
      </c>
      <c r="D681" s="115">
        <v>14</v>
      </c>
      <c r="E681" s="99" t="s">
        <v>968</v>
      </c>
      <c r="F681" s="100">
        <v>0.02</v>
      </c>
      <c r="G681" s="101">
        <f>IF(OR(B681="FIXO",B681="XFIXO"),IF(F681="","ERRO",10*F681)*'[1]BD Campos'!$S$2,IF(F681="","ERRO",10*F681)*'[1]BD Campos'!$S$3)</f>
        <v>0.2</v>
      </c>
      <c r="H681" s="102">
        <v>0.05</v>
      </c>
      <c r="I681" s="103">
        <f t="shared" si="35"/>
        <v>-1.0000000000000002E-2</v>
      </c>
    </row>
    <row r="682" spans="1:9">
      <c r="A682" s="99" t="str">
        <f t="shared" si="34"/>
        <v>DISTRIBUIÇÃOCliente 215</v>
      </c>
      <c r="B682" s="99" t="s">
        <v>94</v>
      </c>
      <c r="C682" s="99" t="s">
        <v>322</v>
      </c>
      <c r="D682" s="115">
        <v>15</v>
      </c>
      <c r="E682" s="99" t="s">
        <v>1012</v>
      </c>
      <c r="F682" s="100">
        <v>0.03</v>
      </c>
      <c r="G682" s="101">
        <f>IF(OR(B682="FIXO",B682="XFIXO"),IF(F682="","ERRO",10*F682)*'[1]BD Campos'!$S$2,IF(F682="","ERRO",10*F682)*'[1]BD Campos'!$S$3)</f>
        <v>0.3</v>
      </c>
      <c r="H682" s="102">
        <v>0.05</v>
      </c>
      <c r="I682" s="103">
        <f t="shared" si="35"/>
        <v>-1.4999999999999999E-2</v>
      </c>
    </row>
    <row r="683" spans="1:9">
      <c r="A683" s="104" t="str">
        <f t="shared" si="34"/>
        <v>DISTRIBUIÇÃOCliente 216</v>
      </c>
      <c r="B683" s="104" t="s">
        <v>94</v>
      </c>
      <c r="C683" s="104" t="s">
        <v>322</v>
      </c>
      <c r="D683" s="116">
        <v>16</v>
      </c>
      <c r="E683" s="104" t="s">
        <v>969</v>
      </c>
      <c r="F683" s="105">
        <v>0.01</v>
      </c>
      <c r="G683" s="106">
        <f>IF(OR(B683="FIXO",B683="XFIXO"),IF(F683="","ERRO",10*F683)*'[1]BD Campos'!$S$2,IF(F683="","ERRO",10*F683)*'[1]BD Campos'!$S$3)</f>
        <v>0.1</v>
      </c>
      <c r="H683" s="107">
        <v>0.05</v>
      </c>
      <c r="I683" s="108">
        <f t="shared" si="35"/>
        <v>-5.000000000000001E-3</v>
      </c>
    </row>
    <row r="684" spans="1:9">
      <c r="A684" s="99" t="str">
        <f>B684&amp;C684&amp;D684</f>
        <v>LOSS TREECliente1</v>
      </c>
      <c r="B684" s="99" t="s">
        <v>789</v>
      </c>
      <c r="C684" s="99" t="s">
        <v>149</v>
      </c>
      <c r="D684" s="115">
        <v>1</v>
      </c>
      <c r="E684" s="99" t="s">
        <v>954</v>
      </c>
      <c r="F684" s="100">
        <v>0.01</v>
      </c>
      <c r="G684" s="101">
        <f>IF(OR(B684="FIXO",B684="XFIXO"),IF(F684="","ERRO",10*F684)*'[1]BD Campos'!$S$2,IF(F684="","ERRO",10*F684)*'[1]BD Campos'!$S$3)</f>
        <v>0.1</v>
      </c>
      <c r="H684" s="102">
        <v>0.05</v>
      </c>
      <c r="I684" s="103">
        <f>H684*G684*-1</f>
        <v>-5.000000000000001E-3</v>
      </c>
    </row>
    <row r="685" spans="1:9">
      <c r="A685" s="99" t="str">
        <f t="shared" ref="A685:A713" si="36">B685&amp;C685&amp;D685</f>
        <v>LOSS TREECliente2</v>
      </c>
      <c r="B685" s="99" t="s">
        <v>789</v>
      </c>
      <c r="C685" s="99" t="s">
        <v>149</v>
      </c>
      <c r="D685" s="115">
        <v>2</v>
      </c>
      <c r="E685" s="99" t="s">
        <v>955</v>
      </c>
      <c r="F685" s="100">
        <v>0.01</v>
      </c>
      <c r="G685" s="101">
        <f>IF(OR(B685="FIXO",B685="XFIXO"),IF(F685="","ERRO",10*F685)*'[1]BD Campos'!$S$2,IF(F685="","ERRO",10*F685)*'[1]BD Campos'!$S$3)</f>
        <v>0.1</v>
      </c>
      <c r="H685" s="102">
        <v>0.05</v>
      </c>
      <c r="I685" s="103">
        <f t="shared" ref="I685:I713" si="37">H685*G685*-1</f>
        <v>-5.000000000000001E-3</v>
      </c>
    </row>
    <row r="686" spans="1:9">
      <c r="A686" s="99" t="str">
        <f t="shared" si="36"/>
        <v>LOSS TREECliente3</v>
      </c>
      <c r="B686" s="99" t="s">
        <v>789</v>
      </c>
      <c r="C686" s="99" t="s">
        <v>149</v>
      </c>
      <c r="D686" s="115">
        <v>3</v>
      </c>
      <c r="E686" s="99" t="s">
        <v>956</v>
      </c>
      <c r="F686" s="100">
        <v>0.01</v>
      </c>
      <c r="G686" s="101">
        <f>IF(OR(B686="FIXO",B686="XFIXO"),IF(F686="","ERRO",10*F686)*'[1]BD Campos'!$S$2,IF(F686="","ERRO",10*F686)*'[1]BD Campos'!$S$3)</f>
        <v>0.1</v>
      </c>
      <c r="H686" s="102">
        <v>0.05</v>
      </c>
      <c r="I686" s="103">
        <f t="shared" si="37"/>
        <v>-5.000000000000001E-3</v>
      </c>
    </row>
    <row r="687" spans="1:9">
      <c r="A687" s="99" t="str">
        <f t="shared" si="36"/>
        <v>LOSS TREECliente4</v>
      </c>
      <c r="B687" s="99" t="s">
        <v>789</v>
      </c>
      <c r="C687" s="99" t="s">
        <v>149</v>
      </c>
      <c r="D687" s="115">
        <v>4</v>
      </c>
      <c r="E687" s="99" t="s">
        <v>982</v>
      </c>
      <c r="F687" s="100">
        <v>0.04</v>
      </c>
      <c r="G687" s="101">
        <f>IF(OR(B687="FIXO",B687="XFIXO"),IF(F687="","ERRO",10*F687)*'[1]BD Campos'!$S$2,IF(F687="","ERRO",10*F687)*'[1]BD Campos'!$S$3)</f>
        <v>0.4</v>
      </c>
      <c r="H687" s="102">
        <v>0.05</v>
      </c>
      <c r="I687" s="103">
        <f t="shared" si="37"/>
        <v>-2.0000000000000004E-2</v>
      </c>
    </row>
    <row r="688" spans="1:9">
      <c r="A688" s="99" t="str">
        <f t="shared" si="36"/>
        <v>LOSS TREECliente5</v>
      </c>
      <c r="B688" s="99" t="s">
        <v>789</v>
      </c>
      <c r="C688" s="99" t="s">
        <v>149</v>
      </c>
      <c r="D688" s="115">
        <v>5</v>
      </c>
      <c r="E688" s="99" t="s">
        <v>1026</v>
      </c>
      <c r="F688" s="100">
        <v>0.159</v>
      </c>
      <c r="G688" s="101">
        <f>IF(OR(B688="FIXO",B688="XFIXO"),IF(F688="","ERRO",10*F688)*'[1]BD Campos'!$S$2,IF(F688="","ERRO",10*F688)*'[1]BD Campos'!$S$3)</f>
        <v>1.59</v>
      </c>
      <c r="H688" s="102">
        <v>0.05</v>
      </c>
      <c r="I688" s="103">
        <f t="shared" si="37"/>
        <v>-7.9500000000000015E-2</v>
      </c>
    </row>
    <row r="689" spans="1:9">
      <c r="A689" s="99" t="str">
        <f t="shared" si="36"/>
        <v>LOSS TREECliente6</v>
      </c>
      <c r="B689" s="99" t="s">
        <v>789</v>
      </c>
      <c r="C689" s="99" t="s">
        <v>149</v>
      </c>
      <c r="D689" s="115">
        <v>6</v>
      </c>
      <c r="E689" s="99" t="s">
        <v>1032</v>
      </c>
      <c r="F689" s="100">
        <v>0.159</v>
      </c>
      <c r="G689" s="101">
        <f>IF(OR(B689="FIXO",B689="XFIXO"),IF(F689="","ERRO",10*F689)*'[1]BD Campos'!$S$2,IF(F689="","ERRO",10*F689)*'[1]BD Campos'!$S$3)</f>
        <v>1.59</v>
      </c>
      <c r="H689" s="102">
        <v>0.05</v>
      </c>
      <c r="I689" s="103">
        <f t="shared" si="37"/>
        <v>-7.9500000000000015E-2</v>
      </c>
    </row>
    <row r="690" spans="1:9">
      <c r="A690" s="99" t="str">
        <f t="shared" si="36"/>
        <v>LOSS TREECliente7</v>
      </c>
      <c r="B690" s="99" t="s">
        <v>789</v>
      </c>
      <c r="C690" s="99" t="s">
        <v>149</v>
      </c>
      <c r="D690" s="115">
        <v>7</v>
      </c>
      <c r="E690" s="99" t="s">
        <v>1034</v>
      </c>
      <c r="F690" s="100">
        <v>0.159</v>
      </c>
      <c r="G690" s="101">
        <f>IF(OR(B690="FIXO",B690="XFIXO"),IF(F690="","ERRO",10*F690)*'[1]BD Campos'!$S$2,IF(F690="","ERRO",10*F690)*'[1]BD Campos'!$S$3)</f>
        <v>1.59</v>
      </c>
      <c r="H690" s="102">
        <v>0.05</v>
      </c>
      <c r="I690" s="103">
        <f t="shared" si="37"/>
        <v>-7.9500000000000015E-2</v>
      </c>
    </row>
    <row r="691" spans="1:9">
      <c r="A691" s="99" t="str">
        <f t="shared" si="36"/>
        <v>LOSS TREECliente8</v>
      </c>
      <c r="B691" s="99" t="s">
        <v>789</v>
      </c>
      <c r="C691" s="99" t="s">
        <v>149</v>
      </c>
      <c r="D691" s="115">
        <v>8</v>
      </c>
      <c r="E691" s="99" t="s">
        <v>1035</v>
      </c>
      <c r="F691" s="100">
        <v>0.159</v>
      </c>
      <c r="G691" s="101">
        <f>IF(OR(B691="FIXO",B691="XFIXO"),IF(F691="","ERRO",10*F691)*'[1]BD Campos'!$S$2,IF(F691="","ERRO",10*F691)*'[1]BD Campos'!$S$3)</f>
        <v>1.59</v>
      </c>
      <c r="H691" s="102">
        <v>0.05</v>
      </c>
      <c r="I691" s="103">
        <f t="shared" si="37"/>
        <v>-7.9500000000000015E-2</v>
      </c>
    </row>
    <row r="692" spans="1:9">
      <c r="A692" s="99" t="str">
        <f t="shared" si="36"/>
        <v>LOSS TREECliente9</v>
      </c>
      <c r="B692" s="99" t="s">
        <v>789</v>
      </c>
      <c r="C692" s="99" t="s">
        <v>149</v>
      </c>
      <c r="D692" s="115">
        <v>9</v>
      </c>
      <c r="E692" s="99" t="s">
        <v>1036</v>
      </c>
      <c r="F692" s="100">
        <v>0.159</v>
      </c>
      <c r="G692" s="101">
        <f>IF(OR(B692="FIXO",B692="XFIXO"),IF(F692="","ERRO",10*F692)*'[1]BD Campos'!$S$2,IF(F692="","ERRO",10*F692)*'[1]BD Campos'!$S$3)</f>
        <v>1.59</v>
      </c>
      <c r="H692" s="102">
        <v>0.05</v>
      </c>
      <c r="I692" s="103">
        <f t="shared" si="37"/>
        <v>-7.9500000000000015E-2</v>
      </c>
    </row>
    <row r="693" spans="1:9">
      <c r="A693" s="99" t="str">
        <f t="shared" si="36"/>
        <v>LOSS TREECliente10</v>
      </c>
      <c r="B693" s="99" t="s">
        <v>789</v>
      </c>
      <c r="C693" s="99" t="s">
        <v>149</v>
      </c>
      <c r="D693" s="115">
        <v>10</v>
      </c>
      <c r="E693" s="99" t="s">
        <v>964</v>
      </c>
      <c r="F693" s="100">
        <v>0.03</v>
      </c>
      <c r="G693" s="101">
        <f>IF(OR(B693="FIXO",B693="XFIXO"),IF(F693="","ERRO",10*F693)*'[1]BD Campos'!$S$2,IF(F693="","ERRO",10*F693)*'[1]BD Campos'!$S$3)</f>
        <v>0.3</v>
      </c>
      <c r="H693" s="102">
        <v>0.05</v>
      </c>
      <c r="I693" s="103">
        <f t="shared" si="37"/>
        <v>-1.4999999999999999E-2</v>
      </c>
    </row>
    <row r="694" spans="1:9">
      <c r="A694" s="99" t="str">
        <f t="shared" si="36"/>
        <v>LOSS TREECliente11</v>
      </c>
      <c r="B694" s="99" t="s">
        <v>789</v>
      </c>
      <c r="C694" s="99" t="s">
        <v>149</v>
      </c>
      <c r="D694" s="115">
        <v>11</v>
      </c>
      <c r="E694" s="99" t="s">
        <v>965</v>
      </c>
      <c r="F694" s="100">
        <v>0.03</v>
      </c>
      <c r="G694" s="101">
        <f>IF(OR(B694="FIXO",B694="XFIXO"),IF(F694="","ERRO",10*F694)*'[1]BD Campos'!$S$2,IF(F694="","ERRO",10*F694)*'[1]BD Campos'!$S$3)</f>
        <v>0.3</v>
      </c>
      <c r="H694" s="102">
        <v>0.05</v>
      </c>
      <c r="I694" s="103">
        <f t="shared" si="37"/>
        <v>-1.4999999999999999E-2</v>
      </c>
    </row>
    <row r="695" spans="1:9">
      <c r="A695" s="99" t="str">
        <f t="shared" si="36"/>
        <v>LOSS TREECliente12</v>
      </c>
      <c r="B695" s="99" t="s">
        <v>789</v>
      </c>
      <c r="C695" s="99" t="s">
        <v>149</v>
      </c>
      <c r="D695" s="115">
        <v>12</v>
      </c>
      <c r="E695" s="99" t="s">
        <v>966</v>
      </c>
      <c r="F695" s="100">
        <v>1.4999999999999999E-2</v>
      </c>
      <c r="G695" s="101">
        <f>IF(OR(B695="FIXO",B695="XFIXO"),IF(F695="","ERRO",10*F695)*'[1]BD Campos'!$S$2,IF(F695="","ERRO",10*F695)*'[1]BD Campos'!$S$3)</f>
        <v>0.15</v>
      </c>
      <c r="H695" s="102">
        <v>0.05</v>
      </c>
      <c r="I695" s="103">
        <f t="shared" si="37"/>
        <v>-7.4999999999999997E-3</v>
      </c>
    </row>
    <row r="696" spans="1:9">
      <c r="A696" s="99" t="str">
        <f t="shared" si="36"/>
        <v>LOSS TREECliente13</v>
      </c>
      <c r="B696" s="99" t="s">
        <v>789</v>
      </c>
      <c r="C696" s="99" t="s">
        <v>149</v>
      </c>
      <c r="D696" s="115">
        <v>13</v>
      </c>
      <c r="E696" s="99" t="s">
        <v>968</v>
      </c>
      <c r="F696" s="100">
        <v>0.02</v>
      </c>
      <c r="G696" s="101">
        <f>IF(OR(B696="FIXO",B696="XFIXO"),IF(F696="","ERRO",10*F696)*'[1]BD Campos'!$S$2,IF(F696="","ERRO",10*F696)*'[1]BD Campos'!$S$3)</f>
        <v>0.2</v>
      </c>
      <c r="H696" s="102">
        <v>0.05</v>
      </c>
      <c r="I696" s="103">
        <f t="shared" si="37"/>
        <v>-1.0000000000000002E-2</v>
      </c>
    </row>
    <row r="697" spans="1:9">
      <c r="A697" s="99" t="str">
        <f t="shared" si="36"/>
        <v>LOSS TREECliente14</v>
      </c>
      <c r="B697" s="99" t="s">
        <v>789</v>
      </c>
      <c r="C697" s="99" t="s">
        <v>149</v>
      </c>
      <c r="D697" s="115">
        <v>14</v>
      </c>
      <c r="E697" s="99" t="s">
        <v>1012</v>
      </c>
      <c r="F697" s="100">
        <v>0.03</v>
      </c>
      <c r="G697" s="101">
        <f>IF(OR(B697="FIXO",B697="XFIXO"),IF(F697="","ERRO",10*F697)*'[1]BD Campos'!$S$2,IF(F697="","ERRO",10*F697)*'[1]BD Campos'!$S$3)</f>
        <v>0.3</v>
      </c>
      <c r="H697" s="102">
        <v>0.05</v>
      </c>
      <c r="I697" s="103">
        <f t="shared" si="37"/>
        <v>-1.4999999999999999E-2</v>
      </c>
    </row>
    <row r="698" spans="1:9">
      <c r="A698" s="104" t="str">
        <f t="shared" si="36"/>
        <v>LOSS TREECliente15</v>
      </c>
      <c r="B698" s="104" t="s">
        <v>789</v>
      </c>
      <c r="C698" s="104" t="s">
        <v>149</v>
      </c>
      <c r="D698" s="116">
        <v>15</v>
      </c>
      <c r="E698" s="104" t="s">
        <v>969</v>
      </c>
      <c r="F698" s="105">
        <v>0.01</v>
      </c>
      <c r="G698" s="106">
        <f>IF(OR(B698="FIXO",B698="XFIXO"),IF(F698="","ERRO",10*F698)*'[1]BD Campos'!$S$2,IF(F698="","ERRO",10*F698)*'[1]BD Campos'!$S$3)</f>
        <v>0.1</v>
      </c>
      <c r="H698" s="107">
        <v>0.05</v>
      </c>
      <c r="I698" s="108">
        <f t="shared" si="37"/>
        <v>-5.000000000000001E-3</v>
      </c>
    </row>
    <row r="699" spans="1:9">
      <c r="A699" s="99" t="str">
        <f t="shared" si="36"/>
        <v>LOSS TREECliente 21</v>
      </c>
      <c r="B699" s="99" t="s">
        <v>789</v>
      </c>
      <c r="C699" s="99" t="s">
        <v>322</v>
      </c>
      <c r="D699" s="115">
        <v>1</v>
      </c>
      <c r="E699" s="99" t="s">
        <v>954</v>
      </c>
      <c r="F699" s="100">
        <v>0.01</v>
      </c>
      <c r="G699" s="101">
        <f>IF(OR(B699="FIXO",B699="XFIXO"),IF(F699="","ERRO",10*F699)*'[1]BD Campos'!$S$2,IF(F699="","ERRO",10*F699)*'[1]BD Campos'!$S$3)</f>
        <v>0.1</v>
      </c>
      <c r="H699" s="102">
        <v>0.05</v>
      </c>
      <c r="I699" s="103">
        <f t="shared" si="37"/>
        <v>-5.000000000000001E-3</v>
      </c>
    </row>
    <row r="700" spans="1:9">
      <c r="A700" s="99" t="str">
        <f t="shared" si="36"/>
        <v>LOSS TREECliente 22</v>
      </c>
      <c r="B700" s="99" t="s">
        <v>789</v>
      </c>
      <c r="C700" s="99" t="s">
        <v>322</v>
      </c>
      <c r="D700" s="115">
        <v>2</v>
      </c>
      <c r="E700" s="99" t="s">
        <v>955</v>
      </c>
      <c r="F700" s="100">
        <v>0.01</v>
      </c>
      <c r="G700" s="101">
        <f>IF(OR(B700="FIXO",B700="XFIXO"),IF(F700="","ERRO",10*F700)*'[1]BD Campos'!$S$2,IF(F700="","ERRO",10*F700)*'[1]BD Campos'!$S$3)</f>
        <v>0.1</v>
      </c>
      <c r="H700" s="102">
        <v>0.05</v>
      </c>
      <c r="I700" s="103">
        <f t="shared" si="37"/>
        <v>-5.000000000000001E-3</v>
      </c>
    </row>
    <row r="701" spans="1:9">
      <c r="A701" s="99" t="str">
        <f t="shared" si="36"/>
        <v>LOSS TREECliente 23</v>
      </c>
      <c r="B701" s="99" t="s">
        <v>789</v>
      </c>
      <c r="C701" s="99" t="s">
        <v>322</v>
      </c>
      <c r="D701" s="115">
        <v>3</v>
      </c>
      <c r="E701" s="99" t="s">
        <v>956</v>
      </c>
      <c r="F701" s="100">
        <v>0.01</v>
      </c>
      <c r="G701" s="101">
        <f>IF(OR(B701="FIXO",B701="XFIXO"),IF(F701="","ERRO",10*F701)*'[1]BD Campos'!$S$2,IF(F701="","ERRO",10*F701)*'[1]BD Campos'!$S$3)</f>
        <v>0.1</v>
      </c>
      <c r="H701" s="102">
        <v>0.05</v>
      </c>
      <c r="I701" s="103">
        <f t="shared" si="37"/>
        <v>-5.000000000000001E-3</v>
      </c>
    </row>
    <row r="702" spans="1:9">
      <c r="A702" s="99" t="str">
        <f t="shared" si="36"/>
        <v>LOSS TREECliente 24</v>
      </c>
      <c r="B702" s="99" t="s">
        <v>789</v>
      </c>
      <c r="C702" s="99" t="s">
        <v>322</v>
      </c>
      <c r="D702" s="115">
        <v>4</v>
      </c>
      <c r="E702" s="99" t="s">
        <v>982</v>
      </c>
      <c r="F702" s="100">
        <v>0.04</v>
      </c>
      <c r="G702" s="101">
        <f>IF(OR(B702="FIXO",B702="XFIXO"),IF(F702="","ERRO",10*F702)*'[1]BD Campos'!$S$2,IF(F702="","ERRO",10*F702)*'[1]BD Campos'!$S$3)</f>
        <v>0.4</v>
      </c>
      <c r="H702" s="102">
        <v>0.05</v>
      </c>
      <c r="I702" s="103">
        <f t="shared" si="37"/>
        <v>-2.0000000000000004E-2</v>
      </c>
    </row>
    <row r="703" spans="1:9">
      <c r="A703" s="99" t="str">
        <f t="shared" si="36"/>
        <v>LOSS TREECliente 25</v>
      </c>
      <c r="B703" s="99" t="s">
        <v>789</v>
      </c>
      <c r="C703" s="99" t="s">
        <v>322</v>
      </c>
      <c r="D703" s="115">
        <v>5</v>
      </c>
      <c r="E703" s="99" t="s">
        <v>1026</v>
      </c>
      <c r="F703" s="100">
        <v>0.159</v>
      </c>
      <c r="G703" s="101">
        <f>IF(OR(B703="FIXO",B703="XFIXO"),IF(F703="","ERRO",10*F703)*'[1]BD Campos'!$S$2,IF(F703="","ERRO",10*F703)*'[1]BD Campos'!$S$3)</f>
        <v>1.59</v>
      </c>
      <c r="H703" s="102">
        <v>0.05</v>
      </c>
      <c r="I703" s="103">
        <f t="shared" si="37"/>
        <v>-7.9500000000000015E-2</v>
      </c>
    </row>
    <row r="704" spans="1:9">
      <c r="A704" s="99" t="str">
        <f t="shared" si="36"/>
        <v>LOSS TREECliente 26</v>
      </c>
      <c r="B704" s="99" t="s">
        <v>789</v>
      </c>
      <c r="C704" s="99" t="s">
        <v>322</v>
      </c>
      <c r="D704" s="115">
        <v>6</v>
      </c>
      <c r="E704" s="99" t="s">
        <v>1032</v>
      </c>
      <c r="F704" s="100">
        <v>0.159</v>
      </c>
      <c r="G704" s="101">
        <f>IF(OR(B704="FIXO",B704="XFIXO"),IF(F704="","ERRO",10*F704)*'[1]BD Campos'!$S$2,IF(F704="","ERRO",10*F704)*'[1]BD Campos'!$S$3)</f>
        <v>1.59</v>
      </c>
      <c r="H704" s="102">
        <v>0.05</v>
      </c>
      <c r="I704" s="103">
        <f t="shared" si="37"/>
        <v>-7.9500000000000015E-2</v>
      </c>
    </row>
    <row r="705" spans="1:9">
      <c r="A705" s="99" t="str">
        <f t="shared" si="36"/>
        <v>LOSS TREECliente 27</v>
      </c>
      <c r="B705" s="99" t="s">
        <v>789</v>
      </c>
      <c r="C705" s="99" t="s">
        <v>322</v>
      </c>
      <c r="D705" s="115">
        <v>7</v>
      </c>
      <c r="E705" s="99" t="s">
        <v>1034</v>
      </c>
      <c r="F705" s="100">
        <v>0.159</v>
      </c>
      <c r="G705" s="101">
        <f>IF(OR(B705="FIXO",B705="XFIXO"),IF(F705="","ERRO",10*F705)*'[1]BD Campos'!$S$2,IF(F705="","ERRO",10*F705)*'[1]BD Campos'!$S$3)</f>
        <v>1.59</v>
      </c>
      <c r="H705" s="102">
        <v>0.05</v>
      </c>
      <c r="I705" s="103">
        <f t="shared" si="37"/>
        <v>-7.9500000000000015E-2</v>
      </c>
    </row>
    <row r="706" spans="1:9">
      <c r="A706" s="99" t="str">
        <f t="shared" si="36"/>
        <v>LOSS TREECliente 28</v>
      </c>
      <c r="B706" s="99" t="s">
        <v>789</v>
      </c>
      <c r="C706" s="99" t="s">
        <v>322</v>
      </c>
      <c r="D706" s="115">
        <v>8</v>
      </c>
      <c r="E706" s="99" t="s">
        <v>1035</v>
      </c>
      <c r="F706" s="100">
        <v>0.159</v>
      </c>
      <c r="G706" s="101">
        <f>IF(OR(B706="FIXO",B706="XFIXO"),IF(F706="","ERRO",10*F706)*'[1]BD Campos'!$S$2,IF(F706="","ERRO",10*F706)*'[1]BD Campos'!$S$3)</f>
        <v>1.59</v>
      </c>
      <c r="H706" s="102">
        <v>0.05</v>
      </c>
      <c r="I706" s="103">
        <f t="shared" si="37"/>
        <v>-7.9500000000000015E-2</v>
      </c>
    </row>
    <row r="707" spans="1:9">
      <c r="A707" s="99" t="str">
        <f t="shared" si="36"/>
        <v>LOSS TREECliente 29</v>
      </c>
      <c r="B707" s="99" t="s">
        <v>789</v>
      </c>
      <c r="C707" s="99" t="s">
        <v>322</v>
      </c>
      <c r="D707" s="115">
        <v>9</v>
      </c>
      <c r="E707" s="99" t="s">
        <v>1036</v>
      </c>
      <c r="F707" s="100">
        <v>0.159</v>
      </c>
      <c r="G707" s="101">
        <f>IF(OR(B707="FIXO",B707="XFIXO"),IF(F707="","ERRO",10*F707)*'[1]BD Campos'!$S$2,IF(F707="","ERRO",10*F707)*'[1]BD Campos'!$S$3)</f>
        <v>1.59</v>
      </c>
      <c r="H707" s="102">
        <v>0.05</v>
      </c>
      <c r="I707" s="103">
        <f t="shared" si="37"/>
        <v>-7.9500000000000015E-2</v>
      </c>
    </row>
    <row r="708" spans="1:9">
      <c r="A708" s="99" t="str">
        <f t="shared" si="36"/>
        <v>LOSS TREECliente 210</v>
      </c>
      <c r="B708" s="99" t="s">
        <v>789</v>
      </c>
      <c r="C708" s="99" t="s">
        <v>322</v>
      </c>
      <c r="D708" s="115">
        <v>10</v>
      </c>
      <c r="E708" s="99" t="s">
        <v>964</v>
      </c>
      <c r="F708" s="100">
        <v>0.03</v>
      </c>
      <c r="G708" s="101">
        <f>IF(OR(B708="FIXO",B708="XFIXO"),IF(F708="","ERRO",10*F708)*'[1]BD Campos'!$S$2,IF(F708="","ERRO",10*F708)*'[1]BD Campos'!$S$3)</f>
        <v>0.3</v>
      </c>
      <c r="H708" s="102">
        <v>0.05</v>
      </c>
      <c r="I708" s="103">
        <f t="shared" si="37"/>
        <v>-1.4999999999999999E-2</v>
      </c>
    </row>
    <row r="709" spans="1:9">
      <c r="A709" s="99" t="str">
        <f t="shared" si="36"/>
        <v>LOSS TREECliente 211</v>
      </c>
      <c r="B709" s="99" t="s">
        <v>789</v>
      </c>
      <c r="C709" s="99" t="s">
        <v>322</v>
      </c>
      <c r="D709" s="115">
        <v>11</v>
      </c>
      <c r="E709" s="99" t="s">
        <v>965</v>
      </c>
      <c r="F709" s="100">
        <v>0.03</v>
      </c>
      <c r="G709" s="101">
        <f>IF(OR(B709="FIXO",B709="XFIXO"),IF(F709="","ERRO",10*F709)*'[1]BD Campos'!$S$2,IF(F709="","ERRO",10*F709)*'[1]BD Campos'!$S$3)</f>
        <v>0.3</v>
      </c>
      <c r="H709" s="102">
        <v>0.05</v>
      </c>
      <c r="I709" s="103">
        <f t="shared" si="37"/>
        <v>-1.4999999999999999E-2</v>
      </c>
    </row>
    <row r="710" spans="1:9">
      <c r="A710" s="99" t="str">
        <f t="shared" si="36"/>
        <v>LOSS TREECliente 212</v>
      </c>
      <c r="B710" s="99" t="s">
        <v>789</v>
      </c>
      <c r="C710" s="99" t="s">
        <v>322</v>
      </c>
      <c r="D710" s="115">
        <v>12</v>
      </c>
      <c r="E710" s="99" t="s">
        <v>966</v>
      </c>
      <c r="F710" s="100">
        <v>1.4999999999999999E-2</v>
      </c>
      <c r="G710" s="101">
        <f>IF(OR(B710="FIXO",B710="XFIXO"),IF(F710="","ERRO",10*F710)*'[1]BD Campos'!$S$2,IF(F710="","ERRO",10*F710)*'[1]BD Campos'!$S$3)</f>
        <v>0.15</v>
      </c>
      <c r="H710" s="102">
        <v>0.05</v>
      </c>
      <c r="I710" s="103">
        <f t="shared" si="37"/>
        <v>-7.4999999999999997E-3</v>
      </c>
    </row>
    <row r="711" spans="1:9">
      <c r="A711" s="99" t="str">
        <f t="shared" si="36"/>
        <v>LOSS TREECliente 213</v>
      </c>
      <c r="B711" s="99" t="s">
        <v>789</v>
      </c>
      <c r="C711" s="99" t="s">
        <v>322</v>
      </c>
      <c r="D711" s="115">
        <v>13</v>
      </c>
      <c r="E711" s="99" t="s">
        <v>968</v>
      </c>
      <c r="F711" s="100">
        <v>0.02</v>
      </c>
      <c r="G711" s="101">
        <f>IF(OR(B711="FIXO",B711="XFIXO"),IF(F711="","ERRO",10*F711)*'[1]BD Campos'!$S$2,IF(F711="","ERRO",10*F711)*'[1]BD Campos'!$S$3)</f>
        <v>0.2</v>
      </c>
      <c r="H711" s="102">
        <v>0.05</v>
      </c>
      <c r="I711" s="103">
        <f t="shared" si="37"/>
        <v>-1.0000000000000002E-2</v>
      </c>
    </row>
    <row r="712" spans="1:9">
      <c r="A712" s="99" t="str">
        <f t="shared" si="36"/>
        <v>LOSS TREECliente 214</v>
      </c>
      <c r="B712" s="99" t="s">
        <v>789</v>
      </c>
      <c r="C712" s="99" t="s">
        <v>322</v>
      </c>
      <c r="D712" s="115">
        <v>14</v>
      </c>
      <c r="E712" s="99" t="s">
        <v>1012</v>
      </c>
      <c r="F712" s="100">
        <v>0.03</v>
      </c>
      <c r="G712" s="101">
        <f>IF(OR(B712="FIXO",B712="XFIXO"),IF(F712="","ERRO",10*F712)*'[1]BD Campos'!$S$2,IF(F712="","ERRO",10*F712)*'[1]BD Campos'!$S$3)</f>
        <v>0.3</v>
      </c>
      <c r="H712" s="102">
        <v>0.05</v>
      </c>
      <c r="I712" s="103">
        <f t="shared" si="37"/>
        <v>-1.4999999999999999E-2</v>
      </c>
    </row>
    <row r="713" spans="1:9">
      <c r="A713" s="104" t="str">
        <f t="shared" si="36"/>
        <v>LOSS TREECliente 215</v>
      </c>
      <c r="B713" s="104" t="s">
        <v>789</v>
      </c>
      <c r="C713" s="104" t="s">
        <v>322</v>
      </c>
      <c r="D713" s="116">
        <v>15</v>
      </c>
      <c r="E713" s="104" t="s">
        <v>969</v>
      </c>
      <c r="F713" s="105">
        <v>0.01</v>
      </c>
      <c r="G713" s="106">
        <f>IF(OR(B713="FIXO",B713="XFIXO"),IF(F713="","ERRO",10*F713)*'[1]BD Campos'!$S$2,IF(F713="","ERRO",10*F713)*'[1]BD Campos'!$S$3)</f>
        <v>0.1</v>
      </c>
      <c r="H713" s="107">
        <v>0.05</v>
      </c>
      <c r="I713" s="108">
        <f t="shared" si="37"/>
        <v>-5.000000000000001E-3</v>
      </c>
    </row>
    <row r="714" spans="1:9">
      <c r="A714" s="99" t="str">
        <f>B714&amp;C714&amp;D714</f>
        <v>ESTADIAMotorista1</v>
      </c>
      <c r="B714" s="99" t="s">
        <v>764</v>
      </c>
      <c r="C714" s="99" t="s">
        <v>93</v>
      </c>
      <c r="D714" s="115">
        <v>1</v>
      </c>
      <c r="E714" s="99" t="s">
        <v>954</v>
      </c>
      <c r="F714" s="100">
        <v>0.01</v>
      </c>
      <c r="G714" s="101">
        <f>IF(OR(B714="FIXO",B714="XFIXO"),IF(F714="","ERRO",10*F714)*'[1]BD Campos'!$S$2,IF(F714="","ERRO",10*F714)*'[1]BD Campos'!$S$3)</f>
        <v>0.1</v>
      </c>
      <c r="H714" s="102">
        <v>0.05</v>
      </c>
      <c r="I714" s="103">
        <f>H714*G714*-1</f>
        <v>-5.000000000000001E-3</v>
      </c>
    </row>
    <row r="715" spans="1:9">
      <c r="A715" s="99" t="str">
        <f t="shared" ref="A715:A741" si="38">B715&amp;C715&amp;D715</f>
        <v>ESTADIAMotorista2</v>
      </c>
      <c r="B715" s="99" t="s">
        <v>764</v>
      </c>
      <c r="C715" s="99" t="s">
        <v>93</v>
      </c>
      <c r="D715" s="115">
        <v>2</v>
      </c>
      <c r="E715" s="99" t="s">
        <v>955</v>
      </c>
      <c r="F715" s="100">
        <v>0.01</v>
      </c>
      <c r="G715" s="101">
        <f>IF(OR(B715="FIXO",B715="XFIXO"),IF(F715="","ERRO",10*F715)*'[1]BD Campos'!$S$2,IF(F715="","ERRO",10*F715)*'[1]BD Campos'!$S$3)</f>
        <v>0.1</v>
      </c>
      <c r="H715" s="102">
        <v>0.05</v>
      </c>
      <c r="I715" s="103">
        <f t="shared" ref="I715:I741" si="39">H715*G715*-1</f>
        <v>-5.000000000000001E-3</v>
      </c>
    </row>
    <row r="716" spans="1:9">
      <c r="A716" s="99" t="str">
        <f t="shared" si="38"/>
        <v>ESTADIAMotorista3</v>
      </c>
      <c r="B716" s="99" t="s">
        <v>764</v>
      </c>
      <c r="C716" s="99" t="s">
        <v>93</v>
      </c>
      <c r="D716" s="115">
        <v>3</v>
      </c>
      <c r="E716" s="99" t="s">
        <v>956</v>
      </c>
      <c r="F716" s="100">
        <v>0.01</v>
      </c>
      <c r="G716" s="101">
        <f>IF(OR(B716="FIXO",B716="XFIXO"),IF(F716="","ERRO",10*F716)*'[1]BD Campos'!$S$2,IF(F716="","ERRO",10*F716)*'[1]BD Campos'!$S$3)</f>
        <v>0.1</v>
      </c>
      <c r="H716" s="102">
        <v>0.05</v>
      </c>
      <c r="I716" s="103">
        <f t="shared" si="39"/>
        <v>-5.000000000000001E-3</v>
      </c>
    </row>
    <row r="717" spans="1:9">
      <c r="A717" s="99" t="str">
        <f t="shared" si="38"/>
        <v>ESTADIAMotorista4</v>
      </c>
      <c r="B717" s="99" t="s">
        <v>764</v>
      </c>
      <c r="C717" s="99" t="s">
        <v>93</v>
      </c>
      <c r="D717" s="115">
        <v>4</v>
      </c>
      <c r="E717" s="99" t="s">
        <v>982</v>
      </c>
      <c r="F717" s="100">
        <v>0.04</v>
      </c>
      <c r="G717" s="101">
        <f>IF(OR(B717="FIXO",B717="XFIXO"),IF(F717="","ERRO",10*F717)*'[1]BD Campos'!$S$2,IF(F717="","ERRO",10*F717)*'[1]BD Campos'!$S$3)</f>
        <v>0.4</v>
      </c>
      <c r="H717" s="102">
        <v>0.05</v>
      </c>
      <c r="I717" s="103">
        <f t="shared" si="39"/>
        <v>-2.0000000000000004E-2</v>
      </c>
    </row>
    <row r="718" spans="1:9">
      <c r="A718" s="99" t="str">
        <f t="shared" si="38"/>
        <v>ESTADIAMotorista5</v>
      </c>
      <c r="B718" s="99" t="s">
        <v>764</v>
      </c>
      <c r="C718" s="99" t="s">
        <v>93</v>
      </c>
      <c r="D718" s="115">
        <v>5</v>
      </c>
      <c r="E718" s="99" t="s">
        <v>1026</v>
      </c>
      <c r="F718" s="100">
        <v>0.2</v>
      </c>
      <c r="G718" s="101">
        <f>IF(OR(B718="FIXO",B718="XFIXO"),IF(F718="","ERRO",10*F718)*'[1]BD Campos'!$S$2,IF(F718="","ERRO",10*F718)*'[1]BD Campos'!$S$3)</f>
        <v>2</v>
      </c>
      <c r="H718" s="102">
        <v>0.05</v>
      </c>
      <c r="I718" s="103">
        <f t="shared" si="39"/>
        <v>-0.1</v>
      </c>
    </row>
    <row r="719" spans="1:9">
      <c r="A719" s="99" t="str">
        <f t="shared" si="38"/>
        <v>ESTADIAMotorista6</v>
      </c>
      <c r="B719" s="99" t="s">
        <v>764</v>
      </c>
      <c r="C719" s="99" t="s">
        <v>93</v>
      </c>
      <c r="D719" s="115">
        <v>6</v>
      </c>
      <c r="E719" s="99" t="s">
        <v>1037</v>
      </c>
      <c r="F719" s="100">
        <v>0.2</v>
      </c>
      <c r="G719" s="101">
        <f>IF(OR(B719="FIXO",B719="XFIXO"),IF(F719="","ERRO",10*F719)*'[1]BD Campos'!$S$2,IF(F719="","ERRO",10*F719)*'[1]BD Campos'!$S$3)</f>
        <v>2</v>
      </c>
      <c r="H719" s="102">
        <v>0.05</v>
      </c>
      <c r="I719" s="103">
        <f t="shared" si="39"/>
        <v>-0.1</v>
      </c>
    </row>
    <row r="720" spans="1:9">
      <c r="A720" s="99" t="str">
        <f t="shared" si="38"/>
        <v>ESTADIAMotorista7</v>
      </c>
      <c r="B720" s="99" t="s">
        <v>764</v>
      </c>
      <c r="C720" s="99" t="s">
        <v>93</v>
      </c>
      <c r="D720" s="115">
        <v>7</v>
      </c>
      <c r="E720" s="99" t="s">
        <v>1038</v>
      </c>
      <c r="F720" s="100">
        <v>0.19500000000000001</v>
      </c>
      <c r="G720" s="101">
        <f>IF(OR(B720="FIXO",B720="XFIXO"),IF(F720="","ERRO",10*F720)*'[1]BD Campos'!$S$2,IF(F720="","ERRO",10*F720)*'[1]BD Campos'!$S$3)</f>
        <v>1.9500000000000002</v>
      </c>
      <c r="H720" s="102">
        <v>0.05</v>
      </c>
      <c r="I720" s="103">
        <f t="shared" si="39"/>
        <v>-9.7500000000000017E-2</v>
      </c>
    </row>
    <row r="721" spans="1:9">
      <c r="A721" s="99" t="str">
        <f t="shared" si="38"/>
        <v>ESTADIAMotorista8</v>
      </c>
      <c r="B721" s="99" t="s">
        <v>764</v>
      </c>
      <c r="C721" s="99" t="s">
        <v>93</v>
      </c>
      <c r="D721" s="115">
        <v>8</v>
      </c>
      <c r="E721" s="99" t="s">
        <v>1039</v>
      </c>
      <c r="F721" s="100">
        <v>0.2</v>
      </c>
      <c r="G721" s="101">
        <f>IF(OR(B721="FIXO",B721="XFIXO"),IF(F721="","ERRO",10*F721)*'[1]BD Campos'!$S$2,IF(F721="","ERRO",10*F721)*'[1]BD Campos'!$S$3)</f>
        <v>2</v>
      </c>
      <c r="H721" s="102">
        <v>0.05</v>
      </c>
      <c r="I721" s="103">
        <f t="shared" si="39"/>
        <v>-0.1</v>
      </c>
    </row>
    <row r="722" spans="1:9">
      <c r="A722" s="99" t="str">
        <f t="shared" si="38"/>
        <v>ESTADIAMotorista9</v>
      </c>
      <c r="B722" s="99" t="s">
        <v>764</v>
      </c>
      <c r="C722" s="99" t="s">
        <v>93</v>
      </c>
      <c r="D722" s="115">
        <v>9</v>
      </c>
      <c r="E722" s="99" t="s">
        <v>964</v>
      </c>
      <c r="F722" s="100">
        <v>0.03</v>
      </c>
      <c r="G722" s="101">
        <f>IF(OR(B722="FIXO",B722="XFIXO"),IF(F722="","ERRO",10*F722)*'[1]BD Campos'!$S$2,IF(F722="","ERRO",10*F722)*'[1]BD Campos'!$S$3)</f>
        <v>0.3</v>
      </c>
      <c r="H722" s="102">
        <v>0.05</v>
      </c>
      <c r="I722" s="103">
        <f t="shared" si="39"/>
        <v>-1.4999999999999999E-2</v>
      </c>
    </row>
    <row r="723" spans="1:9">
      <c r="A723" s="99" t="str">
        <f t="shared" si="38"/>
        <v>ESTADIAMotorista10</v>
      </c>
      <c r="B723" s="99" t="s">
        <v>764</v>
      </c>
      <c r="C723" s="99" t="s">
        <v>93</v>
      </c>
      <c r="D723" s="115">
        <v>10</v>
      </c>
      <c r="E723" s="99" t="s">
        <v>965</v>
      </c>
      <c r="F723" s="100">
        <v>0.03</v>
      </c>
      <c r="G723" s="101">
        <f>IF(OR(B723="FIXO",B723="XFIXO"),IF(F723="","ERRO",10*F723)*'[1]BD Campos'!$S$2,IF(F723="","ERRO",10*F723)*'[1]BD Campos'!$S$3)</f>
        <v>0.3</v>
      </c>
      <c r="H723" s="102">
        <v>0.05</v>
      </c>
      <c r="I723" s="103">
        <f t="shared" si="39"/>
        <v>-1.4999999999999999E-2</v>
      </c>
    </row>
    <row r="724" spans="1:9">
      <c r="A724" s="99" t="str">
        <f t="shared" si="38"/>
        <v>ESTADIAMotorista11</v>
      </c>
      <c r="B724" s="99" t="s">
        <v>764</v>
      </c>
      <c r="C724" s="99" t="s">
        <v>93</v>
      </c>
      <c r="D724" s="115">
        <v>11</v>
      </c>
      <c r="E724" s="99" t="s">
        <v>966</v>
      </c>
      <c r="F724" s="100">
        <v>1.4999999999999999E-2</v>
      </c>
      <c r="G724" s="101">
        <f>IF(OR(B724="FIXO",B724="XFIXO"),IF(F724="","ERRO",10*F724)*'[1]BD Campos'!$S$2,IF(F724="","ERRO",10*F724)*'[1]BD Campos'!$S$3)</f>
        <v>0.15</v>
      </c>
      <c r="H724" s="102">
        <v>0.05</v>
      </c>
      <c r="I724" s="103">
        <f t="shared" si="39"/>
        <v>-7.4999999999999997E-3</v>
      </c>
    </row>
    <row r="725" spans="1:9">
      <c r="A725" s="99" t="str">
        <f t="shared" si="38"/>
        <v>ESTADIAMotorista12</v>
      </c>
      <c r="B725" s="99" t="s">
        <v>764</v>
      </c>
      <c r="C725" s="99" t="s">
        <v>93</v>
      </c>
      <c r="D725" s="115">
        <v>12</v>
      </c>
      <c r="E725" s="99" t="s">
        <v>968</v>
      </c>
      <c r="F725" s="100">
        <v>0.02</v>
      </c>
      <c r="G725" s="101">
        <f>IF(OR(B725="FIXO",B725="XFIXO"),IF(F725="","ERRO",10*F725)*'[1]BD Campos'!$S$2,IF(F725="","ERRO",10*F725)*'[1]BD Campos'!$S$3)</f>
        <v>0.2</v>
      </c>
      <c r="H725" s="102">
        <v>0.05</v>
      </c>
      <c r="I725" s="103">
        <f t="shared" si="39"/>
        <v>-1.0000000000000002E-2</v>
      </c>
    </row>
    <row r="726" spans="1:9">
      <c r="A726" s="99" t="str">
        <f t="shared" si="38"/>
        <v>ESTADIAMotorista13</v>
      </c>
      <c r="B726" s="99" t="s">
        <v>764</v>
      </c>
      <c r="C726" s="99" t="s">
        <v>93</v>
      </c>
      <c r="D726" s="115">
        <v>13</v>
      </c>
      <c r="E726" s="99" t="s">
        <v>1012</v>
      </c>
      <c r="F726" s="100">
        <v>0.03</v>
      </c>
      <c r="G726" s="101">
        <f>IF(OR(B726="FIXO",B726="XFIXO"),IF(F726="","ERRO",10*F726)*'[1]BD Campos'!$S$2,IF(F726="","ERRO",10*F726)*'[1]BD Campos'!$S$3)</f>
        <v>0.3</v>
      </c>
      <c r="H726" s="102">
        <v>0.05</v>
      </c>
      <c r="I726" s="103">
        <f t="shared" si="39"/>
        <v>-1.4999999999999999E-2</v>
      </c>
    </row>
    <row r="727" spans="1:9">
      <c r="A727" s="104" t="str">
        <f t="shared" si="38"/>
        <v>ESTADIAMotorista14</v>
      </c>
      <c r="B727" s="104" t="s">
        <v>764</v>
      </c>
      <c r="C727" s="104" t="s">
        <v>93</v>
      </c>
      <c r="D727" s="116">
        <v>14</v>
      </c>
      <c r="E727" s="104" t="s">
        <v>969</v>
      </c>
      <c r="F727" s="105">
        <v>0.01</v>
      </c>
      <c r="G727" s="106">
        <f>IF(OR(B727="FIXO",B727="XFIXO"),IF(F727="","ERRO",10*F727)*'[1]BD Campos'!$S$2,IF(F727="","ERRO",10*F727)*'[1]BD Campos'!$S$3)</f>
        <v>0.1</v>
      </c>
      <c r="H727" s="107">
        <v>0.05</v>
      </c>
      <c r="I727" s="108">
        <f t="shared" si="39"/>
        <v>-5.000000000000001E-3</v>
      </c>
    </row>
    <row r="728" spans="1:9">
      <c r="A728" s="99" t="str">
        <f t="shared" si="38"/>
        <v>ESTADIAMotorista 21</v>
      </c>
      <c r="B728" s="99" t="s">
        <v>764</v>
      </c>
      <c r="C728" s="99" t="s">
        <v>97</v>
      </c>
      <c r="D728" s="115">
        <v>1</v>
      </c>
      <c r="E728" s="99" t="s">
        <v>954</v>
      </c>
      <c r="F728" s="100">
        <v>0.01</v>
      </c>
      <c r="G728" s="101">
        <f>IF(OR(B728="FIXO",B728="XFIXO"),IF(F728="","ERRO",10*F728)*'[1]BD Campos'!$S$2,IF(F728="","ERRO",10*F728)*'[1]BD Campos'!$S$3)</f>
        <v>0.1</v>
      </c>
      <c r="H728" s="102">
        <v>0.05</v>
      </c>
      <c r="I728" s="103">
        <f t="shared" si="39"/>
        <v>-5.000000000000001E-3</v>
      </c>
    </row>
    <row r="729" spans="1:9">
      <c r="A729" s="99" t="str">
        <f t="shared" si="38"/>
        <v>ESTADIAMotorista 22</v>
      </c>
      <c r="B729" s="99" t="s">
        <v>764</v>
      </c>
      <c r="C729" s="99" t="s">
        <v>97</v>
      </c>
      <c r="D729" s="115">
        <v>2</v>
      </c>
      <c r="E729" s="99" t="s">
        <v>955</v>
      </c>
      <c r="F729" s="100">
        <v>0.01</v>
      </c>
      <c r="G729" s="101">
        <f>IF(OR(B729="FIXO",B729="XFIXO"),IF(F729="","ERRO",10*F729)*'[1]BD Campos'!$S$2,IF(F729="","ERRO",10*F729)*'[1]BD Campos'!$S$3)</f>
        <v>0.1</v>
      </c>
      <c r="H729" s="102">
        <v>0.05</v>
      </c>
      <c r="I729" s="103">
        <f t="shared" si="39"/>
        <v>-5.000000000000001E-3</v>
      </c>
    </row>
    <row r="730" spans="1:9">
      <c r="A730" s="99" t="str">
        <f t="shared" si="38"/>
        <v>ESTADIAMotorista 23</v>
      </c>
      <c r="B730" s="99" t="s">
        <v>764</v>
      </c>
      <c r="C730" s="99" t="s">
        <v>97</v>
      </c>
      <c r="D730" s="115">
        <v>3</v>
      </c>
      <c r="E730" s="99" t="s">
        <v>956</v>
      </c>
      <c r="F730" s="100">
        <v>0.01</v>
      </c>
      <c r="G730" s="101">
        <f>IF(OR(B730="FIXO",B730="XFIXO"),IF(F730="","ERRO",10*F730)*'[1]BD Campos'!$S$2,IF(F730="","ERRO",10*F730)*'[1]BD Campos'!$S$3)</f>
        <v>0.1</v>
      </c>
      <c r="H730" s="102">
        <v>0.05</v>
      </c>
      <c r="I730" s="103">
        <f t="shared" si="39"/>
        <v>-5.000000000000001E-3</v>
      </c>
    </row>
    <row r="731" spans="1:9">
      <c r="A731" s="99" t="str">
        <f t="shared" si="38"/>
        <v>ESTADIAMotorista 24</v>
      </c>
      <c r="B731" s="99" t="s">
        <v>764</v>
      </c>
      <c r="C731" s="99" t="s">
        <v>97</v>
      </c>
      <c r="D731" s="115">
        <v>4</v>
      </c>
      <c r="E731" s="99" t="s">
        <v>982</v>
      </c>
      <c r="F731" s="100">
        <v>0.04</v>
      </c>
      <c r="G731" s="101">
        <f>IF(OR(B731="FIXO",B731="XFIXO"),IF(F731="","ERRO",10*F731)*'[1]BD Campos'!$S$2,IF(F731="","ERRO",10*F731)*'[1]BD Campos'!$S$3)</f>
        <v>0.4</v>
      </c>
      <c r="H731" s="102">
        <v>0.05</v>
      </c>
      <c r="I731" s="103">
        <f t="shared" si="39"/>
        <v>-2.0000000000000004E-2</v>
      </c>
    </row>
    <row r="732" spans="1:9">
      <c r="A732" s="99" t="str">
        <f t="shared" si="38"/>
        <v>ESTADIAMotorista 25</v>
      </c>
      <c r="B732" s="99" t="s">
        <v>764</v>
      </c>
      <c r="C732" s="99" t="s">
        <v>97</v>
      </c>
      <c r="D732" s="115">
        <v>5</v>
      </c>
      <c r="E732" s="99" t="s">
        <v>1026</v>
      </c>
      <c r="F732" s="100">
        <v>0.2</v>
      </c>
      <c r="G732" s="101">
        <f>IF(OR(B732="FIXO",B732="XFIXO"),IF(F732="","ERRO",10*F732)*'[1]BD Campos'!$S$2,IF(F732="","ERRO",10*F732)*'[1]BD Campos'!$S$3)</f>
        <v>2</v>
      </c>
      <c r="H732" s="102">
        <v>0.05</v>
      </c>
      <c r="I732" s="103">
        <f t="shared" si="39"/>
        <v>-0.1</v>
      </c>
    </row>
    <row r="733" spans="1:9">
      <c r="A733" s="99" t="str">
        <f t="shared" si="38"/>
        <v>ESTADIAMotorista 26</v>
      </c>
      <c r="B733" s="99" t="s">
        <v>764</v>
      </c>
      <c r="C733" s="99" t="s">
        <v>97</v>
      </c>
      <c r="D733" s="115">
        <v>6</v>
      </c>
      <c r="E733" s="99" t="s">
        <v>1037</v>
      </c>
      <c r="F733" s="100">
        <v>0.2</v>
      </c>
      <c r="G733" s="101">
        <f>IF(OR(B733="FIXO",B733="XFIXO"),IF(F733="","ERRO",10*F733)*'[1]BD Campos'!$S$2,IF(F733="","ERRO",10*F733)*'[1]BD Campos'!$S$3)</f>
        <v>2</v>
      </c>
      <c r="H733" s="102">
        <v>0.05</v>
      </c>
      <c r="I733" s="103">
        <f t="shared" si="39"/>
        <v>-0.1</v>
      </c>
    </row>
    <row r="734" spans="1:9">
      <c r="A734" s="99" t="str">
        <f t="shared" si="38"/>
        <v>ESTADIAMotorista 27</v>
      </c>
      <c r="B734" s="99" t="s">
        <v>764</v>
      </c>
      <c r="C734" s="99" t="s">
        <v>97</v>
      </c>
      <c r="D734" s="115">
        <v>7</v>
      </c>
      <c r="E734" s="99" t="s">
        <v>1038</v>
      </c>
      <c r="F734" s="100">
        <v>0.19500000000000001</v>
      </c>
      <c r="G734" s="101">
        <f>IF(OR(B734="FIXO",B734="XFIXO"),IF(F734="","ERRO",10*F734)*'[1]BD Campos'!$S$2,IF(F734="","ERRO",10*F734)*'[1]BD Campos'!$S$3)</f>
        <v>1.9500000000000002</v>
      </c>
      <c r="H734" s="102">
        <v>0.05</v>
      </c>
      <c r="I734" s="103">
        <f t="shared" si="39"/>
        <v>-9.7500000000000017E-2</v>
      </c>
    </row>
    <row r="735" spans="1:9">
      <c r="A735" s="99" t="str">
        <f t="shared" si="38"/>
        <v>ESTADIAMotorista 28</v>
      </c>
      <c r="B735" s="99" t="s">
        <v>764</v>
      </c>
      <c r="C735" s="99" t="s">
        <v>97</v>
      </c>
      <c r="D735" s="115">
        <v>8</v>
      </c>
      <c r="E735" s="99" t="s">
        <v>1039</v>
      </c>
      <c r="F735" s="100">
        <v>0.2</v>
      </c>
      <c r="G735" s="101">
        <f>IF(OR(B735="FIXO",B735="XFIXO"),IF(F735="","ERRO",10*F735)*'[1]BD Campos'!$S$2,IF(F735="","ERRO",10*F735)*'[1]BD Campos'!$S$3)</f>
        <v>2</v>
      </c>
      <c r="H735" s="102">
        <v>0.05</v>
      </c>
      <c r="I735" s="103">
        <f t="shared" si="39"/>
        <v>-0.1</v>
      </c>
    </row>
    <row r="736" spans="1:9">
      <c r="A736" s="99" t="str">
        <f t="shared" si="38"/>
        <v>ESTADIAMotorista 29</v>
      </c>
      <c r="B736" s="99" t="s">
        <v>764</v>
      </c>
      <c r="C736" s="99" t="s">
        <v>97</v>
      </c>
      <c r="D736" s="115">
        <v>9</v>
      </c>
      <c r="E736" s="99" t="s">
        <v>964</v>
      </c>
      <c r="F736" s="100">
        <v>0.03</v>
      </c>
      <c r="G736" s="101">
        <f>IF(OR(B736="FIXO",B736="XFIXO"),IF(F736="","ERRO",10*F736)*'[1]BD Campos'!$S$2,IF(F736="","ERRO",10*F736)*'[1]BD Campos'!$S$3)</f>
        <v>0.3</v>
      </c>
      <c r="H736" s="102">
        <v>0.05</v>
      </c>
      <c r="I736" s="103">
        <f t="shared" si="39"/>
        <v>-1.4999999999999999E-2</v>
      </c>
    </row>
    <row r="737" spans="1:9">
      <c r="A737" s="99" t="str">
        <f t="shared" si="38"/>
        <v>ESTADIAMotorista 210</v>
      </c>
      <c r="B737" s="99" t="s">
        <v>764</v>
      </c>
      <c r="C737" s="99" t="s">
        <v>97</v>
      </c>
      <c r="D737" s="115">
        <v>10</v>
      </c>
      <c r="E737" s="99" t="s">
        <v>965</v>
      </c>
      <c r="F737" s="100">
        <v>0.03</v>
      </c>
      <c r="G737" s="101">
        <f>IF(OR(B737="FIXO",B737="XFIXO"),IF(F737="","ERRO",10*F737)*'[1]BD Campos'!$S$2,IF(F737="","ERRO",10*F737)*'[1]BD Campos'!$S$3)</f>
        <v>0.3</v>
      </c>
      <c r="H737" s="102">
        <v>0.05</v>
      </c>
      <c r="I737" s="103">
        <f t="shared" si="39"/>
        <v>-1.4999999999999999E-2</v>
      </c>
    </row>
    <row r="738" spans="1:9">
      <c r="A738" s="99" t="str">
        <f t="shared" si="38"/>
        <v>ESTADIAMotorista 211</v>
      </c>
      <c r="B738" s="99" t="s">
        <v>764</v>
      </c>
      <c r="C738" s="99" t="s">
        <v>97</v>
      </c>
      <c r="D738" s="115">
        <v>11</v>
      </c>
      <c r="E738" s="99" t="s">
        <v>966</v>
      </c>
      <c r="F738" s="100">
        <v>1.4999999999999999E-2</v>
      </c>
      <c r="G738" s="101">
        <f>IF(OR(B738="FIXO",B738="XFIXO"),IF(F738="","ERRO",10*F738)*'[1]BD Campos'!$S$2,IF(F738="","ERRO",10*F738)*'[1]BD Campos'!$S$3)</f>
        <v>0.15</v>
      </c>
      <c r="H738" s="102">
        <v>0.05</v>
      </c>
      <c r="I738" s="103">
        <f t="shared" si="39"/>
        <v>-7.4999999999999997E-3</v>
      </c>
    </row>
    <row r="739" spans="1:9">
      <c r="A739" s="99" t="str">
        <f t="shared" si="38"/>
        <v>ESTADIAMotorista 212</v>
      </c>
      <c r="B739" s="99" t="s">
        <v>764</v>
      </c>
      <c r="C739" s="99" t="s">
        <v>97</v>
      </c>
      <c r="D739" s="115">
        <v>12</v>
      </c>
      <c r="E739" s="99" t="s">
        <v>968</v>
      </c>
      <c r="F739" s="100">
        <v>0.02</v>
      </c>
      <c r="G739" s="101">
        <f>IF(OR(B739="FIXO",B739="XFIXO"),IF(F739="","ERRO",10*F739)*'[1]BD Campos'!$S$2,IF(F739="","ERRO",10*F739)*'[1]BD Campos'!$S$3)</f>
        <v>0.2</v>
      </c>
      <c r="H739" s="102">
        <v>0.05</v>
      </c>
      <c r="I739" s="103">
        <f t="shared" si="39"/>
        <v>-1.0000000000000002E-2</v>
      </c>
    </row>
    <row r="740" spans="1:9">
      <c r="A740" s="99" t="str">
        <f t="shared" si="38"/>
        <v>ESTADIAMotorista 213</v>
      </c>
      <c r="B740" s="99" t="s">
        <v>764</v>
      </c>
      <c r="C740" s="99" t="s">
        <v>97</v>
      </c>
      <c r="D740" s="115">
        <v>13</v>
      </c>
      <c r="E740" s="99" t="s">
        <v>1012</v>
      </c>
      <c r="F740" s="100">
        <v>0.03</v>
      </c>
      <c r="G740" s="101">
        <f>IF(OR(B740="FIXO",B740="XFIXO"),IF(F740="","ERRO",10*F740)*'[1]BD Campos'!$S$2,IF(F740="","ERRO",10*F740)*'[1]BD Campos'!$S$3)</f>
        <v>0.3</v>
      </c>
      <c r="H740" s="102">
        <v>0.05</v>
      </c>
      <c r="I740" s="103">
        <f t="shared" si="39"/>
        <v>-1.4999999999999999E-2</v>
      </c>
    </row>
    <row r="741" spans="1:9">
      <c r="A741" s="104" t="str">
        <f t="shared" si="38"/>
        <v>ESTADIAMotorista 214</v>
      </c>
      <c r="B741" s="104" t="s">
        <v>764</v>
      </c>
      <c r="C741" s="104" t="s">
        <v>97</v>
      </c>
      <c r="D741" s="116">
        <v>14</v>
      </c>
      <c r="E741" s="104" t="s">
        <v>969</v>
      </c>
      <c r="F741" s="105">
        <v>0.01</v>
      </c>
      <c r="G741" s="106">
        <f>IF(OR(B741="FIXO",B741="XFIXO"),IF(F741="","ERRO",10*F741)*'[1]BD Campos'!$S$2,IF(F741="","ERRO",10*F741)*'[1]BD Campos'!$S$3)</f>
        <v>0.1</v>
      </c>
      <c r="H741" s="107">
        <v>0.05</v>
      </c>
      <c r="I741" s="108">
        <f t="shared" si="39"/>
        <v>-5.000000000000001E-3</v>
      </c>
    </row>
    <row r="742" spans="1:9">
      <c r="A742" s="99" t="str">
        <f>B742&amp;C742&amp;D742</f>
        <v>CONTROLE DE TEMPERATURAMotorista1</v>
      </c>
      <c r="B742" s="99" t="s">
        <v>480</v>
      </c>
      <c r="C742" s="99" t="s">
        <v>93</v>
      </c>
      <c r="D742" s="143">
        <v>1</v>
      </c>
      <c r="E742" s="99" t="s">
        <v>954</v>
      </c>
      <c r="F742" s="138">
        <v>0.01</v>
      </c>
      <c r="G742" s="141">
        <f>IF(OR(B742="FIXO",B742="XFIXO"),IF(F742="","ERRO",10*F742)*'[1]BD Campos'!$S$2,IF(F742="","ERRO",10*F742)*'[1]BD Campos'!$S$3)</f>
        <v>0.1</v>
      </c>
      <c r="H742" s="102">
        <v>0.05</v>
      </c>
      <c r="I742" s="103">
        <f>H742*G742*-1</f>
        <v>-5.000000000000001E-3</v>
      </c>
    </row>
    <row r="743" spans="1:9">
      <c r="A743" s="99" t="str">
        <f t="shared" ref="A743:A756" si="40">B743&amp;C743&amp;D743</f>
        <v>CONTROLE DE TEMPERATURAMotorista2</v>
      </c>
      <c r="B743" s="99" t="s">
        <v>480</v>
      </c>
      <c r="C743" s="99" t="s">
        <v>93</v>
      </c>
      <c r="D743" s="143">
        <v>2</v>
      </c>
      <c r="E743" s="137" t="s">
        <v>955</v>
      </c>
      <c r="F743" s="138">
        <v>0.01</v>
      </c>
      <c r="G743" s="141">
        <f>IF(OR(B743="FIXO",B743="XFIXO"),IF(F743="","ERRO",10*F743)*'[1]BD Campos'!$S$2,IF(F743="","ERRO",10*F743)*'[1]BD Campos'!$S$3)</f>
        <v>0.1</v>
      </c>
      <c r="H743" s="102">
        <v>0.05</v>
      </c>
      <c r="I743" s="103">
        <f t="shared" ref="I743:I771" si="41">H743*G743*-1</f>
        <v>-5.000000000000001E-3</v>
      </c>
    </row>
    <row r="744" spans="1:9">
      <c r="A744" s="99" t="str">
        <f t="shared" si="40"/>
        <v>CONTROLE DE TEMPERATURAMotorista3</v>
      </c>
      <c r="B744" s="99" t="s">
        <v>480</v>
      </c>
      <c r="C744" s="99" t="s">
        <v>93</v>
      </c>
      <c r="D744" s="143">
        <v>3</v>
      </c>
      <c r="E744" s="137" t="s">
        <v>956</v>
      </c>
      <c r="F744" s="138">
        <v>0.01</v>
      </c>
      <c r="G744" s="141">
        <f>IF(OR(B744="FIXO",B744="XFIXO"),IF(F744="","ERRO",10*F744)*'[1]BD Campos'!$S$2,IF(F744="","ERRO",10*F744)*'[1]BD Campos'!$S$3)</f>
        <v>0.1</v>
      </c>
      <c r="H744" s="102">
        <v>0.05</v>
      </c>
      <c r="I744" s="103">
        <f t="shared" si="41"/>
        <v>-5.000000000000001E-3</v>
      </c>
    </row>
    <row r="745" spans="1:9">
      <c r="A745" s="99" t="str">
        <f t="shared" si="40"/>
        <v>CONTROLE DE TEMPERATURAMotorista4</v>
      </c>
      <c r="B745" s="99" t="s">
        <v>480</v>
      </c>
      <c r="C745" s="99" t="s">
        <v>93</v>
      </c>
      <c r="D745" s="143">
        <v>4</v>
      </c>
      <c r="E745" s="137" t="s">
        <v>982</v>
      </c>
      <c r="F745" s="138">
        <v>0.04</v>
      </c>
      <c r="G745" s="141">
        <f>IF(OR(B745="FIXO",B745="XFIXO"),IF(F745="","ERRO",10*F745)*'[1]BD Campos'!$S$2,IF(F745="","ERRO",10*F745)*'[1]BD Campos'!$S$3)</f>
        <v>0.4</v>
      </c>
      <c r="H745" s="102">
        <v>0.05</v>
      </c>
      <c r="I745" s="103">
        <f t="shared" si="41"/>
        <v>-2.0000000000000004E-2</v>
      </c>
    </row>
    <row r="746" spans="1:9">
      <c r="A746" s="99" t="str">
        <f t="shared" si="40"/>
        <v>CONTROLE DE TEMPERATURAMotorista5</v>
      </c>
      <c r="B746" s="99" t="s">
        <v>480</v>
      </c>
      <c r="C746" s="99" t="s">
        <v>93</v>
      </c>
      <c r="D746" s="143">
        <v>5</v>
      </c>
      <c r="E746" s="137" t="s">
        <v>1026</v>
      </c>
      <c r="F746" s="138">
        <v>0.13</v>
      </c>
      <c r="G746" s="141">
        <f>IF(OR(B746="FIXO",B746="XFIXO"),IF(F746="","ERRO",10*F746)*'[1]BD Campos'!$S$2,IF(F746="","ERRO",10*F746)*'[1]BD Campos'!$S$3)</f>
        <v>1.3</v>
      </c>
      <c r="H746" s="102">
        <v>0.05</v>
      </c>
      <c r="I746" s="103">
        <f t="shared" si="41"/>
        <v>-6.5000000000000002E-2</v>
      </c>
    </row>
    <row r="747" spans="1:9">
      <c r="A747" s="99" t="str">
        <f t="shared" si="40"/>
        <v>CONTROLE DE TEMPERATURAMotorista6</v>
      </c>
      <c r="B747" s="99" t="s">
        <v>480</v>
      </c>
      <c r="C747" s="99" t="s">
        <v>93</v>
      </c>
      <c r="D747" s="143">
        <v>6</v>
      </c>
      <c r="E747" s="137" t="s">
        <v>1040</v>
      </c>
      <c r="F747" s="138">
        <v>0.2</v>
      </c>
      <c r="G747" s="141">
        <f>IF(OR(B747="FIXO",B747="XFIXO"),IF(F747="","ERRO",10*F747)*'[1]BD Campos'!$S$2,IF(F747="","ERRO",10*F747)*'[1]BD Campos'!$S$3)</f>
        <v>2</v>
      </c>
      <c r="H747" s="102">
        <v>0.05</v>
      </c>
      <c r="I747" s="103">
        <f t="shared" si="41"/>
        <v>-0.1</v>
      </c>
    </row>
    <row r="748" spans="1:9">
      <c r="A748" s="99" t="str">
        <f t="shared" si="40"/>
        <v>CONTROLE DE TEMPERATURAMotorista7</v>
      </c>
      <c r="B748" s="99" t="s">
        <v>480</v>
      </c>
      <c r="C748" s="99" t="s">
        <v>93</v>
      </c>
      <c r="D748" s="143">
        <v>7</v>
      </c>
      <c r="E748" s="137" t="s">
        <v>1041</v>
      </c>
      <c r="F748" s="138">
        <v>0.2</v>
      </c>
      <c r="G748" s="141">
        <f>IF(OR(B748="FIXO",B748="XFIXO"),IF(F748="","ERRO",10*F748)*'[1]BD Campos'!$S$2,IF(F748="","ERRO",10*F748)*'[1]BD Campos'!$S$3)</f>
        <v>2</v>
      </c>
      <c r="H748" s="102">
        <v>0.05</v>
      </c>
      <c r="I748" s="103">
        <f t="shared" si="41"/>
        <v>-0.1</v>
      </c>
    </row>
    <row r="749" spans="1:9">
      <c r="A749" s="99" t="str">
        <f t="shared" si="40"/>
        <v>CONTROLE DE TEMPERATURAMotorista8</v>
      </c>
      <c r="B749" s="99" t="s">
        <v>480</v>
      </c>
      <c r="C749" s="99" t="s">
        <v>93</v>
      </c>
      <c r="D749" s="143">
        <v>8</v>
      </c>
      <c r="E749" s="137" t="s">
        <v>1042</v>
      </c>
      <c r="F749" s="138">
        <v>0.13300000000000001</v>
      </c>
      <c r="G749" s="141">
        <f>IF(OR(B749="FIXO",B749="XFIXO"),IF(F749="","ERRO",10*F749)*'[1]BD Campos'!$S$2,IF(F749="","ERRO",10*F749)*'[1]BD Campos'!$S$3)</f>
        <v>1.33</v>
      </c>
      <c r="H749" s="102">
        <v>0.05</v>
      </c>
      <c r="I749" s="103">
        <f t="shared" si="41"/>
        <v>-6.6500000000000004E-2</v>
      </c>
    </row>
    <row r="750" spans="1:9">
      <c r="A750" s="99" t="str">
        <f t="shared" si="40"/>
        <v>CONTROLE DE TEMPERATURAMotorista9</v>
      </c>
      <c r="B750" s="99" t="s">
        <v>480</v>
      </c>
      <c r="C750" s="99" t="s">
        <v>93</v>
      </c>
      <c r="D750" s="143">
        <v>9</v>
      </c>
      <c r="E750" s="137" t="s">
        <v>1043</v>
      </c>
      <c r="F750" s="138">
        <v>0.13200000000000001</v>
      </c>
      <c r="G750" s="141">
        <f>IF(OR(B750="FIXO",B750="XFIXO"),IF(F750="","ERRO",10*F750)*'[1]BD Campos'!$S$2,IF(F750="","ERRO",10*F750)*'[1]BD Campos'!$S$3)</f>
        <v>1.32</v>
      </c>
      <c r="H750" s="102">
        <v>0.05</v>
      </c>
      <c r="I750" s="103">
        <f t="shared" si="41"/>
        <v>-6.6000000000000003E-2</v>
      </c>
    </row>
    <row r="751" spans="1:9">
      <c r="A751" s="99" t="str">
        <f t="shared" si="40"/>
        <v>CONTROLE DE TEMPERATURAMotorista10</v>
      </c>
      <c r="B751" s="99" t="s">
        <v>480</v>
      </c>
      <c r="C751" s="99" t="s">
        <v>93</v>
      </c>
      <c r="D751" s="143">
        <v>10</v>
      </c>
      <c r="E751" s="137" t="s">
        <v>964</v>
      </c>
      <c r="F751" s="138">
        <v>0.03</v>
      </c>
      <c r="G751" s="141">
        <f>IF(OR(B751="FIXO",B751="XFIXO"),IF(F751="","ERRO",10*F751)*'[1]BD Campos'!$S$2,IF(F751="","ERRO",10*F751)*'[1]BD Campos'!$S$3)</f>
        <v>0.3</v>
      </c>
      <c r="H751" s="102">
        <v>0.05</v>
      </c>
      <c r="I751" s="103">
        <f t="shared" si="41"/>
        <v>-1.4999999999999999E-2</v>
      </c>
    </row>
    <row r="752" spans="1:9">
      <c r="A752" s="99" t="str">
        <f t="shared" si="40"/>
        <v>CONTROLE DE TEMPERATURAMotorista11</v>
      </c>
      <c r="B752" s="99" t="s">
        <v>480</v>
      </c>
      <c r="C752" s="99" t="s">
        <v>93</v>
      </c>
      <c r="D752" s="143">
        <v>11</v>
      </c>
      <c r="E752" s="137" t="s">
        <v>965</v>
      </c>
      <c r="F752" s="138">
        <v>0.03</v>
      </c>
      <c r="G752" s="141">
        <f>IF(OR(B752="FIXO",B752="XFIXO"),IF(F752="","ERRO",10*F752)*'[1]BD Campos'!$S$2,IF(F752="","ERRO",10*F752)*'[1]BD Campos'!$S$3)</f>
        <v>0.3</v>
      </c>
      <c r="H752" s="102">
        <v>0.05</v>
      </c>
      <c r="I752" s="103">
        <f t="shared" si="41"/>
        <v>-1.4999999999999999E-2</v>
      </c>
    </row>
    <row r="753" spans="1:9">
      <c r="A753" s="99" t="str">
        <f t="shared" si="40"/>
        <v>CONTROLE DE TEMPERATURAMotorista12</v>
      </c>
      <c r="B753" s="99" t="s">
        <v>480</v>
      </c>
      <c r="C753" s="99" t="s">
        <v>93</v>
      </c>
      <c r="D753" s="143">
        <v>12</v>
      </c>
      <c r="E753" s="137" t="s">
        <v>966</v>
      </c>
      <c r="F753" s="138">
        <v>1.4999999999999999E-2</v>
      </c>
      <c r="G753" s="141">
        <f>IF(OR(B753="FIXO",B753="XFIXO"),IF(F753="","ERRO",10*F753)*'[1]BD Campos'!$S$2,IF(F753="","ERRO",10*F753)*'[1]BD Campos'!$S$3)</f>
        <v>0.15</v>
      </c>
      <c r="H753" s="102">
        <v>0.05</v>
      </c>
      <c r="I753" s="103">
        <f t="shared" si="41"/>
        <v>-7.4999999999999997E-3</v>
      </c>
    </row>
    <row r="754" spans="1:9">
      <c r="A754" s="99" t="str">
        <f t="shared" si="40"/>
        <v>CONTROLE DE TEMPERATURAMotorista13</v>
      </c>
      <c r="B754" s="99" t="s">
        <v>480</v>
      </c>
      <c r="C754" s="99" t="s">
        <v>93</v>
      </c>
      <c r="D754" s="143">
        <v>13</v>
      </c>
      <c r="E754" s="137" t="s">
        <v>968</v>
      </c>
      <c r="F754" s="138">
        <v>0.02</v>
      </c>
      <c r="G754" s="141">
        <f>IF(OR(B754="FIXO",B754="XFIXO"),IF(F754="","ERRO",10*F754)*'[1]BD Campos'!$S$2,IF(F754="","ERRO",10*F754)*'[1]BD Campos'!$S$3)</f>
        <v>0.2</v>
      </c>
      <c r="H754" s="102">
        <v>0.05</v>
      </c>
      <c r="I754" s="103">
        <f t="shared" si="41"/>
        <v>-1.0000000000000002E-2</v>
      </c>
    </row>
    <row r="755" spans="1:9">
      <c r="A755" s="99" t="str">
        <f t="shared" si="40"/>
        <v>CONTROLE DE TEMPERATURAMotorista14</v>
      </c>
      <c r="B755" s="99" t="s">
        <v>480</v>
      </c>
      <c r="C755" s="99" t="s">
        <v>93</v>
      </c>
      <c r="D755" s="143">
        <v>14</v>
      </c>
      <c r="E755" s="137" t="s">
        <v>1012</v>
      </c>
      <c r="F755" s="138">
        <v>0.03</v>
      </c>
      <c r="G755" s="141">
        <f>IF(OR(B755="FIXO",B755="XFIXO"),IF(F755="","ERRO",10*F755)*'[1]BD Campos'!$S$2,IF(F755="","ERRO",10*F755)*'[1]BD Campos'!$S$3)</f>
        <v>0.3</v>
      </c>
      <c r="H755" s="102">
        <v>0.05</v>
      </c>
      <c r="I755" s="103">
        <f t="shared" si="41"/>
        <v>-1.4999999999999999E-2</v>
      </c>
    </row>
    <row r="756" spans="1:9">
      <c r="A756" s="104" t="str">
        <f t="shared" si="40"/>
        <v>CONTROLE DE TEMPERATURAMotorista15</v>
      </c>
      <c r="B756" s="104" t="s">
        <v>480</v>
      </c>
      <c r="C756" s="104" t="s">
        <v>93</v>
      </c>
      <c r="D756" s="144">
        <v>15</v>
      </c>
      <c r="E756" s="139" t="s">
        <v>969</v>
      </c>
      <c r="F756" s="140">
        <v>0.01</v>
      </c>
      <c r="G756" s="142">
        <f>IF(OR(B756="FIXO",B756="XFIXO"),IF(F756="","ERRO",10*F756)*'[1]BD Campos'!$S$2,IF(F756="","ERRO",10*F756)*'[1]BD Campos'!$S$3)</f>
        <v>0.1</v>
      </c>
      <c r="H756" s="107">
        <v>0.05</v>
      </c>
      <c r="I756" s="108">
        <f t="shared" si="41"/>
        <v>-5.000000000000001E-3</v>
      </c>
    </row>
    <row r="757" spans="1:9">
      <c r="A757" s="99" t="str">
        <f>B757&amp;C757&amp;D757</f>
        <v>CONTROLE DE TEMPERATURAMotorista 21</v>
      </c>
      <c r="B757" s="99" t="s">
        <v>480</v>
      </c>
      <c r="C757" s="99" t="s">
        <v>97</v>
      </c>
      <c r="D757" s="143">
        <v>1</v>
      </c>
      <c r="E757" s="99" t="s">
        <v>954</v>
      </c>
      <c r="F757" s="138">
        <v>0.01</v>
      </c>
      <c r="G757" s="141">
        <f>IF(OR(B757="FIXO",B757="XFIXO"),IF(F757="","ERRO",10*F757)*'[1]BD Campos'!$S$2,IF(F757="","ERRO",10*F757)*'[1]BD Campos'!$S$3)</f>
        <v>0.1</v>
      </c>
      <c r="H757" s="102">
        <v>0.05</v>
      </c>
      <c r="I757" s="103">
        <f t="shared" si="41"/>
        <v>-5.000000000000001E-3</v>
      </c>
    </row>
    <row r="758" spans="1:9">
      <c r="A758" s="99" t="str">
        <f>B758&amp;C758&amp;D758</f>
        <v>CONTROLE DE TEMPERATURAMotorista 22</v>
      </c>
      <c r="B758" s="99" t="s">
        <v>480</v>
      </c>
      <c r="C758" s="99" t="s">
        <v>97</v>
      </c>
      <c r="D758" s="143">
        <v>2</v>
      </c>
      <c r="E758" s="137" t="s">
        <v>955</v>
      </c>
      <c r="F758" s="138">
        <v>0.01</v>
      </c>
      <c r="G758" s="141">
        <f>IF(OR(B758="FIXO",B758="XFIXO"),IF(F758="","ERRO",10*F758)*'[1]BD Campos'!$S$2,IF(F758="","ERRO",10*F758)*'[1]BD Campos'!$S$3)</f>
        <v>0.1</v>
      </c>
      <c r="H758" s="102">
        <v>0.05</v>
      </c>
      <c r="I758" s="103">
        <f t="shared" si="41"/>
        <v>-5.000000000000001E-3</v>
      </c>
    </row>
    <row r="759" spans="1:9">
      <c r="A759" s="99" t="str">
        <f t="shared" ref="A759:A771" si="42">B759&amp;C759&amp;D759</f>
        <v>CONTROLE DE TEMPERATURAMotorista 23</v>
      </c>
      <c r="B759" s="99" t="s">
        <v>480</v>
      </c>
      <c r="C759" s="99" t="s">
        <v>97</v>
      </c>
      <c r="D759" s="143">
        <v>3</v>
      </c>
      <c r="E759" s="137" t="s">
        <v>956</v>
      </c>
      <c r="F759" s="138">
        <v>0.01</v>
      </c>
      <c r="G759" s="141">
        <f>IF(OR(B759="FIXO",B759="XFIXO"),IF(F759="","ERRO",10*F759)*'[1]BD Campos'!$S$2,IF(F759="","ERRO",10*F759)*'[1]BD Campos'!$S$3)</f>
        <v>0.1</v>
      </c>
      <c r="H759" s="102">
        <v>0.05</v>
      </c>
      <c r="I759" s="103">
        <f t="shared" si="41"/>
        <v>-5.000000000000001E-3</v>
      </c>
    </row>
    <row r="760" spans="1:9">
      <c r="A760" s="99" t="str">
        <f t="shared" si="42"/>
        <v>CONTROLE DE TEMPERATURAMotorista 24</v>
      </c>
      <c r="B760" s="99" t="s">
        <v>480</v>
      </c>
      <c r="C760" s="99" t="s">
        <v>97</v>
      </c>
      <c r="D760" s="143">
        <v>4</v>
      </c>
      <c r="E760" s="137" t="s">
        <v>982</v>
      </c>
      <c r="F760" s="138">
        <v>0.04</v>
      </c>
      <c r="G760" s="141">
        <f>IF(OR(B760="FIXO",B760="XFIXO"),IF(F760="","ERRO",10*F760)*'[1]BD Campos'!$S$2,IF(F760="","ERRO",10*F760)*'[1]BD Campos'!$S$3)</f>
        <v>0.4</v>
      </c>
      <c r="H760" s="102">
        <v>0.05</v>
      </c>
      <c r="I760" s="103">
        <f t="shared" si="41"/>
        <v>-2.0000000000000004E-2</v>
      </c>
    </row>
    <row r="761" spans="1:9">
      <c r="A761" s="99" t="str">
        <f t="shared" si="42"/>
        <v>CONTROLE DE TEMPERATURAMotorista 25</v>
      </c>
      <c r="B761" s="99" t="s">
        <v>480</v>
      </c>
      <c r="C761" s="99" t="s">
        <v>97</v>
      </c>
      <c r="D761" s="143">
        <v>5</v>
      </c>
      <c r="E761" s="137" t="s">
        <v>1026</v>
      </c>
      <c r="F761" s="138">
        <v>0.13</v>
      </c>
      <c r="G761" s="141">
        <f>IF(OR(B761="FIXO",B761="XFIXO"),IF(F761="","ERRO",10*F761)*'[1]BD Campos'!$S$2,IF(F761="","ERRO",10*F761)*'[1]BD Campos'!$S$3)</f>
        <v>1.3</v>
      </c>
      <c r="H761" s="102">
        <v>0.05</v>
      </c>
      <c r="I761" s="103">
        <f t="shared" si="41"/>
        <v>-6.5000000000000002E-2</v>
      </c>
    </row>
    <row r="762" spans="1:9">
      <c r="A762" s="99" t="str">
        <f t="shared" si="42"/>
        <v>CONTROLE DE TEMPERATURAMotorista 26</v>
      </c>
      <c r="B762" s="99" t="s">
        <v>480</v>
      </c>
      <c r="C762" s="99" t="s">
        <v>97</v>
      </c>
      <c r="D762" s="143">
        <v>6</v>
      </c>
      <c r="E762" s="137" t="s">
        <v>1040</v>
      </c>
      <c r="F762" s="138">
        <v>0.2</v>
      </c>
      <c r="G762" s="141">
        <f>IF(OR(B762="FIXO",B762="XFIXO"),IF(F762="","ERRO",10*F762)*'[1]BD Campos'!$S$2,IF(F762="","ERRO",10*F762)*'[1]BD Campos'!$S$3)</f>
        <v>2</v>
      </c>
      <c r="H762" s="102">
        <v>0.05</v>
      </c>
      <c r="I762" s="103">
        <f t="shared" si="41"/>
        <v>-0.1</v>
      </c>
    </row>
    <row r="763" spans="1:9">
      <c r="A763" s="99" t="str">
        <f t="shared" si="42"/>
        <v>CONTROLE DE TEMPERATURAMotorista 27</v>
      </c>
      <c r="B763" s="99" t="s">
        <v>480</v>
      </c>
      <c r="C763" s="99" t="s">
        <v>97</v>
      </c>
      <c r="D763" s="143">
        <v>7</v>
      </c>
      <c r="E763" s="137" t="s">
        <v>1041</v>
      </c>
      <c r="F763" s="138">
        <v>0.2</v>
      </c>
      <c r="G763" s="141">
        <f>IF(OR(B763="FIXO",B763="XFIXO"),IF(F763="","ERRO",10*F763)*'[1]BD Campos'!$S$2,IF(F763="","ERRO",10*F763)*'[1]BD Campos'!$S$3)</f>
        <v>2</v>
      </c>
      <c r="H763" s="102">
        <v>0.05</v>
      </c>
      <c r="I763" s="103">
        <f t="shared" si="41"/>
        <v>-0.1</v>
      </c>
    </row>
    <row r="764" spans="1:9">
      <c r="A764" s="99" t="str">
        <f t="shared" si="42"/>
        <v>CONTROLE DE TEMPERATURAMotorista 28</v>
      </c>
      <c r="B764" s="99" t="s">
        <v>480</v>
      </c>
      <c r="C764" s="99" t="s">
        <v>97</v>
      </c>
      <c r="D764" s="143">
        <v>8</v>
      </c>
      <c r="E764" s="137" t="s">
        <v>1042</v>
      </c>
      <c r="F764" s="138">
        <v>0.13300000000000001</v>
      </c>
      <c r="G764" s="141">
        <f>IF(OR(B764="FIXO",B764="XFIXO"),IF(F764="","ERRO",10*F764)*'[1]BD Campos'!$S$2,IF(F764="","ERRO",10*F764)*'[1]BD Campos'!$S$3)</f>
        <v>1.33</v>
      </c>
      <c r="H764" s="102">
        <v>0.05</v>
      </c>
      <c r="I764" s="103">
        <f t="shared" si="41"/>
        <v>-6.6500000000000004E-2</v>
      </c>
    </row>
    <row r="765" spans="1:9">
      <c r="A765" s="99" t="str">
        <f t="shared" si="42"/>
        <v>CONTROLE DE TEMPERATURAMotorista 29</v>
      </c>
      <c r="B765" s="99" t="s">
        <v>480</v>
      </c>
      <c r="C765" s="99" t="s">
        <v>97</v>
      </c>
      <c r="D765" s="143">
        <v>9</v>
      </c>
      <c r="E765" s="137" t="s">
        <v>1043</v>
      </c>
      <c r="F765" s="138">
        <v>0.13200000000000001</v>
      </c>
      <c r="G765" s="141">
        <f>IF(OR(B765="FIXO",B765="XFIXO"),IF(F765="","ERRO",10*F765)*'[1]BD Campos'!$S$2,IF(F765="","ERRO",10*F765)*'[1]BD Campos'!$S$3)</f>
        <v>1.32</v>
      </c>
      <c r="H765" s="102">
        <v>0.05</v>
      </c>
      <c r="I765" s="103">
        <f t="shared" si="41"/>
        <v>-6.6000000000000003E-2</v>
      </c>
    </row>
    <row r="766" spans="1:9">
      <c r="A766" s="99" t="str">
        <f t="shared" si="42"/>
        <v>CONTROLE DE TEMPERATURAMotorista 210</v>
      </c>
      <c r="B766" s="99" t="s">
        <v>480</v>
      </c>
      <c r="C766" s="99" t="s">
        <v>97</v>
      </c>
      <c r="D766" s="143">
        <v>10</v>
      </c>
      <c r="E766" s="137" t="s">
        <v>964</v>
      </c>
      <c r="F766" s="138">
        <v>0.03</v>
      </c>
      <c r="G766" s="141">
        <f>IF(OR(B766="FIXO",B766="XFIXO"),IF(F766="","ERRO",10*F766)*'[1]BD Campos'!$S$2,IF(F766="","ERRO",10*F766)*'[1]BD Campos'!$S$3)</f>
        <v>0.3</v>
      </c>
      <c r="H766" s="102">
        <v>0.05</v>
      </c>
      <c r="I766" s="103">
        <f t="shared" si="41"/>
        <v>-1.4999999999999999E-2</v>
      </c>
    </row>
    <row r="767" spans="1:9">
      <c r="A767" s="99" t="str">
        <f t="shared" si="42"/>
        <v>CONTROLE DE TEMPERATURAMotorista 211</v>
      </c>
      <c r="B767" s="99" t="s">
        <v>480</v>
      </c>
      <c r="C767" s="99" t="s">
        <v>97</v>
      </c>
      <c r="D767" s="143">
        <v>11</v>
      </c>
      <c r="E767" s="137" t="s">
        <v>965</v>
      </c>
      <c r="F767" s="138">
        <v>0.03</v>
      </c>
      <c r="G767" s="141">
        <f>IF(OR(B767="FIXO",B767="XFIXO"),IF(F767="","ERRO",10*F767)*'[1]BD Campos'!$S$2,IF(F767="","ERRO",10*F767)*'[1]BD Campos'!$S$3)</f>
        <v>0.3</v>
      </c>
      <c r="H767" s="102">
        <v>0.05</v>
      </c>
      <c r="I767" s="103">
        <f t="shared" si="41"/>
        <v>-1.4999999999999999E-2</v>
      </c>
    </row>
    <row r="768" spans="1:9">
      <c r="A768" s="99" t="str">
        <f t="shared" si="42"/>
        <v>CONTROLE DE TEMPERATURAMotorista 212</v>
      </c>
      <c r="B768" s="99" t="s">
        <v>480</v>
      </c>
      <c r="C768" s="99" t="s">
        <v>97</v>
      </c>
      <c r="D768" s="143">
        <v>12</v>
      </c>
      <c r="E768" s="137" t="s">
        <v>966</v>
      </c>
      <c r="F768" s="138">
        <v>1.4999999999999999E-2</v>
      </c>
      <c r="G768" s="141">
        <f>IF(OR(B768="FIXO",B768="XFIXO"),IF(F768="","ERRO",10*F768)*'[1]BD Campos'!$S$2,IF(F768="","ERRO",10*F768)*'[1]BD Campos'!$S$3)</f>
        <v>0.15</v>
      </c>
      <c r="H768" s="102">
        <v>0.05</v>
      </c>
      <c r="I768" s="103">
        <f t="shared" si="41"/>
        <v>-7.4999999999999997E-3</v>
      </c>
    </row>
    <row r="769" spans="1:9">
      <c r="A769" s="99" t="str">
        <f t="shared" si="42"/>
        <v>CONTROLE DE TEMPERATURAMotorista 213</v>
      </c>
      <c r="B769" s="99" t="s">
        <v>480</v>
      </c>
      <c r="C769" s="99" t="s">
        <v>97</v>
      </c>
      <c r="D769" s="143">
        <v>13</v>
      </c>
      <c r="E769" s="137" t="s">
        <v>968</v>
      </c>
      <c r="F769" s="138">
        <v>0.02</v>
      </c>
      <c r="G769" s="141">
        <f>IF(OR(B769="FIXO",B769="XFIXO"),IF(F769="","ERRO",10*F769)*'[1]BD Campos'!$S$2,IF(F769="","ERRO",10*F769)*'[1]BD Campos'!$S$3)</f>
        <v>0.2</v>
      </c>
      <c r="H769" s="102">
        <v>0.05</v>
      </c>
      <c r="I769" s="103">
        <f t="shared" si="41"/>
        <v>-1.0000000000000002E-2</v>
      </c>
    </row>
    <row r="770" spans="1:9">
      <c r="A770" s="99" t="str">
        <f t="shared" si="42"/>
        <v>CONTROLE DE TEMPERATURAMotorista 214</v>
      </c>
      <c r="B770" s="99" t="s">
        <v>480</v>
      </c>
      <c r="C770" s="99" t="s">
        <v>97</v>
      </c>
      <c r="D770" s="143">
        <v>14</v>
      </c>
      <c r="E770" s="137" t="s">
        <v>1012</v>
      </c>
      <c r="F770" s="138">
        <v>0.03</v>
      </c>
      <c r="G770" s="141">
        <f>IF(OR(B770="FIXO",B770="XFIXO"),IF(F770="","ERRO",10*F770)*'[1]BD Campos'!$S$2,IF(F770="","ERRO",10*F770)*'[1]BD Campos'!$S$3)</f>
        <v>0.3</v>
      </c>
      <c r="H770" s="102">
        <v>0.05</v>
      </c>
      <c r="I770" s="103">
        <f t="shared" si="41"/>
        <v>-1.4999999999999999E-2</v>
      </c>
    </row>
    <row r="771" spans="1:9">
      <c r="A771" s="104" t="str">
        <f t="shared" si="42"/>
        <v>CONTROLE DE TEMPERATURAMotorista 215</v>
      </c>
      <c r="B771" s="104" t="s">
        <v>480</v>
      </c>
      <c r="C771" s="104" t="s">
        <v>97</v>
      </c>
      <c r="D771" s="144">
        <v>15</v>
      </c>
      <c r="E771" s="139" t="s">
        <v>969</v>
      </c>
      <c r="F771" s="140">
        <v>0.01</v>
      </c>
      <c r="G771" s="142">
        <f>IF(OR(B771="FIXO",B771="XFIXO"),IF(F771="","ERRO",10*F771)*'[1]BD Campos'!$S$2,IF(F771="","ERRO",10*F771)*'[1]BD Campos'!$S$3)</f>
        <v>0.1</v>
      </c>
      <c r="H771" s="107">
        <v>0.05</v>
      </c>
      <c r="I771" s="108">
        <f t="shared" si="41"/>
        <v>-5.000000000000001E-3</v>
      </c>
    </row>
    <row r="772" spans="1:9">
      <c r="A772" s="99" t="str">
        <f>B772&amp;C772&amp;D772</f>
        <v>CONTROLE DE TEMPERATURACliente1</v>
      </c>
      <c r="B772" s="99" t="s">
        <v>480</v>
      </c>
      <c r="C772" s="99" t="s">
        <v>149</v>
      </c>
      <c r="D772" s="115">
        <v>1</v>
      </c>
      <c r="E772" s="99" t="s">
        <v>954</v>
      </c>
      <c r="F772" s="100">
        <v>0.01</v>
      </c>
      <c r="G772" s="101">
        <f>IF(OR(B772="FIXO",B772="XFIXO"),IF(F772="","ERRO",10*F772)*'[1]BD Campos'!$S$2,IF(F772="","ERRO",10*F772)*'[1]BD Campos'!$S$3)</f>
        <v>0.1</v>
      </c>
      <c r="H772" s="102">
        <v>0.05</v>
      </c>
      <c r="I772" s="103">
        <f>H772*G772*-1</f>
        <v>-5.000000000000001E-3</v>
      </c>
    </row>
    <row r="773" spans="1:9">
      <c r="A773" s="99" t="str">
        <f t="shared" ref="A773:A801" si="43">B773&amp;C773&amp;D773</f>
        <v>CONTROLE DE TEMPERATURACliente2</v>
      </c>
      <c r="B773" s="99" t="s">
        <v>480</v>
      </c>
      <c r="C773" s="99" t="s">
        <v>149</v>
      </c>
      <c r="D773" s="115">
        <v>2</v>
      </c>
      <c r="E773" s="99" t="s">
        <v>955</v>
      </c>
      <c r="F773" s="100">
        <v>0.01</v>
      </c>
      <c r="G773" s="101">
        <f>IF(OR(B773="FIXO",B773="XFIXO"),IF(F773="","ERRO",10*F773)*'[1]BD Campos'!$S$2,IF(F773="","ERRO",10*F773)*'[1]BD Campos'!$S$3)</f>
        <v>0.1</v>
      </c>
      <c r="H773" s="102">
        <v>0.05</v>
      </c>
      <c r="I773" s="103">
        <f t="shared" ref="I773:I801" si="44">H773*G773*-1</f>
        <v>-5.000000000000001E-3</v>
      </c>
    </row>
    <row r="774" spans="1:9">
      <c r="A774" s="99" t="str">
        <f t="shared" si="43"/>
        <v>CONTROLE DE TEMPERATURACliente3</v>
      </c>
      <c r="B774" s="99" t="s">
        <v>480</v>
      </c>
      <c r="C774" s="99" t="s">
        <v>149</v>
      </c>
      <c r="D774" s="115">
        <v>3</v>
      </c>
      <c r="E774" s="99" t="s">
        <v>956</v>
      </c>
      <c r="F774" s="100">
        <v>0.01</v>
      </c>
      <c r="G774" s="101">
        <f>IF(OR(B774="FIXO",B774="XFIXO"),IF(F774="","ERRO",10*F774)*'[1]BD Campos'!$S$2,IF(F774="","ERRO",10*F774)*'[1]BD Campos'!$S$3)</f>
        <v>0.1</v>
      </c>
      <c r="H774" s="102">
        <v>0.05</v>
      </c>
      <c r="I774" s="103">
        <f t="shared" si="44"/>
        <v>-5.000000000000001E-3</v>
      </c>
    </row>
    <row r="775" spans="1:9">
      <c r="A775" s="99" t="str">
        <f t="shared" si="43"/>
        <v>CONTROLE DE TEMPERATURACliente4</v>
      </c>
      <c r="B775" s="99" t="s">
        <v>480</v>
      </c>
      <c r="C775" s="99" t="s">
        <v>149</v>
      </c>
      <c r="D775" s="115">
        <v>4</v>
      </c>
      <c r="E775" s="99" t="s">
        <v>982</v>
      </c>
      <c r="F775" s="100">
        <v>0.04</v>
      </c>
      <c r="G775" s="101">
        <f>IF(OR(B775="FIXO",B775="XFIXO"),IF(F775="","ERRO",10*F775)*'[1]BD Campos'!$S$2,IF(F775="","ERRO",10*F775)*'[1]BD Campos'!$S$3)</f>
        <v>0.4</v>
      </c>
      <c r="H775" s="102">
        <v>0.05</v>
      </c>
      <c r="I775" s="103">
        <f t="shared" si="44"/>
        <v>-2.0000000000000004E-2</v>
      </c>
    </row>
    <row r="776" spans="1:9">
      <c r="A776" s="99" t="str">
        <f t="shared" si="43"/>
        <v>CONTROLE DE TEMPERATURACliente5</v>
      </c>
      <c r="B776" s="99" t="s">
        <v>480</v>
      </c>
      <c r="C776" s="99" t="s">
        <v>149</v>
      </c>
      <c r="D776" s="115">
        <v>5</v>
      </c>
      <c r="E776" s="99" t="s">
        <v>1026</v>
      </c>
      <c r="F776" s="100">
        <v>0.15</v>
      </c>
      <c r="G776" s="101">
        <f>IF(OR(B776="FIXO",B776="XFIXO"),IF(F776="","ERRO",10*F776)*'[1]BD Campos'!$S$2,IF(F776="","ERRO",10*F776)*'[1]BD Campos'!$S$3)</f>
        <v>1.5</v>
      </c>
      <c r="H776" s="102">
        <v>0.05</v>
      </c>
      <c r="I776" s="103">
        <f t="shared" si="44"/>
        <v>-7.5000000000000011E-2</v>
      </c>
    </row>
    <row r="777" spans="1:9">
      <c r="A777" s="99" t="str">
        <f t="shared" si="43"/>
        <v>CONTROLE DE TEMPERATURACliente6</v>
      </c>
      <c r="B777" s="99" t="s">
        <v>480</v>
      </c>
      <c r="C777" s="99" t="s">
        <v>149</v>
      </c>
      <c r="D777" s="115">
        <v>6</v>
      </c>
      <c r="E777" s="99" t="s">
        <v>1044</v>
      </c>
      <c r="F777" s="100">
        <v>0.17499999999999999</v>
      </c>
      <c r="G777" s="101">
        <f>IF(OR(B777="FIXO",B777="XFIXO"),IF(F777="","ERRO",10*F777)*'[1]BD Campos'!$S$2,IF(F777="","ERRO",10*F777)*'[1]BD Campos'!$S$3)</f>
        <v>1.75</v>
      </c>
      <c r="H777" s="102">
        <v>0.05</v>
      </c>
      <c r="I777" s="103">
        <f t="shared" si="44"/>
        <v>-8.7500000000000008E-2</v>
      </c>
    </row>
    <row r="778" spans="1:9">
      <c r="A778" s="99" t="str">
        <f t="shared" si="43"/>
        <v>CONTROLE DE TEMPERATURACliente7</v>
      </c>
      <c r="B778" s="99" t="s">
        <v>480</v>
      </c>
      <c r="C778" s="99" t="s">
        <v>149</v>
      </c>
      <c r="D778" s="115">
        <v>7</v>
      </c>
      <c r="E778" s="99" t="s">
        <v>1045</v>
      </c>
      <c r="F778" s="100">
        <v>0.17</v>
      </c>
      <c r="G778" s="101">
        <f>IF(OR(B778="FIXO",B778="XFIXO"),IF(F778="","ERRO",10*F778)*'[1]BD Campos'!$S$2,IF(F778="","ERRO",10*F778)*'[1]BD Campos'!$S$3)</f>
        <v>1.7000000000000002</v>
      </c>
      <c r="H778" s="102">
        <v>0.05</v>
      </c>
      <c r="I778" s="103">
        <f t="shared" si="44"/>
        <v>-8.500000000000002E-2</v>
      </c>
    </row>
    <row r="779" spans="1:9">
      <c r="A779" s="99" t="str">
        <f t="shared" si="43"/>
        <v>CONTROLE DE TEMPERATURACliente8</v>
      </c>
      <c r="B779" s="99" t="s">
        <v>480</v>
      </c>
      <c r="C779" s="99" t="s">
        <v>149</v>
      </c>
      <c r="D779" s="115">
        <v>8</v>
      </c>
      <c r="E779" s="99" t="s">
        <v>1046</v>
      </c>
      <c r="F779" s="100">
        <v>0.15</v>
      </c>
      <c r="G779" s="101">
        <f>IF(OR(B779="FIXO",B779="XFIXO"),IF(F779="","ERRO",10*F779)*'[1]BD Campos'!$S$2,IF(F779="","ERRO",10*F779)*'[1]BD Campos'!$S$3)</f>
        <v>1.5</v>
      </c>
      <c r="H779" s="102">
        <v>0.05</v>
      </c>
      <c r="I779" s="103">
        <f t="shared" si="44"/>
        <v>-7.5000000000000011E-2</v>
      </c>
    </row>
    <row r="780" spans="1:9">
      <c r="A780" s="99" t="str">
        <f t="shared" si="43"/>
        <v>CONTROLE DE TEMPERATURACliente9</v>
      </c>
      <c r="B780" s="99" t="s">
        <v>480</v>
      </c>
      <c r="C780" s="99" t="s">
        <v>149</v>
      </c>
      <c r="D780" s="115">
        <v>9</v>
      </c>
      <c r="E780" s="99" t="s">
        <v>1042</v>
      </c>
      <c r="F780" s="100">
        <v>0.15</v>
      </c>
      <c r="G780" s="101">
        <f>IF(OR(B780="FIXO",B780="XFIXO"),IF(F780="","ERRO",10*F780)*'[1]BD Campos'!$S$2,IF(F780="","ERRO",10*F780)*'[1]BD Campos'!$S$3)</f>
        <v>1.5</v>
      </c>
      <c r="H780" s="102">
        <v>0.05</v>
      </c>
      <c r="I780" s="103">
        <f t="shared" si="44"/>
        <v>-7.5000000000000011E-2</v>
      </c>
    </row>
    <row r="781" spans="1:9">
      <c r="A781" s="99" t="str">
        <f t="shared" si="43"/>
        <v>CONTROLE DE TEMPERATURACliente10</v>
      </c>
      <c r="B781" s="99" t="s">
        <v>480</v>
      </c>
      <c r="C781" s="99" t="s">
        <v>149</v>
      </c>
      <c r="D781" s="115">
        <v>10</v>
      </c>
      <c r="E781" s="99" t="s">
        <v>964</v>
      </c>
      <c r="F781" s="100">
        <v>0.03</v>
      </c>
      <c r="G781" s="101">
        <f>IF(OR(B781="FIXO",B781="XFIXO"),IF(F781="","ERRO",10*F781)*'[1]BD Campos'!$S$2,IF(F781="","ERRO",10*F781)*'[1]BD Campos'!$S$3)</f>
        <v>0.3</v>
      </c>
      <c r="H781" s="102">
        <v>0.05</v>
      </c>
      <c r="I781" s="103">
        <f t="shared" si="44"/>
        <v>-1.4999999999999999E-2</v>
      </c>
    </row>
    <row r="782" spans="1:9">
      <c r="A782" s="99" t="str">
        <f t="shared" si="43"/>
        <v>CONTROLE DE TEMPERATURACliente11</v>
      </c>
      <c r="B782" s="99" t="s">
        <v>480</v>
      </c>
      <c r="C782" s="99" t="s">
        <v>149</v>
      </c>
      <c r="D782" s="115">
        <v>11</v>
      </c>
      <c r="E782" s="99" t="s">
        <v>965</v>
      </c>
      <c r="F782" s="100">
        <v>0.03</v>
      </c>
      <c r="G782" s="101">
        <f>IF(OR(B782="FIXO",B782="XFIXO"),IF(F782="","ERRO",10*F782)*'[1]BD Campos'!$S$2,IF(F782="","ERRO",10*F782)*'[1]BD Campos'!$S$3)</f>
        <v>0.3</v>
      </c>
      <c r="H782" s="102">
        <v>0.05</v>
      </c>
      <c r="I782" s="103">
        <f t="shared" si="44"/>
        <v>-1.4999999999999999E-2</v>
      </c>
    </row>
    <row r="783" spans="1:9">
      <c r="A783" s="99" t="str">
        <f t="shared" si="43"/>
        <v>CONTROLE DE TEMPERATURACliente12</v>
      </c>
      <c r="B783" s="99" t="s">
        <v>480</v>
      </c>
      <c r="C783" s="99" t="s">
        <v>149</v>
      </c>
      <c r="D783" s="115">
        <v>12</v>
      </c>
      <c r="E783" s="99" t="s">
        <v>966</v>
      </c>
      <c r="F783" s="100">
        <v>1.4999999999999999E-2</v>
      </c>
      <c r="G783" s="101">
        <f>IF(OR(B783="FIXO",B783="XFIXO"),IF(F783="","ERRO",10*F783)*'[1]BD Campos'!$S$2,IF(F783="","ERRO",10*F783)*'[1]BD Campos'!$S$3)</f>
        <v>0.15</v>
      </c>
      <c r="H783" s="102">
        <v>0.05</v>
      </c>
      <c r="I783" s="103">
        <f t="shared" si="44"/>
        <v>-7.4999999999999997E-3</v>
      </c>
    </row>
    <row r="784" spans="1:9">
      <c r="A784" s="99" t="str">
        <f t="shared" si="43"/>
        <v>CONTROLE DE TEMPERATURACliente13</v>
      </c>
      <c r="B784" s="99" t="s">
        <v>480</v>
      </c>
      <c r="C784" s="99" t="s">
        <v>149</v>
      </c>
      <c r="D784" s="115">
        <v>13</v>
      </c>
      <c r="E784" s="99" t="s">
        <v>968</v>
      </c>
      <c r="F784" s="100">
        <v>0.02</v>
      </c>
      <c r="G784" s="101">
        <f>IF(OR(B784="FIXO",B784="XFIXO"),IF(F784="","ERRO",10*F784)*'[1]BD Campos'!$S$2,IF(F784="","ERRO",10*F784)*'[1]BD Campos'!$S$3)</f>
        <v>0.2</v>
      </c>
      <c r="H784" s="102">
        <v>0.05</v>
      </c>
      <c r="I784" s="103">
        <f t="shared" si="44"/>
        <v>-1.0000000000000002E-2</v>
      </c>
    </row>
    <row r="785" spans="1:9">
      <c r="A785" s="99" t="str">
        <f t="shared" si="43"/>
        <v>CONTROLE DE TEMPERATURACliente14</v>
      </c>
      <c r="B785" s="99" t="s">
        <v>480</v>
      </c>
      <c r="C785" s="99" t="s">
        <v>149</v>
      </c>
      <c r="D785" s="115">
        <v>14</v>
      </c>
      <c r="E785" s="99" t="s">
        <v>1012</v>
      </c>
      <c r="F785" s="100">
        <v>0.03</v>
      </c>
      <c r="G785" s="101">
        <f>IF(OR(B785="FIXO",B785="XFIXO"),IF(F785="","ERRO",10*F785)*'[1]BD Campos'!$S$2,IF(F785="","ERRO",10*F785)*'[1]BD Campos'!$S$3)</f>
        <v>0.3</v>
      </c>
      <c r="H785" s="102">
        <v>0.05</v>
      </c>
      <c r="I785" s="103">
        <f t="shared" si="44"/>
        <v>-1.4999999999999999E-2</v>
      </c>
    </row>
    <row r="786" spans="1:9">
      <c r="A786" s="104" t="str">
        <f t="shared" si="43"/>
        <v>CONTROLE DE TEMPERATURACliente15</v>
      </c>
      <c r="B786" s="104" t="s">
        <v>480</v>
      </c>
      <c r="C786" s="104" t="s">
        <v>149</v>
      </c>
      <c r="D786" s="116">
        <v>15</v>
      </c>
      <c r="E786" s="104" t="s">
        <v>969</v>
      </c>
      <c r="F786" s="105">
        <v>0.01</v>
      </c>
      <c r="G786" s="106">
        <f>IF(OR(B786="FIXO",B786="XFIXO"),IF(F786="","ERRO",10*F786)*'[1]BD Campos'!$S$2,IF(F786="","ERRO",10*F786)*'[1]BD Campos'!$S$3)</f>
        <v>0.1</v>
      </c>
      <c r="H786" s="107">
        <v>0.05</v>
      </c>
      <c r="I786" s="108">
        <f t="shared" si="44"/>
        <v>-5.000000000000001E-3</v>
      </c>
    </row>
    <row r="787" spans="1:9">
      <c r="A787" s="99" t="str">
        <f t="shared" si="43"/>
        <v>CONTROLE DE TEMPERATURACliente 21</v>
      </c>
      <c r="B787" s="99" t="s">
        <v>480</v>
      </c>
      <c r="C787" s="99" t="s">
        <v>322</v>
      </c>
      <c r="D787" s="115">
        <v>1</v>
      </c>
      <c r="E787" s="99" t="s">
        <v>954</v>
      </c>
      <c r="F787" s="100">
        <v>0.01</v>
      </c>
      <c r="G787" s="101">
        <f>IF(OR(B787="FIXO",B787="XFIXO"),IF(F787="","ERRO",10*F787)*'[1]BD Campos'!$S$2,IF(F787="","ERRO",10*F787)*'[1]BD Campos'!$S$3)</f>
        <v>0.1</v>
      </c>
      <c r="H787" s="102">
        <v>0.05</v>
      </c>
      <c r="I787" s="103">
        <f t="shared" si="44"/>
        <v>-5.000000000000001E-3</v>
      </c>
    </row>
    <row r="788" spans="1:9">
      <c r="A788" s="99" t="str">
        <f t="shared" si="43"/>
        <v>CONTROLE DE TEMPERATURACliente 22</v>
      </c>
      <c r="B788" s="99" t="s">
        <v>480</v>
      </c>
      <c r="C788" s="99" t="s">
        <v>322</v>
      </c>
      <c r="D788" s="115">
        <v>2</v>
      </c>
      <c r="E788" s="99" t="s">
        <v>955</v>
      </c>
      <c r="F788" s="100">
        <v>0.01</v>
      </c>
      <c r="G788" s="101">
        <f>IF(OR(B788="FIXO",B788="XFIXO"),IF(F788="","ERRO",10*F788)*'[1]BD Campos'!$S$2,IF(F788="","ERRO",10*F788)*'[1]BD Campos'!$S$3)</f>
        <v>0.1</v>
      </c>
      <c r="H788" s="102">
        <v>0.05</v>
      </c>
      <c r="I788" s="103">
        <f t="shared" si="44"/>
        <v>-5.000000000000001E-3</v>
      </c>
    </row>
    <row r="789" spans="1:9">
      <c r="A789" s="99" t="str">
        <f t="shared" si="43"/>
        <v>CONTROLE DE TEMPERATURACliente 23</v>
      </c>
      <c r="B789" s="99" t="s">
        <v>480</v>
      </c>
      <c r="C789" s="99" t="s">
        <v>322</v>
      </c>
      <c r="D789" s="115">
        <v>3</v>
      </c>
      <c r="E789" s="99" t="s">
        <v>956</v>
      </c>
      <c r="F789" s="100">
        <v>0.01</v>
      </c>
      <c r="G789" s="101">
        <f>IF(OR(B789="FIXO",B789="XFIXO"),IF(F789="","ERRO",10*F789)*'[1]BD Campos'!$S$2,IF(F789="","ERRO",10*F789)*'[1]BD Campos'!$S$3)</f>
        <v>0.1</v>
      </c>
      <c r="H789" s="102">
        <v>0.05</v>
      </c>
      <c r="I789" s="103">
        <f t="shared" si="44"/>
        <v>-5.000000000000001E-3</v>
      </c>
    </row>
    <row r="790" spans="1:9">
      <c r="A790" s="99" t="str">
        <f t="shared" si="43"/>
        <v>CONTROLE DE TEMPERATURACliente 24</v>
      </c>
      <c r="B790" s="99" t="s">
        <v>480</v>
      </c>
      <c r="C790" s="99" t="s">
        <v>322</v>
      </c>
      <c r="D790" s="115">
        <v>4</v>
      </c>
      <c r="E790" s="99" t="s">
        <v>982</v>
      </c>
      <c r="F790" s="100">
        <v>0.04</v>
      </c>
      <c r="G790" s="101">
        <f>IF(OR(B790="FIXO",B790="XFIXO"),IF(F790="","ERRO",10*F790)*'[1]BD Campos'!$S$2,IF(F790="","ERRO",10*F790)*'[1]BD Campos'!$S$3)</f>
        <v>0.4</v>
      </c>
      <c r="H790" s="102">
        <v>0.05</v>
      </c>
      <c r="I790" s="103">
        <f t="shared" si="44"/>
        <v>-2.0000000000000004E-2</v>
      </c>
    </row>
    <row r="791" spans="1:9">
      <c r="A791" s="99" t="str">
        <f t="shared" si="43"/>
        <v>CONTROLE DE TEMPERATURACliente 25</v>
      </c>
      <c r="B791" s="99" t="s">
        <v>480</v>
      </c>
      <c r="C791" s="99" t="s">
        <v>322</v>
      </c>
      <c r="D791" s="115">
        <v>5</v>
      </c>
      <c r="E791" s="99" t="s">
        <v>1026</v>
      </c>
      <c r="F791" s="100">
        <v>0.15</v>
      </c>
      <c r="G791" s="101">
        <f>IF(OR(B791="FIXO",B791="XFIXO"),IF(F791="","ERRO",10*F791)*'[1]BD Campos'!$S$2,IF(F791="","ERRO",10*F791)*'[1]BD Campos'!$S$3)</f>
        <v>1.5</v>
      </c>
      <c r="H791" s="102">
        <v>0.05</v>
      </c>
      <c r="I791" s="103">
        <f t="shared" si="44"/>
        <v>-7.5000000000000011E-2</v>
      </c>
    </row>
    <row r="792" spans="1:9">
      <c r="A792" s="99" t="str">
        <f t="shared" si="43"/>
        <v>CONTROLE DE TEMPERATURACliente 26</v>
      </c>
      <c r="B792" s="99" t="s">
        <v>480</v>
      </c>
      <c r="C792" s="99" t="s">
        <v>322</v>
      </c>
      <c r="D792" s="115">
        <v>6</v>
      </c>
      <c r="E792" s="99" t="s">
        <v>1044</v>
      </c>
      <c r="F792" s="100">
        <v>0.17499999999999999</v>
      </c>
      <c r="G792" s="101">
        <f>IF(OR(B792="FIXO",B792="XFIXO"),IF(F792="","ERRO",10*F792)*'[1]BD Campos'!$S$2,IF(F792="","ERRO",10*F792)*'[1]BD Campos'!$S$3)</f>
        <v>1.75</v>
      </c>
      <c r="H792" s="102">
        <v>0.05</v>
      </c>
      <c r="I792" s="103">
        <f t="shared" si="44"/>
        <v>-8.7500000000000008E-2</v>
      </c>
    </row>
    <row r="793" spans="1:9">
      <c r="A793" s="99" t="str">
        <f t="shared" si="43"/>
        <v>CONTROLE DE TEMPERATURACliente 27</v>
      </c>
      <c r="B793" s="99" t="s">
        <v>480</v>
      </c>
      <c r="C793" s="99" t="s">
        <v>322</v>
      </c>
      <c r="D793" s="115">
        <v>7</v>
      </c>
      <c r="E793" s="99" t="s">
        <v>1045</v>
      </c>
      <c r="F793" s="100">
        <v>0.17</v>
      </c>
      <c r="G793" s="101">
        <f>IF(OR(B793="FIXO",B793="XFIXO"),IF(F793="","ERRO",10*F793)*'[1]BD Campos'!$S$2,IF(F793="","ERRO",10*F793)*'[1]BD Campos'!$S$3)</f>
        <v>1.7000000000000002</v>
      </c>
      <c r="H793" s="102">
        <v>0.05</v>
      </c>
      <c r="I793" s="103">
        <f t="shared" si="44"/>
        <v>-8.500000000000002E-2</v>
      </c>
    </row>
    <row r="794" spans="1:9">
      <c r="A794" s="99" t="str">
        <f t="shared" si="43"/>
        <v>CONTROLE DE TEMPERATURACliente 28</v>
      </c>
      <c r="B794" s="99" t="s">
        <v>480</v>
      </c>
      <c r="C794" s="99" t="s">
        <v>322</v>
      </c>
      <c r="D794" s="115">
        <v>8</v>
      </c>
      <c r="E794" s="99" t="s">
        <v>1046</v>
      </c>
      <c r="F794" s="100">
        <v>0.15</v>
      </c>
      <c r="G794" s="101">
        <f>IF(OR(B794="FIXO",B794="XFIXO"),IF(F794="","ERRO",10*F794)*'[1]BD Campos'!$S$2,IF(F794="","ERRO",10*F794)*'[1]BD Campos'!$S$3)</f>
        <v>1.5</v>
      </c>
      <c r="H794" s="102">
        <v>0.05</v>
      </c>
      <c r="I794" s="103">
        <f t="shared" si="44"/>
        <v>-7.5000000000000011E-2</v>
      </c>
    </row>
    <row r="795" spans="1:9">
      <c r="A795" s="99" t="str">
        <f t="shared" si="43"/>
        <v>CONTROLE DE TEMPERATURACliente 29</v>
      </c>
      <c r="B795" s="99" t="s">
        <v>480</v>
      </c>
      <c r="C795" s="99" t="s">
        <v>322</v>
      </c>
      <c r="D795" s="115">
        <v>9</v>
      </c>
      <c r="E795" s="99" t="s">
        <v>1042</v>
      </c>
      <c r="F795" s="100">
        <v>0.15</v>
      </c>
      <c r="G795" s="101">
        <f>IF(OR(B795="FIXO",B795="XFIXO"),IF(F795="","ERRO",10*F795)*'[1]BD Campos'!$S$2,IF(F795="","ERRO",10*F795)*'[1]BD Campos'!$S$3)</f>
        <v>1.5</v>
      </c>
      <c r="H795" s="102">
        <v>0.05</v>
      </c>
      <c r="I795" s="103">
        <f t="shared" si="44"/>
        <v>-7.5000000000000011E-2</v>
      </c>
    </row>
    <row r="796" spans="1:9">
      <c r="A796" s="99" t="str">
        <f t="shared" si="43"/>
        <v>CONTROLE DE TEMPERATURACliente 210</v>
      </c>
      <c r="B796" s="99" t="s">
        <v>480</v>
      </c>
      <c r="C796" s="99" t="s">
        <v>322</v>
      </c>
      <c r="D796" s="115">
        <v>10</v>
      </c>
      <c r="E796" s="99" t="s">
        <v>964</v>
      </c>
      <c r="F796" s="100">
        <v>0.03</v>
      </c>
      <c r="G796" s="101">
        <f>IF(OR(B796="FIXO",B796="XFIXO"),IF(F796="","ERRO",10*F796)*'[1]BD Campos'!$S$2,IF(F796="","ERRO",10*F796)*'[1]BD Campos'!$S$3)</f>
        <v>0.3</v>
      </c>
      <c r="H796" s="102">
        <v>0.05</v>
      </c>
      <c r="I796" s="103">
        <f t="shared" si="44"/>
        <v>-1.4999999999999999E-2</v>
      </c>
    </row>
    <row r="797" spans="1:9">
      <c r="A797" s="99" t="str">
        <f t="shared" si="43"/>
        <v>CONTROLE DE TEMPERATURACliente 211</v>
      </c>
      <c r="B797" s="99" t="s">
        <v>480</v>
      </c>
      <c r="C797" s="99" t="s">
        <v>322</v>
      </c>
      <c r="D797" s="115">
        <v>11</v>
      </c>
      <c r="E797" s="99" t="s">
        <v>965</v>
      </c>
      <c r="F797" s="100">
        <v>0.03</v>
      </c>
      <c r="G797" s="101">
        <f>IF(OR(B797="FIXO",B797="XFIXO"),IF(F797="","ERRO",10*F797)*'[1]BD Campos'!$S$2,IF(F797="","ERRO",10*F797)*'[1]BD Campos'!$S$3)</f>
        <v>0.3</v>
      </c>
      <c r="H797" s="102">
        <v>0.05</v>
      </c>
      <c r="I797" s="103">
        <f t="shared" si="44"/>
        <v>-1.4999999999999999E-2</v>
      </c>
    </row>
    <row r="798" spans="1:9">
      <c r="A798" s="99" t="str">
        <f t="shared" si="43"/>
        <v>CONTROLE DE TEMPERATURACliente 212</v>
      </c>
      <c r="B798" s="99" t="s">
        <v>480</v>
      </c>
      <c r="C798" s="99" t="s">
        <v>322</v>
      </c>
      <c r="D798" s="115">
        <v>12</v>
      </c>
      <c r="E798" s="99" t="s">
        <v>966</v>
      </c>
      <c r="F798" s="100">
        <v>1.4999999999999999E-2</v>
      </c>
      <c r="G798" s="101">
        <f>IF(OR(B798="FIXO",B798="XFIXO"),IF(F798="","ERRO",10*F798)*'[1]BD Campos'!$S$2,IF(F798="","ERRO",10*F798)*'[1]BD Campos'!$S$3)</f>
        <v>0.15</v>
      </c>
      <c r="H798" s="102">
        <v>0.05</v>
      </c>
      <c r="I798" s="103">
        <f t="shared" si="44"/>
        <v>-7.4999999999999997E-3</v>
      </c>
    </row>
    <row r="799" spans="1:9">
      <c r="A799" s="99" t="str">
        <f t="shared" si="43"/>
        <v>CONTROLE DE TEMPERATURACliente 213</v>
      </c>
      <c r="B799" s="99" t="s">
        <v>480</v>
      </c>
      <c r="C799" s="99" t="s">
        <v>322</v>
      </c>
      <c r="D799" s="115">
        <v>13</v>
      </c>
      <c r="E799" s="99" t="s">
        <v>968</v>
      </c>
      <c r="F799" s="100">
        <v>0.02</v>
      </c>
      <c r="G799" s="101">
        <f>IF(OR(B799="FIXO",B799="XFIXO"),IF(F799="","ERRO",10*F799)*'[1]BD Campos'!$S$2,IF(F799="","ERRO",10*F799)*'[1]BD Campos'!$S$3)</f>
        <v>0.2</v>
      </c>
      <c r="H799" s="102">
        <v>0.05</v>
      </c>
      <c r="I799" s="103">
        <f t="shared" si="44"/>
        <v>-1.0000000000000002E-2</v>
      </c>
    </row>
    <row r="800" spans="1:9">
      <c r="A800" s="99" t="str">
        <f t="shared" si="43"/>
        <v>CONTROLE DE TEMPERATURACliente 214</v>
      </c>
      <c r="B800" s="99" t="s">
        <v>480</v>
      </c>
      <c r="C800" s="99" t="s">
        <v>322</v>
      </c>
      <c r="D800" s="115">
        <v>14</v>
      </c>
      <c r="E800" s="99" t="s">
        <v>1012</v>
      </c>
      <c r="F800" s="100">
        <v>0.03</v>
      </c>
      <c r="G800" s="101">
        <f>IF(OR(B800="FIXO",B800="XFIXO"),IF(F800="","ERRO",10*F800)*'[1]BD Campos'!$S$2,IF(F800="","ERRO",10*F800)*'[1]BD Campos'!$S$3)</f>
        <v>0.3</v>
      </c>
      <c r="H800" s="102">
        <v>0.05</v>
      </c>
      <c r="I800" s="103">
        <f t="shared" si="44"/>
        <v>-1.4999999999999999E-2</v>
      </c>
    </row>
    <row r="801" spans="1:9">
      <c r="A801" s="104" t="str">
        <f t="shared" si="43"/>
        <v>CONTROLE DE TEMPERATURACliente 215</v>
      </c>
      <c r="B801" s="104" t="s">
        <v>480</v>
      </c>
      <c r="C801" s="104" t="s">
        <v>322</v>
      </c>
      <c r="D801" s="116">
        <v>15</v>
      </c>
      <c r="E801" s="104" t="s">
        <v>969</v>
      </c>
      <c r="F801" s="105">
        <v>0.01</v>
      </c>
      <c r="G801" s="106">
        <f>IF(OR(B801="FIXO",B801="XFIXO"),IF(F801="","ERRO",10*F801)*'[1]BD Campos'!$S$2,IF(F801="","ERRO",10*F801)*'[1]BD Campos'!$S$3)</f>
        <v>0.1</v>
      </c>
      <c r="H801" s="107">
        <v>0.05</v>
      </c>
      <c r="I801" s="108">
        <f t="shared" si="44"/>
        <v>-5.000000000000001E-3</v>
      </c>
    </row>
    <row r="802" spans="1:9">
      <c r="A802" s="99" t="str">
        <f>B802&amp;C802&amp;D802</f>
        <v>DESLIGAMENTO (TEMPERATURA)Motorista1</v>
      </c>
      <c r="B802" s="99" t="s">
        <v>771</v>
      </c>
      <c r="C802" s="99" t="s">
        <v>93</v>
      </c>
      <c r="D802" s="115">
        <v>1</v>
      </c>
      <c r="E802" s="99" t="s">
        <v>954</v>
      </c>
      <c r="F802" s="100">
        <v>0.01</v>
      </c>
      <c r="G802" s="101">
        <f>IF(OR(B802="FIXO",B802="XFIXO"),IF(F802="","ERRO",10*F802)*'[1]BD Campos'!$S$2,IF(F802="","ERRO",10*F802)*'[1]BD Campos'!$S$3)</f>
        <v>0.1</v>
      </c>
      <c r="H802" s="102">
        <v>0.05</v>
      </c>
      <c r="I802" s="103">
        <f>H802*G802*-1</f>
        <v>-5.000000000000001E-3</v>
      </c>
    </row>
    <row r="803" spans="1:9">
      <c r="A803" s="99" t="str">
        <f t="shared" ref="A803:A833" si="45">B803&amp;C803&amp;D803</f>
        <v>DESLIGAMENTO (TEMPERATURA)Motorista2</v>
      </c>
      <c r="B803" s="99" t="s">
        <v>771</v>
      </c>
      <c r="C803" s="99" t="s">
        <v>93</v>
      </c>
      <c r="D803" s="115">
        <v>2</v>
      </c>
      <c r="E803" s="99" t="s">
        <v>955</v>
      </c>
      <c r="F803" s="100">
        <v>0.01</v>
      </c>
      <c r="G803" s="101">
        <f>IF(OR(B803="FIXO",B803="XFIXO"),IF(F803="","ERRO",10*F803)*'[1]BD Campos'!$S$2,IF(F803="","ERRO",10*F803)*'[1]BD Campos'!$S$3)</f>
        <v>0.1</v>
      </c>
      <c r="H803" s="102">
        <v>0.05</v>
      </c>
      <c r="I803" s="103">
        <f t="shared" ref="I803:I833" si="46">H803*G803*-1</f>
        <v>-5.000000000000001E-3</v>
      </c>
    </row>
    <row r="804" spans="1:9">
      <c r="A804" s="99" t="str">
        <f t="shared" si="45"/>
        <v>DESLIGAMENTO (TEMPERATURA)Motorista3</v>
      </c>
      <c r="B804" s="99" t="s">
        <v>771</v>
      </c>
      <c r="C804" s="99" t="s">
        <v>93</v>
      </c>
      <c r="D804" s="115">
        <v>3</v>
      </c>
      <c r="E804" s="99" t="s">
        <v>956</v>
      </c>
      <c r="F804" s="100">
        <v>0.01</v>
      </c>
      <c r="G804" s="101">
        <f>IF(OR(B804="FIXO",B804="XFIXO"),IF(F804="","ERRO",10*F804)*'[1]BD Campos'!$S$2,IF(F804="","ERRO",10*F804)*'[1]BD Campos'!$S$3)</f>
        <v>0.1</v>
      </c>
      <c r="H804" s="102">
        <v>0.05</v>
      </c>
      <c r="I804" s="103">
        <f t="shared" si="46"/>
        <v>-5.000000000000001E-3</v>
      </c>
    </row>
    <row r="805" spans="1:9">
      <c r="A805" s="99" t="str">
        <f t="shared" si="45"/>
        <v>DESLIGAMENTO (TEMPERATURA)Motorista4</v>
      </c>
      <c r="B805" s="99" t="s">
        <v>771</v>
      </c>
      <c r="C805" s="99" t="s">
        <v>93</v>
      </c>
      <c r="D805" s="115">
        <v>4</v>
      </c>
      <c r="E805" s="99" t="s">
        <v>982</v>
      </c>
      <c r="F805" s="100">
        <v>0.04</v>
      </c>
      <c r="G805" s="101">
        <f>IF(OR(B805="FIXO",B805="XFIXO"),IF(F805="","ERRO",10*F805)*'[1]BD Campos'!$S$2,IF(F805="","ERRO",10*F805)*'[1]BD Campos'!$S$3)</f>
        <v>0.4</v>
      </c>
      <c r="H805" s="102">
        <v>0.05</v>
      </c>
      <c r="I805" s="103">
        <f t="shared" si="46"/>
        <v>-2.0000000000000004E-2</v>
      </c>
    </row>
    <row r="806" spans="1:9">
      <c r="A806" s="99" t="str">
        <f t="shared" si="45"/>
        <v>DESLIGAMENTO (TEMPERATURA)Motorista5</v>
      </c>
      <c r="B806" s="99" t="s">
        <v>771</v>
      </c>
      <c r="C806" s="99" t="s">
        <v>93</v>
      </c>
      <c r="D806" s="115">
        <v>5</v>
      </c>
      <c r="E806" s="99" t="s">
        <v>1026</v>
      </c>
      <c r="F806" s="100">
        <v>0.13</v>
      </c>
      <c r="G806" s="101">
        <f>IF(OR(B806="FIXO",B806="XFIXO"),IF(F806="","ERRO",10*F806)*'[1]BD Campos'!$S$2,IF(F806="","ERRO",10*F806)*'[1]BD Campos'!$S$3)</f>
        <v>1.3</v>
      </c>
      <c r="H806" s="102">
        <v>0.05</v>
      </c>
      <c r="I806" s="103">
        <f t="shared" si="46"/>
        <v>-6.5000000000000002E-2</v>
      </c>
    </row>
    <row r="807" spans="1:9">
      <c r="A807" s="99" t="str">
        <f t="shared" si="45"/>
        <v>DESLIGAMENTO (TEMPERATURA)Motorista6</v>
      </c>
      <c r="B807" s="99" t="s">
        <v>771</v>
      </c>
      <c r="C807" s="99" t="s">
        <v>93</v>
      </c>
      <c r="D807" s="115">
        <v>6</v>
      </c>
      <c r="E807" s="99" t="s">
        <v>1047</v>
      </c>
      <c r="F807" s="100">
        <v>0.13200000000000001</v>
      </c>
      <c r="G807" s="101">
        <f>IF(OR(B807="FIXO",B807="XFIXO"),IF(F807="","ERRO",10*F807)*'[1]BD Campos'!$S$2,IF(F807="","ERRO",10*F807)*'[1]BD Campos'!$S$3)</f>
        <v>1.32</v>
      </c>
      <c r="H807" s="102">
        <v>0.05</v>
      </c>
      <c r="I807" s="103">
        <f t="shared" si="46"/>
        <v>-6.6000000000000003E-2</v>
      </c>
    </row>
    <row r="808" spans="1:9">
      <c r="A808" s="99" t="str">
        <f t="shared" si="45"/>
        <v>DESLIGAMENTO (TEMPERATURA)Motorista7</v>
      </c>
      <c r="B808" s="99" t="s">
        <v>771</v>
      </c>
      <c r="C808" s="99" t="s">
        <v>93</v>
      </c>
      <c r="D808" s="115">
        <v>7</v>
      </c>
      <c r="E808" s="99" t="s">
        <v>1048</v>
      </c>
      <c r="F808" s="100">
        <v>0.13200000000000001</v>
      </c>
      <c r="G808" s="101">
        <f>IF(OR(B808="FIXO",B808="XFIXO"),IF(F808="","ERRO",10*F808)*'[1]BD Campos'!$S$2,IF(F808="","ERRO",10*F808)*'[1]BD Campos'!$S$3)</f>
        <v>1.32</v>
      </c>
      <c r="H808" s="102">
        <v>0.05</v>
      </c>
      <c r="I808" s="103">
        <f t="shared" si="46"/>
        <v>-6.6000000000000003E-2</v>
      </c>
    </row>
    <row r="809" spans="1:9">
      <c r="A809" s="99" t="str">
        <f t="shared" si="45"/>
        <v>DESLIGAMENTO (TEMPERATURA)Motorista8</v>
      </c>
      <c r="B809" s="99" t="s">
        <v>771</v>
      </c>
      <c r="C809" s="99" t="s">
        <v>93</v>
      </c>
      <c r="D809" s="115">
        <v>8</v>
      </c>
      <c r="E809" s="99" t="s">
        <v>1049</v>
      </c>
      <c r="F809" s="100">
        <v>0.13200000000000001</v>
      </c>
      <c r="G809" s="101">
        <f>IF(OR(B809="FIXO",B809="XFIXO"),IF(F809="","ERRO",10*F809)*'[1]BD Campos'!$S$2,IF(F809="","ERRO",10*F809)*'[1]BD Campos'!$S$3)</f>
        <v>1.32</v>
      </c>
      <c r="H809" s="102">
        <v>0.05</v>
      </c>
      <c r="I809" s="103">
        <f t="shared" si="46"/>
        <v>-6.6000000000000003E-2</v>
      </c>
    </row>
    <row r="810" spans="1:9">
      <c r="A810" s="99" t="str">
        <f t="shared" si="45"/>
        <v>DESLIGAMENTO (TEMPERATURA)Motorista9</v>
      </c>
      <c r="B810" s="99" t="s">
        <v>771</v>
      </c>
      <c r="C810" s="99" t="s">
        <v>93</v>
      </c>
      <c r="D810" s="115">
        <v>9</v>
      </c>
      <c r="E810" s="99" t="s">
        <v>1050</v>
      </c>
      <c r="F810" s="100">
        <v>0.13700000000000001</v>
      </c>
      <c r="G810" s="101">
        <f>IF(OR(B810="FIXO",B810="XFIXO"),IF(F810="","ERRO",10*F810)*'[1]BD Campos'!$S$2,IF(F810="","ERRO",10*F810)*'[1]BD Campos'!$S$3)</f>
        <v>1.37</v>
      </c>
      <c r="H810" s="102">
        <v>0.05</v>
      </c>
      <c r="I810" s="103">
        <f t="shared" si="46"/>
        <v>-6.8500000000000005E-2</v>
      </c>
    </row>
    <row r="811" spans="1:9">
      <c r="A811" s="99" t="str">
        <f t="shared" si="45"/>
        <v>DESLIGAMENTO (TEMPERATURA)Motorista10</v>
      </c>
      <c r="B811" s="99" t="s">
        <v>771</v>
      </c>
      <c r="C811" s="99" t="s">
        <v>93</v>
      </c>
      <c r="D811" s="115">
        <v>10</v>
      </c>
      <c r="E811" s="99" t="s">
        <v>1051</v>
      </c>
      <c r="F811" s="100">
        <v>0.13200000000000001</v>
      </c>
      <c r="G811" s="101">
        <f>IF(OR(B811="FIXO",B811="XFIXO"),IF(F811="","ERRO",10*F811)*'[1]BD Campos'!$S$2,IF(F811="","ERRO",10*F811)*'[1]BD Campos'!$S$3)</f>
        <v>1.32</v>
      </c>
      <c r="H811" s="102">
        <v>0.05</v>
      </c>
      <c r="I811" s="103">
        <f t="shared" si="46"/>
        <v>-6.6000000000000003E-2</v>
      </c>
    </row>
    <row r="812" spans="1:9">
      <c r="A812" s="99" t="str">
        <f t="shared" si="45"/>
        <v>DESLIGAMENTO (TEMPERATURA)Motorista11</v>
      </c>
      <c r="B812" s="99" t="s">
        <v>771</v>
      </c>
      <c r="C812" s="99" t="s">
        <v>93</v>
      </c>
      <c r="D812" s="115">
        <v>11</v>
      </c>
      <c r="E812" s="99" t="s">
        <v>964</v>
      </c>
      <c r="F812" s="100">
        <v>0.03</v>
      </c>
      <c r="G812" s="101">
        <f>IF(OR(B812="FIXO",B812="XFIXO"),IF(F812="","ERRO",10*F812)*'[1]BD Campos'!$S$2,IF(F812="","ERRO",10*F812)*'[1]BD Campos'!$S$3)</f>
        <v>0.3</v>
      </c>
      <c r="H812" s="102">
        <v>0.05</v>
      </c>
      <c r="I812" s="103">
        <f t="shared" si="46"/>
        <v>-1.4999999999999999E-2</v>
      </c>
    </row>
    <row r="813" spans="1:9">
      <c r="A813" s="99" t="str">
        <f t="shared" si="45"/>
        <v>DESLIGAMENTO (TEMPERATURA)Motorista12</v>
      </c>
      <c r="B813" s="99" t="s">
        <v>771</v>
      </c>
      <c r="C813" s="99" t="s">
        <v>93</v>
      </c>
      <c r="D813" s="115">
        <v>12</v>
      </c>
      <c r="E813" s="99" t="s">
        <v>965</v>
      </c>
      <c r="F813" s="100">
        <v>0.03</v>
      </c>
      <c r="G813" s="101">
        <f>IF(OR(B813="FIXO",B813="XFIXO"),IF(F813="","ERRO",10*F813)*'[1]BD Campos'!$S$2,IF(F813="","ERRO",10*F813)*'[1]BD Campos'!$S$3)</f>
        <v>0.3</v>
      </c>
      <c r="H813" s="102">
        <v>0.05</v>
      </c>
      <c r="I813" s="103">
        <f t="shared" si="46"/>
        <v>-1.4999999999999999E-2</v>
      </c>
    </row>
    <row r="814" spans="1:9">
      <c r="A814" s="99" t="str">
        <f t="shared" si="45"/>
        <v>DESLIGAMENTO (TEMPERATURA)Motorista13</v>
      </c>
      <c r="B814" s="99" t="s">
        <v>771</v>
      </c>
      <c r="C814" s="99" t="s">
        <v>93</v>
      </c>
      <c r="D814" s="115">
        <v>13</v>
      </c>
      <c r="E814" s="99" t="s">
        <v>966</v>
      </c>
      <c r="F814" s="100">
        <v>1.4999999999999999E-2</v>
      </c>
      <c r="G814" s="101">
        <f>IF(OR(B814="FIXO",B814="XFIXO"),IF(F814="","ERRO",10*F814)*'[1]BD Campos'!$S$2,IF(F814="","ERRO",10*F814)*'[1]BD Campos'!$S$3)</f>
        <v>0.15</v>
      </c>
      <c r="H814" s="102">
        <v>0.05</v>
      </c>
      <c r="I814" s="103">
        <f t="shared" si="46"/>
        <v>-7.4999999999999997E-3</v>
      </c>
    </row>
    <row r="815" spans="1:9">
      <c r="A815" s="99" t="str">
        <f t="shared" si="45"/>
        <v>DESLIGAMENTO (TEMPERATURA)Motorista14</v>
      </c>
      <c r="B815" s="99" t="s">
        <v>771</v>
      </c>
      <c r="C815" s="99" t="s">
        <v>93</v>
      </c>
      <c r="D815" s="115">
        <v>14</v>
      </c>
      <c r="E815" s="99" t="s">
        <v>968</v>
      </c>
      <c r="F815" s="100">
        <v>0.02</v>
      </c>
      <c r="G815" s="101">
        <f>IF(OR(B815="FIXO",B815="XFIXO"),IF(F815="","ERRO",10*F815)*'[1]BD Campos'!$S$2,IF(F815="","ERRO",10*F815)*'[1]BD Campos'!$S$3)</f>
        <v>0.2</v>
      </c>
      <c r="H815" s="102">
        <v>0.05</v>
      </c>
      <c r="I815" s="103">
        <f t="shared" si="46"/>
        <v>-1.0000000000000002E-2</v>
      </c>
    </row>
    <row r="816" spans="1:9">
      <c r="A816" s="99" t="str">
        <f t="shared" si="45"/>
        <v>DESLIGAMENTO (TEMPERATURA)Motorista15</v>
      </c>
      <c r="B816" s="99" t="s">
        <v>771</v>
      </c>
      <c r="C816" s="99" t="s">
        <v>93</v>
      </c>
      <c r="D816" s="115">
        <v>15</v>
      </c>
      <c r="E816" s="99" t="s">
        <v>1012</v>
      </c>
      <c r="F816" s="100">
        <v>0.03</v>
      </c>
      <c r="G816" s="101">
        <f>IF(OR(B816="FIXO",B816="XFIXO"),IF(F816="","ERRO",10*F816)*'[1]BD Campos'!$S$2,IF(F816="","ERRO",10*F816)*'[1]BD Campos'!$S$3)</f>
        <v>0.3</v>
      </c>
      <c r="H816" s="102">
        <v>0.05</v>
      </c>
      <c r="I816" s="103">
        <f t="shared" si="46"/>
        <v>-1.4999999999999999E-2</v>
      </c>
    </row>
    <row r="817" spans="1:9">
      <c r="A817" s="104" t="str">
        <f t="shared" si="45"/>
        <v>DESLIGAMENTO (TEMPERATURA)Motorista16</v>
      </c>
      <c r="B817" s="104" t="s">
        <v>771</v>
      </c>
      <c r="C817" s="104" t="s">
        <v>93</v>
      </c>
      <c r="D817" s="116">
        <v>16</v>
      </c>
      <c r="E817" s="104" t="s">
        <v>969</v>
      </c>
      <c r="F817" s="105">
        <v>0.01</v>
      </c>
      <c r="G817" s="106">
        <f>IF(OR(B817="FIXO",B817="XFIXO"),IF(F817="","ERRO",10*F817)*'[1]BD Campos'!$S$2,IF(F817="","ERRO",10*F817)*'[1]BD Campos'!$S$3)</f>
        <v>0.1</v>
      </c>
      <c r="H817" s="107">
        <v>0.05</v>
      </c>
      <c r="I817" s="108">
        <f t="shared" si="46"/>
        <v>-5.000000000000001E-3</v>
      </c>
    </row>
    <row r="818" spans="1:9">
      <c r="A818" s="99" t="str">
        <f t="shared" si="45"/>
        <v>DESLIGAMENTO (TEMPERATURA)Motorista 21</v>
      </c>
      <c r="B818" s="99" t="s">
        <v>771</v>
      </c>
      <c r="C818" s="99" t="s">
        <v>97</v>
      </c>
      <c r="D818" s="115">
        <v>1</v>
      </c>
      <c r="E818" s="99" t="s">
        <v>954</v>
      </c>
      <c r="F818" s="100">
        <v>0.01</v>
      </c>
      <c r="G818" s="101">
        <f>IF(OR(B818="FIXO",B818="XFIXO"),IF(F818="","ERRO",10*F818)*'[1]BD Campos'!$S$2,IF(F818="","ERRO",10*F818)*'[1]BD Campos'!$S$3)</f>
        <v>0.1</v>
      </c>
      <c r="H818" s="102">
        <v>0.05</v>
      </c>
      <c r="I818" s="103">
        <f t="shared" si="46"/>
        <v>-5.000000000000001E-3</v>
      </c>
    </row>
    <row r="819" spans="1:9">
      <c r="A819" s="99" t="str">
        <f t="shared" si="45"/>
        <v>DESLIGAMENTO (TEMPERATURA)Motorista 22</v>
      </c>
      <c r="B819" s="99" t="s">
        <v>771</v>
      </c>
      <c r="C819" s="99" t="s">
        <v>97</v>
      </c>
      <c r="D819" s="115">
        <v>2</v>
      </c>
      <c r="E819" s="99" t="s">
        <v>955</v>
      </c>
      <c r="F819" s="100">
        <v>0.01</v>
      </c>
      <c r="G819" s="101">
        <f>IF(OR(B819="FIXO",B819="XFIXO"),IF(F819="","ERRO",10*F819)*'[1]BD Campos'!$S$2,IF(F819="","ERRO",10*F819)*'[1]BD Campos'!$S$3)</f>
        <v>0.1</v>
      </c>
      <c r="H819" s="102">
        <v>0.05</v>
      </c>
      <c r="I819" s="103">
        <f t="shared" si="46"/>
        <v>-5.000000000000001E-3</v>
      </c>
    </row>
    <row r="820" spans="1:9">
      <c r="A820" s="99" t="str">
        <f t="shared" si="45"/>
        <v>DESLIGAMENTO (TEMPERATURA)Motorista 23</v>
      </c>
      <c r="B820" s="99" t="s">
        <v>771</v>
      </c>
      <c r="C820" s="99" t="s">
        <v>97</v>
      </c>
      <c r="D820" s="115">
        <v>3</v>
      </c>
      <c r="E820" s="99" t="s">
        <v>956</v>
      </c>
      <c r="F820" s="100">
        <v>0.01</v>
      </c>
      <c r="G820" s="101">
        <f>IF(OR(B820="FIXO",B820="XFIXO"),IF(F820="","ERRO",10*F820)*'[1]BD Campos'!$S$2,IF(F820="","ERRO",10*F820)*'[1]BD Campos'!$S$3)</f>
        <v>0.1</v>
      </c>
      <c r="H820" s="102">
        <v>0.05</v>
      </c>
      <c r="I820" s="103">
        <f t="shared" si="46"/>
        <v>-5.000000000000001E-3</v>
      </c>
    </row>
    <row r="821" spans="1:9">
      <c r="A821" s="99" t="str">
        <f t="shared" si="45"/>
        <v>DESLIGAMENTO (TEMPERATURA)Motorista 24</v>
      </c>
      <c r="B821" s="99" t="s">
        <v>771</v>
      </c>
      <c r="C821" s="99" t="s">
        <v>97</v>
      </c>
      <c r="D821" s="115">
        <v>4</v>
      </c>
      <c r="E821" s="99" t="s">
        <v>982</v>
      </c>
      <c r="F821" s="100">
        <v>0.04</v>
      </c>
      <c r="G821" s="101">
        <f>IF(OR(B821="FIXO",B821="XFIXO"),IF(F821="","ERRO",10*F821)*'[1]BD Campos'!$S$2,IF(F821="","ERRO",10*F821)*'[1]BD Campos'!$S$3)</f>
        <v>0.4</v>
      </c>
      <c r="H821" s="102">
        <v>0.05</v>
      </c>
      <c r="I821" s="103">
        <f t="shared" si="46"/>
        <v>-2.0000000000000004E-2</v>
      </c>
    </row>
    <row r="822" spans="1:9">
      <c r="A822" s="99" t="str">
        <f t="shared" si="45"/>
        <v>DESLIGAMENTO (TEMPERATURA)Motorista 25</v>
      </c>
      <c r="B822" s="99" t="s">
        <v>771</v>
      </c>
      <c r="C822" s="99" t="s">
        <v>97</v>
      </c>
      <c r="D822" s="115">
        <v>5</v>
      </c>
      <c r="E822" s="99" t="s">
        <v>1026</v>
      </c>
      <c r="F822" s="100">
        <v>0.13</v>
      </c>
      <c r="G822" s="101">
        <f>IF(OR(B822="FIXO",B822="XFIXO"),IF(F822="","ERRO",10*F822)*'[1]BD Campos'!$S$2,IF(F822="","ERRO",10*F822)*'[1]BD Campos'!$S$3)</f>
        <v>1.3</v>
      </c>
      <c r="H822" s="102">
        <v>0.05</v>
      </c>
      <c r="I822" s="103">
        <f t="shared" si="46"/>
        <v>-6.5000000000000002E-2</v>
      </c>
    </row>
    <row r="823" spans="1:9">
      <c r="A823" s="99" t="str">
        <f t="shared" si="45"/>
        <v>DESLIGAMENTO (TEMPERATURA)Motorista 26</v>
      </c>
      <c r="B823" s="99" t="s">
        <v>771</v>
      </c>
      <c r="C823" s="99" t="s">
        <v>97</v>
      </c>
      <c r="D823" s="115">
        <v>6</v>
      </c>
      <c r="E823" s="99" t="s">
        <v>1047</v>
      </c>
      <c r="F823" s="100">
        <v>0.13200000000000001</v>
      </c>
      <c r="G823" s="101">
        <f>IF(OR(B823="FIXO",B823="XFIXO"),IF(F823="","ERRO",10*F823)*'[1]BD Campos'!$S$2,IF(F823="","ERRO",10*F823)*'[1]BD Campos'!$S$3)</f>
        <v>1.32</v>
      </c>
      <c r="H823" s="102">
        <v>0.05</v>
      </c>
      <c r="I823" s="103">
        <f t="shared" si="46"/>
        <v>-6.6000000000000003E-2</v>
      </c>
    </row>
    <row r="824" spans="1:9">
      <c r="A824" s="99" t="str">
        <f t="shared" si="45"/>
        <v>DESLIGAMENTO (TEMPERATURA)Motorista 27</v>
      </c>
      <c r="B824" s="99" t="s">
        <v>771</v>
      </c>
      <c r="C824" s="99" t="s">
        <v>97</v>
      </c>
      <c r="D824" s="115">
        <v>7</v>
      </c>
      <c r="E824" s="99" t="s">
        <v>1048</v>
      </c>
      <c r="F824" s="100">
        <v>0.13200000000000001</v>
      </c>
      <c r="G824" s="101">
        <f>IF(OR(B824="FIXO",B824="XFIXO"),IF(F824="","ERRO",10*F824)*'[1]BD Campos'!$S$2,IF(F824="","ERRO",10*F824)*'[1]BD Campos'!$S$3)</f>
        <v>1.32</v>
      </c>
      <c r="H824" s="102">
        <v>0.05</v>
      </c>
      <c r="I824" s="103">
        <f t="shared" si="46"/>
        <v>-6.6000000000000003E-2</v>
      </c>
    </row>
    <row r="825" spans="1:9">
      <c r="A825" s="99" t="str">
        <f t="shared" si="45"/>
        <v>DESLIGAMENTO (TEMPERATURA)Motorista 28</v>
      </c>
      <c r="B825" s="99" t="s">
        <v>771</v>
      </c>
      <c r="C825" s="99" t="s">
        <v>97</v>
      </c>
      <c r="D825" s="115">
        <v>8</v>
      </c>
      <c r="E825" s="99" t="s">
        <v>1049</v>
      </c>
      <c r="F825" s="100">
        <v>0.13200000000000001</v>
      </c>
      <c r="G825" s="101">
        <f>IF(OR(B825="FIXO",B825="XFIXO"),IF(F825="","ERRO",10*F825)*'[1]BD Campos'!$S$2,IF(F825="","ERRO",10*F825)*'[1]BD Campos'!$S$3)</f>
        <v>1.32</v>
      </c>
      <c r="H825" s="102">
        <v>0.05</v>
      </c>
      <c r="I825" s="103">
        <f t="shared" si="46"/>
        <v>-6.6000000000000003E-2</v>
      </c>
    </row>
    <row r="826" spans="1:9">
      <c r="A826" s="99" t="str">
        <f t="shared" si="45"/>
        <v>DESLIGAMENTO (TEMPERATURA)Motorista 29</v>
      </c>
      <c r="B826" s="99" t="s">
        <v>771</v>
      </c>
      <c r="C826" s="99" t="s">
        <v>97</v>
      </c>
      <c r="D826" s="115">
        <v>9</v>
      </c>
      <c r="E826" s="99" t="s">
        <v>1050</v>
      </c>
      <c r="F826" s="100">
        <v>0.13700000000000001</v>
      </c>
      <c r="G826" s="101">
        <f>IF(OR(B826="FIXO",B826="XFIXO"),IF(F826="","ERRO",10*F826)*'[1]BD Campos'!$S$2,IF(F826="","ERRO",10*F826)*'[1]BD Campos'!$S$3)</f>
        <v>1.37</v>
      </c>
      <c r="H826" s="102">
        <v>0.05</v>
      </c>
      <c r="I826" s="103">
        <f t="shared" si="46"/>
        <v>-6.8500000000000005E-2</v>
      </c>
    </row>
    <row r="827" spans="1:9">
      <c r="A827" s="99" t="str">
        <f t="shared" si="45"/>
        <v>DESLIGAMENTO (TEMPERATURA)Motorista 210</v>
      </c>
      <c r="B827" s="99" t="s">
        <v>771</v>
      </c>
      <c r="C827" s="99" t="s">
        <v>97</v>
      </c>
      <c r="D827" s="115">
        <v>10</v>
      </c>
      <c r="E827" s="99" t="s">
        <v>1051</v>
      </c>
      <c r="F827" s="100">
        <v>0.13200000000000001</v>
      </c>
      <c r="G827" s="101">
        <f>IF(OR(B827="FIXO",B827="XFIXO"),IF(F827="","ERRO",10*F827)*'[1]BD Campos'!$S$2,IF(F827="","ERRO",10*F827)*'[1]BD Campos'!$S$3)</f>
        <v>1.32</v>
      </c>
      <c r="H827" s="102">
        <v>0.05</v>
      </c>
      <c r="I827" s="103">
        <f t="shared" si="46"/>
        <v>-6.6000000000000003E-2</v>
      </c>
    </row>
    <row r="828" spans="1:9">
      <c r="A828" s="99" t="str">
        <f t="shared" si="45"/>
        <v>DESLIGAMENTO (TEMPERATURA)Motorista 211</v>
      </c>
      <c r="B828" s="99" t="s">
        <v>771</v>
      </c>
      <c r="C828" s="99" t="s">
        <v>97</v>
      </c>
      <c r="D828" s="115">
        <v>11</v>
      </c>
      <c r="E828" s="99" t="s">
        <v>964</v>
      </c>
      <c r="F828" s="100">
        <v>0.03</v>
      </c>
      <c r="G828" s="101">
        <f>IF(OR(B828="FIXO",B828="XFIXO"),IF(F828="","ERRO",10*F828)*'[1]BD Campos'!$S$2,IF(F828="","ERRO",10*F828)*'[1]BD Campos'!$S$3)</f>
        <v>0.3</v>
      </c>
      <c r="H828" s="102">
        <v>0.05</v>
      </c>
      <c r="I828" s="103">
        <f t="shared" si="46"/>
        <v>-1.4999999999999999E-2</v>
      </c>
    </row>
    <row r="829" spans="1:9">
      <c r="A829" s="99" t="str">
        <f t="shared" si="45"/>
        <v>DESLIGAMENTO (TEMPERATURA)Motorista 212</v>
      </c>
      <c r="B829" s="99" t="s">
        <v>771</v>
      </c>
      <c r="C829" s="99" t="s">
        <v>97</v>
      </c>
      <c r="D829" s="115">
        <v>12</v>
      </c>
      <c r="E829" s="99" t="s">
        <v>965</v>
      </c>
      <c r="F829" s="100">
        <v>0.03</v>
      </c>
      <c r="G829" s="101">
        <f>IF(OR(B829="FIXO",B829="XFIXO"),IF(F829="","ERRO",10*F829)*'[1]BD Campos'!$S$2,IF(F829="","ERRO",10*F829)*'[1]BD Campos'!$S$3)</f>
        <v>0.3</v>
      </c>
      <c r="H829" s="102">
        <v>0.05</v>
      </c>
      <c r="I829" s="103">
        <f t="shared" si="46"/>
        <v>-1.4999999999999999E-2</v>
      </c>
    </row>
    <row r="830" spans="1:9">
      <c r="A830" s="99" t="str">
        <f t="shared" si="45"/>
        <v>DESLIGAMENTO (TEMPERATURA)Motorista 213</v>
      </c>
      <c r="B830" s="99" t="s">
        <v>771</v>
      </c>
      <c r="C830" s="99" t="s">
        <v>97</v>
      </c>
      <c r="D830" s="115">
        <v>13</v>
      </c>
      <c r="E830" s="99" t="s">
        <v>966</v>
      </c>
      <c r="F830" s="100">
        <v>1.4999999999999999E-2</v>
      </c>
      <c r="G830" s="101">
        <f>IF(OR(B830="FIXO",B830="XFIXO"),IF(F830="","ERRO",10*F830)*'[1]BD Campos'!$S$2,IF(F830="","ERRO",10*F830)*'[1]BD Campos'!$S$3)</f>
        <v>0.15</v>
      </c>
      <c r="H830" s="102">
        <v>0.05</v>
      </c>
      <c r="I830" s="103">
        <f t="shared" si="46"/>
        <v>-7.4999999999999997E-3</v>
      </c>
    </row>
    <row r="831" spans="1:9">
      <c r="A831" s="99" t="str">
        <f t="shared" si="45"/>
        <v>DESLIGAMENTO (TEMPERATURA)Motorista 214</v>
      </c>
      <c r="B831" s="99" t="s">
        <v>771</v>
      </c>
      <c r="C831" s="99" t="s">
        <v>97</v>
      </c>
      <c r="D831" s="115">
        <v>14</v>
      </c>
      <c r="E831" s="99" t="s">
        <v>968</v>
      </c>
      <c r="F831" s="100">
        <v>0.02</v>
      </c>
      <c r="G831" s="101">
        <f>IF(OR(B831="FIXO",B831="XFIXO"),IF(F831="","ERRO",10*F831)*'[1]BD Campos'!$S$2,IF(F831="","ERRO",10*F831)*'[1]BD Campos'!$S$3)</f>
        <v>0.2</v>
      </c>
      <c r="H831" s="102">
        <v>0.05</v>
      </c>
      <c r="I831" s="103">
        <f t="shared" si="46"/>
        <v>-1.0000000000000002E-2</v>
      </c>
    </row>
    <row r="832" spans="1:9">
      <c r="A832" s="99" t="str">
        <f t="shared" si="45"/>
        <v>DESLIGAMENTO (TEMPERATURA)Motorista 215</v>
      </c>
      <c r="B832" s="99" t="s">
        <v>771</v>
      </c>
      <c r="C832" s="99" t="s">
        <v>97</v>
      </c>
      <c r="D832" s="115">
        <v>15</v>
      </c>
      <c r="E832" s="99" t="s">
        <v>1012</v>
      </c>
      <c r="F832" s="100">
        <v>0.03</v>
      </c>
      <c r="G832" s="101">
        <f>IF(OR(B832="FIXO",B832="XFIXO"),IF(F832="","ERRO",10*F832)*'[1]BD Campos'!$S$2,IF(F832="","ERRO",10*F832)*'[1]BD Campos'!$S$3)</f>
        <v>0.3</v>
      </c>
      <c r="H832" s="102">
        <v>0.05</v>
      </c>
      <c r="I832" s="103">
        <f t="shared" si="46"/>
        <v>-1.4999999999999999E-2</v>
      </c>
    </row>
    <row r="833" spans="1:9">
      <c r="A833" s="104" t="str">
        <f t="shared" si="45"/>
        <v>DESLIGAMENTO (TEMPERATURA)Motorista 216</v>
      </c>
      <c r="B833" s="104" t="s">
        <v>771</v>
      </c>
      <c r="C833" s="104" t="s">
        <v>97</v>
      </c>
      <c r="D833" s="116">
        <v>16</v>
      </c>
      <c r="E833" s="104" t="s">
        <v>969</v>
      </c>
      <c r="F833" s="105">
        <v>0.01</v>
      </c>
      <c r="G833" s="106">
        <f>IF(OR(B833="FIXO",B833="XFIXO"),IF(F833="","ERRO",10*F833)*'[1]BD Campos'!$S$2,IF(F833="","ERRO",10*F833)*'[1]BD Campos'!$S$3)</f>
        <v>0.1</v>
      </c>
      <c r="H833" s="107">
        <v>0.05</v>
      </c>
      <c r="I833" s="108">
        <f t="shared" si="46"/>
        <v>-5.000000000000001E-3</v>
      </c>
    </row>
    <row r="834" spans="1:9">
      <c r="A834" s="99" t="str">
        <f>B834&amp;C834&amp;D834</f>
        <v>DESLIGAMENTO (TEMPERATURA)Cliente1</v>
      </c>
      <c r="B834" s="99" t="s">
        <v>771</v>
      </c>
      <c r="C834" s="99" t="s">
        <v>149</v>
      </c>
      <c r="D834" s="115">
        <v>1</v>
      </c>
      <c r="E834" s="99" t="s">
        <v>954</v>
      </c>
      <c r="F834" s="100">
        <v>0.01</v>
      </c>
      <c r="G834" s="101">
        <f>IF(OR(B834="FIXO",B834="XFIXO"),IF(F834="","ERRO",10*F834)*'[1]BD Campos'!$S$2,IF(F834="","ERRO",10*F834)*'[1]BD Campos'!$S$3)</f>
        <v>0.1</v>
      </c>
      <c r="H834" s="102">
        <v>0.05</v>
      </c>
      <c r="I834" s="103">
        <f>H834*G834*-1</f>
        <v>-5.000000000000001E-3</v>
      </c>
    </row>
    <row r="835" spans="1:9">
      <c r="A835" s="99" t="str">
        <f t="shared" ref="A835:A863" si="47">B835&amp;C835&amp;D835</f>
        <v>DESLIGAMENTO (TEMPERATURA)Cliente2</v>
      </c>
      <c r="B835" s="99" t="s">
        <v>771</v>
      </c>
      <c r="C835" s="99" t="s">
        <v>149</v>
      </c>
      <c r="D835" s="115">
        <v>2</v>
      </c>
      <c r="E835" s="99" t="s">
        <v>955</v>
      </c>
      <c r="F835" s="100">
        <v>0.01</v>
      </c>
      <c r="G835" s="101">
        <f>IF(OR(B835="FIXO",B835="XFIXO"),IF(F835="","ERRO",10*F835)*'[1]BD Campos'!$S$2,IF(F835="","ERRO",10*F835)*'[1]BD Campos'!$S$3)</f>
        <v>0.1</v>
      </c>
      <c r="H835" s="102">
        <v>0.05</v>
      </c>
      <c r="I835" s="103">
        <f t="shared" ref="I835:I863" si="48">H835*G835*-1</f>
        <v>-5.000000000000001E-3</v>
      </c>
    </row>
    <row r="836" spans="1:9">
      <c r="A836" s="99" t="str">
        <f t="shared" si="47"/>
        <v>DESLIGAMENTO (TEMPERATURA)Cliente3</v>
      </c>
      <c r="B836" s="99" t="s">
        <v>771</v>
      </c>
      <c r="C836" s="99" t="s">
        <v>149</v>
      </c>
      <c r="D836" s="115">
        <v>3</v>
      </c>
      <c r="E836" s="99" t="s">
        <v>956</v>
      </c>
      <c r="F836" s="100">
        <v>0.01</v>
      </c>
      <c r="G836" s="101">
        <f>IF(OR(B836="FIXO",B836="XFIXO"),IF(F836="","ERRO",10*F836)*'[1]BD Campos'!$S$2,IF(F836="","ERRO",10*F836)*'[1]BD Campos'!$S$3)</f>
        <v>0.1</v>
      </c>
      <c r="H836" s="102">
        <v>0.05</v>
      </c>
      <c r="I836" s="103">
        <f t="shared" si="48"/>
        <v>-5.000000000000001E-3</v>
      </c>
    </row>
    <row r="837" spans="1:9">
      <c r="A837" s="99" t="str">
        <f t="shared" si="47"/>
        <v>DESLIGAMENTO (TEMPERATURA)Cliente4</v>
      </c>
      <c r="B837" s="99" t="s">
        <v>771</v>
      </c>
      <c r="C837" s="99" t="s">
        <v>149</v>
      </c>
      <c r="D837" s="115">
        <v>4</v>
      </c>
      <c r="E837" s="99" t="s">
        <v>982</v>
      </c>
      <c r="F837" s="100">
        <v>0.04</v>
      </c>
      <c r="G837" s="101">
        <f>IF(OR(B837="FIXO",B837="XFIXO"),IF(F837="","ERRO",10*F837)*'[1]BD Campos'!$S$2,IF(F837="","ERRO",10*F837)*'[1]BD Campos'!$S$3)</f>
        <v>0.4</v>
      </c>
      <c r="H837" s="102">
        <v>0.05</v>
      </c>
      <c r="I837" s="103">
        <f t="shared" si="48"/>
        <v>-2.0000000000000004E-2</v>
      </c>
    </row>
    <row r="838" spans="1:9">
      <c r="A838" s="99" t="str">
        <f t="shared" si="47"/>
        <v>DESLIGAMENTO (TEMPERATURA)Cliente5</v>
      </c>
      <c r="B838" s="99" t="s">
        <v>771</v>
      </c>
      <c r="C838" s="99" t="s">
        <v>149</v>
      </c>
      <c r="D838" s="115">
        <v>5</v>
      </c>
      <c r="E838" s="99" t="s">
        <v>1026</v>
      </c>
      <c r="F838" s="100">
        <v>0.15</v>
      </c>
      <c r="G838" s="101">
        <f>IF(OR(B838="FIXO",B838="XFIXO"),IF(F838="","ERRO",10*F838)*'[1]BD Campos'!$S$2,IF(F838="","ERRO",10*F838)*'[1]BD Campos'!$S$3)</f>
        <v>1.5</v>
      </c>
      <c r="H838" s="102">
        <v>0.05</v>
      </c>
      <c r="I838" s="103">
        <f t="shared" si="48"/>
        <v>-7.5000000000000011E-2</v>
      </c>
    </row>
    <row r="839" spans="1:9">
      <c r="A839" s="99" t="str">
        <f t="shared" si="47"/>
        <v>DESLIGAMENTO (TEMPERATURA)Cliente6</v>
      </c>
      <c r="B839" s="99" t="s">
        <v>771</v>
      </c>
      <c r="C839" s="99" t="s">
        <v>149</v>
      </c>
      <c r="D839" s="115">
        <v>6</v>
      </c>
      <c r="E839" s="99" t="s">
        <v>1044</v>
      </c>
      <c r="F839" s="100">
        <v>0.155</v>
      </c>
      <c r="G839" s="101">
        <f>IF(OR(B839="FIXO",B839="XFIXO"),IF(F839="","ERRO",10*F839)*'[1]BD Campos'!$S$2,IF(F839="","ERRO",10*F839)*'[1]BD Campos'!$S$3)</f>
        <v>1.55</v>
      </c>
      <c r="H839" s="102">
        <v>0.05</v>
      </c>
      <c r="I839" s="103">
        <f t="shared" si="48"/>
        <v>-7.7500000000000013E-2</v>
      </c>
    </row>
    <row r="840" spans="1:9">
      <c r="A840" s="99" t="str">
        <f t="shared" si="47"/>
        <v>DESLIGAMENTO (TEMPERATURA)Cliente7</v>
      </c>
      <c r="B840" s="99" t="s">
        <v>771</v>
      </c>
      <c r="C840" s="99" t="s">
        <v>149</v>
      </c>
      <c r="D840" s="115">
        <v>7</v>
      </c>
      <c r="E840" s="99" t="s">
        <v>1045</v>
      </c>
      <c r="F840" s="100">
        <v>0.15</v>
      </c>
      <c r="G840" s="101">
        <f>IF(OR(B840="FIXO",B840="XFIXO"),IF(F840="","ERRO",10*F840)*'[1]BD Campos'!$S$2,IF(F840="","ERRO",10*F840)*'[1]BD Campos'!$S$3)</f>
        <v>1.5</v>
      </c>
      <c r="H840" s="102">
        <v>0.05</v>
      </c>
      <c r="I840" s="103">
        <f t="shared" si="48"/>
        <v>-7.5000000000000011E-2</v>
      </c>
    </row>
    <row r="841" spans="1:9">
      <c r="A841" s="99" t="str">
        <f t="shared" si="47"/>
        <v>DESLIGAMENTO (TEMPERATURA)Cliente8</v>
      </c>
      <c r="B841" s="99" t="s">
        <v>771</v>
      </c>
      <c r="C841" s="99" t="s">
        <v>149</v>
      </c>
      <c r="D841" s="115">
        <v>8</v>
      </c>
      <c r="E841" s="99" t="s">
        <v>1052</v>
      </c>
      <c r="F841" s="100">
        <v>0.17</v>
      </c>
      <c r="G841" s="101">
        <f>IF(OR(B841="FIXO",B841="XFIXO"),IF(F841="","ERRO",10*F841)*'[1]BD Campos'!$S$2,IF(F841="","ERRO",10*F841)*'[1]BD Campos'!$S$3)</f>
        <v>1.7000000000000002</v>
      </c>
      <c r="H841" s="102">
        <v>0.05</v>
      </c>
      <c r="I841" s="103">
        <f t="shared" si="48"/>
        <v>-8.500000000000002E-2</v>
      </c>
    </row>
    <row r="842" spans="1:9">
      <c r="A842" s="99" t="str">
        <f t="shared" si="47"/>
        <v>DESLIGAMENTO (TEMPERATURA)Cliente9</v>
      </c>
      <c r="B842" s="99" t="s">
        <v>771</v>
      </c>
      <c r="C842" s="99" t="s">
        <v>149</v>
      </c>
      <c r="D842" s="115">
        <v>9</v>
      </c>
      <c r="E842" s="99" t="s">
        <v>1051</v>
      </c>
      <c r="F842" s="100">
        <v>0.17</v>
      </c>
      <c r="G842" s="101">
        <f>IF(OR(B842="FIXO",B842="XFIXO"),IF(F842="","ERRO",10*F842)*'[1]BD Campos'!$S$2,IF(F842="","ERRO",10*F842)*'[1]BD Campos'!$S$3)</f>
        <v>1.7000000000000002</v>
      </c>
      <c r="H842" s="102">
        <v>0.05</v>
      </c>
      <c r="I842" s="103">
        <f t="shared" si="48"/>
        <v>-8.500000000000002E-2</v>
      </c>
    </row>
    <row r="843" spans="1:9">
      <c r="A843" s="99" t="str">
        <f t="shared" si="47"/>
        <v>DESLIGAMENTO (TEMPERATURA)Cliente10</v>
      </c>
      <c r="B843" s="99" t="s">
        <v>771</v>
      </c>
      <c r="C843" s="99" t="s">
        <v>149</v>
      </c>
      <c r="D843" s="115">
        <v>10</v>
      </c>
      <c r="E843" s="99" t="s">
        <v>964</v>
      </c>
      <c r="F843" s="100">
        <v>0.03</v>
      </c>
      <c r="G843" s="101">
        <f>IF(OR(B843="FIXO",B843="XFIXO"),IF(F843="","ERRO",10*F843)*'[1]BD Campos'!$S$2,IF(F843="","ERRO",10*F843)*'[1]BD Campos'!$S$3)</f>
        <v>0.3</v>
      </c>
      <c r="H843" s="102">
        <v>0.05</v>
      </c>
      <c r="I843" s="103">
        <f t="shared" si="48"/>
        <v>-1.4999999999999999E-2</v>
      </c>
    </row>
    <row r="844" spans="1:9">
      <c r="A844" s="99" t="str">
        <f t="shared" si="47"/>
        <v>DESLIGAMENTO (TEMPERATURA)Cliente11</v>
      </c>
      <c r="B844" s="99" t="s">
        <v>771</v>
      </c>
      <c r="C844" s="99" t="s">
        <v>149</v>
      </c>
      <c r="D844" s="115">
        <v>11</v>
      </c>
      <c r="E844" s="99" t="s">
        <v>965</v>
      </c>
      <c r="F844" s="100">
        <v>0.03</v>
      </c>
      <c r="G844" s="101">
        <f>IF(OR(B844="FIXO",B844="XFIXO"),IF(F844="","ERRO",10*F844)*'[1]BD Campos'!$S$2,IF(F844="","ERRO",10*F844)*'[1]BD Campos'!$S$3)</f>
        <v>0.3</v>
      </c>
      <c r="H844" s="102">
        <v>0.05</v>
      </c>
      <c r="I844" s="103">
        <f t="shared" si="48"/>
        <v>-1.4999999999999999E-2</v>
      </c>
    </row>
    <row r="845" spans="1:9">
      <c r="A845" s="99" t="str">
        <f t="shared" si="47"/>
        <v>DESLIGAMENTO (TEMPERATURA)Cliente12</v>
      </c>
      <c r="B845" s="99" t="s">
        <v>771</v>
      </c>
      <c r="C845" s="99" t="s">
        <v>149</v>
      </c>
      <c r="D845" s="115">
        <v>12</v>
      </c>
      <c r="E845" s="99" t="s">
        <v>966</v>
      </c>
      <c r="F845" s="100">
        <v>1.4999999999999999E-2</v>
      </c>
      <c r="G845" s="101">
        <f>IF(OR(B845="FIXO",B845="XFIXO"),IF(F845="","ERRO",10*F845)*'[1]BD Campos'!$S$2,IF(F845="","ERRO",10*F845)*'[1]BD Campos'!$S$3)</f>
        <v>0.15</v>
      </c>
      <c r="H845" s="102">
        <v>0.05</v>
      </c>
      <c r="I845" s="103">
        <f t="shared" si="48"/>
        <v>-7.4999999999999997E-3</v>
      </c>
    </row>
    <row r="846" spans="1:9">
      <c r="A846" s="99" t="str">
        <f t="shared" si="47"/>
        <v>DESLIGAMENTO (TEMPERATURA)Cliente13</v>
      </c>
      <c r="B846" s="99" t="s">
        <v>771</v>
      </c>
      <c r="C846" s="99" t="s">
        <v>149</v>
      </c>
      <c r="D846" s="115">
        <v>13</v>
      </c>
      <c r="E846" s="99" t="s">
        <v>968</v>
      </c>
      <c r="F846" s="100">
        <v>0.02</v>
      </c>
      <c r="G846" s="101">
        <f>IF(OR(B846="FIXO",B846="XFIXO"),IF(F846="","ERRO",10*F846)*'[1]BD Campos'!$S$2,IF(F846="","ERRO",10*F846)*'[1]BD Campos'!$S$3)</f>
        <v>0.2</v>
      </c>
      <c r="H846" s="102">
        <v>0.05</v>
      </c>
      <c r="I846" s="103">
        <f t="shared" si="48"/>
        <v>-1.0000000000000002E-2</v>
      </c>
    </row>
    <row r="847" spans="1:9">
      <c r="A847" s="99" t="str">
        <f t="shared" si="47"/>
        <v>DESLIGAMENTO (TEMPERATURA)Cliente14</v>
      </c>
      <c r="B847" s="99" t="s">
        <v>771</v>
      </c>
      <c r="C847" s="99" t="s">
        <v>149</v>
      </c>
      <c r="D847" s="115">
        <v>14</v>
      </c>
      <c r="E847" s="99" t="s">
        <v>1012</v>
      </c>
      <c r="F847" s="100">
        <v>0.03</v>
      </c>
      <c r="G847" s="101">
        <f>IF(OR(B847="FIXO",B847="XFIXO"),IF(F847="","ERRO",10*F847)*'[1]BD Campos'!$S$2,IF(F847="","ERRO",10*F847)*'[1]BD Campos'!$S$3)</f>
        <v>0.3</v>
      </c>
      <c r="H847" s="102">
        <v>0.05</v>
      </c>
      <c r="I847" s="103">
        <f t="shared" si="48"/>
        <v>-1.4999999999999999E-2</v>
      </c>
    </row>
    <row r="848" spans="1:9">
      <c r="A848" s="104" t="str">
        <f t="shared" si="47"/>
        <v>DESLIGAMENTO (TEMPERATURA)Cliente15</v>
      </c>
      <c r="B848" s="104" t="s">
        <v>771</v>
      </c>
      <c r="C848" s="104" t="s">
        <v>149</v>
      </c>
      <c r="D848" s="116">
        <v>15</v>
      </c>
      <c r="E848" s="104" t="s">
        <v>969</v>
      </c>
      <c r="F848" s="105">
        <v>0.01</v>
      </c>
      <c r="G848" s="106">
        <f>IF(OR(B848="FIXO",B848="XFIXO"),IF(F848="","ERRO",10*F848)*'[1]BD Campos'!$S$2,IF(F848="","ERRO",10*F848)*'[1]BD Campos'!$S$3)</f>
        <v>0.1</v>
      </c>
      <c r="H848" s="107">
        <v>0.05</v>
      </c>
      <c r="I848" s="108">
        <f t="shared" si="48"/>
        <v>-5.000000000000001E-3</v>
      </c>
    </row>
    <row r="849" spans="1:9">
      <c r="A849" s="99" t="str">
        <f t="shared" si="47"/>
        <v>DESLIGAMENTO (TEMPERATURA)Cliente 21</v>
      </c>
      <c r="B849" s="99" t="s">
        <v>771</v>
      </c>
      <c r="C849" s="99" t="s">
        <v>322</v>
      </c>
      <c r="D849" s="115">
        <v>1</v>
      </c>
      <c r="E849" s="99" t="s">
        <v>954</v>
      </c>
      <c r="F849" s="100">
        <v>0.01</v>
      </c>
      <c r="G849" s="101">
        <f>IF(OR(B849="FIXO",B849="XFIXO"),IF(F849="","ERRO",10*F849)*'[1]BD Campos'!$S$2,IF(F849="","ERRO",10*F849)*'[1]BD Campos'!$S$3)</f>
        <v>0.1</v>
      </c>
      <c r="H849" s="102">
        <v>0.05</v>
      </c>
      <c r="I849" s="103">
        <f t="shared" si="48"/>
        <v>-5.000000000000001E-3</v>
      </c>
    </row>
    <row r="850" spans="1:9">
      <c r="A850" s="99" t="str">
        <f t="shared" si="47"/>
        <v>DESLIGAMENTO (TEMPERATURA)Cliente 22</v>
      </c>
      <c r="B850" s="99" t="s">
        <v>771</v>
      </c>
      <c r="C850" s="99" t="s">
        <v>322</v>
      </c>
      <c r="D850" s="115">
        <v>2</v>
      </c>
      <c r="E850" s="99" t="s">
        <v>955</v>
      </c>
      <c r="F850" s="100">
        <v>0.01</v>
      </c>
      <c r="G850" s="101">
        <f>IF(OR(B850="FIXO",B850="XFIXO"),IF(F850="","ERRO",10*F850)*'[1]BD Campos'!$S$2,IF(F850="","ERRO",10*F850)*'[1]BD Campos'!$S$3)</f>
        <v>0.1</v>
      </c>
      <c r="H850" s="102">
        <v>0.05</v>
      </c>
      <c r="I850" s="103">
        <f t="shared" si="48"/>
        <v>-5.000000000000001E-3</v>
      </c>
    </row>
    <row r="851" spans="1:9">
      <c r="A851" s="99" t="str">
        <f t="shared" si="47"/>
        <v>DESLIGAMENTO (TEMPERATURA)Cliente 23</v>
      </c>
      <c r="B851" s="99" t="s">
        <v>771</v>
      </c>
      <c r="C851" s="99" t="s">
        <v>322</v>
      </c>
      <c r="D851" s="115">
        <v>3</v>
      </c>
      <c r="E851" s="99" t="s">
        <v>956</v>
      </c>
      <c r="F851" s="100">
        <v>0.01</v>
      </c>
      <c r="G851" s="101">
        <f>IF(OR(B851="FIXO",B851="XFIXO"),IF(F851="","ERRO",10*F851)*'[1]BD Campos'!$S$2,IF(F851="","ERRO",10*F851)*'[1]BD Campos'!$S$3)</f>
        <v>0.1</v>
      </c>
      <c r="H851" s="102">
        <v>0.05</v>
      </c>
      <c r="I851" s="103">
        <f t="shared" si="48"/>
        <v>-5.000000000000001E-3</v>
      </c>
    </row>
    <row r="852" spans="1:9">
      <c r="A852" s="99" t="str">
        <f t="shared" si="47"/>
        <v>DESLIGAMENTO (TEMPERATURA)Cliente 24</v>
      </c>
      <c r="B852" s="99" t="s">
        <v>771</v>
      </c>
      <c r="C852" s="99" t="s">
        <v>322</v>
      </c>
      <c r="D852" s="115">
        <v>4</v>
      </c>
      <c r="E852" s="99" t="s">
        <v>982</v>
      </c>
      <c r="F852" s="100">
        <v>0.04</v>
      </c>
      <c r="G852" s="101">
        <f>IF(OR(B852="FIXO",B852="XFIXO"),IF(F852="","ERRO",10*F852)*'[1]BD Campos'!$S$2,IF(F852="","ERRO",10*F852)*'[1]BD Campos'!$S$3)</f>
        <v>0.4</v>
      </c>
      <c r="H852" s="102">
        <v>0.05</v>
      </c>
      <c r="I852" s="103">
        <f t="shared" si="48"/>
        <v>-2.0000000000000004E-2</v>
      </c>
    </row>
    <row r="853" spans="1:9">
      <c r="A853" s="99" t="str">
        <f t="shared" si="47"/>
        <v>DESLIGAMENTO (TEMPERATURA)Cliente 25</v>
      </c>
      <c r="B853" s="99" t="s">
        <v>771</v>
      </c>
      <c r="C853" s="99" t="s">
        <v>322</v>
      </c>
      <c r="D853" s="115">
        <v>5</v>
      </c>
      <c r="E853" s="99" t="s">
        <v>1026</v>
      </c>
      <c r="F853" s="100">
        <v>0.15</v>
      </c>
      <c r="G853" s="101">
        <f>IF(OR(B853="FIXO",B853="XFIXO"),IF(F853="","ERRO",10*F853)*'[1]BD Campos'!$S$2,IF(F853="","ERRO",10*F853)*'[1]BD Campos'!$S$3)</f>
        <v>1.5</v>
      </c>
      <c r="H853" s="102">
        <v>0.05</v>
      </c>
      <c r="I853" s="103">
        <f t="shared" si="48"/>
        <v>-7.5000000000000011E-2</v>
      </c>
    </row>
    <row r="854" spans="1:9">
      <c r="A854" s="99" t="str">
        <f t="shared" si="47"/>
        <v>DESLIGAMENTO (TEMPERATURA)Cliente 26</v>
      </c>
      <c r="B854" s="99" t="s">
        <v>771</v>
      </c>
      <c r="C854" s="99" t="s">
        <v>322</v>
      </c>
      <c r="D854" s="115">
        <v>6</v>
      </c>
      <c r="E854" s="99" t="s">
        <v>1044</v>
      </c>
      <c r="F854" s="100">
        <v>0.155</v>
      </c>
      <c r="G854" s="101">
        <f>IF(OR(B854="FIXO",B854="XFIXO"),IF(F854="","ERRO",10*F854)*'[1]BD Campos'!$S$2,IF(F854="","ERRO",10*F854)*'[1]BD Campos'!$S$3)</f>
        <v>1.55</v>
      </c>
      <c r="H854" s="102">
        <v>0.05</v>
      </c>
      <c r="I854" s="103">
        <f t="shared" si="48"/>
        <v>-7.7500000000000013E-2</v>
      </c>
    </row>
    <row r="855" spans="1:9">
      <c r="A855" s="99" t="str">
        <f t="shared" si="47"/>
        <v>DESLIGAMENTO (TEMPERATURA)Cliente 27</v>
      </c>
      <c r="B855" s="99" t="s">
        <v>771</v>
      </c>
      <c r="C855" s="99" t="s">
        <v>322</v>
      </c>
      <c r="D855" s="115">
        <v>7</v>
      </c>
      <c r="E855" s="99" t="s">
        <v>1045</v>
      </c>
      <c r="F855" s="100">
        <v>0.15</v>
      </c>
      <c r="G855" s="101">
        <f>IF(OR(B855="FIXO",B855="XFIXO"),IF(F855="","ERRO",10*F855)*'[1]BD Campos'!$S$2,IF(F855="","ERRO",10*F855)*'[1]BD Campos'!$S$3)</f>
        <v>1.5</v>
      </c>
      <c r="H855" s="102">
        <v>0.05</v>
      </c>
      <c r="I855" s="103">
        <f t="shared" si="48"/>
        <v>-7.5000000000000011E-2</v>
      </c>
    </row>
    <row r="856" spans="1:9">
      <c r="A856" s="99" t="str">
        <f t="shared" si="47"/>
        <v>DESLIGAMENTO (TEMPERATURA)Cliente 28</v>
      </c>
      <c r="B856" s="99" t="s">
        <v>771</v>
      </c>
      <c r="C856" s="99" t="s">
        <v>322</v>
      </c>
      <c r="D856" s="115">
        <v>8</v>
      </c>
      <c r="E856" s="99" t="s">
        <v>1052</v>
      </c>
      <c r="F856" s="100">
        <v>0.17</v>
      </c>
      <c r="G856" s="101">
        <f>IF(OR(B856="FIXO",B856="XFIXO"),IF(F856="","ERRO",10*F856)*'[1]BD Campos'!$S$2,IF(F856="","ERRO",10*F856)*'[1]BD Campos'!$S$3)</f>
        <v>1.7000000000000002</v>
      </c>
      <c r="H856" s="102">
        <v>0.05</v>
      </c>
      <c r="I856" s="103">
        <f t="shared" si="48"/>
        <v>-8.500000000000002E-2</v>
      </c>
    </row>
    <row r="857" spans="1:9">
      <c r="A857" s="99" t="str">
        <f t="shared" si="47"/>
        <v>DESLIGAMENTO (TEMPERATURA)Cliente 29</v>
      </c>
      <c r="B857" s="99" t="s">
        <v>771</v>
      </c>
      <c r="C857" s="99" t="s">
        <v>322</v>
      </c>
      <c r="D857" s="115">
        <v>9</v>
      </c>
      <c r="E857" s="99" t="s">
        <v>1051</v>
      </c>
      <c r="F857" s="100">
        <v>0.17</v>
      </c>
      <c r="G857" s="101">
        <f>IF(OR(B857="FIXO",B857="XFIXO"),IF(F857="","ERRO",10*F857)*'[1]BD Campos'!$S$2,IF(F857="","ERRO",10*F857)*'[1]BD Campos'!$S$3)</f>
        <v>1.7000000000000002</v>
      </c>
      <c r="H857" s="102">
        <v>0.05</v>
      </c>
      <c r="I857" s="103">
        <f t="shared" si="48"/>
        <v>-8.500000000000002E-2</v>
      </c>
    </row>
    <row r="858" spans="1:9">
      <c r="A858" s="99" t="str">
        <f t="shared" si="47"/>
        <v>DESLIGAMENTO (TEMPERATURA)Cliente 210</v>
      </c>
      <c r="B858" s="99" t="s">
        <v>771</v>
      </c>
      <c r="C858" s="99" t="s">
        <v>322</v>
      </c>
      <c r="D858" s="115">
        <v>10</v>
      </c>
      <c r="E858" s="99" t="s">
        <v>964</v>
      </c>
      <c r="F858" s="100">
        <v>0.03</v>
      </c>
      <c r="G858" s="101">
        <f>IF(OR(B858="FIXO",B858="XFIXO"),IF(F858="","ERRO",10*F858)*'[1]BD Campos'!$S$2,IF(F858="","ERRO",10*F858)*'[1]BD Campos'!$S$3)</f>
        <v>0.3</v>
      </c>
      <c r="H858" s="102">
        <v>0.05</v>
      </c>
      <c r="I858" s="103">
        <f t="shared" si="48"/>
        <v>-1.4999999999999999E-2</v>
      </c>
    </row>
    <row r="859" spans="1:9">
      <c r="A859" s="99" t="str">
        <f t="shared" si="47"/>
        <v>DESLIGAMENTO (TEMPERATURA)Cliente 211</v>
      </c>
      <c r="B859" s="99" t="s">
        <v>771</v>
      </c>
      <c r="C859" s="99" t="s">
        <v>322</v>
      </c>
      <c r="D859" s="115">
        <v>11</v>
      </c>
      <c r="E859" s="99" t="s">
        <v>965</v>
      </c>
      <c r="F859" s="100">
        <v>0.03</v>
      </c>
      <c r="G859" s="101">
        <f>IF(OR(B859="FIXO",B859="XFIXO"),IF(F859="","ERRO",10*F859)*'[1]BD Campos'!$S$2,IF(F859="","ERRO",10*F859)*'[1]BD Campos'!$S$3)</f>
        <v>0.3</v>
      </c>
      <c r="H859" s="102">
        <v>0.05</v>
      </c>
      <c r="I859" s="103">
        <f t="shared" si="48"/>
        <v>-1.4999999999999999E-2</v>
      </c>
    </row>
    <row r="860" spans="1:9">
      <c r="A860" s="99" t="str">
        <f t="shared" si="47"/>
        <v>DESLIGAMENTO (TEMPERATURA)Cliente 212</v>
      </c>
      <c r="B860" s="99" t="s">
        <v>771</v>
      </c>
      <c r="C860" s="99" t="s">
        <v>322</v>
      </c>
      <c r="D860" s="115">
        <v>12</v>
      </c>
      <c r="E860" s="99" t="s">
        <v>966</v>
      </c>
      <c r="F860" s="100">
        <v>1.4999999999999999E-2</v>
      </c>
      <c r="G860" s="101">
        <f>IF(OR(B860="FIXO",B860="XFIXO"),IF(F860="","ERRO",10*F860)*'[1]BD Campos'!$S$2,IF(F860="","ERRO",10*F860)*'[1]BD Campos'!$S$3)</f>
        <v>0.15</v>
      </c>
      <c r="H860" s="102">
        <v>0.05</v>
      </c>
      <c r="I860" s="103">
        <f t="shared" si="48"/>
        <v>-7.4999999999999997E-3</v>
      </c>
    </row>
    <row r="861" spans="1:9">
      <c r="A861" s="99" t="str">
        <f t="shared" si="47"/>
        <v>DESLIGAMENTO (TEMPERATURA)Cliente 213</v>
      </c>
      <c r="B861" s="99" t="s">
        <v>771</v>
      </c>
      <c r="C861" s="99" t="s">
        <v>322</v>
      </c>
      <c r="D861" s="115">
        <v>13</v>
      </c>
      <c r="E861" s="99" t="s">
        <v>968</v>
      </c>
      <c r="F861" s="100">
        <v>0.02</v>
      </c>
      <c r="G861" s="101">
        <f>IF(OR(B861="FIXO",B861="XFIXO"),IF(F861="","ERRO",10*F861)*'[1]BD Campos'!$S$2,IF(F861="","ERRO",10*F861)*'[1]BD Campos'!$S$3)</f>
        <v>0.2</v>
      </c>
      <c r="H861" s="102">
        <v>0.05</v>
      </c>
      <c r="I861" s="103">
        <f t="shared" si="48"/>
        <v>-1.0000000000000002E-2</v>
      </c>
    </row>
    <row r="862" spans="1:9">
      <c r="A862" s="99" t="str">
        <f t="shared" si="47"/>
        <v>DESLIGAMENTO (TEMPERATURA)Cliente 214</v>
      </c>
      <c r="B862" s="99" t="s">
        <v>771</v>
      </c>
      <c r="C862" s="99" t="s">
        <v>322</v>
      </c>
      <c r="D862" s="115">
        <v>14</v>
      </c>
      <c r="E862" s="99" t="s">
        <v>1012</v>
      </c>
      <c r="F862" s="100">
        <v>0.03</v>
      </c>
      <c r="G862" s="101">
        <f>IF(OR(B862="FIXO",B862="XFIXO"),IF(F862="","ERRO",10*F862)*'[1]BD Campos'!$S$2,IF(F862="","ERRO",10*F862)*'[1]BD Campos'!$S$3)</f>
        <v>0.3</v>
      </c>
      <c r="H862" s="102">
        <v>0.05</v>
      </c>
      <c r="I862" s="103">
        <f t="shared" si="48"/>
        <v>-1.4999999999999999E-2</v>
      </c>
    </row>
    <row r="863" spans="1:9">
      <c r="A863" s="104" t="str">
        <f t="shared" si="47"/>
        <v>DESLIGAMENTO (TEMPERATURA)Cliente 215</v>
      </c>
      <c r="B863" s="104" t="s">
        <v>771</v>
      </c>
      <c r="C863" s="104" t="s">
        <v>322</v>
      </c>
      <c r="D863" s="116">
        <v>15</v>
      </c>
      <c r="E863" s="104" t="s">
        <v>969</v>
      </c>
      <c r="F863" s="105">
        <v>0.01</v>
      </c>
      <c r="G863" s="106">
        <f>IF(OR(B863="FIXO",B863="XFIXO"),IF(F863="","ERRO",10*F863)*'[1]BD Campos'!$S$2,IF(F863="","ERRO",10*F863)*'[1]BD Campos'!$S$3)</f>
        <v>0.1</v>
      </c>
      <c r="H863" s="107">
        <v>0.05</v>
      </c>
      <c r="I863" s="108">
        <f t="shared" si="48"/>
        <v>-5.000000000000001E-3</v>
      </c>
    </row>
    <row r="864" spans="1:9">
      <c r="A864" s="99" t="str">
        <f>B864&amp;C864&amp;D864</f>
        <v>ATRASOMotorista1</v>
      </c>
      <c r="B864" s="99" t="s">
        <v>1053</v>
      </c>
      <c r="C864" s="99" t="s">
        <v>93</v>
      </c>
      <c r="D864" s="115">
        <v>1</v>
      </c>
      <c r="E864" s="99" t="s">
        <v>954</v>
      </c>
      <c r="F864" s="100">
        <v>0.01</v>
      </c>
      <c r="G864" s="101">
        <f>IF(OR(B864="FIXO",B864="XFIXO"),IF(F864="","ERRO",10*F864)*'[1]BD Campos'!$S$2,IF(F864="","ERRO",10*F864)*'[1]BD Campos'!$S$3)</f>
        <v>0.1</v>
      </c>
      <c r="H864" s="102">
        <v>0.05</v>
      </c>
      <c r="I864" s="103">
        <f>H864*G864*-1</f>
        <v>-5.000000000000001E-3</v>
      </c>
    </row>
    <row r="865" spans="1:9">
      <c r="A865" s="99" t="str">
        <f t="shared" ref="A865:A891" si="49">B865&amp;C865&amp;D865</f>
        <v>ATRASOMotorista2</v>
      </c>
      <c r="B865" s="99" t="s">
        <v>1053</v>
      </c>
      <c r="C865" s="99" t="s">
        <v>93</v>
      </c>
      <c r="D865" s="115">
        <v>2</v>
      </c>
      <c r="E865" s="99" t="s">
        <v>955</v>
      </c>
      <c r="F865" s="100">
        <v>0.01</v>
      </c>
      <c r="G865" s="101">
        <f>IF(OR(B865="FIXO",B865="XFIXO"),IF(F865="","ERRO",10*F865)*'[1]BD Campos'!$S$2,IF(F865="","ERRO",10*F865)*'[1]BD Campos'!$S$3)</f>
        <v>0.1</v>
      </c>
      <c r="H865" s="102">
        <v>0.05</v>
      </c>
      <c r="I865" s="103">
        <f t="shared" ref="I865:I891" si="50">H865*G865*-1</f>
        <v>-5.000000000000001E-3</v>
      </c>
    </row>
    <row r="866" spans="1:9">
      <c r="A866" s="99" t="str">
        <f t="shared" si="49"/>
        <v>ATRASOMotorista3</v>
      </c>
      <c r="B866" s="99" t="s">
        <v>1053</v>
      </c>
      <c r="C866" s="99" t="s">
        <v>93</v>
      </c>
      <c r="D866" s="115">
        <v>3</v>
      </c>
      <c r="E866" s="99" t="s">
        <v>956</v>
      </c>
      <c r="F866" s="100">
        <v>0.01</v>
      </c>
      <c r="G866" s="101">
        <f>IF(OR(B866="FIXO",B866="XFIXO"),IF(F866="","ERRO",10*F866)*'[1]BD Campos'!$S$2,IF(F866="","ERRO",10*F866)*'[1]BD Campos'!$S$3)</f>
        <v>0.1</v>
      </c>
      <c r="H866" s="102">
        <v>0.05</v>
      </c>
      <c r="I866" s="103">
        <f t="shared" si="50"/>
        <v>-5.000000000000001E-3</v>
      </c>
    </row>
    <row r="867" spans="1:9">
      <c r="A867" s="99" t="str">
        <f t="shared" si="49"/>
        <v>ATRASOMotorista4</v>
      </c>
      <c r="B867" s="99" t="s">
        <v>1053</v>
      </c>
      <c r="C867" s="99" t="s">
        <v>93</v>
      </c>
      <c r="D867" s="115">
        <v>4</v>
      </c>
      <c r="E867" s="99" t="s">
        <v>982</v>
      </c>
      <c r="F867" s="100">
        <v>0.04</v>
      </c>
      <c r="G867" s="101">
        <f>IF(OR(B867="FIXO",B867="XFIXO"),IF(F867="","ERRO",10*F867)*'[1]BD Campos'!$S$2,IF(F867="","ERRO",10*F867)*'[1]BD Campos'!$S$3)</f>
        <v>0.4</v>
      </c>
      <c r="H867" s="102">
        <v>0.05</v>
      </c>
      <c r="I867" s="103">
        <f t="shared" si="50"/>
        <v>-2.0000000000000004E-2</v>
      </c>
    </row>
    <row r="868" spans="1:9">
      <c r="A868" s="99" t="str">
        <f t="shared" si="49"/>
        <v>ATRASOMotorista5</v>
      </c>
      <c r="B868" s="99" t="s">
        <v>1053</v>
      </c>
      <c r="C868" s="99" t="s">
        <v>93</v>
      </c>
      <c r="D868" s="115">
        <v>5</v>
      </c>
      <c r="E868" s="99" t="s">
        <v>1026</v>
      </c>
      <c r="F868" s="100">
        <v>0.19</v>
      </c>
      <c r="G868" s="101">
        <f>IF(OR(B868="FIXO",B868="XFIXO"),IF(F868="","ERRO",10*F868)*'[1]BD Campos'!$S$2,IF(F868="","ERRO",10*F868)*'[1]BD Campos'!$S$3)</f>
        <v>1.9</v>
      </c>
      <c r="H868" s="102">
        <v>0.05</v>
      </c>
      <c r="I868" s="103">
        <f t="shared" si="50"/>
        <v>-9.5000000000000001E-2</v>
      </c>
    </row>
    <row r="869" spans="1:9">
      <c r="A869" s="99" t="str">
        <f t="shared" si="49"/>
        <v>ATRASOMotorista6</v>
      </c>
      <c r="B869" s="99" t="s">
        <v>1053</v>
      </c>
      <c r="C869" s="99" t="s">
        <v>93</v>
      </c>
      <c r="D869" s="115">
        <v>6</v>
      </c>
      <c r="E869" s="99" t="s">
        <v>1054</v>
      </c>
      <c r="F869" s="100">
        <v>0.20499999999999999</v>
      </c>
      <c r="G869" s="101">
        <f>IF(OR(B869="FIXO",B869="XFIXO"),IF(F869="","ERRO",10*F869)*'[1]BD Campos'!$S$2,IF(F869="","ERRO",10*F869)*'[1]BD Campos'!$S$3)</f>
        <v>2.0499999999999998</v>
      </c>
      <c r="H869" s="102">
        <v>0.05</v>
      </c>
      <c r="I869" s="103">
        <f t="shared" si="50"/>
        <v>-0.10249999999999999</v>
      </c>
    </row>
    <row r="870" spans="1:9">
      <c r="A870" s="99" t="str">
        <f t="shared" si="49"/>
        <v>ATRASOMotorista7</v>
      </c>
      <c r="B870" s="99" t="s">
        <v>1053</v>
      </c>
      <c r="C870" s="99" t="s">
        <v>93</v>
      </c>
      <c r="D870" s="115">
        <v>7</v>
      </c>
      <c r="E870" s="99" t="s">
        <v>1055</v>
      </c>
      <c r="F870" s="100">
        <v>0.2</v>
      </c>
      <c r="G870" s="101">
        <f>IF(OR(B870="FIXO",B870="XFIXO"),IF(F870="","ERRO",10*F870)*'[1]BD Campos'!$S$2,IF(F870="","ERRO",10*F870)*'[1]BD Campos'!$S$3)</f>
        <v>2</v>
      </c>
      <c r="H870" s="102">
        <v>0.05</v>
      </c>
      <c r="I870" s="103">
        <f t="shared" si="50"/>
        <v>-0.1</v>
      </c>
    </row>
    <row r="871" spans="1:9">
      <c r="A871" s="99" t="str">
        <f t="shared" si="49"/>
        <v>ATRASOMotorista8</v>
      </c>
      <c r="B871" s="99" t="s">
        <v>1053</v>
      </c>
      <c r="C871" s="99" t="s">
        <v>93</v>
      </c>
      <c r="D871" s="115">
        <v>8</v>
      </c>
      <c r="E871" s="99" t="s">
        <v>1056</v>
      </c>
      <c r="F871" s="100">
        <v>0.2</v>
      </c>
      <c r="G871" s="101">
        <f>IF(OR(B871="FIXO",B871="XFIXO"),IF(F871="","ERRO",10*F871)*'[1]BD Campos'!$S$2,IF(F871="","ERRO",10*F871)*'[1]BD Campos'!$S$3)</f>
        <v>2</v>
      </c>
      <c r="H871" s="102">
        <v>0.05</v>
      </c>
      <c r="I871" s="103">
        <f t="shared" si="50"/>
        <v>-0.1</v>
      </c>
    </row>
    <row r="872" spans="1:9">
      <c r="A872" s="99" t="str">
        <f t="shared" si="49"/>
        <v>ATRASOMotorista9</v>
      </c>
      <c r="B872" s="99" t="s">
        <v>1053</v>
      </c>
      <c r="C872" s="99" t="s">
        <v>93</v>
      </c>
      <c r="D872" s="115">
        <v>9</v>
      </c>
      <c r="E872" s="99" t="s">
        <v>964</v>
      </c>
      <c r="F872" s="100">
        <v>0.03</v>
      </c>
      <c r="G872" s="101">
        <f>IF(OR(B872="FIXO",B872="XFIXO"),IF(F872="","ERRO",10*F872)*'[1]BD Campos'!$S$2,IF(F872="","ERRO",10*F872)*'[1]BD Campos'!$S$3)</f>
        <v>0.3</v>
      </c>
      <c r="H872" s="102">
        <v>0.05</v>
      </c>
      <c r="I872" s="103">
        <f t="shared" si="50"/>
        <v>-1.4999999999999999E-2</v>
      </c>
    </row>
    <row r="873" spans="1:9">
      <c r="A873" s="99" t="str">
        <f t="shared" si="49"/>
        <v>ATRASOMotorista10</v>
      </c>
      <c r="B873" s="99" t="s">
        <v>1053</v>
      </c>
      <c r="C873" s="99" t="s">
        <v>93</v>
      </c>
      <c r="D873" s="115">
        <v>10</v>
      </c>
      <c r="E873" s="99" t="s">
        <v>965</v>
      </c>
      <c r="F873" s="100">
        <v>0.03</v>
      </c>
      <c r="G873" s="101">
        <f>IF(OR(B873="FIXO",B873="XFIXO"),IF(F873="","ERRO",10*F873)*'[1]BD Campos'!$S$2,IF(F873="","ERRO",10*F873)*'[1]BD Campos'!$S$3)</f>
        <v>0.3</v>
      </c>
      <c r="H873" s="102">
        <v>0.05</v>
      </c>
      <c r="I873" s="103">
        <f t="shared" si="50"/>
        <v>-1.4999999999999999E-2</v>
      </c>
    </row>
    <row r="874" spans="1:9">
      <c r="A874" s="99" t="str">
        <f t="shared" si="49"/>
        <v>ATRASOMotorista11</v>
      </c>
      <c r="B874" s="99" t="s">
        <v>1053</v>
      </c>
      <c r="C874" s="99" t="s">
        <v>93</v>
      </c>
      <c r="D874" s="115">
        <v>11</v>
      </c>
      <c r="E874" s="99" t="s">
        <v>966</v>
      </c>
      <c r="F874" s="100">
        <v>1.4999999999999999E-2</v>
      </c>
      <c r="G874" s="101">
        <f>IF(OR(B874="FIXO",B874="XFIXO"),IF(F874="","ERRO",10*F874)*'[1]BD Campos'!$S$2,IF(F874="","ERRO",10*F874)*'[1]BD Campos'!$S$3)</f>
        <v>0.15</v>
      </c>
      <c r="H874" s="102">
        <v>0.05</v>
      </c>
      <c r="I874" s="103">
        <f t="shared" si="50"/>
        <v>-7.4999999999999997E-3</v>
      </c>
    </row>
    <row r="875" spans="1:9">
      <c r="A875" s="99" t="str">
        <f t="shared" si="49"/>
        <v>ATRASOMotorista12</v>
      </c>
      <c r="B875" s="99" t="s">
        <v>1053</v>
      </c>
      <c r="C875" s="99" t="s">
        <v>93</v>
      </c>
      <c r="D875" s="115">
        <v>12</v>
      </c>
      <c r="E875" s="99" t="s">
        <v>968</v>
      </c>
      <c r="F875" s="100">
        <v>0.02</v>
      </c>
      <c r="G875" s="101">
        <f>IF(OR(B875="FIXO",B875="XFIXO"),IF(F875="","ERRO",10*F875)*'[1]BD Campos'!$S$2,IF(F875="","ERRO",10*F875)*'[1]BD Campos'!$S$3)</f>
        <v>0.2</v>
      </c>
      <c r="H875" s="102">
        <v>0.05</v>
      </c>
      <c r="I875" s="103">
        <f t="shared" si="50"/>
        <v>-1.0000000000000002E-2</v>
      </c>
    </row>
    <row r="876" spans="1:9">
      <c r="A876" s="99" t="str">
        <f t="shared" si="49"/>
        <v>ATRASOMotorista13</v>
      </c>
      <c r="B876" s="99" t="s">
        <v>1053</v>
      </c>
      <c r="C876" s="99" t="s">
        <v>93</v>
      </c>
      <c r="D876" s="115">
        <v>13</v>
      </c>
      <c r="E876" s="99" t="s">
        <v>1012</v>
      </c>
      <c r="F876" s="100">
        <v>0.03</v>
      </c>
      <c r="G876" s="101">
        <f>IF(OR(B876="FIXO",B876="XFIXO"),IF(F876="","ERRO",10*F876)*'[1]BD Campos'!$S$2,IF(F876="","ERRO",10*F876)*'[1]BD Campos'!$S$3)</f>
        <v>0.3</v>
      </c>
      <c r="H876" s="102">
        <v>0.05</v>
      </c>
      <c r="I876" s="103">
        <f t="shared" si="50"/>
        <v>-1.4999999999999999E-2</v>
      </c>
    </row>
    <row r="877" spans="1:9">
      <c r="A877" s="104" t="str">
        <f t="shared" si="49"/>
        <v>ATRASOMotorista14</v>
      </c>
      <c r="B877" s="104" t="s">
        <v>1053</v>
      </c>
      <c r="C877" s="104" t="s">
        <v>93</v>
      </c>
      <c r="D877" s="116">
        <v>14</v>
      </c>
      <c r="E877" s="104" t="s">
        <v>969</v>
      </c>
      <c r="F877" s="105">
        <v>0.01</v>
      </c>
      <c r="G877" s="106">
        <f>IF(OR(B877="FIXO",B877="XFIXO"),IF(F877="","ERRO",10*F877)*'[1]BD Campos'!$S$2,IF(F877="","ERRO",10*F877)*'[1]BD Campos'!$S$3)</f>
        <v>0.1</v>
      </c>
      <c r="H877" s="107">
        <v>0.05</v>
      </c>
      <c r="I877" s="108">
        <f t="shared" si="50"/>
        <v>-5.000000000000001E-3</v>
      </c>
    </row>
    <row r="878" spans="1:9">
      <c r="A878" s="99" t="str">
        <f t="shared" si="49"/>
        <v>ATRASOMotorista 21</v>
      </c>
      <c r="B878" s="99" t="s">
        <v>1053</v>
      </c>
      <c r="C878" s="99" t="s">
        <v>97</v>
      </c>
      <c r="D878" s="115">
        <v>1</v>
      </c>
      <c r="E878" s="99" t="s">
        <v>954</v>
      </c>
      <c r="F878" s="100">
        <v>0.01</v>
      </c>
      <c r="G878" s="101">
        <f>IF(OR(B878="FIXO",B878="XFIXO"),IF(F878="","ERRO",10*F878)*'[1]BD Campos'!$S$2,IF(F878="","ERRO",10*F878)*'[1]BD Campos'!$S$3)</f>
        <v>0.1</v>
      </c>
      <c r="H878" s="102">
        <v>0.05</v>
      </c>
      <c r="I878" s="103">
        <f t="shared" si="50"/>
        <v>-5.000000000000001E-3</v>
      </c>
    </row>
    <row r="879" spans="1:9">
      <c r="A879" s="99" t="str">
        <f t="shared" si="49"/>
        <v>ATRASOMotorista 22</v>
      </c>
      <c r="B879" s="99" t="s">
        <v>1053</v>
      </c>
      <c r="C879" s="99" t="s">
        <v>97</v>
      </c>
      <c r="D879" s="115">
        <v>2</v>
      </c>
      <c r="E879" s="99" t="s">
        <v>955</v>
      </c>
      <c r="F879" s="100">
        <v>0.01</v>
      </c>
      <c r="G879" s="101">
        <f>IF(OR(B879="FIXO",B879="XFIXO"),IF(F879="","ERRO",10*F879)*'[1]BD Campos'!$S$2,IF(F879="","ERRO",10*F879)*'[1]BD Campos'!$S$3)</f>
        <v>0.1</v>
      </c>
      <c r="H879" s="102">
        <v>0.05</v>
      </c>
      <c r="I879" s="103">
        <f t="shared" si="50"/>
        <v>-5.000000000000001E-3</v>
      </c>
    </row>
    <row r="880" spans="1:9">
      <c r="A880" s="99" t="str">
        <f t="shared" si="49"/>
        <v>ATRASOMotorista 23</v>
      </c>
      <c r="B880" s="99" t="s">
        <v>1053</v>
      </c>
      <c r="C880" s="99" t="s">
        <v>97</v>
      </c>
      <c r="D880" s="115">
        <v>3</v>
      </c>
      <c r="E880" s="99" t="s">
        <v>956</v>
      </c>
      <c r="F880" s="100">
        <v>0.01</v>
      </c>
      <c r="G880" s="101">
        <f>IF(OR(B880="FIXO",B880="XFIXO"),IF(F880="","ERRO",10*F880)*'[1]BD Campos'!$S$2,IF(F880="","ERRO",10*F880)*'[1]BD Campos'!$S$3)</f>
        <v>0.1</v>
      </c>
      <c r="H880" s="102">
        <v>0.05</v>
      </c>
      <c r="I880" s="103">
        <f t="shared" si="50"/>
        <v>-5.000000000000001E-3</v>
      </c>
    </row>
    <row r="881" spans="1:9">
      <c r="A881" s="99" t="str">
        <f t="shared" si="49"/>
        <v>ATRASOMotorista 24</v>
      </c>
      <c r="B881" s="99" t="s">
        <v>1053</v>
      </c>
      <c r="C881" s="99" t="s">
        <v>97</v>
      </c>
      <c r="D881" s="115">
        <v>4</v>
      </c>
      <c r="E881" s="99" t="s">
        <v>982</v>
      </c>
      <c r="F881" s="100">
        <v>0.04</v>
      </c>
      <c r="G881" s="101">
        <f>IF(OR(B881="FIXO",B881="XFIXO"),IF(F881="","ERRO",10*F881)*'[1]BD Campos'!$S$2,IF(F881="","ERRO",10*F881)*'[1]BD Campos'!$S$3)</f>
        <v>0.4</v>
      </c>
      <c r="H881" s="102">
        <v>0.05</v>
      </c>
      <c r="I881" s="103">
        <f t="shared" si="50"/>
        <v>-2.0000000000000004E-2</v>
      </c>
    </row>
    <row r="882" spans="1:9">
      <c r="A882" s="99" t="str">
        <f t="shared" si="49"/>
        <v>ATRASOMotorista 25</v>
      </c>
      <c r="B882" s="99" t="s">
        <v>1053</v>
      </c>
      <c r="C882" s="99" t="s">
        <v>97</v>
      </c>
      <c r="D882" s="115">
        <v>5</v>
      </c>
      <c r="E882" s="99" t="s">
        <v>1026</v>
      </c>
      <c r="F882" s="100">
        <v>0.19</v>
      </c>
      <c r="G882" s="101">
        <f>IF(OR(B882="FIXO",B882="XFIXO"),IF(F882="","ERRO",10*F882)*'[1]BD Campos'!$S$2,IF(F882="","ERRO",10*F882)*'[1]BD Campos'!$S$3)</f>
        <v>1.9</v>
      </c>
      <c r="H882" s="102">
        <v>0.05</v>
      </c>
      <c r="I882" s="103">
        <f t="shared" si="50"/>
        <v>-9.5000000000000001E-2</v>
      </c>
    </row>
    <row r="883" spans="1:9">
      <c r="A883" s="99" t="str">
        <f t="shared" si="49"/>
        <v>ATRASOMotorista 26</v>
      </c>
      <c r="B883" s="99" t="s">
        <v>1053</v>
      </c>
      <c r="C883" s="99" t="s">
        <v>97</v>
      </c>
      <c r="D883" s="115">
        <v>6</v>
      </c>
      <c r="E883" s="99" t="s">
        <v>1054</v>
      </c>
      <c r="F883" s="100">
        <v>0.20499999999999999</v>
      </c>
      <c r="G883" s="101">
        <f>IF(OR(B883="FIXO",B883="XFIXO"),IF(F883="","ERRO",10*F883)*'[1]BD Campos'!$S$2,IF(F883="","ERRO",10*F883)*'[1]BD Campos'!$S$3)</f>
        <v>2.0499999999999998</v>
      </c>
      <c r="H883" s="102">
        <v>0.05</v>
      </c>
      <c r="I883" s="103">
        <f t="shared" si="50"/>
        <v>-0.10249999999999999</v>
      </c>
    </row>
    <row r="884" spans="1:9">
      <c r="A884" s="99" t="str">
        <f t="shared" si="49"/>
        <v>ATRASOMotorista 27</v>
      </c>
      <c r="B884" s="99" t="s">
        <v>1053</v>
      </c>
      <c r="C884" s="99" t="s">
        <v>97</v>
      </c>
      <c r="D884" s="115">
        <v>7</v>
      </c>
      <c r="E884" s="99" t="s">
        <v>1055</v>
      </c>
      <c r="F884" s="100">
        <v>0.2</v>
      </c>
      <c r="G884" s="101">
        <f>IF(OR(B884="FIXO",B884="XFIXO"),IF(F884="","ERRO",10*F884)*'[1]BD Campos'!$S$2,IF(F884="","ERRO",10*F884)*'[1]BD Campos'!$S$3)</f>
        <v>2</v>
      </c>
      <c r="H884" s="102">
        <v>0.05</v>
      </c>
      <c r="I884" s="103">
        <f t="shared" si="50"/>
        <v>-0.1</v>
      </c>
    </row>
    <row r="885" spans="1:9">
      <c r="A885" s="99" t="str">
        <f t="shared" si="49"/>
        <v>ATRASOMotorista 28</v>
      </c>
      <c r="B885" s="99" t="s">
        <v>1053</v>
      </c>
      <c r="C885" s="99" t="s">
        <v>97</v>
      </c>
      <c r="D885" s="115">
        <v>8</v>
      </c>
      <c r="E885" s="99" t="s">
        <v>1056</v>
      </c>
      <c r="F885" s="100">
        <v>0.2</v>
      </c>
      <c r="G885" s="101">
        <f>IF(OR(B885="FIXO",B885="XFIXO"),IF(F885="","ERRO",10*F885)*'[1]BD Campos'!$S$2,IF(F885="","ERRO",10*F885)*'[1]BD Campos'!$S$3)</f>
        <v>2</v>
      </c>
      <c r="H885" s="102">
        <v>0.05</v>
      </c>
      <c r="I885" s="103">
        <f t="shared" si="50"/>
        <v>-0.1</v>
      </c>
    </row>
    <row r="886" spans="1:9">
      <c r="A886" s="99" t="str">
        <f t="shared" si="49"/>
        <v>ATRASOMotorista 29</v>
      </c>
      <c r="B886" s="99" t="s">
        <v>1053</v>
      </c>
      <c r="C886" s="99" t="s">
        <v>97</v>
      </c>
      <c r="D886" s="115">
        <v>9</v>
      </c>
      <c r="E886" s="99" t="s">
        <v>964</v>
      </c>
      <c r="F886" s="100">
        <v>0.03</v>
      </c>
      <c r="G886" s="101">
        <f>IF(OR(B886="FIXO",B886="XFIXO"),IF(F886="","ERRO",10*F886)*'[1]BD Campos'!$S$2,IF(F886="","ERRO",10*F886)*'[1]BD Campos'!$S$3)</f>
        <v>0.3</v>
      </c>
      <c r="H886" s="102">
        <v>0.05</v>
      </c>
      <c r="I886" s="103">
        <f t="shared" si="50"/>
        <v>-1.4999999999999999E-2</v>
      </c>
    </row>
    <row r="887" spans="1:9">
      <c r="A887" s="99" t="str">
        <f t="shared" si="49"/>
        <v>ATRASOMotorista 210</v>
      </c>
      <c r="B887" s="99" t="s">
        <v>1053</v>
      </c>
      <c r="C887" s="99" t="s">
        <v>97</v>
      </c>
      <c r="D887" s="115">
        <v>10</v>
      </c>
      <c r="E887" s="99" t="s">
        <v>965</v>
      </c>
      <c r="F887" s="100">
        <v>0.03</v>
      </c>
      <c r="G887" s="101">
        <f>IF(OR(B887="FIXO",B887="XFIXO"),IF(F887="","ERRO",10*F887)*'[1]BD Campos'!$S$2,IF(F887="","ERRO",10*F887)*'[1]BD Campos'!$S$3)</f>
        <v>0.3</v>
      </c>
      <c r="H887" s="102">
        <v>0.05</v>
      </c>
      <c r="I887" s="103">
        <f t="shared" si="50"/>
        <v>-1.4999999999999999E-2</v>
      </c>
    </row>
    <row r="888" spans="1:9">
      <c r="A888" s="99" t="str">
        <f t="shared" si="49"/>
        <v>ATRASOMotorista 211</v>
      </c>
      <c r="B888" s="99" t="s">
        <v>1053</v>
      </c>
      <c r="C888" s="99" t="s">
        <v>97</v>
      </c>
      <c r="D888" s="115">
        <v>11</v>
      </c>
      <c r="E888" s="99" t="s">
        <v>966</v>
      </c>
      <c r="F888" s="100">
        <v>1.4999999999999999E-2</v>
      </c>
      <c r="G888" s="101">
        <f>IF(OR(B888="FIXO",B888="XFIXO"),IF(F888="","ERRO",10*F888)*'[1]BD Campos'!$S$2,IF(F888="","ERRO",10*F888)*'[1]BD Campos'!$S$3)</f>
        <v>0.15</v>
      </c>
      <c r="H888" s="102">
        <v>0.05</v>
      </c>
      <c r="I888" s="103">
        <f t="shared" si="50"/>
        <v>-7.4999999999999997E-3</v>
      </c>
    </row>
    <row r="889" spans="1:9">
      <c r="A889" s="99" t="str">
        <f t="shared" si="49"/>
        <v>ATRASOMotorista 212</v>
      </c>
      <c r="B889" s="99" t="s">
        <v>1053</v>
      </c>
      <c r="C889" s="99" t="s">
        <v>97</v>
      </c>
      <c r="D889" s="115">
        <v>12</v>
      </c>
      <c r="E889" s="99" t="s">
        <v>968</v>
      </c>
      <c r="F889" s="100">
        <v>0.02</v>
      </c>
      <c r="G889" s="101">
        <f>IF(OR(B889="FIXO",B889="XFIXO"),IF(F889="","ERRO",10*F889)*'[1]BD Campos'!$S$2,IF(F889="","ERRO",10*F889)*'[1]BD Campos'!$S$3)</f>
        <v>0.2</v>
      </c>
      <c r="H889" s="102">
        <v>0.05</v>
      </c>
      <c r="I889" s="103">
        <f t="shared" si="50"/>
        <v>-1.0000000000000002E-2</v>
      </c>
    </row>
    <row r="890" spans="1:9">
      <c r="A890" s="99" t="str">
        <f t="shared" si="49"/>
        <v>ATRASOMotorista 213</v>
      </c>
      <c r="B890" s="99" t="s">
        <v>1053</v>
      </c>
      <c r="C890" s="99" t="s">
        <v>97</v>
      </c>
      <c r="D890" s="115">
        <v>13</v>
      </c>
      <c r="E890" s="99" t="s">
        <v>1012</v>
      </c>
      <c r="F890" s="100">
        <v>0.03</v>
      </c>
      <c r="G890" s="101">
        <f>IF(OR(B890="FIXO",B890="XFIXO"),IF(F890="","ERRO",10*F890)*'[1]BD Campos'!$S$2,IF(F890="","ERRO",10*F890)*'[1]BD Campos'!$S$3)</f>
        <v>0.3</v>
      </c>
      <c r="H890" s="102">
        <v>0.05</v>
      </c>
      <c r="I890" s="103">
        <f t="shared" si="50"/>
        <v>-1.4999999999999999E-2</v>
      </c>
    </row>
    <row r="891" spans="1:9">
      <c r="A891" s="104" t="str">
        <f t="shared" si="49"/>
        <v>ATRASOMotorista 214</v>
      </c>
      <c r="B891" s="104" t="s">
        <v>1053</v>
      </c>
      <c r="C891" s="104" t="s">
        <v>97</v>
      </c>
      <c r="D891" s="116">
        <v>14</v>
      </c>
      <c r="E891" s="104" t="s">
        <v>969</v>
      </c>
      <c r="F891" s="105">
        <v>0.01</v>
      </c>
      <c r="G891" s="106">
        <f>IF(OR(B891="FIXO",B891="XFIXO"),IF(F891="","ERRO",10*F891)*'[1]BD Campos'!$S$2,IF(F891="","ERRO",10*F891)*'[1]BD Campos'!$S$3)</f>
        <v>0.1</v>
      </c>
      <c r="H891" s="107">
        <v>0.05</v>
      </c>
      <c r="I891" s="108">
        <f t="shared" si="50"/>
        <v>-5.000000000000001E-3</v>
      </c>
    </row>
    <row r="892" spans="1:9">
      <c r="A892" s="99" t="str">
        <f>B892&amp;C892&amp;D892</f>
        <v>PARADA INDEVIDA (LOG)Motorista1</v>
      </c>
      <c r="B892" s="99" t="s">
        <v>549</v>
      </c>
      <c r="C892" s="99" t="s">
        <v>93</v>
      </c>
      <c r="D892" s="115">
        <v>1</v>
      </c>
      <c r="E892" s="99" t="s">
        <v>954</v>
      </c>
      <c r="F892" s="100">
        <v>0.01</v>
      </c>
      <c r="G892" s="101">
        <f>IF(OR(B892="FIXO",B892="XFIXO"),IF(F892="","ERRO",10*F892)*'[1]BD Campos'!$S$2,IF(F892="","ERRO",10*F892)*'[1]BD Campos'!$S$3)</f>
        <v>0.1</v>
      </c>
      <c r="H892" s="102">
        <v>0.05</v>
      </c>
      <c r="I892" s="103">
        <f>H892*G892*-1</f>
        <v>-5.000000000000001E-3</v>
      </c>
    </row>
    <row r="893" spans="1:9">
      <c r="A893" s="99" t="str">
        <f t="shared" ref="A893:A917" si="51">B893&amp;C893&amp;D893</f>
        <v>PARADA INDEVIDA (LOG)Motorista2</v>
      </c>
      <c r="B893" s="99" t="s">
        <v>549</v>
      </c>
      <c r="C893" s="99" t="s">
        <v>93</v>
      </c>
      <c r="D893" s="115">
        <v>2</v>
      </c>
      <c r="E893" s="99" t="s">
        <v>955</v>
      </c>
      <c r="F893" s="100">
        <v>0.01</v>
      </c>
      <c r="G893" s="101">
        <f>IF(OR(B893="FIXO",B893="XFIXO"),IF(F893="","ERRO",10*F893)*'[1]BD Campos'!$S$2,IF(F893="","ERRO",10*F893)*'[1]BD Campos'!$S$3)</f>
        <v>0.1</v>
      </c>
      <c r="H893" s="102">
        <v>0.05</v>
      </c>
      <c r="I893" s="103">
        <f t="shared" ref="I893:I917" si="52">H893*G893*-1</f>
        <v>-5.000000000000001E-3</v>
      </c>
    </row>
    <row r="894" spans="1:9">
      <c r="A894" s="99" t="str">
        <f t="shared" si="51"/>
        <v>PARADA INDEVIDA (LOG)Motorista3</v>
      </c>
      <c r="B894" s="99" t="s">
        <v>549</v>
      </c>
      <c r="C894" s="99" t="s">
        <v>93</v>
      </c>
      <c r="D894" s="115">
        <v>3</v>
      </c>
      <c r="E894" s="99" t="s">
        <v>956</v>
      </c>
      <c r="F894" s="100">
        <v>0.01</v>
      </c>
      <c r="G894" s="101">
        <f>IF(OR(B894="FIXO",B894="XFIXO"),IF(F894="","ERRO",10*F894)*'[1]BD Campos'!$S$2,IF(F894="","ERRO",10*F894)*'[1]BD Campos'!$S$3)</f>
        <v>0.1</v>
      </c>
      <c r="H894" s="102">
        <v>0.05</v>
      </c>
      <c r="I894" s="103">
        <f t="shared" si="52"/>
        <v>-5.000000000000001E-3</v>
      </c>
    </row>
    <row r="895" spans="1:9">
      <c r="A895" s="99" t="str">
        <f t="shared" si="51"/>
        <v>PARADA INDEVIDA (LOG)Motorista4</v>
      </c>
      <c r="B895" s="99" t="s">
        <v>549</v>
      </c>
      <c r="C895" s="99" t="s">
        <v>93</v>
      </c>
      <c r="D895" s="115">
        <v>4</v>
      </c>
      <c r="E895" s="99" t="s">
        <v>982</v>
      </c>
      <c r="F895" s="100">
        <v>0.04</v>
      </c>
      <c r="G895" s="101">
        <f>IF(OR(B895="FIXO",B895="XFIXO"),IF(F895="","ERRO",10*F895)*'[1]BD Campos'!$S$2,IF(F895="","ERRO",10*F895)*'[1]BD Campos'!$S$3)</f>
        <v>0.4</v>
      </c>
      <c r="H895" s="102">
        <v>0.05</v>
      </c>
      <c r="I895" s="103">
        <f t="shared" si="52"/>
        <v>-2.0000000000000004E-2</v>
      </c>
    </row>
    <row r="896" spans="1:9">
      <c r="A896" s="99" t="str">
        <f t="shared" si="51"/>
        <v>PARADA INDEVIDA (LOG)Motorista5</v>
      </c>
      <c r="B896" s="99" t="s">
        <v>549</v>
      </c>
      <c r="C896" s="99" t="s">
        <v>93</v>
      </c>
      <c r="D896" s="115">
        <v>5</v>
      </c>
      <c r="E896" s="99" t="s">
        <v>1026</v>
      </c>
      <c r="F896" s="100">
        <v>0.19500000000000001</v>
      </c>
      <c r="G896" s="101">
        <f>IF(OR(B896="FIXO",B896="XFIXO"),IF(F896="","ERRO",10*F896)*'[1]BD Campos'!$S$2,IF(F896="","ERRO",10*F896)*'[1]BD Campos'!$S$3)</f>
        <v>1.9500000000000002</v>
      </c>
      <c r="H896" s="102">
        <v>0.05</v>
      </c>
      <c r="I896" s="103">
        <f t="shared" si="52"/>
        <v>-9.7500000000000017E-2</v>
      </c>
    </row>
    <row r="897" spans="1:9">
      <c r="A897" s="99" t="str">
        <f t="shared" si="51"/>
        <v>PARADA INDEVIDA (LOG)Motorista6</v>
      </c>
      <c r="B897" s="99" t="s">
        <v>549</v>
      </c>
      <c r="C897" s="99" t="s">
        <v>93</v>
      </c>
      <c r="D897" s="115">
        <v>6</v>
      </c>
      <c r="E897" s="99" t="s">
        <v>970</v>
      </c>
      <c r="F897" s="100">
        <v>0.3</v>
      </c>
      <c r="G897" s="101">
        <f>IF(OR(B897="FIXO",B897="XFIXO"),IF(F897="","ERRO",10*F897)*'[1]BD Campos'!$S$2,IF(F897="","ERRO",10*F897)*'[1]BD Campos'!$S$3)</f>
        <v>3</v>
      </c>
      <c r="H897" s="102">
        <v>0.05</v>
      </c>
      <c r="I897" s="103">
        <f t="shared" si="52"/>
        <v>-0.15000000000000002</v>
      </c>
    </row>
    <row r="898" spans="1:9">
      <c r="A898" s="99" t="str">
        <f t="shared" si="51"/>
        <v>PARADA INDEVIDA (LOG)Motorista7</v>
      </c>
      <c r="B898" s="99" t="s">
        <v>549</v>
      </c>
      <c r="C898" s="99" t="s">
        <v>93</v>
      </c>
      <c r="D898" s="115">
        <v>7</v>
      </c>
      <c r="E898" s="99" t="s">
        <v>1057</v>
      </c>
      <c r="F898" s="100">
        <v>0.3</v>
      </c>
      <c r="G898" s="101">
        <f>IF(OR(B898="FIXO",B898="XFIXO"),IF(F898="","ERRO",10*F898)*'[1]BD Campos'!$S$2,IF(F898="","ERRO",10*F898)*'[1]BD Campos'!$S$3)</f>
        <v>3</v>
      </c>
      <c r="H898" s="102">
        <v>0.05</v>
      </c>
      <c r="I898" s="103">
        <f t="shared" si="52"/>
        <v>-0.15000000000000002</v>
      </c>
    </row>
    <row r="899" spans="1:9">
      <c r="A899" s="99" t="str">
        <f t="shared" si="51"/>
        <v>PARADA INDEVIDA (LOG)Motorista8</v>
      </c>
      <c r="B899" s="99" t="s">
        <v>549</v>
      </c>
      <c r="C899" s="99" t="s">
        <v>93</v>
      </c>
      <c r="D899" s="115">
        <v>8</v>
      </c>
      <c r="E899" s="99" t="s">
        <v>964</v>
      </c>
      <c r="F899" s="100">
        <v>0.03</v>
      </c>
      <c r="G899" s="101">
        <f>IF(OR(B899="FIXO",B899="XFIXO"),IF(F899="","ERRO",10*F899)*'[1]BD Campos'!$S$2,IF(F899="","ERRO",10*F899)*'[1]BD Campos'!$S$3)</f>
        <v>0.3</v>
      </c>
      <c r="H899" s="102">
        <v>0.05</v>
      </c>
      <c r="I899" s="103">
        <f t="shared" si="52"/>
        <v>-1.4999999999999999E-2</v>
      </c>
    </row>
    <row r="900" spans="1:9">
      <c r="A900" s="99" t="str">
        <f t="shared" si="51"/>
        <v>PARADA INDEVIDA (LOG)Motorista9</v>
      </c>
      <c r="B900" s="99" t="s">
        <v>549</v>
      </c>
      <c r="C900" s="99" t="s">
        <v>93</v>
      </c>
      <c r="D900" s="115">
        <v>9</v>
      </c>
      <c r="E900" s="99" t="s">
        <v>965</v>
      </c>
      <c r="F900" s="100">
        <v>0.03</v>
      </c>
      <c r="G900" s="101">
        <f>IF(OR(B900="FIXO",B900="XFIXO"),IF(F900="","ERRO",10*F900)*'[1]BD Campos'!$S$2,IF(F900="","ERRO",10*F900)*'[1]BD Campos'!$S$3)</f>
        <v>0.3</v>
      </c>
      <c r="H900" s="102">
        <v>0.05</v>
      </c>
      <c r="I900" s="103">
        <f t="shared" si="52"/>
        <v>-1.4999999999999999E-2</v>
      </c>
    </row>
    <row r="901" spans="1:9">
      <c r="A901" s="99" t="str">
        <f t="shared" si="51"/>
        <v>PARADA INDEVIDA (LOG)Motorista10</v>
      </c>
      <c r="B901" s="99" t="s">
        <v>549</v>
      </c>
      <c r="C901" s="99" t="s">
        <v>93</v>
      </c>
      <c r="D901" s="115">
        <v>10</v>
      </c>
      <c r="E901" s="99" t="s">
        <v>966</v>
      </c>
      <c r="F901" s="100">
        <v>1.4999999999999999E-2</v>
      </c>
      <c r="G901" s="101">
        <f>IF(OR(B901="FIXO",B901="XFIXO"),IF(F901="","ERRO",10*F901)*'[1]BD Campos'!$S$2,IF(F901="","ERRO",10*F901)*'[1]BD Campos'!$S$3)</f>
        <v>0.15</v>
      </c>
      <c r="H901" s="102">
        <v>0.05</v>
      </c>
      <c r="I901" s="103">
        <f t="shared" si="52"/>
        <v>-7.4999999999999997E-3</v>
      </c>
    </row>
    <row r="902" spans="1:9">
      <c r="A902" s="99" t="str">
        <f t="shared" si="51"/>
        <v>PARADA INDEVIDA (LOG)Motorista11</v>
      </c>
      <c r="B902" s="99" t="s">
        <v>549</v>
      </c>
      <c r="C902" s="99" t="s">
        <v>93</v>
      </c>
      <c r="D902" s="115">
        <v>11</v>
      </c>
      <c r="E902" s="99" t="s">
        <v>968</v>
      </c>
      <c r="F902" s="100">
        <v>0.02</v>
      </c>
      <c r="G902" s="101">
        <f>IF(OR(B902="FIXO",B902="XFIXO"),IF(F902="","ERRO",10*F902)*'[1]BD Campos'!$S$2,IF(F902="","ERRO",10*F902)*'[1]BD Campos'!$S$3)</f>
        <v>0.2</v>
      </c>
      <c r="H902" s="102">
        <v>0.05</v>
      </c>
      <c r="I902" s="103">
        <f t="shared" si="52"/>
        <v>-1.0000000000000002E-2</v>
      </c>
    </row>
    <row r="903" spans="1:9">
      <c r="A903" s="99" t="str">
        <f t="shared" si="51"/>
        <v>PARADA INDEVIDA (LOG)Motorista12</v>
      </c>
      <c r="B903" s="99" t="s">
        <v>549</v>
      </c>
      <c r="C903" s="99" t="s">
        <v>93</v>
      </c>
      <c r="D903" s="115">
        <v>12</v>
      </c>
      <c r="E903" s="99" t="s">
        <v>1012</v>
      </c>
      <c r="F903" s="100">
        <v>0.03</v>
      </c>
      <c r="G903" s="101">
        <f>IF(OR(B903="FIXO",B903="XFIXO"),IF(F903="","ERRO",10*F903)*'[1]BD Campos'!$S$2,IF(F903="","ERRO",10*F903)*'[1]BD Campos'!$S$3)</f>
        <v>0.3</v>
      </c>
      <c r="H903" s="102">
        <v>0.05</v>
      </c>
      <c r="I903" s="103">
        <f t="shared" si="52"/>
        <v>-1.4999999999999999E-2</v>
      </c>
    </row>
    <row r="904" spans="1:9">
      <c r="A904" s="104" t="str">
        <f t="shared" si="51"/>
        <v>PARADA INDEVIDA (LOG)Motorista13</v>
      </c>
      <c r="B904" s="104" t="s">
        <v>549</v>
      </c>
      <c r="C904" s="104" t="s">
        <v>93</v>
      </c>
      <c r="D904" s="116">
        <v>13</v>
      </c>
      <c r="E904" s="104" t="s">
        <v>969</v>
      </c>
      <c r="F904" s="105">
        <v>0.01</v>
      </c>
      <c r="G904" s="106">
        <f>IF(OR(B904="FIXO",B904="XFIXO"),IF(F904="","ERRO",10*F904)*'[1]BD Campos'!$S$2,IF(F904="","ERRO",10*F904)*'[1]BD Campos'!$S$3)</f>
        <v>0.1</v>
      </c>
      <c r="H904" s="107">
        <v>0.05</v>
      </c>
      <c r="I904" s="108">
        <f t="shared" si="52"/>
        <v>-5.000000000000001E-3</v>
      </c>
    </row>
    <row r="905" spans="1:9">
      <c r="A905" s="99" t="str">
        <f t="shared" si="51"/>
        <v>PARADA INDEVIDA (LOG)Motorista 21</v>
      </c>
      <c r="B905" s="99" t="s">
        <v>549</v>
      </c>
      <c r="C905" s="99" t="s">
        <v>97</v>
      </c>
      <c r="D905" s="115">
        <v>1</v>
      </c>
      <c r="E905" s="99" t="s">
        <v>954</v>
      </c>
      <c r="F905" s="100">
        <v>0.01</v>
      </c>
      <c r="G905" s="101">
        <f>IF(OR(B905="FIXO",B905="XFIXO"),IF(F905="","ERRO",10*F905)*'[1]BD Campos'!$S$2,IF(F905="","ERRO",10*F905)*'[1]BD Campos'!$S$3)</f>
        <v>0.1</v>
      </c>
      <c r="H905" s="102">
        <v>0.05</v>
      </c>
      <c r="I905" s="103">
        <f t="shared" si="52"/>
        <v>-5.000000000000001E-3</v>
      </c>
    </row>
    <row r="906" spans="1:9">
      <c r="A906" s="99" t="str">
        <f t="shared" si="51"/>
        <v>PARADA INDEVIDA (LOG)Motorista 22</v>
      </c>
      <c r="B906" s="99" t="s">
        <v>549</v>
      </c>
      <c r="C906" s="99" t="s">
        <v>97</v>
      </c>
      <c r="D906" s="115">
        <v>2</v>
      </c>
      <c r="E906" s="99" t="s">
        <v>955</v>
      </c>
      <c r="F906" s="100">
        <v>0.01</v>
      </c>
      <c r="G906" s="101">
        <f>IF(OR(B906="FIXO",B906="XFIXO"),IF(F906="","ERRO",10*F906)*'[1]BD Campos'!$S$2,IF(F906="","ERRO",10*F906)*'[1]BD Campos'!$S$3)</f>
        <v>0.1</v>
      </c>
      <c r="H906" s="102">
        <v>0.05</v>
      </c>
      <c r="I906" s="103">
        <f t="shared" si="52"/>
        <v>-5.000000000000001E-3</v>
      </c>
    </row>
    <row r="907" spans="1:9">
      <c r="A907" s="99" t="str">
        <f t="shared" si="51"/>
        <v>PARADA INDEVIDA (LOG)Motorista 23</v>
      </c>
      <c r="B907" s="99" t="s">
        <v>549</v>
      </c>
      <c r="C907" s="99" t="s">
        <v>97</v>
      </c>
      <c r="D907" s="115">
        <v>3</v>
      </c>
      <c r="E907" s="99" t="s">
        <v>956</v>
      </c>
      <c r="F907" s="100">
        <v>0.01</v>
      </c>
      <c r="G907" s="101">
        <f>IF(OR(B907="FIXO",B907="XFIXO"),IF(F907="","ERRO",10*F907)*'[1]BD Campos'!$S$2,IF(F907="","ERRO",10*F907)*'[1]BD Campos'!$S$3)</f>
        <v>0.1</v>
      </c>
      <c r="H907" s="102">
        <v>0.05</v>
      </c>
      <c r="I907" s="103">
        <f t="shared" si="52"/>
        <v>-5.000000000000001E-3</v>
      </c>
    </row>
    <row r="908" spans="1:9">
      <c r="A908" s="99" t="str">
        <f t="shared" si="51"/>
        <v>PARADA INDEVIDA (LOG)Motorista 24</v>
      </c>
      <c r="B908" s="99" t="s">
        <v>549</v>
      </c>
      <c r="C908" s="99" t="s">
        <v>97</v>
      </c>
      <c r="D908" s="115">
        <v>4</v>
      </c>
      <c r="E908" s="99" t="s">
        <v>982</v>
      </c>
      <c r="F908" s="100">
        <v>0.04</v>
      </c>
      <c r="G908" s="101">
        <f>IF(OR(B908="FIXO",B908="XFIXO"),IF(F908="","ERRO",10*F908)*'[1]BD Campos'!$S$2,IF(F908="","ERRO",10*F908)*'[1]BD Campos'!$S$3)</f>
        <v>0.4</v>
      </c>
      <c r="H908" s="102">
        <v>0.05</v>
      </c>
      <c r="I908" s="103">
        <f t="shared" si="52"/>
        <v>-2.0000000000000004E-2</v>
      </c>
    </row>
    <row r="909" spans="1:9">
      <c r="A909" s="99" t="str">
        <f t="shared" si="51"/>
        <v>PARADA INDEVIDA (LOG)Motorista 25</v>
      </c>
      <c r="B909" s="99" t="s">
        <v>549</v>
      </c>
      <c r="C909" s="99" t="s">
        <v>97</v>
      </c>
      <c r="D909" s="115">
        <v>5</v>
      </c>
      <c r="E909" s="99" t="s">
        <v>1026</v>
      </c>
      <c r="F909" s="100">
        <v>0.19500000000000001</v>
      </c>
      <c r="G909" s="101">
        <f>IF(OR(B909="FIXO",B909="XFIXO"),IF(F909="","ERRO",10*F909)*'[1]BD Campos'!$S$2,IF(F909="","ERRO",10*F909)*'[1]BD Campos'!$S$3)</f>
        <v>1.9500000000000002</v>
      </c>
      <c r="H909" s="102">
        <v>0.05</v>
      </c>
      <c r="I909" s="103">
        <f t="shared" si="52"/>
        <v>-9.7500000000000017E-2</v>
      </c>
    </row>
    <row r="910" spans="1:9">
      <c r="A910" s="99" t="str">
        <f t="shared" si="51"/>
        <v>PARADA INDEVIDA (LOG)Motorista 26</v>
      </c>
      <c r="B910" s="99" t="s">
        <v>549</v>
      </c>
      <c r="C910" s="99" t="s">
        <v>97</v>
      </c>
      <c r="D910" s="115">
        <v>6</v>
      </c>
      <c r="E910" s="99" t="s">
        <v>970</v>
      </c>
      <c r="F910" s="100">
        <v>0.3</v>
      </c>
      <c r="G910" s="101">
        <f>IF(OR(B910="FIXO",B910="XFIXO"),IF(F910="","ERRO",10*F910)*'[1]BD Campos'!$S$2,IF(F910="","ERRO",10*F910)*'[1]BD Campos'!$S$3)</f>
        <v>3</v>
      </c>
      <c r="H910" s="102">
        <v>0.05</v>
      </c>
      <c r="I910" s="103">
        <f t="shared" si="52"/>
        <v>-0.15000000000000002</v>
      </c>
    </row>
    <row r="911" spans="1:9">
      <c r="A911" s="99" t="str">
        <f t="shared" si="51"/>
        <v>PARADA INDEVIDA (LOG)Motorista 27</v>
      </c>
      <c r="B911" s="99" t="s">
        <v>549</v>
      </c>
      <c r="C911" s="99" t="s">
        <v>97</v>
      </c>
      <c r="D911" s="115">
        <v>7</v>
      </c>
      <c r="E911" s="99" t="s">
        <v>1057</v>
      </c>
      <c r="F911" s="100">
        <v>0.3</v>
      </c>
      <c r="G911" s="101">
        <f>IF(OR(B911="FIXO",B911="XFIXO"),IF(F911="","ERRO",10*F911)*'[1]BD Campos'!$S$2,IF(F911="","ERRO",10*F911)*'[1]BD Campos'!$S$3)</f>
        <v>3</v>
      </c>
      <c r="H911" s="102">
        <v>0.05</v>
      </c>
      <c r="I911" s="103">
        <f t="shared" si="52"/>
        <v>-0.15000000000000002</v>
      </c>
    </row>
    <row r="912" spans="1:9">
      <c r="A912" s="99" t="str">
        <f t="shared" si="51"/>
        <v>PARADA INDEVIDA (LOG)Motorista 28</v>
      </c>
      <c r="B912" s="99" t="s">
        <v>549</v>
      </c>
      <c r="C912" s="99" t="s">
        <v>97</v>
      </c>
      <c r="D912" s="115">
        <v>8</v>
      </c>
      <c r="E912" s="99" t="s">
        <v>964</v>
      </c>
      <c r="F912" s="100">
        <v>0.03</v>
      </c>
      <c r="G912" s="101">
        <f>IF(OR(B912="FIXO",B912="XFIXO"),IF(F912="","ERRO",10*F912)*'[1]BD Campos'!$S$2,IF(F912="","ERRO",10*F912)*'[1]BD Campos'!$S$3)</f>
        <v>0.3</v>
      </c>
      <c r="H912" s="102">
        <v>0.05</v>
      </c>
      <c r="I912" s="103">
        <f t="shared" si="52"/>
        <v>-1.4999999999999999E-2</v>
      </c>
    </row>
    <row r="913" spans="1:9">
      <c r="A913" s="99" t="str">
        <f t="shared" si="51"/>
        <v>PARADA INDEVIDA (LOG)Motorista 29</v>
      </c>
      <c r="B913" s="99" t="s">
        <v>549</v>
      </c>
      <c r="C913" s="99" t="s">
        <v>97</v>
      </c>
      <c r="D913" s="115">
        <v>9</v>
      </c>
      <c r="E913" s="99" t="s">
        <v>965</v>
      </c>
      <c r="F913" s="100">
        <v>0.03</v>
      </c>
      <c r="G913" s="101">
        <f>IF(OR(B913="FIXO",B913="XFIXO"),IF(F913="","ERRO",10*F913)*'[1]BD Campos'!$S$2,IF(F913="","ERRO",10*F913)*'[1]BD Campos'!$S$3)</f>
        <v>0.3</v>
      </c>
      <c r="H913" s="102">
        <v>0.05</v>
      </c>
      <c r="I913" s="103">
        <f t="shared" si="52"/>
        <v>-1.4999999999999999E-2</v>
      </c>
    </row>
    <row r="914" spans="1:9">
      <c r="A914" s="99" t="str">
        <f t="shared" si="51"/>
        <v>PARADA INDEVIDA (LOG)Motorista 210</v>
      </c>
      <c r="B914" s="99" t="s">
        <v>549</v>
      </c>
      <c r="C914" s="99" t="s">
        <v>97</v>
      </c>
      <c r="D914" s="115">
        <v>10</v>
      </c>
      <c r="E914" s="99" t="s">
        <v>966</v>
      </c>
      <c r="F914" s="100">
        <v>1.4999999999999999E-2</v>
      </c>
      <c r="G914" s="101">
        <f>IF(OR(B914="FIXO",B914="XFIXO"),IF(F914="","ERRO",10*F914)*'[1]BD Campos'!$S$2,IF(F914="","ERRO",10*F914)*'[1]BD Campos'!$S$3)</f>
        <v>0.15</v>
      </c>
      <c r="H914" s="102">
        <v>0.05</v>
      </c>
      <c r="I914" s="103">
        <f t="shared" si="52"/>
        <v>-7.4999999999999997E-3</v>
      </c>
    </row>
    <row r="915" spans="1:9">
      <c r="A915" s="99" t="str">
        <f t="shared" si="51"/>
        <v>PARADA INDEVIDA (LOG)Motorista 211</v>
      </c>
      <c r="B915" s="99" t="s">
        <v>549</v>
      </c>
      <c r="C915" s="99" t="s">
        <v>97</v>
      </c>
      <c r="D915" s="115">
        <v>11</v>
      </c>
      <c r="E915" s="99" t="s">
        <v>968</v>
      </c>
      <c r="F915" s="100">
        <v>0.02</v>
      </c>
      <c r="G915" s="101">
        <f>IF(OR(B915="FIXO",B915="XFIXO"),IF(F915="","ERRO",10*F915)*'[1]BD Campos'!$S$2,IF(F915="","ERRO",10*F915)*'[1]BD Campos'!$S$3)</f>
        <v>0.2</v>
      </c>
      <c r="H915" s="102">
        <v>0.05</v>
      </c>
      <c r="I915" s="103">
        <f t="shared" si="52"/>
        <v>-1.0000000000000002E-2</v>
      </c>
    </row>
    <row r="916" spans="1:9">
      <c r="A916" s="99" t="str">
        <f t="shared" si="51"/>
        <v>PARADA INDEVIDA (LOG)Motorista 212</v>
      </c>
      <c r="B916" s="99" t="s">
        <v>549</v>
      </c>
      <c r="C916" s="99" t="s">
        <v>97</v>
      </c>
      <c r="D916" s="115">
        <v>12</v>
      </c>
      <c r="E916" s="99" t="s">
        <v>1012</v>
      </c>
      <c r="F916" s="100">
        <v>0.03</v>
      </c>
      <c r="G916" s="101">
        <f>IF(OR(B916="FIXO",B916="XFIXO"),IF(F916="","ERRO",10*F916)*'[1]BD Campos'!$S$2,IF(F916="","ERRO",10*F916)*'[1]BD Campos'!$S$3)</f>
        <v>0.3</v>
      </c>
      <c r="H916" s="102">
        <v>0.05</v>
      </c>
      <c r="I916" s="103">
        <f t="shared" si="52"/>
        <v>-1.4999999999999999E-2</v>
      </c>
    </row>
    <row r="917" spans="1:9">
      <c r="A917" s="104" t="str">
        <f t="shared" si="51"/>
        <v>PARADA INDEVIDA (LOG)Motorista 213</v>
      </c>
      <c r="B917" s="104" t="s">
        <v>549</v>
      </c>
      <c r="C917" s="104" t="s">
        <v>97</v>
      </c>
      <c r="D917" s="116">
        <v>13</v>
      </c>
      <c r="E917" s="104" t="s">
        <v>969</v>
      </c>
      <c r="F917" s="105">
        <v>0.01</v>
      </c>
      <c r="G917" s="106">
        <f>IF(OR(B917="FIXO",B917="XFIXO"),IF(F917="","ERRO",10*F917)*'[1]BD Campos'!$S$2,IF(F917="","ERRO",10*F917)*'[1]BD Campos'!$S$3)</f>
        <v>0.1</v>
      </c>
      <c r="H917" s="107">
        <v>0.05</v>
      </c>
      <c r="I917" s="108">
        <f t="shared" si="52"/>
        <v>-5.000000000000001E-3</v>
      </c>
    </row>
    <row r="918" spans="1:9">
      <c r="A918" s="99" t="str">
        <f>B918&amp;C918&amp;D918</f>
        <v>DESVIO DE ROTA (LOG)Motorista1</v>
      </c>
      <c r="B918" s="99" t="s">
        <v>547</v>
      </c>
      <c r="C918" s="99" t="s">
        <v>93</v>
      </c>
      <c r="D918" s="115">
        <v>1</v>
      </c>
      <c r="E918" s="99" t="s">
        <v>954</v>
      </c>
      <c r="F918" s="100">
        <v>0.01</v>
      </c>
      <c r="G918" s="101">
        <f>IF(OR(B918="FIXO",B918="XFIXO"),IF(F918="","ERRO",10*F918)*'[1]BD Campos'!$S$2,IF(F918="","ERRO",10*F918)*'[1]BD Campos'!$S$3)</f>
        <v>0.1</v>
      </c>
      <c r="H918" s="102">
        <v>0.05</v>
      </c>
      <c r="I918" s="103">
        <f>H918*G918*-1</f>
        <v>-5.000000000000001E-3</v>
      </c>
    </row>
    <row r="919" spans="1:9">
      <c r="A919" s="99" t="str">
        <f t="shared" ref="A919:A943" si="53">B919&amp;C919&amp;D919</f>
        <v>DESVIO DE ROTA (LOG)Motorista2</v>
      </c>
      <c r="B919" s="99" t="s">
        <v>547</v>
      </c>
      <c r="C919" s="99" t="s">
        <v>93</v>
      </c>
      <c r="D919" s="115">
        <v>2</v>
      </c>
      <c r="E919" s="99" t="s">
        <v>955</v>
      </c>
      <c r="F919" s="100">
        <v>0.01</v>
      </c>
      <c r="G919" s="101">
        <f>IF(OR(B919="FIXO",B919="XFIXO"),IF(F919="","ERRO",10*F919)*'[1]BD Campos'!$S$2,IF(F919="","ERRO",10*F919)*'[1]BD Campos'!$S$3)</f>
        <v>0.1</v>
      </c>
      <c r="H919" s="102">
        <v>0.05</v>
      </c>
      <c r="I919" s="103">
        <f t="shared" ref="I919:I943" si="54">H919*G919*-1</f>
        <v>-5.000000000000001E-3</v>
      </c>
    </row>
    <row r="920" spans="1:9">
      <c r="A920" s="99" t="str">
        <f t="shared" si="53"/>
        <v>DESVIO DE ROTA (LOG)Motorista3</v>
      </c>
      <c r="B920" s="99" t="s">
        <v>547</v>
      </c>
      <c r="C920" s="99" t="s">
        <v>93</v>
      </c>
      <c r="D920" s="115">
        <v>3</v>
      </c>
      <c r="E920" s="99" t="s">
        <v>956</v>
      </c>
      <c r="F920" s="100">
        <v>0.01</v>
      </c>
      <c r="G920" s="101">
        <f>IF(OR(B920="FIXO",B920="XFIXO"),IF(F920="","ERRO",10*F920)*'[1]BD Campos'!$S$2,IF(F920="","ERRO",10*F920)*'[1]BD Campos'!$S$3)</f>
        <v>0.1</v>
      </c>
      <c r="H920" s="102">
        <v>0.05</v>
      </c>
      <c r="I920" s="103">
        <f t="shared" si="54"/>
        <v>-5.000000000000001E-3</v>
      </c>
    </row>
    <row r="921" spans="1:9">
      <c r="A921" s="99" t="str">
        <f t="shared" si="53"/>
        <v>DESVIO DE ROTA (LOG)Motorista4</v>
      </c>
      <c r="B921" s="99" t="s">
        <v>547</v>
      </c>
      <c r="C921" s="99" t="s">
        <v>93</v>
      </c>
      <c r="D921" s="115">
        <v>4</v>
      </c>
      <c r="E921" s="99" t="s">
        <v>982</v>
      </c>
      <c r="F921" s="100">
        <v>0.04</v>
      </c>
      <c r="G921" s="101">
        <f>IF(OR(B921="FIXO",B921="XFIXO"),IF(F921="","ERRO",10*F921)*'[1]BD Campos'!$S$2,IF(F921="","ERRO",10*F921)*'[1]BD Campos'!$S$3)</f>
        <v>0.4</v>
      </c>
      <c r="H921" s="102">
        <v>0.05</v>
      </c>
      <c r="I921" s="103">
        <f t="shared" si="54"/>
        <v>-2.0000000000000004E-2</v>
      </c>
    </row>
    <row r="922" spans="1:9">
      <c r="A922" s="99" t="str">
        <f t="shared" si="53"/>
        <v>DESVIO DE ROTA (LOG)Motorista5</v>
      </c>
      <c r="B922" s="99" t="s">
        <v>547</v>
      </c>
      <c r="C922" s="99" t="s">
        <v>93</v>
      </c>
      <c r="D922" s="115">
        <v>5</v>
      </c>
      <c r="E922" s="99" t="s">
        <v>1026</v>
      </c>
      <c r="F922" s="100">
        <v>0.19500000000000001</v>
      </c>
      <c r="G922" s="101">
        <f>IF(OR(B922="FIXO",B922="XFIXO"),IF(F922="","ERRO",10*F922)*'[1]BD Campos'!$S$2,IF(F922="","ERRO",10*F922)*'[1]BD Campos'!$S$3)</f>
        <v>1.9500000000000002</v>
      </c>
      <c r="H922" s="102">
        <v>0.05</v>
      </c>
      <c r="I922" s="103">
        <f t="shared" si="54"/>
        <v>-9.7500000000000017E-2</v>
      </c>
    </row>
    <row r="923" spans="1:9">
      <c r="A923" s="99" t="str">
        <f t="shared" si="53"/>
        <v>DESVIO DE ROTA (LOG)Motorista6</v>
      </c>
      <c r="B923" s="99" t="s">
        <v>547</v>
      </c>
      <c r="C923" s="99" t="s">
        <v>93</v>
      </c>
      <c r="D923" s="115">
        <v>6</v>
      </c>
      <c r="E923" s="99" t="s">
        <v>959</v>
      </c>
      <c r="F923" s="100">
        <v>0.3</v>
      </c>
      <c r="G923" s="101">
        <f>IF(OR(B923="FIXO",B923="XFIXO"),IF(F923="","ERRO",10*F923)*'[1]BD Campos'!$S$2,IF(F923="","ERRO",10*F923)*'[1]BD Campos'!$S$3)</f>
        <v>3</v>
      </c>
      <c r="H923" s="102">
        <v>0.05</v>
      </c>
      <c r="I923" s="103">
        <f t="shared" si="54"/>
        <v>-0.15000000000000002</v>
      </c>
    </row>
    <row r="924" spans="1:9">
      <c r="A924" s="99" t="str">
        <f t="shared" si="53"/>
        <v>DESVIO DE ROTA (LOG)Motorista7</v>
      </c>
      <c r="B924" s="99" t="s">
        <v>547</v>
      </c>
      <c r="C924" s="99" t="s">
        <v>93</v>
      </c>
      <c r="D924" s="115">
        <v>7</v>
      </c>
      <c r="E924" s="99" t="s">
        <v>1058</v>
      </c>
      <c r="F924" s="100">
        <v>0.3</v>
      </c>
      <c r="G924" s="101">
        <f>IF(OR(B924="FIXO",B924="XFIXO"),IF(F924="","ERRO",10*F924)*'[1]BD Campos'!$S$2,IF(F924="","ERRO",10*F924)*'[1]BD Campos'!$S$3)</f>
        <v>3</v>
      </c>
      <c r="H924" s="102">
        <v>0.05</v>
      </c>
      <c r="I924" s="103">
        <f t="shared" si="54"/>
        <v>-0.15000000000000002</v>
      </c>
    </row>
    <row r="925" spans="1:9">
      <c r="A925" s="99" t="str">
        <f t="shared" si="53"/>
        <v>DESVIO DE ROTA (LOG)Motorista8</v>
      </c>
      <c r="B925" s="99" t="s">
        <v>547</v>
      </c>
      <c r="C925" s="99" t="s">
        <v>93</v>
      </c>
      <c r="D925" s="115">
        <v>8</v>
      </c>
      <c r="E925" s="99" t="s">
        <v>964</v>
      </c>
      <c r="F925" s="100">
        <v>0.03</v>
      </c>
      <c r="G925" s="101">
        <f>IF(OR(B925="FIXO",B925="XFIXO"),IF(F925="","ERRO",10*F925)*'[1]BD Campos'!$S$2,IF(F925="","ERRO",10*F925)*'[1]BD Campos'!$S$3)</f>
        <v>0.3</v>
      </c>
      <c r="H925" s="102">
        <v>0.05</v>
      </c>
      <c r="I925" s="103">
        <f t="shared" si="54"/>
        <v>-1.4999999999999999E-2</v>
      </c>
    </row>
    <row r="926" spans="1:9">
      <c r="A926" s="99" t="str">
        <f t="shared" si="53"/>
        <v>DESVIO DE ROTA (LOG)Motorista9</v>
      </c>
      <c r="B926" s="99" t="s">
        <v>547</v>
      </c>
      <c r="C926" s="99" t="s">
        <v>93</v>
      </c>
      <c r="D926" s="115">
        <v>9</v>
      </c>
      <c r="E926" s="99" t="s">
        <v>965</v>
      </c>
      <c r="F926" s="100">
        <v>0.03</v>
      </c>
      <c r="G926" s="101">
        <f>IF(OR(B926="FIXO",B926="XFIXO"),IF(F926="","ERRO",10*F926)*'[1]BD Campos'!$S$2,IF(F926="","ERRO",10*F926)*'[1]BD Campos'!$S$3)</f>
        <v>0.3</v>
      </c>
      <c r="H926" s="102">
        <v>0.05</v>
      </c>
      <c r="I926" s="103">
        <f t="shared" si="54"/>
        <v>-1.4999999999999999E-2</v>
      </c>
    </row>
    <row r="927" spans="1:9">
      <c r="A927" s="99" t="str">
        <f t="shared" si="53"/>
        <v>DESVIO DE ROTA (LOG)Motorista10</v>
      </c>
      <c r="B927" s="99" t="s">
        <v>547</v>
      </c>
      <c r="C927" s="99" t="s">
        <v>93</v>
      </c>
      <c r="D927" s="115">
        <v>10</v>
      </c>
      <c r="E927" s="99" t="s">
        <v>966</v>
      </c>
      <c r="F927" s="100">
        <v>1.4999999999999999E-2</v>
      </c>
      <c r="G927" s="101">
        <f>IF(OR(B927="FIXO",B927="XFIXO"),IF(F927="","ERRO",10*F927)*'[1]BD Campos'!$S$2,IF(F927="","ERRO",10*F927)*'[1]BD Campos'!$S$3)</f>
        <v>0.15</v>
      </c>
      <c r="H927" s="102">
        <v>0.05</v>
      </c>
      <c r="I927" s="103">
        <f t="shared" si="54"/>
        <v>-7.4999999999999997E-3</v>
      </c>
    </row>
    <row r="928" spans="1:9">
      <c r="A928" s="99" t="str">
        <f t="shared" si="53"/>
        <v>DESVIO DE ROTA (LOG)Motorista11</v>
      </c>
      <c r="B928" s="99" t="s">
        <v>547</v>
      </c>
      <c r="C928" s="99" t="s">
        <v>93</v>
      </c>
      <c r="D928" s="115">
        <v>11</v>
      </c>
      <c r="E928" s="99" t="s">
        <v>968</v>
      </c>
      <c r="F928" s="100">
        <v>0.02</v>
      </c>
      <c r="G928" s="101">
        <f>IF(OR(B928="FIXO",B928="XFIXO"),IF(F928="","ERRO",10*F928)*'[1]BD Campos'!$S$2,IF(F928="","ERRO",10*F928)*'[1]BD Campos'!$S$3)</f>
        <v>0.2</v>
      </c>
      <c r="H928" s="102">
        <v>0.05</v>
      </c>
      <c r="I928" s="103">
        <f t="shared" si="54"/>
        <v>-1.0000000000000002E-2</v>
      </c>
    </row>
    <row r="929" spans="1:9">
      <c r="A929" s="99" t="str">
        <f t="shared" si="53"/>
        <v>DESVIO DE ROTA (LOG)Motorista12</v>
      </c>
      <c r="B929" s="99" t="s">
        <v>547</v>
      </c>
      <c r="C929" s="99" t="s">
        <v>93</v>
      </c>
      <c r="D929" s="115">
        <v>12</v>
      </c>
      <c r="E929" s="99" t="s">
        <v>1012</v>
      </c>
      <c r="F929" s="100">
        <v>0.03</v>
      </c>
      <c r="G929" s="101">
        <f>IF(OR(B929="FIXO",B929="XFIXO"),IF(F929="","ERRO",10*F929)*'[1]BD Campos'!$S$2,IF(F929="","ERRO",10*F929)*'[1]BD Campos'!$S$3)</f>
        <v>0.3</v>
      </c>
      <c r="H929" s="102">
        <v>0.05</v>
      </c>
      <c r="I929" s="103">
        <f t="shared" si="54"/>
        <v>-1.4999999999999999E-2</v>
      </c>
    </row>
    <row r="930" spans="1:9">
      <c r="A930" s="104" t="str">
        <f t="shared" si="53"/>
        <v>DESVIO DE ROTA (LOG)Motorista13</v>
      </c>
      <c r="B930" s="104" t="s">
        <v>547</v>
      </c>
      <c r="C930" s="104" t="s">
        <v>93</v>
      </c>
      <c r="D930" s="116">
        <v>13</v>
      </c>
      <c r="E930" s="104" t="s">
        <v>969</v>
      </c>
      <c r="F930" s="105">
        <v>0.01</v>
      </c>
      <c r="G930" s="106">
        <f>IF(OR(B930="FIXO",B930="XFIXO"),IF(F930="","ERRO",10*F930)*'[1]BD Campos'!$S$2,IF(F930="","ERRO",10*F930)*'[1]BD Campos'!$S$3)</f>
        <v>0.1</v>
      </c>
      <c r="H930" s="107">
        <v>0.05</v>
      </c>
      <c r="I930" s="108">
        <f t="shared" si="54"/>
        <v>-5.000000000000001E-3</v>
      </c>
    </row>
    <row r="931" spans="1:9">
      <c r="A931" s="99" t="str">
        <f t="shared" si="53"/>
        <v>DESVIO DE ROTA (LOG)Motorista 21</v>
      </c>
      <c r="B931" s="99" t="s">
        <v>547</v>
      </c>
      <c r="C931" s="99" t="s">
        <v>97</v>
      </c>
      <c r="D931" s="115">
        <v>1</v>
      </c>
      <c r="E931" s="99" t="s">
        <v>954</v>
      </c>
      <c r="F931" s="100">
        <v>0.01</v>
      </c>
      <c r="G931" s="101">
        <f>IF(OR(B931="FIXO",B931="XFIXO"),IF(F931="","ERRO",10*F931)*'[1]BD Campos'!$S$2,IF(F931="","ERRO",10*F931)*'[1]BD Campos'!$S$3)</f>
        <v>0.1</v>
      </c>
      <c r="H931" s="102">
        <v>0.05</v>
      </c>
      <c r="I931" s="103">
        <f t="shared" si="54"/>
        <v>-5.000000000000001E-3</v>
      </c>
    </row>
    <row r="932" spans="1:9">
      <c r="A932" s="99" t="str">
        <f t="shared" si="53"/>
        <v>DESVIO DE ROTA (LOG)Motorista 22</v>
      </c>
      <c r="B932" s="99" t="s">
        <v>547</v>
      </c>
      <c r="C932" s="99" t="s">
        <v>97</v>
      </c>
      <c r="D932" s="115">
        <v>2</v>
      </c>
      <c r="E932" s="99" t="s">
        <v>955</v>
      </c>
      <c r="F932" s="100">
        <v>0.01</v>
      </c>
      <c r="G932" s="101">
        <f>IF(OR(B932="FIXO",B932="XFIXO"),IF(F932="","ERRO",10*F932)*'[1]BD Campos'!$S$2,IF(F932="","ERRO",10*F932)*'[1]BD Campos'!$S$3)</f>
        <v>0.1</v>
      </c>
      <c r="H932" s="102">
        <v>0.05</v>
      </c>
      <c r="I932" s="103">
        <f t="shared" si="54"/>
        <v>-5.000000000000001E-3</v>
      </c>
    </row>
    <row r="933" spans="1:9">
      <c r="A933" s="99" t="str">
        <f t="shared" si="53"/>
        <v>DESVIO DE ROTA (LOG)Motorista 23</v>
      </c>
      <c r="B933" s="99" t="s">
        <v>547</v>
      </c>
      <c r="C933" s="99" t="s">
        <v>97</v>
      </c>
      <c r="D933" s="115">
        <v>3</v>
      </c>
      <c r="E933" s="99" t="s">
        <v>956</v>
      </c>
      <c r="F933" s="100">
        <v>0.01</v>
      </c>
      <c r="G933" s="101">
        <f>IF(OR(B933="FIXO",B933="XFIXO"),IF(F933="","ERRO",10*F933)*'[1]BD Campos'!$S$2,IF(F933="","ERRO",10*F933)*'[1]BD Campos'!$S$3)</f>
        <v>0.1</v>
      </c>
      <c r="H933" s="102">
        <v>0.05</v>
      </c>
      <c r="I933" s="103">
        <f t="shared" si="54"/>
        <v>-5.000000000000001E-3</v>
      </c>
    </row>
    <row r="934" spans="1:9">
      <c r="A934" s="99" t="str">
        <f t="shared" si="53"/>
        <v>DESVIO DE ROTA (LOG)Motorista 24</v>
      </c>
      <c r="B934" s="99" t="s">
        <v>547</v>
      </c>
      <c r="C934" s="99" t="s">
        <v>97</v>
      </c>
      <c r="D934" s="115">
        <v>4</v>
      </c>
      <c r="E934" s="99" t="s">
        <v>982</v>
      </c>
      <c r="F934" s="100">
        <v>0.04</v>
      </c>
      <c r="G934" s="101">
        <f>IF(OR(B934="FIXO",B934="XFIXO"),IF(F934="","ERRO",10*F934)*'[1]BD Campos'!$S$2,IF(F934="","ERRO",10*F934)*'[1]BD Campos'!$S$3)</f>
        <v>0.4</v>
      </c>
      <c r="H934" s="102">
        <v>0.05</v>
      </c>
      <c r="I934" s="103">
        <f t="shared" si="54"/>
        <v>-2.0000000000000004E-2</v>
      </c>
    </row>
    <row r="935" spans="1:9">
      <c r="A935" s="99" t="str">
        <f t="shared" si="53"/>
        <v>DESVIO DE ROTA (LOG)Motorista 25</v>
      </c>
      <c r="B935" s="99" t="s">
        <v>547</v>
      </c>
      <c r="C935" s="99" t="s">
        <v>97</v>
      </c>
      <c r="D935" s="115">
        <v>5</v>
      </c>
      <c r="E935" s="99" t="s">
        <v>1026</v>
      </c>
      <c r="F935" s="100">
        <v>0.19500000000000001</v>
      </c>
      <c r="G935" s="101">
        <f>IF(OR(B935="FIXO",B935="XFIXO"),IF(F935="","ERRO",10*F935)*'[1]BD Campos'!$S$2,IF(F935="","ERRO",10*F935)*'[1]BD Campos'!$S$3)</f>
        <v>1.9500000000000002</v>
      </c>
      <c r="H935" s="102">
        <v>0.05</v>
      </c>
      <c r="I935" s="103">
        <f t="shared" si="54"/>
        <v>-9.7500000000000017E-2</v>
      </c>
    </row>
    <row r="936" spans="1:9">
      <c r="A936" s="99" t="str">
        <f t="shared" si="53"/>
        <v>DESVIO DE ROTA (LOG)Motorista 26</v>
      </c>
      <c r="B936" s="99" t="s">
        <v>547</v>
      </c>
      <c r="C936" s="99" t="s">
        <v>97</v>
      </c>
      <c r="D936" s="115">
        <v>6</v>
      </c>
      <c r="E936" s="99" t="s">
        <v>959</v>
      </c>
      <c r="F936" s="100">
        <v>0.3</v>
      </c>
      <c r="G936" s="101">
        <f>IF(OR(B936="FIXO",B936="XFIXO"),IF(F936="","ERRO",10*F936)*'[1]BD Campos'!$S$2,IF(F936="","ERRO",10*F936)*'[1]BD Campos'!$S$3)</f>
        <v>3</v>
      </c>
      <c r="H936" s="102">
        <v>0.05</v>
      </c>
      <c r="I936" s="103">
        <f t="shared" si="54"/>
        <v>-0.15000000000000002</v>
      </c>
    </row>
    <row r="937" spans="1:9">
      <c r="A937" s="99" t="str">
        <f t="shared" si="53"/>
        <v>DESVIO DE ROTA (LOG)Motorista 27</v>
      </c>
      <c r="B937" s="99" t="s">
        <v>547</v>
      </c>
      <c r="C937" s="99" t="s">
        <v>97</v>
      </c>
      <c r="D937" s="115">
        <v>7</v>
      </c>
      <c r="E937" s="99" t="s">
        <v>1058</v>
      </c>
      <c r="F937" s="100">
        <v>0.3</v>
      </c>
      <c r="G937" s="101">
        <f>IF(OR(B937="FIXO",B937="XFIXO"),IF(F937="","ERRO",10*F937)*'[1]BD Campos'!$S$2,IF(F937="","ERRO",10*F937)*'[1]BD Campos'!$S$3)</f>
        <v>3</v>
      </c>
      <c r="H937" s="102">
        <v>0.05</v>
      </c>
      <c r="I937" s="103">
        <f t="shared" si="54"/>
        <v>-0.15000000000000002</v>
      </c>
    </row>
    <row r="938" spans="1:9">
      <c r="A938" s="99" t="str">
        <f t="shared" si="53"/>
        <v>DESVIO DE ROTA (LOG)Motorista 28</v>
      </c>
      <c r="B938" s="99" t="s">
        <v>547</v>
      </c>
      <c r="C938" s="99" t="s">
        <v>97</v>
      </c>
      <c r="D938" s="115">
        <v>8</v>
      </c>
      <c r="E938" s="99" t="s">
        <v>964</v>
      </c>
      <c r="F938" s="100">
        <v>0.03</v>
      </c>
      <c r="G938" s="101">
        <f>IF(OR(B938="FIXO",B938="XFIXO"),IF(F938="","ERRO",10*F938)*'[1]BD Campos'!$S$2,IF(F938="","ERRO",10*F938)*'[1]BD Campos'!$S$3)</f>
        <v>0.3</v>
      </c>
      <c r="H938" s="102">
        <v>0.05</v>
      </c>
      <c r="I938" s="103">
        <f t="shared" si="54"/>
        <v>-1.4999999999999999E-2</v>
      </c>
    </row>
    <row r="939" spans="1:9">
      <c r="A939" s="99" t="str">
        <f t="shared" si="53"/>
        <v>DESVIO DE ROTA (LOG)Motorista 29</v>
      </c>
      <c r="B939" s="99" t="s">
        <v>547</v>
      </c>
      <c r="C939" s="99" t="s">
        <v>97</v>
      </c>
      <c r="D939" s="115">
        <v>9</v>
      </c>
      <c r="E939" s="99" t="s">
        <v>965</v>
      </c>
      <c r="F939" s="100">
        <v>0.03</v>
      </c>
      <c r="G939" s="101">
        <f>IF(OR(B939="FIXO",B939="XFIXO"),IF(F939="","ERRO",10*F939)*'[1]BD Campos'!$S$2,IF(F939="","ERRO",10*F939)*'[1]BD Campos'!$S$3)</f>
        <v>0.3</v>
      </c>
      <c r="H939" s="102">
        <v>0.05</v>
      </c>
      <c r="I939" s="103">
        <f t="shared" si="54"/>
        <v>-1.4999999999999999E-2</v>
      </c>
    </row>
    <row r="940" spans="1:9">
      <c r="A940" s="99" t="str">
        <f t="shared" si="53"/>
        <v>DESVIO DE ROTA (LOG)Motorista 210</v>
      </c>
      <c r="B940" s="99" t="s">
        <v>547</v>
      </c>
      <c r="C940" s="99" t="s">
        <v>97</v>
      </c>
      <c r="D940" s="115">
        <v>10</v>
      </c>
      <c r="E940" s="99" t="s">
        <v>966</v>
      </c>
      <c r="F940" s="100">
        <v>1.4999999999999999E-2</v>
      </c>
      <c r="G940" s="101">
        <f>IF(OR(B940="FIXO",B940="XFIXO"),IF(F940="","ERRO",10*F940)*'[1]BD Campos'!$S$2,IF(F940="","ERRO",10*F940)*'[1]BD Campos'!$S$3)</f>
        <v>0.15</v>
      </c>
      <c r="H940" s="102">
        <v>0.05</v>
      </c>
      <c r="I940" s="103">
        <f t="shared" si="54"/>
        <v>-7.4999999999999997E-3</v>
      </c>
    </row>
    <row r="941" spans="1:9">
      <c r="A941" s="99" t="str">
        <f t="shared" si="53"/>
        <v>DESVIO DE ROTA (LOG)Motorista 211</v>
      </c>
      <c r="B941" s="99" t="s">
        <v>547</v>
      </c>
      <c r="C941" s="99" t="s">
        <v>97</v>
      </c>
      <c r="D941" s="115">
        <v>11</v>
      </c>
      <c r="E941" s="99" t="s">
        <v>968</v>
      </c>
      <c r="F941" s="100">
        <v>0.02</v>
      </c>
      <c r="G941" s="101">
        <f>IF(OR(B941="FIXO",B941="XFIXO"),IF(F941="","ERRO",10*F941)*'[1]BD Campos'!$S$2,IF(F941="","ERRO",10*F941)*'[1]BD Campos'!$S$3)</f>
        <v>0.2</v>
      </c>
      <c r="H941" s="102">
        <v>0.05</v>
      </c>
      <c r="I941" s="103">
        <f t="shared" si="54"/>
        <v>-1.0000000000000002E-2</v>
      </c>
    </row>
    <row r="942" spans="1:9">
      <c r="A942" s="99" t="str">
        <f t="shared" si="53"/>
        <v>DESVIO DE ROTA (LOG)Motorista 212</v>
      </c>
      <c r="B942" s="99" t="s">
        <v>547</v>
      </c>
      <c r="C942" s="99" t="s">
        <v>97</v>
      </c>
      <c r="D942" s="115">
        <v>12</v>
      </c>
      <c r="E942" s="99" t="s">
        <v>1012</v>
      </c>
      <c r="F942" s="100">
        <v>0.03</v>
      </c>
      <c r="G942" s="101">
        <f>IF(OR(B942="FIXO",B942="XFIXO"),IF(F942="","ERRO",10*F942)*'[1]BD Campos'!$S$2,IF(F942="","ERRO",10*F942)*'[1]BD Campos'!$S$3)</f>
        <v>0.3</v>
      </c>
      <c r="H942" s="102">
        <v>0.05</v>
      </c>
      <c r="I942" s="103">
        <f t="shared" si="54"/>
        <v>-1.4999999999999999E-2</v>
      </c>
    </row>
    <row r="943" spans="1:9">
      <c r="A943" s="104" t="str">
        <f t="shared" si="53"/>
        <v>DESVIO DE ROTA (LOG)Motorista 213</v>
      </c>
      <c r="B943" s="104" t="s">
        <v>547</v>
      </c>
      <c r="C943" s="104" t="s">
        <v>97</v>
      </c>
      <c r="D943" s="116">
        <v>13</v>
      </c>
      <c r="E943" s="104" t="s">
        <v>969</v>
      </c>
      <c r="F943" s="105">
        <v>0.01</v>
      </c>
      <c r="G943" s="106">
        <f>IF(OR(B943="FIXO",B943="XFIXO"),IF(F943="","ERRO",10*F943)*'[1]BD Campos'!$S$2,IF(F943="","ERRO",10*F943)*'[1]BD Campos'!$S$3)</f>
        <v>0.1</v>
      </c>
      <c r="H943" s="107">
        <v>0.05</v>
      </c>
      <c r="I943" s="108">
        <f t="shared" si="54"/>
        <v>-5.000000000000001E-3</v>
      </c>
    </row>
    <row r="944" spans="1:9">
      <c r="A944" s="99" t="str">
        <f>B944&amp;C944&amp;D944</f>
        <v>ATIVAÇÃO DE AECliente1</v>
      </c>
      <c r="B944" s="99" t="s">
        <v>1059</v>
      </c>
      <c r="C944" s="99" t="s">
        <v>149</v>
      </c>
      <c r="D944" s="115">
        <v>1</v>
      </c>
      <c r="E944" s="99" t="s">
        <v>954</v>
      </c>
      <c r="F944" s="100">
        <v>0.01</v>
      </c>
      <c r="G944" s="101">
        <f>IF(OR(B944="FIXO",B944="XFIXO"),IF(F944="","ERRO",10*F944)*'[1]BD Campos'!$S$2,IF(F944="","ERRO",10*F944)*'[1]BD Campos'!$S$3)</f>
        <v>0.1</v>
      </c>
      <c r="H944" s="102">
        <v>0.05</v>
      </c>
      <c r="I944" s="103">
        <f>H944*G944*-1</f>
        <v>-5.000000000000001E-3</v>
      </c>
    </row>
    <row r="945" spans="1:9">
      <c r="A945" s="99" t="str">
        <f t="shared" ref="A945:A973" si="55">B945&amp;C945&amp;D945</f>
        <v>ATIVAÇÃO DE AECliente2</v>
      </c>
      <c r="B945" s="99" t="s">
        <v>1059</v>
      </c>
      <c r="C945" s="99" t="s">
        <v>149</v>
      </c>
      <c r="D945" s="115">
        <v>2</v>
      </c>
      <c r="E945" s="99" t="s">
        <v>955</v>
      </c>
      <c r="F945" s="100">
        <v>0.01</v>
      </c>
      <c r="G945" s="101">
        <f>IF(OR(B945="FIXO",B945="XFIXO"),IF(F945="","ERRO",10*F945)*'[1]BD Campos'!$S$2,IF(F945="","ERRO",10*F945)*'[1]BD Campos'!$S$3)</f>
        <v>0.1</v>
      </c>
      <c r="H945" s="102">
        <v>0.05</v>
      </c>
      <c r="I945" s="103">
        <f t="shared" ref="I945:I973" si="56">H945*G945*-1</f>
        <v>-5.000000000000001E-3</v>
      </c>
    </row>
    <row r="946" spans="1:9">
      <c r="A946" s="99" t="str">
        <f t="shared" si="55"/>
        <v>ATIVAÇÃO DE AECliente3</v>
      </c>
      <c r="B946" s="99" t="s">
        <v>1059</v>
      </c>
      <c r="C946" s="99" t="s">
        <v>149</v>
      </c>
      <c r="D946" s="115">
        <v>3</v>
      </c>
      <c r="E946" s="99" t="s">
        <v>956</v>
      </c>
      <c r="F946" s="100">
        <v>0.01</v>
      </c>
      <c r="G946" s="101">
        <f>IF(OR(B946="FIXO",B946="XFIXO"),IF(F946="","ERRO",10*F946)*'[1]BD Campos'!$S$2,IF(F946="","ERRO",10*F946)*'[1]BD Campos'!$S$3)</f>
        <v>0.1</v>
      </c>
      <c r="H946" s="102">
        <v>0.05</v>
      </c>
      <c r="I946" s="103">
        <f t="shared" si="56"/>
        <v>-5.000000000000001E-3</v>
      </c>
    </row>
    <row r="947" spans="1:9">
      <c r="A947" s="99" t="str">
        <f t="shared" si="55"/>
        <v>ATIVAÇÃO DE AECliente4</v>
      </c>
      <c r="B947" s="99" t="s">
        <v>1059</v>
      </c>
      <c r="C947" s="99" t="s">
        <v>149</v>
      </c>
      <c r="D947" s="115">
        <v>4</v>
      </c>
      <c r="E947" s="99" t="s">
        <v>982</v>
      </c>
      <c r="F947" s="100">
        <v>0.04</v>
      </c>
      <c r="G947" s="101">
        <f>IF(OR(B947="FIXO",B947="XFIXO"),IF(F947="","ERRO",10*F947)*'[1]BD Campos'!$S$2,IF(F947="","ERRO",10*F947)*'[1]BD Campos'!$S$3)</f>
        <v>0.4</v>
      </c>
      <c r="H947" s="102">
        <v>0.05</v>
      </c>
      <c r="I947" s="103">
        <f t="shared" si="56"/>
        <v>-2.0000000000000004E-2</v>
      </c>
    </row>
    <row r="948" spans="1:9">
      <c r="A948" s="99" t="str">
        <f t="shared" si="55"/>
        <v>ATIVAÇÃO DE AECliente5</v>
      </c>
      <c r="B948" s="99" t="s">
        <v>1059</v>
      </c>
      <c r="C948" s="99" t="s">
        <v>149</v>
      </c>
      <c r="D948" s="115">
        <v>5</v>
      </c>
      <c r="E948" s="99" t="s">
        <v>1026</v>
      </c>
      <c r="F948" s="100">
        <v>0.19500000000000001</v>
      </c>
      <c r="G948" s="101">
        <f>IF(OR(B948="FIXO",B948="XFIXO"),IF(F948="","ERRO",10*F948)*'[1]BD Campos'!$S$2,IF(F948="","ERRO",10*F948)*'[1]BD Campos'!$S$3)</f>
        <v>1.9500000000000002</v>
      </c>
      <c r="H948" s="102">
        <v>0.05</v>
      </c>
      <c r="I948" s="103">
        <f t="shared" si="56"/>
        <v>-9.7500000000000017E-2</v>
      </c>
    </row>
    <row r="949" spans="1:9">
      <c r="A949" s="99" t="str">
        <f t="shared" si="55"/>
        <v>ATIVAÇÃO DE AECliente6</v>
      </c>
      <c r="B949" s="99" t="s">
        <v>1059</v>
      </c>
      <c r="C949" s="99" t="s">
        <v>149</v>
      </c>
      <c r="D949" s="115">
        <v>6</v>
      </c>
      <c r="E949" s="99" t="s">
        <v>1060</v>
      </c>
      <c r="F949" s="100">
        <v>0.2</v>
      </c>
      <c r="G949" s="101">
        <f>IF(OR(B949="FIXO",B949="XFIXO"),IF(F949="","ERRO",10*F949)*'[1]BD Campos'!$S$2,IF(F949="","ERRO",10*F949)*'[1]BD Campos'!$S$3)</f>
        <v>2</v>
      </c>
      <c r="H949" s="102">
        <v>0.05</v>
      </c>
      <c r="I949" s="103">
        <f t="shared" si="56"/>
        <v>-0.1</v>
      </c>
    </row>
    <row r="950" spans="1:9">
      <c r="A950" s="99" t="str">
        <f t="shared" si="55"/>
        <v>ATIVAÇÃO DE AECliente7</v>
      </c>
      <c r="B950" s="99" t="s">
        <v>1059</v>
      </c>
      <c r="C950" s="99" t="s">
        <v>149</v>
      </c>
      <c r="D950" s="115">
        <v>7</v>
      </c>
      <c r="E950" s="99" t="s">
        <v>1061</v>
      </c>
      <c r="F950" s="100">
        <v>0.1</v>
      </c>
      <c r="G950" s="101">
        <f>IF(OR(B950="FIXO",B950="XFIXO"),IF(F950="","ERRO",10*F950)*'[1]BD Campos'!$S$2,IF(F950="","ERRO",10*F950)*'[1]BD Campos'!$S$3)</f>
        <v>1</v>
      </c>
      <c r="H950" s="102">
        <v>0.05</v>
      </c>
      <c r="I950" s="103">
        <f t="shared" si="56"/>
        <v>-0.05</v>
      </c>
    </row>
    <row r="951" spans="1:9">
      <c r="A951" s="99" t="str">
        <f t="shared" si="55"/>
        <v>ATIVAÇÃO DE AECliente8</v>
      </c>
      <c r="B951" s="99" t="s">
        <v>1059</v>
      </c>
      <c r="C951" s="99" t="s">
        <v>149</v>
      </c>
      <c r="D951" s="115">
        <v>8</v>
      </c>
      <c r="E951" s="99" t="s">
        <v>1062</v>
      </c>
      <c r="F951" s="100">
        <v>0.1</v>
      </c>
      <c r="G951" s="101">
        <f>IF(OR(B951="FIXO",B951="XFIXO"),IF(F951="","ERRO",10*F951)*'[1]BD Campos'!$S$2,IF(F951="","ERRO",10*F951)*'[1]BD Campos'!$S$3)</f>
        <v>1</v>
      </c>
      <c r="H951" s="102">
        <v>0.05</v>
      </c>
      <c r="I951" s="103">
        <f t="shared" si="56"/>
        <v>-0.05</v>
      </c>
    </row>
    <row r="952" spans="1:9">
      <c r="A952" s="99" t="str">
        <f t="shared" si="55"/>
        <v>ATIVAÇÃO DE AECliente9</v>
      </c>
      <c r="B952" s="99" t="s">
        <v>1059</v>
      </c>
      <c r="C952" s="99" t="s">
        <v>149</v>
      </c>
      <c r="D952" s="115">
        <v>9</v>
      </c>
      <c r="E952" s="99" t="s">
        <v>1063</v>
      </c>
      <c r="F952" s="100">
        <v>0.2</v>
      </c>
      <c r="G952" s="101">
        <f>IF(OR(B952="FIXO",B952="XFIXO"),IF(F952="","ERRO",10*F952)*'[1]BD Campos'!$S$2,IF(F952="","ERRO",10*F952)*'[1]BD Campos'!$S$3)</f>
        <v>2</v>
      </c>
      <c r="H952" s="102">
        <v>0.05</v>
      </c>
      <c r="I952" s="103">
        <f t="shared" si="56"/>
        <v>-0.1</v>
      </c>
    </row>
    <row r="953" spans="1:9">
      <c r="A953" s="99" t="str">
        <f t="shared" si="55"/>
        <v>ATIVAÇÃO DE AECliente10</v>
      </c>
      <c r="B953" s="99" t="s">
        <v>1059</v>
      </c>
      <c r="C953" s="99" t="s">
        <v>149</v>
      </c>
      <c r="D953" s="115">
        <v>10</v>
      </c>
      <c r="E953" s="99" t="s">
        <v>964</v>
      </c>
      <c r="F953" s="100">
        <v>0.03</v>
      </c>
      <c r="G953" s="101">
        <f>IF(OR(B953="FIXO",B953="XFIXO"),IF(F953="","ERRO",10*F953)*'[1]BD Campos'!$S$2,IF(F953="","ERRO",10*F953)*'[1]BD Campos'!$S$3)</f>
        <v>0.3</v>
      </c>
      <c r="H953" s="102">
        <v>0.05</v>
      </c>
      <c r="I953" s="103">
        <f t="shared" si="56"/>
        <v>-1.4999999999999999E-2</v>
      </c>
    </row>
    <row r="954" spans="1:9">
      <c r="A954" s="99" t="str">
        <f t="shared" si="55"/>
        <v>ATIVAÇÃO DE AECliente11</v>
      </c>
      <c r="B954" s="99" t="s">
        <v>1059</v>
      </c>
      <c r="C954" s="99" t="s">
        <v>149</v>
      </c>
      <c r="D954" s="115">
        <v>11</v>
      </c>
      <c r="E954" s="99" t="s">
        <v>965</v>
      </c>
      <c r="F954" s="100">
        <v>0.03</v>
      </c>
      <c r="G954" s="101">
        <f>IF(OR(B954="FIXO",B954="XFIXO"),IF(F954="","ERRO",10*F954)*'[1]BD Campos'!$S$2,IF(F954="","ERRO",10*F954)*'[1]BD Campos'!$S$3)</f>
        <v>0.3</v>
      </c>
      <c r="H954" s="102">
        <v>0.05</v>
      </c>
      <c r="I954" s="103">
        <f t="shared" si="56"/>
        <v>-1.4999999999999999E-2</v>
      </c>
    </row>
    <row r="955" spans="1:9">
      <c r="A955" s="99" t="str">
        <f t="shared" si="55"/>
        <v>ATIVAÇÃO DE AECliente12</v>
      </c>
      <c r="B955" s="99" t="s">
        <v>1059</v>
      </c>
      <c r="C955" s="99" t="s">
        <v>149</v>
      </c>
      <c r="D955" s="115">
        <v>12</v>
      </c>
      <c r="E955" s="99" t="s">
        <v>966</v>
      </c>
      <c r="F955" s="100">
        <v>1.4999999999999999E-2</v>
      </c>
      <c r="G955" s="101">
        <f>IF(OR(B955="FIXO",B955="XFIXO"),IF(F955="","ERRO",10*F955)*'[1]BD Campos'!$S$2,IF(F955="","ERRO",10*F955)*'[1]BD Campos'!$S$3)</f>
        <v>0.15</v>
      </c>
      <c r="H955" s="102">
        <v>0.05</v>
      </c>
      <c r="I955" s="103">
        <f t="shared" si="56"/>
        <v>-7.4999999999999997E-3</v>
      </c>
    </row>
    <row r="956" spans="1:9">
      <c r="A956" s="99" t="str">
        <f t="shared" si="55"/>
        <v>ATIVAÇÃO DE AECliente13</v>
      </c>
      <c r="B956" s="99" t="s">
        <v>1059</v>
      </c>
      <c r="C956" s="99" t="s">
        <v>149</v>
      </c>
      <c r="D956" s="115">
        <v>13</v>
      </c>
      <c r="E956" s="99" t="s">
        <v>968</v>
      </c>
      <c r="F956" s="100">
        <v>0.02</v>
      </c>
      <c r="G956" s="101">
        <f>IF(OR(B956="FIXO",B956="XFIXO"),IF(F956="","ERRO",10*F956)*'[1]BD Campos'!$S$2,IF(F956="","ERRO",10*F956)*'[1]BD Campos'!$S$3)</f>
        <v>0.2</v>
      </c>
      <c r="H956" s="102">
        <v>0.05</v>
      </c>
      <c r="I956" s="103">
        <f t="shared" si="56"/>
        <v>-1.0000000000000002E-2</v>
      </c>
    </row>
    <row r="957" spans="1:9">
      <c r="A957" s="99" t="str">
        <f t="shared" si="55"/>
        <v>ATIVAÇÃO DE AECliente14</v>
      </c>
      <c r="B957" s="99" t="s">
        <v>1059</v>
      </c>
      <c r="C957" s="99" t="s">
        <v>149</v>
      </c>
      <c r="D957" s="115">
        <v>14</v>
      </c>
      <c r="E957" s="99" t="s">
        <v>1012</v>
      </c>
      <c r="F957" s="100">
        <v>0.03</v>
      </c>
      <c r="G957" s="101">
        <f>IF(OR(B957="FIXO",B957="XFIXO"),IF(F957="","ERRO",10*F957)*'[1]BD Campos'!$S$2,IF(F957="","ERRO",10*F957)*'[1]BD Campos'!$S$3)</f>
        <v>0.3</v>
      </c>
      <c r="H957" s="102">
        <v>0.05</v>
      </c>
      <c r="I957" s="103">
        <f t="shared" si="56"/>
        <v>-1.4999999999999999E-2</v>
      </c>
    </row>
    <row r="958" spans="1:9">
      <c r="A958" s="104" t="str">
        <f t="shared" si="55"/>
        <v>ATIVAÇÃO DE AECliente15</v>
      </c>
      <c r="B958" s="104" t="s">
        <v>1059</v>
      </c>
      <c r="C958" s="104" t="s">
        <v>149</v>
      </c>
      <c r="D958" s="116">
        <v>15</v>
      </c>
      <c r="E958" s="104" t="s">
        <v>969</v>
      </c>
      <c r="F958" s="105">
        <v>0.01</v>
      </c>
      <c r="G958" s="106">
        <f>IF(OR(B958="FIXO",B958="XFIXO"),IF(F958="","ERRO",10*F958)*'[1]BD Campos'!$S$2,IF(F958="","ERRO",10*F958)*'[1]BD Campos'!$S$3)</f>
        <v>0.1</v>
      </c>
      <c r="H958" s="107">
        <v>0.05</v>
      </c>
      <c r="I958" s="108">
        <f t="shared" si="56"/>
        <v>-5.000000000000001E-3</v>
      </c>
    </row>
    <row r="959" spans="1:9">
      <c r="A959" s="99" t="str">
        <f t="shared" si="55"/>
        <v>ATIVAÇÃO DE AECliente 21</v>
      </c>
      <c r="B959" s="99" t="s">
        <v>1059</v>
      </c>
      <c r="C959" s="99" t="s">
        <v>322</v>
      </c>
      <c r="D959" s="115">
        <v>1</v>
      </c>
      <c r="E959" s="99" t="s">
        <v>954</v>
      </c>
      <c r="F959" s="100">
        <v>0.01</v>
      </c>
      <c r="G959" s="101">
        <f>IF(OR(B959="FIXO",B959="XFIXO"),IF(F959="","ERRO",10*F959)*'[1]BD Campos'!$S$2,IF(F959="","ERRO",10*F959)*'[1]BD Campos'!$S$3)</f>
        <v>0.1</v>
      </c>
      <c r="H959" s="102">
        <v>0.05</v>
      </c>
      <c r="I959" s="103">
        <f t="shared" si="56"/>
        <v>-5.000000000000001E-3</v>
      </c>
    </row>
    <row r="960" spans="1:9">
      <c r="A960" s="99" t="str">
        <f t="shared" si="55"/>
        <v>ATIVAÇÃO DE AECliente 22</v>
      </c>
      <c r="B960" s="99" t="s">
        <v>1059</v>
      </c>
      <c r="C960" s="99" t="s">
        <v>322</v>
      </c>
      <c r="D960" s="115">
        <v>2</v>
      </c>
      <c r="E960" s="99" t="s">
        <v>955</v>
      </c>
      <c r="F960" s="100">
        <v>0.01</v>
      </c>
      <c r="G960" s="101">
        <f>IF(OR(B960="FIXO",B960="XFIXO"),IF(F960="","ERRO",10*F960)*'[1]BD Campos'!$S$2,IF(F960="","ERRO",10*F960)*'[1]BD Campos'!$S$3)</f>
        <v>0.1</v>
      </c>
      <c r="H960" s="102">
        <v>0.05</v>
      </c>
      <c r="I960" s="103">
        <f t="shared" si="56"/>
        <v>-5.000000000000001E-3</v>
      </c>
    </row>
    <row r="961" spans="1:9">
      <c r="A961" s="99" t="str">
        <f t="shared" si="55"/>
        <v>ATIVAÇÃO DE AECliente 23</v>
      </c>
      <c r="B961" s="99" t="s">
        <v>1059</v>
      </c>
      <c r="C961" s="99" t="s">
        <v>322</v>
      </c>
      <c r="D961" s="115">
        <v>3</v>
      </c>
      <c r="E961" s="99" t="s">
        <v>956</v>
      </c>
      <c r="F961" s="100">
        <v>0.01</v>
      </c>
      <c r="G961" s="101">
        <f>IF(OR(B961="FIXO",B961="XFIXO"),IF(F961="","ERRO",10*F961)*'[1]BD Campos'!$S$2,IF(F961="","ERRO",10*F961)*'[1]BD Campos'!$S$3)</f>
        <v>0.1</v>
      </c>
      <c r="H961" s="102">
        <v>0.05</v>
      </c>
      <c r="I961" s="103">
        <f t="shared" si="56"/>
        <v>-5.000000000000001E-3</v>
      </c>
    </row>
    <row r="962" spans="1:9">
      <c r="A962" s="99" t="str">
        <f t="shared" si="55"/>
        <v>ATIVAÇÃO DE AECliente 24</v>
      </c>
      <c r="B962" s="99" t="s">
        <v>1059</v>
      </c>
      <c r="C962" s="99" t="s">
        <v>322</v>
      </c>
      <c r="D962" s="115">
        <v>4</v>
      </c>
      <c r="E962" s="99" t="s">
        <v>982</v>
      </c>
      <c r="F962" s="100">
        <v>0.04</v>
      </c>
      <c r="G962" s="101">
        <f>IF(OR(B962="FIXO",B962="XFIXO"),IF(F962="","ERRO",10*F962)*'[1]BD Campos'!$S$2,IF(F962="","ERRO",10*F962)*'[1]BD Campos'!$S$3)</f>
        <v>0.4</v>
      </c>
      <c r="H962" s="102">
        <v>0.05</v>
      </c>
      <c r="I962" s="103">
        <f t="shared" si="56"/>
        <v>-2.0000000000000004E-2</v>
      </c>
    </row>
    <row r="963" spans="1:9">
      <c r="A963" s="99" t="str">
        <f t="shared" si="55"/>
        <v>ATIVAÇÃO DE AECliente 25</v>
      </c>
      <c r="B963" s="99" t="s">
        <v>1059</v>
      </c>
      <c r="C963" s="99" t="s">
        <v>322</v>
      </c>
      <c r="D963" s="115">
        <v>5</v>
      </c>
      <c r="E963" s="99" t="s">
        <v>1026</v>
      </c>
      <c r="F963" s="100">
        <v>0.19500000000000001</v>
      </c>
      <c r="G963" s="101">
        <f>IF(OR(B963="FIXO",B963="XFIXO"),IF(F963="","ERRO",10*F963)*'[1]BD Campos'!$S$2,IF(F963="","ERRO",10*F963)*'[1]BD Campos'!$S$3)</f>
        <v>1.9500000000000002</v>
      </c>
      <c r="H963" s="102">
        <v>0.05</v>
      </c>
      <c r="I963" s="103">
        <f t="shared" si="56"/>
        <v>-9.7500000000000017E-2</v>
      </c>
    </row>
    <row r="964" spans="1:9">
      <c r="A964" s="99" t="str">
        <f t="shared" si="55"/>
        <v>ATIVAÇÃO DE AECliente 26</v>
      </c>
      <c r="B964" s="99" t="s">
        <v>1059</v>
      </c>
      <c r="C964" s="99" t="s">
        <v>322</v>
      </c>
      <c r="D964" s="115">
        <v>6</v>
      </c>
      <c r="E964" s="99" t="s">
        <v>1060</v>
      </c>
      <c r="F964" s="100">
        <v>0.2</v>
      </c>
      <c r="G964" s="101">
        <f>IF(OR(B964="FIXO",B964="XFIXO"),IF(F964="","ERRO",10*F964)*'[1]BD Campos'!$S$2,IF(F964="","ERRO",10*F964)*'[1]BD Campos'!$S$3)</f>
        <v>2</v>
      </c>
      <c r="H964" s="102">
        <v>0.05</v>
      </c>
      <c r="I964" s="103">
        <f t="shared" si="56"/>
        <v>-0.1</v>
      </c>
    </row>
    <row r="965" spans="1:9">
      <c r="A965" s="99" t="str">
        <f t="shared" si="55"/>
        <v>ATIVAÇÃO DE AECliente 27</v>
      </c>
      <c r="B965" s="99" t="s">
        <v>1059</v>
      </c>
      <c r="C965" s="99" t="s">
        <v>322</v>
      </c>
      <c r="D965" s="115">
        <v>7</v>
      </c>
      <c r="E965" s="99" t="s">
        <v>1061</v>
      </c>
      <c r="F965" s="100">
        <v>0.1</v>
      </c>
      <c r="G965" s="101">
        <f>IF(OR(B965="FIXO",B965="XFIXO"),IF(F965="","ERRO",10*F965)*'[1]BD Campos'!$S$2,IF(F965="","ERRO",10*F965)*'[1]BD Campos'!$S$3)</f>
        <v>1</v>
      </c>
      <c r="H965" s="102">
        <v>0.05</v>
      </c>
      <c r="I965" s="103">
        <f t="shared" si="56"/>
        <v>-0.05</v>
      </c>
    </row>
    <row r="966" spans="1:9">
      <c r="A966" s="99" t="str">
        <f t="shared" si="55"/>
        <v>ATIVAÇÃO DE AECliente 28</v>
      </c>
      <c r="B966" s="99" t="s">
        <v>1059</v>
      </c>
      <c r="C966" s="99" t="s">
        <v>322</v>
      </c>
      <c r="D966" s="115">
        <v>8</v>
      </c>
      <c r="E966" s="99" t="s">
        <v>1062</v>
      </c>
      <c r="F966" s="100">
        <v>0.1</v>
      </c>
      <c r="G966" s="101">
        <f>IF(OR(B966="FIXO",B966="XFIXO"),IF(F966="","ERRO",10*F966)*'[1]BD Campos'!$S$2,IF(F966="","ERRO",10*F966)*'[1]BD Campos'!$S$3)</f>
        <v>1</v>
      </c>
      <c r="H966" s="102">
        <v>0.05</v>
      </c>
      <c r="I966" s="103">
        <f t="shared" si="56"/>
        <v>-0.05</v>
      </c>
    </row>
    <row r="967" spans="1:9">
      <c r="A967" s="99" t="str">
        <f t="shared" si="55"/>
        <v>ATIVAÇÃO DE AECliente 29</v>
      </c>
      <c r="B967" s="99" t="s">
        <v>1059</v>
      </c>
      <c r="C967" s="99" t="s">
        <v>322</v>
      </c>
      <c r="D967" s="115">
        <v>9</v>
      </c>
      <c r="E967" s="99" t="s">
        <v>1063</v>
      </c>
      <c r="F967" s="100">
        <v>0.2</v>
      </c>
      <c r="G967" s="101">
        <f>IF(OR(B967="FIXO",B967="XFIXO"),IF(F967="","ERRO",10*F967)*'[1]BD Campos'!$S$2,IF(F967="","ERRO",10*F967)*'[1]BD Campos'!$S$3)</f>
        <v>2</v>
      </c>
      <c r="H967" s="102">
        <v>0.05</v>
      </c>
      <c r="I967" s="103">
        <f t="shared" si="56"/>
        <v>-0.1</v>
      </c>
    </row>
    <row r="968" spans="1:9">
      <c r="A968" s="99" t="str">
        <f t="shared" si="55"/>
        <v>ATIVAÇÃO DE AECliente 210</v>
      </c>
      <c r="B968" s="99" t="s">
        <v>1059</v>
      </c>
      <c r="C968" s="99" t="s">
        <v>322</v>
      </c>
      <c r="D968" s="115">
        <v>10</v>
      </c>
      <c r="E968" s="99" t="s">
        <v>964</v>
      </c>
      <c r="F968" s="100">
        <v>0.03</v>
      </c>
      <c r="G968" s="101">
        <f>IF(OR(B968="FIXO",B968="XFIXO"),IF(F968="","ERRO",10*F968)*'[1]BD Campos'!$S$2,IF(F968="","ERRO",10*F968)*'[1]BD Campos'!$S$3)</f>
        <v>0.3</v>
      </c>
      <c r="H968" s="102">
        <v>0.05</v>
      </c>
      <c r="I968" s="103">
        <f t="shared" si="56"/>
        <v>-1.4999999999999999E-2</v>
      </c>
    </row>
    <row r="969" spans="1:9">
      <c r="A969" s="99" t="str">
        <f t="shared" si="55"/>
        <v>ATIVAÇÃO DE AECliente 211</v>
      </c>
      <c r="B969" s="99" t="s">
        <v>1059</v>
      </c>
      <c r="C969" s="99" t="s">
        <v>322</v>
      </c>
      <c r="D969" s="115">
        <v>11</v>
      </c>
      <c r="E969" s="99" t="s">
        <v>965</v>
      </c>
      <c r="F969" s="100">
        <v>0.03</v>
      </c>
      <c r="G969" s="101">
        <f>IF(OR(B969="FIXO",B969="XFIXO"),IF(F969="","ERRO",10*F969)*'[1]BD Campos'!$S$2,IF(F969="","ERRO",10*F969)*'[1]BD Campos'!$S$3)</f>
        <v>0.3</v>
      </c>
      <c r="H969" s="102">
        <v>0.05</v>
      </c>
      <c r="I969" s="103">
        <f t="shared" si="56"/>
        <v>-1.4999999999999999E-2</v>
      </c>
    </row>
    <row r="970" spans="1:9">
      <c r="A970" s="99" t="str">
        <f t="shared" si="55"/>
        <v>ATIVAÇÃO DE AECliente 212</v>
      </c>
      <c r="B970" s="99" t="s">
        <v>1059</v>
      </c>
      <c r="C970" s="99" t="s">
        <v>322</v>
      </c>
      <c r="D970" s="115">
        <v>12</v>
      </c>
      <c r="E970" s="99" t="s">
        <v>966</v>
      </c>
      <c r="F970" s="100">
        <v>1.4999999999999999E-2</v>
      </c>
      <c r="G970" s="101">
        <f>IF(OR(B970="FIXO",B970="XFIXO"),IF(F970="","ERRO",10*F970)*'[1]BD Campos'!$S$2,IF(F970="","ERRO",10*F970)*'[1]BD Campos'!$S$3)</f>
        <v>0.15</v>
      </c>
      <c r="H970" s="102">
        <v>0.05</v>
      </c>
      <c r="I970" s="103">
        <f t="shared" ref="I970" si="57">H970*G970*-1</f>
        <v>-7.4999999999999997E-3</v>
      </c>
    </row>
    <row r="971" spans="1:9">
      <c r="A971" s="99" t="str">
        <f t="shared" si="55"/>
        <v>ATIVAÇÃO DE AECliente 213</v>
      </c>
      <c r="B971" s="99" t="s">
        <v>1059</v>
      </c>
      <c r="C971" s="99" t="s">
        <v>322</v>
      </c>
      <c r="D971" s="115">
        <v>13</v>
      </c>
      <c r="E971" s="99" t="s">
        <v>968</v>
      </c>
      <c r="F971" s="100">
        <v>0.02</v>
      </c>
      <c r="G971" s="101">
        <f>IF(OR(B971="FIXO",B971="XFIXO"),IF(F971="","ERRO",10*F971)*'[1]BD Campos'!$S$2,IF(F971="","ERRO",10*F971)*'[1]BD Campos'!$S$3)</f>
        <v>0.2</v>
      </c>
      <c r="H971" s="102">
        <v>0.05</v>
      </c>
      <c r="I971" s="103">
        <f t="shared" si="56"/>
        <v>-1.0000000000000002E-2</v>
      </c>
    </row>
    <row r="972" spans="1:9">
      <c r="A972" s="99" t="str">
        <f t="shared" si="55"/>
        <v>ATIVAÇÃO DE AECliente 214</v>
      </c>
      <c r="B972" s="99" t="s">
        <v>1059</v>
      </c>
      <c r="C972" s="99" t="s">
        <v>322</v>
      </c>
      <c r="D972" s="115">
        <v>14</v>
      </c>
      <c r="E972" s="99" t="s">
        <v>1012</v>
      </c>
      <c r="F972" s="100">
        <v>0.03</v>
      </c>
      <c r="G972" s="101">
        <f>IF(OR(B972="FIXO",B972="XFIXO"),IF(F972="","ERRO",10*F972)*'[1]BD Campos'!$S$2,IF(F972="","ERRO",10*F972)*'[1]BD Campos'!$S$3)</f>
        <v>0.3</v>
      </c>
      <c r="H972" s="102">
        <v>0.05</v>
      </c>
      <c r="I972" s="103">
        <f t="shared" si="56"/>
        <v>-1.4999999999999999E-2</v>
      </c>
    </row>
    <row r="973" spans="1:9">
      <c r="A973" s="104" t="str">
        <f t="shared" si="55"/>
        <v>ATIVAÇÃO DE AECliente 215</v>
      </c>
      <c r="B973" s="104" t="s">
        <v>1059</v>
      </c>
      <c r="C973" s="104" t="s">
        <v>322</v>
      </c>
      <c r="D973" s="116">
        <v>15</v>
      </c>
      <c r="E973" s="104" t="s">
        <v>969</v>
      </c>
      <c r="F973" s="105">
        <v>0.01</v>
      </c>
      <c r="G973" s="106">
        <f>IF(OR(B973="FIXO",B973="XFIXO"),IF(F973="","ERRO",10*F973)*'[1]BD Campos'!$S$2,IF(F973="","ERRO",10*F973)*'[1]BD Campos'!$S$3)</f>
        <v>0.1</v>
      </c>
      <c r="H973" s="107">
        <v>0.05</v>
      </c>
      <c r="I973" s="108">
        <f t="shared" si="56"/>
        <v>-5.000000000000001E-3</v>
      </c>
    </row>
    <row r="974" spans="1:9">
      <c r="A974" s="99" t="str">
        <f>B974&amp;C974&amp;D974</f>
        <v>ATRASO DE ENTREGACliente1</v>
      </c>
      <c r="B974" s="99" t="s">
        <v>575</v>
      </c>
      <c r="C974" s="99" t="s">
        <v>149</v>
      </c>
      <c r="D974" s="137">
        <v>1</v>
      </c>
      <c r="E974" s="99" t="s">
        <v>954</v>
      </c>
      <c r="F974" s="138">
        <v>0.01</v>
      </c>
      <c r="G974" s="101">
        <f>IF(OR(B974="FIXO",B974="XFIXO"),IF(F974="","ERRO",10*F974)*'[1]BD Campos'!$S$2,IF(F974="","ERRO",10*F974)*'[1]BD Campos'!$S$3)</f>
        <v>0.1</v>
      </c>
      <c r="H974" s="102">
        <v>0.05</v>
      </c>
      <c r="I974" s="103">
        <f>H974*G974*-1</f>
        <v>-5.000000000000001E-3</v>
      </c>
    </row>
    <row r="975" spans="1:9">
      <c r="A975" s="99" t="str">
        <f t="shared" ref="A975:A1003" si="58">B975&amp;C975&amp;D975</f>
        <v>ATRASO DE ENTREGACliente2</v>
      </c>
      <c r="B975" s="99" t="s">
        <v>575</v>
      </c>
      <c r="C975" s="99" t="s">
        <v>149</v>
      </c>
      <c r="D975" s="137">
        <v>2</v>
      </c>
      <c r="E975" s="137" t="s">
        <v>955</v>
      </c>
      <c r="F975" s="138">
        <v>0.01</v>
      </c>
      <c r="G975" s="101">
        <f>IF(OR(B975="FIXO",B975="XFIXO"),IF(F975="","ERRO",10*F975)*'[1]BD Campos'!$S$2,IF(F975="","ERRO",10*F975)*'[1]BD Campos'!$S$3)</f>
        <v>0.1</v>
      </c>
      <c r="H975" s="102">
        <v>0.05</v>
      </c>
      <c r="I975" s="103">
        <f t="shared" ref="I975:I1003" si="59">H975*G975*-1</f>
        <v>-5.000000000000001E-3</v>
      </c>
    </row>
    <row r="976" spans="1:9">
      <c r="A976" s="99" t="str">
        <f t="shared" si="58"/>
        <v>ATRASO DE ENTREGACliente3</v>
      </c>
      <c r="B976" s="99" t="s">
        <v>575</v>
      </c>
      <c r="C976" s="99" t="s">
        <v>149</v>
      </c>
      <c r="D976" s="137">
        <v>3</v>
      </c>
      <c r="E976" s="137" t="s">
        <v>956</v>
      </c>
      <c r="F976" s="138">
        <v>0.01</v>
      </c>
      <c r="G976" s="101">
        <f>IF(OR(B976="FIXO",B976="XFIXO"),IF(F976="","ERRO",10*F976)*'[1]BD Campos'!$S$2,IF(F976="","ERRO",10*F976)*'[1]BD Campos'!$S$3)</f>
        <v>0.1</v>
      </c>
      <c r="H976" s="102">
        <v>0.05</v>
      </c>
      <c r="I976" s="103">
        <f t="shared" si="59"/>
        <v>-5.000000000000001E-3</v>
      </c>
    </row>
    <row r="977" spans="1:9">
      <c r="A977" s="99" t="str">
        <f t="shared" si="58"/>
        <v>ATRASO DE ENTREGACliente4</v>
      </c>
      <c r="B977" s="99" t="s">
        <v>575</v>
      </c>
      <c r="C977" s="99" t="s">
        <v>149</v>
      </c>
      <c r="D977" s="137">
        <v>4</v>
      </c>
      <c r="E977" s="137" t="s">
        <v>982</v>
      </c>
      <c r="F977" s="138">
        <v>0.04</v>
      </c>
      <c r="G977" s="101">
        <f>IF(OR(B977="FIXO",B977="XFIXO"),IF(F977="","ERRO",10*F977)*'[1]BD Campos'!$S$2,IF(F977="","ERRO",10*F977)*'[1]BD Campos'!$S$3)</f>
        <v>0.4</v>
      </c>
      <c r="H977" s="102">
        <v>0.05</v>
      </c>
      <c r="I977" s="103">
        <f t="shared" si="59"/>
        <v>-2.0000000000000004E-2</v>
      </c>
    </row>
    <row r="978" spans="1:9">
      <c r="A978" s="99" t="str">
        <f t="shared" si="58"/>
        <v>ATRASO DE ENTREGACliente5</v>
      </c>
      <c r="B978" s="99" t="s">
        <v>575</v>
      </c>
      <c r="C978" s="99" t="s">
        <v>149</v>
      </c>
      <c r="D978" s="137">
        <v>5</v>
      </c>
      <c r="E978" s="137" t="s">
        <v>1026</v>
      </c>
      <c r="F978" s="138">
        <v>0.12</v>
      </c>
      <c r="G978" s="101">
        <f>IF(OR(B978="FIXO",B978="XFIXO"),IF(F978="","ERRO",10*F978)*'[1]BD Campos'!$S$2,IF(F978="","ERRO",10*F978)*'[1]BD Campos'!$S$3)</f>
        <v>1.2</v>
      </c>
      <c r="H978" s="102">
        <v>0.05</v>
      </c>
      <c r="I978" s="103">
        <f t="shared" si="59"/>
        <v>-0.06</v>
      </c>
    </row>
    <row r="979" spans="1:9">
      <c r="A979" s="99" t="str">
        <f t="shared" si="58"/>
        <v>ATRASO DE ENTREGACliente6</v>
      </c>
      <c r="B979" s="99" t="s">
        <v>575</v>
      </c>
      <c r="C979" s="99" t="s">
        <v>149</v>
      </c>
      <c r="D979" s="137">
        <v>6</v>
      </c>
      <c r="E979" s="137" t="s">
        <v>1064</v>
      </c>
      <c r="F979" s="138">
        <v>0.2</v>
      </c>
      <c r="G979" s="101">
        <f>IF(OR(B979="FIXO",B979="XFIXO"),IF(F979="","ERRO",10*F979)*'[1]BD Campos'!$S$2,IF(F979="","ERRO",10*F979)*'[1]BD Campos'!$S$3)</f>
        <v>2</v>
      </c>
      <c r="H979" s="102">
        <v>0.05</v>
      </c>
      <c r="I979" s="103">
        <f t="shared" si="59"/>
        <v>-0.1</v>
      </c>
    </row>
    <row r="980" spans="1:9">
      <c r="A980" s="99" t="str">
        <f t="shared" si="58"/>
        <v>ATRASO DE ENTREGACliente7</v>
      </c>
      <c r="B980" s="99" t="s">
        <v>575</v>
      </c>
      <c r="C980" s="99" t="s">
        <v>149</v>
      </c>
      <c r="D980" s="137">
        <v>7</v>
      </c>
      <c r="E980" s="137" t="s">
        <v>1054</v>
      </c>
      <c r="F980" s="138">
        <v>0.19500000000000001</v>
      </c>
      <c r="G980" s="101">
        <f>IF(OR(B980="FIXO",B980="XFIXO"),IF(F980="","ERRO",10*F980)*'[1]BD Campos'!$S$2,IF(F980="","ERRO",10*F980)*'[1]BD Campos'!$S$3)</f>
        <v>1.9500000000000002</v>
      </c>
      <c r="H980" s="102">
        <v>0.05</v>
      </c>
      <c r="I980" s="103">
        <f t="shared" si="59"/>
        <v>-9.7500000000000017E-2</v>
      </c>
    </row>
    <row r="981" spans="1:9">
      <c r="A981" s="99" t="str">
        <f t="shared" si="58"/>
        <v>ATRASO DE ENTREGACliente8</v>
      </c>
      <c r="B981" s="99" t="s">
        <v>575</v>
      </c>
      <c r="C981" s="99" t="s">
        <v>149</v>
      </c>
      <c r="D981" s="137">
        <v>8</v>
      </c>
      <c r="E981" s="137" t="s">
        <v>1055</v>
      </c>
      <c r="F981" s="138">
        <v>0.14000000000000001</v>
      </c>
      <c r="G981" s="101">
        <f>IF(OR(B981="FIXO",B981="XFIXO"),IF(F981="","ERRO",10*F981)*'[1]BD Campos'!$S$2,IF(F981="","ERRO",10*F981)*'[1]BD Campos'!$S$3)</f>
        <v>1.4000000000000001</v>
      </c>
      <c r="H981" s="102">
        <v>0.05</v>
      </c>
      <c r="I981" s="103">
        <f t="shared" si="59"/>
        <v>-7.0000000000000007E-2</v>
      </c>
    </row>
    <row r="982" spans="1:9">
      <c r="A982" s="99" t="str">
        <f t="shared" si="58"/>
        <v>ATRASO DE ENTREGACliente9</v>
      </c>
      <c r="B982" s="99" t="s">
        <v>575</v>
      </c>
      <c r="C982" s="99" t="s">
        <v>149</v>
      </c>
      <c r="D982" s="137">
        <v>9</v>
      </c>
      <c r="E982" s="137" t="s">
        <v>1065</v>
      </c>
      <c r="F982" s="138">
        <v>0.14000000000000001</v>
      </c>
      <c r="G982" s="101">
        <f>IF(OR(B982="FIXO",B982="XFIXO"),IF(F982="","ERRO",10*F982)*'[1]BD Campos'!$S$2,IF(F982="","ERRO",10*F982)*'[1]BD Campos'!$S$3)</f>
        <v>1.4000000000000001</v>
      </c>
      <c r="H982" s="102">
        <v>0.05</v>
      </c>
      <c r="I982" s="103">
        <f t="shared" si="59"/>
        <v>-7.0000000000000007E-2</v>
      </c>
    </row>
    <row r="983" spans="1:9">
      <c r="A983" s="99" t="str">
        <f t="shared" si="58"/>
        <v>ATRASO DE ENTREGACliente10</v>
      </c>
      <c r="B983" s="99" t="s">
        <v>575</v>
      </c>
      <c r="C983" s="99" t="s">
        <v>149</v>
      </c>
      <c r="D983" s="137">
        <v>10</v>
      </c>
      <c r="E983" s="137" t="s">
        <v>964</v>
      </c>
      <c r="F983" s="138">
        <v>0.03</v>
      </c>
      <c r="G983" s="101">
        <f>IF(OR(B983="FIXO",B983="XFIXO"),IF(F983="","ERRO",10*F983)*'[1]BD Campos'!$S$2,IF(F983="","ERRO",10*F983)*'[1]BD Campos'!$S$3)</f>
        <v>0.3</v>
      </c>
      <c r="H983" s="102">
        <v>0.05</v>
      </c>
      <c r="I983" s="103">
        <f t="shared" si="59"/>
        <v>-1.4999999999999999E-2</v>
      </c>
    </row>
    <row r="984" spans="1:9">
      <c r="A984" s="99" t="str">
        <f t="shared" si="58"/>
        <v>ATRASO DE ENTREGACliente11</v>
      </c>
      <c r="B984" s="99" t="s">
        <v>575</v>
      </c>
      <c r="C984" s="99" t="s">
        <v>149</v>
      </c>
      <c r="D984" s="137">
        <v>11</v>
      </c>
      <c r="E984" s="137" t="s">
        <v>965</v>
      </c>
      <c r="F984" s="138">
        <v>0.03</v>
      </c>
      <c r="G984" s="101">
        <f>IF(OR(B984="FIXO",B984="XFIXO"),IF(F984="","ERRO",10*F984)*'[1]BD Campos'!$S$2,IF(F984="","ERRO",10*F984)*'[1]BD Campos'!$S$3)</f>
        <v>0.3</v>
      </c>
      <c r="H984" s="102">
        <v>0.05</v>
      </c>
      <c r="I984" s="103">
        <f t="shared" si="59"/>
        <v>-1.4999999999999999E-2</v>
      </c>
    </row>
    <row r="985" spans="1:9">
      <c r="A985" s="99" t="str">
        <f t="shared" si="58"/>
        <v>ATRASO DE ENTREGACliente12</v>
      </c>
      <c r="B985" s="99" t="s">
        <v>575</v>
      </c>
      <c r="C985" s="99" t="s">
        <v>149</v>
      </c>
      <c r="D985" s="137">
        <v>12</v>
      </c>
      <c r="E985" s="137" t="s">
        <v>966</v>
      </c>
      <c r="F985" s="138">
        <v>1.4999999999999999E-2</v>
      </c>
      <c r="G985" s="101">
        <f>IF(OR(B985="FIXO",B985="XFIXO"),IF(F985="","ERRO",10*F985)*'[1]BD Campos'!$S$2,IF(F985="","ERRO",10*F985)*'[1]BD Campos'!$S$3)</f>
        <v>0.15</v>
      </c>
      <c r="H985" s="102">
        <v>0.05</v>
      </c>
      <c r="I985" s="103">
        <f t="shared" si="59"/>
        <v>-7.4999999999999997E-3</v>
      </c>
    </row>
    <row r="986" spans="1:9">
      <c r="A986" s="99" t="str">
        <f t="shared" si="58"/>
        <v>ATRASO DE ENTREGACliente13</v>
      </c>
      <c r="B986" s="99" t="s">
        <v>575</v>
      </c>
      <c r="C986" s="99" t="s">
        <v>149</v>
      </c>
      <c r="D986" s="137">
        <v>13</v>
      </c>
      <c r="E986" s="137" t="s">
        <v>968</v>
      </c>
      <c r="F986" s="138">
        <v>0.02</v>
      </c>
      <c r="G986" s="101">
        <f>IF(OR(B986="FIXO",B986="XFIXO"),IF(F986="","ERRO",10*F986)*'[1]BD Campos'!$S$2,IF(F986="","ERRO",10*F986)*'[1]BD Campos'!$S$3)</f>
        <v>0.2</v>
      </c>
      <c r="H986" s="102">
        <v>0.05</v>
      </c>
      <c r="I986" s="103">
        <f t="shared" si="59"/>
        <v>-1.0000000000000002E-2</v>
      </c>
    </row>
    <row r="987" spans="1:9">
      <c r="A987" s="99" t="str">
        <f t="shared" si="58"/>
        <v>ATRASO DE ENTREGACliente14</v>
      </c>
      <c r="B987" s="99" t="s">
        <v>575</v>
      </c>
      <c r="C987" s="99" t="s">
        <v>149</v>
      </c>
      <c r="D987" s="137">
        <v>14</v>
      </c>
      <c r="E987" s="137" t="s">
        <v>1012</v>
      </c>
      <c r="F987" s="138">
        <v>0.03</v>
      </c>
      <c r="G987" s="101">
        <f>IF(OR(B987="FIXO",B987="XFIXO"),IF(F987="","ERRO",10*F987)*'[1]BD Campos'!$S$2,IF(F987="","ERRO",10*F987)*'[1]BD Campos'!$S$3)</f>
        <v>0.3</v>
      </c>
      <c r="H987" s="102">
        <v>0.05</v>
      </c>
      <c r="I987" s="103">
        <f t="shared" si="59"/>
        <v>-1.4999999999999999E-2</v>
      </c>
    </row>
    <row r="988" spans="1:9">
      <c r="A988" s="104" t="str">
        <f t="shared" si="58"/>
        <v>ATRASO DE ENTREGACliente15</v>
      </c>
      <c r="B988" s="104" t="s">
        <v>575</v>
      </c>
      <c r="C988" s="104" t="s">
        <v>149</v>
      </c>
      <c r="D988" s="139">
        <v>15</v>
      </c>
      <c r="E988" s="139" t="s">
        <v>969</v>
      </c>
      <c r="F988" s="140">
        <v>0.01</v>
      </c>
      <c r="G988" s="106">
        <f>IF(OR(B988="FIXO",B988="XFIXO"),IF(F988="","ERRO",10*F988)*'[1]BD Campos'!$S$2,IF(F988="","ERRO",10*F988)*'[1]BD Campos'!$S$3)</f>
        <v>0.1</v>
      </c>
      <c r="H988" s="107">
        <v>0.05</v>
      </c>
      <c r="I988" s="108">
        <f t="shared" si="59"/>
        <v>-5.000000000000001E-3</v>
      </c>
    </row>
    <row r="989" spans="1:9" s="22" customFormat="1">
      <c r="A989" s="109" t="str">
        <f t="shared" si="58"/>
        <v>ATRASO DE ENTREGACliente1</v>
      </c>
      <c r="B989" s="109" t="s">
        <v>575</v>
      </c>
      <c r="C989" s="109" t="s">
        <v>149</v>
      </c>
      <c r="D989" s="145">
        <v>1</v>
      </c>
      <c r="E989" s="99" t="s">
        <v>954</v>
      </c>
      <c r="F989" s="146">
        <v>0.01</v>
      </c>
      <c r="G989" s="111">
        <f>IF(OR(B989="FIXO",B989="XFIXO"),IF(F989="","ERRO",10*F989)*'[1]BD Campos'!$S$2,IF(F989="","ERRO",10*F989)*'[1]BD Campos'!$S$3)</f>
        <v>0.1</v>
      </c>
      <c r="H989" s="112">
        <v>0.05</v>
      </c>
      <c r="I989" s="113">
        <f t="shared" si="59"/>
        <v>-5.000000000000001E-3</v>
      </c>
    </row>
    <row r="990" spans="1:9">
      <c r="A990" s="99" t="str">
        <f t="shared" si="58"/>
        <v>ATRASO DE ENTREGACliente 22</v>
      </c>
      <c r="B990" s="99" t="s">
        <v>575</v>
      </c>
      <c r="C990" s="99" t="s">
        <v>322</v>
      </c>
      <c r="D990" s="137">
        <v>2</v>
      </c>
      <c r="E990" s="137" t="s">
        <v>955</v>
      </c>
      <c r="F990" s="138">
        <v>0.01</v>
      </c>
      <c r="G990" s="101">
        <f>IF(OR(B990="FIXO",B990="XFIXO"),IF(F990="","ERRO",10*F990)*'[1]BD Campos'!$S$2,IF(F990="","ERRO",10*F990)*'[1]BD Campos'!$S$3)</f>
        <v>0.1</v>
      </c>
      <c r="H990" s="102">
        <v>0.05</v>
      </c>
      <c r="I990" s="103">
        <f t="shared" si="59"/>
        <v>-5.000000000000001E-3</v>
      </c>
    </row>
    <row r="991" spans="1:9">
      <c r="A991" s="99" t="str">
        <f t="shared" si="58"/>
        <v>ATRASO DE ENTREGACliente 23</v>
      </c>
      <c r="B991" s="99" t="s">
        <v>575</v>
      </c>
      <c r="C991" s="99" t="s">
        <v>322</v>
      </c>
      <c r="D991" s="137">
        <v>3</v>
      </c>
      <c r="E991" s="137" t="s">
        <v>956</v>
      </c>
      <c r="F991" s="138">
        <v>0.01</v>
      </c>
      <c r="G991" s="101">
        <f>IF(OR(B991="FIXO",B991="XFIXO"),IF(F991="","ERRO",10*F991)*'[1]BD Campos'!$S$2,IF(F991="","ERRO",10*F991)*'[1]BD Campos'!$S$3)</f>
        <v>0.1</v>
      </c>
      <c r="H991" s="102">
        <v>0.05</v>
      </c>
      <c r="I991" s="103">
        <f t="shared" si="59"/>
        <v>-5.000000000000001E-3</v>
      </c>
    </row>
    <row r="992" spans="1:9">
      <c r="A992" s="99" t="str">
        <f t="shared" si="58"/>
        <v>ATRASO DE ENTREGACliente 24</v>
      </c>
      <c r="B992" s="99" t="s">
        <v>575</v>
      </c>
      <c r="C992" s="99" t="s">
        <v>322</v>
      </c>
      <c r="D992" s="137">
        <v>4</v>
      </c>
      <c r="E992" s="137" t="s">
        <v>982</v>
      </c>
      <c r="F992" s="138">
        <v>0.04</v>
      </c>
      <c r="G992" s="101">
        <f>IF(OR(B992="FIXO",B992="XFIXO"),IF(F992="","ERRO",10*F992)*'[1]BD Campos'!$S$2,IF(F992="","ERRO",10*F992)*'[1]BD Campos'!$S$3)</f>
        <v>0.4</v>
      </c>
      <c r="H992" s="102">
        <v>0.05</v>
      </c>
      <c r="I992" s="103">
        <f t="shared" si="59"/>
        <v>-2.0000000000000004E-2</v>
      </c>
    </row>
    <row r="993" spans="1:9">
      <c r="A993" s="99" t="str">
        <f t="shared" si="58"/>
        <v>ATRASO DE ENTREGACliente 25</v>
      </c>
      <c r="B993" s="99" t="s">
        <v>575</v>
      </c>
      <c r="C993" s="99" t="s">
        <v>322</v>
      </c>
      <c r="D993" s="137">
        <v>5</v>
      </c>
      <c r="E993" s="137" t="s">
        <v>1026</v>
      </c>
      <c r="F993" s="138">
        <v>0.12</v>
      </c>
      <c r="G993" s="101">
        <f>IF(OR(B993="FIXO",B993="XFIXO"),IF(F993="","ERRO",10*F993)*'[1]BD Campos'!$S$2,IF(F993="","ERRO",10*F993)*'[1]BD Campos'!$S$3)</f>
        <v>1.2</v>
      </c>
      <c r="H993" s="102">
        <v>0.05</v>
      </c>
      <c r="I993" s="103">
        <f t="shared" si="59"/>
        <v>-0.06</v>
      </c>
    </row>
    <row r="994" spans="1:9">
      <c r="A994" s="99" t="str">
        <f t="shared" si="58"/>
        <v>ATRASO DE ENTREGACliente 26</v>
      </c>
      <c r="B994" s="99" t="s">
        <v>575</v>
      </c>
      <c r="C994" s="99" t="s">
        <v>322</v>
      </c>
      <c r="D994" s="137">
        <v>6</v>
      </c>
      <c r="E994" s="137" t="s">
        <v>1064</v>
      </c>
      <c r="F994" s="138">
        <v>0.2</v>
      </c>
      <c r="G994" s="101">
        <f>IF(OR(B994="FIXO",B994="XFIXO"),IF(F994="","ERRO",10*F994)*'[1]BD Campos'!$S$2,IF(F994="","ERRO",10*F994)*'[1]BD Campos'!$S$3)</f>
        <v>2</v>
      </c>
      <c r="H994" s="102">
        <v>0.05</v>
      </c>
      <c r="I994" s="103">
        <f t="shared" si="59"/>
        <v>-0.1</v>
      </c>
    </row>
    <row r="995" spans="1:9">
      <c r="A995" s="99" t="str">
        <f t="shared" si="58"/>
        <v>ATRASO DE ENTREGACliente 27</v>
      </c>
      <c r="B995" s="99" t="s">
        <v>575</v>
      </c>
      <c r="C995" s="99" t="s">
        <v>322</v>
      </c>
      <c r="D995" s="137">
        <v>7</v>
      </c>
      <c r="E995" s="137" t="s">
        <v>1054</v>
      </c>
      <c r="F995" s="138">
        <v>0.19500000000000001</v>
      </c>
      <c r="G995" s="101">
        <f>IF(OR(B995="FIXO",B995="XFIXO"),IF(F995="","ERRO",10*F995)*'[1]BD Campos'!$S$2,IF(F995="","ERRO",10*F995)*'[1]BD Campos'!$S$3)</f>
        <v>1.9500000000000002</v>
      </c>
      <c r="H995" s="102">
        <v>0.05</v>
      </c>
      <c r="I995" s="103">
        <f t="shared" si="59"/>
        <v>-9.7500000000000017E-2</v>
      </c>
    </row>
    <row r="996" spans="1:9">
      <c r="A996" s="99" t="str">
        <f t="shared" si="58"/>
        <v>ATRASO DE ENTREGACliente 28</v>
      </c>
      <c r="B996" s="99" t="s">
        <v>575</v>
      </c>
      <c r="C996" s="99" t="s">
        <v>322</v>
      </c>
      <c r="D996" s="137">
        <v>8</v>
      </c>
      <c r="E996" s="137" t="s">
        <v>1055</v>
      </c>
      <c r="F996" s="138">
        <v>0.14000000000000001</v>
      </c>
      <c r="G996" s="101">
        <f>IF(OR(B996="FIXO",B996="XFIXO"),IF(F996="","ERRO",10*F996)*'[1]BD Campos'!$S$2,IF(F996="","ERRO",10*F996)*'[1]BD Campos'!$S$3)</f>
        <v>1.4000000000000001</v>
      </c>
      <c r="H996" s="102">
        <v>0.05</v>
      </c>
      <c r="I996" s="103">
        <f t="shared" si="59"/>
        <v>-7.0000000000000007E-2</v>
      </c>
    </row>
    <row r="997" spans="1:9">
      <c r="A997" s="99" t="str">
        <f t="shared" si="58"/>
        <v>ATRASO DE ENTREGACliente 29</v>
      </c>
      <c r="B997" s="99" t="s">
        <v>575</v>
      </c>
      <c r="C997" s="99" t="s">
        <v>322</v>
      </c>
      <c r="D997" s="137">
        <v>9</v>
      </c>
      <c r="E997" s="137" t="s">
        <v>1065</v>
      </c>
      <c r="F997" s="138">
        <v>0.14000000000000001</v>
      </c>
      <c r="G997" s="101">
        <f>IF(OR(B997="FIXO",B997="XFIXO"),IF(F997="","ERRO",10*F997)*'[1]BD Campos'!$S$2,IF(F997="","ERRO",10*F997)*'[1]BD Campos'!$S$3)</f>
        <v>1.4000000000000001</v>
      </c>
      <c r="H997" s="102">
        <v>0.05</v>
      </c>
      <c r="I997" s="103">
        <f t="shared" si="59"/>
        <v>-7.0000000000000007E-2</v>
      </c>
    </row>
    <row r="998" spans="1:9">
      <c r="A998" s="99" t="str">
        <f t="shared" si="58"/>
        <v>ATRASO DE ENTREGACliente 210</v>
      </c>
      <c r="B998" s="99" t="s">
        <v>575</v>
      </c>
      <c r="C998" s="99" t="s">
        <v>322</v>
      </c>
      <c r="D998" s="137">
        <v>10</v>
      </c>
      <c r="E998" s="137" t="s">
        <v>964</v>
      </c>
      <c r="F998" s="138">
        <v>0.03</v>
      </c>
      <c r="G998" s="101">
        <f>IF(OR(B998="FIXO",B998="XFIXO"),IF(F998="","ERRO",10*F998)*'[1]BD Campos'!$S$2,IF(F998="","ERRO",10*F998)*'[1]BD Campos'!$S$3)</f>
        <v>0.3</v>
      </c>
      <c r="H998" s="102">
        <v>0.05</v>
      </c>
      <c r="I998" s="103">
        <f t="shared" si="59"/>
        <v>-1.4999999999999999E-2</v>
      </c>
    </row>
    <row r="999" spans="1:9">
      <c r="A999" s="99" t="str">
        <f t="shared" si="58"/>
        <v>ATRASO DE ENTREGACliente 211</v>
      </c>
      <c r="B999" s="99" t="s">
        <v>575</v>
      </c>
      <c r="C999" s="99" t="s">
        <v>322</v>
      </c>
      <c r="D999" s="137">
        <v>11</v>
      </c>
      <c r="E999" s="137" t="s">
        <v>965</v>
      </c>
      <c r="F999" s="138">
        <v>0.03</v>
      </c>
      <c r="G999" s="101">
        <f>IF(OR(B999="FIXO",B999="XFIXO"),IF(F999="","ERRO",10*F999)*'[1]BD Campos'!$S$2,IF(F999="","ERRO",10*F999)*'[1]BD Campos'!$S$3)</f>
        <v>0.3</v>
      </c>
      <c r="H999" s="102">
        <v>0.05</v>
      </c>
      <c r="I999" s="103">
        <f t="shared" si="59"/>
        <v>-1.4999999999999999E-2</v>
      </c>
    </row>
    <row r="1000" spans="1:9">
      <c r="A1000" s="99" t="str">
        <f t="shared" si="58"/>
        <v>ATRASO DE ENTREGACliente 212</v>
      </c>
      <c r="B1000" s="99" t="s">
        <v>575</v>
      </c>
      <c r="C1000" s="99" t="s">
        <v>322</v>
      </c>
      <c r="D1000" s="137">
        <v>12</v>
      </c>
      <c r="E1000" s="137" t="s">
        <v>966</v>
      </c>
      <c r="F1000" s="138">
        <v>1.4999999999999999E-2</v>
      </c>
      <c r="G1000" s="101">
        <f>IF(OR(B1000="FIXO",B1000="XFIXO"),IF(F1000="","ERRO",10*F1000)*'[1]BD Campos'!$S$2,IF(F1000="","ERRO",10*F1000)*'[1]BD Campos'!$S$3)</f>
        <v>0.15</v>
      </c>
      <c r="H1000" s="102">
        <v>0.05</v>
      </c>
      <c r="I1000" s="103">
        <f t="shared" si="59"/>
        <v>-7.4999999999999997E-3</v>
      </c>
    </row>
    <row r="1001" spans="1:9">
      <c r="A1001" s="99" t="str">
        <f t="shared" si="58"/>
        <v>ATRASO DE ENTREGACliente 213</v>
      </c>
      <c r="B1001" s="99" t="s">
        <v>575</v>
      </c>
      <c r="C1001" s="99" t="s">
        <v>322</v>
      </c>
      <c r="D1001" s="137">
        <v>13</v>
      </c>
      <c r="E1001" s="137" t="s">
        <v>968</v>
      </c>
      <c r="F1001" s="138">
        <v>0.02</v>
      </c>
      <c r="G1001" s="101">
        <f>IF(OR(B1001="FIXO",B1001="XFIXO"),IF(F1001="","ERRO",10*F1001)*'[1]BD Campos'!$S$2,IF(F1001="","ERRO",10*F1001)*'[1]BD Campos'!$S$3)</f>
        <v>0.2</v>
      </c>
      <c r="H1001" s="102">
        <v>0.05</v>
      </c>
      <c r="I1001" s="103">
        <f t="shared" si="59"/>
        <v>-1.0000000000000002E-2</v>
      </c>
    </row>
    <row r="1002" spans="1:9">
      <c r="A1002" s="99" t="str">
        <f t="shared" si="58"/>
        <v>ATRASO DE ENTREGACliente 214</v>
      </c>
      <c r="B1002" s="99" t="s">
        <v>575</v>
      </c>
      <c r="C1002" s="99" t="s">
        <v>322</v>
      </c>
      <c r="D1002" s="137">
        <v>14</v>
      </c>
      <c r="E1002" s="137" t="s">
        <v>1012</v>
      </c>
      <c r="F1002" s="138">
        <v>0.03</v>
      </c>
      <c r="G1002" s="101">
        <f>IF(OR(B1002="FIXO",B1002="XFIXO"),IF(F1002="","ERRO",10*F1002)*'[1]BD Campos'!$S$2,IF(F1002="","ERRO",10*F1002)*'[1]BD Campos'!$S$3)</f>
        <v>0.3</v>
      </c>
      <c r="H1002" s="102">
        <v>0.05</v>
      </c>
      <c r="I1002" s="103">
        <f t="shared" si="59"/>
        <v>-1.4999999999999999E-2</v>
      </c>
    </row>
    <row r="1003" spans="1:9">
      <c r="A1003" s="104" t="str">
        <f t="shared" si="58"/>
        <v>ATRASO DE ENTREGACliente 215</v>
      </c>
      <c r="B1003" s="104" t="s">
        <v>575</v>
      </c>
      <c r="C1003" s="104" t="s">
        <v>322</v>
      </c>
      <c r="D1003" s="139">
        <v>15</v>
      </c>
      <c r="E1003" s="139" t="s">
        <v>969</v>
      </c>
      <c r="F1003" s="140">
        <v>0.01</v>
      </c>
      <c r="G1003" s="106">
        <f>IF(OR(B1003="FIXO",B1003="XFIXO"),IF(F1003="","ERRO",10*F1003)*'[1]BD Campos'!$S$2,IF(F1003="","ERRO",10*F1003)*'[1]BD Campos'!$S$3)</f>
        <v>0.1</v>
      </c>
      <c r="H1003" s="107">
        <v>0.05</v>
      </c>
      <c r="I1003" s="108">
        <f t="shared" si="59"/>
        <v>-5.000000000000001E-3</v>
      </c>
    </row>
    <row r="1004" spans="1:9">
      <c r="A1004" s="99" t="str">
        <f>B1004&amp;C1004&amp;D1004</f>
        <v>MONITORAMENTO IReceptiva1</v>
      </c>
      <c r="B1004" s="99" t="s">
        <v>790</v>
      </c>
      <c r="C1004" s="99" t="s">
        <v>81</v>
      </c>
      <c r="D1004" s="115">
        <v>1</v>
      </c>
      <c r="E1004" s="99" t="s">
        <v>954</v>
      </c>
      <c r="F1004" s="100">
        <v>0.01</v>
      </c>
      <c r="G1004" s="101">
        <f>IF(OR(B1004="FIXO",B1004="XFIXO"),IF(F1004="","ERRO",10*F1004)*'[1]BD Campos'!$S$2,IF(F1004="","ERRO",10*F1004)*'[1]BD Campos'!$S$3)</f>
        <v>0.1</v>
      </c>
      <c r="H1004" s="102">
        <v>0.05</v>
      </c>
      <c r="I1004" s="103">
        <f>H1004*G1004*-1</f>
        <v>-5.000000000000001E-3</v>
      </c>
    </row>
    <row r="1005" spans="1:9">
      <c r="A1005" s="99" t="str">
        <f t="shared" ref="A1005:A1037" si="60">B1005&amp;C1005&amp;D1005</f>
        <v>MONITORAMENTO IReceptiva2</v>
      </c>
      <c r="B1005" s="99" t="s">
        <v>790</v>
      </c>
      <c r="C1005" s="99" t="s">
        <v>81</v>
      </c>
      <c r="D1005" s="115">
        <v>2</v>
      </c>
      <c r="E1005" s="99" t="s">
        <v>955</v>
      </c>
      <c r="F1005" s="100">
        <v>0.01</v>
      </c>
      <c r="G1005" s="101">
        <f>IF(OR(B1005="FIXO",B1005="XFIXO"),IF(F1005="","ERRO",10*F1005)*'[1]BD Campos'!$S$2,IF(F1005="","ERRO",10*F1005)*'[1]BD Campos'!$S$3)</f>
        <v>0.1</v>
      </c>
      <c r="H1005" s="102">
        <v>0.05</v>
      </c>
      <c r="I1005" s="103">
        <f t="shared" ref="I1005:I1037" si="61">H1005*G1005*-1</f>
        <v>-5.000000000000001E-3</v>
      </c>
    </row>
    <row r="1006" spans="1:9">
      <c r="A1006" s="99" t="str">
        <f t="shared" si="60"/>
        <v>MONITORAMENTO IReceptiva3</v>
      </c>
      <c r="B1006" s="99" t="s">
        <v>790</v>
      </c>
      <c r="C1006" s="99" t="s">
        <v>81</v>
      </c>
      <c r="D1006" s="115">
        <v>3</v>
      </c>
      <c r="E1006" s="99" t="s">
        <v>956</v>
      </c>
      <c r="F1006" s="100">
        <v>0.01</v>
      </c>
      <c r="G1006" s="101">
        <f>IF(OR(B1006="FIXO",B1006="XFIXO"),IF(F1006="","ERRO",10*F1006)*'[1]BD Campos'!$S$2,IF(F1006="","ERRO",10*F1006)*'[1]BD Campos'!$S$3)</f>
        <v>0.1</v>
      </c>
      <c r="H1006" s="102">
        <v>0.05</v>
      </c>
      <c r="I1006" s="103">
        <f t="shared" si="61"/>
        <v>-5.000000000000001E-3</v>
      </c>
    </row>
    <row r="1007" spans="1:9">
      <c r="A1007" s="99" t="str">
        <f t="shared" si="60"/>
        <v>MONITORAMENTO IReceptiva4</v>
      </c>
      <c r="B1007" s="99" t="s">
        <v>790</v>
      </c>
      <c r="C1007" s="99" t="s">
        <v>81</v>
      </c>
      <c r="D1007" s="115">
        <v>4</v>
      </c>
      <c r="E1007" s="99" t="s">
        <v>982</v>
      </c>
      <c r="F1007" s="100">
        <v>0.04</v>
      </c>
      <c r="G1007" s="101">
        <f>IF(OR(B1007="FIXO",B1007="XFIXO"),IF(F1007="","ERRO",10*F1007)*'[1]BD Campos'!$S$2,IF(F1007="","ERRO",10*F1007)*'[1]BD Campos'!$S$3)</f>
        <v>0.4</v>
      </c>
      <c r="H1007" s="102">
        <v>0.05</v>
      </c>
      <c r="I1007" s="103">
        <f t="shared" si="61"/>
        <v>-2.0000000000000004E-2</v>
      </c>
    </row>
    <row r="1008" spans="1:9">
      <c r="A1008" s="99" t="str">
        <f t="shared" si="60"/>
        <v>MONITORAMENTO IReceptiva5</v>
      </c>
      <c r="B1008" s="99" t="s">
        <v>790</v>
      </c>
      <c r="C1008" s="99" t="s">
        <v>81</v>
      </c>
      <c r="D1008" s="115">
        <v>5</v>
      </c>
      <c r="E1008" s="99" t="s">
        <v>1066</v>
      </c>
      <c r="F1008" s="100">
        <v>0.05</v>
      </c>
      <c r="G1008" s="101">
        <f>IF(OR(B1008="FIXO",B1008="XFIXO"),IF(F1008="","ERRO",10*F1008)*'[1]BD Campos'!$S$2,IF(F1008="","ERRO",10*F1008)*'[1]BD Campos'!$S$3)</f>
        <v>0.5</v>
      </c>
      <c r="H1008" s="102">
        <v>0.05</v>
      </c>
      <c r="I1008" s="103">
        <f t="shared" si="61"/>
        <v>-2.5000000000000001E-2</v>
      </c>
    </row>
    <row r="1009" spans="1:9">
      <c r="A1009" s="99" t="str">
        <f t="shared" si="60"/>
        <v>MONITORAMENTO IReceptiva6</v>
      </c>
      <c r="B1009" s="99" t="s">
        <v>790</v>
      </c>
      <c r="C1009" s="99" t="s">
        <v>81</v>
      </c>
      <c r="D1009" s="115">
        <v>6</v>
      </c>
      <c r="E1009" s="99" t="s">
        <v>1067</v>
      </c>
      <c r="F1009" s="100">
        <v>0.1</v>
      </c>
      <c r="G1009" s="101">
        <f>IF(OR(B1009="FIXO",B1009="XFIXO"),IF(F1009="","ERRO",10*F1009)*'[1]BD Campos'!$S$2,IF(F1009="","ERRO",10*F1009)*'[1]BD Campos'!$S$3)</f>
        <v>1</v>
      </c>
      <c r="H1009" s="102">
        <v>0.05</v>
      </c>
      <c r="I1009" s="103">
        <f t="shared" si="61"/>
        <v>-0.05</v>
      </c>
    </row>
    <row r="1010" spans="1:9">
      <c r="A1010" s="99" t="str">
        <f t="shared" si="60"/>
        <v>MONITORAMENTO IReceptiva7</v>
      </c>
      <c r="B1010" s="99" t="s">
        <v>790</v>
      </c>
      <c r="C1010" s="99" t="s">
        <v>81</v>
      </c>
      <c r="D1010" s="115">
        <v>7</v>
      </c>
      <c r="E1010" s="99" t="s">
        <v>1068</v>
      </c>
      <c r="F1010" s="100">
        <v>0.1</v>
      </c>
      <c r="G1010" s="101">
        <f>IF(OR(B1010="FIXO",B1010="XFIXO"),IF(F1010="","ERRO",10*F1010)*'[1]BD Campos'!$S$2,IF(F1010="","ERRO",10*F1010)*'[1]BD Campos'!$S$3)</f>
        <v>1</v>
      </c>
      <c r="H1010" s="102">
        <v>0.05</v>
      </c>
      <c r="I1010" s="103">
        <f t="shared" si="61"/>
        <v>-0.05</v>
      </c>
    </row>
    <row r="1011" spans="1:9">
      <c r="A1011" s="99" t="str">
        <f t="shared" si="60"/>
        <v>MONITORAMENTO IReceptiva8</v>
      </c>
      <c r="B1011" s="99" t="s">
        <v>790</v>
      </c>
      <c r="C1011" s="99" t="s">
        <v>81</v>
      </c>
      <c r="D1011" s="115">
        <v>8</v>
      </c>
      <c r="E1011" s="99" t="s">
        <v>1069</v>
      </c>
      <c r="F1011" s="100">
        <v>0.1</v>
      </c>
      <c r="G1011" s="101">
        <f>IF(OR(B1011="FIXO",B1011="XFIXO"),IF(F1011="","ERRO",10*F1011)*'[1]BD Campos'!$S$2,IF(F1011="","ERRO",10*F1011)*'[1]BD Campos'!$S$3)</f>
        <v>1</v>
      </c>
      <c r="H1011" s="102">
        <v>0.05</v>
      </c>
      <c r="I1011" s="103">
        <f t="shared" si="61"/>
        <v>-0.05</v>
      </c>
    </row>
    <row r="1012" spans="1:9">
      <c r="A1012" s="99" t="str">
        <f t="shared" si="60"/>
        <v>MONITORAMENTO IReceptiva9</v>
      </c>
      <c r="B1012" s="99" t="s">
        <v>790</v>
      </c>
      <c r="C1012" s="99" t="s">
        <v>81</v>
      </c>
      <c r="D1012" s="115">
        <v>9</v>
      </c>
      <c r="E1012" s="99" t="s">
        <v>1070</v>
      </c>
      <c r="F1012" s="100">
        <v>0.14499999999999999</v>
      </c>
      <c r="G1012" s="101">
        <f>IF(OR(B1012="FIXO",B1012="XFIXO"),IF(F1012="","ERRO",10*F1012)*'[1]BD Campos'!$S$2,IF(F1012="","ERRO",10*F1012)*'[1]BD Campos'!$S$3)</f>
        <v>1.45</v>
      </c>
      <c r="H1012" s="102">
        <v>0.05</v>
      </c>
      <c r="I1012" s="103">
        <f t="shared" si="61"/>
        <v>-7.2499999999999995E-2</v>
      </c>
    </row>
    <row r="1013" spans="1:9">
      <c r="A1013" s="99" t="str">
        <f t="shared" si="60"/>
        <v>MONITORAMENTO IReceptiva10</v>
      </c>
      <c r="B1013" s="99" t="s">
        <v>790</v>
      </c>
      <c r="C1013" s="99" t="s">
        <v>81</v>
      </c>
      <c r="D1013" s="115">
        <v>10</v>
      </c>
      <c r="E1013" s="99" t="s">
        <v>1071</v>
      </c>
      <c r="F1013" s="100">
        <v>0.1</v>
      </c>
      <c r="G1013" s="101">
        <f>IF(OR(B1013="FIXO",B1013="XFIXO"),IF(F1013="","ERRO",10*F1013)*'[1]BD Campos'!$S$2,IF(F1013="","ERRO",10*F1013)*'[1]BD Campos'!$S$3)</f>
        <v>1</v>
      </c>
      <c r="H1013" s="102">
        <v>0.05</v>
      </c>
      <c r="I1013" s="103">
        <f t="shared" si="61"/>
        <v>-0.05</v>
      </c>
    </row>
    <row r="1014" spans="1:9">
      <c r="A1014" s="99" t="str">
        <f t="shared" si="60"/>
        <v>MONITORAMENTO IReceptiva11</v>
      </c>
      <c r="B1014" s="99" t="s">
        <v>790</v>
      </c>
      <c r="C1014" s="99" t="s">
        <v>81</v>
      </c>
      <c r="D1014" s="115">
        <v>11</v>
      </c>
      <c r="E1014" s="99" t="s">
        <v>1072</v>
      </c>
      <c r="F1014" s="100">
        <v>0.13</v>
      </c>
      <c r="G1014" s="101">
        <f>IF(OR(B1014="FIXO",B1014="XFIXO"),IF(F1014="","ERRO",10*F1014)*'[1]BD Campos'!$S$2,IF(F1014="","ERRO",10*F1014)*'[1]BD Campos'!$S$3)</f>
        <v>1.3</v>
      </c>
      <c r="H1014" s="102">
        <v>0.05</v>
      </c>
      <c r="I1014" s="103">
        <f t="shared" si="61"/>
        <v>-6.5000000000000002E-2</v>
      </c>
    </row>
    <row r="1015" spans="1:9">
      <c r="A1015" s="99" t="str">
        <f t="shared" si="60"/>
        <v>MONITORAMENTO IReceptiva12</v>
      </c>
      <c r="B1015" s="99" t="s">
        <v>790</v>
      </c>
      <c r="C1015" s="99" t="s">
        <v>81</v>
      </c>
      <c r="D1015" s="115">
        <v>12</v>
      </c>
      <c r="E1015" s="99" t="s">
        <v>1073</v>
      </c>
      <c r="F1015" s="100">
        <v>0.1</v>
      </c>
      <c r="G1015" s="101">
        <f>IF(OR(B1015="FIXO",B1015="XFIXO"),IF(F1015="","ERRO",10*F1015)*'[1]BD Campos'!$S$2,IF(F1015="","ERRO",10*F1015)*'[1]BD Campos'!$S$3)</f>
        <v>1</v>
      </c>
      <c r="H1015" s="102">
        <v>0.05</v>
      </c>
      <c r="I1015" s="103">
        <f t="shared" si="61"/>
        <v>-0.05</v>
      </c>
    </row>
    <row r="1016" spans="1:9">
      <c r="A1016" s="99" t="str">
        <f t="shared" si="60"/>
        <v>MONITORAMENTO IReceptiva13</v>
      </c>
      <c r="B1016" s="99" t="s">
        <v>790</v>
      </c>
      <c r="C1016" s="99" t="s">
        <v>81</v>
      </c>
      <c r="D1016" s="115">
        <v>13</v>
      </c>
      <c r="E1016" s="99" t="s">
        <v>964</v>
      </c>
      <c r="F1016" s="100">
        <v>0.03</v>
      </c>
      <c r="G1016" s="101">
        <f>IF(OR(B1016="FIXO",B1016="XFIXO"),IF(F1016="","ERRO",10*F1016)*'[1]BD Campos'!$S$2,IF(F1016="","ERRO",10*F1016)*'[1]BD Campos'!$S$3)</f>
        <v>0.3</v>
      </c>
      <c r="H1016" s="102">
        <v>0.05</v>
      </c>
      <c r="I1016" s="103">
        <f t="shared" si="61"/>
        <v>-1.4999999999999999E-2</v>
      </c>
    </row>
    <row r="1017" spans="1:9">
      <c r="A1017" s="99" t="str">
        <f t="shared" si="60"/>
        <v>MONITORAMENTO IReceptiva14</v>
      </c>
      <c r="B1017" s="99" t="s">
        <v>790</v>
      </c>
      <c r="C1017" s="99" t="s">
        <v>81</v>
      </c>
      <c r="D1017" s="115">
        <v>14</v>
      </c>
      <c r="E1017" s="99" t="s">
        <v>965</v>
      </c>
      <c r="F1017" s="100">
        <v>0.03</v>
      </c>
      <c r="G1017" s="101">
        <f>IF(OR(B1017="FIXO",B1017="XFIXO"),IF(F1017="","ERRO",10*F1017)*'[1]BD Campos'!$S$2,IF(F1017="","ERRO",10*F1017)*'[1]BD Campos'!$S$3)</f>
        <v>0.3</v>
      </c>
      <c r="H1017" s="102">
        <v>0.05</v>
      </c>
      <c r="I1017" s="103">
        <f t="shared" si="61"/>
        <v>-1.4999999999999999E-2</v>
      </c>
    </row>
    <row r="1018" spans="1:9">
      <c r="A1018" s="99" t="str">
        <f t="shared" si="60"/>
        <v>MONITORAMENTO IReceptiva15</v>
      </c>
      <c r="B1018" s="99" t="s">
        <v>790</v>
      </c>
      <c r="C1018" s="99" t="s">
        <v>81</v>
      </c>
      <c r="D1018" s="115">
        <v>15</v>
      </c>
      <c r="E1018" s="99" t="s">
        <v>1018</v>
      </c>
      <c r="F1018" s="100">
        <v>1.4999999999999999E-2</v>
      </c>
      <c r="G1018" s="101">
        <f>IF(OR(B1018="FIXO",B1018="XFIXO"),IF(F1018="","ERRO",10*F1018)*'[1]BD Campos'!$S$2,IF(F1018="","ERRO",10*F1018)*'[1]BD Campos'!$S$3)</f>
        <v>0.15</v>
      </c>
      <c r="H1018" s="102">
        <v>0.05</v>
      </c>
      <c r="I1018" s="103">
        <f t="shared" si="61"/>
        <v>-7.4999999999999997E-3</v>
      </c>
    </row>
    <row r="1019" spans="1:9">
      <c r="A1019" s="99" t="str">
        <f t="shared" si="60"/>
        <v>MONITORAMENTO IReceptiva16</v>
      </c>
      <c r="B1019" s="99" t="s">
        <v>790</v>
      </c>
      <c r="C1019" s="99" t="s">
        <v>81</v>
      </c>
      <c r="D1019" s="115">
        <v>16</v>
      </c>
      <c r="E1019" s="99" t="s">
        <v>968</v>
      </c>
      <c r="F1019" s="100">
        <v>0.02</v>
      </c>
      <c r="G1019" s="101">
        <f>IF(OR(B1019="FIXO",B1019="XFIXO"),IF(F1019="","ERRO",10*F1019)*'[1]BD Campos'!$S$2,IF(F1019="","ERRO",10*F1019)*'[1]BD Campos'!$S$3)</f>
        <v>0.2</v>
      </c>
      <c r="H1019" s="102">
        <v>0.05</v>
      </c>
      <c r="I1019" s="103">
        <f t="shared" si="61"/>
        <v>-1.0000000000000002E-2</v>
      </c>
    </row>
    <row r="1020" spans="1:9">
      <c r="A1020" s="104" t="str">
        <f t="shared" si="60"/>
        <v>MONITORAMENTO IReceptiva17</v>
      </c>
      <c r="B1020" s="104" t="s">
        <v>790</v>
      </c>
      <c r="C1020" s="104" t="s">
        <v>81</v>
      </c>
      <c r="D1020" s="116">
        <v>17</v>
      </c>
      <c r="E1020" s="104" t="s">
        <v>969</v>
      </c>
      <c r="F1020" s="105">
        <v>0.01</v>
      </c>
      <c r="G1020" s="106">
        <f>IF(OR(B1020="FIXO",B1020="XFIXO"),IF(F1020="","ERRO",10*F1020)*'[1]BD Campos'!$S$2,IF(F1020="","ERRO",10*F1020)*'[1]BD Campos'!$S$3)</f>
        <v>0.1</v>
      </c>
      <c r="H1020" s="107">
        <v>0.05</v>
      </c>
      <c r="I1020" s="108">
        <f t="shared" si="61"/>
        <v>-5.000000000000001E-3</v>
      </c>
    </row>
    <row r="1021" spans="1:9">
      <c r="A1021" s="99" t="str">
        <f t="shared" si="60"/>
        <v>MONITORAMENTO IReceptiva 21</v>
      </c>
      <c r="B1021" s="99" t="s">
        <v>790</v>
      </c>
      <c r="C1021" s="99" t="s">
        <v>86</v>
      </c>
      <c r="D1021" s="115">
        <v>1</v>
      </c>
      <c r="E1021" s="99" t="s">
        <v>954</v>
      </c>
      <c r="F1021" s="100">
        <v>0.01</v>
      </c>
      <c r="G1021" s="101">
        <f>IF(OR(B1021="FIXO",B1021="XFIXO"),IF(F1021="","ERRO",10*F1021)*'[1]BD Campos'!$S$2,IF(F1021="","ERRO",10*F1021)*'[1]BD Campos'!$S$3)</f>
        <v>0.1</v>
      </c>
      <c r="H1021" s="102">
        <v>0.05</v>
      </c>
      <c r="I1021" s="103">
        <f t="shared" si="61"/>
        <v>-5.000000000000001E-3</v>
      </c>
    </row>
    <row r="1022" spans="1:9">
      <c r="A1022" s="99" t="str">
        <f t="shared" si="60"/>
        <v>MONITORAMENTO IReceptiva 22</v>
      </c>
      <c r="B1022" s="99" t="s">
        <v>790</v>
      </c>
      <c r="C1022" s="99" t="s">
        <v>86</v>
      </c>
      <c r="D1022" s="115">
        <v>2</v>
      </c>
      <c r="E1022" s="99" t="s">
        <v>955</v>
      </c>
      <c r="F1022" s="100">
        <v>0.01</v>
      </c>
      <c r="G1022" s="101">
        <f>IF(OR(B1022="FIXO",B1022="XFIXO"),IF(F1022="","ERRO",10*F1022)*'[1]BD Campos'!$S$2,IF(F1022="","ERRO",10*F1022)*'[1]BD Campos'!$S$3)</f>
        <v>0.1</v>
      </c>
      <c r="H1022" s="102">
        <v>0.05</v>
      </c>
      <c r="I1022" s="103">
        <f t="shared" si="61"/>
        <v>-5.000000000000001E-3</v>
      </c>
    </row>
    <row r="1023" spans="1:9">
      <c r="A1023" s="99" t="str">
        <f t="shared" si="60"/>
        <v>MONITORAMENTO IReceptiva 23</v>
      </c>
      <c r="B1023" s="99" t="s">
        <v>790</v>
      </c>
      <c r="C1023" s="99" t="s">
        <v>86</v>
      </c>
      <c r="D1023" s="115">
        <v>3</v>
      </c>
      <c r="E1023" s="99" t="s">
        <v>956</v>
      </c>
      <c r="F1023" s="100">
        <v>0.01</v>
      </c>
      <c r="G1023" s="101">
        <f>IF(OR(B1023="FIXO",B1023="XFIXO"),IF(F1023="","ERRO",10*F1023)*'[1]BD Campos'!$S$2,IF(F1023="","ERRO",10*F1023)*'[1]BD Campos'!$S$3)</f>
        <v>0.1</v>
      </c>
      <c r="H1023" s="102">
        <v>0.05</v>
      </c>
      <c r="I1023" s="103">
        <f t="shared" si="61"/>
        <v>-5.000000000000001E-3</v>
      </c>
    </row>
    <row r="1024" spans="1:9">
      <c r="A1024" s="99" t="str">
        <f t="shared" si="60"/>
        <v>MONITORAMENTO IReceptiva 24</v>
      </c>
      <c r="B1024" s="99" t="s">
        <v>790</v>
      </c>
      <c r="C1024" s="99" t="s">
        <v>86</v>
      </c>
      <c r="D1024" s="115">
        <v>4</v>
      </c>
      <c r="E1024" s="99" t="s">
        <v>982</v>
      </c>
      <c r="F1024" s="100">
        <v>0.04</v>
      </c>
      <c r="G1024" s="101">
        <f>IF(OR(B1024="FIXO",B1024="XFIXO"),IF(F1024="","ERRO",10*F1024)*'[1]BD Campos'!$S$2,IF(F1024="","ERRO",10*F1024)*'[1]BD Campos'!$S$3)</f>
        <v>0.4</v>
      </c>
      <c r="H1024" s="102">
        <v>0.05</v>
      </c>
      <c r="I1024" s="103">
        <f t="shared" si="61"/>
        <v>-2.0000000000000004E-2</v>
      </c>
    </row>
    <row r="1025" spans="1:9">
      <c r="A1025" s="99" t="str">
        <f t="shared" si="60"/>
        <v>MONITORAMENTO IReceptiva 25</v>
      </c>
      <c r="B1025" s="99" t="s">
        <v>790</v>
      </c>
      <c r="C1025" s="99" t="s">
        <v>86</v>
      </c>
      <c r="D1025" s="115">
        <v>5</v>
      </c>
      <c r="E1025" s="99" t="s">
        <v>1066</v>
      </c>
      <c r="F1025" s="100">
        <v>0.05</v>
      </c>
      <c r="G1025" s="101">
        <f>IF(OR(B1025="FIXO",B1025="XFIXO"),IF(F1025="","ERRO",10*F1025)*'[1]BD Campos'!$S$2,IF(F1025="","ERRO",10*F1025)*'[1]BD Campos'!$S$3)</f>
        <v>0.5</v>
      </c>
      <c r="H1025" s="102">
        <v>0.05</v>
      </c>
      <c r="I1025" s="103">
        <f t="shared" si="61"/>
        <v>-2.5000000000000001E-2</v>
      </c>
    </row>
    <row r="1026" spans="1:9">
      <c r="A1026" s="99" t="str">
        <f t="shared" si="60"/>
        <v>MONITORAMENTO IReceptiva 26</v>
      </c>
      <c r="B1026" s="99" t="s">
        <v>790</v>
      </c>
      <c r="C1026" s="99" t="s">
        <v>86</v>
      </c>
      <c r="D1026" s="115">
        <v>6</v>
      </c>
      <c r="E1026" s="99" t="s">
        <v>1067</v>
      </c>
      <c r="F1026" s="100">
        <v>0.1</v>
      </c>
      <c r="G1026" s="101">
        <f>IF(OR(B1026="FIXO",B1026="XFIXO"),IF(F1026="","ERRO",10*F1026)*'[1]BD Campos'!$S$2,IF(F1026="","ERRO",10*F1026)*'[1]BD Campos'!$S$3)</f>
        <v>1</v>
      </c>
      <c r="H1026" s="102">
        <v>0.05</v>
      </c>
      <c r="I1026" s="103">
        <f t="shared" si="61"/>
        <v>-0.05</v>
      </c>
    </row>
    <row r="1027" spans="1:9">
      <c r="A1027" s="99" t="str">
        <f t="shared" si="60"/>
        <v>MONITORAMENTO IReceptiva 27</v>
      </c>
      <c r="B1027" s="99" t="s">
        <v>790</v>
      </c>
      <c r="C1027" s="99" t="s">
        <v>86</v>
      </c>
      <c r="D1027" s="115">
        <v>7</v>
      </c>
      <c r="E1027" s="99" t="s">
        <v>1068</v>
      </c>
      <c r="F1027" s="100">
        <v>0.1</v>
      </c>
      <c r="G1027" s="101">
        <f>IF(OR(B1027="FIXO",B1027="XFIXO"),IF(F1027="","ERRO",10*F1027)*'[1]BD Campos'!$S$2,IF(F1027="","ERRO",10*F1027)*'[1]BD Campos'!$S$3)</f>
        <v>1</v>
      </c>
      <c r="H1027" s="102">
        <v>0.05</v>
      </c>
      <c r="I1027" s="103">
        <f t="shared" si="61"/>
        <v>-0.05</v>
      </c>
    </row>
    <row r="1028" spans="1:9">
      <c r="A1028" s="99" t="str">
        <f t="shared" si="60"/>
        <v>MONITORAMENTO IReceptiva 28</v>
      </c>
      <c r="B1028" s="99" t="s">
        <v>790</v>
      </c>
      <c r="C1028" s="99" t="s">
        <v>86</v>
      </c>
      <c r="D1028" s="115">
        <v>8</v>
      </c>
      <c r="E1028" s="99" t="s">
        <v>1069</v>
      </c>
      <c r="F1028" s="100">
        <v>0.1</v>
      </c>
      <c r="G1028" s="101">
        <f>IF(OR(B1028="FIXO",B1028="XFIXO"),IF(F1028="","ERRO",10*F1028)*'[1]BD Campos'!$S$2,IF(F1028="","ERRO",10*F1028)*'[1]BD Campos'!$S$3)</f>
        <v>1</v>
      </c>
      <c r="H1028" s="102">
        <v>0.05</v>
      </c>
      <c r="I1028" s="103">
        <f t="shared" si="61"/>
        <v>-0.05</v>
      </c>
    </row>
    <row r="1029" spans="1:9">
      <c r="A1029" s="99" t="str">
        <f t="shared" si="60"/>
        <v>MONITORAMENTO IReceptiva 29</v>
      </c>
      <c r="B1029" s="99" t="s">
        <v>790</v>
      </c>
      <c r="C1029" s="99" t="s">
        <v>86</v>
      </c>
      <c r="D1029" s="115">
        <v>9</v>
      </c>
      <c r="E1029" s="99" t="s">
        <v>1070</v>
      </c>
      <c r="F1029" s="100">
        <v>0.14499999999999999</v>
      </c>
      <c r="G1029" s="101">
        <f>IF(OR(B1029="FIXO",B1029="XFIXO"),IF(F1029="","ERRO",10*F1029)*'[1]BD Campos'!$S$2,IF(F1029="","ERRO",10*F1029)*'[1]BD Campos'!$S$3)</f>
        <v>1.45</v>
      </c>
      <c r="H1029" s="102">
        <v>0.05</v>
      </c>
      <c r="I1029" s="103">
        <f t="shared" si="61"/>
        <v>-7.2499999999999995E-2</v>
      </c>
    </row>
    <row r="1030" spans="1:9">
      <c r="A1030" s="99" t="str">
        <f t="shared" si="60"/>
        <v>MONITORAMENTO IReceptiva 210</v>
      </c>
      <c r="B1030" s="99" t="s">
        <v>790</v>
      </c>
      <c r="C1030" s="99" t="s">
        <v>86</v>
      </c>
      <c r="D1030" s="115">
        <v>10</v>
      </c>
      <c r="E1030" s="99" t="s">
        <v>1071</v>
      </c>
      <c r="F1030" s="100">
        <v>0.1</v>
      </c>
      <c r="G1030" s="101">
        <f>IF(OR(B1030="FIXO",B1030="XFIXO"),IF(F1030="","ERRO",10*F1030)*'[1]BD Campos'!$S$2,IF(F1030="","ERRO",10*F1030)*'[1]BD Campos'!$S$3)</f>
        <v>1</v>
      </c>
      <c r="H1030" s="102">
        <v>0.05</v>
      </c>
      <c r="I1030" s="103">
        <f t="shared" si="61"/>
        <v>-0.05</v>
      </c>
    </row>
    <row r="1031" spans="1:9">
      <c r="A1031" s="99" t="str">
        <f t="shared" si="60"/>
        <v>MONITORAMENTO IReceptiva 211</v>
      </c>
      <c r="B1031" s="99" t="s">
        <v>790</v>
      </c>
      <c r="C1031" s="99" t="s">
        <v>86</v>
      </c>
      <c r="D1031" s="115">
        <v>11</v>
      </c>
      <c r="E1031" s="99" t="s">
        <v>1072</v>
      </c>
      <c r="F1031" s="100">
        <v>0.13</v>
      </c>
      <c r="G1031" s="101">
        <f>IF(OR(B1031="FIXO",B1031="XFIXO"),IF(F1031="","ERRO",10*F1031)*'[1]BD Campos'!$S$2,IF(F1031="","ERRO",10*F1031)*'[1]BD Campos'!$S$3)</f>
        <v>1.3</v>
      </c>
      <c r="H1031" s="102">
        <v>0.05</v>
      </c>
      <c r="I1031" s="103">
        <f t="shared" si="61"/>
        <v>-6.5000000000000002E-2</v>
      </c>
    </row>
    <row r="1032" spans="1:9">
      <c r="A1032" s="99" t="str">
        <f t="shared" si="60"/>
        <v>MONITORAMENTO IReceptiva 212</v>
      </c>
      <c r="B1032" s="99" t="s">
        <v>790</v>
      </c>
      <c r="C1032" s="99" t="s">
        <v>86</v>
      </c>
      <c r="D1032" s="115">
        <v>12</v>
      </c>
      <c r="E1032" s="99" t="s">
        <v>1073</v>
      </c>
      <c r="F1032" s="100">
        <v>0.1</v>
      </c>
      <c r="G1032" s="101">
        <f>IF(OR(B1032="FIXO",B1032="XFIXO"),IF(F1032="","ERRO",10*F1032)*'[1]BD Campos'!$S$2,IF(F1032="","ERRO",10*F1032)*'[1]BD Campos'!$S$3)</f>
        <v>1</v>
      </c>
      <c r="H1032" s="102">
        <v>0.05</v>
      </c>
      <c r="I1032" s="103">
        <f t="shared" si="61"/>
        <v>-0.05</v>
      </c>
    </row>
    <row r="1033" spans="1:9">
      <c r="A1033" s="99" t="str">
        <f t="shared" si="60"/>
        <v>MONITORAMENTO IReceptiva 213</v>
      </c>
      <c r="B1033" s="99" t="s">
        <v>790</v>
      </c>
      <c r="C1033" s="99" t="s">
        <v>86</v>
      </c>
      <c r="D1033" s="115">
        <v>13</v>
      </c>
      <c r="E1033" s="99" t="s">
        <v>964</v>
      </c>
      <c r="F1033" s="100">
        <v>0.03</v>
      </c>
      <c r="G1033" s="101">
        <f>IF(OR(B1033="FIXO",B1033="XFIXO"),IF(F1033="","ERRO",10*F1033)*'[1]BD Campos'!$S$2,IF(F1033="","ERRO",10*F1033)*'[1]BD Campos'!$S$3)</f>
        <v>0.3</v>
      </c>
      <c r="H1033" s="102">
        <v>0.05</v>
      </c>
      <c r="I1033" s="103">
        <f t="shared" si="61"/>
        <v>-1.4999999999999999E-2</v>
      </c>
    </row>
    <row r="1034" spans="1:9">
      <c r="A1034" s="99" t="str">
        <f t="shared" si="60"/>
        <v>MONITORAMENTO IReceptiva 214</v>
      </c>
      <c r="B1034" s="99" t="s">
        <v>790</v>
      </c>
      <c r="C1034" s="99" t="s">
        <v>86</v>
      </c>
      <c r="D1034" s="115">
        <v>14</v>
      </c>
      <c r="E1034" s="99" t="s">
        <v>965</v>
      </c>
      <c r="F1034" s="100">
        <v>0.03</v>
      </c>
      <c r="G1034" s="101">
        <f>IF(OR(B1034="FIXO",B1034="XFIXO"),IF(F1034="","ERRO",10*F1034)*'[1]BD Campos'!$S$2,IF(F1034="","ERRO",10*F1034)*'[1]BD Campos'!$S$3)</f>
        <v>0.3</v>
      </c>
      <c r="H1034" s="102">
        <v>0.05</v>
      </c>
      <c r="I1034" s="103">
        <f t="shared" si="61"/>
        <v>-1.4999999999999999E-2</v>
      </c>
    </row>
    <row r="1035" spans="1:9">
      <c r="A1035" s="99" t="str">
        <f t="shared" si="60"/>
        <v>MONITORAMENTO IReceptiva 215</v>
      </c>
      <c r="B1035" s="99" t="s">
        <v>790</v>
      </c>
      <c r="C1035" s="99" t="s">
        <v>86</v>
      </c>
      <c r="D1035" s="115">
        <v>15</v>
      </c>
      <c r="E1035" s="99" t="s">
        <v>1018</v>
      </c>
      <c r="F1035" s="100">
        <v>1.4999999999999999E-2</v>
      </c>
      <c r="G1035" s="101">
        <f>IF(OR(B1035="FIXO",B1035="XFIXO"),IF(F1035="","ERRO",10*F1035)*'[1]BD Campos'!$S$2,IF(F1035="","ERRO",10*F1035)*'[1]BD Campos'!$S$3)</f>
        <v>0.15</v>
      </c>
      <c r="H1035" s="102">
        <v>0.05</v>
      </c>
      <c r="I1035" s="103">
        <f t="shared" si="61"/>
        <v>-7.4999999999999997E-3</v>
      </c>
    </row>
    <row r="1036" spans="1:9">
      <c r="A1036" s="99" t="str">
        <f t="shared" si="60"/>
        <v>MONITORAMENTO IReceptiva 216</v>
      </c>
      <c r="B1036" s="99" t="s">
        <v>790</v>
      </c>
      <c r="C1036" s="99" t="s">
        <v>86</v>
      </c>
      <c r="D1036" s="115">
        <v>16</v>
      </c>
      <c r="E1036" s="99" t="s">
        <v>968</v>
      </c>
      <c r="F1036" s="100">
        <v>0.02</v>
      </c>
      <c r="G1036" s="101">
        <f>IF(OR(B1036="FIXO",B1036="XFIXO"),IF(F1036="","ERRO",10*F1036)*'[1]BD Campos'!$S$2,IF(F1036="","ERRO",10*F1036)*'[1]BD Campos'!$S$3)</f>
        <v>0.2</v>
      </c>
      <c r="H1036" s="102">
        <v>0.05</v>
      </c>
      <c r="I1036" s="103">
        <f t="shared" si="61"/>
        <v>-1.0000000000000002E-2</v>
      </c>
    </row>
    <row r="1037" spans="1:9">
      <c r="A1037" s="104" t="str">
        <f t="shared" si="60"/>
        <v>MONITORAMENTO IReceptiva 217</v>
      </c>
      <c r="B1037" s="104" t="s">
        <v>790</v>
      </c>
      <c r="C1037" s="104" t="s">
        <v>86</v>
      </c>
      <c r="D1037" s="116">
        <v>17</v>
      </c>
      <c r="E1037" s="104" t="s">
        <v>969</v>
      </c>
      <c r="F1037" s="105">
        <v>0.01</v>
      </c>
      <c r="G1037" s="106">
        <f>IF(OR(B1037="FIXO",B1037="XFIXO"),IF(F1037="","ERRO",10*F1037)*'[1]BD Campos'!$S$2,IF(F1037="","ERRO",10*F1037)*'[1]BD Campos'!$S$3)</f>
        <v>0.1</v>
      </c>
      <c r="H1037" s="107">
        <v>0.05</v>
      </c>
      <c r="I1037" s="108">
        <f t="shared" si="61"/>
        <v>-5.000000000000001E-3</v>
      </c>
    </row>
    <row r="1038" spans="1:9">
      <c r="A1038" s="99" t="str">
        <f>B1038&amp;C1038&amp;D1038</f>
        <v>MONITORAMENTO IIReceptiva1</v>
      </c>
      <c r="B1038" s="99" t="s">
        <v>314</v>
      </c>
      <c r="C1038" s="99" t="s">
        <v>81</v>
      </c>
      <c r="D1038" s="115">
        <v>1</v>
      </c>
      <c r="E1038" s="99" t="s">
        <v>954</v>
      </c>
      <c r="F1038" s="100">
        <v>0.01</v>
      </c>
      <c r="G1038" s="101">
        <f>IF(OR(B1038="FIXO",B1038="XFIXO"),IF(F1038="","ERRO",10*F1038)*'[1]BD Campos'!$S$2,IF(F1038="","ERRO",10*F1038)*'[1]BD Campos'!$S$3)</f>
        <v>0.1</v>
      </c>
      <c r="H1038" s="102">
        <v>0.05</v>
      </c>
      <c r="I1038" s="103">
        <f>H1038*G1038*-1</f>
        <v>-5.000000000000001E-3</v>
      </c>
    </row>
    <row r="1039" spans="1:9">
      <c r="A1039" s="99" t="str">
        <f t="shared" ref="A1039:A1073" si="62">B1039&amp;C1039&amp;D1039</f>
        <v>MONITORAMENTO IIReceptiva2</v>
      </c>
      <c r="B1039" s="99" t="s">
        <v>314</v>
      </c>
      <c r="C1039" s="99" t="s">
        <v>81</v>
      </c>
      <c r="D1039" s="115">
        <v>2</v>
      </c>
      <c r="E1039" s="99" t="s">
        <v>955</v>
      </c>
      <c r="F1039" s="100">
        <v>0.01</v>
      </c>
      <c r="G1039" s="101">
        <f>IF(OR(B1039="FIXO",B1039="XFIXO"),IF(F1039="","ERRO",10*F1039)*'[1]BD Campos'!$S$2,IF(F1039="","ERRO",10*F1039)*'[1]BD Campos'!$S$3)</f>
        <v>0.1</v>
      </c>
      <c r="H1039" s="102">
        <v>0.05</v>
      </c>
      <c r="I1039" s="103">
        <f t="shared" ref="I1039:I1073" si="63">H1039*G1039*-1</f>
        <v>-5.000000000000001E-3</v>
      </c>
    </row>
    <row r="1040" spans="1:9">
      <c r="A1040" s="99" t="str">
        <f t="shared" si="62"/>
        <v>MONITORAMENTO IIReceptiva3</v>
      </c>
      <c r="B1040" s="99" t="s">
        <v>314</v>
      </c>
      <c r="C1040" s="99" t="s">
        <v>81</v>
      </c>
      <c r="D1040" s="115">
        <v>3</v>
      </c>
      <c r="E1040" s="99" t="s">
        <v>956</v>
      </c>
      <c r="F1040" s="100">
        <v>0.01</v>
      </c>
      <c r="G1040" s="101">
        <f>IF(OR(B1040="FIXO",B1040="XFIXO"),IF(F1040="","ERRO",10*F1040)*'[1]BD Campos'!$S$2,IF(F1040="","ERRO",10*F1040)*'[1]BD Campos'!$S$3)</f>
        <v>0.1</v>
      </c>
      <c r="H1040" s="102">
        <v>0.05</v>
      </c>
      <c r="I1040" s="103">
        <f t="shared" si="63"/>
        <v>-5.000000000000001E-3</v>
      </c>
    </row>
    <row r="1041" spans="1:9">
      <c r="A1041" s="99" t="str">
        <f t="shared" si="62"/>
        <v>MONITORAMENTO IIReceptiva4</v>
      </c>
      <c r="B1041" s="99" t="s">
        <v>314</v>
      </c>
      <c r="C1041" s="99" t="s">
        <v>81</v>
      </c>
      <c r="D1041" s="115">
        <v>4</v>
      </c>
      <c r="E1041" s="99" t="s">
        <v>982</v>
      </c>
      <c r="F1041" s="100">
        <v>0.04</v>
      </c>
      <c r="G1041" s="101">
        <f>IF(OR(B1041="FIXO",B1041="XFIXO"),IF(F1041="","ERRO",10*F1041)*'[1]BD Campos'!$S$2,IF(F1041="","ERRO",10*F1041)*'[1]BD Campos'!$S$3)</f>
        <v>0.4</v>
      </c>
      <c r="H1041" s="102">
        <v>0.05</v>
      </c>
      <c r="I1041" s="103">
        <f t="shared" si="63"/>
        <v>-2.0000000000000004E-2</v>
      </c>
    </row>
    <row r="1042" spans="1:9">
      <c r="A1042" s="99" t="str">
        <f t="shared" si="62"/>
        <v>MONITORAMENTO IIReceptiva5</v>
      </c>
      <c r="B1042" s="99" t="s">
        <v>314</v>
      </c>
      <c r="C1042" s="99" t="s">
        <v>81</v>
      </c>
      <c r="D1042" s="115">
        <v>5</v>
      </c>
      <c r="E1042" s="99" t="s">
        <v>1066</v>
      </c>
      <c r="F1042" s="100">
        <v>0.04</v>
      </c>
      <c r="G1042" s="101">
        <f>IF(OR(B1042="FIXO",B1042="XFIXO"),IF(F1042="","ERRO",10*F1042)*'[1]BD Campos'!$S$2,IF(F1042="","ERRO",10*F1042)*'[1]BD Campos'!$S$3)</f>
        <v>0.4</v>
      </c>
      <c r="H1042" s="102">
        <v>0.05</v>
      </c>
      <c r="I1042" s="103">
        <f t="shared" si="63"/>
        <v>-2.0000000000000004E-2</v>
      </c>
    </row>
    <row r="1043" spans="1:9">
      <c r="A1043" s="99" t="str">
        <f t="shared" si="62"/>
        <v>MONITORAMENTO IIReceptiva6</v>
      </c>
      <c r="B1043" s="99" t="s">
        <v>314</v>
      </c>
      <c r="C1043" s="99" t="s">
        <v>81</v>
      </c>
      <c r="D1043" s="115">
        <v>6</v>
      </c>
      <c r="E1043" s="99" t="s">
        <v>1067</v>
      </c>
      <c r="F1043" s="100">
        <v>0.1</v>
      </c>
      <c r="G1043" s="101">
        <f>IF(OR(B1043="FIXO",B1043="XFIXO"),IF(F1043="","ERRO",10*F1043)*'[1]BD Campos'!$S$2,IF(F1043="","ERRO",10*F1043)*'[1]BD Campos'!$S$3)</f>
        <v>1</v>
      </c>
      <c r="H1043" s="102">
        <v>0.05</v>
      </c>
      <c r="I1043" s="103">
        <f t="shared" si="63"/>
        <v>-0.05</v>
      </c>
    </row>
    <row r="1044" spans="1:9">
      <c r="A1044" s="99" t="str">
        <f t="shared" si="62"/>
        <v>MONITORAMENTO IIReceptiva7</v>
      </c>
      <c r="B1044" s="99" t="s">
        <v>314</v>
      </c>
      <c r="C1044" s="99" t="s">
        <v>81</v>
      </c>
      <c r="D1044" s="115">
        <v>7</v>
      </c>
      <c r="E1044" s="99" t="s">
        <v>1068</v>
      </c>
      <c r="F1044" s="100">
        <v>0.1</v>
      </c>
      <c r="G1044" s="101">
        <f>IF(OR(B1044="FIXO",B1044="XFIXO"),IF(F1044="","ERRO",10*F1044)*'[1]BD Campos'!$S$2,IF(F1044="","ERRO",10*F1044)*'[1]BD Campos'!$S$3)</f>
        <v>1</v>
      </c>
      <c r="H1044" s="102">
        <v>0.05</v>
      </c>
      <c r="I1044" s="103">
        <f t="shared" si="63"/>
        <v>-0.05</v>
      </c>
    </row>
    <row r="1045" spans="1:9">
      <c r="A1045" s="99" t="str">
        <f t="shared" si="62"/>
        <v>MONITORAMENTO IIReceptiva8</v>
      </c>
      <c r="B1045" s="99" t="s">
        <v>314</v>
      </c>
      <c r="C1045" s="99" t="s">
        <v>81</v>
      </c>
      <c r="D1045" s="115">
        <v>8</v>
      </c>
      <c r="E1045" s="99" t="s">
        <v>1069</v>
      </c>
      <c r="F1045" s="100">
        <v>0.1</v>
      </c>
      <c r="G1045" s="101">
        <f>IF(OR(B1045="FIXO",B1045="XFIXO"),IF(F1045="","ERRO",10*F1045)*'[1]BD Campos'!$S$2,IF(F1045="","ERRO",10*F1045)*'[1]BD Campos'!$S$3)</f>
        <v>1</v>
      </c>
      <c r="H1045" s="102">
        <v>0.05</v>
      </c>
      <c r="I1045" s="103">
        <f t="shared" si="63"/>
        <v>-0.05</v>
      </c>
    </row>
    <row r="1046" spans="1:9">
      <c r="A1046" s="99" t="str">
        <f t="shared" si="62"/>
        <v>MONITORAMENTO IIReceptiva9</v>
      </c>
      <c r="B1046" s="99" t="s">
        <v>314</v>
      </c>
      <c r="C1046" s="99" t="s">
        <v>81</v>
      </c>
      <c r="D1046" s="115">
        <v>9</v>
      </c>
      <c r="E1046" s="99" t="s">
        <v>1070</v>
      </c>
      <c r="F1046" s="100">
        <v>0.1</v>
      </c>
      <c r="G1046" s="101">
        <f>IF(OR(B1046="FIXO",B1046="XFIXO"),IF(F1046="","ERRO",10*F1046)*'[1]BD Campos'!$S$2,IF(F1046="","ERRO",10*F1046)*'[1]BD Campos'!$S$3)</f>
        <v>1</v>
      </c>
      <c r="H1046" s="102">
        <v>0.05</v>
      </c>
      <c r="I1046" s="103">
        <f t="shared" si="63"/>
        <v>-0.05</v>
      </c>
    </row>
    <row r="1047" spans="1:9">
      <c r="A1047" s="99" t="str">
        <f t="shared" si="62"/>
        <v>MONITORAMENTO IIReceptiva10</v>
      </c>
      <c r="B1047" s="99" t="s">
        <v>314</v>
      </c>
      <c r="C1047" s="99" t="s">
        <v>81</v>
      </c>
      <c r="D1047" s="115">
        <v>10</v>
      </c>
      <c r="E1047" s="99" t="s">
        <v>1074</v>
      </c>
      <c r="F1047" s="100">
        <v>9.5000000000000001E-2</v>
      </c>
      <c r="G1047" s="101">
        <f>IF(OR(B1047="FIXO",B1047="XFIXO"),IF(F1047="","ERRO",10*F1047)*'[1]BD Campos'!$S$2,IF(F1047="","ERRO",10*F1047)*'[1]BD Campos'!$S$3)</f>
        <v>0.95</v>
      </c>
      <c r="H1047" s="102">
        <v>0.05</v>
      </c>
      <c r="I1047" s="103">
        <f t="shared" si="63"/>
        <v>-4.7500000000000001E-2</v>
      </c>
    </row>
    <row r="1048" spans="1:9">
      <c r="A1048" s="99" t="str">
        <f t="shared" si="62"/>
        <v>MONITORAMENTO IIReceptiva11</v>
      </c>
      <c r="B1048" s="99" t="s">
        <v>314</v>
      </c>
      <c r="C1048" s="99" t="s">
        <v>81</v>
      </c>
      <c r="D1048" s="115">
        <v>11</v>
      </c>
      <c r="E1048" s="99" t="s">
        <v>1075</v>
      </c>
      <c r="F1048" s="100">
        <v>9.5000000000000001E-2</v>
      </c>
      <c r="G1048" s="101">
        <f>IF(OR(B1048="FIXO",B1048="XFIXO"),IF(F1048="","ERRO",10*F1048)*'[1]BD Campos'!$S$2,IF(F1048="","ERRO",10*F1048)*'[1]BD Campos'!$S$3)</f>
        <v>0.95</v>
      </c>
      <c r="H1048" s="102">
        <v>0.05</v>
      </c>
      <c r="I1048" s="103">
        <f t="shared" si="63"/>
        <v>-4.7500000000000001E-2</v>
      </c>
    </row>
    <row r="1049" spans="1:9">
      <c r="A1049" s="99" t="str">
        <f t="shared" si="62"/>
        <v>MONITORAMENTO IIReceptiva12</v>
      </c>
      <c r="B1049" s="99" t="s">
        <v>314</v>
      </c>
      <c r="C1049" s="99" t="s">
        <v>81</v>
      </c>
      <c r="D1049" s="115">
        <v>12</v>
      </c>
      <c r="E1049" s="99" t="s">
        <v>1072</v>
      </c>
      <c r="F1049" s="100">
        <v>0.1</v>
      </c>
      <c r="G1049" s="101">
        <f>IF(OR(B1049="FIXO",B1049="XFIXO"),IF(F1049="","ERRO",10*F1049)*'[1]BD Campos'!$S$2,IF(F1049="","ERRO",10*F1049)*'[1]BD Campos'!$S$3)</f>
        <v>1</v>
      </c>
      <c r="H1049" s="102">
        <v>0.05</v>
      </c>
      <c r="I1049" s="103">
        <f t="shared" si="63"/>
        <v>-0.05</v>
      </c>
    </row>
    <row r="1050" spans="1:9">
      <c r="A1050" s="99" t="str">
        <f t="shared" si="62"/>
        <v>MONITORAMENTO IIReceptiva13</v>
      </c>
      <c r="B1050" s="99" t="s">
        <v>314</v>
      </c>
      <c r="C1050" s="99" t="s">
        <v>81</v>
      </c>
      <c r="D1050" s="115">
        <v>13</v>
      </c>
      <c r="E1050" s="99" t="s">
        <v>1073</v>
      </c>
      <c r="F1050" s="100">
        <v>9.5000000000000001E-2</v>
      </c>
      <c r="G1050" s="101">
        <f>IF(OR(B1050="FIXO",B1050="XFIXO"),IF(F1050="","ERRO",10*F1050)*'[1]BD Campos'!$S$2,IF(F1050="","ERRO",10*F1050)*'[1]BD Campos'!$S$3)</f>
        <v>0.95</v>
      </c>
      <c r="H1050" s="102">
        <v>0.05</v>
      </c>
      <c r="I1050" s="103">
        <f t="shared" si="63"/>
        <v>-4.7500000000000001E-2</v>
      </c>
    </row>
    <row r="1051" spans="1:9">
      <c r="A1051" s="99" t="str">
        <f t="shared" si="62"/>
        <v>MONITORAMENTO IIReceptiva14</v>
      </c>
      <c r="B1051" s="99" t="s">
        <v>314</v>
      </c>
      <c r="C1051" s="99" t="s">
        <v>81</v>
      </c>
      <c r="D1051" s="115">
        <v>14</v>
      </c>
      <c r="E1051" s="99" t="s">
        <v>964</v>
      </c>
      <c r="F1051" s="100">
        <v>0.03</v>
      </c>
      <c r="G1051" s="101">
        <f>IF(OR(B1051="FIXO",B1051="XFIXO"),IF(F1051="","ERRO",10*F1051)*'[1]BD Campos'!$S$2,IF(F1051="","ERRO",10*F1051)*'[1]BD Campos'!$S$3)</f>
        <v>0.3</v>
      </c>
      <c r="H1051" s="102">
        <v>0.05</v>
      </c>
      <c r="I1051" s="103">
        <f t="shared" si="63"/>
        <v>-1.4999999999999999E-2</v>
      </c>
    </row>
    <row r="1052" spans="1:9">
      <c r="A1052" s="99" t="str">
        <f t="shared" si="62"/>
        <v>MONITORAMENTO IIReceptiva15</v>
      </c>
      <c r="B1052" s="99" t="s">
        <v>314</v>
      </c>
      <c r="C1052" s="99" t="s">
        <v>81</v>
      </c>
      <c r="D1052" s="115">
        <v>15</v>
      </c>
      <c r="E1052" s="99" t="s">
        <v>965</v>
      </c>
      <c r="F1052" s="100">
        <v>0.03</v>
      </c>
      <c r="G1052" s="101">
        <f>IF(OR(B1052="FIXO",B1052="XFIXO"),IF(F1052="","ERRO",10*F1052)*'[1]BD Campos'!$S$2,IF(F1052="","ERRO",10*F1052)*'[1]BD Campos'!$S$3)</f>
        <v>0.3</v>
      </c>
      <c r="H1052" s="102">
        <v>0.05</v>
      </c>
      <c r="I1052" s="103">
        <f t="shared" si="63"/>
        <v>-1.4999999999999999E-2</v>
      </c>
    </row>
    <row r="1053" spans="1:9">
      <c r="A1053" s="99" t="str">
        <f t="shared" si="62"/>
        <v>MONITORAMENTO IIReceptiva16</v>
      </c>
      <c r="B1053" s="99" t="s">
        <v>314</v>
      </c>
      <c r="C1053" s="99" t="s">
        <v>81</v>
      </c>
      <c r="D1053" s="115">
        <v>16</v>
      </c>
      <c r="E1053" s="99" t="s">
        <v>1018</v>
      </c>
      <c r="F1053" s="100">
        <v>1.4999999999999999E-2</v>
      </c>
      <c r="G1053" s="101">
        <f>IF(OR(B1053="FIXO",B1053="XFIXO"),IF(F1053="","ERRO",10*F1053)*'[1]BD Campos'!$S$2,IF(F1053="","ERRO",10*F1053)*'[1]BD Campos'!$S$3)</f>
        <v>0.15</v>
      </c>
      <c r="H1053" s="102">
        <v>0.05</v>
      </c>
      <c r="I1053" s="103">
        <f t="shared" si="63"/>
        <v>-7.4999999999999997E-3</v>
      </c>
    </row>
    <row r="1054" spans="1:9">
      <c r="A1054" s="99" t="str">
        <f t="shared" si="62"/>
        <v>MONITORAMENTO IIReceptiva17</v>
      </c>
      <c r="B1054" s="99" t="s">
        <v>314</v>
      </c>
      <c r="C1054" s="99" t="s">
        <v>81</v>
      </c>
      <c r="D1054" s="115">
        <v>17</v>
      </c>
      <c r="E1054" s="99" t="s">
        <v>968</v>
      </c>
      <c r="F1054" s="100">
        <v>0.02</v>
      </c>
      <c r="G1054" s="101">
        <f>IF(OR(B1054="FIXO",B1054="XFIXO"),IF(F1054="","ERRO",10*F1054)*'[1]BD Campos'!$S$2,IF(F1054="","ERRO",10*F1054)*'[1]BD Campos'!$S$3)</f>
        <v>0.2</v>
      </c>
      <c r="H1054" s="102">
        <v>0.05</v>
      </c>
      <c r="I1054" s="103">
        <f t="shared" si="63"/>
        <v>-1.0000000000000002E-2</v>
      </c>
    </row>
    <row r="1055" spans="1:9">
      <c r="A1055" s="104" t="str">
        <f t="shared" si="62"/>
        <v>MONITORAMENTO IIReceptiva18</v>
      </c>
      <c r="B1055" s="104" t="s">
        <v>314</v>
      </c>
      <c r="C1055" s="104" t="s">
        <v>81</v>
      </c>
      <c r="D1055" s="116">
        <v>18</v>
      </c>
      <c r="E1055" s="104" t="s">
        <v>969</v>
      </c>
      <c r="F1055" s="105">
        <v>0.01</v>
      </c>
      <c r="G1055" s="106">
        <f>IF(OR(B1055="FIXO",B1055="XFIXO"),IF(F1055="","ERRO",10*F1055)*'[1]BD Campos'!$S$2,IF(F1055="","ERRO",10*F1055)*'[1]BD Campos'!$S$3)</f>
        <v>0.1</v>
      </c>
      <c r="H1055" s="107">
        <v>0.05</v>
      </c>
      <c r="I1055" s="108">
        <f t="shared" si="63"/>
        <v>-5.000000000000001E-3</v>
      </c>
    </row>
    <row r="1056" spans="1:9">
      <c r="A1056" s="99" t="str">
        <f t="shared" si="62"/>
        <v>MONITORAMENTO IIReceptiva 21</v>
      </c>
      <c r="B1056" s="99" t="s">
        <v>314</v>
      </c>
      <c r="C1056" s="99" t="s">
        <v>86</v>
      </c>
      <c r="D1056" s="115">
        <v>1</v>
      </c>
      <c r="E1056" s="99" t="s">
        <v>954</v>
      </c>
      <c r="F1056" s="100">
        <v>0.01</v>
      </c>
      <c r="G1056" s="101">
        <f>IF(OR(B1056="FIXO",B1056="XFIXO"),IF(F1056="","ERRO",10*F1056)*'[1]BD Campos'!$S$2,IF(F1056="","ERRO",10*F1056)*'[1]BD Campos'!$S$3)</f>
        <v>0.1</v>
      </c>
      <c r="H1056" s="102">
        <v>0.05</v>
      </c>
      <c r="I1056" s="103">
        <f t="shared" si="63"/>
        <v>-5.000000000000001E-3</v>
      </c>
    </row>
    <row r="1057" spans="1:9">
      <c r="A1057" s="99" t="str">
        <f t="shared" si="62"/>
        <v>MONITORAMENTO IIReceptiva 22</v>
      </c>
      <c r="B1057" s="99" t="s">
        <v>314</v>
      </c>
      <c r="C1057" s="99" t="s">
        <v>86</v>
      </c>
      <c r="D1057" s="115">
        <v>2</v>
      </c>
      <c r="E1057" s="99" t="s">
        <v>955</v>
      </c>
      <c r="F1057" s="100">
        <v>0.01</v>
      </c>
      <c r="G1057" s="101">
        <f>IF(OR(B1057="FIXO",B1057="XFIXO"),IF(F1057="","ERRO",10*F1057)*'[1]BD Campos'!$S$2,IF(F1057="","ERRO",10*F1057)*'[1]BD Campos'!$S$3)</f>
        <v>0.1</v>
      </c>
      <c r="H1057" s="102">
        <v>0.05</v>
      </c>
      <c r="I1057" s="103">
        <f t="shared" si="63"/>
        <v>-5.000000000000001E-3</v>
      </c>
    </row>
    <row r="1058" spans="1:9">
      <c r="A1058" s="99" t="str">
        <f t="shared" si="62"/>
        <v>MONITORAMENTO IIReceptiva 23</v>
      </c>
      <c r="B1058" s="99" t="s">
        <v>314</v>
      </c>
      <c r="C1058" s="99" t="s">
        <v>86</v>
      </c>
      <c r="D1058" s="115">
        <v>3</v>
      </c>
      <c r="E1058" s="99" t="s">
        <v>956</v>
      </c>
      <c r="F1058" s="100">
        <v>0.01</v>
      </c>
      <c r="G1058" s="101">
        <f>IF(OR(B1058="FIXO",B1058="XFIXO"),IF(F1058="","ERRO",10*F1058)*'[1]BD Campos'!$S$2,IF(F1058="","ERRO",10*F1058)*'[1]BD Campos'!$S$3)</f>
        <v>0.1</v>
      </c>
      <c r="H1058" s="102">
        <v>0.05</v>
      </c>
      <c r="I1058" s="103">
        <f t="shared" si="63"/>
        <v>-5.000000000000001E-3</v>
      </c>
    </row>
    <row r="1059" spans="1:9">
      <c r="A1059" s="99" t="str">
        <f t="shared" si="62"/>
        <v>MONITORAMENTO IIReceptiva 24</v>
      </c>
      <c r="B1059" s="99" t="s">
        <v>314</v>
      </c>
      <c r="C1059" s="99" t="s">
        <v>86</v>
      </c>
      <c r="D1059" s="115">
        <v>4</v>
      </c>
      <c r="E1059" s="99" t="s">
        <v>982</v>
      </c>
      <c r="F1059" s="100">
        <v>0.04</v>
      </c>
      <c r="G1059" s="101">
        <f>IF(OR(B1059="FIXO",B1059="XFIXO"),IF(F1059="","ERRO",10*F1059)*'[1]BD Campos'!$S$2,IF(F1059="","ERRO",10*F1059)*'[1]BD Campos'!$S$3)</f>
        <v>0.4</v>
      </c>
      <c r="H1059" s="102">
        <v>0.05</v>
      </c>
      <c r="I1059" s="103">
        <f t="shared" si="63"/>
        <v>-2.0000000000000004E-2</v>
      </c>
    </row>
    <row r="1060" spans="1:9">
      <c r="A1060" s="99" t="str">
        <f t="shared" si="62"/>
        <v>MONITORAMENTO IIReceptiva 25</v>
      </c>
      <c r="B1060" s="99" t="s">
        <v>314</v>
      </c>
      <c r="C1060" s="99" t="s">
        <v>86</v>
      </c>
      <c r="D1060" s="115">
        <v>5</v>
      </c>
      <c r="E1060" s="99" t="s">
        <v>1066</v>
      </c>
      <c r="F1060" s="100">
        <v>0.04</v>
      </c>
      <c r="G1060" s="101">
        <f>IF(OR(B1060="FIXO",B1060="XFIXO"),IF(F1060="","ERRO",10*F1060)*'[1]BD Campos'!$S$2,IF(F1060="","ERRO",10*F1060)*'[1]BD Campos'!$S$3)</f>
        <v>0.4</v>
      </c>
      <c r="H1060" s="102">
        <v>0.05</v>
      </c>
      <c r="I1060" s="103">
        <f t="shared" si="63"/>
        <v>-2.0000000000000004E-2</v>
      </c>
    </row>
    <row r="1061" spans="1:9">
      <c r="A1061" s="99" t="str">
        <f t="shared" si="62"/>
        <v>MONITORAMENTO IIReceptiva 26</v>
      </c>
      <c r="B1061" s="99" t="s">
        <v>314</v>
      </c>
      <c r="C1061" s="99" t="s">
        <v>86</v>
      </c>
      <c r="D1061" s="115">
        <v>6</v>
      </c>
      <c r="E1061" s="99" t="s">
        <v>1067</v>
      </c>
      <c r="F1061" s="100">
        <v>0.1</v>
      </c>
      <c r="G1061" s="101">
        <f>IF(OR(B1061="FIXO",B1061="XFIXO"),IF(F1061="","ERRO",10*F1061)*'[1]BD Campos'!$S$2,IF(F1061="","ERRO",10*F1061)*'[1]BD Campos'!$S$3)</f>
        <v>1</v>
      </c>
      <c r="H1061" s="102">
        <v>0.05</v>
      </c>
      <c r="I1061" s="103">
        <f t="shared" si="63"/>
        <v>-0.05</v>
      </c>
    </row>
    <row r="1062" spans="1:9">
      <c r="A1062" s="99" t="str">
        <f t="shared" si="62"/>
        <v>MONITORAMENTO IIReceptiva 27</v>
      </c>
      <c r="B1062" s="99" t="s">
        <v>314</v>
      </c>
      <c r="C1062" s="99" t="s">
        <v>86</v>
      </c>
      <c r="D1062" s="115">
        <v>7</v>
      </c>
      <c r="E1062" s="99" t="s">
        <v>1068</v>
      </c>
      <c r="F1062" s="100">
        <v>0.1</v>
      </c>
      <c r="G1062" s="101">
        <f>IF(OR(B1062="FIXO",B1062="XFIXO"),IF(F1062="","ERRO",10*F1062)*'[1]BD Campos'!$S$2,IF(F1062="","ERRO",10*F1062)*'[1]BD Campos'!$S$3)</f>
        <v>1</v>
      </c>
      <c r="H1062" s="102">
        <v>0.05</v>
      </c>
      <c r="I1062" s="103">
        <f t="shared" si="63"/>
        <v>-0.05</v>
      </c>
    </row>
    <row r="1063" spans="1:9">
      <c r="A1063" s="99" t="str">
        <f t="shared" si="62"/>
        <v>MONITORAMENTO IIReceptiva 28</v>
      </c>
      <c r="B1063" s="99" t="s">
        <v>314</v>
      </c>
      <c r="C1063" s="99" t="s">
        <v>86</v>
      </c>
      <c r="D1063" s="115">
        <v>8</v>
      </c>
      <c r="E1063" s="99" t="s">
        <v>1069</v>
      </c>
      <c r="F1063" s="100">
        <v>0.1</v>
      </c>
      <c r="G1063" s="101">
        <f>IF(OR(B1063="FIXO",B1063="XFIXO"),IF(F1063="","ERRO",10*F1063)*'[1]BD Campos'!$S$2,IF(F1063="","ERRO",10*F1063)*'[1]BD Campos'!$S$3)</f>
        <v>1</v>
      </c>
      <c r="H1063" s="102">
        <v>0.05</v>
      </c>
      <c r="I1063" s="103">
        <f t="shared" si="63"/>
        <v>-0.05</v>
      </c>
    </row>
    <row r="1064" spans="1:9">
      <c r="A1064" s="99" t="str">
        <f t="shared" si="62"/>
        <v>MONITORAMENTO IIReceptiva 29</v>
      </c>
      <c r="B1064" s="99" t="s">
        <v>314</v>
      </c>
      <c r="C1064" s="99" t="s">
        <v>86</v>
      </c>
      <c r="D1064" s="115">
        <v>9</v>
      </c>
      <c r="E1064" s="99" t="s">
        <v>1070</v>
      </c>
      <c r="F1064" s="100">
        <v>0.1</v>
      </c>
      <c r="G1064" s="101">
        <f>IF(OR(B1064="FIXO",B1064="XFIXO"),IF(F1064="","ERRO",10*F1064)*'[1]BD Campos'!$S$2,IF(F1064="","ERRO",10*F1064)*'[1]BD Campos'!$S$3)</f>
        <v>1</v>
      </c>
      <c r="H1064" s="102">
        <v>0.05</v>
      </c>
      <c r="I1064" s="103">
        <f t="shared" si="63"/>
        <v>-0.05</v>
      </c>
    </row>
    <row r="1065" spans="1:9">
      <c r="A1065" s="99" t="str">
        <f t="shared" si="62"/>
        <v>MONITORAMENTO IIReceptiva 210</v>
      </c>
      <c r="B1065" s="99" t="s">
        <v>314</v>
      </c>
      <c r="C1065" s="99" t="s">
        <v>86</v>
      </c>
      <c r="D1065" s="115">
        <v>10</v>
      </c>
      <c r="E1065" s="99" t="s">
        <v>1074</v>
      </c>
      <c r="F1065" s="100">
        <v>9.5000000000000001E-2</v>
      </c>
      <c r="G1065" s="101">
        <f>IF(OR(B1065="FIXO",B1065="XFIXO"),IF(F1065="","ERRO",10*F1065)*'[1]BD Campos'!$S$2,IF(F1065="","ERRO",10*F1065)*'[1]BD Campos'!$S$3)</f>
        <v>0.95</v>
      </c>
      <c r="H1065" s="102">
        <v>0.05</v>
      </c>
      <c r="I1065" s="103">
        <f t="shared" si="63"/>
        <v>-4.7500000000000001E-2</v>
      </c>
    </row>
    <row r="1066" spans="1:9">
      <c r="A1066" s="99" t="str">
        <f t="shared" si="62"/>
        <v>MONITORAMENTO IIReceptiva 211</v>
      </c>
      <c r="B1066" s="99" t="s">
        <v>314</v>
      </c>
      <c r="C1066" s="99" t="s">
        <v>86</v>
      </c>
      <c r="D1066" s="115">
        <v>11</v>
      </c>
      <c r="E1066" s="99" t="s">
        <v>1075</v>
      </c>
      <c r="F1066" s="100">
        <v>9.5000000000000001E-2</v>
      </c>
      <c r="G1066" s="101">
        <f>IF(OR(B1066="FIXO",B1066="XFIXO"),IF(F1066="","ERRO",10*F1066)*'[1]BD Campos'!$S$2,IF(F1066="","ERRO",10*F1066)*'[1]BD Campos'!$S$3)</f>
        <v>0.95</v>
      </c>
      <c r="H1066" s="102">
        <v>0.05</v>
      </c>
      <c r="I1066" s="103">
        <f t="shared" si="63"/>
        <v>-4.7500000000000001E-2</v>
      </c>
    </row>
    <row r="1067" spans="1:9">
      <c r="A1067" s="99" t="str">
        <f t="shared" si="62"/>
        <v>MONITORAMENTO IIReceptiva 212</v>
      </c>
      <c r="B1067" s="99" t="s">
        <v>314</v>
      </c>
      <c r="C1067" s="99" t="s">
        <v>86</v>
      </c>
      <c r="D1067" s="115">
        <v>12</v>
      </c>
      <c r="E1067" s="99" t="s">
        <v>1072</v>
      </c>
      <c r="F1067" s="100">
        <v>0.1</v>
      </c>
      <c r="G1067" s="101">
        <f>IF(OR(B1067="FIXO",B1067="XFIXO"),IF(F1067="","ERRO",10*F1067)*'[1]BD Campos'!$S$2,IF(F1067="","ERRO",10*F1067)*'[1]BD Campos'!$S$3)</f>
        <v>1</v>
      </c>
      <c r="H1067" s="102">
        <v>0.05</v>
      </c>
      <c r="I1067" s="103">
        <f t="shared" si="63"/>
        <v>-0.05</v>
      </c>
    </row>
    <row r="1068" spans="1:9">
      <c r="A1068" s="99" t="str">
        <f t="shared" si="62"/>
        <v>MONITORAMENTO IIReceptiva 213</v>
      </c>
      <c r="B1068" s="99" t="s">
        <v>314</v>
      </c>
      <c r="C1068" s="99" t="s">
        <v>86</v>
      </c>
      <c r="D1068" s="115">
        <v>13</v>
      </c>
      <c r="E1068" s="99" t="s">
        <v>1073</v>
      </c>
      <c r="F1068" s="100">
        <v>9.5000000000000001E-2</v>
      </c>
      <c r="G1068" s="101">
        <f>IF(OR(B1068="FIXO",B1068="XFIXO"),IF(F1068="","ERRO",10*F1068)*'[1]BD Campos'!$S$2,IF(F1068="","ERRO",10*F1068)*'[1]BD Campos'!$S$3)</f>
        <v>0.95</v>
      </c>
      <c r="H1068" s="102">
        <v>0.05</v>
      </c>
      <c r="I1068" s="103">
        <f t="shared" si="63"/>
        <v>-4.7500000000000001E-2</v>
      </c>
    </row>
    <row r="1069" spans="1:9">
      <c r="A1069" s="99" t="str">
        <f t="shared" si="62"/>
        <v>MONITORAMENTO IIReceptiva 214</v>
      </c>
      <c r="B1069" s="99" t="s">
        <v>314</v>
      </c>
      <c r="C1069" s="99" t="s">
        <v>86</v>
      </c>
      <c r="D1069" s="115">
        <v>14</v>
      </c>
      <c r="E1069" s="99" t="s">
        <v>964</v>
      </c>
      <c r="F1069" s="100">
        <v>0.03</v>
      </c>
      <c r="G1069" s="101">
        <f>IF(OR(B1069="FIXO",B1069="XFIXO"),IF(F1069="","ERRO",10*F1069)*'[1]BD Campos'!$S$2,IF(F1069="","ERRO",10*F1069)*'[1]BD Campos'!$S$3)</f>
        <v>0.3</v>
      </c>
      <c r="H1069" s="102">
        <v>0.05</v>
      </c>
      <c r="I1069" s="103">
        <f t="shared" si="63"/>
        <v>-1.4999999999999999E-2</v>
      </c>
    </row>
    <row r="1070" spans="1:9">
      <c r="A1070" s="99" t="str">
        <f t="shared" si="62"/>
        <v>MONITORAMENTO IIReceptiva 215</v>
      </c>
      <c r="B1070" s="99" t="s">
        <v>314</v>
      </c>
      <c r="C1070" s="99" t="s">
        <v>86</v>
      </c>
      <c r="D1070" s="115">
        <v>15</v>
      </c>
      <c r="E1070" s="99" t="s">
        <v>965</v>
      </c>
      <c r="F1070" s="100">
        <v>0.03</v>
      </c>
      <c r="G1070" s="101">
        <f>IF(OR(B1070="FIXO",B1070="XFIXO"),IF(F1070="","ERRO",10*F1070)*'[1]BD Campos'!$S$2,IF(F1070="","ERRO",10*F1070)*'[1]BD Campos'!$S$3)</f>
        <v>0.3</v>
      </c>
      <c r="H1070" s="102">
        <v>0.05</v>
      </c>
      <c r="I1070" s="103">
        <f t="shared" si="63"/>
        <v>-1.4999999999999999E-2</v>
      </c>
    </row>
    <row r="1071" spans="1:9">
      <c r="A1071" s="99" t="str">
        <f t="shared" si="62"/>
        <v>MONITORAMENTO IIReceptiva 216</v>
      </c>
      <c r="B1071" s="99" t="s">
        <v>314</v>
      </c>
      <c r="C1071" s="99" t="s">
        <v>86</v>
      </c>
      <c r="D1071" s="115">
        <v>16</v>
      </c>
      <c r="E1071" s="99" t="s">
        <v>1018</v>
      </c>
      <c r="F1071" s="100">
        <v>1.4999999999999999E-2</v>
      </c>
      <c r="G1071" s="101">
        <f>IF(OR(B1071="FIXO",B1071="XFIXO"),IF(F1071="","ERRO",10*F1071)*'[1]BD Campos'!$S$2,IF(F1071="","ERRO",10*F1071)*'[1]BD Campos'!$S$3)</f>
        <v>0.15</v>
      </c>
      <c r="H1071" s="102">
        <v>0.05</v>
      </c>
      <c r="I1071" s="103">
        <f t="shared" si="63"/>
        <v>-7.4999999999999997E-3</v>
      </c>
    </row>
    <row r="1072" spans="1:9">
      <c r="A1072" s="99" t="str">
        <f t="shared" si="62"/>
        <v>MONITORAMENTO IIReceptiva 217</v>
      </c>
      <c r="B1072" s="99" t="s">
        <v>314</v>
      </c>
      <c r="C1072" s="99" t="s">
        <v>86</v>
      </c>
      <c r="D1072" s="115">
        <v>17</v>
      </c>
      <c r="E1072" s="99" t="s">
        <v>968</v>
      </c>
      <c r="F1072" s="100">
        <v>0.02</v>
      </c>
      <c r="G1072" s="101">
        <f>IF(OR(B1072="FIXO",B1072="XFIXO"),IF(F1072="","ERRO",10*F1072)*'[1]BD Campos'!$S$2,IF(F1072="","ERRO",10*F1072)*'[1]BD Campos'!$S$3)</f>
        <v>0.2</v>
      </c>
      <c r="H1072" s="102">
        <v>0.05</v>
      </c>
      <c r="I1072" s="103">
        <f t="shared" si="63"/>
        <v>-1.0000000000000002E-2</v>
      </c>
    </row>
    <row r="1073" spans="1:9">
      <c r="A1073" s="104" t="str">
        <f t="shared" si="62"/>
        <v>MONITORAMENTO IIReceptiva 218</v>
      </c>
      <c r="B1073" s="104" t="s">
        <v>314</v>
      </c>
      <c r="C1073" s="104" t="s">
        <v>86</v>
      </c>
      <c r="D1073" s="116">
        <v>18</v>
      </c>
      <c r="E1073" s="104" t="s">
        <v>969</v>
      </c>
      <c r="F1073" s="105">
        <v>0.01</v>
      </c>
      <c r="G1073" s="106">
        <f>IF(OR(B1073="FIXO",B1073="XFIXO"),IF(F1073="","ERRO",10*F1073)*'[1]BD Campos'!$S$2,IF(F1073="","ERRO",10*F1073)*'[1]BD Campos'!$S$3)</f>
        <v>0.1</v>
      </c>
      <c r="H1073" s="107">
        <v>0.05</v>
      </c>
      <c r="I1073" s="108">
        <f t="shared" si="63"/>
        <v>-5.000000000000001E-3</v>
      </c>
    </row>
    <row r="1074" spans="1:9">
      <c r="A1074" s="99" t="str">
        <f>B1074&amp;C1074&amp;D1074</f>
        <v>LOGÍSTICA REVERSAReceptiva1</v>
      </c>
      <c r="B1074" s="99" t="s">
        <v>316</v>
      </c>
      <c r="C1074" s="99" t="s">
        <v>81</v>
      </c>
      <c r="D1074" s="137">
        <v>1</v>
      </c>
      <c r="E1074" s="99" t="s">
        <v>954</v>
      </c>
      <c r="F1074" s="138">
        <v>0.01</v>
      </c>
      <c r="G1074" s="101">
        <f>IF(OR(B1074="FIXO",B1074="XFIXO"),IF(F1074="","ERRO",10*F1074)*'[1]BD Campos'!$S$2,IF(F1074="","ERRO",10*F1074)*'[1]BD Campos'!$S$3)</f>
        <v>0.1</v>
      </c>
      <c r="H1074" s="102">
        <v>0.05</v>
      </c>
      <c r="I1074" s="103">
        <f>H1074*G1074*-1</f>
        <v>-5.000000000000001E-3</v>
      </c>
    </row>
    <row r="1075" spans="1:9">
      <c r="A1075" s="99" t="str">
        <f t="shared" ref="A1075:A1131" si="64">B1075&amp;C1075&amp;D1075</f>
        <v>LOGÍSTICA REVERSAReceptiva2</v>
      </c>
      <c r="B1075" s="99" t="s">
        <v>316</v>
      </c>
      <c r="C1075" s="99" t="s">
        <v>81</v>
      </c>
      <c r="D1075" s="137">
        <v>2</v>
      </c>
      <c r="E1075" s="137" t="s">
        <v>955</v>
      </c>
      <c r="F1075" s="138">
        <v>0.01</v>
      </c>
      <c r="G1075" s="101">
        <f>IF(OR(B1075="FIXO",B1075="XFIXO"),IF(F1075="","ERRO",10*F1075)*'[1]BD Campos'!$S$2,IF(F1075="","ERRO",10*F1075)*'[1]BD Campos'!$S$3)</f>
        <v>0.1</v>
      </c>
      <c r="H1075" s="102">
        <v>0.05</v>
      </c>
      <c r="I1075" s="103">
        <f t="shared" ref="I1075:I1131" si="65">H1075*G1075*-1</f>
        <v>-5.000000000000001E-3</v>
      </c>
    </row>
    <row r="1076" spans="1:9">
      <c r="A1076" s="99" t="str">
        <f t="shared" si="64"/>
        <v>LOGÍSTICA REVERSAReceptiva3</v>
      </c>
      <c r="B1076" s="99" t="s">
        <v>316</v>
      </c>
      <c r="C1076" s="99" t="s">
        <v>81</v>
      </c>
      <c r="D1076" s="137">
        <v>3</v>
      </c>
      <c r="E1076" s="137" t="s">
        <v>956</v>
      </c>
      <c r="F1076" s="138">
        <v>0.01</v>
      </c>
      <c r="G1076" s="101">
        <f>IF(OR(B1076="FIXO",B1076="XFIXO"),IF(F1076="","ERRO",10*F1076)*'[1]BD Campos'!$S$2,IF(F1076="","ERRO",10*F1076)*'[1]BD Campos'!$S$3)</f>
        <v>0.1</v>
      </c>
      <c r="H1076" s="102">
        <v>0.05</v>
      </c>
      <c r="I1076" s="103">
        <f t="shared" si="65"/>
        <v>-5.000000000000001E-3</v>
      </c>
    </row>
    <row r="1077" spans="1:9">
      <c r="A1077" s="99" t="str">
        <f t="shared" si="64"/>
        <v>LOGÍSTICA REVERSAReceptiva4</v>
      </c>
      <c r="B1077" s="99" t="s">
        <v>316</v>
      </c>
      <c r="C1077" s="99" t="s">
        <v>81</v>
      </c>
      <c r="D1077" s="137">
        <v>4</v>
      </c>
      <c r="E1077" s="137" t="s">
        <v>982</v>
      </c>
      <c r="F1077" s="138">
        <v>0.04</v>
      </c>
      <c r="G1077" s="101">
        <f>IF(OR(B1077="FIXO",B1077="XFIXO"),IF(F1077="","ERRO",10*F1077)*'[1]BD Campos'!$S$2,IF(F1077="","ERRO",10*F1077)*'[1]BD Campos'!$S$3)</f>
        <v>0.4</v>
      </c>
      <c r="H1077" s="102">
        <v>0.05</v>
      </c>
      <c r="I1077" s="103">
        <f t="shared" si="65"/>
        <v>-2.0000000000000004E-2</v>
      </c>
    </row>
    <row r="1078" spans="1:9">
      <c r="A1078" s="99" t="str">
        <f t="shared" si="64"/>
        <v>LOGÍSTICA REVERSAReceptiva5</v>
      </c>
      <c r="B1078" s="99" t="s">
        <v>316</v>
      </c>
      <c r="C1078" s="99" t="s">
        <v>81</v>
      </c>
      <c r="D1078" s="137">
        <v>5</v>
      </c>
      <c r="E1078" s="137" t="s">
        <v>1066</v>
      </c>
      <c r="F1078" s="138">
        <v>0.04</v>
      </c>
      <c r="G1078" s="101">
        <f>IF(OR(B1078="FIXO",B1078="XFIXO"),IF(F1078="","ERRO",10*F1078)*'[1]BD Campos'!$S$2,IF(F1078="","ERRO",10*F1078)*'[1]BD Campos'!$S$3)</f>
        <v>0.4</v>
      </c>
      <c r="H1078" s="102">
        <v>0.05</v>
      </c>
      <c r="I1078" s="103">
        <f t="shared" si="65"/>
        <v>-2.0000000000000004E-2</v>
      </c>
    </row>
    <row r="1079" spans="1:9">
      <c r="A1079" s="99" t="str">
        <f t="shared" si="64"/>
        <v>LOGÍSTICA REVERSAReceptiva6</v>
      </c>
      <c r="B1079" s="99" t="s">
        <v>316</v>
      </c>
      <c r="C1079" s="99" t="s">
        <v>81</v>
      </c>
      <c r="D1079" s="137">
        <v>6</v>
      </c>
      <c r="E1079" s="137" t="s">
        <v>1067</v>
      </c>
      <c r="F1079" s="138">
        <v>0.1</v>
      </c>
      <c r="G1079" s="101">
        <f>IF(OR(B1079="FIXO",B1079="XFIXO"),IF(F1079="","ERRO",10*F1079)*'[1]BD Campos'!$S$2,IF(F1079="","ERRO",10*F1079)*'[1]BD Campos'!$S$3)</f>
        <v>1</v>
      </c>
      <c r="H1079" s="102">
        <v>0.05</v>
      </c>
      <c r="I1079" s="103">
        <f t="shared" si="65"/>
        <v>-0.05</v>
      </c>
    </row>
    <row r="1080" spans="1:9">
      <c r="A1080" s="99" t="str">
        <f t="shared" si="64"/>
        <v>LOGÍSTICA REVERSAReceptiva7</v>
      </c>
      <c r="B1080" s="99" t="s">
        <v>316</v>
      </c>
      <c r="C1080" s="99" t="s">
        <v>81</v>
      </c>
      <c r="D1080" s="137">
        <v>7</v>
      </c>
      <c r="E1080" s="137" t="s">
        <v>1068</v>
      </c>
      <c r="F1080" s="138">
        <v>0.1</v>
      </c>
      <c r="G1080" s="101">
        <f>IF(OR(B1080="FIXO",B1080="XFIXO"),IF(F1080="","ERRO",10*F1080)*'[1]BD Campos'!$S$2,IF(F1080="","ERRO",10*F1080)*'[1]BD Campos'!$S$3)</f>
        <v>1</v>
      </c>
      <c r="H1080" s="102">
        <v>0.05</v>
      </c>
      <c r="I1080" s="103">
        <f t="shared" si="65"/>
        <v>-0.05</v>
      </c>
    </row>
    <row r="1081" spans="1:9">
      <c r="A1081" s="99" t="str">
        <f t="shared" si="64"/>
        <v>LOGÍSTICA REVERSAReceptiva8</v>
      </c>
      <c r="B1081" s="99" t="s">
        <v>316</v>
      </c>
      <c r="C1081" s="99" t="s">
        <v>81</v>
      </c>
      <c r="D1081" s="137">
        <v>8</v>
      </c>
      <c r="E1081" s="137" t="s">
        <v>1069</v>
      </c>
      <c r="F1081" s="138">
        <v>0.1</v>
      </c>
      <c r="G1081" s="101">
        <f>IF(OR(B1081="FIXO",B1081="XFIXO"),IF(F1081="","ERRO",10*F1081)*'[1]BD Campos'!$S$2,IF(F1081="","ERRO",10*F1081)*'[1]BD Campos'!$S$3)</f>
        <v>1</v>
      </c>
      <c r="H1081" s="102">
        <v>0.05</v>
      </c>
      <c r="I1081" s="103">
        <f t="shared" si="65"/>
        <v>-0.05</v>
      </c>
    </row>
    <row r="1082" spans="1:9">
      <c r="A1082" s="99" t="str">
        <f t="shared" si="64"/>
        <v>LOGÍSTICA REVERSAReceptiva9</v>
      </c>
      <c r="B1082" s="99" t="s">
        <v>316</v>
      </c>
      <c r="C1082" s="99" t="s">
        <v>81</v>
      </c>
      <c r="D1082" s="137">
        <v>9</v>
      </c>
      <c r="E1082" s="137" t="s">
        <v>1070</v>
      </c>
      <c r="F1082" s="138">
        <v>0.14000000000000001</v>
      </c>
      <c r="G1082" s="101">
        <f>IF(OR(B1082="FIXO",B1082="XFIXO"),IF(F1082="","ERRO",10*F1082)*'[1]BD Campos'!$S$2,IF(F1082="","ERRO",10*F1082)*'[1]BD Campos'!$S$3)</f>
        <v>1.4000000000000001</v>
      </c>
      <c r="H1082" s="102">
        <v>0.05</v>
      </c>
      <c r="I1082" s="103">
        <f t="shared" si="65"/>
        <v>-7.0000000000000007E-2</v>
      </c>
    </row>
    <row r="1083" spans="1:9">
      <c r="A1083" s="99" t="str">
        <f t="shared" si="64"/>
        <v>LOGÍSTICA REVERSAReceptiva10</v>
      </c>
      <c r="B1083" s="99" t="s">
        <v>316</v>
      </c>
      <c r="C1083" s="99" t="s">
        <v>81</v>
      </c>
      <c r="D1083" s="137">
        <v>10</v>
      </c>
      <c r="E1083" s="137" t="s">
        <v>1076</v>
      </c>
      <c r="F1083" s="138">
        <v>0.14499999999999999</v>
      </c>
      <c r="G1083" s="101">
        <f>IF(OR(B1083="FIXO",B1083="XFIXO"),IF(F1083="","ERRO",10*F1083)*'[1]BD Campos'!$S$2,IF(F1083="","ERRO",10*F1083)*'[1]BD Campos'!$S$3)</f>
        <v>1.45</v>
      </c>
      <c r="H1083" s="102">
        <v>0.05</v>
      </c>
      <c r="I1083" s="103">
        <f t="shared" si="65"/>
        <v>-7.2499999999999995E-2</v>
      </c>
    </row>
    <row r="1084" spans="1:9">
      <c r="A1084" s="99" t="str">
        <f t="shared" si="64"/>
        <v>LOGÍSTICA REVERSAReceptiva11</v>
      </c>
      <c r="B1084" s="99" t="s">
        <v>316</v>
      </c>
      <c r="C1084" s="99" t="s">
        <v>81</v>
      </c>
      <c r="D1084" s="137">
        <v>11</v>
      </c>
      <c r="E1084" s="137" t="s">
        <v>1077</v>
      </c>
      <c r="F1084" s="138">
        <v>0.1</v>
      </c>
      <c r="G1084" s="101">
        <f>IF(OR(B1084="FIXO",B1084="XFIXO"),IF(F1084="","ERRO",10*F1084)*'[1]BD Campos'!$S$2,IF(F1084="","ERRO",10*F1084)*'[1]BD Campos'!$S$3)</f>
        <v>1</v>
      </c>
      <c r="H1084" s="102">
        <v>0.05</v>
      </c>
      <c r="I1084" s="103">
        <f t="shared" si="65"/>
        <v>-0.05</v>
      </c>
    </row>
    <row r="1085" spans="1:9">
      <c r="A1085" s="99" t="str">
        <f t="shared" si="64"/>
        <v>LOGÍSTICA REVERSAReceptiva12</v>
      </c>
      <c r="B1085" s="99" t="s">
        <v>316</v>
      </c>
      <c r="C1085" s="99" t="s">
        <v>81</v>
      </c>
      <c r="D1085" s="137">
        <v>12</v>
      </c>
      <c r="E1085" s="137" t="s">
        <v>1072</v>
      </c>
      <c r="F1085" s="138">
        <v>0.1</v>
      </c>
      <c r="G1085" s="101">
        <f>IF(OR(B1085="FIXO",B1085="XFIXO"),IF(F1085="","ERRO",10*F1085)*'[1]BD Campos'!$S$2,IF(F1085="","ERRO",10*F1085)*'[1]BD Campos'!$S$3)</f>
        <v>1</v>
      </c>
      <c r="H1085" s="102">
        <v>0.05</v>
      </c>
      <c r="I1085" s="103">
        <f t="shared" si="65"/>
        <v>-0.05</v>
      </c>
    </row>
    <row r="1086" spans="1:9">
      <c r="A1086" s="99" t="str">
        <f t="shared" si="64"/>
        <v>LOGÍSTICA REVERSAReceptiva13</v>
      </c>
      <c r="B1086" s="99" t="s">
        <v>316</v>
      </c>
      <c r="C1086" s="99" t="s">
        <v>81</v>
      </c>
      <c r="D1086" s="137">
        <v>13</v>
      </c>
      <c r="E1086" s="137" t="s">
        <v>964</v>
      </c>
      <c r="F1086" s="138">
        <v>0.03</v>
      </c>
      <c r="G1086" s="101">
        <f>IF(OR(B1086="FIXO",B1086="XFIXO"),IF(F1086="","ERRO",10*F1086)*'[1]BD Campos'!$S$2,IF(F1086="","ERRO",10*F1086)*'[1]BD Campos'!$S$3)</f>
        <v>0.3</v>
      </c>
      <c r="H1086" s="102">
        <v>0.05</v>
      </c>
      <c r="I1086" s="103">
        <f t="shared" si="65"/>
        <v>-1.4999999999999999E-2</v>
      </c>
    </row>
    <row r="1087" spans="1:9">
      <c r="A1087" s="99" t="str">
        <f t="shared" si="64"/>
        <v>LOGÍSTICA REVERSAReceptiva14</v>
      </c>
      <c r="B1087" s="99" t="s">
        <v>316</v>
      </c>
      <c r="C1087" s="99" t="s">
        <v>81</v>
      </c>
      <c r="D1087" s="137">
        <v>14</v>
      </c>
      <c r="E1087" s="137" t="s">
        <v>965</v>
      </c>
      <c r="F1087" s="138">
        <v>0.03</v>
      </c>
      <c r="G1087" s="101">
        <f>IF(OR(B1087="FIXO",B1087="XFIXO"),IF(F1087="","ERRO",10*F1087)*'[1]BD Campos'!$S$2,IF(F1087="","ERRO",10*F1087)*'[1]BD Campos'!$S$3)</f>
        <v>0.3</v>
      </c>
      <c r="H1087" s="102">
        <v>0.05</v>
      </c>
      <c r="I1087" s="103">
        <f t="shared" si="65"/>
        <v>-1.4999999999999999E-2</v>
      </c>
    </row>
    <row r="1088" spans="1:9">
      <c r="A1088" s="99" t="str">
        <f t="shared" si="64"/>
        <v>LOGÍSTICA REVERSAReceptiva15</v>
      </c>
      <c r="B1088" s="99" t="s">
        <v>316</v>
      </c>
      <c r="C1088" s="99" t="s">
        <v>81</v>
      </c>
      <c r="D1088" s="137">
        <v>15</v>
      </c>
      <c r="E1088" s="137" t="s">
        <v>1018</v>
      </c>
      <c r="F1088" s="138">
        <v>1.4999999999999999E-2</v>
      </c>
      <c r="G1088" s="101">
        <f>IF(OR(B1088="FIXO",B1088="XFIXO"),IF(F1088="","ERRO",10*F1088)*'[1]BD Campos'!$S$2,IF(F1088="","ERRO",10*F1088)*'[1]BD Campos'!$S$3)</f>
        <v>0.15</v>
      </c>
      <c r="H1088" s="102">
        <v>0.05</v>
      </c>
      <c r="I1088" s="103">
        <f t="shared" si="65"/>
        <v>-7.4999999999999997E-3</v>
      </c>
    </row>
    <row r="1089" spans="1:9">
      <c r="A1089" s="99" t="str">
        <f t="shared" si="64"/>
        <v>LOGÍSTICA REVERSAReceptiva16</v>
      </c>
      <c r="B1089" s="99" t="s">
        <v>316</v>
      </c>
      <c r="C1089" s="99" t="s">
        <v>81</v>
      </c>
      <c r="D1089" s="137">
        <v>16</v>
      </c>
      <c r="E1089" s="137" t="s">
        <v>968</v>
      </c>
      <c r="F1089" s="138">
        <v>0.02</v>
      </c>
      <c r="G1089" s="101">
        <f>IF(OR(B1089="FIXO",B1089="XFIXO"),IF(F1089="","ERRO",10*F1089)*'[1]BD Campos'!$S$2,IF(F1089="","ERRO",10*F1089)*'[1]BD Campos'!$S$3)</f>
        <v>0.2</v>
      </c>
      <c r="H1089" s="102">
        <v>0.05</v>
      </c>
      <c r="I1089" s="103">
        <f t="shared" si="65"/>
        <v>-1.0000000000000002E-2</v>
      </c>
    </row>
    <row r="1090" spans="1:9">
      <c r="A1090" s="104" t="str">
        <f t="shared" si="64"/>
        <v>LOGÍSTICA REVERSAReceptiva17</v>
      </c>
      <c r="B1090" s="104" t="s">
        <v>316</v>
      </c>
      <c r="C1090" s="104" t="s">
        <v>81</v>
      </c>
      <c r="D1090" s="139">
        <v>17</v>
      </c>
      <c r="E1090" s="139" t="s">
        <v>969</v>
      </c>
      <c r="F1090" s="140">
        <v>0.01</v>
      </c>
      <c r="G1090" s="106">
        <f>IF(OR(B1090="FIXO",B1090="XFIXO"),IF(F1090="","ERRO",10*F1090)*'[1]BD Campos'!$S$2,IF(F1090="","ERRO",10*F1090)*'[1]BD Campos'!$S$3)</f>
        <v>0.1</v>
      </c>
      <c r="H1090" s="107">
        <v>0.05</v>
      </c>
      <c r="I1090" s="108">
        <f t="shared" si="65"/>
        <v>-5.000000000000001E-3</v>
      </c>
    </row>
    <row r="1091" spans="1:9">
      <c r="A1091" s="109" t="str">
        <f t="shared" si="64"/>
        <v>LOGÍSTICA REVERSAReceptiva 21</v>
      </c>
      <c r="B1091" s="109" t="s">
        <v>316</v>
      </c>
      <c r="C1091" s="109" t="s">
        <v>86</v>
      </c>
      <c r="D1091" s="145">
        <v>1</v>
      </c>
      <c r="E1091" s="99" t="s">
        <v>954</v>
      </c>
      <c r="F1091" s="146">
        <v>0.01</v>
      </c>
      <c r="G1091" s="111">
        <f>IF(OR(B1091="FIXO",B1091="XFIXO"),IF(F1091="","ERRO",10*F1091)*'[1]BD Campos'!$S$2,IF(F1091="","ERRO",10*F1091)*'[1]BD Campos'!$S$3)</f>
        <v>0.1</v>
      </c>
      <c r="H1091" s="112">
        <v>0.05</v>
      </c>
      <c r="I1091" s="113">
        <f t="shared" si="65"/>
        <v>-5.000000000000001E-3</v>
      </c>
    </row>
    <row r="1092" spans="1:9">
      <c r="A1092" s="99" t="str">
        <f t="shared" si="64"/>
        <v>LOGÍSTICA REVERSAReceptiva 22</v>
      </c>
      <c r="B1092" s="99" t="s">
        <v>316</v>
      </c>
      <c r="C1092" s="99" t="s">
        <v>86</v>
      </c>
      <c r="D1092" s="137">
        <v>2</v>
      </c>
      <c r="E1092" s="137" t="s">
        <v>955</v>
      </c>
      <c r="F1092" s="138">
        <v>0.01</v>
      </c>
      <c r="G1092" s="101">
        <f>IF(OR(B1092="FIXO",B1092="XFIXO"),IF(F1092="","ERRO",10*F1092)*'[1]BD Campos'!$S$2,IF(F1092="","ERRO",10*F1092)*'[1]BD Campos'!$S$3)</f>
        <v>0.1</v>
      </c>
      <c r="H1092" s="102">
        <v>0.05</v>
      </c>
      <c r="I1092" s="103">
        <f t="shared" si="65"/>
        <v>-5.000000000000001E-3</v>
      </c>
    </row>
    <row r="1093" spans="1:9">
      <c r="A1093" s="99" t="str">
        <f t="shared" si="64"/>
        <v>LOGÍSTICA REVERSAReceptiva 23</v>
      </c>
      <c r="B1093" s="99" t="s">
        <v>316</v>
      </c>
      <c r="C1093" s="99" t="s">
        <v>86</v>
      </c>
      <c r="D1093" s="137">
        <v>3</v>
      </c>
      <c r="E1093" s="137" t="s">
        <v>956</v>
      </c>
      <c r="F1093" s="138">
        <v>0.01</v>
      </c>
      <c r="G1093" s="101">
        <f>IF(OR(B1093="FIXO",B1093="XFIXO"),IF(F1093="","ERRO",10*F1093)*'[1]BD Campos'!$S$2,IF(F1093="","ERRO",10*F1093)*'[1]BD Campos'!$S$3)</f>
        <v>0.1</v>
      </c>
      <c r="H1093" s="102">
        <v>0.05</v>
      </c>
      <c r="I1093" s="103">
        <f t="shared" si="65"/>
        <v>-5.000000000000001E-3</v>
      </c>
    </row>
    <row r="1094" spans="1:9">
      <c r="A1094" s="99" t="str">
        <f t="shared" si="64"/>
        <v>LOGÍSTICA REVERSAReceptiva 24</v>
      </c>
      <c r="B1094" s="99" t="s">
        <v>316</v>
      </c>
      <c r="C1094" s="99" t="s">
        <v>86</v>
      </c>
      <c r="D1094" s="137">
        <v>4</v>
      </c>
      <c r="E1094" s="137" t="s">
        <v>982</v>
      </c>
      <c r="F1094" s="138">
        <v>0.04</v>
      </c>
      <c r="G1094" s="101">
        <f>IF(OR(B1094="FIXO",B1094="XFIXO"),IF(F1094="","ERRO",10*F1094)*'[1]BD Campos'!$S$2,IF(F1094="","ERRO",10*F1094)*'[1]BD Campos'!$S$3)</f>
        <v>0.4</v>
      </c>
      <c r="H1094" s="102">
        <v>0.05</v>
      </c>
      <c r="I1094" s="103">
        <f t="shared" si="65"/>
        <v>-2.0000000000000004E-2</v>
      </c>
    </row>
    <row r="1095" spans="1:9">
      <c r="A1095" s="99" t="str">
        <f t="shared" si="64"/>
        <v>LOGÍSTICA REVERSAReceptiva 25</v>
      </c>
      <c r="B1095" s="99" t="s">
        <v>316</v>
      </c>
      <c r="C1095" s="99" t="s">
        <v>86</v>
      </c>
      <c r="D1095" s="137">
        <v>5</v>
      </c>
      <c r="E1095" s="137" t="s">
        <v>1066</v>
      </c>
      <c r="F1095" s="138">
        <v>0.04</v>
      </c>
      <c r="G1095" s="101">
        <f>IF(OR(B1095="FIXO",B1095="XFIXO"),IF(F1095="","ERRO",10*F1095)*'[1]BD Campos'!$S$2,IF(F1095="","ERRO",10*F1095)*'[1]BD Campos'!$S$3)</f>
        <v>0.4</v>
      </c>
      <c r="H1095" s="102">
        <v>0.05</v>
      </c>
      <c r="I1095" s="103">
        <f t="shared" si="65"/>
        <v>-2.0000000000000004E-2</v>
      </c>
    </row>
    <row r="1096" spans="1:9">
      <c r="A1096" s="99" t="str">
        <f t="shared" si="64"/>
        <v>LOGÍSTICA REVERSAReceptiva 26</v>
      </c>
      <c r="B1096" s="99" t="s">
        <v>316</v>
      </c>
      <c r="C1096" s="99" t="s">
        <v>86</v>
      </c>
      <c r="D1096" s="137">
        <v>6</v>
      </c>
      <c r="E1096" s="137" t="s">
        <v>1067</v>
      </c>
      <c r="F1096" s="138">
        <v>0.1</v>
      </c>
      <c r="G1096" s="101">
        <f>IF(OR(B1096="FIXO",B1096="XFIXO"),IF(F1096="","ERRO",10*F1096)*'[1]BD Campos'!$S$2,IF(F1096="","ERRO",10*F1096)*'[1]BD Campos'!$S$3)</f>
        <v>1</v>
      </c>
      <c r="H1096" s="102">
        <v>0.05</v>
      </c>
      <c r="I1096" s="103">
        <f t="shared" si="65"/>
        <v>-0.05</v>
      </c>
    </row>
    <row r="1097" spans="1:9">
      <c r="A1097" s="99" t="str">
        <f t="shared" si="64"/>
        <v>LOGÍSTICA REVERSAReceptiva 27</v>
      </c>
      <c r="B1097" s="99" t="s">
        <v>316</v>
      </c>
      <c r="C1097" s="99" t="s">
        <v>86</v>
      </c>
      <c r="D1097" s="137">
        <v>7</v>
      </c>
      <c r="E1097" s="137" t="s">
        <v>1068</v>
      </c>
      <c r="F1097" s="138">
        <v>0.1</v>
      </c>
      <c r="G1097" s="101">
        <f>IF(OR(B1097="FIXO",B1097="XFIXO"),IF(F1097="","ERRO",10*F1097)*'[1]BD Campos'!$S$2,IF(F1097="","ERRO",10*F1097)*'[1]BD Campos'!$S$3)</f>
        <v>1</v>
      </c>
      <c r="H1097" s="102">
        <v>0.05</v>
      </c>
      <c r="I1097" s="103">
        <f t="shared" si="65"/>
        <v>-0.05</v>
      </c>
    </row>
    <row r="1098" spans="1:9">
      <c r="A1098" s="99" t="str">
        <f t="shared" si="64"/>
        <v>LOGÍSTICA REVERSAReceptiva 28</v>
      </c>
      <c r="B1098" s="99" t="s">
        <v>316</v>
      </c>
      <c r="C1098" s="99" t="s">
        <v>86</v>
      </c>
      <c r="D1098" s="137">
        <v>8</v>
      </c>
      <c r="E1098" s="137" t="s">
        <v>1069</v>
      </c>
      <c r="F1098" s="138">
        <v>0.1</v>
      </c>
      <c r="G1098" s="101">
        <f>IF(OR(B1098="FIXO",B1098="XFIXO"),IF(F1098="","ERRO",10*F1098)*'[1]BD Campos'!$S$2,IF(F1098="","ERRO",10*F1098)*'[1]BD Campos'!$S$3)</f>
        <v>1</v>
      </c>
      <c r="H1098" s="102">
        <v>0.05</v>
      </c>
      <c r="I1098" s="103">
        <f t="shared" si="65"/>
        <v>-0.05</v>
      </c>
    </row>
    <row r="1099" spans="1:9">
      <c r="A1099" s="99" t="str">
        <f t="shared" si="64"/>
        <v>LOGÍSTICA REVERSAReceptiva 29</v>
      </c>
      <c r="B1099" s="99" t="s">
        <v>316</v>
      </c>
      <c r="C1099" s="99" t="s">
        <v>86</v>
      </c>
      <c r="D1099" s="137">
        <v>9</v>
      </c>
      <c r="E1099" s="137" t="s">
        <v>1070</v>
      </c>
      <c r="F1099" s="138">
        <v>0.14000000000000001</v>
      </c>
      <c r="G1099" s="101">
        <f>IF(OR(B1099="FIXO",B1099="XFIXO"),IF(F1099="","ERRO",10*F1099)*'[1]BD Campos'!$S$2,IF(F1099="","ERRO",10*F1099)*'[1]BD Campos'!$S$3)</f>
        <v>1.4000000000000001</v>
      </c>
      <c r="H1099" s="102">
        <v>0.05</v>
      </c>
      <c r="I1099" s="103">
        <f t="shared" si="65"/>
        <v>-7.0000000000000007E-2</v>
      </c>
    </row>
    <row r="1100" spans="1:9">
      <c r="A1100" s="99" t="str">
        <f t="shared" si="64"/>
        <v>LOGÍSTICA REVERSAReceptiva 210</v>
      </c>
      <c r="B1100" s="99" t="s">
        <v>316</v>
      </c>
      <c r="C1100" s="99" t="s">
        <v>86</v>
      </c>
      <c r="D1100" s="137">
        <v>10</v>
      </c>
      <c r="E1100" s="137" t="s">
        <v>1076</v>
      </c>
      <c r="F1100" s="138">
        <v>0.14499999999999999</v>
      </c>
      <c r="G1100" s="101">
        <f>IF(OR(B1100="FIXO",B1100="XFIXO"),IF(F1100="","ERRO",10*F1100)*'[1]BD Campos'!$S$2,IF(F1100="","ERRO",10*F1100)*'[1]BD Campos'!$S$3)</f>
        <v>1.45</v>
      </c>
      <c r="H1100" s="102">
        <v>0.05</v>
      </c>
      <c r="I1100" s="103">
        <f t="shared" si="65"/>
        <v>-7.2499999999999995E-2</v>
      </c>
    </row>
    <row r="1101" spans="1:9">
      <c r="A1101" s="99" t="str">
        <f t="shared" si="64"/>
        <v>LOGÍSTICA REVERSAReceptiva 211</v>
      </c>
      <c r="B1101" s="99" t="s">
        <v>316</v>
      </c>
      <c r="C1101" s="99" t="s">
        <v>86</v>
      </c>
      <c r="D1101" s="137">
        <v>11</v>
      </c>
      <c r="E1101" s="137" t="s">
        <v>1077</v>
      </c>
      <c r="F1101" s="138">
        <v>0.1</v>
      </c>
      <c r="G1101" s="101">
        <f>IF(OR(B1101="FIXO",B1101="XFIXO"),IF(F1101="","ERRO",10*F1101)*'[1]BD Campos'!$S$2,IF(F1101="","ERRO",10*F1101)*'[1]BD Campos'!$S$3)</f>
        <v>1</v>
      </c>
      <c r="H1101" s="102">
        <v>0.05</v>
      </c>
      <c r="I1101" s="103">
        <f t="shared" si="65"/>
        <v>-0.05</v>
      </c>
    </row>
    <row r="1102" spans="1:9">
      <c r="A1102" s="99" t="str">
        <f t="shared" si="64"/>
        <v>LOGÍSTICA REVERSAReceptiva 212</v>
      </c>
      <c r="B1102" s="99" t="s">
        <v>316</v>
      </c>
      <c r="C1102" s="99" t="s">
        <v>86</v>
      </c>
      <c r="D1102" s="137">
        <v>12</v>
      </c>
      <c r="E1102" s="137" t="s">
        <v>1072</v>
      </c>
      <c r="F1102" s="138">
        <v>0.1</v>
      </c>
      <c r="G1102" s="101">
        <f>IF(OR(B1102="FIXO",B1102="XFIXO"),IF(F1102="","ERRO",10*F1102)*'[1]BD Campos'!$S$2,IF(F1102="","ERRO",10*F1102)*'[1]BD Campos'!$S$3)</f>
        <v>1</v>
      </c>
      <c r="H1102" s="102">
        <v>0.05</v>
      </c>
      <c r="I1102" s="103">
        <f t="shared" si="65"/>
        <v>-0.05</v>
      </c>
    </row>
    <row r="1103" spans="1:9">
      <c r="A1103" s="99" t="str">
        <f t="shared" si="64"/>
        <v>LOGÍSTICA REVERSAReceptiva 213</v>
      </c>
      <c r="B1103" s="99" t="s">
        <v>316</v>
      </c>
      <c r="C1103" s="99" t="s">
        <v>86</v>
      </c>
      <c r="D1103" s="137">
        <v>13</v>
      </c>
      <c r="E1103" s="137" t="s">
        <v>964</v>
      </c>
      <c r="F1103" s="138">
        <v>0.03</v>
      </c>
      <c r="G1103" s="101">
        <f>IF(OR(B1103="FIXO",B1103="XFIXO"),IF(F1103="","ERRO",10*F1103)*'[1]BD Campos'!$S$2,IF(F1103="","ERRO",10*F1103)*'[1]BD Campos'!$S$3)</f>
        <v>0.3</v>
      </c>
      <c r="H1103" s="102">
        <v>0.05</v>
      </c>
      <c r="I1103" s="103">
        <f t="shared" si="65"/>
        <v>-1.4999999999999999E-2</v>
      </c>
    </row>
    <row r="1104" spans="1:9">
      <c r="A1104" s="99" t="str">
        <f t="shared" si="64"/>
        <v>LOGÍSTICA REVERSAReceptiva 214</v>
      </c>
      <c r="B1104" s="99" t="s">
        <v>316</v>
      </c>
      <c r="C1104" s="99" t="s">
        <v>86</v>
      </c>
      <c r="D1104" s="137">
        <v>14</v>
      </c>
      <c r="E1104" s="137" t="s">
        <v>965</v>
      </c>
      <c r="F1104" s="138">
        <v>0.03</v>
      </c>
      <c r="G1104" s="101">
        <f>IF(OR(B1104="FIXO",B1104="XFIXO"),IF(F1104="","ERRO",10*F1104)*'[1]BD Campos'!$S$2,IF(F1104="","ERRO",10*F1104)*'[1]BD Campos'!$S$3)</f>
        <v>0.3</v>
      </c>
      <c r="H1104" s="102">
        <v>0.05</v>
      </c>
      <c r="I1104" s="103">
        <f t="shared" si="65"/>
        <v>-1.4999999999999999E-2</v>
      </c>
    </row>
    <row r="1105" spans="1:9">
      <c r="A1105" s="99" t="str">
        <f t="shared" si="64"/>
        <v>LOGÍSTICA REVERSAReceptiva 215</v>
      </c>
      <c r="B1105" s="99" t="s">
        <v>316</v>
      </c>
      <c r="C1105" s="99" t="s">
        <v>86</v>
      </c>
      <c r="D1105" s="137">
        <v>15</v>
      </c>
      <c r="E1105" s="137" t="s">
        <v>1018</v>
      </c>
      <c r="F1105" s="138">
        <v>1.4999999999999999E-2</v>
      </c>
      <c r="G1105" s="101">
        <f>IF(OR(B1105="FIXO",B1105="XFIXO"),IF(F1105="","ERRO",10*F1105)*'[1]BD Campos'!$S$2,IF(F1105="","ERRO",10*F1105)*'[1]BD Campos'!$S$3)</f>
        <v>0.15</v>
      </c>
      <c r="H1105" s="102">
        <v>0.05</v>
      </c>
      <c r="I1105" s="103">
        <f t="shared" si="65"/>
        <v>-7.4999999999999997E-3</v>
      </c>
    </row>
    <row r="1106" spans="1:9">
      <c r="A1106" s="99" t="str">
        <f t="shared" si="64"/>
        <v>LOGÍSTICA REVERSAReceptiva 216</v>
      </c>
      <c r="B1106" s="99" t="s">
        <v>316</v>
      </c>
      <c r="C1106" s="99" t="s">
        <v>86</v>
      </c>
      <c r="D1106" s="137">
        <v>16</v>
      </c>
      <c r="E1106" s="137" t="s">
        <v>968</v>
      </c>
      <c r="F1106" s="138">
        <v>0.02</v>
      </c>
      <c r="G1106" s="101">
        <f>IF(OR(B1106="FIXO",B1106="XFIXO"),IF(F1106="","ERRO",10*F1106)*'[1]BD Campos'!$S$2,IF(F1106="","ERRO",10*F1106)*'[1]BD Campos'!$S$3)</f>
        <v>0.2</v>
      </c>
      <c r="H1106" s="102">
        <v>0.05</v>
      </c>
      <c r="I1106" s="103">
        <f t="shared" si="65"/>
        <v>-1.0000000000000002E-2</v>
      </c>
    </row>
    <row r="1107" spans="1:9">
      <c r="A1107" s="104" t="str">
        <f t="shared" si="64"/>
        <v>LOGÍSTICA REVERSAReceptiva 217</v>
      </c>
      <c r="B1107" s="104" t="s">
        <v>316</v>
      </c>
      <c r="C1107" s="104" t="s">
        <v>86</v>
      </c>
      <c r="D1107" s="139">
        <v>17</v>
      </c>
      <c r="E1107" s="139" t="s">
        <v>969</v>
      </c>
      <c r="F1107" s="140">
        <v>0.01</v>
      </c>
      <c r="G1107" s="106">
        <f>IF(OR(B1107="FIXO",B1107="XFIXO"),IF(F1107="","ERRO",10*F1107)*'[1]BD Campos'!$S$2,IF(F1107="","ERRO",10*F1107)*'[1]BD Campos'!$S$3)</f>
        <v>0.1</v>
      </c>
      <c r="H1107" s="107">
        <v>0.05</v>
      </c>
      <c r="I1107" s="108">
        <f t="shared" si="65"/>
        <v>-5.000000000000001E-3</v>
      </c>
    </row>
    <row r="1108" spans="1:9">
      <c r="A1108" s="99" t="str">
        <f t="shared" si="64"/>
        <v>PROCESSO CHATBOTReceptiva1</v>
      </c>
      <c r="B1108" s="99" t="s">
        <v>114</v>
      </c>
      <c r="C1108" s="99" t="s">
        <v>81</v>
      </c>
      <c r="D1108" s="115">
        <v>1</v>
      </c>
      <c r="E1108" s="99" t="s">
        <v>1078</v>
      </c>
      <c r="F1108" s="100">
        <v>0.03</v>
      </c>
      <c r="G1108" s="101">
        <f>IF(OR(B1108="FIXO",B1108="XFIXO"),IF(F1108="","ERRO",10*F1108)*'[1]BD Campos'!$S$2,IF(F1108="","ERRO",10*F1108)*'[1]BD Campos'!$S$3)</f>
        <v>0.3</v>
      </c>
      <c r="H1108" s="102">
        <v>0.05</v>
      </c>
      <c r="I1108" s="103">
        <f t="shared" si="65"/>
        <v>-1.4999999999999999E-2</v>
      </c>
    </row>
    <row r="1109" spans="1:9">
      <c r="A1109" s="99" t="str">
        <f t="shared" si="64"/>
        <v>PROCESSO CHATBOTReceptiva2</v>
      </c>
      <c r="B1109" s="99" t="s">
        <v>114</v>
      </c>
      <c r="C1109" s="99" t="s">
        <v>81</v>
      </c>
      <c r="D1109" s="115">
        <v>2</v>
      </c>
      <c r="E1109" s="99" t="s">
        <v>1079</v>
      </c>
      <c r="F1109" s="100">
        <v>0.05</v>
      </c>
      <c r="G1109" s="101">
        <f>IF(OR(B1109="FIXO",B1109="XFIXO"),IF(F1109="","ERRO",10*F1109)*'[1]BD Campos'!$S$2,IF(F1109="","ERRO",10*F1109)*'[1]BD Campos'!$S$3)</f>
        <v>0.5</v>
      </c>
      <c r="H1109" s="102">
        <v>0.05</v>
      </c>
      <c r="I1109" s="103">
        <f t="shared" si="65"/>
        <v>-2.5000000000000001E-2</v>
      </c>
    </row>
    <row r="1110" spans="1:9">
      <c r="A1110" s="99" t="str">
        <f t="shared" si="64"/>
        <v>PROCESSO CHATBOTReceptiva3</v>
      </c>
      <c r="B1110" s="99" t="s">
        <v>114</v>
      </c>
      <c r="C1110" s="99" t="s">
        <v>81</v>
      </c>
      <c r="D1110" s="115">
        <v>3</v>
      </c>
      <c r="E1110" s="99" t="s">
        <v>1080</v>
      </c>
      <c r="F1110" s="100">
        <v>0.1</v>
      </c>
      <c r="G1110" s="101">
        <f>IF(OR(B1110="FIXO",B1110="XFIXO"),IF(F1110="","ERRO",10*F1110)*'[1]BD Campos'!$S$2,IF(F1110="","ERRO",10*F1110)*'[1]BD Campos'!$S$3)</f>
        <v>1</v>
      </c>
      <c r="H1110" s="102">
        <v>0.05</v>
      </c>
      <c r="I1110" s="103">
        <f t="shared" si="65"/>
        <v>-0.05</v>
      </c>
    </row>
    <row r="1111" spans="1:9">
      <c r="A1111" s="99" t="str">
        <f t="shared" si="64"/>
        <v>PROCESSO CHATBOTReceptiva4</v>
      </c>
      <c r="B1111" s="99" t="s">
        <v>114</v>
      </c>
      <c r="C1111" s="99" t="s">
        <v>81</v>
      </c>
      <c r="D1111" s="115">
        <v>4</v>
      </c>
      <c r="E1111" s="99" t="s">
        <v>1081</v>
      </c>
      <c r="F1111" s="100">
        <v>0.04</v>
      </c>
      <c r="G1111" s="101">
        <f>IF(OR(B1111="FIXO",B1111="XFIXO"),IF(F1111="","ERRO",10*F1111)*'[1]BD Campos'!$S$2,IF(F1111="","ERRO",10*F1111)*'[1]BD Campos'!$S$3)</f>
        <v>0.4</v>
      </c>
      <c r="H1111" s="102">
        <v>0.05</v>
      </c>
      <c r="I1111" s="103">
        <f t="shared" si="65"/>
        <v>-2.0000000000000004E-2</v>
      </c>
    </row>
    <row r="1112" spans="1:9">
      <c r="A1112" s="99" t="str">
        <f t="shared" si="64"/>
        <v>PROCESSO CHATBOTReceptiva5</v>
      </c>
      <c r="B1112" s="99" t="s">
        <v>114</v>
      </c>
      <c r="C1112" s="99" t="s">
        <v>81</v>
      </c>
      <c r="D1112" s="115">
        <v>5</v>
      </c>
      <c r="E1112" s="99" t="s">
        <v>1082</v>
      </c>
      <c r="F1112" s="100">
        <v>0.13</v>
      </c>
      <c r="G1112" s="101">
        <f>IF(OR(B1112="FIXO",B1112="XFIXO"),IF(F1112="","ERRO",10*F1112)*'[1]BD Campos'!$S$2,IF(F1112="","ERRO",10*F1112)*'[1]BD Campos'!$S$3)</f>
        <v>1.3</v>
      </c>
      <c r="H1112" s="102">
        <v>0.05</v>
      </c>
      <c r="I1112" s="103">
        <f t="shared" si="65"/>
        <v>-6.5000000000000002E-2</v>
      </c>
    </row>
    <row r="1113" spans="1:9">
      <c r="A1113" s="99" t="str">
        <f t="shared" si="64"/>
        <v>PROCESSO CHATBOTReceptiva6</v>
      </c>
      <c r="B1113" s="99" t="s">
        <v>114</v>
      </c>
      <c r="C1113" s="99" t="s">
        <v>81</v>
      </c>
      <c r="D1113" s="115">
        <v>6</v>
      </c>
      <c r="E1113" s="99" t="s">
        <v>1083</v>
      </c>
      <c r="F1113" s="100">
        <v>0.13</v>
      </c>
      <c r="G1113" s="101">
        <f>IF(OR(B1113="FIXO",B1113="XFIXO"),IF(F1113="","ERRO",10*F1113)*'[1]BD Campos'!$S$2,IF(F1113="","ERRO",10*F1113)*'[1]BD Campos'!$S$3)</f>
        <v>1.3</v>
      </c>
      <c r="H1113" s="102">
        <v>0.05</v>
      </c>
      <c r="I1113" s="103">
        <f t="shared" si="65"/>
        <v>-6.5000000000000002E-2</v>
      </c>
    </row>
    <row r="1114" spans="1:9">
      <c r="A1114" s="99" t="str">
        <f t="shared" si="64"/>
        <v>PROCESSO CHATBOTReceptiva7</v>
      </c>
      <c r="B1114" s="99" t="s">
        <v>114</v>
      </c>
      <c r="C1114" s="99" t="s">
        <v>81</v>
      </c>
      <c r="D1114" s="115">
        <v>7</v>
      </c>
      <c r="E1114" s="99" t="s">
        <v>1084</v>
      </c>
      <c r="F1114" s="100">
        <v>0.2</v>
      </c>
      <c r="G1114" s="101">
        <f>IF(OR(B1114="FIXO",B1114="XFIXO"),IF(F1114="","ERRO",10*F1114)*'[1]BD Campos'!$S$2,IF(F1114="","ERRO",10*F1114)*'[1]BD Campos'!$S$3)</f>
        <v>2</v>
      </c>
      <c r="H1114" s="102">
        <v>0.05</v>
      </c>
      <c r="I1114" s="103">
        <f t="shared" si="65"/>
        <v>-0.1</v>
      </c>
    </row>
    <row r="1115" spans="1:9">
      <c r="A1115" s="99" t="str">
        <f t="shared" si="64"/>
        <v>PROCESSO CHATBOTReceptiva8</v>
      </c>
      <c r="B1115" s="99" t="s">
        <v>114</v>
      </c>
      <c r="C1115" s="99" t="s">
        <v>81</v>
      </c>
      <c r="D1115" s="115">
        <v>8</v>
      </c>
      <c r="E1115" s="99" t="s">
        <v>1085</v>
      </c>
      <c r="F1115" s="100">
        <v>0.2</v>
      </c>
      <c r="G1115" s="101">
        <f>IF(OR(B1115="FIXO",B1115="XFIXO"),IF(F1115="","ERRO",10*F1115)*'[1]BD Campos'!$S$2,IF(F1115="","ERRO",10*F1115)*'[1]BD Campos'!$S$3)</f>
        <v>2</v>
      </c>
      <c r="H1115" s="102">
        <v>0.05</v>
      </c>
      <c r="I1115" s="103">
        <f t="shared" si="65"/>
        <v>-0.1</v>
      </c>
    </row>
    <row r="1116" spans="1:9">
      <c r="A1116" s="99" t="str">
        <f t="shared" si="64"/>
        <v>PROCESSO CHATBOTReceptiva9</v>
      </c>
      <c r="B1116" s="99" t="s">
        <v>114</v>
      </c>
      <c r="C1116" s="99" t="s">
        <v>81</v>
      </c>
      <c r="D1116" s="115">
        <v>9</v>
      </c>
      <c r="E1116" s="99" t="s">
        <v>1086</v>
      </c>
      <c r="F1116" s="100">
        <v>0.03</v>
      </c>
      <c r="G1116" s="101">
        <f>IF(OR(B1116="FIXO",B1116="XFIXO"),IF(F1116="","ERRO",10*F1116)*'[1]BD Campos'!$S$2,IF(F1116="","ERRO",10*F1116)*'[1]BD Campos'!$S$3)</f>
        <v>0.3</v>
      </c>
      <c r="H1116" s="102">
        <v>0.05</v>
      </c>
      <c r="I1116" s="103">
        <f t="shared" si="65"/>
        <v>-1.4999999999999999E-2</v>
      </c>
    </row>
    <row r="1117" spans="1:9">
      <c r="A1117" s="99" t="str">
        <f t="shared" si="64"/>
        <v>PROCESSO CHATBOTReceptiva10</v>
      </c>
      <c r="B1117" s="99" t="s">
        <v>114</v>
      </c>
      <c r="C1117" s="99" t="s">
        <v>81</v>
      </c>
      <c r="D1117" s="115">
        <v>10</v>
      </c>
      <c r="E1117" s="99" t="s">
        <v>964</v>
      </c>
      <c r="F1117" s="100">
        <v>0.03</v>
      </c>
      <c r="G1117" s="101">
        <f>IF(OR(B1117="FIXO",B1117="XFIXO"),IF(F1117="","ERRO",10*F1117)*'[1]BD Campos'!$S$2,IF(F1117="","ERRO",10*F1117)*'[1]BD Campos'!$S$3)</f>
        <v>0.3</v>
      </c>
      <c r="H1117" s="102">
        <v>0.05</v>
      </c>
      <c r="I1117" s="103">
        <f t="shared" si="65"/>
        <v>-1.4999999999999999E-2</v>
      </c>
    </row>
    <row r="1118" spans="1:9">
      <c r="A1118" s="99" t="str">
        <f t="shared" si="64"/>
        <v>PROCESSO CHATBOTReceptiva11</v>
      </c>
      <c r="B1118" s="99" t="s">
        <v>114</v>
      </c>
      <c r="C1118" s="99" t="s">
        <v>81</v>
      </c>
      <c r="D1118" s="115">
        <v>11</v>
      </c>
      <c r="E1118" s="99" t="s">
        <v>1087</v>
      </c>
      <c r="F1118" s="100">
        <v>0.03</v>
      </c>
      <c r="G1118" s="101">
        <f>IF(OR(B1118="FIXO",B1118="XFIXO"),IF(F1118="","ERRO",10*F1118)*'[1]BD Campos'!$S$2,IF(F1118="","ERRO",10*F1118)*'[1]BD Campos'!$S$3)</f>
        <v>0.3</v>
      </c>
      <c r="H1118" s="102">
        <v>0.05</v>
      </c>
      <c r="I1118" s="103">
        <f t="shared" si="65"/>
        <v>-1.4999999999999999E-2</v>
      </c>
    </row>
    <row r="1119" spans="1:9">
      <c r="A1119" s="104" t="str">
        <f t="shared" si="64"/>
        <v>PROCESSO CHATBOTReceptiva12</v>
      </c>
      <c r="B1119" s="104" t="s">
        <v>114</v>
      </c>
      <c r="C1119" s="104" t="s">
        <v>81</v>
      </c>
      <c r="D1119" s="116">
        <v>12</v>
      </c>
      <c r="E1119" s="104" t="s">
        <v>1088</v>
      </c>
      <c r="F1119" s="105">
        <v>0.03</v>
      </c>
      <c r="G1119" s="106">
        <f>IF(OR(B1119="FIXO",B1119="XFIXO"),IF(F1119="","ERRO",10*F1119)*'[1]BD Campos'!$S$2,IF(F1119="","ERRO",10*F1119)*'[1]BD Campos'!$S$3)</f>
        <v>0.3</v>
      </c>
      <c r="H1119" s="107">
        <v>0.05</v>
      </c>
      <c r="I1119" s="108">
        <f t="shared" si="65"/>
        <v>-1.4999999999999999E-2</v>
      </c>
    </row>
    <row r="1120" spans="1:9">
      <c r="A1120" s="99" t="str">
        <f t="shared" si="64"/>
        <v>PROCESSO CHATBOTReceptiva 21</v>
      </c>
      <c r="B1120" s="99" t="s">
        <v>114</v>
      </c>
      <c r="C1120" s="99" t="s">
        <v>86</v>
      </c>
      <c r="D1120" s="115">
        <v>1</v>
      </c>
      <c r="E1120" s="99" t="s">
        <v>1078</v>
      </c>
      <c r="F1120" s="100">
        <v>0.03</v>
      </c>
      <c r="G1120" s="101">
        <f>IF(OR(B1120="FIXO",B1120="XFIXO"),IF(F1120="","ERRO",10*F1120)*'[1]BD Campos'!$S$2,IF(F1120="","ERRO",10*F1120)*'[1]BD Campos'!$S$3)</f>
        <v>0.3</v>
      </c>
      <c r="H1120" s="102">
        <v>0.05</v>
      </c>
      <c r="I1120" s="103">
        <f t="shared" si="65"/>
        <v>-1.4999999999999999E-2</v>
      </c>
    </row>
    <row r="1121" spans="1:9">
      <c r="A1121" s="99" t="str">
        <f t="shared" si="64"/>
        <v>PROCESSO CHATBOTReceptiva 22</v>
      </c>
      <c r="B1121" s="99" t="s">
        <v>114</v>
      </c>
      <c r="C1121" s="99" t="s">
        <v>86</v>
      </c>
      <c r="D1121" s="115">
        <v>2</v>
      </c>
      <c r="E1121" s="99" t="s">
        <v>1079</v>
      </c>
      <c r="F1121" s="100">
        <v>0.05</v>
      </c>
      <c r="G1121" s="101">
        <f>IF(OR(B1121="FIXO",B1121="XFIXO"),IF(F1121="","ERRO",10*F1121)*'[1]BD Campos'!$S$2,IF(F1121="","ERRO",10*F1121)*'[1]BD Campos'!$S$3)</f>
        <v>0.5</v>
      </c>
      <c r="H1121" s="102">
        <v>0.05</v>
      </c>
      <c r="I1121" s="103">
        <f t="shared" si="65"/>
        <v>-2.5000000000000001E-2</v>
      </c>
    </row>
    <row r="1122" spans="1:9">
      <c r="A1122" s="99" t="str">
        <f t="shared" si="64"/>
        <v>PROCESSO CHATBOTReceptiva 23</v>
      </c>
      <c r="B1122" s="99" t="s">
        <v>114</v>
      </c>
      <c r="C1122" s="99" t="s">
        <v>86</v>
      </c>
      <c r="D1122" s="115">
        <v>3</v>
      </c>
      <c r="E1122" s="99" t="s">
        <v>1080</v>
      </c>
      <c r="F1122" s="100">
        <v>0.1</v>
      </c>
      <c r="G1122" s="101">
        <f>IF(OR(B1122="FIXO",B1122="XFIXO"),IF(F1122="","ERRO",10*F1122)*'[1]BD Campos'!$S$2,IF(F1122="","ERRO",10*F1122)*'[1]BD Campos'!$S$3)</f>
        <v>1</v>
      </c>
      <c r="H1122" s="102">
        <v>0.05</v>
      </c>
      <c r="I1122" s="103">
        <f t="shared" si="65"/>
        <v>-0.05</v>
      </c>
    </row>
    <row r="1123" spans="1:9">
      <c r="A1123" s="99" t="str">
        <f t="shared" si="64"/>
        <v>PROCESSO CHATBOTReceptiva 24</v>
      </c>
      <c r="B1123" s="99" t="s">
        <v>114</v>
      </c>
      <c r="C1123" s="99" t="s">
        <v>86</v>
      </c>
      <c r="D1123" s="115">
        <v>4</v>
      </c>
      <c r="E1123" s="99" t="s">
        <v>1081</v>
      </c>
      <c r="F1123" s="100">
        <v>0.04</v>
      </c>
      <c r="G1123" s="101">
        <f>IF(OR(B1123="FIXO",B1123="XFIXO"),IF(F1123="","ERRO",10*F1123)*'[1]BD Campos'!$S$2,IF(F1123="","ERRO",10*F1123)*'[1]BD Campos'!$S$3)</f>
        <v>0.4</v>
      </c>
      <c r="H1123" s="102">
        <v>0.05</v>
      </c>
      <c r="I1123" s="103">
        <f t="shared" si="65"/>
        <v>-2.0000000000000004E-2</v>
      </c>
    </row>
    <row r="1124" spans="1:9">
      <c r="A1124" s="99" t="str">
        <f t="shared" si="64"/>
        <v>PROCESSO CHATBOTReceptiva 25</v>
      </c>
      <c r="B1124" s="99" t="s">
        <v>114</v>
      </c>
      <c r="C1124" s="99" t="s">
        <v>86</v>
      </c>
      <c r="D1124" s="115">
        <v>5</v>
      </c>
      <c r="E1124" s="99" t="s">
        <v>1082</v>
      </c>
      <c r="F1124" s="100">
        <v>0.13</v>
      </c>
      <c r="G1124" s="101">
        <f>IF(OR(B1124="FIXO",B1124="XFIXO"),IF(F1124="","ERRO",10*F1124)*'[1]BD Campos'!$S$2,IF(F1124="","ERRO",10*F1124)*'[1]BD Campos'!$S$3)</f>
        <v>1.3</v>
      </c>
      <c r="H1124" s="102">
        <v>0.05</v>
      </c>
      <c r="I1124" s="103">
        <f t="shared" si="65"/>
        <v>-6.5000000000000002E-2</v>
      </c>
    </row>
    <row r="1125" spans="1:9">
      <c r="A1125" s="99" t="str">
        <f t="shared" si="64"/>
        <v>PROCESSO CHATBOTReceptiva 26</v>
      </c>
      <c r="B1125" s="99" t="s">
        <v>114</v>
      </c>
      <c r="C1125" s="99" t="s">
        <v>86</v>
      </c>
      <c r="D1125" s="115">
        <v>6</v>
      </c>
      <c r="E1125" s="99" t="s">
        <v>1083</v>
      </c>
      <c r="F1125" s="100">
        <v>0.13</v>
      </c>
      <c r="G1125" s="101">
        <f>IF(OR(B1125="FIXO",B1125="XFIXO"),IF(F1125="","ERRO",10*F1125)*'[1]BD Campos'!$S$2,IF(F1125="","ERRO",10*F1125)*'[1]BD Campos'!$S$3)</f>
        <v>1.3</v>
      </c>
      <c r="H1125" s="102">
        <v>0.05</v>
      </c>
      <c r="I1125" s="103">
        <f t="shared" si="65"/>
        <v>-6.5000000000000002E-2</v>
      </c>
    </row>
    <row r="1126" spans="1:9">
      <c r="A1126" s="99" t="str">
        <f t="shared" si="64"/>
        <v>PROCESSO CHATBOTReceptiva 27</v>
      </c>
      <c r="B1126" s="99" t="s">
        <v>114</v>
      </c>
      <c r="C1126" s="99" t="s">
        <v>86</v>
      </c>
      <c r="D1126" s="115">
        <v>7</v>
      </c>
      <c r="E1126" s="99" t="s">
        <v>1084</v>
      </c>
      <c r="F1126" s="100">
        <v>0.2</v>
      </c>
      <c r="G1126" s="101">
        <f>IF(OR(B1126="FIXO",B1126="XFIXO"),IF(F1126="","ERRO",10*F1126)*'[1]BD Campos'!$S$2,IF(F1126="","ERRO",10*F1126)*'[1]BD Campos'!$S$3)</f>
        <v>2</v>
      </c>
      <c r="H1126" s="102">
        <v>0.05</v>
      </c>
      <c r="I1126" s="103">
        <f t="shared" si="65"/>
        <v>-0.1</v>
      </c>
    </row>
    <row r="1127" spans="1:9">
      <c r="A1127" s="99" t="str">
        <f t="shared" si="64"/>
        <v>PROCESSO CHATBOTReceptiva 28</v>
      </c>
      <c r="B1127" s="99" t="s">
        <v>114</v>
      </c>
      <c r="C1127" s="99" t="s">
        <v>86</v>
      </c>
      <c r="D1127" s="115">
        <v>8</v>
      </c>
      <c r="E1127" s="99" t="s">
        <v>1085</v>
      </c>
      <c r="F1127" s="100">
        <v>0.2</v>
      </c>
      <c r="G1127" s="101">
        <f>IF(OR(B1127="FIXO",B1127="XFIXO"),IF(F1127="","ERRO",10*F1127)*'[1]BD Campos'!$S$2,IF(F1127="","ERRO",10*F1127)*'[1]BD Campos'!$S$3)</f>
        <v>2</v>
      </c>
      <c r="H1127" s="102">
        <v>0.05</v>
      </c>
      <c r="I1127" s="103">
        <f t="shared" si="65"/>
        <v>-0.1</v>
      </c>
    </row>
    <row r="1128" spans="1:9">
      <c r="A1128" s="99" t="str">
        <f t="shared" si="64"/>
        <v>PROCESSO CHATBOTReceptiva 29</v>
      </c>
      <c r="B1128" s="99" t="s">
        <v>114</v>
      </c>
      <c r="C1128" s="99" t="s">
        <v>86</v>
      </c>
      <c r="D1128" s="115">
        <v>9</v>
      </c>
      <c r="E1128" s="99" t="s">
        <v>1086</v>
      </c>
      <c r="F1128" s="100">
        <v>0.03</v>
      </c>
      <c r="G1128" s="101">
        <f>IF(OR(B1128="FIXO",B1128="XFIXO"),IF(F1128="","ERRO",10*F1128)*'[1]BD Campos'!$S$2,IF(F1128="","ERRO",10*F1128)*'[1]BD Campos'!$S$3)</f>
        <v>0.3</v>
      </c>
      <c r="H1128" s="102">
        <v>0.05</v>
      </c>
      <c r="I1128" s="103">
        <f t="shared" si="65"/>
        <v>-1.4999999999999999E-2</v>
      </c>
    </row>
    <row r="1129" spans="1:9">
      <c r="A1129" s="99" t="str">
        <f t="shared" si="64"/>
        <v>PROCESSO CHATBOTReceptiva 210</v>
      </c>
      <c r="B1129" s="99" t="s">
        <v>114</v>
      </c>
      <c r="C1129" s="99" t="s">
        <v>86</v>
      </c>
      <c r="D1129" s="115">
        <v>10</v>
      </c>
      <c r="E1129" s="99" t="s">
        <v>964</v>
      </c>
      <c r="F1129" s="100">
        <v>0.03</v>
      </c>
      <c r="G1129" s="101">
        <f>IF(OR(B1129="FIXO",B1129="XFIXO"),IF(F1129="","ERRO",10*F1129)*'[1]BD Campos'!$S$2,IF(F1129="","ERRO",10*F1129)*'[1]BD Campos'!$S$3)</f>
        <v>0.3</v>
      </c>
      <c r="H1129" s="102">
        <v>0.05</v>
      </c>
      <c r="I1129" s="103">
        <f t="shared" si="65"/>
        <v>-1.4999999999999999E-2</v>
      </c>
    </row>
    <row r="1130" spans="1:9">
      <c r="A1130" s="99" t="str">
        <f t="shared" si="64"/>
        <v>PROCESSO CHATBOTReceptiva 211</v>
      </c>
      <c r="B1130" s="99" t="s">
        <v>114</v>
      </c>
      <c r="C1130" s="99" t="s">
        <v>86</v>
      </c>
      <c r="D1130" s="115">
        <v>11</v>
      </c>
      <c r="E1130" s="99" t="s">
        <v>1087</v>
      </c>
      <c r="F1130" s="100">
        <v>0.03</v>
      </c>
      <c r="G1130" s="101">
        <f>IF(OR(B1130="FIXO",B1130="XFIXO"),IF(F1130="","ERRO",10*F1130)*'[1]BD Campos'!$S$2,IF(F1130="","ERRO",10*F1130)*'[1]BD Campos'!$S$3)</f>
        <v>0.3</v>
      </c>
      <c r="H1130" s="102">
        <v>0.05</v>
      </c>
      <c r="I1130" s="103">
        <f t="shared" si="65"/>
        <v>-1.4999999999999999E-2</v>
      </c>
    </row>
    <row r="1131" spans="1:9">
      <c r="A1131" s="104" t="str">
        <f t="shared" si="64"/>
        <v>PROCESSO CHATBOTReceptiva 212</v>
      </c>
      <c r="B1131" s="104" t="s">
        <v>114</v>
      </c>
      <c r="C1131" s="104" t="s">
        <v>86</v>
      </c>
      <c r="D1131" s="116">
        <v>12</v>
      </c>
      <c r="E1131" s="104" t="s">
        <v>1088</v>
      </c>
      <c r="F1131" s="105">
        <v>0.03</v>
      </c>
      <c r="G1131" s="106">
        <f>IF(OR(B1131="FIXO",B1131="XFIXO"),IF(F1131="","ERRO",10*F1131)*'[1]BD Campos'!$S$2,IF(F1131="","ERRO",10*F1131)*'[1]BD Campos'!$S$3)</f>
        <v>0.3</v>
      </c>
      <c r="H1131" s="107">
        <v>0.05</v>
      </c>
      <c r="I1131" s="108">
        <f t="shared" si="65"/>
        <v>-1.4999999999999999E-2</v>
      </c>
    </row>
    <row r="1132" spans="1:9">
      <c r="A1132" s="99" t="str">
        <f>B1132&amp;C1132&amp;D1132</f>
        <v>CHATBOTReceptiva1</v>
      </c>
      <c r="B1132" s="99" t="s">
        <v>155</v>
      </c>
      <c r="C1132" s="99" t="s">
        <v>81</v>
      </c>
      <c r="D1132" s="115">
        <v>1</v>
      </c>
      <c r="E1132" s="99" t="s">
        <v>1089</v>
      </c>
      <c r="F1132" s="100">
        <v>0.03</v>
      </c>
      <c r="G1132" s="101">
        <f>IF(OR(B1132="FIXO",B1132="XFIXO"),IF(F1132="","ERRO",10*F1132)*'[1]BD Campos'!$S$2,IF(F1132="","ERRO",10*F1132)*'[1]BD Campos'!$S$3)</f>
        <v>0.3</v>
      </c>
      <c r="H1132" s="102">
        <v>0.05</v>
      </c>
      <c r="I1132" s="103">
        <f>H1132*G1132*-1</f>
        <v>-1.4999999999999999E-2</v>
      </c>
    </row>
    <row r="1133" spans="1:9">
      <c r="A1133" s="99" t="str">
        <f t="shared" ref="A1133:A1195" si="66">B1133&amp;C1133&amp;D1133</f>
        <v>CHATBOTReceptiva2</v>
      </c>
      <c r="B1133" s="99" t="s">
        <v>155</v>
      </c>
      <c r="C1133" s="99" t="s">
        <v>81</v>
      </c>
      <c r="D1133" s="115">
        <v>2</v>
      </c>
      <c r="E1133" s="99" t="s">
        <v>1090</v>
      </c>
      <c r="F1133" s="100">
        <v>0.13</v>
      </c>
      <c r="G1133" s="101">
        <f>IF(OR(B1133="FIXO",B1133="XFIXO"),IF(F1133="","ERRO",10*F1133)*'[1]BD Campos'!$S$2,IF(F1133="","ERRO",10*F1133)*'[1]BD Campos'!$S$3)</f>
        <v>1.3</v>
      </c>
      <c r="H1133" s="102">
        <v>0.05</v>
      </c>
      <c r="I1133" s="103">
        <f t="shared" ref="I1133:I1195" si="67">H1133*G1133*-1</f>
        <v>-6.5000000000000002E-2</v>
      </c>
    </row>
    <row r="1134" spans="1:9">
      <c r="A1134" s="99" t="str">
        <f t="shared" si="66"/>
        <v>CHATBOTReceptiva3</v>
      </c>
      <c r="B1134" s="99" t="s">
        <v>155</v>
      </c>
      <c r="C1134" s="99" t="s">
        <v>81</v>
      </c>
      <c r="D1134" s="115">
        <v>3</v>
      </c>
      <c r="E1134" s="99" t="s">
        <v>1091</v>
      </c>
      <c r="F1134" s="100">
        <v>0.13</v>
      </c>
      <c r="G1134" s="101">
        <f>IF(OR(B1134="FIXO",B1134="XFIXO"),IF(F1134="","ERRO",10*F1134)*'[1]BD Campos'!$S$2,IF(F1134="","ERRO",10*F1134)*'[1]BD Campos'!$S$3)</f>
        <v>1.3</v>
      </c>
      <c r="H1134" s="102">
        <v>0.05</v>
      </c>
      <c r="I1134" s="103">
        <f t="shared" si="67"/>
        <v>-6.5000000000000002E-2</v>
      </c>
    </row>
    <row r="1135" spans="1:9">
      <c r="A1135" s="99" t="str">
        <f t="shared" si="66"/>
        <v>CHATBOTReceptiva4</v>
      </c>
      <c r="B1135" s="99" t="s">
        <v>155</v>
      </c>
      <c r="C1135" s="99" t="s">
        <v>81</v>
      </c>
      <c r="D1135" s="115">
        <v>4</v>
      </c>
      <c r="E1135" s="99" t="s">
        <v>1092</v>
      </c>
      <c r="F1135" s="100">
        <v>0.14000000000000001</v>
      </c>
      <c r="G1135" s="101">
        <f>IF(OR(B1135="FIXO",B1135="XFIXO"),IF(F1135="","ERRO",10*F1135)*'[1]BD Campos'!$S$2,IF(F1135="","ERRO",10*F1135)*'[1]BD Campos'!$S$3)</f>
        <v>1.4000000000000001</v>
      </c>
      <c r="H1135" s="102">
        <v>0.05</v>
      </c>
      <c r="I1135" s="103">
        <f t="shared" si="67"/>
        <v>-7.0000000000000007E-2</v>
      </c>
    </row>
    <row r="1136" spans="1:9">
      <c r="A1136" s="99" t="str">
        <f t="shared" si="66"/>
        <v>CHATBOTReceptiva5</v>
      </c>
      <c r="B1136" s="99" t="s">
        <v>155</v>
      </c>
      <c r="C1136" s="99" t="s">
        <v>81</v>
      </c>
      <c r="D1136" s="115">
        <v>5</v>
      </c>
      <c r="E1136" s="99" t="s">
        <v>1093</v>
      </c>
      <c r="F1136" s="100">
        <v>0.13</v>
      </c>
      <c r="G1136" s="101">
        <f>IF(OR(B1136="FIXO",B1136="XFIXO"),IF(F1136="","ERRO",10*F1136)*'[1]BD Campos'!$S$2,IF(F1136="","ERRO",10*F1136)*'[1]BD Campos'!$S$3)</f>
        <v>1.3</v>
      </c>
      <c r="H1136" s="102">
        <v>0.05</v>
      </c>
      <c r="I1136" s="103">
        <f t="shared" si="67"/>
        <v>-6.5000000000000002E-2</v>
      </c>
    </row>
    <row r="1137" spans="1:9">
      <c r="A1137" s="99" t="str">
        <f t="shared" si="66"/>
        <v>CHATBOTReceptiva6</v>
      </c>
      <c r="B1137" s="99" t="s">
        <v>155</v>
      </c>
      <c r="C1137" s="99" t="s">
        <v>81</v>
      </c>
      <c r="D1137" s="115">
        <v>6</v>
      </c>
      <c r="E1137" s="99" t="s">
        <v>1094</v>
      </c>
      <c r="F1137" s="100">
        <v>0.14000000000000001</v>
      </c>
      <c r="G1137" s="101">
        <f>IF(OR(B1137="FIXO",B1137="XFIXO"),IF(F1137="","ERRO",10*F1137)*'[1]BD Campos'!$S$2,IF(F1137="","ERRO",10*F1137)*'[1]BD Campos'!$S$3)</f>
        <v>1.4000000000000001</v>
      </c>
      <c r="H1137" s="102">
        <v>0.05</v>
      </c>
      <c r="I1137" s="103">
        <f t="shared" si="67"/>
        <v>-7.0000000000000007E-2</v>
      </c>
    </row>
    <row r="1138" spans="1:9">
      <c r="A1138" s="99" t="str">
        <f t="shared" si="66"/>
        <v>CHATBOTReceptiva7</v>
      </c>
      <c r="B1138" s="99" t="s">
        <v>155</v>
      </c>
      <c r="C1138" s="99" t="s">
        <v>81</v>
      </c>
      <c r="D1138" s="115">
        <v>7</v>
      </c>
      <c r="E1138" s="99" t="s">
        <v>1095</v>
      </c>
      <c r="F1138" s="100">
        <v>0.14000000000000001</v>
      </c>
      <c r="G1138" s="101">
        <f>IF(OR(B1138="FIXO",B1138="XFIXO"),IF(F1138="","ERRO",10*F1138)*'[1]BD Campos'!$S$2,IF(F1138="","ERRO",10*F1138)*'[1]BD Campos'!$S$3)</f>
        <v>1.4000000000000001</v>
      </c>
      <c r="H1138" s="102">
        <v>0.05</v>
      </c>
      <c r="I1138" s="103">
        <f t="shared" si="67"/>
        <v>-7.0000000000000007E-2</v>
      </c>
    </row>
    <row r="1139" spans="1:9">
      <c r="A1139" s="99" t="str">
        <f t="shared" si="66"/>
        <v>CHATBOTReceptiva8</v>
      </c>
      <c r="B1139" s="99" t="s">
        <v>155</v>
      </c>
      <c r="C1139" s="99" t="s">
        <v>81</v>
      </c>
      <c r="D1139" s="115">
        <v>8</v>
      </c>
      <c r="E1139" s="99" t="s">
        <v>1096</v>
      </c>
      <c r="F1139" s="100">
        <v>0.13</v>
      </c>
      <c r="G1139" s="101">
        <f>IF(OR(B1139="FIXO",B1139="XFIXO"),IF(F1139="","ERRO",10*F1139)*'[1]BD Campos'!$S$2,IF(F1139="","ERRO",10*F1139)*'[1]BD Campos'!$S$3)</f>
        <v>1.3</v>
      </c>
      <c r="H1139" s="102">
        <v>0.05</v>
      </c>
      <c r="I1139" s="103">
        <f t="shared" si="67"/>
        <v>-6.5000000000000002E-2</v>
      </c>
    </row>
    <row r="1140" spans="1:9">
      <c r="A1140" s="104" t="str">
        <f t="shared" si="66"/>
        <v>CHATBOTReceptiva9</v>
      </c>
      <c r="B1140" s="104" t="s">
        <v>155</v>
      </c>
      <c r="C1140" s="104" t="s">
        <v>81</v>
      </c>
      <c r="D1140" s="116">
        <v>9</v>
      </c>
      <c r="E1140" s="104" t="s">
        <v>1097</v>
      </c>
      <c r="F1140" s="105">
        <v>0.03</v>
      </c>
      <c r="G1140" s="106">
        <f>IF(OR(B1140="FIXO",B1140="XFIXO"),IF(F1140="","ERRO",10*F1140)*'[1]BD Campos'!$S$2,IF(F1140="","ERRO",10*F1140)*'[1]BD Campos'!$S$3)</f>
        <v>0.3</v>
      </c>
      <c r="H1140" s="107">
        <v>0.05</v>
      </c>
      <c r="I1140" s="108">
        <f t="shared" si="67"/>
        <v>-1.4999999999999999E-2</v>
      </c>
    </row>
    <row r="1141" spans="1:9">
      <c r="A1141" s="99" t="str">
        <f t="shared" si="66"/>
        <v>CHATBOTReceptiva 21</v>
      </c>
      <c r="B1141" s="99" t="s">
        <v>155</v>
      </c>
      <c r="C1141" s="99" t="s">
        <v>86</v>
      </c>
      <c r="D1141" s="115">
        <v>1</v>
      </c>
      <c r="E1141" s="99" t="s">
        <v>1089</v>
      </c>
      <c r="F1141" s="100">
        <v>0.03</v>
      </c>
      <c r="G1141" s="101">
        <f>IF(OR(B1141="FIXO",B1141="XFIXO"),IF(F1141="","ERRO",10*F1141)*'[1]BD Campos'!$S$2,IF(F1141="","ERRO",10*F1141)*'[1]BD Campos'!$S$3)</f>
        <v>0.3</v>
      </c>
      <c r="H1141" s="102">
        <v>0.05</v>
      </c>
      <c r="I1141" s="103">
        <f t="shared" si="67"/>
        <v>-1.4999999999999999E-2</v>
      </c>
    </row>
    <row r="1142" spans="1:9">
      <c r="A1142" s="99" t="str">
        <f t="shared" si="66"/>
        <v>CHATBOTReceptiva 22</v>
      </c>
      <c r="B1142" s="99" t="s">
        <v>155</v>
      </c>
      <c r="C1142" s="99" t="s">
        <v>86</v>
      </c>
      <c r="D1142" s="115">
        <v>2</v>
      </c>
      <c r="E1142" s="99" t="s">
        <v>1090</v>
      </c>
      <c r="F1142" s="100">
        <v>0.13</v>
      </c>
      <c r="G1142" s="101">
        <f>IF(OR(B1142="FIXO",B1142="XFIXO"),IF(F1142="","ERRO",10*F1142)*'[1]BD Campos'!$S$2,IF(F1142="","ERRO",10*F1142)*'[1]BD Campos'!$S$3)</f>
        <v>1.3</v>
      </c>
      <c r="H1142" s="102">
        <v>0.05</v>
      </c>
      <c r="I1142" s="103">
        <f t="shared" si="67"/>
        <v>-6.5000000000000002E-2</v>
      </c>
    </row>
    <row r="1143" spans="1:9">
      <c r="A1143" s="99" t="str">
        <f t="shared" si="66"/>
        <v>CHATBOTReceptiva 23</v>
      </c>
      <c r="B1143" s="99" t="s">
        <v>155</v>
      </c>
      <c r="C1143" s="99" t="s">
        <v>86</v>
      </c>
      <c r="D1143" s="115">
        <v>3</v>
      </c>
      <c r="E1143" s="99" t="s">
        <v>1091</v>
      </c>
      <c r="F1143" s="100">
        <v>0.13</v>
      </c>
      <c r="G1143" s="101">
        <f>IF(OR(B1143="FIXO",B1143="XFIXO"),IF(F1143="","ERRO",10*F1143)*'[1]BD Campos'!$S$2,IF(F1143="","ERRO",10*F1143)*'[1]BD Campos'!$S$3)</f>
        <v>1.3</v>
      </c>
      <c r="H1143" s="102">
        <v>0.05</v>
      </c>
      <c r="I1143" s="103">
        <f t="shared" si="67"/>
        <v>-6.5000000000000002E-2</v>
      </c>
    </row>
    <row r="1144" spans="1:9">
      <c r="A1144" s="99" t="str">
        <f t="shared" si="66"/>
        <v>CHATBOTReceptiva 24</v>
      </c>
      <c r="B1144" s="99" t="s">
        <v>155</v>
      </c>
      <c r="C1144" s="99" t="s">
        <v>86</v>
      </c>
      <c r="D1144" s="115">
        <v>4</v>
      </c>
      <c r="E1144" s="99" t="s">
        <v>1092</v>
      </c>
      <c r="F1144" s="100">
        <v>0.14000000000000001</v>
      </c>
      <c r="G1144" s="101">
        <f>IF(OR(B1144="FIXO",B1144="XFIXO"),IF(F1144="","ERRO",10*F1144)*'[1]BD Campos'!$S$2,IF(F1144="","ERRO",10*F1144)*'[1]BD Campos'!$S$3)</f>
        <v>1.4000000000000001</v>
      </c>
      <c r="H1144" s="102">
        <v>0.05</v>
      </c>
      <c r="I1144" s="103">
        <f t="shared" si="67"/>
        <v>-7.0000000000000007E-2</v>
      </c>
    </row>
    <row r="1145" spans="1:9">
      <c r="A1145" s="99" t="str">
        <f t="shared" si="66"/>
        <v>CHATBOTReceptiva 25</v>
      </c>
      <c r="B1145" s="99" t="s">
        <v>155</v>
      </c>
      <c r="C1145" s="99" t="s">
        <v>86</v>
      </c>
      <c r="D1145" s="115">
        <v>5</v>
      </c>
      <c r="E1145" s="99" t="s">
        <v>1093</v>
      </c>
      <c r="F1145" s="100">
        <v>0.13</v>
      </c>
      <c r="G1145" s="101">
        <f>IF(OR(B1145="FIXO",B1145="XFIXO"),IF(F1145="","ERRO",10*F1145)*'[1]BD Campos'!$S$2,IF(F1145="","ERRO",10*F1145)*'[1]BD Campos'!$S$3)</f>
        <v>1.3</v>
      </c>
      <c r="H1145" s="102">
        <v>0.05</v>
      </c>
      <c r="I1145" s="103">
        <f t="shared" si="67"/>
        <v>-6.5000000000000002E-2</v>
      </c>
    </row>
    <row r="1146" spans="1:9">
      <c r="A1146" s="99" t="str">
        <f t="shared" si="66"/>
        <v>CHATBOTReceptiva 26</v>
      </c>
      <c r="B1146" s="99" t="s">
        <v>155</v>
      </c>
      <c r="C1146" s="99" t="s">
        <v>86</v>
      </c>
      <c r="D1146" s="115">
        <v>6</v>
      </c>
      <c r="E1146" s="99" t="s">
        <v>1094</v>
      </c>
      <c r="F1146" s="100">
        <v>0.14000000000000001</v>
      </c>
      <c r="G1146" s="101">
        <f>IF(OR(B1146="FIXO",B1146="XFIXO"),IF(F1146="","ERRO",10*F1146)*'[1]BD Campos'!$S$2,IF(F1146="","ERRO",10*F1146)*'[1]BD Campos'!$S$3)</f>
        <v>1.4000000000000001</v>
      </c>
      <c r="H1146" s="102">
        <v>0.05</v>
      </c>
      <c r="I1146" s="103">
        <f t="shared" si="67"/>
        <v>-7.0000000000000007E-2</v>
      </c>
    </row>
    <row r="1147" spans="1:9">
      <c r="A1147" s="99" t="str">
        <f t="shared" si="66"/>
        <v>CHATBOTReceptiva 27</v>
      </c>
      <c r="B1147" s="99" t="s">
        <v>155</v>
      </c>
      <c r="C1147" s="99" t="s">
        <v>86</v>
      </c>
      <c r="D1147" s="115">
        <v>7</v>
      </c>
      <c r="E1147" s="99" t="s">
        <v>1095</v>
      </c>
      <c r="F1147" s="100">
        <v>0.14000000000000001</v>
      </c>
      <c r="G1147" s="101">
        <f>IF(OR(B1147="FIXO",B1147="XFIXO"),IF(F1147="","ERRO",10*F1147)*'[1]BD Campos'!$S$2,IF(F1147="","ERRO",10*F1147)*'[1]BD Campos'!$S$3)</f>
        <v>1.4000000000000001</v>
      </c>
      <c r="H1147" s="102">
        <v>0.05</v>
      </c>
      <c r="I1147" s="103">
        <f t="shared" si="67"/>
        <v>-7.0000000000000007E-2</v>
      </c>
    </row>
    <row r="1148" spans="1:9">
      <c r="A1148" s="99" t="str">
        <f t="shared" si="66"/>
        <v>CHATBOTReceptiva 28</v>
      </c>
      <c r="B1148" s="99" t="s">
        <v>155</v>
      </c>
      <c r="C1148" s="99" t="s">
        <v>86</v>
      </c>
      <c r="D1148" s="115">
        <v>8</v>
      </c>
      <c r="E1148" s="99" t="s">
        <v>1096</v>
      </c>
      <c r="F1148" s="100">
        <v>0.13</v>
      </c>
      <c r="G1148" s="101">
        <f>IF(OR(B1148="FIXO",B1148="XFIXO"),IF(F1148="","ERRO",10*F1148)*'[1]BD Campos'!$S$2,IF(F1148="","ERRO",10*F1148)*'[1]BD Campos'!$S$3)</f>
        <v>1.3</v>
      </c>
      <c r="H1148" s="102">
        <v>0.05</v>
      </c>
      <c r="I1148" s="103">
        <f t="shared" si="67"/>
        <v>-6.5000000000000002E-2</v>
      </c>
    </row>
    <row r="1149" spans="1:9">
      <c r="A1149" s="104" t="str">
        <f t="shared" si="66"/>
        <v>CHATBOTReceptiva 29</v>
      </c>
      <c r="B1149" s="104" t="s">
        <v>155</v>
      </c>
      <c r="C1149" s="104" t="s">
        <v>86</v>
      </c>
      <c r="D1149" s="116">
        <v>9</v>
      </c>
      <c r="E1149" s="104" t="s">
        <v>1097</v>
      </c>
      <c r="F1149" s="105">
        <v>0.03</v>
      </c>
      <c r="G1149" s="106">
        <f>IF(OR(B1149="FIXO",B1149="XFIXO"),IF(F1149="","ERRO",10*F1149)*'[1]BD Campos'!$S$2,IF(F1149="","ERRO",10*F1149)*'[1]BD Campos'!$S$3)</f>
        <v>0.3</v>
      </c>
      <c r="H1149" s="107">
        <v>0.05</v>
      </c>
      <c r="I1149" s="108">
        <f t="shared" si="67"/>
        <v>-1.4999999999999999E-2</v>
      </c>
    </row>
    <row r="1150" spans="1:9">
      <c r="A1150" s="99" t="str">
        <f t="shared" si="66"/>
        <v>OPERAÇÃO TABORDAReceptiva1</v>
      </c>
      <c r="B1150" s="99" t="s">
        <v>534</v>
      </c>
      <c r="C1150" s="99" t="s">
        <v>81</v>
      </c>
      <c r="D1150" s="115">
        <v>1</v>
      </c>
      <c r="E1150" s="99" t="s">
        <v>1089</v>
      </c>
      <c r="F1150" s="100">
        <v>0.03</v>
      </c>
      <c r="G1150" s="101">
        <f>IF(OR(B1150="FIXO",B1150="XFIXO"),IF(F1150="","ERRO",10*F1150)*'[1]BD Campos'!$S$2,IF(F1150="","ERRO",10*F1150)*'[1]BD Campos'!$S$3)</f>
        <v>0.3</v>
      </c>
      <c r="H1150" s="102">
        <v>0.05</v>
      </c>
      <c r="I1150" s="103">
        <f t="shared" si="67"/>
        <v>-1.4999999999999999E-2</v>
      </c>
    </row>
    <row r="1151" spans="1:9">
      <c r="A1151" s="99" t="str">
        <f t="shared" si="66"/>
        <v>OPERAÇÃO TABORDAReceptiva2</v>
      </c>
      <c r="B1151" s="99" t="s">
        <v>534</v>
      </c>
      <c r="C1151" s="99" t="s">
        <v>81</v>
      </c>
      <c r="D1151" s="115">
        <v>2</v>
      </c>
      <c r="E1151" s="99" t="s">
        <v>1090</v>
      </c>
      <c r="F1151" s="100">
        <v>0.13</v>
      </c>
      <c r="G1151" s="101">
        <f>IF(OR(B1151="FIXO",B1151="XFIXO"),IF(F1151="","ERRO",10*F1151)*'[1]BD Campos'!$S$2,IF(F1151="","ERRO",10*F1151)*'[1]BD Campos'!$S$3)</f>
        <v>1.3</v>
      </c>
      <c r="H1151" s="102">
        <v>0.05</v>
      </c>
      <c r="I1151" s="103">
        <f t="shared" si="67"/>
        <v>-6.5000000000000002E-2</v>
      </c>
    </row>
    <row r="1152" spans="1:9">
      <c r="A1152" s="99" t="str">
        <f t="shared" si="66"/>
        <v>OPERAÇÃO TABORDAReceptiva3</v>
      </c>
      <c r="B1152" s="99" t="s">
        <v>534</v>
      </c>
      <c r="C1152" s="99" t="s">
        <v>81</v>
      </c>
      <c r="D1152" s="115">
        <v>3</v>
      </c>
      <c r="E1152" s="99" t="s">
        <v>1091</v>
      </c>
      <c r="F1152" s="100">
        <v>0.13</v>
      </c>
      <c r="G1152" s="101">
        <f>IF(OR(B1152="FIXO",B1152="XFIXO"),IF(F1152="","ERRO",10*F1152)*'[1]BD Campos'!$S$2,IF(F1152="","ERRO",10*F1152)*'[1]BD Campos'!$S$3)</f>
        <v>1.3</v>
      </c>
      <c r="H1152" s="102">
        <v>0.05</v>
      </c>
      <c r="I1152" s="103">
        <f t="shared" si="67"/>
        <v>-6.5000000000000002E-2</v>
      </c>
    </row>
    <row r="1153" spans="1:9">
      <c r="A1153" s="99" t="str">
        <f t="shared" si="66"/>
        <v>OPERAÇÃO TABORDAReceptiva4</v>
      </c>
      <c r="B1153" s="99" t="s">
        <v>534</v>
      </c>
      <c r="C1153" s="99" t="s">
        <v>81</v>
      </c>
      <c r="D1153" s="115">
        <v>4</v>
      </c>
      <c r="E1153" s="99" t="s">
        <v>1092</v>
      </c>
      <c r="F1153" s="100">
        <v>0.14000000000000001</v>
      </c>
      <c r="G1153" s="101">
        <f>IF(OR(B1153="FIXO",B1153="XFIXO"),IF(F1153="","ERRO",10*F1153)*'[1]BD Campos'!$S$2,IF(F1153="","ERRO",10*F1153)*'[1]BD Campos'!$S$3)</f>
        <v>1.4000000000000001</v>
      </c>
      <c r="H1153" s="102">
        <v>0.05</v>
      </c>
      <c r="I1153" s="103">
        <f t="shared" si="67"/>
        <v>-7.0000000000000007E-2</v>
      </c>
    </row>
    <row r="1154" spans="1:9">
      <c r="A1154" s="99" t="str">
        <f t="shared" si="66"/>
        <v>OPERAÇÃO TABORDAReceptiva5</v>
      </c>
      <c r="B1154" s="99" t="s">
        <v>534</v>
      </c>
      <c r="C1154" s="99" t="s">
        <v>81</v>
      </c>
      <c r="D1154" s="115">
        <v>5</v>
      </c>
      <c r="E1154" s="99" t="s">
        <v>1093</v>
      </c>
      <c r="F1154" s="100">
        <v>0.13</v>
      </c>
      <c r="G1154" s="101">
        <f>IF(OR(B1154="FIXO",B1154="XFIXO"),IF(F1154="","ERRO",10*F1154)*'[1]BD Campos'!$S$2,IF(F1154="","ERRO",10*F1154)*'[1]BD Campos'!$S$3)</f>
        <v>1.3</v>
      </c>
      <c r="H1154" s="102">
        <v>0.05</v>
      </c>
      <c r="I1154" s="103">
        <f t="shared" si="67"/>
        <v>-6.5000000000000002E-2</v>
      </c>
    </row>
    <row r="1155" spans="1:9">
      <c r="A1155" s="99" t="str">
        <f t="shared" si="66"/>
        <v>OPERAÇÃO TABORDAReceptiva6</v>
      </c>
      <c r="B1155" s="99" t="s">
        <v>534</v>
      </c>
      <c r="C1155" s="99" t="s">
        <v>81</v>
      </c>
      <c r="D1155" s="115">
        <v>6</v>
      </c>
      <c r="E1155" s="99" t="s">
        <v>1094</v>
      </c>
      <c r="F1155" s="100">
        <v>0.14000000000000001</v>
      </c>
      <c r="G1155" s="101">
        <f>IF(OR(B1155="FIXO",B1155="XFIXO"),IF(F1155="","ERRO",10*F1155)*'[1]BD Campos'!$S$2,IF(F1155="","ERRO",10*F1155)*'[1]BD Campos'!$S$3)</f>
        <v>1.4000000000000001</v>
      </c>
      <c r="H1155" s="102">
        <v>0.05</v>
      </c>
      <c r="I1155" s="103">
        <f t="shared" si="67"/>
        <v>-7.0000000000000007E-2</v>
      </c>
    </row>
    <row r="1156" spans="1:9">
      <c r="A1156" s="99" t="str">
        <f t="shared" si="66"/>
        <v>OPERAÇÃO TABORDAReceptiva7</v>
      </c>
      <c r="B1156" s="99" t="s">
        <v>534</v>
      </c>
      <c r="C1156" s="99" t="s">
        <v>81</v>
      </c>
      <c r="D1156" s="115">
        <v>7</v>
      </c>
      <c r="E1156" s="99" t="s">
        <v>1095</v>
      </c>
      <c r="F1156" s="100">
        <v>0.14000000000000001</v>
      </c>
      <c r="G1156" s="101">
        <f>IF(OR(B1156="FIXO",B1156="XFIXO"),IF(F1156="","ERRO",10*F1156)*'[1]BD Campos'!$S$2,IF(F1156="","ERRO",10*F1156)*'[1]BD Campos'!$S$3)</f>
        <v>1.4000000000000001</v>
      </c>
      <c r="H1156" s="102">
        <v>0.05</v>
      </c>
      <c r="I1156" s="103">
        <f t="shared" si="67"/>
        <v>-7.0000000000000007E-2</v>
      </c>
    </row>
    <row r="1157" spans="1:9">
      <c r="A1157" s="99" t="str">
        <f t="shared" si="66"/>
        <v>OPERAÇÃO TABORDAReceptiva8</v>
      </c>
      <c r="B1157" s="99" t="s">
        <v>534</v>
      </c>
      <c r="C1157" s="99" t="s">
        <v>81</v>
      </c>
      <c r="D1157" s="115">
        <v>8</v>
      </c>
      <c r="E1157" s="99" t="s">
        <v>1096</v>
      </c>
      <c r="F1157" s="100">
        <v>0.13</v>
      </c>
      <c r="G1157" s="101">
        <f>IF(OR(B1157="FIXO",B1157="XFIXO"),IF(F1157="","ERRO",10*F1157)*'[1]BD Campos'!$S$2,IF(F1157="","ERRO",10*F1157)*'[1]BD Campos'!$S$3)</f>
        <v>1.3</v>
      </c>
      <c r="H1157" s="102">
        <v>0.05</v>
      </c>
      <c r="I1157" s="103">
        <f t="shared" si="67"/>
        <v>-6.5000000000000002E-2</v>
      </c>
    </row>
    <row r="1158" spans="1:9">
      <c r="A1158" s="104" t="str">
        <f t="shared" si="66"/>
        <v>OPERAÇÃO TABORDAReceptiva9</v>
      </c>
      <c r="B1158" s="104" t="s">
        <v>534</v>
      </c>
      <c r="C1158" s="104" t="s">
        <v>81</v>
      </c>
      <c r="D1158" s="116">
        <v>9</v>
      </c>
      <c r="E1158" s="104" t="s">
        <v>1097</v>
      </c>
      <c r="F1158" s="105">
        <v>0.03</v>
      </c>
      <c r="G1158" s="106">
        <f>IF(OR(B1158="FIXO",B1158="XFIXO"),IF(F1158="","ERRO",10*F1158)*'[1]BD Campos'!$S$2,IF(F1158="","ERRO",10*F1158)*'[1]BD Campos'!$S$3)</f>
        <v>0.3</v>
      </c>
      <c r="H1158" s="107">
        <v>0.05</v>
      </c>
      <c r="I1158" s="108">
        <f t="shared" si="67"/>
        <v>-1.4999999999999999E-2</v>
      </c>
    </row>
    <row r="1159" spans="1:9">
      <c r="A1159" s="99" t="str">
        <f t="shared" si="66"/>
        <v>OPERAÇÃO TABORDAReceptiva 21</v>
      </c>
      <c r="B1159" s="99" t="s">
        <v>534</v>
      </c>
      <c r="C1159" s="99" t="s">
        <v>86</v>
      </c>
      <c r="D1159" s="115">
        <v>1</v>
      </c>
      <c r="E1159" s="99" t="s">
        <v>1089</v>
      </c>
      <c r="F1159" s="100">
        <v>0.03</v>
      </c>
      <c r="G1159" s="101">
        <f>IF(OR(B1159="FIXO",B1159="XFIXO"),IF(F1159="","ERRO",10*F1159)*'[1]BD Campos'!$S$2,IF(F1159="","ERRO",10*F1159)*'[1]BD Campos'!$S$3)</f>
        <v>0.3</v>
      </c>
      <c r="H1159" s="102">
        <v>0.05</v>
      </c>
      <c r="I1159" s="103">
        <f t="shared" si="67"/>
        <v>-1.4999999999999999E-2</v>
      </c>
    </row>
    <row r="1160" spans="1:9">
      <c r="A1160" s="99" t="str">
        <f t="shared" si="66"/>
        <v>OPERAÇÃO TABORDAReceptiva 22</v>
      </c>
      <c r="B1160" s="99" t="s">
        <v>534</v>
      </c>
      <c r="C1160" s="99" t="s">
        <v>86</v>
      </c>
      <c r="D1160" s="115">
        <v>2</v>
      </c>
      <c r="E1160" s="99" t="s">
        <v>1090</v>
      </c>
      <c r="F1160" s="100">
        <v>0.13</v>
      </c>
      <c r="G1160" s="101">
        <f>IF(OR(B1160="FIXO",B1160="XFIXO"),IF(F1160="","ERRO",10*F1160)*'[1]BD Campos'!$S$2,IF(F1160="","ERRO",10*F1160)*'[1]BD Campos'!$S$3)</f>
        <v>1.3</v>
      </c>
      <c r="H1160" s="102">
        <v>0.05</v>
      </c>
      <c r="I1160" s="103">
        <f t="shared" si="67"/>
        <v>-6.5000000000000002E-2</v>
      </c>
    </row>
    <row r="1161" spans="1:9">
      <c r="A1161" s="99" t="str">
        <f t="shared" si="66"/>
        <v>OPERAÇÃO TABORDAReceptiva 23</v>
      </c>
      <c r="B1161" s="99" t="s">
        <v>534</v>
      </c>
      <c r="C1161" s="99" t="s">
        <v>86</v>
      </c>
      <c r="D1161" s="115">
        <v>3</v>
      </c>
      <c r="E1161" s="99" t="s">
        <v>1091</v>
      </c>
      <c r="F1161" s="100">
        <v>0.13</v>
      </c>
      <c r="G1161" s="101">
        <f>IF(OR(B1161="FIXO",B1161="XFIXO"),IF(F1161="","ERRO",10*F1161)*'[1]BD Campos'!$S$2,IF(F1161="","ERRO",10*F1161)*'[1]BD Campos'!$S$3)</f>
        <v>1.3</v>
      </c>
      <c r="H1161" s="102">
        <v>0.05</v>
      </c>
      <c r="I1161" s="103">
        <f t="shared" si="67"/>
        <v>-6.5000000000000002E-2</v>
      </c>
    </row>
    <row r="1162" spans="1:9">
      <c r="A1162" s="99" t="str">
        <f t="shared" si="66"/>
        <v>OPERAÇÃO TABORDAReceptiva 24</v>
      </c>
      <c r="B1162" s="99" t="s">
        <v>534</v>
      </c>
      <c r="C1162" s="99" t="s">
        <v>86</v>
      </c>
      <c r="D1162" s="115">
        <v>4</v>
      </c>
      <c r="E1162" s="99" t="s">
        <v>1092</v>
      </c>
      <c r="F1162" s="100">
        <v>0.14000000000000001</v>
      </c>
      <c r="G1162" s="101">
        <f>IF(OR(B1162="FIXO",B1162="XFIXO"),IF(F1162="","ERRO",10*F1162)*'[1]BD Campos'!$S$2,IF(F1162="","ERRO",10*F1162)*'[1]BD Campos'!$S$3)</f>
        <v>1.4000000000000001</v>
      </c>
      <c r="H1162" s="102">
        <v>0.05</v>
      </c>
      <c r="I1162" s="103">
        <f t="shared" si="67"/>
        <v>-7.0000000000000007E-2</v>
      </c>
    </row>
    <row r="1163" spans="1:9">
      <c r="A1163" s="99" t="str">
        <f t="shared" si="66"/>
        <v>OPERAÇÃO TABORDAReceptiva 25</v>
      </c>
      <c r="B1163" s="99" t="s">
        <v>534</v>
      </c>
      <c r="C1163" s="99" t="s">
        <v>86</v>
      </c>
      <c r="D1163" s="115">
        <v>5</v>
      </c>
      <c r="E1163" s="99" t="s">
        <v>1093</v>
      </c>
      <c r="F1163" s="100">
        <v>0.13</v>
      </c>
      <c r="G1163" s="101">
        <f>IF(OR(B1163="FIXO",B1163="XFIXO"),IF(F1163="","ERRO",10*F1163)*'[1]BD Campos'!$S$2,IF(F1163="","ERRO",10*F1163)*'[1]BD Campos'!$S$3)</f>
        <v>1.3</v>
      </c>
      <c r="H1163" s="102">
        <v>0.05</v>
      </c>
      <c r="I1163" s="103">
        <f t="shared" si="67"/>
        <v>-6.5000000000000002E-2</v>
      </c>
    </row>
    <row r="1164" spans="1:9">
      <c r="A1164" s="99" t="str">
        <f t="shared" si="66"/>
        <v>OPERAÇÃO TABORDAReceptiva 26</v>
      </c>
      <c r="B1164" s="99" t="s">
        <v>534</v>
      </c>
      <c r="C1164" s="99" t="s">
        <v>86</v>
      </c>
      <c r="D1164" s="115">
        <v>6</v>
      </c>
      <c r="E1164" s="99" t="s">
        <v>1094</v>
      </c>
      <c r="F1164" s="100">
        <v>0.14000000000000001</v>
      </c>
      <c r="G1164" s="101">
        <f>IF(OR(B1164="FIXO",B1164="XFIXO"),IF(F1164="","ERRO",10*F1164)*'[1]BD Campos'!$S$2,IF(F1164="","ERRO",10*F1164)*'[1]BD Campos'!$S$3)</f>
        <v>1.4000000000000001</v>
      </c>
      <c r="H1164" s="102">
        <v>0.05</v>
      </c>
      <c r="I1164" s="103">
        <f t="shared" si="67"/>
        <v>-7.0000000000000007E-2</v>
      </c>
    </row>
    <row r="1165" spans="1:9">
      <c r="A1165" s="99" t="str">
        <f t="shared" si="66"/>
        <v>OPERAÇÃO TABORDAReceptiva 27</v>
      </c>
      <c r="B1165" s="99" t="s">
        <v>534</v>
      </c>
      <c r="C1165" s="99" t="s">
        <v>86</v>
      </c>
      <c r="D1165" s="115">
        <v>7</v>
      </c>
      <c r="E1165" s="99" t="s">
        <v>1095</v>
      </c>
      <c r="F1165" s="100">
        <v>0.14000000000000001</v>
      </c>
      <c r="G1165" s="101">
        <f>IF(OR(B1165="FIXO",B1165="XFIXO"),IF(F1165="","ERRO",10*F1165)*'[1]BD Campos'!$S$2,IF(F1165="","ERRO",10*F1165)*'[1]BD Campos'!$S$3)</f>
        <v>1.4000000000000001</v>
      </c>
      <c r="H1165" s="102">
        <v>0.05</v>
      </c>
      <c r="I1165" s="103">
        <f t="shared" si="67"/>
        <v>-7.0000000000000007E-2</v>
      </c>
    </row>
    <row r="1166" spans="1:9">
      <c r="A1166" s="99" t="str">
        <f t="shared" si="66"/>
        <v>OPERAÇÃO TABORDAReceptiva 28</v>
      </c>
      <c r="B1166" s="99" t="s">
        <v>534</v>
      </c>
      <c r="C1166" s="99" t="s">
        <v>86</v>
      </c>
      <c r="D1166" s="115">
        <v>8</v>
      </c>
      <c r="E1166" s="99" t="s">
        <v>1096</v>
      </c>
      <c r="F1166" s="100">
        <v>0.13</v>
      </c>
      <c r="G1166" s="101">
        <f>IF(OR(B1166="FIXO",B1166="XFIXO"),IF(F1166="","ERRO",10*F1166)*'[1]BD Campos'!$S$2,IF(F1166="","ERRO",10*F1166)*'[1]BD Campos'!$S$3)</f>
        <v>1.3</v>
      </c>
      <c r="H1166" s="102">
        <v>0.05</v>
      </c>
      <c r="I1166" s="103">
        <f t="shared" si="67"/>
        <v>-6.5000000000000002E-2</v>
      </c>
    </row>
    <row r="1167" spans="1:9">
      <c r="A1167" s="104" t="str">
        <f t="shared" si="66"/>
        <v>OPERAÇÃO TABORDAReceptiva 29</v>
      </c>
      <c r="B1167" s="104" t="s">
        <v>534</v>
      </c>
      <c r="C1167" s="104" t="s">
        <v>86</v>
      </c>
      <c r="D1167" s="116">
        <v>9</v>
      </c>
      <c r="E1167" s="104" t="s">
        <v>1097</v>
      </c>
      <c r="F1167" s="105">
        <v>0.03</v>
      </c>
      <c r="G1167" s="106">
        <f>IF(OR(B1167="FIXO",B1167="XFIXO"),IF(F1167="","ERRO",10*F1167)*'[1]BD Campos'!$S$2,IF(F1167="","ERRO",10*F1167)*'[1]BD Campos'!$S$3)</f>
        <v>0.3</v>
      </c>
      <c r="H1167" s="107">
        <v>0.05</v>
      </c>
      <c r="I1167" s="108">
        <f t="shared" si="67"/>
        <v>-1.4999999999999999E-2</v>
      </c>
    </row>
    <row r="1168" spans="1:9">
      <c r="A1168" s="109" t="str">
        <f t="shared" si="66"/>
        <v>POSIÇÃO EM ATRASO (LOG)Motorista1</v>
      </c>
      <c r="B1168" s="137" t="s">
        <v>543</v>
      </c>
      <c r="C1168" s="137" t="s">
        <v>93</v>
      </c>
      <c r="D1168" s="137">
        <v>1</v>
      </c>
      <c r="E1168" s="99" t="s">
        <v>954</v>
      </c>
      <c r="F1168" s="138">
        <v>0.01</v>
      </c>
      <c r="G1168" s="111">
        <f>IF(OR(B1168="FIXO",B1168="XFIXO"),IF(F1168="","ERRO",10*F1168)*'[1]BD Campos'!$S$2,IF(F1168="","ERRO",10*F1168)*'[1]BD Campos'!$S$3)</f>
        <v>0.1</v>
      </c>
      <c r="H1168" s="112">
        <v>0.05</v>
      </c>
      <c r="I1168" s="113">
        <f t="shared" si="67"/>
        <v>-5.000000000000001E-3</v>
      </c>
    </row>
    <row r="1169" spans="1:9">
      <c r="A1169" s="109" t="str">
        <f t="shared" si="66"/>
        <v>POSIÇÃO EM ATRASO (LOG)Motorista2</v>
      </c>
      <c r="B1169" s="137" t="s">
        <v>543</v>
      </c>
      <c r="C1169" s="137" t="s">
        <v>93</v>
      </c>
      <c r="D1169" s="137">
        <v>2</v>
      </c>
      <c r="E1169" s="137" t="s">
        <v>955</v>
      </c>
      <c r="F1169" s="138">
        <v>0.01</v>
      </c>
      <c r="G1169" s="111">
        <f>IF(OR(B1169="FIXO",B1169="XFIXO"),IF(F1169="","ERRO",10*F1169)*'[1]BD Campos'!$S$2,IF(F1169="","ERRO",10*F1169)*'[1]BD Campos'!$S$3)</f>
        <v>0.1</v>
      </c>
      <c r="H1169" s="112">
        <v>0.05</v>
      </c>
      <c r="I1169" s="113">
        <f t="shared" si="67"/>
        <v>-5.000000000000001E-3</v>
      </c>
    </row>
    <row r="1170" spans="1:9">
      <c r="A1170" s="109" t="str">
        <f t="shared" si="66"/>
        <v>POSIÇÃO EM ATRASO (LOG)Motorista3</v>
      </c>
      <c r="B1170" s="137" t="s">
        <v>543</v>
      </c>
      <c r="C1170" s="137" t="s">
        <v>93</v>
      </c>
      <c r="D1170" s="137">
        <v>3</v>
      </c>
      <c r="E1170" s="137" t="s">
        <v>956</v>
      </c>
      <c r="F1170" s="138">
        <v>0.01</v>
      </c>
      <c r="G1170" s="111">
        <f>IF(OR(B1170="FIXO",B1170="XFIXO"),IF(F1170="","ERRO",10*F1170)*'[1]BD Campos'!$S$2,IF(F1170="","ERRO",10*F1170)*'[1]BD Campos'!$S$3)</f>
        <v>0.1</v>
      </c>
      <c r="H1170" s="112">
        <v>0.05</v>
      </c>
      <c r="I1170" s="113">
        <f t="shared" si="67"/>
        <v>-5.000000000000001E-3</v>
      </c>
    </row>
    <row r="1171" spans="1:9">
      <c r="A1171" s="109" t="str">
        <f t="shared" si="66"/>
        <v>POSIÇÃO EM ATRASO (LOG)Motorista4</v>
      </c>
      <c r="B1171" s="137" t="s">
        <v>543</v>
      </c>
      <c r="C1171" s="137" t="s">
        <v>93</v>
      </c>
      <c r="D1171" s="137">
        <v>4</v>
      </c>
      <c r="E1171" s="137" t="s">
        <v>982</v>
      </c>
      <c r="F1171" s="138">
        <v>0.04</v>
      </c>
      <c r="G1171" s="111">
        <f>IF(OR(B1171="FIXO",B1171="XFIXO"),IF(F1171="","ERRO",10*F1171)*'[1]BD Campos'!$S$2,IF(F1171="","ERRO",10*F1171)*'[1]BD Campos'!$S$3)</f>
        <v>0.4</v>
      </c>
      <c r="H1171" s="112">
        <v>0.05</v>
      </c>
      <c r="I1171" s="113">
        <f t="shared" si="67"/>
        <v>-2.0000000000000004E-2</v>
      </c>
    </row>
    <row r="1172" spans="1:9">
      <c r="A1172" s="109" t="str">
        <f t="shared" si="66"/>
        <v>POSIÇÃO EM ATRASO (LOG)Motorista5</v>
      </c>
      <c r="B1172" s="137" t="s">
        <v>543</v>
      </c>
      <c r="C1172" s="137" t="s">
        <v>93</v>
      </c>
      <c r="D1172" s="137">
        <v>5</v>
      </c>
      <c r="E1172" s="137" t="s">
        <v>1026</v>
      </c>
      <c r="F1172" s="138">
        <v>0.2</v>
      </c>
      <c r="G1172" s="111">
        <f>IF(OR(B1172="FIXO",B1172="XFIXO"),IF(F1172="","ERRO",10*F1172)*'[1]BD Campos'!$S$2,IF(F1172="","ERRO",10*F1172)*'[1]BD Campos'!$S$3)</f>
        <v>2</v>
      </c>
      <c r="H1172" s="112">
        <v>0.05</v>
      </c>
      <c r="I1172" s="113">
        <f t="shared" si="67"/>
        <v>-0.1</v>
      </c>
    </row>
    <row r="1173" spans="1:9">
      <c r="A1173" s="109" t="str">
        <f t="shared" si="66"/>
        <v>POSIÇÃO EM ATRASO (LOG)Motorista6</v>
      </c>
      <c r="B1173" s="137" t="s">
        <v>543</v>
      </c>
      <c r="C1173" s="137" t="s">
        <v>93</v>
      </c>
      <c r="D1173" s="137">
        <v>6</v>
      </c>
      <c r="E1173" s="137" t="s">
        <v>974</v>
      </c>
      <c r="F1173" s="138">
        <v>0.29499999999999998</v>
      </c>
      <c r="G1173" s="111">
        <f>IF(OR(B1173="FIXO",B1173="XFIXO"),IF(F1173="","ERRO",10*F1173)*'[1]BD Campos'!$S$2,IF(F1173="","ERRO",10*F1173)*'[1]BD Campos'!$S$3)</f>
        <v>2.9499999999999997</v>
      </c>
      <c r="H1173" s="112">
        <v>0.05</v>
      </c>
      <c r="I1173" s="113">
        <f t="shared" si="67"/>
        <v>-0.14749999999999999</v>
      </c>
    </row>
    <row r="1174" spans="1:9">
      <c r="A1174" s="109" t="str">
        <f t="shared" si="66"/>
        <v>POSIÇÃO EM ATRASO (LOG)Motorista7</v>
      </c>
      <c r="B1174" s="137" t="s">
        <v>543</v>
      </c>
      <c r="C1174" s="137" t="s">
        <v>93</v>
      </c>
      <c r="D1174" s="137">
        <v>7</v>
      </c>
      <c r="E1174" s="137" t="s">
        <v>976</v>
      </c>
      <c r="F1174" s="138">
        <v>0.2</v>
      </c>
      <c r="G1174" s="111">
        <f>IF(OR(B1174="FIXO",B1174="XFIXO"),IF(F1174="","ERRO",10*F1174)*'[1]BD Campos'!$S$2,IF(F1174="","ERRO",10*F1174)*'[1]BD Campos'!$S$3)</f>
        <v>2</v>
      </c>
      <c r="H1174" s="112">
        <v>0.05</v>
      </c>
      <c r="I1174" s="113">
        <f t="shared" si="67"/>
        <v>-0.1</v>
      </c>
    </row>
    <row r="1175" spans="1:9">
      <c r="A1175" s="109" t="str">
        <f t="shared" si="66"/>
        <v>POSIÇÃO EM ATRASO (LOG)Motorista8</v>
      </c>
      <c r="B1175" s="137" t="s">
        <v>543</v>
      </c>
      <c r="C1175" s="137" t="s">
        <v>93</v>
      </c>
      <c r="D1175" s="137">
        <v>8</v>
      </c>
      <c r="E1175" s="137" t="s">
        <v>975</v>
      </c>
      <c r="F1175" s="138">
        <v>0.1</v>
      </c>
      <c r="G1175" s="111">
        <f>IF(OR(B1175="FIXO",B1175="XFIXO"),IF(F1175="","ERRO",10*F1175)*'[1]BD Campos'!$S$2,IF(F1175="","ERRO",10*F1175)*'[1]BD Campos'!$S$3)</f>
        <v>1</v>
      </c>
      <c r="H1175" s="112">
        <v>0.05</v>
      </c>
      <c r="I1175" s="113">
        <f t="shared" si="67"/>
        <v>-0.05</v>
      </c>
    </row>
    <row r="1176" spans="1:9">
      <c r="A1176" s="109" t="str">
        <f t="shared" si="66"/>
        <v>POSIÇÃO EM ATRASO (LOG)Motorista9</v>
      </c>
      <c r="B1176" s="137" t="s">
        <v>543</v>
      </c>
      <c r="C1176" s="137" t="s">
        <v>93</v>
      </c>
      <c r="D1176" s="137">
        <v>9</v>
      </c>
      <c r="E1176" s="137" t="s">
        <v>964</v>
      </c>
      <c r="F1176" s="138">
        <v>0.03</v>
      </c>
      <c r="G1176" s="111">
        <f>IF(OR(B1176="FIXO",B1176="XFIXO"),IF(F1176="","ERRO",10*F1176)*'[1]BD Campos'!$S$2,IF(F1176="","ERRO",10*F1176)*'[1]BD Campos'!$S$3)</f>
        <v>0.3</v>
      </c>
      <c r="H1176" s="112">
        <v>0.05</v>
      </c>
      <c r="I1176" s="113">
        <f t="shared" si="67"/>
        <v>-1.4999999999999999E-2</v>
      </c>
    </row>
    <row r="1177" spans="1:9">
      <c r="A1177" s="109" t="str">
        <f t="shared" si="66"/>
        <v>POSIÇÃO EM ATRASO (LOG)Motorista10</v>
      </c>
      <c r="B1177" s="137" t="s">
        <v>543</v>
      </c>
      <c r="C1177" s="137" t="s">
        <v>93</v>
      </c>
      <c r="D1177" s="137">
        <v>10</v>
      </c>
      <c r="E1177" s="137" t="s">
        <v>965</v>
      </c>
      <c r="F1177" s="138">
        <v>0.03</v>
      </c>
      <c r="G1177" s="111">
        <f>IF(OR(B1177="FIXO",B1177="XFIXO"),IF(F1177="","ERRO",10*F1177)*'[1]BD Campos'!$S$2,IF(F1177="","ERRO",10*F1177)*'[1]BD Campos'!$S$3)</f>
        <v>0.3</v>
      </c>
      <c r="H1177" s="112">
        <v>0.05</v>
      </c>
      <c r="I1177" s="113">
        <f t="shared" si="67"/>
        <v>-1.4999999999999999E-2</v>
      </c>
    </row>
    <row r="1178" spans="1:9">
      <c r="A1178" s="109" t="str">
        <f t="shared" si="66"/>
        <v>POSIÇÃO EM ATRASO (LOG)Motorista11</v>
      </c>
      <c r="B1178" s="137" t="s">
        <v>543</v>
      </c>
      <c r="C1178" s="137" t="s">
        <v>93</v>
      </c>
      <c r="D1178" s="137">
        <v>11</v>
      </c>
      <c r="E1178" s="137" t="s">
        <v>966</v>
      </c>
      <c r="F1178" s="138">
        <v>1.4999999999999999E-2</v>
      </c>
      <c r="G1178" s="111">
        <f>IF(OR(B1178="FIXO",B1178="XFIXO"),IF(F1178="","ERRO",10*F1178)*'[1]BD Campos'!$S$2,IF(F1178="","ERRO",10*F1178)*'[1]BD Campos'!$S$3)</f>
        <v>0.15</v>
      </c>
      <c r="H1178" s="112">
        <v>0.05</v>
      </c>
      <c r="I1178" s="113">
        <f t="shared" si="67"/>
        <v>-7.4999999999999997E-3</v>
      </c>
    </row>
    <row r="1179" spans="1:9">
      <c r="A1179" s="109" t="str">
        <f t="shared" si="66"/>
        <v>POSIÇÃO EM ATRASO (LOG)Motorista12</v>
      </c>
      <c r="B1179" s="137" t="s">
        <v>543</v>
      </c>
      <c r="C1179" s="137" t="s">
        <v>93</v>
      </c>
      <c r="D1179" s="137">
        <v>12</v>
      </c>
      <c r="E1179" s="137" t="s">
        <v>968</v>
      </c>
      <c r="F1179" s="138">
        <v>0.02</v>
      </c>
      <c r="G1179" s="111">
        <f>IF(OR(B1179="FIXO",B1179="XFIXO"),IF(F1179="","ERRO",10*F1179)*'[1]BD Campos'!$S$2,IF(F1179="","ERRO",10*F1179)*'[1]BD Campos'!$S$3)</f>
        <v>0.2</v>
      </c>
      <c r="H1179" s="112">
        <v>0.05</v>
      </c>
      <c r="I1179" s="113">
        <f t="shared" si="67"/>
        <v>-1.0000000000000002E-2</v>
      </c>
    </row>
    <row r="1180" spans="1:9">
      <c r="A1180" s="109" t="str">
        <f t="shared" si="66"/>
        <v>POSIÇÃO EM ATRASO (LOG)Motorista13</v>
      </c>
      <c r="B1180" s="137" t="s">
        <v>543</v>
      </c>
      <c r="C1180" s="137" t="s">
        <v>93</v>
      </c>
      <c r="D1180" s="137">
        <v>13</v>
      </c>
      <c r="E1180" s="137" t="s">
        <v>1012</v>
      </c>
      <c r="F1180" s="138">
        <v>0.03</v>
      </c>
      <c r="G1180" s="111">
        <f>IF(OR(B1180="FIXO",B1180="XFIXO"),IF(F1180="","ERRO",10*F1180)*'[1]BD Campos'!$S$2,IF(F1180="","ERRO",10*F1180)*'[1]BD Campos'!$S$3)</f>
        <v>0.3</v>
      </c>
      <c r="H1180" s="112">
        <v>0.05</v>
      </c>
      <c r="I1180" s="113">
        <f t="shared" si="67"/>
        <v>-1.4999999999999999E-2</v>
      </c>
    </row>
    <row r="1181" spans="1:9">
      <c r="A1181" s="104" t="str">
        <f t="shared" si="66"/>
        <v>POSIÇÃO EM ATRASO (LOG)Motorista14</v>
      </c>
      <c r="B1181" s="139" t="s">
        <v>543</v>
      </c>
      <c r="C1181" s="139" t="s">
        <v>93</v>
      </c>
      <c r="D1181" s="139">
        <v>14</v>
      </c>
      <c r="E1181" s="139" t="s">
        <v>969</v>
      </c>
      <c r="F1181" s="140">
        <v>0.01</v>
      </c>
      <c r="G1181" s="106">
        <f>IF(OR(B1181="FIXO",B1181="XFIXO"),IF(F1181="","ERRO",10*F1181)*'[1]BD Campos'!$S$2,IF(F1181="","ERRO",10*F1181)*'[1]BD Campos'!$S$3)</f>
        <v>0.1</v>
      </c>
      <c r="H1181" s="107">
        <v>0.05</v>
      </c>
      <c r="I1181" s="108">
        <f t="shared" si="67"/>
        <v>-5.000000000000001E-3</v>
      </c>
    </row>
    <row r="1182" spans="1:9">
      <c r="A1182" s="109" t="str">
        <f t="shared" si="66"/>
        <v>POSIÇÃO EM ATRASO (LOG)Motorista 21</v>
      </c>
      <c r="B1182" s="137" t="s">
        <v>543</v>
      </c>
      <c r="C1182" s="137" t="s">
        <v>97</v>
      </c>
      <c r="D1182" s="137">
        <v>1</v>
      </c>
      <c r="E1182" s="99" t="s">
        <v>954</v>
      </c>
      <c r="F1182" s="138">
        <v>0.01</v>
      </c>
      <c r="G1182" s="111">
        <f>IF(OR(B1182="FIXO",B1182="XFIXO"),IF(F1182="","ERRO",10*F1182)*'[1]BD Campos'!$S$2,IF(F1182="","ERRO",10*F1182)*'[1]BD Campos'!$S$3)</f>
        <v>0.1</v>
      </c>
      <c r="H1182" s="112">
        <v>0.05</v>
      </c>
      <c r="I1182" s="113">
        <f t="shared" si="67"/>
        <v>-5.000000000000001E-3</v>
      </c>
    </row>
    <row r="1183" spans="1:9">
      <c r="A1183" s="109" t="str">
        <f t="shared" si="66"/>
        <v>POSIÇÃO EM ATRASO (LOG)Motorista 22</v>
      </c>
      <c r="B1183" s="137" t="s">
        <v>543</v>
      </c>
      <c r="C1183" s="137" t="s">
        <v>97</v>
      </c>
      <c r="D1183" s="137">
        <v>2</v>
      </c>
      <c r="E1183" s="137" t="s">
        <v>955</v>
      </c>
      <c r="F1183" s="138">
        <v>0.01</v>
      </c>
      <c r="G1183" s="111">
        <f>IF(OR(B1183="FIXO",B1183="XFIXO"),IF(F1183="","ERRO",10*F1183)*'[1]BD Campos'!$S$2,IF(F1183="","ERRO",10*F1183)*'[1]BD Campos'!$S$3)</f>
        <v>0.1</v>
      </c>
      <c r="H1183" s="112">
        <v>0.05</v>
      </c>
      <c r="I1183" s="113">
        <f t="shared" si="67"/>
        <v>-5.000000000000001E-3</v>
      </c>
    </row>
    <row r="1184" spans="1:9">
      <c r="A1184" s="109" t="str">
        <f t="shared" si="66"/>
        <v>POSIÇÃO EM ATRASO (LOG)Motorista 23</v>
      </c>
      <c r="B1184" s="137" t="s">
        <v>543</v>
      </c>
      <c r="C1184" s="137" t="s">
        <v>97</v>
      </c>
      <c r="D1184" s="137">
        <v>3</v>
      </c>
      <c r="E1184" s="137" t="s">
        <v>956</v>
      </c>
      <c r="F1184" s="138">
        <v>0.01</v>
      </c>
      <c r="G1184" s="111">
        <f>IF(OR(B1184="FIXO",B1184="XFIXO"),IF(F1184="","ERRO",10*F1184)*'[1]BD Campos'!$S$2,IF(F1184="","ERRO",10*F1184)*'[1]BD Campos'!$S$3)</f>
        <v>0.1</v>
      </c>
      <c r="H1184" s="112">
        <v>0.05</v>
      </c>
      <c r="I1184" s="113">
        <f t="shared" si="67"/>
        <v>-5.000000000000001E-3</v>
      </c>
    </row>
    <row r="1185" spans="1:9">
      <c r="A1185" s="109" t="str">
        <f t="shared" si="66"/>
        <v>POSIÇÃO EM ATRASO (LOG)Motorista 24</v>
      </c>
      <c r="B1185" s="137" t="s">
        <v>543</v>
      </c>
      <c r="C1185" s="137" t="s">
        <v>97</v>
      </c>
      <c r="D1185" s="137">
        <v>4</v>
      </c>
      <c r="E1185" s="137" t="s">
        <v>982</v>
      </c>
      <c r="F1185" s="138">
        <v>0.04</v>
      </c>
      <c r="G1185" s="111">
        <f>IF(OR(B1185="FIXO",B1185="XFIXO"),IF(F1185="","ERRO",10*F1185)*'[1]BD Campos'!$S$2,IF(F1185="","ERRO",10*F1185)*'[1]BD Campos'!$S$3)</f>
        <v>0.4</v>
      </c>
      <c r="H1185" s="112">
        <v>0.05</v>
      </c>
      <c r="I1185" s="113">
        <f t="shared" si="67"/>
        <v>-2.0000000000000004E-2</v>
      </c>
    </row>
    <row r="1186" spans="1:9">
      <c r="A1186" s="109" t="str">
        <f t="shared" si="66"/>
        <v>POSIÇÃO EM ATRASO (LOG)Motorista 25</v>
      </c>
      <c r="B1186" s="137" t="s">
        <v>543</v>
      </c>
      <c r="C1186" s="137" t="s">
        <v>97</v>
      </c>
      <c r="D1186" s="137">
        <v>5</v>
      </c>
      <c r="E1186" s="137" t="s">
        <v>1026</v>
      </c>
      <c r="F1186" s="138">
        <v>0.2</v>
      </c>
      <c r="G1186" s="111">
        <f>IF(OR(B1186="FIXO",B1186="XFIXO"),IF(F1186="","ERRO",10*F1186)*'[1]BD Campos'!$S$2,IF(F1186="","ERRO",10*F1186)*'[1]BD Campos'!$S$3)</f>
        <v>2</v>
      </c>
      <c r="H1186" s="112">
        <v>0.05</v>
      </c>
      <c r="I1186" s="113">
        <f t="shared" si="67"/>
        <v>-0.1</v>
      </c>
    </row>
    <row r="1187" spans="1:9">
      <c r="A1187" s="109" t="str">
        <f t="shared" si="66"/>
        <v>POSIÇÃO EM ATRASO (LOG)Motorista 26</v>
      </c>
      <c r="B1187" s="137" t="s">
        <v>543</v>
      </c>
      <c r="C1187" s="137" t="s">
        <v>97</v>
      </c>
      <c r="D1187" s="137">
        <v>6</v>
      </c>
      <c r="E1187" s="137" t="s">
        <v>974</v>
      </c>
      <c r="F1187" s="138">
        <v>0.29499999999999998</v>
      </c>
      <c r="G1187" s="111">
        <f>IF(OR(B1187="FIXO",B1187="XFIXO"),IF(F1187="","ERRO",10*F1187)*'[1]BD Campos'!$S$2,IF(F1187="","ERRO",10*F1187)*'[1]BD Campos'!$S$3)</f>
        <v>2.9499999999999997</v>
      </c>
      <c r="H1187" s="112">
        <v>0.05</v>
      </c>
      <c r="I1187" s="113">
        <f t="shared" si="67"/>
        <v>-0.14749999999999999</v>
      </c>
    </row>
    <row r="1188" spans="1:9">
      <c r="A1188" s="109" t="str">
        <f t="shared" si="66"/>
        <v>POSIÇÃO EM ATRASO (LOG)Motorista 27</v>
      </c>
      <c r="B1188" s="137" t="s">
        <v>543</v>
      </c>
      <c r="C1188" s="137" t="s">
        <v>97</v>
      </c>
      <c r="D1188" s="137">
        <v>7</v>
      </c>
      <c r="E1188" s="137" t="s">
        <v>976</v>
      </c>
      <c r="F1188" s="138">
        <v>0.2</v>
      </c>
      <c r="G1188" s="111">
        <f>IF(OR(B1188="FIXO",B1188="XFIXO"),IF(F1188="","ERRO",10*F1188)*'[1]BD Campos'!$S$2,IF(F1188="","ERRO",10*F1188)*'[1]BD Campos'!$S$3)</f>
        <v>2</v>
      </c>
      <c r="H1188" s="112">
        <v>0.05</v>
      </c>
      <c r="I1188" s="113">
        <f t="shared" si="67"/>
        <v>-0.1</v>
      </c>
    </row>
    <row r="1189" spans="1:9">
      <c r="A1189" s="109" t="str">
        <f t="shared" si="66"/>
        <v>POSIÇÃO EM ATRASO (LOG)Motorista 28</v>
      </c>
      <c r="B1189" s="137" t="s">
        <v>543</v>
      </c>
      <c r="C1189" s="137" t="s">
        <v>97</v>
      </c>
      <c r="D1189" s="137">
        <v>8</v>
      </c>
      <c r="E1189" s="137" t="s">
        <v>975</v>
      </c>
      <c r="F1189" s="138">
        <v>0.1</v>
      </c>
      <c r="G1189" s="111">
        <f>IF(OR(B1189="FIXO",B1189="XFIXO"),IF(F1189="","ERRO",10*F1189)*'[1]BD Campos'!$S$2,IF(F1189="","ERRO",10*F1189)*'[1]BD Campos'!$S$3)</f>
        <v>1</v>
      </c>
      <c r="H1189" s="112">
        <v>0.05</v>
      </c>
      <c r="I1189" s="113">
        <f t="shared" si="67"/>
        <v>-0.05</v>
      </c>
    </row>
    <row r="1190" spans="1:9">
      <c r="A1190" s="109" t="str">
        <f t="shared" si="66"/>
        <v>POSIÇÃO EM ATRASO (LOG)Motorista 29</v>
      </c>
      <c r="B1190" s="137" t="s">
        <v>543</v>
      </c>
      <c r="C1190" s="137" t="s">
        <v>97</v>
      </c>
      <c r="D1190" s="137">
        <v>9</v>
      </c>
      <c r="E1190" s="137" t="s">
        <v>964</v>
      </c>
      <c r="F1190" s="138">
        <v>0.03</v>
      </c>
      <c r="G1190" s="111">
        <f>IF(OR(B1190="FIXO",B1190="XFIXO"),IF(F1190="","ERRO",10*F1190)*'[1]BD Campos'!$S$2,IF(F1190="","ERRO",10*F1190)*'[1]BD Campos'!$S$3)</f>
        <v>0.3</v>
      </c>
      <c r="H1190" s="112">
        <v>0.05</v>
      </c>
      <c r="I1190" s="113">
        <f t="shared" si="67"/>
        <v>-1.4999999999999999E-2</v>
      </c>
    </row>
    <row r="1191" spans="1:9">
      <c r="A1191" s="109" t="str">
        <f t="shared" si="66"/>
        <v>POSIÇÃO EM ATRASO (LOG)Motorista 210</v>
      </c>
      <c r="B1191" s="137" t="s">
        <v>543</v>
      </c>
      <c r="C1191" s="137" t="s">
        <v>97</v>
      </c>
      <c r="D1191" s="137">
        <v>10</v>
      </c>
      <c r="E1191" s="137" t="s">
        <v>965</v>
      </c>
      <c r="F1191" s="138">
        <v>0.03</v>
      </c>
      <c r="G1191" s="111">
        <f>IF(OR(B1191="FIXO",B1191="XFIXO"),IF(F1191="","ERRO",10*F1191)*'[1]BD Campos'!$S$2,IF(F1191="","ERRO",10*F1191)*'[1]BD Campos'!$S$3)</f>
        <v>0.3</v>
      </c>
      <c r="H1191" s="112">
        <v>0.05</v>
      </c>
      <c r="I1191" s="113">
        <f t="shared" si="67"/>
        <v>-1.4999999999999999E-2</v>
      </c>
    </row>
    <row r="1192" spans="1:9">
      <c r="A1192" s="109" t="str">
        <f t="shared" si="66"/>
        <v>POSIÇÃO EM ATRASO (LOG)Motorista 211</v>
      </c>
      <c r="B1192" s="137" t="s">
        <v>543</v>
      </c>
      <c r="C1192" s="137" t="s">
        <v>97</v>
      </c>
      <c r="D1192" s="137">
        <v>11</v>
      </c>
      <c r="E1192" s="137" t="s">
        <v>966</v>
      </c>
      <c r="F1192" s="138">
        <v>1.4999999999999999E-2</v>
      </c>
      <c r="G1192" s="111">
        <f>IF(OR(B1192="FIXO",B1192="XFIXO"),IF(F1192="","ERRO",10*F1192)*'[1]BD Campos'!$S$2,IF(F1192="","ERRO",10*F1192)*'[1]BD Campos'!$S$3)</f>
        <v>0.15</v>
      </c>
      <c r="H1192" s="112">
        <v>0.05</v>
      </c>
      <c r="I1192" s="113">
        <f t="shared" si="67"/>
        <v>-7.4999999999999997E-3</v>
      </c>
    </row>
    <row r="1193" spans="1:9">
      <c r="A1193" s="109" t="str">
        <f t="shared" si="66"/>
        <v>POSIÇÃO EM ATRASO (LOG)Motorista 212</v>
      </c>
      <c r="B1193" s="137" t="s">
        <v>543</v>
      </c>
      <c r="C1193" s="137" t="s">
        <v>97</v>
      </c>
      <c r="D1193" s="137">
        <v>12</v>
      </c>
      <c r="E1193" s="137" t="s">
        <v>968</v>
      </c>
      <c r="F1193" s="138">
        <v>0.02</v>
      </c>
      <c r="G1193" s="111">
        <f>IF(OR(B1193="FIXO",B1193="XFIXO"),IF(F1193="","ERRO",10*F1193)*'[1]BD Campos'!$S$2,IF(F1193="","ERRO",10*F1193)*'[1]BD Campos'!$S$3)</f>
        <v>0.2</v>
      </c>
      <c r="H1193" s="112">
        <v>0.05</v>
      </c>
      <c r="I1193" s="113">
        <f t="shared" si="67"/>
        <v>-1.0000000000000002E-2</v>
      </c>
    </row>
    <row r="1194" spans="1:9">
      <c r="A1194" s="109" t="str">
        <f t="shared" si="66"/>
        <v>POSIÇÃO EM ATRASO (LOG)Motorista 213</v>
      </c>
      <c r="B1194" s="137" t="s">
        <v>543</v>
      </c>
      <c r="C1194" s="137" t="s">
        <v>97</v>
      </c>
      <c r="D1194" s="137">
        <v>13</v>
      </c>
      <c r="E1194" s="137" t="s">
        <v>1012</v>
      </c>
      <c r="F1194" s="138">
        <v>0.03</v>
      </c>
      <c r="G1194" s="111">
        <f>IF(OR(B1194="FIXO",B1194="XFIXO"),IF(F1194="","ERRO",10*F1194)*'[1]BD Campos'!$S$2,IF(F1194="","ERRO",10*F1194)*'[1]BD Campos'!$S$3)</f>
        <v>0.3</v>
      </c>
      <c r="H1194" s="112">
        <v>0.05</v>
      </c>
      <c r="I1194" s="113">
        <f t="shared" si="67"/>
        <v>-1.4999999999999999E-2</v>
      </c>
    </row>
    <row r="1195" spans="1:9">
      <c r="A1195" s="104" t="str">
        <f t="shared" si="66"/>
        <v>POSIÇÃO EM ATRASO (LOG)Motorista 214</v>
      </c>
      <c r="B1195" s="147" t="s">
        <v>543</v>
      </c>
      <c r="C1195" s="147" t="s">
        <v>97</v>
      </c>
      <c r="D1195" s="147">
        <v>14</v>
      </c>
      <c r="E1195" s="147" t="s">
        <v>969</v>
      </c>
      <c r="F1195" s="148">
        <v>0.01</v>
      </c>
      <c r="G1195" s="106">
        <f>IF(OR(B1195="FIXO",B1195="XFIXO"),IF(F1195="","ERRO",10*F1195)*'[1]BD Campos'!$S$2,IF(F1195="","ERRO",10*F1195)*'[1]BD Campos'!$S$3)</f>
        <v>0.1</v>
      </c>
      <c r="H1195" s="107">
        <v>0.05</v>
      </c>
      <c r="I1195" s="108">
        <f t="shared" si="67"/>
        <v>-5.000000000000001E-3</v>
      </c>
    </row>
  </sheetData>
  <sheetProtection algorithmName="SHA-512" hashValue="GcOFoGhR7pXD8MQ/rcz7GW45WiFy6VIfjn8Bzg/5BYCzhWNyvGtLmvyiaoaRbBDeiCFAV87oqEkKuMe0UbmcNg==" saltValue="vIGKqLTfGurWPNItullfzw==" spinCount="100000" sheet="1" objects="1" scenarios="1"/>
  <autoFilter ref="B1:F1195" xr:uid="{00000000-0009-0000-0000-00000A000000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D9BFE09EE06A441886DDA3E2B19200C" ma:contentTypeVersion="47" ma:contentTypeDescription="Crie um novo documento." ma:contentTypeScope="" ma:versionID="8cf1c6700562b1ef8277d3867bf2bd22">
  <xsd:schema xmlns:xsd="http://www.w3.org/2001/XMLSchema" xmlns:xs="http://www.w3.org/2001/XMLSchema" xmlns:p="http://schemas.microsoft.com/office/2006/metadata/properties" xmlns:ns2="7415245d-5905-4390-915a-568738a76d8e" xmlns:ns3="cd70928c-e647-45dc-b8ce-8e50a468dfb1" targetNamespace="http://schemas.microsoft.com/office/2006/metadata/properties" ma:root="true" ma:fieldsID="6c240b9e9204822cdfcf6eeaff6037be" ns2:_="" ns3:_="">
    <xsd:import namespace="7415245d-5905-4390-915a-568738a76d8e"/>
    <xsd:import namespace="cd70928c-e647-45dc-b8ce-8e50a468df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15245d-5905-4390-915a-568738a76d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25d12b8c-8a39-468e-b87e-584ade2400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70928c-e647-45dc-b8ce-8e50a468dfb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3623710e-79e4-4c5e-aebe-9032ed26583d}" ma:internalName="TaxCatchAll" ma:showField="CatchAllData" ma:web="cd70928c-e647-45dc-b8ce-8e50a468df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d70928c-e647-45dc-b8ce-8e50a468dfb1">
      <UserInfo>
        <DisplayName/>
        <AccountId xsi:nil="true"/>
        <AccountType/>
      </UserInfo>
    </SharedWithUsers>
    <lcf76f155ced4ddcb4097134ff3c332f xmlns="7415245d-5905-4390-915a-568738a76d8e">
      <Terms xmlns="http://schemas.microsoft.com/office/infopath/2007/PartnerControls"/>
    </lcf76f155ced4ddcb4097134ff3c332f>
    <TaxCatchAll xmlns="cd70928c-e647-45dc-b8ce-8e50a468dfb1" xsi:nil="true"/>
  </documentManagement>
</p:properties>
</file>

<file path=customXml/itemProps1.xml><?xml version="1.0" encoding="utf-8"?>
<ds:datastoreItem xmlns:ds="http://schemas.openxmlformats.org/officeDocument/2006/customXml" ds:itemID="{2C9D43B1-61F3-48B2-B63F-73586A00B599}"/>
</file>

<file path=customXml/itemProps2.xml><?xml version="1.0" encoding="utf-8"?>
<ds:datastoreItem xmlns:ds="http://schemas.openxmlformats.org/officeDocument/2006/customXml" ds:itemID="{506BD1E6-2BC5-42FB-BD70-310CFAA1E868}"/>
</file>

<file path=customXml/itemProps3.xml><?xml version="1.0" encoding="utf-8"?>
<ds:datastoreItem xmlns:ds="http://schemas.openxmlformats.org/officeDocument/2006/customXml" ds:itemID="{FBF77792-FE49-4781-B176-1B15056F66A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AUDITORIA DE QUALIDADE - UNIFICADO</dc:title>
  <dc:subject/>
  <dc:creator>Peterson Ferreira</dc:creator>
  <cp:keywords/>
  <dc:description/>
  <cp:lastModifiedBy/>
  <cp:revision/>
  <dcterms:created xsi:type="dcterms:W3CDTF">2017-02-09T05:49:18Z</dcterms:created>
  <dcterms:modified xsi:type="dcterms:W3CDTF">2026-02-26T12:00:55Z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0x0101000D9BFE09EE06A441886DDA3E2B19200C</vt:lpwstr>
  </property>
  <property fmtid="{D5CDD505-2E9C-101B-9397-08002B2CF9AE}" pid="3" name="xd_ProgID">
    <vt:lpwstr/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xd_Signature">
    <vt:bool>false</vt:bool>
  </property>
  <property fmtid="{D5CDD505-2E9C-101B-9397-08002B2CF9AE}" pid="9" name="MediaServiceImageTags">
    <vt:lpwstr/>
  </property>
  <property fmtid="{D5CDD505-2E9C-101B-9397-08002B2CF9AE}" pid="10" name="GUID">
    <vt:lpwstr>edee7ce3-d742-4927-b034-c91d9fccb1b1</vt:lpwstr>
  </property>
</Properties>
</file>